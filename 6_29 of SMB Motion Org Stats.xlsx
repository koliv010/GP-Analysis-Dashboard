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tail5-4214658" sheetId="1" r:id="rId5"/>
    <sheet state="hidden" name="Detail4-4117067" sheetId="2" r:id="rId6"/>
    <sheet state="visible" name="Current Calendar Quarter Stats" sheetId="3" r:id="rId7"/>
    <sheet state="visible" name="Current Calendar Month Stats" sheetId="4" r:id="rId8"/>
    <sheet state="visible" name="Lifetime Summary Stats" sheetId="5" r:id="rId9"/>
    <sheet state="visible" name="Ari" sheetId="6" r:id="rId10"/>
    <sheet state="visible" name="Detail6-4440958" sheetId="7" r:id="rId11"/>
    <sheet state="hidden" name="Sheet7" sheetId="8" r:id="rId12"/>
    <sheet state="hidden" name="Detail3" sheetId="9" r:id="rId13"/>
    <sheet state="hidden" name="Detail2-4075965" sheetId="10" r:id="rId14"/>
    <sheet state="hidden" name="Stats Grouped by Activation Mon" sheetId="11" r:id="rId15"/>
    <sheet state="hidden" name="Detail1" sheetId="12" r:id="rId16"/>
    <sheet state="visible" name="Download of SFDC Activation Rep" sheetId="13" r:id="rId17"/>
    <sheet state="visible" name="List of Unique Org IDs Activate" sheetId="14" r:id="rId18"/>
    <sheet state="hidden" name="Sheet10" sheetId="15" r:id="rId19"/>
    <sheet state="hidden" name="Sheet5" sheetId="16" r:id="rId20"/>
    <sheet state="visible" name="Redash Pull of Activated Org GP" sheetId="17" r:id="rId21"/>
  </sheets>
  <definedNames/>
  <calcPr/>
  <pivotCaches>
    <pivotCache cacheId="0" r:id="rId22"/>
    <pivotCache cacheId="1" r:id="rId23"/>
    <pivotCache cacheId="2" r:id="rId24"/>
  </pivotCaches>
</workbook>
</file>

<file path=xl/sharedStrings.xml><?xml version="1.0" encoding="utf-8"?>
<sst xmlns="http://schemas.openxmlformats.org/spreadsheetml/2006/main" count="6677" uniqueCount="1489">
  <si>
    <t>current_tier</t>
  </si>
  <si>
    <t>month</t>
  </si>
  <si>
    <t>initiated_by_org_id</t>
  </si>
  <si>
    <t>activation_month</t>
  </si>
  <si>
    <t>total_payments</t>
  </si>
  <si>
    <t>ach_payments</t>
  </si>
  <si>
    <t>tpv</t>
  </si>
  <si>
    <t>total_revenue</t>
  </si>
  <si>
    <t>ach_fees</t>
  </si>
  <si>
    <t>core_gross_profit_wo_loss</t>
  </si>
  <si>
    <t>core_gp</t>
  </si>
  <si>
    <t>loss</t>
  </si>
  <si>
    <t>sub_gp</t>
  </si>
  <si>
    <t>Total GP</t>
  </si>
  <si>
    <t>Opp Create Date</t>
  </si>
  <si>
    <t>Opp Create Month</t>
  </si>
  <si>
    <t>Count GP?</t>
  </si>
  <si>
    <t>Melio Basic</t>
  </si>
  <si>
    <t>Yes</t>
  </si>
  <si>
    <t>Melio Unlimited Ach</t>
  </si>
  <si>
    <t>OrgId</t>
  </si>
  <si>
    <t>SUM of Total GP</t>
  </si>
  <si>
    <t>AVERAGE of Total GP</t>
  </si>
  <si>
    <t>Sum of TPV</t>
  </si>
  <si>
    <t>AVERAGE of tpv</t>
  </si>
  <si>
    <t>AP Status</t>
  </si>
  <si>
    <t>AR Status</t>
  </si>
  <si>
    <t>AP/AR Status</t>
  </si>
  <si>
    <t>Opportunity Owner</t>
  </si>
  <si>
    <t>Account Name</t>
  </si>
  <si>
    <t>Estimated Monthly GP</t>
  </si>
  <si>
    <t>Expected Ramp Complete Month</t>
  </si>
  <si>
    <t>Close Date</t>
  </si>
  <si>
    <t>Total Orgs</t>
  </si>
  <si>
    <t>LAST DATA PULL:</t>
  </si>
  <si>
    <t>Ramp Start Date</t>
  </si>
  <si>
    <t>Total Active Orgs</t>
  </si>
  <si>
    <t>of way through quarter</t>
  </si>
  <si>
    <t>Avg Monthly TPV for Group</t>
  </si>
  <si>
    <t>Avg Monthly GP for Group</t>
  </si>
  <si>
    <t>Avg Monthly GP per Org</t>
  </si>
  <si>
    <t>Avg TPV per Org per Month</t>
  </si>
  <si>
    <t>Total GP Generated</t>
  </si>
  <si>
    <t>Total TPV Generated</t>
  </si>
  <si>
    <t>Median TPV per Org per Month</t>
  </si>
  <si>
    <t>Median Monthly GP per Org</t>
  </si>
  <si>
    <t>Org ID</t>
  </si>
  <si>
    <t>Account Owner</t>
  </si>
  <si>
    <t>Opp Owner</t>
  </si>
  <si>
    <t>Create Date</t>
  </si>
  <si>
    <t>Avg TPV per Org</t>
  </si>
  <si>
    <t>Avg GP per Org</t>
  </si>
  <si>
    <t>Take Rate (TPV to GP)</t>
  </si>
  <si>
    <t>Avg of Each Org Monthly TPV</t>
  </si>
  <si>
    <t>Avg of Each Org Monthly GP</t>
  </si>
  <si>
    <t>Avg GP per Org (Total GP/Total Orgs)</t>
  </si>
  <si>
    <t>Lifetime</t>
  </si>
  <si>
    <t xml:space="preserve">Quarterly </t>
  </si>
  <si>
    <t xml:space="preserve">Quarter Pacing </t>
  </si>
  <si>
    <t>Curret Month</t>
  </si>
  <si>
    <t>Revenue Pacing</t>
  </si>
  <si>
    <t>Days Worked</t>
  </si>
  <si>
    <t>Today</t>
  </si>
  <si>
    <t>Days Remaining</t>
  </si>
  <si>
    <t>Start</t>
  </si>
  <si>
    <t>Total Days</t>
  </si>
  <si>
    <t>End</t>
  </si>
  <si>
    <t>% Elapsed</t>
  </si>
  <si>
    <t>Avg Monthly TPV Per Org</t>
  </si>
  <si>
    <t>Average Monthly GP Per Org</t>
  </si>
  <si>
    <t>BANK HOLIDAYS</t>
  </si>
  <si>
    <t>NEW YEAR’S DAY</t>
  </si>
  <si>
    <t>DR. MARTIN LUTHER KING, JR. DAY</t>
  </si>
  <si>
    <t>WASHINGTON’S BIRTHDAY (Presidents’ Day)</t>
  </si>
  <si>
    <t>MEMORIAL DAY</t>
  </si>
  <si>
    <t>JUNETEEENTH</t>
  </si>
  <si>
    <t>INDEPENDENCE DAY</t>
  </si>
  <si>
    <t>LABOR DAY</t>
  </si>
  <si>
    <t>COLUMBUS DAY/INDIGENOUS PEOPLE’S DAY</t>
  </si>
  <si>
    <t>VETERANS’ DAY</t>
  </si>
  <si>
    <t>THANKSGIVING DAY</t>
  </si>
  <si>
    <t xml:space="preserve">Q1 Goal </t>
  </si>
  <si>
    <t>CHRISTMAS DAY</t>
  </si>
  <si>
    <t>Current Attainment</t>
  </si>
  <si>
    <t>Q4 Pacing Goal</t>
  </si>
  <si>
    <r>
      <rPr>
        <rFont val="Poppins"/>
        <b/>
      </rPr>
      <t xml:space="preserve">UHV - GP </t>
    </r>
    <r>
      <rPr>
        <rFont val="Poppins"/>
        <b/>
        <color rgb="FF1155CC"/>
        <u/>
      </rPr>
      <t>here</t>
    </r>
  </si>
  <si>
    <t>&lt;--Active QAU's</t>
  </si>
  <si>
    <t xml:space="preserve">Current Q Goal </t>
  </si>
  <si>
    <t xml:space="preserve">&lt;- Take Rate </t>
  </si>
  <si>
    <t>Current Attainment Q</t>
  </si>
  <si>
    <t>&lt;- Current Atainment</t>
  </si>
  <si>
    <t xml:space="preserve">&lt;-- GP Quarterly Biz Day </t>
  </si>
  <si>
    <t xml:space="preserve">Current Pacing </t>
  </si>
  <si>
    <t>Current Pacing %</t>
  </si>
  <si>
    <t>UHV - Rev</t>
  </si>
  <si>
    <t xml:space="preserve">&lt;-- Rev Quarterly Biz Day </t>
  </si>
  <si>
    <t>UHV - TPV</t>
  </si>
  <si>
    <t xml:space="preserve">&lt;-- TPV Quarterly Biz Day </t>
  </si>
  <si>
    <t>SB - GP</t>
  </si>
  <si>
    <t xml:space="preserve">&lt;-- Avg GP per Org </t>
  </si>
  <si>
    <t>SB - Rev</t>
  </si>
  <si>
    <t>this cant be lower than GP.  doesnt make sense</t>
  </si>
  <si>
    <t>SB - TPV</t>
  </si>
  <si>
    <t>very low</t>
  </si>
  <si>
    <t>visa_tpv</t>
  </si>
  <si>
    <t>Opportunity ID</t>
  </si>
  <si>
    <t>Opportunity Name</t>
  </si>
  <si>
    <t>Account ID</t>
  </si>
  <si>
    <t>Estimated Monthly GP Potential</t>
  </si>
  <si>
    <t>Probability (%)</t>
  </si>
  <si>
    <t>Age</t>
  </si>
  <si>
    <t>Stage Duration</t>
  </si>
  <si>
    <t>Created Date</t>
  </si>
  <si>
    <t>Estimated Decision Date</t>
  </si>
  <si>
    <t>Estimated Account Sign-up Date</t>
  </si>
  <si>
    <t>Next Step</t>
  </si>
  <si>
    <t>Next Step Date</t>
  </si>
  <si>
    <t>Lead Source</t>
  </si>
  <si>
    <t>Opp Discovery Rep</t>
  </si>
  <si>
    <t>Opportunity Source</t>
  </si>
  <si>
    <t>Forecast Category</t>
  </si>
  <si>
    <t>Source</t>
  </si>
  <si>
    <t>Organization Id</t>
  </si>
  <si>
    <t>Stage</t>
  </si>
  <si>
    <t>006UU00000MQpnT</t>
  </si>
  <si>
    <t>Bicycle Bungalows, LLC - SMB</t>
  </si>
  <si>
    <t>001UU00000LMKxh</t>
  </si>
  <si>
    <t>Bicycle Bungalows, LLC</t>
  </si>
  <si>
    <t>Kate Olivares</t>
  </si>
  <si>
    <t>Closed</t>
  </si>
  <si>
    <t>https://meliopayments.com/</t>
  </si>
  <si>
    <t>Churned</t>
  </si>
  <si>
    <t>Closed Won</t>
  </si>
  <si>
    <t>006UU00000LzrZk</t>
  </si>
  <si>
    <t>Rumford Stone, Inc - SMB</t>
  </si>
  <si>
    <t>001UU00000LeErN</t>
  </si>
  <si>
    <t>Rumford Stone, Inc</t>
  </si>
  <si>
    <t>direct</t>
  </si>
  <si>
    <t>Active</t>
  </si>
  <si>
    <t>006UU00000Lzkqo</t>
  </si>
  <si>
    <t>INSAIT SOLUTIONS LLC - SMB</t>
  </si>
  <si>
    <t>001UU00000LwhWp</t>
  </si>
  <si>
    <t>INSAIT SOLUTIONS LLC</t>
  </si>
  <si>
    <t>https://meliopayments.com/pricing/</t>
  </si>
  <si>
    <t>006UU00000Lzkqq</t>
  </si>
  <si>
    <t>Congdon &amp; Coleman Real Estate - SMB</t>
  </si>
  <si>
    <t>001UU00000LxMV3</t>
  </si>
  <si>
    <t>Congdon &amp; Coleman Real Estate</t>
  </si>
  <si>
    <t>adwords</t>
  </si>
  <si>
    <t>006UU00000Lzkqp</t>
  </si>
  <si>
    <t>Weland Clinical Laboratories, P.C. - SMB</t>
  </si>
  <si>
    <t>001UU00000LzUi6</t>
  </si>
  <si>
    <t>Weland Clinical Laboratories, P.C.</t>
  </si>
  <si>
    <t>6/9 Call Paul to see if CX assisted with QBO sync and CC addition since error message</t>
  </si>
  <si>
    <t>006UU00000Lzkqm</t>
  </si>
  <si>
    <t>ReSure Tax Tactics and Strategies LLC - SMB</t>
  </si>
  <si>
    <t>001UU00000K4qSz</t>
  </si>
  <si>
    <t>ReSure Tax Tactics and Strategies LLC</t>
  </si>
  <si>
    <t>6/9 monitor first AR payment</t>
  </si>
  <si>
    <t>006UU00000Lzkql</t>
  </si>
  <si>
    <t>ReSure LLC - SMB</t>
  </si>
  <si>
    <t>001UU00000K4q3k</t>
  </si>
  <si>
    <t>ReSure LLC</t>
  </si>
  <si>
    <t>Inactive</t>
  </si>
  <si>
    <t>006UU00000MQpnS</t>
  </si>
  <si>
    <t>Not Provided - SMB</t>
  </si>
  <si>
    <t>001UU00000MCdrD</t>
  </si>
  <si>
    <t>Meralex Farm, Inc.</t>
  </si>
  <si>
    <t>pardot</t>
  </si>
  <si>
    <t>006UU00000Lzkqn</t>
  </si>
  <si>
    <t>Stupendous Events LLC - SMB</t>
  </si>
  <si>
    <t>001UU00000LcZyT</t>
  </si>
  <si>
    <t>Stupendous Events LLC</t>
  </si>
  <si>
    <t>6/9 sent a follow up email asking if theyve navigated through their account 5/21 signed up</t>
  </si>
  <si>
    <t>006UU00000Lzkqs</t>
  </si>
  <si>
    <t>scenic world LLC - SMB</t>
  </si>
  <si>
    <t>001UU00000M7fhi</t>
  </si>
  <si>
    <t>scenic world LLC</t>
  </si>
  <si>
    <t>6/9 Spoke to Joe, walked him through his account. Check in next month, next round of making payments is on 7/7 so check in on 7/9. Paypal charges 4.99 for intl payments so will continue to use that to pay abroad. 6/9 LVM, sent email</t>
  </si>
  <si>
    <t>006UU00000MQpnR</t>
  </si>
  <si>
    <t>K2X, Inc. - SMB</t>
  </si>
  <si>
    <t>001UU00000MTQaj</t>
  </si>
  <si>
    <t>K2X, Inc.</t>
  </si>
  <si>
    <t>006UU00000MQpnN</t>
  </si>
  <si>
    <t>CLS Brands LLC - SMB</t>
  </si>
  <si>
    <t>001UU00000MVqPC</t>
  </si>
  <si>
    <t>CLS Brands LLC</t>
  </si>
  <si>
    <t>006UU00000LzrZj</t>
  </si>
  <si>
    <t>Handled Commerce - SMB</t>
  </si>
  <si>
    <t>001UU00000LcQ2O</t>
  </si>
  <si>
    <t>Handled Commerce</t>
  </si>
  <si>
    <t>006UU00000MQpn0</t>
  </si>
  <si>
    <t>Florida Wholesale Printing - SMB</t>
  </si>
  <si>
    <t>001UU00000MrOve</t>
  </si>
  <si>
    <t>Florida Wholesale Printing</t>
  </si>
  <si>
    <t>facebook</t>
  </si>
  <si>
    <t>006UU00000MQpnO</t>
  </si>
  <si>
    <t>Pelican Head Industries - SMB</t>
  </si>
  <si>
    <t>001UU00000N4gI0</t>
  </si>
  <si>
    <t>Pelican Head Industries</t>
  </si>
  <si>
    <t>microsoft ads</t>
  </si>
  <si>
    <t>006UU00000MQpnM</t>
  </si>
  <si>
    <t>Pinelands Golf Club - SMB</t>
  </si>
  <si>
    <t>001UU00000Mdzbn</t>
  </si>
  <si>
    <t>Pinelands Golf Club</t>
  </si>
  <si>
    <t>006UU00000MQpnL</t>
  </si>
  <si>
    <t>Developros - SMB</t>
  </si>
  <si>
    <t>001UU00000Mk42Q</t>
  </si>
  <si>
    <t>Developros</t>
  </si>
  <si>
    <t>006UU00000MQpnK</t>
  </si>
  <si>
    <t>001UU00000NKDTx</t>
  </si>
  <si>
    <t>Devents LLC</t>
  </si>
  <si>
    <t>006UU00000MQpnP</t>
  </si>
  <si>
    <t>United Home Care LLC - SMB</t>
  </si>
  <si>
    <t>001UU00000MHUht</t>
  </si>
  <si>
    <t>United Home Care LLC</t>
  </si>
  <si>
    <t>006UU00000MQpnU</t>
  </si>
  <si>
    <t>The Hills Senior Living - SMB</t>
  </si>
  <si>
    <t>001UU00000M54G7</t>
  </si>
  <si>
    <t>The Hills Senior Living</t>
  </si>
  <si>
    <t>006UU00000MQpnJ</t>
  </si>
  <si>
    <t>Northstar Distribution, LLC - SMB</t>
  </si>
  <si>
    <t>001UU00000NPLvK</t>
  </si>
  <si>
    <t>Northstar Distribution, LLC</t>
  </si>
  <si>
    <t>006UU00000MQpnX</t>
  </si>
  <si>
    <t>Leych Company - SMB</t>
  </si>
  <si>
    <t>001UU00000Mk42O</t>
  </si>
  <si>
    <t>Leych Company</t>
  </si>
  <si>
    <t>006UU00000MQpnI</t>
  </si>
  <si>
    <t>METI Dallas, LLC - SMB</t>
  </si>
  <si>
    <t>001UU00000NkUpf</t>
  </si>
  <si>
    <t>METI Dallas, LLC</t>
  </si>
  <si>
    <t>006UU00000MQpnE</t>
  </si>
  <si>
    <t>Wheatland Health Community Care, Inc. - SMB</t>
  </si>
  <si>
    <t>001UU00000NkU88</t>
  </si>
  <si>
    <t>Wheatland Health Community Care, Inc.</t>
  </si>
  <si>
    <t>006UU00000MQpnG</t>
  </si>
  <si>
    <t>Infinity Solar USA - SMB</t>
  </si>
  <si>
    <t>001UU00000NrO8c</t>
  </si>
  <si>
    <t>Infinity Solar USA</t>
  </si>
  <si>
    <t>006UU00000MQpnF</t>
  </si>
  <si>
    <t>Roomrs - SMB</t>
  </si>
  <si>
    <t>001UU00000NhKeB</t>
  </si>
  <si>
    <t>Roomrs</t>
  </si>
  <si>
    <t>google</t>
  </si>
  <si>
    <t>006UU00000MQpnV</t>
  </si>
  <si>
    <t>McCandless Group Strategies LLC - SMB</t>
  </si>
  <si>
    <t>001UU00000MTjjg</t>
  </si>
  <si>
    <t>McCandless Group Strategies LLC</t>
  </si>
  <si>
    <t>006UU00000MQpnD</t>
  </si>
  <si>
    <t>Expert Semiconductor Technology, inc - SMB</t>
  </si>
  <si>
    <t>001UU00000NrswO</t>
  </si>
  <si>
    <t>Expert Semiconductor Technology, inc</t>
  </si>
  <si>
    <t>006UU00000MQpnQ</t>
  </si>
  <si>
    <t>Commercial Fire &amp; Security - SMB</t>
  </si>
  <si>
    <t>001UU00000OGV0A</t>
  </si>
  <si>
    <t>Commercial Fire &amp; Security</t>
  </si>
  <si>
    <t>006UU00000MQpnC</t>
  </si>
  <si>
    <t>Lock Solid Storage - SMB</t>
  </si>
  <si>
    <t>001UU00000OZvSv</t>
  </si>
  <si>
    <t>Lock Solid Storage</t>
  </si>
  <si>
    <t>006UU00000MQpnB</t>
  </si>
  <si>
    <t>ANALYTICAL WATER SOLUTIONS INC. - SMB</t>
  </si>
  <si>
    <t>001UU00000OZOzL</t>
  </si>
  <si>
    <t>ANALYTICAL WATER SOLUTIONS INC.</t>
  </si>
  <si>
    <t>006UU00000MQpnA</t>
  </si>
  <si>
    <t>CDT Construction - SMB</t>
  </si>
  <si>
    <t>001UU00000OUuIN</t>
  </si>
  <si>
    <t>CDT Construction</t>
  </si>
  <si>
    <t>006UU00000MQpn9</t>
  </si>
  <si>
    <t>Star Blue Interpreting Service, LLC - SMB</t>
  </si>
  <si>
    <t>001UU00000ORzWJ</t>
  </si>
  <si>
    <t>Star Blue Interpreting Service, LLC</t>
  </si>
  <si>
    <t>006UU00000MQpn8</t>
  </si>
  <si>
    <t>Falkonry Inc - SMB</t>
  </si>
  <si>
    <t>001UU00000OaMSP</t>
  </si>
  <si>
    <t>Falkonry Inc</t>
  </si>
  <si>
    <t>no source</t>
  </si>
  <si>
    <t>006UU00000MQpnH</t>
  </si>
  <si>
    <t>Coastal Speech Pathology, LLC. - SMB</t>
  </si>
  <si>
    <t>001UU00000Nccry</t>
  </si>
  <si>
    <t>Coastal Speech Pathology, LLC.</t>
  </si>
  <si>
    <t>006UU00000MQpn7</t>
  </si>
  <si>
    <t>Surgenex LLC. - SMB</t>
  </si>
  <si>
    <t>001UU00000P5Aa0</t>
  </si>
  <si>
    <t>Surgenex LLC.</t>
  </si>
  <si>
    <t>006UU00000MQpn6</t>
  </si>
  <si>
    <t>L&amp;M Mail &amp; Courier - SMB</t>
  </si>
  <si>
    <t>001UU00000PCStN</t>
  </si>
  <si>
    <t>L&amp;M Mail &amp; Courier</t>
  </si>
  <si>
    <t>006UU00000Lzkqr</t>
  </si>
  <si>
    <t>MAV Aqua LLC - SMB</t>
  </si>
  <si>
    <t>001UU00000OCido</t>
  </si>
  <si>
    <t>MAV Aqua LLC</t>
  </si>
  <si>
    <t>8/8 No need for addtl discount, since their budget is well above what we are offering. Core with 2 users will be $30 per month  7/28 Looking to see if they move forwrd w/melio or bill.  follow up by EOW  Demo set for 7/21 @ 4:15 PM</t>
  </si>
  <si>
    <t>Mass Niang</t>
  </si>
  <si>
    <t>006UU00000MQpnW</t>
  </si>
  <si>
    <t>Piece of Cake - SMB</t>
  </si>
  <si>
    <t>001UU00000Oei4Z</t>
  </si>
  <si>
    <t>Piece of Cake</t>
  </si>
  <si>
    <t>006UU00000Lzkqt</t>
  </si>
  <si>
    <t>Hope Harbor Partners OKC LP - SMB</t>
  </si>
  <si>
    <t>001UU00000RE4nb</t>
  </si>
  <si>
    <t>Hope Harbor Partners OKC LP</t>
  </si>
  <si>
    <t>Upcision</t>
  </si>
  <si>
    <t>006UU00000MQpn2</t>
  </si>
  <si>
    <t>Brand Label Inc - SMB</t>
  </si>
  <si>
    <t>001UU00000R1tZp</t>
  </si>
  <si>
    <t>Brand Label Inc</t>
  </si>
  <si>
    <t>Rudy Maestas</t>
  </si>
  <si>
    <t>006UU00000LKXgU</t>
  </si>
  <si>
    <t>MJM Construction - SMB</t>
  </si>
  <si>
    <t>001UU00000RpsiC</t>
  </si>
  <si>
    <t>MJM Construction Enterprises, LLC</t>
  </si>
  <si>
    <t>Follow up with Steven to see how his payments went</t>
  </si>
  <si>
    <t>Calendly</t>
  </si>
  <si>
    <t>Dominic Bologna</t>
  </si>
  <si>
    <t>006UU00000LQDqM</t>
  </si>
  <si>
    <t>Grace Ventures LLC - SMB</t>
  </si>
  <si>
    <t>001UU00000SCvqz</t>
  </si>
  <si>
    <t>Grace Ventures LLC</t>
  </si>
  <si>
    <t>Follow up scheduled with CX notes for account reactivation</t>
  </si>
  <si>
    <t>006UU00000Lzmje</t>
  </si>
  <si>
    <t>NextWave Co - SMB</t>
  </si>
  <si>
    <t>001UU00000NoA8i</t>
  </si>
  <si>
    <t>NextWave Co</t>
  </si>
  <si>
    <t>Following up with Alan 8/22</t>
  </si>
  <si>
    <t>006UU00000Lm7r7</t>
  </si>
  <si>
    <t>White Mountain Construction - SMB</t>
  </si>
  <si>
    <t>001UU000002cqGF</t>
  </si>
  <si>
    <t>White Mountain Construction</t>
  </si>
  <si>
    <t>Making an account and getting set up, following up on Monday 10/27</t>
  </si>
  <si>
    <t>Platinum Form</t>
  </si>
  <si>
    <t>006UU00000LTAki</t>
  </si>
  <si>
    <t>TecTeam - SMB</t>
  </si>
  <si>
    <t>001UU00000S1Dfr</t>
  </si>
  <si>
    <t>TecTeam LLC</t>
  </si>
  <si>
    <t>Held demo, created an account and will have office manager make payments</t>
  </si>
  <si>
    <t>006UU00000LesGy</t>
  </si>
  <si>
    <t>Stillwater Communications - SMB</t>
  </si>
  <si>
    <t>001UU00000S8tId</t>
  </si>
  <si>
    <t>Stillwater Communications</t>
  </si>
  <si>
    <t>Checking in to see if AR process has worked for him in absorbing CC fees on AR side</t>
  </si>
  <si>
    <t>Hunter Newcomb</t>
  </si>
  <si>
    <t>006UU00000L8MCA</t>
  </si>
  <si>
    <t>ROC Steel, LLC - SMB</t>
  </si>
  <si>
    <t>001UU00000Rptny</t>
  </si>
  <si>
    <t>ROC Steel, LLC</t>
  </si>
  <si>
    <t>QBDT sync call scheduled for tuesday</t>
  </si>
  <si>
    <t>006UU00000MDrEj</t>
  </si>
  <si>
    <t>COR Equipment, LLC - SMB</t>
  </si>
  <si>
    <t>001UU00000Rpto1</t>
  </si>
  <si>
    <t>COR Equipment, LLC</t>
  </si>
  <si>
    <t>006UU00000MGrux</t>
  </si>
  <si>
    <t>Harbor House Foundation - SMB</t>
  </si>
  <si>
    <t>001UU00000RfuYG</t>
  </si>
  <si>
    <t>Harbor House Foundation</t>
  </si>
  <si>
    <t>006UU00000MATSH</t>
  </si>
  <si>
    <t>ProsperaGate LLC - SMB</t>
  </si>
  <si>
    <t>001UU00000RxSs8</t>
  </si>
  <si>
    <t>ProsperaGate LLC</t>
  </si>
  <si>
    <t>006UU00000LzrZl</t>
  </si>
  <si>
    <t>Toland Construction - MO - SMB</t>
  </si>
  <si>
    <t>001UU00000PeA2H</t>
  </si>
  <si>
    <t>Toland Construction - MO</t>
  </si>
  <si>
    <t>Matthew Frost</t>
  </si>
  <si>
    <t>006UU00000Lzkqx</t>
  </si>
  <si>
    <t>Honeysuckle House RAL &amp; Memory Care - SMB</t>
  </si>
  <si>
    <t>001UU00000PXaOD</t>
  </si>
  <si>
    <t>Honeysuckle House RAL &amp; Memory Care</t>
  </si>
  <si>
    <t>MF CLOSED</t>
  </si>
  <si>
    <t>006UU00000LzrZn</t>
  </si>
  <si>
    <t>CRUSHS - SMB</t>
  </si>
  <si>
    <t>001UU00000PovLM</t>
  </si>
  <si>
    <t>CRUSHS</t>
  </si>
  <si>
    <t>006UU00000MQpn5</t>
  </si>
  <si>
    <t>All stars distribution INC - SMB</t>
  </si>
  <si>
    <t>001UU00000PhEHf</t>
  </si>
  <si>
    <t>All stars distribution INC</t>
  </si>
  <si>
    <t>006UU00000Lzkqy</t>
  </si>
  <si>
    <t>Rockford Manufacturing Inc - SMB</t>
  </si>
  <si>
    <t>001UU00000Q7g25</t>
  </si>
  <si>
    <t>Rockford Manufacturing Inc</t>
  </si>
  <si>
    <t>Demo set for Tyler on 9/2 to go through rate brackets and discuss further UHV details</t>
  </si>
  <si>
    <t>006UU00000Lzkqw</t>
  </si>
  <si>
    <t>Rminvestmentsmiami LLC - SMB</t>
  </si>
  <si>
    <t>001UU00000QWGu0</t>
  </si>
  <si>
    <t>Rminvestmentsmiami LLC</t>
  </si>
  <si>
    <t>006UU00000Lzkqz</t>
  </si>
  <si>
    <t>Advanced Medical Software Solutions, Inc. - SMB</t>
  </si>
  <si>
    <t>001UU00000Qa9MS</t>
  </si>
  <si>
    <t>Advanced Medical Software Solutions, Inc.</t>
  </si>
  <si>
    <t>Demo scheduled for 9/3</t>
  </si>
  <si>
    <t>006UU00000LzrZm</t>
  </si>
  <si>
    <t>Habitat for Humanity-Anchorage - SMB</t>
  </si>
  <si>
    <t>001UU00000PzfXj</t>
  </si>
  <si>
    <t>Habitat for Humanity-Anchorage</t>
  </si>
  <si>
    <t>006UU00000MQpn4</t>
  </si>
  <si>
    <t>Columbia Paint and Wallcover, Inc. - SMB</t>
  </si>
  <si>
    <t>001UU00000QlpmY</t>
  </si>
  <si>
    <t>Columbia Paint and Wallcover, Inc.</t>
  </si>
  <si>
    <t>006UU00000Lzkqu</t>
  </si>
  <si>
    <t>Clinic for Dermatology &amp; Wellness LLC - SMB</t>
  </si>
  <si>
    <t>001UU00000QfxI7</t>
  </si>
  <si>
    <t>Clinic for Dermatology &amp; Wellness LLC</t>
  </si>
  <si>
    <t>006UU00000L2cpv</t>
  </si>
  <si>
    <t>Austin PTO - SMB</t>
  </si>
  <si>
    <t>001UU00000RYpzz</t>
  </si>
  <si>
    <t>Austin Elementary PTO</t>
  </si>
  <si>
    <t>10/1 Synced QBO successfully. All teachers and parents loaded in properly. Waiting for bank account manual verification and then will start making payments.Implementation call set for 10/1 to connect QBO and run a test</t>
  </si>
  <si>
    <t>qbo integration</t>
  </si>
  <si>
    <t>006UU00000Lzkqv</t>
  </si>
  <si>
    <t>American Shoring Inc - SMB</t>
  </si>
  <si>
    <t>001UU00000QWF8i</t>
  </si>
  <si>
    <t>American Shoring Inc</t>
  </si>
  <si>
    <t>006UU00000L4wu9</t>
  </si>
  <si>
    <t>Places to Age - SMB</t>
  </si>
  <si>
    <t>001UU00000RREM9</t>
  </si>
  <si>
    <t>Places to Age</t>
  </si>
  <si>
    <t>Ran demo on 9/30. Went over AP, not looking to sync their QBO. Accounts created.</t>
  </si>
  <si>
    <t>006UU00000MIPbB</t>
  </si>
  <si>
    <t>Appellate Defenders, Inc. - SMB</t>
  </si>
  <si>
    <t>001UU00000RnPkF</t>
  </si>
  <si>
    <t>Appellate Defenders, Inc.</t>
  </si>
  <si>
    <t>006UU00000MQpn3</t>
  </si>
  <si>
    <t>inbanx, Inc. - SMB</t>
  </si>
  <si>
    <t>001UU00000RntLm</t>
  </si>
  <si>
    <t>inbanx, Inc.</t>
  </si>
  <si>
    <t>006UU00000MQpmz</t>
  </si>
  <si>
    <t>Aespire Global LLC - SMB</t>
  </si>
  <si>
    <t>001UU00000SgpZ8</t>
  </si>
  <si>
    <t>Aespire Global LLC</t>
  </si>
  <si>
    <t>006UU00000KvTHv</t>
  </si>
  <si>
    <t>FTS</t>
  </si>
  <si>
    <t>006UU00000LzkrK</t>
  </si>
  <si>
    <t>Mighty of Arizona - SMB</t>
  </si>
  <si>
    <t>001UU00000RWb3q</t>
  </si>
  <si>
    <t>Mighty of Arizona</t>
  </si>
  <si>
    <t>9/19 Follow up with Cheri. Go through multi-org and show how to assign different users to each org.  Demo scheduled for 8/28 2pm.</t>
  </si>
  <si>
    <t>006UU00000LzkrJ</t>
  </si>
  <si>
    <t>Super Bunny Promo - SMB</t>
  </si>
  <si>
    <t>001UU00000RvJJO</t>
  </si>
  <si>
    <t>Super Bunny Promo</t>
  </si>
  <si>
    <t>006UU00000LzkrI</t>
  </si>
  <si>
    <t>Southside Mighty of Chicago - SMB</t>
  </si>
  <si>
    <t>001UU00000RrVao</t>
  </si>
  <si>
    <t>Southside Mighty of Chicago</t>
  </si>
  <si>
    <t>006UU00000LzkrH</t>
  </si>
  <si>
    <t>PC Enterprises - SMB</t>
  </si>
  <si>
    <t>001UU00000RepKS</t>
  </si>
  <si>
    <t>PC Enterprises</t>
  </si>
  <si>
    <t>006UU00000MQpn1</t>
  </si>
  <si>
    <t>Fort Comfort Gutters LLC - SMB</t>
  </si>
  <si>
    <t>001UU00000Sgm8i</t>
  </si>
  <si>
    <t>Fort Comfort Gutters LLC</t>
  </si>
  <si>
    <t>006UU00000Lzmjl</t>
  </si>
  <si>
    <t>BTK Communications Group, LTD - SMB</t>
  </si>
  <si>
    <t>001UU00000QqdBC</t>
  </si>
  <si>
    <t>BTK Communications Group, LTD</t>
  </si>
  <si>
    <t>Guest Payor</t>
  </si>
  <si>
    <t>006UU00000Lzkr1</t>
  </si>
  <si>
    <t>Superculture LLC - SMB</t>
  </si>
  <si>
    <t>001UU00000R7YQa</t>
  </si>
  <si>
    <t>Superculture LLC</t>
  </si>
  <si>
    <t>006UU00000Lzkr0</t>
  </si>
  <si>
    <t>F&amp;K Concepts, Inc. - SMB</t>
  </si>
  <si>
    <t>001UU00000Lj1qk</t>
  </si>
  <si>
    <t>F&amp;K Concepts, Inc.</t>
  </si>
  <si>
    <t>9/17 Follow up with Greg on AR. Highlight pp  Send demo video of receivables process.  Confirm exact information required from customers (link vs. QBD integration).  Send supporting documentation.  Hold follow-up call Friday at 11 AM ET.</t>
  </si>
  <si>
    <t>qbdt windows</t>
  </si>
  <si>
    <t>006UU00000LSvAX</t>
  </si>
  <si>
    <t>Rippa USA Sales - SMB</t>
  </si>
  <si>
    <t>001UU00000SX6Us</t>
  </si>
  <si>
    <t>Rippa USA Sales LLC.</t>
  </si>
  <si>
    <t>006UU00000Lzmjm</t>
  </si>
  <si>
    <t>Knorr Marketing - SMB</t>
  </si>
  <si>
    <t>001UU00000RawxY</t>
  </si>
  <si>
    <t>Knorr Marketing</t>
  </si>
  <si>
    <t>Matthew will send a calendar invite and run the AR demo on 9/18 at 10 AM ET; Ellen and Caitlin will attend and prepare invoices as PDFs for uploading.</t>
  </si>
  <si>
    <t>006UU00000LzkrL</t>
  </si>
  <si>
    <t>The Arts Club of Chicago - SMB</t>
  </si>
  <si>
    <t>001UU00000Rxy7W</t>
  </si>
  <si>
    <t>The Arts Club of Chicago</t>
  </si>
  <si>
    <t>006UU00000MQVmf</t>
  </si>
  <si>
    <t>Mayfield Scientific, LLC - SMB</t>
  </si>
  <si>
    <t>001UU00000TS2yM</t>
  </si>
  <si>
    <t>Mayfield Scientific, LLC</t>
  </si>
  <si>
    <t>Run AR demo on 11/12</t>
  </si>
  <si>
    <t>Melio Plus</t>
  </si>
  <si>
    <t>Melio Pro</t>
  </si>
  <si>
    <t>Unique Orgs</t>
  </si>
  <si>
    <t>Sum of GP</t>
  </si>
  <si>
    <t>Avg of GP</t>
  </si>
  <si>
    <t>Avg of TPV</t>
  </si>
  <si>
    <t>IGNORE</t>
  </si>
  <si>
    <t>Grand Total</t>
  </si>
  <si>
    <t>Last Sales Activity</t>
  </si>
  <si>
    <t>ODE Labels</t>
  </si>
  <si>
    <t>KYB Money In</t>
  </si>
  <si>
    <t>Why NSA</t>
  </si>
  <si>
    <t>AP Payor Last Scheduled Payment</t>
  </si>
  <si>
    <t>AP Payor 1st Payment Completed Melio</t>
  </si>
  <si>
    <t>AP Payor Last Completed Payment Melio</t>
  </si>
  <si>
    <t>AR Vendor 1st Created Payment</t>
  </si>
  <si>
    <t>AR Vendor Next Payment Delivery ETA</t>
  </si>
  <si>
    <t>AR Vendor 1st Completed payment</t>
  </si>
  <si>
    <t>Melio Subscription</t>
  </si>
  <si>
    <t>Melio Tier</t>
  </si>
  <si>
    <t>Last Completed Melio Payment Date</t>
  </si>
  <si>
    <t>001VT00000lO7dB</t>
  </si>
  <si>
    <t>Toler Insulating</t>
  </si>
  <si>
    <t>Go</t>
  </si>
  <si>
    <t>006VT00000ny4J3</t>
  </si>
  <si>
    <t>Toler Insulating - SMB</t>
  </si>
  <si>
    <t>Closed Lost</t>
  </si>
  <si>
    <t>Arianna Modesti</t>
  </si>
  <si>
    <t>001UU00000TVsZv</t>
  </si>
  <si>
    <t>TTA Model &amp; Talent Management DBA TTA Models</t>
  </si>
  <si>
    <t>006UU00000LJBGb</t>
  </si>
  <si>
    <t>TTA Models - SMB</t>
  </si>
  <si>
    <t>001VT00000kzQhR</t>
  </si>
  <si>
    <t>Island Containers</t>
  </si>
  <si>
    <t>Pass,Pass</t>
  </si>
  <si>
    <t>Boost</t>
  </si>
  <si>
    <t>006VT00000nhlvV</t>
  </si>
  <si>
    <t>Island Containers - SMB</t>
  </si>
  <si>
    <t>001VT00000lIc5N</t>
  </si>
  <si>
    <t>GatsbyShoes</t>
  </si>
  <si>
    <t>006VT00000niEr4</t>
  </si>
  <si>
    <t>Gatsbyshoes - SMB</t>
  </si>
  <si>
    <t>001VT00000lIPsw</t>
  </si>
  <si>
    <t>Brian Schmidt Builder</t>
  </si>
  <si>
    <t>Core</t>
  </si>
  <si>
    <t>006VT00000niYeT</t>
  </si>
  <si>
    <t>Brian Schmidt Builder - SMB</t>
  </si>
  <si>
    <t>001VT00000ll2Mg</t>
  </si>
  <si>
    <t>NOFD Firewatch Detail</t>
  </si>
  <si>
    <t>accept</t>
  </si>
  <si>
    <t>006VT00000oHAFu</t>
  </si>
  <si>
    <t>NOFD Firewatch Detail - SMB</t>
  </si>
  <si>
    <t>001VT00000lrW3W</t>
  </si>
  <si>
    <t>Southern RustiQ Restoration</t>
  </si>
  <si>
    <t>006VT00000oLhgI</t>
  </si>
  <si>
    <t>Southern RustiQ Restoration - SMB</t>
  </si>
  <si>
    <t>001VT00000mEqPh</t>
  </si>
  <si>
    <t>Nextgen Container Solutions</t>
  </si>
  <si>
    <t>Stolen Data</t>
  </si>
  <si>
    <t>reject</t>
  </si>
  <si>
    <t>ODE - reject</t>
  </si>
  <si>
    <t>006VT00000oOIVG</t>
  </si>
  <si>
    <t>Nextgen Container Solutions - SMB</t>
  </si>
  <si>
    <t>001VT00000m21pC</t>
  </si>
  <si>
    <t>SCS Global Distribution</t>
  </si>
  <si>
    <t>006VT00000oSB0Y</t>
  </si>
  <si>
    <t>SCS Global Distribution - SMB</t>
  </si>
  <si>
    <t>001VT00000mFP6C</t>
  </si>
  <si>
    <t>Bauer Home Furnishings</t>
  </si>
  <si>
    <t>Unlimited</t>
  </si>
  <si>
    <t>006VT00000oaqEc</t>
  </si>
  <si>
    <t>Bauer Home Furnishings - SMB</t>
  </si>
  <si>
    <t>001VT00000mFFBD</t>
  </si>
  <si>
    <t>DRD Builders Inc</t>
  </si>
  <si>
    <t>006VT00000oarfO</t>
  </si>
  <si>
    <t>DRD Builders Inc - SMB</t>
  </si>
  <si>
    <t>001VT00000npMQV</t>
  </si>
  <si>
    <t>ServiceMaster of Kalamazoo</t>
  </si>
  <si>
    <t>006VT00000phzFo</t>
  </si>
  <si>
    <t>ServiceMaster of Kalamazoo - SMB</t>
  </si>
  <si>
    <t>001VT00000m6Gpg</t>
  </si>
  <si>
    <t>Robert Davies  Home Improvement LLC</t>
  </si>
  <si>
    <t>ManualReviewRequiredFraud</t>
  </si>
  <si>
    <t>006VT00000o3k37</t>
  </si>
  <si>
    <t>Robert Davies Home Improvement LLC - SMB</t>
  </si>
  <si>
    <t>001VT00000m5PdF</t>
  </si>
  <si>
    <t>M M Steel Corp</t>
  </si>
  <si>
    <t>006VT00000oUMKr</t>
  </si>
  <si>
    <t>M M Steel Corp - SMB</t>
  </si>
  <si>
    <t>001VT00000mnL9J</t>
  </si>
  <si>
    <t>Verde Recruitment LLC</t>
  </si>
  <si>
    <t>006VT00000owVZi</t>
  </si>
  <si>
    <t>Verde Recruitment - SMB</t>
  </si>
  <si>
    <t>001VT00000mNMXT</t>
  </si>
  <si>
    <t>Apartments at Blairstone LLC</t>
  </si>
  <si>
    <t>Intuit</t>
  </si>
  <si>
    <t>006VT00000ox1xl</t>
  </si>
  <si>
    <t>Apartments at Blairstone LLC - SMB</t>
  </si>
  <si>
    <t>001VT00000mnE9S</t>
  </si>
  <si>
    <t>Paragon Oilfield Products</t>
  </si>
  <si>
    <t>006VT00000oxFRG</t>
  </si>
  <si>
    <t>Paragon Oilfield Products - SMB</t>
  </si>
  <si>
    <t>001VT00000mxEo6</t>
  </si>
  <si>
    <t>ALM Ortho, Inc</t>
  </si>
  <si>
    <t>006VT00000p3zpZ</t>
  </si>
  <si>
    <t>ALM Ortho, Inc - SMB</t>
  </si>
  <si>
    <t>001VT00000nVlrF</t>
  </si>
  <si>
    <t>Precision Glass LLC</t>
  </si>
  <si>
    <t>006VT00000pQycf</t>
  </si>
  <si>
    <t>Precision Glass LLC - SMB</t>
  </si>
  <si>
    <t>001VT00000mNGvM</t>
  </si>
  <si>
    <t>Plat4orm</t>
  </si>
  <si>
    <t>006VT00000omtTe</t>
  </si>
  <si>
    <t>Plat4orm - SMB</t>
  </si>
  <si>
    <t>001VT00000mmihR</t>
  </si>
  <si>
    <t>GATEWAY LIGHTING AND DESIGN INC</t>
  </si>
  <si>
    <t>Pass</t>
  </si>
  <si>
    <t>006VT00000owujN</t>
  </si>
  <si>
    <t>GATEWAY LIGHTING AND DESIGN INC - SMB</t>
  </si>
  <si>
    <t>001VT00000nFCw9</t>
  </si>
  <si>
    <t>Wellness Warrior</t>
  </si>
  <si>
    <t>006VT00000ozbfN</t>
  </si>
  <si>
    <t>Wellness Warrior - SMB</t>
  </si>
  <si>
    <t>Onboarding</t>
  </si>
  <si>
    <t>001VT00000oHeST</t>
  </si>
  <si>
    <t>Boston Granite Exchange</t>
  </si>
  <si>
    <t>006VT00000q0rzF</t>
  </si>
  <si>
    <t>Boston Granite Exchange - SMB</t>
  </si>
  <si>
    <t>001VT00000piirD</t>
  </si>
  <si>
    <t>Nationwide Valuation Solutions, LLC</t>
  </si>
  <si>
    <t>006VT00000qRtP3</t>
  </si>
  <si>
    <t>Nationwide Valuations Solutions, LLC - SMB</t>
  </si>
  <si>
    <t>001VT00000ptfgK</t>
  </si>
  <si>
    <t>Bryce Filbrun</t>
  </si>
  <si>
    <t>006VT00000r7Lqn</t>
  </si>
  <si>
    <t>Bryce Filbrun - SMB</t>
  </si>
  <si>
    <t>001VT00000qmoUP</t>
  </si>
  <si>
    <t>Gottaguap LLC</t>
  </si>
  <si>
    <t>006VT00000rfdrh</t>
  </si>
  <si>
    <t>Gottaguap LLC - SMB</t>
  </si>
  <si>
    <t>001VT00000rzAbp</t>
  </si>
  <si>
    <t>Timeless Treasures Fabrics of Soho, LLC</t>
  </si>
  <si>
    <t>006VT00000sKlOf</t>
  </si>
  <si>
    <t>Timeless Treasures Fabrics of Soho, LLC - SMB</t>
  </si>
  <si>
    <t>001Do00000Ng6gu</t>
  </si>
  <si>
    <t>Mor Kombucha Co</t>
  </si>
  <si>
    <t>006VT00000oeQyH</t>
  </si>
  <si>
    <t>Mor Kombucha Co - SMB</t>
  </si>
  <si>
    <t>001VT00000l4qsz</t>
  </si>
  <si>
    <t>K2 Parts Inc</t>
  </si>
  <si>
    <t>006VT00000niEUT</t>
  </si>
  <si>
    <t>K2 Parts Inc. - SMB</t>
  </si>
  <si>
    <t>001VT00000lSAuD</t>
  </si>
  <si>
    <t>Rippa Sales Oklahoma, Llc</t>
  </si>
  <si>
    <t>006VT00000o0WeE</t>
  </si>
  <si>
    <t>Rippa Sales Oklahoma, Llc - SMB</t>
  </si>
  <si>
    <t>001VT00000lSpsY</t>
  </si>
  <si>
    <t>JR Prime Pro Construction, LLC</t>
  </si>
  <si>
    <t>006VT00000o0w8t</t>
  </si>
  <si>
    <t>JR Prime Pro Construction, LLC - SMB</t>
  </si>
  <si>
    <t>001VT00000pjR0J</t>
  </si>
  <si>
    <t>CRNA Locum Jobs</t>
  </si>
  <si>
    <t>006VT00000o1YIz</t>
  </si>
  <si>
    <t>CRNA Locum Jobs - SMB</t>
  </si>
  <si>
    <t>001VT00000mWBec</t>
  </si>
  <si>
    <t>Navi Transport Services LLC</t>
  </si>
  <si>
    <t>006VT00000oHBVJ</t>
  </si>
  <si>
    <t>Navi Auto Transport - SMB</t>
  </si>
  <si>
    <t>001VT00000mR1Z4</t>
  </si>
  <si>
    <t>Landa Cleary Travel Co. Inc. D.B.A. Mater Dei Tours</t>
  </si>
  <si>
    <t>006VT00000oiGKQ</t>
  </si>
  <si>
    <t>Landa Cleary Travel Co. Inc. D.B.A. Mater Dei Tours - SMB</t>
  </si>
  <si>
    <t>001VT00000oJ5dV</t>
  </si>
  <si>
    <t>Covenant Construction Group Inc</t>
  </si>
  <si>
    <t>006VT00000phFw6</t>
  </si>
  <si>
    <t>Covenant Construction Group - SMB</t>
  </si>
  <si>
    <t>001VT00000odPjg</t>
  </si>
  <si>
    <t>Kloris LLC</t>
  </si>
  <si>
    <t>006VT00000pom8v</t>
  </si>
  <si>
    <t>IL Canto Cafe - SMB</t>
  </si>
  <si>
    <t>001VT00000o88V5</t>
  </si>
  <si>
    <t>WHITE COLLAR MEDIA</t>
  </si>
  <si>
    <t>006VT00000pude2</t>
  </si>
  <si>
    <t>WHITE COLLAR MEDIA - SMB</t>
  </si>
  <si>
    <t>001VT00000pxIc5</t>
  </si>
  <si>
    <t>Victory Bicycle Studio</t>
  </si>
  <si>
    <t>006VT00000puqcr</t>
  </si>
  <si>
    <t>Victory Bicycle Studio - SMB</t>
  </si>
  <si>
    <t>001VT00000pakDp</t>
  </si>
  <si>
    <t>Lyophilization Systems Inc.</t>
  </si>
  <si>
    <t>006VT00000qLJJR</t>
  </si>
  <si>
    <t>LYO Group - SMB</t>
  </si>
  <si>
    <t>001VT00000ol4hh</t>
  </si>
  <si>
    <t>Willard Manufacturing</t>
  </si>
  <si>
    <t>006VT00000qMODp</t>
  </si>
  <si>
    <t>Willard Manufacturing - SMB</t>
  </si>
  <si>
    <t>001VT00000qSeUy</t>
  </si>
  <si>
    <t>Matte Collection</t>
  </si>
  <si>
    <t>006VT00000qS44N</t>
  </si>
  <si>
    <t>Matte Collection - SMB</t>
  </si>
  <si>
    <t>001VT00000pgqEs</t>
  </si>
  <si>
    <t>Carismo</t>
  </si>
  <si>
    <t>006VT00000qc2Np</t>
  </si>
  <si>
    <t>Carismo Design - SMB</t>
  </si>
  <si>
    <t>001VT00000pjbXV</t>
  </si>
  <si>
    <t>Temporary Assistance Guru, Inc</t>
  </si>
  <si>
    <t>006VT00000qes29</t>
  </si>
  <si>
    <t>Temporary Assistance Guru - SMB</t>
  </si>
  <si>
    <t>001VT00000rH2Tr</t>
  </si>
  <si>
    <t>Patten House, LLC</t>
  </si>
  <si>
    <t>006VT00000qlQ5z</t>
  </si>
  <si>
    <t>Arcadia Custom Builders - SMB</t>
  </si>
  <si>
    <t>001VT00000qK07Z</t>
  </si>
  <si>
    <t>DataLinks LLC</t>
  </si>
  <si>
    <t>006VT00000rNywD</t>
  </si>
  <si>
    <t>DataLinks LLC - SMB</t>
  </si>
  <si>
    <t>001VT00000qbbHC</t>
  </si>
  <si>
    <t>Don't Tell Comedy, Inc.</t>
  </si>
  <si>
    <t>006VT00000qSfLd</t>
  </si>
  <si>
    <t>Don't Tell Comedy - SMB</t>
  </si>
  <si>
    <t>001VT00000sYouX</t>
  </si>
  <si>
    <t>Yotta Automated Software Solutions Inc.</t>
  </si>
  <si>
    <t>006VT00000rGxQb</t>
  </si>
  <si>
    <t>Yassi - SMB</t>
  </si>
  <si>
    <t>001VT00000qdnJG</t>
  </si>
  <si>
    <t>Talcan Systems, LLC</t>
  </si>
  <si>
    <t>006VT00000rLcgU</t>
  </si>
  <si>
    <t>Talcan Systems - SMB</t>
  </si>
  <si>
    <t>001VT00000sUmT7</t>
  </si>
  <si>
    <t>Lyric House LLC</t>
  </si>
  <si>
    <t>006VT00000rZ96j</t>
  </si>
  <si>
    <t>Lyric House, LLC - SMB</t>
  </si>
  <si>
    <t>001VT00000rA0mb</t>
  </si>
  <si>
    <t>Bella Notte Linens</t>
  </si>
  <si>
    <t>006VT00000rcekJ</t>
  </si>
  <si>
    <t>Bella Notte Linens - SMB</t>
  </si>
  <si>
    <t>001VT00000rjB8s</t>
  </si>
  <si>
    <t>Behavioral Intervention Group</t>
  </si>
  <si>
    <t>006VT00000rs7qn</t>
  </si>
  <si>
    <t>Behavioral Intervention Group - SMB</t>
  </si>
  <si>
    <t>001VT00000sUltd</t>
  </si>
  <si>
    <t>Meghani</t>
  </si>
  <si>
    <t>006VT00000rvMGb</t>
  </si>
  <si>
    <t>Meghani - SMB</t>
  </si>
  <si>
    <t>006VT00000sgdkM</t>
  </si>
  <si>
    <t>001VT00000lTJQn</t>
  </si>
  <si>
    <t>Home Equity Guardian</t>
  </si>
  <si>
    <t>006VT00000sgdkL</t>
  </si>
  <si>
    <t>Brighton Ventures Corporation - SMB</t>
  </si>
  <si>
    <t>001VT00000jkzQF</t>
  </si>
  <si>
    <t>HTT Cardmax Company</t>
  </si>
  <si>
    <t>006VT00000sgdkK</t>
  </si>
  <si>
    <t>HTT Cardmax Company - SMB</t>
  </si>
  <si>
    <t>001VT00000jkzQM</t>
  </si>
  <si>
    <t>Buyers Choice USA</t>
  </si>
  <si>
    <t>006VT00000sgdkJ</t>
  </si>
  <si>
    <t>Buyers Choice USA - SMB</t>
  </si>
  <si>
    <t>001VT00000j3Yo6</t>
  </si>
  <si>
    <t>Cope Homes, LLC</t>
  </si>
  <si>
    <t>006VT00000sgdkI</t>
  </si>
  <si>
    <t>Cope Homes, LLC - SMB</t>
  </si>
  <si>
    <t>001UU00000Wzi08</t>
  </si>
  <si>
    <t>Marcus &amp; Pollack LLP</t>
  </si>
  <si>
    <t>006VT00000sgdkH</t>
  </si>
  <si>
    <t>Marcus &amp; Pollack - SMB</t>
  </si>
  <si>
    <t>001UU00000Wuj51</t>
  </si>
  <si>
    <t>Community Wellness Concierge</t>
  </si>
  <si>
    <t>006VT00000sgdkG</t>
  </si>
  <si>
    <t>Cwc - SMB</t>
  </si>
  <si>
    <t>001UU00000WGjoV</t>
  </si>
  <si>
    <t>Naz Apparel</t>
  </si>
  <si>
    <t>006VT00000sgdkF</t>
  </si>
  <si>
    <t>Naz Apparel - SMB</t>
  </si>
  <si>
    <t>006VT00000sgdkE</t>
  </si>
  <si>
    <t>001UU00000TICYI</t>
  </si>
  <si>
    <t>lanier welding products</t>
  </si>
  <si>
    <t>006VT00000sgdkD</t>
  </si>
  <si>
    <t>lanier welding products - SMB</t>
  </si>
  <si>
    <t>001UU00000LXCw7</t>
  </si>
  <si>
    <t>South Earth Property Management</t>
  </si>
  <si>
    <t>006UU00000Lzm6t</t>
  </si>
  <si>
    <t>South Earth Property Management - SMB</t>
  </si>
  <si>
    <t>Meralex Farm, Inc. - SMB</t>
  </si>
  <si>
    <t>001UU00000MGjvl</t>
  </si>
  <si>
    <t>Hudson Map Company LLC</t>
  </si>
  <si>
    <t>006UU00000Lzm6s</t>
  </si>
  <si>
    <t>Hudson Map Company LLC - SMB</t>
  </si>
  <si>
    <t>001UU00000LzUi8</t>
  </si>
  <si>
    <t>Contractor Support LLC</t>
  </si>
  <si>
    <t>006UU00000Lzm6r</t>
  </si>
  <si>
    <t>Contractor Support LLC - SMB</t>
  </si>
  <si>
    <t>001UU00000LhtVB</t>
  </si>
  <si>
    <t>Fish Monger Inc</t>
  </si>
  <si>
    <t>undecided</t>
  </si>
  <si>
    <t>006UU00000LzdtC</t>
  </si>
  <si>
    <t>Fish Monger Inc - SMB</t>
  </si>
  <si>
    <t>001UU00000NS3nQ</t>
  </si>
  <si>
    <t>Silver Diamond Properties</t>
  </si>
  <si>
    <t>006UU00000Lzkr5</t>
  </si>
  <si>
    <t>Silver Diamond Properties - SMB</t>
  </si>
  <si>
    <t>Deleted Account</t>
  </si>
  <si>
    <t>001Do00000LeG7K</t>
  </si>
  <si>
    <t>Liberty Orchards LLC</t>
  </si>
  <si>
    <t>006UU00000LzrZp</t>
  </si>
  <si>
    <t>Liberty Orchards LLC - SMB</t>
  </si>
  <si>
    <t>001UU00000St8ko</t>
  </si>
  <si>
    <t>EAST BAY REFRIGERATION INC</t>
  </si>
  <si>
    <t>Is Junk</t>
  </si>
  <si>
    <t>006UU00000M3UbB</t>
  </si>
  <si>
    <t>EAST BAY REFRIGERATION INC - SMB</t>
  </si>
  <si>
    <t>001Do00000Ldikp</t>
  </si>
  <si>
    <t>Liberty Land Management LLC</t>
  </si>
  <si>
    <t>006UU00000MpN7Z</t>
  </si>
  <si>
    <t>Liberty Land Management LLC - SMB</t>
  </si>
  <si>
    <t>001UU00000S0aL7</t>
  </si>
  <si>
    <t>Penny Aaseby</t>
  </si>
  <si>
    <t>006UU00000Lzkr7</t>
  </si>
  <si>
    <t>Penny Aaseby - SMB</t>
  </si>
  <si>
    <t>001UU00000S0hha</t>
  </si>
  <si>
    <t>All Matters Construction</t>
  </si>
  <si>
    <t>006UU00000Lzkr8</t>
  </si>
  <si>
    <t>All Matters Construction - SMB</t>
  </si>
  <si>
    <t>001UU000002rwhU</t>
  </si>
  <si>
    <t>Berkovitch &amp; Bouskila Pllc</t>
  </si>
  <si>
    <t>006UU00000Lzkr4</t>
  </si>
  <si>
    <t>Berkovitch &amp; Bouskila Pllc - SMB</t>
  </si>
  <si>
    <t>001UU00000TkCNw</t>
  </si>
  <si>
    <t>Empire Consulting Group, Inc.</t>
  </si>
  <si>
    <t>006UU00000M3cby</t>
  </si>
  <si>
    <t>Empire Consulting Group - SMB</t>
  </si>
  <si>
    <t>001UU00000TUYNS</t>
  </si>
  <si>
    <t>Ultra Stretch Professional inc.</t>
  </si>
  <si>
    <t>006UU00000MD0oj</t>
  </si>
  <si>
    <t>Ultra Stretch Professional inc. - SMB</t>
  </si>
  <si>
    <t>001UU00000ThvYl</t>
  </si>
  <si>
    <t>Buescher Ranch</t>
  </si>
  <si>
    <t>006UU00000MU72b</t>
  </si>
  <si>
    <t>buescher ranch - SMB</t>
  </si>
  <si>
    <t>001UU00000UDEKB</t>
  </si>
  <si>
    <t>Low Profile, LLC</t>
  </si>
  <si>
    <t>006UU00000MswGr</t>
  </si>
  <si>
    <t>Low Profile, LLC - SMB</t>
  </si>
  <si>
    <t>001UU00000Qhnkz</t>
  </si>
  <si>
    <t>Net Conversion</t>
  </si>
  <si>
    <t>006UU00000LzrZs</t>
  </si>
  <si>
    <t>Net Conversion - SMB</t>
  </si>
  <si>
    <t>001UU00000WMw6B</t>
  </si>
  <si>
    <t>Navimow Inc</t>
  </si>
  <si>
    <t>006UU00000LzrZq</t>
  </si>
  <si>
    <t>Segway Navimow - SMB</t>
  </si>
  <si>
    <t>001UU00000PC5KB</t>
  </si>
  <si>
    <t>Cashyew Leads</t>
  </si>
  <si>
    <t>006UU00000Lzmjd</t>
  </si>
  <si>
    <t>Cashyew Leads - SMB</t>
  </si>
  <si>
    <t>001UU00000QDzwN</t>
  </si>
  <si>
    <t>Taylor Brothers Architectural Products</t>
  </si>
  <si>
    <t>006UU00000LzrZr</t>
  </si>
  <si>
    <t>Taylor Brothers Architectural Products - SMB</t>
  </si>
  <si>
    <t>001UU00000RAuCn</t>
  </si>
  <si>
    <t>ClearBlu Environmental</t>
  </si>
  <si>
    <t>006UU00000Lzmjh</t>
  </si>
  <si>
    <t>ClearBlu Environmental - SMB</t>
  </si>
  <si>
    <t>001UU00000V7jTc</t>
  </si>
  <si>
    <t>H&amp;H Auto Parts LLC</t>
  </si>
  <si>
    <t>006UU00000MILsX</t>
  </si>
  <si>
    <t>H&amp;H Auto Parts - SMB</t>
  </si>
  <si>
    <t>001UU00000UrGyE</t>
  </si>
  <si>
    <t>BMP Team LLC</t>
  </si>
  <si>
    <t>006UU00000MliAc</t>
  </si>
  <si>
    <t>BMP Team LLC - SMB</t>
  </si>
  <si>
    <t>001UU00000UCtKX</t>
  </si>
  <si>
    <t>Jenny and Francois Selections</t>
  </si>
  <si>
    <t>006UU00000Mq5Oj</t>
  </si>
  <si>
    <t>Jenny &amp; Francois - SMB</t>
  </si>
  <si>
    <t>001UU00000UL3Zb</t>
  </si>
  <si>
    <t>Vitamin Science LLC</t>
  </si>
  <si>
    <t>006UU00000N12ov</t>
  </si>
  <si>
    <t>Vitamin Science LLC - SMB</t>
  </si>
  <si>
    <t>001UU00000UL3Zw</t>
  </si>
  <si>
    <t>Amlife Global LLC</t>
  </si>
  <si>
    <t>006UU00000N120w</t>
  </si>
  <si>
    <t>Amlife Global LLC - SMB</t>
  </si>
  <si>
    <t>001UU00000UL3a3</t>
  </si>
  <si>
    <t>Trustwell Brands LLC</t>
  </si>
  <si>
    <t>006UU00000N14E1</t>
  </si>
  <si>
    <t>Trustwell Brands LLC - SMB</t>
  </si>
  <si>
    <t>001UU00000UL4sA</t>
  </si>
  <si>
    <t>Hemm Ventures LLC</t>
  </si>
  <si>
    <t>006UU00000N14tx</t>
  </si>
  <si>
    <t>Hemm Ventures LLC - SMB</t>
  </si>
  <si>
    <t>001UU00000VAVHa</t>
  </si>
  <si>
    <t>365 Archery LLC</t>
  </si>
  <si>
    <t>006UU00000NKUMT</t>
  </si>
  <si>
    <t>365 Archery - SMB</t>
  </si>
  <si>
    <t>001UU00000UrHQO</t>
  </si>
  <si>
    <t>Bespoke Creations LLC</t>
  </si>
  <si>
    <t>006UU00000NTdIT</t>
  </si>
  <si>
    <t>Bespoke Creations LLC - SMB</t>
  </si>
  <si>
    <t>001UU00000UL4sB</t>
  </si>
  <si>
    <t>Meraki Ventures LLC</t>
  </si>
  <si>
    <t>006UU00000NTWs6</t>
  </si>
  <si>
    <t>Meraki Ventures LLC - SMB</t>
  </si>
  <si>
    <t>001UU00000WD9so</t>
  </si>
  <si>
    <t>JSC Distribution LLC</t>
  </si>
  <si>
    <t>006UU00000NTZhu</t>
  </si>
  <si>
    <t>JSC Distribution LLC - SMB</t>
  </si>
  <si>
    <t>001UU00000ThOrf</t>
  </si>
  <si>
    <t>Leacock Paving LLC</t>
  </si>
  <si>
    <t>006UU00000Nich4</t>
  </si>
  <si>
    <t>Leacock Paving LLC - SMB</t>
  </si>
  <si>
    <t>001UU00000VWnJv</t>
  </si>
  <si>
    <t>First Premier Project Management, LLC</t>
  </si>
  <si>
    <t>006UU00000Nlj2r</t>
  </si>
  <si>
    <t>First Premier Project Management, LLC - SMB</t>
  </si>
  <si>
    <t>001UU00000VqqiD</t>
  </si>
  <si>
    <t>H&amp;H Loveland Auto Parts, LLC</t>
  </si>
  <si>
    <t>006UU00000NzZy5</t>
  </si>
  <si>
    <t>H&amp;H Loveland Auto Parts, LLC - SMB</t>
  </si>
  <si>
    <t>001UU00000VqeMA</t>
  </si>
  <si>
    <t>Jet Powertrain</t>
  </si>
  <si>
    <t>006UU00000NzUFI</t>
  </si>
  <si>
    <t>Jet Powertrain - SMB</t>
  </si>
  <si>
    <t>001UU00000WGfzG</t>
  </si>
  <si>
    <t>Smart Launch LLC</t>
  </si>
  <si>
    <t>006UU00000OHzkP</t>
  </si>
  <si>
    <t>Smart Launch LLC - SMB</t>
  </si>
  <si>
    <t>001UU00000PCZVF</t>
  </si>
  <si>
    <t>InterVene, Inc.</t>
  </si>
  <si>
    <t>006UU00000M3C4n</t>
  </si>
  <si>
    <t>InterVene, Inc. - SMB</t>
  </si>
  <si>
    <t>001UU00000QK25D</t>
  </si>
  <si>
    <t>Mindego Ridge Vineyard</t>
  </si>
  <si>
    <t>006UU00000Lzmji</t>
  </si>
  <si>
    <t>Mindego Ridge Vineyard - SMB</t>
  </si>
  <si>
    <t>001UU00000SGJ5L</t>
  </si>
  <si>
    <t>Blackstock and Weber</t>
  </si>
  <si>
    <t>006UU00000L1fJZ</t>
  </si>
  <si>
    <t>Blackstock &amp; Weber - SMB</t>
  </si>
  <si>
    <t>001UU000005GTpd</t>
  </si>
  <si>
    <t>40 North Advocacy LLC</t>
  </si>
  <si>
    <t>006UU00000LIHMT</t>
  </si>
  <si>
    <t>40 North Advocacy LLC - SMB</t>
  </si>
  <si>
    <t>001UU00000RKo1G</t>
  </si>
  <si>
    <t>Jones Property Management Lindsay</t>
  </si>
  <si>
    <t>006UU00000MH5rR</t>
  </si>
  <si>
    <t>Jones Property Management Lindsay - SMB</t>
  </si>
  <si>
    <t>001UU00000RKo1F</t>
  </si>
  <si>
    <t>Jones Property Management</t>
  </si>
  <si>
    <t>006UU00000MH64L</t>
  </si>
  <si>
    <t>Jones Property Management - SMB</t>
  </si>
  <si>
    <t>001UU00000RKo1E</t>
  </si>
  <si>
    <t>Jones Property Management The Shay</t>
  </si>
  <si>
    <t>006UU00000MH2ok</t>
  </si>
  <si>
    <t>Jones Property Management The Shay - SMB</t>
  </si>
  <si>
    <t>001UU00000REWdB</t>
  </si>
  <si>
    <t>Harbor House Foundation, Inc</t>
  </si>
  <si>
    <t>006UU00000MGvVX</t>
  </si>
  <si>
    <t>Harbor House Foundation, Inc - SMB</t>
  </si>
  <si>
    <t>001UU00000A6NSh</t>
  </si>
  <si>
    <t>Cabildo Staffing</t>
  </si>
  <si>
    <t>006UU00000MI9BU</t>
  </si>
  <si>
    <t>Cabildo Staffing - SMB</t>
  </si>
  <si>
    <t>001UU00000VyYmZ</t>
  </si>
  <si>
    <t>Official H2O, LLC</t>
  </si>
  <si>
    <t>006UU00000MzGw1</t>
  </si>
  <si>
    <t>Official H2O, LLC - SMB</t>
  </si>
  <si>
    <t>001UU00000URurG</t>
  </si>
  <si>
    <t>Vivex Biologics, Inc.</t>
  </si>
  <si>
    <t>006UU00000N29OX</t>
  </si>
  <si>
    <t>Vivex Biologics, Inc. - SMB</t>
  </si>
  <si>
    <t>001UU00000ViM1S</t>
  </si>
  <si>
    <t>Acme Fine Wines</t>
  </si>
  <si>
    <t>006UU00000N8qc7</t>
  </si>
  <si>
    <t>Acme- SMB</t>
  </si>
  <si>
    <t>001UU00000VEEuV</t>
  </si>
  <si>
    <t>006UU00000O1Il6</t>
  </si>
  <si>
    <t>Jenny and Francois Selections - SMB</t>
  </si>
  <si>
    <t>001UU00000WBm3l</t>
  </si>
  <si>
    <t>D.R. Stephens Estate Wines, LLC</t>
  </si>
  <si>
    <t>006UU00000OEKtv</t>
  </si>
  <si>
    <t>D.R. Stephens Estate Wines, LLC - SMB</t>
  </si>
  <si>
    <t>006UU00000OdbjR</t>
  </si>
  <si>
    <t>001VT00000icYqa</t>
  </si>
  <si>
    <t>Avenue 8 Group Inc</t>
  </si>
  <si>
    <t>006VT00000mBSWo</t>
  </si>
  <si>
    <t>Avenue 8 Group Inc - SMB</t>
  </si>
  <si>
    <t>001UU00000Ue0dp</t>
  </si>
  <si>
    <t>Palm Beach Orthopaedic Institute</t>
  </si>
  <si>
    <t>006UU00000NI5td</t>
  </si>
  <si>
    <t>Palm Beach Orthopaedic Institute - SMB</t>
  </si>
  <si>
    <t>001UU00000VK7oM</t>
  </si>
  <si>
    <t>Amfast Logistics</t>
  </si>
  <si>
    <t>006UU00000NbwNx</t>
  </si>
  <si>
    <t>Amfast Logistics - SMB</t>
  </si>
  <si>
    <t>001VT00000kckUB</t>
  </si>
  <si>
    <t>Performance Supply LLC</t>
  </si>
  <si>
    <t>006UU00000NKOvN</t>
  </si>
  <si>
    <t>Performance Supply - SMB</t>
  </si>
  <si>
    <t>001VT00000mmmxz</t>
  </si>
  <si>
    <t>Shree Group</t>
  </si>
  <si>
    <t>006VT00000n1G3L</t>
  </si>
  <si>
    <t>Shree Group - SMB</t>
  </si>
  <si>
    <t>006VT00000nxAtb</t>
  </si>
  <si>
    <t>001VT00000pt1u9</t>
  </si>
  <si>
    <t>GK Truckline</t>
  </si>
  <si>
    <t>006VT00000qfNVl</t>
  </si>
  <si>
    <t>GK TruckLine - SMB</t>
  </si>
  <si>
    <t>001UU00000Qy0mA</t>
  </si>
  <si>
    <t>Combs Reporting Inc</t>
  </si>
  <si>
    <t>006UU00000Kg5hJ</t>
  </si>
  <si>
    <t>Combs Reporting Inc - SMB</t>
  </si>
  <si>
    <t>MJM Construction</t>
  </si>
  <si>
    <t>001UU000007pZnj</t>
  </si>
  <si>
    <t>Maverick Rowing</t>
  </si>
  <si>
    <t>006UU00000LzkrE</t>
  </si>
  <si>
    <t>Maverick Rowing - SMB</t>
  </si>
  <si>
    <t>001UU00000QLQX3</t>
  </si>
  <si>
    <t>Millbrook Distillery LLC dba Tenmile Distillery</t>
  </si>
  <si>
    <t>006UU00000LzkrF</t>
  </si>
  <si>
    <t>Millbrook Distillery LLC dba Tenmile Distillery - SMB</t>
  </si>
  <si>
    <t>Pass,Restricted</t>
  </si>
  <si>
    <t>KYB money in - reject</t>
  </si>
  <si>
    <t>Fort Comfort Services</t>
  </si>
  <si>
    <t>001UU00000RqUx3</t>
  </si>
  <si>
    <t>Cornerstone Restorations llc</t>
  </si>
  <si>
    <t>006UU00000LLMj0</t>
  </si>
  <si>
    <t>Cornerstone Restorations llc - SMB</t>
  </si>
  <si>
    <t>001UU00000SE0mP</t>
  </si>
  <si>
    <t>HomeWell Care Services</t>
  </si>
  <si>
    <t>006UU00000LzkrP</t>
  </si>
  <si>
    <t>HomeWell Care Services - SMB</t>
  </si>
  <si>
    <t>001UU00000SDzqM</t>
  </si>
  <si>
    <t>Hudson</t>
  </si>
  <si>
    <t>006UU00000LzkrO</t>
  </si>
  <si>
    <t>Hudson - SMB</t>
  </si>
  <si>
    <t>001UU00000SE3Np</t>
  </si>
  <si>
    <t>Kitch Engineering Inc.</t>
  </si>
  <si>
    <t>006UU00000LzmjZ</t>
  </si>
  <si>
    <t>Kitch Engineering Inc. - SMB</t>
  </si>
  <si>
    <t>001UU00000SE3kJ</t>
  </si>
  <si>
    <t>Steeltown Logistics</t>
  </si>
  <si>
    <t>006UU00000LzkrQ</t>
  </si>
  <si>
    <t>Steeltown Logistics - SMB</t>
  </si>
  <si>
    <t>001UU00000RA0wv</t>
  </si>
  <si>
    <t>PGP UA, LLC</t>
  </si>
  <si>
    <t>006UU00000Lzkr2</t>
  </si>
  <si>
    <t>PGP UA, LLC - SMB</t>
  </si>
  <si>
    <t>001UU00000RpkkQ</t>
  </si>
  <si>
    <t>Avenues International Inc</t>
  </si>
  <si>
    <t>006UU00000LKjhd</t>
  </si>
  <si>
    <t>Avenues International Inc - SMB</t>
  </si>
  <si>
    <t>001UU00000THrHO</t>
  </si>
  <si>
    <t>Texas Winds Musical Outreach</t>
  </si>
  <si>
    <t>006UU00000LlvrZ</t>
  </si>
  <si>
    <t>Texas Winds Musical Outreach - SMB</t>
  </si>
  <si>
    <t>001UU00000TS2yF</t>
  </si>
  <si>
    <t>Smart Innovations</t>
  </si>
  <si>
    <t>006UU00000M8AVN</t>
  </si>
  <si>
    <t>Smart Innovation - SMB</t>
  </si>
  <si>
    <t>001UU00000TfA4W</t>
  </si>
  <si>
    <t>Wildfire Labs</t>
  </si>
  <si>
    <t>006UU00000MObwF</t>
  </si>
  <si>
    <t>Wildfire Labs - SMB</t>
  </si>
  <si>
    <t>001UU00000U85Km</t>
  </si>
  <si>
    <t>Green Day Produce</t>
  </si>
  <si>
    <t>006UU00000MQ1v5</t>
  </si>
  <si>
    <t>Green Day Produce Inc - SMB</t>
  </si>
  <si>
    <t>001UU00000RgN7P</t>
  </si>
  <si>
    <t>Texas Care South Wayside</t>
  </si>
  <si>
    <t>006UU00000MQqfq</t>
  </si>
  <si>
    <t>Texas Care South Wayside - SMB</t>
  </si>
  <si>
    <t>001UU00000U4Aiv</t>
  </si>
  <si>
    <t>Nutritional Therapy Association</t>
  </si>
  <si>
    <t>006UU00000MSC81</t>
  </si>
  <si>
    <t>Nutritional Therapy Association - SMB</t>
  </si>
  <si>
    <t>001UU00000TdgGQ</t>
  </si>
  <si>
    <t>ONLINE COMPUTERS AND COMMUNICATIONS</t>
  </si>
  <si>
    <t>006UU00000MWkRG</t>
  </si>
  <si>
    <t>ONLINE COMPUTERS AND COMMUNICATIONS - SMB</t>
  </si>
  <si>
    <t>001UU00000UYr9b</t>
  </si>
  <si>
    <t>Greenleaf Hotels LLC</t>
  </si>
  <si>
    <t>006UU00000MhGCw</t>
  </si>
  <si>
    <t>Greenleaf Hotels LLC - SMB</t>
  </si>
  <si>
    <t>001UU00000T72zU</t>
  </si>
  <si>
    <t>A. Rush &amp; Co.</t>
  </si>
  <si>
    <t>006UU00000Mlejh</t>
  </si>
  <si>
    <t>A. Rush &amp; Co. - SMB</t>
  </si>
  <si>
    <t>001UU00000TTel1</t>
  </si>
  <si>
    <t>International Marine Products</t>
  </si>
  <si>
    <t>006UU00000MmdC5</t>
  </si>
  <si>
    <t>International Marine Products - SMB</t>
  </si>
  <si>
    <t>001UU00000SK91S</t>
  </si>
  <si>
    <t>UC Gelato llc</t>
  </si>
  <si>
    <t>006UU00000MpXyA</t>
  </si>
  <si>
    <t>UC Gelato llc - SMB</t>
  </si>
  <si>
    <t>001UU00000UixTD</t>
  </si>
  <si>
    <t>HOB Industries</t>
  </si>
  <si>
    <t>006UU00000MqVFx</t>
  </si>
  <si>
    <t>HOB Industries - SMB</t>
  </si>
  <si>
    <t>001UU00000U7eVx</t>
  </si>
  <si>
    <t>gh Package Product Testing and Consulting, Inc.</t>
  </si>
  <si>
    <t>006UU00000MxXJR</t>
  </si>
  <si>
    <t>gh Package Product Testing and Consulting, Inc. - SMB</t>
  </si>
  <si>
    <t>001UU00000USo7T</t>
  </si>
  <si>
    <t>AI Talent Now, LLC</t>
  </si>
  <si>
    <t>006UU00000N1qLt</t>
  </si>
  <si>
    <t>AI Talent Now - SMB</t>
  </si>
  <si>
    <t>001UU00000VEwvH</t>
  </si>
  <si>
    <t>Paydirt Earthworks Support Services LLC</t>
  </si>
  <si>
    <t>006UU00000KfrEY</t>
  </si>
  <si>
    <t>Paydirt Earthworks Support Services - SMB</t>
  </si>
  <si>
    <t>001UU00000SEo3l</t>
  </si>
  <si>
    <t>NorthPeak Care</t>
  </si>
  <si>
    <t>006UU00000LNFzx</t>
  </si>
  <si>
    <t>NorthPeak Care - SMB</t>
  </si>
  <si>
    <t>001UU00000T1dvU</t>
  </si>
  <si>
    <t>Diamonds services 1 inc</t>
  </si>
  <si>
    <t>006UU00000M2da5</t>
  </si>
  <si>
    <t>Diamonds services 1 inc - SMB</t>
  </si>
  <si>
    <t>006UU00000M7Rd7</t>
  </si>
  <si>
    <t>001UU00000Tg4LU</t>
  </si>
  <si>
    <t>Protagenic Therapeutics, Inc.</t>
  </si>
  <si>
    <t>006UU00000MGsar</t>
  </si>
  <si>
    <t>Protagenic Therapeutics, Inc. - SMB</t>
  </si>
  <si>
    <t>001UU00000VGwUY</t>
  </si>
  <si>
    <t>National Rural Health Association</t>
  </si>
  <si>
    <t>006UU00000MIrPN</t>
  </si>
  <si>
    <t>National Rural Health Association - SMB</t>
  </si>
  <si>
    <t>001UU00000VIAth</t>
  </si>
  <si>
    <t>Johnston LLC</t>
  </si>
  <si>
    <t>006UU00000MNO9q</t>
  </si>
  <si>
    <t>Johnston LLC - SMB</t>
  </si>
  <si>
    <t>001UU00000UgFcd</t>
  </si>
  <si>
    <t>DQ of New Jersey, Inc.</t>
  </si>
  <si>
    <t>006UU00000MbeLB</t>
  </si>
  <si>
    <t>DQ of New Jersey Inc. - SMB</t>
  </si>
  <si>
    <t>001UU00000UM6AM</t>
  </si>
  <si>
    <t>Los Angeles Ale Works</t>
  </si>
  <si>
    <t>006UU00000MyvUz</t>
  </si>
  <si>
    <t>Los Angeles Ale Works - SMB</t>
  </si>
  <si>
    <t>001UU00000Unonh</t>
  </si>
  <si>
    <t>Heritage Dialysis</t>
  </si>
  <si>
    <t>006UU00000N0rFC</t>
  </si>
  <si>
    <t>Heritage Dialysis - SMB</t>
  </si>
  <si>
    <t>001UU00000VF9cN</t>
  </si>
  <si>
    <t>ETA Signs</t>
  </si>
  <si>
    <t>006UU00000NTAQC</t>
  </si>
  <si>
    <t>Korben Dallas LLC - SMB</t>
  </si>
  <si>
    <t>001UU00000V9eqt</t>
  </si>
  <si>
    <t>The Makenzie House</t>
  </si>
  <si>
    <t>006UU00000NVQyi</t>
  </si>
  <si>
    <t>The Makenzie House - SMB</t>
  </si>
  <si>
    <t>001UU00000VA5OZ</t>
  </si>
  <si>
    <t>Four Eleven LLC</t>
  </si>
  <si>
    <t>006UU00000NV1PC</t>
  </si>
  <si>
    <t>Four Eleven LLC - SMB</t>
  </si>
  <si>
    <t>001UU00000UoQaw</t>
  </si>
  <si>
    <t>JOLT Charge (US) Inc</t>
  </si>
  <si>
    <t>006UU00000NjERO</t>
  </si>
  <si>
    <t>JOLT - SMB</t>
  </si>
  <si>
    <t>001UU000004m40l</t>
  </si>
  <si>
    <t>PDI Chicago Ltd.</t>
  </si>
  <si>
    <t>006UU00000NlN2M</t>
  </si>
  <si>
    <t>PDI Chicago Ltd. - SMB</t>
  </si>
  <si>
    <t>001UU00000Vix7N</t>
  </si>
  <si>
    <t>Foundation Vitamins and sport supplements</t>
  </si>
  <si>
    <t>006UU00000NtqLi</t>
  </si>
  <si>
    <t>Foundation Vitamins and sport supplements - SMB</t>
  </si>
  <si>
    <t>001UU00000VI4c5</t>
  </si>
  <si>
    <t>MJDII Architects, Inc.</t>
  </si>
  <si>
    <t>006UU00000O1KbZ</t>
  </si>
  <si>
    <t>MJDII Architects, Inc. - SMB</t>
  </si>
  <si>
    <t>001Do00000KZZwT</t>
  </si>
  <si>
    <t>Friendly Foods Inc</t>
  </si>
  <si>
    <t>006UU00000O1zBi</t>
  </si>
  <si>
    <t>Friendly Foods Inc - SMB</t>
  </si>
  <si>
    <t>001UU00000WEPR2</t>
  </si>
  <si>
    <t>Shantivia &amp; Company</t>
  </si>
  <si>
    <t>006UU00000Ocs81</t>
  </si>
  <si>
    <t>Shantivia &amp; Company - SMB</t>
  </si>
  <si>
    <t>001UU00000WURrd</t>
  </si>
  <si>
    <t>Ambassador Delivery Service</t>
  </si>
  <si>
    <t>006UU00000OdARV</t>
  </si>
  <si>
    <t>Ambassador Delivery Service - SMB</t>
  </si>
  <si>
    <t>001UU00000NfBOs</t>
  </si>
  <si>
    <t>Hendersonville Community Co-Op</t>
  </si>
  <si>
    <t>006UU00000Lzmjj</t>
  </si>
  <si>
    <t>Hendersonville Community Co-Op - SMB</t>
  </si>
  <si>
    <t>001UU00000SeCHJ</t>
  </si>
  <si>
    <t>St. Anthony's High School</t>
  </si>
  <si>
    <t>006UU00000Lzmja</t>
  </si>
  <si>
    <t>St. Anthony's Highschool - SMB</t>
  </si>
  <si>
    <t>001UU00000Set8v</t>
  </si>
  <si>
    <t>JJ West Construction LLC (General Contractors)</t>
  </si>
  <si>
    <t>006UU00000LujXp</t>
  </si>
  <si>
    <t>JJ West Construction LLC (General Contractors) - SMB</t>
  </si>
  <si>
    <t>001UU00000Rv4O9</t>
  </si>
  <si>
    <t>Caring Home Care LLC</t>
  </si>
  <si>
    <t>006UU00000M75kf</t>
  </si>
  <si>
    <t>Caring Home Care LLC - SMB</t>
  </si>
  <si>
    <t>001UU00000Rptnz</t>
  </si>
  <si>
    <t>Shingle Creek Industries, LLC</t>
  </si>
  <si>
    <t>006UU00000MOpnu</t>
  </si>
  <si>
    <t>Shingle Creek Industries, LLC - SMB</t>
  </si>
  <si>
    <t>001UU00000TZJWw</t>
  </si>
  <si>
    <t>Saltboxx llc</t>
  </si>
  <si>
    <t>006UU00000MTvsf</t>
  </si>
  <si>
    <t>Saltboxx llc - SMB</t>
  </si>
  <si>
    <t>001UU00000TtmHp</t>
  </si>
  <si>
    <t>Rhodes Boutique</t>
  </si>
  <si>
    <t>006UU00000Mh6NF</t>
  </si>
  <si>
    <t>Rhodes Boutique - SMB</t>
  </si>
  <si>
    <t>001VT00000kjR0K</t>
  </si>
  <si>
    <t>GUBER LLC</t>
  </si>
  <si>
    <t>006UU00000NTaFm</t>
  </si>
  <si>
    <t>Guber LLC - SMB</t>
  </si>
  <si>
    <t>001UU00000V99Lb</t>
  </si>
  <si>
    <t>Bookkeeping To Go Llc</t>
  </si>
  <si>
    <t>006UU00000NWIkY</t>
  </si>
  <si>
    <t>Bookkeeping To Go Llc - SMB</t>
  </si>
  <si>
    <t>001UU00000VMOea</t>
  </si>
  <si>
    <t>006UU00000NYF95</t>
  </si>
  <si>
    <t>001UU00000VFVZi</t>
  </si>
  <si>
    <t>Spotless Cleaning Chicago</t>
  </si>
  <si>
    <t>006UU00000Nat2L</t>
  </si>
  <si>
    <t>Spotless Cleaning Chicago - SMB</t>
  </si>
  <si>
    <t>001UU00000WVf65</t>
  </si>
  <si>
    <t>Mark S Dill DDS PLLC</t>
  </si>
  <si>
    <t>006UU00000NnFru</t>
  </si>
  <si>
    <t>Mark S Dill dds PLLC - SMB</t>
  </si>
  <si>
    <t>001Do00000LdyYY</t>
  </si>
  <si>
    <t>Bottle Barn</t>
  </si>
  <si>
    <t>006UU00000NnJkI</t>
  </si>
  <si>
    <t>Bottle Barn LLC - SMB</t>
  </si>
  <si>
    <t>001UU00000VjGLK</t>
  </si>
  <si>
    <t>Hog Island Oyster Co. Inc.</t>
  </si>
  <si>
    <t>006UU00000NuBmk</t>
  </si>
  <si>
    <t>Hog Island Oyster Co. Inc. - SMB</t>
  </si>
  <si>
    <t>006UU00000O5Hon</t>
  </si>
  <si>
    <t>001UU00000Wq5UF</t>
  </si>
  <si>
    <t>Wyoming Traders</t>
  </si>
  <si>
    <t>006UU00000OSfnC</t>
  </si>
  <si>
    <t>Wyoming Traders - SMB</t>
  </si>
  <si>
    <t>001UU00000WVZaC</t>
  </si>
  <si>
    <t>Asase Yaa Cultural Arts Foundation</t>
  </si>
  <si>
    <t>006UU00000OSPiR</t>
  </si>
  <si>
    <t>Asase Yaa Cultural Arts Foundation - SMB</t>
  </si>
  <si>
    <t>006UU00000Oc5ww</t>
  </si>
  <si>
    <t>001UU00000Wihi2</t>
  </si>
  <si>
    <t>Kenneth Adam Designs</t>
  </si>
  <si>
    <t>006UU00000OcWHB</t>
  </si>
  <si>
    <t>Kenneth Adam Designs - SMB</t>
  </si>
  <si>
    <t>001UU00000WjAnF</t>
  </si>
  <si>
    <t>Big House Group LLC</t>
  </si>
  <si>
    <t>006UU00000OcYZ7</t>
  </si>
  <si>
    <t>Big House Group LLC - SMB</t>
  </si>
  <si>
    <t>001VT00000i5qRH</t>
  </si>
  <si>
    <t>Thistle and Amber LLC</t>
  </si>
  <si>
    <t>006UU00000OzBdU</t>
  </si>
  <si>
    <t>Thistle &amp; Amber LLC - SMB</t>
  </si>
  <si>
    <t>001UU00000XKI17</t>
  </si>
  <si>
    <t>RLM Solutions, LLC.</t>
  </si>
  <si>
    <t>006UU00000P2TFe</t>
  </si>
  <si>
    <t>RLM Solutions, LLC. - SMB</t>
  </si>
  <si>
    <t>001VT00000iEjjt</t>
  </si>
  <si>
    <t>Remotees LLC</t>
  </si>
  <si>
    <t>006VT00000lZPWj</t>
  </si>
  <si>
    <t>Remotees - SMB</t>
  </si>
  <si>
    <t>001UU00000XPR3d</t>
  </si>
  <si>
    <t>Premier Computer Solutions, LLC</t>
  </si>
  <si>
    <t>006VT00000m1Q85</t>
  </si>
  <si>
    <t>Premier Computer Solutions - SMB</t>
  </si>
  <si>
    <t>001UU00000SJfUf</t>
  </si>
  <si>
    <t>Roanoke Construction</t>
  </si>
  <si>
    <t>006UU00000LSOHp</t>
  </si>
  <si>
    <t>Roanoke Construction - SMB</t>
  </si>
  <si>
    <t>001UU00000SDLwW</t>
  </si>
  <si>
    <t>Texas Care Wheatley</t>
  </si>
  <si>
    <t>006UU00000MQqHe</t>
  </si>
  <si>
    <t>Texas Care Wheatley - SMB</t>
  </si>
  <si>
    <t>001UU00000VqsSH</t>
  </si>
  <si>
    <t>Shear Magic Pet salon</t>
  </si>
  <si>
    <t>006UU00000Nzbzt</t>
  </si>
  <si>
    <t>Shear Magic Pet salon - SMB</t>
  </si>
  <si>
    <t>001UU00000VuRer</t>
  </si>
  <si>
    <t>Valley Integrated Urgent Care &amp; Wellness Center</t>
  </si>
  <si>
    <t>006UU00000O1xzW</t>
  </si>
  <si>
    <t>Valley Integrated Urgent Care &amp; Wellness Center - SMB</t>
  </si>
  <si>
    <t>001VT00000iDBj1</t>
  </si>
  <si>
    <t>Field Sports Publishing, Inc.</t>
  </si>
  <si>
    <t>006UU00000O7JjF</t>
  </si>
  <si>
    <t>Field Sports Publishing Inc. - SMB</t>
  </si>
  <si>
    <t>001VT00000idVnz</t>
  </si>
  <si>
    <t>Solutions Group International, Inc.</t>
  </si>
  <si>
    <t>006UU00000Og7FN</t>
  </si>
  <si>
    <t>Solutions Group International - SMB</t>
  </si>
  <si>
    <t>001UU00000X8BBS</t>
  </si>
  <si>
    <t>Calafia Group</t>
  </si>
  <si>
    <t>006UU00000Ou1y8</t>
  </si>
  <si>
    <t>Calafia Group - SMB</t>
  </si>
  <si>
    <t>001UU00000XKPCE</t>
  </si>
  <si>
    <t>Norfleet transportation</t>
  </si>
  <si>
    <t>006UU00000OzOAs</t>
  </si>
  <si>
    <t>Norfleet Transportation LLC - SMB</t>
  </si>
  <si>
    <t>001UU00000XKmOu</t>
  </si>
  <si>
    <t>Herbert Law Group, LLC</t>
  </si>
  <si>
    <t>006UU00000P2jh1</t>
  </si>
  <si>
    <t>Herbert Law Group, LLC - SMB</t>
  </si>
  <si>
    <t>001VT00000iDBjJ</t>
  </si>
  <si>
    <t>VetNecessity UC LLC</t>
  </si>
  <si>
    <t>006VT00000m4O9l</t>
  </si>
  <si>
    <t>VetNecessity UC LLC - SMB</t>
  </si>
  <si>
    <t>001VT00000ig5Mv</t>
  </si>
  <si>
    <t>SPS INTERNATIONAL LLC</t>
  </si>
  <si>
    <t>006VT00000m8lSj</t>
  </si>
  <si>
    <t>SPS INTERNATIONAL LLC - SMB</t>
  </si>
  <si>
    <t>001UU00000SK912</t>
  </si>
  <si>
    <t>Bolin Technology</t>
  </si>
  <si>
    <t>006UU00000LSOo7</t>
  </si>
  <si>
    <t>Bolin Technology - SMB</t>
  </si>
  <si>
    <t>001VT00000htdxh</t>
  </si>
  <si>
    <t>Scale Foundations Inc.</t>
  </si>
  <si>
    <t>006UU00000OgQGQ</t>
  </si>
  <si>
    <t>Scale Foundations, Inc. - SMB</t>
  </si>
  <si>
    <t>006UU00000OjMhq</t>
  </si>
  <si>
    <t>001UU00000XKHwC</t>
  </si>
  <si>
    <t>Skycrest Group llc</t>
  </si>
  <si>
    <t>006UU00000P2Ttx</t>
  </si>
  <si>
    <t>Skycrest Group llc - SMB</t>
  </si>
  <si>
    <t>001VT00000jglIQ</t>
  </si>
  <si>
    <t>Vertex Holdings</t>
  </si>
  <si>
    <t>006VT00000lSjgf</t>
  </si>
  <si>
    <t>Vertex Holdings - SMB</t>
  </si>
  <si>
    <t>001VT00000iUYz2</t>
  </si>
  <si>
    <t>Barrel-Art LLC</t>
  </si>
  <si>
    <t>006VT00000m1AEc</t>
  </si>
  <si>
    <t>Barrel-Art LLC - SMB</t>
  </si>
  <si>
    <t>001VT00000iY0TB</t>
  </si>
  <si>
    <t>GF Equine LLC</t>
  </si>
  <si>
    <t>006VT00000m4kgX</t>
  </si>
  <si>
    <t>GF Equine LLC - SMB</t>
  </si>
  <si>
    <t>001VT00000iijkz</t>
  </si>
  <si>
    <t>Beyond Pickleball LLC</t>
  </si>
  <si>
    <t>006VT00000mBkrt</t>
  </si>
  <si>
    <t>Beyond Pickleball Club - SMB</t>
  </si>
  <si>
    <t>001VT00000ikVE0</t>
  </si>
  <si>
    <t>Stigall Sales Inc.</t>
  </si>
  <si>
    <t>006VT00000mBcSy</t>
  </si>
  <si>
    <t>Stigall Sales Inc. - SMB</t>
  </si>
  <si>
    <t>001VT00000k7oTp</t>
  </si>
  <si>
    <t>Advance Displays, Inc.</t>
  </si>
  <si>
    <t>006VT00000mMU2D</t>
  </si>
  <si>
    <t>Advance Displays, Inc. - SMB</t>
  </si>
  <si>
    <t>006VT00000miCLC</t>
  </si>
  <si>
    <t>006VT00000mkEIs</t>
  </si>
  <si>
    <t>001VT00000jjBew</t>
  </si>
  <si>
    <t>Cross Engineering LLC</t>
  </si>
  <si>
    <t>006VT00000moks5</t>
  </si>
  <si>
    <t>Cross Engineering LLC - SMB</t>
  </si>
  <si>
    <t>001VT00000kM45m</t>
  </si>
  <si>
    <t>Cope Equities</t>
  </si>
  <si>
    <t>006VT00000o0IBR</t>
  </si>
  <si>
    <t>Cope Equities - SMB</t>
  </si>
  <si>
    <t>001VT00000kXrbI</t>
  </si>
  <si>
    <t>3333 LLC</t>
  </si>
  <si>
    <t>006VT00000o0KBd</t>
  </si>
  <si>
    <t>3333 LLC - SMB</t>
  </si>
  <si>
    <t>001VT00000kzAMX</t>
  </si>
  <si>
    <t>Paine Group, Inc</t>
  </si>
  <si>
    <t>006VT00000o0Lin</t>
  </si>
  <si>
    <t>Paine Group, Inc - SMB</t>
  </si>
  <si>
    <t>001VT00000kR7Vx</t>
  </si>
  <si>
    <t>Totally Chocolate Inc</t>
  </si>
  <si>
    <t>006UU00000MmwzV</t>
  </si>
  <si>
    <t>Totally Chocolate - SMB</t>
  </si>
  <si>
    <t>001VT00000kQrKk</t>
  </si>
  <si>
    <t>Garage Floor Geeks LLC</t>
  </si>
  <si>
    <t>006UU00000OcbX0</t>
  </si>
  <si>
    <t>Garage Floor Geeks LLC - SMB</t>
  </si>
  <si>
    <t>001VT00000i9XY6</t>
  </si>
  <si>
    <t>Florida Optometric Association</t>
  </si>
  <si>
    <t>006VT00000llx6P</t>
  </si>
  <si>
    <t>Florida Optometric Association - SMB</t>
  </si>
  <si>
    <t>001VT00000kKFzi</t>
  </si>
  <si>
    <t>St George Spirits</t>
  </si>
  <si>
    <t>006VT00000m8uPZ</t>
  </si>
  <si>
    <t>St George Spirits - SMB</t>
  </si>
  <si>
    <t>001VT00000kzT2b</t>
  </si>
  <si>
    <t>YRS LLC</t>
  </si>
  <si>
    <t>006VT00000mhbv7</t>
  </si>
  <si>
    <t>YRS LLC - SMB</t>
  </si>
  <si>
    <t>001VT00000ka5Je</t>
  </si>
  <si>
    <t>2Work</t>
  </si>
  <si>
    <t>006VT00000n13XW</t>
  </si>
  <si>
    <t>2Work llc - SMB</t>
  </si>
  <si>
    <t>001VT00000kt6yM</t>
  </si>
  <si>
    <t>Placewise LLC</t>
  </si>
  <si>
    <t>006VT00000n1i61</t>
  </si>
  <si>
    <t>Placewise - SMB</t>
  </si>
  <si>
    <t>001VT00000k6tfG</t>
  </si>
  <si>
    <t>catastrophic solutions llc</t>
  </si>
  <si>
    <t>006VT00000n7qSH</t>
  </si>
  <si>
    <t>catastrophic solutions llc - SMB</t>
  </si>
  <si>
    <t>001VT00000kt0he</t>
  </si>
  <si>
    <t>Toledo Sign Company</t>
  </si>
  <si>
    <t>006VT00000nRJ2L</t>
  </si>
  <si>
    <t>Toledo Sign Company - SMB</t>
  </si>
  <si>
    <t>001VT00000mMOwF</t>
  </si>
  <si>
    <t>Abecca Grace, LLC</t>
  </si>
  <si>
    <t>006VT00000nyDe5</t>
  </si>
  <si>
    <t>Abecca Grace - SMB</t>
  </si>
  <si>
    <t>001VT00000kr9t6</t>
  </si>
  <si>
    <t>Guber Sports Llc</t>
  </si>
  <si>
    <t>006VT00000o0NO1</t>
  </si>
  <si>
    <t>Guber Sports Llc - SMB</t>
  </si>
  <si>
    <t>001VT00000iIA2z</t>
  </si>
  <si>
    <t>Hyalogic, LLC</t>
  </si>
  <si>
    <t>006VT00000o3yCX</t>
  </si>
  <si>
    <t>Hyalogic, LLC - SMB</t>
  </si>
  <si>
    <t>001VT00000mSksc</t>
  </si>
  <si>
    <t>TAVco Holdings I LLC</t>
  </si>
  <si>
    <t>006VT00000nRBzG</t>
  </si>
  <si>
    <t>The Wine &amp; Cheese Place - SMB</t>
  </si>
  <si>
    <t>001VT00000mars0</t>
  </si>
  <si>
    <t>Shri Krishna Inc</t>
  </si>
  <si>
    <t>006VT00000owkyd</t>
  </si>
  <si>
    <t>Shri Krishna Inc - SMB</t>
  </si>
  <si>
    <t>001VT00000mWBej</t>
  </si>
  <si>
    <t>Shree Satya Sai LLC</t>
  </si>
  <si>
    <t>006VT00000ozlGX</t>
  </si>
  <si>
    <t>Shree Satya Sai LLC - SMB</t>
  </si>
  <si>
    <t>001UU000002s08c</t>
  </si>
  <si>
    <t>megg mining llc</t>
  </si>
  <si>
    <t>006UU00000KruBr</t>
  </si>
  <si>
    <t>megg distribution - SMB</t>
  </si>
  <si>
    <t>For Redash/SFDC</t>
  </si>
  <si>
    <t>Fixing Xlookup</t>
  </si>
  <si>
    <t>Close Month</t>
  </si>
  <si>
    <t>multi org looking to use AR</t>
  </si>
  <si>
    <t>Will be moving forward with Melio, send a test payment, maybe sync QBO</t>
  </si>
  <si>
    <t>Part of Six10 ventures Multi-org</t>
  </si>
  <si>
    <t>sent intro email, follow up next week</t>
  </si>
  <si>
    <t>Follow up with Wenlin for decision</t>
  </si>
  <si>
    <t>1st AR payment will be 12/5 see how 1st experiene went</t>
  </si>
  <si>
    <t>Org ID 4031755</t>
  </si>
  <si>
    <t>Check in on 11/13 after acct and payment have been made</t>
  </si>
  <si>
    <t>multi org</t>
  </si>
  <si>
    <t>Follow up with Joe about when his first transactions are going to be on AR or AP</t>
  </si>
  <si>
    <t>Sent an update on the refund(approved). Asked when he plans on using Melio so im on standby</t>
  </si>
  <si>
    <t>See how QBDT sync is running, and if they want to sync other 2 entities with QBDT</t>
  </si>
  <si>
    <t>Payment failed for fraud after Demo. Booked a follow up call with me through my calendar</t>
  </si>
  <si>
    <t>Sign Up</t>
  </si>
  <si>
    <t>See if they want to connect QBDT to Jet</t>
  </si>
  <si>
    <t>See if they want to connect QBDT</t>
  </si>
  <si>
    <t>Keep an eye on frist payment for smart launch</t>
  </si>
  <si>
    <t>Ceated a Melio account &amp; activated get paid</t>
  </si>
  <si>
    <t>8/26 sent email Demo Friday (8/8) @ 1:15 PM</t>
  </si>
  <si>
    <t>Scheduled her 1st payment, have a few QBDT questions i need to provide answers to</t>
  </si>
  <si>
    <t>Already scheduled a payment, follow up see how that went</t>
  </si>
  <si>
    <t>Follow up 1st week of September</t>
  </si>
  <si>
    <t>5/22 sent intro email to jeremy and aharon</t>
  </si>
  <si>
    <t>Reached out because having issues setting up AR. Created support ticket</t>
  </si>
  <si>
    <t>Follow up to see if he intends to us Melio moving forward for AR. First payment declined</t>
  </si>
  <si>
    <t>I?ll confirm if Melio supports amortization and attaching contracts to recurring invoices.  Send documentation on Melio?s OCR data capture and confirm PDF zoom capability.  Follow up with Valerie on Monday or Wednesday next week.</t>
  </si>
  <si>
    <t>Created account added FS</t>
  </si>
  <si>
    <t>Follow up first week of Dec.</t>
  </si>
  <si>
    <t>Send recap email today.  Follow up early next week to check progress and questions.  Sarah will sign up today/tomorrow and test Melio with a few close vendors.  She?ll note questions as she uses the platform over the next 1?2 weeks</t>
  </si>
  <si>
    <t>Caroline will pay her outstanding invoices tomorrow once funds land in her Chime account.  She?ll ask vendors how they prefer to be paid (ACH or other) and collect details.  I?ll send a quick email with my contact info.</t>
  </si>
  <si>
    <t>Call to intro, get understanding if pricing is a concern for broad multiorg. See how things have been going so far.</t>
  </si>
  <si>
    <t>I?ll send Perry a recap email (done).  I?ll follow up with an explanation on why Melio does not allow paying oneself.  Perry will loop in his AP person and office admin (remote M/W/F, in office T/Th).</t>
  </si>
  <si>
    <t>Make first payment, add vendors, create workflow</t>
  </si>
  <si>
    <t>Implementation call 12/3</t>
  </si>
  <si>
    <t>Matt sent intro email</t>
  </si>
  <si>
    <t>Matthew ? Confirm vendor-name import issue with manager and provide update (target Monday)  Eva ? Run internal demo with partner tonight and reach out with questions  Matthew ? Send recap + contact number to Eva within 30 minutes</t>
  </si>
  <si>
    <t>Follow up/onboarding meeting on 11/24</t>
  </si>
  <si>
    <t>Follow up on feedback/go ahead from boss</t>
  </si>
  <si>
    <t>Created account on 12/5, added vendor</t>
  </si>
  <si>
    <t>closed won</t>
  </si>
  <si>
    <t>Confirm whether invoices can be sent to multiple email addresses and follow up with Ryan.  Send recap email (done).  Send calendar invite for Monday at 10 AM Eastern (done).</t>
  </si>
  <si>
    <t>Reached out to re-engage onboarding, seeing if QBDT file has been located</t>
  </si>
  <si>
    <t>Feedback/move forward call on 11/14</t>
  </si>
  <si>
    <t>001UU00000VSbAy</t>
  </si>
  <si>
    <t>JOLT</t>
  </si>
  <si>
    <t>Matthew ? Confirm batch payment limits, send recap + pricing, setup link, and calendar invite for Tuesday follow-up  Viduranga ? Create Melio account for first entity (JOLT Charge Inc.), add Jonathan, and connect Citibank</t>
  </si>
  <si>
    <t>See if Melio can add Egypt as deliverable country.</t>
  </si>
  <si>
    <t>Following up with William to onboard</t>
  </si>
  <si>
    <t>001UU00000U1ADl</t>
  </si>
  <si>
    <t>Check back after first completed payment to see if POT has been activated, next steps</t>
  </si>
  <si>
    <t>006UU00000JJN1B</t>
  </si>
  <si>
    <t>Superior Packaging Solutions - UHV</t>
  </si>
  <si>
    <t>Luke Dursi</t>
  </si>
  <si>
    <t>001UU00000Oopfs</t>
  </si>
  <si>
    <t>Superior Packaging Solutions</t>
  </si>
  <si>
    <t>006UU00000LD2W9</t>
  </si>
  <si>
    <t>Edward Gocke Real Estate - SMB</t>
  </si>
  <si>
    <t>001UU00000Qgu75</t>
  </si>
  <si>
    <t>Edward Gocke Real Estate</t>
  </si>
  <si>
    <t>Opp Close Date</t>
  </si>
  <si>
    <t>Melio Accounting Client Core</t>
  </si>
  <si>
    <t>Melio VIP</t>
  </si>
  <si>
    <t>Melio Unlimited Free Trial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</si>
</sst>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quot;$&quot;#,##0.00"/>
    <numFmt numFmtId="166" formatCode="M/d/yyyy"/>
    <numFmt numFmtId="167" formatCode="m/d/yyyy"/>
    <numFmt numFmtId="168" formatCode="&quot;$&quot;#,##0"/>
    <numFmt numFmtId="169" formatCode="mmmm&quot; &quot;d"/>
    <numFmt numFmtId="170" formatCode="[$$]#,##0"/>
    <numFmt numFmtId="171" formatCode="m/d"/>
  </numFmts>
  <fonts count="20">
    <font>
      <sz val="10.0"/>
      <color rgb="FF000000"/>
      <name val="Arial"/>
      <scheme val="minor"/>
    </font>
    <font>
      <b/>
      <color rgb="FFFFFFFF"/>
      <name val="Arial"/>
      <scheme val="minor"/>
    </font>
    <font>
      <color theme="1"/>
      <name val="Arial"/>
      <scheme val="minor"/>
    </font>
    <font>
      <b/>
      <color theme="1"/>
      <name val="Arial"/>
      <scheme val="minor"/>
    </font>
    <font>
      <b/>
      <color rgb="FFFF0000"/>
      <name val="Arial"/>
      <scheme val="minor"/>
    </font>
    <font>
      <b/>
      <color theme="1"/>
      <name val="Poppins"/>
    </font>
    <font>
      <b/>
      <color theme="1"/>
      <name val="Google Sans"/>
    </font>
    <font/>
    <font>
      <color theme="1"/>
      <name val="Arial"/>
    </font>
    <font>
      <color theme="1"/>
      <name val="Poppins"/>
    </font>
    <font>
      <color theme="1"/>
      <name val="Google Sans"/>
    </font>
    <font>
      <sz val="11.0"/>
      <color theme="1"/>
      <name val="Google Sans"/>
    </font>
    <font>
      <color theme="1"/>
      <name val="Calibri"/>
    </font>
    <font>
      <b/>
      <sz val="8.0"/>
      <color theme="1"/>
      <name val="Helvetica Neue"/>
    </font>
    <font>
      <sz val="8.0"/>
      <color theme="1"/>
      <name val="Helvetica Neue"/>
    </font>
    <font>
      <b/>
      <sz val="8.0"/>
      <color theme="1"/>
      <name val="Poppins"/>
    </font>
    <font>
      <sz val="8.0"/>
      <color theme="1"/>
      <name val="Poppins"/>
    </font>
    <font>
      <b/>
      <u/>
      <color rgb="FF0000FF"/>
      <name val="Poppins"/>
    </font>
    <font>
      <u/>
      <color rgb="FF0000FF"/>
    </font>
    <font>
      <color rgb="FF000000"/>
      <name val="Arial"/>
      <scheme val="minor"/>
    </font>
  </fonts>
  <fills count="7">
    <fill>
      <patternFill patternType="none"/>
    </fill>
    <fill>
      <patternFill patternType="lightGray"/>
    </fill>
    <fill>
      <patternFill patternType="solid">
        <fgColor rgb="FFB7B7B7"/>
        <bgColor rgb="FFB7B7B7"/>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4D4D4"/>
        <bgColor rgb="FFD4D4D4"/>
      </patternFill>
    </fill>
  </fills>
  <borders count="13">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2" fillId="0" fontId="1" numFmtId="165" xfId="0" applyAlignment="1" applyBorder="1" applyFont="1" applyNumberFormat="1">
      <alignment horizontal="center" readingOrder="0"/>
    </xf>
    <xf borderId="3" fillId="0" fontId="1" numFmtId="0" xfId="0" applyAlignment="1" applyBorder="1" applyFont="1">
      <alignment horizontal="center" readingOrder="0"/>
    </xf>
    <xf borderId="4" fillId="0" fontId="2" numFmtId="0" xfId="0" applyAlignment="1" applyBorder="1" applyFont="1">
      <alignment readingOrder="0"/>
    </xf>
    <xf borderId="5" fillId="0" fontId="2" numFmtId="164" xfId="0" applyAlignment="1" applyBorder="1" applyFont="1" applyNumberFormat="1">
      <alignment readingOrder="0"/>
    </xf>
    <xf borderId="5" fillId="0" fontId="2" numFmtId="0" xfId="0" applyAlignment="1" applyBorder="1" applyFont="1">
      <alignment readingOrder="0"/>
    </xf>
    <xf borderId="5" fillId="0" fontId="2" numFmtId="0" xfId="0" applyBorder="1" applyFont="1"/>
    <xf borderId="5" fillId="0" fontId="2" numFmtId="165" xfId="0" applyAlignment="1" applyBorder="1" applyFont="1" applyNumberFormat="1">
      <alignment readingOrder="0"/>
    </xf>
    <xf borderId="5" fillId="0" fontId="2" numFmtId="167" xfId="0" applyAlignment="1" applyBorder="1" applyFont="1" applyNumberFormat="1">
      <alignment readingOrder="0"/>
    </xf>
    <xf borderId="5" fillId="0" fontId="2" numFmtId="14" xfId="0" applyAlignment="1" applyBorder="1" applyFont="1" applyNumberFormat="1">
      <alignment readingOrder="0"/>
    </xf>
    <xf borderId="6" fillId="0" fontId="2" numFmtId="0" xfId="0" applyAlignment="1" applyBorder="1" applyFont="1">
      <alignment readingOrder="0"/>
    </xf>
    <xf borderId="0" fillId="0" fontId="2" numFmtId="0" xfId="0" applyFont="1"/>
    <xf borderId="0" fillId="0" fontId="2" numFmtId="165" xfId="0" applyFont="1" applyNumberFormat="1"/>
    <xf borderId="0" fillId="0" fontId="2" numFmtId="168" xfId="0" applyFont="1" applyNumberFormat="1"/>
    <xf borderId="0" fillId="0" fontId="2" numFmtId="165"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horizontal="center" readingOrder="0"/>
    </xf>
    <xf borderId="7" fillId="2" fontId="3" numFmtId="0" xfId="0" applyAlignment="1" applyBorder="1" applyFill="1" applyFont="1">
      <alignment readingOrder="0"/>
    </xf>
    <xf borderId="7" fillId="3" fontId="3" numFmtId="0" xfId="0" applyBorder="1" applyFill="1" applyFont="1"/>
    <xf borderId="0" fillId="0" fontId="4" numFmtId="0" xfId="0" applyAlignment="1" applyFont="1">
      <alignment readingOrder="0"/>
    </xf>
    <xf borderId="0" fillId="0" fontId="4" numFmtId="167" xfId="0" applyAlignment="1" applyFont="1" applyNumberFormat="1">
      <alignment readingOrder="0"/>
    </xf>
    <xf borderId="0" fillId="0" fontId="3" numFmtId="0" xfId="0" applyAlignment="1" applyFont="1">
      <alignment readingOrder="0"/>
    </xf>
    <xf borderId="0" fillId="0" fontId="2" numFmtId="166" xfId="0" applyAlignment="1" applyFont="1" applyNumberFormat="1">
      <alignment horizontal="center" readingOrder="0"/>
    </xf>
    <xf borderId="0" fillId="0" fontId="2" numFmtId="14" xfId="0" applyFont="1" applyNumberFormat="1"/>
    <xf borderId="7" fillId="0" fontId="2" numFmtId="0" xfId="0" applyBorder="1" applyFont="1"/>
    <xf borderId="0" fillId="0" fontId="2" numFmtId="10" xfId="0" applyAlignment="1" applyFont="1" applyNumberFormat="1">
      <alignment readingOrder="0"/>
    </xf>
    <xf borderId="7" fillId="3" fontId="3" numFmtId="165" xfId="0" applyBorder="1" applyFont="1" applyNumberFormat="1"/>
    <xf borderId="0" fillId="2" fontId="3" numFmtId="0" xfId="0" applyAlignment="1" applyFont="1">
      <alignment readingOrder="0"/>
    </xf>
    <xf borderId="0" fillId="3" fontId="3" numFmtId="165" xfId="0" applyFont="1" applyNumberFormat="1"/>
    <xf borderId="0" fillId="0" fontId="2" numFmtId="167" xfId="0" applyAlignment="1" applyFont="1" applyNumberFormat="1">
      <alignment readingOrder="0"/>
    </xf>
    <xf borderId="0" fillId="0" fontId="2" numFmtId="0" xfId="0" applyAlignment="1" applyFont="1">
      <alignment horizontal="center" readingOrder="0"/>
    </xf>
    <xf borderId="0" fillId="0" fontId="2" numFmtId="167" xfId="0" applyAlignment="1" applyFont="1" applyNumberFormat="1">
      <alignment horizontal="center" readingOrder="0"/>
    </xf>
    <xf borderId="0" fillId="0" fontId="2" numFmtId="10" xfId="0" applyFont="1" applyNumberFormat="1"/>
    <xf borderId="0" fillId="3" fontId="3" numFmtId="0" xfId="0" applyFont="1"/>
    <xf borderId="0" fillId="0" fontId="5" numFmtId="0" xfId="0" applyFont="1"/>
    <xf borderId="0" fillId="0" fontId="5" numFmtId="0" xfId="0" applyAlignment="1" applyFont="1">
      <alignment readingOrder="0"/>
    </xf>
    <xf borderId="8" fillId="4" fontId="6" numFmtId="0" xfId="0" applyAlignment="1" applyBorder="1" applyFill="1" applyFont="1">
      <alignment horizontal="center" shrinkToFit="0" vertical="bottom" wrapText="1"/>
    </xf>
    <xf borderId="9" fillId="0" fontId="7" numFmtId="0" xfId="0" applyBorder="1" applyFont="1"/>
    <xf borderId="10" fillId="0" fontId="7" numFmtId="0" xfId="0" applyBorder="1" applyFont="1"/>
    <xf borderId="0" fillId="0" fontId="8" numFmtId="0" xfId="0" applyAlignment="1" applyFont="1">
      <alignment vertical="bottom"/>
    </xf>
    <xf borderId="0" fillId="0" fontId="9" numFmtId="0" xfId="0" applyFont="1"/>
    <xf borderId="0" fillId="0" fontId="9" numFmtId="167" xfId="0" applyFont="1" applyNumberFormat="1"/>
    <xf borderId="11" fillId="0" fontId="10" numFmtId="1" xfId="0" applyAlignment="1" applyBorder="1" applyFont="1" applyNumberFormat="1">
      <alignment horizontal="center" shrinkToFit="0" vertical="bottom" wrapText="1"/>
    </xf>
    <xf borderId="12" fillId="5" fontId="11" numFmtId="1" xfId="0" applyAlignment="1" applyBorder="1" applyFill="1" applyFont="1" applyNumberFormat="1">
      <alignment horizontal="center" vertical="bottom"/>
    </xf>
    <xf borderId="12" fillId="0" fontId="10" numFmtId="1" xfId="0" applyAlignment="1" applyBorder="1" applyFont="1" applyNumberFormat="1">
      <alignment horizontal="center" shrinkToFit="0" vertical="bottom" wrapText="1"/>
    </xf>
    <xf borderId="12" fillId="5" fontId="10" numFmtId="169" xfId="0" applyAlignment="1" applyBorder="1" applyFont="1" applyNumberFormat="1">
      <alignment horizontal="center" readingOrder="0" shrinkToFit="0" vertical="bottom" wrapText="1"/>
    </xf>
    <xf borderId="11" fillId="0" fontId="10" numFmtId="0" xfId="0" applyAlignment="1" applyBorder="1" applyFont="1">
      <alignment horizontal="center" shrinkToFit="0" vertical="bottom" wrapText="1"/>
    </xf>
    <xf borderId="12" fillId="0" fontId="10" numFmtId="0" xfId="0" applyAlignment="1" applyBorder="1" applyFont="1">
      <alignment horizontal="center" shrinkToFit="0" vertical="bottom" wrapText="1"/>
    </xf>
    <xf borderId="0" fillId="0" fontId="8" numFmtId="4" xfId="0" applyAlignment="1" applyFont="1" applyNumberFormat="1">
      <alignment vertical="bottom"/>
    </xf>
    <xf borderId="11" fillId="0" fontId="10" numFmtId="0" xfId="0" applyAlignment="1" applyBorder="1" applyFont="1">
      <alignment vertical="bottom"/>
    </xf>
    <xf borderId="12" fillId="0" fontId="10" numFmtId="10" xfId="0" applyAlignment="1" applyBorder="1" applyFont="1" applyNumberFormat="1">
      <alignment horizontal="center" vertical="bottom"/>
    </xf>
    <xf borderId="7" fillId="0" fontId="8" numFmtId="0" xfId="0" applyAlignment="1" applyBorder="1" applyFont="1">
      <alignment vertical="bottom"/>
    </xf>
    <xf borderId="7" fillId="0" fontId="8" numFmtId="169" xfId="0" applyAlignment="1" applyBorder="1" applyFont="1" applyNumberFormat="1">
      <alignment vertical="bottom"/>
    </xf>
    <xf borderId="0" fillId="0" fontId="9" numFmtId="165" xfId="0" applyFont="1" applyNumberFormat="1"/>
    <xf borderId="0" fillId="0" fontId="12" numFmtId="0" xfId="0" applyAlignment="1" applyFont="1">
      <alignment vertical="bottom"/>
    </xf>
    <xf borderId="0" fillId="0" fontId="8" numFmtId="170" xfId="0" applyAlignment="1" applyFont="1" applyNumberFormat="1">
      <alignment vertical="bottom"/>
    </xf>
    <xf borderId="7" fillId="5" fontId="8" numFmtId="170" xfId="0" applyAlignment="1" applyBorder="1" applyFont="1" applyNumberFormat="1">
      <alignment vertical="bottom"/>
    </xf>
    <xf borderId="0" fillId="0" fontId="8" numFmtId="165" xfId="0" applyAlignment="1" applyFont="1" applyNumberFormat="1">
      <alignment vertical="bottom"/>
    </xf>
    <xf borderId="0" fillId="0" fontId="8" numFmtId="171" xfId="0" applyAlignment="1" applyFont="1" applyNumberFormat="1">
      <alignment vertical="bottom"/>
    </xf>
    <xf borderId="7" fillId="6" fontId="13" numFmtId="165" xfId="0" applyAlignment="1" applyBorder="1" applyFill="1" applyFont="1" applyNumberFormat="1">
      <alignment vertical="top"/>
    </xf>
    <xf borderId="7" fillId="0" fontId="14" numFmtId="164" xfId="0" applyAlignment="1" applyBorder="1" applyFont="1" applyNumberFormat="1">
      <alignment horizontal="right" readingOrder="0" vertical="top"/>
    </xf>
    <xf borderId="7" fillId="0" fontId="14" numFmtId="164" xfId="0" applyAlignment="1" applyBorder="1" applyFont="1" applyNumberFormat="1">
      <alignment horizontal="right" vertical="top"/>
    </xf>
    <xf borderId="7" fillId="6" fontId="13" numFmtId="0" xfId="0" applyAlignment="1" applyBorder="1" applyFont="1">
      <alignment vertical="top"/>
    </xf>
    <xf borderId="0" fillId="5" fontId="8" numFmtId="0" xfId="0" applyAlignment="1" applyFont="1">
      <alignment vertical="top"/>
    </xf>
    <xf borderId="0" fillId="0" fontId="9" numFmtId="0" xfId="0" applyAlignment="1" applyFont="1">
      <alignment readingOrder="0"/>
    </xf>
    <xf borderId="7" fillId="6" fontId="15" numFmtId="0" xfId="0" applyAlignment="1" applyBorder="1" applyFont="1">
      <alignment readingOrder="0" shrinkToFit="0" vertical="top" wrapText="1"/>
    </xf>
    <xf borderId="7" fillId="0" fontId="16" numFmtId="168" xfId="0" applyAlignment="1" applyBorder="1" applyFont="1" applyNumberFormat="1">
      <alignment horizontal="right" readingOrder="0" vertical="top"/>
    </xf>
    <xf borderId="7" fillId="0" fontId="16" numFmtId="10" xfId="0" applyAlignment="1" applyBorder="1" applyFont="1" applyNumberFormat="1">
      <alignment horizontal="right" readingOrder="0" vertical="top"/>
    </xf>
    <xf borderId="7" fillId="6" fontId="8" numFmtId="0" xfId="0" applyAlignment="1" applyBorder="1" applyFont="1">
      <alignment vertical="top"/>
    </xf>
    <xf borderId="7" fillId="0" fontId="8" numFmtId="164" xfId="0" applyAlignment="1" applyBorder="1" applyFont="1" applyNumberFormat="1">
      <alignment vertical="top"/>
    </xf>
    <xf borderId="0" fillId="0" fontId="17" numFmtId="0" xfId="0" applyAlignment="1" applyFont="1">
      <alignment readingOrder="0"/>
    </xf>
    <xf borderId="0" fillId="0" fontId="9" numFmtId="168" xfId="0" applyAlignment="1" applyFont="1" applyNumberFormat="1">
      <alignment readingOrder="0"/>
    </xf>
    <xf borderId="0" fillId="0" fontId="9" numFmtId="10" xfId="0" applyFont="1" applyNumberFormat="1"/>
    <xf borderId="0" fillId="0" fontId="9" numFmtId="168" xfId="0" applyFont="1" applyNumberFormat="1"/>
    <xf borderId="0" fillId="0" fontId="5" numFmtId="165" xfId="0" applyFont="1" applyNumberFormat="1"/>
    <xf borderId="0" fillId="0" fontId="18" numFmtId="0" xfId="0" applyAlignment="1" applyFont="1">
      <alignment readingOrder="0"/>
    </xf>
    <xf borderId="6" fillId="0" fontId="2" numFmtId="11" xfId="0" applyAlignment="1" applyBorder="1" applyFont="1" applyNumberFormat="1">
      <alignment readingOrder="0"/>
    </xf>
    <xf borderId="4" fillId="0" fontId="2" numFmtId="0" xfId="0" applyBorder="1" applyFont="1"/>
    <xf borderId="0" fillId="0" fontId="2" numFmtId="0" xfId="0" applyFont="1"/>
    <xf borderId="0" fillId="0" fontId="2" numFmtId="164" xfId="0" applyFont="1" applyNumberFormat="1"/>
    <xf borderId="0" fillId="0" fontId="19" numFmtId="0" xfId="0" applyAlignment="1" applyFont="1">
      <alignment readingOrder="0"/>
    </xf>
    <xf borderId="0" fillId="0" fontId="19" numFmtId="167" xfId="0" applyAlignment="1" applyFont="1" applyNumberFormat="1">
      <alignment readingOrder="0"/>
    </xf>
    <xf borderId="0" fillId="0" fontId="19" numFmtId="0" xfId="0" applyFont="1"/>
    <xf borderId="0" fillId="0" fontId="2" numFmtId="164" xfId="0" applyAlignment="1" applyFont="1" applyNumberFormat="1">
      <alignment readingOrder="0"/>
    </xf>
    <xf borderId="0" fillId="0" fontId="2" numFmtId="166" xfId="0" applyFont="1" applyNumberFormat="1"/>
    <xf borderId="0" fillId="0" fontId="2" numFmtId="11"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6">
    <tableStyle count="3" pivot="0" name="Detail5-4214658-style">
      <tableStyleElement dxfId="1" type="headerRow"/>
      <tableStyleElement dxfId="2" type="firstRowStripe"/>
      <tableStyleElement dxfId="3" type="secondRowStripe"/>
    </tableStyle>
    <tableStyle count="3" pivot="0" name="Detail4-4117067-style">
      <tableStyleElement dxfId="1" type="headerRow"/>
      <tableStyleElement dxfId="2" type="firstRowStripe"/>
      <tableStyleElement dxfId="3" type="secondRowStripe"/>
    </tableStyle>
    <tableStyle count="3" pivot="0" name="Detail6-4440958-style">
      <tableStyleElement dxfId="1" type="headerRow"/>
      <tableStyleElement dxfId="2" type="firstRowStripe"/>
      <tableStyleElement dxfId="3" type="secondRowStripe"/>
    </tableStyle>
    <tableStyle count="3" pivot="0" name="Detail3-style">
      <tableStyleElement dxfId="1" type="headerRow"/>
      <tableStyleElement dxfId="2" type="firstRowStripe"/>
      <tableStyleElement dxfId="3" type="secondRowStripe"/>
    </tableStyle>
    <tableStyle count="3" pivot="0" name="Detail2-4075965-style">
      <tableStyleElement dxfId="1" type="headerRow"/>
      <tableStyleElement dxfId="2" type="firstRowStripe"/>
      <tableStyleElement dxfId="3" type="secondRowStripe"/>
    </tableStyle>
    <tableStyle count="3" pivot="0" name="Detail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pivotCacheDefinition" Target="pivotCache/pivotCacheDefinition1.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pivotCacheDefinition" Target="pivotCache/pivotCacheDefinition3.xml"/><Relationship Id="rId12" Type="http://schemas.openxmlformats.org/officeDocument/2006/relationships/worksheet" Target="worksheets/sheet8.xml"/><Relationship Id="rId23"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182" sheet="Redash Pull of Activated Org GP"/>
  </cacheSource>
  <cacheFields>
    <cacheField name="current_tier" numFmtId="0">
      <sharedItems containsBlank="1">
        <s v="Melio Unlimited Ach"/>
        <s v="Melio Plus"/>
        <s v="Melio Basic"/>
        <s v="Melio Pro"/>
        <s v="Melio Accounting Client Core"/>
        <s v="Melio VIP"/>
        <m/>
        <s v="Melio Unlimited Free Trial"/>
      </sharedItems>
    </cacheField>
    <cacheField name="month" numFmtId="164">
      <sharedItems containsSemiMixedTypes="0" containsDate="1" containsString="0">
        <d v="2026-06-01T00:00:00Z"/>
        <d v="2025-08-01T00:00:00Z"/>
        <d v="2026-03-01T00:00:00Z"/>
        <d v="2026-05-01T00:00:00Z"/>
        <d v="2025-09-01T00:00:00Z"/>
        <d v="2026-02-01T00:00:00Z"/>
        <d v="2026-04-01T00:00:00Z"/>
        <d v="2026-01-01T00:00:00Z"/>
        <d v="2025-10-01T00:00:00Z"/>
        <d v="2025-12-01T00:00:00Z"/>
        <d v="2025-11-01T00:00:00Z"/>
        <d v="2025-07-01T00:00:00Z"/>
        <d v="2025-06-01T00:00:00Z"/>
        <d v="2024-03-01T00:00:00Z"/>
        <d v="2024-02-01T00:00:00Z"/>
        <d v="2024-08-01T00:00:00Z"/>
        <d v="2024-01-01T00:00:00Z"/>
        <d v="2025-04-01T00:00:00Z"/>
        <d v="2024-04-01T00:00:00Z"/>
        <d v="2025-02-01T00:00:00Z"/>
        <d v="2024-06-01T00:00:00Z"/>
        <d v="2024-09-01T00:00:00Z"/>
        <d v="2024-12-01T00:00:00Z"/>
        <d v="2024-10-01T00:00:00Z"/>
        <d v="2024-11-01T00:00:00Z"/>
        <d v="2025-05-01T00:00:00Z"/>
        <d v="2023-12-01T00:00:00Z"/>
        <d v="2024-07-01T00:00:00Z"/>
        <d v="2025-03-01T00:00:00Z"/>
        <d v="2023-04-01T00:00:00Z"/>
        <d v="2023-10-01T00:00:00Z"/>
        <d v="2023-11-01T00:00:00Z"/>
        <d v="2024-05-01T00:00:00Z"/>
        <d v="2022-12-01T00:00:00Z"/>
        <d v="2025-01-01T00:00:00Z"/>
        <d v="2022-10-01T00:00:00Z"/>
        <d v="2023-03-01T00:00:00Z"/>
        <d v="2022-09-01T00:00:00Z"/>
        <d v="2020-06-01T00:00:00Z"/>
      </sharedItems>
    </cacheField>
    <cacheField name="initiated_by_org_id" numFmtId="0">
      <sharedItems containsSemiMixedTypes="0" containsString="0" containsNumber="1" containsInteger="1">
        <n v="1938612.0"/>
        <n v="3945715.0"/>
        <n v="4027774.0"/>
        <n v="4239924.0"/>
        <n v="4181210.0"/>
        <n v="4068848.0"/>
        <n v="3275131.0"/>
        <n v="3543707.0"/>
        <n v="4405027.0"/>
        <n v="4248506.0"/>
        <n v="4308093.0"/>
        <n v="4011819.0"/>
        <n v="3946131.0"/>
        <n v="4622664.0"/>
        <n v="4332104.0"/>
        <n v="4595676.0"/>
        <n v="3906405.0"/>
        <n v="4271363.0"/>
        <n v="4178047.0"/>
        <n v="4031755.0"/>
        <n v="4359494.0"/>
        <n v="4263325.0"/>
        <n v="4039652.0"/>
        <n v="4220233.0"/>
        <n v="4099073.0"/>
        <n v="4400582.0"/>
        <n v="2402714.0"/>
        <n v="4302067.0"/>
        <n v="4294933.0"/>
        <n v="4496351.0"/>
        <n v="4359669.0"/>
        <n v="2710123.0"/>
        <n v="4136460.0"/>
        <n v="4329147.0"/>
        <n v="2153287.0"/>
        <n v="3825826.0"/>
        <n v="3952865.0"/>
        <n v="47426.0"/>
        <n v="4268726.0"/>
        <n v="4489894.0"/>
        <n v="3683365.0"/>
        <n v="4266723.0"/>
        <n v="4252854.0"/>
        <n v="4440958.0"/>
        <n v="100325.0"/>
        <n v="4239927.0"/>
        <n v="4271411.0"/>
        <n v="4233219.0"/>
        <n v="4233333.0"/>
        <n v="4018525.0"/>
        <n v="4134744.0"/>
        <n v="4374819.0"/>
        <n v="4136952.0"/>
        <n v="4428477.0"/>
        <n v="4208610.0"/>
        <n v="3970546.0"/>
        <n v="4112463.0"/>
        <n v="4096547.0"/>
        <n v="4270780.0"/>
        <n v="2340816.0"/>
        <n v="4520048.0"/>
        <n v="3947424.0"/>
        <n v="4254984.0"/>
        <n v="4277306.0"/>
        <n v="3024156.0"/>
        <n v="4031652.0"/>
        <n v="3408624.0"/>
        <n v="4509013.0"/>
        <n v="3962143.0"/>
        <n v="3265302.0"/>
        <n v="4485019.0"/>
        <n v="4491049.0"/>
        <n v="3942346.0"/>
        <n v="4380860.0"/>
        <n v="3942651.0"/>
        <n v="2967694.0"/>
        <n v="3958943.0"/>
        <n v="4079539.0"/>
        <n v="4125771.0"/>
        <n v="3997416.0"/>
        <n v="4223822.0"/>
        <n v="4214658.0"/>
        <n v="4162423.0"/>
        <n v="3383444.0"/>
        <n v="3514759.0"/>
        <n v="4079020.0"/>
        <n v="489723.0"/>
        <n v="3090633.0"/>
        <n v="4161223.0"/>
        <n v="4213575.0"/>
        <n v="4138622.0"/>
        <n v="4233905.0"/>
        <n v="4186958.0"/>
        <n v="4100689.0"/>
        <n v="3956509.0"/>
        <n v="4378644.0"/>
        <n v="4442279.0"/>
        <n v="4307473.0"/>
        <n v="3738104.0"/>
        <n v="4310103.0"/>
        <n v="3959338.0"/>
        <n v="3785914.0"/>
        <n v="4585208.0"/>
        <n v="4314059.0"/>
        <n v="4528120.0"/>
        <n v="4188267.0"/>
        <n v="3968250.0"/>
        <n v="4269437.0"/>
        <n v="4301071.0"/>
        <n v="4269343.0"/>
        <n v="4516557.0"/>
        <n v="4548015.0"/>
        <n v="4038405.0"/>
        <n v="4265889.0"/>
        <n v="4221007.0"/>
        <n v="4462029.0"/>
        <n v="4443098.0"/>
        <n v="4010351.0"/>
        <n v="3085000.0"/>
        <n v="4107679.0"/>
        <n v="4239923.0"/>
        <n v="4327510.0"/>
        <n v="4404380.0"/>
        <n v="4359468.0"/>
        <n v="3977410.0"/>
        <n v="4601844.0"/>
        <n v="4103219.0"/>
        <n v="4117067.0"/>
        <n v="4410778.0"/>
        <n v="4030970.0"/>
        <n v="4169152.0"/>
        <n v="4008827.0"/>
        <n v="4027648.0"/>
        <n v="3934711.0"/>
        <n v="3934664.0"/>
        <n v="4299448.0"/>
        <n v="3935770.0"/>
        <n v="4239966.0"/>
        <n v="4556248.0"/>
        <n v="4239920.0"/>
        <n v="4287245.0"/>
        <n v="4356919.0"/>
        <n v="4530037.0"/>
        <n v="4098415.0"/>
        <n v="4318853.0"/>
        <n v="4154266.0"/>
        <n v="4520936.0"/>
        <n v="4111269.0"/>
        <n v="4161378.0"/>
        <n v="3221188.0"/>
        <n v="3987123.0"/>
        <n v="4646113.0"/>
        <n v="4339749.0"/>
        <n v="4643465.0"/>
        <n v="4539135.0"/>
        <n v="4490170.0"/>
        <n v="4245113.0"/>
        <n v="4531933.0"/>
        <n v="4345385.0"/>
        <n v="3782339.0"/>
        <n v="4231672.0"/>
        <n v="4693674.0"/>
        <n v="4654585.0"/>
        <n v="4185373.0"/>
        <n v="4299558.0"/>
        <n v="4521121.0"/>
        <n v="2428419.0"/>
        <n v="492746.0"/>
        <n v="4443037.0"/>
        <n v="4334745.0"/>
        <n v="4272922.0"/>
        <n v="4075965.0"/>
        <n v="4132416.0"/>
        <n v="4299613.0"/>
        <n v="4247168.0"/>
        <n v="4309608.0"/>
        <n v="3869676.0"/>
        <n v="4521114.0"/>
        <n v="3328212.0"/>
        <n v="4369936.0"/>
        <n v="4214998.0"/>
        <n v="4671781.0"/>
        <n v="4022041.0"/>
        <n v="4477095.0"/>
        <n v="4522341.0"/>
        <n v="4148405.0"/>
        <n v="4410846.0"/>
        <n v="4496271.0"/>
        <n v="4265985.0"/>
        <n v="4277302.0"/>
        <n v="4474354.0"/>
        <n v="4533194.0"/>
        <n v="4161417.0"/>
        <n v="4255268.0"/>
        <n v="4161412.0"/>
        <n v="3499607.0"/>
        <n v="4222088.0"/>
        <n v="4016001.0"/>
        <n v="4166316.0"/>
        <n v="4011251.0"/>
        <n v="4044926.0"/>
        <n v="4277145.0"/>
        <n v="4525842.0"/>
        <n v="4115795.0"/>
        <n v="4613356.0"/>
        <n v="4219847.0"/>
        <n v="4471409.0"/>
        <n v="4342016.0"/>
        <n v="4080340.0"/>
        <n v="4359265.0"/>
        <n v="4525429.0"/>
        <n v="4117708.0"/>
        <n v="3993022.0"/>
        <n v="4155276.0"/>
        <n v="4653751.0"/>
        <n v="4645494.0"/>
        <n v="4643229.0"/>
        <n v="4659388.0"/>
        <n v="4213771.0"/>
        <n v="3991830.0"/>
        <n v="4172812.0"/>
        <n v="4064786.0"/>
        <n v="4410826.0"/>
        <n v="4686225.0"/>
      </sharedItems>
    </cacheField>
    <cacheField name="activation_month" numFmtId="164">
      <sharedItems containsSemiMixedTypes="0" containsDate="1" containsString="0">
        <d v="2025-11-01T00:00:00Z"/>
        <d v="2025-06-01T00:00:00Z"/>
        <d v="2026-06-01T00:00:00Z"/>
        <d v="2025-12-01T00:00:00Z"/>
        <d v="2026-03-01T00:00:00Z"/>
        <d v="2025-08-01T00:00:00Z"/>
        <d v="2025-07-01T00:00:00Z"/>
        <d v="2025-09-01T00:00:00Z"/>
        <d v="2026-02-01T00:00:00Z"/>
        <d v="2026-01-01T00:00:00Z"/>
        <d v="2026-04-01T00:00:00Z"/>
        <d v="2025-05-01T00:00:00Z"/>
        <d v="2025-10-01T00:00:00Z"/>
        <d v="2024-01-01T00:00:00Z"/>
        <d v="2022-09-01T00:00:00Z"/>
        <d v="2020-06-01T00:00:00Z"/>
        <d v="2023-10-01T00:00:00Z"/>
        <d v="2024-03-01T00:00:00Z"/>
        <d v="2024-07-01T00:00:00Z"/>
        <d v="2025-04-01T00:00:00Z"/>
        <d v="2026-05-01T00:00:00Z"/>
        <d v="2024-02-01T00:00:00Z"/>
      </sharedItems>
    </cacheField>
    <cacheField name="total_payments" numFmtId="0">
      <sharedItems containsSemiMixedTypes="0" containsString="0" containsNumber="1" containsInteger="1">
        <n v="12.0"/>
        <n v="20.0"/>
        <n v="274.0"/>
        <n v="2.0"/>
        <n v="5.0"/>
        <n v="26.0"/>
        <n v="3.0"/>
        <n v="25.0"/>
        <n v="1.0"/>
        <n v="22.0"/>
        <n v="6.0"/>
        <n v="67.0"/>
        <n v="9.0"/>
        <n v="4.0"/>
        <n v="16.0"/>
        <n v="8.0"/>
        <n v="11.0"/>
        <n v="23.0"/>
        <n v="28.0"/>
        <n v="18.0"/>
        <n v="117.0"/>
        <n v="73.0"/>
        <n v="33.0"/>
        <n v="7.0"/>
        <n v="160.0"/>
        <n v="21.0"/>
        <n v="56.0"/>
        <n v="68.0"/>
        <n v="17.0"/>
        <n v="79.0"/>
        <n v="39.0"/>
        <n v="14.0"/>
        <n v="95.0"/>
        <n v="53.0"/>
        <n v="36.0"/>
        <n v="31.0"/>
        <n v="116.0"/>
        <n v="69.0"/>
        <n v="58.0"/>
        <n v="10.0"/>
        <n v="139.0"/>
        <n v="110.0"/>
        <n v="24.0"/>
        <n v="77.0"/>
        <n v="57.0"/>
        <n v="65.0"/>
        <n v="59.0"/>
        <n v="15.0"/>
        <n v="49.0"/>
        <n v="13.0"/>
        <n v="141.0"/>
        <n v="88.0"/>
        <n v="101.0"/>
        <n v="29.0"/>
        <n v="78.0"/>
        <n v="75.0"/>
        <n v="43.0"/>
        <n v="82.0"/>
        <n v="30.0"/>
        <n v="32.0"/>
        <n v="731.0"/>
        <n v="44.0"/>
        <n v="64.0"/>
        <n v="66.0"/>
        <n v="125.0"/>
        <n v="85.0"/>
        <n v="51.0"/>
        <n v="71.0"/>
        <n v="47.0"/>
        <n v="159.0"/>
        <n v="34.0"/>
        <n v="50.0"/>
        <n v="19.0"/>
        <n v="46.0"/>
        <n v="48.0"/>
        <n v="42.0"/>
        <n v="40.0"/>
        <n v="60.0"/>
        <n v="62.0"/>
        <n v="27.0"/>
        <n v="107.0"/>
        <n v="72.0"/>
        <n v="38.0"/>
        <n v="96.0"/>
        <n v="92.0"/>
        <n v="306.0"/>
        <n v="35.0"/>
        <n v="84.0"/>
        <n v="148.0"/>
        <n v="81.0"/>
        <n v="802.0"/>
        <n v="41.0"/>
        <n v="83.0"/>
        <n v="80.0"/>
        <n v="393.0"/>
        <n v="260.0"/>
        <n v="129.0"/>
        <n v="197.0"/>
        <n v="74.0"/>
        <n v="54.0"/>
        <n v="45.0"/>
        <n v="37.0"/>
        <n v="163.0"/>
        <n v="155.0"/>
        <n v="112.0"/>
        <n v="338.0"/>
        <n v="134.0"/>
        <n v="135.0"/>
        <n v="264.0"/>
        <n v="99.0"/>
        <n v="52.0"/>
        <n v="97.0"/>
        <n v="91.0"/>
        <n v="485.0"/>
        <n v="128.0"/>
        <n v="165.0"/>
        <n v="100.0"/>
        <n v="89.0"/>
        <n v="191.0"/>
        <n v="70.0"/>
        <n v="248.0"/>
        <n v="105.0"/>
        <n v="216.0"/>
        <n v="206.0"/>
        <n v="76.0"/>
        <n v="136.0"/>
        <n v="55.0"/>
        <n v="519.0"/>
        <n v="61.0"/>
        <n v="397.0"/>
        <n v="193.0"/>
        <n v="177.0"/>
      </sharedItems>
    </cacheField>
    <cacheField name="ach_payments" numFmtId="0">
      <sharedItems containsSemiMixedTypes="0" containsString="0" containsNumber="1" containsInteger="1">
        <n v="12.0"/>
        <n v="4.0"/>
        <n v="274.0"/>
        <n v="2.0"/>
        <n v="1.0"/>
        <n v="3.0"/>
        <n v="25.0"/>
        <n v="0.0"/>
        <n v="22.0"/>
        <n v="67.0"/>
        <n v="9.0"/>
        <n v="20.0"/>
        <n v="26.0"/>
        <n v="16.0"/>
        <n v="7.0"/>
        <n v="11.0"/>
        <n v="23.0"/>
        <n v="28.0"/>
        <n v="18.0"/>
        <n v="117.0"/>
        <n v="5.0"/>
        <n v="33.0"/>
        <n v="160.0"/>
        <n v="6.0"/>
        <n v="21.0"/>
        <n v="8.0"/>
        <n v="56.0"/>
        <n v="68.0"/>
        <n v="17.0"/>
        <n v="79.0"/>
        <n v="39.0"/>
        <n v="14.0"/>
        <n v="95.0"/>
        <n v="53.0"/>
        <n v="36.0"/>
        <n v="31.0"/>
        <n v="116.0"/>
        <n v="69.0"/>
        <n v="58.0"/>
        <n v="10.0"/>
        <n v="139.0"/>
        <n v="110.0"/>
        <n v="24.0"/>
        <n v="57.0"/>
        <n v="65.0"/>
        <n v="15.0"/>
        <n v="13.0"/>
        <n v="49.0"/>
        <n v="141.0"/>
        <n v="88.0"/>
        <n v="101.0"/>
        <n v="29.0"/>
        <n v="78.0"/>
        <n v="75.0"/>
        <n v="50.0"/>
        <n v="43.0"/>
        <n v="82.0"/>
        <n v="27.0"/>
        <n v="32.0"/>
        <n v="731.0"/>
        <n v="44.0"/>
        <n v="46.0"/>
        <n v="125.0"/>
        <n v="85.0"/>
        <n v="71.0"/>
        <n v="47.0"/>
        <n v="159.0"/>
        <n v="19.0"/>
        <n v="48.0"/>
        <n v="77.0"/>
        <n v="38.0"/>
        <n v="59.0"/>
        <n v="62.0"/>
        <n v="107.0"/>
        <n v="72.0"/>
        <n v="96.0"/>
        <n v="92.0"/>
        <n v="34.0"/>
        <n v="306.0"/>
        <n v="84.0"/>
        <n v="148.0"/>
        <n v="81.0"/>
        <n v="802.0"/>
        <n v="41.0"/>
        <n v="83.0"/>
        <n v="80.0"/>
        <n v="393.0"/>
        <n v="260.0"/>
        <n v="129.0"/>
        <n v="30.0"/>
        <n v="197.0"/>
        <n v="60.0"/>
        <n v="73.0"/>
        <n v="54.0"/>
        <n v="45.0"/>
        <n v="37.0"/>
        <n v="42.0"/>
        <n v="163.0"/>
        <n v="155.0"/>
        <n v="112.0"/>
        <n v="338.0"/>
        <n v="134.0"/>
        <n v="135.0"/>
        <n v="264.0"/>
        <n v="99.0"/>
        <n v="52.0"/>
        <n v="97.0"/>
        <n v="35.0"/>
        <n v="91.0"/>
        <n v="485.0"/>
        <n v="128.0"/>
        <n v="165.0"/>
        <n v="100.0"/>
        <n v="66.0"/>
        <n v="51.0"/>
        <n v="89.0"/>
        <n v="191.0"/>
        <n v="70.0"/>
        <n v="248.0"/>
        <n v="105.0"/>
        <n v="216.0"/>
        <n v="206.0"/>
        <n v="76.0"/>
        <n v="136.0"/>
        <n v="55.0"/>
        <n v="519.0"/>
        <n v="397.0"/>
        <n v="193.0"/>
        <n v="177.0"/>
      </sharedItems>
    </cacheField>
    <cacheField name="tpv" numFmtId="0">
      <sharedItems containsSemiMixedTypes="0" containsString="0" containsNumber="1">
        <n v="50342.04"/>
        <n v="221637.92"/>
        <n v="1866713.88"/>
        <n v="4808.9"/>
        <n v="15146.75"/>
        <n v="22035.73"/>
        <n v="8968.14"/>
        <n v="59668.86"/>
        <n v="18000.0"/>
        <n v="21080.52"/>
        <n v="131333.82"/>
        <n v="1358.14"/>
        <n v="334203.32"/>
        <n v="18150.0"/>
        <n v="24262.46"/>
        <n v="81515.9"/>
        <n v="7706.0"/>
        <n v="63457.18"/>
        <n v="126152.95"/>
        <n v="62813.18"/>
        <n v="419657.78"/>
        <n v="1591.92"/>
        <n v="833.4"/>
        <n v="2835.0"/>
        <n v="11966.25"/>
        <n v="34339.89"/>
        <n v="94368.16"/>
        <n v="17288.83"/>
        <n v="0.05"/>
        <n v="167710.44"/>
        <n v="400.0"/>
        <n v="62664.01"/>
        <n v="124823.75"/>
        <n v="3000.0"/>
        <n v="320898.79"/>
        <n v="25688.5"/>
        <n v="5550.0"/>
        <n v="39302.54"/>
        <n v="34031.0"/>
        <n v="85345.09"/>
        <n v="139224.5"/>
        <n v="134882.0"/>
        <n v="280208.91"/>
        <n v="19057.53"/>
        <n v="3588.9"/>
        <n v="207175.0"/>
        <n v="50216.6"/>
        <n v="397010.11"/>
        <n v="6803.9"/>
        <n v="118635.01"/>
        <n v="13793.36"/>
        <n v="2677.0"/>
        <n v="4580.0"/>
        <n v="457283.0"/>
        <n v="10976.25"/>
        <n v="11637.4"/>
        <n v="836230.87"/>
        <n v="306.0"/>
        <n v="171753.41"/>
        <n v="88182.85"/>
        <n v="16109.32"/>
        <n v="114616.7"/>
        <n v="368358.44"/>
        <n v="130340.05"/>
        <n v="58714.56"/>
        <n v="7020.01"/>
        <n v="18936.64"/>
        <n v="971149.21"/>
        <n v="230487.0"/>
        <n v="90151.82"/>
        <n v="21432.9"/>
        <n v="157106.27"/>
        <n v="146487.31"/>
        <n v="441675.47"/>
        <n v="17481.0"/>
        <n v="3250.67"/>
        <n v="50931.46"/>
        <n v="1236.0"/>
        <n v="40939.46"/>
        <n v="336.0"/>
        <n v="90468.08"/>
        <n v="501702.91"/>
        <n v="819280.0"/>
        <n v="3129.96"/>
        <n v="10.0"/>
        <n v="517743.1"/>
        <n v="244830.36"/>
        <n v="263085.81"/>
        <n v="2502.14"/>
        <n v="14858.91"/>
        <n v="37280.08"/>
        <n v="1435467.12"/>
        <n v="232713.88"/>
        <n v="12500.87"/>
        <n v="3257.98"/>
        <n v="102834.56"/>
        <n v="20819.25"/>
        <n v="907.72"/>
        <n v="43942.51"/>
        <n v="5540.0"/>
        <n v="5078.13"/>
        <n v="123.19"/>
        <n v="14121.13"/>
        <n v="5943.5"/>
        <n v="451.78"/>
        <n v="22000.0"/>
        <n v="1953.75"/>
        <n v="3301.16"/>
        <n v="12229.25"/>
        <n v="76075.4"/>
        <n v="66255.0"/>
        <n v="9150.0"/>
        <n v="6989.8"/>
        <n v="63068.06"/>
        <n v="8973.67"/>
        <n v="175.33"/>
        <n v="140376.83"/>
        <n v="50000.0"/>
        <n v="11075.4"/>
        <n v="107690.0"/>
        <n v="4980.34"/>
        <n v="338.69"/>
        <n v="2718.0"/>
        <n v="3178.2"/>
        <n v="7530.61"/>
        <n v="1247.49"/>
        <n v="8000.0"/>
        <n v="2827.08"/>
        <n v="71642.1"/>
        <n v="17568.56"/>
        <n v="4500.0"/>
        <n v="26378.11"/>
        <n v="253.97"/>
        <n v="1739.05"/>
        <n v="2658.02"/>
        <n v="141186.0"/>
        <n v="477.0"/>
        <n v="36600.0"/>
        <n v="3009.02"/>
        <n v="104295.64"/>
        <n v="1700.0"/>
        <n v="82753.45"/>
        <n v="2420.0"/>
        <n v="10435.59"/>
        <n v="84695.67"/>
        <n v="998.55"/>
        <n v="183644.2"/>
        <n v="28000.0"/>
        <n v="50926.0"/>
        <n v="430794.33"/>
        <n v="22683.0"/>
        <n v="32827.38"/>
        <n v="44.48"/>
        <n v="72948.79"/>
        <n v="46375.85"/>
        <n v="136329.0"/>
        <n v="153529.44"/>
        <n v="8020.0"/>
        <n v="85539.85"/>
        <n v="28968.0"/>
        <n v="45720.38"/>
        <n v="134094.0"/>
        <n v="68594.09"/>
        <n v="234412.99"/>
        <n v="87763.98"/>
        <n v="64330.87"/>
        <n v="172.48"/>
        <n v="180082.67"/>
        <n v="615065.0"/>
        <n v="12677.5"/>
        <n v="2700.0"/>
        <n v="69810.21"/>
        <n v="12287.26"/>
        <n v="16762.9"/>
        <n v="1228699.61"/>
        <n v="110988.5"/>
        <n v="17651.9"/>
        <n v="48650.95"/>
        <n v="262116.26"/>
        <n v="85494.53"/>
        <n v="3003.0"/>
        <n v="85720.8"/>
        <n v="87970.4"/>
        <n v="214953.86"/>
        <n v="54821.43"/>
        <n v="156337.11"/>
        <n v="156261.6"/>
        <n v="4595.0"/>
        <n v="90280.0"/>
        <n v="2608.75"/>
        <n v="8333.33"/>
        <n v="17.47"/>
        <n v="4787.2"/>
        <n v="200677.68"/>
        <n v="88296.1"/>
        <n v="40948.1"/>
        <n v="43935.64"/>
        <n v="3855.9"/>
        <n v="8400.0"/>
        <n v="163572.07"/>
        <n v="13678.25"/>
        <n v="285660.13"/>
        <n v="6069.03"/>
        <n v="13020.0"/>
        <n v="146912.0"/>
        <n v="197743.52"/>
        <n v="30879.48"/>
        <n v="4703981.5"/>
        <n v="17781.0"/>
        <n v="2250.0"/>
        <n v="167324.4"/>
        <n v="15673.13"/>
        <n v="54920.31"/>
        <n v="890209.39"/>
        <n v="6472.5"/>
        <n v="21413.81"/>
        <n v="217477.9"/>
        <n v="57445.75"/>
        <n v="296275.2"/>
        <n v="78118.64"/>
        <n v="7969.2"/>
        <n v="78227.75"/>
        <n v="25925.85"/>
        <n v="53.26"/>
        <n v="7124.01"/>
        <n v="41894.98"/>
        <n v="23986.7"/>
        <n v="2238.21"/>
        <n v="858.95"/>
        <n v="488399.6"/>
        <n v="3161065.57"/>
        <n v="136784.62"/>
        <n v="1000054.0"/>
        <n v="797.61"/>
        <n v="2100.0"/>
        <n v="5217.73"/>
        <n v="707792.54"/>
        <n v="13075.4"/>
        <n v="3889.2"/>
        <n v="48485.0"/>
        <n v="49000.0"/>
        <n v="230762.97"/>
        <n v="18936.23"/>
        <n v="84315.75"/>
        <n v="20977.0"/>
        <n v="3857.16"/>
        <n v="7686.07"/>
        <n v="385926.07"/>
        <n v="22850.8"/>
        <n v="526908.57"/>
        <n v="22223.34"/>
        <n v="16000.0"/>
        <n v="864.89"/>
        <n v="3059.52"/>
        <n v="352558.59"/>
        <n v="151824.47"/>
        <n v="2.34"/>
        <n v="5446.78"/>
        <n v="62687.27"/>
        <n v="222994.8"/>
        <n v="284.55"/>
        <n v="20000.0"/>
        <n v="80646.31"/>
        <n v="29259.5"/>
        <n v="78298.17"/>
        <n v="43552.07"/>
        <n v="13021.23"/>
        <n v="2850.0"/>
        <n v="8800.0"/>
        <n v="4875.0"/>
        <n v="159495.0"/>
        <n v="4934.5"/>
        <n v="10500.0"/>
        <n v="16549.74"/>
        <n v="182616.16"/>
        <n v="11339.49"/>
        <n v="15395.32"/>
        <n v="1723.06"/>
        <n v="8811.5"/>
        <n v="7000.0"/>
        <n v="4050.0"/>
        <n v="6130.0"/>
        <n v="510.78"/>
        <n v="14225.2"/>
        <n v="333.79"/>
        <n v="12844.25"/>
        <n v="74.0"/>
        <n v="11850.0"/>
        <n v="6500.0"/>
        <n v="34000.0"/>
        <n v="5580.0"/>
        <n v="1089.0"/>
        <n v="14038.23"/>
        <n v="9200.0"/>
        <n v="500.0"/>
        <n v="12405.6"/>
        <n v="1000.0"/>
        <n v="5871.22"/>
        <n v="35586.55"/>
        <n v="198287.8"/>
        <n v="117677.25"/>
        <n v="101298.1"/>
        <n v="12619.21"/>
        <n v="23562.45"/>
        <n v="42809.0"/>
        <n v="343421.68"/>
        <n v="15969.25"/>
        <n v="21062.06"/>
        <n v="45084.13"/>
        <n v="32951.51"/>
        <n v="72529.0"/>
        <n v="193926.02"/>
        <n v="161726.01"/>
        <n v="24085.0"/>
        <n v="23845.27"/>
        <n v="455152.48"/>
        <n v="28608.16"/>
        <n v="14800.0"/>
        <n v="64418.69"/>
        <n v="14632.67"/>
        <n v="18981.58"/>
        <n v="30098.0"/>
        <n v="9000.0"/>
        <n v="63169.5"/>
        <n v="27732.27"/>
        <n v="245099.4"/>
        <n v="1380198.71"/>
        <n v="36281.0"/>
        <n v="225851.0"/>
        <n v="153760.82"/>
        <n v="173562.49"/>
        <n v="6204.9"/>
        <n v="274296.74"/>
        <n v="839.46"/>
        <n v="132141.87"/>
        <n v="32021.51"/>
        <n v="289.91"/>
        <n v="203882.02"/>
        <n v="56317.86"/>
        <n v="108439.38"/>
        <n v="1128.0"/>
        <n v="41233.69"/>
        <n v="35734.0"/>
        <n v="7111.45"/>
        <n v="2071.11"/>
        <n v="3932.5"/>
        <n v="390068.09"/>
        <n v="6311.26"/>
        <n v="941.52"/>
        <n v="26384.63"/>
        <n v="262.19"/>
        <n v="19242.5"/>
        <n v="176525.28"/>
        <n v="543621.31"/>
        <n v="19530.0"/>
        <n v="2597.64"/>
        <n v="5250.0"/>
        <n v="150.0"/>
        <n v="5616.2"/>
        <n v="98963.46"/>
        <n v="30712.12"/>
        <n v="138530.39"/>
        <n v="27168.72"/>
        <n v="89675.12"/>
        <n v="1269.54"/>
        <n v="4159.7"/>
        <n v="150125.7"/>
        <n v="119839.35"/>
        <n v="16203.1"/>
        <n v="33851.52"/>
        <n v="1078586.25"/>
        <n v="12232.9"/>
        <n v="3656.0"/>
        <n v="29976.45"/>
        <n v="82590.09"/>
        <n v="68294.55"/>
        <n v="22176.0"/>
        <n v="195552.79"/>
        <n v="22984.8"/>
        <n v="30350.29"/>
        <n v="561.22"/>
        <n v="178494.19"/>
        <n v="510.82"/>
        <n v="139376.22"/>
        <n v="10845.0"/>
        <n v="29374.4"/>
        <n v="1247.0"/>
        <n v="75220.01"/>
        <n v="1430939.11"/>
        <n v="600.0"/>
        <n v="1300.0"/>
        <n v="180787.68"/>
        <n v="16490.0"/>
        <n v="148769.61"/>
        <n v="38345.5"/>
        <n v="31150.69"/>
        <n v="8783.75"/>
        <n v="380133.51"/>
        <n v="20965.32"/>
        <n v="66600.0"/>
        <n v="634618.55"/>
        <n v="776472.91"/>
        <n v="112032.13"/>
        <n v="1352.0"/>
        <n v="129562.09"/>
        <n v="16348.45"/>
        <n v="11100.0"/>
        <n v="12484.85"/>
        <n v="35222.0"/>
        <n v="4385.0"/>
        <n v="25664.42"/>
        <n v="1567.08"/>
        <n v="32955.61"/>
        <n v="1130.0"/>
        <n v="40982.39"/>
        <n v="5.0"/>
        <n v="23915.8"/>
        <n v="1893.78"/>
        <n v="2537.0"/>
        <n v="20723.46"/>
        <n v="137706.88"/>
        <n v="2310.0"/>
        <n v="167717.84"/>
        <n v="115122.0"/>
        <n v="1056.0"/>
        <n v="210.28"/>
        <n v="82823.18"/>
        <n v="41754.85"/>
        <n v="10963.76"/>
        <n v="99.35"/>
        <n v="35492.01"/>
        <n v="2187.61"/>
        <n v="1144.68"/>
        <n v="328.32"/>
        <n v="2453.86"/>
        <n v="2000.0"/>
        <n v="109152.0"/>
        <n v="17972.16"/>
        <n v="97930.0"/>
        <n v="876.98"/>
        <n v="4350.0"/>
        <n v="42228.56"/>
        <n v="16075.4"/>
        <n v="7400.0"/>
        <n v="7085.93"/>
        <n v="4907.72"/>
        <n v="84227.97"/>
        <n v="9184.26"/>
        <n v="311.04"/>
        <n v="2435.16"/>
        <n v="809.89"/>
        <n v="42016.9"/>
        <n v="27921.28"/>
        <n v="94843.84"/>
        <n v="1760.75"/>
        <n v="89904.43"/>
        <n v="18146.16"/>
        <n v="157.25"/>
        <n v="7500.0"/>
        <n v="64150.29"/>
        <n v="9880.0"/>
        <n v="4119.8"/>
        <n v="291751.84"/>
        <n v="25618.97"/>
        <n v="288.4"/>
        <n v="1316446.14"/>
        <n v="1084.28"/>
        <n v="114278.33"/>
        <n v="1184737.59"/>
        <n v="31994.59"/>
        <n v="106534.69"/>
        <n v="6320.0"/>
        <n v="16529.57"/>
        <n v="20795.29"/>
        <n v="4206.8"/>
        <n v="82220.7"/>
        <n v="12629.41"/>
        <n v="829.85"/>
        <n v="1175.45"/>
        <n v="3968.79"/>
        <n v="247276.77"/>
        <n v="28725.3"/>
        <n v="29387.91"/>
        <n v="177317.27"/>
        <n v="5633461.05"/>
        <n v="33147.34"/>
        <n v="15883.46"/>
        <n v="171389.87"/>
        <n v="99271.64"/>
        <n v="3500.0"/>
        <n v="7380.0"/>
        <n v="298155.6"/>
        <n v="10950.0"/>
        <n v="45587.72"/>
        <n v="57113.67"/>
        <n v="2587.5"/>
        <n v="24551.1"/>
        <n v="6342.2"/>
        <n v="17875.3"/>
        <n v="626.0"/>
        <n v="32544.72"/>
        <n v="10000.0"/>
        <n v="29803.08"/>
        <n v="68218.72"/>
        <n v="12000.0"/>
        <n v="103528.18"/>
        <n v="345615.24"/>
        <n v="4500.51"/>
        <n v="51743.0"/>
        <n v="1732.5"/>
        <n v="182309.17"/>
        <n v="42800.0"/>
        <n v="24730.6"/>
        <n v="6370.0"/>
        <n v="165575.56"/>
        <n v="215255.36"/>
        <n v="22632.8"/>
        <n v="3805.96"/>
        <n v="6427.38"/>
        <n v="133074.56"/>
        <n v="230305.74"/>
        <n v="639109.25"/>
        <n v="5167.93"/>
        <n v="122970.0"/>
        <n v="9404.31"/>
        <n v="145216.16"/>
        <n v="1014.11"/>
        <n v="278696.35"/>
        <n v="11143.27"/>
        <n v="3086.4"/>
        <n v="31642.25"/>
        <n v="134810.88"/>
        <n v="153725.96"/>
        <n v="19305.63"/>
        <n v="12748.0"/>
        <n v="1194006.81"/>
        <n v="31964.69"/>
        <n v="11.93"/>
        <n v="6071.65"/>
        <n v="45624.42"/>
        <n v="190894.0"/>
        <n v="9712.5"/>
        <n v="5134.5"/>
        <n v="529318.43"/>
        <n v="155139.21"/>
        <n v="1748.44"/>
        <n v="13052.44"/>
        <n v="6734.4"/>
        <n v="7809.57"/>
        <n v="105589.5"/>
        <n v="1975.0"/>
        <n v="6351.39"/>
        <n v="60770.1"/>
        <n v="70617.0"/>
        <n v="4992.0"/>
        <n v="13272.8"/>
        <n v="4750.0"/>
        <n v="85033.0"/>
        <n v="58028.42"/>
        <n v="12027.35"/>
        <n v="65229.25"/>
        <n v="70861.06"/>
        <n v="84586.0"/>
        <n v="97034.34"/>
        <n v="2140.0"/>
        <n v="14999.09"/>
        <n v="1997.6"/>
        <n v="37092.38"/>
        <n v="10485.0"/>
        <n v="240.0"/>
        <n v="567.6"/>
        <n v="89068.11"/>
        <n v="7250.0"/>
        <n v="8470.66"/>
        <n v="3395.71"/>
        <n v="3940.0"/>
        <n v="62.89"/>
        <n v="1100.0"/>
        <n v="13809.06"/>
        <n v="95212.48"/>
        <n v="192666.2"/>
        <n v="19250.0"/>
        <n v="125663.05"/>
        <n v="52645.41"/>
        <n v="63503.0"/>
        <n v="4952.1"/>
        <n v="4988.31"/>
        <n v="7078.75"/>
        <n v="130860.51"/>
        <n v="7648.12"/>
        <n v="11312.15"/>
        <n v="6706.66"/>
        <n v="300.0"/>
        <n v="123690.0"/>
        <n v="376894.07"/>
        <n v="4734.49"/>
        <n v="12090.0"/>
        <n v="30918.4"/>
        <n v="51462.38"/>
        <n v="85518.64"/>
        <n v="169273.23"/>
        <n v="42122.34"/>
        <n v="20333.28"/>
        <n v="264.15"/>
        <n v="41010.66"/>
        <n v="186344.96"/>
        <n v="15034.64"/>
        <n v="1285435.28"/>
        <n v="50983.07"/>
        <n v="7740.75"/>
        <n v="10652.65"/>
        <n v="87861.35"/>
        <n v="194427.25"/>
        <n v="132406.88"/>
        <n v="208412.8"/>
        <n v="593514.57"/>
        <n v="41041.02"/>
        <n v="175542.79"/>
        <n v="314594.9"/>
        <n v="61764.55"/>
        <n v="1392.65"/>
        <n v="10800.0"/>
        <n v="38905.61"/>
        <n v="184.76"/>
        <n v="9610.0"/>
        <n v="21356.17"/>
        <n v="510995.92"/>
        <n v="94894.0"/>
        <n v="88274.03"/>
        <n v="249405.27"/>
        <n v="36075.4"/>
        <n v="134124.13"/>
        <n v="275388.96"/>
        <n v="38671.15"/>
        <n v="44099.16"/>
        <n v="285380.69"/>
        <n v="17729.69"/>
        <n v="144309.0"/>
        <n v="6667.81"/>
        <n v="150305.82"/>
        <n v="200.0"/>
        <n v="2866.64"/>
        <n v="550.0"/>
        <n v="175643.47"/>
        <n v="95056.0"/>
        <n v="33492.33"/>
        <n v="251464.68"/>
        <n v="855.96"/>
        <n v="10780.08"/>
        <n v="44413.88"/>
        <n v="219206.24"/>
        <n v="16236.57"/>
        <n v="6735.0"/>
        <n v="31165.76"/>
        <n v="6561.98"/>
        <n v="590000.0"/>
        <n v="1028422.93"/>
        <n v="62580.0"/>
        <n v="2280.0"/>
        <n v="18870.71"/>
        <n v="153286.18"/>
        <n v="204020.51"/>
        <n v="77667.12"/>
        <n v="3855011.43"/>
        <n v="82775.03"/>
        <n v="87357.84"/>
        <n v="5875.0"/>
        <n v="23004.8"/>
        <n v="63898.81"/>
        <n v="9852.21"/>
        <n v="1542.64"/>
        <n v="73834.29"/>
        <n v="4858.0"/>
        <n v="154482.63"/>
        <n v="541325.89"/>
        <n v="371536.73"/>
        <n v="115042.0"/>
        <n v="230040.6"/>
        <n v="13693.56"/>
        <n v="662525.17"/>
        <n v="15574.05"/>
        <n v="8786.52"/>
        <n v="49756.12"/>
        <n v="5000.0"/>
        <n v="87216.5"/>
        <n v="16788.32"/>
        <n v="89326.19"/>
        <n v="1456517.28"/>
        <n v="1354847.9"/>
        <n v="121451.59"/>
        <n v="534769.22"/>
        <n v="332701.48"/>
        <n v="61437.98"/>
        <n v="43751.81"/>
        <n v="16476.5"/>
        <n v="3642.0"/>
        <n v="8705.3"/>
        <n v="40645.0"/>
        <n v="14226.0"/>
        <n v="141759.16"/>
        <n v="9966.75"/>
        <n v="8712.9"/>
        <n v="35147.96"/>
        <n v="117628.8"/>
        <n v="22005.0"/>
        <n v="742.2"/>
        <n v="13086.69"/>
        <n v="20852.77"/>
        <n v="4771.0"/>
        <n v="375.0"/>
        <n v="60738.08"/>
        <n v="29588.06"/>
        <n v="8151.28"/>
        <n v="43758.97"/>
        <n v="6674.73"/>
        <n v="5333.12"/>
        <n v="3179.47"/>
        <n v="6995.11"/>
        <n v="30000.0"/>
        <n v="103.0"/>
        <n v="2106.0"/>
        <n v="509.5"/>
        <n v="636.0"/>
        <n v="20316.5"/>
        <n v="24455.73"/>
        <n v="110441.98"/>
        <n v="404363.4"/>
        <n v="14400.0"/>
        <n v="60210.0"/>
        <n v="74104.54"/>
        <n v="8523.73"/>
        <n v="50.0"/>
        <n v="9128.82"/>
        <n v="601.68"/>
        <n v="7812.89"/>
        <n v="11782.4"/>
        <n v="107088.0"/>
        <n v="69204.5"/>
        <n v="97728.77"/>
        <n v="3532.38"/>
        <n v="61.01"/>
        <n v="109199.56"/>
        <n v="3150.0"/>
        <n v="200930.36"/>
        <n v="207301.11"/>
        <n v="91200.2"/>
        <n v="20147.5"/>
        <n v="28059.0"/>
        <n v="7273.1"/>
        <n v="2047.44"/>
        <n v="2980.0"/>
        <n v="187687.61"/>
        <n v="33345.0"/>
        <n v="14075.6"/>
        <n v="149380.64"/>
        <n v="15000.0"/>
        <n v="19172.87"/>
        <n v="210.61"/>
        <n v="17851.07"/>
        <n v="55681.79"/>
        <n v="12078.75"/>
        <n v="8744.6"/>
        <n v="0.01"/>
        <n v="16440.0"/>
        <n v="91843.74"/>
        <n v="12840.0"/>
        <n v="18769.0"/>
        <n v="18624.79"/>
        <n v="251857.0"/>
        <n v="27297.62"/>
        <n v="213782.0"/>
        <n v="22413.84"/>
        <n v="18531.15"/>
        <n v="81174.53"/>
        <n v="6112.65"/>
        <n v="144.0"/>
        <n v="136440.41"/>
        <n v="62160.64"/>
        <n v="3096.81"/>
        <n v="285151.01"/>
        <n v="991.48"/>
        <n v="25914.0"/>
        <n v="4856.25"/>
        <n v="35562.22"/>
        <n v="64489.25"/>
        <n v="62351.58"/>
        <n v="138160.59"/>
        <n v="26132.9"/>
        <n v="295799.36"/>
        <n v="153.0"/>
        <n v="3867.5"/>
        <n v="164281.29"/>
        <n v="291207.02"/>
        <n v="887.0"/>
        <n v="149121.04"/>
        <n v="4730.04"/>
        <n v="490917.75"/>
        <n v="16755.0"/>
        <n v="375623.98"/>
        <n v="158589.4"/>
        <n v="11339.53"/>
        <n v="1395.2"/>
        <n v="1699.5"/>
        <n v="991567.27"/>
        <n v="947140.97"/>
        <n v="147637.73"/>
        <n v="3952.0"/>
        <n v="17168.33"/>
        <n v="45676.0"/>
        <n v="6602.36"/>
        <n v="501952.71"/>
        <n v="4601.9"/>
        <n v="113003.32"/>
        <n v="734885.56"/>
        <n v="117407.1"/>
        <n v="9611.84"/>
        <n v="13610.45"/>
        <n v="31304.1"/>
        <n v="63991.0"/>
        <n v="31776.81"/>
        <n v="67980.75"/>
        <n v="2382.25"/>
        <n v="2473.05"/>
        <n v="1.52"/>
        <n v="326224.06"/>
        <n v="521.95"/>
        <n v="1405.0"/>
        <n v="8489.99"/>
        <n v="8855.28"/>
        <n v="17000.0"/>
        <n v="40621.29"/>
        <n v="3898.41"/>
        <n v="18870.9"/>
        <n v="145465.08"/>
        <n v="0.16"/>
        <n v="56214.16"/>
        <n v="4402.35"/>
        <n v="12908.0"/>
        <n v="19680.81"/>
        <n v="6561.26"/>
        <n v="21.07"/>
        <n v="27018.47"/>
        <n v="303.61"/>
        <n v="707743.21"/>
        <n v="242429.8"/>
        <n v="18897.84"/>
        <n v="23919.65"/>
        <n v="2609.02"/>
        <n v="10182.71"/>
        <n v="1500.0"/>
        <n v="12928.92"/>
        <n v="3370.55"/>
        <n v="6545.4"/>
        <n v="118000.0"/>
        <n v="281.1"/>
        <n v="7058.89"/>
        <n v="230.0"/>
        <n v="470.0"/>
        <n v="5700.0"/>
        <n v="21790.79"/>
        <n v="10592.04"/>
        <n v="2364.05"/>
        <n v="23375.0"/>
        <n v="3822.77"/>
        <n v="6256.19"/>
        <n v="12980.94"/>
        <n v="14680.34"/>
        <n v="84928.35"/>
        <n v="1.0"/>
        <n v="2388.49"/>
        <n v="208270.0"/>
        <n v="55237.4"/>
        <n v="10373.15"/>
        <n v="31179.92"/>
        <n v="3364.6"/>
        <n v="3790.0"/>
        <n v="39195.83"/>
        <n v="6958.68"/>
        <n v="3177.08"/>
        <n v="2154.12"/>
        <n v="6197.1"/>
        <n v="108811.92"/>
        <n v="9493.14"/>
        <n v="8766.92"/>
        <n v="33009.75"/>
        <n v="18737.27"/>
        <n v="22721.28"/>
        <n v="7506.25"/>
        <n v="135586.5"/>
        <n v="33784.69"/>
        <n v="45.0"/>
        <n v="44830.17"/>
        <n v="13100.16"/>
        <n v="91218.36"/>
        <n v="54396.75"/>
        <n v="72847.5"/>
        <n v="138111.17"/>
        <n v="417.0"/>
        <n v="1757.24"/>
        <n v="6985.39"/>
        <n v="52078.34"/>
        <n v="53220.5"/>
        <n v="7925.4"/>
        <n v="10110.0"/>
        <n v="89406.66"/>
        <n v="25093.9"/>
        <n v="48535.57"/>
        <n v="967683.69"/>
        <n v="35153.38"/>
        <n v="20933.78"/>
        <n v="14500.0"/>
        <n v="16041.73"/>
        <n v="14601.14"/>
        <n v="4998.72"/>
        <n v="641227.39"/>
        <n v="9266.17"/>
        <n v="39657.0"/>
        <n v="27454.07"/>
        <n v="4058.0"/>
        <n v="336789.56"/>
        <n v="35184.0"/>
        <n v="816.42"/>
        <n v="4389.0"/>
        <n v="62642.49"/>
        <n v="8506.71"/>
        <n v="37450.63"/>
        <n v="0.02"/>
        <n v="73499.47"/>
        <n v="104439.9"/>
        <n v="58675.0"/>
        <n v="40817.0"/>
        <n v="427.8"/>
        <n v="98932.58"/>
        <n v="89332.94"/>
        <n v="1965.0"/>
        <n v="45910.94"/>
        <n v="10673.63"/>
        <n v="62081.8"/>
        <n v="63117.79"/>
        <n v="45436.58"/>
        <n v="135811.31"/>
        <n v="65685.91"/>
        <n v="301931.26"/>
        <n v="159752.83"/>
        <n v="74.91"/>
        <n v="34336.9"/>
        <n v="22094.1"/>
        <n v="47107.42"/>
        <n v="27940.37"/>
        <n v="4762990.19"/>
        <n v="9912.5"/>
        <n v="140521.25"/>
        <n v="14437.76"/>
        <n v="1155.6"/>
        <n v="4136.0"/>
        <n v="17197.36"/>
        <n v="97007.91"/>
        <n v="359.09"/>
        <n v="10545.67"/>
        <n v="993.0"/>
        <n v="3975.0"/>
        <n v="9550.0"/>
        <n v="213235.62"/>
        <n v="2410.31"/>
        <n v="205129.67"/>
        <n v="76507.36"/>
        <n v="25.0"/>
        <n v="176902.45"/>
        <n v="382.8"/>
        <n v="610285.98"/>
        <n v="22154.0"/>
        <n v="1576.7"/>
        <n v="412510.53"/>
        <n v="166226.76"/>
        <n v="2121.0"/>
        <n v="21384.89"/>
        <n v="32687.62"/>
        <n v="41740.25"/>
        <n v="338032.91"/>
        <n v="298.66"/>
        <n v="1723420.85"/>
        <n v="2476.71"/>
        <n v="23478.32"/>
        <n v="277390.54"/>
        <n v="800739.94"/>
        <n v="47742.08"/>
        <n v="136493.93"/>
        <n v="5109.2"/>
        <n v="91.36"/>
        <n v="22083.24"/>
        <n v="25658.63"/>
        <n v="28750.37"/>
        <n v="90802.23"/>
        <n v="31241.8"/>
        <n v="4662.47"/>
        <n v="13567.02"/>
        <n v="7147.57"/>
        <n v="43169.63"/>
        <n v="4702.06"/>
        <n v="2130.0"/>
        <n v="126519.04"/>
        <n v="19653.67"/>
        <n v="239757.5"/>
        <n v="37399.86"/>
        <n v="29999.0"/>
        <n v="67200.0"/>
        <n v="4531.68"/>
        <n v="6156.47"/>
        <n v="6441.97"/>
        <n v="9386.73"/>
        <n v="23196.0"/>
        <n v="73110.0"/>
        <n v="13699.84"/>
        <n v="11753.67"/>
        <n v="2516.13"/>
        <n v="47470.0"/>
        <n v="14226.56"/>
        <n v="3414.45"/>
        <n v="5604.17"/>
        <n v="3470.07"/>
        <n v="90636.02"/>
        <n v="31523.31"/>
        <n v="81008.78"/>
        <n v="85892.43"/>
        <n v="5450.0"/>
        <n v="1992.53"/>
        <n v="13493.69"/>
        <n v="38600.0"/>
        <n v="10437.78"/>
        <n v="1186028.35"/>
        <n v="6142.42"/>
        <n v="73574.39"/>
        <n v="3894.0"/>
        <n v="8033.75"/>
        <n v="3640.99"/>
        <n v="74847.36"/>
        <n v="100.0"/>
        <n v="27696.0"/>
        <n v="1784.98"/>
        <n v="1605780.99"/>
        <n v="17650.92"/>
        <n v="164483.98"/>
        <n v="28867.55"/>
        <n v="75505.0"/>
        <n v="87487.99"/>
        <n v="16.14"/>
        <n v="4542.85"/>
        <n v="70257.36"/>
        <n v="23001.7"/>
        <n v="28492.5"/>
        <n v="648.96"/>
        <n v="10560.0"/>
        <n v="168952.1"/>
        <n v="1671207.26"/>
        <n v="7678.6"/>
        <n v="2565.27"/>
        <n v="8094.93"/>
        <n v="22999.92"/>
        <n v="680423.46"/>
        <n v="111447.42"/>
        <n v="15080.0"/>
        <n v="32753.86"/>
        <n v="31656.62"/>
        <n v="344473.79"/>
        <n v="7008.71"/>
        <n v="4141.35"/>
        <n v="55162.75"/>
        <n v="17996.89"/>
        <n v="32369.54"/>
        <n v="6856.7"/>
        <n v="18861.81"/>
        <n v="44578.63"/>
        <n v="192929.94"/>
        <n v="6830.59"/>
        <n v="18208.05"/>
        <n v="2750.0"/>
        <n v="102445.41"/>
        <n v="5749.52"/>
        <n v="124590.86"/>
        <n v="317117.34"/>
        <n v="33509.23"/>
        <n v="75837.68"/>
        <n v="246325.49"/>
        <n v="10368.0"/>
        <n v="1126.75"/>
        <n v="5214.12"/>
        <n v="101982.4"/>
        <n v="4929.75"/>
        <n v="751.0"/>
        <n v="113070.02"/>
        <n v="82.39"/>
        <n v="20835.0"/>
        <n v="168625.98"/>
        <n v="988708.19"/>
        <n v="196038.88"/>
        <n v="90736.0"/>
        <n v="17742.29"/>
        <n v="40230.28"/>
        <n v="22192.39"/>
        <n v="41527.69"/>
        <n v="28692.17"/>
        <n v="114519.0"/>
        <n v="47832.52"/>
        <n v="18824.76"/>
        <n v="207162.31"/>
        <n v="59566.0"/>
        <n v="2233175.17"/>
        <n v="984912.0"/>
        <n v="65371.01"/>
        <n v="209551.17"/>
        <n v="173778.48"/>
        <n v="137747.09"/>
        <n v="6061.63"/>
        <n v="1873.69"/>
        <n v="502469.99"/>
        <n v="92275.61"/>
        <n v="2500.0"/>
        <n v="814334.14"/>
        <n v="2997.09"/>
        <n v="23289.45"/>
        <n v="17617.24"/>
        <n v="2.0"/>
        <n v="84556.13"/>
        <n v="131899.88"/>
        <n v="1020.88"/>
        <n v="51973.0"/>
        <n v="38326.25"/>
        <n v="2472.0"/>
        <n v="164423.36"/>
        <n v="1650371.8"/>
        <n v="8762.03"/>
        <n v="143660.61"/>
        <n v="2237.6"/>
        <n v="6700.0"/>
        <n v="51384.31"/>
        <n v="12540.0"/>
      </sharedItems>
    </cacheField>
    <cacheField name="visa_tpv" numFmtId="0">
      <sharedItems containsString="0" containsBlank="1" containsNumber="1">
        <m/>
        <n v="149319.6"/>
        <n v="21461.02"/>
        <n v="18000.0"/>
        <n v="838.14"/>
        <n v="7706.0"/>
        <n v="1591.92"/>
        <n v="25688.5"/>
        <n v="36503.29"/>
        <n v="34031.0"/>
        <n v="69092.83"/>
        <n v="80000.0"/>
        <n v="3655.0"/>
        <n v="6311.1"/>
        <n v="150.52"/>
        <n v="207283.0"/>
        <n v="3866.55"/>
        <n v="18936.64"/>
        <n v="3250.67"/>
        <n v="70000.0"/>
        <n v="1373.0"/>
        <n v="1140.63"/>
        <n v="13043.13"/>
        <n v="22000.0"/>
        <n v="3301.16"/>
        <n v="50000.0"/>
        <n v="107690.0"/>
        <n v="250.0"/>
        <n v="1458.8"/>
        <n v="855.2"/>
        <n v="107050.0"/>
        <n v="36600.0"/>
        <n v="25197.77"/>
        <n v="10000.0"/>
        <n v="13022.0"/>
        <n v="3298.2"/>
        <n v="46375.85"/>
        <n v="25000.0"/>
        <n v="4010.0"/>
        <n v="175763.0"/>
        <n v="665.0"/>
        <n v="11075.4"/>
        <n v="15000.0"/>
        <n v="48650.95"/>
        <n v="10749.68"/>
        <n v="887.0"/>
        <n v="85720.8"/>
        <n v="1328.35"/>
        <n v="61180.07"/>
        <n v="13020.0"/>
        <n v="7310.0"/>
        <n v="78295.44"/>
        <n v="8757.81"/>
        <n v="13030.0"/>
        <n v="7969.2"/>
        <n v="858.95"/>
        <n v="431990.0"/>
        <n v="9955.0"/>
        <n v="49000.0"/>
        <n v="16000.0"/>
        <n v="2525.0"/>
        <n v="20000.0"/>
        <n v="1000.0"/>
        <n v="13125.61"/>
        <n v="116060.0"/>
        <n v="4772.0"/>
        <n v="3984.79"/>
        <n v="15395.32"/>
        <n v="11850.0"/>
        <n v="350.0"/>
        <n v="34000.0"/>
        <n v="3818.02"/>
        <n v="9200.0"/>
        <n v="35586.55"/>
        <n v="19982.0"/>
        <n v="1709.33"/>
        <n v="68392.02"/>
        <n v="24085.0"/>
        <n v="8992.8"/>
        <n v="14800.0"/>
        <n v="1.0"/>
        <n v="9790.0"/>
        <n v="303.16"/>
        <n v="245099.4"/>
        <n v="153760.82"/>
        <n v="1407.26"/>
        <n v="5616.2"/>
        <n v="2049.36"/>
        <n v="1183.1"/>
        <n v="3456.0"/>
        <n v="22176.0"/>
        <n v="18124.8"/>
        <n v="10845.0"/>
        <n v="2800.0"/>
        <n v="336.0"/>
        <n v="31150.69"/>
        <n v="1063.94"/>
        <n v="48200.0"/>
        <n v="11100.0"/>
        <n v="8250.0"/>
        <n v="23658.8"/>
        <n v="19582.5"/>
        <n v="210.28"/>
        <n v="41754.85"/>
        <n v="2002.45"/>
        <n v="34.35"/>
        <n v="9150.0"/>
        <n v="2187.61"/>
        <n v="570.57"/>
        <n v="109152.0"/>
        <n v="41150.0"/>
        <n v="761.43"/>
        <n v="907.72"/>
        <n v="84227.97"/>
        <n v="47843.84"/>
        <n v="89904.43"/>
        <n v="7500.0"/>
        <n v="3339.5"/>
        <n v="4817.3"/>
        <n v="288.4"/>
        <n v="20795.29"/>
        <n v="832.5"/>
        <n v="829.85"/>
        <n v="443.85"/>
        <n v="47.89"/>
        <n v="8988.0"/>
        <n v="214.49"/>
        <n v="3500.0"/>
        <n v="2383.17"/>
        <n v="570.0"/>
        <n v="51743.0"/>
        <n v="104761.15"/>
        <n v="1358.04"/>
        <n v="9404.31"/>
        <n v="1014.11"/>
        <n v="10933.27"/>
        <n v="1047.66"/>
        <n v="134810.88"/>
        <n v="14224.87"/>
        <n v="40929.5"/>
        <n v="10696.94"/>
        <n v="1009.4"/>
        <n v="7809.57"/>
        <n v="105589.5"/>
        <n v="23250.0"/>
        <n v="4992.0"/>
        <n v="13272.8"/>
        <n v="37620.0"/>
        <n v="1518.28"/>
        <n v="84586.0"/>
        <n v="1997.6"/>
        <n v="11578.75"/>
        <n v="240.0"/>
        <n v="567.6"/>
        <n v="7250.0"/>
        <n v="95212.48"/>
        <n v="192666.2"/>
        <n v="3459.18"/>
        <n v="871.55"/>
        <n v="840.0"/>
        <n v="7574.4"/>
        <n v="1277.2"/>
        <n v="27.9"/>
        <n v="30918.4"/>
        <n v="85518.64"/>
        <n v="47678.4"/>
        <n v="35775.17"/>
        <n v="40293.26"/>
        <n v="1392.65"/>
        <n v="10800.0"/>
        <n v="28671.15"/>
        <n v="1533.45"/>
        <n v="64000.0"/>
        <n v="1162.07"/>
        <n v="14203.36"/>
        <n v="12290.0"/>
        <n v="2280.0"/>
        <n v="18870.71"/>
        <n v="116114.51"/>
        <n v="3325.0"/>
        <n v="5000.0"/>
        <n v="500.0"/>
        <n v="16788.32"/>
        <n v="1254.15"/>
        <n v="35147.96"/>
        <n v="117628.8"/>
        <n v="13086.69"/>
        <n v="375.0"/>
        <n v="4708.84"/>
        <n v="5342.65"/>
        <n v="30000.0"/>
        <n v="46.76"/>
        <n v="24455.73"/>
        <n v="14400.0"/>
        <n v="57371.47"/>
        <n v="5364.78"/>
        <n v="28.0"/>
        <n v="200930.36"/>
        <n v="2580.0"/>
        <n v="3317.5"/>
        <n v="13492.53"/>
        <n v="17153.24"/>
        <n v="32859.0"/>
        <n v="3628.65"/>
        <n v="18531.15"/>
        <n v="8721.0"/>
        <n v="522.85"/>
        <n v="12938.1"/>
        <n v="45676.0"/>
        <n v="12309.41"/>
        <n v="17000.0"/>
        <n v="3898.41"/>
        <n v="2490.0"/>
        <n v="303.61"/>
        <n v="2609.02"/>
        <n v="3652.01"/>
        <n v="5297.31"/>
        <n v="118000.0"/>
        <n v="1452.42"/>
        <n v="230.0"/>
        <n v="470.0"/>
        <n v="5700.0"/>
        <n v="466.4"/>
        <n v="9447.04"/>
        <n v="4886.88"/>
        <n v="5902.57"/>
        <n v="619.45"/>
        <n v="147095.0"/>
        <n v="15518.65"/>
        <n v="4537.0"/>
        <n v="3364.6"/>
        <n v="813.65"/>
        <n v="108811.92"/>
        <n v="2062.5"/>
        <n v="4581.05"/>
        <n v="792.93"/>
        <n v="22554.54"/>
        <n v="2856.25"/>
        <n v="5922.5"/>
        <n v="44830.17"/>
        <n v="91218.36"/>
        <n v="10110.0"/>
        <n v="38065.57"/>
        <n v="32818.88"/>
        <n v="19762.95"/>
        <n v="5.0"/>
        <n v="39657.0"/>
        <n v="27454.07"/>
        <n v="23184.0"/>
        <n v="960.0"/>
        <n v="12229.25"/>
        <n v="21001.0"/>
        <n v="74.91"/>
        <n v="34336.9"/>
        <n v="4136.0"/>
        <n v="7515.19"/>
        <n v="983.5"/>
        <n v="5345.8"/>
        <n v="23.98"/>
        <n v="47742.08"/>
        <n v="22083.24"/>
        <n v="2184.8"/>
        <n v="18991.14"/>
        <n v="31241.8"/>
        <n v="1013.62"/>
        <n v="239757.5"/>
        <n v="29999.0"/>
        <n v="4531.68"/>
        <n v="260.28"/>
        <n v="361.0"/>
        <n v="46480.0"/>
        <n v="13800.0"/>
        <n v="12885.56"/>
        <n v="777.52"/>
        <n v="5139.25"/>
        <n v="23205.74"/>
        <n v="67200.0"/>
        <n v="162.94"/>
        <n v="38600.0"/>
        <n v="20916.25"/>
        <n v="2294.2"/>
        <n v="2640.62"/>
        <n v="26444.27"/>
        <n v="1898.05"/>
        <n v="105.51"/>
        <n v="5749.52"/>
        <n v="124590.86"/>
        <n v="1925.0"/>
        <n v="126264.83"/>
        <n v="4929.75"/>
        <n v="82.39"/>
        <n v="3760.0"/>
        <n v="90736.0"/>
        <n v="9507.88"/>
        <n v="961712.0"/>
        <n v="1507.86"/>
        <n v="850.0"/>
        <n v="17617.24"/>
        <n v="13235.0"/>
        <n v="8431.0"/>
        <n v="10.0"/>
        <n v="143660.61"/>
        <n v="6700.0"/>
        <n v="51384.31"/>
        <n v="12540.0"/>
      </sharedItems>
    </cacheField>
    <cacheField name="total_revenue" numFmtId="0">
      <sharedItems containsSemiMixedTypes="0" containsString="0" containsNumber="1">
        <n v="1.5"/>
        <n v="5093.73"/>
        <n v="2522.7818"/>
        <n v="0.0"/>
        <n v="374.060808"/>
        <n v="628.1"/>
        <n v="522.0"/>
        <n v="25.66"/>
        <n v="30.17"/>
        <n v="24.5"/>
        <n v="4.2"/>
        <n v="223.47"/>
        <n v="38.82"/>
        <n v="46.17"/>
        <n v="89.32"/>
        <n v="75.0"/>
        <n v="104.35"/>
        <n v="10.0"/>
        <n v="143.954846"/>
        <n v="11.6"/>
        <n v="232.0"/>
        <n v="87.0"/>
        <n v="1790.19"/>
        <n v="744.96"/>
        <n v="160.95"/>
        <n v="1139.71"/>
        <n v="986.9"/>
        <n v="2475.02"/>
        <n v="2729.63"/>
        <n v="270.27"/>
        <n v="424.71"/>
        <n v="10.002275"/>
        <n v="206.43"/>
        <n v="380.25"/>
        <n v="13231.2"/>
        <n v="26.1"/>
        <n v="337.49"/>
        <n v="127.223263"/>
        <n v="56.5"/>
        <n v="13.5"/>
        <n v="222.543855"/>
        <n v="317.99465"/>
        <n v="549.16"/>
        <n v="282.06"/>
        <n v="2210.47"/>
        <n v="2.0"/>
        <n v="4.18"/>
        <n v="9.969429"/>
        <n v="60.559476"/>
        <n v="378.71857"/>
        <n v="56.05"/>
        <n v="94.27"/>
        <n v="11.544655"/>
        <n v="9.74"/>
        <n v="10.5"/>
        <n v="23819.12"/>
        <n v="11.0"/>
        <n v="900.838946"/>
        <n v="164.37108"/>
        <n v="15.0"/>
        <n v="7.5"/>
        <n v="2352.84665"/>
        <n v="146.27"/>
        <n v="2.5"/>
        <n v="23.37482"/>
        <n v="26.32"/>
        <n v="160.66"/>
        <n v="129.15"/>
        <n v="1.92"/>
        <n v="660.76"/>
        <n v="13.1"/>
        <n v="638.0"/>
        <n v="53.25"/>
        <n v="95.74"/>
        <n v="354.65"/>
        <n v="2206.19"/>
        <n v="1921.39"/>
        <n v="265.35"/>
        <n v="69.89"/>
        <n v="135.01"/>
        <n v="5.08"/>
        <n v="1460.0"/>
        <n v="321.19"/>
        <n v="3153.01"/>
        <n v="75.93"/>
        <n v="9.82"/>
        <n v="27.18"/>
        <n v="19.1"/>
        <n v="191.3"/>
        <n v="81.99"/>
        <n v="447.61"/>
        <n v="54.45"/>
        <n v="39.44"/>
        <n v="7.36"/>
        <n v="40.68"/>
        <n v="4094.39"/>
        <n v="1061.39"/>
        <n v="87.26"/>
        <n v="1891.56"/>
        <n v="152.87"/>
        <n v="157.0"/>
        <n v="1158.16"/>
        <n v="9.99"/>
        <n v="994.52"/>
        <n v="812.0"/>
        <n v="127.99"/>
        <n v="6.0"/>
        <n v="557.8"/>
        <n v="299.13"/>
        <n v="20.27"/>
        <n v="1419.9"/>
        <n v="4028.54"/>
        <n v="252.58"/>
        <n v="6.553"/>
        <n v="578.25"/>
        <n v="25.4"/>
        <n v="40.259553"/>
        <n v="38.53"/>
        <n v="5.0"/>
        <n v="16376.89"/>
        <n v="19.29"/>
        <n v="376.33"/>
        <n v="347.45853"/>
        <n v="3313.66"/>
        <n v="511.84"/>
        <n v="1410.88"/>
        <n v="76.45"/>
        <n v="393.313515"/>
        <n v="32.37"/>
        <n v="2485.9"/>
        <n v="248.21"/>
        <n v="5150.3"/>
        <n v="37.25"/>
        <n v="127.051533"/>
        <n v="92.66"/>
        <n v="394.98"/>
        <n v="44.25"/>
        <n v="46.5"/>
        <n v="1187.49"/>
        <n v="49.56905"/>
        <n v="2266.34"/>
        <n v="94.12"/>
        <n v="457.58"/>
        <n v="376.26"/>
        <n v="3.7245"/>
        <n v="1228.758173"/>
        <n v="38.75"/>
        <n v="57.155"/>
        <n v="2270.59"/>
        <n v="454.5"/>
        <n v="506.14"/>
        <n v="83.75"/>
        <n v="176.11"/>
        <n v="277.884"/>
        <n v="1992.02"/>
        <n v="926.19"/>
        <n v="694.753155"/>
        <n v="231.11"/>
        <n v="3.5"/>
        <n v="8.86"/>
        <n v="6.93"/>
        <n v="24.91"/>
        <n v="14273.58"/>
        <n v="2088.085757"/>
        <n v="16.937386"/>
        <n v="28116.56"/>
        <n v="1109.505866"/>
        <n v="379.19"/>
        <n v="6.04"/>
        <n v="871.3"/>
        <n v="1421.0"/>
        <n v="418.329741"/>
        <n v="518.75"/>
        <n v="47.8"/>
        <n v="0.5"/>
        <n v="66.89"/>
        <n v="16.06"/>
        <n v="232.77"/>
        <n v="944.808282"/>
        <n v="13.75"/>
        <n v="464.0"/>
        <n v="16.4286"/>
        <n v="0.46"/>
        <n v="18.0"/>
        <n v="73.22"/>
        <n v="139.878362"/>
        <n v="580.0"/>
        <n v="318.71"/>
        <n v="45.69"/>
        <n v="282.45"/>
        <n v="1263.01"/>
        <n v="115.0"/>
        <n v="4625.35"/>
        <n v="5396.6"/>
        <n v="280.7"/>
        <n v="446.46"/>
        <n v="40.5"/>
        <n v="1.16"/>
        <n v="9.68"/>
        <n v="372.48"/>
        <n v="0.58"/>
        <n v="343.65"/>
        <n v="10.15"/>
        <n v="986.0"/>
        <n v="20.0"/>
        <n v="297.74"/>
        <n v="266.8"/>
        <n v="310.15"/>
        <n v="29.0"/>
        <n v="1032.02"/>
        <n v="189.4785"/>
        <n v="94.74"/>
        <n v="27.5"/>
        <n v="718.31"/>
        <n v="140.0"/>
        <n v="463.11"/>
        <n v="52.402"/>
        <n v="977.03"/>
        <n v="246.94"/>
        <n v="88.630405"/>
        <n v="2071.2"/>
        <n v="738.46"/>
        <n v="401.29"/>
        <n v="231.48"/>
        <n v="257.47344"/>
        <n v="429.2"/>
        <n v="40.83"/>
        <n v="872.85"/>
        <n v="924.64"/>
        <n v="430.74"/>
        <n v="7107.87"/>
        <n v="258.769602"/>
        <n v="1052.15"/>
        <n v="2746.5292"/>
        <n v="4459.07"/>
        <n v="23.85"/>
        <n v="20.75"/>
        <n v="24.35"/>
        <n v="91.893345"/>
        <n v="2.9"/>
        <n v="164.409219"/>
        <n v="52.58"/>
        <n v="206.23"/>
        <n v="7.55"/>
        <n v="106.14704"/>
        <n v="84.242335"/>
        <n v="4.5"/>
        <n v="790.74"/>
        <n v="87.8"/>
        <n v="131.182721"/>
        <n v="3.0"/>
        <n v="234.81"/>
        <n v="37.375"/>
        <n v="162.87"/>
        <n v="15.986758"/>
        <n v="166.25"/>
        <n v="183.06"/>
        <n v="57.89"/>
        <n v="107.15"/>
        <n v="765.58"/>
        <n v="51.9085"/>
        <n v="469.88"/>
        <n v="358.843213"/>
        <n v="100.22"/>
        <n v="244.746417"/>
        <n v="68.0"/>
        <n v="643.1"/>
        <n v="570.997587"/>
        <n v="632.71"/>
        <n v="16.28"/>
        <n v="150.4532"/>
        <n v="314.51"/>
        <n v="172.7"/>
        <n v="1832.017881"/>
        <n v="37.7"/>
        <n v="128.74101"/>
        <n v="33.842584"/>
        <n v="903.36"/>
        <n v="156.78"/>
        <n v="3568.370073"/>
        <n v="1931.4"/>
        <n v="27.95775"/>
        <n v="214.218852"/>
        <n v="130.952018"/>
        <n v="331.9"/>
        <n v="56.33"/>
        <n v="1021.44"/>
        <n v="43.85"/>
        <n v="500.21"/>
        <n v="32.77"/>
        <n v="623.09"/>
        <n v="693.56"/>
        <n v="73.58"/>
        <n v="1930.03"/>
        <n v="3338.54"/>
        <n v="6.1"/>
        <n v="2451.87"/>
        <n v="1210.89"/>
        <n v="222.93"/>
        <n v="2.89"/>
        <n v="1029.27"/>
        <n v="85.32"/>
        <n v="28.17"/>
        <n v="9.52"/>
        <n v="81.16"/>
        <n v="3069.41"/>
        <n v="2839.97"/>
        <n v="43.5"/>
        <n v="1224.63"/>
        <n v="466.19"/>
        <n v="214.6"/>
        <n v="205.5"/>
        <n v="162.32"/>
        <n v="2442.61"/>
        <n v="12.31"/>
        <n v="1218.47"/>
        <n v="2750.47"/>
        <n v="2607.23"/>
        <n v="526.24"/>
        <n v="217.5"/>
        <n v="93.462494"/>
        <n v="342.201576"/>
        <n v="679.49"/>
        <n v="8.37"/>
        <n v="1091.85398"/>
        <n v="154.944896"/>
        <n v="563.11"/>
        <n v="8.1"/>
        <n v="613.06"/>
        <n v="122.0"/>
        <n v="413.58"/>
        <n v="24.07"/>
        <n v="23.02"/>
        <n v="1.39"/>
        <n v="77.899883"/>
        <n v="499.4"/>
        <n v="768.62"/>
        <n v="101.7221"/>
        <n v="1245.774346"/>
        <n v="691.8081"/>
        <n v="500.62"/>
        <n v="6.88"/>
        <n v="17.5"/>
        <n v="101.5"/>
        <n v="23.0"/>
        <n v="76.117762"/>
        <n v="317.55"/>
        <n v="69.11"/>
        <n v="60.33"/>
        <n v="75.04"/>
        <n v="17.647"/>
        <n v="18.15"/>
        <n v="290.0"/>
        <n v="582.341318"/>
        <n v="0.6"/>
        <n v="1540.55"/>
        <n v="135.0"/>
        <n v="1090.4"/>
        <n v="7.0"/>
        <n v="3652.56"/>
        <n v="416.112161"/>
        <n v="43.42925"/>
        <n v="99.76"/>
        <n v="2776.492248"/>
        <n v="31.974033"/>
        <n v="3566.14"/>
        <n v="272.72"/>
        <n v="570.110628"/>
        <n v="29.41"/>
        <n v="44.98"/>
        <n v="317.05"/>
        <n v="39.39"/>
        <n v="3909.51"/>
        <n v="85.5"/>
        <n v="449.81"/>
        <n v="110.28"/>
        <n v="809.00492"/>
        <n v="12.42"/>
        <n v="162.58"/>
        <n v="13.97"/>
        <n v="67.257596"/>
        <n v="4499.04"/>
        <n v="590.55"/>
        <n v="29.27"/>
        <n v="226.48"/>
        <n v="3062.1"/>
        <n v="26.0"/>
        <n v="2047.89"/>
        <n v="144.77"/>
        <n v="384.9"/>
        <n v="47.5"/>
        <n v="2286.88"/>
        <n v="226.99"/>
        <n v="1891.65"/>
        <n v="1904.97"/>
        <n v="2452.99"/>
        <n v="2903.98"/>
        <n v="26.68"/>
        <n v="109.756921"/>
        <n v="57.93"/>
        <n v="335.78"/>
        <n v="6.96"/>
        <n v="16.46"/>
        <n v="210.25"/>
        <n v="129.18"/>
        <n v="33.96"/>
        <n v="31.9"/>
        <n v="2761.16"/>
        <n v="5408.32"/>
        <n v="241.267894"/>
        <n v="50.178904"/>
        <n v="134.61"/>
        <n v="125.08"/>
        <n v="7.62"/>
        <n v="111.9"/>
        <n v="16.5"/>
        <n v="221.79"/>
        <n v="88.21"/>
        <n v="8.7"/>
        <n v="3628.01"/>
        <n v="36.0"/>
        <n v="7.77"/>
        <n v="982.95"/>
        <n v="65.99"/>
        <n v="2555.04"/>
        <n v="39.75"/>
        <n v="523.5"/>
        <n v="5403.99"/>
        <n v="549.806995"/>
        <n v="1158.25"/>
        <n v="6.75"/>
        <n v="0.09"/>
        <n v="10.37"/>
        <n v="110.0"/>
        <n v="16.238751"/>
        <n v="1237.66"/>
        <n v="57.82"/>
        <n v="1149.722"/>
        <n v="45.2617"/>
        <n v="40.39"/>
        <n v="313.2"/>
        <n v="1138.26"/>
        <n v="106.43"/>
        <n v="619.33"/>
        <n v="435.890766"/>
        <n v="393.49"/>
        <n v="47.02"/>
        <n v="1046.19"/>
        <n v="61.7175"/>
        <n v="12.836475"/>
        <n v="1121.47"/>
        <n v="72.0"/>
        <n v="102.96"/>
        <n v="29.9"/>
        <n v="105.99"/>
        <n v="193.38"/>
        <n v="56.94"/>
        <n v="5.8"/>
        <n v="66.7"/>
        <n v="89.53"/>
        <n v="2333.93"/>
        <n v="416.69"/>
        <n v="1816.597063"/>
        <n v="63.8"/>
        <n v="411.30845"/>
        <n v="450.89"/>
        <n v="26.8"/>
        <n v="94.430059"/>
        <n v="1036.86"/>
        <n v="66.12"/>
        <n v="557.25"/>
        <n v="21.0"/>
        <n v="3470.52"/>
        <n v="2722.804756"/>
        <n v="16.67"/>
        <n v="7.344007"/>
        <n v="115.27"/>
        <n v="178.89"/>
        <n v="124.15"/>
        <n v="92.737"/>
        <n v="38.39"/>
        <n v="450.23"/>
        <n v="358.42"/>
        <n v="598.011973"/>
        <n v="2769.514362"/>
        <n v="292.86"/>
        <n v="34.755"/>
        <n v="94.5"/>
        <n v="145.0"/>
        <n v="14.5"/>
        <n v="24.38"/>
        <n v="486.88"/>
        <n v="104.0175"/>
        <n v="566.922265"/>
        <n v="1335.59435"/>
        <n v="33.512205"/>
        <n v="81.533472"/>
        <n v="1243.78"/>
        <n v="220.889438"/>
        <n v="51.2"/>
        <n v="289.04"/>
        <n v="172.67"/>
        <n v="1019.3"/>
        <n v="3411.24"/>
        <n v="638.15"/>
        <n v="379.51"/>
        <n v="119.16"/>
        <n v="14.63"/>
        <n v="101.75"/>
        <n v="154.68"/>
        <n v="9.33"/>
        <n v="188.37"/>
        <n v="880.0"/>
        <n v="2.99"/>
        <n v="8.25"/>
        <n v="589.18"/>
        <n v="719.22"/>
        <n v="3052.82"/>
        <n v="417.6"/>
        <n v="1746.09"/>
        <n v="2149.03"/>
        <n v="232.71"/>
        <n v="264.74"/>
        <n v="9.25"/>
        <n v="341.69"/>
        <n v="491.52"/>
        <n v="29.2"/>
        <n v="15.5"/>
        <n v="102.44"/>
        <n v="0.61"/>
        <n v="91.35"/>
        <n v="5826.98"/>
        <n v="5565.28"/>
        <n v="9.5"/>
        <n v="121.21"/>
        <n v="56.38"/>
        <n v="0.15"/>
        <n v="74.82"/>
        <n v="3053.568709"/>
        <n v="997.0"/>
        <n v="408.2"/>
        <n v="3588.99"/>
        <n v="556.02"/>
        <n v="6.11"/>
        <n v="1704.77"/>
        <n v="67.16"/>
        <n v="400.94"/>
        <n v="11.68"/>
        <n v="551.42"/>
        <n v="57.96"/>
        <n v="791.63"/>
        <n v="6149.02"/>
        <n v="309.96"/>
        <n v="557.41"/>
        <n v="2.3"/>
        <n v="127.662387"/>
        <n v="89.81"/>
        <n v="1287.277612"/>
        <n v="398.63"/>
        <n v="31.88"/>
        <n v="8.386504"/>
        <n v="42.6"/>
        <n v="85.48"/>
        <n v="1108.24"/>
        <n v="480.479089"/>
        <n v="363.194845"/>
        <n v="25.73"/>
        <n v="30.604162"/>
        <n v="37.282645"/>
        <n v="222.73"/>
        <n v="57.11"/>
        <n v="1446.8485"/>
        <n v="15.16"/>
        <n v="264.34516"/>
        <n v="513.34"/>
        <n v="117.3"/>
        <n v="1.17"/>
        <n v="497.88"/>
        <n v="1324.56"/>
        <n v="18.69"/>
        <n v="38.65"/>
        <n v="32.46"/>
        <n v="162.495941"/>
        <n v="263.8038"/>
        <n v="22.2275"/>
        <n v="381.65"/>
        <n v="27.13"/>
        <n v="129.329746"/>
        <n v="1174.019164"/>
        <n v="3.25"/>
        <n v="93.23"/>
        <n v="41.14"/>
        <n v="493.0"/>
        <n v="113.05"/>
        <n v="76.78"/>
        <n v="34.73991"/>
        <n v="72.21"/>
        <n v="793.54"/>
        <n v="8.81"/>
        <n v="453.483"/>
        <n v="693.67"/>
        <n v="75.66"/>
        <n v="404.94"/>
        <n v="50.85"/>
        <n v="189.85"/>
        <n v="3422.0"/>
        <n v="2.81"/>
        <n v="203.0"/>
        <n v="6.67"/>
        <n v="13.62"/>
        <n v="772.0"/>
        <n v="175.3"/>
        <n v="13.53"/>
        <n v="494.69"/>
        <n v="36.16"/>
        <n v="677.88"/>
        <n v="58.19"/>
        <n v="166.93"/>
        <n v="442.08"/>
        <n v="17.4"/>
        <n v="0.03"/>
        <n v="46.797568"/>
        <n v="6039.83"/>
        <n v="1601.89"/>
        <n v="226.9"/>
        <n v="97.57"/>
        <n v="1136.68"/>
        <n v="23.6"/>
        <n v="123.91"/>
        <n v="7.25"/>
        <n v="18.88"/>
        <n v="3155.55"/>
        <n v="259.0"/>
        <n v="252.08"/>
        <n v="523.04"/>
        <n v="658.93"/>
        <n v="183.42"/>
        <n v="442.02"/>
        <n v="1.3"/>
        <n v="1300.08"/>
        <n v="379.9"/>
        <n v="2685.34"/>
        <n v="92.14"/>
        <n v="0.96"/>
        <n v="124.671347"/>
        <n v="5.06"/>
        <n v="142.82"/>
        <n v="229.84"/>
        <n v="313.19"/>
        <n v="382.49"/>
        <n v="1407.53"/>
        <n v="692.86"/>
        <n v="1019.45"/>
        <n v="573.11"/>
        <n v="320.5"/>
        <n v="29.44"/>
        <n v="45.5955"/>
        <n v="0.08"/>
        <n v="20.14"/>
        <n v="39.52"/>
        <n v="46.79039"/>
        <n v="1190.06"/>
        <n v="806.16"/>
        <n v="886.663754"/>
        <n v="1020.34"/>
        <n v="23.68"/>
        <n v="154.97"/>
        <n v="150.86"/>
        <n v="0.01"/>
        <n v="100.0"/>
        <n v="91.22"/>
        <n v="10.1"/>
        <n v="1.51"/>
        <n v="39.09"/>
        <n v="1890.41"/>
        <n v="121.965343"/>
        <n v="264.583881"/>
        <n v="1944.9"/>
        <n v="2.17"/>
        <n v="995.78"/>
        <n v="71.81"/>
        <n v="860.27"/>
        <n v="3393.511762"/>
        <n v="73.52"/>
        <n v="8.56"/>
        <n v="119.94"/>
        <n v="306.17"/>
        <n v="28.79"/>
        <n v="29.5"/>
        <n v="1838.066038"/>
        <n v="19.5"/>
        <n v="9.0"/>
        <n v="18.85"/>
        <n v="244.392882"/>
        <n v="25.4018"/>
        <n v="375.28"/>
        <n v="63.828645"/>
        <n v="97.96"/>
        <n v="229.31"/>
        <n v="947.068595"/>
        <n v="8.66"/>
        <n v="1196.287875"/>
        <n v="0.7"/>
        <n v="170.992745"/>
        <n v="77.320593"/>
        <n v="195.31"/>
        <n v="1384.49"/>
        <n v="3958.33"/>
        <n v="87.7"/>
        <n v="640.41"/>
        <n v="63.36"/>
        <n v="56.84"/>
        <n v="1058.03"/>
        <n v="926.01"/>
        <n v="38.11"/>
        <n v="135.55"/>
        <n v="650.48"/>
        <n v="29.39"/>
        <n v="6952.96"/>
        <n v="66.61"/>
        <n v="869.97"/>
        <n v="1948.8"/>
        <n v="178.55"/>
        <n v="80.463986"/>
        <n v="672.69"/>
        <n v="2120.19"/>
        <n v="201.8"/>
        <n v="418.38"/>
        <n v="600.0"/>
        <n v="38.32"/>
        <n v="1376.63"/>
        <n v="663.2"/>
        <n v="28.95"/>
        <n v="173.65"/>
        <n v="116.11"/>
        <n v="2389.24"/>
        <n v="1255.55"/>
        <n v="165.3"/>
        <n v="54.5"/>
        <n v="24.84"/>
        <n v="1169.4"/>
        <n v="2922.5"/>
        <n v="776.59"/>
        <n v="236.16"/>
        <n v="321.3285"/>
        <n v="829.4226"/>
        <n v="849.42"/>
        <n v="506.97"/>
        <n v="548.02771"/>
        <n v="113.04"/>
        <n v="134.26"/>
        <n v="1336.7198"/>
        <n v="20.5"/>
        <n v="234.76"/>
        <n v="196.478082"/>
        <n v="1497.52"/>
        <n v="30.95"/>
        <n v="949.86"/>
        <n v="778.948806"/>
        <n v="1.59"/>
        <n v="55.04"/>
        <n v="497.66"/>
        <n v="190.69"/>
        <n v="18.345519"/>
        <n v="12.026101"/>
        <n v="528.08"/>
        <n v="79.75"/>
        <n v="20.25"/>
        <n v="166.74"/>
        <n v="3613.13"/>
        <n v="1714.34542"/>
        <n v="3880.52"/>
        <n v="130.462956"/>
        <n v="142.96"/>
        <n v="25.5"/>
        <n v="2.39"/>
        <n v="321.04"/>
        <n v="26.943078"/>
        <n v="372.708257"/>
        <n v="157.167176"/>
        <n v="2631.34"/>
        <n v="18.93"/>
        <n v="382.787351"/>
        <n v="618.05"/>
        <n v="1211.74"/>
        <n v="181.75"/>
        <n v="209.92683"/>
        <n v="1727.41"/>
        <n v="1072.2087"/>
        <n v="28185.45"/>
        <n v="58.655"/>
        <n v="801.194949"/>
        <n v="286.91115"/>
        <n v="372.85"/>
        <n v="51.12"/>
        <n v="26.75"/>
        <n v="72.49"/>
        <n v="328.461063"/>
        <n v="364.865345"/>
        <n v="510.9"/>
        <n v="0.06"/>
        <n v="1046.44"/>
        <n v="1141.46"/>
        <n v="25.71362"/>
        <n v="0.39"/>
        <n v="1252.668915"/>
        <n v="4166.17"/>
        <n v="22.38"/>
        <n v="194.3"/>
        <n v="1530.15"/>
        <n v="363.66"/>
      </sharedItems>
    </cacheField>
    <cacheField name="ach_fees" numFmtId="0">
      <sharedItems containsString="0" containsBlank="1" containsNumber="1">
        <m/>
        <n v="0.5"/>
        <n v="1.5"/>
        <n v="1.0"/>
        <n v="2.5"/>
        <n v="2.0"/>
        <n v="11.5"/>
        <n v="31.5"/>
        <n v="17.5"/>
        <n v="10.5"/>
        <n v="12.5"/>
        <n v="25.5"/>
        <n v="3.5"/>
        <n v="3.0"/>
        <n v="7.5"/>
        <n v="10.0"/>
        <n v="16.5"/>
        <n v="4.0"/>
        <n v="7.0"/>
        <n v="9.5"/>
        <n v="19.0"/>
        <n v="8.5"/>
        <n v="5.0"/>
        <n v="6.5"/>
        <n v="5.5"/>
        <n v="6.0"/>
        <n v="21.5"/>
        <n v="29.5"/>
        <n v="8.0"/>
        <n v="11.0"/>
        <n v="22.5"/>
        <n v="15.5"/>
        <n v="12.0"/>
      </sharedItems>
    </cacheField>
    <cacheField name="core_gross_profit_wo_loss" numFmtId="0">
      <sharedItems containsString="0" containsBlank="1" containsNumber="1">
        <n v="-1.0849"/>
        <n v="760.5243"/>
        <n v="2481.6509"/>
        <n v="-0.2542"/>
        <n v="136.6066"/>
        <n v="-43.5324"/>
        <n v="-0.25"/>
        <n v="-3.9757"/>
        <n v="-17.1619"/>
        <n v="-0.2102"/>
        <n v="22.2341"/>
        <n v="1.90659999999999"/>
        <n v="0.429399999999999"/>
        <n v="-0.1556"/>
        <n v="-1.2999"/>
        <n v="-0.3121"/>
        <n v="-10.133"/>
        <n v="-3.30999999999999"/>
        <n v="-2.98089999999999"/>
        <n v="-2.2815"/>
        <n v="30.0475"/>
        <n v="5.2951"/>
        <n v="0.2255"/>
        <n v="-0.1495"/>
        <n v="10.3597999999999"/>
        <n v="66.8561"/>
        <n v="100.157099999999"/>
        <n v="3.4841"/>
        <n v="-0.15"/>
        <n v="133.5879"/>
        <n v="1.0401"/>
        <n v="-2.7029"/>
        <n v="1.7562"/>
        <n v="2.44"/>
        <n v="1766.4822"/>
        <n v="68.3154"/>
        <n v="12.1047"/>
        <n v="59.704"/>
        <n v="-20.7176"/>
        <n v="440.7387"/>
        <n v="-96.9171"/>
        <n v="18.3265"/>
        <n v="-5.57259999999999"/>
        <n v="-1.09209999999999"/>
        <n v="-2.28099999999999"/>
        <n v="-23.5324"/>
        <n v="198.8482"/>
        <n v="5.9632"/>
        <n v="-1.4802"/>
        <n v="-9.1452"/>
        <n v="100.3853"/>
        <n v="-0.1386"/>
        <n v="-0.3"/>
        <n v="490.4626"/>
        <n v="24.6335"/>
        <n v="15.1605999999999"/>
        <n v="109.1326"/>
        <n v="13.2995"/>
        <n v="-1.3335"/>
        <n v="4.4237"/>
        <n v="-4.071"/>
        <n v="98.4229"/>
        <n v="173.9305"/>
        <n v="2.578"/>
        <n v="-0.9177"/>
        <n v="86.2726"/>
        <n v="274.4848"/>
        <n v="2189.4562"/>
        <n v="-3.203"/>
        <n v="0.0649999999999997"/>
        <n v="3.83939999999999"/>
        <n v="57.2793"/>
        <n v="333.0046"/>
        <n v="36.6349"/>
        <n v="6.4137"/>
        <n v="1.866"/>
        <n v="-0.9174"/>
        <n v="-1.15"/>
        <n v="-0.5455"/>
        <n v="-5.8261"/>
        <n v="0.393799999999999"/>
        <n v="2955.8707"/>
        <n v="3.13"/>
        <n v="-0.1521"/>
        <n v="862.1096"/>
        <n v="155.4668"/>
        <n v="-4.3195"/>
        <n v="-0.5562"/>
        <n v="1.8979"/>
        <n v="2330.9254"/>
        <n v="88.17"/>
        <n v="1.1976"/>
        <n v="-0.1506"/>
        <n v="-0.694899999999999"/>
        <n v="18.5967"/>
        <n v="0.32"/>
        <n v="-0.98"/>
        <n v="7.9995"/>
        <n v="39.3044"/>
        <n v="1.3322"/>
        <n v="109.189"/>
        <n v="-1.2409"/>
        <n v="0.6636"/>
        <n v="139.6669"/>
        <n v="2.7538"/>
        <n v="14.8893"/>
        <n v="28.1755"/>
        <n v="169.5687"/>
        <n v="222.537499999999"/>
        <n v="68.8222"/>
        <n v="69.1529"/>
        <n v="-8.8126"/>
        <n v="113.9412"/>
        <n v="-1.84989999999999"/>
        <n v="-9.7071"/>
        <n v="-25.4633"/>
        <n v="24.3087"/>
        <n v="-155.4488"/>
        <n v="66.1682999999999"/>
        <n v="-0.3176"/>
        <n v="26.5922"/>
        <n v="-0.68"/>
        <n v="15.5587"/>
        <n v="191.27"/>
        <n v="7.8"/>
        <n v="3.02089999999999"/>
        <n v="3.3283"/>
        <n v="0.5699"/>
        <n v="18.9643999999999"/>
        <n v="-4.37939999999999"/>
        <n v="-0.06"/>
        <n v="32.5311"/>
        <n v="1772.83069999999"/>
        <n v="-0.1879"/>
        <n v="152.7009"/>
        <n v="4.6674"/>
        <n v="92.9781"/>
        <n v="3.2844"/>
        <n v="-0.5995"/>
        <n v="138.1445"/>
        <n v="1151.2482"/>
        <n v="9.5532"/>
        <n v="160.8303"/>
        <n v="57.1538"/>
        <n v="120.0341"/>
        <n v="-2.0513"/>
        <n v="-48.6112"/>
        <n v="68.5782"/>
        <n v="-0.589699999999999"/>
        <n v="10.6668"/>
        <n v="153.8842"/>
        <n v="357.797299999999"/>
        <n v="-4.214"/>
        <n v="16.0702"/>
        <n v="4.48189999999999"/>
        <n v="-0.3886"/>
        <n v="-3.5008"/>
        <n v="530.599899999999"/>
        <n v="23.3172"/>
        <n v="27.4733999999999"/>
        <n v="-15.8678999999999"/>
        <n v="33.8587999999999"/>
        <n v="0.587699999999999"/>
        <n v="1105.5023"/>
        <n v="14.8664999999999"/>
        <n v="30.2587"/>
        <n v="-1.56"/>
        <n v="13.5171999999999"/>
        <n v="-0.918999999999999"/>
        <n v="338.008499999999"/>
        <n v="359.3017"/>
        <n v="-30.5912"/>
        <n v="252.8783"/>
        <n v="27.7675"/>
        <n v="136.6224"/>
        <n v="4.4978"/>
        <n v="-79.981"/>
        <n v="218.2276"/>
        <n v="720.0859"/>
        <n v="30.5667999999999"/>
        <n v="71.354"/>
        <n v="-1.67"/>
        <n v="81.6133"/>
        <n v="343.586299999999"/>
        <n v="0.1281"/>
        <n v="5.46239999999999"/>
        <n v="-6.0335"/>
        <n v="44.36"/>
        <n v="103.2923"/>
        <n v="-3.88519999999999"/>
        <n v="46.2163999999999"/>
        <n v="-0.23"/>
        <n v="789.2326"/>
        <n v="-0.27"/>
        <n v="89.3181999999999"/>
        <n v="-0.2112"/>
        <n v="49.5203"/>
        <n v="179.241499999999"/>
        <n v="-2.11889999999999"/>
        <n v="-0.7077"/>
        <n v="1105.3109"/>
        <n v="25.0379999999999"/>
        <n v="57.035"/>
        <n v="122.8007"/>
        <n v="-27.3186"/>
        <n v="433.2752"/>
        <n v="41.3529"/>
        <n v="45.0483"/>
        <n v="55.2826"/>
        <n v="1967.4454"/>
        <n v="219.074"/>
        <n v="668.371199999999"/>
        <n v="-1.7987"/>
        <n v="43.4668"/>
        <n v="-1.76519999999999"/>
        <n v="-0.8068"/>
        <n v="0.3391"/>
        <n v="-0.5101"/>
        <n v="-0.186899999999999"/>
        <n v="-0.968799999999999"/>
        <n v="4.2072"/>
        <n v="4.3164"/>
        <n v="1329.3129"/>
        <n v="2065.6078"/>
        <n v="-0.2927"/>
        <n v="356.712"/>
        <n v="-0.395"/>
        <n v="0.5207"/>
        <n v="1084.3917"/>
        <n v="30.8876"/>
        <n v="-0.1404"/>
        <n v="263.2103"/>
        <n v="-65.5969"/>
        <n v="413.1083"/>
        <n v="-29.7457"/>
        <n v="45.5049"/>
        <n v="-0.77"/>
        <n v="64.1832"/>
        <n v="10.9208999999999"/>
        <n v="26.543"/>
        <n v="932.007499999999"/>
        <n v="12.3204"/>
        <n v="-16.5604"/>
        <n v="-0.3962"/>
        <n v="11.587"/>
        <n v="-1.3704"/>
        <n v="30.2271"/>
        <n v="-1.1964"/>
        <n v="-8.11"/>
        <n v="-1.27859999999999"/>
        <n v="-0.6544"/>
        <n v="136.705299999999"/>
        <n v="-21.1766"/>
        <n v="9.38069999999999"/>
        <n v="-1.7435"/>
        <n v="-4.0308"/>
        <n v="6.2596"/>
        <n v="109.7828"/>
        <n v="-1.25"/>
        <n v="-0.56"/>
        <n v="-0.43"/>
        <n v="34.3555"/>
        <n v="0.6236"/>
        <n v="22.3574"/>
        <n v="-0.1038"/>
        <n v="1682.3779"/>
        <n v="-0.3577"/>
        <n v="-0.2"/>
        <n v="-2.03"/>
        <n v="448.1583"/>
        <n v="16.8342"/>
        <n v="92.9333"/>
        <n v="-0.22"/>
        <n v="-0.2571"/>
        <n v="39.7651"/>
        <n v="-0.6"/>
        <n v="-0.6735"/>
        <n v="-1.64"/>
        <n v="2.302"/>
        <n v="26.012"/>
        <n v="-0.95"/>
        <n v="-0.1541"/>
        <n v="1.1598"/>
        <n v="119.0163"/>
        <n v="11.5384"/>
        <n v="7.832"/>
        <n v="68.332"/>
        <n v="72.3766"/>
        <n v="0.5767"/>
        <n v="42.2923"/>
        <n v="0.5168"/>
        <n v="130.2142"/>
        <n v="186.608999999999"/>
        <n v="-1.7772"/>
        <n v="91.2177"/>
        <n v="8.9096"/>
        <n v="26.1576"/>
        <n v="115.7321"/>
        <n v="128.7683"/>
        <n v="11.5221"/>
        <n v="-1.1005"/>
        <n v="5.9889"/>
        <n v="887.25"/>
        <n v="229.575199999999"/>
        <n v="79.9704"/>
        <n v="-92.3951999999999"/>
        <n v="38.2288999999999"/>
        <n v="42.8887"/>
        <n v="203.35"/>
        <n v="255.7839"/>
        <n v="19.8137"/>
        <n v="1.5823"/>
        <n v="-1.85"/>
        <n v="871.879899999999"/>
        <n v="-0.2858"/>
        <n v="127.9664"/>
        <n v="370.7351"/>
        <n v="1142.07589999999"/>
        <n v="242.1351"/>
        <n v="93.4521999999999"/>
        <n v="470.224899999999"/>
        <n v="424.100299999999"/>
        <n v="-4.05"/>
        <n v="15.58"/>
        <n v="13.2375"/>
        <n v="1.027"/>
        <n v="84.2964999999999"/>
        <n v="2.53"/>
        <n v="3.72"/>
        <n v="-0.378399999999999"/>
        <n v="148.539499999999"/>
        <n v="-2.5539"/>
        <n v="46.7461"/>
        <n v="-6.3048"/>
        <n v="1.2264"/>
        <n v="3.56"/>
        <n v="54.2573999999999"/>
        <n v="82.4172"/>
        <n v="0.8888"/>
        <n v="25.7961"/>
        <n v="85.4204"/>
        <n v="120.412799999999"/>
        <n v="-0.5296"/>
        <n v="8.2252"/>
        <n v="-0.12"/>
        <n v="35.9766"/>
        <n v="28.8832"/>
        <n v="1.14319999999999"/>
        <n v="-3.85199999999999"/>
        <n v="165.4979"/>
        <n v="-0.248499999999999"/>
        <n v="110.1362"/>
        <n v="3.9408"/>
        <n v="14.3022"/>
        <n v="740.257699999999"/>
        <n v="35.629"/>
        <n v="334.054999999999"/>
        <n v="342.9966"/>
        <n v="19.1965"/>
        <n v="239.6464"/>
        <n v="48.4769999999999"/>
        <n v="-2.4035"/>
        <n v="90.8047"/>
        <n v="521.4116"/>
        <n v="-12.5286999999999"/>
        <n v="0.67"/>
        <n v="1.8662"/>
        <n v="147.3917"/>
        <n v="-0.0544"/>
        <n v="103.889"/>
        <n v="-16.4214"/>
        <n v="-1.71999999999999"/>
        <n v="-0.3221"/>
        <n v="67.8385"/>
        <n v="-0.5107"/>
        <n v="1819.81029999999"/>
        <n v="-0.1559"/>
        <n v="3.9649"/>
        <n v="115.311"/>
        <n v="1.08579999999999"/>
        <n v="28.5148"/>
        <n v="-1.10419999999999"/>
        <n v="53.3086"/>
        <n v="12.6173"/>
        <n v="453.1156"/>
        <n v="1.4012"/>
        <n v="293.5805"/>
        <n v="14.5834999999999"/>
        <n v="198.8908"/>
        <n v="-1.0157"/>
        <n v="0.5023"/>
        <n v="119.443599999999"/>
        <n v="-0.6912"/>
        <n v="62.5941"/>
        <n v="55.0599999999999"/>
        <n v="47.1016"/>
        <n v="43.1418"/>
        <n v="-0.91"/>
        <n v="-0.72"/>
        <n v="436.1459"/>
        <n v="5.9485"/>
        <n v="552.9097"/>
        <n v="-0.1"/>
        <n v="60.5276"/>
        <n v="2.7069"/>
        <n v="-0.8042"/>
        <n v="1926.04229999999"/>
        <n v="-3.7"/>
        <n v="488.179999999999"/>
        <n v="-0.39"/>
        <n v="-1.1331"/>
        <n v="195.048"/>
        <n v="177.1545"/>
        <n v="32.2351"/>
        <n v="-0.5732"/>
        <n v="146.918999999999"/>
        <n v="33.1827"/>
        <n v="11.0396"/>
        <n v="-0.8062"/>
        <n v="9.9488"/>
        <n v="9.6081"/>
        <n v="368.0272"/>
        <n v="-2.52"/>
        <n v="338.0304"/>
        <n v="6.278"/>
        <n v="42.69"/>
        <n v="120.591199999999"/>
        <n v="8.53559999999999"/>
        <n v="57.1369"/>
        <n v="17.5888999999999"/>
        <n v="124.7583"/>
        <n v="429.884"/>
        <n v="-0.657"/>
        <n v="-0.5"/>
        <n v="10.2911"/>
        <n v="51.6713"/>
        <n v="-1.4021"/>
        <n v="488.7207"/>
        <n v="331.24"/>
        <n v="70.397"/>
        <n v="30.9178"/>
        <n v="86.3538"/>
        <n v="-0.16"/>
        <n v="1.0228"/>
        <n v="231.1723"/>
        <n v="187.9663"/>
        <n v="-0.1429"/>
        <n v="-0.1755"/>
        <n v="1070.26969999999"/>
        <n v="-0.472099999999999"/>
        <n v="-3.9781"/>
        <n v="144.5606"/>
        <n v="66.4354999999999"/>
        <n v="-2.331"/>
        <n v="3.7369"/>
        <n v="-17.5465999999999"/>
        <n v="3.3707"/>
        <n v="-4.92329999999999"/>
        <n v="77.7273"/>
        <n v="6.1184"/>
        <n v="-4.5443"/>
        <n v="-1.5093"/>
        <n v="40.0999"/>
        <n v="95.3129"/>
        <n v="237.743999999999"/>
        <n v="96.5654"/>
        <n v="1104.6373"/>
        <n v="134.936999999999"/>
        <n v="20.9643999999999"/>
        <n v="5.2028"/>
        <n v="-0.515899999999999"/>
        <n v="9.149"/>
        <n v="15.631"/>
        <n v="34.6376999999999"/>
        <n v="-1.50569999999999"/>
        <n v="18.7381"/>
        <n v="15.5115"/>
        <n v="74.65"/>
        <n v="0.7762"/>
        <n v="15.4356"/>
        <n v="16.7280999999999"/>
        <n v="14.8336"/>
        <n v="-2.45039999999999"/>
        <n v="14.7017"/>
        <n v="-2.5368"/>
        <n v="-12.0703"/>
        <n v="-0.37"/>
        <n v="-1.13629999999999"/>
        <n v="549.5001"/>
        <n v="9.6"/>
        <n v="-0.0678999999999999"/>
        <n v="98.5457"/>
        <n v="-0.2777"/>
        <n v="112.9618"/>
        <n v="96.9021"/>
        <n v="-1.35"/>
        <n v="0.00160000000000001"/>
        <n v="-81.4663"/>
        <n v="353.6916"/>
        <n v="-2.82369999999999"/>
        <n v="39.8366"/>
        <n v="-2.4158"/>
        <n v="85.1813"/>
        <n v="220.8655"/>
        <n v="-6.07839999999999"/>
        <n v="-1.99999999999999"/>
        <n v="685.6292"/>
        <n v="-9.2744"/>
        <n v="566.9647"/>
        <n v="-3.427"/>
        <n v="35.3052999999999"/>
        <n v="57.8302"/>
        <n v="8.0609"/>
        <n v="2.0337"/>
        <n v="700.0619"/>
        <n v="76.4710999999999"/>
        <n v="-27.157"/>
        <n v="108.6728"/>
        <n v="790.6428"/>
        <n v="-1.58999999999999"/>
        <n v="9.02"/>
        <n v="131.1345"/>
        <n v="5.4299"/>
        <n v="60.8938"/>
        <n v="466.2557"/>
        <n v="72.4068"/>
        <n v="-0.26"/>
        <n v="-1.1507"/>
        <n v="28.9073"/>
        <n v="551.2449"/>
        <n v="6.0404"/>
        <n v="-0.2556"/>
        <n v="23.91"/>
        <n v="125.462399999999"/>
        <n v="12.8907"/>
        <n v="51.5494"/>
        <n v="46.9195"/>
        <n v="129.3013"/>
        <n v="-9.1679"/>
        <n v="14.9402"/>
        <n v="39.8627"/>
        <n v="129.317999999999"/>
        <n v="356.1481"/>
        <n v="176.7859"/>
        <n v="7.2806"/>
        <n v="109.4731"/>
        <n v="9.8607"/>
        <n v="41.8456"/>
        <n v="-1.7146"/>
        <n v="5.0835"/>
        <n v="1.1286"/>
        <n v="-10.1402"/>
        <n v="37.47"/>
        <n v="110.4489"/>
        <n v="33.4938"/>
        <n v="-0.8395"/>
        <n v="7.7762"/>
        <n v="-1.94"/>
        <n v="349.5558"/>
        <n v="172.6573"/>
        <n v="-0.6063"/>
        <n v="137.2875"/>
        <n v="39.7849"/>
        <n v="121.5007"/>
        <n v="82.1215"/>
        <n v="3.2683"/>
        <n v="12.9026"/>
        <n v="3.45689999999999"/>
        <n v="35.3711"/>
        <n v="-7.31919999999999"/>
        <n v="-0.5356"/>
        <n v="6.2588"/>
        <n v="308.2657"/>
        <n v="-58.4103999999999"/>
        <n v="-5.5382"/>
        <n v="-0.288599999999999"/>
        <n v="52.9303999999999"/>
        <n v="61.4215999999999"/>
        <n v="499.044"/>
        <n v="34.37"/>
        <n v="-1.0217"/>
        <n v="-0.21"/>
        <n v="-0.1379"/>
        <n v="146.2479"/>
        <n v="830.9447"/>
        <n v="-0.6554"/>
        <n v="535.572"/>
        <n v="140.7676"/>
        <n v="2.1685"/>
        <n v="-0.5272"/>
        <n v="6.82999999999999"/>
        <n v="-4.0006"/>
        <n v="97.9545"/>
        <n v="-7.0721"/>
        <n v="-2.0255"/>
        <n v="119.0425"/>
        <n v="48.1585"/>
        <n v="1137.97079999999"/>
        <n v="33.1042"/>
        <n v="9.581"/>
        <n v="-6.6182"/>
        <n v="25.1703"/>
        <n v="104.6805"/>
        <n v="47.0618"/>
        <n v="428.337"/>
        <n v="352.3515"/>
        <n v="-1.3039"/>
        <n v="39.0952"/>
        <n v="21.4288"/>
        <n v="59.7201"/>
        <n v="0.6625"/>
        <n v="114.6309"/>
        <n v="71.3999999999999"/>
        <n v="97.7696"/>
        <n v="1.0064"/>
        <n v="7.214"/>
        <n v="-5.3854"/>
        <n v="51.8155"/>
        <n v="0.162599999999999"/>
        <n v="0.126999999999999"/>
        <n v="-0.1721"/>
        <n v="84.5321"/>
        <n v="517.0877"/>
        <n v="49.3339"/>
        <n v="479.294099999999"/>
        <n v="43.4694"/>
        <n v="-5.4366"/>
        <n v="-0.671"/>
        <n v="371.862099999999"/>
        <n v="54.6393999999999"/>
        <n v="19.0242"/>
        <n v="-0.4"/>
        <n v="0.0075"/>
        <n v="3.4055"/>
        <n v="67.3514"/>
        <n v="77.5754"/>
        <n v="8.3975"/>
        <n v="82.5623"/>
        <n v="3.31569999999999"/>
        <n v="100.3909"/>
        <n v="-2.3552"/>
        <n v="2688.9599"/>
        <n v="11.5494"/>
        <n v="4.3214"/>
        <n v="49.3373"/>
        <n v="154.2959"/>
        <n v="-3.9033"/>
        <n v="41.9034999999999"/>
        <n v="0.28"/>
        <n v="-0.516899999999999"/>
        <n v="56.975"/>
        <n v="87.8314"/>
        <n v="30.8849"/>
        <n v="347.4799"/>
        <n v="330.5497"/>
        <n v="541.8054"/>
        <n v="-1.37899999999999"/>
        <n v="2738.66219999999"/>
        <n v="4.4458"/>
        <n v="32.374"/>
        <n v="85.99"/>
        <n v="-7.7982"/>
        <n v="0.3667"/>
        <n v="22.9058"/>
        <n v="-0.925400000000001"/>
        <n v="102.475499999999"/>
        <n v="546.054199999999"/>
        <n v="1316.8972"/>
        <n v="2.86"/>
        <n v="-3.4493"/>
        <n v="35.1235"/>
        <n v="720.9923"/>
        <n v="215.3575"/>
        <n v="-0.8737"/>
        <n v="-0.7276"/>
        <n v="-0.9015"/>
        <n v="34.3887999999999"/>
        <n v="-3.89999999999999"/>
        <n v="-8.23"/>
        <n v="53.3818999999999"/>
        <n v="-8.6411"/>
        <n v="144.137"/>
        <n v="-171.0014"/>
        <n v="41.3426"/>
        <n v="54.6764"/>
        <n v="-2.5877"/>
        <n v="16.8897"/>
        <n v="1.9642"/>
        <n v="-6.91209999999999"/>
        <n v="-1.6084"/>
        <n v="0.5705"/>
        <n v="-0.979199999999999"/>
        <n v="-2.49419999999999"/>
        <n v="88.6959"/>
        <n v="9.54779999999999"/>
        <n v="8.45999999999999"/>
        <n v="-19.1099"/>
        <n v="107.9668"/>
        <n v="-4.6633"/>
        <n v="-0.5081"/>
        <n v="5.1106"/>
        <n v="78.892"/>
        <n v="115.2466"/>
        <n v="287.105"/>
        <n v="-14.7199999999999"/>
        <n v="21.4498"/>
        <n v="213.1092"/>
        <n v="-30.3374999999999"/>
        <n v="-20.1821999999999"/>
        <n v="17.6899"/>
        <n v="3.3546"/>
        <n v="-0.3021"/>
        <n v="6.7406"/>
        <n v="456.5993"/>
        <n v="27.1108"/>
        <n v="4.9113"/>
        <n v="7.3899"/>
        <n v="0.2276"/>
        <n v="-3.784"/>
        <n v="-1.0987"/>
        <n v="1531.271"/>
        <n v="731.8472"/>
        <n v="1.1134"/>
        <n v="20.7216999999999"/>
        <n v="49.69"/>
        <n v="-0.4958"/>
        <n v="-0.1056"/>
        <n v="5.54149999999999"/>
        <n v="584.681399999999"/>
        <n v="977.3494"/>
        <n v="42.8984"/>
        <n v="421.1863"/>
        <n v="-0.1384"/>
        <n v="-26.6095999999999"/>
        <n v="-2.4051"/>
        <n v="-0.9984"/>
        <n v="45.5532"/>
        <n v="17.2042"/>
        <n v="16.2959"/>
        <n v="-0.0729"/>
        <n v="-0.41"/>
        <n v="4.86089999999999"/>
        <n v="-0.3012"/>
        <n v="-0.1727"/>
        <n v="-1.53999999999999"/>
        <n v="525.5995"/>
        <n v="52.4192"/>
        <n v="-1.5632"/>
        <n v="810.0707"/>
        <n v="60.243"/>
        <n v="12.6126"/>
        <n v="-13.6928999999999"/>
        <n v="-0.00870000000000011"/>
        <n v="-0.178099999999999"/>
        <n v="113.363"/>
        <n v="4.15569999999999"/>
        <n v="1210.3326"/>
        <n v="0.6782"/>
        <n v="-0.925800000000002"/>
        <n v="5.2801"/>
        <n v="29.5034"/>
        <n v="7.8365"/>
        <n v="23.7514"/>
        <n v="82.9829"/>
        <n v="1090.5881"/>
        <n v="-0.449999999999999"/>
        <n v="478.7691"/>
        <n v="353.5747"/>
        <n v="-0.4602"/>
        <n v="22.6142"/>
        <n v="28.9104"/>
        <n v="49.1294"/>
        <n v="50.4879"/>
        <n v="1435.979"/>
        <n v="-1.41"/>
        <n v="-0.11"/>
        <n v="0.9448"/>
        <n v="249.7977"/>
        <n v="490.21"/>
        <n v="109.2416"/>
        <n v="-2.0089"/>
        <n v="15.7263"/>
        <n v="78.1744"/>
        <n v="12.9549"/>
        <n v="22.8693"/>
        <n v="0.964499999999999"/>
        <n v="143.1812"/>
        <n v="227.4694"/>
        <n v="-10.876"/>
        <n v="21.1898"/>
        <n v="54.3927"/>
        <n v="-0.61"/>
        <n v="25.8167999999999"/>
        <n v="100.6561"/>
        <n v="-2.37719999999999"/>
        <n v="0.4213"/>
        <n v="-2.38"/>
        <n v="1150.68089999999"/>
        <n v="-0.1695"/>
        <n v="2.28"/>
        <n v="7.94039999999999"/>
        <n v="25.9209"/>
        <n v="25.4694"/>
        <n v="-1.95"/>
        <n v="14.5557"/>
        <n v="27.9469999999999"/>
        <n v="31.4904999999999"/>
        <n v="-0.6129"/>
        <n v="-3.3721"/>
        <n v="5.80749999999999"/>
        <n v="-0.32"/>
        <n v="74.3121"/>
        <n v="-0.4495"/>
        <n v="-0.4086"/>
        <n v="17.4092"/>
        <n v="-1.5588"/>
        <n v="-1.73099999999999"/>
        <n v="451.9095"/>
        <n v="-1.2697"/>
        <n v="31.6121"/>
        <n v="6.2479"/>
        <n v="44.1111"/>
        <n v="44.0046999999999"/>
        <n v="22.3108999999999"/>
        <n v="360.2818"/>
        <n v="2.4"/>
        <n v="135.5617"/>
        <n v="0.3487"/>
        <n v="0.0687999999999999"/>
        <n v="46.2144"/>
        <n v="64.1767"/>
        <n v="-2.9047"/>
        <n v="42.6896"/>
        <n v="27.9052999999999"/>
        <n v="2.6755"/>
        <n v="51.3379"/>
        <n v="-12.8263"/>
        <n v="-2.55999999999999"/>
        <n v="79.4821"/>
        <n v="-8.9955"/>
        <n v="-3.3218"/>
        <n v="-0.8898"/>
        <n v="24.4827"/>
        <n v="945.7944"/>
        <n v="-11.1051"/>
        <n v="38.193"/>
        <n v="-0.1508"/>
        <n v="12.9591"/>
        <n v="153.831"/>
        <n v="-3.7497"/>
        <n v="48.8538"/>
        <n v="4.6479"/>
        <n v="-0.5346"/>
        <n v="402.085"/>
        <n v="24.3951"/>
        <n v="33.4707"/>
        <n v="-3.5537"/>
        <n v="168.0484"/>
        <n v="17.2282"/>
        <n v="-1.61289999999999"/>
        <n v="13.6657999999999"/>
        <n v="-4.384"/>
        <n v="-0.4146"/>
        <n v="-62.8916"/>
        <n v="-28.8652"/>
        <n v="188.3265"/>
        <n v="18.8778"/>
        <n v="-0.13"/>
        <n v="-1.2769"/>
        <n v="-5.4152"/>
        <n v="113.9313"/>
        <n v="-0.8577"/>
        <n v="-0.196399999999999"/>
        <n v="-7.46109999999999"/>
        <n v="141.51"/>
        <n v="0.11"/>
        <n v="-0.435"/>
        <n v="22.0156"/>
        <n v="-14.2652"/>
        <n v="338.186"/>
        <n v="3.31679999999999"/>
        <n v="601.63"/>
        <n v="50.5522"/>
        <n v="-45.6982"/>
        <n v="-50.1254"/>
        <n v="16.8617"/>
        <n v="42.4791999999999"/>
        <n v="-0.47"/>
        <n v="9.6366"/>
        <n v="30.5593"/>
        <n v="34.7031"/>
        <n v="156.4535"/>
        <n v="19.9641"/>
        <n v="869.2135"/>
        <n v="461.0036"/>
        <n v="-2.8225"/>
        <n v="39.1541"/>
        <n v="40.5067"/>
        <n v="-6.69"/>
        <n v="14.8930999999999"/>
        <n v="-2.31509999999999"/>
        <n v="-1.4405"/>
        <n v="96.4699999999999"/>
        <n v="75.7477"/>
        <n v="3.7889"/>
        <n v="0.157699999999999"/>
        <n v="-0.4604"/>
        <n v="-0.6962"/>
        <n v="17.2832"/>
        <n v="161.1572"/>
        <n v="113.1446"/>
        <n v="249.7612"/>
        <n v="33.4404"/>
        <n v="55.6965"/>
        <n v="-3.2301"/>
        <n v="63.5485"/>
        <n v="0.0487"/>
        <n v="94.4752"/>
        <n v="56.3051"/>
        <n v="-1.45869999999999"/>
        <n v="31.878"/>
        <n v="3348.6196"/>
        <n v="28.4807"/>
        <n v="0.7669"/>
        <n v="-2.2979"/>
        <n v="-5.0793"/>
        <n v="-16.3537"/>
        <n v="-0.4763"/>
        <n v="69.4679"/>
        <n v="-3.3601"/>
        <n v="-0.5598"/>
        <n v="28.3758"/>
        <n v="306.21"/>
        <n v="-2.36"/>
        <n v="-0.641799999999999"/>
        <n v="-1.3488"/>
        <n v="0.61"/>
        <n v="29.3723"/>
        <n v="10.7499"/>
        <n v="214.455399999999"/>
        <n v="0.2"/>
        <n v="24.2041"/>
        <n v="296.4434"/>
        <n v="56.7795999999999"/>
        <n v="0.5707"/>
        <n v="63.9991999999999"/>
        <n v="-1.138"/>
        <n v="41.4439"/>
        <n v="899.8184"/>
        <n v="-0.0901"/>
        <n v="1165.5592"/>
        <n v="-1.4414"/>
        <n v="169.6085"/>
        <n v="33.1706"/>
        <n v="177.7767"/>
        <n v="75.9282"/>
        <n v="117.645"/>
        <n v="10.5148"/>
        <n v="-0.42"/>
        <n v="81.3415"/>
        <n v="-8.94279999999999"/>
        <n v="24.2587"/>
        <n v="-0.4188"/>
        <n v="-3.0002"/>
        <n v="182.001"/>
        <n v="-1.06"/>
        <n v="-3.16"/>
        <n v="-1.28"/>
        <n v="12.1378999999999"/>
        <n v="-0.589"/>
        <n v="38.4176999999999"/>
        <n v="-5.37939999999999"/>
        <n v="-400.6271"/>
        <n v="12.1418"/>
        <n v="125.157699999999"/>
        <n v="258.3942"/>
        <m/>
        <n v="15.0031"/>
        <n v="80.1631999999999"/>
        <n v="-0.6689"/>
        <n v="63.3263"/>
        <n v="38.6558"/>
        <n v="64.4404999999999"/>
        <n v="81.5392"/>
        <n v="118.3024"/>
        <n v="31.6012"/>
        <n v="70.3102"/>
        <n v="91.981"/>
        <n v="0.5296"/>
        <n v="3.1784"/>
        <n v="-0.35"/>
        <n v="-4.27469999999999"/>
        <n v="81.8343"/>
        <n v="186.9586"/>
        <n v="201.440099999999"/>
        <n v="0.5703"/>
        <n v="0.6207"/>
        <n v="283.4078"/>
        <n v="14.2447"/>
        <n v="53.5801999999999"/>
        <n v="-0.6315"/>
        <n v="-0.6156"/>
        <n v="-8.4129"/>
        <n v="7.4918"/>
        <n v="2919.1391"/>
        <n v="-0.8833"/>
        <n v="-3.22999999999999"/>
        <n v="-1.02149999999999"/>
        <n v="-0.748999999999999"/>
        <n v="73.8783"/>
        <n v="235.890699999999"/>
        <n v="305.7943"/>
        <n v="-1.3131"/>
        <n v="823.6845"/>
        <n v="60.0672"/>
        <n v="504.979999999999"/>
        <n v="533.0188"/>
        <n v="0.954599999999999"/>
        <n v="-3.01629999999999"/>
        <n v="0.5986"/>
        <n v="0.1752"/>
        <n v="-2.1268"/>
        <n v="-0.28"/>
        <n v="14.3914"/>
        <n v="1315.0156"/>
        <n v="14.78"/>
        <n v="0.117"/>
        <n v="-3.9466"/>
        <n v="-0.8321"/>
        <n v="185.3481"/>
        <n v="150.9948"/>
        <n v="17.7799999999999"/>
        <n v="382.6784"/>
        <n v="-0.76"/>
        <n v="698.2361"/>
        <n v="-1.9165"/>
        <n v="0.243899999999999"/>
        <n v="-1.52"/>
        <n v="169.125399999999"/>
        <n v="-3.9045"/>
        <n v="1.8606"/>
        <n v="17.2955"/>
        <n v="-1.42"/>
        <n v="7.005"/>
        <n v="6.86389999999999"/>
        <n v="-25.101"/>
        <n v="-0.1148"/>
        <n v="2.4483"/>
        <n v="40.8457"/>
        <n v="-191.2616"/>
        <n v="772.3973"/>
        <n v="-0.7418"/>
        <n v="-4.0113"/>
        <n v="-199.4853"/>
        <n v="0.6062"/>
        <n v="-0.9121"/>
        <n v="111.767199999999"/>
        <n v="-2.9758"/>
        <n v="7.53099999999999"/>
        <n v="0.1184"/>
        <n v="213.7599"/>
        <n v="17.8178999999999"/>
        <n v="357.2486"/>
        <n v="89.9455"/>
        <n v="-61.64"/>
        <n v="7.6209"/>
        <n v="144.4797"/>
        <n v="-29.8433"/>
        <n v="480.575"/>
        <n v="-0.4889"/>
        <n v="19.9089"/>
        <n v="180.209999999999"/>
        <n v="-2.383"/>
        <n v="207.100299999999"/>
        <n v="26.493"/>
        <n v="1043.8488"/>
        <n v="-1727.4034"/>
        <n v="3.74499999999999"/>
        <n v="57.4741"/>
        <n v="241.5093"/>
        <n v="283.259899999999"/>
        <n v="316.2904"/>
        <n v="0.1412"/>
        <n v="4.8486"/>
        <n v="-5.0974"/>
        <n v="13.9841"/>
        <n v="36.1911"/>
        <n v="312.3911"/>
        <n v="361.2969"/>
        <n v="101.0224"/>
        <n v="-3.2106"/>
        <n v="-2.20859999999999"/>
        <n v="-1.2474"/>
        <n v="0.5632"/>
        <n v="153.6043"/>
        <n v="31.4132"/>
        <n v="7.2276"/>
        <n v="-0.6823"/>
        <n v="1223.8694"/>
        <n v="-0.4386"/>
        <n v="47.2307"/>
        <n v="718.391"/>
        <n v="0.5687"/>
        <n v="22.02"/>
        <n v="48.3878"/>
        <n v="-64.8834"/>
        <n v="50.2127"/>
      </sharedItems>
    </cacheField>
    <cacheField name="core_gp" numFmtId="0">
      <sharedItems containsString="0" containsBlank="1" containsNumber="1">
        <n v="-8.95365627185199"/>
        <n v="653.051089727546"/>
        <n v="2189.60829739249"/>
        <n v="-1.00766470356999"/>
        <n v="131.12195283148"/>
        <n v="-54.5535287538559"/>
        <n v="-0.3396814"/>
        <n v="-13.3246945543179"/>
        <n v="-26.7100504"/>
        <n v="-3.513123278276"/>
        <n v="-2.28503133316599"/>
        <n v="-0.162788218792"/>
        <n v="-75.7341194233233"/>
        <n v="-2.999365595"/>
        <n v="-5.101373773998"/>
        <n v="-13.2581294066699"/>
        <n v="-14.2206692767999"/>
        <n v="-13.2525564328757"/>
        <n v="-22.7467141214083"/>
        <n v="-12.1231506995339"/>
        <n v="-35.7305993713369"/>
        <n v="4.45066152943367"/>
        <n v="-0.0165114341993199"/>
        <n v="-0.5936916184615"/>
        <n v="7.33369617387499"/>
        <n v="61.6406813929429"/>
        <n v="78.485730738592"/>
        <n v="-5.715827583379"/>
        <n v="-0.150007834067345"/>
        <n v="107.393741211116"/>
        <n v="0.82791886764"/>
        <n v="-12.521178550013"/>
        <n v="-1.98851249999999"/>
        <n v="0.8486416"/>
        <n v="1379.96004183592"/>
        <n v="54.6888632472"/>
        <n v="9.160686788505"/>
        <n v="38.858607609888"/>
        <n v="-38.7694392368"/>
        <n v="395.78242491293"/>
        <n v="-139.945568999999"/>
        <n v="16.97768"/>
        <n v="-49.476096290383"/>
        <n v="-4.07805857518899"/>
        <n v="-2.84331351757"/>
        <n v="-55.9928483274999"/>
        <n v="198.346033999999"/>
        <n v="-56.1145133479429"/>
        <n v="-7.741265633626"/>
        <n v="-27.7330875923129"/>
        <n v="100.247366399999"/>
        <n v="-0.16537"/>
        <n v="-1.017600568802"/>
        <n v="76.2086499076001"/>
        <n v="22.5773320304888"/>
        <n v="14.811478"/>
        <n v="-23.8618414978429"/>
        <n v="-0.1979444778"/>
        <n v="-12.8837978134679"/>
        <n v="-20.0850855072237"/>
        <n v="1.930764000284"/>
        <n v="-22.0292989332332"/>
        <n v="40.762574761548"/>
        <n v="149.615734866052"/>
        <n v="-9.73756591872799"/>
        <n v="-2.41046551819957"/>
        <n v="76.2276057042658"/>
        <n v="106.288581624502"/>
        <n v="1615.96965414383"/>
        <n v="-17.3281043549659"/>
        <n v="-3.61278179076999"/>
        <n v="-19.810961990035"/>
        <n v="34.3274778356969"/>
        <n v="264.886504413404"/>
        <n v="30.9572763727"/>
        <n v="4.69632289617829"/>
        <n v="-6.07859535238347"/>
        <n v="-0.92976"/>
        <n v="-7.56444973415867"/>
        <n v="-0.54886"/>
        <n v="-25.063626772999"/>
        <n v="-77.7870109025829"/>
        <n v="2213.682654016"/>
        <n v="2.64897865145687"/>
        <n v="-0.153666813"/>
        <n v="778.946029809654"/>
        <n v="117.106460915731"/>
        <n v="-45.095890122353"/>
        <n v="-1.08826595342569"/>
        <n v="-2.47811403226587"/>
        <n v="-3.87065989850399"/>
        <n v="1910.41598064102"/>
        <n v="47.9582978451678"/>
        <n v="-0.724382237730999"/>
        <n v="-0.843391064825244"/>
        <n v="-16.713381745728"/>
        <n v="15.359260244975"/>
        <n v="-0.161502615616"/>
        <n v="-22.4241319476593"/>
        <n v="7.9441"/>
        <n v="39.2536187"/>
        <n v="1.31259759668934"/>
        <n v="101.568907610272"/>
        <n v="-1.5105271789"/>
        <n v="0.423952020055997"/>
        <n v="134.1745685928"/>
        <n v="2.7342625"/>
        <n v="13.1381903327461"/>
        <n v="21.6884597177161"/>
        <n v="150.576367784758"/>
        <n v="221.874949999999"/>
        <n v="68.7307"/>
        <n v="51.9760186052199"/>
        <n v="-9.4432806"/>
        <n v="112.514039749118"/>
        <n v="-1.85165329999999"/>
        <n v="-13.9184048999999"/>
        <n v="-70.75844"/>
        <n v="21.5437105787589"/>
        <n v="-253.005472532"/>
        <n v="65.3760770432489"/>
        <n v="-0.3209869"/>
        <n v="24.4618879897497"/>
        <n v="-2.23097512991522"/>
        <n v="-1.33200576459299"/>
        <n v="15.3602489728299"/>
        <n v="190.0165492248"/>
        <n v="6.300367498176"/>
        <n v="2.304479"/>
        <n v="-0.107616956200002"/>
        <n v="-0.0901658499999999"/>
        <n v="18.7006188999999"/>
        <n v="-4.3819397"/>
        <n v="-0.332476696326445"/>
        <n v="32.10826417569"/>
        <n v="1771.41884"/>
        <n v="-0.2626369801"/>
        <n v="143.56365774984"/>
        <n v="3.07125691574399"/>
        <n v="91.9351436"/>
        <n v="-0.41635828973"/>
        <n v="2.45686549999999"/>
        <n v="-0.6237"/>
        <n v="136.48483873164"/>
        <n v="1150.4012433"/>
        <n v="8.737842285465"/>
        <n v="155.364399"/>
        <n v="42.3011216"/>
        <n v="92.7148502490246"/>
        <n v="-97.1347079740593"/>
        <n v="-60.3311891823999"/>
        <n v="63.1942163385539"/>
        <n v="-0.596669186310112"/>
        <n v="-1.29861802462699"/>
        <n v="94.38613571512"/>
        <n v="212.7773152288"/>
        <n v="-28.269192247472"/>
        <n v="8.804859544"/>
        <n v="-13.7201011379293"/>
        <n v="-0.67828"/>
        <n v="-10.6643307191798"/>
        <n v="410.1776514514"/>
        <n v="12.569788806483"/>
        <n v="-9.25474300405623"/>
        <n v="-16.7455398"/>
        <n v="21.237091699377"/>
        <n v="-0.1512248"/>
        <n v="-28.7782216684482"/>
        <n v="548.313194318"/>
        <n v="14.739725"/>
        <n v="-0.57303951"/>
        <n v="24.3837227166501"/>
        <n v="-12.4979544560729"/>
        <n v="2.38613676167199"/>
        <n v="-3.54543296376999"/>
        <n v="145.443160273383"/>
        <n v="236.4481206072"/>
        <n v="-34.3447769394498"/>
        <n v="227.557775346525"/>
        <n v="-12.5057429679379"/>
        <n v="124.899793913195"/>
        <n v="4.46777"/>
        <n v="-125.451838378239"/>
        <n v="204.405389363554"/>
        <n v="619.692073951222"/>
        <n v="21.9714681284439"/>
        <n v="40.503521966957"/>
        <n v="-3.232616"/>
        <n v="81.47545"/>
        <n v="271.1159271552"/>
        <n v="-0.278242463725375"/>
        <n v="-1.36567736856217"/>
        <n v="-0.152737223130343"/>
        <n v="5.414528"/>
        <n v="-37.4759397833839"/>
        <n v="23.6276742785829"/>
        <n v="81.97833170032"/>
        <n v="-10.7690931915319"/>
        <n v="45.63306657533"/>
        <n v="-0.314"/>
        <n v="505.168104902527"/>
        <n v="-2.38562388069117"/>
        <n v="39.6814398582309"/>
        <n v="-1.16210351013899"/>
        <n v="42.744004544"/>
        <n v="177.772379999999"/>
        <n v="-33.0842571801759"/>
        <n v="-5.54593706972399"/>
        <n v="91.6921079143138"/>
        <n v="19.8480205346999"/>
        <n v="56.682467075"/>
        <n v="97.246031682592"/>
        <n v="-35.632455693264"/>
        <n v="397.176606323115"/>
        <n v="-101.527144250406"/>
        <n v="32.186190092"/>
        <n v="50.5369948930156"/>
        <n v="1476.48152618961"/>
        <n v="208.9605729245"/>
        <n v="585.969539506069"/>
        <n v="-14.038430069432"/>
        <n v="39.2395152999917"/>
        <n v="-14.0220292349564"/>
        <n v="-4.86889588160499"/>
        <n v="0.331287753962"/>
        <n v="-2.767281740731"/>
        <n v="-6.63509262987399"/>
        <n v="-4.72706846368623"/>
        <n v="3.6075826636144"/>
        <n v="4.30781049999999"/>
        <n v="939.73429556112"/>
        <n v="1569.63075820715"/>
        <n v="-14.2142839425711"/>
        <n v="-549.239718751199"/>
        <n v="-0.564607266224858"/>
        <n v="0.21266917151"/>
        <n v="-1.117520719449"/>
        <n v="826.325632720674"/>
        <n v="23.9517170548501"/>
        <n v="-0.837224814072"/>
        <n v="261.9359"/>
        <n v="-91.5890872"/>
        <n v="324.736218828539"/>
        <n v="-39.386089101379"/>
        <n v="26.179314561525"/>
        <n v="-4.0567046139213"/>
        <n v="-0.284344843107999"/>
        <n v="48.2921122601889"/>
        <n v="-52.2570530327409"/>
        <n v="15.49063715976"/>
        <n v="850.063018371258"/>
        <n v="6.798694798458"/>
        <n v="-25.0476448"/>
        <n v="-0.404848899999999"/>
        <n v="11.133285629024"/>
        <n v="-56.6446582028812"/>
        <n v="24.35212305888"/>
        <n v="-24.866262131411"/>
        <n v="-8.11036663435174"/>
        <n v="-1.33306779999999"/>
        <n v="-10.4000295570509"/>
        <n v="101.76618484276"/>
        <n v="-0.194583663914999"/>
        <n v="-31.785656"/>
        <n v="8.5742369"/>
        <n v="-2.03609499999999"/>
        <n v="-4.8137817"/>
        <n v="0.38462271665014"/>
        <n v="87.116003222704"/>
        <n v="-7.60441567267823"/>
        <n v="-0.5885"/>
        <n v="-0.4585"/>
        <n v="13.5005606068"/>
        <n v="0.383952020055998"/>
        <n v="19.5924105787589"/>
        <n v="-0.867621337499999"/>
        <n v="1680.78295"/>
        <n v="-1.13084387485"/>
        <n v="-1.4786644661"/>
        <n v="-10.1063435738981"/>
        <n v="290.123340113952"/>
        <n v="16.7208051"/>
        <n v="89.0898363836411"/>
        <n v="-1.06086061523872"/>
        <n v="-1.63769727494999"/>
        <n v="-0.22"/>
        <n v="33.1226281749999"/>
        <n v="-0.6613"/>
        <n v="-0.6786078"/>
        <n v="-8.58195815809892"/>
        <n v="2.2986621"/>
        <n v="22.8054146510487"/>
        <n v="-0.95074"/>
        <n v="-0.2726"/>
        <n v="1.0948"/>
        <n v="100.9809048"/>
        <n v="10.664118084298"/>
        <n v="6.332367498176"/>
        <n v="-0.3206259867741"/>
        <n v="68.1916177"/>
        <n v="72.2846"/>
        <n v="0.1326342506"/>
        <n v="42.168244"/>
        <n v="0.5068"/>
        <n v="-0.1187122"/>
        <n v="111.337213810535"/>
        <n v="105.60260916736"/>
        <n v="-20.215030029488"/>
        <n v="71.82497862887"/>
        <n v="6.272545372227"/>
        <n v="20.651188602815"/>
        <n v="112.669088974155"/>
        <n v="67.042219929416"/>
        <n v="3.0511666236"/>
        <n v="-4.40053094147799"/>
        <n v="1.78455050624857"/>
        <n v="858.039974527167"/>
        <n v="182.462925777967"/>
        <n v="49.5858099874436"/>
        <n v="-94.0124600999999"/>
        <n v="25.452944312"/>
        <n v="39.281126710721"/>
        <n v="103.392448121172"/>
        <n v="255.7839"/>
        <n v="11.96299856"/>
        <n v="-8.354981871597"/>
        <n v="-8.99080525273945"/>
        <n v="-3.1740595206901"/>
        <n v="855.9114225402"/>
        <n v="-1.6959321221"/>
        <n v="127.334704999999"/>
        <n v="366.208820326736"/>
        <n v="1012.0622294181"/>
        <n v="-63.0893269424456"/>
        <n v="85.7372500546581"/>
        <n v="429.351558455853"/>
        <n v="342.537437749494"/>
        <n v="-31.2440047045177"/>
        <n v="10.6555146617051"/>
        <n v="-30.8421251189619"/>
        <n v="1.0186054"/>
        <n v="63.5923338265153"/>
        <n v="-5.31717181476299"/>
        <n v="1.64147318711361"/>
        <n v="-39.8187809522927"/>
        <n v="-0.941578599999999"/>
        <n v="130.556196950406"/>
        <n v="-0.326736506399999"/>
        <n v="-9.01445008685706"/>
        <n v="32.4135034353433"/>
        <n v="-6.3759145"/>
        <n v="0.922606892757"/>
        <n v="2.06306160198575"/>
        <n v="-40.5905494718566"/>
        <n v="81.48844025799"/>
        <n v="0.750696622423999"/>
        <n v="19.4841964760993"/>
        <n v="-0.191080270046999"/>
        <n v="76.61188577275"/>
        <n v="92.7545813677003"/>
        <n v="-85.5790529585029"/>
        <n v="1.820240836"/>
        <n v="-0.527001733961316"/>
        <n v="35.161523175"/>
        <n v="-0.083502202035"/>
        <n v="28.8270379999999"/>
        <n v="-14.2705639652979"/>
        <n v="-8.66401632775442"/>
        <n v="119.130668205293"/>
        <n v="-4.42518696893599"/>
        <n v="99.1146965855904"/>
        <n v="3.66648452555084"/>
        <n v="13.5707515216801"/>
        <n v="568.57774866843"/>
        <n v="10.274867776845"/>
        <n v="333.892969"/>
        <n v="-5.45390174821228"/>
        <n v="169.902418537139"/>
        <n v="-2.21666667477"/>
        <n v="19.08682"/>
        <n v="229.164645894915"/>
        <n v="33.1400056916829"/>
        <n v="-16.9259507259899"/>
        <n v="79.0413780219615"/>
        <n v="484.652020674753"/>
        <n v="-43.95849948844"/>
        <n v="-4.0245093160056"/>
        <n v="1.8605878"/>
        <n v="119.885732165507"/>
        <n v="-0.134435941665999"/>
        <n v="61.1907936745692"/>
        <n v="-22.1741606159999"/>
        <n v="-6.32242055637936"/>
        <n v="-0.33457"/>
        <n v="55.477834737187"/>
        <n v="-0.52078"/>
        <n v="1595.66362341435"/>
        <n v="-0.28348661468"/>
        <n v="3.68846233486"/>
        <n v="87.4303546946738"/>
        <n v="-1.39797463699999"/>
        <n v="5.214284104707"/>
        <n v="-7.11222278914999"/>
        <n v="36.784629267568"/>
        <n v="10.7494851221742"/>
        <n v="344.663304136094"/>
        <n v="-3.67622982761373"/>
        <n v="258.25234146206"/>
        <n v="-125.241340078993"/>
        <n v="69.7225099490695"/>
        <n v="-18.569039770169"/>
        <n v="0.109692057790399"/>
        <n v="99.155284808083"/>
        <n v="-4.16760565127541"/>
        <n v="52.53857857701"/>
        <n v="50.1719797081103"/>
        <n v="46.74938"/>
        <n v="35.9498891475"/>
        <n v="-1.1666442"/>
        <n v="-1.69128330684872"/>
        <n v="430.903997060756"/>
        <n v="5.9372"/>
        <n v="546.390899306476"/>
        <n v="-0.10005"/>
        <n v="60.288442"/>
        <n v="-0.356720001132282"/>
        <n v="2.68153"/>
        <n v="-1.0114346"/>
        <n v="-0.5300440407"/>
        <n v="1924.66523119999"/>
        <n v="-1.277289833901"/>
        <n v="-85.5470199116166"/>
        <n v="487.02878"/>
        <n v="-0.5554555023264"/>
        <n v="-1.1352028"/>
        <n v="134.101821864096"/>
        <n v="166.730342088276"/>
        <n v="32.1254623999999"/>
        <n v="-0.57469025"/>
        <n v="146.5640799"/>
        <n v="25.6603663114415"/>
        <n v="11.0281532"/>
        <n v="-0.8094832"/>
        <n v="7.89624301636772"/>
        <n v="7.7962943382"/>
        <n v="310.127215974399"/>
        <n v="-11.2904905892823"/>
        <n v="337.0511"/>
        <n v="-0.1582698"/>
        <n v="0.40302271665014"/>
        <n v="35.555493225"/>
        <n v="98.290862108032"/>
        <n v="0.00835856215014052"/>
        <n v="57.0629"/>
        <n v="13.830148590896"/>
        <n v="120.653186032735"/>
        <n v="405.42499853684"/>
        <n v="-0.748842599999999"/>
        <n v="-0.649836528940544"/>
        <n v="-0.531544034507999"/>
        <n v="10.1622765965788"/>
        <n v="29.4442677476799"/>
        <n v="-1.6813128"/>
        <n v="486.1228848"/>
        <n v="-0.995876598974999"/>
        <n v="283.549940596049"/>
        <n v="58.5997453081852"/>
        <n v="-0.297464264748425"/>
        <n v="29.045414293"/>
        <n v="76.302649167423"/>
        <n v="-1.708011707372"/>
        <n v="0.418502187041379"/>
        <n v="195.831623909191"/>
        <n v="187.7101103"/>
        <n v="-1.3963507752"/>
        <n v="-0.178384"/>
        <n v="780.973599034242"/>
        <n v="-0.482942799999999"/>
        <n v="-28.2787420933064"/>
        <n v="-41.1567194452829"/>
        <n v="56.139728215248"/>
        <n v="-3.3963469"/>
        <n v="-0.1232"/>
        <n v="0.035749783482167"/>
        <n v="-29.888778932312"/>
        <n v="1.13919116096"/>
        <n v="-17.6423726190608"/>
        <n v="72.438332421696"/>
        <n v="6.1101015"/>
        <n v="-4.5560545"/>
        <n v="-1.5489879"/>
        <n v="1.99029511931848"/>
        <n v="90.8472943410644"/>
        <n v="237.432449374723"/>
        <n v="68.784891307769"/>
        <n v="223.008509817459"/>
        <n v="122.535534177948"/>
        <n v="6.575529112312"/>
        <n v="-23.6526745711289"/>
        <n v="-16.010603708332"/>
        <n v="7.29241519999999"/>
        <n v="9.888378371491"/>
        <n v="-10.9295531102799"/>
        <n v="-7.30415815999999"/>
        <n v="11.9449212137916"/>
        <n v="5.935988617629"/>
        <n v="74.624125"/>
        <n v="-3.01998726442999"/>
        <n v="14.4418955616908"/>
        <n v="12.8763746600436"/>
        <n v="14.82734"/>
        <n v="-8.05660621097724"/>
        <n v="9.397172"/>
        <n v="-6.54786108886699"/>
        <n v="-12.7524872"/>
        <n v="-0.49"/>
        <n v="-17.3461543290339"/>
        <n v="482.533342282328"/>
        <n v="6.98598459999999"/>
        <n v="-0.795247056982999"/>
        <n v="51.6715714196"/>
        <n v="-0.295025"/>
        <n v="84.525522242479"/>
        <n v="96.4741"/>
        <n v="-5.22482371764514"/>
        <n v="-1.51301754999999"/>
        <n v="-114.946552483088"/>
        <n v="318.445870923232"/>
        <n v="-6.36983652664"/>
        <n v="39.256011839452"/>
        <n v="-2.4800738"/>
        <n v="81.2406632"/>
        <n v="158.718298739889"/>
        <n v="-106.677971357952"/>
        <n v="-2.0516793"/>
        <n v="620.399415384227"/>
        <n v="-14.262942571568"/>
        <n v="510.825181626492"/>
        <n v="-3.4371411"/>
        <n v="-9.74762719967899"/>
        <n v="52.0285159775059"/>
        <n v="8.030036"/>
        <n v="-2.61684436492499"/>
        <n v="629.899195867879"/>
        <n v="25.344288639452"/>
        <n v="-34.046601149504"/>
        <n v="99.3984862964"/>
        <n v="551.767641596897"/>
        <n v="-6.29274064829699"/>
        <n v="-0.151869208468516"/>
        <n v="-1.25131401514499"/>
        <n v="0.28798181149578"/>
        <n v="90.4969695346"/>
        <n v="3.01162226925"/>
        <n v="-0.943080375658049"/>
        <n v="-54.1825900220625"/>
        <n v="385.513063765712"/>
        <n v="-0.493947934173836"/>
        <n v="65.373802160256"/>
        <n v="-0.2885"/>
        <n v="-1.218044"/>
        <n v="28.8292043"/>
        <n v="495.234650811684"/>
        <n v="3.27541057875896"/>
        <n v="-0.27535"/>
        <n v="-4.91662039097296"/>
        <n v="-5.67555455019271"/>
        <n v="124.756229999999"/>
        <n v="10.2426796224"/>
        <n v="44.5088056660304"/>
        <n v="39.128946625"/>
        <n v="128.48582"/>
        <n v="-9.74818419999999"/>
        <n v="14.8199265"/>
        <n v="5.26165968001617"/>
        <n v="59.910260431651"/>
        <n v="311.279216845492"/>
        <n v="103.044696800847"/>
        <n v="7.2592"/>
        <n v="106.072326740823"/>
        <n v="9.840724"/>
        <n v="41.4746762"/>
        <n v="-1.81945"/>
        <n v="5.0811"/>
        <n v="0.82751499072"/>
        <n v="-11.0308811"/>
        <n v="37.3975"/>
        <n v="108.620192546017"/>
        <n v="23.086503369443"/>
        <n v="-0.8789"/>
        <n v="-0.530295843959204"/>
        <n v="7.7652"/>
        <n v="-8.67888006654932"/>
        <n v="299.05007044699"/>
        <n v="70.45697474464"/>
        <n v="-3.622415025"/>
        <n v="118.434746013984"/>
        <n v="26.9524385543318"/>
        <n v="93.4780628864775"/>
        <n v="82.071979"/>
        <n v="2.12622923023699"/>
        <n v="10.3512012017466"/>
        <n v="-16.7977265628209"/>
        <n v="31.352500877631"/>
        <n v="-7.4323215"/>
        <n v="-1.58640820745799"/>
        <n v="6.2558"/>
        <n v="230.730556027999"/>
        <n v="-117.132692849891"/>
        <n v="-5.58554489999999"/>
        <n v="-2.18287748402099"/>
        <n v="11.4264507356799"/>
        <n v="48.9342252513839"/>
        <n v="424.598843959808"/>
        <n v="4.17925732360651"/>
        <n v="-7.621482990242"/>
        <n v="-3.39584569729483"/>
        <n v="-0.179287365394999"/>
        <n v="140.929785627341"/>
        <n v="792.309486648983"/>
        <n v="-3.00919994535661"/>
        <n v="325.685328391736"/>
        <n v="122.046189503365"/>
        <n v="0.53388845972215"/>
        <n v="-2.217759147597"/>
        <n v="-8.47423064243239"/>
        <n v="-34.463714285425"/>
        <n v="61.187717752656"/>
        <n v="-39.7264884406399"/>
        <n v="-94.7892684965409"/>
        <n v="95.4830514977575"/>
        <n v="14.128599924853"/>
        <n v="1088.6237141653"/>
        <n v="18.4115169074527"/>
        <n v="9.5670735"/>
        <n v="-12.34709024"/>
        <n v="-8.60803976020799"/>
        <n v="-0.178948436988"/>
        <n v="101.803050910011"/>
        <n v="35.733359826224"/>
        <n v="308.580047967704"/>
        <n v="276.5980907458"/>
        <n v="-15.134793916691"/>
        <n v="-1.41416723391699"/>
        <n v="2.29250305887999"/>
        <n v="38.705356950231"/>
        <n v="-42.4206292584479"/>
        <n v="106.407698142862"/>
        <n v="53.809752842292"/>
        <n v="46.5909947375029"/>
        <n v="0.8291031"/>
        <n v="5.77091"/>
        <n v="-5.4520781"/>
        <n v="16.1848970077542"/>
        <n v="0.160599999999999"/>
        <n v="0.0983336"/>
        <n v="-0.1776"/>
        <n v="43.730857438289"/>
        <n v="485.935466570723"/>
        <n v="48.38738485"/>
        <n v="402.263511253241"/>
        <n v="40.8689189873743"/>
        <n v="-0.3085596"/>
        <n v="-5.5444008"/>
        <n v="-10.1153609900062"/>
        <n v="318.342373553317"/>
        <n v="46.5571183102939"/>
        <n v="14.7802840196134"/>
        <n v="-5.28309325396214"/>
        <n v="-1.01603335697399"/>
        <n v="-209.180494671"/>
        <n v="-93.3572028222089"/>
        <n v="76.9495999999999"/>
        <n v="7.188067545548"/>
        <n v="65.467270389907"/>
        <n v="-20.5466294435558"/>
        <n v="74.5561289503839"/>
        <n v="-3.1318712"/>
        <n v="2085.13055365274"/>
        <n v="-2.84557065396299"/>
        <n v="-9.36593993639199"/>
        <n v="49.27855"/>
        <n v="148.378222534257"/>
        <n v="-13.9150516161071"/>
        <n v="38.4975784279781"/>
        <n v="0.041073487018184"/>
        <n v="-12.046789741777"/>
        <n v="56.2138422446"/>
        <n v="63.6303941589456"/>
        <n v="-53.9367845539487"/>
        <n v="270.792510219102"/>
        <n v="264.7731472318"/>
        <n v="488.221272951038"/>
        <n v="-3.52452542465596"/>
        <n v="2634.97319498167"/>
        <n v="4.2900595"/>
        <n v="-0.3066813"/>
        <n v="31.008806823924"/>
        <n v="72.7859254394819"/>
        <n v="-10.450464"/>
        <n v="0.10147358455"/>
        <n v="5.62473209854999"/>
        <n v="-8.298710334368"/>
        <n v="53.1163762248969"/>
        <n v="292.205521033183"/>
        <n v="986.414689881129"/>
        <n v="-15.6287481043465"/>
        <n v="-87.698219148786"/>
        <n v="-15.4904850020234"/>
        <n v="691.552237720271"/>
        <n v="208.511239531847"/>
        <n v="-1.038465"/>
        <n v="-0.76402"/>
        <n v="-2.75263292795634"/>
        <n v="23.1361062358715"/>
        <n v="-0.746541838665"/>
        <n v="-6.12894817379999"/>
        <n v="-77.40364948952"/>
        <n v="48.0950095556"/>
        <n v="-8.7247185"/>
        <n v="134.982061288"/>
        <n v="-233.39792632064"/>
        <n v="29.890036136"/>
        <n v="-0.23628889566918"/>
        <n v="47.7345282423892"/>
        <n v="-3.2132831"/>
        <n v="16.84199"/>
        <n v="0.50697745"/>
        <n v="-7.5194808"/>
        <n v="-1.90428059999999"/>
        <n v="-0.0895660610499999"/>
        <n v="-2.256353147064"/>
        <n v="-2.9317897"/>
        <n v="87.634152304176"/>
        <n v="9.4944688"/>
        <n v="7.3460480609643"/>
        <n v="-19.1798511"/>
        <n v="80.789716"/>
        <n v="-4.66433"/>
        <n v="-0.691976295058999"/>
        <n v="5.105505"/>
        <n v="-0.249649306799999"/>
        <n v="58.9921799727471"/>
        <n v="96.9552862070398"/>
        <n v="215.304014737646"/>
        <n v="-212.05106061543"/>
        <n v="13.81127968"/>
        <n v="212.5071"/>
        <n v="-68.905415335712"/>
        <n v="-20.2674372999999"/>
        <n v="-0.157834067345"/>
        <n v="12.8474915882234"/>
        <n v="3.33774944999999"/>
        <n v="-1.526233761957"/>
        <n v="0.49059256520384"/>
        <n v="352.5105941948"/>
        <n v="11.93611819015"/>
        <n v="-10.218306231001"/>
        <n v="5.55146282918545"/>
        <n v="0.177782790883"/>
        <n v="-27.0046703082425"/>
        <n v="-2.73812632"/>
        <n v="1424.70027793299"/>
        <n v="597.454408396565"/>
        <n v="-12.9449481531993"/>
        <n v="14.9407801732499"/>
        <n v="38.2088723675408"/>
        <n v="-1.67101888142999"/>
        <n v="-0.426395560871999"/>
        <n v="5.51169999999999"/>
        <n v="499.327511485098"/>
        <n v="947.142070103639"/>
        <n v="35.4319581333839"/>
        <n v="350.739074579976"/>
        <n v="-0.2884"/>
        <n v="-35.6230883870719"/>
        <n v="-2.40825915"/>
        <n v="-3.79532885399099"/>
        <n v="16.216638585488"/>
        <n v="13.7133383383156"/>
        <n v="11.581325690576"/>
        <n v="-0.072901566813469"/>
        <n v="-0.5744"/>
        <n v="-9.85194373606199"/>
        <n v="-3.031553554152"/>
        <n v="-0.3293813"/>
        <n v="-4.4807521999661"/>
        <n v="511.914652176378"/>
        <n v="8.843594978156"/>
        <n v="-8.22290729057427"/>
        <n v="661.650793363896"/>
        <n v="43.2051169034568"/>
        <n v="2.96801109528"/>
        <n v="-14.5046452999999"/>
        <n v="-1.081362764445"/>
        <n v="-0.1946621072"/>
        <n v="-21.3962196113329"/>
        <n v="103.862195515968"/>
        <n v="4.1247319"/>
        <n v="1160.42267905338"/>
        <n v="0.532768424676"/>
        <n v="-8.4792713992"/>
        <n v="-0.1985625"/>
        <n v="-0.216212660485998"/>
        <n v="14.670690773975"/>
        <n v="-1.93282661145399"/>
        <n v="-4.21521480196699"/>
        <n v="79.6124333308963"/>
        <n v="810.539119426672"/>
        <n v="-0.4739722460757"/>
        <n v="-0.75596510913575"/>
        <n v="453.029293917122"/>
        <n v="302.12950983083"/>
        <n v="-0.46907"/>
        <n v="-0.750285398328775"/>
        <n v="-0.1673004"/>
        <n v="-47.9791680630749"/>
        <n v="44.86579103814"/>
        <n v="-16.6130216424539"/>
        <n v="1084.12829529941"/>
        <n v="-6.94373891351316"/>
        <n v="-0.123952"/>
        <n v="0.69551513065"/>
        <n v="94.741169394444"/>
        <n v="307.938931128193"/>
        <n v="69.006114052631"/>
        <n v="-2.8972808752"/>
        <n v="15.5546167"/>
        <n v="53.9454379072"/>
        <n v="11.0193358947319"/>
        <n v="-83.8902607237766"/>
        <n v="0.84323175"/>
        <n v="125.974005718228"/>
        <n v="109.802684914639"/>
        <n v="-29.2714970572299"/>
        <n v="19.683804413408"/>
        <n v="48.0086233434262"/>
        <n v="-5.51476855149229"/>
        <n v="11.7667889517"/>
        <n v="96.1732928925129"/>
        <n v="-13.0285154732721"/>
        <n v="0.058445973075"/>
        <n v="-0.1747305"/>
        <n v="-0.3087813"/>
        <n v="-2.38023815564728"/>
        <n v="1110.37085270767"/>
        <n v="-0.1747195"/>
        <n v="1.31215056093049"/>
        <n v="7.85550009999999"/>
        <n v="22.8641150448879"/>
        <n v="16.4517024"/>
        <n v="-8.3145984300155"/>
        <n v="12.4877773794911"/>
        <n v="25.3505220629899"/>
        <n v="9.30362377090427"/>
        <n v="-0.612925069015503"/>
        <n v="-11.0576927885819"/>
        <n v="5.76347649999999"/>
        <n v="-2.3424428257852"/>
        <n v="45.237136174483"/>
        <n v="-1.47752705416109"/>
        <n v="-0.411901275979183"/>
        <n v="-0.653481988216"/>
        <n v="-1.62336095347165"/>
        <n v="-112.521126208972"/>
        <n v="413.92528377726"/>
        <n v="-5.28821905060715"/>
        <n v="25.6405252298076"/>
        <n v="6.2218098"/>
        <n v="-0.5318271"/>
        <n v="-0.165"/>
        <n v="35.6471519260203"/>
        <n v="43.4686304397163"/>
        <n v="22.245446"/>
        <n v="297.6883696"/>
        <n v="2.17047012813"/>
        <n v="135.491111099999"/>
        <n v="0.34525"/>
        <n v="-0.180512830523"/>
        <n v="31.6417207347999"/>
        <n v="59.01305386387"/>
        <n v="-3.1226079"/>
        <n v="36.974363615072"/>
        <n v="27.5292319769269"/>
        <n v="-9.72383419999999"/>
        <n v="50.7298261419519"/>
        <n v="-12.8888619"/>
        <n v="-8.89475398115967"/>
        <n v="79.0570916499999"/>
        <n v="-9.8447835"/>
        <n v="-3.64007169854"/>
        <n v="-0.8904680963174"/>
        <n v="24.4588151"/>
        <n v="940.688849999999"/>
        <n v="-39.8535594947199"/>
        <n v="38.0892684999999"/>
        <n v="-0.4625992"/>
        <n v="11.1743384051538"/>
        <n v="-0.5379"/>
        <n v="115.439054398208"/>
        <n v="-3.81928679999999"/>
        <n v="37.929066659944"/>
        <n v="4.6263588"/>
        <n v="-0.596571"/>
        <n v="344.365409000335"/>
        <n v="24.3001686"/>
        <n v="33.3830308"/>
        <n v="-8.725710542675"/>
        <n v="167.8610273"/>
        <n v="11.9481691996401"/>
        <n v="-1.68796249999999"/>
        <n v="12.309935"/>
        <n v="-5.3975407"/>
        <n v="-0.41505"/>
        <n v="-86.671889200976"/>
        <n v="-35.814216552448"/>
        <n v="116.070070333092"/>
        <n v="17.1925089200042"/>
        <n v="-0.19267253876"/>
        <n v="-10.020716174575"/>
        <n v="-6.16014585179999"/>
        <n v="92.2918558624651"/>
        <n v="-0.3539361216573"/>
        <n v="-1.133026647612"/>
        <n v="-1.43415598300699"/>
        <n v="-7.98188339999999"/>
        <n v="118.388386617275"/>
        <n v="-0.420452799999999"/>
        <n v="-4.63905062111999"/>
        <n v="16.652722192"/>
        <n v="-15.1592665999999"/>
        <n v="334.194326095493"/>
        <n v="-22.429029006096"/>
        <n v="398.675118308024"/>
        <n v="31.905541149536"/>
        <n v="-54.02564684088"/>
        <n v="-57.8169655999999"/>
        <n v="12.3600232514594"/>
        <n v="40.1914744033179"/>
        <n v="-1.271289078944"/>
        <n v="9.633947736"/>
        <n v="-69.9150764244829"/>
        <n v="33.717659230902"/>
        <n v="135.4173333104"/>
        <n v="-0.484857880895995"/>
        <n v="-0.19058"/>
        <n v="756.651366722852"/>
        <n v="442.340147597614"/>
        <n v="-2.8306642"/>
        <n v="-0.7476744315441"/>
        <n v="28.025545204563"/>
        <n v="-0.3450671"/>
        <n v="35.586480990781"/>
        <n v="-6.69004914668211"/>
        <n v="-0.288668920180371"/>
        <n v="-0.72473976606"/>
        <n v="-24.6004701975348"/>
        <n v="-13.917407693915"/>
        <n v="75.7086837877047"/>
        <n v="-0.23912826014"/>
        <n v="53.824016532446"/>
        <n v="-9.73526049152199"/>
        <n v="-0.282150834499999"/>
        <n v="-7.64835856940408"/>
        <n v="-2.96588719674481"/>
        <n v="6.72310331446"/>
        <n v="111.484189683647"/>
        <n v="106.034367578045"/>
        <n v="229.140850394496"/>
        <n v="26.9533597177161"/>
        <n v="20.853225119952"/>
        <n v="-67.4340788824448"/>
        <n v="38.518218916921"/>
        <n v="0.0464527"/>
        <n v="76.26109525168"/>
        <n v="40.24288694087"/>
        <n v="-6.19928977038399"/>
        <n v="6.566740583964"/>
        <n v="2480.30822431875"/>
        <n v="24.7651614851937"/>
        <n v="-30.973883864188"/>
        <n v="-4.560027005888"/>
        <n v="-0.311555999999999"/>
        <n v="-7.2732527808"/>
        <n v="-3.14450472136799"/>
        <n v="-17.2949791"/>
        <n v="-0.4798909"/>
        <n v="66.4153208895486"/>
        <n v="-3.8769096304"/>
        <n v="-1.1826081675"/>
        <n v="22.503359745"/>
        <n v="244.343845736203"/>
        <n v="-2.73765061724653"/>
        <n v="-32.5019183641709"/>
        <n v="-13.2476428125631"/>
        <n v="-0.1560170325"/>
        <n v="-0.05006606105"/>
        <n v="23.49732305888"/>
        <n v="-18.3323426311849"/>
        <n v="-0.21207760164"/>
        <n v="118.140751608226"/>
        <n v="-3.22341855922259"/>
        <n v="23.95860759429"/>
        <n v="191.649543281906"/>
        <n v="30.734975148412"/>
        <n v="0.2595888632251"/>
        <n v="62.1926812346851"/>
        <n v="-6.25953879550599"/>
        <n v="36.6896660431049"/>
        <n v="827.152824938417"/>
        <n v="-0.0930865999999999"/>
        <n v="829.876696787607"/>
        <n v="-1.5153416"/>
        <n v="158.451815285624"/>
        <n v="-8.87363862451833"/>
        <n v="52.4221194950482"/>
        <n v="50.603279986176"/>
        <n v="45.2414084308335"/>
        <n v="10.463708"/>
        <n v="-0.464010626556096"/>
        <n v="69.6273828265558"/>
        <n v="-9.19938629999999"/>
        <n v="21.4937105787589"/>
        <n v="-0.7063037"/>
        <n v="-3.90822229999999"/>
        <n v="155.433247332088"/>
        <n v="-3.33530520860103"/>
        <n v="-9.78076351616084"/>
        <n v="-4.76804458792024"/>
        <n v="11.7062036999999"/>
        <n v="-0.6360206"/>
        <n v="-1.189449067623"/>
        <n v="37.1525096"/>
        <n v="-5.5759367"/>
        <n v="-527.807137196"/>
        <n v="11.7678014"/>
        <n v="117.668406823427"/>
        <n v="257.7222"/>
        <m/>
        <n v="11.737383250384"/>
        <n v="70.549353274255"/>
        <n v="-0.762767299999999"/>
        <n v="63.09434"/>
        <n v="37.9247"/>
        <n v="57.7897074442154"/>
        <n v="75.277314222176"/>
        <n v="103.938843999999"/>
        <n v="31.2009654532149"/>
        <n v="69.8355"/>
        <n v="84.305279025136"/>
        <n v="0.4954555"/>
        <n v="3.05175559999999"/>
        <n v="-0.893695241437283"/>
        <n v="-5.0959498"/>
        <n v="81.5190669"/>
        <n v="129.871472174416"/>
        <n v="200.5811757"/>
        <n v="-0.736457204099999"/>
        <n v="-0.0393658499999999"/>
        <n v="247.76136976352"/>
        <n v="14.1877"/>
        <n v="44.641565075"/>
        <n v="-0.6514253"/>
        <n v="-1.0204107"/>
        <n v="-28.50237808"/>
        <n v="5.398492780486"/>
        <n v="2733.31841578514"/>
        <n v="-2.18945095623787"/>
        <n v="-13.7022637755619"/>
        <n v="-1.8495371292732"/>
        <n v="-2.007738393875"/>
        <n v="-0.630475217249431"/>
        <n v="42.6043758386212"/>
        <n v="-0.2239170336725"/>
        <n v="-0.07566813469"/>
        <n v="196.518449032"/>
        <n v="-0.1905498"/>
        <n v="-124.137744651751"/>
        <n v="-4.078669091796"/>
        <n v="797.912936184426"/>
        <n v="52.6169829493103"/>
        <n v="374.01880842923"/>
        <n v="519.393923192413"/>
        <n v="-0.152528836938966"/>
        <n v="0.288248643235334"/>
        <n v="-14.024314499368"/>
        <n v="0.34924171027"/>
        <n v="-0.054817"/>
        <n v="-2.411725"/>
        <n v="0.514809673115776"/>
        <n v="-0.3856"/>
        <n v="-21.8347752181376"/>
        <n v="681.506209186416"/>
        <n v="12.8351889916936"/>
        <n v="-0.284279138450999"/>
        <n v="-4.02754929999999"/>
        <n v="-1.0620992"/>
        <n v="-10.3054401205038"/>
        <n v="149.8803258"/>
        <n v="13.739001538"/>
        <n v="382.3508614"/>
        <n v="-5.74208664208599"/>
        <n v="640.874257527673"/>
        <n v="-3.81688799719231"/>
        <n v="0.2024865"/>
        <n v="-10.1629739687079"/>
        <n v="168.945431099999"/>
        <n v="-8.97620312573342"/>
        <n v="1.792033"/>
        <n v="14.3402062042281"/>
        <n v="-8.40463979135674"/>
        <n v="-23.5343217266939"/>
        <n v="5.28892020205832"/>
        <n v="-34.7595111050399"/>
        <n v="-1.5460452"/>
        <n v="-13.4990310478329"/>
        <n v="40.7882048"/>
        <n v="-257.351170541408"/>
        <n v="671.040027066416"/>
        <n v="-5.99206971839899"/>
        <n v="-20.1377547606419"/>
        <n v="-230.962153869152"/>
        <n v="-0.32368"/>
        <n v="0.440926845225"/>
        <n v="-0.9599213"/>
        <n v="96.28406749088"/>
        <n v="-5.5907996908"/>
        <n v="-0.419767656299999"/>
        <n v="-9.81887522760994"/>
        <n v="0.1175761"/>
        <n v="213.55155"/>
        <n v="-8.60263776017399"/>
        <n v="202.700170050153"/>
        <n v="55.725665150624"/>
        <n v="-109.771165260799"/>
        <n v="3.579980326463"/>
        <n v="139.643091128879"/>
        <n v="-41.535661032722"/>
        <n v="436.125377618014"/>
        <n v="-4.98442649542099"/>
        <n v="18.76371"/>
        <n v="160.722575814124"/>
        <n v="-5.332487868988"/>
        <n v="174.798521258196"/>
        <n v="-5.10395332538939"/>
        <n v="602.520791245942"/>
        <n v="-2619.63793855359"/>
        <n v="-0.16923626"/>
        <n v="-11.4048933820136"/>
        <n v="56.35149025"/>
        <n v="144.567807318383"/>
        <n v="252.567794741576"/>
        <n v="293.084130502378"/>
        <n v="-0.805366668519"/>
        <n v="4.7926158"/>
        <n v="-83.825051244187"/>
        <n v="-1.39262809024099"/>
        <n v="36.1661"/>
        <n v="140.638637825224"/>
        <n v="-0.621687957417"/>
        <n v="357.7275433047"/>
        <n v="91.6772851693552"/>
        <n v="-3.21062"/>
        <n v="-15.4569683370515"/>
        <n v="-29.295165276497"/>
        <n v="0.413455994456"/>
        <n v="153.084569999999"/>
        <n v="11.167243374"/>
        <n v="-0.16312"/>
        <n v="-29.7089017450169"/>
        <n v="-0.716686082"/>
        <n v="884.20927335018"/>
        <n v="-0.5262203"/>
        <n v="45.684690207628"/>
        <n v="642.185822736679"/>
        <n v="-0.0913658499999999"/>
        <n v="20.1929062515794"/>
        <n v="48.3208"/>
        <n v="-103.238037377568"/>
        <n v="50.0873"/>
      </sharedItems>
    </cacheField>
    <cacheField name="loss" numFmtId="0">
      <sharedItems containsString="0" containsBlank="1" containsNumber="1">
        <n v="7.86875627185199"/>
        <n v="107.473210272453"/>
        <n v="292.042602607506"/>
        <n v="0.753464703569999"/>
        <n v="5.48464716851998"/>
        <n v="11.0211287538559"/>
        <n v="0.0896814"/>
        <n v="9.34899455431799"/>
        <n v="9.5481504"/>
        <n v="3.302923278276"/>
        <n v="24.519131333166"/>
        <n v="2.06938821879199"/>
        <n v="76.1635194233233"/>
        <n v="2.843765595"/>
        <n v="3.80147377399799"/>
        <n v="12.9460294066699"/>
        <n v="4.08766927679999"/>
        <n v="9.94255643287574"/>
        <n v="19.7658141214083"/>
        <n v="9.84165069953399"/>
        <n v="65.7780993713369"/>
        <n v="0.844438470566328"/>
        <n v="0.242011434199319"/>
        <n v="0.4441916184615"/>
        <n v="3.02610382612499"/>
        <n v="5.21541860705701"/>
        <n v="21.6713692614079"/>
        <n v="9.199927583379"/>
        <n v="7.8340673450028E-6"/>
        <n v="26.1941587888839"/>
        <n v="0.21218113236"/>
        <n v="9.818278550013"/>
        <n v="3.74471249999999"/>
        <n v="1.59135839999999"/>
        <n v="386.522158164079"/>
        <n v="13.6265367528"/>
        <n v="2.94401321149499"/>
        <n v="20.845392390112"/>
        <n v="18.0518392367999"/>
        <n v="44.9562750870693"/>
        <n v="43.0284689999999"/>
        <n v="1.34882"/>
        <n v="43.9034962903829"/>
        <n v="2.98595857518899"/>
        <n v="0.56231351757"/>
        <n v="32.4604483274999"/>
        <n v="0.502166000000016"/>
        <n v="62.0777133479429"/>
        <n v="6.26106563362599"/>
        <n v="18.5878875923129"/>
        <n v="0.13793360000001"/>
        <n v="0.02677"/>
        <n v="0.717600568802"/>
        <n v="414.253950092399"/>
        <n v="2.05616796951112"/>
        <n v="0.349121999999997"/>
        <n v="132.994441497842"/>
        <n v="0.0479444777999999"/>
        <n v="26.1832978134679"/>
        <n v="18.7515855072237"/>
        <n v="2.49293599971599"/>
        <n v="17.9582989332332"/>
        <n v="57.6603252384519"/>
        <n v="24.314765133948"/>
        <n v="12.3155659187279"/>
        <n v="1.49276551819957"/>
        <n v="10.0449942957341"/>
        <n v="168.196218375497"/>
        <n v="573.48654585616"/>
        <n v="14.1251043549659"/>
        <n v="3.67778179076999"/>
        <n v="23.650361990035"/>
        <n v="22.951822164303"/>
        <n v="68.118095586595"/>
        <n v="5.6776236273"/>
        <n v="1.7173771038217"/>
        <n v="7.94459535238347"/>
        <n v="0.01236"/>
        <n v="6.41444973415867"/>
        <n v="0.00336000000000002"/>
        <n v="19.237526772999"/>
        <n v="78.1808109025829"/>
        <n v="742.188045984"/>
        <n v="0.481021348543124"/>
        <n v="0.001566813"/>
        <n v="83.1635701903458"/>
        <n v="38.360339084268"/>
        <n v="40.776390122353"/>
        <n v="0.532065953425692"/>
        <n v="2.32811403226587"/>
        <n v="5.76855989850399"/>
        <n v="420.509419358978"/>
        <n v="40.2117021548321"/>
        <n v="1.92198223773099"/>
        <n v="0.692791064825244"/>
        <n v="16.018481745728"/>
        <n v="3.23743975502499"/>
        <n v="0.481502615616"/>
        <n v="21.4441319476593"/>
        <n v="0.0553999999999996"/>
        <n v="0.0507813000000041"/>
        <n v="0.0196024033106589"/>
        <n v="7.620092389728"/>
        <n v="0.2696271789"/>
        <n v="0.239647979944002"/>
        <n v="5.49233140719999"/>
        <n v="0.0195375000000002"/>
        <n v="1.75110966725384"/>
        <n v="6.48704028228382"/>
        <n v="18.992332215241"/>
        <n v="0.66255000000001"/>
        <n v="0.0915000000000105"/>
        <n v="17.17688139478"/>
        <n v="0.630680599999999"/>
        <n v="1.42716025088108"/>
        <n v="0.00175329999999984"/>
        <n v="4.21130489999999"/>
        <n v="45.2951399999999"/>
        <n v="2.76498942124104"/>
        <n v="97.556672532"/>
        <n v="0.792222956751004"/>
        <n v="0.00338690000000002"/>
        <n v="2.1303120102502"/>
        <n v="1.55097512991522"/>
        <n v="1.17990576459299"/>
        <n v="0.198451027170071"/>
        <n v="1.2534507752"/>
        <n v="1.499632501824"/>
        <n v="0.716420999999998"/>
        <n v="3.4359169562"/>
        <n v="0.66006585"/>
        <n v="0.263781100000002"/>
        <n v="0.00253970000000069"/>
        <n v="0.272476696326445"/>
        <n v="0.422835824309999"/>
        <n v="1.4118599999997"/>
        <n v="0.0747369801"/>
        <n v="9.13724225016"/>
        <n v="1.596143084256"/>
        <n v="1.04295639999999"/>
        <n v="0.26635828973"/>
        <n v="0.827534500000001"/>
        <n v="0.0242"/>
        <n v="1.65966126835945"/>
        <n v="0.846956699999964"/>
        <n v="0.815357714535"/>
        <n v="5.46590099999997"/>
        <n v="14.8526784"/>
        <n v="27.3192497509754"/>
        <n v="95.0834079740593"/>
        <n v="11.7199891823999"/>
        <n v="5.383983661446"/>
        <n v="0.00696918631011211"/>
        <n v="11.9654180246269"/>
        <n v="59.4980642848799"/>
        <n v="145.019984771199"/>
        <n v="24.055192247472"/>
        <n v="7.265340456"/>
        <n v="18.2020011379293"/>
        <n v="0.28968"/>
        <n v="7.16353071917982"/>
        <n v="120.422248548599"/>
        <n v="10.7474111935169"/>
        <n v="36.7281430040562"/>
        <n v="0.877639800000004"/>
        <n v="12.6217083006229"/>
        <n v="0.00172479999999999"/>
        <n v="29.3659216684482"/>
        <n v="557.189105682"/>
        <n v="0.126774999999998"/>
        <n v="0.423039509999999"/>
        <n v="5.87497728334986"/>
        <n v="10.9379544560729"/>
        <n v="11.131063238328"/>
        <n v="2.62643296376999"/>
        <n v="192.565339726616"/>
        <n v="122.853579392799"/>
        <n v="3.75357693944982"/>
        <n v="25.3205246534743"/>
        <n v="40.273242967938"/>
        <n v="11.7226060868049"/>
        <n v="0.0300300000000008"/>
        <n v="45.4708383782399"/>
        <n v="13.8222106364457"/>
        <n v="100.393826048778"/>
        <n v="8.59533187155609"/>
        <n v="30.8504780330429"/>
        <n v="1.562616"/>
        <n v="0.13785"/>
        <n v="72.4703728447999"/>
        <n v="0.406342463725375"/>
        <n v="1.30567736856217"/>
        <n v="0.00273722313034299"/>
        <n v="0.0478719999999981"/>
        <n v="31.4424397833839"/>
        <n v="20.732325721417"/>
        <n v="21.31396829968"/>
        <n v="6.883893191532"/>
        <n v="0.583333424669994"/>
        <n v="0.084"/>
        <n v="284.064495097473"/>
        <n v="2.11562388069117"/>
        <n v="49.6367601417689"/>
        <n v="0.950903510138999"/>
        <n v="6.77629545599999"/>
        <n v="1.46912000000003"/>
        <n v="30.9653571801759"/>
        <n v="4.83823706972399"/>
        <n v="1013.61879208568"/>
        <n v="5.18997946529999"/>
        <n v="0.352532924999998"/>
        <n v="25.5546683174079"/>
        <n v="8.313855693264"/>
        <n v="36.098593676885"/>
        <n v="142.880044250407"/>
        <n v="12.8621099079999"/>
        <n v="4.74560510698432"/>
        <n v="490.96387381039"/>
        <n v="10.1134270754999"/>
        <n v="82.4016604939306"/>
        <n v="12.239730069432"/>
        <n v="4.22728470000828"/>
        <n v="12.2568292349564"/>
        <n v="4.06209588160499"/>
        <n v="0.00781224603800001"/>
        <n v="2.257181740731"/>
        <n v="6.44819262987399"/>
        <n v="3.75826846368623"/>
        <n v="0.599617336385593"/>
        <n v="0.00858950000000025"/>
        <n v="389.57860443888"/>
        <n v="495.97704179284"/>
        <n v="13.9215839425711"/>
        <n v="905.9517187512"/>
        <n v="0.169607266224858"/>
        <n v="0.30803082849"/>
        <n v="0.817520719449"/>
        <n v="258.066067279326"/>
        <n v="6.93588294514986"/>
        <n v="0.696824814071999"/>
        <n v="1.27440000000001"/>
        <n v="25.9921871999999"/>
        <n v="88.3720811714609"/>
        <n v="9.640389101379"/>
        <n v="19.325585438475"/>
        <n v="3.2867046139213"/>
        <n v="0.604344843108"/>
        <n v="15.891087739811"/>
        <n v="63.1779530327409"/>
        <n v="11.0523628402399"/>
        <n v="81.9444816287411"/>
        <n v="5.52170520154199"/>
        <n v="8.4872448"/>
        <n v="0.00864889999999996"/>
        <n v="0.453714370975999"/>
        <n v="55.2742582028812"/>
        <n v="5.87497694112"/>
        <n v="23.6698621314109"/>
        <n v="3.66634351747663E-4"/>
        <n v="0.0544678"/>
        <n v="9.74562955705099"/>
        <n v="34.9391151572399"/>
        <n v="0.0445836639149999"/>
        <n v="10.6090559999999"/>
        <n v="0.806463099999996"/>
        <n v="0.292594999999999"/>
        <n v="0.782981699999999"/>
        <n v="5.87497728334985"/>
        <n v="22.666796777296"/>
        <n v="6.35441567267823"/>
        <n v="0.0284999999999999"/>
        <n v="0.0285"/>
        <n v="20.8549393932"/>
        <n v="0.763821337499999"/>
        <n v="1.59494999999969"/>
        <n v="0.77314387485"/>
        <n v="1.2786644661"/>
        <n v="8.07634357389815"/>
        <n v="158.034959886047"/>
        <n v="0.113394899999999"/>
        <n v="3.84346361635883"/>
        <n v="0.840860615238726"/>
        <n v="1.38059727495"/>
        <n v="0.07"/>
        <n v="6.642471825"/>
        <n v="0.0613000000000001"/>
        <n v="0.00510779999999999"/>
        <n v="6.94195815809892"/>
        <n v="0.0033379"/>
        <n v="3.2065853489513"/>
        <n v="7.39999999999962E-4"/>
        <n v="0.1185"/>
        <n v="0.0649999999999997"/>
        <n v="18.0353951999999"/>
        <n v="0.874281915701999"/>
        <n v="0.1706259867741"/>
        <n v="0.140382299999984"/>
        <n v="0.0920000000000129"/>
        <n v="0.4440657494"/>
        <n v="0.124055999999988"/>
        <n v="0.01"/>
        <n v="0.0587122"/>
        <n v="18.8769861894644"/>
        <n v="81.0063908326399"/>
        <n v="18.437830029488"/>
        <n v="19.39272137113"/>
        <n v="2.637054627773"/>
        <n v="5.50641139718499"/>
        <n v="3.06301102584474"/>
        <n v="61.726080070584"/>
        <n v="8.4709333764"/>
        <n v="3.30003094147799"/>
        <n v="4.20434949375142"/>
        <n v="29.2100254728329"/>
        <n v="47.1122742220325"/>
        <n v="30.3845900125563"/>
        <n v="1.61726009999999"/>
        <n v="12.7759556879999"/>
        <n v="3.60757328927899"/>
        <n v="99.9575518788273"/>
        <n v="0.0"/>
        <n v="7.85070143999999"/>
        <n v="9.937281871597"/>
        <n v="7.14080525273945"/>
        <n v="2.9740595206901"/>
        <n v="15.9684774597991"/>
        <n v="1.4101321221"/>
        <n v="0.631695000000007"/>
        <n v="4.52627967326401"/>
        <n v="130.013670581891"/>
        <n v="305.224426942445"/>
        <n v="7.7149499453418"/>
        <n v="40.8733415441466"/>
        <n v="81.5628622505053"/>
        <n v="27.1940047045177"/>
        <n v="4.92448533829481"/>
        <n v="44.0796251189619"/>
        <n v="0.00839460000000014"/>
        <n v="20.7041661734846"/>
        <n v="5.017171814763"/>
        <n v="0.888526812886389"/>
        <n v="43.5387809522927"/>
        <n v="0.5631786"/>
        <n v="17.9833030495939"/>
        <n v="0.176736506399999"/>
        <n v="6.46055008685706"/>
        <n v="14.3325965646566"/>
        <n v="0.0711145000000001"/>
        <n v="0.303793107242999"/>
        <n v="1.49693839801425"/>
        <n v="94.8479494718566"/>
        <n v="0.928759742010001"/>
        <n v="0.138103377576"/>
        <n v="6.31190352390061"/>
        <n v="0.0410802700469999"/>
        <n v="8.80851422725001"/>
        <n v="27.6582186322996"/>
        <n v="85.0494529585029"/>
        <n v="6.404959164"/>
        <n v="0.407001733961316"/>
        <n v="0.815076824999991"/>
        <n v="0.023502202035"/>
        <n v="0.0561620000000004"/>
        <n v="15.4137639652979"/>
        <n v="4.81201632775442"/>
        <n v="46.3672317947069"/>
        <n v="4.17668696893599"/>
        <n v="11.0215034144096"/>
        <n v="0.274315474449155"/>
        <n v="0.731448478319805"/>
        <n v="171.679951331569"/>
        <n v="25.354132223155"/>
        <n v="0.162030999999956"/>
        <n v="5.30390174821228"/>
        <n v="173.094181462861"/>
        <n v="1.91666667476999"/>
        <n v="0.10968"/>
        <n v="10.481754105085"/>
        <n v="15.3369943083169"/>
        <n v="14.5224507259899"/>
        <n v="11.7633219780384"/>
        <n v="36.7595793252464"/>
        <n v="31.42979948844"/>
        <n v="4.6945093160056"/>
        <n v="0.00561220000000006"/>
        <n v="27.5059678344929"/>
        <n v="0.0800359416659999"/>
        <n v="42.6982063254307"/>
        <n v="5.752760616"/>
        <n v="4.60242055637936"/>
        <n v="0.01247"/>
        <n v="12.360665262813"/>
        <n v="0.0100799999999999"/>
        <n v="224.146676585642"/>
        <n v="0.12758661468"/>
        <n v="0.276437665139999"/>
        <n v="27.8806453053262"/>
        <n v="2.48377463699999"/>
        <n v="23.300515895293"/>
        <n v="6.00802278914999"/>
        <n v="16.5239707324319"/>
        <n v="1.86781487782575"/>
        <n v="108.452295863905"/>
        <n v="5.07742982761373"/>
        <n v="35.32815853794"/>
        <n v="139.824840078993"/>
        <n v="129.16829005093"/>
        <n v="17.553339770169"/>
        <n v="0.3926079422096"/>
        <n v="20.2883151919169"/>
        <n v="3.47640565127541"/>
        <n v="10.0555214229899"/>
        <n v="4.88802029188961"/>
        <n v="0.352220000000002"/>
        <n v="7.1919108525"/>
        <n v="0.2566442"/>
        <n v="0.971283306848724"/>
        <n v="5.24190293924397"/>
        <n v="0.0113000000000003"/>
        <n v="6.51880069352398"/>
        <n v="4.99999999999944E-5"/>
        <n v="0.239157999999996"/>
        <n v="0.296720001132282"/>
        <n v="0.0253699999999996"/>
        <n v="0.2072346"/>
        <n v="0.4700440407"/>
        <n v="1.37706879999996"/>
        <n v="1.127289833901"/>
        <n v="81.8470199116166"/>
        <n v="1.15121999999996"/>
        <n v="0.1654555023264"/>
        <n v="0.00210280000000007"/>
        <n v="60.946178135904"/>
        <n v="10.4241579117238"/>
        <n v="0.109637600000013"/>
        <n v="0.00149024999999991"/>
        <n v="0.354920099999958"/>
        <n v="7.52233368855845"/>
        <n v="0.0114467999999998"/>
        <n v="0.00328320000000004"/>
        <n v="2.05255698363227"/>
        <n v="1.81180566179999"/>
        <n v="57.8999840256"/>
        <n v="8.77049058928233"/>
        <n v="0.979300000000023"/>
        <n v="0.00876979999999999"/>
        <n v="7.13450677499999"/>
        <n v="22.3003378919679"/>
        <n v="8.52724143784985"/>
        <n v="0.073999999999998"/>
        <n v="3.75875140910399"/>
        <n v="4.10511396726455"/>
        <n v="24.4590014631597"/>
        <n v="0.0918425999999998"/>
        <n v="0.149836528940544"/>
        <n v="0.381544034507999"/>
        <n v="0.128823403421181"/>
        <n v="22.22703225232"/>
        <n v="0.2792128"/>
        <n v="2.59781520000001"/>
        <n v="0.275876598974999"/>
        <n v="47.6900594039509"/>
        <n v="11.7972546918148"/>
        <n v="0.097464264748425"/>
        <n v="1.87238570699999"/>
        <n v="10.051150832577"/>
        <n v="1.548011707372"/>
        <n v="0.60429781295862"/>
        <n v="35.3406760908089"/>
        <n v="0.256189699999993"/>
        <n v="0.00288399999999999"/>
        <n v="289.296100965757"/>
        <n v="0.0108427999999999"/>
        <n v="24.3006420933064"/>
        <n v="185.717319445282"/>
        <n v="10.2957717847519"/>
        <n v="1.0653469"/>
        <n v="0.0632"/>
        <n v="3.70115021651783"/>
        <n v="12.342178932312"/>
        <n v="2.23150883904"/>
        <n v="12.7190726190608"/>
        <n v="5.28896757830399"/>
        <n v="0.00829849999999954"/>
        <n v="0.0117545000000003"/>
        <n v="0.0396878999999998"/>
        <n v="38.1096048806815"/>
        <n v="4.46560565893551"/>
        <n v="0.311550625276964"/>
        <n v="27.7805086922309"/>
        <n v="881.62879018254"/>
        <n v="12.4014658220519"/>
        <n v="14.3888708876879"/>
        <n v="28.8554745711289"/>
        <n v="15.4947037083319"/>
        <n v="1.8565848"/>
        <n v="5.74262162850899"/>
        <n v="45.5672531102799"/>
        <n v="5.79845815999999"/>
        <n v="6.79317878620839"/>
        <n v="9.575511382371"/>
        <n v="0.0258749999999992"/>
        <n v="3.79618726442999"/>
        <n v="0.99370443830918"/>
        <n v="3.85172533995637"/>
        <n v="0.00625999999999926"/>
        <n v="5.60620621097724"/>
        <n v="5.30452799999999"/>
        <n v="4.01106108886699"/>
        <n v="0.682187199999999"/>
        <n v="0.12"/>
        <n v="16.209854329034"/>
        <n v="66.9667577176719"/>
        <n v="2.6140154"/>
        <n v="0.727347056983"/>
        <n v="46.8741285803999"/>
        <n v="0.0173249999999999"/>
        <n v="28.436277757521"/>
        <n v="0.427999999999997"/>
        <n v="3.87482371764514"/>
        <n v="1.51461754999999"/>
        <n v="33.4802524830879"/>
        <n v="35.2457290767679"/>
        <n v="3.54613652664"/>
        <n v="0.580588160548003"/>
        <n v="0.0642738"/>
        <n v="3.94063679999999"/>
        <n v="62.1472012601102"/>
        <n v="100.599571357952"/>
        <n v="0.0516793000000002"/>
        <n v="65.229784615773"/>
        <n v="4.988542571568"/>
        <n v="56.1395183735079"/>
        <n v="0.0101410999999997"/>
        <n v="45.0529271996789"/>
        <n v="5.80168402249404"/>
        <n v="0.0308639999999993"/>
        <n v="4.65054436492499"/>
        <n v="70.1627041321202"/>
        <n v="51.1268113605479"/>
        <n v="6.88960114950399"/>
        <n v="9.2743137036"/>
        <n v="238.875158403103"/>
        <n v="4.702740648297"/>
        <n v="0.00186920846851698"/>
        <n v="0.951314015144999"/>
        <n v="8.73201818850421"/>
        <n v="40.6375304653999"/>
        <n v="2.41827773075"/>
        <n v="0.804480375658049"/>
        <n v="115.076390022062"/>
        <n v="80.742636234288"/>
        <n v="0.273947934173836"/>
        <n v="7.03299783974399"/>
        <n v="0.0673439999999998"/>
        <n v="0.0780956999999986"/>
        <n v="56.0102491883155"/>
        <n v="2.76498942124103"/>
        <n v="0.0197499999999999"/>
        <n v="3.93662039097296"/>
        <n v="29.5855545501927"/>
        <n v="0.70617"/>
        <n v="2.6480203776"/>
        <n v="7.04059433396951"/>
        <n v="7.790553375"/>
        <n v="0.815480000000008"/>
        <n v="0.580284199999999"/>
        <n v="0.120273500000001"/>
        <n v="34.6010403199838"/>
        <n v="69.4077395683489"/>
        <n v="44.8688831545073"/>
        <n v="73.741203199152"/>
        <n v="0.0213999999999989"/>
        <n v="3.40077325917626"/>
        <n v="0.0199759999999997"/>
        <n v="0.370923799999999"/>
        <n v="0.104849999999999"/>
        <n v="0.00239999999999973"/>
        <n v="0.30108500928"/>
        <n v="0.890681099999998"/>
        <n v="0.072499999999998"/>
        <n v="1.82870745398274"/>
        <n v="10.407296630557"/>
        <n v="0.0394000000000001"/>
        <n v="0.030295843959204"/>
        <n v="0.0110000000000001"/>
        <n v="6.73888006654932"/>
        <n v="50.5057295530095"/>
        <n v="102.20032525536"/>
        <n v="3.016115025"/>
        <n v="18.852753986016"/>
        <n v="12.8324614456681"/>
        <n v="28.0226371135224"/>
        <n v="0.0495209999999843"/>
        <n v="1.142070769763"/>
        <n v="2.55139879825337"/>
        <n v="20.2546265628209"/>
        <n v="4.01859912236896"/>
        <n v="0.113121500000001"/>
        <n v="1.05080820745799"/>
        <n v="0.00300000000000011"/>
        <n v="77.535143972"/>
        <n v="58.722292849891"/>
        <n v="0.0473448999999988"/>
        <n v="1.89427748402099"/>
        <n v="41.50394926432"/>
        <n v="12.4873747486159"/>
        <n v="74.4451560401919"/>
        <n v="30.1907426763934"/>
        <n v="6.599782990242"/>
        <n v="3.18584569729483"/>
        <n v="0.0413873653949999"/>
        <n v="5.31811437265804"/>
        <n v="38.635213351017"/>
        <n v="2.35379994535661"/>
        <n v="209.886671608263"/>
        <n v="18.7214104966349"/>
        <n v="1.63461154027785"/>
        <n v="1.69055914759699"/>
        <n v="15.3042306424323"/>
        <n v="30.463114285425"/>
        <n v="36.7667822473439"/>
        <n v="32.6543884406399"/>
        <n v="92.7637684965409"/>
        <n v="23.5594485022425"/>
        <n v="34.029900075147"/>
        <n v="49.3470858346968"/>
        <n v="14.6926830925472"/>
        <n v="0.0139265000000001"/>
        <n v="5.72889024"/>
        <n v="33.778339760208"/>
        <n v="0.028948436988"/>
        <n v="2.87744908998899"/>
        <n v="11.3284401737759"/>
        <n v="119.756952032296"/>
        <n v="75.7534092542"/>
        <n v="13.830893916691"/>
        <n v="40.509367233917"/>
        <n v="19.13629694112"/>
        <n v="21.014743049769"/>
        <n v="43.083129258448"/>
        <n v="8.22320185713748"/>
        <n v="17.5902471577079"/>
        <n v="51.178605262497"/>
        <n v="0.177296899999999"/>
        <n v="1.44308999999999"/>
        <n v="0.0666780999999998"/>
        <n v="35.6306029922458"/>
        <n v="0.00199999999999989"/>
        <n v="0.0286663999999999"/>
        <n v="0.0055"/>
        <n v="40.801242561711"/>
        <n v="31.1522334292768"/>
        <n v="0.946515149999996"/>
        <n v="77.030588746758"/>
        <n v="2.60048101262565"/>
        <n v="0.0085596"/>
        <n v="0.1078008"/>
        <n v="9.44436099000626"/>
        <n v="53.5197264466829"/>
        <n v="8.082281689706"/>
        <n v="4.2439159803865"/>
        <n v="4.88309325396214"/>
        <n v="1.023533356974"/>
        <n v="212.585994671"/>
        <n v="160.708602822209"/>
        <n v="0.625800000000012"/>
        <n v="1.209432454452"/>
        <n v="17.0950296100929"/>
        <n v="23.8623294435558"/>
        <n v="25.834771049616"/>
        <n v="0.7766712"/>
        <n v="603.829346347258"/>
        <n v="14.394970653963"/>
        <n v="13.6873399363919"/>
        <n v="0.0587499999999963"/>
        <n v="5.91767746574251"/>
        <n v="10.0117516161071"/>
        <n v="3.40592157202186"/>
        <n v="0.238926512981815"/>
        <n v="11.529889741777"/>
        <n v="0.761157755399999"/>
        <n v="24.2010058410543"/>
        <n v="84.8216845539487"/>
        <n v="76.6873897808978"/>
        <n v="65.7765527681999"/>
        <n v="53.5841270489613"/>
        <n v="2.14552542465596"/>
        <n v="103.68900501832"/>
        <n v="0.155740499999999"/>
        <n v="0.1566813"/>
        <n v="1.365193176076"/>
        <n v="13.204074560518"/>
        <n v="2.652264"/>
        <n v="0.265226415449999"/>
        <n v="17.28106790145"/>
        <n v="7.37331033436799"/>
        <n v="49.3591237751029"/>
        <n v="253.848678966815"/>
        <n v="330.48251011887"/>
        <n v="18.4887481043465"/>
        <n v="84.248919148786"/>
        <n v="50.6139850020234"/>
        <n v="29.440062279729"/>
        <n v="6.84626046815301"/>
        <n v="0.164764999999999"/>
        <n v="0.03642"/>
        <n v="1.85113292795634"/>
        <n v="11.2526937641284"/>
        <n v="0.446541838665"/>
        <n v="2.22894817379999"/>
        <n v="69.17364948952"/>
        <n v="5.28689044439999"/>
        <n v="0.0836185"/>
        <n v="9.15493871199999"/>
        <n v="62.3965263206399"/>
        <n v="11.4525638639999"/>
        <n v="0.116288895669179"/>
        <n v="6.94187175761072"/>
        <n v="0.6255831"/>
        <n v="0.0477100000000021"/>
        <n v="1.45722254999999"/>
        <n v="0.607380800000001"/>
        <n v="0.295880599999999"/>
        <n v="0.66006606105"/>
        <n v="1.277153147064"/>
        <n v="0.4375897"/>
        <n v="1.06174769582401"/>
        <n v="0.0533311999999988"/>
        <n v="1.11395193903569"/>
        <n v="0.0699510999999972"/>
        <n v="27.177084"/>
        <n v="0.00103000000000008"/>
        <n v="0.183876295058999"/>
        <n v="0.00509499999999985"/>
        <n v="0.0996493067999999"/>
        <n v="19.8998200272528"/>
        <n v="18.2913137929601"/>
        <n v="71.800985262354"/>
        <n v="197.33106061543"/>
        <n v="7.63852032"/>
        <n v="0.602099999999978"/>
        <n v="38.567915335712"/>
        <n v="0.0852373000000028"/>
        <n v="0.007834067345"/>
        <n v="4.84240841177653"/>
        <n v="0.0168505500000009"/>
        <n v="1.22413376195699"/>
        <n v="6.25000743479615"/>
        <n v="104.0887058052"/>
        <n v="15.17468180985"/>
        <n v="15.1296062310009"/>
        <n v="1.83843717081454"/>
        <n v="0.0498172091169999"/>
        <n v="23.2206703082425"/>
        <n v="1.63942632"/>
        <n v="106.570722067007"/>
        <n v="134.392791603434"/>
        <n v="14.0583481531993"/>
        <n v="5.78091982674999"/>
        <n v="11.4811276324591"/>
        <n v="1.17521888142999"/>
        <n v="0.320795560871999"/>
        <n v="0.0297999999999998"/>
        <n v="85.3538885149009"/>
        <n v="30.2073298963605"/>
        <n v="7.46644186661603"/>
        <n v="70.4472254200241"/>
        <n v="0.15"/>
        <n v="9.01348838707199"/>
        <n v="0.00315915000000011"/>
        <n v="2.79692885399099"/>
        <n v="29.3365614145119"/>
        <n v="3.49086166168437"/>
        <n v="4.714574309424"/>
        <n v="1.566813468995E-6"/>
        <n v="0.1644"/>
        <n v="14.7128437360619"/>
        <n v="2.730353554152"/>
        <n v="2.9407521999661"/>
        <n v="13.6848478236219"/>
        <n v="43.575605021844"/>
        <n v="6.65970729057427"/>
        <n v="148.419906636103"/>
        <n v="17.0378830965431"/>
        <n v="9.64458890471999"/>
        <n v="0.8117453"/>
        <n v="1.072662764445"/>
        <n v="0.0225621071999999"/>
        <n v="21.2181196113329"/>
        <n v="9.50080448403198"/>
        <n v="0.0309680999999999"/>
        <n v="49.909920946613"/>
        <n v="0.145431575323999"/>
        <n v="7.55347139919999"/>
        <n v="0.0485625"/>
        <n v="5.496312660486"/>
        <n v="14.832709226025"/>
        <n v="9.769326611454"/>
        <n v="27.9666148019669"/>
        <n v="3.37046666910369"/>
        <n v="280.048980573328"/>
        <n v="0.0239722460757"/>
        <n v="0.60596510913575"/>
        <n v="25.7398060828771"/>
        <n v="51.4451901691699"/>
        <n v="0.00886999999999993"/>
        <n v="23.3644853983287"/>
        <n v="0.0473004"/>
        <n v="76.8895680630749"/>
        <n v="4.26360896186"/>
        <n v="67.100921642454"/>
        <n v="351.850704700584"/>
        <n v="5.53373891351316"/>
        <n v="0.0139519999999999"/>
        <n v="0.249284869349999"/>
        <n v="155.056530605556"/>
        <n v="182.271068871806"/>
        <n v="40.235485947369"/>
        <n v="0.888380875199999"/>
        <n v="0.171683300000001"/>
        <n v="24.2289620928"/>
        <n v="1.935564105268"/>
        <n v="106.759560723776"/>
        <n v="0.121268249999999"/>
        <n v="17.2071942817717"/>
        <n v="117.66671508536"/>
        <n v="18.3954970572299"/>
        <n v="1.505995586592"/>
        <n v="6.38407665657376"/>
        <n v="4.90476855149229"/>
        <n v="14.0500110482999"/>
        <n v="4.48280710748701"/>
        <n v="10.6513154732721"/>
        <n v="0.362854026924999"/>
        <n v="0.0247305"/>
        <n v="2.38155647287907E-4"/>
        <n v="40.3100472923279"/>
        <n v="0.00521949999999998"/>
        <n v="0.9678494390695"/>
        <n v="0.0848998999999999"/>
        <n v="3.056784955112"/>
        <n v="9.01769759999999"/>
        <n v="6.3645984300155"/>
        <n v="2.06792262050886"/>
        <n v="2.59647793701"/>
        <n v="22.1868762290957"/>
        <n v="2.50690155039201E-5"/>
        <n v="7.68559278858199"/>
        <n v="0.0440234999999997"/>
        <n v="2.0224428257852"/>
        <n v="29.0749638255169"/>
        <n v="1.02802705416109"/>
        <n v="0.003301275979183"/>
        <n v="18.062681988216"/>
        <n v="0.064560953471658"/>
        <n v="110.790126208972"/>
        <n v="37.98421622274"/>
        <n v="4.01851905060715"/>
        <n v="5.97157477019234"/>
        <n v="0.0260901999999996"/>
        <n v="0.1018271"/>
        <n v="0.015"/>
        <n v="8.46394807397963"/>
        <n v="0.536069560283657"/>
        <n v="0.0654539999999954"/>
        <n v="62.5934303999999"/>
        <n v="0.22952987187"/>
        <n v="0.0705889000000183"/>
        <n v="0.00345"/>
        <n v="0.249312830523"/>
        <n v="14.5726792652"/>
        <n v="5.16364613612999"/>
        <n v="0.2179079"/>
        <n v="5.715236384928"/>
        <n v="0.376068023072999"/>
        <n v="12.3993341999999"/>
        <n v="0.608073858048001"/>
        <n v="0.0625619000000021"/>
        <n v="6.33475398115967"/>
        <n v="0.425008350000027"/>
        <n v="0.849283499999998"/>
        <n v="0.318271698539999"/>
        <n v="6.68096317399946E-4"/>
        <n v="0.0238848999999987"/>
        <n v="5.1055500000001"/>
        <n v="28.7484594947199"/>
        <n v="0.103731500000009"/>
        <n v="0.3117992"/>
        <n v="1.78476159484614"/>
        <n v="0.0379"/>
        <n v="38.3919456017914"/>
        <n v="0.0695867999999992"/>
        <n v="10.924733340056"/>
        <n v="0.0215411999999997"/>
        <n v="0.061971"/>
        <n v="57.7195909996643"/>
        <n v="0.0949314000000001"/>
        <n v="0.0876692000000005"/>
        <n v="5.17201054267499"/>
        <n v="0.187372700000025"/>
        <n v="5.28003080035987"/>
        <n v="0.0750624999999995"/>
        <n v="1.35586499999999"/>
        <n v="1.01354069999999"/>
        <n v="4.50000000000005E-4"/>
        <n v="23.780289200976"/>
        <n v="6.949016552448"/>
        <n v="72.256429666908"/>
        <n v="1.68529107999577"/>
        <n v="0.06267253876"/>
        <n v="8.743816174575"/>
        <n v="0.744945851799999"/>
        <n v="21.6394441375348"/>
        <n v="0.0653361216573"/>
        <n v="0.275326647612"/>
        <n v="1.23775598300699"/>
        <n v="0.5207834"/>
        <n v="23.1216133827246"/>
        <n v="0.5304528"/>
        <n v="4.20405062111999"/>
        <n v="5.362877808"/>
        <n v="0.894066599999998"/>
        <n v="3.99167390450702"/>
        <n v="25.745829006096"/>
        <n v="202.954881691975"/>
        <n v="18.646658850464"/>
        <n v="8.32744684088001"/>
        <n v="7.69156559999999"/>
        <n v="4.50167674854057"/>
        <n v="2.287725596682"/>
        <n v="0.801289078943999"/>
        <n v="0.00265226399999995"/>
        <n v="100.474376424482"/>
        <n v="0.985440769098005"/>
        <n v="21.0361666895999"/>
        <n v="20.4489578808959"/>
        <n v="0.04058"/>
        <n v="112.562133277147"/>
        <n v="18.6634524023855"/>
        <n v="0.00816420000000039"/>
        <n v="0.687674431544099"/>
        <n v="11.128554795437"/>
        <n v="0.0850671"/>
        <n v="4.920219009219"/>
        <n v="4.9146682117751E-5"/>
        <n v="15.1817689201803"/>
        <n v="0.57413976606"/>
        <n v="22.2853701975348"/>
        <n v="12.476907693915"/>
        <n v="20.7613162122952"/>
        <n v="0.0670282601399999"/>
        <n v="21.923683467554"/>
        <n v="13.524160491522"/>
        <n v="0.439850834499999"/>
        <n v="7.18795856940408"/>
        <n v="2.26968719674481"/>
        <n v="10.56009668554"/>
        <n v="49.6730103163522"/>
        <n v="7.11023242195402"/>
        <n v="20.620349605503"/>
        <n v="34.843274880048"/>
        <n v="64.2039788824448"/>
        <n v="25.0302810830789"/>
        <n v="0.0022473"/>
        <n v="18.2141047483199"/>
        <n v="16.06221305913"/>
        <n v="4.74058977038399"/>
        <n v="25.311259416036"/>
        <n v="868.311375681246"/>
        <n v="3.71553851480625"/>
        <n v="31.740783864188"/>
        <n v="2.262127005888"/>
        <n v="0.0115559999999999"/>
        <n v="2.1939527808"/>
        <n v="2.69450472136799"/>
        <n v="0.941279100000002"/>
        <n v="0.00359089999999995"/>
        <n v="3.05257911045136"/>
        <n v="0.5168096304"/>
        <n v="0.622808167499999"/>
        <n v="5.872440255"/>
        <n v="61.866154263797"/>
        <n v="0.377650617246538"/>
        <n v="31.8601183641709"/>
        <n v="11.8988428125631"/>
        <n v="0.0039170325"/>
        <n v="29.0822426311849"/>
        <n v="0.0599776016399999"/>
        <n v="96.3146483917739"/>
        <n v="3.42341855922259"/>
        <n v="0.245492405709999"/>
        <n v="104.793856718093"/>
        <n v="26.0446248515879"/>
        <n v="0.3111111367749"/>
        <n v="1.80651876531488"/>
        <n v="5.12153879550599"/>
        <n v="4.754233956895"/>
        <n v="72.6655750615829"/>
        <n v="0.00298659999999997"/>
        <n v="335.682503212392"/>
        <n v="0.0739416000000001"/>
        <n v="11.1566847143759"/>
        <n v="42.0442386245183"/>
        <n v="125.354580504951"/>
        <n v="25.324920013824"/>
        <n v="72.4035915691664"/>
        <n v="0.0510920000000005"/>
        <n v="0.044010626556096"/>
        <n v="11.7141171734441"/>
        <n v="0.2565863"/>
        <n v="0.2875037"/>
        <n v="0.908022299999994"/>
        <n v="26.5677526679116"/>
        <n v="2.27530520860103"/>
        <n v="6.62076351616084"/>
        <n v="3.48804458792024"/>
        <n v="0.4316963"/>
        <n v="0.0470206000000003"/>
        <n v="1.039449067623"/>
        <n v="1.26519039999999"/>
        <n v="0.1965367"/>
        <n v="127.180037196"/>
        <n v="0.3739986"/>
        <n v="7.48929317657238"/>
        <n v="0.672000000000025"/>
        <m/>
        <n v="3.265716749616"/>
        <n v="9.61384672574499"/>
        <n v="0.0938672999999998"/>
        <n v="0.23196"/>
        <n v="0.731099999999997"/>
        <n v="6.65079255578449"/>
        <n v="6.26188577782399"/>
        <n v="14.363556"/>
        <n v="0.400234546785"/>
        <n v="0.474699999999984"/>
        <n v="7.67572097486399"/>
        <n v="0.0341445000000002"/>
        <n v="0.1266444"/>
        <n v="0.543695241437283"/>
        <n v="0.821249800000001"/>
        <n v="0.315233100000014"/>
        <n v="57.0871278255839"/>
        <n v="0.858924299999955"/>
        <n v="1.3067572041"/>
        <n v="35.64643023648"/>
        <n v="0.0570000000000003"/>
        <n v="8.93863492499998"/>
        <n v="0.0199253"/>
        <n v="0.404810699999999"/>
        <n v="20.08947808"/>
        <n v="2.093307219514"/>
        <n v="185.820684214855"/>
        <n v="1.30615095623787"/>
        <n v="10.4722637755619"/>
        <n v="0.8280371292732"/>
        <n v="1.258738393875"/>
        <n v="0.570475217249431"/>
        <n v="31.2739241613787"/>
        <n v="0.00391703367250001"/>
        <n v="0.01566813469"/>
        <n v="39.3722509679999"/>
        <n v="0.0178498"/>
        <n v="429.932044651751"/>
        <n v="2.765569091796"/>
        <n v="25.7715638155739"/>
        <n v="7.45021705068963"/>
        <n v="130.961191570769"/>
        <n v="13.624876807587"/>
        <n v="0.00252883693896599"/>
        <n v="0.666351356764665"/>
        <n v="11.008014499368"/>
        <n v="0.24935828973"/>
        <n v="0.230017"/>
        <n v="0.284925"/>
        <n v="0.095190326884224"/>
        <n v="0.105599999999999"/>
        <n v="36.2261752181376"/>
        <n v="633.509390813583"/>
        <n v="1.94481100830633"/>
        <n v="0.401279138450999"/>
        <n v="0.0809492999999994"/>
        <n v="0.229999199999999"/>
        <n v="195.653540120503"/>
        <n v="1.11447419999998"/>
        <n v="4.04099846199999"/>
        <n v="0.327538600000025"/>
        <n v="4.98208664208599"/>
        <n v="57.361842472327"/>
        <n v="1.90038799719231"/>
        <n v="0.0414134999999998"/>
        <n v="8.64297396870797"/>
        <n v="0.179968900000005"/>
        <n v="5.07170312573342"/>
        <n v="0.068567"/>
        <n v="2.95529379577189"/>
        <n v="6.98463979135674"/>
        <n v="30.5393217266939"/>
        <n v="1.57497979794167"/>
        <n v="9.65851110503999"/>
        <n v="1.4312452"/>
        <n v="15.947331047833"/>
        <n v="0.0574951999999981"/>
        <n v="66.089570541408"/>
        <n v="101.357272933583"/>
        <n v="5.25026971839899"/>
        <n v="16.1264547606419"/>
        <n v="31.476853869152"/>
        <n v="0.10368"/>
        <n v="0.165273154775"/>
        <n v="0.0478212999999999"/>
        <n v="15.4831325091199"/>
        <n v="2.6149996908"/>
        <n v="0.117667656299999"/>
        <n v="17.3498752276099"/>
        <n v="8.23900000000002E-4"/>
        <n v="0.208349999999995"/>
        <n v="26.4205377601739"/>
        <n v="154.548429949847"/>
        <n v="34.219834849376"/>
        <n v="48.1311652607999"/>
        <n v="4.040919673537"/>
        <n v="4.83660887112003"/>
        <n v="11.6923610327219"/>
        <n v="44.4496223819859"/>
        <n v="4.49552649542099"/>
        <n v="1.14518999999999"/>
        <n v="19.4874241858758"/>
        <n v="2.94948786898799"/>
        <n v="32.3017787418029"/>
        <n v="31.5969533253893"/>
        <n v="441.328008754057"/>
        <n v="892.234538553599"/>
        <n v="0.03133626"/>
        <n v="15.1498933820136"/>
        <n v="1.12260974999999"/>
        <n v="96.9414926816169"/>
        <n v="30.6921052584239"/>
        <n v="23.2062694976219"/>
        <n v="0.946566668519"/>
        <n v="0.0559842000000001"/>
        <n v="78.727651244187"/>
        <n v="15.3767280902409"/>
        <n v="0.0250000000000056"/>
        <n v="171.752462174775"/>
        <n v="0.469587957417"/>
        <n v="3.56935669530003"/>
        <n v="9.34511483064471"/>
        <n v="2.0000000000131E-5"/>
        <n v="13.2483683370514"/>
        <n v="28.047765276497"/>
        <n v="0.149744005543999"/>
        <n v="0.519730000000009"/>
        <n v="20.245956626"/>
        <n v="0.0247199999999999"/>
        <n v="36.9365017450169"/>
        <n v="0.034386082"/>
        <n v="339.66012664982"/>
        <n v="0.0876202999999999"/>
        <n v="1.5460097923719"/>
        <n v="76.2051772633205"/>
        <n v="1.82709374842055"/>
        <n v="0.0670000000000001"/>
        <n v="38.354637377568"/>
        <n v="0.125399999999999"/>
      </sharedItems>
    </cacheField>
    <cacheField name="sub_gp" numFmtId="0">
      <sharedItems containsString="0" containsBlank="1" containsNumber="1">
        <n v="68.0"/>
        <n v="7.99999999999999"/>
        <n v="80.0"/>
        <n v="24.0"/>
        <n v="28.0"/>
        <n v="0.0"/>
        <n v="25.0"/>
        <n v="4.39999999999999"/>
        <n v="44.0"/>
        <n v="17.5"/>
        <n v="6.39999999999999"/>
        <n v="29.75"/>
        <n v="85.0"/>
        <n v="5.25"/>
        <n v="1.99999999999999"/>
        <n v="54.4"/>
        <n v="64.0"/>
        <n v="2.49999999999999"/>
        <n v="35.0"/>
        <n v="52.0"/>
        <n v="17.0"/>
        <n v="55.0"/>
        <n v="6.49999999999999"/>
        <n v="27.0"/>
        <m/>
        <n v="46.75"/>
        <n v="21.25"/>
        <n v="36.0"/>
        <n v="5.19999999999999"/>
        <n v="20.0"/>
        <n v="2.79999999999999"/>
        <n v="10.5"/>
        <n v="3.49999999999999"/>
        <n v="76.0"/>
        <n v="65.0"/>
        <n v="26.25"/>
        <n v="5.49999999999999"/>
        <n v="33.0"/>
        <n v="55.25"/>
        <n v="24.992"/>
        <n v="8.49999999999999"/>
        <n v="75.0"/>
        <n v="1.74999999999999"/>
      </sharedItems>
    </cacheField>
    <cacheField name="Total GP" numFmtId="165">
      <sharedItems containsSemiMixedTypes="0" containsString="0" containsNumber="1">
        <n v="66.9151"/>
        <n v="768.5243"/>
        <n v="2561.6509"/>
        <n v="23.7458"/>
        <n v="164.6066"/>
        <n v="-43.5324"/>
        <n v="24.75"/>
        <n v="0.4242999999999899"/>
        <n v="99.8381"/>
        <n v="43.7898"/>
        <n v="39.7341"/>
        <n v="32.35450999999999"/>
        <n v="6.829399999999989"/>
        <n v="-0.1556"/>
        <n v="42.7001"/>
        <n v="17.1879"/>
        <n v="39.956"/>
        <n v="26.440000000000012"/>
        <n v="41.01910000000001"/>
        <n v="82.7185"/>
        <n v="35.2975"/>
        <n v="7.29509999999999"/>
        <n v="0.2255"/>
        <n v="54.250499999999995"/>
        <n v="35.3597999999999"/>
        <n v="134.8561"/>
        <n v="180.157099999999"/>
        <n v="57.8841"/>
        <n v="79.85"/>
        <n v="213.5879"/>
        <n v="1.0401"/>
        <n v="82.2971"/>
        <n v="26.7562"/>
        <n v="2.44"/>
        <n v="1830.4822"/>
        <n v="315.29065"/>
        <n v="14.604699999999989"/>
        <n v="321.97538499999996"/>
        <n v="280.48389999999995"/>
        <n v="440.7387"/>
        <n v="458.0829"/>
        <n v="24.726499999999987"/>
        <n v="74.4274"/>
        <n v="33.90790000000001"/>
        <n v="82.71900000000001"/>
        <n v="30.8676"/>
        <n v="198.8482"/>
        <n v="69.9632"/>
        <n v="64.54195"/>
        <n v="34.8548"/>
        <n v="153.36368"/>
        <n v="-0.1386"/>
        <n v="-0.3"/>
        <n v="1837.8021"/>
        <n v="49.6335"/>
        <n v="15.1605999999999"/>
        <n v="173.1326"/>
        <n v="23.85"/>
        <n v="19.69949999999999"/>
        <n v="15.6665"/>
        <n v="32.4237"/>
        <n v="-4.071"/>
        <n v="104.82289999999999"/>
        <n v="181.9305"/>
        <n v="66.578"/>
        <n v="34.082300000000004"/>
        <n v="111.2726"/>
        <n v="279.7348"/>
        <n v="2253.4562"/>
        <n v="21.797"/>
        <n v="29.815"/>
        <n v="10.23939999999998"/>
        <n v="101.2793"/>
        <n v="339.40459999999996"/>
        <n v="100.6349"/>
        <n v="14.413699999999992"/>
        <n v="65.866"/>
        <n v="24.0826"/>
        <n v="33.85"/>
        <n v="24.4545"/>
        <n v="48.573899999999995"/>
        <n v="64.3938"/>
        <n v="3019.8707"/>
        <n v="3.13"/>
        <n v="67.8479"/>
        <n v="868.5096"/>
        <n v="210.4668"/>
        <n v="-4.3195"/>
        <n v="23.4438"/>
        <n v="-0.15"/>
        <n v="8.39789999999999"/>
        <n v="2410.9254"/>
        <n v="94.57"/>
        <n v="26.1976"/>
        <n v="-0.1506"/>
        <n v="5.705099999999991"/>
        <n v="45.5967"/>
        <n v="0.32"/>
        <n v="-0.98"/>
        <n v="7.9995"/>
        <n v="39.3044"/>
        <n v="1.3322"/>
        <n v="109.189"/>
        <n v="-1.2409"/>
        <n v="0.6636"/>
        <n v="139.6669"/>
        <n v="2.7538"/>
        <n v="14.8893"/>
        <n v="28.1755"/>
        <n v="169.5687"/>
        <n v="222.537499999999"/>
        <n v="68.8222"/>
        <n v="69.1529"/>
        <n v="-8.8126"/>
        <n v="113.9412"/>
        <n v="-1.84989999999999"/>
        <n v="-9.7071"/>
        <n v="299.5367"/>
        <n v="24.3087"/>
        <n v="544.5362"/>
        <n v="66.1682999999999"/>
        <n v="-0.3176"/>
        <n v="26.5922"/>
        <n v="-0.68"/>
        <n v="-0.1521"/>
        <n v="15.5587"/>
        <n v="191.27"/>
        <n v="7.8"/>
        <n v="3.02089999999999"/>
        <n v="12.8105"/>
        <n v="0.5699"/>
        <n v="18.9643999999999"/>
        <n v="-4.37939999999999"/>
        <n v="-0.06"/>
        <n v="32.5311"/>
        <n v="1772.83069999999"/>
        <n v="-0.1879"/>
        <n v="152.7009"/>
        <n v="4.6674"/>
        <n v="92.9781"/>
        <n v="3.2844"/>
        <n v="-0.5995"/>
        <n v="138.1445"/>
        <n v="1151.2482"/>
        <n v="9.5532"/>
        <n v="160.8303"/>
        <n v="57.1538"/>
        <n v="145.0341"/>
        <n v="77.9487"/>
        <n v="-1.8611999999999966"/>
        <n v="125.0165"/>
        <n v="79.4103"/>
        <n v="40.4168"/>
        <n v="175.1342"/>
        <n v="392.797299999999"/>
        <n v="50.186"/>
        <n v="42.1352"/>
        <n v="68.4819"/>
        <n v="-0.3886"/>
        <n v="2.89919999999999"/>
        <n v="555.599899999999"/>
        <n v="67.3172"/>
        <n v="82.4733999999999"/>
        <n v="1.1321000000001007"/>
        <n v="40.258799999999894"/>
        <n v="-0.1495"/>
        <n v="44.5877"/>
        <n v="1169.5023"/>
        <n v="50.8664999999999"/>
        <n v="38.25869999999999"/>
        <n v="42.44"/>
        <n v="38.5171999999999"/>
        <n v="34.081"/>
        <n v="343.208499999999"/>
        <n v="394.3017"/>
        <n v="-10.5912"/>
        <n v="252.8783"/>
        <n v="91.7675"/>
        <n v="214.49532"/>
        <n v="10.2633"/>
        <n v="477.2042"/>
        <n v="262.2276"/>
        <n v="784.0859"/>
        <n v="65.5667999999999"/>
        <n v="135.35399999999998"/>
        <n v="-1.67"/>
        <n v="101.6133"/>
        <n v="368.586299999999"/>
        <n v="35.1281"/>
        <n v="24.94"/>
        <n v="40.46239999999999"/>
        <n v="48.3665"/>
        <n v="52.35999999999999"/>
        <n v="103.2923"/>
        <n v="50.51480000000001"/>
        <n v="63.2163999999999"/>
        <n v="2.26999999999999"/>
        <n v="869.2326"/>
        <n v="1.72999999999999"/>
        <n v="153.3181999999999"/>
        <n v="23.7888"/>
        <n v="70.77029999999999"/>
        <n v="185.64149999999898"/>
        <n v="2.2811"/>
        <n v="16.2923"/>
        <n v="1111.7109"/>
        <n v="89.0379999999999"/>
        <n v="59.83499999999999"/>
        <n v="177.8007"/>
        <n v="-7.3186"/>
        <n v="501.2752"/>
        <n v="105.3529"/>
        <n v="73.0483"/>
        <n v="57.282599999999995"/>
        <n v="2031.4454"/>
        <n v="339.769"/>
        <n v="674.771199999999"/>
        <n v="83.2013"/>
        <n v="68.4668"/>
        <n v="23.23480000000001"/>
        <n v="34.1932"/>
        <n v="17.3391"/>
        <n v="1.48989999999999"/>
        <n v="67.8131"/>
        <n v="34.0312"/>
        <n v="24.2072"/>
        <n v="29.3164"/>
        <n v="1364.3129"/>
        <n v="2072.0078000000003"/>
        <n v="-0.2927"/>
        <n v="3228.647"/>
        <n v="23.605"/>
        <n v="0.5207"/>
        <n v="23.7"/>
        <n v="1148.3917"/>
        <n v="38.88759999999999"/>
        <n v="19.8596"/>
        <n v="355.9178"/>
        <n v="252.9031"/>
        <n v="457.1083"/>
        <n v="-9.7457"/>
        <n v="70.50489999999999"/>
        <n v="28.98"/>
        <n v="10.82"/>
        <n v="81.1832"/>
        <n v="74.9208999999999"/>
        <n v="106.543"/>
        <n v="1012.007499999999"/>
        <n v="47.3204"/>
        <n v="115.4396"/>
        <n v="79.6038"/>
        <n v="28.587"/>
        <n v="2.1295999999999897"/>
        <n v="182.2172"/>
        <n v="62.8036"/>
        <n v="71.89"/>
        <n v="18.72140000000001"/>
        <n v="43.3456"/>
        <n v="204.705299999999"/>
        <n v="108.82339999999999"/>
        <n v="15.88069999999999"/>
        <n v="-1.7435"/>
        <n v="-2.4058"/>
        <n v="6.2596"/>
        <n v="109.7828"/>
        <n v="-1.25"/>
        <n v="-0.56"/>
        <n v="-0.43"/>
        <n v="34.3555"/>
        <n v="0.6236"/>
        <n v="22.3574"/>
        <n v="-0.1038"/>
        <n v="1682.3779"/>
        <n v="-0.3577"/>
        <n v="-0.2"/>
        <n v="-2.03"/>
        <n v="479.17629999999997"/>
        <n v="42.735335"/>
        <n v="92.9333"/>
        <n v="-0.22"/>
        <n v="-0.2571"/>
        <n v="39.7651"/>
        <n v="-0.6"/>
        <n v="-0.6735"/>
        <n v="-1.64"/>
        <n v="2.302"/>
        <n v="26.012"/>
        <n v="-0.95"/>
        <n v="76.87089999999999"/>
        <n v="3.4348"/>
        <n v="119.0163"/>
        <n v="11.5384"/>
        <n v="7.832"/>
        <n v="93.14912999999999"/>
        <n v="72.3766"/>
        <n v="0.5767"/>
        <n v="42.2923"/>
        <n v="7.0168"/>
        <n v="130.2142"/>
        <n v="262.608999999999"/>
        <n v="78.2228"/>
        <n v="159.21769999999998"/>
        <n v="43.9096"/>
        <n v="94.1576"/>
        <n v="140.7321"/>
        <n v="204.7683"/>
        <n v="76.5221"/>
        <n v="33.8995"/>
        <n v="5.9889"/>
        <n v="952.25"/>
        <n v="254.575199999999"/>
        <n v="134.97039999999998"/>
        <n v="407.1529300000001"/>
        <n v="38.2288999999999"/>
        <n v="136.3419"/>
        <n v="209.74999999999997"/>
        <n v="285.5339"/>
        <n v="19.8137"/>
        <n v="26.5823"/>
        <n v="24.4"/>
        <n v="6.1999999999999895"/>
        <n v="871.879899999999"/>
        <n v="-0.2858"/>
        <n v="163.9664"/>
        <n v="372.70564"/>
        <n v="1222.07589999999"/>
        <n v="247.33509999999998"/>
        <n v="93.4521999999999"/>
        <n v="470.224899999999"/>
        <n v="504.100299999999"/>
        <n v="2.34999999999999"/>
        <n v="18.37999999999999"/>
        <n v="57.2375"/>
        <n v="3.5269999999999895"/>
        <n v="139.2964999999999"/>
        <n v="10.52999999999999"/>
        <n v="10.11999999999999"/>
        <n v="64.6216"/>
        <n v="156.539499999999"/>
        <n v="-2.5539"/>
        <n v="71.7461"/>
        <n v="18.6952"/>
        <n v="18.226399999999998"/>
        <n v="6.3599999999999905"/>
        <n v="60.65739999999989"/>
        <n v="84.41719999999998"/>
        <n v="17.8888"/>
        <n v="25.7961"/>
        <n v="110.4204"/>
        <n v="175.41279999999898"/>
        <n v="63.4704"/>
        <n v="36.2252"/>
        <n v="5.37999999999999"/>
        <n v="38.77659999999999"/>
        <n v="28.8832"/>
        <n v="65.1432"/>
        <n v="2.5479999999999996"/>
        <n v="219.8979"/>
        <n v="-0.248499999999999"/>
        <n v="154.1362"/>
        <n v="3.9408"/>
        <n v="16.30219999999999"/>
        <n v="808.257699999999"/>
        <n v="65.37899999999999"/>
        <n v="334.054999999999"/>
        <n v="7.84999999999999"/>
        <n v="348.1966"/>
        <n v="10.2"/>
        <n v="85.6605"/>
        <n v="272.64639999999997"/>
        <n v="113.47699999999989"/>
        <n v="77.5965"/>
        <n v="90.8047"/>
        <n v="601.4116"/>
        <n v="-12.5286999999999"/>
        <n v="35.67"/>
        <n v="8.36619999999999"/>
        <n v="149.3917"/>
        <n v="23.9456"/>
        <n v="110.28899999999999"/>
        <n v="79.0711"/>
        <n v="28.03000000000001"/>
        <n v="24.6779"/>
        <n v="141.2885"/>
        <n v="26.6733"/>
        <n v="1826.2102999999902"/>
        <n v="19.8441"/>
        <n v="3.9649"/>
        <n v="121.81099999999999"/>
        <n v="29.085799999999992"/>
        <n v="32.91479999999999"/>
        <n v="42.89580000000001"/>
        <n v="280.78808499999997"/>
        <n v="37.6173"/>
        <n v="533.1156"/>
        <n v="29.4012"/>
        <n v="296.0805"/>
        <n v="78.5834999999999"/>
        <n v="204.0908"/>
        <n v="15.9843"/>
        <n v="80.5023"/>
        <n v="123.84359999999899"/>
        <n v="23.3088"/>
        <n v="65.09409999999998"/>
        <n v="57.559999999999896"/>
        <n v="100.72659999999999"/>
        <n v="43.1418"/>
        <n v="-0.91"/>
        <n v="-0.72"/>
        <n v="436.1459"/>
        <n v="5.9485"/>
        <n v="552.9097"/>
        <n v="-0.1"/>
        <n v="60.5276"/>
        <n v="2.7069"/>
        <n v="-0.8042"/>
        <n v="1926.04229999999"/>
        <n v="-3.7"/>
        <n v="615.466249999999"/>
        <n v="-0.39"/>
        <n v="0.23371999999999993"/>
        <n v="195.048"/>
        <n v="177.1545"/>
        <n v="32.2351"/>
        <n v="-0.34992500000000004"/>
        <n v="146.918999999999"/>
        <n v="33.1827"/>
        <n v="11.0396"/>
        <n v="-0.8062"/>
        <n v="9.9488"/>
        <n v="9.6081"/>
        <n v="368.0272"/>
        <n v="-2.52"/>
        <n v="338.0304"/>
        <n v="6.278"/>
        <n v="42.69"/>
        <n v="120.591199999999"/>
        <n v="8.53559999999999"/>
        <n v="57.1369"/>
        <n v="17.5888999999999"/>
        <n v="124.7583"/>
        <n v="977.365805"/>
        <n v="-0.657"/>
        <n v="-0.5"/>
        <n v="10.2911"/>
        <n v="51.6713"/>
        <n v="-1.4021"/>
        <n v="799.70566"/>
        <n v="331.24"/>
        <n v="70.397"/>
        <n v="30.9178"/>
        <n v="119.3538"/>
        <n v="2.3399999999999896"/>
        <n v="9.02279999999999"/>
        <n v="231.1723"/>
        <n v="239.9663"/>
        <n v="-0.1429"/>
        <n v="24.8165"/>
        <n v="1150.26969999999"/>
        <n v="79.5279"/>
        <n v="51.0219"/>
        <n v="149.76059999999998"/>
        <n v="103.0604999999999"/>
        <n v="17.669"/>
        <n v="2.4399999999999897"/>
        <n v="31.7369"/>
        <n v="142.6227850000001"/>
        <n v="68.3707"/>
        <n v="59.07670000000001"/>
        <n v="83.13855"/>
        <n v="6.1184"/>
        <n v="28.090725"/>
        <n v="28.551985000000002"/>
        <n v="46.49989999999999"/>
        <n v="120.3129"/>
        <n v="289.743999999999"/>
        <n v="100.96539999999999"/>
        <n v="1111.0373000000002"/>
        <n v="134.936999999999"/>
        <n v="45.9643999999999"/>
        <n v="22.2028"/>
        <n v="63.4841"/>
        <n v="31.899"/>
        <n v="79.631"/>
        <n v="41.037699999999894"/>
        <n v="33.49430000000001"/>
        <n v="86.7381"/>
        <n v="74.4665"/>
        <n v="74.65"/>
        <n v="28.7762"/>
        <n v="17.43559999999999"/>
        <n v="27.2280999999999"/>
        <n v="34.833600000000004"/>
        <n v="1.9495999999999998"/>
        <n v="50.7017"/>
        <n v="1.8631999999999898"/>
        <n v="4.9297"/>
        <n v="24.63"/>
        <n v="3.2636999999999996"/>
        <n v="555.9001"/>
        <n v="34.6"/>
        <n v="10.4321"/>
        <n v="98.5457"/>
        <n v="34.7223"/>
        <n v="180.96179999999998"/>
        <n v="96.9021"/>
        <n v="33.65"/>
        <n v="2.00159999999999"/>
        <n v="654.4811749999999"/>
        <n v="433.6916"/>
        <n v="22.176300000000012"/>
        <n v="56.8366"/>
        <n v="32.5842"/>
        <n v="150.1813"/>
        <n v="220.8655"/>
        <n v="73.92160000000001"/>
        <n v="33.00000000000001"/>
        <n v="749.6292"/>
        <n v="51.85361499999999"/>
        <n v="583.9647"/>
        <n v="3.1647149999999997"/>
        <n v="40.5552999999999"/>
        <n v="92.83019999999999"/>
        <n v="8.0609"/>
        <n v="4.83369999999999"/>
        <n v="700.0619"/>
        <n v="101.4710999999999"/>
        <n v="65.30465500000001"/>
        <n v="133.6728"/>
        <n v="870.6428"/>
        <n v="42.41000000000001"/>
        <n v="13.41999999999999"/>
        <n v="199.1345"/>
        <n v="69.4299"/>
        <n v="124.8938"/>
        <n v="466.2557"/>
        <n v="141.93691"/>
        <n v="-0.26"/>
        <n v="5.410399999999999"/>
        <n v="79.66950499999999"/>
        <n v="551.2449"/>
        <n v="6.0404"/>
        <n v="-0.2556"/>
        <n v="23.91"/>
        <n v="276.587399999999"/>
        <n v="12.8907"/>
        <n v="51.5494"/>
        <n v="46.9195"/>
        <n v="129.3013"/>
        <n v="-9.1679"/>
        <n v="24.80902"/>
        <n v="39.8627"/>
        <n v="129.317999999999"/>
        <n v="356.1481"/>
        <n v="176.7859"/>
        <n v="7.2806"/>
        <n v="109.4731"/>
        <n v="9.8607"/>
        <n v="41.8456"/>
        <n v="-1.7146"/>
        <n v="5.0835"/>
        <n v="1.1286"/>
        <n v="-10.1402"/>
        <n v="37.47"/>
        <n v="110.4489"/>
        <n v="33.4938"/>
        <n v="-0.8395"/>
        <n v="7.7762"/>
        <n v="-1.94"/>
        <n v="349.5558"/>
        <n v="172.6573"/>
        <n v="-0.6063"/>
        <n v="167.77217"/>
        <n v="104.7849"/>
        <n v="146.5007"/>
        <n v="82.1215"/>
        <n v="23.2683"/>
        <n v="15.402599999999989"/>
        <n v="68.45689999999999"/>
        <n v="60.3711"/>
        <n v="35.98260000000001"/>
        <n v="34.4644"/>
        <n v="41.2588"/>
        <n v="343.2657"/>
        <n v="-52.01039999999991"/>
        <n v="29.64315"/>
        <n v="-0.288599999999999"/>
        <n v="278.8999999999999"/>
        <n v="67.82159999999989"/>
        <n v="535.044"/>
        <n v="38.76999999999999"/>
        <n v="6.97829999999999"/>
        <n v="-0.21"/>
        <n v="23.8621"/>
        <n v="201.4979"/>
        <n v="1195.8543"/>
        <n v="34.3446"/>
        <n v="540.772"/>
        <n v="140.7676"/>
        <n v="4.96849999999999"/>
        <n v="23.4728"/>
        <n v="13.229999999999979"/>
        <n v="60.9994"/>
        <n v="162.9545"/>
        <n v="47.3279"/>
        <n v="61.9745"/>
        <n v="119.0425"/>
        <n v="113.1585"/>
        <n v="1137.97079999999"/>
        <n v="101.10419999999999"/>
        <n v="34.581"/>
        <n v="143.5818"/>
        <n v="45.1703"/>
        <n v="129.6805"/>
        <n v="82.0618"/>
        <n v="472.337"/>
        <n v="377.3515"/>
        <n v="-1.3039"/>
        <n v="44.3452"/>
        <n v="101.4288"/>
        <n v="123.7201"/>
        <n v="80.6625"/>
        <n v="300.993375"/>
        <n v="125.7999999999999"/>
        <n v="161.7696"/>
        <n v="1.0064"/>
        <n v="13.61399999999999"/>
        <n v="29.582025"/>
        <n v="95.8155"/>
        <n v="0.162599999999999"/>
        <n v="29.877"/>
        <n v="29.5779"/>
        <n v="93.03209999999999"/>
        <n v="1013.0877"/>
        <n v="49.3339"/>
        <n v="479.294099999999"/>
        <n v="123.46940000000001"/>
        <n v="79.7"/>
        <n v="-2.9366000000000105"/>
        <n v="53.729"/>
        <n v="378.26209999999895"/>
        <n v="56.639399999999895"/>
        <n v="21.82419999999999"/>
        <n v="3.09999999999999"/>
        <n v="27.0075"/>
        <n v="3.4055"/>
        <n v="131.3514"/>
        <n v="193.4604"/>
        <n v="10.89749999999999"/>
        <n v="82.5623"/>
        <n v="67.31569999999999"/>
        <n v="155.3909"/>
        <n v="62.644800000000004"/>
        <n v="2695.3599"/>
        <n v="36.5494"/>
        <n v="89.3214"/>
        <n v="74.3373"/>
        <n v="162.2959"/>
        <n v="0.4966999999999895"/>
        <n v="44.403499999999894"/>
        <n v="6.67999999999999"/>
        <n v="67.48310000000001"/>
        <n v="59.77499999999999"/>
        <n v="92.2314"/>
        <n v="36.1349"/>
        <n v="353.87989999999996"/>
        <n v="355.5497"/>
        <n v="621.8054"/>
        <n v="28.37100000000001"/>
        <n v="2802.66219999999"/>
        <n v="39.4458"/>
        <n v="24.85"/>
        <n v="67.374"/>
        <n v="149.99"/>
        <n v="24.7018"/>
        <n v="0.3667"/>
        <n v="47.9058"/>
        <n v="-0.925400000000001"/>
        <n v="102.475499999999"/>
        <n v="626.054199999999"/>
        <n v="1396.8972"/>
        <n v="9.35999999999999"/>
        <n v="76.5507"/>
        <n v="41.52349999999999"/>
        <n v="785.9923"/>
        <n v="248.3575"/>
        <n v="79.1263"/>
        <n v="43.2724"/>
        <n v="23.0985"/>
        <n v="98.38879999999989"/>
        <n v="60.10000000000001"/>
        <n v="-8.23"/>
        <n v="53.3818999999999"/>
        <n v="-8.6411"/>
        <n v="372.59874"/>
        <n v="593.5858"/>
        <n v="41.3426"/>
        <n v="-0.12"/>
        <n v="54.6764"/>
        <n v="-2.5877"/>
        <n v="16.8897"/>
        <n v="1.9642"/>
        <n v="-6.91209999999999"/>
        <n v="-1.6084"/>
        <n v="0.5705"/>
        <n v="-0.979199999999999"/>
        <n v="-2.49419999999999"/>
        <n v="88.6959"/>
        <n v="9.54779999999999"/>
        <n v="8.45999999999999"/>
        <n v="15.617324999999997"/>
        <n v="107.9668"/>
        <n v="-4.35936"/>
        <n v="-0.5081"/>
        <n v="5.1106"/>
        <n v="78.892"/>
        <n v="274.208845"/>
        <n v="287.105"/>
        <n v="-14.7199999999999"/>
        <n v="21.4498"/>
        <n v="213.1092"/>
        <n v="342.5770550000001"/>
        <n v="14.688870000000097"/>
        <n v="17.6899"/>
        <n v="3.5366"/>
        <n v="-0.3021"/>
        <n v="6.7406"/>
        <n v="481.5993"/>
        <n v="52.1108"/>
        <n v="79.9113"/>
        <n v="9.88989999999999"/>
        <n v="20.2276"/>
        <n v="81.216"/>
        <n v="-1.0987"/>
        <n v="1531.271"/>
        <n v="795.8472"/>
        <n v="30.8634"/>
        <n v="45.7216999999999"/>
        <n v="52.18999999999999"/>
        <n v="23.5042"/>
        <n v="-0.1056"/>
        <n v="47.311499999999995"/>
        <n v="606.2451499999991"/>
        <n v="977.3494"/>
        <n v="44.898399999999995"/>
        <n v="485.1863"/>
        <n v="-0.1384"/>
        <n v="84.8864600000001"/>
        <n v="-2.4051"/>
        <n v="34.0016"/>
        <n v="45.5532"/>
        <n v="42.2042"/>
        <n v="39.882125"/>
        <n v="-0.0729"/>
        <n v="2.0899999999999896"/>
        <n v="34.61089999999999"/>
        <n v="-0.3012"/>
        <n v="24.8273"/>
        <n v="0.9599999999999997"/>
        <n v="525.5995"/>
        <n v="60.91919999999999"/>
        <n v="-1.5632"/>
        <n v="874.0707"/>
        <n v="95.243"/>
        <n v="12.6126"/>
        <n v="3.3071000000000996"/>
        <n v="17.4913"/>
        <n v="23.8279"/>
        <n v="63.8219"/>
        <n v="188.363"/>
        <n v="6.65569999999998"/>
        <n v="1290.3326"/>
        <n v="3.47819999999999"/>
        <n v="45.8242"/>
        <n v="33.2801"/>
        <n v="54.5034"/>
        <n v="7.8365"/>
        <n v="78.1514"/>
        <n v="86.48289999999999"/>
        <n v="1154.5881"/>
        <n v="-0.449999999999999"/>
        <n v="542.7691"/>
        <n v="353.5747"/>
        <n v="5.305299999999999"/>
        <n v="28.11419999999999"/>
        <n v="24.88"/>
        <n v="108.9104"/>
        <n v="84.1294"/>
        <n v="130.4879"/>
        <n v="1499.979"/>
        <n v="-1.41"/>
        <n v="24.882"/>
        <n v="3.74479999999999"/>
        <n v="254.99769999999998"/>
        <n v="498.21"/>
        <n v="174.2416"/>
        <n v="-0.008900000000010122"/>
        <n v="124.82395"/>
        <n v="103.1744"/>
        <n v="32.9549"/>
        <n v="28.1193"/>
        <n v="0.964499999999999"/>
        <n v="208.1812"/>
        <n v="233.86939999999998"/>
        <n v="43.524"/>
        <n v="56.189800000000005"/>
        <n v="54.3927"/>
        <n v="34.39"/>
        <n v="50.8167999999999"/>
        <n v="102.65609999999998"/>
        <n v="22.62280000000001"/>
        <n v="3.22129999999999"/>
        <n v="5.34999999999999"/>
        <n v="24.8479"/>
        <n v="5.61999999999999"/>
        <n v="1230.68089999999"/>
        <n v="24.8225"/>
        <n v="32.03"/>
        <n v="27.94039999999999"/>
        <n v="45.9209"/>
        <n v="46.7194"/>
        <n v="27.8"/>
        <n v="14.5557"/>
        <n v="62.9469999999999"/>
        <n v="33.49049999999989"/>
        <n v="79.3871"/>
        <n v="1.0278999999999896"/>
        <n v="41.99249999999999"/>
        <n v="-0.32"/>
        <n v="154.3121"/>
        <n v="23.5505"/>
        <n v="-0.4086"/>
        <n v="37.4092"/>
        <n v="25.414665"/>
        <n v="62.26900000000001"/>
        <n v="468.9095"/>
        <n v="33.7303"/>
        <n v="31.6121"/>
        <n v="6.2479"/>
        <n v="44.1111"/>
        <n v="44.0046999999999"/>
        <n v="22.3108999999999"/>
        <n v="360.2818"/>
        <n v="2.4"/>
        <n v="135.5617"/>
        <n v="1.8437"/>
        <n v="0.0687999999999999"/>
        <n v="46.2144"/>
        <n v="64.1767"/>
        <n v="0.12689999999999957"/>
        <n v="104.09536"/>
        <n v="27.9052999999999"/>
        <n v="67.6755"/>
        <n v="51.3379"/>
        <n v="18.93842"/>
        <n v="-2.55999999999999"/>
        <n v="117.848805"/>
        <n v="-8.9955"/>
        <n v="-3.3218"/>
        <n v="-0.8898"/>
        <n v="24.4827"/>
        <n v="1901.9119"/>
        <n v="89.76612499999999"/>
        <n v="38.193"/>
        <n v="-0.1508"/>
        <n v="12.9591"/>
        <n v="153.831"/>
        <n v="1.5390249999999996"/>
        <n v="48.8538"/>
        <n v="4.6479"/>
        <n v="-0.5346"/>
        <n v="402.085"/>
        <n v="24.3951"/>
        <n v="33.4707"/>
        <n v="2.8462999999999896"/>
        <n v="225.20244499999998"/>
        <n v="163.83271000000002"/>
        <n v="16.95272500000001"/>
        <n v="20.06579999999989"/>
        <n v="12.616"/>
        <n v="-0.4146"/>
        <n v="253.504505"/>
        <n v="-8.865200000000002"/>
        <n v="213.3265"/>
        <n v="18.8778"/>
        <n v="4.26999999999999"/>
        <n v="0.4730999999999901"/>
        <n v="74.5848"/>
        <n v="119.43129999999998"/>
        <n v="23.7114"/>
        <n v="-0.8577"/>
        <n v="63.8036"/>
        <n v="-7.46109999999999"/>
        <n v="149.51"/>
        <n v="0.11"/>
        <n v="-0.435"/>
        <n v="22.0156"/>
        <n v="2.7348"/>
        <n v="338.186"/>
        <n v="3.31679999999999"/>
        <n v="608.03"/>
        <n v="288.87492"/>
        <n v="82.76097499999999"/>
        <n v="-50.1254"/>
        <n v="19.66169999999999"/>
        <n v="62.4791999999999"/>
        <n v="23.53"/>
        <n v="9.6366"/>
        <n v="35.8093"/>
        <n v="36.70309999999999"/>
        <n v="156.4535"/>
        <n v="44.9641"/>
        <n v="34.85"/>
        <n v="894.2135"/>
        <n v="541.0036"/>
        <n v="-2.8225"/>
        <n v="94.4041"/>
        <n v="2.2399999999999896"/>
        <n v="95.7567"/>
        <n v="1.3099999999999898"/>
        <n v="16.89309999999989"/>
        <n v="2.0848999999999998"/>
        <n v="23.5595"/>
        <n v="121.4699999999999"/>
        <n v="130.1477"/>
        <n v="68.7889"/>
        <n v="64.1577"/>
        <n v="84.5396"/>
        <n v="23.3038"/>
        <n v="45.2832"/>
        <n v="161.1572"/>
        <n v="146.1446"/>
        <n v="329.76120000000003"/>
        <n v="41.44039999999999"/>
        <n v="192.20299999999997"/>
        <n v="40.7699"/>
        <n v="131.5485"/>
        <n v="25.535615"/>
        <n v="397.66505"/>
        <n v="56.3051"/>
        <n v="2.9413"/>
        <n v="56.878"/>
        <n v="3355.0196"/>
        <n v="30.980699999999988"/>
        <n v="65.7669"/>
        <n v="32.7021"/>
        <n v="43.7"/>
        <n v="46.8047"/>
        <n v="23.55"/>
        <n v="0.6463000000000001"/>
        <n v="29.2737"/>
        <n v="143.316635"/>
        <n v="-3.3601"/>
        <n v="24.4402"/>
        <n v="45.8758"/>
        <n v="312.60274999999996"/>
        <n v="0.4399999999999902"/>
        <n v="5.758199999999991"/>
        <n v="5.05119999999999"/>
        <n v="0.61"/>
        <n v="109.3723"/>
        <n v="35.7499"/>
        <n v="294.45539999999903"/>
        <n v="2.69999999999999"/>
        <n v="41.2041"/>
        <n v="302.8434"/>
        <n v="121.7795999999999"/>
        <n v="0.5707"/>
        <n v="98.9991999999999"/>
        <n v="23.862000000000002"/>
        <n v="111.1916"/>
        <n v="963.8184"/>
        <n v="2.4098999999999897"/>
        <n v="1245.5592"/>
        <n v="19.96447"/>
        <n v="202.6085"/>
        <n v="39.57059999999999"/>
        <n v="212.7767"/>
        <n v="100.9282"/>
        <n v="117.645"/>
        <n v="10.5148"/>
        <n v="-0.42"/>
        <n v="81.3415"/>
        <n v="5.258400000000011"/>
        <n v="24.2587"/>
        <n v="-0.4188"/>
        <n v="120.44220999999999"/>
        <n v="182.001"/>
        <n v="-1.06"/>
        <n v="-3.16"/>
        <n v="-1.28"/>
        <n v="12.1378999999999"/>
        <n v="-0.589"/>
        <n v="38.4176999999999"/>
        <n v="-5.37939999999999"/>
        <n v="1157.79665"/>
        <n v="12.1418"/>
        <n v="125.157699999999"/>
        <n v="258.3942"/>
        <n v="0.0"/>
        <n v="16.69492"/>
        <n v="80.1631999999999"/>
        <n v="-0.6689"/>
        <n v="65.67280000000001"/>
        <n v="340.7758"/>
        <n v="64.4404999999999"/>
        <n v="81.5392"/>
        <n v="118.3024"/>
        <n v="31.6012"/>
        <n v="70.3102"/>
        <n v="91.981"/>
        <n v="5.58348"/>
        <n v="36.583524999999995"/>
        <n v="-0.35"/>
        <n v="-4.27469999999999"/>
        <n v="81.8343"/>
        <n v="186.9586"/>
        <n v="201.440099999999"/>
        <n v="0.5703"/>
        <n v="0.6207"/>
        <n v="283.4078"/>
        <n v="14.2447"/>
        <n v="53.5801999999999"/>
        <n v="0.42761000000000005"/>
        <n v="-0.6156"/>
        <n v="242.48709999999997"/>
        <n v="75.4918"/>
        <n v="2983.1391"/>
        <n v="0.86669999999999"/>
        <n v="1.1699999999999995"/>
        <n v="23.97850000000001"/>
        <n v="24.251"/>
        <n v="80.27829999999999"/>
        <n v="3.2799999999999896"/>
        <n v="290.290699999999"/>
        <n v="19.8273"/>
        <n v="310.9943"/>
        <n v="33.6869"/>
        <n v="878.0844999999999"/>
        <n v="196.022825"/>
        <n v="529.979999999999"/>
        <n v="597.0188"/>
        <n v="0.954599999999999"/>
        <n v="1.3836999999999997"/>
        <n v="0.5986"/>
        <n v="35.1752"/>
        <n v="77.8732"/>
        <n v="24.72"/>
        <n v="37.30369999999999"/>
        <n v="1395.0156"/>
        <n v="17.57999999999999"/>
        <n v="17.117"/>
        <n v="21.0534"/>
        <n v="43.1679"/>
        <n v="190.54809999999998"/>
        <n v="322.882555"/>
        <n v="81.7799999999999"/>
        <n v="382.6784"/>
        <n v="9.74"/>
        <n v="778.2361"/>
        <n v="27.8335"/>
        <n v="5.743899999999989"/>
        <n v="83.48"/>
        <n v="221.125399999999"/>
        <n v="64.0955"/>
        <n v="27.546415000000003"/>
        <n v="21.69549999999999"/>
        <n v="2.07999999999999"/>
        <n v="11.40499999999999"/>
        <n v="26.86389999999999"/>
        <n v="-5.100999999999999"/>
        <n v="19.8852"/>
        <n v="66.4483"/>
        <n v="65.8457"/>
        <n v="618.57899"/>
        <n v="772.3973"/>
        <n v="63.2582"/>
        <n v="2.3886999999999894"/>
        <n v="676.236095"/>
        <n v="2.2799999999999896"/>
        <n v="17.6062"/>
        <n v="79.0879"/>
        <n v="120.26719999999898"/>
        <n v="-2.9758"/>
        <n v="71.53099999999999"/>
        <n v="52.1184"/>
        <n v="213.7599"/>
        <n v="82.8178999999999"/>
        <n v="362.4486"/>
        <n v="169.94549999999998"/>
        <n v="608.144"/>
        <n v="71.6209"/>
        <n v="214.28092"/>
        <n v="-9.8433"/>
        <n v="545.575"/>
        <n v="10.0111"/>
        <n v="26.308899999999987"/>
        <n v="244.209999999999"/>
        <n v="4.01699999999999"/>
        <n v="209.100299999999"/>
        <n v="26.493"/>
        <n v="1051.8488"/>
        <n v="4587.7246"/>
        <n v="24.8621"/>
        <n v="67.74499999999999"/>
        <n v="60.27409999999999"/>
        <n v="241.5093"/>
        <n v="337.65989999999897"/>
        <n v="392.2904"/>
        <n v="27.1412"/>
        <n v="66.64968999999999"/>
        <n v="3.402599999999989"/>
        <n v="43.7341"/>
        <n v="66.7161"/>
        <n v="317.5911"/>
        <n v="23.8479"/>
        <n v="394.2969"/>
        <n v="126.0224"/>
        <n v="4.78939999999999"/>
        <n v="-2.20859999999999"/>
        <n v="-1.2474"/>
        <n v="0.5632"/>
        <n v="275.6318"/>
        <n v="86.2147"/>
        <n v="71.2276"/>
        <n v="-0.6823"/>
        <n v="1303.8694"/>
        <n v="-0.4386"/>
        <n v="47.2307"/>
        <n v="718.391"/>
        <n v="0.5687"/>
        <n v="22.02"/>
        <n v="48.3878"/>
        <n v="269.11461499999996"/>
        <n v="131.72269999999997"/>
      </sharedItems>
    </cacheField>
    <cacheField name="Opp Create Date" numFmtId="166">
      <sharedItems containsSemiMixedTypes="0" containsDate="1" containsString="0">
        <d v="2025-09-04T00:00:00Z"/>
        <d v="2025-05-27T00:00:00Z"/>
        <d v="2026-05-28T00:00:00Z"/>
        <d v="2025-11-18T00:00:00Z"/>
        <d v="2026-02-24T00:00:00Z"/>
        <d v="2025-08-11T00:00:00Z"/>
        <d v="2025-06-09T00:00:00Z"/>
        <d v="2025-09-15T00:00:00Z"/>
        <d v="2026-02-06T00:00:00Z"/>
        <d v="2025-11-13T00:00:00Z"/>
        <d v="2025-12-10T00:00:00Z"/>
        <d v="2025-07-11T00:00:00Z"/>
        <d v="2025-05-28T00:00:00Z"/>
        <d v="2026-04-27T00:00:00Z"/>
        <d v="2026-06-24T00:00:00Z"/>
        <d v="2025-05-21T00:00:00Z"/>
        <d v="2025-11-03T00:00:00Z"/>
        <d v="2025-07-18T00:00:00Z"/>
        <d v="2026-02-04T00:00:00Z"/>
        <d v="2025-10-31T00:00:00Z"/>
        <d v="2025-07-25T00:00:00Z"/>
        <d v="2025-10-30T00:00:00Z"/>
        <d v="2025-08-01T00:00:00Z"/>
        <d v="2026-03-18T00:00:00Z"/>
        <d v="2026-01-05T00:00:00Z"/>
        <d v="2025-12-01T00:00:00Z"/>
        <d v="2026-01-06T00:00:00Z"/>
        <d v="2025-08-04T00:00:00Z"/>
        <d v="2025-09-09T00:00:00Z"/>
        <d v="2025-12-16T00:00:00Z"/>
        <d v="2025-06-02T00:00:00Z"/>
        <d v="2025-05-22T00:00:00Z"/>
        <d v="2026-02-18T00:00:00Z"/>
        <d v="2025-11-26T00:00:00Z"/>
        <d v="2025-11-17T00:00:00Z"/>
        <d v="2025-11-04T00:00:00Z"/>
        <d v="2025-06-10T00:00:00Z"/>
        <d v="2025-08-27T00:00:00Z"/>
        <d v="2025-09-30T00:00:00Z"/>
        <d v="2025-10-17T00:00:00Z"/>
        <d v="2025-06-17T00:00:00Z"/>
        <d v="2025-09-11T00:00:00Z"/>
        <d v="2025-09-24T00:00:00Z"/>
        <d v="2025-09-29T00:00:00Z"/>
        <d v="2026-03-23T00:00:00Z"/>
        <d v="2025-12-15T00:00:00Z"/>
        <d v="2025-08-28T00:00:00Z"/>
        <d v="2025-08-12T00:00:00Z"/>
        <d v="2025-12-30T00:00:00Z"/>
        <d v="2025-08-07T00:00:00Z"/>
        <d v="2025-10-06T00:00:00Z"/>
        <d v="2025-06-01T00:00:00Z"/>
        <d v="2026-01-27T00:00:00Z"/>
        <d v="2025-07-01T00:00:00Z"/>
        <d v="2025-08-21T00:00:00Z"/>
        <d v="2025-11-12T00:00:00Z"/>
        <d v="2025-08-26T00:00:00Z"/>
        <d v="2025-08-25T00:00:00Z"/>
        <d v="2026-03-31T00:00:00Z"/>
        <d v="2025-10-07T00:00:00Z"/>
        <d v="2025-09-16T00:00:00Z"/>
        <d v="2025-10-01T00:00:00Z"/>
        <d v="2025-09-03T00:00:00Z"/>
        <d v="2026-02-03T00:00:00Z"/>
        <d v="2026-02-10T00:00:00Z"/>
        <d v="2025-07-03T00:00:00Z"/>
        <d v="2025-05-29T00:00:00Z"/>
        <d v="2026-01-15T00:00:00Z"/>
        <d v="2026-05-06T00:00:00Z"/>
        <d v="2026-04-03T00:00:00Z"/>
        <d v="2025-09-17T00:00:00Z"/>
        <d v="2025-12-23T00:00:00Z"/>
        <d v="2025-09-18T00:00:00Z"/>
        <d v="2026-03-30T00:00:00Z"/>
        <d v="2026-04-07T00:00:00Z"/>
        <d v="2025-12-02T00:00:00Z"/>
        <d v="2025-11-05T00:00:00Z"/>
        <d v="2026-02-05T00:00:00Z"/>
        <d v="2026-04-22T00:00:00Z"/>
        <d v="2025-09-01T00:00:00Z"/>
        <d v="2025-06-23T00:00:00Z"/>
        <d v="2025-10-10T00:00:00Z"/>
        <d v="2025-07-31T00:00:00Z"/>
        <d v="2025-06-12T00:00:00Z"/>
        <d v="2025-05-20T00:00:00Z"/>
        <d v="2026-04-08T00:00:00Z"/>
        <d v="2026-03-17T00:00:00Z"/>
        <d v="2025-12-09T00:00:00Z"/>
        <d v="2026-05-12T00:00:00Z"/>
        <d v="2026-04-09T00:00:00Z"/>
        <d v="2026-03-11T00:00:00Z"/>
        <d v="2025-11-10T00:00:00Z"/>
        <d v="2026-04-01T00:00:00Z"/>
        <d v="2025-06-16T00:00:00Z"/>
        <d v="2026-06-02T00:00:00Z"/>
        <d v="2026-05-13T00:00:00Z"/>
        <d v="2025-12-22T00:00:00Z"/>
        <d v="2025-08-22T00:00:00Z"/>
        <d v="2026-02-20T00:00:00Z"/>
        <d v="2025-12-18T00:00:00Z"/>
        <d v="2025-12-03T00:00:00Z"/>
        <d v="2025-08-18T00:00:00Z"/>
        <d v="2025-09-05T00:00:00Z"/>
        <d v="2025-11-07T00:00:00Z"/>
        <d v="2025-06-08T00:00:00Z"/>
        <d v="2025-10-29T00:00:00Z"/>
        <d v="2026-05-27T00:00:00Z"/>
        <d v="2026-04-29T00:00:00Z"/>
        <d v="2026-03-05T00:00:00Z"/>
        <d v="2026-01-26T00:00:00Z"/>
        <d v="2025-11-20T00:00:00Z"/>
        <d v="2025-10-24T00:00:00Z"/>
        <d v="2025-08-15T00:00:00Z"/>
        <d v="2025-10-28T00:00:00Z"/>
        <d v="2025-06-30T00:00:00Z"/>
        <d v="2025-06-18T00:00:00Z"/>
        <d v="2026-04-24T00:00:00Z"/>
        <d v="2026-01-14T00:00:00Z"/>
        <d v="2026-03-19T00:00:00Z"/>
        <d v="2025-08-05T00:00:00Z"/>
        <d v="2026-05-08T00:00:00Z"/>
        <d v="2025-10-27T00:00:00Z"/>
        <d v="2025-07-10T00:00:00Z"/>
        <d v="2025-10-15T00:00:00Z"/>
        <d v="2026-06-03T00:00:00Z"/>
      </sharedItems>
    </cacheField>
    <cacheField name="Opp Create Month" numFmtId="166">
      <sharedItems containsSemiMixedTypes="0" containsDate="1" containsString="0">
        <d v="2025-09-01T00:00:00Z"/>
        <d v="2025-05-01T00:00:00Z"/>
        <d v="2026-05-01T00:00:00Z"/>
        <d v="2025-11-01T00:00:00Z"/>
        <d v="2026-02-01T00:00:00Z"/>
        <d v="2025-08-01T00:00:00Z"/>
        <d v="2025-06-01T00:00:00Z"/>
        <d v="2025-12-01T00:00:00Z"/>
        <d v="2025-07-01T00:00:00Z"/>
        <d v="2026-04-01T00:00:00Z"/>
        <d v="2026-06-01T00:00:00Z"/>
        <d v="2025-10-01T00:00:00Z"/>
        <d v="2026-03-01T00:00:00Z"/>
        <d v="2026-01-01T00:00:00Z"/>
      </sharedItems>
    </cacheField>
    <cacheField name="Count GP?" numFmtId="0">
      <sharedItems>
        <s v="Yes"/>
        <s v="No"/>
      </sharedItems>
    </cacheField>
    <cacheField name="Opp Close Date" numFmtId="166">
      <sharedItems containsSemiMixedTypes="0" containsDate="1" containsString="0">
        <d v="2025-11-05T00:00:00Z"/>
        <d v="2025-05-27T00:00:00Z"/>
        <d v="2026-08-24T00:00:00Z"/>
        <d v="2025-12-04T00:00:00Z"/>
        <d v="2026-04-06T00:00:00Z"/>
        <d v="2025-08-27T00:00:00Z"/>
        <d v="2025-07-10T00:00:00Z"/>
        <d v="2025-10-28T00:00:00Z"/>
        <d v="2026-03-17T00:00:00Z"/>
        <d v="2025-11-26T00:00:00Z"/>
        <d v="2026-01-27T00:00:00Z"/>
        <d v="2025-07-11T00:00:00Z"/>
        <d v="2025-05-28T00:00:00Z"/>
        <d v="2026-08-17T00:00:00Z"/>
        <d v="2026-12-05T00:00:00Z"/>
        <d v="2025-05-30T00:00:00Z"/>
        <d v="2025-12-16T00:00:00Z"/>
        <d v="2025-11-06T00:00:00Z"/>
        <d v="2025-09-01T00:00:00Z"/>
        <d v="2026-02-04T00:00:00Z"/>
        <d v="2025-12-22T00:00:00Z"/>
        <d v="2025-08-11T00:00:00Z"/>
        <d v="2025-12-15T00:00:00Z"/>
        <d v="2025-12-08T00:00:00Z"/>
        <d v="2026-03-06T00:00:00Z"/>
        <d v="2025-10-01T00:00:00Z"/>
        <d v="2025-12-30T00:00:00Z"/>
        <d v="2025-12-26T00:00:00Z"/>
        <d v="2026-08-03T00:00:00Z"/>
        <d v="2026-02-26T00:00:00Z"/>
        <d v="2025-11-19T00:00:00Z"/>
        <d v="2025-09-10T00:00:00Z"/>
        <d v="2025-07-04T00:00:00Z"/>
        <d v="2025-06-10T00:00:00Z"/>
        <d v="2026-01-06T00:00:00Z"/>
        <d v="2025-12-09T00:00:00Z"/>
        <d v="2026-04-29T00:00:00Z"/>
        <d v="2025-12-17T00:00:00Z"/>
        <d v="2025-10-03T00:00:00Z"/>
        <d v="2025-11-28T00:00:00Z"/>
        <d v="2025-11-18T00:00:00Z"/>
        <d v="2025-07-21T00:00:00Z"/>
        <d v="2025-12-18T00:00:00Z"/>
        <d v="2025-10-08T00:00:00Z"/>
        <d v="2026-04-02T00:00:00Z"/>
        <d v="2025-06-30T00:00:00Z"/>
        <d v="2025-10-15T00:00:00Z"/>
        <d v="2026-01-08T00:00:00Z"/>
        <d v="2025-10-06T00:00:00Z"/>
        <d v="2025-09-16T00:00:00Z"/>
        <d v="2025-08-20T00:00:00Z"/>
        <d v="2026-01-14T00:00:00Z"/>
        <d v="2026-04-27T00:00:00Z"/>
        <d v="2025-06-25T00:00:00Z"/>
        <d v="2026-01-09T00:00:00Z"/>
        <d v="2026-04-20T00:00:00Z"/>
        <d v="2025-06-04T00:00:00Z"/>
        <d v="2026-01-29T00:00:00Z"/>
        <d v="2025-06-11T00:00:00Z"/>
        <d v="2026-02-02T00:00:00Z"/>
        <d v="2025-07-24T00:00:00Z"/>
        <d v="2025-08-30T00:00:00Z"/>
        <d v="2026-01-15T00:00:00Z"/>
        <d v="2025-11-24T00:00:00Z"/>
        <d v="2025-11-07T00:00:00Z"/>
        <d v="2025-10-24T00:00:00Z"/>
        <d v="2025-10-07T00:00:00Z"/>
        <d v="2026-07-01T00:00:00Z"/>
        <d v="2025-10-17T00:00:00Z"/>
        <d v="2025-10-27T00:00:00Z"/>
        <d v="2025-09-08T00:00:00Z"/>
        <d v="2026-03-05T00:00:00Z"/>
        <d v="2026-03-27T00:00:00Z"/>
        <d v="2025-05-29T00:00:00Z"/>
        <d v="2025-07-03T00:00:00Z"/>
        <d v="2026-01-21T00:00:00Z"/>
        <d v="2026-06-15T00:00:00Z"/>
        <d v="2025-06-18T00:00:00Z"/>
        <d v="2025-12-31T00:00:00Z"/>
        <d v="2025-12-10T00:00:00Z"/>
        <d v="2026-05-06T00:00:00Z"/>
        <d v="2025-08-08T00:00:00Z"/>
        <d v="2025-11-10T00:00:00Z"/>
        <d v="2025-07-15T00:00:00Z"/>
        <d v="2025-10-20T00:00:00Z"/>
        <d v="2026-03-20T00:00:00Z"/>
        <d v="2026-03-10T00:00:00Z"/>
        <d v="2025-09-19T00:00:00Z"/>
        <d v="2025-12-01T00:00:00Z"/>
        <d v="2025-08-07T00:00:00Z"/>
        <d v="2025-08-15T00:00:00Z"/>
        <d v="2025-07-31T00:00:00Z"/>
        <d v="2025-06-09T00:00:00Z"/>
        <d v="2025-06-21T00:00:00Z"/>
        <d v="2025-05-20T00:00:00Z"/>
        <d v="2026-06-29T00:00:00Z"/>
        <d v="2026-05-12T00:00:00Z"/>
        <d v="2026-01-20T00:00:00Z"/>
        <d v="2025-09-18T00:00:00Z"/>
        <d v="2025-07-01T00:00:00Z"/>
        <d v="2025-11-21T00:00:00Z"/>
        <d v="2026-01-16T00:00:00Z"/>
        <d v="2025-07-18T00:00:00Z"/>
        <d v="2026-09-14T00:00:00Z"/>
        <d v="2026-09-21T00:00:00Z"/>
        <d v="2026-05-05T00:00:00Z"/>
        <d v="2026-01-07T00:00:00Z"/>
        <d v="2025-06-24T00:00:00Z"/>
        <d v="2026-02-05T00:00:00Z"/>
        <d v="2025-08-22T00:00:00Z"/>
        <d v="2025-09-03T00:00:00Z"/>
        <d v="2026-02-06T00:00:00Z"/>
        <d v="2025-11-20T00:00:00Z"/>
        <d v="2026-06-30T00:00:00Z"/>
        <d v="2026-01-12T00:00:00Z"/>
        <d v="2026-05-01T00:00:00Z"/>
        <d v="2026-06-01T00:00:00Z"/>
        <d v="2025-10-29T00:00:00Z"/>
        <d v="2026-01-02T00:00:00Z"/>
        <d v="2025-10-23T00:00:00Z"/>
        <d v="2025-11-03T00:00:00Z"/>
        <d v="2025-07-16T00:00:00Z"/>
        <d v="2026-04-28T00:00:00Z"/>
        <d v="2025-09-20T00:00:00Z"/>
        <d v="2026-08-10T00:00:00Z"/>
        <d v="2026-01-28T00:00:00Z"/>
        <d v="2025-09-07T00:00:00Z"/>
        <d v="2026-05-28T00:00:00Z"/>
        <d v="2025-10-21T00:00:00Z"/>
        <d v="2026-06-08T00:00:00Z"/>
        <d v="2025-11-13T00:00:00Z"/>
        <d v="2025-07-09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00" sheet="Redash Pull of Activated Org GP"/>
  </cacheSource>
  <cacheFields>
    <cacheField name="current_tier" numFmtId="0">
      <sharedItems containsBlank="1">
        <s v="Melio Unlimited Ach"/>
        <s v="Melio Plus"/>
        <s v="Melio Basic"/>
        <s v="Melio Pro"/>
        <s v="Melio Accounting Client Core"/>
        <s v="Melio VIP"/>
        <m/>
        <s v="Melio Unlimited Free Trial"/>
      </sharedItems>
    </cacheField>
    <cacheField name="month" numFmtId="164">
      <sharedItems containsSemiMixedTypes="0" containsDate="1" containsString="0">
        <d v="2026-06-01T00:00:00Z"/>
        <d v="2025-08-01T00:00:00Z"/>
        <d v="2026-03-01T00:00:00Z"/>
        <d v="2026-05-01T00:00:00Z"/>
        <d v="2025-09-01T00:00:00Z"/>
        <d v="2026-02-01T00:00:00Z"/>
        <d v="2026-04-01T00:00:00Z"/>
        <d v="2026-01-01T00:00:00Z"/>
        <d v="2025-10-01T00:00:00Z"/>
        <d v="2025-12-01T00:00:00Z"/>
        <d v="2025-11-01T00:00:00Z"/>
        <d v="2025-07-01T00:00:00Z"/>
        <d v="2025-06-01T00:00:00Z"/>
        <d v="2024-03-01T00:00:00Z"/>
        <d v="2024-02-01T00:00:00Z"/>
        <d v="2024-08-01T00:00:00Z"/>
        <d v="2024-01-01T00:00:00Z"/>
        <d v="2025-04-01T00:00:00Z"/>
        <d v="2024-04-01T00:00:00Z"/>
        <d v="2025-02-01T00:00:00Z"/>
        <d v="2024-06-01T00:00:00Z"/>
        <d v="2024-09-01T00:00:00Z"/>
        <d v="2024-12-01T00:00:00Z"/>
        <d v="2024-10-01T00:00:00Z"/>
        <d v="2024-11-01T00:00:00Z"/>
        <d v="2025-05-01T00:00:00Z"/>
        <d v="2023-12-01T00:00:00Z"/>
        <d v="2024-07-01T00:00:00Z"/>
        <d v="2025-03-01T00:00:00Z"/>
        <d v="2023-04-01T00:00:00Z"/>
        <d v="2023-10-01T00:00:00Z"/>
        <d v="2023-11-01T00:00:00Z"/>
        <d v="2024-05-01T00:00:00Z"/>
        <d v="2022-12-01T00:00:00Z"/>
        <d v="2025-01-01T00:00:00Z"/>
        <d v="2022-10-01T00:00:00Z"/>
        <d v="2023-03-01T00:00:00Z"/>
        <d v="2022-09-01T00:00:00Z"/>
      </sharedItems>
    </cacheField>
    <cacheField name="initiated_by_org_id" numFmtId="0">
      <sharedItems containsSemiMixedTypes="0" containsString="0" containsNumber="1" containsInteger="1">
        <n v="1938612.0"/>
        <n v="3945715.0"/>
        <n v="4027774.0"/>
        <n v="4239924.0"/>
        <n v="4181210.0"/>
        <n v="4068848.0"/>
        <n v="3275131.0"/>
        <n v="3543707.0"/>
        <n v="4405027.0"/>
        <n v="4248506.0"/>
        <n v="4308093.0"/>
        <n v="4011819.0"/>
        <n v="3946131.0"/>
        <n v="4622664.0"/>
        <n v="4332104.0"/>
        <n v="4595676.0"/>
        <n v="3906405.0"/>
        <n v="4271363.0"/>
        <n v="4178047.0"/>
        <n v="4031755.0"/>
        <n v="4359494.0"/>
        <n v="4263325.0"/>
        <n v="4039652.0"/>
        <n v="4220233.0"/>
        <n v="4099073.0"/>
        <n v="4400582.0"/>
        <n v="2402714.0"/>
        <n v="4302067.0"/>
        <n v="4294933.0"/>
        <n v="4496351.0"/>
        <n v="4359669.0"/>
        <n v="2710123.0"/>
        <n v="4136460.0"/>
        <n v="4329147.0"/>
        <n v="2153287.0"/>
        <n v="3825826.0"/>
        <n v="3952865.0"/>
        <n v="47426.0"/>
        <n v="4268726.0"/>
        <n v="4489894.0"/>
        <n v="3683365.0"/>
        <n v="4266723.0"/>
        <n v="4252854.0"/>
        <n v="4440958.0"/>
        <n v="100325.0"/>
        <n v="4239927.0"/>
        <n v="4271411.0"/>
        <n v="4233219.0"/>
        <n v="4233333.0"/>
        <n v="4018525.0"/>
        <n v="4134744.0"/>
        <n v="4374819.0"/>
        <n v="4136952.0"/>
        <n v="4428477.0"/>
        <n v="4208610.0"/>
        <n v="3970546.0"/>
        <n v="4112463.0"/>
        <n v="4096547.0"/>
        <n v="4270780.0"/>
        <n v="2340816.0"/>
        <n v="4520048.0"/>
        <n v="3947424.0"/>
        <n v="4254984.0"/>
        <n v="4277306.0"/>
        <n v="3024156.0"/>
        <n v="4031652.0"/>
        <n v="3408624.0"/>
        <n v="4509013.0"/>
        <n v="3962143.0"/>
        <n v="3265302.0"/>
        <n v="4485019.0"/>
        <n v="4491049.0"/>
        <n v="3942346.0"/>
        <n v="4380860.0"/>
        <n v="3942651.0"/>
        <n v="2967694.0"/>
        <n v="3958943.0"/>
        <n v="4079539.0"/>
        <n v="4125771.0"/>
        <n v="3997416.0"/>
        <n v="4223822.0"/>
        <n v="4214658.0"/>
        <n v="4162423.0"/>
        <n v="3383444.0"/>
        <n v="3514759.0"/>
        <n v="4079020.0"/>
        <n v="489723.0"/>
        <n v="3090633.0"/>
        <n v="4161223.0"/>
        <n v="4213575.0"/>
        <n v="4138622.0"/>
        <n v="4233905.0"/>
        <n v="4186958.0"/>
        <n v="4100689.0"/>
        <n v="3956509.0"/>
        <n v="4378644.0"/>
        <n v="4442279.0"/>
        <n v="4307473.0"/>
        <n v="3738104.0"/>
        <n v="4310103.0"/>
        <n v="3959338.0"/>
        <n v="3785914.0"/>
        <n v="4585208.0"/>
        <n v="4314059.0"/>
        <n v="4528120.0"/>
        <n v="4188267.0"/>
        <n v="3968250.0"/>
        <n v="4269437.0"/>
        <n v="4301071.0"/>
        <n v="4269343.0"/>
        <n v="4516557.0"/>
        <n v="4548015.0"/>
        <n v="4038405.0"/>
        <n v="4265889.0"/>
        <n v="4221007.0"/>
        <n v="4462029.0"/>
        <n v="4443098.0"/>
        <n v="4010351.0"/>
        <n v="3085000.0"/>
        <n v="4107679.0"/>
        <n v="4239923.0"/>
        <n v="4327510.0"/>
        <n v="4404380.0"/>
        <n v="4359468.0"/>
        <n v="3977410.0"/>
        <n v="4601844.0"/>
        <n v="4103219.0"/>
        <n v="4117067.0"/>
        <n v="4410778.0"/>
        <n v="4030970.0"/>
        <n v="4169152.0"/>
        <n v="4008827.0"/>
        <n v="4027648.0"/>
        <n v="3934711.0"/>
        <n v="3934664.0"/>
        <n v="4299448.0"/>
        <n v="3935770.0"/>
        <n v="4239966.0"/>
        <n v="4556248.0"/>
        <n v="4239920.0"/>
        <n v="4287245.0"/>
        <n v="4356919.0"/>
        <n v="4530037.0"/>
        <n v="4098415.0"/>
        <n v="4318853.0"/>
        <n v="4154266.0"/>
        <n v="4520936.0"/>
        <n v="4111269.0"/>
        <n v="4161378.0"/>
        <n v="3221188.0"/>
        <n v="3987123.0"/>
        <n v="4646113.0"/>
        <n v="4339749.0"/>
        <n v="4643465.0"/>
        <n v="4539135.0"/>
        <n v="4490170.0"/>
        <n v="4245113.0"/>
        <n v="4531933.0"/>
        <n v="4345385.0"/>
        <n v="3782339.0"/>
        <n v="4231672.0"/>
        <n v="4693674.0"/>
        <n v="4654585.0"/>
        <n v="4185373.0"/>
        <n v="4299558.0"/>
        <n v="4521121.0"/>
        <n v="2428419.0"/>
        <n v="492746.0"/>
        <n v="4443037.0"/>
        <n v="4334745.0"/>
        <n v="4272922.0"/>
        <n v="4075965.0"/>
        <n v="4132416.0"/>
        <n v="4299613.0"/>
        <n v="4247168.0"/>
        <n v="4309608.0"/>
        <n v="3869676.0"/>
        <n v="4521114.0"/>
        <n v="3328212.0"/>
        <n v="4369936.0"/>
        <n v="4214998.0"/>
        <n v="4671781.0"/>
        <n v="4022041.0"/>
        <n v="4477095.0"/>
        <n v="4522341.0"/>
        <n v="4148405.0"/>
        <n v="4410846.0"/>
        <n v="4496271.0"/>
        <n v="4265985.0"/>
        <n v="4277302.0"/>
        <n v="4474354.0"/>
        <n v="4533194.0"/>
        <n v="4161417.0"/>
        <n v="4255268.0"/>
        <n v="4161412.0"/>
        <n v="3499607.0"/>
        <n v="4222088.0"/>
        <n v="4016001.0"/>
        <n v="4166316.0"/>
        <n v="4011251.0"/>
        <n v="4044926.0"/>
        <n v="4277145.0"/>
        <n v="4525842.0"/>
        <n v="4115795.0"/>
        <n v="4613356.0"/>
        <n v="4219847.0"/>
        <n v="4471409.0"/>
        <n v="4342016.0"/>
        <n v="4080340.0"/>
        <n v="4359265.0"/>
        <n v="4525429.0"/>
        <n v="4117708.0"/>
        <n v="3993022.0"/>
        <n v="4155276.0"/>
        <n v="4653751.0"/>
        <n v="4645494.0"/>
        <n v="4643229.0"/>
        <n v="4659388.0"/>
      </sharedItems>
    </cacheField>
    <cacheField name="activation_month" numFmtId="164">
      <sharedItems containsSemiMixedTypes="0" containsDate="1" containsString="0">
        <d v="2025-11-01T00:00:00Z"/>
        <d v="2025-06-01T00:00:00Z"/>
        <d v="2026-06-01T00:00:00Z"/>
        <d v="2025-12-01T00:00:00Z"/>
        <d v="2026-03-01T00:00:00Z"/>
        <d v="2025-08-01T00:00:00Z"/>
        <d v="2025-07-01T00:00:00Z"/>
        <d v="2025-09-01T00:00:00Z"/>
        <d v="2026-02-01T00:00:00Z"/>
        <d v="2026-01-01T00:00:00Z"/>
        <d v="2026-04-01T00:00:00Z"/>
        <d v="2025-05-01T00:00:00Z"/>
        <d v="2025-10-01T00:00:00Z"/>
        <d v="2024-01-01T00:00:00Z"/>
        <d v="2022-09-01T00:00:00Z"/>
        <d v="2020-06-01T00:00:00Z"/>
        <d v="2023-10-01T00:00:00Z"/>
        <d v="2024-03-01T00:00:00Z"/>
        <d v="2024-07-01T00:00:00Z"/>
        <d v="2025-04-01T00:00:00Z"/>
        <d v="2026-05-01T00:00:00Z"/>
        <d v="2024-02-01T00:00:00Z"/>
      </sharedItems>
    </cacheField>
    <cacheField name="total_payments" numFmtId="0">
      <sharedItems containsSemiMixedTypes="0" containsString="0" containsNumber="1" containsInteger="1">
        <n v="12.0"/>
        <n v="20.0"/>
        <n v="274.0"/>
        <n v="2.0"/>
        <n v="5.0"/>
        <n v="26.0"/>
        <n v="3.0"/>
        <n v="25.0"/>
        <n v="1.0"/>
        <n v="22.0"/>
        <n v="6.0"/>
        <n v="67.0"/>
        <n v="9.0"/>
        <n v="4.0"/>
        <n v="16.0"/>
        <n v="8.0"/>
        <n v="11.0"/>
        <n v="23.0"/>
        <n v="28.0"/>
        <n v="18.0"/>
        <n v="117.0"/>
        <n v="73.0"/>
        <n v="33.0"/>
        <n v="7.0"/>
        <n v="160.0"/>
        <n v="21.0"/>
        <n v="56.0"/>
        <n v="68.0"/>
        <n v="17.0"/>
        <n v="79.0"/>
        <n v="39.0"/>
        <n v="14.0"/>
        <n v="95.0"/>
        <n v="53.0"/>
        <n v="36.0"/>
        <n v="31.0"/>
        <n v="116.0"/>
        <n v="69.0"/>
        <n v="58.0"/>
        <n v="10.0"/>
        <n v="139.0"/>
        <n v="110.0"/>
        <n v="24.0"/>
        <n v="77.0"/>
        <n v="57.0"/>
        <n v="65.0"/>
        <n v="59.0"/>
        <n v="15.0"/>
        <n v="49.0"/>
        <n v="13.0"/>
        <n v="141.0"/>
        <n v="88.0"/>
        <n v="101.0"/>
        <n v="29.0"/>
        <n v="78.0"/>
        <n v="75.0"/>
        <n v="43.0"/>
        <n v="82.0"/>
        <n v="30.0"/>
        <n v="32.0"/>
        <n v="731.0"/>
        <n v="44.0"/>
        <n v="64.0"/>
        <n v="66.0"/>
        <n v="125.0"/>
        <n v="85.0"/>
        <n v="51.0"/>
        <n v="71.0"/>
        <n v="47.0"/>
        <n v="159.0"/>
        <n v="34.0"/>
        <n v="50.0"/>
        <n v="19.0"/>
        <n v="46.0"/>
        <n v="48.0"/>
        <n v="42.0"/>
        <n v="40.0"/>
        <n v="60.0"/>
        <n v="62.0"/>
        <n v="27.0"/>
        <n v="107.0"/>
        <n v="72.0"/>
        <n v="38.0"/>
        <n v="96.0"/>
        <n v="92.0"/>
        <n v="306.0"/>
        <n v="35.0"/>
        <n v="84.0"/>
        <n v="148.0"/>
        <n v="81.0"/>
        <n v="802.0"/>
        <n v="41.0"/>
        <n v="83.0"/>
        <n v="80.0"/>
        <n v="393.0"/>
        <n v="260.0"/>
        <n v="129.0"/>
        <n v="197.0"/>
        <n v="74.0"/>
        <n v="54.0"/>
        <n v="45.0"/>
        <n v="37.0"/>
        <n v="163.0"/>
        <n v="155.0"/>
        <n v="112.0"/>
        <n v="338.0"/>
        <n v="134.0"/>
        <n v="135.0"/>
        <n v="264.0"/>
        <n v="99.0"/>
        <n v="52.0"/>
        <n v="97.0"/>
        <n v="91.0"/>
        <n v="485.0"/>
        <n v="128.0"/>
        <n v="165.0"/>
        <n v="100.0"/>
        <n v="89.0"/>
        <n v="191.0"/>
        <n v="70.0"/>
        <n v="248.0"/>
        <n v="105.0"/>
      </sharedItems>
    </cacheField>
    <cacheField name="ach_payments" numFmtId="0">
      <sharedItems containsSemiMixedTypes="0" containsString="0" containsNumber="1" containsInteger="1">
        <n v="12.0"/>
        <n v="4.0"/>
        <n v="274.0"/>
        <n v="2.0"/>
        <n v="1.0"/>
        <n v="3.0"/>
        <n v="25.0"/>
        <n v="0.0"/>
        <n v="22.0"/>
        <n v="67.0"/>
        <n v="9.0"/>
        <n v="20.0"/>
        <n v="26.0"/>
        <n v="16.0"/>
        <n v="7.0"/>
        <n v="11.0"/>
        <n v="23.0"/>
        <n v="28.0"/>
        <n v="18.0"/>
        <n v="117.0"/>
        <n v="5.0"/>
        <n v="33.0"/>
        <n v="160.0"/>
        <n v="6.0"/>
        <n v="21.0"/>
        <n v="8.0"/>
        <n v="56.0"/>
        <n v="68.0"/>
        <n v="17.0"/>
        <n v="79.0"/>
        <n v="39.0"/>
        <n v="14.0"/>
        <n v="95.0"/>
        <n v="53.0"/>
        <n v="36.0"/>
        <n v="31.0"/>
        <n v="116.0"/>
        <n v="69.0"/>
        <n v="58.0"/>
        <n v="10.0"/>
        <n v="139.0"/>
        <n v="110.0"/>
        <n v="24.0"/>
        <n v="57.0"/>
        <n v="65.0"/>
        <n v="15.0"/>
        <n v="13.0"/>
        <n v="49.0"/>
        <n v="141.0"/>
        <n v="88.0"/>
        <n v="101.0"/>
        <n v="29.0"/>
        <n v="78.0"/>
        <n v="75.0"/>
        <n v="50.0"/>
        <n v="43.0"/>
        <n v="82.0"/>
        <n v="27.0"/>
        <n v="32.0"/>
        <n v="731.0"/>
        <n v="44.0"/>
        <n v="46.0"/>
        <n v="125.0"/>
        <n v="85.0"/>
        <n v="71.0"/>
        <n v="47.0"/>
        <n v="159.0"/>
        <n v="19.0"/>
        <n v="48.0"/>
        <n v="77.0"/>
        <n v="38.0"/>
        <n v="59.0"/>
        <n v="62.0"/>
        <n v="107.0"/>
        <n v="72.0"/>
        <n v="96.0"/>
        <n v="92.0"/>
        <n v="34.0"/>
        <n v="306.0"/>
        <n v="84.0"/>
        <n v="148.0"/>
        <n v="81.0"/>
        <n v="802.0"/>
        <n v="41.0"/>
        <n v="83.0"/>
        <n v="80.0"/>
        <n v="393.0"/>
        <n v="260.0"/>
        <n v="129.0"/>
        <n v="30.0"/>
        <n v="197.0"/>
        <n v="60.0"/>
        <n v="73.0"/>
        <n v="54.0"/>
        <n v="45.0"/>
        <n v="37.0"/>
        <n v="42.0"/>
        <n v="163.0"/>
        <n v="155.0"/>
        <n v="112.0"/>
        <n v="338.0"/>
        <n v="134.0"/>
        <n v="135.0"/>
        <n v="264.0"/>
        <n v="99.0"/>
        <n v="52.0"/>
        <n v="97.0"/>
        <n v="35.0"/>
        <n v="91.0"/>
        <n v="485.0"/>
        <n v="128.0"/>
        <n v="165.0"/>
        <n v="100.0"/>
        <n v="66.0"/>
        <n v="51.0"/>
        <n v="89.0"/>
        <n v="191.0"/>
        <n v="70.0"/>
        <n v="248.0"/>
        <n v="105.0"/>
      </sharedItems>
    </cacheField>
    <cacheField name="tpv" numFmtId="0">
      <sharedItems containsSemiMixedTypes="0" containsString="0" containsNumber="1">
        <n v="50342.04"/>
        <n v="221637.92"/>
        <n v="1866713.88"/>
        <n v="4808.9"/>
        <n v="15146.75"/>
        <n v="22035.73"/>
        <n v="8968.14"/>
        <n v="59668.86"/>
        <n v="18000.0"/>
        <n v="21080.52"/>
        <n v="131333.82"/>
        <n v="1358.14"/>
        <n v="334203.32"/>
        <n v="18150.0"/>
        <n v="24262.46"/>
        <n v="81515.9"/>
        <n v="7706.0"/>
        <n v="63457.18"/>
        <n v="126152.95"/>
        <n v="62813.18"/>
        <n v="419657.78"/>
        <n v="1591.92"/>
        <n v="833.4"/>
        <n v="2835.0"/>
        <n v="11966.25"/>
        <n v="34339.89"/>
        <n v="94368.16"/>
        <n v="17288.83"/>
        <n v="0.05"/>
        <n v="167710.44"/>
        <n v="400.0"/>
        <n v="62664.01"/>
        <n v="124823.75"/>
        <n v="3000.0"/>
        <n v="320898.79"/>
        <n v="25688.5"/>
        <n v="5550.0"/>
        <n v="39302.54"/>
        <n v="34031.0"/>
        <n v="85345.09"/>
        <n v="139224.5"/>
        <n v="134882.0"/>
        <n v="280208.91"/>
        <n v="19057.53"/>
        <n v="3588.9"/>
        <n v="207175.0"/>
        <n v="50216.6"/>
        <n v="397010.11"/>
        <n v="6803.9"/>
        <n v="118635.01"/>
        <n v="13793.36"/>
        <n v="2677.0"/>
        <n v="4580.0"/>
        <n v="457283.0"/>
        <n v="10976.25"/>
        <n v="11637.4"/>
        <n v="836230.87"/>
        <n v="306.0"/>
        <n v="171753.41"/>
        <n v="88182.85"/>
        <n v="16109.32"/>
        <n v="114616.7"/>
        <n v="368358.44"/>
        <n v="130340.05"/>
        <n v="58714.56"/>
        <n v="7020.01"/>
        <n v="18936.64"/>
        <n v="971149.21"/>
        <n v="230487.0"/>
        <n v="90151.82"/>
        <n v="21432.9"/>
        <n v="157106.27"/>
        <n v="146487.31"/>
        <n v="441675.47"/>
        <n v="17481.0"/>
        <n v="3250.67"/>
        <n v="50931.46"/>
        <n v="1236.0"/>
        <n v="40939.46"/>
        <n v="336.0"/>
        <n v="90468.08"/>
        <n v="501702.91"/>
        <n v="819280.0"/>
        <n v="3129.96"/>
        <n v="10.0"/>
        <n v="517743.1"/>
        <n v="244830.36"/>
        <n v="263085.81"/>
        <n v="2502.14"/>
        <n v="14858.91"/>
        <n v="37280.08"/>
        <n v="1435467.12"/>
        <n v="232713.88"/>
        <n v="12500.87"/>
        <n v="3257.98"/>
        <n v="102834.56"/>
        <n v="20819.25"/>
        <n v="907.72"/>
        <n v="43942.51"/>
        <n v="5540.0"/>
        <n v="5078.13"/>
        <n v="123.19"/>
        <n v="14121.13"/>
        <n v="5943.5"/>
        <n v="451.78"/>
        <n v="22000.0"/>
        <n v="1953.75"/>
        <n v="3301.16"/>
        <n v="12229.25"/>
        <n v="76075.4"/>
        <n v="66255.0"/>
        <n v="9150.0"/>
        <n v="6989.8"/>
        <n v="63068.06"/>
        <n v="8973.67"/>
        <n v="175.33"/>
        <n v="140376.83"/>
        <n v="50000.0"/>
        <n v="11075.4"/>
        <n v="107690.0"/>
        <n v="4980.34"/>
        <n v="338.69"/>
        <n v="2718.0"/>
        <n v="3178.2"/>
        <n v="7530.61"/>
        <n v="1247.49"/>
        <n v="8000.0"/>
        <n v="2827.08"/>
        <n v="71642.1"/>
        <n v="17568.56"/>
        <n v="4500.0"/>
        <n v="26378.11"/>
        <n v="253.97"/>
        <n v="1739.05"/>
        <n v="2658.02"/>
        <n v="141186.0"/>
        <n v="477.0"/>
        <n v="36600.0"/>
        <n v="3009.02"/>
        <n v="104295.64"/>
        <n v="1700.0"/>
        <n v="82753.45"/>
        <n v="2420.0"/>
        <n v="10435.59"/>
        <n v="84695.67"/>
        <n v="998.55"/>
        <n v="183644.2"/>
        <n v="28000.0"/>
        <n v="50926.0"/>
        <n v="430794.33"/>
        <n v="22683.0"/>
        <n v="32827.38"/>
        <n v="44.48"/>
        <n v="72948.79"/>
        <n v="46375.85"/>
        <n v="136329.0"/>
        <n v="153529.44"/>
        <n v="8020.0"/>
        <n v="85539.85"/>
        <n v="28968.0"/>
        <n v="45720.38"/>
        <n v="134094.0"/>
        <n v="68594.09"/>
        <n v="234412.99"/>
        <n v="87763.98"/>
        <n v="64330.87"/>
        <n v="172.48"/>
        <n v="180082.67"/>
        <n v="615065.0"/>
        <n v="12677.5"/>
        <n v="2700.0"/>
        <n v="69810.21"/>
        <n v="12287.26"/>
        <n v="16762.9"/>
        <n v="1228699.61"/>
        <n v="110988.5"/>
        <n v="17651.9"/>
        <n v="48650.95"/>
        <n v="262116.26"/>
        <n v="85494.53"/>
        <n v="3003.0"/>
        <n v="85720.8"/>
        <n v="87970.4"/>
        <n v="214953.86"/>
        <n v="54821.43"/>
        <n v="156337.11"/>
        <n v="156261.6"/>
        <n v="4595.0"/>
        <n v="90280.0"/>
        <n v="2608.75"/>
        <n v="8333.33"/>
        <n v="17.47"/>
        <n v="4787.2"/>
        <n v="200677.68"/>
        <n v="88296.1"/>
        <n v="40948.1"/>
        <n v="43935.64"/>
        <n v="3855.9"/>
        <n v="8400.0"/>
        <n v="163572.07"/>
        <n v="13678.25"/>
        <n v="285660.13"/>
        <n v="6069.03"/>
        <n v="13020.0"/>
        <n v="146912.0"/>
        <n v="197743.52"/>
        <n v="30879.48"/>
        <n v="4703981.5"/>
        <n v="17781.0"/>
        <n v="2250.0"/>
        <n v="167324.4"/>
        <n v="15673.13"/>
        <n v="54920.31"/>
        <n v="890209.39"/>
        <n v="6472.5"/>
        <n v="21413.81"/>
        <n v="217477.9"/>
        <n v="57445.75"/>
        <n v="296275.2"/>
        <n v="78118.64"/>
        <n v="7969.2"/>
        <n v="78227.75"/>
        <n v="25925.85"/>
        <n v="53.26"/>
        <n v="7124.01"/>
        <n v="41894.98"/>
        <n v="23986.7"/>
        <n v="2238.21"/>
        <n v="858.95"/>
        <n v="488399.6"/>
        <n v="3161065.57"/>
        <n v="136784.62"/>
        <n v="1000054.0"/>
        <n v="797.61"/>
        <n v="2100.0"/>
        <n v="5217.73"/>
        <n v="707792.54"/>
        <n v="13075.4"/>
        <n v="3889.2"/>
        <n v="48485.0"/>
        <n v="49000.0"/>
        <n v="230762.97"/>
        <n v="18936.23"/>
        <n v="84315.75"/>
        <n v="20977.0"/>
        <n v="3857.16"/>
        <n v="7686.07"/>
        <n v="385926.07"/>
        <n v="22850.8"/>
        <n v="526908.57"/>
        <n v="22223.34"/>
        <n v="16000.0"/>
        <n v="864.89"/>
        <n v="3059.52"/>
        <n v="352558.59"/>
        <n v="151824.47"/>
        <n v="2.34"/>
        <n v="5446.78"/>
        <n v="62687.27"/>
        <n v="222994.8"/>
        <n v="284.55"/>
        <n v="20000.0"/>
        <n v="80646.31"/>
        <n v="29259.5"/>
        <n v="78298.17"/>
        <n v="43552.07"/>
        <n v="13021.23"/>
        <n v="2850.0"/>
        <n v="8800.0"/>
        <n v="4875.0"/>
        <n v="159495.0"/>
        <n v="4934.5"/>
        <n v="10500.0"/>
        <n v="16549.74"/>
        <n v="182616.16"/>
        <n v="11339.49"/>
        <n v="15395.32"/>
        <n v="1723.06"/>
        <n v="8811.5"/>
        <n v="7000.0"/>
        <n v="4050.0"/>
        <n v="6130.0"/>
        <n v="510.78"/>
        <n v="14225.2"/>
        <n v="333.79"/>
        <n v="12844.25"/>
        <n v="74.0"/>
        <n v="11850.0"/>
        <n v="6500.0"/>
        <n v="34000.0"/>
        <n v="5580.0"/>
        <n v="1089.0"/>
        <n v="14038.23"/>
        <n v="9200.0"/>
        <n v="500.0"/>
        <n v="12405.6"/>
        <n v="1000.0"/>
        <n v="5871.22"/>
        <n v="35586.55"/>
        <n v="198287.8"/>
        <n v="117677.25"/>
        <n v="101298.1"/>
        <n v="12619.21"/>
        <n v="23562.45"/>
        <n v="42809.0"/>
        <n v="343421.68"/>
        <n v="15969.25"/>
        <n v="21062.06"/>
        <n v="45084.13"/>
        <n v="32951.51"/>
        <n v="72529.0"/>
        <n v="193926.02"/>
        <n v="161726.01"/>
        <n v="24085.0"/>
        <n v="23845.27"/>
        <n v="455152.48"/>
        <n v="28608.16"/>
        <n v="14800.0"/>
        <n v="64418.69"/>
        <n v="14632.67"/>
        <n v="18981.58"/>
        <n v="30098.0"/>
        <n v="9000.0"/>
        <n v="63169.5"/>
        <n v="27732.27"/>
        <n v="245099.4"/>
        <n v="1380198.71"/>
        <n v="36281.0"/>
        <n v="225851.0"/>
        <n v="153760.82"/>
        <n v="173562.49"/>
        <n v="6204.9"/>
        <n v="274296.74"/>
        <n v="839.46"/>
        <n v="132141.87"/>
        <n v="32021.51"/>
        <n v="289.91"/>
        <n v="203882.02"/>
        <n v="56317.86"/>
        <n v="108439.38"/>
        <n v="1128.0"/>
        <n v="41233.69"/>
        <n v="35734.0"/>
        <n v="7111.45"/>
        <n v="2071.11"/>
        <n v="3932.5"/>
        <n v="390068.09"/>
        <n v="6311.26"/>
        <n v="941.52"/>
        <n v="26384.63"/>
        <n v="262.19"/>
        <n v="19242.5"/>
        <n v="176525.28"/>
        <n v="543621.31"/>
        <n v="19530.0"/>
        <n v="2597.64"/>
        <n v="5250.0"/>
        <n v="150.0"/>
        <n v="5616.2"/>
        <n v="98963.46"/>
        <n v="30712.12"/>
        <n v="138530.39"/>
        <n v="27168.72"/>
        <n v="89675.12"/>
        <n v="1269.54"/>
        <n v="4159.7"/>
        <n v="150125.7"/>
        <n v="119839.35"/>
        <n v="16203.1"/>
        <n v="33851.52"/>
        <n v="1078586.25"/>
        <n v="12232.9"/>
        <n v="3656.0"/>
        <n v="29976.45"/>
        <n v="82590.09"/>
        <n v="68294.55"/>
        <n v="22176.0"/>
        <n v="195552.79"/>
        <n v="22984.8"/>
        <n v="30350.29"/>
        <n v="561.22"/>
        <n v="178494.19"/>
        <n v="510.82"/>
        <n v="139376.22"/>
        <n v="10845.0"/>
        <n v="29374.4"/>
        <n v="1247.0"/>
        <n v="75220.01"/>
        <n v="1430939.11"/>
        <n v="600.0"/>
        <n v="1300.0"/>
        <n v="180787.68"/>
        <n v="16490.0"/>
        <n v="148769.61"/>
        <n v="38345.5"/>
        <n v="31150.69"/>
        <n v="8783.75"/>
        <n v="380133.51"/>
        <n v="20965.32"/>
        <n v="66600.0"/>
        <n v="634618.55"/>
        <n v="776472.91"/>
        <n v="112032.13"/>
        <n v="1352.0"/>
        <n v="129562.09"/>
        <n v="16348.45"/>
        <n v="11100.0"/>
        <n v="12484.85"/>
        <n v="35222.0"/>
        <n v="4385.0"/>
        <n v="25664.42"/>
        <n v="1567.08"/>
        <n v="32955.61"/>
        <n v="1130.0"/>
        <n v="40982.39"/>
        <n v="5.0"/>
        <n v="23915.8"/>
        <n v="1893.78"/>
        <n v="2537.0"/>
        <n v="20723.46"/>
        <n v="137706.88"/>
        <n v="2310.0"/>
        <n v="167717.84"/>
        <n v="115122.0"/>
        <n v="1056.0"/>
        <n v="210.28"/>
        <n v="82823.18"/>
        <n v="41754.85"/>
        <n v="10963.76"/>
        <n v="99.35"/>
        <n v="35492.01"/>
        <n v="2187.61"/>
        <n v="1144.68"/>
        <n v="328.32"/>
        <n v="2453.86"/>
        <n v="2000.0"/>
        <n v="109152.0"/>
        <n v="17972.16"/>
        <n v="97930.0"/>
        <n v="876.98"/>
        <n v="4350.0"/>
        <n v="42228.56"/>
        <n v="16075.4"/>
        <n v="7400.0"/>
        <n v="7085.93"/>
        <n v="4907.72"/>
        <n v="84227.97"/>
        <n v="9184.26"/>
        <n v="311.04"/>
        <n v="2435.16"/>
        <n v="809.89"/>
        <n v="42016.9"/>
        <n v="27921.28"/>
        <n v="94843.84"/>
        <n v="1760.75"/>
        <n v="89904.43"/>
        <n v="18146.16"/>
        <n v="157.25"/>
        <n v="7500.0"/>
        <n v="64150.29"/>
        <n v="9880.0"/>
        <n v="4119.8"/>
        <n v="291751.84"/>
        <n v="25618.97"/>
        <n v="288.4"/>
        <n v="1316446.14"/>
        <n v="1084.28"/>
        <n v="114278.33"/>
        <n v="1184737.59"/>
        <n v="31994.59"/>
        <n v="106534.69"/>
        <n v="6320.0"/>
        <n v="16529.57"/>
        <n v="20795.29"/>
        <n v="4206.8"/>
        <n v="82220.7"/>
        <n v="12629.41"/>
        <n v="829.85"/>
        <n v="1175.45"/>
        <n v="3968.79"/>
        <n v="247276.77"/>
        <n v="28725.3"/>
        <n v="29387.91"/>
        <n v="177317.27"/>
        <n v="5633461.05"/>
        <n v="33147.34"/>
        <n v="15883.46"/>
        <n v="171389.87"/>
        <n v="99271.64"/>
        <n v="3500.0"/>
        <n v="7380.0"/>
        <n v="298155.6"/>
        <n v="10950.0"/>
        <n v="45587.72"/>
        <n v="57113.67"/>
        <n v="2587.5"/>
        <n v="24551.1"/>
        <n v="6342.2"/>
        <n v="17875.3"/>
        <n v="626.0"/>
        <n v="32544.72"/>
        <n v="10000.0"/>
        <n v="29803.08"/>
        <n v="68218.72"/>
        <n v="12000.0"/>
        <n v="103528.18"/>
        <n v="345615.24"/>
        <n v="4500.51"/>
        <n v="51743.0"/>
        <n v="1732.5"/>
        <n v="182309.17"/>
        <n v="42800.0"/>
        <n v="24730.6"/>
        <n v="6370.0"/>
        <n v="165575.56"/>
        <n v="215255.36"/>
        <n v="22632.8"/>
        <n v="3805.96"/>
        <n v="6427.38"/>
        <n v="133074.56"/>
        <n v="230305.74"/>
        <n v="639109.25"/>
        <n v="5167.93"/>
        <n v="122970.0"/>
        <n v="9404.31"/>
        <n v="145216.16"/>
        <n v="1014.11"/>
        <n v="278696.35"/>
        <n v="11143.27"/>
        <n v="3086.4"/>
        <n v="31642.25"/>
        <n v="134810.88"/>
        <n v="153725.96"/>
        <n v="19305.63"/>
        <n v="12748.0"/>
        <n v="1194006.81"/>
        <n v="31964.69"/>
        <n v="11.93"/>
        <n v="6071.65"/>
        <n v="45624.42"/>
        <n v="190894.0"/>
        <n v="9712.5"/>
        <n v="5134.5"/>
        <n v="529318.43"/>
        <n v="155139.21"/>
        <n v="1748.44"/>
        <n v="13052.44"/>
        <n v="6734.4"/>
        <n v="7809.57"/>
        <n v="105589.5"/>
        <n v="1975.0"/>
        <n v="6351.39"/>
        <n v="60770.1"/>
        <n v="70617.0"/>
        <n v="4992.0"/>
        <n v="13272.8"/>
        <n v="4750.0"/>
        <n v="85033.0"/>
        <n v="58028.42"/>
        <n v="12027.35"/>
        <n v="65229.25"/>
        <n v="70861.06"/>
        <n v="84586.0"/>
        <n v="97034.34"/>
        <n v="2140.0"/>
        <n v="14999.09"/>
        <n v="1997.6"/>
        <n v="37092.38"/>
        <n v="10485.0"/>
        <n v="240.0"/>
        <n v="567.6"/>
        <n v="89068.11"/>
        <n v="7250.0"/>
        <n v="8470.66"/>
        <n v="3395.71"/>
        <n v="3940.0"/>
        <n v="62.89"/>
        <n v="1100.0"/>
        <n v="13809.06"/>
        <n v="95212.48"/>
        <n v="192666.2"/>
        <n v="19250.0"/>
        <n v="125663.05"/>
        <n v="52645.41"/>
        <n v="63503.0"/>
        <n v="4952.1"/>
        <n v="4988.31"/>
        <n v="7078.75"/>
        <n v="130860.51"/>
        <n v="7648.12"/>
        <n v="11312.15"/>
        <n v="6706.66"/>
        <n v="300.0"/>
        <n v="123690.0"/>
        <n v="376894.07"/>
        <n v="4734.49"/>
        <n v="12090.0"/>
        <n v="30918.4"/>
        <n v="51462.38"/>
        <n v="85518.64"/>
        <n v="169273.23"/>
        <n v="42122.34"/>
        <n v="20333.28"/>
        <n v="264.15"/>
        <n v="41010.66"/>
        <n v="186344.96"/>
        <n v="15034.64"/>
        <n v="1285435.28"/>
        <n v="50983.07"/>
        <n v="7740.75"/>
        <n v="10652.65"/>
        <n v="87861.35"/>
        <n v="194427.25"/>
        <n v="132406.88"/>
        <n v="208412.8"/>
        <n v="593514.57"/>
        <n v="41041.02"/>
        <n v="175542.79"/>
        <n v="314594.9"/>
        <n v="61764.55"/>
        <n v="1392.65"/>
        <n v="10800.0"/>
        <n v="38905.61"/>
        <n v="184.76"/>
        <n v="9610.0"/>
        <n v="21356.17"/>
        <n v="510995.92"/>
        <n v="94894.0"/>
        <n v="88274.03"/>
        <n v="249405.27"/>
        <n v="36075.4"/>
        <n v="134124.13"/>
        <n v="275388.96"/>
        <n v="38671.15"/>
        <n v="44099.16"/>
        <n v="285380.69"/>
        <n v="17729.69"/>
        <n v="144309.0"/>
        <n v="6667.81"/>
        <n v="150305.82"/>
        <n v="200.0"/>
        <n v="2866.64"/>
        <n v="550.0"/>
        <n v="175643.47"/>
        <n v="95056.0"/>
        <n v="33492.33"/>
        <n v="251464.68"/>
        <n v="855.96"/>
        <n v="10780.08"/>
        <n v="44413.88"/>
        <n v="219206.24"/>
        <n v="16236.57"/>
        <n v="6735.0"/>
        <n v="31165.76"/>
        <n v="6561.98"/>
        <n v="590000.0"/>
        <n v="1028422.93"/>
        <n v="62580.0"/>
        <n v="2280.0"/>
        <n v="18870.71"/>
        <n v="153286.18"/>
        <n v="204020.51"/>
        <n v="77667.12"/>
        <n v="3855011.43"/>
        <n v="82775.03"/>
        <n v="87357.84"/>
        <n v="5875.0"/>
        <n v="23004.8"/>
        <n v="63898.81"/>
        <n v="9852.21"/>
        <n v="1542.64"/>
        <n v="73834.29"/>
        <n v="4858.0"/>
        <n v="154482.63"/>
        <n v="541325.89"/>
        <n v="371536.73"/>
        <n v="115042.0"/>
        <n v="230040.6"/>
        <n v="13693.56"/>
        <n v="662525.17"/>
        <n v="15574.05"/>
        <n v="8786.52"/>
        <n v="49756.12"/>
        <n v="5000.0"/>
        <n v="87216.5"/>
        <n v="16788.32"/>
        <n v="89326.19"/>
        <n v="1456517.28"/>
        <n v="1354847.9"/>
        <n v="121451.59"/>
        <n v="534769.22"/>
        <n v="332701.48"/>
        <n v="61437.98"/>
        <n v="43751.81"/>
        <n v="16476.5"/>
        <n v="3642.0"/>
        <n v="8705.3"/>
        <n v="40645.0"/>
        <n v="14226.0"/>
        <n v="141759.16"/>
        <n v="9966.75"/>
        <n v="8712.9"/>
        <n v="35147.96"/>
        <n v="117628.8"/>
        <n v="22005.0"/>
        <n v="742.2"/>
        <n v="13086.69"/>
        <n v="20852.77"/>
        <n v="4771.0"/>
        <n v="375.0"/>
        <n v="60738.08"/>
        <n v="29588.06"/>
        <n v="8151.28"/>
        <n v="43758.97"/>
        <n v="6674.73"/>
        <n v="5333.12"/>
        <n v="3179.47"/>
        <n v="6995.11"/>
        <n v="30000.0"/>
        <n v="103.0"/>
        <n v="2106.0"/>
        <n v="509.5"/>
        <n v="636.0"/>
        <n v="20316.5"/>
        <n v="24455.73"/>
        <n v="110441.98"/>
        <n v="404363.4"/>
        <n v="14400.0"/>
        <n v="60210.0"/>
        <n v="74104.54"/>
        <n v="8523.73"/>
        <n v="50.0"/>
        <n v="9128.82"/>
        <n v="601.68"/>
        <n v="7812.89"/>
        <n v="11782.4"/>
        <n v="107088.0"/>
        <n v="69204.5"/>
        <n v="97728.77"/>
        <n v="3532.38"/>
        <n v="61.01"/>
        <n v="109199.56"/>
        <n v="3150.0"/>
        <n v="200930.36"/>
        <n v="207301.11"/>
        <n v="91200.2"/>
        <n v="20147.5"/>
        <n v="28059.0"/>
        <n v="7273.1"/>
        <n v="2047.44"/>
        <n v="2980.0"/>
        <n v="187687.61"/>
        <n v="33345.0"/>
        <n v="14075.6"/>
        <n v="149380.64"/>
        <n v="15000.0"/>
        <n v="19172.87"/>
        <n v="210.61"/>
        <n v="17851.07"/>
        <n v="55681.79"/>
        <n v="12078.75"/>
        <n v="8744.6"/>
        <n v="0.01"/>
        <n v="16440.0"/>
        <n v="91843.74"/>
        <n v="12840.0"/>
        <n v="18769.0"/>
        <n v="18624.79"/>
        <n v="251857.0"/>
        <n v="27297.62"/>
        <n v="213782.0"/>
        <n v="22413.84"/>
        <n v="18531.15"/>
        <n v="81174.53"/>
        <n v="6112.65"/>
        <n v="144.0"/>
        <n v="136440.41"/>
        <n v="62160.64"/>
        <n v="3096.81"/>
        <n v="285151.01"/>
        <n v="991.48"/>
        <n v="25914.0"/>
        <n v="4856.25"/>
        <n v="35562.22"/>
        <n v="64489.25"/>
        <n v="62351.58"/>
        <n v="138160.59"/>
        <n v="26132.9"/>
        <n v="295799.36"/>
        <n v="153.0"/>
        <n v="3867.5"/>
        <n v="164281.29"/>
        <n v="291207.02"/>
        <n v="887.0"/>
        <n v="149121.04"/>
        <n v="4730.04"/>
        <n v="490917.75"/>
        <n v="16755.0"/>
        <n v="375623.98"/>
        <n v="158589.4"/>
        <n v="11339.53"/>
        <n v="1395.2"/>
        <n v="1699.5"/>
        <n v="991567.27"/>
        <n v="947140.97"/>
        <n v="147637.73"/>
        <n v="3952.0"/>
        <n v="17168.33"/>
        <n v="45676.0"/>
        <n v="6602.36"/>
        <n v="501952.71"/>
        <n v="4601.9"/>
        <n v="113003.32"/>
        <n v="734885.56"/>
        <n v="117407.1"/>
        <n v="9611.84"/>
        <n v="13610.45"/>
        <n v="31304.1"/>
        <n v="63991.0"/>
        <n v="31776.81"/>
        <n v="67980.75"/>
        <n v="2382.25"/>
        <n v="2473.05"/>
        <n v="1.52"/>
        <n v="326224.06"/>
        <n v="521.95"/>
        <n v="1405.0"/>
        <n v="8489.99"/>
        <n v="8855.28"/>
        <n v="17000.0"/>
        <n v="40621.29"/>
        <n v="3898.41"/>
        <n v="18870.9"/>
        <n v="145465.08"/>
        <n v="0.16"/>
        <n v="56214.16"/>
        <n v="4402.35"/>
        <n v="12908.0"/>
        <n v="19680.81"/>
        <n v="6561.26"/>
        <n v="21.07"/>
        <n v="27018.47"/>
        <n v="303.61"/>
        <n v="707743.21"/>
        <n v="242429.8"/>
        <n v="18897.84"/>
        <n v="23919.65"/>
        <n v="2609.02"/>
        <n v="10182.71"/>
        <n v="1500.0"/>
        <n v="12928.92"/>
        <n v="3370.55"/>
        <n v="6545.4"/>
        <n v="118000.0"/>
        <n v="281.1"/>
        <n v="7058.89"/>
        <n v="230.0"/>
        <n v="470.0"/>
        <n v="5700.0"/>
        <n v="21790.79"/>
        <n v="10592.04"/>
        <n v="2364.05"/>
        <n v="23375.0"/>
        <n v="3822.77"/>
        <n v="6256.19"/>
        <n v="12980.94"/>
        <n v="14680.34"/>
        <n v="84928.35"/>
        <n v="1.0"/>
        <n v="2388.49"/>
        <n v="208270.0"/>
        <n v="55237.4"/>
        <n v="10373.15"/>
        <n v="31179.92"/>
        <n v="3364.6"/>
        <n v="3790.0"/>
        <n v="39195.83"/>
        <n v="6958.68"/>
        <n v="3177.08"/>
        <n v="2154.12"/>
        <n v="6197.1"/>
        <n v="108811.92"/>
        <n v="9493.14"/>
        <n v="8766.92"/>
        <n v="33009.75"/>
        <n v="18737.27"/>
        <n v="22721.28"/>
        <n v="7506.25"/>
        <n v="135586.5"/>
        <n v="33784.69"/>
        <n v="45.0"/>
        <n v="44830.17"/>
        <n v="13100.16"/>
        <n v="91218.36"/>
        <n v="54396.75"/>
        <n v="72847.5"/>
        <n v="138111.17"/>
        <n v="417.0"/>
        <n v="1757.24"/>
        <n v="6985.39"/>
        <n v="52078.34"/>
        <n v="53220.5"/>
        <n v="7925.4"/>
        <n v="10110.0"/>
        <n v="89406.66"/>
        <n v="25093.9"/>
        <n v="48535.57"/>
        <n v="967683.69"/>
        <n v="35153.38"/>
        <n v="20933.78"/>
        <n v="14500.0"/>
        <n v="16041.73"/>
        <n v="14601.14"/>
        <n v="4998.72"/>
        <n v="641227.39"/>
        <n v="9266.17"/>
        <n v="39657.0"/>
        <n v="27454.07"/>
        <n v="4058.0"/>
        <n v="336789.56"/>
        <n v="35184.0"/>
        <n v="816.42"/>
        <n v="4389.0"/>
        <n v="62642.49"/>
        <n v="8506.71"/>
        <n v="37450.63"/>
        <n v="0.02"/>
        <n v="73499.47"/>
        <n v="104439.9"/>
        <n v="58675.0"/>
        <n v="40817.0"/>
        <n v="427.8"/>
        <n v="98932.58"/>
        <n v="89332.94"/>
        <n v="1965.0"/>
        <n v="45910.94"/>
        <n v="10673.63"/>
        <n v="62081.8"/>
        <n v="63117.79"/>
        <n v="45436.58"/>
        <n v="135811.31"/>
        <n v="65685.91"/>
        <n v="301931.26"/>
        <n v="159752.83"/>
        <n v="74.91"/>
        <n v="34336.9"/>
        <n v="22094.1"/>
        <n v="47107.42"/>
        <n v="27940.37"/>
        <n v="4762990.19"/>
        <n v="9912.5"/>
        <n v="140521.25"/>
        <n v="14437.76"/>
        <n v="1155.6"/>
        <n v="4136.0"/>
        <n v="17197.36"/>
        <n v="97007.91"/>
        <n v="359.09"/>
        <n v="10545.67"/>
        <n v="993.0"/>
        <n v="3975.0"/>
        <n v="9550.0"/>
        <n v="213235.62"/>
        <n v="2410.31"/>
        <n v="205129.67"/>
        <n v="76507.36"/>
        <n v="25.0"/>
      </sharedItems>
    </cacheField>
    <cacheField name="visa_tpv" numFmtId="0">
      <sharedItems containsString="0" containsBlank="1" containsNumber="1">
        <m/>
        <n v="149319.6"/>
        <n v="21461.02"/>
        <n v="18000.0"/>
        <n v="838.14"/>
        <n v="7706.0"/>
        <n v="1591.92"/>
        <n v="25688.5"/>
        <n v="36503.29"/>
        <n v="34031.0"/>
        <n v="69092.83"/>
        <n v="80000.0"/>
        <n v="3655.0"/>
        <n v="6311.1"/>
        <n v="150.52"/>
        <n v="207283.0"/>
        <n v="3866.55"/>
        <n v="18936.64"/>
        <n v="3250.67"/>
        <n v="70000.0"/>
        <n v="1373.0"/>
        <n v="1140.63"/>
        <n v="13043.13"/>
        <n v="22000.0"/>
        <n v="3301.16"/>
        <n v="50000.0"/>
        <n v="107690.0"/>
        <n v="250.0"/>
        <n v="1458.8"/>
        <n v="855.2"/>
        <n v="107050.0"/>
        <n v="36600.0"/>
        <n v="25197.77"/>
        <n v="10000.0"/>
        <n v="13022.0"/>
        <n v="3298.2"/>
        <n v="46375.85"/>
        <n v="25000.0"/>
        <n v="4010.0"/>
        <n v="175763.0"/>
        <n v="665.0"/>
        <n v="11075.4"/>
        <n v="15000.0"/>
        <n v="48650.95"/>
        <n v="10749.68"/>
        <n v="887.0"/>
        <n v="85720.8"/>
        <n v="1328.35"/>
        <n v="61180.07"/>
        <n v="13020.0"/>
        <n v="7310.0"/>
        <n v="78295.44"/>
        <n v="8757.81"/>
        <n v="13030.0"/>
        <n v="7969.2"/>
        <n v="858.95"/>
        <n v="431990.0"/>
        <n v="9955.0"/>
        <n v="49000.0"/>
        <n v="16000.0"/>
        <n v="2525.0"/>
        <n v="20000.0"/>
        <n v="1000.0"/>
        <n v="13125.61"/>
        <n v="116060.0"/>
        <n v="4772.0"/>
        <n v="3984.79"/>
        <n v="15395.32"/>
        <n v="11850.0"/>
        <n v="350.0"/>
        <n v="34000.0"/>
        <n v="3818.02"/>
        <n v="9200.0"/>
        <n v="35586.55"/>
        <n v="19982.0"/>
        <n v="1709.33"/>
        <n v="68392.02"/>
        <n v="24085.0"/>
        <n v="8992.8"/>
        <n v="14800.0"/>
        <n v="1.0"/>
        <n v="9790.0"/>
        <n v="303.16"/>
        <n v="245099.4"/>
        <n v="153760.82"/>
        <n v="1407.26"/>
        <n v="5616.2"/>
        <n v="2049.36"/>
        <n v="1183.1"/>
        <n v="3456.0"/>
        <n v="22176.0"/>
        <n v="18124.8"/>
        <n v="10845.0"/>
        <n v="2800.0"/>
        <n v="336.0"/>
        <n v="31150.69"/>
        <n v="1063.94"/>
        <n v="48200.0"/>
        <n v="11100.0"/>
        <n v="8250.0"/>
        <n v="23658.8"/>
        <n v="19582.5"/>
        <n v="210.28"/>
        <n v="41754.85"/>
        <n v="2002.45"/>
        <n v="34.35"/>
        <n v="9150.0"/>
        <n v="2187.61"/>
        <n v="570.57"/>
        <n v="109152.0"/>
        <n v="41150.0"/>
        <n v="761.43"/>
        <n v="907.72"/>
        <n v="84227.97"/>
        <n v="47843.84"/>
        <n v="89904.43"/>
        <n v="7500.0"/>
        <n v="3339.5"/>
        <n v="4817.3"/>
        <n v="288.4"/>
        <n v="20795.29"/>
        <n v="832.5"/>
        <n v="829.85"/>
        <n v="443.85"/>
        <n v="47.89"/>
        <n v="8988.0"/>
        <n v="214.49"/>
        <n v="3500.0"/>
        <n v="2383.17"/>
        <n v="570.0"/>
        <n v="51743.0"/>
        <n v="104761.15"/>
        <n v="1358.04"/>
        <n v="9404.31"/>
        <n v="1014.11"/>
        <n v="10933.27"/>
        <n v="1047.66"/>
        <n v="134810.88"/>
        <n v="14224.87"/>
        <n v="40929.5"/>
        <n v="10696.94"/>
        <n v="1009.4"/>
        <n v="7809.57"/>
        <n v="105589.5"/>
        <n v="23250.0"/>
        <n v="4992.0"/>
        <n v="13272.8"/>
        <n v="37620.0"/>
        <n v="1518.28"/>
        <n v="84586.0"/>
        <n v="1997.6"/>
        <n v="11578.75"/>
        <n v="240.0"/>
        <n v="567.6"/>
        <n v="7250.0"/>
        <n v="95212.48"/>
        <n v="192666.2"/>
        <n v="3459.18"/>
        <n v="871.55"/>
        <n v="840.0"/>
        <n v="7574.4"/>
        <n v="1277.2"/>
        <n v="27.9"/>
        <n v="30918.4"/>
        <n v="85518.64"/>
        <n v="47678.4"/>
        <n v="35775.17"/>
        <n v="40293.26"/>
        <n v="1392.65"/>
        <n v="10800.0"/>
        <n v="28671.15"/>
        <n v="1533.45"/>
        <n v="64000.0"/>
        <n v="1162.07"/>
        <n v="14203.36"/>
        <n v="12290.0"/>
        <n v="2280.0"/>
        <n v="18870.71"/>
        <n v="116114.51"/>
        <n v="3325.0"/>
        <n v="5000.0"/>
        <n v="500.0"/>
        <n v="16788.32"/>
        <n v="1254.15"/>
        <n v="35147.96"/>
        <n v="117628.8"/>
        <n v="13086.69"/>
        <n v="375.0"/>
        <n v="4708.84"/>
        <n v="5342.65"/>
        <n v="30000.0"/>
        <n v="46.76"/>
        <n v="24455.73"/>
        <n v="14400.0"/>
        <n v="57371.47"/>
        <n v="5364.78"/>
        <n v="28.0"/>
        <n v="200930.36"/>
        <n v="2580.0"/>
        <n v="3317.5"/>
        <n v="13492.53"/>
        <n v="17153.24"/>
        <n v="32859.0"/>
        <n v="3628.65"/>
        <n v="18531.15"/>
        <n v="8721.0"/>
        <n v="522.85"/>
        <n v="12938.1"/>
        <n v="45676.0"/>
        <n v="12309.41"/>
        <n v="17000.0"/>
        <n v="3898.41"/>
        <n v="2490.0"/>
        <n v="303.61"/>
        <n v="2609.02"/>
        <n v="3652.01"/>
        <n v="5297.31"/>
        <n v="118000.0"/>
        <n v="1452.42"/>
        <n v="230.0"/>
        <n v="470.0"/>
        <n v="5700.0"/>
        <n v="466.4"/>
        <n v="9447.04"/>
        <n v="4886.88"/>
        <n v="5902.57"/>
        <n v="619.45"/>
        <n v="147095.0"/>
        <n v="15518.65"/>
        <n v="4537.0"/>
        <n v="3364.6"/>
        <n v="813.65"/>
        <n v="108811.92"/>
        <n v="2062.5"/>
        <n v="4581.05"/>
        <n v="792.93"/>
        <n v="22554.54"/>
        <n v="2856.25"/>
        <n v="5922.5"/>
        <n v="44830.17"/>
        <n v="91218.36"/>
        <n v="10110.0"/>
        <n v="38065.57"/>
        <n v="32818.88"/>
        <n v="19762.95"/>
        <n v="5.0"/>
        <n v="39657.0"/>
        <n v="27454.07"/>
        <n v="23184.0"/>
        <n v="960.0"/>
        <n v="12229.25"/>
        <n v="21001.0"/>
        <n v="74.91"/>
        <n v="34336.9"/>
        <n v="4136.0"/>
        <n v="7515.19"/>
        <n v="983.5"/>
      </sharedItems>
    </cacheField>
    <cacheField name="total_revenue" numFmtId="0">
      <sharedItems containsSemiMixedTypes="0" containsString="0" containsNumber="1">
        <n v="1.5"/>
        <n v="5093.73"/>
        <n v="2522.7818"/>
        <n v="0.0"/>
        <n v="374.060808"/>
        <n v="628.1"/>
        <n v="522.0"/>
        <n v="25.66"/>
        <n v="30.17"/>
        <n v="24.5"/>
        <n v="4.2"/>
        <n v="223.47"/>
        <n v="38.82"/>
        <n v="46.17"/>
        <n v="89.32"/>
        <n v="75.0"/>
        <n v="104.35"/>
        <n v="10.0"/>
        <n v="143.954846"/>
        <n v="11.6"/>
        <n v="232.0"/>
        <n v="87.0"/>
        <n v="1790.19"/>
        <n v="744.96"/>
        <n v="160.95"/>
        <n v="1139.71"/>
        <n v="986.9"/>
        <n v="2475.02"/>
        <n v="2729.63"/>
        <n v="270.27"/>
        <n v="424.71"/>
        <n v="10.002275"/>
        <n v="206.43"/>
        <n v="380.25"/>
        <n v="13231.2"/>
        <n v="26.1"/>
        <n v="337.49"/>
        <n v="127.223263"/>
        <n v="56.5"/>
        <n v="13.5"/>
        <n v="222.543855"/>
        <n v="317.99465"/>
        <n v="549.16"/>
        <n v="282.06"/>
        <n v="2210.47"/>
        <n v="2.0"/>
        <n v="4.18"/>
        <n v="9.969429"/>
        <n v="60.559476"/>
        <n v="378.71857"/>
        <n v="56.05"/>
        <n v="94.27"/>
        <n v="11.544655"/>
        <n v="9.74"/>
        <n v="10.5"/>
        <n v="23819.12"/>
        <n v="11.0"/>
        <n v="900.838946"/>
        <n v="164.37108"/>
        <n v="15.0"/>
        <n v="7.5"/>
        <n v="2352.84665"/>
        <n v="146.27"/>
        <n v="2.5"/>
        <n v="23.37482"/>
        <n v="26.32"/>
        <n v="160.66"/>
        <n v="129.15"/>
        <n v="1.92"/>
        <n v="660.76"/>
        <n v="13.1"/>
        <n v="638.0"/>
        <n v="53.25"/>
        <n v="95.74"/>
        <n v="354.65"/>
        <n v="2206.19"/>
        <n v="1921.39"/>
        <n v="265.35"/>
        <n v="69.89"/>
        <n v="135.01"/>
        <n v="5.08"/>
        <n v="1460.0"/>
        <n v="321.19"/>
        <n v="3153.01"/>
        <n v="75.93"/>
        <n v="9.82"/>
        <n v="27.18"/>
        <n v="19.1"/>
        <n v="191.3"/>
        <n v="81.99"/>
        <n v="447.61"/>
        <n v="54.45"/>
        <n v="39.44"/>
        <n v="7.36"/>
        <n v="40.68"/>
        <n v="4094.39"/>
        <n v="1061.39"/>
        <n v="87.26"/>
        <n v="1891.56"/>
        <n v="152.87"/>
        <n v="157.0"/>
        <n v="1158.16"/>
        <n v="9.99"/>
        <n v="994.52"/>
        <n v="812.0"/>
        <n v="127.99"/>
        <n v="6.0"/>
        <n v="557.8"/>
        <n v="299.13"/>
        <n v="20.27"/>
        <n v="1419.9"/>
        <n v="4028.54"/>
        <n v="252.58"/>
        <n v="6.553"/>
        <n v="578.25"/>
        <n v="25.4"/>
        <n v="40.259553"/>
        <n v="38.53"/>
        <n v="5.0"/>
        <n v="16376.89"/>
        <n v="19.29"/>
        <n v="376.33"/>
        <n v="347.45853"/>
        <n v="3313.66"/>
        <n v="511.84"/>
        <n v="1410.88"/>
        <n v="76.45"/>
        <n v="393.313515"/>
        <n v="32.37"/>
        <n v="2485.9"/>
        <n v="248.21"/>
        <n v="5150.3"/>
        <n v="37.25"/>
        <n v="127.051533"/>
        <n v="92.66"/>
        <n v="394.98"/>
        <n v="44.25"/>
        <n v="46.5"/>
        <n v="1187.49"/>
        <n v="49.56905"/>
        <n v="2266.34"/>
        <n v="94.12"/>
        <n v="457.58"/>
        <n v="376.26"/>
        <n v="3.7245"/>
        <n v="1228.758173"/>
        <n v="38.75"/>
        <n v="57.155"/>
        <n v="2270.59"/>
        <n v="454.5"/>
        <n v="506.14"/>
        <n v="83.75"/>
        <n v="176.11"/>
        <n v="277.884"/>
        <n v="1992.02"/>
        <n v="926.19"/>
        <n v="694.753155"/>
        <n v="231.11"/>
        <n v="3.5"/>
        <n v="8.86"/>
        <n v="6.93"/>
        <n v="24.91"/>
        <n v="14273.58"/>
        <n v="2088.085757"/>
        <n v="16.937386"/>
        <n v="28116.56"/>
        <n v="1109.505866"/>
        <n v="379.19"/>
        <n v="6.04"/>
        <n v="871.3"/>
        <n v="1421.0"/>
        <n v="418.329741"/>
        <n v="518.75"/>
        <n v="47.8"/>
        <n v="0.5"/>
        <n v="66.89"/>
        <n v="16.06"/>
        <n v="232.77"/>
        <n v="944.808282"/>
        <n v="13.75"/>
        <n v="464.0"/>
        <n v="16.4286"/>
        <n v="0.46"/>
        <n v="18.0"/>
        <n v="73.22"/>
        <n v="139.878362"/>
        <n v="580.0"/>
        <n v="318.71"/>
        <n v="45.69"/>
        <n v="282.45"/>
        <n v="1263.01"/>
        <n v="115.0"/>
        <n v="4625.35"/>
        <n v="5396.6"/>
        <n v="280.7"/>
        <n v="446.46"/>
        <n v="40.5"/>
        <n v="1.16"/>
        <n v="9.68"/>
        <n v="372.48"/>
        <n v="0.58"/>
        <n v="343.65"/>
        <n v="10.15"/>
        <n v="986.0"/>
        <n v="20.0"/>
        <n v="297.74"/>
        <n v="266.8"/>
        <n v="310.15"/>
        <n v="29.0"/>
        <n v="1032.02"/>
        <n v="189.4785"/>
        <n v="94.74"/>
        <n v="27.5"/>
        <n v="718.31"/>
        <n v="140.0"/>
        <n v="463.11"/>
        <n v="52.402"/>
        <n v="977.03"/>
        <n v="246.94"/>
        <n v="88.630405"/>
        <n v="2071.2"/>
        <n v="738.46"/>
        <n v="401.29"/>
        <n v="231.48"/>
        <n v="257.47344"/>
        <n v="429.2"/>
        <n v="40.83"/>
        <n v="872.85"/>
        <n v="924.64"/>
        <n v="430.74"/>
        <n v="7107.87"/>
        <n v="258.769602"/>
        <n v="1052.15"/>
        <n v="2746.5292"/>
        <n v="4459.07"/>
        <n v="23.85"/>
        <n v="20.75"/>
        <n v="24.35"/>
        <n v="91.893345"/>
        <n v="2.9"/>
        <n v="164.409219"/>
        <n v="52.58"/>
        <n v="206.23"/>
        <n v="7.55"/>
        <n v="106.14704"/>
        <n v="84.242335"/>
        <n v="4.5"/>
        <n v="790.74"/>
        <n v="87.8"/>
        <n v="131.182721"/>
        <n v="3.0"/>
        <n v="234.81"/>
        <n v="37.375"/>
        <n v="162.87"/>
        <n v="15.986758"/>
        <n v="166.25"/>
        <n v="183.06"/>
        <n v="57.89"/>
        <n v="107.15"/>
        <n v="765.58"/>
        <n v="51.9085"/>
        <n v="469.88"/>
        <n v="358.843213"/>
        <n v="100.22"/>
        <n v="244.746417"/>
        <n v="68.0"/>
        <n v="643.1"/>
        <n v="570.997587"/>
        <n v="632.71"/>
        <n v="16.28"/>
        <n v="150.4532"/>
        <n v="314.51"/>
        <n v="172.7"/>
        <n v="1832.017881"/>
        <n v="37.7"/>
        <n v="128.74101"/>
        <n v="33.842584"/>
        <n v="903.36"/>
        <n v="156.78"/>
        <n v="3568.370073"/>
        <n v="1931.4"/>
        <n v="27.95775"/>
        <n v="214.218852"/>
        <n v="130.952018"/>
        <n v="331.9"/>
        <n v="56.33"/>
        <n v="1021.44"/>
        <n v="43.85"/>
        <n v="500.21"/>
        <n v="32.77"/>
        <n v="623.09"/>
        <n v="693.56"/>
        <n v="73.58"/>
        <n v="1930.03"/>
        <n v="3338.54"/>
        <n v="6.1"/>
        <n v="2451.87"/>
        <n v="1210.89"/>
        <n v="222.93"/>
        <n v="2.89"/>
        <n v="1029.27"/>
        <n v="85.32"/>
        <n v="28.17"/>
        <n v="9.52"/>
        <n v="81.16"/>
        <n v="3069.41"/>
        <n v="2839.97"/>
        <n v="43.5"/>
        <n v="1224.63"/>
        <n v="466.19"/>
        <n v="214.6"/>
        <n v="205.5"/>
        <n v="162.32"/>
        <n v="2442.61"/>
        <n v="12.31"/>
        <n v="1218.47"/>
        <n v="2750.47"/>
        <n v="2607.23"/>
        <n v="526.24"/>
        <n v="217.5"/>
        <n v="93.462494"/>
        <n v="342.201576"/>
        <n v="679.49"/>
        <n v="8.37"/>
        <n v="1091.85398"/>
        <n v="154.944896"/>
        <n v="563.11"/>
        <n v="8.1"/>
        <n v="613.06"/>
        <n v="122.0"/>
        <n v="413.58"/>
        <n v="24.07"/>
        <n v="23.02"/>
        <n v="1.39"/>
        <n v="77.899883"/>
        <n v="499.4"/>
        <n v="768.62"/>
        <n v="101.7221"/>
        <n v="1245.774346"/>
        <n v="691.8081"/>
        <n v="500.62"/>
        <n v="6.88"/>
        <n v="17.5"/>
        <n v="101.5"/>
        <n v="23.0"/>
        <n v="76.117762"/>
        <n v="317.55"/>
        <n v="69.11"/>
        <n v="60.33"/>
        <n v="75.04"/>
        <n v="17.647"/>
        <n v="18.15"/>
        <n v="290.0"/>
        <n v="582.341318"/>
        <n v="0.6"/>
        <n v="1540.55"/>
        <n v="135.0"/>
        <n v="1090.4"/>
        <n v="7.0"/>
        <n v="3652.56"/>
        <n v="416.112161"/>
        <n v="43.42925"/>
        <n v="99.76"/>
        <n v="2776.492248"/>
        <n v="31.974033"/>
        <n v="3566.14"/>
        <n v="272.72"/>
        <n v="570.110628"/>
        <n v="29.41"/>
        <n v="44.98"/>
        <n v="317.05"/>
        <n v="39.39"/>
        <n v="3909.51"/>
        <n v="85.5"/>
        <n v="449.81"/>
        <n v="110.28"/>
        <n v="809.00492"/>
        <n v="12.42"/>
        <n v="162.58"/>
        <n v="13.97"/>
        <n v="67.257596"/>
        <n v="4499.04"/>
        <n v="590.55"/>
        <n v="29.27"/>
        <n v="226.48"/>
        <n v="3062.1"/>
        <n v="26.0"/>
        <n v="2047.89"/>
        <n v="144.77"/>
        <n v="384.9"/>
        <n v="47.5"/>
        <n v="2286.88"/>
        <n v="226.99"/>
        <n v="1891.65"/>
        <n v="1904.97"/>
        <n v="2452.99"/>
        <n v="2903.98"/>
        <n v="26.68"/>
        <n v="109.756921"/>
        <n v="57.93"/>
        <n v="335.78"/>
        <n v="6.96"/>
        <n v="16.46"/>
        <n v="210.25"/>
        <n v="129.18"/>
        <n v="33.96"/>
        <n v="31.9"/>
        <n v="2761.16"/>
        <n v="5408.32"/>
        <n v="241.267894"/>
        <n v="50.178904"/>
        <n v="134.61"/>
        <n v="125.08"/>
        <n v="7.62"/>
        <n v="111.9"/>
        <n v="16.5"/>
        <n v="221.79"/>
        <n v="88.21"/>
        <n v="8.7"/>
        <n v="3628.01"/>
        <n v="36.0"/>
        <n v="7.77"/>
        <n v="982.95"/>
        <n v="65.99"/>
        <n v="2555.04"/>
        <n v="39.75"/>
        <n v="523.5"/>
        <n v="5403.99"/>
        <n v="549.806995"/>
        <n v="1158.25"/>
        <n v="6.75"/>
        <n v="0.09"/>
        <n v="10.37"/>
        <n v="110.0"/>
        <n v="16.238751"/>
        <n v="1237.66"/>
        <n v="57.82"/>
        <n v="1149.722"/>
        <n v="45.2617"/>
        <n v="40.39"/>
        <n v="313.2"/>
        <n v="1138.26"/>
        <n v="106.43"/>
        <n v="619.33"/>
        <n v="435.890766"/>
        <n v="393.49"/>
        <n v="47.02"/>
        <n v="1046.19"/>
        <n v="61.7175"/>
        <n v="12.836475"/>
        <n v="1121.47"/>
        <n v="72.0"/>
        <n v="102.96"/>
        <n v="29.9"/>
        <n v="105.99"/>
        <n v="193.38"/>
        <n v="56.94"/>
        <n v="5.8"/>
        <n v="66.7"/>
        <n v="89.53"/>
        <n v="2333.93"/>
        <n v="416.69"/>
        <n v="1816.597063"/>
        <n v="63.8"/>
        <n v="411.30845"/>
        <n v="450.89"/>
        <n v="26.8"/>
        <n v="94.430059"/>
        <n v="1036.86"/>
        <n v="66.12"/>
        <n v="557.25"/>
        <n v="21.0"/>
        <n v="3470.52"/>
        <n v="2722.804756"/>
        <n v="16.67"/>
        <n v="7.344007"/>
        <n v="115.27"/>
        <n v="178.89"/>
        <n v="124.15"/>
        <n v="92.737"/>
        <n v="38.39"/>
        <n v="450.23"/>
        <n v="358.42"/>
        <n v="598.011973"/>
        <n v="2769.514362"/>
        <n v="292.86"/>
        <n v="34.755"/>
        <n v="94.5"/>
        <n v="145.0"/>
        <n v="14.5"/>
        <n v="24.38"/>
        <n v="486.88"/>
        <n v="104.0175"/>
        <n v="566.922265"/>
        <n v="1335.59435"/>
        <n v="33.512205"/>
        <n v="81.533472"/>
        <n v="1243.78"/>
        <n v="220.889438"/>
        <n v="51.2"/>
        <n v="289.04"/>
        <n v="172.67"/>
        <n v="1019.3"/>
        <n v="3411.24"/>
        <n v="638.15"/>
        <n v="379.51"/>
        <n v="119.16"/>
        <n v="14.63"/>
        <n v="101.75"/>
        <n v="154.68"/>
        <n v="9.33"/>
        <n v="188.37"/>
        <n v="880.0"/>
        <n v="2.99"/>
        <n v="8.25"/>
        <n v="589.18"/>
        <n v="719.22"/>
        <n v="3052.82"/>
        <n v="417.6"/>
        <n v="1746.09"/>
        <n v="2149.03"/>
        <n v="232.71"/>
        <n v="264.74"/>
        <n v="9.25"/>
        <n v="341.69"/>
        <n v="491.52"/>
        <n v="29.2"/>
        <n v="15.5"/>
        <n v="102.44"/>
        <n v="0.61"/>
        <n v="91.35"/>
        <n v="5826.98"/>
        <n v="5565.28"/>
        <n v="9.5"/>
        <n v="121.21"/>
        <n v="56.38"/>
        <n v="0.15"/>
        <n v="74.82"/>
        <n v="3053.568709"/>
        <n v="997.0"/>
        <n v="408.2"/>
        <n v="3588.99"/>
        <n v="556.02"/>
        <n v="6.11"/>
        <n v="1704.77"/>
        <n v="67.16"/>
        <n v="400.94"/>
        <n v="11.68"/>
        <n v="551.42"/>
        <n v="57.96"/>
        <n v="791.63"/>
        <n v="6149.02"/>
        <n v="309.96"/>
        <n v="557.41"/>
        <n v="2.3"/>
        <n v="127.662387"/>
        <n v="89.81"/>
        <n v="1287.277612"/>
        <n v="398.63"/>
        <n v="31.88"/>
        <n v="8.386504"/>
        <n v="42.6"/>
        <n v="85.48"/>
        <n v="1108.24"/>
        <n v="480.479089"/>
        <n v="363.194845"/>
        <n v="25.73"/>
        <n v="30.604162"/>
        <n v="37.282645"/>
        <n v="222.73"/>
        <n v="57.11"/>
        <n v="1446.8485"/>
        <n v="15.16"/>
        <n v="264.34516"/>
        <n v="513.34"/>
        <n v="117.3"/>
        <n v="1.17"/>
        <n v="497.88"/>
        <n v="1324.56"/>
        <n v="18.69"/>
        <n v="38.65"/>
        <n v="32.46"/>
        <n v="162.495941"/>
        <n v="263.8038"/>
        <n v="22.2275"/>
        <n v="381.65"/>
        <n v="27.13"/>
        <n v="129.329746"/>
        <n v="1174.019164"/>
        <n v="3.25"/>
        <n v="93.23"/>
        <n v="41.14"/>
        <n v="493.0"/>
        <n v="113.05"/>
        <n v="76.78"/>
        <n v="34.73991"/>
        <n v="72.21"/>
        <n v="793.54"/>
        <n v="8.81"/>
        <n v="453.483"/>
        <n v="693.67"/>
        <n v="75.66"/>
        <n v="404.94"/>
        <n v="50.85"/>
        <n v="189.85"/>
        <n v="3422.0"/>
        <n v="2.81"/>
        <n v="203.0"/>
        <n v="6.67"/>
        <n v="13.62"/>
        <n v="772.0"/>
        <n v="175.3"/>
        <n v="13.53"/>
        <n v="494.69"/>
        <n v="36.16"/>
        <n v="677.88"/>
        <n v="58.19"/>
        <n v="166.93"/>
        <n v="442.08"/>
        <n v="17.4"/>
        <n v="0.03"/>
        <n v="46.797568"/>
        <n v="6039.83"/>
        <n v="1601.89"/>
        <n v="226.9"/>
        <n v="97.57"/>
        <n v="1136.68"/>
        <n v="23.6"/>
        <n v="123.91"/>
        <n v="7.25"/>
        <n v="18.88"/>
        <n v="3155.55"/>
        <n v="259.0"/>
        <n v="252.08"/>
        <n v="523.04"/>
        <n v="658.93"/>
        <n v="183.42"/>
        <n v="442.02"/>
        <n v="1.3"/>
        <n v="1300.08"/>
        <n v="379.9"/>
        <n v="2685.34"/>
        <n v="92.14"/>
        <n v="0.96"/>
        <n v="124.671347"/>
        <n v="5.06"/>
        <n v="142.82"/>
        <n v="229.84"/>
        <n v="313.19"/>
        <n v="382.49"/>
        <n v="1407.53"/>
        <n v="692.86"/>
        <n v="1019.45"/>
        <n v="573.11"/>
        <n v="320.5"/>
        <n v="29.44"/>
        <n v="45.5955"/>
        <n v="0.08"/>
        <n v="20.14"/>
        <n v="39.52"/>
        <n v="46.79039"/>
        <n v="1190.06"/>
        <n v="806.16"/>
        <n v="886.663754"/>
        <n v="1020.34"/>
        <n v="23.68"/>
        <n v="154.97"/>
        <n v="150.86"/>
        <n v="0.01"/>
        <n v="100.0"/>
        <n v="91.22"/>
        <n v="10.1"/>
        <n v="1.51"/>
        <n v="39.09"/>
        <n v="1890.41"/>
        <n v="121.965343"/>
        <n v="264.583881"/>
        <n v="1944.9"/>
        <n v="2.17"/>
        <n v="995.78"/>
        <n v="71.81"/>
        <n v="860.27"/>
        <n v="3393.511762"/>
        <n v="73.52"/>
        <n v="8.56"/>
        <n v="119.94"/>
        <n v="306.17"/>
        <n v="28.79"/>
        <n v="29.5"/>
        <n v="1838.066038"/>
        <n v="19.5"/>
        <n v="9.0"/>
      </sharedItems>
    </cacheField>
    <cacheField name="ach_fees" numFmtId="0">
      <sharedItems containsString="0" containsBlank="1" containsNumber="1">
        <m/>
        <n v="0.5"/>
        <n v="1.5"/>
        <n v="1.0"/>
        <n v="2.5"/>
        <n v="2.0"/>
        <n v="11.5"/>
        <n v="31.5"/>
        <n v="17.5"/>
        <n v="10.5"/>
        <n v="12.5"/>
        <n v="25.5"/>
        <n v="3.5"/>
        <n v="3.0"/>
        <n v="7.5"/>
        <n v="10.0"/>
        <n v="16.5"/>
        <n v="4.0"/>
        <n v="7.0"/>
        <n v="9.5"/>
        <n v="19.0"/>
        <n v="8.5"/>
        <n v="5.0"/>
        <n v="6.5"/>
        <n v="5.5"/>
        <n v="6.0"/>
        <n v="21.5"/>
        <n v="29.5"/>
        <n v="8.0"/>
        <n v="11.0"/>
        <n v="22.5"/>
      </sharedItems>
    </cacheField>
    <cacheField name="core_gross_profit_wo_loss" numFmtId="0">
      <sharedItems containsSemiMixedTypes="0" containsString="0" containsNumber="1">
        <n v="-1.0849"/>
        <n v="760.5243"/>
        <n v="2481.6509"/>
        <n v="-0.2542"/>
        <n v="136.6066"/>
        <n v="-43.5324"/>
        <n v="-0.25"/>
        <n v="-3.9757"/>
        <n v="-17.1619"/>
        <n v="-0.2102"/>
        <n v="22.2341"/>
        <n v="1.90659999999999"/>
        <n v="0.429399999999999"/>
        <n v="-0.1556"/>
        <n v="-1.2999"/>
        <n v="-0.3121"/>
        <n v="-10.133"/>
        <n v="-3.30999999999999"/>
        <n v="-2.98089999999999"/>
        <n v="-2.2815"/>
        <n v="30.0475"/>
        <n v="5.2951"/>
        <n v="0.2255"/>
        <n v="-0.1495"/>
        <n v="10.3597999999999"/>
        <n v="66.8561"/>
        <n v="100.157099999999"/>
        <n v="3.4841"/>
        <n v="-0.15"/>
        <n v="133.5879"/>
        <n v="1.0401"/>
        <n v="-2.7029"/>
        <n v="1.7562"/>
        <n v="2.44"/>
        <n v="1766.4822"/>
        <n v="68.3154"/>
        <n v="12.1047"/>
        <n v="59.704"/>
        <n v="-20.7176"/>
        <n v="440.7387"/>
        <n v="-96.9171"/>
        <n v="18.3265"/>
        <n v="-5.57259999999999"/>
        <n v="-1.09209999999999"/>
        <n v="-2.28099999999999"/>
        <n v="-23.5324"/>
        <n v="198.8482"/>
        <n v="5.9632"/>
        <n v="-1.4802"/>
        <n v="-9.1452"/>
        <n v="100.3853"/>
        <n v="-0.1386"/>
        <n v="-0.3"/>
        <n v="490.4626"/>
        <n v="24.6335"/>
        <n v="15.1605999999999"/>
        <n v="109.1326"/>
        <n v="13.2995"/>
        <n v="-1.3335"/>
        <n v="4.4237"/>
        <n v="-4.071"/>
        <n v="98.4229"/>
        <n v="173.9305"/>
        <n v="2.578"/>
        <n v="-0.9177"/>
        <n v="86.2726"/>
        <n v="274.4848"/>
        <n v="2189.4562"/>
        <n v="-3.203"/>
        <n v="0.0649999999999997"/>
        <n v="3.83939999999999"/>
        <n v="57.2793"/>
        <n v="333.0046"/>
        <n v="36.6349"/>
        <n v="6.4137"/>
        <n v="1.866"/>
        <n v="-0.9174"/>
        <n v="-1.15"/>
        <n v="-0.5455"/>
        <n v="-5.8261"/>
        <n v="0.393799999999999"/>
        <n v="2955.8707"/>
        <n v="3.13"/>
        <n v="-0.1521"/>
        <n v="862.1096"/>
        <n v="155.4668"/>
        <n v="-4.3195"/>
        <n v="-0.5562"/>
        <n v="1.8979"/>
        <n v="2330.9254"/>
        <n v="88.17"/>
        <n v="1.1976"/>
        <n v="-0.1506"/>
        <n v="-0.694899999999999"/>
        <n v="18.5967"/>
        <n v="0.32"/>
        <n v="-0.98"/>
        <n v="7.9995"/>
        <n v="39.3044"/>
        <n v="1.3322"/>
        <n v="109.189"/>
        <n v="-1.2409"/>
        <n v="0.6636"/>
        <n v="139.6669"/>
        <n v="2.7538"/>
        <n v="14.8893"/>
        <n v="28.1755"/>
        <n v="169.5687"/>
        <n v="222.537499999999"/>
        <n v="68.8222"/>
        <n v="69.1529"/>
        <n v="-8.8126"/>
        <n v="113.9412"/>
        <n v="-1.84989999999999"/>
        <n v="-9.7071"/>
        <n v="-25.4633"/>
        <n v="24.3087"/>
        <n v="-155.4488"/>
        <n v="66.1682999999999"/>
        <n v="-0.3176"/>
        <n v="26.5922"/>
        <n v="-0.68"/>
        <n v="15.5587"/>
        <n v="191.27"/>
        <n v="7.8"/>
        <n v="3.02089999999999"/>
        <n v="3.3283"/>
        <n v="0.5699"/>
        <n v="18.9643999999999"/>
        <n v="-4.37939999999999"/>
        <n v="-0.06"/>
        <n v="32.5311"/>
        <n v="1772.83069999999"/>
        <n v="-0.1879"/>
        <n v="152.7009"/>
        <n v="4.6674"/>
        <n v="92.9781"/>
        <n v="3.2844"/>
        <n v="-0.5995"/>
        <n v="138.1445"/>
        <n v="1151.2482"/>
        <n v="9.5532"/>
        <n v="160.8303"/>
        <n v="57.1538"/>
        <n v="120.0341"/>
        <n v="-2.0513"/>
        <n v="-48.6112"/>
        <n v="68.5782"/>
        <n v="-0.589699999999999"/>
        <n v="10.6668"/>
        <n v="153.8842"/>
        <n v="357.797299999999"/>
        <n v="-4.214"/>
        <n v="16.0702"/>
        <n v="4.48189999999999"/>
        <n v="-0.3886"/>
        <n v="-3.5008"/>
        <n v="530.599899999999"/>
        <n v="23.3172"/>
        <n v="27.4733999999999"/>
        <n v="-15.8678999999999"/>
        <n v="33.8587999999999"/>
        <n v="0.587699999999999"/>
        <n v="1105.5023"/>
        <n v="14.8664999999999"/>
        <n v="30.2587"/>
        <n v="-1.56"/>
        <n v="13.5171999999999"/>
        <n v="-0.918999999999999"/>
        <n v="338.008499999999"/>
        <n v="359.3017"/>
        <n v="-30.5912"/>
        <n v="252.8783"/>
        <n v="27.7675"/>
        <n v="136.6224"/>
        <n v="4.4978"/>
        <n v="-79.981"/>
        <n v="218.2276"/>
        <n v="720.0859"/>
        <n v="30.5667999999999"/>
        <n v="71.354"/>
        <n v="-1.67"/>
        <n v="81.6133"/>
        <n v="343.586299999999"/>
        <n v="0.1281"/>
        <n v="5.46239999999999"/>
        <n v="-6.0335"/>
        <n v="44.36"/>
        <n v="103.2923"/>
        <n v="-3.88519999999999"/>
        <n v="46.2163999999999"/>
        <n v="-0.23"/>
        <n v="789.2326"/>
        <n v="-0.27"/>
        <n v="89.3181999999999"/>
        <n v="-0.2112"/>
        <n v="49.5203"/>
        <n v="179.241499999999"/>
        <n v="-2.11889999999999"/>
        <n v="-0.7077"/>
        <n v="1105.3109"/>
        <n v="25.0379999999999"/>
        <n v="57.035"/>
        <n v="122.8007"/>
        <n v="-27.3186"/>
        <n v="433.2752"/>
        <n v="41.3529"/>
        <n v="45.0483"/>
        <n v="55.2826"/>
        <n v="1967.4454"/>
        <n v="219.074"/>
        <n v="668.371199999999"/>
        <n v="-1.7987"/>
        <n v="43.4668"/>
        <n v="-1.76519999999999"/>
        <n v="-0.8068"/>
        <n v="0.3391"/>
        <n v="-0.5101"/>
        <n v="-0.186899999999999"/>
        <n v="-0.968799999999999"/>
        <n v="4.2072"/>
        <n v="4.3164"/>
        <n v="1329.3129"/>
        <n v="2065.6078"/>
        <n v="-0.2927"/>
        <n v="356.712"/>
        <n v="-0.395"/>
        <n v="0.5207"/>
        <n v="1084.3917"/>
        <n v="30.8876"/>
        <n v="-0.1404"/>
        <n v="263.2103"/>
        <n v="-65.5969"/>
        <n v="413.1083"/>
        <n v="-29.7457"/>
        <n v="45.5049"/>
        <n v="-0.77"/>
        <n v="64.1832"/>
        <n v="10.9208999999999"/>
        <n v="26.543"/>
        <n v="932.007499999999"/>
        <n v="12.3204"/>
        <n v="-16.5604"/>
        <n v="-0.3962"/>
        <n v="11.587"/>
        <n v="-1.3704"/>
        <n v="30.2271"/>
        <n v="-1.1964"/>
        <n v="-8.11"/>
        <n v="-1.27859999999999"/>
        <n v="-0.6544"/>
        <n v="136.705299999999"/>
        <n v="-21.1766"/>
        <n v="9.38069999999999"/>
        <n v="-1.7435"/>
        <n v="-4.0308"/>
        <n v="6.2596"/>
        <n v="109.7828"/>
        <n v="-1.25"/>
        <n v="-0.56"/>
        <n v="-0.43"/>
        <n v="34.3555"/>
        <n v="0.6236"/>
        <n v="22.3574"/>
        <n v="-0.1038"/>
        <n v="1682.3779"/>
        <n v="-0.3577"/>
        <n v="-0.2"/>
        <n v="-2.03"/>
        <n v="448.1583"/>
        <n v="16.8342"/>
        <n v="92.9333"/>
        <n v="-0.22"/>
        <n v="-0.2571"/>
        <n v="39.7651"/>
        <n v="-0.6"/>
        <n v="-0.6735"/>
        <n v="-1.64"/>
        <n v="2.302"/>
        <n v="26.012"/>
        <n v="-0.95"/>
        <n v="-0.1541"/>
        <n v="1.1598"/>
        <n v="119.0163"/>
        <n v="11.5384"/>
        <n v="7.832"/>
        <n v="68.332"/>
        <n v="72.3766"/>
        <n v="0.5767"/>
        <n v="42.2923"/>
        <n v="0.5168"/>
        <n v="130.2142"/>
        <n v="186.608999999999"/>
        <n v="-1.7772"/>
        <n v="91.2177"/>
        <n v="8.9096"/>
        <n v="26.1576"/>
        <n v="115.7321"/>
        <n v="128.7683"/>
        <n v="11.5221"/>
        <n v="-1.1005"/>
        <n v="5.9889"/>
        <n v="887.25"/>
        <n v="229.575199999999"/>
        <n v="79.9704"/>
        <n v="-92.3951999999999"/>
        <n v="38.2288999999999"/>
        <n v="42.8887"/>
        <n v="203.35"/>
        <n v="255.7839"/>
        <n v="19.8137"/>
        <n v="1.5823"/>
        <n v="-1.85"/>
        <n v="871.879899999999"/>
        <n v="-0.2858"/>
        <n v="127.9664"/>
        <n v="370.7351"/>
        <n v="1142.07589999999"/>
        <n v="242.1351"/>
        <n v="93.4521999999999"/>
        <n v="470.224899999999"/>
        <n v="424.100299999999"/>
        <n v="-4.05"/>
        <n v="15.58"/>
        <n v="13.2375"/>
        <n v="1.027"/>
        <n v="84.2964999999999"/>
        <n v="2.53"/>
        <n v="3.72"/>
        <n v="-0.378399999999999"/>
        <n v="148.539499999999"/>
        <n v="-2.5539"/>
        <n v="46.7461"/>
        <n v="-6.3048"/>
        <n v="1.2264"/>
        <n v="3.56"/>
        <n v="54.2573999999999"/>
        <n v="82.4172"/>
        <n v="0.8888"/>
        <n v="25.7961"/>
        <n v="85.4204"/>
        <n v="120.412799999999"/>
        <n v="-0.5296"/>
        <n v="8.2252"/>
        <n v="-0.12"/>
        <n v="35.9766"/>
        <n v="28.8832"/>
        <n v="1.14319999999999"/>
        <n v="-3.85199999999999"/>
        <n v="165.4979"/>
        <n v="-0.248499999999999"/>
        <n v="110.1362"/>
        <n v="3.9408"/>
        <n v="14.3022"/>
        <n v="740.257699999999"/>
        <n v="35.629"/>
        <n v="334.054999999999"/>
        <n v="342.9966"/>
        <n v="19.1965"/>
        <n v="239.6464"/>
        <n v="48.4769999999999"/>
        <n v="-2.4035"/>
        <n v="90.8047"/>
        <n v="521.4116"/>
        <n v="-12.5286999999999"/>
        <n v="0.67"/>
        <n v="1.8662"/>
        <n v="147.3917"/>
        <n v="-0.0544"/>
        <n v="103.889"/>
        <n v="-16.4214"/>
        <n v="-1.71999999999999"/>
        <n v="-0.3221"/>
        <n v="67.8385"/>
        <n v="-0.5107"/>
        <n v="1819.81029999999"/>
        <n v="-0.1559"/>
        <n v="3.9649"/>
        <n v="115.311"/>
        <n v="1.08579999999999"/>
        <n v="28.5148"/>
        <n v="-1.10419999999999"/>
        <n v="53.3086"/>
        <n v="12.6173"/>
        <n v="453.1156"/>
        <n v="1.4012"/>
        <n v="293.5805"/>
        <n v="14.5834999999999"/>
        <n v="198.8908"/>
        <n v="-1.0157"/>
        <n v="0.5023"/>
        <n v="119.443599999999"/>
        <n v="-0.6912"/>
        <n v="62.5941"/>
        <n v="55.0599999999999"/>
        <n v="47.1016"/>
        <n v="43.1418"/>
        <n v="-0.91"/>
        <n v="-0.72"/>
        <n v="436.1459"/>
        <n v="5.9485"/>
        <n v="552.9097"/>
        <n v="-0.1"/>
        <n v="60.5276"/>
        <n v="2.7069"/>
        <n v="-0.8042"/>
        <n v="1926.04229999999"/>
        <n v="-3.7"/>
        <n v="488.179999999999"/>
        <n v="-0.39"/>
        <n v="-1.1331"/>
        <n v="195.048"/>
        <n v="177.1545"/>
        <n v="32.2351"/>
        <n v="-0.5732"/>
        <n v="146.918999999999"/>
        <n v="33.1827"/>
        <n v="11.0396"/>
        <n v="-0.8062"/>
        <n v="9.9488"/>
        <n v="9.6081"/>
        <n v="368.0272"/>
        <n v="-2.52"/>
        <n v="338.0304"/>
        <n v="6.278"/>
        <n v="42.69"/>
        <n v="120.591199999999"/>
        <n v="8.53559999999999"/>
        <n v="57.1369"/>
        <n v="17.5888999999999"/>
        <n v="124.7583"/>
        <n v="429.884"/>
        <n v="-0.657"/>
        <n v="-0.5"/>
        <n v="10.2911"/>
        <n v="51.6713"/>
        <n v="-1.4021"/>
        <n v="488.7207"/>
        <n v="331.24"/>
        <n v="70.397"/>
        <n v="30.9178"/>
        <n v="86.3538"/>
        <n v="-0.16"/>
        <n v="1.0228"/>
        <n v="231.1723"/>
        <n v="187.9663"/>
        <n v="-0.1429"/>
        <n v="-0.1755"/>
        <n v="1070.26969999999"/>
        <n v="-0.472099999999999"/>
        <n v="-3.9781"/>
        <n v="144.5606"/>
        <n v="66.4354999999999"/>
        <n v="-2.331"/>
        <n v="3.7369"/>
        <n v="-17.5465999999999"/>
        <n v="3.3707"/>
        <n v="-4.92329999999999"/>
        <n v="77.7273"/>
        <n v="6.1184"/>
        <n v="-4.5443"/>
        <n v="-1.5093"/>
        <n v="40.0999"/>
        <n v="95.3129"/>
        <n v="237.743999999999"/>
        <n v="96.5654"/>
        <n v="1104.6373"/>
        <n v="134.936999999999"/>
        <n v="20.9643999999999"/>
        <n v="5.2028"/>
        <n v="-0.515899999999999"/>
        <n v="9.149"/>
        <n v="15.631"/>
        <n v="34.6376999999999"/>
        <n v="-1.50569999999999"/>
        <n v="18.7381"/>
        <n v="15.5115"/>
        <n v="74.65"/>
        <n v="0.7762"/>
        <n v="15.4356"/>
        <n v="16.7280999999999"/>
        <n v="14.8336"/>
        <n v="-2.45039999999999"/>
        <n v="14.7017"/>
        <n v="-2.5368"/>
        <n v="-12.0703"/>
        <n v="-0.37"/>
        <n v="-1.13629999999999"/>
        <n v="549.5001"/>
        <n v="9.6"/>
        <n v="-0.0678999999999999"/>
        <n v="98.5457"/>
        <n v="-0.2777"/>
        <n v="112.9618"/>
        <n v="96.9021"/>
        <n v="-1.35"/>
        <n v="0.00160000000000001"/>
        <n v="-81.4663"/>
        <n v="353.6916"/>
        <n v="-2.82369999999999"/>
        <n v="39.8366"/>
        <n v="-2.4158"/>
        <n v="85.1813"/>
        <n v="220.8655"/>
        <n v="-6.07839999999999"/>
        <n v="-1.99999999999999"/>
        <n v="685.6292"/>
        <n v="-9.2744"/>
        <n v="566.9647"/>
        <n v="-3.427"/>
        <n v="35.3052999999999"/>
        <n v="57.8302"/>
        <n v="8.0609"/>
        <n v="2.0337"/>
        <n v="700.0619"/>
        <n v="76.4710999999999"/>
        <n v="-27.157"/>
        <n v="108.6728"/>
        <n v="790.6428"/>
        <n v="-1.58999999999999"/>
        <n v="9.02"/>
        <n v="131.1345"/>
        <n v="5.4299"/>
        <n v="60.8938"/>
        <n v="466.2557"/>
        <n v="72.4068"/>
        <n v="-0.26"/>
        <n v="-1.1507"/>
        <n v="28.9073"/>
        <n v="551.2449"/>
        <n v="6.0404"/>
        <n v="-0.2556"/>
        <n v="23.91"/>
        <n v="125.462399999999"/>
        <n v="12.8907"/>
        <n v="51.5494"/>
        <n v="46.9195"/>
        <n v="129.3013"/>
        <n v="-9.1679"/>
        <n v="14.9402"/>
        <n v="39.8627"/>
        <n v="129.317999999999"/>
        <n v="356.1481"/>
        <n v="176.7859"/>
        <n v="7.2806"/>
        <n v="109.4731"/>
        <n v="9.8607"/>
        <n v="41.8456"/>
        <n v="-1.7146"/>
        <n v="5.0835"/>
        <n v="1.1286"/>
        <n v="-10.1402"/>
        <n v="37.47"/>
        <n v="110.4489"/>
        <n v="33.4938"/>
        <n v="-0.8395"/>
        <n v="7.7762"/>
        <n v="-1.94"/>
        <n v="349.5558"/>
        <n v="172.6573"/>
        <n v="-0.6063"/>
        <n v="137.2875"/>
        <n v="39.7849"/>
        <n v="121.5007"/>
        <n v="82.1215"/>
        <n v="3.2683"/>
        <n v="12.9026"/>
        <n v="3.45689999999999"/>
        <n v="35.3711"/>
        <n v="-7.31919999999999"/>
        <n v="-0.5356"/>
        <n v="6.2588"/>
        <n v="308.2657"/>
        <n v="-58.4103999999999"/>
        <n v="-5.5382"/>
        <n v="-0.288599999999999"/>
        <n v="52.9303999999999"/>
        <n v="61.4215999999999"/>
        <n v="499.044"/>
        <n v="34.37"/>
        <n v="-1.0217"/>
        <n v="-0.21"/>
        <n v="-0.1379"/>
        <n v="146.2479"/>
        <n v="830.9447"/>
        <n v="-0.6554"/>
        <n v="535.572"/>
        <n v="140.7676"/>
        <n v="2.1685"/>
        <n v="-0.5272"/>
        <n v="6.82999999999999"/>
        <n v="-4.0006"/>
        <n v="97.9545"/>
        <n v="-7.0721"/>
        <n v="-2.0255"/>
        <n v="119.0425"/>
        <n v="48.1585"/>
        <n v="1137.97079999999"/>
        <n v="33.1042"/>
        <n v="9.581"/>
        <n v="-6.6182"/>
        <n v="25.1703"/>
        <n v="104.6805"/>
        <n v="47.0618"/>
        <n v="428.337"/>
        <n v="352.3515"/>
        <n v="-1.3039"/>
        <n v="39.0952"/>
        <n v="21.4288"/>
        <n v="59.7201"/>
        <n v="0.6625"/>
        <n v="114.6309"/>
        <n v="71.3999999999999"/>
        <n v="97.7696"/>
        <n v="1.0064"/>
        <n v="7.214"/>
        <n v="-5.3854"/>
        <n v="51.8155"/>
        <n v="0.162599999999999"/>
        <n v="0.126999999999999"/>
        <n v="-0.1721"/>
        <n v="84.5321"/>
        <n v="517.0877"/>
        <n v="49.3339"/>
        <n v="479.294099999999"/>
        <n v="43.4694"/>
        <n v="-5.4366"/>
        <n v="-0.671"/>
        <n v="371.862099999999"/>
        <n v="54.6393999999999"/>
        <n v="19.0242"/>
        <n v="-0.4"/>
        <n v="0.0075"/>
        <n v="3.4055"/>
        <n v="67.3514"/>
        <n v="77.5754"/>
        <n v="8.3975"/>
        <n v="82.5623"/>
        <n v="3.31569999999999"/>
        <n v="100.3909"/>
        <n v="-2.3552"/>
        <n v="2688.9599"/>
        <n v="11.5494"/>
        <n v="4.3214"/>
        <n v="49.3373"/>
        <n v="154.2959"/>
        <n v="-3.9033"/>
        <n v="41.9034999999999"/>
        <n v="0.28"/>
        <n v="-0.516899999999999"/>
        <n v="56.975"/>
        <n v="87.8314"/>
        <n v="30.8849"/>
        <n v="347.4799"/>
        <n v="330.5497"/>
        <n v="541.8054"/>
        <n v="-1.37899999999999"/>
        <n v="2738.66219999999"/>
        <n v="4.4458"/>
        <n v="32.374"/>
        <n v="85.99"/>
        <n v="-7.7982"/>
        <n v="0.3667"/>
        <n v="22.9058"/>
        <n v="-0.925400000000001"/>
        <n v="102.475499999999"/>
        <n v="546.054199999999"/>
        <n v="1316.8972"/>
        <n v="2.86"/>
        <n v="-3.4493"/>
        <n v="35.1235"/>
        <n v="720.9923"/>
        <n v="215.3575"/>
        <n v="-0.8737"/>
        <n v="-0.7276"/>
        <n v="-0.9015"/>
        <n v="34.3887999999999"/>
        <n v="-3.89999999999999"/>
        <n v="-8.23"/>
        <n v="53.3818999999999"/>
        <n v="-8.6411"/>
        <n v="144.137"/>
        <n v="-171.0014"/>
        <n v="41.3426"/>
        <n v="54.6764"/>
        <n v="-2.5877"/>
        <n v="16.8897"/>
        <n v="1.9642"/>
        <n v="-6.91209999999999"/>
        <n v="-1.6084"/>
        <n v="0.5705"/>
        <n v="-0.979199999999999"/>
        <n v="-2.49419999999999"/>
        <n v="88.6959"/>
        <n v="9.54779999999999"/>
        <n v="8.45999999999999"/>
        <n v="-19.1099"/>
        <n v="107.9668"/>
        <n v="-4.6633"/>
        <n v="-0.5081"/>
        <n v="5.1106"/>
        <n v="78.892"/>
        <n v="115.2466"/>
        <n v="287.105"/>
        <n v="-14.7199999999999"/>
        <n v="21.4498"/>
        <n v="213.1092"/>
        <n v="-30.3374999999999"/>
        <n v="-20.1821999999999"/>
        <n v="17.6899"/>
        <n v="3.3546"/>
        <n v="-0.3021"/>
        <n v="6.7406"/>
        <n v="456.5993"/>
        <n v="27.1108"/>
        <n v="4.9113"/>
        <n v="7.3899"/>
        <n v="0.2276"/>
        <n v="-3.784"/>
        <n v="-1.0987"/>
        <n v="1531.271"/>
        <n v="731.8472"/>
        <n v="1.1134"/>
        <n v="20.7216999999999"/>
        <n v="49.69"/>
        <n v="-0.4958"/>
        <n v="-0.1056"/>
        <n v="5.54149999999999"/>
        <n v="584.681399999999"/>
        <n v="977.3494"/>
        <n v="42.8984"/>
        <n v="421.1863"/>
        <n v="-0.1384"/>
        <n v="-26.6095999999999"/>
        <n v="-2.4051"/>
        <n v="-0.9984"/>
        <n v="45.5532"/>
        <n v="17.2042"/>
        <n v="16.2959"/>
        <n v="-0.0729"/>
        <n v="-0.41"/>
        <n v="4.86089999999999"/>
        <n v="-0.3012"/>
        <n v="-0.1727"/>
        <n v="-1.53999999999999"/>
        <n v="525.5995"/>
        <n v="52.4192"/>
        <n v="-1.5632"/>
        <n v="810.0707"/>
        <n v="60.243"/>
        <n v="12.6126"/>
        <n v="-13.6928999999999"/>
        <n v="-0.00870000000000011"/>
        <n v="-0.178099999999999"/>
        <n v="113.363"/>
        <n v="4.15569999999999"/>
        <n v="1210.3326"/>
        <n v="0.6782"/>
        <n v="-0.925800000000002"/>
        <n v="5.2801"/>
        <n v="29.5034"/>
        <n v="7.8365"/>
        <n v="23.7514"/>
        <n v="82.9829"/>
        <n v="1090.5881"/>
        <n v="-0.449999999999999"/>
        <n v="478.7691"/>
        <n v="353.5747"/>
        <n v="-0.4602"/>
        <n v="22.6142"/>
        <n v="28.9104"/>
        <n v="49.1294"/>
        <n v="50.4879"/>
        <n v="1435.979"/>
        <n v="-1.41"/>
        <n v="-0.11"/>
        <n v="0.9448"/>
        <n v="249.7977"/>
        <n v="490.21"/>
        <n v="109.2416"/>
        <n v="-2.0089"/>
        <n v="15.7263"/>
        <n v="78.1744"/>
        <n v="12.9549"/>
        <n v="22.8693"/>
        <n v="0.964499999999999"/>
        <n v="143.1812"/>
        <n v="227.4694"/>
        <n v="-10.876"/>
        <n v="21.1898"/>
        <n v="54.3927"/>
        <n v="-0.61"/>
        <n v="25.8167999999999"/>
        <n v="100.6561"/>
        <n v="-2.37719999999999"/>
        <n v="0.4213"/>
        <n v="-2.38"/>
        <n v="1150.68089999999"/>
        <n v="-0.1695"/>
        <n v="2.28"/>
        <n v="7.94039999999999"/>
        <n v="25.9209"/>
        <n v="25.4694"/>
        <n v="-1.95"/>
        <n v="14.5557"/>
        <n v="27.9469999999999"/>
        <n v="31.4904999999999"/>
        <n v="-0.6129"/>
        <n v="-3.3721"/>
        <n v="5.80749999999999"/>
        <n v="-0.32"/>
        <n v="74.3121"/>
        <n v="-0.4495"/>
        <n v="-0.4086"/>
        <n v="17.4092"/>
        <n v="-1.5588"/>
        <n v="-1.73099999999999"/>
        <n v="451.9095"/>
        <n v="-1.2697"/>
        <n v="31.6121"/>
        <n v="6.2479"/>
        <n v="44.1111"/>
        <n v="44.0046999999999"/>
        <n v="22.3108999999999"/>
        <n v="360.2818"/>
        <n v="2.4"/>
        <n v="135.5617"/>
        <n v="0.3487"/>
        <n v="0.0687999999999999"/>
        <n v="46.2144"/>
        <n v="64.1767"/>
        <n v="-2.9047"/>
        <n v="42.6896"/>
        <n v="27.9052999999999"/>
        <n v="2.6755"/>
        <n v="51.3379"/>
        <n v="-12.8263"/>
        <n v="-2.55999999999999"/>
        <n v="79.4821"/>
        <n v="-8.9955"/>
        <n v="-3.3218"/>
        <n v="-0.8898"/>
        <n v="24.4827"/>
        <n v="945.7944"/>
        <n v="-11.1051"/>
        <n v="38.193"/>
        <n v="-0.1508"/>
        <n v="12.9591"/>
        <n v="153.831"/>
        <n v="-3.7497"/>
        <n v="48.8538"/>
        <n v="4.6479"/>
        <n v="-0.5346"/>
        <n v="402.085"/>
        <n v="24.3951"/>
        <n v="33.4707"/>
        <n v="-3.5537"/>
        <n v="168.0484"/>
        <n v="17.2282"/>
        <n v="-1.61289999999999"/>
        <n v="13.6657999999999"/>
        <n v="-4.384"/>
        <n v="-0.4146"/>
        <n v="-62.8916"/>
        <n v="-28.8652"/>
        <n v="188.3265"/>
        <n v="18.8778"/>
        <n v="-0.13"/>
        <n v="-1.2769"/>
        <n v="-5.4152"/>
        <n v="113.9313"/>
        <n v="-0.8577"/>
        <n v="-0.196399999999999"/>
        <n v="-7.46109999999999"/>
        <n v="141.51"/>
        <n v="0.11"/>
        <n v="-0.435"/>
        <n v="22.0156"/>
        <n v="-14.2652"/>
        <n v="338.186"/>
        <n v="3.31679999999999"/>
        <n v="601.63"/>
        <n v="50.5522"/>
        <n v="-45.6982"/>
        <n v="-50.1254"/>
        <n v="16.8617"/>
        <n v="42.4791999999999"/>
        <n v="-0.47"/>
        <n v="9.6366"/>
        <n v="30.5593"/>
        <n v="34.7031"/>
        <n v="156.4535"/>
        <n v="19.9641"/>
        <n v="869.2135"/>
        <n v="461.0036"/>
        <n v="-2.8225"/>
        <n v="39.1541"/>
        <n v="40.5067"/>
        <n v="-6.69"/>
        <n v="14.8930999999999"/>
        <n v="-2.31509999999999"/>
        <n v="-1.4405"/>
        <n v="96.4699999999999"/>
        <n v="75.7477"/>
        <n v="3.7889"/>
        <n v="0.157699999999999"/>
        <n v="-0.4604"/>
        <n v="-0.6962"/>
        <n v="17.2832"/>
        <n v="161.1572"/>
        <n v="113.1446"/>
        <n v="249.7612"/>
        <n v="33.4404"/>
        <n v="55.6965"/>
        <n v="-3.2301"/>
        <n v="63.5485"/>
        <n v="0.0487"/>
        <n v="94.4752"/>
        <n v="56.3051"/>
        <n v="-1.45869999999999"/>
        <n v="31.878"/>
        <n v="3348.6196"/>
        <n v="28.4807"/>
        <n v="0.7669"/>
        <n v="-2.2979"/>
        <n v="-5.0793"/>
        <n v="-16.3537"/>
        <n v="-0.4763"/>
        <n v="69.4679"/>
        <n v="-3.3601"/>
        <n v="-0.5598"/>
        <n v="28.3758"/>
        <n v="306.21"/>
        <n v="-2.36"/>
        <n v="-0.641799999999999"/>
        <n v="-1.3488"/>
        <n v="0.61"/>
        <n v="29.3723"/>
      </sharedItems>
    </cacheField>
    <cacheField name="core_gp" numFmtId="0">
      <sharedItems containsSemiMixedTypes="0" containsString="0" containsNumber="1">
        <n v="-8.95365627185199"/>
        <n v="653.051089727546"/>
        <n v="2189.60829739249"/>
        <n v="-1.00766470356999"/>
        <n v="131.12195283148"/>
        <n v="-54.5535287538559"/>
        <n v="-0.3396814"/>
        <n v="-13.3246945543179"/>
        <n v="-26.7100504"/>
        <n v="-3.513123278276"/>
        <n v="-2.28503133316599"/>
        <n v="-0.162788218792"/>
        <n v="-75.7341194233233"/>
        <n v="-2.999365595"/>
        <n v="-5.101373773998"/>
        <n v="-13.2581294066699"/>
        <n v="-14.2206692767999"/>
        <n v="-13.2525564328757"/>
        <n v="-22.7467141214083"/>
        <n v="-12.1231506995339"/>
        <n v="-35.7305993713369"/>
        <n v="4.45066152943367"/>
        <n v="-0.0165114341993199"/>
        <n v="-0.5936916184615"/>
        <n v="7.33369617387499"/>
        <n v="61.6406813929429"/>
        <n v="78.485730738592"/>
        <n v="-5.715827583379"/>
        <n v="-0.150007834067345"/>
        <n v="107.393741211116"/>
        <n v="0.82791886764"/>
        <n v="-12.521178550013"/>
        <n v="-1.98851249999999"/>
        <n v="0.8486416"/>
        <n v="1379.96004183592"/>
        <n v="54.6888632472"/>
        <n v="9.160686788505"/>
        <n v="38.858607609888"/>
        <n v="-38.7694392368"/>
        <n v="395.78242491293"/>
        <n v="-139.945568999999"/>
        <n v="16.97768"/>
        <n v="-49.476096290383"/>
        <n v="-4.07805857518899"/>
        <n v="-2.84331351757"/>
        <n v="-55.9928483274999"/>
        <n v="198.346033999999"/>
        <n v="-56.1145133479429"/>
        <n v="-7.741265633626"/>
        <n v="-27.7330875923129"/>
        <n v="100.247366399999"/>
        <n v="-0.16537"/>
        <n v="-1.017600568802"/>
        <n v="76.2086499076001"/>
        <n v="22.5773320304888"/>
        <n v="14.811478"/>
        <n v="-23.8618414978429"/>
        <n v="-0.1979444778"/>
        <n v="-12.8837978134679"/>
        <n v="-20.0850855072237"/>
        <n v="1.930764000284"/>
        <n v="-22.0292989332332"/>
        <n v="40.762574761548"/>
        <n v="149.615734866052"/>
        <n v="-9.73756591872799"/>
        <n v="-2.41046551819957"/>
        <n v="76.2276057042658"/>
        <n v="106.288581624502"/>
        <n v="1615.96965414383"/>
        <n v="-17.3281043549659"/>
        <n v="-3.61278179076999"/>
        <n v="-19.810961990035"/>
        <n v="34.3274778356969"/>
        <n v="264.886504413404"/>
        <n v="30.9572763727"/>
        <n v="4.69632289617829"/>
        <n v="-6.07859535238347"/>
        <n v="-0.92976"/>
        <n v="-7.56444973415867"/>
        <n v="-0.54886"/>
        <n v="-25.063626772999"/>
        <n v="-77.7870109025829"/>
        <n v="2213.682654016"/>
        <n v="2.64897865145687"/>
        <n v="-0.153666813"/>
        <n v="778.946029809654"/>
        <n v="117.106460915731"/>
        <n v="-45.095890122353"/>
        <n v="-1.08826595342569"/>
        <n v="-2.47811403226587"/>
        <n v="-3.87065989850399"/>
        <n v="1910.41598064102"/>
        <n v="47.9582978451678"/>
        <n v="-0.724382237730999"/>
        <n v="-0.843391064825244"/>
        <n v="-16.713381745728"/>
        <n v="15.359260244975"/>
        <n v="-0.161502615616"/>
        <n v="-22.4241319476593"/>
        <n v="7.9441"/>
        <n v="39.2536187"/>
        <n v="1.31259759668934"/>
        <n v="101.568907610272"/>
        <n v="-1.5105271789"/>
        <n v="0.423952020055997"/>
        <n v="134.1745685928"/>
        <n v="2.7342625"/>
        <n v="13.1381903327461"/>
        <n v="21.6884597177161"/>
        <n v="150.576367784758"/>
        <n v="221.874949999999"/>
        <n v="68.7307"/>
        <n v="51.9760186052199"/>
        <n v="-9.4432806"/>
        <n v="112.514039749118"/>
        <n v="-1.85165329999999"/>
        <n v="-13.9184048999999"/>
        <n v="-70.75844"/>
        <n v="21.5437105787589"/>
        <n v="-253.005472532"/>
        <n v="65.3760770432489"/>
        <n v="-0.3209869"/>
        <n v="24.4618879897497"/>
        <n v="-2.23097512991522"/>
        <n v="-1.33200576459299"/>
        <n v="15.3602489728299"/>
        <n v="190.0165492248"/>
        <n v="6.300367498176"/>
        <n v="2.304479"/>
        <n v="-0.107616956200002"/>
        <n v="-0.0901658499999999"/>
        <n v="18.7006188999999"/>
        <n v="-4.3819397"/>
        <n v="-0.332476696326445"/>
        <n v="32.10826417569"/>
        <n v="1771.41884"/>
        <n v="-0.2626369801"/>
        <n v="143.56365774984"/>
        <n v="3.07125691574399"/>
        <n v="91.9351436"/>
        <n v="-0.41635828973"/>
        <n v="2.45686549999999"/>
        <n v="-0.6237"/>
        <n v="136.48483873164"/>
        <n v="1150.4012433"/>
        <n v="8.737842285465"/>
        <n v="155.364399"/>
        <n v="42.3011216"/>
        <n v="92.7148502490246"/>
        <n v="-97.1347079740593"/>
        <n v="-60.3311891823999"/>
        <n v="63.1942163385539"/>
        <n v="-0.596669186310112"/>
        <n v="-1.29861802462699"/>
        <n v="94.38613571512"/>
        <n v="212.7773152288"/>
        <n v="-28.269192247472"/>
        <n v="8.804859544"/>
        <n v="-13.7201011379293"/>
        <n v="-0.67828"/>
        <n v="-10.6643307191798"/>
        <n v="410.1776514514"/>
        <n v="12.569788806483"/>
        <n v="-9.25474300405623"/>
        <n v="-16.7455398"/>
        <n v="21.237091699377"/>
        <n v="-0.1512248"/>
        <n v="-28.7782216684482"/>
        <n v="548.313194318"/>
        <n v="14.739725"/>
        <n v="-0.57303951"/>
        <n v="24.3837227166501"/>
        <n v="-12.4979544560729"/>
        <n v="2.38613676167199"/>
        <n v="-3.54543296376999"/>
        <n v="145.443160273383"/>
        <n v="236.4481206072"/>
        <n v="-34.3447769394498"/>
        <n v="227.557775346525"/>
        <n v="-12.5057429679379"/>
        <n v="124.899793913195"/>
        <n v="4.46777"/>
        <n v="-125.451838378239"/>
        <n v="204.405389363554"/>
        <n v="619.692073951222"/>
        <n v="21.9714681284439"/>
        <n v="40.503521966957"/>
        <n v="-3.232616"/>
        <n v="81.47545"/>
        <n v="271.1159271552"/>
        <n v="-0.278242463725375"/>
        <n v="-1.36567736856217"/>
        <n v="-0.152737223130343"/>
        <n v="5.414528"/>
        <n v="-37.4759397833839"/>
        <n v="23.6276742785829"/>
        <n v="81.97833170032"/>
        <n v="-10.7690931915319"/>
        <n v="45.63306657533"/>
        <n v="-0.314"/>
        <n v="505.168104902527"/>
        <n v="-2.38562388069117"/>
        <n v="39.6814398582309"/>
        <n v="-1.16210351013899"/>
        <n v="42.744004544"/>
        <n v="177.772379999999"/>
        <n v="-33.0842571801759"/>
        <n v="-5.54593706972399"/>
        <n v="91.6921079143138"/>
        <n v="19.8480205346999"/>
        <n v="56.682467075"/>
        <n v="97.246031682592"/>
        <n v="-35.632455693264"/>
        <n v="397.176606323115"/>
        <n v="-101.527144250406"/>
        <n v="32.186190092"/>
        <n v="50.5369948930156"/>
        <n v="1476.48152618961"/>
        <n v="208.9605729245"/>
        <n v="585.969539506069"/>
        <n v="-14.038430069432"/>
        <n v="39.2395152999917"/>
        <n v="-14.0220292349564"/>
        <n v="-4.86889588160499"/>
        <n v="0.331287753962"/>
        <n v="-2.767281740731"/>
        <n v="-6.63509262987399"/>
        <n v="-4.72706846368623"/>
        <n v="3.6075826636144"/>
        <n v="4.30781049999999"/>
        <n v="939.73429556112"/>
        <n v="1569.63075820715"/>
        <n v="-14.2142839425711"/>
        <n v="-549.239718751199"/>
        <n v="-0.564607266224858"/>
        <n v="0.21266917151"/>
        <n v="-1.117520719449"/>
        <n v="826.325632720674"/>
        <n v="23.9517170548501"/>
        <n v="-0.837224814072"/>
        <n v="261.9359"/>
        <n v="-91.5890872"/>
        <n v="324.736218828539"/>
        <n v="-39.386089101379"/>
        <n v="26.179314561525"/>
        <n v="-4.0567046139213"/>
        <n v="-0.284344843107999"/>
        <n v="48.2921122601889"/>
        <n v="-52.2570530327409"/>
        <n v="15.49063715976"/>
        <n v="850.063018371258"/>
        <n v="6.798694798458"/>
        <n v="-25.0476448"/>
        <n v="-0.404848899999999"/>
        <n v="11.133285629024"/>
        <n v="-56.6446582028812"/>
        <n v="24.35212305888"/>
        <n v="-24.866262131411"/>
        <n v="-8.11036663435174"/>
        <n v="-1.33306779999999"/>
        <n v="-10.4000295570509"/>
        <n v="101.76618484276"/>
        <n v="-0.194583663914999"/>
        <n v="-31.785656"/>
        <n v="8.5742369"/>
        <n v="-2.03609499999999"/>
        <n v="-4.8137817"/>
        <n v="0.38462271665014"/>
        <n v="87.116003222704"/>
        <n v="-7.60441567267823"/>
        <n v="-0.5885"/>
        <n v="-0.4585"/>
        <n v="13.5005606068"/>
        <n v="0.383952020055998"/>
        <n v="19.5924105787589"/>
        <n v="-0.867621337499999"/>
        <n v="1680.78295"/>
        <n v="-1.13084387485"/>
        <n v="-1.4786644661"/>
        <n v="-10.1063435738981"/>
        <n v="290.123340113952"/>
        <n v="16.7208051"/>
        <n v="89.0898363836411"/>
        <n v="-1.06086061523872"/>
        <n v="-1.63769727494999"/>
        <n v="-0.22"/>
        <n v="33.1226281749999"/>
        <n v="-0.6613"/>
        <n v="-0.6786078"/>
        <n v="-8.58195815809892"/>
        <n v="2.2986621"/>
        <n v="22.8054146510487"/>
        <n v="-0.95074"/>
        <n v="-0.2726"/>
        <n v="1.0948"/>
        <n v="100.9809048"/>
        <n v="10.664118084298"/>
        <n v="6.332367498176"/>
        <n v="-0.3206259867741"/>
        <n v="68.1916177"/>
        <n v="72.2846"/>
        <n v="0.1326342506"/>
        <n v="42.168244"/>
        <n v="0.5068"/>
        <n v="-0.1187122"/>
        <n v="111.337213810535"/>
        <n v="105.60260916736"/>
        <n v="-20.215030029488"/>
        <n v="71.82497862887"/>
        <n v="6.272545372227"/>
        <n v="20.651188602815"/>
        <n v="112.669088974155"/>
        <n v="67.042219929416"/>
        <n v="3.0511666236"/>
        <n v="-4.40053094147799"/>
        <n v="1.78455050624857"/>
        <n v="858.039974527167"/>
        <n v="182.462925777967"/>
        <n v="49.5858099874436"/>
        <n v="-94.0124600999999"/>
        <n v="25.452944312"/>
        <n v="39.281126710721"/>
        <n v="103.392448121172"/>
        <n v="255.7839"/>
        <n v="11.96299856"/>
        <n v="-8.354981871597"/>
        <n v="-8.99080525273945"/>
        <n v="-3.1740595206901"/>
        <n v="855.9114225402"/>
        <n v="-1.6959321221"/>
        <n v="127.334704999999"/>
        <n v="366.208820326736"/>
        <n v="1012.0622294181"/>
        <n v="-63.0893269424456"/>
        <n v="85.7372500546581"/>
        <n v="429.351558455853"/>
        <n v="342.537437749494"/>
        <n v="-31.2440047045177"/>
        <n v="10.6555146617051"/>
        <n v="-30.8421251189619"/>
        <n v="1.0186054"/>
        <n v="63.5923338265153"/>
        <n v="-5.31717181476299"/>
        <n v="1.64147318711361"/>
        <n v="-39.8187809522927"/>
        <n v="-0.941578599999999"/>
        <n v="130.556196950406"/>
        <n v="-0.326736506399999"/>
        <n v="-9.01445008685706"/>
        <n v="32.4135034353433"/>
        <n v="-6.3759145"/>
        <n v="0.922606892757"/>
        <n v="2.06306160198575"/>
        <n v="-40.5905494718566"/>
        <n v="81.48844025799"/>
        <n v="0.750696622423999"/>
        <n v="19.4841964760993"/>
        <n v="-0.191080270046999"/>
        <n v="76.61188577275"/>
        <n v="92.7545813677003"/>
        <n v="-85.5790529585029"/>
        <n v="1.820240836"/>
        <n v="-0.527001733961316"/>
        <n v="35.161523175"/>
        <n v="-0.083502202035"/>
        <n v="28.8270379999999"/>
        <n v="-14.2705639652979"/>
        <n v="-8.66401632775442"/>
        <n v="119.130668205293"/>
        <n v="-4.42518696893599"/>
        <n v="99.1146965855904"/>
        <n v="3.66648452555084"/>
        <n v="13.5707515216801"/>
        <n v="568.57774866843"/>
        <n v="10.274867776845"/>
        <n v="333.892969"/>
        <n v="-5.45390174821228"/>
        <n v="169.902418537139"/>
        <n v="-2.21666667477"/>
        <n v="19.08682"/>
        <n v="229.164645894915"/>
        <n v="33.1400056916829"/>
        <n v="-16.9259507259899"/>
        <n v="79.0413780219615"/>
        <n v="484.652020674753"/>
        <n v="-43.95849948844"/>
        <n v="-4.0245093160056"/>
        <n v="1.8605878"/>
        <n v="119.885732165507"/>
        <n v="-0.134435941665999"/>
        <n v="61.1907936745692"/>
        <n v="-22.1741606159999"/>
        <n v="-6.32242055637936"/>
        <n v="-0.33457"/>
        <n v="55.477834737187"/>
        <n v="-0.52078"/>
        <n v="1595.66362341435"/>
        <n v="-0.28348661468"/>
        <n v="3.68846233486"/>
        <n v="87.4303546946738"/>
        <n v="-1.39797463699999"/>
        <n v="5.214284104707"/>
        <n v="-7.11222278914999"/>
        <n v="36.784629267568"/>
        <n v="10.7494851221742"/>
        <n v="344.663304136094"/>
        <n v="-3.67622982761373"/>
        <n v="258.25234146206"/>
        <n v="-125.241340078993"/>
        <n v="69.7225099490695"/>
        <n v="-18.569039770169"/>
        <n v="0.109692057790399"/>
        <n v="99.155284808083"/>
        <n v="-4.16760565127541"/>
        <n v="52.53857857701"/>
        <n v="50.1719797081103"/>
        <n v="46.74938"/>
        <n v="35.9498891475"/>
        <n v="-1.1666442"/>
        <n v="-1.69128330684872"/>
        <n v="430.903997060756"/>
        <n v="5.9372"/>
        <n v="546.390899306476"/>
        <n v="-0.10005"/>
        <n v="60.288442"/>
        <n v="-0.356720001132282"/>
        <n v="2.68153"/>
        <n v="-1.0114346"/>
        <n v="-0.5300440407"/>
        <n v="1924.66523119999"/>
        <n v="-1.277289833901"/>
        <n v="-85.5470199116166"/>
        <n v="487.02878"/>
        <n v="-0.5554555023264"/>
        <n v="-1.1352028"/>
        <n v="134.101821864096"/>
        <n v="166.730342088276"/>
        <n v="32.1254623999999"/>
        <n v="-0.57469025"/>
        <n v="146.5640799"/>
        <n v="25.6603663114415"/>
        <n v="11.0281532"/>
        <n v="-0.8094832"/>
        <n v="7.89624301636772"/>
        <n v="7.7962943382"/>
        <n v="310.127215974399"/>
        <n v="-11.2904905892823"/>
        <n v="337.0511"/>
        <n v="-0.1582698"/>
        <n v="0.40302271665014"/>
        <n v="35.555493225"/>
        <n v="98.290862108032"/>
        <n v="0.00835856215014052"/>
        <n v="57.0629"/>
        <n v="13.830148590896"/>
        <n v="120.653186032735"/>
        <n v="405.42499853684"/>
        <n v="-0.748842599999999"/>
        <n v="-0.649836528940544"/>
        <n v="-0.531544034507999"/>
        <n v="10.1622765965788"/>
        <n v="29.4442677476799"/>
        <n v="-1.6813128"/>
        <n v="486.1228848"/>
        <n v="-0.995876598974999"/>
        <n v="283.549940596049"/>
        <n v="58.5997453081852"/>
        <n v="-0.297464264748425"/>
        <n v="29.045414293"/>
        <n v="76.302649167423"/>
        <n v="-1.708011707372"/>
        <n v="0.418502187041379"/>
        <n v="195.831623909191"/>
        <n v="187.7101103"/>
        <n v="-1.3963507752"/>
        <n v="-0.178384"/>
        <n v="780.973599034242"/>
        <n v="-0.482942799999999"/>
        <n v="-28.2787420933064"/>
        <n v="-41.1567194452829"/>
        <n v="56.139728215248"/>
        <n v="-3.3963469"/>
        <n v="-0.1232"/>
        <n v="0.035749783482167"/>
        <n v="-29.888778932312"/>
        <n v="1.13919116096"/>
        <n v="-17.6423726190608"/>
        <n v="72.438332421696"/>
        <n v="6.1101015"/>
        <n v="-4.5560545"/>
        <n v="-1.5489879"/>
        <n v="1.99029511931848"/>
        <n v="90.8472943410644"/>
        <n v="237.432449374723"/>
        <n v="68.784891307769"/>
        <n v="223.008509817459"/>
        <n v="122.535534177948"/>
        <n v="6.575529112312"/>
        <n v="-23.6526745711289"/>
        <n v="-16.010603708332"/>
        <n v="7.29241519999999"/>
        <n v="9.888378371491"/>
        <n v="-10.9295531102799"/>
        <n v="-7.30415815999999"/>
        <n v="11.9449212137916"/>
        <n v="5.935988617629"/>
        <n v="74.624125"/>
        <n v="-3.01998726442999"/>
        <n v="14.4418955616908"/>
        <n v="12.8763746600436"/>
        <n v="14.82734"/>
        <n v="-8.05660621097724"/>
        <n v="9.397172"/>
        <n v="-6.54786108886699"/>
        <n v="-12.7524872"/>
        <n v="-0.49"/>
        <n v="-17.3461543290339"/>
        <n v="482.533342282328"/>
        <n v="6.98598459999999"/>
        <n v="-0.795247056982999"/>
        <n v="51.6715714196"/>
        <n v="-0.295025"/>
        <n v="84.525522242479"/>
        <n v="96.4741"/>
        <n v="-5.22482371764514"/>
        <n v="-1.51301754999999"/>
        <n v="-114.946552483088"/>
        <n v="318.445870923232"/>
        <n v="-6.36983652664"/>
        <n v="39.256011839452"/>
        <n v="-2.4800738"/>
        <n v="81.2406632"/>
        <n v="158.718298739889"/>
        <n v="-106.677971357952"/>
        <n v="-2.0516793"/>
        <n v="620.399415384227"/>
        <n v="-14.262942571568"/>
        <n v="510.825181626492"/>
        <n v="-3.4371411"/>
        <n v="-9.74762719967899"/>
        <n v="52.0285159775059"/>
        <n v="8.030036"/>
        <n v="-2.61684436492499"/>
        <n v="629.899195867879"/>
        <n v="25.344288639452"/>
        <n v="-34.046601149504"/>
        <n v="99.3984862964"/>
        <n v="551.767641596897"/>
        <n v="-6.29274064829699"/>
        <n v="-0.151869208468516"/>
        <n v="-1.25131401514499"/>
        <n v="0.28798181149578"/>
        <n v="90.4969695346"/>
        <n v="3.01162226925"/>
        <n v="-0.943080375658049"/>
        <n v="-54.1825900220625"/>
        <n v="385.513063765712"/>
        <n v="-0.493947934173836"/>
        <n v="65.373802160256"/>
        <n v="-0.2885"/>
        <n v="-1.218044"/>
        <n v="28.8292043"/>
        <n v="495.234650811684"/>
        <n v="3.27541057875896"/>
        <n v="-0.27535"/>
        <n v="-4.91662039097296"/>
        <n v="-5.67555455019271"/>
        <n v="124.756229999999"/>
        <n v="10.2426796224"/>
        <n v="44.5088056660304"/>
        <n v="39.128946625"/>
        <n v="128.48582"/>
        <n v="-9.74818419999999"/>
        <n v="14.8199265"/>
        <n v="5.26165968001617"/>
        <n v="59.910260431651"/>
        <n v="311.279216845492"/>
        <n v="103.044696800847"/>
        <n v="7.2592"/>
        <n v="106.072326740823"/>
        <n v="9.840724"/>
        <n v="41.4746762"/>
        <n v="-1.81945"/>
        <n v="5.0811"/>
        <n v="0.82751499072"/>
        <n v="-11.0308811"/>
        <n v="37.3975"/>
        <n v="108.620192546017"/>
        <n v="23.086503369443"/>
        <n v="-0.8789"/>
        <n v="-0.530295843959204"/>
        <n v="7.7652"/>
        <n v="-8.67888006654932"/>
        <n v="299.05007044699"/>
        <n v="70.45697474464"/>
        <n v="-3.622415025"/>
        <n v="118.434746013984"/>
        <n v="26.9524385543318"/>
        <n v="93.4780628864775"/>
        <n v="82.071979"/>
        <n v="2.12622923023699"/>
        <n v="10.3512012017466"/>
        <n v="-16.7977265628209"/>
        <n v="31.352500877631"/>
        <n v="-7.4323215"/>
        <n v="-1.58640820745799"/>
        <n v="6.2558"/>
        <n v="230.730556027999"/>
        <n v="-117.132692849891"/>
        <n v="-5.58554489999999"/>
        <n v="-2.18287748402099"/>
        <n v="11.4264507356799"/>
        <n v="48.9342252513839"/>
        <n v="424.598843959808"/>
        <n v="4.17925732360651"/>
        <n v="-7.621482990242"/>
        <n v="-3.39584569729483"/>
        <n v="-0.179287365394999"/>
        <n v="140.929785627341"/>
        <n v="792.309486648983"/>
        <n v="-3.00919994535661"/>
        <n v="325.685328391736"/>
        <n v="122.046189503365"/>
        <n v="0.53388845972215"/>
        <n v="-2.217759147597"/>
        <n v="-8.47423064243239"/>
        <n v="-34.463714285425"/>
        <n v="61.187717752656"/>
        <n v="-39.7264884406399"/>
        <n v="-94.7892684965409"/>
        <n v="95.4830514977575"/>
        <n v="14.128599924853"/>
        <n v="1088.6237141653"/>
        <n v="18.4115169074527"/>
        <n v="9.5670735"/>
        <n v="-12.34709024"/>
        <n v="-8.60803976020799"/>
        <n v="-0.178948436988"/>
        <n v="101.803050910011"/>
        <n v="35.733359826224"/>
        <n v="308.580047967704"/>
        <n v="276.5980907458"/>
        <n v="-15.134793916691"/>
        <n v="-1.41416723391699"/>
        <n v="2.29250305887999"/>
        <n v="38.705356950231"/>
        <n v="-42.4206292584479"/>
        <n v="106.407698142862"/>
        <n v="53.809752842292"/>
        <n v="46.5909947375029"/>
        <n v="0.8291031"/>
        <n v="5.77091"/>
        <n v="-5.4520781"/>
        <n v="16.1848970077542"/>
        <n v="0.160599999999999"/>
        <n v="0.0983336"/>
        <n v="-0.1776"/>
        <n v="43.730857438289"/>
        <n v="485.935466570723"/>
        <n v="48.38738485"/>
        <n v="402.263511253241"/>
        <n v="40.8689189873743"/>
        <n v="-0.3085596"/>
        <n v="-5.5444008"/>
        <n v="-10.1153609900062"/>
        <n v="318.342373553317"/>
        <n v="46.5571183102939"/>
        <n v="14.7802840196134"/>
        <n v="-5.28309325396214"/>
        <n v="-1.01603335697399"/>
        <n v="-209.180494671"/>
        <n v="-93.3572028222089"/>
        <n v="76.9495999999999"/>
        <n v="7.188067545548"/>
        <n v="65.467270389907"/>
        <n v="-20.5466294435558"/>
        <n v="74.5561289503839"/>
        <n v="-3.1318712"/>
        <n v="2085.13055365274"/>
        <n v="-2.84557065396299"/>
        <n v="-9.36593993639199"/>
        <n v="49.27855"/>
        <n v="148.378222534257"/>
        <n v="-13.9150516161071"/>
        <n v="38.4975784279781"/>
        <n v="0.041073487018184"/>
        <n v="-12.046789741777"/>
        <n v="56.2138422446"/>
        <n v="63.6303941589456"/>
        <n v="-53.9367845539487"/>
        <n v="270.792510219102"/>
        <n v="264.7731472318"/>
        <n v="488.221272951038"/>
        <n v="-3.52452542465596"/>
        <n v="2634.97319498167"/>
        <n v="4.2900595"/>
        <n v="-0.3066813"/>
        <n v="31.008806823924"/>
        <n v="72.7859254394819"/>
        <n v="-10.450464"/>
        <n v="0.10147358455"/>
        <n v="5.62473209854999"/>
        <n v="-8.298710334368"/>
        <n v="53.1163762248969"/>
        <n v="292.205521033183"/>
        <n v="986.414689881129"/>
        <n v="-15.6287481043465"/>
        <n v="-87.698219148786"/>
        <n v="-15.4904850020234"/>
        <n v="691.552237720271"/>
        <n v="208.511239531847"/>
        <n v="-1.038465"/>
        <n v="-0.76402"/>
        <n v="-2.75263292795634"/>
        <n v="23.1361062358715"/>
        <n v="-0.746541838665"/>
        <n v="-6.12894817379999"/>
        <n v="-77.40364948952"/>
        <n v="48.0950095556"/>
        <n v="-8.7247185"/>
        <n v="134.982061288"/>
        <n v="-233.39792632064"/>
        <n v="29.890036136"/>
        <n v="-0.23628889566918"/>
        <n v="47.7345282423892"/>
        <n v="-3.2132831"/>
        <n v="16.84199"/>
        <n v="0.50697745"/>
        <n v="-7.5194808"/>
        <n v="-1.90428059999999"/>
        <n v="-0.0895660610499999"/>
        <n v="-2.256353147064"/>
        <n v="-2.9317897"/>
        <n v="87.634152304176"/>
        <n v="9.4944688"/>
        <n v="7.3460480609643"/>
        <n v="-19.1798511"/>
        <n v="80.789716"/>
        <n v="-4.66433"/>
        <n v="-0.691976295058999"/>
        <n v="5.105505"/>
        <n v="-0.249649306799999"/>
        <n v="58.9921799727471"/>
        <n v="96.9552862070398"/>
        <n v="215.304014737646"/>
        <n v="-212.05106061543"/>
        <n v="13.81127968"/>
        <n v="212.5071"/>
        <n v="-68.905415335712"/>
        <n v="-20.2674372999999"/>
        <n v="-0.157834067345"/>
        <n v="12.8474915882234"/>
        <n v="3.33774944999999"/>
        <n v="-1.526233761957"/>
        <n v="0.49059256520384"/>
        <n v="352.5105941948"/>
        <n v="11.93611819015"/>
        <n v="-10.218306231001"/>
        <n v="5.55146282918545"/>
        <n v="0.177782790883"/>
        <n v="-27.0046703082425"/>
        <n v="-2.73812632"/>
        <n v="1424.70027793299"/>
        <n v="597.454408396565"/>
        <n v="-12.9449481531993"/>
        <n v="14.9407801732499"/>
        <n v="38.2088723675408"/>
        <n v="-1.67101888142999"/>
        <n v="-0.426395560871999"/>
        <n v="5.51169999999999"/>
        <n v="499.327511485098"/>
        <n v="947.142070103639"/>
        <n v="35.4319581333839"/>
        <n v="350.739074579976"/>
        <n v="-0.2884"/>
        <n v="-35.6230883870719"/>
        <n v="-2.40825915"/>
        <n v="-3.79532885399099"/>
        <n v="16.216638585488"/>
        <n v="13.7133383383156"/>
        <n v="11.581325690576"/>
        <n v="-0.072901566813469"/>
        <n v="-0.5744"/>
        <n v="-9.85194373606199"/>
        <n v="-3.031553554152"/>
        <n v="-0.3293813"/>
        <n v="-4.4807521999661"/>
        <n v="511.914652176378"/>
        <n v="8.843594978156"/>
        <n v="-8.22290729057427"/>
        <n v="661.650793363896"/>
        <n v="43.2051169034568"/>
        <n v="2.96801109528"/>
        <n v="-14.5046452999999"/>
        <n v="-1.081362764445"/>
        <n v="-0.1946621072"/>
        <n v="-21.3962196113329"/>
        <n v="103.862195515968"/>
        <n v="4.1247319"/>
        <n v="1160.42267905338"/>
        <n v="0.532768424676"/>
        <n v="-8.4792713992"/>
        <n v="-0.1985625"/>
        <n v="-0.216212660485998"/>
        <n v="14.670690773975"/>
        <n v="-1.93282661145399"/>
        <n v="-4.21521480196699"/>
        <n v="79.6124333308963"/>
        <n v="810.539119426672"/>
        <n v="-0.4739722460757"/>
        <n v="-0.75596510913575"/>
        <n v="453.029293917122"/>
        <n v="302.12950983083"/>
        <n v="-0.46907"/>
        <n v="-0.750285398328775"/>
        <n v="-0.1673004"/>
        <n v="-47.9791680630749"/>
        <n v="44.86579103814"/>
        <n v="-16.6130216424539"/>
        <n v="1084.12829529941"/>
        <n v="-6.94373891351316"/>
        <n v="-0.123952"/>
        <n v="0.69551513065"/>
        <n v="94.741169394444"/>
        <n v="307.938931128193"/>
        <n v="69.006114052631"/>
        <n v="-2.8972808752"/>
        <n v="15.5546167"/>
        <n v="53.9454379072"/>
        <n v="11.0193358947319"/>
        <n v="-83.8902607237766"/>
        <n v="0.84323175"/>
        <n v="125.974005718228"/>
        <n v="109.802684914639"/>
        <n v="-29.2714970572299"/>
        <n v="19.683804413408"/>
        <n v="48.0086233434262"/>
        <n v="-5.51476855149229"/>
        <n v="11.7667889517"/>
        <n v="96.1732928925129"/>
        <n v="-13.0285154732721"/>
        <n v="0.058445973075"/>
        <n v="-0.1747305"/>
        <n v="-0.3087813"/>
        <n v="-2.38023815564728"/>
        <n v="1110.37085270767"/>
        <n v="-0.1747195"/>
        <n v="1.31215056093049"/>
        <n v="7.85550009999999"/>
        <n v="22.8641150448879"/>
        <n v="16.4517024"/>
        <n v="-8.3145984300155"/>
        <n v="12.4877773794911"/>
        <n v="25.3505220629899"/>
        <n v="9.30362377090427"/>
        <n v="-0.612925069015503"/>
        <n v="-11.0576927885819"/>
        <n v="5.76347649999999"/>
        <n v="-2.3424428257852"/>
        <n v="45.237136174483"/>
        <n v="-1.47752705416109"/>
        <n v="-0.411901275979183"/>
        <n v="-0.653481988216"/>
        <n v="-1.62336095347165"/>
        <n v="-112.521126208972"/>
        <n v="413.92528377726"/>
        <n v="-5.28821905060715"/>
        <n v="25.6405252298076"/>
        <n v="6.2218098"/>
        <n v="-0.5318271"/>
        <n v="-0.165"/>
        <n v="35.6471519260203"/>
        <n v="43.4686304397163"/>
        <n v="22.245446"/>
        <n v="297.6883696"/>
        <n v="2.17047012813"/>
        <n v="135.491111099999"/>
        <n v="0.34525"/>
        <n v="-0.180512830523"/>
        <n v="31.6417207347999"/>
        <n v="59.01305386387"/>
        <n v="-3.1226079"/>
        <n v="36.974363615072"/>
        <n v="27.5292319769269"/>
        <n v="-9.72383419999999"/>
        <n v="50.7298261419519"/>
        <n v="-12.8888619"/>
        <n v="-8.89475398115967"/>
        <n v="79.0570916499999"/>
        <n v="-9.8447835"/>
        <n v="-3.64007169854"/>
        <n v="-0.8904680963174"/>
        <n v="24.4588151"/>
        <n v="940.688849999999"/>
        <n v="-39.8535594947199"/>
        <n v="38.0892684999999"/>
        <n v="-0.4625992"/>
        <n v="11.1743384051538"/>
        <n v="-0.5379"/>
        <n v="115.439054398208"/>
        <n v="-3.81928679999999"/>
        <n v="37.929066659944"/>
        <n v="4.6263588"/>
        <n v="-0.596571"/>
        <n v="344.365409000335"/>
        <n v="24.3001686"/>
        <n v="33.3830308"/>
        <n v="-8.725710542675"/>
        <n v="167.8610273"/>
        <n v="11.9481691996401"/>
        <n v="-1.68796249999999"/>
        <n v="12.309935"/>
        <n v="-5.3975407"/>
        <n v="-0.41505"/>
        <n v="-86.671889200976"/>
        <n v="-35.814216552448"/>
        <n v="116.070070333092"/>
        <n v="17.1925089200042"/>
        <n v="-0.19267253876"/>
        <n v="-10.020716174575"/>
        <n v="-6.16014585179999"/>
        <n v="92.2918558624651"/>
        <n v="-0.3539361216573"/>
        <n v="-1.133026647612"/>
        <n v="-1.43415598300699"/>
        <n v="-7.98188339999999"/>
        <n v="118.388386617275"/>
        <n v="-0.420452799999999"/>
        <n v="-4.63905062111999"/>
        <n v="16.652722192"/>
        <n v="-15.1592665999999"/>
        <n v="334.194326095493"/>
        <n v="-22.429029006096"/>
        <n v="398.675118308024"/>
        <n v="31.905541149536"/>
        <n v="-54.02564684088"/>
        <n v="-57.8169655999999"/>
        <n v="12.3600232514594"/>
        <n v="40.1914744033179"/>
        <n v="-1.271289078944"/>
        <n v="9.633947736"/>
        <n v="-69.9150764244829"/>
        <n v="33.717659230902"/>
        <n v="135.4173333104"/>
        <n v="-0.484857880895995"/>
        <n v="-0.19058"/>
        <n v="756.651366722852"/>
        <n v="442.340147597614"/>
        <n v="-2.8306642"/>
        <n v="-0.7476744315441"/>
        <n v="28.025545204563"/>
        <n v="-0.3450671"/>
        <n v="35.586480990781"/>
        <n v="-6.69004914668211"/>
        <n v="-0.288668920180371"/>
        <n v="-0.72473976606"/>
        <n v="-24.6004701975348"/>
        <n v="-13.917407693915"/>
        <n v="75.7086837877047"/>
        <n v="-0.23912826014"/>
        <n v="53.824016532446"/>
        <n v="-9.73526049152199"/>
        <n v="-0.282150834499999"/>
        <n v="-7.64835856940408"/>
        <n v="-2.96588719674481"/>
        <n v="6.72310331446"/>
        <n v="111.484189683647"/>
        <n v="106.034367578045"/>
        <n v="229.140850394496"/>
        <n v="26.9533597177161"/>
        <n v="20.853225119952"/>
        <n v="-67.4340788824448"/>
        <n v="38.518218916921"/>
        <n v="0.0464527"/>
        <n v="76.26109525168"/>
        <n v="40.24288694087"/>
        <n v="-6.19928977038399"/>
        <n v="6.566740583964"/>
        <n v="2480.30822431875"/>
        <n v="24.7651614851937"/>
        <n v="-30.973883864188"/>
        <n v="-4.560027005888"/>
        <n v="-0.311555999999999"/>
        <n v="-7.2732527808"/>
        <n v="-3.14450472136799"/>
        <n v="-17.2949791"/>
        <n v="-0.4798909"/>
        <n v="66.4153208895486"/>
        <n v="-3.8769096304"/>
        <n v="-1.1826081675"/>
        <n v="22.503359745"/>
        <n v="244.343845736203"/>
        <n v="-2.73765061724653"/>
        <n v="-32.5019183641709"/>
        <n v="-13.2476428125631"/>
        <n v="-0.1560170325"/>
        <n v="-0.05006606105"/>
        <n v="23.49732305888"/>
      </sharedItems>
    </cacheField>
    <cacheField name="loss" numFmtId="0">
      <sharedItems containsSemiMixedTypes="0" containsString="0" containsNumber="1">
        <n v="7.86875627185199"/>
        <n v="107.473210272453"/>
        <n v="292.042602607506"/>
        <n v="0.753464703569999"/>
        <n v="5.48464716851998"/>
        <n v="11.0211287538559"/>
        <n v="0.0896814"/>
        <n v="9.34899455431799"/>
        <n v="9.5481504"/>
        <n v="3.302923278276"/>
        <n v="24.519131333166"/>
        <n v="2.06938821879199"/>
        <n v="76.1635194233233"/>
        <n v="2.843765595"/>
        <n v="3.80147377399799"/>
        <n v="12.9460294066699"/>
        <n v="4.08766927679999"/>
        <n v="9.94255643287574"/>
        <n v="19.7658141214083"/>
        <n v="9.84165069953399"/>
        <n v="65.7780993713369"/>
        <n v="0.844438470566328"/>
        <n v="0.242011434199319"/>
        <n v="0.4441916184615"/>
        <n v="3.02610382612499"/>
        <n v="5.21541860705701"/>
        <n v="21.6713692614079"/>
        <n v="9.199927583379"/>
        <n v="7.8340673450028E-6"/>
        <n v="26.1941587888839"/>
        <n v="0.21218113236"/>
        <n v="9.818278550013"/>
        <n v="3.74471249999999"/>
        <n v="1.59135839999999"/>
        <n v="386.522158164079"/>
        <n v="13.6265367528"/>
        <n v="2.94401321149499"/>
        <n v="20.845392390112"/>
        <n v="18.0518392367999"/>
        <n v="44.9562750870693"/>
        <n v="43.0284689999999"/>
        <n v="1.34882"/>
        <n v="43.9034962903829"/>
        <n v="2.98595857518899"/>
        <n v="0.56231351757"/>
        <n v="32.4604483274999"/>
        <n v="0.502166000000016"/>
        <n v="62.0777133479429"/>
        <n v="6.26106563362599"/>
        <n v="18.5878875923129"/>
        <n v="0.13793360000001"/>
        <n v="0.02677"/>
        <n v="0.717600568802"/>
        <n v="414.253950092399"/>
        <n v="2.05616796951112"/>
        <n v="0.349121999999997"/>
        <n v="132.994441497842"/>
        <n v="0.0479444777999999"/>
        <n v="26.1832978134679"/>
        <n v="18.7515855072237"/>
        <n v="2.49293599971599"/>
        <n v="17.9582989332332"/>
        <n v="57.6603252384519"/>
        <n v="24.314765133948"/>
        <n v="12.3155659187279"/>
        <n v="1.49276551819957"/>
        <n v="10.0449942957341"/>
        <n v="168.196218375497"/>
        <n v="573.48654585616"/>
        <n v="14.1251043549659"/>
        <n v="3.67778179076999"/>
        <n v="23.650361990035"/>
        <n v="22.951822164303"/>
        <n v="68.118095586595"/>
        <n v="5.6776236273"/>
        <n v="1.7173771038217"/>
        <n v="7.94459535238347"/>
        <n v="0.01236"/>
        <n v="6.41444973415867"/>
        <n v="0.00336000000000002"/>
        <n v="19.237526772999"/>
        <n v="78.1808109025829"/>
        <n v="742.188045984"/>
        <n v="0.481021348543124"/>
        <n v="0.001566813"/>
        <n v="83.1635701903458"/>
        <n v="38.360339084268"/>
        <n v="40.776390122353"/>
        <n v="0.532065953425692"/>
        <n v="2.32811403226587"/>
        <n v="5.76855989850399"/>
        <n v="420.509419358978"/>
        <n v="40.2117021548321"/>
        <n v="1.92198223773099"/>
        <n v="0.692791064825244"/>
        <n v="16.018481745728"/>
        <n v="3.23743975502499"/>
        <n v="0.481502615616"/>
        <n v="21.4441319476593"/>
        <n v="0.0553999999999996"/>
        <n v="0.0507813000000041"/>
        <n v="0.0196024033106589"/>
        <n v="7.620092389728"/>
        <n v="0.2696271789"/>
        <n v="0.239647979944002"/>
        <n v="5.49233140719999"/>
        <n v="0.0195375000000002"/>
        <n v="1.75110966725384"/>
        <n v="6.48704028228382"/>
        <n v="18.992332215241"/>
        <n v="0.66255000000001"/>
        <n v="0.0915000000000105"/>
        <n v="17.17688139478"/>
        <n v="0.630680599999999"/>
        <n v="1.42716025088108"/>
        <n v="0.00175329999999984"/>
        <n v="4.21130489999999"/>
        <n v="45.2951399999999"/>
        <n v="2.76498942124104"/>
        <n v="97.556672532"/>
        <n v="0.792222956751004"/>
        <n v="0.00338690000000002"/>
        <n v="2.1303120102502"/>
        <n v="1.55097512991522"/>
        <n v="1.17990576459299"/>
        <n v="0.198451027170071"/>
        <n v="1.2534507752"/>
        <n v="1.499632501824"/>
        <n v="0.716420999999998"/>
        <n v="3.4359169562"/>
        <n v="0.66006585"/>
        <n v="0.263781100000002"/>
        <n v="0.00253970000000069"/>
        <n v="0.272476696326445"/>
        <n v="0.422835824309999"/>
        <n v="1.4118599999997"/>
        <n v="0.0747369801"/>
        <n v="9.13724225016"/>
        <n v="1.596143084256"/>
        <n v="1.04295639999999"/>
        <n v="0.26635828973"/>
        <n v="0.827534500000001"/>
        <n v="0.0242"/>
        <n v="1.65966126835945"/>
        <n v="0.846956699999964"/>
        <n v="0.815357714535"/>
        <n v="5.46590099999997"/>
        <n v="14.8526784"/>
        <n v="27.3192497509754"/>
        <n v="95.0834079740593"/>
        <n v="11.7199891823999"/>
        <n v="5.383983661446"/>
        <n v="0.00696918631011211"/>
        <n v="11.9654180246269"/>
        <n v="59.4980642848799"/>
        <n v="145.019984771199"/>
        <n v="24.055192247472"/>
        <n v="7.265340456"/>
        <n v="18.2020011379293"/>
        <n v="0.28968"/>
        <n v="7.16353071917982"/>
        <n v="120.422248548599"/>
        <n v="10.7474111935169"/>
        <n v="36.7281430040562"/>
        <n v="0.877639800000004"/>
        <n v="12.6217083006229"/>
        <n v="0.00172479999999999"/>
        <n v="29.3659216684482"/>
        <n v="557.189105682"/>
        <n v="0.126774999999998"/>
        <n v="0.423039509999999"/>
        <n v="5.87497728334986"/>
        <n v="10.9379544560729"/>
        <n v="11.131063238328"/>
        <n v="2.62643296376999"/>
        <n v="192.565339726616"/>
        <n v="122.853579392799"/>
        <n v="3.75357693944982"/>
        <n v="25.3205246534743"/>
        <n v="40.273242967938"/>
        <n v="11.7226060868049"/>
        <n v="0.0300300000000008"/>
        <n v="45.4708383782399"/>
        <n v="13.8222106364457"/>
        <n v="100.393826048778"/>
        <n v="8.59533187155609"/>
        <n v="30.8504780330429"/>
        <n v="1.562616"/>
        <n v="0.13785"/>
        <n v="72.4703728447999"/>
        <n v="0.406342463725375"/>
        <n v="1.30567736856217"/>
        <n v="0.00273722313034299"/>
        <n v="0.0478719999999981"/>
        <n v="31.4424397833839"/>
        <n v="20.732325721417"/>
        <n v="21.31396829968"/>
        <n v="6.883893191532"/>
        <n v="0.583333424669994"/>
        <n v="0.084"/>
        <n v="284.064495097473"/>
        <n v="2.11562388069117"/>
        <n v="49.6367601417689"/>
        <n v="0.950903510138999"/>
        <n v="6.77629545599999"/>
        <n v="1.46912000000003"/>
        <n v="30.9653571801759"/>
        <n v="4.83823706972399"/>
        <n v="1013.61879208568"/>
        <n v="5.18997946529999"/>
        <n v="0.352532924999998"/>
        <n v="25.5546683174079"/>
        <n v="8.313855693264"/>
        <n v="36.098593676885"/>
        <n v="142.880044250407"/>
        <n v="12.8621099079999"/>
        <n v="4.74560510698432"/>
        <n v="490.96387381039"/>
        <n v="10.1134270754999"/>
        <n v="82.4016604939306"/>
        <n v="12.239730069432"/>
        <n v="4.22728470000828"/>
        <n v="12.2568292349564"/>
        <n v="4.06209588160499"/>
        <n v="0.00781224603800001"/>
        <n v="2.257181740731"/>
        <n v="6.44819262987399"/>
        <n v="3.75826846368623"/>
        <n v="0.599617336385593"/>
        <n v="0.00858950000000025"/>
        <n v="389.57860443888"/>
        <n v="495.97704179284"/>
        <n v="13.9215839425711"/>
        <n v="905.9517187512"/>
        <n v="0.169607266224858"/>
        <n v="0.30803082849"/>
        <n v="0.817520719449"/>
        <n v="258.066067279326"/>
        <n v="6.93588294514986"/>
        <n v="0.696824814071999"/>
        <n v="1.27440000000001"/>
        <n v="25.9921871999999"/>
        <n v="88.3720811714609"/>
        <n v="9.640389101379"/>
        <n v="19.325585438475"/>
        <n v="3.2867046139213"/>
        <n v="0.604344843108"/>
        <n v="15.891087739811"/>
        <n v="63.1779530327409"/>
        <n v="11.0523628402399"/>
        <n v="81.9444816287411"/>
        <n v="5.52170520154199"/>
        <n v="8.4872448"/>
        <n v="0.00864889999999996"/>
        <n v="0.453714370975999"/>
        <n v="55.2742582028812"/>
        <n v="5.87497694112"/>
        <n v="23.6698621314109"/>
        <n v="3.66634351747663E-4"/>
        <n v="0.0544678"/>
        <n v="9.74562955705099"/>
        <n v="34.9391151572399"/>
        <n v="0.0445836639149999"/>
        <n v="10.6090559999999"/>
        <n v="0.806463099999996"/>
        <n v="0.292594999999999"/>
        <n v="0.782981699999999"/>
        <n v="5.87497728334985"/>
        <n v="22.666796777296"/>
        <n v="6.35441567267823"/>
        <n v="0.0284999999999999"/>
        <n v="0.0285"/>
        <n v="20.8549393932"/>
        <n v="0.763821337499999"/>
        <n v="1.59494999999969"/>
        <n v="0.77314387485"/>
        <n v="1.2786644661"/>
        <n v="8.07634357389815"/>
        <n v="158.034959886047"/>
        <n v="0.113394899999999"/>
        <n v="3.84346361635883"/>
        <n v="0.840860615238726"/>
        <n v="1.38059727495"/>
        <n v="0.07"/>
        <n v="6.642471825"/>
        <n v="0.0613000000000001"/>
        <n v="0.00510779999999999"/>
        <n v="6.94195815809892"/>
        <n v="0.0033379"/>
        <n v="3.2065853489513"/>
        <n v="7.39999999999962E-4"/>
        <n v="0.1185"/>
        <n v="0.0649999999999997"/>
        <n v="18.0353951999999"/>
        <n v="0.874281915701999"/>
        <n v="0.1706259867741"/>
        <n v="0.140382299999984"/>
        <n v="0.0920000000000129"/>
        <n v="0.4440657494"/>
        <n v="0.124055999999988"/>
        <n v="0.01"/>
        <n v="0.0587122"/>
        <n v="18.8769861894644"/>
        <n v="81.0063908326399"/>
        <n v="18.437830029488"/>
        <n v="19.39272137113"/>
        <n v="2.637054627773"/>
        <n v="5.50641139718499"/>
        <n v="3.06301102584474"/>
        <n v="61.726080070584"/>
        <n v="8.4709333764"/>
        <n v="3.30003094147799"/>
        <n v="4.20434949375142"/>
        <n v="29.2100254728329"/>
        <n v="47.1122742220325"/>
        <n v="30.3845900125563"/>
        <n v="1.61726009999999"/>
        <n v="12.7759556879999"/>
        <n v="3.60757328927899"/>
        <n v="99.9575518788273"/>
        <n v="0.0"/>
        <n v="7.85070143999999"/>
        <n v="9.937281871597"/>
        <n v="7.14080525273945"/>
        <n v="2.9740595206901"/>
        <n v="15.9684774597991"/>
        <n v="1.4101321221"/>
        <n v="0.631695000000007"/>
        <n v="4.52627967326401"/>
        <n v="130.013670581891"/>
        <n v="305.224426942445"/>
        <n v="7.7149499453418"/>
        <n v="40.8733415441466"/>
        <n v="81.5628622505053"/>
        <n v="27.1940047045177"/>
        <n v="4.92448533829481"/>
        <n v="44.0796251189619"/>
        <n v="0.00839460000000014"/>
        <n v="20.7041661734846"/>
        <n v="5.017171814763"/>
        <n v="0.888526812886389"/>
        <n v="43.5387809522927"/>
        <n v="0.5631786"/>
        <n v="17.9833030495939"/>
        <n v="0.176736506399999"/>
        <n v="6.46055008685706"/>
        <n v="14.3325965646566"/>
        <n v="0.0711145000000001"/>
        <n v="0.303793107242999"/>
        <n v="1.49693839801425"/>
        <n v="94.8479494718566"/>
        <n v="0.928759742010001"/>
        <n v="0.138103377576"/>
        <n v="6.31190352390061"/>
        <n v="0.0410802700469999"/>
        <n v="8.80851422725001"/>
        <n v="27.6582186322996"/>
        <n v="85.0494529585029"/>
        <n v="6.404959164"/>
        <n v="0.407001733961316"/>
        <n v="0.815076824999991"/>
        <n v="0.023502202035"/>
        <n v="0.0561620000000004"/>
        <n v="15.4137639652979"/>
        <n v="4.81201632775442"/>
        <n v="46.3672317947069"/>
        <n v="4.17668696893599"/>
        <n v="11.0215034144096"/>
        <n v="0.274315474449155"/>
        <n v="0.731448478319805"/>
        <n v="171.679951331569"/>
        <n v="25.354132223155"/>
        <n v="0.162030999999956"/>
        <n v="5.30390174821228"/>
        <n v="173.094181462861"/>
        <n v="1.91666667476999"/>
        <n v="0.10968"/>
        <n v="10.481754105085"/>
        <n v="15.3369943083169"/>
        <n v="14.5224507259899"/>
        <n v="11.7633219780384"/>
        <n v="36.7595793252464"/>
        <n v="31.42979948844"/>
        <n v="4.6945093160056"/>
        <n v="0.00561220000000006"/>
        <n v="27.5059678344929"/>
        <n v="0.0800359416659999"/>
        <n v="42.6982063254307"/>
        <n v="5.752760616"/>
        <n v="4.60242055637936"/>
        <n v="0.01247"/>
        <n v="12.360665262813"/>
        <n v="0.0100799999999999"/>
        <n v="224.146676585642"/>
        <n v="0.12758661468"/>
        <n v="0.276437665139999"/>
        <n v="27.8806453053262"/>
        <n v="2.48377463699999"/>
        <n v="23.300515895293"/>
        <n v="6.00802278914999"/>
        <n v="16.5239707324319"/>
        <n v="1.86781487782575"/>
        <n v="108.452295863905"/>
        <n v="5.07742982761373"/>
        <n v="35.32815853794"/>
        <n v="139.824840078993"/>
        <n v="129.16829005093"/>
        <n v="17.553339770169"/>
        <n v="0.3926079422096"/>
        <n v="20.2883151919169"/>
        <n v="3.47640565127541"/>
        <n v="10.0555214229899"/>
        <n v="4.88802029188961"/>
        <n v="0.352220000000002"/>
        <n v="7.1919108525"/>
        <n v="0.2566442"/>
        <n v="0.971283306848724"/>
        <n v="5.24190293924397"/>
        <n v="0.0113000000000003"/>
        <n v="6.51880069352398"/>
        <n v="4.99999999999944E-5"/>
        <n v="0.239157999999996"/>
        <n v="0.296720001132282"/>
        <n v="0.0253699999999996"/>
        <n v="0.2072346"/>
        <n v="0.4700440407"/>
        <n v="1.37706879999996"/>
        <n v="1.127289833901"/>
        <n v="81.8470199116166"/>
        <n v="1.15121999999996"/>
        <n v="0.1654555023264"/>
        <n v="0.00210280000000007"/>
        <n v="60.946178135904"/>
        <n v="10.4241579117238"/>
        <n v="0.109637600000013"/>
        <n v="0.00149024999999991"/>
        <n v="0.354920099999958"/>
        <n v="7.52233368855845"/>
        <n v="0.0114467999999998"/>
        <n v="0.00328320000000004"/>
        <n v="2.05255698363227"/>
        <n v="1.81180566179999"/>
        <n v="57.8999840256"/>
        <n v="8.77049058928233"/>
        <n v="0.979300000000023"/>
        <n v="0.00876979999999999"/>
        <n v="7.13450677499999"/>
        <n v="22.3003378919679"/>
        <n v="8.52724143784985"/>
        <n v="0.073999999999998"/>
        <n v="3.75875140910399"/>
        <n v="4.10511396726455"/>
        <n v="24.4590014631597"/>
        <n v="0.0918425999999998"/>
        <n v="0.149836528940544"/>
        <n v="0.381544034507999"/>
        <n v="0.128823403421181"/>
        <n v="22.22703225232"/>
        <n v="0.2792128"/>
        <n v="2.59781520000001"/>
        <n v="0.275876598974999"/>
        <n v="47.6900594039509"/>
        <n v="11.7972546918148"/>
        <n v="0.097464264748425"/>
        <n v="1.87238570699999"/>
        <n v="10.051150832577"/>
        <n v="1.548011707372"/>
        <n v="0.60429781295862"/>
        <n v="35.3406760908089"/>
        <n v="0.256189699999993"/>
        <n v="0.00288399999999999"/>
        <n v="289.296100965757"/>
        <n v="0.0108427999999999"/>
        <n v="24.3006420933064"/>
        <n v="185.717319445282"/>
        <n v="10.2957717847519"/>
        <n v="1.0653469"/>
        <n v="0.0632"/>
        <n v="3.70115021651783"/>
        <n v="12.342178932312"/>
        <n v="2.23150883904"/>
        <n v="12.7190726190608"/>
        <n v="5.28896757830399"/>
        <n v="0.00829849999999954"/>
        <n v="0.0117545000000003"/>
        <n v="0.0396878999999998"/>
        <n v="38.1096048806815"/>
        <n v="4.46560565893551"/>
        <n v="0.311550625276964"/>
        <n v="27.7805086922309"/>
        <n v="881.62879018254"/>
        <n v="12.4014658220519"/>
        <n v="14.3888708876879"/>
        <n v="28.8554745711289"/>
        <n v="15.4947037083319"/>
        <n v="1.8565848"/>
        <n v="5.74262162850899"/>
        <n v="45.5672531102799"/>
        <n v="5.79845815999999"/>
        <n v="6.79317878620839"/>
        <n v="9.575511382371"/>
        <n v="0.0258749999999992"/>
        <n v="3.79618726442999"/>
        <n v="0.99370443830918"/>
        <n v="3.85172533995637"/>
        <n v="0.00625999999999926"/>
        <n v="5.60620621097724"/>
        <n v="5.30452799999999"/>
        <n v="4.01106108886699"/>
        <n v="0.682187199999999"/>
        <n v="0.12"/>
        <n v="16.209854329034"/>
        <n v="66.9667577176719"/>
        <n v="2.6140154"/>
        <n v="0.727347056983"/>
        <n v="46.8741285803999"/>
        <n v="0.0173249999999999"/>
        <n v="28.436277757521"/>
        <n v="0.427999999999997"/>
        <n v="3.87482371764514"/>
        <n v="1.51461754999999"/>
        <n v="33.4802524830879"/>
        <n v="35.2457290767679"/>
        <n v="3.54613652664"/>
        <n v="0.580588160548003"/>
        <n v="0.0642738"/>
        <n v="3.94063679999999"/>
        <n v="62.1472012601102"/>
        <n v="100.599571357952"/>
        <n v="0.0516793000000002"/>
        <n v="65.229784615773"/>
        <n v="4.988542571568"/>
        <n v="56.1395183735079"/>
        <n v="0.0101410999999997"/>
        <n v="45.0529271996789"/>
        <n v="5.80168402249404"/>
        <n v="0.0308639999999993"/>
        <n v="4.65054436492499"/>
        <n v="70.1627041321202"/>
        <n v="51.1268113605479"/>
        <n v="6.88960114950399"/>
        <n v="9.2743137036"/>
        <n v="238.875158403103"/>
        <n v="4.702740648297"/>
        <n v="0.00186920846851698"/>
        <n v="0.951314015144999"/>
        <n v="8.73201818850421"/>
        <n v="40.6375304653999"/>
        <n v="2.41827773075"/>
        <n v="0.804480375658049"/>
        <n v="115.076390022062"/>
        <n v="80.742636234288"/>
        <n v="0.273947934173836"/>
        <n v="7.03299783974399"/>
        <n v="0.0673439999999998"/>
        <n v="0.0780956999999986"/>
        <n v="56.0102491883155"/>
        <n v="2.76498942124103"/>
        <n v="0.0197499999999999"/>
        <n v="3.93662039097296"/>
        <n v="29.5855545501927"/>
        <n v="0.70617"/>
        <n v="2.6480203776"/>
        <n v="7.04059433396951"/>
        <n v="7.790553375"/>
        <n v="0.815480000000008"/>
        <n v="0.580284199999999"/>
        <n v="0.120273500000001"/>
        <n v="34.6010403199838"/>
        <n v="69.4077395683489"/>
        <n v="44.8688831545073"/>
        <n v="73.741203199152"/>
        <n v="0.0213999999999989"/>
        <n v="3.40077325917626"/>
        <n v="0.0199759999999997"/>
        <n v="0.370923799999999"/>
        <n v="0.104849999999999"/>
        <n v="0.00239999999999973"/>
        <n v="0.30108500928"/>
        <n v="0.890681099999998"/>
        <n v="0.072499999999998"/>
        <n v="1.82870745398274"/>
        <n v="10.407296630557"/>
        <n v="0.0394000000000001"/>
        <n v="0.030295843959204"/>
        <n v="0.0110000000000001"/>
        <n v="6.73888006654932"/>
        <n v="50.5057295530095"/>
        <n v="102.20032525536"/>
        <n v="3.016115025"/>
        <n v="18.852753986016"/>
        <n v="12.8324614456681"/>
        <n v="28.0226371135224"/>
        <n v="0.0495209999999843"/>
        <n v="1.142070769763"/>
        <n v="2.55139879825337"/>
        <n v="20.2546265628209"/>
        <n v="4.01859912236896"/>
        <n v="0.113121500000001"/>
        <n v="1.05080820745799"/>
        <n v="0.00300000000000011"/>
        <n v="77.535143972"/>
        <n v="58.722292849891"/>
        <n v="0.0473448999999988"/>
        <n v="1.89427748402099"/>
        <n v="41.50394926432"/>
        <n v="12.4873747486159"/>
        <n v="74.4451560401919"/>
        <n v="30.1907426763934"/>
        <n v="6.599782990242"/>
        <n v="3.18584569729483"/>
        <n v="0.0413873653949999"/>
        <n v="5.31811437265804"/>
        <n v="38.635213351017"/>
        <n v="2.35379994535661"/>
        <n v="209.886671608263"/>
        <n v="18.7214104966349"/>
        <n v="1.63461154027785"/>
        <n v="1.69055914759699"/>
        <n v="15.3042306424323"/>
        <n v="30.463114285425"/>
        <n v="36.7667822473439"/>
        <n v="32.6543884406399"/>
        <n v="92.7637684965409"/>
        <n v="23.5594485022425"/>
        <n v="34.029900075147"/>
        <n v="49.3470858346968"/>
        <n v="14.6926830925472"/>
        <n v="0.0139265000000001"/>
        <n v="5.72889024"/>
        <n v="33.778339760208"/>
        <n v="0.028948436988"/>
        <n v="2.87744908998899"/>
        <n v="11.3284401737759"/>
        <n v="119.756952032296"/>
        <n v="75.7534092542"/>
        <n v="13.830893916691"/>
        <n v="40.509367233917"/>
        <n v="19.13629694112"/>
        <n v="21.014743049769"/>
        <n v="43.083129258448"/>
        <n v="8.22320185713748"/>
        <n v="17.5902471577079"/>
        <n v="51.178605262497"/>
        <n v="0.177296899999999"/>
        <n v="1.44308999999999"/>
        <n v="0.0666780999999998"/>
        <n v="35.6306029922458"/>
        <n v="0.00199999999999989"/>
        <n v="0.0286663999999999"/>
        <n v="0.0055"/>
        <n v="40.801242561711"/>
        <n v="31.1522334292768"/>
        <n v="0.946515149999996"/>
        <n v="77.030588746758"/>
        <n v="2.60048101262565"/>
        <n v="0.0085596"/>
        <n v="0.1078008"/>
        <n v="9.44436099000626"/>
        <n v="53.5197264466829"/>
        <n v="8.082281689706"/>
        <n v="4.2439159803865"/>
        <n v="4.88309325396214"/>
        <n v="1.023533356974"/>
        <n v="212.585994671"/>
        <n v="160.708602822209"/>
        <n v="0.625800000000012"/>
        <n v="1.209432454452"/>
        <n v="17.0950296100929"/>
        <n v="23.8623294435558"/>
        <n v="25.834771049616"/>
        <n v="0.7766712"/>
        <n v="603.829346347258"/>
        <n v="14.394970653963"/>
        <n v="13.6873399363919"/>
        <n v="0.0587499999999963"/>
        <n v="5.91767746574251"/>
        <n v="10.0117516161071"/>
        <n v="3.40592157202186"/>
        <n v="0.238926512981815"/>
        <n v="11.529889741777"/>
        <n v="0.761157755399999"/>
        <n v="24.2010058410543"/>
        <n v="84.8216845539487"/>
        <n v="76.6873897808978"/>
        <n v="65.7765527681999"/>
        <n v="53.5841270489613"/>
        <n v="2.14552542465596"/>
        <n v="103.68900501832"/>
        <n v="0.155740499999999"/>
        <n v="0.1566813"/>
        <n v="1.365193176076"/>
        <n v="13.204074560518"/>
        <n v="2.652264"/>
        <n v="0.265226415449999"/>
        <n v="17.28106790145"/>
        <n v="7.37331033436799"/>
        <n v="49.3591237751029"/>
        <n v="253.848678966815"/>
        <n v="330.48251011887"/>
        <n v="18.4887481043465"/>
        <n v="84.248919148786"/>
        <n v="50.6139850020234"/>
        <n v="29.440062279729"/>
        <n v="6.84626046815301"/>
        <n v="0.164764999999999"/>
        <n v="0.03642"/>
        <n v="1.85113292795634"/>
        <n v="11.2526937641284"/>
        <n v="0.446541838665"/>
        <n v="2.22894817379999"/>
        <n v="69.17364948952"/>
        <n v="5.28689044439999"/>
        <n v="0.0836185"/>
        <n v="9.15493871199999"/>
        <n v="62.3965263206399"/>
        <n v="11.4525638639999"/>
        <n v="0.116288895669179"/>
        <n v="6.94187175761072"/>
        <n v="0.6255831"/>
        <n v="0.0477100000000021"/>
        <n v="1.45722254999999"/>
        <n v="0.607380800000001"/>
        <n v="0.295880599999999"/>
        <n v="0.66006606105"/>
        <n v="1.277153147064"/>
        <n v="0.4375897"/>
        <n v="1.06174769582401"/>
        <n v="0.0533311999999988"/>
        <n v="1.11395193903569"/>
        <n v="0.0699510999999972"/>
        <n v="27.177084"/>
        <n v="0.00103000000000008"/>
        <n v="0.183876295058999"/>
        <n v="0.00509499999999985"/>
        <n v="0.0996493067999999"/>
        <n v="19.8998200272528"/>
        <n v="18.2913137929601"/>
        <n v="71.800985262354"/>
        <n v="197.33106061543"/>
        <n v="7.63852032"/>
        <n v="0.602099999999978"/>
        <n v="38.567915335712"/>
        <n v="0.0852373000000028"/>
        <n v="0.007834067345"/>
        <n v="4.84240841177653"/>
        <n v="0.0168505500000009"/>
        <n v="1.22413376195699"/>
        <n v="6.25000743479615"/>
        <n v="104.0887058052"/>
        <n v="15.17468180985"/>
        <n v="15.1296062310009"/>
        <n v="1.83843717081454"/>
        <n v="0.0498172091169999"/>
        <n v="23.2206703082425"/>
        <n v="1.63942632"/>
        <n v="106.570722067007"/>
        <n v="134.392791603434"/>
        <n v="14.0583481531993"/>
        <n v="5.78091982674999"/>
        <n v="11.4811276324591"/>
        <n v="1.17521888142999"/>
        <n v="0.320795560871999"/>
        <n v="0.0297999999999998"/>
        <n v="85.3538885149009"/>
        <n v="30.2073298963605"/>
        <n v="7.46644186661603"/>
        <n v="70.4472254200241"/>
        <n v="0.15"/>
        <n v="9.01348838707199"/>
        <n v="0.00315915000000011"/>
        <n v="2.79692885399099"/>
        <n v="29.3365614145119"/>
        <n v="3.49086166168437"/>
        <n v="4.714574309424"/>
        <n v="1.566813468995E-6"/>
        <n v="0.1644"/>
        <n v="14.7128437360619"/>
        <n v="2.730353554152"/>
        <n v="2.9407521999661"/>
        <n v="13.6848478236219"/>
        <n v="43.575605021844"/>
        <n v="6.65970729057427"/>
        <n v="148.419906636103"/>
        <n v="17.0378830965431"/>
        <n v="9.64458890471999"/>
        <n v="0.8117453"/>
        <n v="1.072662764445"/>
        <n v="0.0225621071999999"/>
        <n v="21.2181196113329"/>
        <n v="9.50080448403198"/>
        <n v="0.0309680999999999"/>
        <n v="49.909920946613"/>
        <n v="0.145431575323999"/>
        <n v="7.55347139919999"/>
        <n v="0.0485625"/>
        <n v="5.496312660486"/>
        <n v="14.832709226025"/>
        <n v="9.769326611454"/>
        <n v="27.9666148019669"/>
        <n v="3.37046666910369"/>
        <n v="280.048980573328"/>
        <n v="0.0239722460757"/>
        <n v="0.60596510913575"/>
        <n v="25.7398060828771"/>
        <n v="51.4451901691699"/>
        <n v="0.00886999999999993"/>
        <n v="23.3644853983287"/>
        <n v="0.0473004"/>
        <n v="76.8895680630749"/>
        <n v="4.26360896186"/>
        <n v="67.100921642454"/>
        <n v="351.850704700584"/>
        <n v="5.53373891351316"/>
        <n v="0.0139519999999999"/>
        <n v="0.249284869349999"/>
        <n v="155.056530605556"/>
        <n v="182.271068871806"/>
        <n v="40.235485947369"/>
        <n v="0.888380875199999"/>
        <n v="0.171683300000001"/>
        <n v="24.2289620928"/>
        <n v="1.935564105268"/>
        <n v="106.759560723776"/>
        <n v="0.121268249999999"/>
        <n v="17.2071942817717"/>
        <n v="117.66671508536"/>
        <n v="18.3954970572299"/>
        <n v="1.505995586592"/>
        <n v="6.38407665657376"/>
        <n v="4.90476855149229"/>
        <n v="14.0500110482999"/>
        <n v="4.48280710748701"/>
        <n v="10.6513154732721"/>
        <n v="0.362854026924999"/>
        <n v="0.0247305"/>
        <n v="2.38155647287907E-4"/>
        <n v="40.3100472923279"/>
        <n v="0.00521949999999998"/>
        <n v="0.9678494390695"/>
        <n v="0.0848998999999999"/>
        <n v="3.056784955112"/>
        <n v="9.01769759999999"/>
        <n v="6.3645984300155"/>
        <n v="2.06792262050886"/>
        <n v="2.59647793701"/>
        <n v="22.1868762290957"/>
        <n v="2.50690155039201E-5"/>
        <n v="7.68559278858199"/>
        <n v="0.0440234999999997"/>
        <n v="2.0224428257852"/>
        <n v="29.0749638255169"/>
        <n v="1.02802705416109"/>
        <n v="0.003301275979183"/>
        <n v="18.062681988216"/>
        <n v="0.064560953471658"/>
        <n v="110.790126208972"/>
        <n v="37.98421622274"/>
        <n v="4.01851905060715"/>
        <n v="5.97157477019234"/>
        <n v="0.0260901999999996"/>
        <n v="0.1018271"/>
        <n v="0.015"/>
        <n v="8.46394807397963"/>
        <n v="0.536069560283657"/>
        <n v="0.0654539999999954"/>
        <n v="62.5934303999999"/>
        <n v="0.22952987187"/>
        <n v="0.0705889000000183"/>
        <n v="0.00345"/>
        <n v="0.249312830523"/>
        <n v="14.5726792652"/>
        <n v="5.16364613612999"/>
        <n v="0.2179079"/>
        <n v="5.715236384928"/>
        <n v="0.376068023072999"/>
        <n v="12.3993341999999"/>
        <n v="0.608073858048001"/>
        <n v="0.0625619000000021"/>
        <n v="6.33475398115967"/>
        <n v="0.425008350000027"/>
        <n v="0.849283499999998"/>
        <n v="0.318271698539999"/>
        <n v="6.68096317399946E-4"/>
        <n v="0.0238848999999987"/>
        <n v="5.1055500000001"/>
        <n v="28.7484594947199"/>
        <n v="0.103731500000009"/>
        <n v="0.3117992"/>
        <n v="1.78476159484614"/>
        <n v="0.0379"/>
        <n v="38.3919456017914"/>
        <n v="0.0695867999999992"/>
        <n v="10.924733340056"/>
        <n v="0.0215411999999997"/>
        <n v="0.061971"/>
        <n v="57.7195909996643"/>
        <n v="0.0949314000000001"/>
        <n v="0.0876692000000005"/>
        <n v="5.17201054267499"/>
        <n v="0.187372700000025"/>
        <n v="5.28003080035987"/>
        <n v="0.0750624999999995"/>
        <n v="1.35586499999999"/>
        <n v="1.01354069999999"/>
        <n v="4.50000000000005E-4"/>
        <n v="23.780289200976"/>
        <n v="6.949016552448"/>
        <n v="72.256429666908"/>
        <n v="1.68529107999577"/>
        <n v="0.06267253876"/>
        <n v="8.743816174575"/>
        <n v="0.744945851799999"/>
        <n v="21.6394441375348"/>
        <n v="0.0653361216573"/>
        <n v="0.275326647612"/>
        <n v="1.23775598300699"/>
        <n v="0.5207834"/>
        <n v="23.1216133827246"/>
        <n v="0.5304528"/>
        <n v="4.20405062111999"/>
        <n v="5.362877808"/>
        <n v="0.894066599999998"/>
        <n v="3.99167390450702"/>
        <n v="25.745829006096"/>
        <n v="202.954881691975"/>
        <n v="18.646658850464"/>
        <n v="8.32744684088001"/>
        <n v="7.69156559999999"/>
        <n v="4.50167674854057"/>
        <n v="2.287725596682"/>
        <n v="0.801289078943999"/>
        <n v="0.00265226399999995"/>
        <n v="100.474376424482"/>
        <n v="0.985440769098005"/>
        <n v="21.0361666895999"/>
        <n v="20.4489578808959"/>
        <n v="0.04058"/>
        <n v="112.562133277147"/>
        <n v="18.6634524023855"/>
        <n v="0.00816420000000039"/>
        <n v="0.687674431544099"/>
        <n v="11.128554795437"/>
        <n v="0.0850671"/>
        <n v="4.920219009219"/>
        <n v="4.9146682117751E-5"/>
        <n v="15.1817689201803"/>
        <n v="0.57413976606"/>
        <n v="22.2853701975348"/>
        <n v="12.476907693915"/>
        <n v="20.7613162122952"/>
        <n v="0.0670282601399999"/>
        <n v="21.923683467554"/>
        <n v="13.524160491522"/>
        <n v="0.439850834499999"/>
        <n v="7.18795856940408"/>
        <n v="2.26968719674481"/>
        <n v="10.56009668554"/>
        <n v="49.6730103163522"/>
        <n v="7.11023242195402"/>
        <n v="20.620349605503"/>
        <n v="34.843274880048"/>
        <n v="64.2039788824448"/>
        <n v="25.0302810830789"/>
        <n v="0.0022473"/>
        <n v="18.2141047483199"/>
        <n v="16.06221305913"/>
        <n v="4.74058977038399"/>
        <n v="25.311259416036"/>
        <n v="868.311375681246"/>
        <n v="3.71553851480625"/>
        <n v="31.740783864188"/>
        <n v="2.262127005888"/>
        <n v="0.0115559999999999"/>
        <n v="2.1939527808"/>
        <n v="2.69450472136799"/>
        <n v="0.941279100000002"/>
        <n v="0.00359089999999995"/>
        <n v="3.05257911045136"/>
        <n v="0.5168096304"/>
        <n v="0.622808167499999"/>
        <n v="5.872440255"/>
        <n v="61.866154263797"/>
        <n v="0.377650617246538"/>
        <n v="31.8601183641709"/>
        <n v="11.8988428125631"/>
        <n v="0.0039170325"/>
      </sharedItems>
    </cacheField>
    <cacheField name="sub_gp" numFmtId="0">
      <sharedItems containsString="0" containsBlank="1" containsNumber="1">
        <n v="68.0"/>
        <n v="7.99999999999999"/>
        <n v="80.0"/>
        <n v="24.0"/>
        <n v="28.0"/>
        <n v="0.0"/>
        <n v="25.0"/>
        <n v="4.39999999999999"/>
        <n v="44.0"/>
        <n v="17.5"/>
        <n v="6.39999999999999"/>
        <n v="29.75"/>
        <n v="85.0"/>
        <n v="5.25"/>
        <n v="1.99999999999999"/>
        <n v="54.4"/>
        <n v="64.0"/>
        <n v="2.49999999999999"/>
        <n v="35.0"/>
        <n v="52.0"/>
        <n v="17.0"/>
        <n v="55.0"/>
        <n v="6.49999999999999"/>
        <n v="27.0"/>
        <m/>
        <n v="46.75"/>
        <n v="21.25"/>
        <n v="36.0"/>
        <n v="5.19999999999999"/>
        <n v="20.0"/>
        <n v="2.79999999999999"/>
        <n v="10.5"/>
        <n v="3.49999999999999"/>
        <n v="76.0"/>
        <n v="65.0"/>
        <n v="26.25"/>
        <n v="5.49999999999999"/>
        <n v="33.0"/>
        <n v="55.25"/>
        <n v="24.992"/>
        <n v="8.49999999999999"/>
        <n v="75.0"/>
        <n v="1.74999999999999"/>
      </sharedItems>
    </cacheField>
    <cacheField name="Total GP" numFmtId="165">
      <sharedItems containsSemiMixedTypes="0" containsString="0" containsNumber="1">
        <n v="66.9151"/>
        <n v="768.5243"/>
        <n v="2561.6509"/>
        <n v="23.7458"/>
        <n v="164.6066"/>
        <n v="-43.5324"/>
        <n v="24.75"/>
        <n v="0.4242999999999899"/>
        <n v="99.8381"/>
        <n v="43.7898"/>
        <n v="39.7341"/>
        <n v="32.35450999999999"/>
        <n v="6.829399999999989"/>
        <n v="-0.1556"/>
        <n v="42.7001"/>
        <n v="17.1879"/>
        <n v="39.956"/>
        <n v="26.440000000000012"/>
        <n v="41.01910000000001"/>
        <n v="82.7185"/>
        <n v="35.2975"/>
        <n v="7.29509999999999"/>
        <n v="0.2255"/>
        <n v="54.250499999999995"/>
        <n v="35.3597999999999"/>
        <n v="134.8561"/>
        <n v="180.157099999999"/>
        <n v="57.8841"/>
        <n v="79.85"/>
        <n v="213.5879"/>
        <n v="1.0401"/>
        <n v="82.2971"/>
        <n v="26.7562"/>
        <n v="2.44"/>
        <n v="1830.4822"/>
        <n v="315.29065"/>
        <n v="14.604699999999989"/>
        <n v="321.97538499999996"/>
        <n v="280.48389999999995"/>
        <n v="440.7387"/>
        <n v="458.0829"/>
        <n v="24.726499999999987"/>
        <n v="74.4274"/>
        <n v="33.90790000000001"/>
        <n v="82.71900000000001"/>
        <n v="30.8676"/>
        <n v="198.8482"/>
        <n v="69.9632"/>
        <n v="64.54195"/>
        <n v="34.8548"/>
        <n v="153.36368"/>
        <n v="-0.1386"/>
        <n v="-0.3"/>
        <n v="1837.8021"/>
        <n v="49.6335"/>
        <n v="15.1605999999999"/>
        <n v="173.1326"/>
        <n v="23.85"/>
        <n v="19.69949999999999"/>
        <n v="15.6665"/>
        <n v="32.4237"/>
        <n v="-4.071"/>
        <n v="104.82289999999999"/>
        <n v="181.9305"/>
        <n v="66.578"/>
        <n v="34.082300000000004"/>
        <n v="111.2726"/>
        <n v="279.7348"/>
        <n v="2253.4562"/>
        <n v="21.797"/>
        <n v="29.815"/>
        <n v="10.23939999999998"/>
        <n v="101.2793"/>
        <n v="339.40459999999996"/>
        <n v="100.6349"/>
        <n v="14.413699999999992"/>
        <n v="65.866"/>
        <n v="24.0826"/>
        <n v="33.85"/>
        <n v="24.4545"/>
        <n v="48.573899999999995"/>
        <n v="64.3938"/>
        <n v="3019.8707"/>
        <n v="3.13"/>
        <n v="67.8479"/>
        <n v="868.5096"/>
        <n v="210.4668"/>
        <n v="-4.3195"/>
        <n v="23.4438"/>
        <n v="-0.15"/>
        <n v="8.39789999999999"/>
        <n v="2410.9254"/>
        <n v="94.57"/>
        <n v="26.1976"/>
        <n v="-0.1506"/>
        <n v="5.705099999999991"/>
        <n v="45.5967"/>
        <n v="0.32"/>
        <n v="-0.98"/>
        <n v="7.9995"/>
        <n v="39.3044"/>
        <n v="1.3322"/>
        <n v="109.189"/>
        <n v="-1.2409"/>
        <n v="0.6636"/>
        <n v="139.6669"/>
        <n v="2.7538"/>
        <n v="14.8893"/>
        <n v="28.1755"/>
        <n v="169.5687"/>
        <n v="222.537499999999"/>
        <n v="68.8222"/>
        <n v="69.1529"/>
        <n v="-8.8126"/>
        <n v="113.9412"/>
        <n v="-1.84989999999999"/>
        <n v="-9.7071"/>
        <n v="299.5367"/>
        <n v="24.3087"/>
        <n v="544.5362"/>
        <n v="66.1682999999999"/>
        <n v="-0.3176"/>
        <n v="26.5922"/>
        <n v="-0.68"/>
        <n v="-0.1521"/>
        <n v="15.5587"/>
        <n v="191.27"/>
        <n v="7.8"/>
        <n v="3.02089999999999"/>
        <n v="12.8105"/>
        <n v="0.5699"/>
        <n v="18.9643999999999"/>
        <n v="-4.37939999999999"/>
        <n v="-0.06"/>
        <n v="32.5311"/>
        <n v="1772.83069999999"/>
        <n v="-0.1879"/>
        <n v="152.7009"/>
        <n v="4.6674"/>
        <n v="92.9781"/>
        <n v="3.2844"/>
        <n v="-0.5995"/>
        <n v="138.1445"/>
        <n v="1151.2482"/>
        <n v="9.5532"/>
        <n v="160.8303"/>
        <n v="57.1538"/>
        <n v="145.0341"/>
        <n v="77.9487"/>
        <n v="-1.8611999999999966"/>
        <n v="125.0165"/>
        <n v="79.4103"/>
        <n v="40.4168"/>
        <n v="175.1342"/>
        <n v="392.797299999999"/>
        <n v="50.186"/>
        <n v="42.1352"/>
        <n v="68.4819"/>
        <n v="-0.3886"/>
        <n v="2.89919999999999"/>
        <n v="555.599899999999"/>
        <n v="67.3172"/>
        <n v="82.4733999999999"/>
        <n v="1.1321000000001007"/>
        <n v="40.258799999999894"/>
        <n v="-0.1495"/>
        <n v="44.5877"/>
        <n v="1169.5023"/>
        <n v="50.8664999999999"/>
        <n v="38.25869999999999"/>
        <n v="42.44"/>
        <n v="38.5171999999999"/>
        <n v="34.081"/>
        <n v="343.208499999999"/>
        <n v="394.3017"/>
        <n v="-10.5912"/>
        <n v="252.8783"/>
        <n v="91.7675"/>
        <n v="214.49532"/>
        <n v="10.2633"/>
        <n v="477.2042"/>
        <n v="262.2276"/>
        <n v="784.0859"/>
        <n v="65.5667999999999"/>
        <n v="135.35399999999998"/>
        <n v="-1.67"/>
        <n v="101.6133"/>
        <n v="368.586299999999"/>
        <n v="35.1281"/>
        <n v="24.94"/>
        <n v="40.46239999999999"/>
        <n v="48.3665"/>
        <n v="52.35999999999999"/>
        <n v="103.2923"/>
        <n v="50.51480000000001"/>
        <n v="63.2163999999999"/>
        <n v="2.26999999999999"/>
        <n v="869.2326"/>
        <n v="1.72999999999999"/>
        <n v="153.3181999999999"/>
        <n v="23.7888"/>
        <n v="70.77029999999999"/>
        <n v="185.64149999999898"/>
        <n v="2.2811"/>
        <n v="16.2923"/>
        <n v="1111.7109"/>
        <n v="89.0379999999999"/>
        <n v="59.83499999999999"/>
        <n v="177.8007"/>
        <n v="-7.3186"/>
        <n v="501.2752"/>
        <n v="105.3529"/>
        <n v="73.0483"/>
        <n v="57.282599999999995"/>
        <n v="2031.4454"/>
        <n v="339.769"/>
        <n v="674.771199999999"/>
        <n v="83.2013"/>
        <n v="68.4668"/>
        <n v="23.23480000000001"/>
        <n v="34.1932"/>
        <n v="17.3391"/>
        <n v="1.48989999999999"/>
        <n v="67.8131"/>
        <n v="34.0312"/>
        <n v="24.2072"/>
        <n v="29.3164"/>
        <n v="1364.3129"/>
        <n v="2072.0078000000003"/>
        <n v="-0.2927"/>
        <n v="3228.647"/>
        <n v="23.605"/>
        <n v="0.5207"/>
        <n v="23.7"/>
        <n v="1148.3917"/>
        <n v="38.88759999999999"/>
        <n v="19.8596"/>
        <n v="355.9178"/>
        <n v="252.9031"/>
        <n v="457.1083"/>
        <n v="-9.7457"/>
        <n v="70.50489999999999"/>
        <n v="28.98"/>
        <n v="10.82"/>
        <n v="81.1832"/>
        <n v="74.9208999999999"/>
        <n v="106.543"/>
        <n v="1012.007499999999"/>
        <n v="47.3204"/>
        <n v="115.4396"/>
        <n v="79.6038"/>
        <n v="28.587"/>
        <n v="2.1295999999999897"/>
        <n v="182.2172"/>
        <n v="62.8036"/>
        <n v="71.89"/>
        <n v="18.72140000000001"/>
        <n v="43.3456"/>
        <n v="204.705299999999"/>
        <n v="108.82339999999999"/>
        <n v="15.88069999999999"/>
        <n v="-1.7435"/>
        <n v="-2.4058"/>
        <n v="6.2596"/>
        <n v="109.7828"/>
        <n v="-1.25"/>
        <n v="-0.56"/>
        <n v="-0.43"/>
        <n v="34.3555"/>
        <n v="0.6236"/>
        <n v="22.3574"/>
        <n v="-0.1038"/>
        <n v="1682.3779"/>
        <n v="-0.3577"/>
        <n v="-0.2"/>
        <n v="-2.03"/>
        <n v="479.17629999999997"/>
        <n v="42.735335"/>
        <n v="92.9333"/>
        <n v="-0.22"/>
        <n v="-0.2571"/>
        <n v="39.7651"/>
        <n v="-0.6"/>
        <n v="-0.6735"/>
        <n v="-1.64"/>
        <n v="2.302"/>
        <n v="26.012"/>
        <n v="-0.95"/>
        <n v="76.87089999999999"/>
        <n v="3.4348"/>
        <n v="119.0163"/>
        <n v="11.5384"/>
        <n v="7.832"/>
        <n v="93.14912999999999"/>
        <n v="72.3766"/>
        <n v="0.5767"/>
        <n v="42.2923"/>
        <n v="7.0168"/>
        <n v="130.2142"/>
        <n v="262.608999999999"/>
        <n v="78.2228"/>
        <n v="159.21769999999998"/>
        <n v="43.9096"/>
        <n v="94.1576"/>
        <n v="140.7321"/>
        <n v="204.7683"/>
        <n v="76.5221"/>
        <n v="33.8995"/>
        <n v="5.9889"/>
        <n v="952.25"/>
        <n v="254.575199999999"/>
        <n v="134.97039999999998"/>
        <n v="407.1529300000001"/>
        <n v="38.2288999999999"/>
        <n v="136.3419"/>
        <n v="209.74999999999997"/>
        <n v="285.5339"/>
        <n v="19.8137"/>
        <n v="26.5823"/>
        <n v="24.4"/>
        <n v="6.1999999999999895"/>
        <n v="871.879899999999"/>
        <n v="-0.2858"/>
        <n v="163.9664"/>
        <n v="372.70564"/>
        <n v="1222.07589999999"/>
        <n v="247.33509999999998"/>
        <n v="93.4521999999999"/>
        <n v="470.224899999999"/>
        <n v="504.100299999999"/>
        <n v="2.34999999999999"/>
        <n v="18.37999999999999"/>
        <n v="57.2375"/>
        <n v="3.5269999999999895"/>
        <n v="139.2964999999999"/>
        <n v="10.52999999999999"/>
        <n v="10.11999999999999"/>
        <n v="64.6216"/>
        <n v="156.539499999999"/>
        <n v="-2.5539"/>
        <n v="71.7461"/>
        <n v="18.6952"/>
        <n v="18.226399999999998"/>
        <n v="6.3599999999999905"/>
        <n v="60.65739999999989"/>
        <n v="84.41719999999998"/>
        <n v="17.8888"/>
        <n v="25.7961"/>
        <n v="110.4204"/>
        <n v="175.41279999999898"/>
        <n v="63.4704"/>
        <n v="36.2252"/>
        <n v="5.37999999999999"/>
        <n v="38.77659999999999"/>
        <n v="28.8832"/>
        <n v="65.1432"/>
        <n v="2.5479999999999996"/>
        <n v="219.8979"/>
        <n v="-0.248499999999999"/>
        <n v="154.1362"/>
        <n v="3.9408"/>
        <n v="16.30219999999999"/>
        <n v="808.257699999999"/>
        <n v="65.37899999999999"/>
        <n v="334.054999999999"/>
        <n v="7.84999999999999"/>
        <n v="348.1966"/>
        <n v="10.2"/>
        <n v="85.6605"/>
        <n v="272.64639999999997"/>
        <n v="113.47699999999989"/>
        <n v="77.5965"/>
        <n v="90.8047"/>
        <n v="601.4116"/>
        <n v="-12.5286999999999"/>
        <n v="35.67"/>
        <n v="8.36619999999999"/>
        <n v="149.3917"/>
        <n v="23.9456"/>
        <n v="110.28899999999999"/>
        <n v="79.0711"/>
        <n v="28.03000000000001"/>
        <n v="24.6779"/>
        <n v="141.2885"/>
        <n v="26.6733"/>
        <n v="1826.2102999999902"/>
        <n v="19.8441"/>
        <n v="3.9649"/>
        <n v="121.81099999999999"/>
        <n v="29.085799999999992"/>
        <n v="32.91479999999999"/>
        <n v="42.89580000000001"/>
        <n v="280.78808499999997"/>
        <n v="37.6173"/>
        <n v="533.1156"/>
        <n v="29.4012"/>
        <n v="296.0805"/>
        <n v="78.5834999999999"/>
        <n v="204.0908"/>
        <n v="15.9843"/>
        <n v="80.5023"/>
        <n v="123.84359999999899"/>
        <n v="23.3088"/>
        <n v="65.09409999999998"/>
        <n v="57.559999999999896"/>
        <n v="100.72659999999999"/>
        <n v="43.1418"/>
        <n v="-0.91"/>
        <n v="-0.72"/>
        <n v="436.1459"/>
        <n v="5.9485"/>
        <n v="552.9097"/>
        <n v="-0.1"/>
        <n v="60.5276"/>
        <n v="2.7069"/>
        <n v="-0.8042"/>
        <n v="1926.04229999999"/>
        <n v="-3.7"/>
        <n v="615.466249999999"/>
        <n v="-0.39"/>
        <n v="0.23371999999999993"/>
        <n v="195.048"/>
        <n v="177.1545"/>
        <n v="32.2351"/>
        <n v="-0.34992500000000004"/>
        <n v="146.918999999999"/>
        <n v="33.1827"/>
        <n v="11.0396"/>
        <n v="-0.8062"/>
        <n v="9.9488"/>
        <n v="9.6081"/>
        <n v="368.0272"/>
        <n v="-2.52"/>
        <n v="338.0304"/>
        <n v="6.278"/>
        <n v="42.69"/>
        <n v="120.591199999999"/>
        <n v="8.53559999999999"/>
        <n v="57.1369"/>
        <n v="17.5888999999999"/>
        <n v="124.7583"/>
        <n v="977.365805"/>
        <n v="-0.657"/>
        <n v="-0.5"/>
        <n v="10.2911"/>
        <n v="51.6713"/>
        <n v="-1.4021"/>
        <n v="799.70566"/>
        <n v="331.24"/>
        <n v="70.397"/>
        <n v="30.9178"/>
        <n v="119.3538"/>
        <n v="2.3399999999999896"/>
        <n v="9.02279999999999"/>
        <n v="231.1723"/>
        <n v="239.9663"/>
        <n v="-0.1429"/>
        <n v="24.8165"/>
        <n v="1150.26969999999"/>
        <n v="79.5279"/>
        <n v="51.0219"/>
        <n v="149.76059999999998"/>
        <n v="103.0604999999999"/>
        <n v="17.669"/>
        <n v="2.4399999999999897"/>
        <n v="31.7369"/>
        <n v="142.6227850000001"/>
        <n v="68.3707"/>
        <n v="59.07670000000001"/>
        <n v="83.13855"/>
        <n v="6.1184"/>
        <n v="28.090725"/>
        <n v="28.551985000000002"/>
        <n v="46.49989999999999"/>
        <n v="120.3129"/>
        <n v="289.743999999999"/>
        <n v="100.96539999999999"/>
        <n v="1111.0373000000002"/>
        <n v="134.936999999999"/>
        <n v="45.9643999999999"/>
        <n v="22.2028"/>
        <n v="63.4841"/>
        <n v="31.899"/>
        <n v="79.631"/>
        <n v="41.037699999999894"/>
        <n v="33.49430000000001"/>
        <n v="86.7381"/>
        <n v="74.4665"/>
        <n v="74.65"/>
        <n v="28.7762"/>
        <n v="17.43559999999999"/>
        <n v="27.2280999999999"/>
        <n v="34.833600000000004"/>
        <n v="1.9495999999999998"/>
        <n v="50.7017"/>
        <n v="1.8631999999999898"/>
        <n v="4.9297"/>
        <n v="24.63"/>
        <n v="3.2636999999999996"/>
        <n v="555.9001"/>
        <n v="34.6"/>
        <n v="10.4321"/>
        <n v="98.5457"/>
        <n v="34.7223"/>
        <n v="180.96179999999998"/>
        <n v="96.9021"/>
        <n v="33.65"/>
        <n v="2.00159999999999"/>
        <n v="654.4811749999999"/>
        <n v="433.6916"/>
        <n v="22.176300000000012"/>
        <n v="56.8366"/>
        <n v="32.5842"/>
        <n v="150.1813"/>
        <n v="220.8655"/>
        <n v="73.92160000000001"/>
        <n v="33.00000000000001"/>
        <n v="749.6292"/>
        <n v="51.85361499999999"/>
        <n v="583.9647"/>
        <n v="3.1647149999999997"/>
        <n v="40.5552999999999"/>
        <n v="92.83019999999999"/>
        <n v="8.0609"/>
        <n v="4.83369999999999"/>
        <n v="700.0619"/>
        <n v="101.4710999999999"/>
        <n v="65.30465500000001"/>
        <n v="133.6728"/>
        <n v="870.6428"/>
        <n v="42.41000000000001"/>
        <n v="13.41999999999999"/>
        <n v="199.1345"/>
        <n v="69.4299"/>
        <n v="124.8938"/>
        <n v="466.2557"/>
        <n v="141.93691"/>
        <n v="-0.26"/>
        <n v="5.410399999999999"/>
        <n v="79.66950499999999"/>
        <n v="551.2449"/>
        <n v="6.0404"/>
        <n v="-0.2556"/>
        <n v="23.91"/>
        <n v="276.587399999999"/>
        <n v="12.8907"/>
        <n v="51.5494"/>
        <n v="46.9195"/>
        <n v="129.3013"/>
        <n v="-9.1679"/>
        <n v="24.80902"/>
        <n v="39.8627"/>
        <n v="129.317999999999"/>
        <n v="356.1481"/>
        <n v="176.7859"/>
        <n v="7.2806"/>
        <n v="109.4731"/>
        <n v="9.8607"/>
        <n v="41.8456"/>
        <n v="-1.7146"/>
        <n v="5.0835"/>
        <n v="1.1286"/>
        <n v="-10.1402"/>
        <n v="37.47"/>
        <n v="110.4489"/>
        <n v="33.4938"/>
        <n v="-0.8395"/>
        <n v="7.7762"/>
        <n v="-1.94"/>
        <n v="349.5558"/>
        <n v="172.6573"/>
        <n v="-0.6063"/>
        <n v="167.77217"/>
        <n v="104.7849"/>
        <n v="146.5007"/>
        <n v="82.1215"/>
        <n v="23.2683"/>
        <n v="15.402599999999989"/>
        <n v="68.45689999999999"/>
        <n v="60.3711"/>
        <n v="35.98260000000001"/>
        <n v="34.4644"/>
        <n v="41.2588"/>
        <n v="343.2657"/>
        <n v="-52.01039999999991"/>
        <n v="29.64315"/>
        <n v="-0.288599999999999"/>
        <n v="278.8999999999999"/>
        <n v="67.82159999999989"/>
        <n v="535.044"/>
        <n v="38.76999999999999"/>
        <n v="6.97829999999999"/>
        <n v="-0.21"/>
        <n v="23.8621"/>
        <n v="201.4979"/>
        <n v="1195.8543"/>
        <n v="34.3446"/>
        <n v="540.772"/>
        <n v="140.7676"/>
        <n v="4.96849999999999"/>
        <n v="23.4728"/>
        <n v="13.229999999999979"/>
        <n v="60.9994"/>
        <n v="162.9545"/>
        <n v="47.3279"/>
        <n v="61.9745"/>
        <n v="119.0425"/>
        <n v="113.1585"/>
        <n v="1137.97079999999"/>
        <n v="101.10419999999999"/>
        <n v="34.581"/>
        <n v="143.5818"/>
        <n v="45.1703"/>
        <n v="129.6805"/>
        <n v="82.0618"/>
        <n v="472.337"/>
        <n v="377.3515"/>
        <n v="-1.3039"/>
        <n v="44.3452"/>
        <n v="101.4288"/>
        <n v="123.7201"/>
        <n v="80.6625"/>
        <n v="300.993375"/>
        <n v="125.7999999999999"/>
        <n v="161.7696"/>
        <n v="1.0064"/>
        <n v="13.61399999999999"/>
        <n v="29.582025"/>
        <n v="95.8155"/>
        <n v="0.162599999999999"/>
        <n v="29.877"/>
        <n v="29.5779"/>
        <n v="93.03209999999999"/>
        <n v="1013.0877"/>
        <n v="49.3339"/>
        <n v="479.294099999999"/>
        <n v="123.46940000000001"/>
        <n v="79.7"/>
        <n v="-2.9366000000000105"/>
        <n v="53.729"/>
        <n v="378.26209999999895"/>
        <n v="56.639399999999895"/>
        <n v="21.82419999999999"/>
        <n v="3.09999999999999"/>
        <n v="27.0075"/>
        <n v="3.4055"/>
        <n v="131.3514"/>
        <n v="193.4604"/>
        <n v="10.89749999999999"/>
        <n v="82.5623"/>
        <n v="67.31569999999999"/>
        <n v="155.3909"/>
        <n v="62.644800000000004"/>
        <n v="2695.3599"/>
        <n v="36.5494"/>
        <n v="89.3214"/>
        <n v="74.3373"/>
        <n v="162.2959"/>
        <n v="0.4966999999999895"/>
        <n v="44.403499999999894"/>
        <n v="6.67999999999999"/>
        <n v="67.48310000000001"/>
        <n v="59.77499999999999"/>
        <n v="92.2314"/>
        <n v="36.1349"/>
        <n v="353.87989999999996"/>
        <n v="355.5497"/>
        <n v="621.8054"/>
        <n v="28.37100000000001"/>
        <n v="2802.66219999999"/>
        <n v="39.4458"/>
        <n v="24.85"/>
        <n v="67.374"/>
        <n v="149.99"/>
        <n v="24.7018"/>
        <n v="0.3667"/>
        <n v="47.9058"/>
        <n v="-0.925400000000001"/>
        <n v="102.475499999999"/>
        <n v="626.054199999999"/>
        <n v="1396.8972"/>
        <n v="9.35999999999999"/>
        <n v="76.5507"/>
        <n v="41.52349999999999"/>
        <n v="785.9923"/>
        <n v="248.3575"/>
        <n v="79.1263"/>
        <n v="43.2724"/>
        <n v="23.0985"/>
        <n v="98.38879999999989"/>
        <n v="60.10000000000001"/>
        <n v="-8.23"/>
        <n v="53.3818999999999"/>
        <n v="-8.6411"/>
        <n v="372.59874"/>
        <n v="593.5858"/>
        <n v="41.3426"/>
        <n v="-0.12"/>
        <n v="54.6764"/>
        <n v="-2.5877"/>
        <n v="16.8897"/>
        <n v="1.9642"/>
        <n v="-6.91209999999999"/>
        <n v="-1.6084"/>
        <n v="0.5705"/>
        <n v="-0.979199999999999"/>
        <n v="-2.49419999999999"/>
        <n v="88.6959"/>
        <n v="9.54779999999999"/>
        <n v="8.45999999999999"/>
        <n v="15.617324999999997"/>
        <n v="107.9668"/>
        <n v="-4.35936"/>
        <n v="-0.5081"/>
        <n v="5.1106"/>
        <n v="78.892"/>
        <n v="274.208845"/>
        <n v="287.105"/>
        <n v="-14.7199999999999"/>
        <n v="21.4498"/>
        <n v="213.1092"/>
        <n v="342.5770550000001"/>
        <n v="14.688870000000097"/>
        <n v="17.6899"/>
        <n v="3.5366"/>
        <n v="-0.3021"/>
        <n v="6.7406"/>
        <n v="481.5993"/>
        <n v="52.1108"/>
        <n v="79.9113"/>
        <n v="9.88989999999999"/>
        <n v="20.2276"/>
        <n v="81.216"/>
        <n v="-1.0987"/>
        <n v="1531.271"/>
        <n v="795.8472"/>
        <n v="30.8634"/>
        <n v="45.7216999999999"/>
        <n v="52.18999999999999"/>
        <n v="23.5042"/>
        <n v="-0.1056"/>
        <n v="47.311499999999995"/>
        <n v="606.2451499999991"/>
        <n v="977.3494"/>
        <n v="44.898399999999995"/>
        <n v="485.1863"/>
        <n v="-0.1384"/>
        <n v="84.8864600000001"/>
        <n v="-2.4051"/>
        <n v="34.0016"/>
        <n v="45.5532"/>
        <n v="42.2042"/>
        <n v="39.882125"/>
        <n v="-0.0729"/>
        <n v="2.0899999999999896"/>
        <n v="34.61089999999999"/>
        <n v="-0.3012"/>
        <n v="24.8273"/>
        <n v="0.9599999999999997"/>
        <n v="525.5995"/>
        <n v="60.91919999999999"/>
        <n v="-1.5632"/>
        <n v="874.0707"/>
        <n v="95.243"/>
        <n v="12.6126"/>
        <n v="3.3071000000000996"/>
        <n v="17.4913"/>
        <n v="23.8279"/>
        <n v="63.8219"/>
        <n v="188.363"/>
        <n v="6.65569999999998"/>
        <n v="1290.3326"/>
        <n v="3.47819999999999"/>
        <n v="45.8242"/>
        <n v="33.2801"/>
        <n v="54.5034"/>
        <n v="7.8365"/>
        <n v="78.1514"/>
        <n v="86.48289999999999"/>
        <n v="1154.5881"/>
        <n v="-0.449999999999999"/>
        <n v="542.7691"/>
        <n v="353.5747"/>
        <n v="5.305299999999999"/>
        <n v="28.11419999999999"/>
        <n v="24.88"/>
        <n v="108.9104"/>
        <n v="84.1294"/>
        <n v="130.4879"/>
        <n v="1499.979"/>
        <n v="-1.41"/>
        <n v="24.882"/>
        <n v="3.74479999999999"/>
        <n v="254.99769999999998"/>
        <n v="498.21"/>
        <n v="174.2416"/>
        <n v="-0.008900000000010122"/>
        <n v="124.82395"/>
        <n v="103.1744"/>
        <n v="32.9549"/>
        <n v="28.1193"/>
        <n v="0.964499999999999"/>
        <n v="208.1812"/>
        <n v="233.86939999999998"/>
        <n v="43.524"/>
        <n v="56.189800000000005"/>
        <n v="54.3927"/>
        <n v="34.39"/>
        <n v="50.8167999999999"/>
        <n v="102.65609999999998"/>
        <n v="22.62280000000001"/>
        <n v="3.22129999999999"/>
        <n v="5.34999999999999"/>
        <n v="24.8479"/>
        <n v="5.61999999999999"/>
        <n v="1230.68089999999"/>
        <n v="24.8225"/>
        <n v="32.03"/>
        <n v="27.94039999999999"/>
        <n v="45.9209"/>
        <n v="46.7194"/>
        <n v="27.8"/>
        <n v="14.5557"/>
        <n v="62.9469999999999"/>
        <n v="33.49049999999989"/>
        <n v="79.3871"/>
        <n v="1.0278999999999896"/>
        <n v="41.99249999999999"/>
        <n v="-0.32"/>
        <n v="154.3121"/>
        <n v="23.5505"/>
        <n v="-0.4086"/>
        <n v="37.4092"/>
        <n v="25.414665"/>
        <n v="62.26900000000001"/>
        <n v="468.9095"/>
        <n v="33.7303"/>
        <n v="31.6121"/>
        <n v="6.2479"/>
        <n v="44.1111"/>
        <n v="44.0046999999999"/>
        <n v="22.3108999999999"/>
        <n v="360.2818"/>
        <n v="2.4"/>
        <n v="135.5617"/>
        <n v="1.8437"/>
        <n v="0.0687999999999999"/>
        <n v="46.2144"/>
        <n v="64.1767"/>
        <n v="0.12689999999999957"/>
        <n v="104.09536"/>
        <n v="27.9052999999999"/>
        <n v="67.6755"/>
        <n v="51.3379"/>
        <n v="18.93842"/>
        <n v="-2.55999999999999"/>
        <n v="117.848805"/>
        <n v="-8.9955"/>
        <n v="-3.3218"/>
        <n v="-0.8898"/>
        <n v="24.4827"/>
        <n v="1901.9119"/>
        <n v="89.76612499999999"/>
        <n v="38.193"/>
        <n v="-0.1508"/>
        <n v="12.9591"/>
        <n v="153.831"/>
        <n v="1.5390249999999996"/>
        <n v="48.8538"/>
        <n v="4.6479"/>
        <n v="-0.5346"/>
        <n v="402.085"/>
        <n v="24.3951"/>
        <n v="33.4707"/>
        <n v="2.8462999999999896"/>
        <n v="225.20244499999998"/>
        <n v="163.83271000000002"/>
        <n v="16.95272500000001"/>
        <n v="20.06579999999989"/>
        <n v="12.616"/>
        <n v="-0.4146"/>
        <n v="253.504505"/>
        <n v="-8.865200000000002"/>
        <n v="213.3265"/>
        <n v="18.8778"/>
        <n v="4.26999999999999"/>
        <n v="0.4730999999999901"/>
        <n v="74.5848"/>
        <n v="119.43129999999998"/>
        <n v="23.7114"/>
        <n v="-0.8577"/>
        <n v="63.8036"/>
        <n v="-7.46109999999999"/>
        <n v="149.51"/>
        <n v="0.11"/>
        <n v="-0.435"/>
        <n v="22.0156"/>
        <n v="2.7348"/>
        <n v="338.186"/>
        <n v="3.31679999999999"/>
        <n v="608.03"/>
        <n v="288.87492"/>
        <n v="82.76097499999999"/>
        <n v="-50.1254"/>
        <n v="19.66169999999999"/>
        <n v="62.4791999999999"/>
        <n v="23.53"/>
        <n v="9.6366"/>
        <n v="35.8093"/>
        <n v="36.70309999999999"/>
        <n v="156.4535"/>
        <n v="44.9641"/>
        <n v="34.85"/>
        <n v="894.2135"/>
        <n v="541.0036"/>
        <n v="-2.8225"/>
        <n v="94.4041"/>
        <n v="2.2399999999999896"/>
        <n v="95.7567"/>
        <n v="1.3099999999999898"/>
        <n v="16.89309999999989"/>
        <n v="2.0848999999999998"/>
        <n v="23.5595"/>
        <n v="121.4699999999999"/>
        <n v="130.1477"/>
        <n v="68.7889"/>
        <n v="64.1577"/>
        <n v="84.5396"/>
        <n v="23.3038"/>
        <n v="45.2832"/>
        <n v="161.1572"/>
        <n v="146.1446"/>
        <n v="329.76120000000003"/>
        <n v="41.44039999999999"/>
        <n v="192.20299999999997"/>
        <n v="40.7699"/>
        <n v="131.5485"/>
        <n v="25.535615"/>
        <n v="397.66505"/>
        <n v="56.3051"/>
        <n v="2.9413"/>
        <n v="56.878"/>
        <n v="3355.0196"/>
        <n v="30.980699999999988"/>
        <n v="65.7669"/>
        <n v="32.7021"/>
        <n v="43.7"/>
        <n v="46.8047"/>
        <n v="23.55"/>
        <n v="0.6463000000000001"/>
        <n v="29.2737"/>
        <n v="143.316635"/>
        <n v="-3.3601"/>
        <n v="24.4402"/>
        <n v="45.8758"/>
        <n v="312.60274999999996"/>
        <n v="0.4399999999999902"/>
        <n v="5.758199999999991"/>
        <n v="5.05119999999999"/>
        <n v="0.61"/>
        <n v="109.3723"/>
      </sharedItems>
    </cacheField>
    <cacheField name="Opp Create Date" numFmtId="166">
      <sharedItems containsSemiMixedTypes="0" containsDate="1" containsString="0">
        <d v="2025-09-04T00:00:00Z"/>
        <d v="2025-05-27T00:00:00Z"/>
        <d v="2026-05-28T00:00:00Z"/>
        <d v="2025-11-18T00:00:00Z"/>
        <d v="2026-02-24T00:00:00Z"/>
        <d v="2025-08-11T00:00:00Z"/>
        <d v="2025-06-09T00:00:00Z"/>
        <d v="2025-09-15T00:00:00Z"/>
        <d v="2026-02-06T00:00:00Z"/>
        <d v="2025-11-13T00:00:00Z"/>
        <d v="2025-12-10T00:00:00Z"/>
        <d v="2025-07-11T00:00:00Z"/>
        <d v="2025-05-28T00:00:00Z"/>
        <d v="2026-04-27T00:00:00Z"/>
        <d v="2026-06-24T00:00:00Z"/>
        <d v="2025-05-21T00:00:00Z"/>
        <d v="2025-11-03T00:00:00Z"/>
        <d v="2025-07-18T00:00:00Z"/>
        <d v="2026-02-04T00:00:00Z"/>
        <d v="2025-10-31T00:00:00Z"/>
        <d v="2025-07-25T00:00:00Z"/>
        <d v="2025-10-30T00:00:00Z"/>
        <d v="2025-08-01T00:00:00Z"/>
        <d v="2026-03-18T00:00:00Z"/>
        <d v="2026-01-05T00:00:00Z"/>
        <d v="2025-12-01T00:00:00Z"/>
        <d v="2026-01-06T00:00:00Z"/>
        <d v="2025-08-04T00:00:00Z"/>
        <d v="2025-09-09T00:00:00Z"/>
        <d v="2025-12-16T00:00:00Z"/>
        <d v="2025-06-02T00:00:00Z"/>
        <d v="2025-05-22T00:00:00Z"/>
        <d v="2026-02-18T00:00:00Z"/>
        <d v="2025-11-26T00:00:00Z"/>
        <d v="2025-11-17T00:00:00Z"/>
        <d v="2025-11-04T00:00:00Z"/>
        <d v="2025-06-10T00:00:00Z"/>
        <d v="2025-08-27T00:00:00Z"/>
        <d v="2025-09-30T00:00:00Z"/>
        <d v="2025-10-17T00:00:00Z"/>
        <d v="2025-06-17T00:00:00Z"/>
        <d v="2025-09-11T00:00:00Z"/>
        <d v="2025-09-24T00:00:00Z"/>
        <d v="2025-09-29T00:00:00Z"/>
        <d v="2026-03-23T00:00:00Z"/>
        <d v="2025-12-15T00:00:00Z"/>
        <d v="2025-08-28T00:00:00Z"/>
        <d v="2025-08-12T00:00:00Z"/>
        <d v="2025-12-30T00:00:00Z"/>
        <d v="2025-08-07T00:00:00Z"/>
        <d v="2025-10-06T00:00:00Z"/>
        <d v="2025-06-01T00:00:00Z"/>
        <d v="2026-01-27T00:00:00Z"/>
        <d v="2025-07-01T00:00:00Z"/>
        <d v="2025-08-21T00:00:00Z"/>
        <d v="2025-11-12T00:00:00Z"/>
        <d v="2025-08-26T00:00:00Z"/>
        <d v="2025-08-25T00:00:00Z"/>
        <d v="2026-03-31T00:00:00Z"/>
        <d v="2025-10-07T00:00:00Z"/>
        <d v="2025-09-16T00:00:00Z"/>
        <d v="2025-10-01T00:00:00Z"/>
        <d v="2025-09-03T00:00:00Z"/>
        <d v="2026-02-03T00:00:00Z"/>
        <d v="2026-02-10T00:00:00Z"/>
        <d v="2025-07-03T00:00:00Z"/>
        <d v="2025-05-29T00:00:00Z"/>
        <d v="2026-01-15T00:00:00Z"/>
        <d v="2026-05-06T00:00:00Z"/>
        <d v="2026-04-03T00:00:00Z"/>
        <d v="2025-09-17T00:00:00Z"/>
        <d v="2025-12-23T00:00:00Z"/>
        <d v="2025-09-18T00:00:00Z"/>
        <d v="2026-03-30T00:00:00Z"/>
        <d v="2026-04-07T00:00:00Z"/>
        <d v="2025-12-02T00:00:00Z"/>
        <d v="2025-11-05T00:00:00Z"/>
        <d v="2026-02-05T00:00:00Z"/>
        <d v="2026-04-22T00:00:00Z"/>
        <d v="2025-09-01T00:00:00Z"/>
        <d v="2025-06-23T00:00:00Z"/>
        <d v="2025-10-10T00:00:00Z"/>
        <d v="2025-07-31T00:00:00Z"/>
        <d v="2025-06-12T00:00:00Z"/>
        <d v="2025-05-20T00:00:00Z"/>
        <d v="2026-04-08T00:00:00Z"/>
        <d v="2026-03-17T00:00:00Z"/>
        <d v="2025-12-09T00:00:00Z"/>
        <d v="2026-05-12T00:00:00Z"/>
        <d v="2026-04-09T00:00:00Z"/>
        <d v="2026-03-11T00:00:00Z"/>
        <d v="2025-11-10T00:00:00Z"/>
        <d v="2026-04-01T00:00:00Z"/>
        <d v="2025-06-16T00:00:00Z"/>
        <d v="2026-06-02T00:00:00Z"/>
        <d v="2026-05-13T00:00:00Z"/>
        <d v="2025-12-22T00:00:00Z"/>
        <d v="2025-08-22T00:00:00Z"/>
        <d v="2026-02-20T00:00:00Z"/>
        <d v="2025-12-18T00:00:00Z"/>
        <d v="2025-12-03T00:00:00Z"/>
        <d v="2025-08-18T00:00:00Z"/>
        <d v="2025-09-05T00:00:00Z"/>
        <d v="2025-11-07T00:00:00Z"/>
        <d v="2025-06-08T00:00:00Z"/>
        <d v="2025-10-29T00:00:00Z"/>
        <d v="2026-05-27T00:00:00Z"/>
        <d v="2026-04-29T00:00:00Z"/>
        <d v="2026-03-05T00:00:00Z"/>
        <d v="2026-01-26T00:00:00Z"/>
        <d v="2025-11-20T00:00:00Z"/>
        <d v="2025-10-24T00:00:00Z"/>
        <d v="2025-08-15T00:00:00Z"/>
        <d v="2025-10-28T00:00:00Z"/>
        <d v="2025-06-30T00:00:00Z"/>
        <d v="2025-06-18T00:00:00Z"/>
        <d v="2026-04-24T00:00:00Z"/>
        <d v="2026-01-14T00:00:00Z"/>
        <d v="2026-03-19T00:00:00Z"/>
        <d v="2025-08-05T00:00:00Z"/>
        <d v="2026-05-08T00:00:00Z"/>
      </sharedItems>
    </cacheField>
    <cacheField name="Opp Create Month" numFmtId="166">
      <sharedItems containsSemiMixedTypes="0" containsDate="1" containsString="0">
        <d v="2025-09-01T00:00:00Z"/>
        <d v="2025-05-01T00:00:00Z"/>
        <d v="2026-05-01T00:00:00Z"/>
        <d v="2025-11-01T00:00:00Z"/>
        <d v="2026-02-01T00:00:00Z"/>
        <d v="2025-08-01T00:00:00Z"/>
        <d v="2025-06-01T00:00:00Z"/>
        <d v="2025-12-01T00:00:00Z"/>
        <d v="2025-07-01T00:00:00Z"/>
        <d v="2026-04-01T00:00:00Z"/>
        <d v="2026-06-01T00:00:00Z"/>
        <d v="2025-10-01T00:00:00Z"/>
        <d v="2026-03-01T00:00:00Z"/>
        <d v="2026-01-01T00:00:00Z"/>
      </sharedItems>
    </cacheField>
    <cacheField name="Count GP?" numFmtId="0">
      <sharedItems>
        <s v="Yes"/>
        <s v="N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00" sheet="Redash Pull of Activated Org GP"/>
  </cacheSource>
  <cacheFields>
    <cacheField name="current_tier" numFmtId="0">
      <sharedItems containsBlank="1">
        <s v="Melio Unlimited Ach"/>
        <s v="Melio Plus"/>
        <s v="Melio Basic"/>
        <s v="Melio Pro"/>
        <s v="Melio Accounting Client Core"/>
        <s v="Melio VIP"/>
        <m/>
        <s v="Melio Unlimited Free Trial"/>
      </sharedItems>
    </cacheField>
    <cacheField name="month" numFmtId="164">
      <sharedItems containsSemiMixedTypes="0" containsDate="1" containsString="0">
        <d v="2026-06-01T00:00:00Z"/>
        <d v="2025-08-01T00:00:00Z"/>
        <d v="2026-03-01T00:00:00Z"/>
        <d v="2026-05-01T00:00:00Z"/>
        <d v="2025-09-01T00:00:00Z"/>
        <d v="2026-02-01T00:00:00Z"/>
        <d v="2026-04-01T00:00:00Z"/>
        <d v="2026-01-01T00:00:00Z"/>
        <d v="2025-10-01T00:00:00Z"/>
        <d v="2025-12-01T00:00:00Z"/>
        <d v="2025-11-01T00:00:00Z"/>
        <d v="2025-07-01T00:00:00Z"/>
        <d v="2025-06-01T00:00:00Z"/>
        <d v="2024-03-01T00:00:00Z"/>
        <d v="2024-02-01T00:00:00Z"/>
        <d v="2024-08-01T00:00:00Z"/>
        <d v="2024-01-01T00:00:00Z"/>
        <d v="2025-04-01T00:00:00Z"/>
        <d v="2024-04-01T00:00:00Z"/>
        <d v="2025-02-01T00:00:00Z"/>
        <d v="2024-06-01T00:00:00Z"/>
        <d v="2024-09-01T00:00:00Z"/>
        <d v="2024-12-01T00:00:00Z"/>
        <d v="2024-10-01T00:00:00Z"/>
        <d v="2024-11-01T00:00:00Z"/>
        <d v="2025-05-01T00:00:00Z"/>
        <d v="2023-12-01T00:00:00Z"/>
        <d v="2024-07-01T00:00:00Z"/>
        <d v="2025-03-01T00:00:00Z"/>
        <d v="2023-04-01T00:00:00Z"/>
        <d v="2023-10-01T00:00:00Z"/>
        <d v="2023-11-01T00:00:00Z"/>
        <d v="2024-05-01T00:00:00Z"/>
        <d v="2022-12-01T00:00:00Z"/>
        <d v="2025-01-01T00:00:00Z"/>
        <d v="2022-10-01T00:00:00Z"/>
        <d v="2023-03-01T00:00:00Z"/>
        <d v="2022-09-01T00:00:00Z"/>
      </sharedItems>
    </cacheField>
    <cacheField name="initiated_by_org_id" numFmtId="0">
      <sharedItems containsSemiMixedTypes="0" containsString="0" containsNumber="1" containsInteger="1">
        <n v="1938612.0"/>
        <n v="3945715.0"/>
        <n v="4027774.0"/>
        <n v="4239924.0"/>
        <n v="4181210.0"/>
        <n v="4068848.0"/>
        <n v="3275131.0"/>
        <n v="3543707.0"/>
        <n v="4405027.0"/>
        <n v="4248506.0"/>
        <n v="4308093.0"/>
        <n v="4011819.0"/>
        <n v="3946131.0"/>
        <n v="4622664.0"/>
        <n v="4332104.0"/>
        <n v="4595676.0"/>
        <n v="3906405.0"/>
        <n v="4271363.0"/>
        <n v="4178047.0"/>
        <n v="4031755.0"/>
        <n v="4359494.0"/>
        <n v="4263325.0"/>
        <n v="4039652.0"/>
        <n v="4220233.0"/>
        <n v="4099073.0"/>
        <n v="4400582.0"/>
        <n v="2402714.0"/>
        <n v="4302067.0"/>
        <n v="4294933.0"/>
        <n v="4496351.0"/>
        <n v="4359669.0"/>
        <n v="2710123.0"/>
        <n v="4136460.0"/>
        <n v="4329147.0"/>
        <n v="2153287.0"/>
        <n v="3825826.0"/>
        <n v="3952865.0"/>
        <n v="47426.0"/>
        <n v="4268726.0"/>
        <n v="4489894.0"/>
        <n v="3683365.0"/>
        <n v="4266723.0"/>
        <n v="4252854.0"/>
        <n v="4440958.0"/>
        <n v="100325.0"/>
        <n v="4239927.0"/>
        <n v="4271411.0"/>
        <n v="4233219.0"/>
        <n v="4233333.0"/>
        <n v="4018525.0"/>
        <n v="4134744.0"/>
        <n v="4374819.0"/>
        <n v="4136952.0"/>
        <n v="4428477.0"/>
        <n v="4208610.0"/>
        <n v="3970546.0"/>
        <n v="4112463.0"/>
        <n v="4096547.0"/>
        <n v="4270780.0"/>
        <n v="2340816.0"/>
        <n v="4520048.0"/>
        <n v="3947424.0"/>
        <n v="4254984.0"/>
        <n v="4277306.0"/>
        <n v="3024156.0"/>
        <n v="4031652.0"/>
        <n v="3408624.0"/>
        <n v="4509013.0"/>
        <n v="3962143.0"/>
        <n v="3265302.0"/>
        <n v="4485019.0"/>
        <n v="4491049.0"/>
        <n v="3942346.0"/>
        <n v="4380860.0"/>
        <n v="3942651.0"/>
        <n v="2967694.0"/>
        <n v="3958943.0"/>
        <n v="4079539.0"/>
        <n v="4125771.0"/>
        <n v="3997416.0"/>
        <n v="4223822.0"/>
        <n v="4214658.0"/>
        <n v="4162423.0"/>
        <n v="3383444.0"/>
        <n v="3514759.0"/>
        <n v="4079020.0"/>
        <n v="489723.0"/>
        <n v="3090633.0"/>
        <n v="4161223.0"/>
        <n v="4213575.0"/>
        <n v="4138622.0"/>
        <n v="4233905.0"/>
        <n v="4186958.0"/>
        <n v="4100689.0"/>
        <n v="3956509.0"/>
        <n v="4378644.0"/>
        <n v="4442279.0"/>
        <n v="4307473.0"/>
        <n v="3738104.0"/>
        <n v="4310103.0"/>
        <n v="3959338.0"/>
        <n v="3785914.0"/>
        <n v="4585208.0"/>
        <n v="4314059.0"/>
        <n v="4528120.0"/>
        <n v="4188267.0"/>
        <n v="3968250.0"/>
        <n v="4269437.0"/>
        <n v="4301071.0"/>
        <n v="4269343.0"/>
        <n v="4516557.0"/>
        <n v="4548015.0"/>
        <n v="4038405.0"/>
        <n v="4265889.0"/>
        <n v="4221007.0"/>
        <n v="4462029.0"/>
        <n v="4443098.0"/>
        <n v="4010351.0"/>
        <n v="3085000.0"/>
        <n v="4107679.0"/>
        <n v="4239923.0"/>
        <n v="4327510.0"/>
        <n v="4404380.0"/>
        <n v="4359468.0"/>
        <n v="3977410.0"/>
        <n v="4601844.0"/>
        <n v="4103219.0"/>
        <n v="4117067.0"/>
        <n v="4410778.0"/>
        <n v="4030970.0"/>
        <n v="4169152.0"/>
        <n v="4008827.0"/>
        <n v="4027648.0"/>
        <n v="3934711.0"/>
        <n v="3934664.0"/>
        <n v="4299448.0"/>
        <n v="3935770.0"/>
        <n v="4239966.0"/>
        <n v="4556248.0"/>
        <n v="4239920.0"/>
        <n v="4287245.0"/>
        <n v="4356919.0"/>
        <n v="4530037.0"/>
        <n v="4098415.0"/>
        <n v="4318853.0"/>
        <n v="4154266.0"/>
        <n v="4520936.0"/>
        <n v="4111269.0"/>
        <n v="4161378.0"/>
        <n v="3221188.0"/>
        <n v="3987123.0"/>
        <n v="4646113.0"/>
        <n v="4339749.0"/>
        <n v="4643465.0"/>
        <n v="4539135.0"/>
        <n v="4490170.0"/>
        <n v="4245113.0"/>
        <n v="4531933.0"/>
        <n v="4345385.0"/>
        <n v="3782339.0"/>
        <n v="4231672.0"/>
        <n v="4693674.0"/>
        <n v="4654585.0"/>
        <n v="4185373.0"/>
        <n v="4299558.0"/>
        <n v="4521121.0"/>
        <n v="2428419.0"/>
        <n v="492746.0"/>
        <n v="4443037.0"/>
        <n v="4334745.0"/>
        <n v="4272922.0"/>
        <n v="4075965.0"/>
        <n v="4132416.0"/>
        <n v="4299613.0"/>
        <n v="4247168.0"/>
        <n v="4309608.0"/>
        <n v="3869676.0"/>
        <n v="4521114.0"/>
        <n v="3328212.0"/>
        <n v="4369936.0"/>
        <n v="4214998.0"/>
        <n v="4671781.0"/>
        <n v="4022041.0"/>
        <n v="4477095.0"/>
        <n v="4522341.0"/>
        <n v="4148405.0"/>
        <n v="4410846.0"/>
        <n v="4496271.0"/>
        <n v="4265985.0"/>
        <n v="4277302.0"/>
        <n v="4474354.0"/>
        <n v="4533194.0"/>
        <n v="4161417.0"/>
        <n v="4255268.0"/>
        <n v="4161412.0"/>
        <n v="3499607.0"/>
        <n v="4222088.0"/>
        <n v="4016001.0"/>
        <n v="4166316.0"/>
        <n v="4011251.0"/>
        <n v="4044926.0"/>
        <n v="4277145.0"/>
        <n v="4525842.0"/>
        <n v="4115795.0"/>
        <n v="4613356.0"/>
        <n v="4219847.0"/>
        <n v="4471409.0"/>
        <n v="4342016.0"/>
        <n v="4080340.0"/>
        <n v="4359265.0"/>
        <n v="4525429.0"/>
        <n v="4117708.0"/>
        <n v="3993022.0"/>
        <n v="4155276.0"/>
        <n v="4653751.0"/>
        <n v="4645494.0"/>
        <n v="4643229.0"/>
        <n v="4659388.0"/>
      </sharedItems>
    </cacheField>
    <cacheField name="activation_month" numFmtId="164">
      <sharedItems containsSemiMixedTypes="0" containsDate="1" containsString="0">
        <d v="2025-11-01T00:00:00Z"/>
        <d v="2025-06-01T00:00:00Z"/>
        <d v="2026-06-01T00:00:00Z"/>
        <d v="2025-12-01T00:00:00Z"/>
        <d v="2026-03-01T00:00:00Z"/>
        <d v="2025-08-01T00:00:00Z"/>
        <d v="2025-07-01T00:00:00Z"/>
        <d v="2025-09-01T00:00:00Z"/>
        <d v="2026-02-01T00:00:00Z"/>
        <d v="2026-01-01T00:00:00Z"/>
        <d v="2026-04-01T00:00:00Z"/>
        <d v="2025-05-01T00:00:00Z"/>
        <d v="2025-10-01T00:00:00Z"/>
        <d v="2024-01-01T00:00:00Z"/>
        <d v="2022-09-01T00:00:00Z"/>
        <d v="2020-06-01T00:00:00Z"/>
        <d v="2023-10-01T00:00:00Z"/>
        <d v="2024-03-01T00:00:00Z"/>
        <d v="2024-07-01T00:00:00Z"/>
        <d v="2025-04-01T00:00:00Z"/>
        <d v="2026-05-01T00:00:00Z"/>
        <d v="2024-02-01T00:00:00Z"/>
      </sharedItems>
    </cacheField>
    <cacheField name="total_payments" numFmtId="0">
      <sharedItems containsSemiMixedTypes="0" containsString="0" containsNumber="1" containsInteger="1">
        <n v="12.0"/>
        <n v="20.0"/>
        <n v="274.0"/>
        <n v="2.0"/>
        <n v="5.0"/>
        <n v="26.0"/>
        <n v="3.0"/>
        <n v="25.0"/>
        <n v="1.0"/>
        <n v="22.0"/>
        <n v="6.0"/>
        <n v="67.0"/>
        <n v="9.0"/>
        <n v="4.0"/>
        <n v="16.0"/>
        <n v="8.0"/>
        <n v="11.0"/>
        <n v="23.0"/>
        <n v="28.0"/>
        <n v="18.0"/>
        <n v="117.0"/>
        <n v="73.0"/>
        <n v="33.0"/>
        <n v="7.0"/>
        <n v="160.0"/>
        <n v="21.0"/>
        <n v="56.0"/>
        <n v="68.0"/>
        <n v="17.0"/>
        <n v="79.0"/>
        <n v="39.0"/>
        <n v="14.0"/>
        <n v="95.0"/>
        <n v="53.0"/>
        <n v="36.0"/>
        <n v="31.0"/>
        <n v="116.0"/>
        <n v="69.0"/>
        <n v="58.0"/>
        <n v="10.0"/>
        <n v="139.0"/>
        <n v="110.0"/>
        <n v="24.0"/>
        <n v="77.0"/>
        <n v="57.0"/>
        <n v="65.0"/>
        <n v="59.0"/>
        <n v="15.0"/>
        <n v="49.0"/>
        <n v="13.0"/>
        <n v="141.0"/>
        <n v="88.0"/>
        <n v="101.0"/>
        <n v="29.0"/>
        <n v="78.0"/>
        <n v="75.0"/>
        <n v="43.0"/>
        <n v="82.0"/>
        <n v="30.0"/>
        <n v="32.0"/>
        <n v="731.0"/>
        <n v="44.0"/>
        <n v="64.0"/>
        <n v="66.0"/>
        <n v="125.0"/>
        <n v="85.0"/>
        <n v="51.0"/>
        <n v="71.0"/>
        <n v="47.0"/>
        <n v="159.0"/>
        <n v="34.0"/>
        <n v="50.0"/>
        <n v="19.0"/>
        <n v="46.0"/>
        <n v="48.0"/>
        <n v="42.0"/>
        <n v="40.0"/>
        <n v="60.0"/>
        <n v="62.0"/>
        <n v="27.0"/>
        <n v="107.0"/>
        <n v="72.0"/>
        <n v="38.0"/>
        <n v="96.0"/>
        <n v="92.0"/>
        <n v="306.0"/>
        <n v="35.0"/>
        <n v="84.0"/>
        <n v="148.0"/>
        <n v="81.0"/>
        <n v="802.0"/>
        <n v="41.0"/>
        <n v="83.0"/>
        <n v="80.0"/>
        <n v="393.0"/>
        <n v="260.0"/>
        <n v="129.0"/>
        <n v="197.0"/>
        <n v="74.0"/>
        <n v="54.0"/>
        <n v="45.0"/>
        <n v="37.0"/>
        <n v="163.0"/>
        <n v="155.0"/>
        <n v="112.0"/>
        <n v="338.0"/>
        <n v="134.0"/>
        <n v="135.0"/>
        <n v="264.0"/>
        <n v="99.0"/>
        <n v="52.0"/>
        <n v="97.0"/>
        <n v="91.0"/>
        <n v="485.0"/>
        <n v="128.0"/>
        <n v="165.0"/>
        <n v="100.0"/>
        <n v="89.0"/>
        <n v="191.0"/>
        <n v="70.0"/>
        <n v="248.0"/>
        <n v="105.0"/>
      </sharedItems>
    </cacheField>
    <cacheField name="ach_payments" numFmtId="0">
      <sharedItems containsSemiMixedTypes="0" containsString="0" containsNumber="1" containsInteger="1">
        <n v="12.0"/>
        <n v="4.0"/>
        <n v="274.0"/>
        <n v="2.0"/>
        <n v="1.0"/>
        <n v="3.0"/>
        <n v="25.0"/>
        <n v="0.0"/>
        <n v="22.0"/>
        <n v="67.0"/>
        <n v="9.0"/>
        <n v="20.0"/>
        <n v="26.0"/>
        <n v="16.0"/>
        <n v="7.0"/>
        <n v="11.0"/>
        <n v="23.0"/>
        <n v="28.0"/>
        <n v="18.0"/>
        <n v="117.0"/>
        <n v="5.0"/>
        <n v="33.0"/>
        <n v="160.0"/>
        <n v="6.0"/>
        <n v="21.0"/>
        <n v="8.0"/>
        <n v="56.0"/>
        <n v="68.0"/>
        <n v="17.0"/>
        <n v="79.0"/>
        <n v="39.0"/>
        <n v="14.0"/>
        <n v="95.0"/>
        <n v="53.0"/>
        <n v="36.0"/>
        <n v="31.0"/>
        <n v="116.0"/>
        <n v="69.0"/>
        <n v="58.0"/>
        <n v="10.0"/>
        <n v="139.0"/>
        <n v="110.0"/>
        <n v="24.0"/>
        <n v="57.0"/>
        <n v="65.0"/>
        <n v="15.0"/>
        <n v="13.0"/>
        <n v="49.0"/>
        <n v="141.0"/>
        <n v="88.0"/>
        <n v="101.0"/>
        <n v="29.0"/>
        <n v="78.0"/>
        <n v="75.0"/>
        <n v="50.0"/>
        <n v="43.0"/>
        <n v="82.0"/>
        <n v="27.0"/>
        <n v="32.0"/>
        <n v="731.0"/>
        <n v="44.0"/>
        <n v="46.0"/>
        <n v="125.0"/>
        <n v="85.0"/>
        <n v="71.0"/>
        <n v="47.0"/>
        <n v="159.0"/>
        <n v="19.0"/>
        <n v="48.0"/>
        <n v="77.0"/>
        <n v="38.0"/>
        <n v="59.0"/>
        <n v="62.0"/>
        <n v="107.0"/>
        <n v="72.0"/>
        <n v="96.0"/>
        <n v="92.0"/>
        <n v="34.0"/>
        <n v="306.0"/>
        <n v="84.0"/>
        <n v="148.0"/>
        <n v="81.0"/>
        <n v="802.0"/>
        <n v="41.0"/>
        <n v="83.0"/>
        <n v="80.0"/>
        <n v="393.0"/>
        <n v="260.0"/>
        <n v="129.0"/>
        <n v="30.0"/>
        <n v="197.0"/>
        <n v="60.0"/>
        <n v="73.0"/>
        <n v="54.0"/>
        <n v="45.0"/>
        <n v="37.0"/>
        <n v="42.0"/>
        <n v="163.0"/>
        <n v="155.0"/>
        <n v="112.0"/>
        <n v="338.0"/>
        <n v="134.0"/>
        <n v="135.0"/>
        <n v="264.0"/>
        <n v="99.0"/>
        <n v="52.0"/>
        <n v="97.0"/>
        <n v="35.0"/>
        <n v="91.0"/>
        <n v="485.0"/>
        <n v="128.0"/>
        <n v="165.0"/>
        <n v="100.0"/>
        <n v="66.0"/>
        <n v="51.0"/>
        <n v="89.0"/>
        <n v="191.0"/>
        <n v="70.0"/>
        <n v="248.0"/>
        <n v="105.0"/>
      </sharedItems>
    </cacheField>
    <cacheField name="tpv" numFmtId="0">
      <sharedItems containsSemiMixedTypes="0" containsString="0" containsNumber="1">
        <n v="50342.04"/>
        <n v="221637.92"/>
        <n v="1866713.88"/>
        <n v="4808.9"/>
        <n v="15146.75"/>
        <n v="22035.73"/>
        <n v="8968.14"/>
        <n v="59668.86"/>
        <n v="18000.0"/>
        <n v="21080.52"/>
        <n v="131333.82"/>
        <n v="1358.14"/>
        <n v="334203.32"/>
        <n v="18150.0"/>
        <n v="24262.46"/>
        <n v="81515.9"/>
        <n v="7706.0"/>
        <n v="63457.18"/>
        <n v="126152.95"/>
        <n v="62813.18"/>
        <n v="419657.78"/>
        <n v="1591.92"/>
        <n v="833.4"/>
        <n v="2835.0"/>
        <n v="11966.25"/>
        <n v="34339.89"/>
        <n v="94368.16"/>
        <n v="17288.83"/>
        <n v="0.05"/>
        <n v="167710.44"/>
        <n v="400.0"/>
        <n v="62664.01"/>
        <n v="124823.75"/>
        <n v="3000.0"/>
        <n v="320898.79"/>
        <n v="25688.5"/>
        <n v="5550.0"/>
        <n v="39302.54"/>
        <n v="34031.0"/>
        <n v="85345.09"/>
        <n v="139224.5"/>
        <n v="134882.0"/>
        <n v="280208.91"/>
        <n v="19057.53"/>
        <n v="3588.9"/>
        <n v="207175.0"/>
        <n v="50216.6"/>
        <n v="397010.11"/>
        <n v="6803.9"/>
        <n v="118635.01"/>
        <n v="13793.36"/>
        <n v="2677.0"/>
        <n v="4580.0"/>
        <n v="457283.0"/>
        <n v="10976.25"/>
        <n v="11637.4"/>
        <n v="836230.87"/>
        <n v="306.0"/>
        <n v="171753.41"/>
        <n v="88182.85"/>
        <n v="16109.32"/>
        <n v="114616.7"/>
        <n v="368358.44"/>
        <n v="130340.05"/>
        <n v="58714.56"/>
        <n v="7020.01"/>
        <n v="18936.64"/>
        <n v="971149.21"/>
        <n v="230487.0"/>
        <n v="90151.82"/>
        <n v="21432.9"/>
        <n v="157106.27"/>
        <n v="146487.31"/>
        <n v="441675.47"/>
        <n v="17481.0"/>
        <n v="3250.67"/>
        <n v="50931.46"/>
        <n v="1236.0"/>
        <n v="40939.46"/>
        <n v="336.0"/>
        <n v="90468.08"/>
        <n v="501702.91"/>
        <n v="819280.0"/>
        <n v="3129.96"/>
        <n v="10.0"/>
        <n v="517743.1"/>
        <n v="244830.36"/>
        <n v="263085.81"/>
        <n v="2502.14"/>
        <n v="14858.91"/>
        <n v="37280.08"/>
        <n v="1435467.12"/>
        <n v="232713.88"/>
        <n v="12500.87"/>
        <n v="3257.98"/>
        <n v="102834.56"/>
        <n v="20819.25"/>
        <n v="907.72"/>
        <n v="43942.51"/>
        <n v="5540.0"/>
        <n v="5078.13"/>
        <n v="123.19"/>
        <n v="14121.13"/>
        <n v="5943.5"/>
        <n v="451.78"/>
        <n v="22000.0"/>
        <n v="1953.75"/>
        <n v="3301.16"/>
        <n v="12229.25"/>
        <n v="76075.4"/>
        <n v="66255.0"/>
        <n v="9150.0"/>
        <n v="6989.8"/>
        <n v="63068.06"/>
        <n v="8973.67"/>
        <n v="175.33"/>
        <n v="140376.83"/>
        <n v="50000.0"/>
        <n v="11075.4"/>
        <n v="107690.0"/>
        <n v="4980.34"/>
        <n v="338.69"/>
        <n v="2718.0"/>
        <n v="3178.2"/>
        <n v="7530.61"/>
        <n v="1247.49"/>
        <n v="8000.0"/>
        <n v="2827.08"/>
        <n v="71642.1"/>
        <n v="17568.56"/>
        <n v="4500.0"/>
        <n v="26378.11"/>
        <n v="253.97"/>
        <n v="1739.05"/>
        <n v="2658.02"/>
        <n v="141186.0"/>
        <n v="477.0"/>
        <n v="36600.0"/>
        <n v="3009.02"/>
        <n v="104295.64"/>
        <n v="1700.0"/>
        <n v="82753.45"/>
        <n v="2420.0"/>
        <n v="10435.59"/>
        <n v="84695.67"/>
        <n v="998.55"/>
        <n v="183644.2"/>
        <n v="28000.0"/>
        <n v="50926.0"/>
        <n v="430794.33"/>
        <n v="22683.0"/>
        <n v="32827.38"/>
        <n v="44.48"/>
        <n v="72948.79"/>
        <n v="46375.85"/>
        <n v="136329.0"/>
        <n v="153529.44"/>
        <n v="8020.0"/>
        <n v="85539.85"/>
        <n v="28968.0"/>
        <n v="45720.38"/>
        <n v="134094.0"/>
        <n v="68594.09"/>
        <n v="234412.99"/>
        <n v="87763.98"/>
        <n v="64330.87"/>
        <n v="172.48"/>
        <n v="180082.67"/>
        <n v="615065.0"/>
        <n v="12677.5"/>
        <n v="2700.0"/>
        <n v="69810.21"/>
        <n v="12287.26"/>
        <n v="16762.9"/>
        <n v="1228699.61"/>
        <n v="110988.5"/>
        <n v="17651.9"/>
        <n v="48650.95"/>
        <n v="262116.26"/>
        <n v="85494.53"/>
        <n v="3003.0"/>
        <n v="85720.8"/>
        <n v="87970.4"/>
        <n v="214953.86"/>
        <n v="54821.43"/>
        <n v="156337.11"/>
        <n v="156261.6"/>
        <n v="4595.0"/>
        <n v="90280.0"/>
        <n v="2608.75"/>
        <n v="8333.33"/>
        <n v="17.47"/>
        <n v="4787.2"/>
        <n v="200677.68"/>
        <n v="88296.1"/>
        <n v="40948.1"/>
        <n v="43935.64"/>
        <n v="3855.9"/>
        <n v="8400.0"/>
        <n v="163572.07"/>
        <n v="13678.25"/>
        <n v="285660.13"/>
        <n v="6069.03"/>
        <n v="13020.0"/>
        <n v="146912.0"/>
        <n v="197743.52"/>
        <n v="30879.48"/>
        <n v="4703981.5"/>
        <n v="17781.0"/>
        <n v="2250.0"/>
        <n v="167324.4"/>
        <n v="15673.13"/>
        <n v="54920.31"/>
        <n v="890209.39"/>
        <n v="6472.5"/>
        <n v="21413.81"/>
        <n v="217477.9"/>
        <n v="57445.75"/>
        <n v="296275.2"/>
        <n v="78118.64"/>
        <n v="7969.2"/>
        <n v="78227.75"/>
        <n v="25925.85"/>
        <n v="53.26"/>
        <n v="7124.01"/>
        <n v="41894.98"/>
        <n v="23986.7"/>
        <n v="2238.21"/>
        <n v="858.95"/>
        <n v="488399.6"/>
        <n v="3161065.57"/>
        <n v="136784.62"/>
        <n v="1000054.0"/>
        <n v="797.61"/>
        <n v="2100.0"/>
        <n v="5217.73"/>
        <n v="707792.54"/>
        <n v="13075.4"/>
        <n v="3889.2"/>
        <n v="48485.0"/>
        <n v="49000.0"/>
        <n v="230762.97"/>
        <n v="18936.23"/>
        <n v="84315.75"/>
        <n v="20977.0"/>
        <n v="3857.16"/>
        <n v="7686.07"/>
        <n v="385926.07"/>
        <n v="22850.8"/>
        <n v="526908.57"/>
        <n v="22223.34"/>
        <n v="16000.0"/>
        <n v="864.89"/>
        <n v="3059.52"/>
        <n v="352558.59"/>
        <n v="151824.47"/>
        <n v="2.34"/>
        <n v="5446.78"/>
        <n v="62687.27"/>
        <n v="222994.8"/>
        <n v="284.55"/>
        <n v="20000.0"/>
        <n v="80646.31"/>
        <n v="29259.5"/>
        <n v="78298.17"/>
        <n v="43552.07"/>
        <n v="13021.23"/>
        <n v="2850.0"/>
        <n v="8800.0"/>
        <n v="4875.0"/>
        <n v="159495.0"/>
        <n v="4934.5"/>
        <n v="10500.0"/>
        <n v="16549.74"/>
        <n v="182616.16"/>
        <n v="11339.49"/>
        <n v="15395.32"/>
        <n v="1723.06"/>
        <n v="8811.5"/>
        <n v="7000.0"/>
        <n v="4050.0"/>
        <n v="6130.0"/>
        <n v="510.78"/>
        <n v="14225.2"/>
        <n v="333.79"/>
        <n v="12844.25"/>
        <n v="74.0"/>
        <n v="11850.0"/>
        <n v="6500.0"/>
        <n v="34000.0"/>
        <n v="5580.0"/>
        <n v="1089.0"/>
        <n v="14038.23"/>
        <n v="9200.0"/>
        <n v="500.0"/>
        <n v="12405.6"/>
        <n v="1000.0"/>
        <n v="5871.22"/>
        <n v="35586.55"/>
        <n v="198287.8"/>
        <n v="117677.25"/>
        <n v="101298.1"/>
        <n v="12619.21"/>
        <n v="23562.45"/>
        <n v="42809.0"/>
        <n v="343421.68"/>
        <n v="15969.25"/>
        <n v="21062.06"/>
        <n v="45084.13"/>
        <n v="32951.51"/>
        <n v="72529.0"/>
        <n v="193926.02"/>
        <n v="161726.01"/>
        <n v="24085.0"/>
        <n v="23845.27"/>
        <n v="455152.48"/>
        <n v="28608.16"/>
        <n v="14800.0"/>
        <n v="64418.69"/>
        <n v="14632.67"/>
        <n v="18981.58"/>
        <n v="30098.0"/>
        <n v="9000.0"/>
        <n v="63169.5"/>
        <n v="27732.27"/>
        <n v="245099.4"/>
        <n v="1380198.71"/>
        <n v="36281.0"/>
        <n v="225851.0"/>
        <n v="153760.82"/>
        <n v="173562.49"/>
        <n v="6204.9"/>
        <n v="274296.74"/>
        <n v="839.46"/>
        <n v="132141.87"/>
        <n v="32021.51"/>
        <n v="289.91"/>
        <n v="203882.02"/>
        <n v="56317.86"/>
        <n v="108439.38"/>
        <n v="1128.0"/>
        <n v="41233.69"/>
        <n v="35734.0"/>
        <n v="7111.45"/>
        <n v="2071.11"/>
        <n v="3932.5"/>
        <n v="390068.09"/>
        <n v="6311.26"/>
        <n v="941.52"/>
        <n v="26384.63"/>
        <n v="262.19"/>
        <n v="19242.5"/>
        <n v="176525.28"/>
        <n v="543621.31"/>
        <n v="19530.0"/>
        <n v="2597.64"/>
        <n v="5250.0"/>
        <n v="150.0"/>
        <n v="5616.2"/>
        <n v="98963.46"/>
        <n v="30712.12"/>
        <n v="138530.39"/>
        <n v="27168.72"/>
        <n v="89675.12"/>
        <n v="1269.54"/>
        <n v="4159.7"/>
        <n v="150125.7"/>
        <n v="119839.35"/>
        <n v="16203.1"/>
        <n v="33851.52"/>
        <n v="1078586.25"/>
        <n v="12232.9"/>
        <n v="3656.0"/>
        <n v="29976.45"/>
        <n v="82590.09"/>
        <n v="68294.55"/>
        <n v="22176.0"/>
        <n v="195552.79"/>
        <n v="22984.8"/>
        <n v="30350.29"/>
        <n v="561.22"/>
        <n v="178494.19"/>
        <n v="510.82"/>
        <n v="139376.22"/>
        <n v="10845.0"/>
        <n v="29374.4"/>
        <n v="1247.0"/>
        <n v="75220.01"/>
        <n v="1430939.11"/>
        <n v="600.0"/>
        <n v="1300.0"/>
        <n v="180787.68"/>
        <n v="16490.0"/>
        <n v="148769.61"/>
        <n v="38345.5"/>
        <n v="31150.69"/>
        <n v="8783.75"/>
        <n v="380133.51"/>
        <n v="20965.32"/>
        <n v="66600.0"/>
        <n v="634618.55"/>
        <n v="776472.91"/>
        <n v="112032.13"/>
        <n v="1352.0"/>
        <n v="129562.09"/>
        <n v="16348.45"/>
        <n v="11100.0"/>
        <n v="12484.85"/>
        <n v="35222.0"/>
        <n v="4385.0"/>
        <n v="25664.42"/>
        <n v="1567.08"/>
        <n v="32955.61"/>
        <n v="1130.0"/>
        <n v="40982.39"/>
        <n v="5.0"/>
        <n v="23915.8"/>
        <n v="1893.78"/>
        <n v="2537.0"/>
        <n v="20723.46"/>
        <n v="137706.88"/>
        <n v="2310.0"/>
        <n v="167717.84"/>
        <n v="115122.0"/>
        <n v="1056.0"/>
        <n v="210.28"/>
        <n v="82823.18"/>
        <n v="41754.85"/>
        <n v="10963.76"/>
        <n v="99.35"/>
        <n v="35492.01"/>
        <n v="2187.61"/>
        <n v="1144.68"/>
        <n v="328.32"/>
        <n v="2453.86"/>
        <n v="2000.0"/>
        <n v="109152.0"/>
        <n v="17972.16"/>
        <n v="97930.0"/>
        <n v="876.98"/>
        <n v="4350.0"/>
        <n v="42228.56"/>
        <n v="16075.4"/>
        <n v="7400.0"/>
        <n v="7085.93"/>
        <n v="4907.72"/>
        <n v="84227.97"/>
        <n v="9184.26"/>
        <n v="311.04"/>
        <n v="2435.16"/>
        <n v="809.89"/>
        <n v="42016.9"/>
        <n v="27921.28"/>
        <n v="94843.84"/>
        <n v="1760.75"/>
        <n v="89904.43"/>
        <n v="18146.16"/>
        <n v="157.25"/>
        <n v="7500.0"/>
        <n v="64150.29"/>
        <n v="9880.0"/>
        <n v="4119.8"/>
        <n v="291751.84"/>
        <n v="25618.97"/>
        <n v="288.4"/>
        <n v="1316446.14"/>
        <n v="1084.28"/>
        <n v="114278.33"/>
        <n v="1184737.59"/>
        <n v="31994.59"/>
        <n v="106534.69"/>
        <n v="6320.0"/>
        <n v="16529.57"/>
        <n v="20795.29"/>
        <n v="4206.8"/>
        <n v="82220.7"/>
        <n v="12629.41"/>
        <n v="829.85"/>
        <n v="1175.45"/>
        <n v="3968.79"/>
        <n v="247276.77"/>
        <n v="28725.3"/>
        <n v="29387.91"/>
        <n v="177317.27"/>
        <n v="5633461.05"/>
        <n v="33147.34"/>
        <n v="15883.46"/>
        <n v="171389.87"/>
        <n v="99271.64"/>
        <n v="3500.0"/>
        <n v="7380.0"/>
        <n v="298155.6"/>
        <n v="10950.0"/>
        <n v="45587.72"/>
        <n v="57113.67"/>
        <n v="2587.5"/>
        <n v="24551.1"/>
        <n v="6342.2"/>
        <n v="17875.3"/>
        <n v="626.0"/>
        <n v="32544.72"/>
        <n v="10000.0"/>
        <n v="29803.08"/>
        <n v="68218.72"/>
        <n v="12000.0"/>
        <n v="103528.18"/>
        <n v="345615.24"/>
        <n v="4500.51"/>
        <n v="51743.0"/>
        <n v="1732.5"/>
        <n v="182309.17"/>
        <n v="42800.0"/>
        <n v="24730.6"/>
        <n v="6370.0"/>
        <n v="165575.56"/>
        <n v="215255.36"/>
        <n v="22632.8"/>
        <n v="3805.96"/>
        <n v="6427.38"/>
        <n v="133074.56"/>
        <n v="230305.74"/>
        <n v="639109.25"/>
        <n v="5167.93"/>
        <n v="122970.0"/>
        <n v="9404.31"/>
        <n v="145216.16"/>
        <n v="1014.11"/>
        <n v="278696.35"/>
        <n v="11143.27"/>
        <n v="3086.4"/>
        <n v="31642.25"/>
        <n v="134810.88"/>
        <n v="153725.96"/>
        <n v="19305.63"/>
        <n v="12748.0"/>
        <n v="1194006.81"/>
        <n v="31964.69"/>
        <n v="11.93"/>
        <n v="6071.65"/>
        <n v="45624.42"/>
        <n v="190894.0"/>
        <n v="9712.5"/>
        <n v="5134.5"/>
        <n v="529318.43"/>
        <n v="155139.21"/>
        <n v="1748.44"/>
        <n v="13052.44"/>
        <n v="6734.4"/>
        <n v="7809.57"/>
        <n v="105589.5"/>
        <n v="1975.0"/>
        <n v="6351.39"/>
        <n v="60770.1"/>
        <n v="70617.0"/>
        <n v="4992.0"/>
        <n v="13272.8"/>
        <n v="4750.0"/>
        <n v="85033.0"/>
        <n v="58028.42"/>
        <n v="12027.35"/>
        <n v="65229.25"/>
        <n v="70861.06"/>
        <n v="84586.0"/>
        <n v="97034.34"/>
        <n v="2140.0"/>
        <n v="14999.09"/>
        <n v="1997.6"/>
        <n v="37092.38"/>
        <n v="10485.0"/>
        <n v="240.0"/>
        <n v="567.6"/>
        <n v="89068.11"/>
        <n v="7250.0"/>
        <n v="8470.66"/>
        <n v="3395.71"/>
        <n v="3940.0"/>
        <n v="62.89"/>
        <n v="1100.0"/>
        <n v="13809.06"/>
        <n v="95212.48"/>
        <n v="192666.2"/>
        <n v="19250.0"/>
        <n v="125663.05"/>
        <n v="52645.41"/>
        <n v="63503.0"/>
        <n v="4952.1"/>
        <n v="4988.31"/>
        <n v="7078.75"/>
        <n v="130860.51"/>
        <n v="7648.12"/>
        <n v="11312.15"/>
        <n v="6706.66"/>
        <n v="300.0"/>
        <n v="123690.0"/>
        <n v="376894.07"/>
        <n v="4734.49"/>
        <n v="12090.0"/>
        <n v="30918.4"/>
        <n v="51462.38"/>
        <n v="85518.64"/>
        <n v="169273.23"/>
        <n v="42122.34"/>
        <n v="20333.28"/>
        <n v="264.15"/>
        <n v="41010.66"/>
        <n v="186344.96"/>
        <n v="15034.64"/>
        <n v="1285435.28"/>
        <n v="50983.07"/>
        <n v="7740.75"/>
        <n v="10652.65"/>
        <n v="87861.35"/>
        <n v="194427.25"/>
        <n v="132406.88"/>
        <n v="208412.8"/>
        <n v="593514.57"/>
        <n v="41041.02"/>
        <n v="175542.79"/>
        <n v="314594.9"/>
        <n v="61764.55"/>
        <n v="1392.65"/>
        <n v="10800.0"/>
        <n v="38905.61"/>
        <n v="184.76"/>
        <n v="9610.0"/>
        <n v="21356.17"/>
        <n v="510995.92"/>
        <n v="94894.0"/>
        <n v="88274.03"/>
        <n v="249405.27"/>
        <n v="36075.4"/>
        <n v="134124.13"/>
        <n v="275388.96"/>
        <n v="38671.15"/>
        <n v="44099.16"/>
        <n v="285380.69"/>
        <n v="17729.69"/>
        <n v="144309.0"/>
        <n v="6667.81"/>
        <n v="150305.82"/>
        <n v="200.0"/>
        <n v="2866.64"/>
        <n v="550.0"/>
        <n v="175643.47"/>
        <n v="95056.0"/>
        <n v="33492.33"/>
        <n v="251464.68"/>
        <n v="855.96"/>
        <n v="10780.08"/>
        <n v="44413.88"/>
        <n v="219206.24"/>
        <n v="16236.57"/>
        <n v="6735.0"/>
        <n v="31165.76"/>
        <n v="6561.98"/>
        <n v="590000.0"/>
        <n v="1028422.93"/>
        <n v="62580.0"/>
        <n v="2280.0"/>
        <n v="18870.71"/>
        <n v="153286.18"/>
        <n v="204020.51"/>
        <n v="77667.12"/>
        <n v="3855011.43"/>
        <n v="82775.03"/>
        <n v="87357.84"/>
        <n v="5875.0"/>
        <n v="23004.8"/>
        <n v="63898.81"/>
        <n v="9852.21"/>
        <n v="1542.64"/>
        <n v="73834.29"/>
        <n v="4858.0"/>
        <n v="154482.63"/>
        <n v="541325.89"/>
        <n v="371536.73"/>
        <n v="115042.0"/>
        <n v="230040.6"/>
        <n v="13693.56"/>
        <n v="662525.17"/>
        <n v="15574.05"/>
        <n v="8786.52"/>
        <n v="49756.12"/>
        <n v="5000.0"/>
        <n v="87216.5"/>
        <n v="16788.32"/>
        <n v="89326.19"/>
        <n v="1456517.28"/>
        <n v="1354847.9"/>
        <n v="121451.59"/>
        <n v="534769.22"/>
        <n v="332701.48"/>
        <n v="61437.98"/>
        <n v="43751.81"/>
        <n v="16476.5"/>
        <n v="3642.0"/>
        <n v="8705.3"/>
        <n v="40645.0"/>
        <n v="14226.0"/>
        <n v="141759.16"/>
        <n v="9966.75"/>
        <n v="8712.9"/>
        <n v="35147.96"/>
        <n v="117628.8"/>
        <n v="22005.0"/>
        <n v="742.2"/>
        <n v="13086.69"/>
        <n v="20852.77"/>
        <n v="4771.0"/>
        <n v="375.0"/>
        <n v="60738.08"/>
        <n v="29588.06"/>
        <n v="8151.28"/>
        <n v="43758.97"/>
        <n v="6674.73"/>
        <n v="5333.12"/>
        <n v="3179.47"/>
        <n v="6995.11"/>
        <n v="30000.0"/>
        <n v="103.0"/>
        <n v="2106.0"/>
        <n v="509.5"/>
        <n v="636.0"/>
        <n v="20316.5"/>
        <n v="24455.73"/>
        <n v="110441.98"/>
        <n v="404363.4"/>
        <n v="14400.0"/>
        <n v="60210.0"/>
        <n v="74104.54"/>
        <n v="8523.73"/>
        <n v="50.0"/>
        <n v="9128.82"/>
        <n v="601.68"/>
        <n v="7812.89"/>
        <n v="11782.4"/>
        <n v="107088.0"/>
        <n v="69204.5"/>
        <n v="97728.77"/>
        <n v="3532.38"/>
        <n v="61.01"/>
        <n v="109199.56"/>
        <n v="3150.0"/>
        <n v="200930.36"/>
        <n v="207301.11"/>
        <n v="91200.2"/>
        <n v="20147.5"/>
        <n v="28059.0"/>
        <n v="7273.1"/>
        <n v="2047.44"/>
        <n v="2980.0"/>
        <n v="187687.61"/>
        <n v="33345.0"/>
        <n v="14075.6"/>
        <n v="149380.64"/>
        <n v="15000.0"/>
        <n v="19172.87"/>
        <n v="210.61"/>
        <n v="17851.07"/>
        <n v="55681.79"/>
        <n v="12078.75"/>
        <n v="8744.6"/>
        <n v="0.01"/>
        <n v="16440.0"/>
        <n v="91843.74"/>
        <n v="12840.0"/>
        <n v="18769.0"/>
        <n v="18624.79"/>
        <n v="251857.0"/>
        <n v="27297.62"/>
        <n v="213782.0"/>
        <n v="22413.84"/>
        <n v="18531.15"/>
        <n v="81174.53"/>
        <n v="6112.65"/>
        <n v="144.0"/>
        <n v="136440.41"/>
        <n v="62160.64"/>
        <n v="3096.81"/>
        <n v="285151.01"/>
        <n v="991.48"/>
        <n v="25914.0"/>
        <n v="4856.25"/>
        <n v="35562.22"/>
        <n v="64489.25"/>
        <n v="62351.58"/>
        <n v="138160.59"/>
        <n v="26132.9"/>
        <n v="295799.36"/>
        <n v="153.0"/>
        <n v="3867.5"/>
        <n v="164281.29"/>
        <n v="291207.02"/>
        <n v="887.0"/>
        <n v="149121.04"/>
        <n v="4730.04"/>
        <n v="490917.75"/>
        <n v="16755.0"/>
        <n v="375623.98"/>
        <n v="158589.4"/>
        <n v="11339.53"/>
        <n v="1395.2"/>
        <n v="1699.5"/>
        <n v="991567.27"/>
        <n v="947140.97"/>
        <n v="147637.73"/>
        <n v="3952.0"/>
        <n v="17168.33"/>
        <n v="45676.0"/>
        <n v="6602.36"/>
        <n v="501952.71"/>
        <n v="4601.9"/>
        <n v="113003.32"/>
        <n v="734885.56"/>
        <n v="117407.1"/>
        <n v="9611.84"/>
        <n v="13610.45"/>
        <n v="31304.1"/>
        <n v="63991.0"/>
        <n v="31776.81"/>
        <n v="67980.75"/>
        <n v="2382.25"/>
        <n v="2473.05"/>
        <n v="1.52"/>
        <n v="326224.06"/>
        <n v="521.95"/>
        <n v="1405.0"/>
        <n v="8489.99"/>
        <n v="8855.28"/>
        <n v="17000.0"/>
        <n v="40621.29"/>
        <n v="3898.41"/>
        <n v="18870.9"/>
        <n v="145465.08"/>
        <n v="0.16"/>
        <n v="56214.16"/>
        <n v="4402.35"/>
        <n v="12908.0"/>
        <n v="19680.81"/>
        <n v="6561.26"/>
        <n v="21.07"/>
        <n v="27018.47"/>
        <n v="303.61"/>
        <n v="707743.21"/>
        <n v="242429.8"/>
        <n v="18897.84"/>
        <n v="23919.65"/>
        <n v="2609.02"/>
        <n v="10182.71"/>
        <n v="1500.0"/>
        <n v="12928.92"/>
        <n v="3370.55"/>
        <n v="6545.4"/>
        <n v="118000.0"/>
        <n v="281.1"/>
        <n v="7058.89"/>
        <n v="230.0"/>
        <n v="470.0"/>
        <n v="5700.0"/>
        <n v="21790.79"/>
        <n v="10592.04"/>
        <n v="2364.05"/>
        <n v="23375.0"/>
        <n v="3822.77"/>
        <n v="6256.19"/>
        <n v="12980.94"/>
        <n v="14680.34"/>
        <n v="84928.35"/>
        <n v="1.0"/>
        <n v="2388.49"/>
        <n v="208270.0"/>
        <n v="55237.4"/>
        <n v="10373.15"/>
        <n v="31179.92"/>
        <n v="3364.6"/>
        <n v="3790.0"/>
        <n v="39195.83"/>
        <n v="6958.68"/>
        <n v="3177.08"/>
        <n v="2154.12"/>
        <n v="6197.1"/>
        <n v="108811.92"/>
        <n v="9493.14"/>
        <n v="8766.92"/>
        <n v="33009.75"/>
        <n v="18737.27"/>
        <n v="22721.28"/>
        <n v="7506.25"/>
        <n v="135586.5"/>
        <n v="33784.69"/>
        <n v="45.0"/>
        <n v="44830.17"/>
        <n v="13100.16"/>
        <n v="91218.36"/>
        <n v="54396.75"/>
        <n v="72847.5"/>
        <n v="138111.17"/>
        <n v="417.0"/>
        <n v="1757.24"/>
        <n v="6985.39"/>
        <n v="52078.34"/>
        <n v="53220.5"/>
        <n v="7925.4"/>
        <n v="10110.0"/>
        <n v="89406.66"/>
        <n v="25093.9"/>
        <n v="48535.57"/>
        <n v="967683.69"/>
        <n v="35153.38"/>
        <n v="20933.78"/>
        <n v="14500.0"/>
        <n v="16041.73"/>
        <n v="14601.14"/>
        <n v="4998.72"/>
        <n v="641227.39"/>
        <n v="9266.17"/>
        <n v="39657.0"/>
        <n v="27454.07"/>
        <n v="4058.0"/>
        <n v="336789.56"/>
        <n v="35184.0"/>
        <n v="816.42"/>
        <n v="4389.0"/>
        <n v="62642.49"/>
        <n v="8506.71"/>
        <n v="37450.63"/>
        <n v="0.02"/>
        <n v="73499.47"/>
        <n v="104439.9"/>
        <n v="58675.0"/>
        <n v="40817.0"/>
        <n v="427.8"/>
        <n v="98932.58"/>
        <n v="89332.94"/>
        <n v="1965.0"/>
        <n v="45910.94"/>
        <n v="10673.63"/>
        <n v="62081.8"/>
        <n v="63117.79"/>
        <n v="45436.58"/>
        <n v="135811.31"/>
        <n v="65685.91"/>
        <n v="301931.26"/>
        <n v="159752.83"/>
        <n v="74.91"/>
        <n v="34336.9"/>
        <n v="22094.1"/>
        <n v="47107.42"/>
        <n v="27940.37"/>
        <n v="4762990.19"/>
        <n v="9912.5"/>
        <n v="140521.25"/>
        <n v="14437.76"/>
        <n v="1155.6"/>
        <n v="4136.0"/>
        <n v="17197.36"/>
        <n v="97007.91"/>
        <n v="359.09"/>
        <n v="10545.67"/>
        <n v="993.0"/>
        <n v="3975.0"/>
        <n v="9550.0"/>
        <n v="213235.62"/>
        <n v="2410.31"/>
        <n v="205129.67"/>
        <n v="76507.36"/>
        <n v="25.0"/>
      </sharedItems>
    </cacheField>
    <cacheField name="visa_tpv" numFmtId="0">
      <sharedItems containsString="0" containsBlank="1" containsNumber="1">
        <m/>
        <n v="149319.6"/>
        <n v="21461.02"/>
        <n v="18000.0"/>
        <n v="838.14"/>
        <n v="7706.0"/>
        <n v="1591.92"/>
        <n v="25688.5"/>
        <n v="36503.29"/>
        <n v="34031.0"/>
        <n v="69092.83"/>
        <n v="80000.0"/>
        <n v="3655.0"/>
        <n v="6311.1"/>
        <n v="150.52"/>
        <n v="207283.0"/>
        <n v="3866.55"/>
        <n v="18936.64"/>
        <n v="3250.67"/>
        <n v="70000.0"/>
        <n v="1373.0"/>
        <n v="1140.63"/>
        <n v="13043.13"/>
        <n v="22000.0"/>
        <n v="3301.16"/>
        <n v="50000.0"/>
        <n v="107690.0"/>
        <n v="250.0"/>
        <n v="1458.8"/>
        <n v="855.2"/>
        <n v="107050.0"/>
        <n v="36600.0"/>
        <n v="25197.77"/>
        <n v="10000.0"/>
        <n v="13022.0"/>
        <n v="3298.2"/>
        <n v="46375.85"/>
        <n v="25000.0"/>
        <n v="4010.0"/>
        <n v="175763.0"/>
        <n v="665.0"/>
        <n v="11075.4"/>
        <n v="15000.0"/>
        <n v="48650.95"/>
        <n v="10749.68"/>
        <n v="887.0"/>
        <n v="85720.8"/>
        <n v="1328.35"/>
        <n v="61180.07"/>
        <n v="13020.0"/>
        <n v="7310.0"/>
        <n v="78295.44"/>
        <n v="8757.81"/>
        <n v="13030.0"/>
        <n v="7969.2"/>
        <n v="858.95"/>
        <n v="431990.0"/>
        <n v="9955.0"/>
        <n v="49000.0"/>
        <n v="16000.0"/>
        <n v="2525.0"/>
        <n v="20000.0"/>
        <n v="1000.0"/>
        <n v="13125.61"/>
        <n v="116060.0"/>
        <n v="4772.0"/>
        <n v="3984.79"/>
        <n v="15395.32"/>
        <n v="11850.0"/>
        <n v="350.0"/>
        <n v="34000.0"/>
        <n v="3818.02"/>
        <n v="9200.0"/>
        <n v="35586.55"/>
        <n v="19982.0"/>
        <n v="1709.33"/>
        <n v="68392.02"/>
        <n v="24085.0"/>
        <n v="8992.8"/>
        <n v="14800.0"/>
        <n v="1.0"/>
        <n v="9790.0"/>
        <n v="303.16"/>
        <n v="245099.4"/>
        <n v="153760.82"/>
        <n v="1407.26"/>
        <n v="5616.2"/>
        <n v="2049.36"/>
        <n v="1183.1"/>
        <n v="3456.0"/>
        <n v="22176.0"/>
        <n v="18124.8"/>
        <n v="10845.0"/>
        <n v="2800.0"/>
        <n v="336.0"/>
        <n v="31150.69"/>
        <n v="1063.94"/>
        <n v="48200.0"/>
        <n v="11100.0"/>
        <n v="8250.0"/>
        <n v="23658.8"/>
        <n v="19582.5"/>
        <n v="210.28"/>
        <n v="41754.85"/>
        <n v="2002.45"/>
        <n v="34.35"/>
        <n v="9150.0"/>
        <n v="2187.61"/>
        <n v="570.57"/>
        <n v="109152.0"/>
        <n v="41150.0"/>
        <n v="761.43"/>
        <n v="907.72"/>
        <n v="84227.97"/>
        <n v="47843.84"/>
        <n v="89904.43"/>
        <n v="7500.0"/>
        <n v="3339.5"/>
        <n v="4817.3"/>
        <n v="288.4"/>
        <n v="20795.29"/>
        <n v="832.5"/>
        <n v="829.85"/>
        <n v="443.85"/>
        <n v="47.89"/>
        <n v="8988.0"/>
        <n v="214.49"/>
        <n v="3500.0"/>
        <n v="2383.17"/>
        <n v="570.0"/>
        <n v="51743.0"/>
        <n v="104761.15"/>
        <n v="1358.04"/>
        <n v="9404.31"/>
        <n v="1014.11"/>
        <n v="10933.27"/>
        <n v="1047.66"/>
        <n v="134810.88"/>
        <n v="14224.87"/>
        <n v="40929.5"/>
        <n v="10696.94"/>
        <n v="1009.4"/>
        <n v="7809.57"/>
        <n v="105589.5"/>
        <n v="23250.0"/>
        <n v="4992.0"/>
        <n v="13272.8"/>
        <n v="37620.0"/>
        <n v="1518.28"/>
        <n v="84586.0"/>
        <n v="1997.6"/>
        <n v="11578.75"/>
        <n v="240.0"/>
        <n v="567.6"/>
        <n v="7250.0"/>
        <n v="95212.48"/>
        <n v="192666.2"/>
        <n v="3459.18"/>
        <n v="871.55"/>
        <n v="840.0"/>
        <n v="7574.4"/>
        <n v="1277.2"/>
        <n v="27.9"/>
        <n v="30918.4"/>
        <n v="85518.64"/>
        <n v="47678.4"/>
        <n v="35775.17"/>
        <n v="40293.26"/>
        <n v="1392.65"/>
        <n v="10800.0"/>
        <n v="28671.15"/>
        <n v="1533.45"/>
        <n v="64000.0"/>
        <n v="1162.07"/>
        <n v="14203.36"/>
        <n v="12290.0"/>
        <n v="2280.0"/>
        <n v="18870.71"/>
        <n v="116114.51"/>
        <n v="3325.0"/>
        <n v="5000.0"/>
        <n v="500.0"/>
        <n v="16788.32"/>
        <n v="1254.15"/>
        <n v="35147.96"/>
        <n v="117628.8"/>
        <n v="13086.69"/>
        <n v="375.0"/>
        <n v="4708.84"/>
        <n v="5342.65"/>
        <n v="30000.0"/>
        <n v="46.76"/>
        <n v="24455.73"/>
        <n v="14400.0"/>
        <n v="57371.47"/>
        <n v="5364.78"/>
        <n v="28.0"/>
        <n v="200930.36"/>
        <n v="2580.0"/>
        <n v="3317.5"/>
        <n v="13492.53"/>
        <n v="17153.24"/>
        <n v="32859.0"/>
        <n v="3628.65"/>
        <n v="18531.15"/>
        <n v="8721.0"/>
        <n v="522.85"/>
        <n v="12938.1"/>
        <n v="45676.0"/>
        <n v="12309.41"/>
        <n v="17000.0"/>
        <n v="3898.41"/>
        <n v="2490.0"/>
        <n v="303.61"/>
        <n v="2609.02"/>
        <n v="3652.01"/>
        <n v="5297.31"/>
        <n v="118000.0"/>
        <n v="1452.42"/>
        <n v="230.0"/>
        <n v="470.0"/>
        <n v="5700.0"/>
        <n v="466.4"/>
        <n v="9447.04"/>
        <n v="4886.88"/>
        <n v="5902.57"/>
        <n v="619.45"/>
        <n v="147095.0"/>
        <n v="15518.65"/>
        <n v="4537.0"/>
        <n v="3364.6"/>
        <n v="813.65"/>
        <n v="108811.92"/>
        <n v="2062.5"/>
        <n v="4581.05"/>
        <n v="792.93"/>
        <n v="22554.54"/>
        <n v="2856.25"/>
        <n v="5922.5"/>
        <n v="44830.17"/>
        <n v="91218.36"/>
        <n v="10110.0"/>
        <n v="38065.57"/>
        <n v="32818.88"/>
        <n v="19762.95"/>
        <n v="5.0"/>
        <n v="39657.0"/>
        <n v="27454.07"/>
        <n v="23184.0"/>
        <n v="960.0"/>
        <n v="12229.25"/>
        <n v="21001.0"/>
        <n v="74.91"/>
        <n v="34336.9"/>
        <n v="4136.0"/>
        <n v="7515.19"/>
        <n v="983.5"/>
      </sharedItems>
    </cacheField>
    <cacheField name="total_revenue" numFmtId="0">
      <sharedItems containsSemiMixedTypes="0" containsString="0" containsNumber="1">
        <n v="1.5"/>
        <n v="5093.73"/>
        <n v="2522.7818"/>
        <n v="0.0"/>
        <n v="374.060808"/>
        <n v="628.1"/>
        <n v="522.0"/>
        <n v="25.66"/>
        <n v="30.17"/>
        <n v="24.5"/>
        <n v="4.2"/>
        <n v="223.47"/>
        <n v="38.82"/>
        <n v="46.17"/>
        <n v="89.32"/>
        <n v="75.0"/>
        <n v="104.35"/>
        <n v="10.0"/>
        <n v="143.954846"/>
        <n v="11.6"/>
        <n v="232.0"/>
        <n v="87.0"/>
        <n v="1790.19"/>
        <n v="744.96"/>
        <n v="160.95"/>
        <n v="1139.71"/>
        <n v="986.9"/>
        <n v="2475.02"/>
        <n v="2729.63"/>
        <n v="270.27"/>
        <n v="424.71"/>
        <n v="10.002275"/>
        <n v="206.43"/>
        <n v="380.25"/>
        <n v="13231.2"/>
        <n v="26.1"/>
        <n v="337.49"/>
        <n v="127.223263"/>
        <n v="56.5"/>
        <n v="13.5"/>
        <n v="222.543855"/>
        <n v="317.99465"/>
        <n v="549.16"/>
        <n v="282.06"/>
        <n v="2210.47"/>
        <n v="2.0"/>
        <n v="4.18"/>
        <n v="9.969429"/>
        <n v="60.559476"/>
        <n v="378.71857"/>
        <n v="56.05"/>
        <n v="94.27"/>
        <n v="11.544655"/>
        <n v="9.74"/>
        <n v="10.5"/>
        <n v="23819.12"/>
        <n v="11.0"/>
        <n v="900.838946"/>
        <n v="164.37108"/>
        <n v="15.0"/>
        <n v="7.5"/>
        <n v="2352.84665"/>
        <n v="146.27"/>
        <n v="2.5"/>
        <n v="23.37482"/>
        <n v="26.32"/>
        <n v="160.66"/>
        <n v="129.15"/>
        <n v="1.92"/>
        <n v="660.76"/>
        <n v="13.1"/>
        <n v="638.0"/>
        <n v="53.25"/>
        <n v="95.74"/>
        <n v="354.65"/>
        <n v="2206.19"/>
        <n v="1921.39"/>
        <n v="265.35"/>
        <n v="69.89"/>
        <n v="135.01"/>
        <n v="5.08"/>
        <n v="1460.0"/>
        <n v="321.19"/>
        <n v="3153.01"/>
        <n v="75.93"/>
        <n v="9.82"/>
        <n v="27.18"/>
        <n v="19.1"/>
        <n v="191.3"/>
        <n v="81.99"/>
        <n v="447.61"/>
        <n v="54.45"/>
        <n v="39.44"/>
        <n v="7.36"/>
        <n v="40.68"/>
        <n v="4094.39"/>
        <n v="1061.39"/>
        <n v="87.26"/>
        <n v="1891.56"/>
        <n v="152.87"/>
        <n v="157.0"/>
        <n v="1158.16"/>
        <n v="9.99"/>
        <n v="994.52"/>
        <n v="812.0"/>
        <n v="127.99"/>
        <n v="6.0"/>
        <n v="557.8"/>
        <n v="299.13"/>
        <n v="20.27"/>
        <n v="1419.9"/>
        <n v="4028.54"/>
        <n v="252.58"/>
        <n v="6.553"/>
        <n v="578.25"/>
        <n v="25.4"/>
        <n v="40.259553"/>
        <n v="38.53"/>
        <n v="5.0"/>
        <n v="16376.89"/>
        <n v="19.29"/>
        <n v="376.33"/>
        <n v="347.45853"/>
        <n v="3313.66"/>
        <n v="511.84"/>
        <n v="1410.88"/>
        <n v="76.45"/>
        <n v="393.313515"/>
        <n v="32.37"/>
        <n v="2485.9"/>
        <n v="248.21"/>
        <n v="5150.3"/>
        <n v="37.25"/>
        <n v="127.051533"/>
        <n v="92.66"/>
        <n v="394.98"/>
        <n v="44.25"/>
        <n v="46.5"/>
        <n v="1187.49"/>
        <n v="49.56905"/>
        <n v="2266.34"/>
        <n v="94.12"/>
        <n v="457.58"/>
        <n v="376.26"/>
        <n v="3.7245"/>
        <n v="1228.758173"/>
        <n v="38.75"/>
        <n v="57.155"/>
        <n v="2270.59"/>
        <n v="454.5"/>
        <n v="506.14"/>
        <n v="83.75"/>
        <n v="176.11"/>
        <n v="277.884"/>
        <n v="1992.02"/>
        <n v="926.19"/>
        <n v="694.753155"/>
        <n v="231.11"/>
        <n v="3.5"/>
        <n v="8.86"/>
        <n v="6.93"/>
        <n v="24.91"/>
        <n v="14273.58"/>
        <n v="2088.085757"/>
        <n v="16.937386"/>
        <n v="28116.56"/>
        <n v="1109.505866"/>
        <n v="379.19"/>
        <n v="6.04"/>
        <n v="871.3"/>
        <n v="1421.0"/>
        <n v="418.329741"/>
        <n v="518.75"/>
        <n v="47.8"/>
        <n v="0.5"/>
        <n v="66.89"/>
        <n v="16.06"/>
        <n v="232.77"/>
        <n v="944.808282"/>
        <n v="13.75"/>
        <n v="464.0"/>
        <n v="16.4286"/>
        <n v="0.46"/>
        <n v="18.0"/>
        <n v="73.22"/>
        <n v="139.878362"/>
        <n v="580.0"/>
        <n v="318.71"/>
        <n v="45.69"/>
        <n v="282.45"/>
        <n v="1263.01"/>
        <n v="115.0"/>
        <n v="4625.35"/>
        <n v="5396.6"/>
        <n v="280.7"/>
        <n v="446.46"/>
        <n v="40.5"/>
        <n v="1.16"/>
        <n v="9.68"/>
        <n v="372.48"/>
        <n v="0.58"/>
        <n v="343.65"/>
        <n v="10.15"/>
        <n v="986.0"/>
        <n v="20.0"/>
        <n v="297.74"/>
        <n v="266.8"/>
        <n v="310.15"/>
        <n v="29.0"/>
        <n v="1032.02"/>
        <n v="189.4785"/>
        <n v="94.74"/>
        <n v="27.5"/>
        <n v="718.31"/>
        <n v="140.0"/>
        <n v="463.11"/>
        <n v="52.402"/>
        <n v="977.03"/>
        <n v="246.94"/>
        <n v="88.630405"/>
        <n v="2071.2"/>
        <n v="738.46"/>
        <n v="401.29"/>
        <n v="231.48"/>
        <n v="257.47344"/>
        <n v="429.2"/>
        <n v="40.83"/>
        <n v="872.85"/>
        <n v="924.64"/>
        <n v="430.74"/>
        <n v="7107.87"/>
        <n v="258.769602"/>
        <n v="1052.15"/>
        <n v="2746.5292"/>
        <n v="4459.07"/>
        <n v="23.85"/>
        <n v="20.75"/>
        <n v="24.35"/>
        <n v="91.893345"/>
        <n v="2.9"/>
        <n v="164.409219"/>
        <n v="52.58"/>
        <n v="206.23"/>
        <n v="7.55"/>
        <n v="106.14704"/>
        <n v="84.242335"/>
        <n v="4.5"/>
        <n v="790.74"/>
        <n v="87.8"/>
        <n v="131.182721"/>
        <n v="3.0"/>
        <n v="234.81"/>
        <n v="37.375"/>
        <n v="162.87"/>
        <n v="15.986758"/>
        <n v="166.25"/>
        <n v="183.06"/>
        <n v="57.89"/>
        <n v="107.15"/>
        <n v="765.58"/>
        <n v="51.9085"/>
        <n v="469.88"/>
        <n v="358.843213"/>
        <n v="100.22"/>
        <n v="244.746417"/>
        <n v="68.0"/>
        <n v="643.1"/>
        <n v="570.997587"/>
        <n v="632.71"/>
        <n v="16.28"/>
        <n v="150.4532"/>
        <n v="314.51"/>
        <n v="172.7"/>
        <n v="1832.017881"/>
        <n v="37.7"/>
        <n v="128.74101"/>
        <n v="33.842584"/>
        <n v="903.36"/>
        <n v="156.78"/>
        <n v="3568.370073"/>
        <n v="1931.4"/>
        <n v="27.95775"/>
        <n v="214.218852"/>
        <n v="130.952018"/>
        <n v="331.9"/>
        <n v="56.33"/>
        <n v="1021.44"/>
        <n v="43.85"/>
        <n v="500.21"/>
        <n v="32.77"/>
        <n v="623.09"/>
        <n v="693.56"/>
        <n v="73.58"/>
        <n v="1930.03"/>
        <n v="3338.54"/>
        <n v="6.1"/>
        <n v="2451.87"/>
        <n v="1210.89"/>
        <n v="222.93"/>
        <n v="2.89"/>
        <n v="1029.27"/>
        <n v="85.32"/>
        <n v="28.17"/>
        <n v="9.52"/>
        <n v="81.16"/>
        <n v="3069.41"/>
        <n v="2839.97"/>
        <n v="43.5"/>
        <n v="1224.63"/>
        <n v="466.19"/>
        <n v="214.6"/>
        <n v="205.5"/>
        <n v="162.32"/>
        <n v="2442.61"/>
        <n v="12.31"/>
        <n v="1218.47"/>
        <n v="2750.47"/>
        <n v="2607.23"/>
        <n v="526.24"/>
        <n v="217.5"/>
        <n v="93.462494"/>
        <n v="342.201576"/>
        <n v="679.49"/>
        <n v="8.37"/>
        <n v="1091.85398"/>
        <n v="154.944896"/>
        <n v="563.11"/>
        <n v="8.1"/>
        <n v="613.06"/>
        <n v="122.0"/>
        <n v="413.58"/>
        <n v="24.07"/>
        <n v="23.02"/>
        <n v="1.39"/>
        <n v="77.899883"/>
        <n v="499.4"/>
        <n v="768.62"/>
        <n v="101.7221"/>
        <n v="1245.774346"/>
        <n v="691.8081"/>
        <n v="500.62"/>
        <n v="6.88"/>
        <n v="17.5"/>
        <n v="101.5"/>
        <n v="23.0"/>
        <n v="76.117762"/>
        <n v="317.55"/>
        <n v="69.11"/>
        <n v="60.33"/>
        <n v="75.04"/>
        <n v="17.647"/>
        <n v="18.15"/>
        <n v="290.0"/>
        <n v="582.341318"/>
        <n v="0.6"/>
        <n v="1540.55"/>
        <n v="135.0"/>
        <n v="1090.4"/>
        <n v="7.0"/>
        <n v="3652.56"/>
        <n v="416.112161"/>
        <n v="43.42925"/>
        <n v="99.76"/>
        <n v="2776.492248"/>
        <n v="31.974033"/>
        <n v="3566.14"/>
        <n v="272.72"/>
        <n v="570.110628"/>
        <n v="29.41"/>
        <n v="44.98"/>
        <n v="317.05"/>
        <n v="39.39"/>
        <n v="3909.51"/>
        <n v="85.5"/>
        <n v="449.81"/>
        <n v="110.28"/>
        <n v="809.00492"/>
        <n v="12.42"/>
        <n v="162.58"/>
        <n v="13.97"/>
        <n v="67.257596"/>
        <n v="4499.04"/>
        <n v="590.55"/>
        <n v="29.27"/>
        <n v="226.48"/>
        <n v="3062.1"/>
        <n v="26.0"/>
        <n v="2047.89"/>
        <n v="144.77"/>
        <n v="384.9"/>
        <n v="47.5"/>
        <n v="2286.88"/>
        <n v="226.99"/>
        <n v="1891.65"/>
        <n v="1904.97"/>
        <n v="2452.99"/>
        <n v="2903.98"/>
        <n v="26.68"/>
        <n v="109.756921"/>
        <n v="57.93"/>
        <n v="335.78"/>
        <n v="6.96"/>
        <n v="16.46"/>
        <n v="210.25"/>
        <n v="129.18"/>
        <n v="33.96"/>
        <n v="31.9"/>
        <n v="2761.16"/>
        <n v="5408.32"/>
        <n v="241.267894"/>
        <n v="50.178904"/>
        <n v="134.61"/>
        <n v="125.08"/>
        <n v="7.62"/>
        <n v="111.9"/>
        <n v="16.5"/>
        <n v="221.79"/>
        <n v="88.21"/>
        <n v="8.7"/>
        <n v="3628.01"/>
        <n v="36.0"/>
        <n v="7.77"/>
        <n v="982.95"/>
        <n v="65.99"/>
        <n v="2555.04"/>
        <n v="39.75"/>
        <n v="523.5"/>
        <n v="5403.99"/>
        <n v="549.806995"/>
        <n v="1158.25"/>
        <n v="6.75"/>
        <n v="0.09"/>
        <n v="10.37"/>
        <n v="110.0"/>
        <n v="16.238751"/>
        <n v="1237.66"/>
        <n v="57.82"/>
        <n v="1149.722"/>
        <n v="45.2617"/>
        <n v="40.39"/>
        <n v="313.2"/>
        <n v="1138.26"/>
        <n v="106.43"/>
        <n v="619.33"/>
        <n v="435.890766"/>
        <n v="393.49"/>
        <n v="47.02"/>
        <n v="1046.19"/>
        <n v="61.7175"/>
        <n v="12.836475"/>
        <n v="1121.47"/>
        <n v="72.0"/>
        <n v="102.96"/>
        <n v="29.9"/>
        <n v="105.99"/>
        <n v="193.38"/>
        <n v="56.94"/>
        <n v="5.8"/>
        <n v="66.7"/>
        <n v="89.53"/>
        <n v="2333.93"/>
        <n v="416.69"/>
        <n v="1816.597063"/>
        <n v="63.8"/>
        <n v="411.30845"/>
        <n v="450.89"/>
        <n v="26.8"/>
        <n v="94.430059"/>
        <n v="1036.86"/>
        <n v="66.12"/>
        <n v="557.25"/>
        <n v="21.0"/>
        <n v="3470.52"/>
        <n v="2722.804756"/>
        <n v="16.67"/>
        <n v="7.344007"/>
        <n v="115.27"/>
        <n v="178.89"/>
        <n v="124.15"/>
        <n v="92.737"/>
        <n v="38.39"/>
        <n v="450.23"/>
        <n v="358.42"/>
        <n v="598.011973"/>
        <n v="2769.514362"/>
        <n v="292.86"/>
        <n v="34.755"/>
        <n v="94.5"/>
        <n v="145.0"/>
        <n v="14.5"/>
        <n v="24.38"/>
        <n v="486.88"/>
        <n v="104.0175"/>
        <n v="566.922265"/>
        <n v="1335.59435"/>
        <n v="33.512205"/>
        <n v="81.533472"/>
        <n v="1243.78"/>
        <n v="220.889438"/>
        <n v="51.2"/>
        <n v="289.04"/>
        <n v="172.67"/>
        <n v="1019.3"/>
        <n v="3411.24"/>
        <n v="638.15"/>
        <n v="379.51"/>
        <n v="119.16"/>
        <n v="14.63"/>
        <n v="101.75"/>
        <n v="154.68"/>
        <n v="9.33"/>
        <n v="188.37"/>
        <n v="880.0"/>
        <n v="2.99"/>
        <n v="8.25"/>
        <n v="589.18"/>
        <n v="719.22"/>
        <n v="3052.82"/>
        <n v="417.6"/>
        <n v="1746.09"/>
        <n v="2149.03"/>
        <n v="232.71"/>
        <n v="264.74"/>
        <n v="9.25"/>
        <n v="341.69"/>
        <n v="491.52"/>
        <n v="29.2"/>
        <n v="15.5"/>
        <n v="102.44"/>
        <n v="0.61"/>
        <n v="91.35"/>
        <n v="5826.98"/>
        <n v="5565.28"/>
        <n v="9.5"/>
        <n v="121.21"/>
        <n v="56.38"/>
        <n v="0.15"/>
        <n v="74.82"/>
        <n v="3053.568709"/>
        <n v="997.0"/>
        <n v="408.2"/>
        <n v="3588.99"/>
        <n v="556.02"/>
        <n v="6.11"/>
        <n v="1704.77"/>
        <n v="67.16"/>
        <n v="400.94"/>
        <n v="11.68"/>
        <n v="551.42"/>
        <n v="57.96"/>
        <n v="791.63"/>
        <n v="6149.02"/>
        <n v="309.96"/>
        <n v="557.41"/>
        <n v="2.3"/>
        <n v="127.662387"/>
        <n v="89.81"/>
        <n v="1287.277612"/>
        <n v="398.63"/>
        <n v="31.88"/>
        <n v="8.386504"/>
        <n v="42.6"/>
        <n v="85.48"/>
        <n v="1108.24"/>
        <n v="480.479089"/>
        <n v="363.194845"/>
        <n v="25.73"/>
        <n v="30.604162"/>
        <n v="37.282645"/>
        <n v="222.73"/>
        <n v="57.11"/>
        <n v="1446.8485"/>
        <n v="15.16"/>
        <n v="264.34516"/>
        <n v="513.34"/>
        <n v="117.3"/>
        <n v="1.17"/>
        <n v="497.88"/>
        <n v="1324.56"/>
        <n v="18.69"/>
        <n v="38.65"/>
        <n v="32.46"/>
        <n v="162.495941"/>
        <n v="263.8038"/>
        <n v="22.2275"/>
        <n v="381.65"/>
        <n v="27.13"/>
        <n v="129.329746"/>
        <n v="1174.019164"/>
        <n v="3.25"/>
        <n v="93.23"/>
        <n v="41.14"/>
        <n v="493.0"/>
        <n v="113.05"/>
        <n v="76.78"/>
        <n v="34.73991"/>
        <n v="72.21"/>
        <n v="793.54"/>
        <n v="8.81"/>
        <n v="453.483"/>
        <n v="693.67"/>
        <n v="75.66"/>
        <n v="404.94"/>
        <n v="50.85"/>
        <n v="189.85"/>
        <n v="3422.0"/>
        <n v="2.81"/>
        <n v="203.0"/>
        <n v="6.67"/>
        <n v="13.62"/>
        <n v="772.0"/>
        <n v="175.3"/>
        <n v="13.53"/>
        <n v="494.69"/>
        <n v="36.16"/>
        <n v="677.88"/>
        <n v="58.19"/>
        <n v="166.93"/>
        <n v="442.08"/>
        <n v="17.4"/>
        <n v="0.03"/>
        <n v="46.797568"/>
        <n v="6039.83"/>
        <n v="1601.89"/>
        <n v="226.9"/>
        <n v="97.57"/>
        <n v="1136.68"/>
        <n v="23.6"/>
        <n v="123.91"/>
        <n v="7.25"/>
        <n v="18.88"/>
        <n v="3155.55"/>
        <n v="259.0"/>
        <n v="252.08"/>
        <n v="523.04"/>
        <n v="658.93"/>
        <n v="183.42"/>
        <n v="442.02"/>
        <n v="1.3"/>
        <n v="1300.08"/>
        <n v="379.9"/>
        <n v="2685.34"/>
        <n v="92.14"/>
        <n v="0.96"/>
        <n v="124.671347"/>
        <n v="5.06"/>
        <n v="142.82"/>
        <n v="229.84"/>
        <n v="313.19"/>
        <n v="382.49"/>
        <n v="1407.53"/>
        <n v="692.86"/>
        <n v="1019.45"/>
        <n v="573.11"/>
        <n v="320.5"/>
        <n v="29.44"/>
        <n v="45.5955"/>
        <n v="0.08"/>
        <n v="20.14"/>
        <n v="39.52"/>
        <n v="46.79039"/>
        <n v="1190.06"/>
        <n v="806.16"/>
        <n v="886.663754"/>
        <n v="1020.34"/>
        <n v="23.68"/>
        <n v="154.97"/>
        <n v="150.86"/>
        <n v="0.01"/>
        <n v="100.0"/>
        <n v="91.22"/>
        <n v="10.1"/>
        <n v="1.51"/>
        <n v="39.09"/>
        <n v="1890.41"/>
        <n v="121.965343"/>
        <n v="264.583881"/>
        <n v="1944.9"/>
        <n v="2.17"/>
        <n v="995.78"/>
        <n v="71.81"/>
        <n v="860.27"/>
        <n v="3393.511762"/>
        <n v="73.52"/>
        <n v="8.56"/>
        <n v="119.94"/>
        <n v="306.17"/>
        <n v="28.79"/>
        <n v="29.5"/>
        <n v="1838.066038"/>
        <n v="19.5"/>
        <n v="9.0"/>
      </sharedItems>
    </cacheField>
    <cacheField name="ach_fees" numFmtId="0">
      <sharedItems containsString="0" containsBlank="1" containsNumber="1">
        <m/>
        <n v="0.5"/>
        <n v="1.5"/>
        <n v="1.0"/>
        <n v="2.5"/>
        <n v="2.0"/>
        <n v="11.5"/>
        <n v="31.5"/>
        <n v="17.5"/>
        <n v="10.5"/>
        <n v="12.5"/>
        <n v="25.5"/>
        <n v="3.5"/>
        <n v="3.0"/>
        <n v="7.5"/>
        <n v="10.0"/>
        <n v="16.5"/>
        <n v="4.0"/>
        <n v="7.0"/>
        <n v="9.5"/>
        <n v="19.0"/>
        <n v="8.5"/>
        <n v="5.0"/>
        <n v="6.5"/>
        <n v="5.5"/>
        <n v="6.0"/>
        <n v="21.5"/>
        <n v="29.5"/>
        <n v="8.0"/>
        <n v="11.0"/>
        <n v="22.5"/>
      </sharedItems>
    </cacheField>
    <cacheField name="core_gross_profit_wo_loss" numFmtId="0">
      <sharedItems containsSemiMixedTypes="0" containsString="0" containsNumber="1">
        <n v="-1.0849"/>
        <n v="760.5243"/>
        <n v="2481.6509"/>
        <n v="-0.2542"/>
        <n v="136.6066"/>
        <n v="-43.5324"/>
        <n v="-0.25"/>
        <n v="-3.9757"/>
        <n v="-17.1619"/>
        <n v="-0.2102"/>
        <n v="22.2341"/>
        <n v="1.90659999999999"/>
        <n v="0.429399999999999"/>
        <n v="-0.1556"/>
        <n v="-1.2999"/>
        <n v="-0.3121"/>
        <n v="-10.133"/>
        <n v="-3.30999999999999"/>
        <n v="-2.98089999999999"/>
        <n v="-2.2815"/>
        <n v="30.0475"/>
        <n v="5.2951"/>
        <n v="0.2255"/>
        <n v="-0.1495"/>
        <n v="10.3597999999999"/>
        <n v="66.8561"/>
        <n v="100.157099999999"/>
        <n v="3.4841"/>
        <n v="-0.15"/>
        <n v="133.5879"/>
        <n v="1.0401"/>
        <n v="-2.7029"/>
        <n v="1.7562"/>
        <n v="2.44"/>
        <n v="1766.4822"/>
        <n v="68.3154"/>
        <n v="12.1047"/>
        <n v="59.704"/>
        <n v="-20.7176"/>
        <n v="440.7387"/>
        <n v="-96.9171"/>
        <n v="18.3265"/>
        <n v="-5.57259999999999"/>
        <n v="-1.09209999999999"/>
        <n v="-2.28099999999999"/>
        <n v="-23.5324"/>
        <n v="198.8482"/>
        <n v="5.9632"/>
        <n v="-1.4802"/>
        <n v="-9.1452"/>
        <n v="100.3853"/>
        <n v="-0.1386"/>
        <n v="-0.3"/>
        <n v="490.4626"/>
        <n v="24.6335"/>
        <n v="15.1605999999999"/>
        <n v="109.1326"/>
        <n v="13.2995"/>
        <n v="-1.3335"/>
        <n v="4.4237"/>
        <n v="-4.071"/>
        <n v="98.4229"/>
        <n v="173.9305"/>
        <n v="2.578"/>
        <n v="-0.9177"/>
        <n v="86.2726"/>
        <n v="274.4848"/>
        <n v="2189.4562"/>
        <n v="-3.203"/>
        <n v="0.0649999999999997"/>
        <n v="3.83939999999999"/>
        <n v="57.2793"/>
        <n v="333.0046"/>
        <n v="36.6349"/>
        <n v="6.4137"/>
        <n v="1.866"/>
        <n v="-0.9174"/>
        <n v="-1.15"/>
        <n v="-0.5455"/>
        <n v="-5.8261"/>
        <n v="0.393799999999999"/>
        <n v="2955.8707"/>
        <n v="3.13"/>
        <n v="-0.1521"/>
        <n v="862.1096"/>
        <n v="155.4668"/>
        <n v="-4.3195"/>
        <n v="-0.5562"/>
        <n v="1.8979"/>
        <n v="2330.9254"/>
        <n v="88.17"/>
        <n v="1.1976"/>
        <n v="-0.1506"/>
        <n v="-0.694899999999999"/>
        <n v="18.5967"/>
        <n v="0.32"/>
        <n v="-0.98"/>
        <n v="7.9995"/>
        <n v="39.3044"/>
        <n v="1.3322"/>
        <n v="109.189"/>
        <n v="-1.2409"/>
        <n v="0.6636"/>
        <n v="139.6669"/>
        <n v="2.7538"/>
        <n v="14.8893"/>
        <n v="28.1755"/>
        <n v="169.5687"/>
        <n v="222.537499999999"/>
        <n v="68.8222"/>
        <n v="69.1529"/>
        <n v="-8.8126"/>
        <n v="113.9412"/>
        <n v="-1.84989999999999"/>
        <n v="-9.7071"/>
        <n v="-25.4633"/>
        <n v="24.3087"/>
        <n v="-155.4488"/>
        <n v="66.1682999999999"/>
        <n v="-0.3176"/>
        <n v="26.5922"/>
        <n v="-0.68"/>
        <n v="15.5587"/>
        <n v="191.27"/>
        <n v="7.8"/>
        <n v="3.02089999999999"/>
        <n v="3.3283"/>
        <n v="0.5699"/>
        <n v="18.9643999999999"/>
        <n v="-4.37939999999999"/>
        <n v="-0.06"/>
        <n v="32.5311"/>
        <n v="1772.83069999999"/>
        <n v="-0.1879"/>
        <n v="152.7009"/>
        <n v="4.6674"/>
        <n v="92.9781"/>
        <n v="3.2844"/>
        <n v="-0.5995"/>
        <n v="138.1445"/>
        <n v="1151.2482"/>
        <n v="9.5532"/>
        <n v="160.8303"/>
        <n v="57.1538"/>
        <n v="120.0341"/>
        <n v="-2.0513"/>
        <n v="-48.6112"/>
        <n v="68.5782"/>
        <n v="-0.589699999999999"/>
        <n v="10.6668"/>
        <n v="153.8842"/>
        <n v="357.797299999999"/>
        <n v="-4.214"/>
        <n v="16.0702"/>
        <n v="4.48189999999999"/>
        <n v="-0.3886"/>
        <n v="-3.5008"/>
        <n v="530.599899999999"/>
        <n v="23.3172"/>
        <n v="27.4733999999999"/>
        <n v="-15.8678999999999"/>
        <n v="33.8587999999999"/>
        <n v="0.587699999999999"/>
        <n v="1105.5023"/>
        <n v="14.8664999999999"/>
        <n v="30.2587"/>
        <n v="-1.56"/>
        <n v="13.5171999999999"/>
        <n v="-0.918999999999999"/>
        <n v="338.008499999999"/>
        <n v="359.3017"/>
        <n v="-30.5912"/>
        <n v="252.8783"/>
        <n v="27.7675"/>
        <n v="136.6224"/>
        <n v="4.4978"/>
        <n v="-79.981"/>
        <n v="218.2276"/>
        <n v="720.0859"/>
        <n v="30.5667999999999"/>
        <n v="71.354"/>
        <n v="-1.67"/>
        <n v="81.6133"/>
        <n v="343.586299999999"/>
        <n v="0.1281"/>
        <n v="5.46239999999999"/>
        <n v="-6.0335"/>
        <n v="44.36"/>
        <n v="103.2923"/>
        <n v="-3.88519999999999"/>
        <n v="46.2163999999999"/>
        <n v="-0.23"/>
        <n v="789.2326"/>
        <n v="-0.27"/>
        <n v="89.3181999999999"/>
        <n v="-0.2112"/>
        <n v="49.5203"/>
        <n v="179.241499999999"/>
        <n v="-2.11889999999999"/>
        <n v="-0.7077"/>
        <n v="1105.3109"/>
        <n v="25.0379999999999"/>
        <n v="57.035"/>
        <n v="122.8007"/>
        <n v="-27.3186"/>
        <n v="433.2752"/>
        <n v="41.3529"/>
        <n v="45.0483"/>
        <n v="55.2826"/>
        <n v="1967.4454"/>
        <n v="219.074"/>
        <n v="668.371199999999"/>
        <n v="-1.7987"/>
        <n v="43.4668"/>
        <n v="-1.76519999999999"/>
        <n v="-0.8068"/>
        <n v="0.3391"/>
        <n v="-0.5101"/>
        <n v="-0.186899999999999"/>
        <n v="-0.968799999999999"/>
        <n v="4.2072"/>
        <n v="4.3164"/>
        <n v="1329.3129"/>
        <n v="2065.6078"/>
        <n v="-0.2927"/>
        <n v="356.712"/>
        <n v="-0.395"/>
        <n v="0.5207"/>
        <n v="1084.3917"/>
        <n v="30.8876"/>
        <n v="-0.1404"/>
        <n v="263.2103"/>
        <n v="-65.5969"/>
        <n v="413.1083"/>
        <n v="-29.7457"/>
        <n v="45.5049"/>
        <n v="-0.77"/>
        <n v="64.1832"/>
        <n v="10.9208999999999"/>
        <n v="26.543"/>
        <n v="932.007499999999"/>
        <n v="12.3204"/>
        <n v="-16.5604"/>
        <n v="-0.3962"/>
        <n v="11.587"/>
        <n v="-1.3704"/>
        <n v="30.2271"/>
        <n v="-1.1964"/>
        <n v="-8.11"/>
        <n v="-1.27859999999999"/>
        <n v="-0.6544"/>
        <n v="136.705299999999"/>
        <n v="-21.1766"/>
        <n v="9.38069999999999"/>
        <n v="-1.7435"/>
        <n v="-4.0308"/>
        <n v="6.2596"/>
        <n v="109.7828"/>
        <n v="-1.25"/>
        <n v="-0.56"/>
        <n v="-0.43"/>
        <n v="34.3555"/>
        <n v="0.6236"/>
        <n v="22.3574"/>
        <n v="-0.1038"/>
        <n v="1682.3779"/>
        <n v="-0.3577"/>
        <n v="-0.2"/>
        <n v="-2.03"/>
        <n v="448.1583"/>
        <n v="16.8342"/>
        <n v="92.9333"/>
        <n v="-0.22"/>
        <n v="-0.2571"/>
        <n v="39.7651"/>
        <n v="-0.6"/>
        <n v="-0.6735"/>
        <n v="-1.64"/>
        <n v="2.302"/>
        <n v="26.012"/>
        <n v="-0.95"/>
        <n v="-0.1541"/>
        <n v="1.1598"/>
        <n v="119.0163"/>
        <n v="11.5384"/>
        <n v="7.832"/>
        <n v="68.332"/>
        <n v="72.3766"/>
        <n v="0.5767"/>
        <n v="42.2923"/>
        <n v="0.5168"/>
        <n v="130.2142"/>
        <n v="186.608999999999"/>
        <n v="-1.7772"/>
        <n v="91.2177"/>
        <n v="8.9096"/>
        <n v="26.1576"/>
        <n v="115.7321"/>
        <n v="128.7683"/>
        <n v="11.5221"/>
        <n v="-1.1005"/>
        <n v="5.9889"/>
        <n v="887.25"/>
        <n v="229.575199999999"/>
        <n v="79.9704"/>
        <n v="-92.3951999999999"/>
        <n v="38.2288999999999"/>
        <n v="42.8887"/>
        <n v="203.35"/>
        <n v="255.7839"/>
        <n v="19.8137"/>
        <n v="1.5823"/>
        <n v="-1.85"/>
        <n v="871.879899999999"/>
        <n v="-0.2858"/>
        <n v="127.9664"/>
        <n v="370.7351"/>
        <n v="1142.07589999999"/>
        <n v="242.1351"/>
        <n v="93.4521999999999"/>
        <n v="470.224899999999"/>
        <n v="424.100299999999"/>
        <n v="-4.05"/>
        <n v="15.58"/>
        <n v="13.2375"/>
        <n v="1.027"/>
        <n v="84.2964999999999"/>
        <n v="2.53"/>
        <n v="3.72"/>
        <n v="-0.378399999999999"/>
        <n v="148.539499999999"/>
        <n v="-2.5539"/>
        <n v="46.7461"/>
        <n v="-6.3048"/>
        <n v="1.2264"/>
        <n v="3.56"/>
        <n v="54.2573999999999"/>
        <n v="82.4172"/>
        <n v="0.8888"/>
        <n v="25.7961"/>
        <n v="85.4204"/>
        <n v="120.412799999999"/>
        <n v="-0.5296"/>
        <n v="8.2252"/>
        <n v="-0.12"/>
        <n v="35.9766"/>
        <n v="28.8832"/>
        <n v="1.14319999999999"/>
        <n v="-3.85199999999999"/>
        <n v="165.4979"/>
        <n v="-0.248499999999999"/>
        <n v="110.1362"/>
        <n v="3.9408"/>
        <n v="14.3022"/>
        <n v="740.257699999999"/>
        <n v="35.629"/>
        <n v="334.054999999999"/>
        <n v="342.9966"/>
        <n v="19.1965"/>
        <n v="239.6464"/>
        <n v="48.4769999999999"/>
        <n v="-2.4035"/>
        <n v="90.8047"/>
        <n v="521.4116"/>
        <n v="-12.5286999999999"/>
        <n v="0.67"/>
        <n v="1.8662"/>
        <n v="147.3917"/>
        <n v="-0.0544"/>
        <n v="103.889"/>
        <n v="-16.4214"/>
        <n v="-1.71999999999999"/>
        <n v="-0.3221"/>
        <n v="67.8385"/>
        <n v="-0.5107"/>
        <n v="1819.81029999999"/>
        <n v="-0.1559"/>
        <n v="3.9649"/>
        <n v="115.311"/>
        <n v="1.08579999999999"/>
        <n v="28.5148"/>
        <n v="-1.10419999999999"/>
        <n v="53.3086"/>
        <n v="12.6173"/>
        <n v="453.1156"/>
        <n v="1.4012"/>
        <n v="293.5805"/>
        <n v="14.5834999999999"/>
        <n v="198.8908"/>
        <n v="-1.0157"/>
        <n v="0.5023"/>
        <n v="119.443599999999"/>
        <n v="-0.6912"/>
        <n v="62.5941"/>
        <n v="55.0599999999999"/>
        <n v="47.1016"/>
        <n v="43.1418"/>
        <n v="-0.91"/>
        <n v="-0.72"/>
        <n v="436.1459"/>
        <n v="5.9485"/>
        <n v="552.9097"/>
        <n v="-0.1"/>
        <n v="60.5276"/>
        <n v="2.7069"/>
        <n v="-0.8042"/>
        <n v="1926.04229999999"/>
        <n v="-3.7"/>
        <n v="488.179999999999"/>
        <n v="-0.39"/>
        <n v="-1.1331"/>
        <n v="195.048"/>
        <n v="177.1545"/>
        <n v="32.2351"/>
        <n v="-0.5732"/>
        <n v="146.918999999999"/>
        <n v="33.1827"/>
        <n v="11.0396"/>
        <n v="-0.8062"/>
        <n v="9.9488"/>
        <n v="9.6081"/>
        <n v="368.0272"/>
        <n v="-2.52"/>
        <n v="338.0304"/>
        <n v="6.278"/>
        <n v="42.69"/>
        <n v="120.591199999999"/>
        <n v="8.53559999999999"/>
        <n v="57.1369"/>
        <n v="17.5888999999999"/>
        <n v="124.7583"/>
        <n v="429.884"/>
        <n v="-0.657"/>
        <n v="-0.5"/>
        <n v="10.2911"/>
        <n v="51.6713"/>
        <n v="-1.4021"/>
        <n v="488.7207"/>
        <n v="331.24"/>
        <n v="70.397"/>
        <n v="30.9178"/>
        <n v="86.3538"/>
        <n v="-0.16"/>
        <n v="1.0228"/>
        <n v="231.1723"/>
        <n v="187.9663"/>
        <n v="-0.1429"/>
        <n v="-0.1755"/>
        <n v="1070.26969999999"/>
        <n v="-0.472099999999999"/>
        <n v="-3.9781"/>
        <n v="144.5606"/>
        <n v="66.4354999999999"/>
        <n v="-2.331"/>
        <n v="3.7369"/>
        <n v="-17.5465999999999"/>
        <n v="3.3707"/>
        <n v="-4.92329999999999"/>
        <n v="77.7273"/>
        <n v="6.1184"/>
        <n v="-4.5443"/>
        <n v="-1.5093"/>
        <n v="40.0999"/>
        <n v="95.3129"/>
        <n v="237.743999999999"/>
        <n v="96.5654"/>
        <n v="1104.6373"/>
        <n v="134.936999999999"/>
        <n v="20.9643999999999"/>
        <n v="5.2028"/>
        <n v="-0.515899999999999"/>
        <n v="9.149"/>
        <n v="15.631"/>
        <n v="34.6376999999999"/>
        <n v="-1.50569999999999"/>
        <n v="18.7381"/>
        <n v="15.5115"/>
        <n v="74.65"/>
        <n v="0.7762"/>
        <n v="15.4356"/>
        <n v="16.7280999999999"/>
        <n v="14.8336"/>
        <n v="-2.45039999999999"/>
        <n v="14.7017"/>
        <n v="-2.5368"/>
        <n v="-12.0703"/>
        <n v="-0.37"/>
        <n v="-1.13629999999999"/>
        <n v="549.5001"/>
        <n v="9.6"/>
        <n v="-0.0678999999999999"/>
        <n v="98.5457"/>
        <n v="-0.2777"/>
        <n v="112.9618"/>
        <n v="96.9021"/>
        <n v="-1.35"/>
        <n v="0.00160000000000001"/>
        <n v="-81.4663"/>
        <n v="353.6916"/>
        <n v="-2.82369999999999"/>
        <n v="39.8366"/>
        <n v="-2.4158"/>
        <n v="85.1813"/>
        <n v="220.8655"/>
        <n v="-6.07839999999999"/>
        <n v="-1.99999999999999"/>
        <n v="685.6292"/>
        <n v="-9.2744"/>
        <n v="566.9647"/>
        <n v="-3.427"/>
        <n v="35.3052999999999"/>
        <n v="57.8302"/>
        <n v="8.0609"/>
        <n v="2.0337"/>
        <n v="700.0619"/>
        <n v="76.4710999999999"/>
        <n v="-27.157"/>
        <n v="108.6728"/>
        <n v="790.6428"/>
        <n v="-1.58999999999999"/>
        <n v="9.02"/>
        <n v="131.1345"/>
        <n v="5.4299"/>
        <n v="60.8938"/>
        <n v="466.2557"/>
        <n v="72.4068"/>
        <n v="-0.26"/>
        <n v="-1.1507"/>
        <n v="28.9073"/>
        <n v="551.2449"/>
        <n v="6.0404"/>
        <n v="-0.2556"/>
        <n v="23.91"/>
        <n v="125.462399999999"/>
        <n v="12.8907"/>
        <n v="51.5494"/>
        <n v="46.9195"/>
        <n v="129.3013"/>
        <n v="-9.1679"/>
        <n v="14.9402"/>
        <n v="39.8627"/>
        <n v="129.317999999999"/>
        <n v="356.1481"/>
        <n v="176.7859"/>
        <n v="7.2806"/>
        <n v="109.4731"/>
        <n v="9.8607"/>
        <n v="41.8456"/>
        <n v="-1.7146"/>
        <n v="5.0835"/>
        <n v="1.1286"/>
        <n v="-10.1402"/>
        <n v="37.47"/>
        <n v="110.4489"/>
        <n v="33.4938"/>
        <n v="-0.8395"/>
        <n v="7.7762"/>
        <n v="-1.94"/>
        <n v="349.5558"/>
        <n v="172.6573"/>
        <n v="-0.6063"/>
        <n v="137.2875"/>
        <n v="39.7849"/>
        <n v="121.5007"/>
        <n v="82.1215"/>
        <n v="3.2683"/>
        <n v="12.9026"/>
        <n v="3.45689999999999"/>
        <n v="35.3711"/>
        <n v="-7.31919999999999"/>
        <n v="-0.5356"/>
        <n v="6.2588"/>
        <n v="308.2657"/>
        <n v="-58.4103999999999"/>
        <n v="-5.5382"/>
        <n v="-0.288599999999999"/>
        <n v="52.9303999999999"/>
        <n v="61.4215999999999"/>
        <n v="499.044"/>
        <n v="34.37"/>
        <n v="-1.0217"/>
        <n v="-0.21"/>
        <n v="-0.1379"/>
        <n v="146.2479"/>
        <n v="830.9447"/>
        <n v="-0.6554"/>
        <n v="535.572"/>
        <n v="140.7676"/>
        <n v="2.1685"/>
        <n v="-0.5272"/>
        <n v="6.82999999999999"/>
        <n v="-4.0006"/>
        <n v="97.9545"/>
        <n v="-7.0721"/>
        <n v="-2.0255"/>
        <n v="119.0425"/>
        <n v="48.1585"/>
        <n v="1137.97079999999"/>
        <n v="33.1042"/>
        <n v="9.581"/>
        <n v="-6.6182"/>
        <n v="25.1703"/>
        <n v="104.6805"/>
        <n v="47.0618"/>
        <n v="428.337"/>
        <n v="352.3515"/>
        <n v="-1.3039"/>
        <n v="39.0952"/>
        <n v="21.4288"/>
        <n v="59.7201"/>
        <n v="0.6625"/>
        <n v="114.6309"/>
        <n v="71.3999999999999"/>
        <n v="97.7696"/>
        <n v="1.0064"/>
        <n v="7.214"/>
        <n v="-5.3854"/>
        <n v="51.8155"/>
        <n v="0.162599999999999"/>
        <n v="0.126999999999999"/>
        <n v="-0.1721"/>
        <n v="84.5321"/>
        <n v="517.0877"/>
        <n v="49.3339"/>
        <n v="479.294099999999"/>
        <n v="43.4694"/>
        <n v="-5.4366"/>
        <n v="-0.671"/>
        <n v="371.862099999999"/>
        <n v="54.6393999999999"/>
        <n v="19.0242"/>
        <n v="-0.4"/>
        <n v="0.0075"/>
        <n v="3.4055"/>
        <n v="67.3514"/>
        <n v="77.5754"/>
        <n v="8.3975"/>
        <n v="82.5623"/>
        <n v="3.31569999999999"/>
        <n v="100.3909"/>
        <n v="-2.3552"/>
        <n v="2688.9599"/>
        <n v="11.5494"/>
        <n v="4.3214"/>
        <n v="49.3373"/>
        <n v="154.2959"/>
        <n v="-3.9033"/>
        <n v="41.9034999999999"/>
        <n v="0.28"/>
        <n v="-0.516899999999999"/>
        <n v="56.975"/>
        <n v="87.8314"/>
        <n v="30.8849"/>
        <n v="347.4799"/>
        <n v="330.5497"/>
        <n v="541.8054"/>
        <n v="-1.37899999999999"/>
        <n v="2738.66219999999"/>
        <n v="4.4458"/>
        <n v="32.374"/>
        <n v="85.99"/>
        <n v="-7.7982"/>
        <n v="0.3667"/>
        <n v="22.9058"/>
        <n v="-0.925400000000001"/>
        <n v="102.475499999999"/>
        <n v="546.054199999999"/>
        <n v="1316.8972"/>
        <n v="2.86"/>
        <n v="-3.4493"/>
        <n v="35.1235"/>
        <n v="720.9923"/>
        <n v="215.3575"/>
        <n v="-0.8737"/>
        <n v="-0.7276"/>
        <n v="-0.9015"/>
        <n v="34.3887999999999"/>
        <n v="-3.89999999999999"/>
        <n v="-8.23"/>
        <n v="53.3818999999999"/>
        <n v="-8.6411"/>
        <n v="144.137"/>
        <n v="-171.0014"/>
        <n v="41.3426"/>
        <n v="54.6764"/>
        <n v="-2.5877"/>
        <n v="16.8897"/>
        <n v="1.9642"/>
        <n v="-6.91209999999999"/>
        <n v="-1.6084"/>
        <n v="0.5705"/>
        <n v="-0.979199999999999"/>
        <n v="-2.49419999999999"/>
        <n v="88.6959"/>
        <n v="9.54779999999999"/>
        <n v="8.45999999999999"/>
        <n v="-19.1099"/>
        <n v="107.9668"/>
        <n v="-4.6633"/>
        <n v="-0.5081"/>
        <n v="5.1106"/>
        <n v="78.892"/>
        <n v="115.2466"/>
        <n v="287.105"/>
        <n v="-14.7199999999999"/>
        <n v="21.4498"/>
        <n v="213.1092"/>
        <n v="-30.3374999999999"/>
        <n v="-20.1821999999999"/>
        <n v="17.6899"/>
        <n v="3.3546"/>
        <n v="-0.3021"/>
        <n v="6.7406"/>
        <n v="456.5993"/>
        <n v="27.1108"/>
        <n v="4.9113"/>
        <n v="7.3899"/>
        <n v="0.2276"/>
        <n v="-3.784"/>
        <n v="-1.0987"/>
        <n v="1531.271"/>
        <n v="731.8472"/>
        <n v="1.1134"/>
        <n v="20.7216999999999"/>
        <n v="49.69"/>
        <n v="-0.4958"/>
        <n v="-0.1056"/>
        <n v="5.54149999999999"/>
        <n v="584.681399999999"/>
        <n v="977.3494"/>
        <n v="42.8984"/>
        <n v="421.1863"/>
        <n v="-0.1384"/>
        <n v="-26.6095999999999"/>
        <n v="-2.4051"/>
        <n v="-0.9984"/>
        <n v="45.5532"/>
        <n v="17.2042"/>
        <n v="16.2959"/>
        <n v="-0.0729"/>
        <n v="-0.41"/>
        <n v="4.86089999999999"/>
        <n v="-0.3012"/>
        <n v="-0.1727"/>
        <n v="-1.53999999999999"/>
        <n v="525.5995"/>
        <n v="52.4192"/>
        <n v="-1.5632"/>
        <n v="810.0707"/>
        <n v="60.243"/>
        <n v="12.6126"/>
        <n v="-13.6928999999999"/>
        <n v="-0.00870000000000011"/>
        <n v="-0.178099999999999"/>
        <n v="113.363"/>
        <n v="4.15569999999999"/>
        <n v="1210.3326"/>
        <n v="0.6782"/>
        <n v="-0.925800000000002"/>
        <n v="5.2801"/>
        <n v="29.5034"/>
        <n v="7.8365"/>
        <n v="23.7514"/>
        <n v="82.9829"/>
        <n v="1090.5881"/>
        <n v="-0.449999999999999"/>
        <n v="478.7691"/>
        <n v="353.5747"/>
        <n v="-0.4602"/>
        <n v="22.6142"/>
        <n v="28.9104"/>
        <n v="49.1294"/>
        <n v="50.4879"/>
        <n v="1435.979"/>
        <n v="-1.41"/>
        <n v="-0.11"/>
        <n v="0.9448"/>
        <n v="249.7977"/>
        <n v="490.21"/>
        <n v="109.2416"/>
        <n v="-2.0089"/>
        <n v="15.7263"/>
        <n v="78.1744"/>
        <n v="12.9549"/>
        <n v="22.8693"/>
        <n v="0.964499999999999"/>
        <n v="143.1812"/>
        <n v="227.4694"/>
        <n v="-10.876"/>
        <n v="21.1898"/>
        <n v="54.3927"/>
        <n v="-0.61"/>
        <n v="25.8167999999999"/>
        <n v="100.6561"/>
        <n v="-2.37719999999999"/>
        <n v="0.4213"/>
        <n v="-2.38"/>
        <n v="1150.68089999999"/>
        <n v="-0.1695"/>
        <n v="2.28"/>
        <n v="7.94039999999999"/>
        <n v="25.9209"/>
        <n v="25.4694"/>
        <n v="-1.95"/>
        <n v="14.5557"/>
        <n v="27.9469999999999"/>
        <n v="31.4904999999999"/>
        <n v="-0.6129"/>
        <n v="-3.3721"/>
        <n v="5.80749999999999"/>
        <n v="-0.32"/>
        <n v="74.3121"/>
        <n v="-0.4495"/>
        <n v="-0.4086"/>
        <n v="17.4092"/>
        <n v="-1.5588"/>
        <n v="-1.73099999999999"/>
        <n v="451.9095"/>
        <n v="-1.2697"/>
        <n v="31.6121"/>
        <n v="6.2479"/>
        <n v="44.1111"/>
        <n v="44.0046999999999"/>
        <n v="22.3108999999999"/>
        <n v="360.2818"/>
        <n v="2.4"/>
        <n v="135.5617"/>
        <n v="0.3487"/>
        <n v="0.0687999999999999"/>
        <n v="46.2144"/>
        <n v="64.1767"/>
        <n v="-2.9047"/>
        <n v="42.6896"/>
        <n v="27.9052999999999"/>
        <n v="2.6755"/>
        <n v="51.3379"/>
        <n v="-12.8263"/>
        <n v="-2.55999999999999"/>
        <n v="79.4821"/>
        <n v="-8.9955"/>
        <n v="-3.3218"/>
        <n v="-0.8898"/>
        <n v="24.4827"/>
        <n v="945.7944"/>
        <n v="-11.1051"/>
        <n v="38.193"/>
        <n v="-0.1508"/>
        <n v="12.9591"/>
        <n v="153.831"/>
        <n v="-3.7497"/>
        <n v="48.8538"/>
        <n v="4.6479"/>
        <n v="-0.5346"/>
        <n v="402.085"/>
        <n v="24.3951"/>
        <n v="33.4707"/>
        <n v="-3.5537"/>
        <n v="168.0484"/>
        <n v="17.2282"/>
        <n v="-1.61289999999999"/>
        <n v="13.6657999999999"/>
        <n v="-4.384"/>
        <n v="-0.4146"/>
        <n v="-62.8916"/>
        <n v="-28.8652"/>
        <n v="188.3265"/>
        <n v="18.8778"/>
        <n v="-0.13"/>
        <n v="-1.2769"/>
        <n v="-5.4152"/>
        <n v="113.9313"/>
        <n v="-0.8577"/>
        <n v="-0.196399999999999"/>
        <n v="-7.46109999999999"/>
        <n v="141.51"/>
        <n v="0.11"/>
        <n v="-0.435"/>
        <n v="22.0156"/>
        <n v="-14.2652"/>
        <n v="338.186"/>
        <n v="3.31679999999999"/>
        <n v="601.63"/>
        <n v="50.5522"/>
        <n v="-45.6982"/>
        <n v="-50.1254"/>
        <n v="16.8617"/>
        <n v="42.4791999999999"/>
        <n v="-0.47"/>
        <n v="9.6366"/>
        <n v="30.5593"/>
        <n v="34.7031"/>
        <n v="156.4535"/>
        <n v="19.9641"/>
        <n v="869.2135"/>
        <n v="461.0036"/>
        <n v="-2.8225"/>
        <n v="39.1541"/>
        <n v="40.5067"/>
        <n v="-6.69"/>
        <n v="14.8930999999999"/>
        <n v="-2.31509999999999"/>
        <n v="-1.4405"/>
        <n v="96.4699999999999"/>
        <n v="75.7477"/>
        <n v="3.7889"/>
        <n v="0.157699999999999"/>
        <n v="-0.4604"/>
        <n v="-0.6962"/>
        <n v="17.2832"/>
        <n v="161.1572"/>
        <n v="113.1446"/>
        <n v="249.7612"/>
        <n v="33.4404"/>
        <n v="55.6965"/>
        <n v="-3.2301"/>
        <n v="63.5485"/>
        <n v="0.0487"/>
        <n v="94.4752"/>
        <n v="56.3051"/>
        <n v="-1.45869999999999"/>
        <n v="31.878"/>
        <n v="3348.6196"/>
        <n v="28.4807"/>
        <n v="0.7669"/>
        <n v="-2.2979"/>
        <n v="-5.0793"/>
        <n v="-16.3537"/>
        <n v="-0.4763"/>
        <n v="69.4679"/>
        <n v="-3.3601"/>
        <n v="-0.5598"/>
        <n v="28.3758"/>
        <n v="306.21"/>
        <n v="-2.36"/>
        <n v="-0.641799999999999"/>
        <n v="-1.3488"/>
        <n v="0.61"/>
        <n v="29.3723"/>
      </sharedItems>
    </cacheField>
    <cacheField name="core_gp" numFmtId="0">
      <sharedItems containsSemiMixedTypes="0" containsString="0" containsNumber="1">
        <n v="-8.95365627185199"/>
        <n v="653.051089727546"/>
        <n v="2189.60829739249"/>
        <n v="-1.00766470356999"/>
        <n v="131.12195283148"/>
        <n v="-54.5535287538559"/>
        <n v="-0.3396814"/>
        <n v="-13.3246945543179"/>
        <n v="-26.7100504"/>
        <n v="-3.513123278276"/>
        <n v="-2.28503133316599"/>
        <n v="-0.162788218792"/>
        <n v="-75.7341194233233"/>
        <n v="-2.999365595"/>
        <n v="-5.101373773998"/>
        <n v="-13.2581294066699"/>
        <n v="-14.2206692767999"/>
        <n v="-13.2525564328757"/>
        <n v="-22.7467141214083"/>
        <n v="-12.1231506995339"/>
        <n v="-35.7305993713369"/>
        <n v="4.45066152943367"/>
        <n v="-0.0165114341993199"/>
        <n v="-0.5936916184615"/>
        <n v="7.33369617387499"/>
        <n v="61.6406813929429"/>
        <n v="78.485730738592"/>
        <n v="-5.715827583379"/>
        <n v="-0.150007834067345"/>
        <n v="107.393741211116"/>
        <n v="0.82791886764"/>
        <n v="-12.521178550013"/>
        <n v="-1.98851249999999"/>
        <n v="0.8486416"/>
        <n v="1379.96004183592"/>
        <n v="54.6888632472"/>
        <n v="9.160686788505"/>
        <n v="38.858607609888"/>
        <n v="-38.7694392368"/>
        <n v="395.78242491293"/>
        <n v="-139.945568999999"/>
        <n v="16.97768"/>
        <n v="-49.476096290383"/>
        <n v="-4.07805857518899"/>
        <n v="-2.84331351757"/>
        <n v="-55.9928483274999"/>
        <n v="198.346033999999"/>
        <n v="-56.1145133479429"/>
        <n v="-7.741265633626"/>
        <n v="-27.7330875923129"/>
        <n v="100.247366399999"/>
        <n v="-0.16537"/>
        <n v="-1.017600568802"/>
        <n v="76.2086499076001"/>
        <n v="22.5773320304888"/>
        <n v="14.811478"/>
        <n v="-23.8618414978429"/>
        <n v="-0.1979444778"/>
        <n v="-12.8837978134679"/>
        <n v="-20.0850855072237"/>
        <n v="1.930764000284"/>
        <n v="-22.0292989332332"/>
        <n v="40.762574761548"/>
        <n v="149.615734866052"/>
        <n v="-9.73756591872799"/>
        <n v="-2.41046551819957"/>
        <n v="76.2276057042658"/>
        <n v="106.288581624502"/>
        <n v="1615.96965414383"/>
        <n v="-17.3281043549659"/>
        <n v="-3.61278179076999"/>
        <n v="-19.810961990035"/>
        <n v="34.3274778356969"/>
        <n v="264.886504413404"/>
        <n v="30.9572763727"/>
        <n v="4.69632289617829"/>
        <n v="-6.07859535238347"/>
        <n v="-0.92976"/>
        <n v="-7.56444973415867"/>
        <n v="-0.54886"/>
        <n v="-25.063626772999"/>
        <n v="-77.7870109025829"/>
        <n v="2213.682654016"/>
        <n v="2.64897865145687"/>
        <n v="-0.153666813"/>
        <n v="778.946029809654"/>
        <n v="117.106460915731"/>
        <n v="-45.095890122353"/>
        <n v="-1.08826595342569"/>
        <n v="-2.47811403226587"/>
        <n v="-3.87065989850399"/>
        <n v="1910.41598064102"/>
        <n v="47.9582978451678"/>
        <n v="-0.724382237730999"/>
        <n v="-0.843391064825244"/>
        <n v="-16.713381745728"/>
        <n v="15.359260244975"/>
        <n v="-0.161502615616"/>
        <n v="-22.4241319476593"/>
        <n v="7.9441"/>
        <n v="39.2536187"/>
        <n v="1.31259759668934"/>
        <n v="101.568907610272"/>
        <n v="-1.5105271789"/>
        <n v="0.423952020055997"/>
        <n v="134.1745685928"/>
        <n v="2.7342625"/>
        <n v="13.1381903327461"/>
        <n v="21.6884597177161"/>
        <n v="150.576367784758"/>
        <n v="221.874949999999"/>
        <n v="68.7307"/>
        <n v="51.9760186052199"/>
        <n v="-9.4432806"/>
        <n v="112.514039749118"/>
        <n v="-1.85165329999999"/>
        <n v="-13.9184048999999"/>
        <n v="-70.75844"/>
        <n v="21.5437105787589"/>
        <n v="-253.005472532"/>
        <n v="65.3760770432489"/>
        <n v="-0.3209869"/>
        <n v="24.4618879897497"/>
        <n v="-2.23097512991522"/>
        <n v="-1.33200576459299"/>
        <n v="15.3602489728299"/>
        <n v="190.0165492248"/>
        <n v="6.300367498176"/>
        <n v="2.304479"/>
        <n v="-0.107616956200002"/>
        <n v="-0.0901658499999999"/>
        <n v="18.7006188999999"/>
        <n v="-4.3819397"/>
        <n v="-0.332476696326445"/>
        <n v="32.10826417569"/>
        <n v="1771.41884"/>
        <n v="-0.2626369801"/>
        <n v="143.56365774984"/>
        <n v="3.07125691574399"/>
        <n v="91.9351436"/>
        <n v="-0.41635828973"/>
        <n v="2.45686549999999"/>
        <n v="-0.6237"/>
        <n v="136.48483873164"/>
        <n v="1150.4012433"/>
        <n v="8.737842285465"/>
        <n v="155.364399"/>
        <n v="42.3011216"/>
        <n v="92.7148502490246"/>
        <n v="-97.1347079740593"/>
        <n v="-60.3311891823999"/>
        <n v="63.1942163385539"/>
        <n v="-0.596669186310112"/>
        <n v="-1.29861802462699"/>
        <n v="94.38613571512"/>
        <n v="212.7773152288"/>
        <n v="-28.269192247472"/>
        <n v="8.804859544"/>
        <n v="-13.7201011379293"/>
        <n v="-0.67828"/>
        <n v="-10.6643307191798"/>
        <n v="410.1776514514"/>
        <n v="12.569788806483"/>
        <n v="-9.25474300405623"/>
        <n v="-16.7455398"/>
        <n v="21.237091699377"/>
        <n v="-0.1512248"/>
        <n v="-28.7782216684482"/>
        <n v="548.313194318"/>
        <n v="14.739725"/>
        <n v="-0.57303951"/>
        <n v="24.3837227166501"/>
        <n v="-12.4979544560729"/>
        <n v="2.38613676167199"/>
        <n v="-3.54543296376999"/>
        <n v="145.443160273383"/>
        <n v="236.4481206072"/>
        <n v="-34.3447769394498"/>
        <n v="227.557775346525"/>
        <n v="-12.5057429679379"/>
        <n v="124.899793913195"/>
        <n v="4.46777"/>
        <n v="-125.451838378239"/>
        <n v="204.405389363554"/>
        <n v="619.692073951222"/>
        <n v="21.9714681284439"/>
        <n v="40.503521966957"/>
        <n v="-3.232616"/>
        <n v="81.47545"/>
        <n v="271.1159271552"/>
        <n v="-0.278242463725375"/>
        <n v="-1.36567736856217"/>
        <n v="-0.152737223130343"/>
        <n v="5.414528"/>
        <n v="-37.4759397833839"/>
        <n v="23.6276742785829"/>
        <n v="81.97833170032"/>
        <n v="-10.7690931915319"/>
        <n v="45.63306657533"/>
        <n v="-0.314"/>
        <n v="505.168104902527"/>
        <n v="-2.38562388069117"/>
        <n v="39.6814398582309"/>
        <n v="-1.16210351013899"/>
        <n v="42.744004544"/>
        <n v="177.772379999999"/>
        <n v="-33.0842571801759"/>
        <n v="-5.54593706972399"/>
        <n v="91.6921079143138"/>
        <n v="19.8480205346999"/>
        <n v="56.682467075"/>
        <n v="97.246031682592"/>
        <n v="-35.632455693264"/>
        <n v="397.176606323115"/>
        <n v="-101.527144250406"/>
        <n v="32.186190092"/>
        <n v="50.5369948930156"/>
        <n v="1476.48152618961"/>
        <n v="208.9605729245"/>
        <n v="585.969539506069"/>
        <n v="-14.038430069432"/>
        <n v="39.2395152999917"/>
        <n v="-14.0220292349564"/>
        <n v="-4.86889588160499"/>
        <n v="0.331287753962"/>
        <n v="-2.767281740731"/>
        <n v="-6.63509262987399"/>
        <n v="-4.72706846368623"/>
        <n v="3.6075826636144"/>
        <n v="4.30781049999999"/>
        <n v="939.73429556112"/>
        <n v="1569.63075820715"/>
        <n v="-14.2142839425711"/>
        <n v="-549.239718751199"/>
        <n v="-0.564607266224858"/>
        <n v="0.21266917151"/>
        <n v="-1.117520719449"/>
        <n v="826.325632720674"/>
        <n v="23.9517170548501"/>
        <n v="-0.837224814072"/>
        <n v="261.9359"/>
        <n v="-91.5890872"/>
        <n v="324.736218828539"/>
        <n v="-39.386089101379"/>
        <n v="26.179314561525"/>
        <n v="-4.0567046139213"/>
        <n v="-0.284344843107999"/>
        <n v="48.2921122601889"/>
        <n v="-52.2570530327409"/>
        <n v="15.49063715976"/>
        <n v="850.063018371258"/>
        <n v="6.798694798458"/>
        <n v="-25.0476448"/>
        <n v="-0.404848899999999"/>
        <n v="11.133285629024"/>
        <n v="-56.6446582028812"/>
        <n v="24.35212305888"/>
        <n v="-24.866262131411"/>
        <n v="-8.11036663435174"/>
        <n v="-1.33306779999999"/>
        <n v="-10.4000295570509"/>
        <n v="101.76618484276"/>
        <n v="-0.194583663914999"/>
        <n v="-31.785656"/>
        <n v="8.5742369"/>
        <n v="-2.03609499999999"/>
        <n v="-4.8137817"/>
        <n v="0.38462271665014"/>
        <n v="87.116003222704"/>
        <n v="-7.60441567267823"/>
        <n v="-0.5885"/>
        <n v="-0.4585"/>
        <n v="13.5005606068"/>
        <n v="0.383952020055998"/>
        <n v="19.5924105787589"/>
        <n v="-0.867621337499999"/>
        <n v="1680.78295"/>
        <n v="-1.13084387485"/>
        <n v="-1.4786644661"/>
        <n v="-10.1063435738981"/>
        <n v="290.123340113952"/>
        <n v="16.7208051"/>
        <n v="89.0898363836411"/>
        <n v="-1.06086061523872"/>
        <n v="-1.63769727494999"/>
        <n v="-0.22"/>
        <n v="33.1226281749999"/>
        <n v="-0.6613"/>
        <n v="-0.6786078"/>
        <n v="-8.58195815809892"/>
        <n v="2.2986621"/>
        <n v="22.8054146510487"/>
        <n v="-0.95074"/>
        <n v="-0.2726"/>
        <n v="1.0948"/>
        <n v="100.9809048"/>
        <n v="10.664118084298"/>
        <n v="6.332367498176"/>
        <n v="-0.3206259867741"/>
        <n v="68.1916177"/>
        <n v="72.2846"/>
        <n v="0.1326342506"/>
        <n v="42.168244"/>
        <n v="0.5068"/>
        <n v="-0.1187122"/>
        <n v="111.337213810535"/>
        <n v="105.60260916736"/>
        <n v="-20.215030029488"/>
        <n v="71.82497862887"/>
        <n v="6.272545372227"/>
        <n v="20.651188602815"/>
        <n v="112.669088974155"/>
        <n v="67.042219929416"/>
        <n v="3.0511666236"/>
        <n v="-4.40053094147799"/>
        <n v="1.78455050624857"/>
        <n v="858.039974527167"/>
        <n v="182.462925777967"/>
        <n v="49.5858099874436"/>
        <n v="-94.0124600999999"/>
        <n v="25.452944312"/>
        <n v="39.281126710721"/>
        <n v="103.392448121172"/>
        <n v="255.7839"/>
        <n v="11.96299856"/>
        <n v="-8.354981871597"/>
        <n v="-8.99080525273945"/>
        <n v="-3.1740595206901"/>
        <n v="855.9114225402"/>
        <n v="-1.6959321221"/>
        <n v="127.334704999999"/>
        <n v="366.208820326736"/>
        <n v="1012.0622294181"/>
        <n v="-63.0893269424456"/>
        <n v="85.7372500546581"/>
        <n v="429.351558455853"/>
        <n v="342.537437749494"/>
        <n v="-31.2440047045177"/>
        <n v="10.6555146617051"/>
        <n v="-30.8421251189619"/>
        <n v="1.0186054"/>
        <n v="63.5923338265153"/>
        <n v="-5.31717181476299"/>
        <n v="1.64147318711361"/>
        <n v="-39.8187809522927"/>
        <n v="-0.941578599999999"/>
        <n v="130.556196950406"/>
        <n v="-0.326736506399999"/>
        <n v="-9.01445008685706"/>
        <n v="32.4135034353433"/>
        <n v="-6.3759145"/>
        <n v="0.922606892757"/>
        <n v="2.06306160198575"/>
        <n v="-40.5905494718566"/>
        <n v="81.48844025799"/>
        <n v="0.750696622423999"/>
        <n v="19.4841964760993"/>
        <n v="-0.191080270046999"/>
        <n v="76.61188577275"/>
        <n v="92.7545813677003"/>
        <n v="-85.5790529585029"/>
        <n v="1.820240836"/>
        <n v="-0.527001733961316"/>
        <n v="35.161523175"/>
        <n v="-0.083502202035"/>
        <n v="28.8270379999999"/>
        <n v="-14.2705639652979"/>
        <n v="-8.66401632775442"/>
        <n v="119.130668205293"/>
        <n v="-4.42518696893599"/>
        <n v="99.1146965855904"/>
        <n v="3.66648452555084"/>
        <n v="13.5707515216801"/>
        <n v="568.57774866843"/>
        <n v="10.274867776845"/>
        <n v="333.892969"/>
        <n v="-5.45390174821228"/>
        <n v="169.902418537139"/>
        <n v="-2.21666667477"/>
        <n v="19.08682"/>
        <n v="229.164645894915"/>
        <n v="33.1400056916829"/>
        <n v="-16.9259507259899"/>
        <n v="79.0413780219615"/>
        <n v="484.652020674753"/>
        <n v="-43.95849948844"/>
        <n v="-4.0245093160056"/>
        <n v="1.8605878"/>
        <n v="119.885732165507"/>
        <n v="-0.134435941665999"/>
        <n v="61.1907936745692"/>
        <n v="-22.1741606159999"/>
        <n v="-6.32242055637936"/>
        <n v="-0.33457"/>
        <n v="55.477834737187"/>
        <n v="-0.52078"/>
        <n v="1595.66362341435"/>
        <n v="-0.28348661468"/>
        <n v="3.68846233486"/>
        <n v="87.4303546946738"/>
        <n v="-1.39797463699999"/>
        <n v="5.214284104707"/>
        <n v="-7.11222278914999"/>
        <n v="36.784629267568"/>
        <n v="10.7494851221742"/>
        <n v="344.663304136094"/>
        <n v="-3.67622982761373"/>
        <n v="258.25234146206"/>
        <n v="-125.241340078993"/>
        <n v="69.7225099490695"/>
        <n v="-18.569039770169"/>
        <n v="0.109692057790399"/>
        <n v="99.155284808083"/>
        <n v="-4.16760565127541"/>
        <n v="52.53857857701"/>
        <n v="50.1719797081103"/>
        <n v="46.74938"/>
        <n v="35.9498891475"/>
        <n v="-1.1666442"/>
        <n v="-1.69128330684872"/>
        <n v="430.903997060756"/>
        <n v="5.9372"/>
        <n v="546.390899306476"/>
        <n v="-0.10005"/>
        <n v="60.288442"/>
        <n v="-0.356720001132282"/>
        <n v="2.68153"/>
        <n v="-1.0114346"/>
        <n v="-0.5300440407"/>
        <n v="1924.66523119999"/>
        <n v="-1.277289833901"/>
        <n v="-85.5470199116166"/>
        <n v="487.02878"/>
        <n v="-0.5554555023264"/>
        <n v="-1.1352028"/>
        <n v="134.101821864096"/>
        <n v="166.730342088276"/>
        <n v="32.1254623999999"/>
        <n v="-0.57469025"/>
        <n v="146.5640799"/>
        <n v="25.6603663114415"/>
        <n v="11.0281532"/>
        <n v="-0.8094832"/>
        <n v="7.89624301636772"/>
        <n v="7.7962943382"/>
        <n v="310.127215974399"/>
        <n v="-11.2904905892823"/>
        <n v="337.0511"/>
        <n v="-0.1582698"/>
        <n v="0.40302271665014"/>
        <n v="35.555493225"/>
        <n v="98.290862108032"/>
        <n v="0.00835856215014052"/>
        <n v="57.0629"/>
        <n v="13.830148590896"/>
        <n v="120.653186032735"/>
        <n v="405.42499853684"/>
        <n v="-0.748842599999999"/>
        <n v="-0.649836528940544"/>
        <n v="-0.531544034507999"/>
        <n v="10.1622765965788"/>
        <n v="29.4442677476799"/>
        <n v="-1.6813128"/>
        <n v="486.1228848"/>
        <n v="-0.995876598974999"/>
        <n v="283.549940596049"/>
        <n v="58.5997453081852"/>
        <n v="-0.297464264748425"/>
        <n v="29.045414293"/>
        <n v="76.302649167423"/>
        <n v="-1.708011707372"/>
        <n v="0.418502187041379"/>
        <n v="195.831623909191"/>
        <n v="187.7101103"/>
        <n v="-1.3963507752"/>
        <n v="-0.178384"/>
        <n v="780.973599034242"/>
        <n v="-0.482942799999999"/>
        <n v="-28.2787420933064"/>
        <n v="-41.1567194452829"/>
        <n v="56.139728215248"/>
        <n v="-3.3963469"/>
        <n v="-0.1232"/>
        <n v="0.035749783482167"/>
        <n v="-29.888778932312"/>
        <n v="1.13919116096"/>
        <n v="-17.6423726190608"/>
        <n v="72.438332421696"/>
        <n v="6.1101015"/>
        <n v="-4.5560545"/>
        <n v="-1.5489879"/>
        <n v="1.99029511931848"/>
        <n v="90.8472943410644"/>
        <n v="237.432449374723"/>
        <n v="68.784891307769"/>
        <n v="223.008509817459"/>
        <n v="122.535534177948"/>
        <n v="6.575529112312"/>
        <n v="-23.6526745711289"/>
        <n v="-16.010603708332"/>
        <n v="7.29241519999999"/>
        <n v="9.888378371491"/>
        <n v="-10.9295531102799"/>
        <n v="-7.30415815999999"/>
        <n v="11.9449212137916"/>
        <n v="5.935988617629"/>
        <n v="74.624125"/>
        <n v="-3.01998726442999"/>
        <n v="14.4418955616908"/>
        <n v="12.8763746600436"/>
        <n v="14.82734"/>
        <n v="-8.05660621097724"/>
        <n v="9.397172"/>
        <n v="-6.54786108886699"/>
        <n v="-12.7524872"/>
        <n v="-0.49"/>
        <n v="-17.3461543290339"/>
        <n v="482.533342282328"/>
        <n v="6.98598459999999"/>
        <n v="-0.795247056982999"/>
        <n v="51.6715714196"/>
        <n v="-0.295025"/>
        <n v="84.525522242479"/>
        <n v="96.4741"/>
        <n v="-5.22482371764514"/>
        <n v="-1.51301754999999"/>
        <n v="-114.946552483088"/>
        <n v="318.445870923232"/>
        <n v="-6.36983652664"/>
        <n v="39.256011839452"/>
        <n v="-2.4800738"/>
        <n v="81.2406632"/>
        <n v="158.718298739889"/>
        <n v="-106.677971357952"/>
        <n v="-2.0516793"/>
        <n v="620.399415384227"/>
        <n v="-14.262942571568"/>
        <n v="510.825181626492"/>
        <n v="-3.4371411"/>
        <n v="-9.74762719967899"/>
        <n v="52.0285159775059"/>
        <n v="8.030036"/>
        <n v="-2.61684436492499"/>
        <n v="629.899195867879"/>
        <n v="25.344288639452"/>
        <n v="-34.046601149504"/>
        <n v="99.3984862964"/>
        <n v="551.767641596897"/>
        <n v="-6.29274064829699"/>
        <n v="-0.151869208468516"/>
        <n v="-1.25131401514499"/>
        <n v="0.28798181149578"/>
        <n v="90.4969695346"/>
        <n v="3.01162226925"/>
        <n v="-0.943080375658049"/>
        <n v="-54.1825900220625"/>
        <n v="385.513063765712"/>
        <n v="-0.493947934173836"/>
        <n v="65.373802160256"/>
        <n v="-0.2885"/>
        <n v="-1.218044"/>
        <n v="28.8292043"/>
        <n v="495.234650811684"/>
        <n v="3.27541057875896"/>
        <n v="-0.27535"/>
        <n v="-4.91662039097296"/>
        <n v="-5.67555455019271"/>
        <n v="124.756229999999"/>
        <n v="10.2426796224"/>
        <n v="44.5088056660304"/>
        <n v="39.128946625"/>
        <n v="128.48582"/>
        <n v="-9.74818419999999"/>
        <n v="14.8199265"/>
        <n v="5.26165968001617"/>
        <n v="59.910260431651"/>
        <n v="311.279216845492"/>
        <n v="103.044696800847"/>
        <n v="7.2592"/>
        <n v="106.072326740823"/>
        <n v="9.840724"/>
        <n v="41.4746762"/>
        <n v="-1.81945"/>
        <n v="5.0811"/>
        <n v="0.82751499072"/>
        <n v="-11.0308811"/>
        <n v="37.3975"/>
        <n v="108.620192546017"/>
        <n v="23.086503369443"/>
        <n v="-0.8789"/>
        <n v="-0.530295843959204"/>
        <n v="7.7652"/>
        <n v="-8.67888006654932"/>
        <n v="299.05007044699"/>
        <n v="70.45697474464"/>
        <n v="-3.622415025"/>
        <n v="118.434746013984"/>
        <n v="26.9524385543318"/>
        <n v="93.4780628864775"/>
        <n v="82.071979"/>
        <n v="2.12622923023699"/>
        <n v="10.3512012017466"/>
        <n v="-16.7977265628209"/>
        <n v="31.352500877631"/>
        <n v="-7.4323215"/>
        <n v="-1.58640820745799"/>
        <n v="6.2558"/>
        <n v="230.730556027999"/>
        <n v="-117.132692849891"/>
        <n v="-5.58554489999999"/>
        <n v="-2.18287748402099"/>
        <n v="11.4264507356799"/>
        <n v="48.9342252513839"/>
        <n v="424.598843959808"/>
        <n v="4.17925732360651"/>
        <n v="-7.621482990242"/>
        <n v="-3.39584569729483"/>
        <n v="-0.179287365394999"/>
        <n v="140.929785627341"/>
        <n v="792.309486648983"/>
        <n v="-3.00919994535661"/>
        <n v="325.685328391736"/>
        <n v="122.046189503365"/>
        <n v="0.53388845972215"/>
        <n v="-2.217759147597"/>
        <n v="-8.47423064243239"/>
        <n v="-34.463714285425"/>
        <n v="61.187717752656"/>
        <n v="-39.7264884406399"/>
        <n v="-94.7892684965409"/>
        <n v="95.4830514977575"/>
        <n v="14.128599924853"/>
        <n v="1088.6237141653"/>
        <n v="18.4115169074527"/>
        <n v="9.5670735"/>
        <n v="-12.34709024"/>
        <n v="-8.60803976020799"/>
        <n v="-0.178948436988"/>
        <n v="101.803050910011"/>
        <n v="35.733359826224"/>
        <n v="308.580047967704"/>
        <n v="276.5980907458"/>
        <n v="-15.134793916691"/>
        <n v="-1.41416723391699"/>
        <n v="2.29250305887999"/>
        <n v="38.705356950231"/>
        <n v="-42.4206292584479"/>
        <n v="106.407698142862"/>
        <n v="53.809752842292"/>
        <n v="46.5909947375029"/>
        <n v="0.8291031"/>
        <n v="5.77091"/>
        <n v="-5.4520781"/>
        <n v="16.1848970077542"/>
        <n v="0.160599999999999"/>
        <n v="0.0983336"/>
        <n v="-0.1776"/>
        <n v="43.730857438289"/>
        <n v="485.935466570723"/>
        <n v="48.38738485"/>
        <n v="402.263511253241"/>
        <n v="40.8689189873743"/>
        <n v="-0.3085596"/>
        <n v="-5.5444008"/>
        <n v="-10.1153609900062"/>
        <n v="318.342373553317"/>
        <n v="46.5571183102939"/>
        <n v="14.7802840196134"/>
        <n v="-5.28309325396214"/>
        <n v="-1.01603335697399"/>
        <n v="-209.180494671"/>
        <n v="-93.3572028222089"/>
        <n v="76.9495999999999"/>
        <n v="7.188067545548"/>
        <n v="65.467270389907"/>
        <n v="-20.5466294435558"/>
        <n v="74.5561289503839"/>
        <n v="-3.1318712"/>
        <n v="2085.13055365274"/>
        <n v="-2.84557065396299"/>
        <n v="-9.36593993639199"/>
        <n v="49.27855"/>
        <n v="148.378222534257"/>
        <n v="-13.9150516161071"/>
        <n v="38.4975784279781"/>
        <n v="0.041073487018184"/>
        <n v="-12.046789741777"/>
        <n v="56.2138422446"/>
        <n v="63.6303941589456"/>
        <n v="-53.9367845539487"/>
        <n v="270.792510219102"/>
        <n v="264.7731472318"/>
        <n v="488.221272951038"/>
        <n v="-3.52452542465596"/>
        <n v="2634.97319498167"/>
        <n v="4.2900595"/>
        <n v="-0.3066813"/>
        <n v="31.008806823924"/>
        <n v="72.7859254394819"/>
        <n v="-10.450464"/>
        <n v="0.10147358455"/>
        <n v="5.62473209854999"/>
        <n v="-8.298710334368"/>
        <n v="53.1163762248969"/>
        <n v="292.205521033183"/>
        <n v="986.414689881129"/>
        <n v="-15.6287481043465"/>
        <n v="-87.698219148786"/>
        <n v="-15.4904850020234"/>
        <n v="691.552237720271"/>
        <n v="208.511239531847"/>
        <n v="-1.038465"/>
        <n v="-0.76402"/>
        <n v="-2.75263292795634"/>
        <n v="23.1361062358715"/>
        <n v="-0.746541838665"/>
        <n v="-6.12894817379999"/>
        <n v="-77.40364948952"/>
        <n v="48.0950095556"/>
        <n v="-8.7247185"/>
        <n v="134.982061288"/>
        <n v="-233.39792632064"/>
        <n v="29.890036136"/>
        <n v="-0.23628889566918"/>
        <n v="47.7345282423892"/>
        <n v="-3.2132831"/>
        <n v="16.84199"/>
        <n v="0.50697745"/>
        <n v="-7.5194808"/>
        <n v="-1.90428059999999"/>
        <n v="-0.0895660610499999"/>
        <n v="-2.256353147064"/>
        <n v="-2.9317897"/>
        <n v="87.634152304176"/>
        <n v="9.4944688"/>
        <n v="7.3460480609643"/>
        <n v="-19.1798511"/>
        <n v="80.789716"/>
        <n v="-4.66433"/>
        <n v="-0.691976295058999"/>
        <n v="5.105505"/>
        <n v="-0.249649306799999"/>
        <n v="58.9921799727471"/>
        <n v="96.9552862070398"/>
        <n v="215.304014737646"/>
        <n v="-212.05106061543"/>
        <n v="13.81127968"/>
        <n v="212.5071"/>
        <n v="-68.905415335712"/>
        <n v="-20.2674372999999"/>
        <n v="-0.157834067345"/>
        <n v="12.8474915882234"/>
        <n v="3.33774944999999"/>
        <n v="-1.526233761957"/>
        <n v="0.49059256520384"/>
        <n v="352.5105941948"/>
        <n v="11.93611819015"/>
        <n v="-10.218306231001"/>
        <n v="5.55146282918545"/>
        <n v="0.177782790883"/>
        <n v="-27.0046703082425"/>
        <n v="-2.73812632"/>
        <n v="1424.70027793299"/>
        <n v="597.454408396565"/>
        <n v="-12.9449481531993"/>
        <n v="14.9407801732499"/>
        <n v="38.2088723675408"/>
        <n v="-1.67101888142999"/>
        <n v="-0.426395560871999"/>
        <n v="5.51169999999999"/>
        <n v="499.327511485098"/>
        <n v="947.142070103639"/>
        <n v="35.4319581333839"/>
        <n v="350.739074579976"/>
        <n v="-0.2884"/>
        <n v="-35.6230883870719"/>
        <n v="-2.40825915"/>
        <n v="-3.79532885399099"/>
        <n v="16.216638585488"/>
        <n v="13.7133383383156"/>
        <n v="11.581325690576"/>
        <n v="-0.072901566813469"/>
        <n v="-0.5744"/>
        <n v="-9.85194373606199"/>
        <n v="-3.031553554152"/>
        <n v="-0.3293813"/>
        <n v="-4.4807521999661"/>
        <n v="511.914652176378"/>
        <n v="8.843594978156"/>
        <n v="-8.22290729057427"/>
        <n v="661.650793363896"/>
        <n v="43.2051169034568"/>
        <n v="2.96801109528"/>
        <n v="-14.5046452999999"/>
        <n v="-1.081362764445"/>
        <n v="-0.1946621072"/>
        <n v="-21.3962196113329"/>
        <n v="103.862195515968"/>
        <n v="4.1247319"/>
        <n v="1160.42267905338"/>
        <n v="0.532768424676"/>
        <n v="-8.4792713992"/>
        <n v="-0.1985625"/>
        <n v="-0.216212660485998"/>
        <n v="14.670690773975"/>
        <n v="-1.93282661145399"/>
        <n v="-4.21521480196699"/>
        <n v="79.6124333308963"/>
        <n v="810.539119426672"/>
        <n v="-0.4739722460757"/>
        <n v="-0.75596510913575"/>
        <n v="453.029293917122"/>
        <n v="302.12950983083"/>
        <n v="-0.46907"/>
        <n v="-0.750285398328775"/>
        <n v="-0.1673004"/>
        <n v="-47.9791680630749"/>
        <n v="44.86579103814"/>
        <n v="-16.6130216424539"/>
        <n v="1084.12829529941"/>
        <n v="-6.94373891351316"/>
        <n v="-0.123952"/>
        <n v="0.69551513065"/>
        <n v="94.741169394444"/>
        <n v="307.938931128193"/>
        <n v="69.006114052631"/>
        <n v="-2.8972808752"/>
        <n v="15.5546167"/>
        <n v="53.9454379072"/>
        <n v="11.0193358947319"/>
        <n v="-83.8902607237766"/>
        <n v="0.84323175"/>
        <n v="125.974005718228"/>
        <n v="109.802684914639"/>
        <n v="-29.2714970572299"/>
        <n v="19.683804413408"/>
        <n v="48.0086233434262"/>
        <n v="-5.51476855149229"/>
        <n v="11.7667889517"/>
        <n v="96.1732928925129"/>
        <n v="-13.0285154732721"/>
        <n v="0.058445973075"/>
        <n v="-0.1747305"/>
        <n v="-0.3087813"/>
        <n v="-2.38023815564728"/>
        <n v="1110.37085270767"/>
        <n v="-0.1747195"/>
        <n v="1.31215056093049"/>
        <n v="7.85550009999999"/>
        <n v="22.8641150448879"/>
        <n v="16.4517024"/>
        <n v="-8.3145984300155"/>
        <n v="12.4877773794911"/>
        <n v="25.3505220629899"/>
        <n v="9.30362377090427"/>
        <n v="-0.612925069015503"/>
        <n v="-11.0576927885819"/>
        <n v="5.76347649999999"/>
        <n v="-2.3424428257852"/>
        <n v="45.237136174483"/>
        <n v="-1.47752705416109"/>
        <n v="-0.411901275979183"/>
        <n v="-0.653481988216"/>
        <n v="-1.62336095347165"/>
        <n v="-112.521126208972"/>
        <n v="413.92528377726"/>
        <n v="-5.28821905060715"/>
        <n v="25.6405252298076"/>
        <n v="6.2218098"/>
        <n v="-0.5318271"/>
        <n v="-0.165"/>
        <n v="35.6471519260203"/>
        <n v="43.4686304397163"/>
        <n v="22.245446"/>
        <n v="297.6883696"/>
        <n v="2.17047012813"/>
        <n v="135.491111099999"/>
        <n v="0.34525"/>
        <n v="-0.180512830523"/>
        <n v="31.6417207347999"/>
        <n v="59.01305386387"/>
        <n v="-3.1226079"/>
        <n v="36.974363615072"/>
        <n v="27.5292319769269"/>
        <n v="-9.72383419999999"/>
        <n v="50.7298261419519"/>
        <n v="-12.8888619"/>
        <n v="-8.89475398115967"/>
        <n v="79.0570916499999"/>
        <n v="-9.8447835"/>
        <n v="-3.64007169854"/>
        <n v="-0.8904680963174"/>
        <n v="24.4588151"/>
        <n v="940.688849999999"/>
        <n v="-39.8535594947199"/>
        <n v="38.0892684999999"/>
        <n v="-0.4625992"/>
        <n v="11.1743384051538"/>
        <n v="-0.5379"/>
        <n v="115.439054398208"/>
        <n v="-3.81928679999999"/>
        <n v="37.929066659944"/>
        <n v="4.6263588"/>
        <n v="-0.596571"/>
        <n v="344.365409000335"/>
        <n v="24.3001686"/>
        <n v="33.3830308"/>
        <n v="-8.725710542675"/>
        <n v="167.8610273"/>
        <n v="11.9481691996401"/>
        <n v="-1.68796249999999"/>
        <n v="12.309935"/>
        <n v="-5.3975407"/>
        <n v="-0.41505"/>
        <n v="-86.671889200976"/>
        <n v="-35.814216552448"/>
        <n v="116.070070333092"/>
        <n v="17.1925089200042"/>
        <n v="-0.19267253876"/>
        <n v="-10.020716174575"/>
        <n v="-6.16014585179999"/>
        <n v="92.2918558624651"/>
        <n v="-0.3539361216573"/>
        <n v="-1.133026647612"/>
        <n v="-1.43415598300699"/>
        <n v="-7.98188339999999"/>
        <n v="118.388386617275"/>
        <n v="-0.420452799999999"/>
        <n v="-4.63905062111999"/>
        <n v="16.652722192"/>
        <n v="-15.1592665999999"/>
        <n v="334.194326095493"/>
        <n v="-22.429029006096"/>
        <n v="398.675118308024"/>
        <n v="31.905541149536"/>
        <n v="-54.02564684088"/>
        <n v="-57.8169655999999"/>
        <n v="12.3600232514594"/>
        <n v="40.1914744033179"/>
        <n v="-1.271289078944"/>
        <n v="9.633947736"/>
        <n v="-69.9150764244829"/>
        <n v="33.717659230902"/>
        <n v="135.4173333104"/>
        <n v="-0.484857880895995"/>
        <n v="-0.19058"/>
        <n v="756.651366722852"/>
        <n v="442.340147597614"/>
        <n v="-2.8306642"/>
        <n v="-0.7476744315441"/>
        <n v="28.025545204563"/>
        <n v="-0.3450671"/>
        <n v="35.586480990781"/>
        <n v="-6.69004914668211"/>
        <n v="-0.288668920180371"/>
        <n v="-0.72473976606"/>
        <n v="-24.6004701975348"/>
        <n v="-13.917407693915"/>
        <n v="75.7086837877047"/>
        <n v="-0.23912826014"/>
        <n v="53.824016532446"/>
        <n v="-9.73526049152199"/>
        <n v="-0.282150834499999"/>
        <n v="-7.64835856940408"/>
        <n v="-2.96588719674481"/>
        <n v="6.72310331446"/>
        <n v="111.484189683647"/>
        <n v="106.034367578045"/>
        <n v="229.140850394496"/>
        <n v="26.9533597177161"/>
        <n v="20.853225119952"/>
        <n v="-67.4340788824448"/>
        <n v="38.518218916921"/>
        <n v="0.0464527"/>
        <n v="76.26109525168"/>
        <n v="40.24288694087"/>
        <n v="-6.19928977038399"/>
        <n v="6.566740583964"/>
        <n v="2480.30822431875"/>
        <n v="24.7651614851937"/>
        <n v="-30.973883864188"/>
        <n v="-4.560027005888"/>
        <n v="-0.311555999999999"/>
        <n v="-7.2732527808"/>
        <n v="-3.14450472136799"/>
        <n v="-17.2949791"/>
        <n v="-0.4798909"/>
        <n v="66.4153208895486"/>
        <n v="-3.8769096304"/>
        <n v="-1.1826081675"/>
        <n v="22.503359745"/>
        <n v="244.343845736203"/>
        <n v="-2.73765061724653"/>
        <n v="-32.5019183641709"/>
        <n v="-13.2476428125631"/>
        <n v="-0.1560170325"/>
        <n v="-0.05006606105"/>
        <n v="23.4973230588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Current Calendar Quarter Stats" cacheId="0" dataCaption="" rowGrandTotals="0" createdVersion="6" compact="0" compactData="0">
  <location ref="A4:E172" firstHeaderRow="0" firstDataRow="2" firstDataCol="0" rowPageCount="2" colPageCount="1"/>
  <pivotFields>
    <pivotField name="current_tier" compact="0" outline="0" multipleItemSelectionAllowed="1" showAll="0">
      <items>
        <item x="0"/>
        <item x="1"/>
        <item x="2"/>
        <item x="3"/>
        <item x="4"/>
        <item x="5"/>
        <item x="6"/>
        <item x="7"/>
        <item t="default"/>
      </items>
    </pivotField>
    <pivotField name="month"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OrgId"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autoSortScope>
        <pivotArea>
          <references>
            <reference field="4294967294">
              <x v="0"/>
            </reference>
          </references>
        </pivotArea>
      </autoSortScope>
    </pivotField>
    <pivotField name="activation_month"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otal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ach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tp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t="default"/>
      </items>
    </pivotField>
    <pivotField name="visa_tp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t="default"/>
      </items>
    </pivotField>
    <pivotField name="total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t="default"/>
      </items>
    </pivotField>
    <pivotField name="ach_f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ore_gross_profit_wo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t="default"/>
      </items>
    </pivotField>
    <pivotField name="core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t="default"/>
      </items>
    </pivotField>
    <pivotField name="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sub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otal GP"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t="default"/>
      </items>
    </pivotField>
    <pivotField name="Opp Create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Opp Create Month" compact="0" numFmtId="166" outline="0" multipleItemSelectionAllowed="1" showAll="0">
      <items>
        <item x="0"/>
        <item x="1"/>
        <item x="2"/>
        <item x="3"/>
        <item x="4"/>
        <item x="5"/>
        <item x="6"/>
        <item x="7"/>
        <item x="8"/>
        <item x="9"/>
        <item x="10"/>
        <item x="11"/>
        <item x="12"/>
        <item x="13"/>
        <item t="default"/>
      </items>
    </pivotField>
    <pivotField name="Count GP?" axis="axisPage" compact="0" outline="0" multipleItemSelectionAllowed="1" showAll="0">
      <items>
        <item x="0"/>
        <item h="1" x="1"/>
        <item t="default"/>
      </items>
    </pivotField>
    <pivotField name="Opp Close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s>
  <rowFields>
    <field x="2"/>
  </rowFields>
  <colFields>
    <field x="-2"/>
  </colFields>
  <pageFields>
    <pageField fld="17"/>
    <pageField fld="1"/>
  </pageFields>
  <dataFields>
    <dataField name="SUM of Total GP" fld="14" baseField="0"/>
    <dataField name="AVERAGE of Total GP" fld="14" subtotal="average" baseField="0"/>
    <dataField name="Sum of TPV" fld="6" baseField="0"/>
    <dataField name="AVERAGE of tpv" fld="6" subtotal="average" baseField="0"/>
  </dataFields>
  <filters>
    <filter fld="2" type="captionNotEqual" evalOrder="-1" id="1" stringValue1="4054136">
      <autoFilter ref="A1">
        <filterColumn colId="0">
          <customFilters>
            <customFilter operator="notEqual" val="4054136"/>
          </customFilters>
        </filterColumn>
      </autoFilter>
    </filter>
    <filter fld="1" type="captionGreaterThanOrEqual" evalOrder="-1" id="3" stringValue1="2026-04-01">
      <autoFilter ref="A1">
        <filterColumn colId="0">
          <customFilters>
            <customFilter operator="greaterThanOrEqual" val="2026-04-01"/>
          </customFilters>
        </filterColumn>
      </autoFilter>
    </filter>
  </filters>
</pivotTableDefinition>
</file>

<file path=xl/pivotTables/pivotTable2.xml><?xml version="1.0" encoding="utf-8"?>
<pivotTableDefinition xmlns="http://schemas.openxmlformats.org/spreadsheetml/2006/main" name="Current Calendar Month Stats" cacheId="1" dataCaption="" rowGrandTotals="0" createdVersion="6" compact="0" compactData="0">
  <location ref="A4:E125" firstHeaderRow="0" firstDataRow="2" firstDataCol="0" rowPageCount="2" colPageCount="1"/>
  <pivotFields>
    <pivotField name="current_tier" compact="0" outline="0" multipleItemSelectionAllowed="1" showAll="0">
      <items>
        <item x="0"/>
        <item x="1"/>
        <item x="2"/>
        <item x="3"/>
        <item x="4"/>
        <item x="5"/>
        <item x="6"/>
        <item x="7"/>
        <item t="default"/>
      </items>
    </pivotField>
    <pivotField name="month" axis="axisPage" compact="0" numFmtId="164" outline="0" multipleItemSelectionAllowed="1" showAll="0">
      <items>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t="default"/>
      </items>
    </pivotField>
    <pivotField name="Org ID"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autoSortScope>
        <pivotArea>
          <references>
            <reference field="4294967294">
              <x v="0"/>
            </reference>
          </references>
        </pivotArea>
      </autoSortScope>
    </pivotField>
    <pivotField name="activation_month"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otal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ach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tp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ame="visa_tp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total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t="default"/>
      </items>
    </pivotField>
    <pivotField name="ach_f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ore_gross_profit_wo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t="default"/>
      </items>
    </pivotField>
    <pivotField name="core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sub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otal GP"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t="default"/>
      </items>
    </pivotField>
    <pivotField name="Opp Create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Opp Create Month" compact="0" numFmtId="166" outline="0" multipleItemSelectionAllowed="1" showAll="0">
      <items>
        <item x="0"/>
        <item x="1"/>
        <item x="2"/>
        <item x="3"/>
        <item x="4"/>
        <item x="5"/>
        <item x="6"/>
        <item x="7"/>
        <item x="8"/>
        <item x="9"/>
        <item x="10"/>
        <item x="11"/>
        <item x="12"/>
        <item x="13"/>
        <item t="default"/>
      </items>
    </pivotField>
    <pivotField name="Count GP?" axis="axisPage" compact="0" outline="0" multipleItemSelectionAllowed="1" showAll="0">
      <items>
        <item x="0"/>
        <item h="1" x="1"/>
        <item t="default"/>
      </items>
    </pivotField>
  </pivotFields>
  <rowFields>
    <field x="2"/>
  </rowFields>
  <colFields>
    <field x="-2"/>
  </colFields>
  <pageFields>
    <pageField fld="17"/>
    <pageField fld="1"/>
  </pageFields>
  <dataFields>
    <dataField name="SUM of Total GP" fld="14" baseField="0"/>
    <dataField name="AVERAGE of Total GP" fld="14" subtotal="average" baseField="0"/>
    <dataField name="Sum of TPV" fld="6" baseField="0"/>
    <dataField name="AVERAGE of tpv" fld="6" subtotal="average" baseField="0"/>
  </dataFields>
  <filters>
    <filter fld="2" type="captionNotEqual" evalOrder="-1" id="1" stringValue1="4054136">
      <autoFilter ref="A1">
        <filterColumn colId="0">
          <customFilters>
            <customFilter operator="notEqual" val="4054136"/>
          </customFilters>
        </filterColumn>
      </autoFilter>
    </filter>
  </filters>
</pivotTableDefinition>
</file>

<file path=xl/pivotTables/pivotTable3.xml><?xml version="1.0" encoding="utf-8"?>
<pivotTableDefinition xmlns="http://schemas.openxmlformats.org/spreadsheetml/2006/main" name="Lifetime Summary Stats" cacheId="1" dataCaption="" rowGrandTotals="0" createdVersion="6" compact="0" compactData="0">
  <location ref="A3:E213" firstHeaderRow="0" firstDataRow="2" firstDataCol="0" rowPageCount="1" colPageCount="1"/>
  <pivotFields>
    <pivotField name="current_tier" compact="0" outline="0" multipleItemSelectionAllowed="1" showAll="0">
      <items>
        <item x="0"/>
        <item x="1"/>
        <item x="2"/>
        <item x="3"/>
        <item x="4"/>
        <item x="5"/>
        <item x="6"/>
        <item x="7"/>
        <item t="default"/>
      </items>
    </pivotField>
    <pivotField name="mon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rg ID" axis="axisRow" compact="0" outline="0" multipleItemSelectionAllowed="1" showAll="0" sortType="descending">
      <items>
        <item x="161"/>
        <item x="181"/>
        <item x="217"/>
        <item x="162"/>
        <item x="214"/>
        <item x="151"/>
        <item x="215"/>
        <item x="153"/>
        <item x="216"/>
        <item x="13"/>
        <item x="204"/>
        <item x="125"/>
        <item x="15"/>
        <item x="102"/>
        <item x="138"/>
        <item x="111"/>
        <item x="154"/>
        <item x="191"/>
        <item x="157"/>
        <item x="142"/>
        <item x="104"/>
        <item x="202"/>
        <item x="210"/>
        <item x="184"/>
        <item x="165"/>
        <item x="177"/>
        <item x="146"/>
        <item x="60"/>
        <item x="110"/>
        <item x="67"/>
        <item x="29"/>
        <item x="187"/>
        <item x="71"/>
        <item x="155"/>
        <item x="39"/>
        <item x="70"/>
        <item x="183"/>
        <item x="190"/>
        <item x="206"/>
        <item x="115"/>
        <item x="116"/>
        <item x="168"/>
        <item x="96"/>
        <item x="43"/>
        <item x="53"/>
        <item x="186"/>
        <item x="128"/>
        <item x="8"/>
        <item x="122"/>
        <item x="25"/>
        <item x="73"/>
        <item x="95"/>
        <item x="51"/>
        <item x="179"/>
        <item x="30"/>
        <item x="20"/>
        <item x="123"/>
        <item x="209"/>
        <item x="141"/>
        <item x="158"/>
        <item x="207"/>
        <item x="152"/>
        <item x="169"/>
        <item x="14"/>
        <item x="33"/>
        <item x="121"/>
        <item x="144"/>
        <item x="103"/>
        <item x="99"/>
        <item x="175"/>
        <item x="10"/>
        <item x="97"/>
        <item x="27"/>
        <item x="108"/>
        <item x="173"/>
        <item x="164"/>
        <item x="135"/>
        <item x="28"/>
        <item x="140"/>
        <item x="63"/>
        <item x="189"/>
        <item x="201"/>
        <item x="170"/>
        <item x="46"/>
        <item x="17"/>
        <item x="58"/>
        <item x="107"/>
        <item x="109"/>
        <item x="38"/>
        <item x="41"/>
        <item x="188"/>
        <item x="113"/>
        <item x="21"/>
        <item x="193"/>
        <item x="62"/>
        <item x="42"/>
        <item x="9"/>
        <item x="174"/>
        <item x="156"/>
        <item x="137"/>
        <item x="45"/>
        <item x="3"/>
        <item x="120"/>
        <item x="139"/>
        <item x="91"/>
        <item x="48"/>
        <item x="47"/>
        <item x="160"/>
        <item x="80"/>
        <item x="196"/>
        <item x="114"/>
        <item x="23"/>
        <item x="205"/>
        <item x="180"/>
        <item x="81"/>
        <item x="89"/>
        <item x="54"/>
        <item x="105"/>
        <item x="92"/>
        <item x="163"/>
        <item x="4"/>
        <item x="18"/>
        <item x="130"/>
        <item x="198"/>
        <item x="82"/>
        <item x="192"/>
        <item x="194"/>
        <item x="148"/>
        <item x="88"/>
        <item x="213"/>
        <item x="145"/>
        <item x="185"/>
        <item x="90"/>
        <item x="52"/>
        <item x="32"/>
        <item x="50"/>
        <item x="172"/>
        <item x="78"/>
        <item x="211"/>
        <item x="127"/>
        <item x="203"/>
        <item x="56"/>
        <item x="147"/>
        <item x="119"/>
        <item x="126"/>
        <item x="93"/>
        <item x="24"/>
        <item x="143"/>
        <item x="57"/>
        <item x="208"/>
        <item x="77"/>
        <item x="85"/>
        <item x="171"/>
        <item x="5"/>
        <item x="200"/>
        <item x="22"/>
        <item x="112"/>
        <item x="19"/>
        <item x="65"/>
        <item x="129"/>
        <item x="2"/>
        <item x="132"/>
        <item x="182"/>
        <item x="49"/>
        <item x="197"/>
        <item x="11"/>
        <item x="199"/>
        <item x="117"/>
        <item x="131"/>
        <item x="79"/>
        <item x="212"/>
        <item x="150"/>
        <item x="124"/>
        <item x="55"/>
        <item x="106"/>
        <item x="68"/>
        <item x="100"/>
        <item x="76"/>
        <item x="94"/>
        <item x="36"/>
        <item x="61"/>
        <item x="12"/>
        <item x="1"/>
        <item x="74"/>
        <item x="72"/>
        <item x="136"/>
        <item x="133"/>
        <item x="134"/>
        <item x="16"/>
        <item x="176"/>
        <item x="35"/>
        <item x="101"/>
        <item x="159"/>
        <item x="98"/>
        <item x="40"/>
        <item x="7"/>
        <item x="84"/>
        <item x="195"/>
        <item x="66"/>
        <item x="83"/>
        <item x="178"/>
        <item x="6"/>
        <item x="69"/>
        <item x="149"/>
        <item x="87"/>
        <item x="118"/>
        <item x="64"/>
        <item x="75"/>
        <item x="31"/>
        <item x="166"/>
        <item x="26"/>
        <item x="59"/>
        <item x="34"/>
        <item x="0"/>
        <item x="167"/>
        <item x="86"/>
        <item x="44"/>
        <item x="37"/>
        <item t="default"/>
      </items>
    </pivotField>
    <pivotField name="activation_month"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otal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ach_pay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tp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ame="visa_tp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total_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t="default"/>
      </items>
    </pivotField>
    <pivotField name="ach_fe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ore_gross_profit_wo_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t="default"/>
      </items>
    </pivotField>
    <pivotField name="core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l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sub_g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otal GP"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t="default"/>
      </items>
    </pivotField>
    <pivotField name="Opp Create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Opp Create Month" compact="0" numFmtId="166" outline="0" multipleItemSelectionAllowed="1" showAll="0">
      <items>
        <item x="0"/>
        <item x="1"/>
        <item x="2"/>
        <item x="3"/>
        <item x="4"/>
        <item x="5"/>
        <item x="6"/>
        <item x="7"/>
        <item x="8"/>
        <item x="9"/>
        <item x="10"/>
        <item x="11"/>
        <item x="12"/>
        <item x="13"/>
        <item t="default"/>
      </items>
    </pivotField>
    <pivotField name="Count GP?" axis="axisPage" compact="0" outline="0" multipleItemSelectionAllowed="1" showAll="0">
      <items>
        <item x="0"/>
        <item h="1" x="1"/>
        <item t="default"/>
      </items>
    </pivotField>
  </pivotFields>
  <rowFields>
    <field x="2"/>
  </rowFields>
  <colFields>
    <field x="-2"/>
  </colFields>
  <pageFields>
    <pageField fld="17"/>
  </pageFields>
  <dataFields>
    <dataField name="SUM of Total GP" fld="14" baseField="0"/>
    <dataField name="AVERAGE of Total GP" fld="14" subtotal="average" baseField="0"/>
    <dataField name="Sum of TPV" fld="6" baseField="0"/>
    <dataField name="AVERAGE of tpv" fld="6" subtotal="average" baseField="0"/>
  </dataFields>
  <filters>
    <filter fld="2" type="captionNotEqual" evalOrder="-1" id="1" stringValue1="4054136">
      <autoFilter ref="A1">
        <filterColumn colId="0">
          <customFilters>
            <customFilter operator="notEqual" val="4054136"/>
          </customFilters>
        </filterColumn>
      </autoFilter>
    </filter>
  </filters>
</pivotTableDefinition>
</file>

<file path=xl/tables/table1.xml><?xml version="1.0" encoding="utf-8"?>
<table xmlns="http://schemas.openxmlformats.org/spreadsheetml/2006/main" ref="A1:Q2" displayName="Table_1" name="Table_1" id="1">
  <tableColumns count="17">
    <tableColumn name="current_tier" id="1"/>
    <tableColumn name="month" id="2"/>
    <tableColumn name="initiated_by_org_id" id="3"/>
    <tableColumn name="activation_month" id="4"/>
    <tableColumn name="total_payments" id="5"/>
    <tableColumn name="ach_payments" id="6"/>
    <tableColumn name="tpv" id="7"/>
    <tableColumn name="total_revenue" id="8"/>
    <tableColumn name="ach_fees" id="9"/>
    <tableColumn name="core_gross_profit_wo_loss" id="10"/>
    <tableColumn name="core_gp" id="11"/>
    <tableColumn name="loss" id="12"/>
    <tableColumn name="sub_gp" id="13"/>
    <tableColumn name="Total GP" id="14"/>
    <tableColumn name="Opp Create Date" id="15"/>
    <tableColumn name="Opp Create Month" id="16"/>
    <tableColumn name="Count GP?" id="17"/>
  </tableColumns>
  <tableStyleInfo name="Detail5-4214658-style" showColumnStripes="0" showFirstColumn="1" showLastColumn="1" showRowStripes="1"/>
</table>
</file>

<file path=xl/tables/table2.xml><?xml version="1.0" encoding="utf-8"?>
<table xmlns="http://schemas.openxmlformats.org/spreadsheetml/2006/main" ref="A1:Q2" displayName="Table_2" name="Table_2" id="2">
  <tableColumns count="17">
    <tableColumn name="current_tier" id="1"/>
    <tableColumn name="month" id="2"/>
    <tableColumn name="initiated_by_org_id" id="3"/>
    <tableColumn name="activation_month" id="4"/>
    <tableColumn name="total_payments" id="5"/>
    <tableColumn name="ach_payments" id="6"/>
    <tableColumn name="tpv" id="7"/>
    <tableColumn name="total_revenue" id="8"/>
    <tableColumn name="ach_fees" id="9"/>
    <tableColumn name="core_gross_profit_wo_loss" id="10"/>
    <tableColumn name="core_gp" id="11"/>
    <tableColumn name="loss" id="12"/>
    <tableColumn name="sub_gp" id="13"/>
    <tableColumn name="Total GP" id="14"/>
    <tableColumn name="Opp Create Date" id="15"/>
    <tableColumn name="Opp Create Month" id="16"/>
    <tableColumn name="Count GP?" id="17"/>
  </tableColumns>
  <tableStyleInfo name="Detail4-4117067-style" showColumnStripes="0" showFirstColumn="1" showLastColumn="1" showRowStripes="1"/>
</table>
</file>

<file path=xl/tables/table3.xml><?xml version="1.0" encoding="utf-8"?>
<table xmlns="http://schemas.openxmlformats.org/spreadsheetml/2006/main" ref="A1:R2" displayName="Table_3" name="Table_3" id="3">
  <tableColumns count="18">
    <tableColumn name="current_tier" id="1"/>
    <tableColumn name="month" id="2"/>
    <tableColumn name="initiated_by_org_id" id="3"/>
    <tableColumn name="activation_month" id="4"/>
    <tableColumn name="total_payments" id="5"/>
    <tableColumn name="ach_payments" id="6"/>
    <tableColumn name="tpv" id="7"/>
    <tableColumn name="visa_tpv" id="8"/>
    <tableColumn name="total_revenue" id="9"/>
    <tableColumn name="ach_fees" id="10"/>
    <tableColumn name="core_gross_profit_wo_loss" id="11"/>
    <tableColumn name="core_gp" id="12"/>
    <tableColumn name="loss" id="13"/>
    <tableColumn name="sub_gp" id="14"/>
    <tableColumn name="Total GP" id="15"/>
    <tableColumn name="Opp Create Date" id="16"/>
    <tableColumn name="Opp Create Month" id="17"/>
    <tableColumn name="Count GP?" id="18"/>
  </tableColumns>
  <tableStyleInfo name="Detail6-4440958-style" showColumnStripes="0" showFirstColumn="1" showLastColumn="1" showRowStripes="1"/>
</table>
</file>

<file path=xl/tables/table4.xml><?xml version="1.0" encoding="utf-8"?>
<table xmlns="http://schemas.openxmlformats.org/spreadsheetml/2006/main" ref="A1:L157" displayName="Table_4" name="Table_4" id="4">
  <tableColumns count="12">
    <tableColumn name="current_tier" id="1"/>
    <tableColumn name="month" id="2"/>
    <tableColumn name="initiated_by_org_id" id="3"/>
    <tableColumn name="activation_month" id="4"/>
    <tableColumn name="total_payments" id="5"/>
    <tableColumn name="ach_payments" id="6"/>
    <tableColumn name="tpv" id="7"/>
    <tableColumn name="total_revenue" id="8"/>
    <tableColumn name="ach_fees" id="9"/>
    <tableColumn name="core_gross_profit_wo_loss" id="10"/>
    <tableColumn name="core_gp" id="11"/>
    <tableColumn name="loss" id="12"/>
  </tableColumns>
  <tableStyleInfo name="Detail3-style" showColumnStripes="0" showFirstColumn="1" showLastColumn="1" showRowStripes="1"/>
</table>
</file>

<file path=xl/tables/table5.xml><?xml version="1.0" encoding="utf-8"?>
<table xmlns="http://schemas.openxmlformats.org/spreadsheetml/2006/main" ref="A1:L2" displayName="Table_5" name="Table_5" id="5">
  <tableColumns count="12">
    <tableColumn name="current_tier" id="1"/>
    <tableColumn name="month" id="2"/>
    <tableColumn name="initiated_by_org_id" id="3"/>
    <tableColumn name="activation_month" id="4"/>
    <tableColumn name="total_payments" id="5"/>
    <tableColumn name="ach_payments" id="6"/>
    <tableColumn name="tpv" id="7"/>
    <tableColumn name="total_revenue" id="8"/>
    <tableColumn name="ach_fees" id="9"/>
    <tableColumn name="core_gross_profit_wo_loss" id="10"/>
    <tableColumn name="core_gp" id="11"/>
    <tableColumn name="loss" id="12"/>
  </tableColumns>
  <tableStyleInfo name="Detail2-4075965-style" showColumnStripes="0" showFirstColumn="1" showLastColumn="1" showRowStripes="1"/>
</table>
</file>

<file path=xl/tables/table6.xml><?xml version="1.0" encoding="utf-8"?>
<table xmlns="http://schemas.openxmlformats.org/spreadsheetml/2006/main" ref="A1:L94" displayName="Table_6" name="Table_6" id="6">
  <tableColumns count="12">
    <tableColumn name="current_tier" id="1"/>
    <tableColumn name="month" id="2"/>
    <tableColumn name="initiated_by_org_id" id="3"/>
    <tableColumn name="activation_month" id="4"/>
    <tableColumn name="total_payments" id="5"/>
    <tableColumn name="ach_payments" id="6"/>
    <tableColumn name="tpv" id="7"/>
    <tableColumn name="total_revenue" id="8"/>
    <tableColumn name="ach_fees" id="9"/>
    <tableColumn name="core_gross_profit_wo_loss" id="10"/>
    <tableColumn name="core_gp" id="11"/>
    <tableColumn name="loss" id="12"/>
  </tableColumns>
  <tableStyleInfo name="Detail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rod-useast-b.online.tableau.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hyperlink" Target="https://meliopayments.com/" TargetMode="External"/><Relationship Id="rId2" Type="http://schemas.openxmlformats.org/officeDocument/2006/relationships/hyperlink" Target="https://meliopayments.com/pricing/" TargetMode="External"/><Relationship Id="rId3" Type="http://schemas.openxmlformats.org/officeDocument/2006/relationships/hyperlink" Target="https://meliopayments.com/" TargetMode="External"/><Relationship Id="rId4" Type="http://schemas.openxmlformats.org/officeDocument/2006/relationships/hyperlink" Target="https://meliopayments.com/" TargetMode="External"/><Relationship Id="rId9" Type="http://schemas.openxmlformats.org/officeDocument/2006/relationships/drawing" Target="../drawings/drawing8.xml"/><Relationship Id="rId5" Type="http://schemas.openxmlformats.org/officeDocument/2006/relationships/hyperlink" Target="https://meliopayments.com/" TargetMode="External"/><Relationship Id="rId6" Type="http://schemas.openxmlformats.org/officeDocument/2006/relationships/hyperlink" Target="https://meliopayments.com/" TargetMode="External"/><Relationship Id="rId7" Type="http://schemas.openxmlformats.org/officeDocument/2006/relationships/hyperlink" Target="https://meliopayments.com/" TargetMode="External"/><Relationship Id="rId8" Type="http://schemas.openxmlformats.org/officeDocument/2006/relationships/hyperlink" Target="https://meliopayments.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2" t="s">
        <v>15</v>
      </c>
      <c r="Q1" s="4" t="s">
        <v>16</v>
      </c>
    </row>
    <row r="2">
      <c r="A2" s="5" t="s">
        <v>17</v>
      </c>
      <c r="B2" s="6">
        <v>46023.0</v>
      </c>
      <c r="C2" s="7">
        <v>4214658.0</v>
      </c>
      <c r="D2" s="6">
        <v>45962.0</v>
      </c>
      <c r="E2" s="7">
        <v>67.0</v>
      </c>
      <c r="F2" s="7">
        <v>67.0</v>
      </c>
      <c r="G2" s="7">
        <v>141628.32</v>
      </c>
      <c r="H2" s="7">
        <v>0.0</v>
      </c>
      <c r="I2" s="8"/>
      <c r="J2" s="7">
        <v>-9.83309999999999</v>
      </c>
      <c r="K2" s="7">
        <v>-9.83309999999999</v>
      </c>
      <c r="L2" s="7">
        <v>0.0</v>
      </c>
      <c r="M2" s="8"/>
      <c r="N2" s="9">
        <v>-9.83309999999999</v>
      </c>
      <c r="O2" s="10">
        <v>45973.0</v>
      </c>
      <c r="P2" s="11">
        <v>45962.0</v>
      </c>
      <c r="Q2" s="12" t="s">
        <v>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2" t="s">
        <v>15</v>
      </c>
      <c r="Q1" s="4" t="s">
        <v>16</v>
      </c>
    </row>
    <row r="2">
      <c r="A2" s="5" t="s">
        <v>19</v>
      </c>
      <c r="B2" s="6">
        <v>46023.0</v>
      </c>
      <c r="C2" s="7">
        <v>4117067.0</v>
      </c>
      <c r="D2" s="6">
        <v>45992.0</v>
      </c>
      <c r="E2" s="7">
        <v>575.0</v>
      </c>
      <c r="F2" s="7">
        <v>575.0</v>
      </c>
      <c r="G2" s="7">
        <v>2880932.61</v>
      </c>
      <c r="H2" s="7">
        <v>1057.742193</v>
      </c>
      <c r="I2" s="7">
        <v>0.5</v>
      </c>
      <c r="J2" s="7">
        <v>973.2603</v>
      </c>
      <c r="K2" s="7">
        <v>973.2603</v>
      </c>
      <c r="L2" s="7">
        <v>0.0</v>
      </c>
      <c r="M2" s="7">
        <v>6.39999999999999</v>
      </c>
      <c r="N2" s="9">
        <v>979.6603</v>
      </c>
      <c r="O2" s="10">
        <v>45831.0</v>
      </c>
      <c r="P2" s="11">
        <v>45809.0</v>
      </c>
      <c r="Q2" s="12" t="s">
        <v>18</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showGridLines="0" workbookViewId="0"/>
  </sheetViews>
  <sheetFormatPr customHeight="1" defaultColWidth="12.63" defaultRowHeight="15.75"/>
  <cols>
    <col customWidth="1" min="2" max="2" width="15.25"/>
    <col customWidth="1" min="3" max="3" width="17.75"/>
    <col customWidth="1" min="5" max="5" width="16.88"/>
    <col customWidth="1" min="6" max="6" width="4.63"/>
    <col customWidth="1" min="7" max="7" width="9.5"/>
    <col customWidth="1" min="8" max="8" width="8.88"/>
    <col customWidth="1" min="9" max="9" width="11.63"/>
    <col customWidth="1" min="10" max="10" width="15.0"/>
    <col customWidth="1" min="11" max="11" width="22.5"/>
    <col customWidth="1" min="12" max="12" width="19.63"/>
    <col customWidth="1" min="13" max="13" width="33.88"/>
    <col customWidth="1" min="14" max="14" width="22.88"/>
    <col customWidth="1" min="15" max="15" width="25.5"/>
    <col customWidth="1" min="17" max="18" width="15.5"/>
  </cols>
  <sheetData>
    <row r="1">
      <c r="F1" s="16"/>
      <c r="G1" s="17" t="s">
        <v>25</v>
      </c>
      <c r="H1" s="17" t="s">
        <v>26</v>
      </c>
      <c r="I1" s="17" t="s">
        <v>27</v>
      </c>
      <c r="J1" s="17" t="s">
        <v>28</v>
      </c>
      <c r="K1" s="17" t="s">
        <v>29</v>
      </c>
      <c r="L1" s="18" t="s">
        <v>30</v>
      </c>
      <c r="M1" s="18" t="s">
        <v>31</v>
      </c>
      <c r="N1" s="18" t="s">
        <v>32</v>
      </c>
      <c r="O1" s="19" t="s">
        <v>33</v>
      </c>
      <c r="P1" s="20">
        <f>COUNTIF(A2:A1000,"&gt;=0")</f>
        <v>168</v>
      </c>
      <c r="R1" s="21" t="s">
        <v>34</v>
      </c>
      <c r="S1" s="22">
        <v>46201.0</v>
      </c>
      <c r="U1" s="23" t="s">
        <v>35</v>
      </c>
    </row>
    <row r="2">
      <c r="F2" s="14"/>
      <c r="G2" s="13" t="str">
        <f t="array" ref="G2">iferror(XLOOKUP(A2,'Download of SFDC Activation Rep'!B:B,'Download of SFDC Activation Rep'!H:H),"")</f>
        <v>Active</v>
      </c>
      <c r="H2" s="13" t="str">
        <f t="array" ref="H2">iferror(xlookup(A2,'Download of SFDC Activation Rep'!B:B,'Download of SFDC Activation Rep'!L:L),"")</f>
        <v/>
      </c>
      <c r="I2" s="17" t="str">
        <f t="shared" ref="I2:I1000" si="1">IF(or(G2="Active",H2="Active"),"Active","Not Active")</f>
        <v>Active</v>
      </c>
      <c r="J2" s="17" t="str">
        <f t="array" ref="J2">iferror(XLOOKUP(A2,'Download of SFDC Activation Rep'!B:B,'Download of SFDC Activation Rep'!X:X),"")</f>
        <v>Kate Olivares</v>
      </c>
      <c r="K2" s="17" t="str">
        <f t="array" ref="K2">iferror(XLOOKUP(A2,'Download of SFDC Activation Rep'!B:B,'Download of SFDC Activation Rep'!C:C),"")</f>
        <v>Net Conversion</v>
      </c>
      <c r="L2" s="18">
        <f t="array" ref="L2">iferror(XLOOKUP(A2,'Download of SFDC Activation Rep'!B:B,'Download of SFDC Activation Rep'!S:S),"")</f>
        <v>400</v>
      </c>
      <c r="M2" s="24">
        <f t="array" ref="M2">iferror(XLOOKUP(A2,'Download of SFDC Activation Rep'!B:B,'Download of SFDC Activation Rep'!Z:Z)+150,"")</f>
        <v>45981</v>
      </c>
      <c r="N2" s="24">
        <f t="array" ref="N2">iferror(XLOOKUP(A2,'Download of SFDC Activation Rep'!B:B,'Download of SFDC Activation Rep'!Y:Y),"")</f>
        <v>45992</v>
      </c>
      <c r="O2" s="19" t="s">
        <v>36</v>
      </c>
      <c r="P2" s="20">
        <f>COUNTIF(I:I,"Active")</f>
        <v>148</v>
      </c>
      <c r="U2" s="25">
        <f t="shared" ref="U2:U172" si="2">IF(M2="", "", EOMONTH(M2, -5) + 1)</f>
        <v>45839</v>
      </c>
    </row>
    <row r="3">
      <c r="F3" s="14"/>
      <c r="G3" s="13" t="str">
        <f t="array" ref="G3">iferror(XLOOKUP(A3,'Download of SFDC Activation Rep'!B:B,'Download of SFDC Activation Rep'!H:H),"")</f>
        <v>Active</v>
      </c>
      <c r="H3" s="13" t="str">
        <f t="array" ref="H3">iferror(xlookup(A3,'Download of SFDC Activation Rep'!B:B,'Download of SFDC Activation Rep'!L:L),"")</f>
        <v/>
      </c>
      <c r="I3" s="17" t="str">
        <f t="shared" si="1"/>
        <v>Active</v>
      </c>
      <c r="J3" s="17" t="str">
        <f t="array" ref="J3">iferror(XLOOKUP(A3,'Download of SFDC Activation Rep'!B:B,'Download of SFDC Activation Rep'!X:X),"")</f>
        <v>Matthew Frost</v>
      </c>
      <c r="K3" s="17" t="str">
        <f t="array" ref="K3">iferror(XLOOKUP(A3,'Download of SFDC Activation Rep'!B:B,'Download of SFDC Activation Rep'!C:C),"")</f>
        <v>Solutions Group International, Inc.</v>
      </c>
      <c r="L3" s="18">
        <f t="array" ref="L3">iferror(XLOOKUP(A3,'Download of SFDC Activation Rep'!B:B,'Download of SFDC Activation Rep'!S:S),"")</f>
        <v>155.65</v>
      </c>
      <c r="M3" s="24">
        <f t="array" ref="M3">iferror(XLOOKUP(A3,'Download of SFDC Activation Rep'!B:B,'Download of SFDC Activation Rep'!Z:Z)+150,"")</f>
        <v>46178</v>
      </c>
      <c r="N3" s="24">
        <f t="array" ref="N3">iferror(XLOOKUP(A3,'Download of SFDC Activation Rep'!B:B,'Download of SFDC Activation Rep'!Y:Y),"")</f>
        <v>46079</v>
      </c>
      <c r="O3" s="26"/>
      <c r="P3" s="26"/>
      <c r="Q3" s="27">
        <f t="shared" ref="Q3:Q4" si="3">(TODAY() - EOMONTH(TODAY(), -MOD(MONTH(TODAY())-1,3)-1)) / (EOMONTH(TODAY(), -MOD(MONTH(TODAY())-1,3)+2)+1 - (EOMONTH(TODAY(), -MOD(MONTH(TODAY())-1,3)-1)+1))</f>
        <v>0.989010989</v>
      </c>
      <c r="R3" s="17" t="s">
        <v>37</v>
      </c>
      <c r="U3" s="25">
        <f t="shared" si="2"/>
        <v>46054</v>
      </c>
    </row>
    <row r="4">
      <c r="F4" s="14"/>
      <c r="G4" s="13" t="str">
        <f t="array" ref="G4">iferror(XLOOKUP(A4,'Download of SFDC Activation Rep'!B:B,'Download of SFDC Activation Rep'!H:H),"")</f>
        <v>Active</v>
      </c>
      <c r="H4" s="13" t="str">
        <f t="array" ref="H4">iferror(xlookup(A4,'Download of SFDC Activation Rep'!B:B,'Download of SFDC Activation Rep'!L:L),"")</f>
        <v/>
      </c>
      <c r="I4" s="17" t="str">
        <f t="shared" si="1"/>
        <v>Active</v>
      </c>
      <c r="J4" s="17" t="str">
        <f t="array" ref="J4">iferror(XLOOKUP(A4,'Download of SFDC Activation Rep'!B:B,'Download of SFDC Activation Rep'!X:X),"")</f>
        <v>Matthew Frost</v>
      </c>
      <c r="K4" s="17" t="str">
        <f t="array" ref="K4">iferror(XLOOKUP(A4,'Download of SFDC Activation Rep'!B:B,'Download of SFDC Activation Rep'!C:C),"")</f>
        <v>National Rural Health Association</v>
      </c>
      <c r="L4" s="18">
        <f t="array" ref="L4">iferror(XLOOKUP(A4,'Download of SFDC Activation Rep'!B:B,'Download of SFDC Activation Rep'!S:S),"")</f>
        <v>128.1</v>
      </c>
      <c r="M4" s="24">
        <f t="array" ref="M4">iferror(XLOOKUP(A4,'Download of SFDC Activation Rep'!B:B,'Download of SFDC Activation Rep'!Z:Z)+150,"")</f>
        <v>46111</v>
      </c>
      <c r="N4" s="24">
        <f t="array" ref="N4">iferror(XLOOKUP(A4,'Download of SFDC Activation Rep'!B:B,'Download of SFDC Activation Rep'!Y:Y),"")</f>
        <v>46013</v>
      </c>
      <c r="O4" s="19" t="s">
        <v>38</v>
      </c>
      <c r="P4" s="28">
        <f>P15/(3*Q3)</f>
        <v>18436255.13</v>
      </c>
      <c r="Q4" s="13">
        <f t="shared" si="3"/>
        <v>0.989010989</v>
      </c>
      <c r="U4" s="25">
        <f t="shared" si="2"/>
        <v>45962</v>
      </c>
    </row>
    <row r="5">
      <c r="F5" s="14"/>
      <c r="G5" s="13" t="str">
        <f t="array" ref="G5">iferror(XLOOKUP(A5,'Download of SFDC Activation Rep'!B:B,'Download of SFDC Activation Rep'!H:H),"")</f>
        <v>Active</v>
      </c>
      <c r="H5" s="13" t="str">
        <f t="array" ref="H5">iferror(xlookup(A5,'Download of SFDC Activation Rep'!B:B,'Download of SFDC Activation Rep'!L:L),"")</f>
        <v/>
      </c>
      <c r="I5" s="17" t="str">
        <f t="shared" si="1"/>
        <v>Active</v>
      </c>
      <c r="J5" s="17" t="str">
        <f t="array" ref="J5">iferror(XLOOKUP(A5,'Download of SFDC Activation Rep'!B:B,'Download of SFDC Activation Rep'!X:X),"")</f>
        <v>Arianna Modesti</v>
      </c>
      <c r="K5" s="17" t="str">
        <f t="array" ref="K5">iferror(XLOOKUP(A5,'Download of SFDC Activation Rep'!B:B,'Download of SFDC Activation Rep'!C:C),"")</f>
        <v>HTT Cardmax Company</v>
      </c>
      <c r="L5" s="18">
        <f t="array" ref="L5">iferror(XLOOKUP(A5,'Download of SFDC Activation Rep'!B:B,'Download of SFDC Activation Rep'!S:S),"")</f>
        <v>671.95</v>
      </c>
      <c r="M5" s="24">
        <f t="array" ref="M5">iferror(XLOOKUP(A5,'Download of SFDC Activation Rep'!B:B,'Download of SFDC Activation Rep'!Z:Z)+150,"")</f>
        <v>46347</v>
      </c>
      <c r="N5" s="24">
        <f t="array" ref="N5">iferror(XLOOKUP(A5,'Download of SFDC Activation Rep'!B:B,'Download of SFDC Activation Rep'!Y:Y),"")</f>
        <v>46361</v>
      </c>
      <c r="O5" s="19" t="s">
        <v>39</v>
      </c>
      <c r="P5" s="28">
        <f>P13/(3*Q3)</f>
        <v>24284.269</v>
      </c>
      <c r="U5" s="25">
        <f t="shared" si="2"/>
        <v>46204</v>
      </c>
    </row>
    <row r="6">
      <c r="F6" s="14"/>
      <c r="G6" s="13" t="str">
        <f t="array" ref="G6">iferror(XLOOKUP(A6,'Download of SFDC Activation Rep'!B:B,'Download of SFDC Activation Rep'!H:H),"")</f>
        <v>Active</v>
      </c>
      <c r="H6" s="13" t="str">
        <f t="array" ref="H6">iferror(xlookup(A6,'Download of SFDC Activation Rep'!B:B,'Download of SFDC Activation Rep'!L:L),"")</f>
        <v/>
      </c>
      <c r="I6" s="17" t="str">
        <f t="shared" si="1"/>
        <v>Active</v>
      </c>
      <c r="J6" s="17" t="str">
        <f t="array" ref="J6">iferror(XLOOKUP(A6,'Download of SFDC Activation Rep'!B:B,'Download of SFDC Activation Rep'!X:X),"")</f>
        <v>Matthew Frost</v>
      </c>
      <c r="K6" s="17" t="str">
        <f t="array" ref="K6">iferror(XLOOKUP(A6,'Download of SFDC Activation Rep'!B:B,'Download of SFDC Activation Rep'!C:C),"")</f>
        <v>Toland Construction - MO</v>
      </c>
      <c r="L6" s="18">
        <f t="array" ref="L6">iferror(XLOOKUP(A6,'Download of SFDC Activation Rep'!B:B,'Download of SFDC Activation Rep'!S:S),"")</f>
        <v>287</v>
      </c>
      <c r="M6" s="24">
        <f t="array" ref="M6">iferror(XLOOKUP(A6,'Download of SFDC Activation Rep'!B:B,'Download of SFDC Activation Rep'!Z:Z)+150,"")</f>
        <v>46031</v>
      </c>
      <c r="N6" s="24">
        <f t="array" ref="N6">iferror(XLOOKUP(A6,'Download of SFDC Activation Rep'!B:B,'Download of SFDC Activation Rep'!Y:Y),"")</f>
        <v>45889</v>
      </c>
      <c r="O6" s="26"/>
      <c r="P6" s="26"/>
      <c r="U6" s="25">
        <f t="shared" si="2"/>
        <v>45901</v>
      </c>
    </row>
    <row r="7">
      <c r="F7" s="14"/>
      <c r="G7" s="13" t="str">
        <f t="array" ref="G7">iferror(XLOOKUP(A7,'Download of SFDC Activation Rep'!B:B,'Download of SFDC Activation Rep'!H:H),"")</f>
        <v>Active</v>
      </c>
      <c r="H7" s="13" t="str">
        <f t="array" ref="H7">iferror(xlookup(A7,'Download of SFDC Activation Rep'!B:B,'Download of SFDC Activation Rep'!L:L),"")</f>
        <v/>
      </c>
      <c r="I7" s="17" t="str">
        <f t="shared" si="1"/>
        <v>Active</v>
      </c>
      <c r="J7" s="17" t="str">
        <f t="array" ref="J7">iferror(XLOOKUP(A7,'Download of SFDC Activation Rep'!B:B,'Download of SFDC Activation Rep'!X:X),"")</f>
        <v>Arianna Modesti</v>
      </c>
      <c r="K7" s="17" t="str">
        <f t="array" ref="K7">iferror(XLOOKUP(A7,'Download of SFDC Activation Rep'!B:B,'Download of SFDC Activation Rep'!C:C),"")</f>
        <v>DataLinks LLC</v>
      </c>
      <c r="L7" s="18">
        <f t="array" ref="L7">iferror(XLOOKUP(A7,'Download of SFDC Activation Rep'!B:B,'Download of SFDC Activation Rep'!S:S),"")</f>
        <v>315.9</v>
      </c>
      <c r="M7" s="24">
        <f t="array" ref="M7">iferror(XLOOKUP(A7,'Download of SFDC Activation Rep'!B:B,'Download of SFDC Activation Rep'!Z:Z)+150,"")</f>
        <v>46320</v>
      </c>
      <c r="N7" s="24">
        <f t="array" ref="N7">iferror(XLOOKUP(A7,'Download of SFDC Activation Rep'!B:B,'Download of SFDC Activation Rep'!Y:Y),"")</f>
        <v>46258</v>
      </c>
      <c r="O7" s="19" t="s">
        <v>40</v>
      </c>
      <c r="P7" s="28">
        <f>(P13/P1)/(3*Q3)</f>
        <v>144.5492202</v>
      </c>
      <c r="U7" s="25">
        <f t="shared" si="2"/>
        <v>46174</v>
      </c>
    </row>
    <row r="8">
      <c r="F8" s="14"/>
      <c r="G8" s="13" t="str">
        <f t="array" ref="G8">iferror(XLOOKUP(A8,'Download of SFDC Activation Rep'!B:B,'Download of SFDC Activation Rep'!H:H),"")</f>
        <v>Active</v>
      </c>
      <c r="H8" s="13" t="str">
        <f t="array" ref="H8">iferror(xlookup(A8,'Download of SFDC Activation Rep'!B:B,'Download of SFDC Activation Rep'!L:L),"")</f>
        <v/>
      </c>
      <c r="I8" s="17" t="str">
        <f t="shared" si="1"/>
        <v>Active</v>
      </c>
      <c r="J8" s="17" t="str">
        <f t="array" ref="J8">iferror(XLOOKUP(A8,'Download of SFDC Activation Rep'!B:B,'Download of SFDC Activation Rep'!X:X),"")</f>
        <v>Matthew Frost</v>
      </c>
      <c r="K8" s="17" t="str">
        <f t="array" ref="K8">iferror(XLOOKUP(A8,'Download of SFDC Activation Rep'!B:B,'Download of SFDC Activation Rep'!C:C),"")</f>
        <v>Hendersonville Community Co-Op</v>
      </c>
      <c r="L8" s="18">
        <f t="array" ref="L8">iferror(XLOOKUP(A8,'Download of SFDC Activation Rep'!B:B,'Download of SFDC Activation Rep'!S:S),"")</f>
        <v>171</v>
      </c>
      <c r="M8" s="24">
        <f t="array" ref="M8">iferror(XLOOKUP(A8,'Download of SFDC Activation Rep'!B:B,'Download of SFDC Activation Rep'!Z:Z)+150,"")</f>
        <v>46041</v>
      </c>
      <c r="N8" s="24">
        <f t="array" ref="N8">iferror(XLOOKUP(A8,'Download of SFDC Activation Rep'!B:B,'Download of SFDC Activation Rep'!Y:Y),"")</f>
        <v>46029</v>
      </c>
      <c r="O8" s="26"/>
      <c r="P8" s="26"/>
      <c r="U8" s="25">
        <f t="shared" si="2"/>
        <v>45901</v>
      </c>
    </row>
    <row r="9">
      <c r="F9" s="14"/>
      <c r="G9" s="13" t="str">
        <f t="array" ref="G9">iferror(XLOOKUP(A9,'Download of SFDC Activation Rep'!B:B,'Download of SFDC Activation Rep'!H:H),"")</f>
        <v>Active</v>
      </c>
      <c r="H9" s="13" t="str">
        <f t="array" ref="H9">iferror(xlookup(A9,'Download of SFDC Activation Rep'!B:B,'Download of SFDC Activation Rep'!L:L),"")</f>
        <v/>
      </c>
      <c r="I9" s="17" t="str">
        <f t="shared" si="1"/>
        <v>Active</v>
      </c>
      <c r="J9" s="17" t="str">
        <f t="array" ref="J9">iferror(XLOOKUP(A9,'Download of SFDC Activation Rep'!B:B,'Download of SFDC Activation Rep'!X:X),"")</f>
        <v>Kate Olivares</v>
      </c>
      <c r="K9" s="17" t="str">
        <f t="array" ref="K9">iferror(XLOOKUP(A9,'Download of SFDC Activation Rep'!B:B,'Download of SFDC Activation Rep'!C:C),"")</f>
        <v>Expert Semiconductor Technology, inc</v>
      </c>
      <c r="L9" s="18">
        <f t="array" ref="L9">iferror(XLOOKUP(A9,'Download of SFDC Activation Rep'!B:B,'Download of SFDC Activation Rep'!S:S),"")</f>
        <v>292.51</v>
      </c>
      <c r="M9" s="24">
        <f t="array" ref="M9">iferror(XLOOKUP(A9,'Download of SFDC Activation Rep'!B:B,'Download of SFDC Activation Rep'!Z:Z)+150,"")</f>
        <v>45968</v>
      </c>
      <c r="N9" s="24">
        <f t="array" ref="N9">iferror(XLOOKUP(A9,'Download of SFDC Activation Rep'!B:B,'Download of SFDC Activation Rep'!Y:Y),"")</f>
        <v>45859</v>
      </c>
      <c r="O9" s="19" t="s">
        <v>41</v>
      </c>
      <c r="P9" s="28">
        <f>P15/P1/(3*Q3)</f>
        <v>109739.6139</v>
      </c>
      <c r="U9" s="25">
        <f t="shared" si="2"/>
        <v>45839</v>
      </c>
    </row>
    <row r="10">
      <c r="F10" s="14"/>
      <c r="G10" s="13" t="str">
        <f t="array" ref="G10">iferror(XLOOKUP(A10,'Download of SFDC Activation Rep'!B:B,'Download of SFDC Activation Rep'!H:H),"")</f>
        <v>Active</v>
      </c>
      <c r="H10" s="13" t="str">
        <f t="array" ref="H10">iferror(xlookup(A10,'Download of SFDC Activation Rep'!B:B,'Download of SFDC Activation Rep'!L:L),"")</f>
        <v/>
      </c>
      <c r="I10" s="17" t="str">
        <f t="shared" si="1"/>
        <v>Active</v>
      </c>
      <c r="J10" s="17" t="str">
        <f t="array" ref="J10">iferror(XLOOKUP(A10,'Download of SFDC Activation Rep'!B:B,'Download of SFDC Activation Rep'!X:X),"")</f>
        <v>Rudy Maestas</v>
      </c>
      <c r="K10" s="17" t="str">
        <f t="array" ref="K10">iferror(XLOOKUP(A10,'Download of SFDC Activation Rep'!B:B,'Download of SFDC Activation Rep'!C:C),"")</f>
        <v>megg mining llc</v>
      </c>
      <c r="L10" s="18">
        <f t="array" ref="L10">iferror(XLOOKUP(A10,'Download of SFDC Activation Rep'!B:B,'Download of SFDC Activation Rep'!S:S),"")</f>
        <v>665</v>
      </c>
      <c r="M10" s="24">
        <f t="array" ref="M10">iferror(XLOOKUP(A10,'Download of SFDC Activation Rep'!B:B,'Download of SFDC Activation Rep'!Z:Z)+150,"")</f>
        <v>46074</v>
      </c>
      <c r="N10" s="24">
        <f t="array" ref="N10">iferror(XLOOKUP(A10,'Download of SFDC Activation Rep'!B:B,'Download of SFDC Activation Rep'!Y:Y),"")</f>
        <v>46055</v>
      </c>
      <c r="O10" s="26"/>
      <c r="P10" s="26"/>
      <c r="U10" s="25">
        <f t="shared" si="2"/>
        <v>45931</v>
      </c>
    </row>
    <row r="11">
      <c r="F11" s="14"/>
      <c r="G11" s="13" t="str">
        <f t="array" ref="G11">iferror(XLOOKUP(A11,'Download of SFDC Activation Rep'!B:B,'Download of SFDC Activation Rep'!H:H),"")</f>
        <v>Active</v>
      </c>
      <c r="H11" s="13" t="str">
        <f t="array" ref="H11">iferror(xlookup(A11,'Download of SFDC Activation Rep'!B:B,'Download of SFDC Activation Rep'!L:L),"")</f>
        <v>Active</v>
      </c>
      <c r="I11" s="17" t="str">
        <f t="shared" si="1"/>
        <v>Active</v>
      </c>
      <c r="J11" s="17" t="str">
        <f t="array" ref="J11">iferror(XLOOKUP(A11,'Download of SFDC Activation Rep'!B:B,'Download of SFDC Activation Rep'!X:X),"")</f>
        <v>Matthew Frost</v>
      </c>
      <c r="K11" s="17" t="str">
        <f t="array" ref="K11">iferror(XLOOKUP(A11,'Download of SFDC Activation Rep'!B:B,'Download of SFDC Activation Rep'!C:C),"")</f>
        <v>Scale Foundations Inc.</v>
      </c>
      <c r="L11" s="18">
        <f t="array" ref="L11">iferror(XLOOKUP(A11,'Download of SFDC Activation Rep'!B:B,'Download of SFDC Activation Rep'!S:S),"")</f>
        <v>312.17</v>
      </c>
      <c r="M11" s="24">
        <f t="array" ref="M11">iferror(XLOOKUP(A11,'Download of SFDC Activation Rep'!B:B,'Download of SFDC Activation Rep'!Z:Z)+150,"")</f>
        <v>46178</v>
      </c>
      <c r="N11" s="24">
        <f t="array" ref="N11">iferror(XLOOKUP(A11,'Download of SFDC Activation Rep'!B:B,'Download of SFDC Activation Rep'!Y:Y),"")</f>
        <v>46086</v>
      </c>
      <c r="U11" s="25">
        <f t="shared" si="2"/>
        <v>46054</v>
      </c>
    </row>
    <row r="12">
      <c r="F12" s="14"/>
      <c r="G12" s="13" t="str">
        <f t="array" ref="G12">iferror(XLOOKUP(A12,'Download of SFDC Activation Rep'!B:B,'Download of SFDC Activation Rep'!H:H),"")</f>
        <v>Active</v>
      </c>
      <c r="H12" s="13" t="str">
        <f t="array" ref="H12">iferror(xlookup(A12,'Download of SFDC Activation Rep'!B:B,'Download of SFDC Activation Rep'!L:L),"")</f>
        <v/>
      </c>
      <c r="I12" s="17" t="str">
        <f t="shared" si="1"/>
        <v>Active</v>
      </c>
      <c r="J12" s="17" t="str">
        <f t="array" ref="J12">iferror(XLOOKUP(A12,'Download of SFDC Activation Rep'!B:B,'Download of SFDC Activation Rep'!X:X),"")</f>
        <v>Arianna Modesti</v>
      </c>
      <c r="K12" s="17" t="str">
        <f t="array" ref="K12">iferror(XLOOKUP(A12,'Download of SFDC Activation Rep'!B:B,'Download of SFDC Activation Rep'!C:C),"")</f>
        <v>Kloris LLC</v>
      </c>
      <c r="L12" s="18">
        <f t="array" ref="L12">iferror(XLOOKUP(A12,'Download of SFDC Activation Rep'!B:B,'Download of SFDC Activation Rep'!S:S),"")</f>
        <v>385</v>
      </c>
      <c r="M12" s="24">
        <f t="array" ref="M12">iferror(XLOOKUP(A12,'Download of SFDC Activation Rep'!B:B,'Download of SFDC Activation Rep'!Z:Z)+150,"")</f>
        <v>46286</v>
      </c>
      <c r="N12" s="24">
        <f t="array" ref="N12">iferror(XLOOKUP(A12,'Download of SFDC Activation Rep'!B:B,'Download of SFDC Activation Rep'!Y:Y),"")</f>
        <v>46244</v>
      </c>
      <c r="U12" s="25">
        <f t="shared" si="2"/>
        <v>46143</v>
      </c>
    </row>
    <row r="13">
      <c r="F13" s="14"/>
      <c r="G13" s="13" t="str">
        <f t="array" ref="G13">iferror(XLOOKUP(A13,'Download of SFDC Activation Rep'!B:B,'Download of SFDC Activation Rep'!H:H),"")</f>
        <v>Active</v>
      </c>
      <c r="H13" s="13" t="str">
        <f t="array" ref="H13">iferror(xlookup(A13,'Download of SFDC Activation Rep'!B:B,'Download of SFDC Activation Rep'!L:L),"")</f>
        <v/>
      </c>
      <c r="I13" s="17" t="str">
        <f t="shared" si="1"/>
        <v>Active</v>
      </c>
      <c r="J13" s="17" t="str">
        <f t="array" ref="J13">iferror(XLOOKUP(A13,'Download of SFDC Activation Rep'!B:B,'Download of SFDC Activation Rep'!X:X),"")</f>
        <v>Kate Olivares</v>
      </c>
      <c r="K13" s="17" t="str">
        <f t="array" ref="K13">iferror(XLOOKUP(A13,'Download of SFDC Activation Rep'!B:B,'Download of SFDC Activation Rep'!C:C),"")</f>
        <v>Liberty Land Management LLC</v>
      </c>
      <c r="L13" s="18">
        <f t="array" ref="L13">iferror(XLOOKUP(A13,'Download of SFDC Activation Rep'!B:B,'Download of SFDC Activation Rep'!S:S),"")</f>
        <v>0</v>
      </c>
      <c r="M13" s="24">
        <f t="array" ref="M13">iferror(XLOOKUP(A13,'Download of SFDC Activation Rep'!B:B,'Download of SFDC Activation Rep'!Z:Z)+150,"")</f>
        <v>46124</v>
      </c>
      <c r="N13" s="24">
        <f t="array" ref="N13">iferror(XLOOKUP(A13,'Download of SFDC Activation Rep'!B:B,'Download of SFDC Activation Rep'!Y:Y),"")</f>
        <v>45933</v>
      </c>
      <c r="O13" s="29" t="s">
        <v>42</v>
      </c>
      <c r="P13" s="30">
        <f>SUM(B:B)</f>
        <v>72052.2267</v>
      </c>
      <c r="U13" s="25">
        <f t="shared" si="2"/>
        <v>45992</v>
      </c>
    </row>
    <row r="14">
      <c r="F14" s="14"/>
      <c r="G14" s="13" t="str">
        <f t="array" ref="G14">iferror(XLOOKUP(A14,'Download of SFDC Activation Rep'!B:B,'Download of SFDC Activation Rep'!H:H),"")</f>
        <v>Active</v>
      </c>
      <c r="H14" s="13" t="str">
        <f t="array" ref="H14">iferror(xlookup(A14,'Download of SFDC Activation Rep'!B:B,'Download of SFDC Activation Rep'!L:L),"")</f>
        <v/>
      </c>
      <c r="I14" s="17" t="str">
        <f t="shared" si="1"/>
        <v>Active</v>
      </c>
      <c r="J14" s="17" t="str">
        <f t="array" ref="J14">iferror(XLOOKUP(A14,'Download of SFDC Activation Rep'!B:B,'Download of SFDC Activation Rep'!X:X),"")</f>
        <v>Kate Olivares</v>
      </c>
      <c r="K14" s="17" t="str">
        <f t="array" ref="K14">iferror(XLOOKUP(A14,'Download of SFDC Activation Rep'!B:B,'Download of SFDC Activation Rep'!C:C),"")</f>
        <v>United Home Care LLC</v>
      </c>
      <c r="L14" s="18">
        <f t="array" ref="L14">iferror(XLOOKUP(A14,'Download of SFDC Activation Rep'!B:B,'Download of SFDC Activation Rep'!S:S),"")</f>
        <v>96.47</v>
      </c>
      <c r="M14" s="24">
        <f t="array" ref="M14">iferror(XLOOKUP(A14,'Download of SFDC Activation Rep'!B:B,'Download of SFDC Activation Rep'!Z:Z)+150,"")</f>
        <v>45989</v>
      </c>
      <c r="N14" s="24">
        <f t="array" ref="N14">iferror(XLOOKUP(A14,'Download of SFDC Activation Rep'!B:B,'Download of SFDC Activation Rep'!Y:Y),"")</f>
        <v>45841</v>
      </c>
      <c r="U14" s="25">
        <f t="shared" si="2"/>
        <v>45839</v>
      </c>
    </row>
    <row r="15">
      <c r="F15" s="14"/>
      <c r="G15" s="13" t="str">
        <f t="array" ref="G15">iferror(XLOOKUP(A15,'Download of SFDC Activation Rep'!B:B,'Download of SFDC Activation Rep'!H:H),"")</f>
        <v>Active</v>
      </c>
      <c r="H15" s="13" t="str">
        <f t="array" ref="H15">iferror(xlookup(A15,'Download of SFDC Activation Rep'!B:B,'Download of SFDC Activation Rep'!L:L),"")</f>
        <v/>
      </c>
      <c r="I15" s="17" t="str">
        <f t="shared" si="1"/>
        <v>Active</v>
      </c>
      <c r="J15" s="17" t="str">
        <f t="array" ref="J15">iferror(XLOOKUP(A15,'Download of SFDC Activation Rep'!B:B,'Download of SFDC Activation Rep'!X:X),"")</f>
        <v>Arianna Modesti</v>
      </c>
      <c r="K15" s="17" t="str">
        <f t="array" ref="K15">iferror(XLOOKUP(A15,'Download of SFDC Activation Rep'!B:B,'Download of SFDC Activation Rep'!C:C),"")</f>
        <v>Naz Apparel</v>
      </c>
      <c r="L15" s="18">
        <f t="array" ref="L15">iferror(XLOOKUP(A15,'Download of SFDC Activation Rep'!B:B,'Download of SFDC Activation Rep'!S:S),"")</f>
        <v>452.7</v>
      </c>
      <c r="M15" s="24">
        <f t="array" ref="M15">iferror(XLOOKUP(A15,'Download of SFDC Activation Rep'!B:B,'Download of SFDC Activation Rep'!Z:Z)+150,"")</f>
        <v>46347</v>
      </c>
      <c r="N15" s="24">
        <f t="array" ref="N15">iferror(XLOOKUP(A15,'Download of SFDC Activation Rep'!B:B,'Download of SFDC Activation Rep'!Y:Y),"")</f>
        <v>46361</v>
      </c>
      <c r="O15" s="29" t="s">
        <v>43</v>
      </c>
      <c r="P15" s="30">
        <f>SUM(D:D)</f>
        <v>54700976.75</v>
      </c>
      <c r="U15" s="25">
        <f t="shared" si="2"/>
        <v>46204</v>
      </c>
    </row>
    <row r="16">
      <c r="F16" s="14"/>
      <c r="G16" s="13" t="str">
        <f t="array" ref="G16">iferror(XLOOKUP(A16,'Download of SFDC Activation Rep'!B:B,'Download of SFDC Activation Rep'!H:H),"")</f>
        <v>Active</v>
      </c>
      <c r="H16" s="13" t="str">
        <f t="array" ref="H16">iferror(xlookup(A16,'Download of SFDC Activation Rep'!B:B,'Download of SFDC Activation Rep'!L:L),"")</f>
        <v/>
      </c>
      <c r="I16" s="17" t="str">
        <f t="shared" si="1"/>
        <v>Active</v>
      </c>
      <c r="J16" s="17" t="str">
        <f t="array" ref="J16">iferror(XLOOKUP(A16,'Download of SFDC Activation Rep'!B:B,'Download of SFDC Activation Rep'!X:X),"")</f>
        <v>Kate Olivares</v>
      </c>
      <c r="K16" s="17" t="str">
        <f t="array" ref="K16">iferror(XLOOKUP(A16,'Download of SFDC Activation Rep'!B:B,'Download of SFDC Activation Rep'!C:C),"")</f>
        <v>CDT Construction</v>
      </c>
      <c r="L16" s="18">
        <f t="array" ref="L16">iferror(XLOOKUP(A16,'Download of SFDC Activation Rep'!B:B,'Download of SFDC Activation Rep'!S:S),"")</f>
        <v>338.01</v>
      </c>
      <c r="M16" s="24">
        <f t="array" ref="M16">iferror(XLOOKUP(A16,'Download of SFDC Activation Rep'!B:B,'Download of SFDC Activation Rep'!Z:Z)+150,"")</f>
        <v>45989</v>
      </c>
      <c r="N16" s="24">
        <f t="array" ref="N16">iferror(XLOOKUP(A16,'Download of SFDC Activation Rep'!B:B,'Download of SFDC Activation Rep'!Y:Y),"")</f>
        <v>45877</v>
      </c>
      <c r="U16" s="25">
        <f t="shared" si="2"/>
        <v>45839</v>
      </c>
    </row>
    <row r="17">
      <c r="F17" s="14"/>
      <c r="G17" s="13" t="str">
        <f t="array" ref="G17">iferror(XLOOKUP(A17,'Download of SFDC Activation Rep'!B:B,'Download of SFDC Activation Rep'!H:H),"")</f>
        <v>Active</v>
      </c>
      <c r="H17" s="13" t="str">
        <f t="array" ref="H17">iferror(xlookup(A17,'Download of SFDC Activation Rep'!B:B,'Download of SFDC Activation Rep'!L:L),"")</f>
        <v/>
      </c>
      <c r="I17" s="17" t="str">
        <f t="shared" si="1"/>
        <v>Active</v>
      </c>
      <c r="J17" s="17" t="str">
        <f t="array" ref="J17">iferror(XLOOKUP(A17,'Download of SFDC Activation Rep'!B:B,'Download of SFDC Activation Rep'!X:X),"")</f>
        <v>Matthew Frost</v>
      </c>
      <c r="K17" s="17" t="str">
        <f t="array" ref="K17">iferror(XLOOKUP(A17,'Download of SFDC Activation Rep'!B:B,'Download of SFDC Activation Rep'!C:C),"")</f>
        <v>Kenneth Adam Designs</v>
      </c>
      <c r="L17" s="18">
        <f t="array" ref="L17">iferror(XLOOKUP(A17,'Download of SFDC Activation Rep'!B:B,'Download of SFDC Activation Rep'!S:S),"")</f>
        <v>435</v>
      </c>
      <c r="M17" s="24">
        <f t="array" ref="M17">iferror(XLOOKUP(A17,'Download of SFDC Activation Rep'!B:B,'Download of SFDC Activation Rep'!Z:Z)+150,"")</f>
        <v>46177</v>
      </c>
      <c r="N17" s="24">
        <f t="array" ref="N17">iferror(XLOOKUP(A17,'Download of SFDC Activation Rep'!B:B,'Download of SFDC Activation Rep'!Y:Y),"")</f>
        <v>46043</v>
      </c>
      <c r="U17" s="25">
        <f t="shared" si="2"/>
        <v>46054</v>
      </c>
    </row>
    <row r="18">
      <c r="F18" s="14"/>
      <c r="G18" s="13" t="str">
        <f t="array" ref="G18">iferror(XLOOKUP(A18,'Download of SFDC Activation Rep'!B:B,'Download of SFDC Activation Rep'!H:H),"")</f>
        <v>Active</v>
      </c>
      <c r="H18" s="13" t="str">
        <f t="array" ref="H18">iferror(xlookup(A18,'Download of SFDC Activation Rep'!B:B,'Download of SFDC Activation Rep'!L:L),"")</f>
        <v/>
      </c>
      <c r="I18" s="17" t="str">
        <f t="shared" si="1"/>
        <v>Active</v>
      </c>
      <c r="J18" s="17" t="str">
        <f t="array" ref="J18">iferror(XLOOKUP(A18,'Download of SFDC Activation Rep'!B:B,'Download of SFDC Activation Rep'!X:X),"")</f>
        <v>Matthew Frost</v>
      </c>
      <c r="K18" s="17" t="str">
        <f t="array" ref="K18">iferror(XLOOKUP(A18,'Download of SFDC Activation Rep'!B:B,'Download of SFDC Activation Rep'!C:C),"")</f>
        <v>St George Spirits</v>
      </c>
      <c r="L18" s="18">
        <f t="array" ref="L18">iferror(XLOOKUP(A18,'Download of SFDC Activation Rep'!B:B,'Download of SFDC Activation Rep'!S:S),"")</f>
        <v>280.89</v>
      </c>
      <c r="M18" s="24">
        <f t="array" ref="M18">iferror(XLOOKUP(A18,'Download of SFDC Activation Rep'!B:B,'Download of SFDC Activation Rep'!Z:Z)+150,"")</f>
        <v>46208</v>
      </c>
      <c r="N18" s="24">
        <f t="array" ref="N18">iferror(XLOOKUP(A18,'Download of SFDC Activation Rep'!B:B,'Download of SFDC Activation Rep'!Y:Y),"")</f>
        <v>46118</v>
      </c>
      <c r="O18" s="29" t="s">
        <v>44</v>
      </c>
      <c r="P18" s="30">
        <f>MEDIAN(E2:E1000)</f>
        <v>23535.25167</v>
      </c>
      <c r="U18" s="25">
        <f t="shared" si="2"/>
        <v>46082</v>
      </c>
    </row>
    <row r="19">
      <c r="F19" s="14"/>
      <c r="G19" s="13" t="str">
        <f t="array" ref="G19">iferror(XLOOKUP(A19,'Download of SFDC Activation Rep'!B:B,'Download of SFDC Activation Rep'!H:H),"")</f>
        <v>Active</v>
      </c>
      <c r="H19" s="13" t="str">
        <f t="array" ref="H19">iferror(xlookup(A19,'Download of SFDC Activation Rep'!B:B,'Download of SFDC Activation Rep'!L:L),"")</f>
        <v/>
      </c>
      <c r="I19" s="17" t="str">
        <f t="shared" si="1"/>
        <v>Active</v>
      </c>
      <c r="J19" s="17" t="str">
        <f t="array" ref="J19">iferror(XLOOKUP(A19,'Download of SFDC Activation Rep'!B:B,'Download of SFDC Activation Rep'!X:X),"")</f>
        <v>Matthew Frost</v>
      </c>
      <c r="K19" s="17" t="str">
        <f t="array" ref="K19">iferror(XLOOKUP(A19,'Download of SFDC Activation Rep'!B:B,'Download of SFDC Activation Rep'!C:C),"")</f>
        <v>Abecca Grace, LLC</v>
      </c>
      <c r="L19" s="18">
        <f t="array" ref="L19">iferror(XLOOKUP(A19,'Download of SFDC Activation Rep'!B:B,'Download of SFDC Activation Rep'!S:S),"")</f>
        <v>0</v>
      </c>
      <c r="M19" s="24">
        <f t="array" ref="M19">iferror(XLOOKUP(A19,'Download of SFDC Activation Rep'!B:B,'Download of SFDC Activation Rep'!Z:Z)+150,"")</f>
        <v>46248</v>
      </c>
      <c r="N19" s="24">
        <f t="array" ref="N19">iferror(XLOOKUP(A19,'Download of SFDC Activation Rep'!B:B,'Download of SFDC Activation Rep'!Y:Y),"")</f>
        <v>46141</v>
      </c>
      <c r="O19" s="29" t="s">
        <v>45</v>
      </c>
      <c r="P19" s="30">
        <f>MEDIAN(C2:C1000)</f>
        <v>56.9073</v>
      </c>
      <c r="U19" s="25">
        <f t="shared" si="2"/>
        <v>46113</v>
      </c>
    </row>
    <row r="20">
      <c r="F20" s="14"/>
      <c r="G20" s="13" t="str">
        <f t="array" ref="G20">iferror(XLOOKUP(A20,'Download of SFDC Activation Rep'!B:B,'Download of SFDC Activation Rep'!H:H),"")</f>
        <v>Active</v>
      </c>
      <c r="H20" s="13" t="str">
        <f t="array" ref="H20">iferror(xlookup(A20,'Download of SFDC Activation Rep'!B:B,'Download of SFDC Activation Rep'!L:L),"")</f>
        <v/>
      </c>
      <c r="I20" s="17" t="str">
        <f t="shared" si="1"/>
        <v>Active</v>
      </c>
      <c r="J20" s="17" t="str">
        <f t="array" ref="J20">iferror(XLOOKUP(A20,'Download of SFDC Activation Rep'!B:B,'Download of SFDC Activation Rep'!X:X),"")</f>
        <v>Matthew Frost</v>
      </c>
      <c r="K20" s="17" t="str">
        <f t="array" ref="K20">iferror(XLOOKUP(A20,'Download of SFDC Activation Rep'!B:B,'Download of SFDC Activation Rep'!C:C),"")</f>
        <v>MJDII Architects, Inc.</v>
      </c>
      <c r="L20" s="18">
        <f t="array" ref="L20">iferror(XLOOKUP(A20,'Download of SFDC Activation Rep'!B:B,'Download of SFDC Activation Rep'!S:S),"")</f>
        <v>72.7</v>
      </c>
      <c r="M20" s="24">
        <f t="array" ref="M20">iferror(XLOOKUP(A20,'Download of SFDC Activation Rep'!B:B,'Download of SFDC Activation Rep'!Z:Z)+150,"")</f>
        <v>46157</v>
      </c>
      <c r="N20" s="24">
        <f t="array" ref="N20">iferror(XLOOKUP(A20,'Download of SFDC Activation Rep'!B:B,'Download of SFDC Activation Rep'!Y:Y),"")</f>
        <v>46007</v>
      </c>
      <c r="U20" s="25">
        <f t="shared" si="2"/>
        <v>46023</v>
      </c>
    </row>
    <row r="21">
      <c r="F21" s="14"/>
      <c r="G21" s="13" t="str">
        <f t="array" ref="G21">iferror(XLOOKUP(A21,'Download of SFDC Activation Rep'!B:B,'Download of SFDC Activation Rep'!H:H),"")</f>
        <v>Active</v>
      </c>
      <c r="H21" s="13" t="str">
        <f t="array" ref="H21">iferror(xlookup(A21,'Download of SFDC Activation Rep'!B:B,'Download of SFDC Activation Rep'!L:L),"")</f>
        <v/>
      </c>
      <c r="I21" s="17" t="str">
        <f t="shared" si="1"/>
        <v>Active</v>
      </c>
      <c r="J21" s="17" t="str">
        <f t="array" ref="J21">iferror(XLOOKUP(A21,'Download of SFDC Activation Rep'!B:B,'Download of SFDC Activation Rep'!X:X),"")</f>
        <v>Arianna Modesti</v>
      </c>
      <c r="K21" s="17" t="str">
        <f t="array" ref="K21">iferror(XLOOKUP(A21,'Download of SFDC Activation Rep'!B:B,'Download of SFDC Activation Rep'!C:C),"")</f>
        <v>Brian Schmidt Builder</v>
      </c>
      <c r="L21" s="18">
        <f t="array" ref="L21">iferror(XLOOKUP(A21,'Download of SFDC Activation Rep'!B:B,'Download of SFDC Activation Rep'!S:S),"")</f>
        <v>316.95</v>
      </c>
      <c r="M21" s="24">
        <f t="array" ref="M21">iferror(XLOOKUP(A21,'Download of SFDC Activation Rep'!B:B,'Download of SFDC Activation Rep'!Z:Z)+150,"")</f>
        <v>46242</v>
      </c>
      <c r="N21" s="24">
        <f t="array" ref="N21">iferror(XLOOKUP(A21,'Download of SFDC Activation Rep'!B:B,'Download of SFDC Activation Rep'!Y:Y),"")</f>
        <v>46132</v>
      </c>
      <c r="U21" s="25">
        <f t="shared" si="2"/>
        <v>46113</v>
      </c>
    </row>
    <row r="22">
      <c r="F22" s="14"/>
      <c r="G22" s="13" t="str">
        <f t="array" ref="G22">iferror(XLOOKUP(A22,'Download of SFDC Activation Rep'!B:B,'Download of SFDC Activation Rep'!H:H),"")</f>
        <v>Active</v>
      </c>
      <c r="H22" s="13" t="str">
        <f t="array" ref="H22">iferror(xlookup(A22,'Download of SFDC Activation Rep'!B:B,'Download of SFDC Activation Rep'!L:L),"")</f>
        <v/>
      </c>
      <c r="I22" s="17" t="str">
        <f t="shared" si="1"/>
        <v>Active</v>
      </c>
      <c r="J22" s="17" t="str">
        <f t="array" ref="J22">iferror(XLOOKUP(A22,'Download of SFDC Activation Rep'!B:B,'Download of SFDC Activation Rep'!X:X),"")</f>
        <v>Arianna Modesti</v>
      </c>
      <c r="K22" s="17" t="str">
        <f t="array" ref="K22">iferror(XLOOKUP(A22,'Download of SFDC Activation Rep'!B:B,'Download of SFDC Activation Rep'!C:C),"")</f>
        <v>Landa Cleary Travel Co. Inc. D.B.A. Mater Dei Tours</v>
      </c>
      <c r="L22" s="18">
        <f t="array" ref="L22">iferror(XLOOKUP(A22,'Download of SFDC Activation Rep'!B:B,'Download of SFDC Activation Rep'!S:S),"")</f>
        <v>281.77</v>
      </c>
      <c r="M22" s="24">
        <f t="array" ref="M22">iferror(XLOOKUP(A22,'Download of SFDC Activation Rep'!B:B,'Download of SFDC Activation Rep'!Z:Z)+150,"")</f>
        <v>46263</v>
      </c>
      <c r="N22" s="24">
        <f t="array" ref="N22">iferror(XLOOKUP(A22,'Download of SFDC Activation Rep'!B:B,'Download of SFDC Activation Rep'!Y:Y),"")</f>
        <v>46237</v>
      </c>
      <c r="O22" s="14"/>
      <c r="U22" s="25">
        <f t="shared" si="2"/>
        <v>46113</v>
      </c>
    </row>
    <row r="23">
      <c r="F23" s="14"/>
      <c r="G23" s="13" t="str">
        <f t="array" ref="G23">iferror(XLOOKUP(A23,'Download of SFDC Activation Rep'!B:B,'Download of SFDC Activation Rep'!H:H),"")</f>
        <v>Active</v>
      </c>
      <c r="H23" s="13" t="str">
        <f t="array" ref="H23">iferror(xlookup(A23,'Download of SFDC Activation Rep'!B:B,'Download of SFDC Activation Rep'!L:L),"")</f>
        <v/>
      </c>
      <c r="I23" s="17" t="str">
        <f t="shared" si="1"/>
        <v>Active</v>
      </c>
      <c r="J23" s="17" t="str">
        <f t="array" ref="J23">iferror(XLOOKUP(A23,'Download of SFDC Activation Rep'!B:B,'Download of SFDC Activation Rep'!X:X),"")</f>
        <v>Kate Olivares</v>
      </c>
      <c r="K23" s="17" t="str">
        <f t="array" ref="K23">iferror(XLOOKUP(A23,'Download of SFDC Activation Rep'!B:B,'Download of SFDC Activation Rep'!C:C),"")</f>
        <v>H&amp;H Auto Parts LLC</v>
      </c>
      <c r="L23" s="18">
        <f t="array" ref="L23">iferror(XLOOKUP(A23,'Download of SFDC Activation Rep'!B:B,'Download of SFDC Activation Rep'!S:S),"")</f>
        <v>423.9</v>
      </c>
      <c r="M23" s="24">
        <f t="array" ref="M23">iferror(XLOOKUP(A23,'Download of SFDC Activation Rep'!B:B,'Download of SFDC Activation Rep'!Z:Z)+150,"")</f>
        <v>46111</v>
      </c>
      <c r="N23" s="24">
        <f t="array" ref="N23">iferror(XLOOKUP(A23,'Download of SFDC Activation Rep'!B:B,'Download of SFDC Activation Rep'!Y:Y),"")</f>
        <v>46013</v>
      </c>
      <c r="U23" s="25">
        <f t="shared" si="2"/>
        <v>45962</v>
      </c>
    </row>
    <row r="24">
      <c r="F24" s="14"/>
      <c r="G24" s="13" t="str">
        <f t="array" ref="G24">iferror(XLOOKUP(A24,'Download of SFDC Activation Rep'!B:B,'Download of SFDC Activation Rep'!H:H),"")</f>
        <v>Active</v>
      </c>
      <c r="H24" s="13" t="str">
        <f t="array" ref="H24">iferror(xlookup(A24,'Download of SFDC Activation Rep'!B:B,'Download of SFDC Activation Rep'!L:L),"")</f>
        <v/>
      </c>
      <c r="I24" s="17" t="str">
        <f t="shared" si="1"/>
        <v>Active</v>
      </c>
      <c r="J24" s="17" t="str">
        <f t="array" ref="J24">iferror(XLOOKUP(A24,'Download of SFDC Activation Rep'!B:B,'Download of SFDC Activation Rep'!X:X),"")</f>
        <v>Matthew Frost</v>
      </c>
      <c r="K24" s="17" t="str">
        <f t="array" ref="K24">iferror(XLOOKUP(A24,'Download of SFDC Activation Rep'!B:B,'Download of SFDC Activation Rep'!C:C),"")</f>
        <v>Shree Satya Sai LLC</v>
      </c>
      <c r="L24" s="18">
        <f t="array" ref="L24">iferror(XLOOKUP(A24,'Download of SFDC Activation Rep'!B:B,'Download of SFDC Activation Rep'!S:S),"")</f>
        <v>35</v>
      </c>
      <c r="M24" s="24">
        <f t="array" ref="M24">iferror(XLOOKUP(A24,'Download of SFDC Activation Rep'!B:B,'Download of SFDC Activation Rep'!Z:Z)+150,"")</f>
        <v>46270</v>
      </c>
      <c r="N24" s="24">
        <f t="array" ref="N24">iferror(XLOOKUP(A24,'Download of SFDC Activation Rep'!B:B,'Download of SFDC Activation Rep'!Y:Y),"")</f>
        <v>46147</v>
      </c>
      <c r="U24" s="25">
        <f t="shared" si="2"/>
        <v>46143</v>
      </c>
    </row>
    <row r="25">
      <c r="F25" s="14"/>
      <c r="G25" s="13" t="str">
        <f t="array" ref="G25">iferror(XLOOKUP(A25,'Download of SFDC Activation Rep'!B:B,'Download of SFDC Activation Rep'!H:H),"")</f>
        <v>Active</v>
      </c>
      <c r="H25" s="13" t="str">
        <f t="array" ref="H25">iferror(xlookup(A25,'Download of SFDC Activation Rep'!B:B,'Download of SFDC Activation Rep'!L:L),"")</f>
        <v/>
      </c>
      <c r="I25" s="17" t="str">
        <f t="shared" si="1"/>
        <v>Active</v>
      </c>
      <c r="J25" s="17" t="str">
        <f t="array" ref="J25">iferror(XLOOKUP(A25,'Download of SFDC Activation Rep'!B:B,'Download of SFDC Activation Rep'!X:X),"")</f>
        <v>Kate Olivares</v>
      </c>
      <c r="K25" s="17" t="str">
        <f t="array" ref="K25">iferror(XLOOKUP(A25,'Download of SFDC Activation Rep'!B:B,'Download of SFDC Activation Rep'!C:C),"")</f>
        <v>GK Truckline</v>
      </c>
      <c r="L25" s="18">
        <f t="array" ref="L25">iferror(XLOOKUP(A25,'Download of SFDC Activation Rep'!B:B,'Download of SFDC Activation Rep'!S:S),"")</f>
        <v>461.94</v>
      </c>
      <c r="M25" s="24">
        <f t="array" ref="M25">iferror(XLOOKUP(A25,'Download of SFDC Activation Rep'!B:B,'Download of SFDC Activation Rep'!Z:Z)+150,"")</f>
        <v>46305</v>
      </c>
      <c r="N25" s="24">
        <f t="array" ref="N25">iferror(XLOOKUP(A25,'Download of SFDC Activation Rep'!B:B,'Download of SFDC Activation Rep'!Y:Y),"")</f>
        <v>46286</v>
      </c>
      <c r="U25" s="25">
        <f t="shared" si="2"/>
        <v>46174</v>
      </c>
    </row>
    <row r="26">
      <c r="F26" s="14"/>
      <c r="G26" s="13" t="str">
        <f t="array" ref="G26">iferror(XLOOKUP(A26,'Download of SFDC Activation Rep'!B:B,'Download of SFDC Activation Rep'!H:H),"")</f>
        <v>Active</v>
      </c>
      <c r="H26" s="13" t="str">
        <f t="array" ref="H26">iferror(xlookup(A26,'Download of SFDC Activation Rep'!B:B,'Download of SFDC Activation Rep'!L:L),"")</f>
        <v/>
      </c>
      <c r="I26" s="17" t="str">
        <f t="shared" si="1"/>
        <v>Active</v>
      </c>
      <c r="J26" s="17" t="str">
        <f t="array" ref="J26">iferror(XLOOKUP(A26,'Download of SFDC Activation Rep'!B:B,'Download of SFDC Activation Rep'!X:X),"")</f>
        <v>Matthew Frost</v>
      </c>
      <c r="K26" s="17" t="str">
        <f t="array" ref="K26">iferror(XLOOKUP(A26,'Download of SFDC Activation Rep'!B:B,'Download of SFDC Activation Rep'!C:C),"")</f>
        <v>Protagenic Therapeutics, Inc.</v>
      </c>
      <c r="L26" s="18">
        <f t="array" ref="L26">iferror(XLOOKUP(A26,'Download of SFDC Activation Rep'!B:B,'Download of SFDC Activation Rep'!S:S),"")</f>
        <v>147.7</v>
      </c>
      <c r="M26" s="24">
        <f t="array" ref="M26">iferror(XLOOKUP(A26,'Download of SFDC Activation Rep'!B:B,'Download of SFDC Activation Rep'!Z:Z)+150,"")</f>
        <v>46110</v>
      </c>
      <c r="N26" s="24">
        <f t="array" ref="N26">iferror(XLOOKUP(A26,'Download of SFDC Activation Rep'!B:B,'Download of SFDC Activation Rep'!Y:Y),"")</f>
        <v>46006</v>
      </c>
      <c r="O26" s="31"/>
      <c r="U26" s="25">
        <f t="shared" si="2"/>
        <v>45962</v>
      </c>
    </row>
    <row r="27">
      <c r="F27" s="14"/>
      <c r="G27" s="13" t="str">
        <f t="array" ref="G27">iferror(XLOOKUP(A27,'Download of SFDC Activation Rep'!B:B,'Download of SFDC Activation Rep'!H:H),"")</f>
        <v>Active</v>
      </c>
      <c r="H27" s="13" t="str">
        <f t="array" ref="H27">iferror(xlookup(A27,'Download of SFDC Activation Rep'!B:B,'Download of SFDC Activation Rep'!L:L),"")</f>
        <v>Active</v>
      </c>
      <c r="I27" s="17" t="str">
        <f t="shared" si="1"/>
        <v>Active</v>
      </c>
      <c r="J27" s="17" t="str">
        <f t="array" ref="J27">iferror(XLOOKUP(A27,'Download of SFDC Activation Rep'!B:B,'Download of SFDC Activation Rep'!X:X),"")</f>
        <v>Kate Olivares</v>
      </c>
      <c r="K27" s="17" t="str">
        <f t="array" ref="K27">iferror(XLOOKUP(A27,'Download of SFDC Activation Rep'!B:B,'Download of SFDC Activation Rep'!C:C),"")</f>
        <v>Rumford Stone, Inc</v>
      </c>
      <c r="L27" s="18">
        <f t="array" ref="L27">iferror(XLOOKUP(A27,'Download of SFDC Activation Rep'!B:B,'Download of SFDC Activation Rep'!S:S),"")</f>
        <v>168.5</v>
      </c>
      <c r="M27" s="24">
        <f t="array" ref="M27">iferror(XLOOKUP(A27,'Download of SFDC Activation Rep'!B:B,'Download of SFDC Activation Rep'!Z:Z)+150,"")</f>
        <v>45947</v>
      </c>
      <c r="N27" s="24">
        <f t="array" ref="N27">iferror(XLOOKUP(A27,'Download of SFDC Activation Rep'!B:B,'Download of SFDC Activation Rep'!Y:Y),"")</f>
        <v>45797</v>
      </c>
      <c r="U27" s="25">
        <f t="shared" si="2"/>
        <v>45809</v>
      </c>
    </row>
    <row r="28">
      <c r="F28" s="14"/>
      <c r="G28" s="13" t="str">
        <f t="array" ref="G28">iferror(XLOOKUP(A28,'Download of SFDC Activation Rep'!B:B,'Download of SFDC Activation Rep'!H:H),"")</f>
        <v>Active</v>
      </c>
      <c r="H28" s="13" t="str">
        <f t="array" ref="H28">iferror(xlookup(A28,'Download of SFDC Activation Rep'!B:B,'Download of SFDC Activation Rep'!L:L),"")</f>
        <v>Active</v>
      </c>
      <c r="I28" s="17" t="str">
        <f t="shared" si="1"/>
        <v>Active</v>
      </c>
      <c r="J28" s="17" t="str">
        <f t="array" ref="J28">iferror(XLOOKUP(A28,'Download of SFDC Activation Rep'!B:B,'Download of SFDC Activation Rep'!X:X),"")</f>
        <v>Matthew Frost</v>
      </c>
      <c r="K28" s="17" t="str">
        <f t="array" ref="K28">iferror(XLOOKUP(A28,'Download of SFDC Activation Rep'!B:B,'Download of SFDC Activation Rep'!C:C),"")</f>
        <v>Friendly Foods Inc</v>
      </c>
      <c r="L28" s="18">
        <f t="array" ref="L28">iferror(XLOOKUP(A28,'Download of SFDC Activation Rep'!B:B,'Download of SFDC Activation Rep'!S:S),"")</f>
        <v>691.55</v>
      </c>
      <c r="M28" s="24">
        <f t="array" ref="M28">iferror(XLOOKUP(A28,'Download of SFDC Activation Rep'!B:B,'Download of SFDC Activation Rep'!Z:Z)+150,"")</f>
        <v>46157</v>
      </c>
      <c r="N28" s="24">
        <f t="array" ref="N28">iferror(XLOOKUP(A28,'Download of SFDC Activation Rep'!B:B,'Download of SFDC Activation Rep'!Y:Y),"")</f>
        <v>46021</v>
      </c>
      <c r="U28" s="25">
        <f t="shared" si="2"/>
        <v>46023</v>
      </c>
    </row>
    <row r="29">
      <c r="F29" s="14"/>
      <c r="G29" s="13" t="str">
        <f t="array" ref="G29">iferror(XLOOKUP(A29,'Download of SFDC Activation Rep'!B:B,'Download of SFDC Activation Rep'!H:H),"")</f>
        <v>Active</v>
      </c>
      <c r="H29" s="13" t="str">
        <f t="array" ref="H29">iferror(xlookup(A29,'Download of SFDC Activation Rep'!B:B,'Download of SFDC Activation Rep'!L:L),"")</f>
        <v/>
      </c>
      <c r="I29" s="17" t="str">
        <f t="shared" si="1"/>
        <v>Active</v>
      </c>
      <c r="J29" s="17" t="str">
        <f t="array" ref="J29">iferror(XLOOKUP(A29,'Download of SFDC Activation Rep'!B:B,'Download of SFDC Activation Rep'!X:X),"")</f>
        <v>Matthew Frost</v>
      </c>
      <c r="K29" s="17" t="str">
        <f t="array" ref="K29">iferror(XLOOKUP(A29,'Download of SFDC Activation Rep'!B:B,'Download of SFDC Activation Rep'!C:C),"")</f>
        <v>Appellate Defenders, Inc.</v>
      </c>
      <c r="L29" s="18">
        <f t="array" ref="L29">iferror(XLOOKUP(A29,'Download of SFDC Activation Rep'!B:B,'Download of SFDC Activation Rep'!S:S),"")</f>
        <v>107</v>
      </c>
      <c r="M29" s="24">
        <f t="array" ref="M29">iferror(XLOOKUP(A29,'Download of SFDC Activation Rep'!B:B,'Download of SFDC Activation Rep'!Z:Z)+150,"")</f>
        <v>46061</v>
      </c>
      <c r="N29" s="24">
        <f t="array" ref="N29">iferror(XLOOKUP(A29,'Download of SFDC Activation Rep'!B:B,'Download of SFDC Activation Rep'!Y:Y),"")</f>
        <v>45945</v>
      </c>
      <c r="U29" s="25">
        <f t="shared" si="2"/>
        <v>45931</v>
      </c>
    </row>
    <row r="30">
      <c r="F30" s="14"/>
      <c r="G30" s="13" t="str">
        <f t="array" ref="G30">iferror(XLOOKUP(A30,'Download of SFDC Activation Rep'!B:B,'Download of SFDC Activation Rep'!H:H),"")</f>
        <v>Active</v>
      </c>
      <c r="H30" s="13" t="str">
        <f t="array" ref="H30">iferror(xlookup(A30,'Download of SFDC Activation Rep'!B:B,'Download of SFDC Activation Rep'!L:L),"")</f>
        <v/>
      </c>
      <c r="I30" s="17" t="str">
        <f t="shared" si="1"/>
        <v>Active</v>
      </c>
      <c r="J30" s="17" t="str">
        <f t="array" ref="J30">iferror(XLOOKUP(A30,'Download of SFDC Activation Rep'!B:B,'Download of SFDC Activation Rep'!X:X),"")</f>
        <v>Matthew Frost</v>
      </c>
      <c r="K30" s="17" t="str">
        <f t="array" ref="K30">iferror(XLOOKUP(A30,'Download of SFDC Activation Rep'!B:B,'Download of SFDC Activation Rep'!C:C),"")</f>
        <v>Herbert Law Group, LLC</v>
      </c>
      <c r="L30" s="18">
        <f t="array" ref="L30">iferror(XLOOKUP(A30,'Download of SFDC Activation Rep'!B:B,'Download of SFDC Activation Rep'!S:S),"")</f>
        <v>375</v>
      </c>
      <c r="M30" s="24">
        <f t="array" ref="M30">iferror(XLOOKUP(A30,'Download of SFDC Activation Rep'!B:B,'Download of SFDC Activation Rep'!Z:Z)+150,"")</f>
        <v>46187</v>
      </c>
      <c r="N30" s="24">
        <f t="array" ref="N30">iferror(XLOOKUP(A30,'Download of SFDC Activation Rep'!B:B,'Download of SFDC Activation Rep'!Y:Y),"")</f>
        <v>46057</v>
      </c>
      <c r="U30" s="25">
        <f t="shared" si="2"/>
        <v>46054</v>
      </c>
    </row>
    <row r="31">
      <c r="F31" s="14"/>
      <c r="G31" s="13" t="str">
        <f t="array" ref="G31">iferror(XLOOKUP(A31,'Download of SFDC Activation Rep'!B:B,'Download of SFDC Activation Rep'!H:H),"")</f>
        <v>Active</v>
      </c>
      <c r="H31" s="13" t="str">
        <f t="array" ref="H31">iferror(xlookup(A31,'Download of SFDC Activation Rep'!B:B,'Download of SFDC Activation Rep'!L:L),"")</f>
        <v/>
      </c>
      <c r="I31" s="17" t="str">
        <f t="shared" si="1"/>
        <v>Active</v>
      </c>
      <c r="J31" s="17" t="str">
        <f t="array" ref="J31">iferror(XLOOKUP(A31,'Download of SFDC Activation Rep'!B:B,'Download of SFDC Activation Rep'!X:X),"")</f>
        <v>Matthew Frost</v>
      </c>
      <c r="K31" s="17" t="str">
        <f t="array" ref="K31">iferror(XLOOKUP(A31,'Download of SFDC Activation Rep'!B:B,'Download of SFDC Activation Rep'!C:C),"")</f>
        <v>Cope Equities</v>
      </c>
      <c r="L31" s="18">
        <f t="array" ref="L31">iferror(XLOOKUP(A31,'Download of SFDC Activation Rep'!B:B,'Download of SFDC Activation Rep'!S:S),"")</f>
        <v>0</v>
      </c>
      <c r="M31" s="24">
        <f t="array" ref="M31">iferror(XLOOKUP(A31,'Download of SFDC Activation Rep'!B:B,'Download of SFDC Activation Rep'!Z:Z)+150,"")</f>
        <v>46249</v>
      </c>
      <c r="N31" s="24">
        <f t="array" ref="N31">iferror(XLOOKUP(A31,'Download of SFDC Activation Rep'!B:B,'Download of SFDC Activation Rep'!Y:Y),"")</f>
        <v>46087</v>
      </c>
      <c r="U31" s="25">
        <f t="shared" si="2"/>
        <v>46113</v>
      </c>
    </row>
    <row r="32">
      <c r="F32" s="14"/>
      <c r="G32" s="13" t="str">
        <f t="array" ref="G32">iferror(XLOOKUP(A32,'Download of SFDC Activation Rep'!B:B,'Download of SFDC Activation Rep'!H:H),"")</f>
        <v>Churned</v>
      </c>
      <c r="H32" s="13" t="str">
        <f t="array" ref="H32">iferror(xlookup(A32,'Download of SFDC Activation Rep'!B:B,'Download of SFDC Activation Rep'!L:L),"")</f>
        <v/>
      </c>
      <c r="I32" s="17" t="str">
        <f t="shared" si="1"/>
        <v>Not Active</v>
      </c>
      <c r="J32" s="17" t="str">
        <f t="array" ref="J32">iferror(XLOOKUP(A32,'Download of SFDC Activation Rep'!B:B,'Download of SFDC Activation Rep'!X:X),"")</f>
        <v>Kate Olivares</v>
      </c>
      <c r="K32" s="17" t="str">
        <f t="array" ref="K32">iferror(XLOOKUP(A32,'Download of SFDC Activation Rep'!B:B,'Download of SFDC Activation Rep'!C:C),"")</f>
        <v>INSAIT SOLUTIONS LLC</v>
      </c>
      <c r="L32" s="18">
        <f t="array" ref="L32">iferror(XLOOKUP(A32,'Download of SFDC Activation Rep'!B:B,'Download of SFDC Activation Rep'!S:S),"")</f>
        <v>130</v>
      </c>
      <c r="M32" s="24">
        <f t="array" ref="M32">iferror(XLOOKUP(A32,'Download of SFDC Activation Rep'!B:B,'Download of SFDC Activation Rep'!Z:Z)+150,"")</f>
        <v>45954</v>
      </c>
      <c r="N32" s="24">
        <f t="array" ref="N32">iferror(XLOOKUP(A32,'Download of SFDC Activation Rep'!B:B,'Download of SFDC Activation Rep'!Y:Y),"")</f>
        <v>45804</v>
      </c>
      <c r="U32" s="25">
        <f t="shared" si="2"/>
        <v>45809</v>
      </c>
    </row>
    <row r="33">
      <c r="F33" s="14"/>
      <c r="G33" s="13" t="str">
        <f t="array" ref="G33">iferror(XLOOKUP(A33,'Download of SFDC Activation Rep'!B:B,'Download of SFDC Activation Rep'!H:H),"")</f>
        <v>Active</v>
      </c>
      <c r="H33" s="13" t="str">
        <f t="array" ref="H33">iferror(xlookup(A33,'Download of SFDC Activation Rep'!B:B,'Download of SFDC Activation Rep'!L:L),"")</f>
        <v/>
      </c>
      <c r="I33" s="17" t="str">
        <f t="shared" si="1"/>
        <v>Active</v>
      </c>
      <c r="J33" s="17" t="str">
        <f t="array" ref="J33">iferror(XLOOKUP(A33,'Download of SFDC Activation Rep'!B:B,'Download of SFDC Activation Rep'!X:X),"")</f>
        <v>Kate Olivares</v>
      </c>
      <c r="K33" s="17" t="str">
        <f t="array" ref="K33">iferror(XLOOKUP(A33,'Download of SFDC Activation Rep'!B:B,'Download of SFDC Activation Rep'!C:C),"")</f>
        <v>Buescher Ranch</v>
      </c>
      <c r="L33" s="18">
        <f t="array" ref="L33">iferror(XLOOKUP(A33,'Download of SFDC Activation Rep'!B:B,'Download of SFDC Activation Rep'!S:S),"")</f>
        <v>202.08</v>
      </c>
      <c r="M33" s="24">
        <f t="array" ref="M33">iferror(XLOOKUP(A33,'Download of SFDC Activation Rep'!B:B,'Download of SFDC Activation Rep'!Z:Z)+150,"")</f>
        <v>46116</v>
      </c>
      <c r="N33" s="24">
        <f t="array" ref="N33">iferror(XLOOKUP(A33,'Download of SFDC Activation Rep'!B:B,'Download of SFDC Activation Rep'!Y:Y),"")</f>
        <v>45971</v>
      </c>
      <c r="U33" s="25">
        <f t="shared" si="2"/>
        <v>45992</v>
      </c>
    </row>
    <row r="34">
      <c r="F34" s="14"/>
      <c r="G34" s="13" t="str">
        <f t="array" ref="G34">iferror(XLOOKUP(A34,'Download of SFDC Activation Rep'!B:B,'Download of SFDC Activation Rep'!H:H),"")</f>
        <v>Active</v>
      </c>
      <c r="H34" s="13" t="str">
        <f t="array" ref="H34">iferror(xlookup(A34,'Download of SFDC Activation Rep'!B:B,'Download of SFDC Activation Rep'!L:L),"")</f>
        <v/>
      </c>
      <c r="I34" s="17" t="str">
        <f t="shared" si="1"/>
        <v>Active</v>
      </c>
      <c r="J34" s="17" t="str">
        <f t="array" ref="J34">iferror(XLOOKUP(A34,'Download of SFDC Activation Rep'!B:B,'Download of SFDC Activation Rep'!X:X),"")</f>
        <v>Matthew Frost</v>
      </c>
      <c r="K34" s="17" t="str">
        <f t="array" ref="K34">iferror(XLOOKUP(A34,'Download of SFDC Activation Rep'!B:B,'Download of SFDC Activation Rep'!C:C),"")</f>
        <v>Johnston LLC</v>
      </c>
      <c r="L34" s="18">
        <f t="array" ref="L34">iferror(XLOOKUP(A34,'Download of SFDC Activation Rep'!B:B,'Download of SFDC Activation Rep'!S:S),"")</f>
        <v>175.62</v>
      </c>
      <c r="M34" s="24">
        <f t="array" ref="M34">iferror(XLOOKUP(A34,'Download of SFDC Activation Rep'!B:B,'Download of SFDC Activation Rep'!Z:Z)+150,"")</f>
        <v>46114</v>
      </c>
      <c r="N34" s="24">
        <f t="array" ref="N34">iferror(XLOOKUP(A34,'Download of SFDC Activation Rep'!B:B,'Download of SFDC Activation Rep'!Y:Y),"")</f>
        <v>46007</v>
      </c>
      <c r="U34" s="25">
        <f t="shared" si="2"/>
        <v>45992</v>
      </c>
    </row>
    <row r="35">
      <c r="F35" s="14"/>
      <c r="G35" s="13" t="str">
        <f t="array" ref="G35">iferror(XLOOKUP(A35,'Download of SFDC Activation Rep'!B:B,'Download of SFDC Activation Rep'!H:H),"")</f>
        <v/>
      </c>
      <c r="H35" s="13" t="str">
        <f t="array" ref="H35">iferror(xlookup(A35,'Download of SFDC Activation Rep'!B:B,'Download of SFDC Activation Rep'!L:L),"")</f>
        <v>Active</v>
      </c>
      <c r="I35" s="17" t="str">
        <f t="shared" si="1"/>
        <v>Active</v>
      </c>
      <c r="J35" s="17" t="str">
        <f t="array" ref="J35">iferror(XLOOKUP(A35,'Download of SFDC Activation Rep'!B:B,'Download of SFDC Activation Rep'!X:X),"")</f>
        <v>Matthew Frost</v>
      </c>
      <c r="K35" s="17" t="str">
        <f t="array" ref="K35">iferror(XLOOKUP(A35,'Download of SFDC Activation Rep'!B:B,'Download of SFDC Activation Rep'!C:C),"")</f>
        <v>Rminvestmentsmiami LLC</v>
      </c>
      <c r="L35" s="18">
        <f t="array" ref="L35">iferror(XLOOKUP(A35,'Download of SFDC Activation Rep'!B:B,'Download of SFDC Activation Rep'!S:S),"")</f>
        <v>940</v>
      </c>
      <c r="M35" s="24">
        <f t="array" ref="M35">iferror(XLOOKUP(A35,'Download of SFDC Activation Rep'!B:B,'Download of SFDC Activation Rep'!Z:Z)+150,"")</f>
        <v>46053</v>
      </c>
      <c r="N35" s="24">
        <f t="array" ref="N35">iferror(XLOOKUP(A35,'Download of SFDC Activation Rep'!B:B,'Download of SFDC Activation Rep'!Y:Y),"")</f>
        <v>45908</v>
      </c>
      <c r="U35" s="25">
        <f t="shared" si="2"/>
        <v>45901</v>
      </c>
    </row>
    <row r="36">
      <c r="F36" s="14"/>
      <c r="G36" s="13" t="str">
        <f t="array" ref="G36">iferror(XLOOKUP(A36,'Download of SFDC Activation Rep'!B:B,'Download of SFDC Activation Rep'!H:H),"")</f>
        <v>Active</v>
      </c>
      <c r="H36" s="13" t="str">
        <f t="array" ref="H36">iferror(xlookup(A36,'Download of SFDC Activation Rep'!B:B,'Download of SFDC Activation Rep'!L:L),"")</f>
        <v/>
      </c>
      <c r="I36" s="17" t="str">
        <f t="shared" si="1"/>
        <v>Active</v>
      </c>
      <c r="J36" s="17" t="str">
        <f t="array" ref="J36">iferror(XLOOKUP(A36,'Download of SFDC Activation Rep'!B:B,'Download of SFDC Activation Rep'!X:X),"")</f>
        <v>Kate Olivares</v>
      </c>
      <c r="K36" s="17" t="str">
        <f t="array" ref="K36">iferror(XLOOKUP(A36,'Download of SFDC Activation Rep'!B:B,'Download of SFDC Activation Rep'!C:C),"")</f>
        <v>Berkovitch &amp; Bouskila Pllc</v>
      </c>
      <c r="L36" s="18">
        <f t="array" ref="L36">iferror(XLOOKUP(A36,'Download of SFDC Activation Rep'!B:B,'Download of SFDC Activation Rep'!S:S),"")</f>
        <v>130</v>
      </c>
      <c r="M36" s="24">
        <f t="array" ref="M36">iferror(XLOOKUP(A36,'Download of SFDC Activation Rep'!B:B,'Download of SFDC Activation Rep'!Z:Z)+150,"")</f>
        <v>46023</v>
      </c>
      <c r="N36" s="24">
        <f t="array" ref="N36">iferror(XLOOKUP(A36,'Download of SFDC Activation Rep'!B:B,'Download of SFDC Activation Rep'!Y:Y),"")</f>
        <v>45980</v>
      </c>
      <c r="U36" s="25">
        <f t="shared" si="2"/>
        <v>45901</v>
      </c>
    </row>
    <row r="37">
      <c r="F37" s="14"/>
      <c r="G37" s="13" t="str">
        <f t="array" ref="G37">iferror(XLOOKUP(A37,'Download of SFDC Activation Rep'!B:B,'Download of SFDC Activation Rep'!H:H),"")</f>
        <v>Active</v>
      </c>
      <c r="H37" s="13" t="str">
        <f t="array" ref="H37">iferror(xlookup(A37,'Download of SFDC Activation Rep'!B:B,'Download of SFDC Activation Rep'!L:L),"")</f>
        <v/>
      </c>
      <c r="I37" s="17" t="str">
        <f t="shared" si="1"/>
        <v>Active</v>
      </c>
      <c r="J37" s="17" t="str">
        <f t="array" ref="J37">iferror(XLOOKUP(A37,'Download of SFDC Activation Rep'!B:B,'Download of SFDC Activation Rep'!X:X),"")</f>
        <v>Matthew Frost</v>
      </c>
      <c r="K37" s="17" t="str">
        <f t="array" ref="K37">iferror(XLOOKUP(A37,'Download of SFDC Activation Rep'!B:B,'Download of SFDC Activation Rep'!C:C),"")</f>
        <v>Shri Krishna Inc</v>
      </c>
      <c r="L37" s="18">
        <f t="array" ref="L37">iferror(XLOOKUP(A37,'Download of SFDC Activation Rep'!B:B,'Download of SFDC Activation Rep'!S:S),"")</f>
        <v>25</v>
      </c>
      <c r="M37" s="24">
        <f t="array" ref="M37">iferror(XLOOKUP(A37,'Download of SFDC Activation Rep'!B:B,'Download of SFDC Activation Rep'!Z:Z)+150,"")</f>
        <v>46269</v>
      </c>
      <c r="N37" s="24">
        <f t="array" ref="N37">iferror(XLOOKUP(A37,'Download of SFDC Activation Rep'!B:B,'Download of SFDC Activation Rep'!Y:Y),"")</f>
        <v>46147</v>
      </c>
      <c r="U37" s="25">
        <f t="shared" si="2"/>
        <v>46143</v>
      </c>
    </row>
    <row r="38">
      <c r="F38" s="14"/>
      <c r="G38" s="13" t="str">
        <f t="array" ref="G38">iferror(XLOOKUP(A38,'Download of SFDC Activation Rep'!B:B,'Download of SFDC Activation Rep'!H:H),"")</f>
        <v>Active</v>
      </c>
      <c r="H38" s="13" t="str">
        <f t="array" ref="H38">iferror(xlookup(A38,'Download of SFDC Activation Rep'!B:B,'Download of SFDC Activation Rep'!L:L),"")</f>
        <v/>
      </c>
      <c r="I38" s="17" t="str">
        <f t="shared" si="1"/>
        <v>Active</v>
      </c>
      <c r="J38" s="17" t="str">
        <f t="array" ref="J38">iferror(XLOOKUP(A38,'Download of SFDC Activation Rep'!B:B,'Download of SFDC Activation Rep'!X:X),"")</f>
        <v>Matthew Frost</v>
      </c>
      <c r="K38" s="17" t="str">
        <f t="array" ref="K38">iferror(XLOOKUP(A38,'Download of SFDC Activation Rep'!B:B,'Download of SFDC Activation Rep'!C:C),"")</f>
        <v>CRUSHS</v>
      </c>
      <c r="L38" s="18">
        <f t="array" ref="L38">iferror(XLOOKUP(A38,'Download of SFDC Activation Rep'!B:B,'Download of SFDC Activation Rep'!S:S),"")</f>
        <v>643</v>
      </c>
      <c r="M38" s="24">
        <f t="array" ref="M38">iferror(XLOOKUP(A38,'Download of SFDC Activation Rep'!B:B,'Download of SFDC Activation Rep'!Z:Z)+150,"")</f>
        <v>46040</v>
      </c>
      <c r="N38" s="24">
        <f t="array" ref="N38">iferror(XLOOKUP(A38,'Download of SFDC Activation Rep'!B:B,'Download of SFDC Activation Rep'!Y:Y),"")</f>
        <v>45899</v>
      </c>
      <c r="U38" s="25">
        <f t="shared" si="2"/>
        <v>45901</v>
      </c>
    </row>
    <row r="39">
      <c r="F39" s="14"/>
      <c r="G39" s="13" t="str">
        <f t="array" ref="G39">iferror(XLOOKUP(A39,'Download of SFDC Activation Rep'!B:B,'Download of SFDC Activation Rep'!H:H),"")</f>
        <v>Active</v>
      </c>
      <c r="H39" s="13" t="str">
        <f t="array" ref="H39">iferror(xlookup(A39,'Download of SFDC Activation Rep'!B:B,'Download of SFDC Activation Rep'!L:L),"")</f>
        <v>Inactive</v>
      </c>
      <c r="I39" s="17" t="str">
        <f t="shared" si="1"/>
        <v>Active</v>
      </c>
      <c r="J39" s="17" t="str">
        <f t="array" ref="J39">iferror(XLOOKUP(A39,'Download of SFDC Activation Rep'!B:B,'Download of SFDC Activation Rep'!X:X),"")</f>
        <v>Kate Olivares</v>
      </c>
      <c r="K39" s="17" t="str">
        <f t="array" ref="K39">iferror(XLOOKUP(A39,'Download of SFDC Activation Rep'!B:B,'Download of SFDC Activation Rep'!C:C),"")</f>
        <v>ClearBlu Environmental</v>
      </c>
      <c r="L39" s="18">
        <f t="array" ref="L39">iferror(XLOOKUP(A39,'Download of SFDC Activation Rep'!B:B,'Download of SFDC Activation Rep'!S:S),"")</f>
        <v>131</v>
      </c>
      <c r="M39" s="24">
        <f t="array" ref="M39">iferror(XLOOKUP(A39,'Download of SFDC Activation Rep'!B:B,'Download of SFDC Activation Rep'!Z:Z)+150,"")</f>
        <v>46046</v>
      </c>
      <c r="N39" s="24">
        <f t="array" ref="N39">iferror(XLOOKUP(A39,'Download of SFDC Activation Rep'!B:B,'Download of SFDC Activation Rep'!Y:Y),"")</f>
        <v>46009</v>
      </c>
      <c r="U39" s="25">
        <f t="shared" si="2"/>
        <v>45901</v>
      </c>
    </row>
    <row r="40">
      <c r="F40" s="14"/>
      <c r="G40" s="13" t="str">
        <f t="array" ref="G40">iferror(XLOOKUP(A40,'Download of SFDC Activation Rep'!B:B,'Download of SFDC Activation Rep'!H:H),"")</f>
        <v/>
      </c>
      <c r="H40" s="13" t="str">
        <f t="array" ref="H40">iferror(xlookup(A40,'Download of SFDC Activation Rep'!B:B,'Download of SFDC Activation Rep'!L:L),"")</f>
        <v>Active</v>
      </c>
      <c r="I40" s="17" t="str">
        <f t="shared" si="1"/>
        <v>Active</v>
      </c>
      <c r="J40" s="17" t="str">
        <f t="array" ref="J40">iferror(XLOOKUP(A40,'Download of SFDC Activation Rep'!B:B,'Download of SFDC Activation Rep'!X:X),"")</f>
        <v>Kate Olivares</v>
      </c>
      <c r="K40" s="17" t="str">
        <f t="array" ref="K40">iferror(XLOOKUP(A40,'Download of SFDC Activation Rep'!B:B,'Download of SFDC Activation Rep'!C:C),"")</f>
        <v>Vivex Biologics, Inc.</v>
      </c>
      <c r="L40" s="18">
        <f t="array" ref="L40">iferror(XLOOKUP(A40,'Download of SFDC Activation Rep'!B:B,'Download of SFDC Activation Rep'!S:S),"")</f>
        <v>825</v>
      </c>
      <c r="M40" s="24">
        <f t="array" ref="M40">iferror(XLOOKUP(A40,'Download of SFDC Activation Rep'!B:B,'Download of SFDC Activation Rep'!Z:Z)+150,"")</f>
        <v>46129</v>
      </c>
      <c r="N40" s="24">
        <f t="array" ref="N40">iferror(XLOOKUP(A40,'Download of SFDC Activation Rep'!B:B,'Download of SFDC Activation Rep'!Y:Y),"")</f>
        <v>46037</v>
      </c>
      <c r="U40" s="25">
        <f t="shared" si="2"/>
        <v>45992</v>
      </c>
    </row>
    <row r="41">
      <c r="F41" s="14"/>
      <c r="G41" s="13" t="str">
        <f t="array" ref="G41">iferror(XLOOKUP(A41,'Download of SFDC Activation Rep'!B:B,'Download of SFDC Activation Rep'!H:H),"")</f>
        <v>Active</v>
      </c>
      <c r="H41" s="13" t="str">
        <f t="array" ref="H41">iferror(xlookup(A41,'Download of SFDC Activation Rep'!B:B,'Download of SFDC Activation Rep'!L:L),"")</f>
        <v/>
      </c>
      <c r="I41" s="17" t="str">
        <f t="shared" si="1"/>
        <v>Active</v>
      </c>
      <c r="J41" s="17" t="str">
        <f t="array" ref="J41">iferror(XLOOKUP(A41,'Download of SFDC Activation Rep'!B:B,'Download of SFDC Activation Rep'!X:X),"")</f>
        <v>Matthew Frost</v>
      </c>
      <c r="K41" s="17" t="str">
        <f t="array" ref="K41">iferror(XLOOKUP(A41,'Download of SFDC Activation Rep'!B:B,'Download of SFDC Activation Rep'!C:C),"")</f>
        <v>TAVco Holdings I LLC</v>
      </c>
      <c r="L41" s="18">
        <f t="array" ref="L41">iferror(XLOOKUP(A41,'Download of SFDC Activation Rep'!B:B,'Download of SFDC Activation Rep'!S:S),"")</f>
        <v>681.6</v>
      </c>
      <c r="M41" s="24">
        <f t="array" ref="M41">iferror(XLOOKUP(A41,'Download of SFDC Activation Rep'!B:B,'Download of SFDC Activation Rep'!Z:Z)+150,"")</f>
        <v>46236</v>
      </c>
      <c r="N41" s="24">
        <f t="array" ref="N41">iferror(XLOOKUP(A41,'Download of SFDC Activation Rep'!B:B,'Download of SFDC Activation Rep'!Y:Y),"")</f>
        <v>46143</v>
      </c>
      <c r="U41" s="25">
        <f t="shared" si="2"/>
        <v>46113</v>
      </c>
    </row>
    <row r="42">
      <c r="F42" s="14"/>
      <c r="G42" s="13" t="str">
        <f t="array" ref="G42">iferror(XLOOKUP(A42,'Download of SFDC Activation Rep'!B:B,'Download of SFDC Activation Rep'!H:H),"")</f>
        <v/>
      </c>
      <c r="H42" s="13" t="str">
        <f t="array" ref="H42">iferror(xlookup(A42,'Download of SFDC Activation Rep'!B:B,'Download of SFDC Activation Rep'!L:L),"")</f>
        <v>Active</v>
      </c>
      <c r="I42" s="17" t="str">
        <f t="shared" si="1"/>
        <v>Active</v>
      </c>
      <c r="J42" s="17" t="str">
        <f t="array" ref="J42">iferror(XLOOKUP(A42,'Download of SFDC Activation Rep'!B:B,'Download of SFDC Activation Rep'!X:X),"")</f>
        <v>Matthew Frost</v>
      </c>
      <c r="K42" s="17" t="str">
        <f t="array" ref="K42">iferror(XLOOKUP(A42,'Download of SFDC Activation Rep'!B:B,'Download of SFDC Activation Rep'!C:C),"")</f>
        <v>Advance Displays, Inc.</v>
      </c>
      <c r="L42" s="18">
        <f t="array" ref="L42">iferror(XLOOKUP(A42,'Download of SFDC Activation Rep'!B:B,'Download of SFDC Activation Rep'!S:S),"")</f>
        <v>745</v>
      </c>
      <c r="M42" s="24">
        <f t="array" ref="M42">iferror(XLOOKUP(A42,'Download of SFDC Activation Rep'!B:B,'Download of SFDC Activation Rep'!Z:Z)+150,"")</f>
        <v>46213</v>
      </c>
      <c r="N42" s="24">
        <f t="array" ref="N42">iferror(XLOOKUP(A42,'Download of SFDC Activation Rep'!B:B,'Download of SFDC Activation Rep'!Y:Y),"")</f>
        <v>46108</v>
      </c>
      <c r="U42" s="25">
        <f t="shared" si="2"/>
        <v>46082</v>
      </c>
    </row>
    <row r="43">
      <c r="F43" s="14"/>
      <c r="G43" s="13" t="str">
        <f t="array" ref="G43">iferror(XLOOKUP(A43,'Download of SFDC Activation Rep'!B:B,'Download of SFDC Activation Rep'!H:H),"")</f>
        <v/>
      </c>
      <c r="H43" s="13" t="str">
        <f t="array" ref="H43">iferror(xlookup(A43,'Download of SFDC Activation Rep'!B:B,'Download of SFDC Activation Rep'!L:L),"")</f>
        <v>Active</v>
      </c>
      <c r="I43" s="17" t="str">
        <f t="shared" si="1"/>
        <v>Active</v>
      </c>
      <c r="J43" s="17" t="str">
        <f t="array" ref="J43">iferror(XLOOKUP(A43,'Download of SFDC Activation Rep'!B:B,'Download of SFDC Activation Rep'!X:X),"")</f>
        <v>Matthew Frost</v>
      </c>
      <c r="K43" s="17" t="str">
        <f t="array" ref="K43">iferror(XLOOKUP(A43,'Download of SFDC Activation Rep'!B:B,'Download of SFDC Activation Rep'!C:C),"")</f>
        <v>Paydirt Earthworks Support Services LLC</v>
      </c>
      <c r="L43" s="18">
        <f t="array" ref="L43">iferror(XLOOKUP(A43,'Download of SFDC Activation Rep'!B:B,'Download of SFDC Activation Rep'!S:S),"")</f>
        <v>269.5</v>
      </c>
      <c r="M43" s="24">
        <f t="array" ref="M43">iferror(XLOOKUP(A43,'Download of SFDC Activation Rep'!B:B,'Download of SFDC Activation Rep'!Z:Z)+150,"")</f>
        <v>46068</v>
      </c>
      <c r="N43" s="24">
        <f t="array" ref="N43">iferror(XLOOKUP(A43,'Download of SFDC Activation Rep'!B:B,'Download of SFDC Activation Rep'!Y:Y),"")</f>
        <v>46001</v>
      </c>
      <c r="U43" s="25">
        <f t="shared" si="2"/>
        <v>45931</v>
      </c>
    </row>
    <row r="44">
      <c r="F44" s="14"/>
      <c r="G44" s="13" t="str">
        <f t="array" ref="G44">iferror(XLOOKUP(A44,'Download of SFDC Activation Rep'!B:B,'Download of SFDC Activation Rep'!H:H),"")</f>
        <v>Active</v>
      </c>
      <c r="H44" s="13" t="str">
        <f t="array" ref="H44">iferror(xlookup(A44,'Download of SFDC Activation Rep'!B:B,'Download of SFDC Activation Rep'!L:L),"")</f>
        <v/>
      </c>
      <c r="I44" s="17" t="str">
        <f t="shared" si="1"/>
        <v>Active</v>
      </c>
      <c r="J44" s="17" t="str">
        <f t="array" ref="J44">iferror(XLOOKUP(A44,'Download of SFDC Activation Rep'!B:B,'Download of SFDC Activation Rep'!X:X),"")</f>
        <v>Kate Olivares</v>
      </c>
      <c r="K44" s="17" t="str">
        <f t="array" ref="K44">iferror(XLOOKUP(A44,'Download of SFDC Activation Rep'!B:B,'Download of SFDC Activation Rep'!C:C),"")</f>
        <v>Liberty Orchards LLC</v>
      </c>
      <c r="L44" s="18">
        <f t="array" ref="L44">iferror(XLOOKUP(A44,'Download of SFDC Activation Rep'!B:B,'Download of SFDC Activation Rep'!S:S),"")</f>
        <v>366</v>
      </c>
      <c r="M44" s="24">
        <f t="array" ref="M44">iferror(XLOOKUP(A44,'Download of SFDC Activation Rep'!B:B,'Download of SFDC Activation Rep'!Z:Z)+150,"")</f>
        <v>46006</v>
      </c>
      <c r="N44" s="24">
        <f t="array" ref="N44">iferror(XLOOKUP(A44,'Download of SFDC Activation Rep'!B:B,'Download of SFDC Activation Rep'!Y:Y),"")</f>
        <v>45931</v>
      </c>
      <c r="U44" s="25">
        <f t="shared" si="2"/>
        <v>45870</v>
      </c>
    </row>
    <row r="45">
      <c r="F45" s="14"/>
      <c r="G45" s="13" t="str">
        <f t="array" ref="G45">iferror(XLOOKUP(A45,'Download of SFDC Activation Rep'!B:B,'Download of SFDC Activation Rep'!H:H),"")</f>
        <v>Active</v>
      </c>
      <c r="H45" s="13" t="str">
        <f t="array" ref="H45">iferror(xlookup(A45,'Download of SFDC Activation Rep'!B:B,'Download of SFDC Activation Rep'!L:L),"")</f>
        <v/>
      </c>
      <c r="I45" s="17" t="str">
        <f t="shared" si="1"/>
        <v>Active</v>
      </c>
      <c r="J45" s="17" t="str">
        <f t="array" ref="J45">iferror(XLOOKUP(A45,'Download of SFDC Activation Rep'!B:B,'Download of SFDC Activation Rep'!X:X),"")</f>
        <v>Matthew Frost</v>
      </c>
      <c r="K45" s="17" t="str">
        <f t="array" ref="K45">iferror(XLOOKUP(A45,'Download of SFDC Activation Rep'!B:B,'Download of SFDC Activation Rep'!C:C),"")</f>
        <v>YRS LLC</v>
      </c>
      <c r="L45" s="18">
        <f t="array" ref="L45">iferror(XLOOKUP(A45,'Download of SFDC Activation Rep'!B:B,'Download of SFDC Activation Rep'!S:S),"")</f>
        <v>0</v>
      </c>
      <c r="M45" s="24">
        <f t="array" ref="M45">iferror(XLOOKUP(A45,'Download of SFDC Activation Rep'!B:B,'Download of SFDC Activation Rep'!Z:Z)+150,"")</f>
        <v>46221</v>
      </c>
      <c r="N45" s="24">
        <f t="array" ref="N45">iferror(XLOOKUP(A45,'Download of SFDC Activation Rep'!B:B,'Download of SFDC Activation Rep'!Y:Y),"")</f>
        <v>46141</v>
      </c>
      <c r="U45" s="25">
        <f t="shared" si="2"/>
        <v>46082</v>
      </c>
    </row>
    <row r="46">
      <c r="F46" s="14"/>
      <c r="G46" s="13" t="str">
        <f t="array" ref="G46">iferror(XLOOKUP(A46,'Download of SFDC Activation Rep'!B:B,'Download of SFDC Activation Rep'!H:H),"")</f>
        <v>Active</v>
      </c>
      <c r="H46" s="13" t="str">
        <f t="array" ref="H46">iferror(xlookup(A46,'Download of SFDC Activation Rep'!B:B,'Download of SFDC Activation Rep'!L:L),"")</f>
        <v/>
      </c>
      <c r="I46" s="17" t="str">
        <f t="shared" si="1"/>
        <v>Active</v>
      </c>
      <c r="J46" s="17" t="str">
        <f t="array" ref="J46">iferror(XLOOKUP(A46,'Download of SFDC Activation Rep'!B:B,'Download of SFDC Activation Rep'!X:X),"")</f>
        <v>Kate Olivares</v>
      </c>
      <c r="K46" s="17" t="str">
        <f t="array" ref="K46">iferror(XLOOKUP(A46,'Download of SFDC Activation Rep'!B:B,'Download of SFDC Activation Rep'!C:C),"")</f>
        <v>MAV Aqua LLC</v>
      </c>
      <c r="L46" s="18">
        <f t="array" ref="L46">iferror(XLOOKUP(A46,'Download of SFDC Activation Rep'!B:B,'Download of SFDC Activation Rep'!S:S),"")</f>
        <v>95.8</v>
      </c>
      <c r="M46" s="24">
        <f t="array" ref="M46">iferror(XLOOKUP(A46,'Download of SFDC Activation Rep'!B:B,'Download of SFDC Activation Rep'!Z:Z)+150,"")</f>
        <v>46006</v>
      </c>
      <c r="N46" s="24">
        <f t="array" ref="N46">iferror(XLOOKUP(A46,'Download of SFDC Activation Rep'!B:B,'Download of SFDC Activation Rep'!Y:Y),"")</f>
        <v>45901</v>
      </c>
      <c r="U46" s="25">
        <f t="shared" si="2"/>
        <v>45870</v>
      </c>
    </row>
    <row r="47">
      <c r="F47" s="14"/>
      <c r="G47" s="13" t="str">
        <f t="array" ref="G47">iferror(XLOOKUP(A47,'Download of SFDC Activation Rep'!B:B,'Download of SFDC Activation Rep'!H:H),"")</f>
        <v>Active</v>
      </c>
      <c r="H47" s="13" t="str">
        <f t="array" ref="H47">iferror(xlookup(A47,'Download of SFDC Activation Rep'!B:B,'Download of SFDC Activation Rep'!L:L),"")</f>
        <v/>
      </c>
      <c r="I47" s="17" t="str">
        <f t="shared" si="1"/>
        <v>Active</v>
      </c>
      <c r="J47" s="17" t="str">
        <f t="array" ref="J47">iferror(XLOOKUP(A47,'Download of SFDC Activation Rep'!B:B,'Download of SFDC Activation Rep'!X:X),"")</f>
        <v>Arianna Modesti</v>
      </c>
      <c r="K47" s="17" t="str">
        <f t="array" ref="K47">iferror(XLOOKUP(A47,'Download of SFDC Activation Rep'!B:B,'Download of SFDC Activation Rep'!C:C),"")</f>
        <v>Temporary Assistance Guru, Inc</v>
      </c>
      <c r="L47" s="18">
        <f t="array" ref="L47">iferror(XLOOKUP(A47,'Download of SFDC Activation Rep'!B:B,'Download of SFDC Activation Rep'!S:S),"")</f>
        <v>1235</v>
      </c>
      <c r="M47" s="24">
        <f t="array" ref="M47">iferror(XLOOKUP(A47,'Download of SFDC Activation Rep'!B:B,'Download of SFDC Activation Rep'!Z:Z)+150,"")</f>
        <v>46305</v>
      </c>
      <c r="N47" s="24">
        <f t="array" ref="N47">iferror(XLOOKUP(A47,'Download of SFDC Activation Rep'!B:B,'Download of SFDC Activation Rep'!Y:Y),"")</f>
        <v>46258</v>
      </c>
      <c r="U47" s="25">
        <f t="shared" si="2"/>
        <v>46174</v>
      </c>
    </row>
    <row r="48">
      <c r="F48" s="14"/>
      <c r="G48" s="13" t="str">
        <f t="array" ref="G48">iferror(XLOOKUP(A48,'Download of SFDC Activation Rep'!B:B,'Download of SFDC Activation Rep'!H:H),"")</f>
        <v>Active</v>
      </c>
      <c r="H48" s="13" t="str">
        <f t="array" ref="H48">iferror(xlookup(A48,'Download of SFDC Activation Rep'!B:B,'Download of SFDC Activation Rep'!L:L),"")</f>
        <v>Churned</v>
      </c>
      <c r="I48" s="17" t="str">
        <f t="shared" si="1"/>
        <v>Active</v>
      </c>
      <c r="J48" s="17" t="str">
        <f t="array" ref="J48">iferror(XLOOKUP(A48,'Download of SFDC Activation Rep'!B:B,'Download of SFDC Activation Rep'!X:X),"")</f>
        <v>Kate Olivares</v>
      </c>
      <c r="K48" s="17" t="str">
        <f t="array" ref="K48">iferror(XLOOKUP(A48,'Download of SFDC Activation Rep'!B:B,'Download of SFDC Activation Rep'!C:C),"")</f>
        <v>ANALYTICAL WATER SOLUTIONS INC.</v>
      </c>
      <c r="L48" s="18">
        <f t="array" ref="L48">iferror(XLOOKUP(A48,'Download of SFDC Activation Rep'!B:B,'Download of SFDC Activation Rep'!S:S),"")</f>
        <v>55.61</v>
      </c>
      <c r="M48" s="24">
        <f t="array" ref="M48">iferror(XLOOKUP(A48,'Download of SFDC Activation Rep'!B:B,'Download of SFDC Activation Rep'!Z:Z)+150,"")</f>
        <v>46020</v>
      </c>
      <c r="N48" s="24">
        <f t="array" ref="N48">iferror(XLOOKUP(A48,'Download of SFDC Activation Rep'!B:B,'Download of SFDC Activation Rep'!Y:Y),"")</f>
        <v>45876</v>
      </c>
      <c r="U48" s="25">
        <f t="shared" si="2"/>
        <v>45870</v>
      </c>
    </row>
    <row r="49">
      <c r="F49" s="14"/>
      <c r="G49" s="13" t="str">
        <f t="array" ref="G49">iferror(XLOOKUP(A49,'Download of SFDC Activation Rep'!B:B,'Download of SFDC Activation Rep'!H:H),"")</f>
        <v>Active</v>
      </c>
      <c r="H49" s="13" t="str">
        <f t="array" ref="H49">iferror(xlookup(A49,'Download of SFDC Activation Rep'!B:B,'Download of SFDC Activation Rep'!L:L),"")</f>
        <v>Active</v>
      </c>
      <c r="I49" s="17" t="str">
        <f t="shared" si="1"/>
        <v>Active</v>
      </c>
      <c r="J49" s="17" t="str">
        <f t="array" ref="J49">iferror(XLOOKUP(A49,'Download of SFDC Activation Rep'!B:B,'Download of SFDC Activation Rep'!X:X),"")</f>
        <v>Matthew Frost</v>
      </c>
      <c r="K49" s="17" t="str">
        <f t="array" ref="K49">iferror(XLOOKUP(A49,'Download of SFDC Activation Rep'!B:B,'Download of SFDC Activation Rep'!C:C),"")</f>
        <v>Field Sports Publishing, Inc.</v>
      </c>
      <c r="L49" s="18">
        <f t="array" ref="L49">iferror(XLOOKUP(A49,'Download of SFDC Activation Rep'!B:B,'Download of SFDC Activation Rep'!S:S),"")</f>
        <v>0</v>
      </c>
      <c r="M49" s="24">
        <f t="array" ref="M49">iferror(XLOOKUP(A49,'Download of SFDC Activation Rep'!B:B,'Download of SFDC Activation Rep'!Z:Z)+150,"")</f>
        <v>46159</v>
      </c>
      <c r="N49" s="24">
        <f t="array" ref="N49">iferror(XLOOKUP(A49,'Download of SFDC Activation Rep'!B:B,'Download of SFDC Activation Rep'!Y:Y),"")</f>
        <v>46058</v>
      </c>
      <c r="U49" s="25">
        <f t="shared" si="2"/>
        <v>46023</v>
      </c>
    </row>
    <row r="50">
      <c r="F50" s="14"/>
      <c r="G50" s="13" t="str">
        <f t="array" ref="G50">iferror(XLOOKUP(A50,'Download of SFDC Activation Rep'!B:B,'Download of SFDC Activation Rep'!H:H),"")</f>
        <v>Active</v>
      </c>
      <c r="H50" s="13" t="str">
        <f t="array" ref="H50">iferror(xlookup(A50,'Download of SFDC Activation Rep'!B:B,'Download of SFDC Activation Rep'!L:L),"")</f>
        <v/>
      </c>
      <c r="I50" s="17" t="str">
        <f t="shared" si="1"/>
        <v>Active</v>
      </c>
      <c r="J50" s="17" t="str">
        <f t="array" ref="J50">iferror(XLOOKUP(A50,'Download of SFDC Activation Rep'!B:B,'Download of SFDC Activation Rep'!X:X),"")</f>
        <v>Arianna Modesti</v>
      </c>
      <c r="K50" s="17" t="str">
        <f t="array" ref="K50">iferror(XLOOKUP(A50,'Download of SFDC Activation Rep'!B:B,'Download of SFDC Activation Rep'!C:C),"")</f>
        <v>Boston Granite Exchange</v>
      </c>
      <c r="L50" s="18">
        <f t="array" ref="L50">iferror(XLOOKUP(A50,'Download of SFDC Activation Rep'!B:B,'Download of SFDC Activation Rep'!S:S),"")</f>
        <v>448.1</v>
      </c>
      <c r="M50" s="24">
        <f t="array" ref="M50">iferror(XLOOKUP(A50,'Download of SFDC Activation Rep'!B:B,'Download of SFDC Activation Rep'!Z:Z)+150,"")</f>
        <v>46291</v>
      </c>
      <c r="N50" s="24">
        <f t="array" ref="N50">iferror(XLOOKUP(A50,'Download of SFDC Activation Rep'!B:B,'Download of SFDC Activation Rep'!Y:Y),"")</f>
        <v>46203</v>
      </c>
      <c r="U50" s="25">
        <f t="shared" si="2"/>
        <v>46143</v>
      </c>
    </row>
    <row r="51">
      <c r="F51" s="14"/>
      <c r="G51" s="13" t="str">
        <f t="array" ref="G51">iferror(XLOOKUP(A51,'Download of SFDC Activation Rep'!B:B,'Download of SFDC Activation Rep'!H:H),"")</f>
        <v>Active</v>
      </c>
      <c r="H51" s="13" t="str">
        <f t="array" ref="H51">iferror(xlookup(A51,'Download of SFDC Activation Rep'!B:B,'Download of SFDC Activation Rep'!L:L),"")</f>
        <v/>
      </c>
      <c r="I51" s="17" t="str">
        <f t="shared" si="1"/>
        <v>Active</v>
      </c>
      <c r="J51" s="17" t="str">
        <f t="array" ref="J51">iferror(XLOOKUP(A51,'Download of SFDC Activation Rep'!B:B,'Download of SFDC Activation Rep'!X:X),"")</f>
        <v>Matthew Frost</v>
      </c>
      <c r="K51" s="17" t="str">
        <f t="array" ref="K51">iferror(XLOOKUP(A51,'Download of SFDC Activation Rep'!B:B,'Download of SFDC Activation Rep'!C:C),"")</f>
        <v>Remotees LLC</v>
      </c>
      <c r="L51" s="18">
        <f t="array" ref="L51">iferror(XLOOKUP(A51,'Download of SFDC Activation Rep'!B:B,'Download of SFDC Activation Rep'!S:S),"")</f>
        <v>367.35</v>
      </c>
      <c r="M51" s="24">
        <f t="array" ref="M51">iferror(XLOOKUP(A51,'Download of SFDC Activation Rep'!B:B,'Download of SFDC Activation Rep'!Z:Z)+150,"")</f>
        <v>46199</v>
      </c>
      <c r="N51" s="24">
        <f t="array" ref="N51">iferror(XLOOKUP(A51,'Download of SFDC Activation Rep'!B:B,'Download of SFDC Activation Rep'!Y:Y),"")</f>
        <v>46051</v>
      </c>
      <c r="U51" s="25">
        <f t="shared" si="2"/>
        <v>46054</v>
      </c>
    </row>
    <row r="52">
      <c r="F52" s="14"/>
      <c r="G52" s="13" t="str">
        <f t="array" ref="G52">iferror(XLOOKUP(A52,'Download of SFDC Activation Rep'!B:B,'Download of SFDC Activation Rep'!H:H),"")</f>
        <v>Active</v>
      </c>
      <c r="H52" s="13" t="str">
        <f t="array" ref="H52">iferror(xlookup(A52,'Download of SFDC Activation Rep'!B:B,'Download of SFDC Activation Rep'!L:L),"")</f>
        <v/>
      </c>
      <c r="I52" s="17" t="str">
        <f t="shared" si="1"/>
        <v>Active</v>
      </c>
      <c r="J52" s="17" t="str">
        <f t="array" ref="J52">iferror(XLOOKUP(A52,'Download of SFDC Activation Rep'!B:B,'Download of SFDC Activation Rep'!X:X),"")</f>
        <v>Mass Niang</v>
      </c>
      <c r="K52" s="17" t="str">
        <f t="array" ref="K52">iferror(XLOOKUP(A52,'Download of SFDC Activation Rep'!B:B,'Download of SFDC Activation Rep'!C:C),"")</f>
        <v>TecTeam LLC</v>
      </c>
      <c r="L52" s="18">
        <f t="array" ref="L52">iferror(XLOOKUP(A52,'Download of SFDC Activation Rep'!B:B,'Download of SFDC Activation Rep'!S:S),"")</f>
        <v>474.6</v>
      </c>
      <c r="M52" s="24">
        <f t="array" ref="M52">iferror(XLOOKUP(A52,'Download of SFDC Activation Rep'!B:B,'Download of SFDC Activation Rep'!Z:Z)+150,"")</f>
        <v>46090</v>
      </c>
      <c r="N52" s="24">
        <f t="array" ref="N52">iferror(XLOOKUP(A52,'Download of SFDC Activation Rep'!B:B,'Download of SFDC Activation Rep'!Y:Y),"")</f>
        <v>45958</v>
      </c>
      <c r="U52" s="25">
        <f t="shared" si="2"/>
        <v>45962</v>
      </c>
    </row>
    <row r="53">
      <c r="F53" s="14"/>
      <c r="G53" s="13" t="str">
        <f t="array" ref="G53">iferror(XLOOKUP(A53,'Download of SFDC Activation Rep'!B:B,'Download of SFDC Activation Rep'!H:H),"")</f>
        <v>Churned</v>
      </c>
      <c r="H53" s="13" t="str">
        <f t="array" ref="H53">iferror(xlookup(A53,'Download of SFDC Activation Rep'!B:B,'Download of SFDC Activation Rep'!L:L),"")</f>
        <v/>
      </c>
      <c r="I53" s="17" t="str">
        <f t="shared" si="1"/>
        <v>Not Active</v>
      </c>
      <c r="J53" s="17" t="str">
        <f t="array" ref="J53">iferror(XLOOKUP(A53,'Download of SFDC Activation Rep'!B:B,'Download of SFDC Activation Rep'!X:X),"")</f>
        <v>Arianna Modesti</v>
      </c>
      <c r="K53" s="17" t="str">
        <f t="array" ref="K53">iferror(XLOOKUP(A53,'Download of SFDC Activation Rep'!B:B,'Download of SFDC Activation Rep'!C:C),"")</f>
        <v>ALM Ortho, Inc</v>
      </c>
      <c r="L53" s="18">
        <f t="array" ref="L53">iferror(XLOOKUP(A53,'Download of SFDC Activation Rep'!B:B,'Download of SFDC Activation Rep'!S:S),"")</f>
        <v>442.7</v>
      </c>
      <c r="M53" s="24">
        <f t="array" ref="M53">iferror(XLOOKUP(A53,'Download of SFDC Activation Rep'!B:B,'Download of SFDC Activation Rep'!Z:Z)+150,"")</f>
        <v>46271</v>
      </c>
      <c r="N53" s="24">
        <f t="array" ref="N53">iferror(XLOOKUP(A53,'Download of SFDC Activation Rep'!B:B,'Download of SFDC Activation Rep'!Y:Y),"")</f>
        <v>46154</v>
      </c>
      <c r="U53" s="25">
        <f t="shared" si="2"/>
        <v>46143</v>
      </c>
    </row>
    <row r="54">
      <c r="F54" s="14"/>
      <c r="G54" s="13" t="str">
        <f t="array" ref="G54">iferror(XLOOKUP(A54,'Download of SFDC Activation Rep'!B:B,'Download of SFDC Activation Rep'!H:H),"")</f>
        <v>Active</v>
      </c>
      <c r="H54" s="13" t="str">
        <f t="array" ref="H54">iferror(xlookup(A54,'Download of SFDC Activation Rep'!B:B,'Download of SFDC Activation Rep'!L:L),"")</f>
        <v/>
      </c>
      <c r="I54" s="17" t="str">
        <f t="shared" si="1"/>
        <v>Active</v>
      </c>
      <c r="J54" s="17" t="str">
        <f t="array" ref="J54">iferror(XLOOKUP(A54,'Download of SFDC Activation Rep'!B:B,'Download of SFDC Activation Rep'!X:X),"")</f>
        <v>Matthew Frost</v>
      </c>
      <c r="K54" s="17" t="str">
        <f t="array" ref="K54">iferror(XLOOKUP(A54,'Download of SFDC Activation Rep'!B:B,'Download of SFDC Activation Rep'!C:C),"")</f>
        <v>Skycrest Group llc</v>
      </c>
      <c r="L54" s="18">
        <f t="array" ref="L54">iferror(XLOOKUP(A54,'Download of SFDC Activation Rep'!B:B,'Download of SFDC Activation Rep'!S:S),"")</f>
        <v>318.54</v>
      </c>
      <c r="M54" s="24">
        <f t="array" ref="M54">iferror(XLOOKUP(A54,'Download of SFDC Activation Rep'!B:B,'Download of SFDC Activation Rep'!Z:Z)+150,"")</f>
        <v>46187</v>
      </c>
      <c r="N54" s="24">
        <f t="array" ref="N54">iferror(XLOOKUP(A54,'Download of SFDC Activation Rep'!B:B,'Download of SFDC Activation Rep'!Y:Y),"")</f>
        <v>46108</v>
      </c>
      <c r="U54" s="25">
        <f t="shared" si="2"/>
        <v>46054</v>
      </c>
    </row>
    <row r="55">
      <c r="F55" s="14"/>
      <c r="G55" s="13" t="str">
        <f t="array" ref="G55">iferror(XLOOKUP(A55,'Download of SFDC Activation Rep'!B:B,'Download of SFDC Activation Rep'!H:H),"")</f>
        <v>Active</v>
      </c>
      <c r="H55" s="13" t="str">
        <f t="array" ref="H55">iferror(xlookup(A55,'Download of SFDC Activation Rep'!B:B,'Download of SFDC Activation Rep'!L:L),"")</f>
        <v>Active</v>
      </c>
      <c r="I55" s="17" t="str">
        <f t="shared" si="1"/>
        <v>Active</v>
      </c>
      <c r="J55" s="17" t="str">
        <f t="array" ref="J55">iferror(XLOOKUP(A55,'Download of SFDC Activation Rep'!B:B,'Download of SFDC Activation Rep'!X:X),"")</f>
        <v>Kate Olivares</v>
      </c>
      <c r="K55" s="17" t="str">
        <f t="array" ref="K55">iferror(XLOOKUP(A55,'Download of SFDC Activation Rep'!B:B,'Download of SFDC Activation Rep'!C:C),"")</f>
        <v>ReSure Tax Tactics and Strategies LLC</v>
      </c>
      <c r="L55" s="18">
        <f t="array" ref="L55">iferror(XLOOKUP(A55,'Download of SFDC Activation Rep'!B:B,'Download of SFDC Activation Rep'!S:S),"")</f>
        <v>115.73</v>
      </c>
      <c r="M55" s="24">
        <f t="array" ref="M55">iferror(XLOOKUP(A55,'Download of SFDC Activation Rep'!B:B,'Download of SFDC Activation Rep'!Z:Z)+150,"")</f>
        <v>45956</v>
      </c>
      <c r="N55" s="24">
        <f t="array" ref="N55">iferror(XLOOKUP(A55,'Download of SFDC Activation Rep'!B:B,'Download of SFDC Activation Rep'!Y:Y),"")</f>
        <v>45806</v>
      </c>
      <c r="U55" s="25">
        <f t="shared" si="2"/>
        <v>45809</v>
      </c>
    </row>
    <row r="56">
      <c r="F56" s="14"/>
      <c r="G56" s="13" t="str">
        <f t="array" ref="G56">iferror(XLOOKUP(A56,'Download of SFDC Activation Rep'!B:B,'Download of SFDC Activation Rep'!H:H),"")</f>
        <v>Active</v>
      </c>
      <c r="H56" s="13" t="str">
        <f t="array" ref="H56">iferror(xlookup(A56,'Download of SFDC Activation Rep'!B:B,'Download of SFDC Activation Rep'!L:L),"")</f>
        <v/>
      </c>
      <c r="I56" s="17" t="str">
        <f t="shared" si="1"/>
        <v>Active</v>
      </c>
      <c r="J56" s="17" t="str">
        <f t="array" ref="J56">iferror(XLOOKUP(A56,'Download of SFDC Activation Rep'!B:B,'Download of SFDC Activation Rep'!X:X),"")</f>
        <v>Matthew Frost</v>
      </c>
      <c r="K56" s="17" t="str">
        <f t="array" ref="K56">iferror(XLOOKUP(A56,'Download of SFDC Activation Rep'!B:B,'Download of SFDC Activation Rep'!C:C),"")</f>
        <v>Habitat for Humanity-Anchorage</v>
      </c>
      <c r="L56" s="18">
        <f t="array" ref="L56">iferror(XLOOKUP(A56,'Download of SFDC Activation Rep'!B:B,'Download of SFDC Activation Rep'!S:S),"")</f>
        <v>72</v>
      </c>
      <c r="M56" s="24">
        <f t="array" ref="M56">iferror(XLOOKUP(A56,'Download of SFDC Activation Rep'!B:B,'Download of SFDC Activation Rep'!Z:Z)+150,"")</f>
        <v>46047</v>
      </c>
      <c r="N56" s="24">
        <f t="array" ref="N56">iferror(XLOOKUP(A56,'Download of SFDC Activation Rep'!B:B,'Download of SFDC Activation Rep'!Y:Y),"")</f>
        <v>45916</v>
      </c>
      <c r="U56" s="25">
        <f t="shared" si="2"/>
        <v>45901</v>
      </c>
    </row>
    <row r="57">
      <c r="F57" s="14"/>
      <c r="G57" s="13" t="str">
        <f t="array" ref="G57">iferror(XLOOKUP(A57,'Download of SFDC Activation Rep'!B:B,'Download of SFDC Activation Rep'!H:H),"")</f>
        <v>Active</v>
      </c>
      <c r="H57" s="13" t="str">
        <f t="array" ref="H57">iferror(xlookup(A57,'Download of SFDC Activation Rep'!B:B,'Download of SFDC Activation Rep'!L:L),"")</f>
        <v/>
      </c>
      <c r="I57" s="17" t="str">
        <f t="shared" si="1"/>
        <v>Active</v>
      </c>
      <c r="J57" s="17" t="str">
        <f t="array" ref="J57">iferror(XLOOKUP(A57,'Download of SFDC Activation Rep'!B:B,'Download of SFDC Activation Rep'!X:X),"")</f>
        <v>Matthew Frost</v>
      </c>
      <c r="K57" s="17" t="str">
        <f t="array" ref="K57">iferror(XLOOKUP(A57,'Download of SFDC Activation Rep'!B:B,'Download of SFDC Activation Rep'!C:C),"")</f>
        <v>2Work</v>
      </c>
      <c r="L57" s="18">
        <f t="array" ref="L57">iferror(XLOOKUP(A57,'Download of SFDC Activation Rep'!B:B,'Download of SFDC Activation Rep'!S:S),"")</f>
        <v>355</v>
      </c>
      <c r="M57" s="24">
        <f t="array" ref="M57">iferror(XLOOKUP(A57,'Download of SFDC Activation Rep'!B:B,'Download of SFDC Activation Rep'!Z:Z)+150,"")</f>
        <v>46227</v>
      </c>
      <c r="N57" s="24">
        <f t="array" ref="N57">iferror(XLOOKUP(A57,'Download of SFDC Activation Rep'!B:B,'Download of SFDC Activation Rep'!Y:Y),"")</f>
        <v>46118</v>
      </c>
      <c r="U57" s="25">
        <f t="shared" si="2"/>
        <v>46082</v>
      </c>
    </row>
    <row r="58">
      <c r="F58" s="14"/>
      <c r="G58" s="13" t="str">
        <f t="array" ref="G58">iferror(XLOOKUP(A58,'Download of SFDC Activation Rep'!B:B,'Download of SFDC Activation Rep'!H:H),"")</f>
        <v>Inactive</v>
      </c>
      <c r="H58" s="13" t="str">
        <f t="array" ref="H58">iferror(xlookup(A58,'Download of SFDC Activation Rep'!B:B,'Download of SFDC Activation Rep'!L:L),"")</f>
        <v/>
      </c>
      <c r="I58" s="17" t="str">
        <f t="shared" si="1"/>
        <v>Not Active</v>
      </c>
      <c r="J58" s="17" t="str">
        <f t="array" ref="J58">iferror(XLOOKUP(A58,'Download of SFDC Activation Rep'!B:B,'Download of SFDC Activation Rep'!X:X),"")</f>
        <v>Arianna Modesti</v>
      </c>
      <c r="K58" s="17" t="str">
        <f t="array" ref="K58">iferror(XLOOKUP(A58,'Download of SFDC Activation Rep'!B:B,'Download of SFDC Activation Rep'!C:C),"")</f>
        <v>Navi Transport Services LLC</v>
      </c>
      <c r="L58" s="18">
        <f t="array" ref="L58">iferror(XLOOKUP(A58,'Download of SFDC Activation Rep'!B:B,'Download of SFDC Activation Rep'!S:S),"")</f>
        <v>330.98</v>
      </c>
      <c r="M58" s="24">
        <f t="array" ref="M58">iferror(XLOOKUP(A58,'Download of SFDC Activation Rep'!B:B,'Download of SFDC Activation Rep'!Z:Z)+150,"")</f>
        <v>46254</v>
      </c>
      <c r="N58" s="24">
        <f t="array" ref="N58">iferror(XLOOKUP(A58,'Download of SFDC Activation Rep'!B:B,'Download of SFDC Activation Rep'!Y:Y),"")</f>
        <v>46258</v>
      </c>
      <c r="U58" s="25">
        <f t="shared" si="2"/>
        <v>46113</v>
      </c>
    </row>
    <row r="59">
      <c r="F59" s="14"/>
      <c r="G59" s="13" t="str">
        <f t="array" ref="G59">iferror(XLOOKUP(A59,'Download of SFDC Activation Rep'!B:B,'Download of SFDC Activation Rep'!H:H),"")</f>
        <v>Churned</v>
      </c>
      <c r="H59" s="13" t="str">
        <f t="array" ref="H59">iferror(xlookup(A59,'Download of SFDC Activation Rep'!B:B,'Download of SFDC Activation Rep'!L:L),"")</f>
        <v/>
      </c>
      <c r="I59" s="17" t="str">
        <f t="shared" si="1"/>
        <v>Not Active</v>
      </c>
      <c r="J59" s="17" t="str">
        <f t="array" ref="J59">iferror(XLOOKUP(A59,'Download of SFDC Activation Rep'!B:B,'Download of SFDC Activation Rep'!X:X),"")</f>
        <v>Arianna Modesti</v>
      </c>
      <c r="K59" s="17" t="str">
        <f t="array" ref="K59">iferror(XLOOKUP(A59,'Download of SFDC Activation Rep'!B:B,'Download of SFDC Activation Rep'!C:C),"")</f>
        <v>Wellness Warrior</v>
      </c>
      <c r="L59" s="18">
        <f t="array" ref="L59">iferror(XLOOKUP(A59,'Download of SFDC Activation Rep'!B:B,'Download of SFDC Activation Rep'!S:S),"")</f>
        <v>465</v>
      </c>
      <c r="M59" s="24">
        <f t="array" ref="M59">iferror(XLOOKUP(A59,'Download of SFDC Activation Rep'!B:B,'Download of SFDC Activation Rep'!Z:Z)+150,"")</f>
        <v>46270</v>
      </c>
      <c r="N59" s="24">
        <f t="array" ref="N59">iferror(XLOOKUP(A59,'Download of SFDC Activation Rep'!B:B,'Download of SFDC Activation Rep'!Y:Y),"")</f>
        <v>46202</v>
      </c>
      <c r="U59" s="25">
        <f t="shared" si="2"/>
        <v>46143</v>
      </c>
    </row>
    <row r="60">
      <c r="F60" s="14"/>
      <c r="G60" s="13" t="str">
        <f t="array" ref="G60">iferror(XLOOKUP(A60,'Download of SFDC Activation Rep'!B:B,'Download of SFDC Activation Rep'!H:H),"")</f>
        <v>Active</v>
      </c>
      <c r="H60" s="13" t="str">
        <f t="array" ref="H60">iferror(xlookup(A60,'Download of SFDC Activation Rep'!B:B,'Download of SFDC Activation Rep'!L:L),"")</f>
        <v/>
      </c>
      <c r="I60" s="17" t="str">
        <f t="shared" si="1"/>
        <v>Active</v>
      </c>
      <c r="J60" s="17" t="str">
        <f t="array" ref="J60">iferror(XLOOKUP(A60,'Download of SFDC Activation Rep'!B:B,'Download of SFDC Activation Rep'!X:X),"")</f>
        <v>Matthew Frost</v>
      </c>
      <c r="K60" s="17" t="str">
        <f t="array" ref="K60">iferror(XLOOKUP(A60,'Download of SFDC Activation Rep'!B:B,'Download of SFDC Activation Rep'!C:C),"")</f>
        <v>UC Gelato llc</v>
      </c>
      <c r="L60" s="18">
        <f t="array" ref="L60">iferror(XLOOKUP(A60,'Download of SFDC Activation Rep'!B:B,'Download of SFDC Activation Rep'!S:S),"")</f>
        <v>795.4</v>
      </c>
      <c r="M60" s="24">
        <f t="array" ref="M60">iferror(XLOOKUP(A60,'Download of SFDC Activation Rep'!B:B,'Download of SFDC Activation Rep'!Z:Z)+150,"")</f>
        <v>46124</v>
      </c>
      <c r="N60" s="24">
        <f t="array" ref="N60">iferror(XLOOKUP(A60,'Download of SFDC Activation Rep'!B:B,'Download of SFDC Activation Rep'!Y:Y),"")</f>
        <v>45967</v>
      </c>
      <c r="U60" s="25">
        <f t="shared" si="2"/>
        <v>45992</v>
      </c>
    </row>
    <row r="61">
      <c r="F61" s="14"/>
      <c r="G61" s="13" t="str">
        <f t="array" ref="G61">iferror(XLOOKUP(A61,'Download of SFDC Activation Rep'!B:B,'Download of SFDC Activation Rep'!H:H),"")</f>
        <v>Active</v>
      </c>
      <c r="H61" s="13" t="str">
        <f t="array" ref="H61">iferror(xlookup(A61,'Download of SFDC Activation Rep'!B:B,'Download of SFDC Activation Rep'!L:L),"")</f>
        <v/>
      </c>
      <c r="I61" s="17" t="str">
        <f t="shared" si="1"/>
        <v>Active</v>
      </c>
      <c r="J61" s="17" t="str">
        <f t="array" ref="J61">iferror(XLOOKUP(A61,'Download of SFDC Activation Rep'!B:B,'Download of SFDC Activation Rep'!X:X),"")</f>
        <v>Arianna Modesti</v>
      </c>
      <c r="K61" s="17" t="str">
        <f t="array" ref="K61">iferror(XLOOKUP(A61,'Download of SFDC Activation Rep'!B:B,'Download of SFDC Activation Rep'!C:C),"")</f>
        <v>Cope Homes, LLC</v>
      </c>
      <c r="L61" s="18">
        <f t="array" ref="L61">iferror(XLOOKUP(A61,'Download of SFDC Activation Rep'!B:B,'Download of SFDC Activation Rep'!S:S),"")</f>
        <v>267</v>
      </c>
      <c r="M61" s="24">
        <f t="array" ref="M61">iferror(XLOOKUP(A61,'Download of SFDC Activation Rep'!B:B,'Download of SFDC Activation Rep'!Z:Z)+150,"")</f>
        <v>46347</v>
      </c>
      <c r="N61" s="24">
        <f t="array" ref="N61">iferror(XLOOKUP(A61,'Download of SFDC Activation Rep'!B:B,'Download of SFDC Activation Rep'!Y:Y),"")</f>
        <v>46361</v>
      </c>
      <c r="U61" s="25">
        <f t="shared" si="2"/>
        <v>46204</v>
      </c>
    </row>
    <row r="62">
      <c r="F62" s="14"/>
      <c r="G62" s="13" t="str">
        <f t="array" ref="G62">iferror(XLOOKUP(A62,'Download of SFDC Activation Rep'!B:B,'Download of SFDC Activation Rep'!H:H),"")</f>
        <v>Active</v>
      </c>
      <c r="H62" s="13" t="str">
        <f t="array" ref="H62">iferror(xlookup(A62,'Download of SFDC Activation Rep'!B:B,'Download of SFDC Activation Rep'!L:L),"")</f>
        <v/>
      </c>
      <c r="I62" s="17" t="str">
        <f t="shared" si="1"/>
        <v>Active</v>
      </c>
      <c r="J62" s="17" t="str">
        <f t="array" ref="J62">iferror(XLOOKUP(A62,'Download of SFDC Activation Rep'!B:B,'Download of SFDC Activation Rep'!X:X),"")</f>
        <v>Kate Olivares</v>
      </c>
      <c r="K62" s="17" t="str">
        <f t="array" ref="K62">iferror(XLOOKUP(A62,'Download of SFDC Activation Rep'!B:B,'Download of SFDC Activation Rep'!C:C),"")</f>
        <v>Acme Fine Wines</v>
      </c>
      <c r="L62" s="18">
        <f t="array" ref="L62">iferror(XLOOKUP(A62,'Download of SFDC Activation Rep'!B:B,'Download of SFDC Activation Rep'!S:S),"")</f>
        <v>100.4</v>
      </c>
      <c r="M62" s="24">
        <f t="array" ref="M62">iferror(XLOOKUP(A62,'Download of SFDC Activation Rep'!B:B,'Download of SFDC Activation Rep'!Z:Z)+150,"")</f>
        <v>46131</v>
      </c>
      <c r="N62" s="24">
        <f t="array" ref="N62">iferror(XLOOKUP(A62,'Download of SFDC Activation Rep'!B:B,'Download of SFDC Activation Rep'!Y:Y),"")</f>
        <v>46024</v>
      </c>
      <c r="U62" s="25">
        <f t="shared" si="2"/>
        <v>45992</v>
      </c>
    </row>
    <row r="63">
      <c r="F63" s="14"/>
      <c r="G63" s="13" t="str">
        <f t="array" ref="G63">iferror(XLOOKUP(A63,'Download of SFDC Activation Rep'!B:B,'Download of SFDC Activation Rep'!H:H),"")</f>
        <v>Active</v>
      </c>
      <c r="H63" s="13" t="str">
        <f t="array" ref="H63">iferror(xlookup(A63,'Download of SFDC Activation Rep'!B:B,'Download of SFDC Activation Rep'!L:L),"")</f>
        <v/>
      </c>
      <c r="I63" s="17" t="str">
        <f t="shared" si="1"/>
        <v>Active</v>
      </c>
      <c r="J63" s="17" t="str">
        <f t="array" ref="J63">iferror(XLOOKUP(A63,'Download of SFDC Activation Rep'!B:B,'Download of SFDC Activation Rep'!X:X),"")</f>
        <v>Arianna Modesti</v>
      </c>
      <c r="K63" s="17" t="str">
        <f t="array" ref="K63">iferror(XLOOKUP(A63,'Download of SFDC Activation Rep'!B:B,'Download of SFDC Activation Rep'!C:C),"")</f>
        <v>Island Containers</v>
      </c>
      <c r="L63" s="18">
        <f t="array" ref="L63">iferror(XLOOKUP(A63,'Download of SFDC Activation Rep'!B:B,'Download of SFDC Activation Rep'!S:S),"")</f>
        <v>600</v>
      </c>
      <c r="M63" s="24">
        <f t="array" ref="M63">iferror(XLOOKUP(A63,'Download of SFDC Activation Rep'!B:B,'Download of SFDC Activation Rep'!Z:Z)+150,"")</f>
        <v>46242</v>
      </c>
      <c r="N63" s="24">
        <f t="array" ref="N63">iferror(XLOOKUP(A63,'Download of SFDC Activation Rep'!B:B,'Download of SFDC Activation Rep'!Y:Y),"")</f>
        <v>46132</v>
      </c>
      <c r="U63" s="25">
        <f t="shared" si="2"/>
        <v>46113</v>
      </c>
    </row>
    <row r="64">
      <c r="F64" s="14"/>
      <c r="G64" s="13" t="str">
        <f t="array" ref="G64">iferror(XLOOKUP(A64,'Download of SFDC Activation Rep'!B:B,'Download of SFDC Activation Rep'!H:H),"")</f>
        <v>Inactive</v>
      </c>
      <c r="H64" s="13" t="str">
        <f t="array" ref="H64">iferror(xlookup(A64,'Download of SFDC Activation Rep'!B:B,'Download of SFDC Activation Rep'!L:L),"")</f>
        <v>Active</v>
      </c>
      <c r="I64" s="17" t="str">
        <f t="shared" si="1"/>
        <v>Active</v>
      </c>
      <c r="J64" s="17" t="str">
        <f t="array" ref="J64">iferror(XLOOKUP(A64,'Download of SFDC Activation Rep'!B:B,'Download of SFDC Activation Rep'!X:X),"")</f>
        <v>Arianna Modesti</v>
      </c>
      <c r="K64" s="17" t="str">
        <f t="array" ref="K64">iferror(XLOOKUP(A64,'Download of SFDC Activation Rep'!B:B,'Download of SFDC Activation Rep'!C:C),"")</f>
        <v>lanier welding products</v>
      </c>
      <c r="L64" s="18">
        <f t="array" ref="L64">iferror(XLOOKUP(A64,'Download of SFDC Activation Rep'!B:B,'Download of SFDC Activation Rep'!S:S),"")</f>
        <v>489.8</v>
      </c>
      <c r="M64" s="24">
        <f t="array" ref="M64">iferror(XLOOKUP(A64,'Download of SFDC Activation Rep'!B:B,'Download of SFDC Activation Rep'!Z:Z)+150,"")</f>
        <v>46347</v>
      </c>
      <c r="N64" s="24">
        <f t="array" ref="N64">iferror(XLOOKUP(A64,'Download of SFDC Activation Rep'!B:B,'Download of SFDC Activation Rep'!Y:Y),"")</f>
        <v>46361</v>
      </c>
      <c r="U64" s="25">
        <f t="shared" si="2"/>
        <v>46204</v>
      </c>
    </row>
    <row r="65">
      <c r="F65" s="14"/>
      <c r="G65" s="13" t="str">
        <f t="array" ref="G65">iferror(XLOOKUP(A65,'Download of SFDC Activation Rep'!B:B,'Download of SFDC Activation Rep'!H:H),"")</f>
        <v>Active</v>
      </c>
      <c r="H65" s="13" t="str">
        <f t="array" ref="H65">iferror(xlookup(A65,'Download of SFDC Activation Rep'!B:B,'Download of SFDC Activation Rep'!L:L),"")</f>
        <v/>
      </c>
      <c r="I65" s="17" t="str">
        <f t="shared" si="1"/>
        <v>Active</v>
      </c>
      <c r="J65" s="17" t="str">
        <f t="array" ref="J65">iferror(XLOOKUP(A65,'Download of SFDC Activation Rep'!B:B,'Download of SFDC Activation Rep'!X:X),"")</f>
        <v>Matthew Frost</v>
      </c>
      <c r="K65" s="17" t="str">
        <f t="array" ref="K65">iferror(XLOOKUP(A65,'Download of SFDC Activation Rep'!B:B,'Download of SFDC Activation Rep'!C:C),"")</f>
        <v>Bottle Barn</v>
      </c>
      <c r="L65" s="18">
        <f t="array" ref="L65">iferror(XLOOKUP(A65,'Download of SFDC Activation Rep'!B:B,'Download of SFDC Activation Rep'!S:S),"")</f>
        <v>251.6</v>
      </c>
      <c r="M65" s="24">
        <f t="array" ref="M65">iferror(XLOOKUP(A65,'Download of SFDC Activation Rep'!B:B,'Download of SFDC Activation Rep'!Z:Z)+150,"")</f>
        <v>46151</v>
      </c>
      <c r="N65" s="24">
        <f t="array" ref="N65">iferror(XLOOKUP(A65,'Download of SFDC Activation Rep'!B:B,'Download of SFDC Activation Rep'!Y:Y),"")</f>
        <v>46028</v>
      </c>
      <c r="U65" s="25">
        <f t="shared" si="2"/>
        <v>46023</v>
      </c>
    </row>
    <row r="66">
      <c r="F66" s="14"/>
      <c r="G66" s="13" t="str">
        <f t="array" ref="G66">iferror(XLOOKUP(A66,'Download of SFDC Activation Rep'!B:B,'Download of SFDC Activation Rep'!H:H),"")</f>
        <v/>
      </c>
      <c r="H66" s="13" t="str">
        <f t="array" ref="H66">iferror(xlookup(A66,'Download of SFDC Activation Rep'!B:B,'Download of SFDC Activation Rep'!L:L),"")</f>
        <v>Active</v>
      </c>
      <c r="I66" s="17" t="str">
        <f t="shared" si="1"/>
        <v>Active</v>
      </c>
      <c r="J66" s="17" t="str">
        <f t="array" ref="J66">iferror(XLOOKUP(A66,'Download of SFDC Activation Rep'!B:B,'Download of SFDC Activation Rep'!X:X),"")</f>
        <v>Matthew Frost</v>
      </c>
      <c r="K66" s="17" t="str">
        <f t="array" ref="K66">iferror(XLOOKUP(A66,'Download of SFDC Activation Rep'!B:B,'Download of SFDC Activation Rep'!C:C),"")</f>
        <v>Totally Chocolate Inc</v>
      </c>
      <c r="L66" s="18">
        <f t="array" ref="L66">iferror(XLOOKUP(A66,'Download of SFDC Activation Rep'!B:B,'Download of SFDC Activation Rep'!S:S),"")</f>
        <v>1685</v>
      </c>
      <c r="M66" s="24">
        <f t="array" ref="M66">iferror(XLOOKUP(A66,'Download of SFDC Activation Rep'!B:B,'Download of SFDC Activation Rep'!Z:Z)+150,"")</f>
        <v>46123</v>
      </c>
      <c r="N66" s="24">
        <f t="array" ref="N66">iferror(XLOOKUP(A66,'Download of SFDC Activation Rep'!B:B,'Download of SFDC Activation Rep'!Y:Y),"")</f>
        <v>46139</v>
      </c>
      <c r="U66" s="25">
        <f t="shared" si="2"/>
        <v>45992</v>
      </c>
    </row>
    <row r="67">
      <c r="F67" s="14"/>
      <c r="G67" s="13" t="str">
        <f t="array" ref="G67">iferror(XLOOKUP(A67,'Download of SFDC Activation Rep'!B:B,'Download of SFDC Activation Rep'!H:H),"")</f>
        <v>Active</v>
      </c>
      <c r="H67" s="13" t="str">
        <f t="array" ref="H67">iferror(xlookup(A67,'Download of SFDC Activation Rep'!B:B,'Download of SFDC Activation Rep'!L:L),"")</f>
        <v>Active</v>
      </c>
      <c r="I67" s="17" t="str">
        <f t="shared" si="1"/>
        <v>Active</v>
      </c>
      <c r="J67" s="17" t="str">
        <f t="array" ref="J67">iferror(XLOOKUP(A67,'Download of SFDC Activation Rep'!B:B,'Download of SFDC Activation Rep'!X:X),"")</f>
        <v>Arianna Modesti</v>
      </c>
      <c r="K67" s="17" t="str">
        <f t="array" ref="K67">iferror(XLOOKUP(A67,'Download of SFDC Activation Rep'!B:B,'Download of SFDC Activation Rep'!C:C),"")</f>
        <v>Bauer Home Furnishings</v>
      </c>
      <c r="L67" s="18">
        <f t="array" ref="L67">iferror(XLOOKUP(A67,'Download of SFDC Activation Rep'!B:B,'Download of SFDC Activation Rep'!S:S),"")</f>
        <v>300.3</v>
      </c>
      <c r="M67" s="24">
        <f t="array" ref="M67">iferror(XLOOKUP(A67,'Download of SFDC Activation Rep'!B:B,'Download of SFDC Activation Rep'!Z:Z)+150,"")</f>
        <v>46261</v>
      </c>
      <c r="N67" s="24">
        <f t="array" ref="N67">iferror(XLOOKUP(A67,'Download of SFDC Activation Rep'!B:B,'Download of SFDC Activation Rep'!Y:Y),"")</f>
        <v>46140</v>
      </c>
      <c r="U67" s="25">
        <f t="shared" si="2"/>
        <v>46113</v>
      </c>
    </row>
    <row r="68">
      <c r="F68" s="14"/>
      <c r="G68" s="13" t="str">
        <f t="array" ref="G68">iferror(XLOOKUP(A68,'Download of SFDC Activation Rep'!B:B,'Download of SFDC Activation Rep'!H:H),"")</f>
        <v>Active</v>
      </c>
      <c r="H68" s="13" t="str">
        <f t="array" ref="H68">iferror(xlookup(A68,'Download of SFDC Activation Rep'!B:B,'Download of SFDC Activation Rep'!L:L),"")</f>
        <v/>
      </c>
      <c r="I68" s="17" t="str">
        <f t="shared" si="1"/>
        <v>Active</v>
      </c>
      <c r="J68" s="17" t="str">
        <f t="array" ref="J68">iferror(XLOOKUP(A68,'Download of SFDC Activation Rep'!B:B,'Download of SFDC Activation Rep'!X:X),"")</f>
        <v>Matthew Frost</v>
      </c>
      <c r="K68" s="17" t="str">
        <f t="array" ref="K68">iferror(XLOOKUP(A68,'Download of SFDC Activation Rep'!B:B,'Download of SFDC Activation Rep'!C:C),"")</f>
        <v>Texas Winds Musical Outreach</v>
      </c>
      <c r="L68" s="18">
        <f t="array" ref="L68">iferror(XLOOKUP(A68,'Download of SFDC Activation Rep'!B:B,'Download of SFDC Activation Rep'!S:S),"")</f>
        <v>145.7</v>
      </c>
      <c r="M68" s="24">
        <f t="array" ref="M68">iferror(XLOOKUP(A68,'Download of SFDC Activation Rep'!B:B,'Download of SFDC Activation Rep'!Z:Z)+150,"")</f>
        <v>46097</v>
      </c>
      <c r="N68" s="24">
        <f t="array" ref="N68">iferror(XLOOKUP(A68,'Download of SFDC Activation Rep'!B:B,'Download of SFDC Activation Rep'!Y:Y),"")</f>
        <v>45987</v>
      </c>
      <c r="U68" s="25">
        <f t="shared" si="2"/>
        <v>45962</v>
      </c>
    </row>
    <row r="69">
      <c r="F69" s="14"/>
      <c r="G69" s="13" t="str">
        <f t="array" ref="G69">iferror(XLOOKUP(A69,'Download of SFDC Activation Rep'!B:B,'Download of SFDC Activation Rep'!H:H),"")</f>
        <v>Active</v>
      </c>
      <c r="H69" s="13" t="str">
        <f t="array" ref="H69">iferror(xlookup(A69,'Download of SFDC Activation Rep'!B:B,'Download of SFDC Activation Rep'!L:L),"")</f>
        <v/>
      </c>
      <c r="I69" s="17" t="str">
        <f t="shared" si="1"/>
        <v>Active</v>
      </c>
      <c r="J69" s="17" t="str">
        <f t="array" ref="J69">iferror(XLOOKUP(A69,'Download of SFDC Activation Rep'!B:B,'Download of SFDC Activation Rep'!X:X),"")</f>
        <v>Arianna Modesti</v>
      </c>
      <c r="K69" s="17" t="str">
        <f t="array" ref="K69">iferror(XLOOKUP(A69,'Download of SFDC Activation Rep'!B:B,'Download of SFDC Activation Rep'!C:C),"")</f>
        <v>Willard Manufacturing</v>
      </c>
      <c r="L69" s="18">
        <f t="array" ref="L69">iferror(XLOOKUP(A69,'Download of SFDC Activation Rep'!B:B,'Download of SFDC Activation Rep'!S:S),"")</f>
        <v>241.6</v>
      </c>
      <c r="M69" s="24">
        <f t="array" ref="M69">iferror(XLOOKUP(A69,'Download of SFDC Activation Rep'!B:B,'Download of SFDC Activation Rep'!Z:Z)+150,"")</f>
        <v>46298</v>
      </c>
      <c r="N69" s="24">
        <f t="array" ref="N69">iferror(XLOOKUP(A69,'Download of SFDC Activation Rep'!B:B,'Download of SFDC Activation Rep'!Y:Y),"")</f>
        <v>46251</v>
      </c>
      <c r="U69" s="25">
        <f t="shared" si="2"/>
        <v>46174</v>
      </c>
    </row>
    <row r="70">
      <c r="F70" s="14"/>
      <c r="G70" s="13" t="str">
        <f t="array" ref="G70">iferror(XLOOKUP(A70,'Download of SFDC Activation Rep'!B:B,'Download of SFDC Activation Rep'!H:H),"")</f>
        <v>Active</v>
      </c>
      <c r="H70" s="13" t="str">
        <f t="array" ref="H70">iferror(xlookup(A70,'Download of SFDC Activation Rep'!B:B,'Download of SFDC Activation Rep'!L:L),"")</f>
        <v>Churned</v>
      </c>
      <c r="I70" s="17" t="str">
        <f t="shared" si="1"/>
        <v>Active</v>
      </c>
      <c r="J70" s="17" t="str">
        <f t="array" ref="J70">iferror(XLOOKUP(A70,'Download of SFDC Activation Rep'!B:B,'Download of SFDC Activation Rep'!X:X),"")</f>
        <v>Matthew Frost</v>
      </c>
      <c r="K70" s="17" t="str">
        <f t="array" ref="K70">iferror(XLOOKUP(A70,'Download of SFDC Activation Rep'!B:B,'Download of SFDC Activation Rep'!C:C),"")</f>
        <v>The Arts Club of Chicago</v>
      </c>
      <c r="L70" s="18">
        <f t="array" ref="L70">iferror(XLOOKUP(A70,'Download of SFDC Activation Rep'!B:B,'Download of SFDC Activation Rep'!S:S),"")</f>
        <v>146</v>
      </c>
      <c r="M70" s="24">
        <f t="array" ref="M70">iferror(XLOOKUP(A70,'Download of SFDC Activation Rep'!B:B,'Download of SFDC Activation Rep'!Z:Z)+150,"")</f>
        <v>46054</v>
      </c>
      <c r="N70" s="24">
        <f t="array" ref="N70">iferror(XLOOKUP(A70,'Download of SFDC Activation Rep'!B:B,'Download of SFDC Activation Rep'!Y:Y),"")</f>
        <v>45966</v>
      </c>
      <c r="U70" s="25">
        <f t="shared" si="2"/>
        <v>45931</v>
      </c>
    </row>
    <row r="71">
      <c r="F71" s="14"/>
      <c r="G71" s="13" t="str">
        <f t="array" ref="G71">iferror(XLOOKUP(A71,'Download of SFDC Activation Rep'!B:B,'Download of SFDC Activation Rep'!H:H),"")</f>
        <v/>
      </c>
      <c r="H71" s="13" t="str">
        <f t="array" ref="H71">iferror(xlookup(A71,'Download of SFDC Activation Rep'!B:B,'Download of SFDC Activation Rep'!L:L),"")</f>
        <v>Active</v>
      </c>
      <c r="I71" s="17" t="str">
        <f t="shared" si="1"/>
        <v>Active</v>
      </c>
      <c r="J71" s="17" t="str">
        <f t="array" ref="J71">iferror(XLOOKUP(A71,'Download of SFDC Activation Rep'!B:B,'Download of SFDC Activation Rep'!X:X),"")</f>
        <v>Matthew Frost</v>
      </c>
      <c r="K71" s="17" t="str">
        <f t="array" ref="K71">iferror(XLOOKUP(A71,'Download of SFDC Activation Rep'!B:B,'Download of SFDC Activation Rep'!C:C),"")</f>
        <v>Rippa USA Sales LLC.</v>
      </c>
      <c r="L71" s="18">
        <f t="array" ref="L71">iferror(XLOOKUP(A71,'Download of SFDC Activation Rep'!B:B,'Download of SFDC Activation Rep'!S:S),"")</f>
        <v>365</v>
      </c>
      <c r="M71" s="24">
        <f t="array" ref="M71">iferror(XLOOKUP(A71,'Download of SFDC Activation Rep'!B:B,'Download of SFDC Activation Rep'!Z:Z)+150,"")</f>
        <v>46090</v>
      </c>
      <c r="N71" s="24">
        <f t="array" ref="N71">iferror(XLOOKUP(A71,'Download of SFDC Activation Rep'!B:B,'Download of SFDC Activation Rep'!Y:Y),"")</f>
        <v>45958</v>
      </c>
      <c r="U71" s="25">
        <f t="shared" si="2"/>
        <v>45962</v>
      </c>
    </row>
    <row r="72">
      <c r="F72" s="14"/>
      <c r="G72" s="13" t="str">
        <f t="array" ref="G72">iferror(XLOOKUP(A72,'Download of SFDC Activation Rep'!B:B,'Download of SFDC Activation Rep'!H:H),"")</f>
        <v>Inactive</v>
      </c>
      <c r="H72" s="13" t="str">
        <f t="array" ref="H72">iferror(xlookup(A72,'Download of SFDC Activation Rep'!B:B,'Download of SFDC Activation Rep'!L:L),"")</f>
        <v/>
      </c>
      <c r="I72" s="17" t="str">
        <f t="shared" si="1"/>
        <v>Not Active</v>
      </c>
      <c r="J72" s="17" t="str">
        <f t="array" ref="J72">iferror(XLOOKUP(A72,'Download of SFDC Activation Rep'!B:B,'Download of SFDC Activation Rep'!X:X),"")</f>
        <v>Arianna Modesti</v>
      </c>
      <c r="K72" s="17" t="str">
        <f t="array" ref="K72">iferror(XLOOKUP(A72,'Download of SFDC Activation Rep'!B:B,'Download of SFDC Activation Rep'!C:C),"")</f>
        <v>Paragon Oilfield Products</v>
      </c>
      <c r="L72" s="18">
        <f t="array" ref="L72">iferror(XLOOKUP(A72,'Download of SFDC Activation Rep'!B:B,'Download of SFDC Activation Rep'!S:S),"")</f>
        <v>327.8</v>
      </c>
      <c r="M72" s="24">
        <f t="array" ref="M72">iferror(XLOOKUP(A72,'Download of SFDC Activation Rep'!B:B,'Download of SFDC Activation Rep'!Z:Z)+150,"")</f>
        <v>46269</v>
      </c>
      <c r="N72" s="24">
        <f t="array" ref="N72">iferror(XLOOKUP(A72,'Download of SFDC Activation Rep'!B:B,'Download of SFDC Activation Rep'!Y:Y),"")</f>
        <v>46154</v>
      </c>
      <c r="U72" s="25">
        <f t="shared" si="2"/>
        <v>46143</v>
      </c>
    </row>
    <row r="73">
      <c r="F73" s="14"/>
      <c r="G73" s="13" t="str">
        <f t="array" ref="G73">iferror(XLOOKUP(A73,'Download of SFDC Activation Rep'!B:B,'Download of SFDC Activation Rep'!H:H),"")</f>
        <v/>
      </c>
      <c r="H73" s="13" t="str">
        <f t="array" ref="H73">iferror(xlookup(A73,'Download of SFDC Activation Rep'!B:B,'Download of SFDC Activation Rep'!L:L),"")</f>
        <v>Active</v>
      </c>
      <c r="I73" s="17" t="str">
        <f t="shared" si="1"/>
        <v>Active</v>
      </c>
      <c r="J73" s="17" t="str">
        <f t="array" ref="J73">iferror(XLOOKUP(A73,'Download of SFDC Activation Rep'!B:B,'Download of SFDC Activation Rep'!X:X),"")</f>
        <v>Kate Olivares</v>
      </c>
      <c r="K73" s="17" t="str">
        <f t="array" ref="K73">iferror(XLOOKUP(A73,'Download of SFDC Activation Rep'!B:B,'Download of SFDC Activation Rep'!C:C),"")</f>
        <v>METI Dallas, LLC</v>
      </c>
      <c r="L73" s="18">
        <f t="array" ref="L73">iferror(XLOOKUP(A73,'Download of SFDC Activation Rep'!B:B,'Download of SFDC Activation Rep'!S:S),"")</f>
        <v>68.82</v>
      </c>
      <c r="M73" s="24">
        <f t="array" ref="M73">iferror(XLOOKUP(A73,'Download of SFDC Activation Rep'!B:B,'Download of SFDC Activation Rep'!Z:Z)+150,"")</f>
        <v>46026</v>
      </c>
      <c r="N73" s="24">
        <f t="array" ref="N73">iferror(XLOOKUP(A73,'Download of SFDC Activation Rep'!B:B,'Download of SFDC Activation Rep'!Y:Y),"")</f>
        <v>45849</v>
      </c>
      <c r="U73" s="25">
        <f t="shared" si="2"/>
        <v>45901</v>
      </c>
    </row>
    <row r="74">
      <c r="F74" s="14"/>
      <c r="G74" s="13" t="str">
        <f t="array" ref="G74">iferror(XLOOKUP(A74,'Download of SFDC Activation Rep'!B:B,'Download of SFDC Activation Rep'!H:H),"")</f>
        <v>Active</v>
      </c>
      <c r="H74" s="13" t="str">
        <f t="array" ref="H74">iferror(xlookup(A74,'Download of SFDC Activation Rep'!B:B,'Download of SFDC Activation Rep'!L:L),"")</f>
        <v/>
      </c>
      <c r="I74" s="17" t="str">
        <f t="shared" si="1"/>
        <v>Active</v>
      </c>
      <c r="J74" s="17" t="str">
        <f t="array" ref="J74">iferror(XLOOKUP(A74,'Download of SFDC Activation Rep'!B:B,'Download of SFDC Activation Rep'!X:X),"")</f>
        <v>Kate Olivares</v>
      </c>
      <c r="K74" s="17" t="str">
        <f t="array" ref="K74">iferror(XLOOKUP(A74,'Download of SFDC Activation Rep'!B:B,'Download of SFDC Activation Rep'!C:C),"")</f>
        <v>Meralex Farm, Inc.</v>
      </c>
      <c r="L74" s="18">
        <f t="array" ref="L74">iferror(XLOOKUP(A74,'Download of SFDC Activation Rep'!B:B,'Download of SFDC Activation Rep'!S:S),"")</f>
        <v>19.59</v>
      </c>
      <c r="M74" s="24">
        <f t="array" ref="M74">iferror(XLOOKUP(A74,'Download of SFDC Activation Rep'!B:B,'Download of SFDC Activation Rep'!Z:Z)+150,"")</f>
        <v>45959</v>
      </c>
      <c r="N74" s="24">
        <f t="array" ref="N74">iferror(XLOOKUP(A74,'Download of SFDC Activation Rep'!B:B,'Download of SFDC Activation Rep'!Y:Y),"")</f>
        <v>45812</v>
      </c>
      <c r="U74" s="25">
        <f t="shared" si="2"/>
        <v>45809</v>
      </c>
    </row>
    <row r="75">
      <c r="F75" s="14"/>
      <c r="G75" s="13" t="str">
        <f t="array" ref="G75">iferror(XLOOKUP(A75,'Download of SFDC Activation Rep'!B:B,'Download of SFDC Activation Rep'!H:H),"")</f>
        <v>Active</v>
      </c>
      <c r="H75" s="13" t="str">
        <f t="array" ref="H75">iferror(xlookup(A75,'Download of SFDC Activation Rep'!B:B,'Download of SFDC Activation Rep'!L:L),"")</f>
        <v/>
      </c>
      <c r="I75" s="17" t="str">
        <f t="shared" si="1"/>
        <v>Active</v>
      </c>
      <c r="J75" s="17" t="str">
        <f t="array" ref="J75">iferror(XLOOKUP(A75,'Download of SFDC Activation Rep'!B:B,'Download of SFDC Activation Rep'!X:X),"")</f>
        <v>Kate Olivares</v>
      </c>
      <c r="K75" s="17" t="str">
        <f t="array" ref="K75">iferror(XLOOKUP(A75,'Download of SFDC Activation Rep'!B:B,'Download of SFDC Activation Rep'!C:C),"")</f>
        <v>Star Blue Interpreting Service, LLC</v>
      </c>
      <c r="L75" s="18">
        <f t="array" ref="L75">iferror(XLOOKUP(A75,'Download of SFDC Activation Rep'!B:B,'Download of SFDC Activation Rep'!S:S),"")</f>
        <v>50</v>
      </c>
      <c r="M75" s="24">
        <f t="array" ref="M75">iferror(XLOOKUP(A75,'Download of SFDC Activation Rep'!B:B,'Download of SFDC Activation Rep'!Z:Z)+150,"")</f>
        <v>46013</v>
      </c>
      <c r="N75" s="24">
        <f t="array" ref="N75">iferror(XLOOKUP(A75,'Download of SFDC Activation Rep'!B:B,'Download of SFDC Activation Rep'!Y:Y),"")</f>
        <v>45880</v>
      </c>
      <c r="U75" s="25">
        <f t="shared" si="2"/>
        <v>45870</v>
      </c>
    </row>
    <row r="76">
      <c r="F76" s="14"/>
      <c r="G76" s="13" t="str">
        <f t="array" ref="G76">iferror(XLOOKUP(A76,'Download of SFDC Activation Rep'!B:B,'Download of SFDC Activation Rep'!H:H),"")</f>
        <v>Active</v>
      </c>
      <c r="H76" s="13" t="str">
        <f t="array" ref="H76">iferror(xlookup(A76,'Download of SFDC Activation Rep'!B:B,'Download of SFDC Activation Rep'!L:L),"")</f>
        <v/>
      </c>
      <c r="I76" s="17" t="str">
        <f t="shared" si="1"/>
        <v>Active</v>
      </c>
      <c r="J76" s="17" t="str">
        <f t="array" ref="J76">iferror(XLOOKUP(A76,'Download of SFDC Activation Rep'!B:B,'Download of SFDC Activation Rep'!X:X),"")</f>
        <v>Matthew Frost</v>
      </c>
      <c r="K76" s="17" t="str">
        <f t="array" ref="K76">iferror(XLOOKUP(A76,'Download of SFDC Activation Rep'!B:B,'Download of SFDC Activation Rep'!C:C),"")</f>
        <v>Paine Group, Inc</v>
      </c>
      <c r="L76" s="18">
        <f t="array" ref="L76">iferror(XLOOKUP(A76,'Download of SFDC Activation Rep'!B:B,'Download of SFDC Activation Rep'!S:S),"")</f>
        <v>364</v>
      </c>
      <c r="M76" s="24">
        <f t="array" ref="M76">iferror(XLOOKUP(A76,'Download of SFDC Activation Rep'!B:B,'Download of SFDC Activation Rep'!Z:Z)+150,"")</f>
        <v>46249</v>
      </c>
      <c r="N76" s="24">
        <f t="array" ref="N76">iferror(XLOOKUP(A76,'Download of SFDC Activation Rep'!B:B,'Download of SFDC Activation Rep'!Y:Y),"")</f>
        <v>46101</v>
      </c>
      <c r="U76" s="25">
        <f t="shared" si="2"/>
        <v>46113</v>
      </c>
    </row>
    <row r="77">
      <c r="F77" s="14"/>
      <c r="G77" s="13" t="str">
        <f t="array" ref="G77">iferror(XLOOKUP(A77,'Download of SFDC Activation Rep'!B:B,'Download of SFDC Activation Rep'!H:H),"")</f>
        <v>Active</v>
      </c>
      <c r="H77" s="13" t="str">
        <f t="array" ref="H77">iferror(xlookup(A77,'Download of SFDC Activation Rep'!B:B,'Download of SFDC Activation Rep'!L:L),"")</f>
        <v/>
      </c>
      <c r="I77" s="17" t="str">
        <f t="shared" si="1"/>
        <v>Active</v>
      </c>
      <c r="J77" s="17" t="str">
        <f t="array" ref="J77">iferror(XLOOKUP(A77,'Download of SFDC Activation Rep'!B:B,'Download of SFDC Activation Rep'!X:X),"")</f>
        <v>Kate Olivares</v>
      </c>
      <c r="K77" s="17" t="str">
        <f t="array" ref="K77">iferror(XLOOKUP(A77,'Download of SFDC Activation Rep'!B:B,'Download of SFDC Activation Rep'!C:C),"")</f>
        <v>Coastal Speech Pathology, LLC.</v>
      </c>
      <c r="L77" s="18">
        <f t="array" ref="L77">iferror(XLOOKUP(A77,'Download of SFDC Activation Rep'!B:B,'Download of SFDC Activation Rep'!S:S),"")</f>
        <v>504.98</v>
      </c>
      <c r="M77" s="24">
        <f t="array" ref="M77">iferror(XLOOKUP(A77,'Download of SFDC Activation Rep'!B:B,'Download of SFDC Activation Rep'!Z:Z)+150,"")</f>
        <v>46020</v>
      </c>
      <c r="N77" s="24">
        <f t="array" ref="N77">iferror(XLOOKUP(A77,'Download of SFDC Activation Rep'!B:B,'Download of SFDC Activation Rep'!Y:Y),"")</f>
        <v>45884</v>
      </c>
      <c r="U77" s="25">
        <f t="shared" si="2"/>
        <v>45870</v>
      </c>
    </row>
    <row r="78">
      <c r="F78" s="14"/>
      <c r="G78" s="13" t="str">
        <f t="array" ref="G78">iferror(XLOOKUP(A78,'Download of SFDC Activation Rep'!B:B,'Download of SFDC Activation Rep'!H:H),"")</f>
        <v>Active</v>
      </c>
      <c r="H78" s="13" t="str">
        <f t="array" ref="H78">iferror(xlookup(A78,'Download of SFDC Activation Rep'!B:B,'Download of SFDC Activation Rep'!L:L),"")</f>
        <v/>
      </c>
      <c r="I78" s="17" t="str">
        <f t="shared" si="1"/>
        <v>Active</v>
      </c>
      <c r="J78" s="17" t="str">
        <f t="array" ref="J78">iferror(XLOOKUP(A78,'Download of SFDC Activation Rep'!B:B,'Download of SFDC Activation Rep'!X:X),"")</f>
        <v>Matthew Frost</v>
      </c>
      <c r="K78" s="17" t="str">
        <f t="array" ref="K78">iferror(XLOOKUP(A78,'Download of SFDC Activation Rep'!B:B,'Download of SFDC Activation Rep'!C:C),"")</f>
        <v>Places to Age</v>
      </c>
      <c r="L78" s="18">
        <f t="array" ref="L78">iferror(XLOOKUP(A78,'Download of SFDC Activation Rep'!B:B,'Download of SFDC Activation Rep'!S:S),"")</f>
        <v>25</v>
      </c>
      <c r="M78" s="24">
        <f t="array" ref="M78">iferror(XLOOKUP(A78,'Download of SFDC Activation Rep'!B:B,'Download of SFDC Activation Rep'!Z:Z)+150,"")</f>
        <v>46080</v>
      </c>
      <c r="N78" s="24">
        <f t="array" ref="N78">iferror(XLOOKUP(A78,'Download of SFDC Activation Rep'!B:B,'Download of SFDC Activation Rep'!Y:Y),"")</f>
        <v>45938</v>
      </c>
      <c r="U78" s="25">
        <f t="shared" si="2"/>
        <v>45931</v>
      </c>
    </row>
    <row r="79">
      <c r="F79" s="14"/>
      <c r="G79" s="13" t="str">
        <f t="array" ref="G79">iferror(XLOOKUP(A79,'Download of SFDC Activation Rep'!B:B,'Download of SFDC Activation Rep'!H:H),"")</f>
        <v>Active</v>
      </c>
      <c r="H79" s="13" t="str">
        <f t="array" ref="H79">iferror(xlookup(A79,'Download of SFDC Activation Rep'!B:B,'Download of SFDC Activation Rep'!L:L),"")</f>
        <v/>
      </c>
      <c r="I79" s="17" t="str">
        <f t="shared" si="1"/>
        <v>Active</v>
      </c>
      <c r="J79" s="17" t="str">
        <f t="array" ref="J79">iferror(XLOOKUP(A79,'Download of SFDC Activation Rep'!B:B,'Download of SFDC Activation Rep'!X:X),"")</f>
        <v>Kate Olivares</v>
      </c>
      <c r="K79" s="17" t="str">
        <f t="array" ref="K79">iferror(XLOOKUP(A79,'Download of SFDC Activation Rep'!B:B,'Download of SFDC Activation Rep'!C:C),"")</f>
        <v>CLS Brands LLC</v>
      </c>
      <c r="L79" s="18">
        <f t="array" ref="L79">iferror(XLOOKUP(A79,'Download of SFDC Activation Rep'!B:B,'Download of SFDC Activation Rep'!S:S),"")</f>
        <v>103.89</v>
      </c>
      <c r="M79" s="24">
        <f t="array" ref="M79">iferror(XLOOKUP(A79,'Download of SFDC Activation Rep'!B:B,'Download of SFDC Activation Rep'!Z:Z)+150,"")</f>
        <v>45959</v>
      </c>
      <c r="N79" s="24">
        <f t="array" ref="N79">iferror(XLOOKUP(A79,'Download of SFDC Activation Rep'!B:B,'Download of SFDC Activation Rep'!Y:Y),"")</f>
        <v>45826</v>
      </c>
      <c r="U79" s="25">
        <f t="shared" si="2"/>
        <v>45809</v>
      </c>
    </row>
    <row r="80">
      <c r="F80" s="14"/>
      <c r="G80" s="13" t="str">
        <f t="array" ref="G80">iferror(XLOOKUP(A80,'Download of SFDC Activation Rep'!B:B,'Download of SFDC Activation Rep'!H:H),"")</f>
        <v>Active</v>
      </c>
      <c r="H80" s="13" t="str">
        <f t="array" ref="H80">iferror(xlookup(A80,'Download of SFDC Activation Rep'!B:B,'Download of SFDC Activation Rep'!L:L),"")</f>
        <v/>
      </c>
      <c r="I80" s="17" t="str">
        <f t="shared" si="1"/>
        <v>Active</v>
      </c>
      <c r="J80" s="17" t="str">
        <f t="array" ref="J80">iferror(XLOOKUP(A80,'Download of SFDC Activation Rep'!B:B,'Download of SFDC Activation Rep'!X:X),"")</f>
        <v>Arianna Modesti</v>
      </c>
      <c r="K80" s="17" t="str">
        <f t="array" ref="K80">iferror(XLOOKUP(A80,'Download of SFDC Activation Rep'!B:B,'Download of SFDC Activation Rep'!C:C),"")</f>
        <v>Lyophilization Systems Inc.</v>
      </c>
      <c r="L80" s="18">
        <f t="array" ref="L80">iferror(XLOOKUP(A80,'Download of SFDC Activation Rep'!B:B,'Download of SFDC Activation Rep'!S:S),"")</f>
        <v>160</v>
      </c>
      <c r="M80" s="24">
        <f t="array" ref="M80">iferror(XLOOKUP(A80,'Download of SFDC Activation Rep'!B:B,'Download of SFDC Activation Rep'!Z:Z)+150,"")</f>
        <v>46298</v>
      </c>
      <c r="N80" s="24">
        <f t="array" ref="N80">iferror(XLOOKUP(A80,'Download of SFDC Activation Rep'!B:B,'Download of SFDC Activation Rep'!Y:Y),"")</f>
        <v>46258</v>
      </c>
      <c r="U80" s="25">
        <f t="shared" si="2"/>
        <v>46174</v>
      </c>
    </row>
    <row r="81">
      <c r="F81" s="14"/>
      <c r="G81" s="13" t="str">
        <f t="array" ref="G81">iferror(XLOOKUP(A81,'Download of SFDC Activation Rep'!B:B,'Download of SFDC Activation Rep'!H:H),"")</f>
        <v/>
      </c>
      <c r="H81" s="13" t="str">
        <f t="array" ref="H81">iferror(xlookup(A81,'Download of SFDC Activation Rep'!B:B,'Download of SFDC Activation Rep'!L:L),"")</f>
        <v>Active</v>
      </c>
      <c r="I81" s="17" t="str">
        <f t="shared" si="1"/>
        <v>Active</v>
      </c>
      <c r="J81" s="17" t="str">
        <f t="array" ref="J81">iferror(XLOOKUP(A81,'Download of SFDC Activation Rep'!B:B,'Download of SFDC Activation Rep'!X:X),"")</f>
        <v>Matthew Frost</v>
      </c>
      <c r="K81" s="17" t="str">
        <f t="array" ref="K81">iferror(XLOOKUP(A81,'Download of SFDC Activation Rep'!B:B,'Download of SFDC Activation Rep'!C:C),"")</f>
        <v>Cross Engineering LLC</v>
      </c>
      <c r="L81" s="18">
        <f t="array" ref="L81">iferror(XLOOKUP(A81,'Download of SFDC Activation Rep'!B:B,'Download of SFDC Activation Rep'!S:S),"")</f>
        <v>394.43</v>
      </c>
      <c r="M81" s="24">
        <f t="array" ref="M81">iferror(XLOOKUP(A81,'Download of SFDC Activation Rep'!B:B,'Download of SFDC Activation Rep'!Z:Z)+150,"")</f>
        <v>46223</v>
      </c>
      <c r="N81" s="24">
        <f t="array" ref="N81">iferror(XLOOKUP(A81,'Download of SFDC Activation Rep'!B:B,'Download of SFDC Activation Rep'!Y:Y),"")</f>
        <v>46108</v>
      </c>
      <c r="U81" s="25">
        <f t="shared" si="2"/>
        <v>46082</v>
      </c>
    </row>
    <row r="82">
      <c r="F82" s="14"/>
      <c r="G82" s="13" t="str">
        <f t="array" ref="G82">iferror(XLOOKUP(A82,'Download of SFDC Activation Rep'!B:B,'Download of SFDC Activation Rep'!H:H),"")</f>
        <v>Active</v>
      </c>
      <c r="H82" s="13" t="str">
        <f t="array" ref="H82">iferror(xlookup(A82,'Download of SFDC Activation Rep'!B:B,'Download of SFDC Activation Rep'!L:L),"")</f>
        <v/>
      </c>
      <c r="I82" s="17" t="str">
        <f t="shared" si="1"/>
        <v>Active</v>
      </c>
      <c r="J82" s="17" t="str">
        <f t="array" ref="J82">iferror(XLOOKUP(A82,'Download of SFDC Activation Rep'!B:B,'Download of SFDC Activation Rep'!X:X),"")</f>
        <v>Kate Olivares</v>
      </c>
      <c r="K82" s="17" t="str">
        <f t="array" ref="K82">iferror(XLOOKUP(A82,'Download of SFDC Activation Rep'!B:B,'Download of SFDC Activation Rep'!C:C),"")</f>
        <v>Taylor Brothers Architectural Products</v>
      </c>
      <c r="L82" s="18">
        <f t="array" ref="L82">iferror(XLOOKUP(A82,'Download of SFDC Activation Rep'!B:B,'Download of SFDC Activation Rep'!S:S),"")</f>
        <v>206.2</v>
      </c>
      <c r="M82" s="24">
        <f t="array" ref="M82">iferror(XLOOKUP(A82,'Download of SFDC Activation Rep'!B:B,'Download of SFDC Activation Rep'!Z:Z)+150,"")</f>
        <v>46020</v>
      </c>
      <c r="N82" s="24">
        <f t="array" ref="N82">iferror(XLOOKUP(A82,'Download of SFDC Activation Rep'!B:B,'Download of SFDC Activation Rep'!Y:Y),"")</f>
        <v>45999</v>
      </c>
      <c r="U82" s="25">
        <f t="shared" si="2"/>
        <v>45870</v>
      </c>
    </row>
    <row r="83">
      <c r="F83" s="14"/>
      <c r="G83" s="13" t="str">
        <f t="array" ref="G83">iferror(XLOOKUP(A83,'Download of SFDC Activation Rep'!B:B,'Download of SFDC Activation Rep'!H:H),"")</f>
        <v>Churned</v>
      </c>
      <c r="H83" s="13" t="str">
        <f t="array" ref="H83">iferror(xlookup(A83,'Download of SFDC Activation Rep'!B:B,'Download of SFDC Activation Rep'!L:L),"")</f>
        <v/>
      </c>
      <c r="I83" s="17" t="str">
        <f t="shared" si="1"/>
        <v>Not Active</v>
      </c>
      <c r="J83" s="17" t="str">
        <f t="array" ref="J83">iferror(XLOOKUP(A83,'Download of SFDC Activation Rep'!B:B,'Download of SFDC Activation Rep'!X:X),"")</f>
        <v>Arianna Modesti</v>
      </c>
      <c r="K83" s="17" t="str">
        <f t="array" ref="K83">iferror(XLOOKUP(A83,'Download of SFDC Activation Rep'!B:B,'Download of SFDC Activation Rep'!C:C),"")</f>
        <v>Robert Davies  Home Improvement LLC</v>
      </c>
      <c r="L83" s="18">
        <f t="array" ref="L83">iferror(XLOOKUP(A83,'Download of SFDC Activation Rep'!B:B,'Download of SFDC Activation Rep'!S:S),"")</f>
        <v>350.75</v>
      </c>
      <c r="M83" s="24">
        <f t="array" ref="M83">iferror(XLOOKUP(A83,'Download of SFDC Activation Rep'!B:B,'Download of SFDC Activation Rep'!Z:Z)+150,"")</f>
        <v>46250</v>
      </c>
      <c r="N83" s="24">
        <f t="array" ref="N83">iferror(XLOOKUP(A83,'Download of SFDC Activation Rep'!B:B,'Download of SFDC Activation Rep'!Y:Y),"")</f>
        <v>46170</v>
      </c>
      <c r="U83" s="25">
        <f t="shared" si="2"/>
        <v>46113</v>
      </c>
    </row>
    <row r="84">
      <c r="F84" s="14"/>
      <c r="G84" s="13" t="str">
        <f t="array" ref="G84">iferror(XLOOKUP(A84,'Download of SFDC Activation Rep'!B:B,'Download of SFDC Activation Rep'!H:H),"")</f>
        <v>Active</v>
      </c>
      <c r="H84" s="13" t="str">
        <f t="array" ref="H84">iferror(xlookup(A84,'Download of SFDC Activation Rep'!B:B,'Download of SFDC Activation Rep'!L:L),"")</f>
        <v/>
      </c>
      <c r="I84" s="17" t="str">
        <f t="shared" si="1"/>
        <v>Active</v>
      </c>
      <c r="J84" s="17" t="str">
        <f t="array" ref="J84">iferror(XLOOKUP(A84,'Download of SFDC Activation Rep'!B:B,'Download of SFDC Activation Rep'!X:X),"")</f>
        <v>Matthew Frost</v>
      </c>
      <c r="K84" s="17" t="str">
        <f t="array" ref="K84">iferror(XLOOKUP(A84,'Download of SFDC Activation Rep'!B:B,'Download of SFDC Activation Rep'!C:C),"")</f>
        <v>GF Equine LLC</v>
      </c>
      <c r="L84" s="18">
        <f t="array" ref="L84">iferror(XLOOKUP(A84,'Download of SFDC Activation Rep'!B:B,'Download of SFDC Activation Rep'!S:S),"")</f>
        <v>0</v>
      </c>
      <c r="M84" s="24">
        <f t="array" ref="M84">iferror(XLOOKUP(A84,'Download of SFDC Activation Rep'!B:B,'Download of SFDC Activation Rep'!Z:Z)+150,"")</f>
        <v>46207</v>
      </c>
      <c r="N84" s="24">
        <f t="array" ref="N84">iferror(XLOOKUP(A84,'Download of SFDC Activation Rep'!B:B,'Download of SFDC Activation Rep'!Y:Y),"")</f>
        <v>46091</v>
      </c>
      <c r="U84" s="25">
        <f t="shared" si="2"/>
        <v>46082</v>
      </c>
    </row>
    <row r="85">
      <c r="F85" s="14"/>
      <c r="G85" s="13" t="str">
        <f t="array" ref="G85">iferror(XLOOKUP(A85,'Download of SFDC Activation Rep'!B:B,'Download of SFDC Activation Rep'!H:H),"")</f>
        <v>Active</v>
      </c>
      <c r="H85" s="13" t="str">
        <f t="array" ref="H85">iferror(xlookup(A85,'Download of SFDC Activation Rep'!B:B,'Download of SFDC Activation Rep'!L:L),"")</f>
        <v/>
      </c>
      <c r="I85" s="17" t="str">
        <f t="shared" si="1"/>
        <v>Active</v>
      </c>
      <c r="J85" s="17" t="str">
        <f t="array" ref="J85">iferror(XLOOKUP(A85,'Download of SFDC Activation Rep'!B:B,'Download of SFDC Activation Rep'!X:X),"")</f>
        <v>Arianna Modesti</v>
      </c>
      <c r="K85" s="17" t="str">
        <f t="array" ref="K85">iferror(XLOOKUP(A85,'Download of SFDC Activation Rep'!B:B,'Download of SFDC Activation Rep'!C:C),"")</f>
        <v>Verde Recruitment LLC</v>
      </c>
      <c r="L85" s="18">
        <f t="array" ref="L85">iferror(XLOOKUP(A85,'Download of SFDC Activation Rep'!B:B,'Download of SFDC Activation Rep'!S:S),"")</f>
        <v>625</v>
      </c>
      <c r="M85" s="24">
        <f t="array" ref="M85">iferror(XLOOKUP(A85,'Download of SFDC Activation Rep'!B:B,'Download of SFDC Activation Rep'!Z:Z)+150,"")</f>
        <v>46269</v>
      </c>
      <c r="N85" s="24">
        <f t="array" ref="N85">iferror(XLOOKUP(A85,'Download of SFDC Activation Rep'!B:B,'Download of SFDC Activation Rep'!Y:Y),"")</f>
        <v>46148</v>
      </c>
      <c r="U85" s="25">
        <f t="shared" si="2"/>
        <v>46143</v>
      </c>
    </row>
    <row r="86">
      <c r="F86" s="14"/>
      <c r="G86" s="13" t="str">
        <f t="array" ref="G86">iferror(XLOOKUP(A86,'Download of SFDC Activation Rep'!B:B,'Download of SFDC Activation Rep'!H:H),"")</f>
        <v>Active</v>
      </c>
      <c r="H86" s="13" t="str">
        <f t="array" ref="H86">iferror(xlookup(A86,'Download of SFDC Activation Rep'!B:B,'Download of SFDC Activation Rep'!L:L),"")</f>
        <v/>
      </c>
      <c r="I86" s="17" t="str">
        <f t="shared" si="1"/>
        <v>Active</v>
      </c>
      <c r="J86" s="17" t="str">
        <f t="array" ref="J86">iferror(XLOOKUP(A86,'Download of SFDC Activation Rep'!B:B,'Download of SFDC Activation Rep'!X:X),"")</f>
        <v>Kate Olivares</v>
      </c>
      <c r="K86" s="17" t="str">
        <f t="array" ref="K86">iferror(XLOOKUP(A86,'Download of SFDC Activation Rep'!B:B,'Download of SFDC Activation Rep'!C:C),"")</f>
        <v>Stupendous Events LLC</v>
      </c>
      <c r="L86" s="18">
        <f t="array" ref="L86">iferror(XLOOKUP(A86,'Download of SFDC Activation Rep'!B:B,'Download of SFDC Activation Rep'!S:S),"")</f>
        <v>50</v>
      </c>
      <c r="M86" s="24">
        <f t="array" ref="M86">iferror(XLOOKUP(A86,'Download of SFDC Activation Rep'!B:B,'Download of SFDC Activation Rep'!Z:Z)+150,"")</f>
        <v>45967</v>
      </c>
      <c r="N86" s="24">
        <f t="array" ref="N86">iferror(XLOOKUP(A86,'Download of SFDC Activation Rep'!B:B,'Download of SFDC Activation Rep'!Y:Y),"")</f>
        <v>45817</v>
      </c>
      <c r="U86" s="25">
        <f t="shared" si="2"/>
        <v>45839</v>
      </c>
    </row>
    <row r="87">
      <c r="F87" s="14"/>
      <c r="G87" s="13" t="str">
        <f t="array" ref="G87">iferror(XLOOKUP(A87,'Download of SFDC Activation Rep'!B:B,'Download of SFDC Activation Rep'!H:H),"")</f>
        <v>Active</v>
      </c>
      <c r="H87" s="13" t="str">
        <f t="array" ref="H87">iferror(xlookup(A87,'Download of SFDC Activation Rep'!B:B,'Download of SFDC Activation Rep'!L:L),"")</f>
        <v>Churned</v>
      </c>
      <c r="I87" s="17" t="str">
        <f t="shared" si="1"/>
        <v>Active</v>
      </c>
      <c r="J87" s="17" t="str">
        <f t="array" ref="J87">iferror(XLOOKUP(A87,'Download of SFDC Activation Rep'!B:B,'Download of SFDC Activation Rep'!X:X),"")</f>
        <v>Matthew Frost</v>
      </c>
      <c r="K87" s="17" t="str">
        <f t="array" ref="K87">iferror(XLOOKUP(A87,'Download of SFDC Activation Rep'!B:B,'Download of SFDC Activation Rep'!C:C),"")</f>
        <v>American Shoring Inc</v>
      </c>
      <c r="L87" s="18">
        <f t="array" ref="L87">iferror(XLOOKUP(A87,'Download of SFDC Activation Rep'!B:B,'Download of SFDC Activation Rep'!S:S),"")</f>
        <v>140</v>
      </c>
      <c r="M87" s="24">
        <f t="array" ref="M87">iferror(XLOOKUP(A87,'Download of SFDC Activation Rep'!B:B,'Download of SFDC Activation Rep'!Z:Z)+150,"")</f>
        <v>46044</v>
      </c>
      <c r="N87" s="24">
        <f t="array" ref="N87">iferror(XLOOKUP(A87,'Download of SFDC Activation Rep'!B:B,'Download of SFDC Activation Rep'!Y:Y),"")</f>
        <v>45937</v>
      </c>
      <c r="U87" s="25">
        <f t="shared" si="2"/>
        <v>45901</v>
      </c>
    </row>
    <row r="88">
      <c r="F88" s="14"/>
      <c r="G88" s="13" t="str">
        <f t="array" ref="G88">iferror(XLOOKUP(A88,'Download of SFDC Activation Rep'!B:B,'Download of SFDC Activation Rep'!H:H),"")</f>
        <v>Inactive</v>
      </c>
      <c r="H88" s="13" t="str">
        <f t="array" ref="H88">iferror(xlookup(A88,'Download of SFDC Activation Rep'!B:B,'Download of SFDC Activation Rep'!L:L),"")</f>
        <v/>
      </c>
      <c r="I88" s="17" t="str">
        <f t="shared" si="1"/>
        <v>Not Active</v>
      </c>
      <c r="J88" s="17" t="str">
        <f t="array" ref="J88">iferror(XLOOKUP(A88,'Download of SFDC Activation Rep'!B:B,'Download of SFDC Activation Rep'!X:X),"")</f>
        <v>Kate Olivares</v>
      </c>
      <c r="K88" s="17" t="str">
        <f t="array" ref="K88">iferror(XLOOKUP(A88,'Download of SFDC Activation Rep'!B:B,'Download of SFDC Activation Rep'!C:C),"")</f>
        <v>Weland Clinical Laboratories, P.C.</v>
      </c>
      <c r="L88" s="18">
        <f t="array" ref="L88">iferror(XLOOKUP(A88,'Download of SFDC Activation Rep'!B:B,'Download of SFDC Activation Rep'!S:S),"")</f>
        <v>105</v>
      </c>
      <c r="M88" s="24">
        <f t="array" ref="M88">iferror(XLOOKUP(A88,'Download of SFDC Activation Rep'!B:B,'Download of SFDC Activation Rep'!Z:Z)+150,"")</f>
        <v>45955</v>
      </c>
      <c r="N88" s="24">
        <f t="array" ref="N88">iferror(XLOOKUP(A88,'Download of SFDC Activation Rep'!B:B,'Download of SFDC Activation Rep'!Y:Y),"")</f>
        <v>45805</v>
      </c>
      <c r="U88" s="25">
        <f t="shared" si="2"/>
        <v>45809</v>
      </c>
    </row>
    <row r="89">
      <c r="F89" s="14"/>
      <c r="G89" s="13" t="str">
        <f t="array" ref="G89">iferror(XLOOKUP(A89,'Download of SFDC Activation Rep'!B:B,'Download of SFDC Activation Rep'!H:H),"")</f>
        <v>Active</v>
      </c>
      <c r="H89" s="13" t="str">
        <f t="array" ref="H89">iferror(xlookup(A89,'Download of SFDC Activation Rep'!B:B,'Download of SFDC Activation Rep'!L:L),"")</f>
        <v/>
      </c>
      <c r="I89" s="17" t="str">
        <f t="shared" si="1"/>
        <v>Active</v>
      </c>
      <c r="J89" s="17" t="str">
        <f t="array" ref="J89">iferror(XLOOKUP(A89,'Download of SFDC Activation Rep'!B:B,'Download of SFDC Activation Rep'!X:X),"")</f>
        <v>Matthew Frost</v>
      </c>
      <c r="K89" s="17" t="str">
        <f t="array" ref="K89">iferror(XLOOKUP(A89,'Download of SFDC Activation Rep'!B:B,'Download of SFDC Activation Rep'!C:C),"")</f>
        <v>Beyond Pickleball LLC</v>
      </c>
      <c r="L89" s="18">
        <f t="array" ref="L89">iferror(XLOOKUP(A89,'Download of SFDC Activation Rep'!B:B,'Download of SFDC Activation Rep'!S:S),"")</f>
        <v>428.54</v>
      </c>
      <c r="M89" s="24">
        <f t="array" ref="M89">iferror(XLOOKUP(A89,'Download of SFDC Activation Rep'!B:B,'Download of SFDC Activation Rep'!Z:Z)+150,"")</f>
        <v>46209</v>
      </c>
      <c r="N89" s="24">
        <f t="array" ref="N89">iferror(XLOOKUP(A89,'Download of SFDC Activation Rep'!B:B,'Download of SFDC Activation Rep'!Y:Y),"")</f>
        <v>46098</v>
      </c>
      <c r="U89" s="25">
        <f t="shared" si="2"/>
        <v>46082</v>
      </c>
    </row>
    <row r="90">
      <c r="F90" s="14"/>
      <c r="G90" s="13" t="str">
        <f t="array" ref="G90">iferror(XLOOKUP(A90,'Download of SFDC Activation Rep'!B:B,'Download of SFDC Activation Rep'!H:H),"")</f>
        <v>Active</v>
      </c>
      <c r="H90" s="13" t="str">
        <f t="array" ref="H90">iferror(xlookup(A90,'Download of SFDC Activation Rep'!B:B,'Download of SFDC Activation Rep'!L:L),"")</f>
        <v>Churned</v>
      </c>
      <c r="I90" s="17" t="str">
        <f t="shared" si="1"/>
        <v>Active</v>
      </c>
      <c r="J90" s="17" t="str">
        <f t="array" ref="J90">iferror(XLOOKUP(A90,'Download of SFDC Activation Rep'!B:B,'Download of SFDC Activation Rep'!X:X),"")</f>
        <v>Kate Olivares</v>
      </c>
      <c r="K90" s="17" t="str">
        <f t="array" ref="K90">iferror(XLOOKUP(A90,'Download of SFDC Activation Rep'!B:B,'Download of SFDC Activation Rep'!C:C),"")</f>
        <v>South Earth Property Management</v>
      </c>
      <c r="L90" s="18">
        <f t="array" ref="L90">iferror(XLOOKUP(A90,'Download of SFDC Activation Rep'!B:B,'Download of SFDC Activation Rep'!S:S),"")</f>
        <v>16.09</v>
      </c>
      <c r="M90" s="24">
        <f t="array" ref="M90">iferror(XLOOKUP(A90,'Download of SFDC Activation Rep'!B:B,'Download of SFDC Activation Rep'!Z:Z)+150,"")</f>
        <v>45948</v>
      </c>
      <c r="N90" s="24">
        <f t="array" ref="N90">iferror(XLOOKUP(A90,'Download of SFDC Activation Rep'!B:B,'Download of SFDC Activation Rep'!Y:Y),"")</f>
        <v>45807</v>
      </c>
      <c r="U90" s="25">
        <f t="shared" si="2"/>
        <v>45809</v>
      </c>
    </row>
    <row r="91">
      <c r="F91" s="14"/>
      <c r="G91" s="13" t="str">
        <f t="array" ref="G91">iferror(XLOOKUP(A91,'Download of SFDC Activation Rep'!B:B,'Download of SFDC Activation Rep'!H:H),"")</f>
        <v>Active</v>
      </c>
      <c r="H91" s="13" t="str">
        <f t="array" ref="H91">iferror(xlookup(A91,'Download of SFDC Activation Rep'!B:B,'Download of SFDC Activation Rep'!L:L),"")</f>
        <v/>
      </c>
      <c r="I91" s="17" t="str">
        <f t="shared" si="1"/>
        <v>Active</v>
      </c>
      <c r="J91" s="17" t="str">
        <f t="array" ref="J91">iferror(XLOOKUP(A91,'Download of SFDC Activation Rep'!B:B,'Download of SFDC Activation Rep'!X:X),"")</f>
        <v>Kate Olivares</v>
      </c>
      <c r="K91" s="17" t="str">
        <f t="array" ref="K91">iferror(XLOOKUP(A91,'Download of SFDC Activation Rep'!B:B,'Download of SFDC Activation Rep'!C:C),"")</f>
        <v>Congdon &amp; Coleman Real Estate</v>
      </c>
      <c r="L91" s="18">
        <f t="array" ref="L91">iferror(XLOOKUP(A91,'Download of SFDC Activation Rep'!B:B,'Download of SFDC Activation Rep'!S:S),"")</f>
        <v>288.85</v>
      </c>
      <c r="M91" s="24">
        <f t="array" ref="M91">iferror(XLOOKUP(A91,'Download of SFDC Activation Rep'!B:B,'Download of SFDC Activation Rep'!Z:Z)+150,"")</f>
        <v>45955</v>
      </c>
      <c r="N91" s="24">
        <f t="array" ref="N91">iferror(XLOOKUP(A91,'Download of SFDC Activation Rep'!B:B,'Download of SFDC Activation Rep'!Y:Y),"")</f>
        <v>45805</v>
      </c>
      <c r="U91" s="25">
        <f t="shared" si="2"/>
        <v>45809</v>
      </c>
    </row>
    <row r="92">
      <c r="F92" s="14"/>
      <c r="G92" s="13" t="str">
        <f t="array" ref="G92">iferror(XLOOKUP(A92,'Download of SFDC Activation Rep'!B:B,'Download of SFDC Activation Rep'!H:H),"")</f>
        <v/>
      </c>
      <c r="H92" s="13" t="str">
        <f t="array" ref="H92">iferror(xlookup(A92,'Download of SFDC Activation Rep'!B:B,'Download of SFDC Activation Rep'!L:L),"")</f>
        <v>Active</v>
      </c>
      <c r="I92" s="17" t="str">
        <f t="shared" si="1"/>
        <v>Active</v>
      </c>
      <c r="J92" s="17" t="str">
        <f t="array" ref="J92">iferror(XLOOKUP(A92,'Download of SFDC Activation Rep'!B:B,'Download of SFDC Activation Rep'!X:X),"")</f>
        <v>Matthew Frost</v>
      </c>
      <c r="K92" s="17" t="str">
        <f t="array" ref="K92">iferror(XLOOKUP(A92,'Download of SFDC Activation Rep'!B:B,'Download of SFDC Activation Rep'!C:C),"")</f>
        <v>Wyoming Traders</v>
      </c>
      <c r="L92" s="18">
        <f t="array" ref="L92">iferror(XLOOKUP(A92,'Download of SFDC Activation Rep'!B:B,'Download of SFDC Activation Rep'!S:S),"")</f>
        <v>156</v>
      </c>
      <c r="M92" s="24">
        <f t="array" ref="M92">iferror(XLOOKUP(A92,'Download of SFDC Activation Rep'!B:B,'Download of SFDC Activation Rep'!Z:Z)+150,"")</f>
        <v>46171</v>
      </c>
      <c r="N92" s="24">
        <f t="array" ref="N92">iferror(XLOOKUP(A92,'Download of SFDC Activation Rep'!B:B,'Download of SFDC Activation Rep'!Y:Y),"")</f>
        <v>46037</v>
      </c>
      <c r="U92" s="25">
        <f t="shared" si="2"/>
        <v>46023</v>
      </c>
    </row>
    <row r="93">
      <c r="F93" s="14"/>
      <c r="G93" s="13" t="str">
        <f t="array" ref="G93">iferror(XLOOKUP(A93,'Download of SFDC Activation Rep'!B:B,'Download of SFDC Activation Rep'!H:H),"")</f>
        <v>Active</v>
      </c>
      <c r="H93" s="13" t="str">
        <f t="array" ref="H93">iferror(xlookup(A93,'Download of SFDC Activation Rep'!B:B,'Download of SFDC Activation Rep'!L:L),"")</f>
        <v/>
      </c>
      <c r="I93" s="17" t="str">
        <f t="shared" si="1"/>
        <v>Active</v>
      </c>
      <c r="J93" s="17" t="str">
        <f t="array" ref="J93">iferror(XLOOKUP(A93,'Download of SFDC Activation Rep'!B:B,'Download of SFDC Activation Rep'!X:X),"")</f>
        <v>Matthew Frost</v>
      </c>
      <c r="K93" s="17" t="str">
        <f t="array" ref="K93">iferror(XLOOKUP(A93,'Download of SFDC Activation Rep'!B:B,'Download of SFDC Activation Rep'!C:C),"")</f>
        <v>Mark S Dill DDS PLLC</v>
      </c>
      <c r="L93" s="18">
        <f t="array" ref="L93">iferror(XLOOKUP(A93,'Download of SFDC Activation Rep'!B:B,'Download of SFDC Activation Rep'!S:S),"")</f>
        <v>182.97</v>
      </c>
      <c r="M93" s="24">
        <f t="array" ref="M93">iferror(XLOOKUP(A93,'Download of SFDC Activation Rep'!B:B,'Download of SFDC Activation Rep'!Z:Z)+150,"")</f>
        <v>46151</v>
      </c>
      <c r="N93" s="24">
        <f t="array" ref="N93">iferror(XLOOKUP(A93,'Download of SFDC Activation Rep'!B:B,'Download of SFDC Activation Rep'!Y:Y),"")</f>
        <v>46049</v>
      </c>
      <c r="U93" s="25">
        <f t="shared" si="2"/>
        <v>46023</v>
      </c>
    </row>
    <row r="94">
      <c r="F94" s="14"/>
      <c r="G94" s="13" t="str">
        <f t="array" ref="G94">iferror(XLOOKUP(A94,'Download of SFDC Activation Rep'!B:B,'Download of SFDC Activation Rep'!H:H),"")</f>
        <v>Active</v>
      </c>
      <c r="H94" s="13" t="str">
        <f t="array" ref="H94">iferror(xlookup(A94,'Download of SFDC Activation Rep'!B:B,'Download of SFDC Activation Rep'!L:L),"")</f>
        <v/>
      </c>
      <c r="I94" s="17" t="str">
        <f t="shared" si="1"/>
        <v>Active</v>
      </c>
      <c r="J94" s="17" t="str">
        <f t="array" ref="J94">iferror(XLOOKUP(A94,'Download of SFDC Activation Rep'!B:B,'Download of SFDC Activation Rep'!X:X),"")</f>
        <v>Kate Olivares</v>
      </c>
      <c r="K94" s="17" t="str">
        <f t="array" ref="K94">iferror(XLOOKUP(A94,'Download of SFDC Activation Rep'!B:B,'Download of SFDC Activation Rep'!C:C),"")</f>
        <v>Empire Consulting Group, Inc.</v>
      </c>
      <c r="L94" s="18">
        <f t="array" ref="L94">iferror(XLOOKUP(A94,'Download of SFDC Activation Rep'!B:B,'Download of SFDC Activation Rep'!S:S),"")</f>
        <v>1.49</v>
      </c>
      <c r="M94" s="24">
        <f t="array" ref="M94">iferror(XLOOKUP(A94,'Download of SFDC Activation Rep'!B:B,'Download of SFDC Activation Rep'!Z:Z)+150,"")</f>
        <v>46104</v>
      </c>
      <c r="N94" s="24">
        <f t="array" ref="N94">iferror(XLOOKUP(A94,'Download of SFDC Activation Rep'!B:B,'Download of SFDC Activation Rep'!Y:Y),"")</f>
        <v>45985</v>
      </c>
      <c r="U94" s="25">
        <f t="shared" si="2"/>
        <v>45962</v>
      </c>
    </row>
    <row r="95">
      <c r="F95" s="14"/>
      <c r="G95" s="13" t="str">
        <f t="array" ref="G95">iferror(XLOOKUP(A95,'Download of SFDC Activation Rep'!B:B,'Download of SFDC Activation Rep'!H:H),"")</f>
        <v>Active</v>
      </c>
      <c r="H95" s="13" t="str">
        <f t="array" ref="H95">iferror(xlookup(A95,'Download of SFDC Activation Rep'!B:B,'Download of SFDC Activation Rep'!L:L),"")</f>
        <v/>
      </c>
      <c r="I95" s="17" t="str">
        <f t="shared" si="1"/>
        <v>Active</v>
      </c>
      <c r="J95" s="17" t="str">
        <f t="array" ref="J95">iferror(XLOOKUP(A95,'Download of SFDC Activation Rep'!B:B,'Download of SFDC Activation Rep'!X:X),"")</f>
        <v>Kate Olivares</v>
      </c>
      <c r="K95" s="17" t="str">
        <f t="array" ref="K95">iferror(XLOOKUP(A95,'Download of SFDC Activation Rep'!B:B,'Download of SFDC Activation Rep'!C:C),"")</f>
        <v>scenic world LLC</v>
      </c>
      <c r="L95" s="18">
        <f t="array" ref="L95">iferror(XLOOKUP(A95,'Download of SFDC Activation Rep'!B:B,'Download of SFDC Activation Rep'!S:S),"")</f>
        <v>50</v>
      </c>
      <c r="M95" s="24">
        <f t="array" ref="M95">iferror(XLOOKUP(A95,'Download of SFDC Activation Rep'!B:B,'Download of SFDC Activation Rep'!Z:Z)+150,"")</f>
        <v>45949</v>
      </c>
      <c r="N95" s="24">
        <f t="array" ref="N95">iferror(XLOOKUP(A95,'Download of SFDC Activation Rep'!B:B,'Download of SFDC Activation Rep'!Y:Y),"")</f>
        <v>45818</v>
      </c>
      <c r="U95" s="25">
        <f t="shared" si="2"/>
        <v>45809</v>
      </c>
    </row>
    <row r="96">
      <c r="F96" s="14"/>
      <c r="G96" s="13" t="str">
        <f t="array" ref="G96">iferror(XLOOKUP(A96,'Download of SFDC Activation Rep'!B:B,'Download of SFDC Activation Rep'!H:H),"")</f>
        <v>Active</v>
      </c>
      <c r="H96" s="13" t="str">
        <f t="array" ref="H96">iferror(xlookup(A96,'Download of SFDC Activation Rep'!B:B,'Download of SFDC Activation Rep'!L:L),"")</f>
        <v/>
      </c>
      <c r="I96" s="17" t="str">
        <f t="shared" si="1"/>
        <v>Active</v>
      </c>
      <c r="J96" s="17" t="str">
        <f t="array" ref="J96">iferror(XLOOKUP(A96,'Download of SFDC Activation Rep'!B:B,'Download of SFDC Activation Rep'!X:X),"")</f>
        <v>Arianna Modesti</v>
      </c>
      <c r="K96" s="17" t="str">
        <f t="array" ref="K96">iferror(XLOOKUP(A96,'Download of SFDC Activation Rep'!B:B,'Download of SFDC Activation Rep'!C:C),"")</f>
        <v>Community Wellness Concierge</v>
      </c>
      <c r="L96" s="18">
        <f t="array" ref="L96">iferror(XLOOKUP(A96,'Download of SFDC Activation Rep'!B:B,'Download of SFDC Activation Rep'!S:S),"")</f>
        <v>390</v>
      </c>
      <c r="M96" s="24">
        <f t="array" ref="M96">iferror(XLOOKUP(A96,'Download of SFDC Activation Rep'!B:B,'Download of SFDC Activation Rep'!Z:Z)+150,"")</f>
        <v>46347</v>
      </c>
      <c r="N96" s="24">
        <f t="array" ref="N96">iferror(XLOOKUP(A96,'Download of SFDC Activation Rep'!B:B,'Download of SFDC Activation Rep'!Y:Y),"")</f>
        <v>46361</v>
      </c>
      <c r="U96" s="25">
        <f t="shared" si="2"/>
        <v>46204</v>
      </c>
    </row>
    <row r="97">
      <c r="F97" s="14"/>
      <c r="G97" s="13" t="str">
        <f t="array" ref="G97">iferror(XLOOKUP(A97,'Download of SFDC Activation Rep'!B:B,'Download of SFDC Activation Rep'!H:H),"")</f>
        <v>Active</v>
      </c>
      <c r="H97" s="13" t="str">
        <f t="array" ref="H97">iferror(xlookup(A97,'Download of SFDC Activation Rep'!B:B,'Download of SFDC Activation Rep'!L:L),"")</f>
        <v/>
      </c>
      <c r="I97" s="17" t="str">
        <f t="shared" si="1"/>
        <v>Active</v>
      </c>
      <c r="J97" s="17" t="str">
        <f t="array" ref="J97">iferror(XLOOKUP(A97,'Download of SFDC Activation Rep'!B:B,'Download of SFDC Activation Rep'!X:X),"")</f>
        <v>Kate Olivares</v>
      </c>
      <c r="K97" s="17" t="str">
        <f t="array" ref="K97">iferror(XLOOKUP(A97,'Download of SFDC Activation Rep'!B:B,'Download of SFDC Activation Rep'!C:C),"")</f>
        <v>Shree Group</v>
      </c>
      <c r="L97" s="18">
        <f t="array" ref="L97">iferror(XLOOKUP(A97,'Download of SFDC Activation Rep'!B:B,'Download of SFDC Activation Rep'!S:S),"")</f>
        <v>1067.7</v>
      </c>
      <c r="M97" s="24">
        <f t="array" ref="M97">iferror(XLOOKUP(A97,'Download of SFDC Activation Rep'!B:B,'Download of SFDC Activation Rep'!Z:Z)+150,"")</f>
        <v>46227</v>
      </c>
      <c r="N97" s="24">
        <f t="array" ref="N97">iferror(XLOOKUP(A97,'Download of SFDC Activation Rep'!B:B,'Download of SFDC Activation Rep'!Y:Y),"")</f>
        <v>46139</v>
      </c>
      <c r="U97" s="25">
        <f t="shared" si="2"/>
        <v>46082</v>
      </c>
    </row>
    <row r="98">
      <c r="F98" s="14"/>
      <c r="G98" s="13" t="str">
        <f t="array" ref="G98">iferror(XLOOKUP(A98,'Download of SFDC Activation Rep'!B:B,'Download of SFDC Activation Rep'!H:H),"")</f>
        <v>Active</v>
      </c>
      <c r="H98" s="13" t="str">
        <f t="array" ref="H98">iferror(xlookup(A98,'Download of SFDC Activation Rep'!B:B,'Download of SFDC Activation Rep'!L:L),"")</f>
        <v/>
      </c>
      <c r="I98" s="17" t="str">
        <f t="shared" si="1"/>
        <v>Active</v>
      </c>
      <c r="J98" s="17" t="str">
        <f t="array" ref="J98">iferror(XLOOKUP(A98,'Download of SFDC Activation Rep'!B:B,'Download of SFDC Activation Rep'!X:X),"")</f>
        <v>Arianna Modesti</v>
      </c>
      <c r="K98" s="17" t="str">
        <f t="array" ref="K98">iferror(XLOOKUP(A98,'Download of SFDC Activation Rep'!B:B,'Download of SFDC Activation Rep'!C:C),"")</f>
        <v>Talcan Systems, LLC</v>
      </c>
      <c r="L98" s="18">
        <f t="array" ref="L98">iferror(XLOOKUP(A98,'Download of SFDC Activation Rep'!B:B,'Download of SFDC Activation Rep'!S:S),"")</f>
        <v>319.3</v>
      </c>
      <c r="M98" s="24">
        <f t="array" ref="M98">iferror(XLOOKUP(A98,'Download of SFDC Activation Rep'!B:B,'Download of SFDC Activation Rep'!Z:Z)+150,"")</f>
        <v>46319</v>
      </c>
      <c r="N98" s="24">
        <f t="array" ref="N98">iferror(XLOOKUP(A98,'Download of SFDC Activation Rep'!B:B,'Download of SFDC Activation Rep'!Y:Y),"")</f>
        <v>46279</v>
      </c>
      <c r="U98" s="25">
        <f t="shared" si="2"/>
        <v>46174</v>
      </c>
    </row>
    <row r="99">
      <c r="F99" s="14"/>
      <c r="G99" s="13" t="str">
        <f t="array" ref="G99">iferror(XLOOKUP(A99,'Download of SFDC Activation Rep'!B:B,'Download of SFDC Activation Rep'!H:H),"")</f>
        <v>Active</v>
      </c>
      <c r="H99" s="13" t="str">
        <f t="array" ref="H99">iferror(xlookup(A99,'Download of SFDC Activation Rep'!B:B,'Download of SFDC Activation Rep'!L:L),"")</f>
        <v/>
      </c>
      <c r="I99" s="17" t="str">
        <f t="shared" si="1"/>
        <v>Active</v>
      </c>
      <c r="J99" s="17" t="str">
        <f t="array" ref="J99">iferror(XLOOKUP(A99,'Download of SFDC Activation Rep'!B:B,'Download of SFDC Activation Rep'!X:X),"")</f>
        <v>Arianna Modesti</v>
      </c>
      <c r="K99" s="17" t="str">
        <f t="array" ref="K99">iferror(XLOOKUP(A99,'Download of SFDC Activation Rep'!B:B,'Download of SFDC Activation Rep'!C:C),"")</f>
        <v>CRNA Locum Jobs</v>
      </c>
      <c r="L99" s="18">
        <f t="array" ref="L99">iferror(XLOOKUP(A99,'Download of SFDC Activation Rep'!B:B,'Download of SFDC Activation Rep'!S:S),"")</f>
        <v>876.5</v>
      </c>
      <c r="M99" s="24">
        <f t="array" ref="M99">iferror(XLOOKUP(A99,'Download of SFDC Activation Rep'!B:B,'Download of SFDC Activation Rep'!Z:Z)+150,"")</f>
        <v>46249</v>
      </c>
      <c r="N99" s="24">
        <f t="array" ref="N99">iferror(XLOOKUP(A99,'Download of SFDC Activation Rep'!B:B,'Download of SFDC Activation Rep'!Y:Y),"")</f>
        <v>46258</v>
      </c>
      <c r="U99" s="25">
        <f t="shared" si="2"/>
        <v>46113</v>
      </c>
    </row>
    <row r="100">
      <c r="F100" s="14"/>
      <c r="G100" s="13" t="str">
        <f t="array" ref="G100">iferror(XLOOKUP(A100,'Download of SFDC Activation Rep'!B:B,'Download of SFDC Activation Rep'!H:H),"")</f>
        <v>Inactive</v>
      </c>
      <c r="H100" s="13" t="str">
        <f t="array" ref="H100">iferror(xlookup(A100,'Download of SFDC Activation Rep'!B:B,'Download of SFDC Activation Rep'!L:L),"")</f>
        <v/>
      </c>
      <c r="I100" s="17" t="str">
        <f t="shared" si="1"/>
        <v>Not Active</v>
      </c>
      <c r="J100" s="17" t="str">
        <f t="array" ref="J100">iferror(XLOOKUP(A100,'Download of SFDC Activation Rep'!B:B,'Download of SFDC Activation Rep'!X:X),"")</f>
        <v>Matthew Frost</v>
      </c>
      <c r="K100" s="17" t="str">
        <f t="array" ref="K100">iferror(XLOOKUP(A100,'Download of SFDC Activation Rep'!B:B,'Download of SFDC Activation Rep'!C:C),"")</f>
        <v>Stigall Sales Inc.</v>
      </c>
      <c r="L100" s="18">
        <f t="array" ref="L100">iferror(XLOOKUP(A100,'Download of SFDC Activation Rep'!B:B,'Download of SFDC Activation Rep'!S:S),"")</f>
        <v>455</v>
      </c>
      <c r="M100" s="24">
        <f t="array" ref="M100">iferror(XLOOKUP(A100,'Download of SFDC Activation Rep'!B:B,'Download of SFDC Activation Rep'!Z:Z)+150,"")</f>
        <v>46209</v>
      </c>
      <c r="N100" s="24">
        <f t="array" ref="N100">iferror(XLOOKUP(A100,'Download of SFDC Activation Rep'!B:B,'Download of SFDC Activation Rep'!Y:Y),"")</f>
        <v>46101</v>
      </c>
      <c r="U100" s="25">
        <f t="shared" si="2"/>
        <v>46082</v>
      </c>
    </row>
    <row r="101">
      <c r="F101" s="14"/>
      <c r="G101" s="13" t="str">
        <f t="array" ref="G101">iferror(XLOOKUP(A101,'Download of SFDC Activation Rep'!B:B,'Download of SFDC Activation Rep'!H:H),"")</f>
        <v>Active</v>
      </c>
      <c r="H101" s="13" t="str">
        <f t="array" ref="H101">iferror(xlookup(A101,'Download of SFDC Activation Rep'!B:B,'Download of SFDC Activation Rep'!L:L),"")</f>
        <v/>
      </c>
      <c r="I101" s="17" t="str">
        <f t="shared" si="1"/>
        <v>Active</v>
      </c>
      <c r="J101" s="17" t="str">
        <f t="array" ref="J101">iferror(XLOOKUP(A101,'Download of SFDC Activation Rep'!B:B,'Download of SFDC Activation Rep'!X:X),"")</f>
        <v>Matthew Frost</v>
      </c>
      <c r="K101" s="17" t="str">
        <f t="array" ref="K101">iferror(XLOOKUP(A101,'Download of SFDC Activation Rep'!B:B,'Download of SFDC Activation Rep'!C:C),"")</f>
        <v>gh Package Product Testing and Consulting, Inc.</v>
      </c>
      <c r="L101" s="18">
        <f t="array" ref="L101">iferror(XLOOKUP(A101,'Download of SFDC Activation Rep'!B:B,'Download of SFDC Activation Rep'!S:S),"")</f>
        <v>120.31</v>
      </c>
      <c r="M101" s="24">
        <f t="array" ref="M101">iferror(XLOOKUP(A101,'Download of SFDC Activation Rep'!B:B,'Download of SFDC Activation Rep'!Z:Z)+150,"")</f>
        <v>46128</v>
      </c>
      <c r="N101" s="24">
        <f t="array" ref="N101">iferror(XLOOKUP(A101,'Download of SFDC Activation Rep'!B:B,'Download of SFDC Activation Rep'!Y:Y),"")</f>
        <v>45989</v>
      </c>
      <c r="U101" s="25">
        <f t="shared" si="2"/>
        <v>45992</v>
      </c>
    </row>
    <row r="102">
      <c r="F102" s="14"/>
      <c r="G102" s="13" t="str">
        <f t="array" ref="G102">iferror(XLOOKUP(A102,'Download of SFDC Activation Rep'!B:B,'Download of SFDC Activation Rep'!H:H),"")</f>
        <v>Active</v>
      </c>
      <c r="H102" s="13" t="str">
        <f t="array" ref="H102">iferror(xlookup(A102,'Download of SFDC Activation Rep'!B:B,'Download of SFDC Activation Rep'!L:L),"")</f>
        <v>Active</v>
      </c>
      <c r="I102" s="17" t="str">
        <f t="shared" si="1"/>
        <v>Active</v>
      </c>
      <c r="J102" s="17" t="str">
        <f t="array" ref="J102">iferror(XLOOKUP(A102,'Download of SFDC Activation Rep'!B:B,'Download of SFDC Activation Rep'!X:X),"")</f>
        <v>Kate Olivares</v>
      </c>
      <c r="K102" s="17" t="str">
        <f t="array" ref="K102">iferror(XLOOKUP(A102,'Download of SFDC Activation Rep'!B:B,'Download of SFDC Activation Rep'!C:C),"")</f>
        <v>Performance Supply LLC</v>
      </c>
      <c r="L102" s="18">
        <f t="array" ref="L102">iferror(XLOOKUP(A102,'Download of SFDC Activation Rep'!B:B,'Download of SFDC Activation Rep'!S:S),"")</f>
        <v>13.2</v>
      </c>
      <c r="M102" s="24">
        <f t="array" ref="M102">iferror(XLOOKUP(A102,'Download of SFDC Activation Rep'!B:B,'Download of SFDC Activation Rep'!Z:Z)+150,"")</f>
        <v>46137</v>
      </c>
      <c r="N102" s="24">
        <f t="array" ref="N102">iferror(XLOOKUP(A102,'Download of SFDC Activation Rep'!B:B,'Download of SFDC Activation Rep'!Y:Y),"")</f>
        <v>46114</v>
      </c>
      <c r="U102" s="25">
        <f t="shared" si="2"/>
        <v>45992</v>
      </c>
    </row>
    <row r="103">
      <c r="F103" s="14"/>
      <c r="G103" s="13" t="str">
        <f t="array" ref="G103">iferror(XLOOKUP(A103,'Download of SFDC Activation Rep'!B:B,'Download of SFDC Activation Rep'!H:H),"")</f>
        <v>Active</v>
      </c>
      <c r="H103" s="13" t="str">
        <f t="array" ref="H103">iferror(xlookup(A103,'Download of SFDC Activation Rep'!B:B,'Download of SFDC Activation Rep'!L:L),"")</f>
        <v/>
      </c>
      <c r="I103" s="17" t="str">
        <f t="shared" si="1"/>
        <v>Active</v>
      </c>
      <c r="J103" s="17" t="str">
        <f t="array" ref="J103">iferror(XLOOKUP(A103,'Download of SFDC Activation Rep'!B:B,'Download of SFDC Activation Rep'!X:X),"")</f>
        <v>Kate Olivares</v>
      </c>
      <c r="K103" s="17" t="str">
        <f t="array" ref="K103">iferror(XLOOKUP(A103,'Download of SFDC Activation Rep'!B:B,'Download of SFDC Activation Rep'!C:C),"")</f>
        <v>Lock Solid Storage</v>
      </c>
      <c r="L103" s="18">
        <f t="array" ref="L103">iferror(XLOOKUP(A103,'Download of SFDC Activation Rep'!B:B,'Download of SFDC Activation Rep'!S:S),"")</f>
        <v>55.89</v>
      </c>
      <c r="M103" s="24">
        <f t="array" ref="M103">iferror(XLOOKUP(A103,'Download of SFDC Activation Rep'!B:B,'Download of SFDC Activation Rep'!Z:Z)+150,"")</f>
        <v>46019</v>
      </c>
      <c r="N103" s="24">
        <f t="array" ref="N103">iferror(XLOOKUP(A103,'Download of SFDC Activation Rep'!B:B,'Download of SFDC Activation Rep'!Y:Y),"")</f>
        <v>45869</v>
      </c>
      <c r="U103" s="25">
        <f t="shared" si="2"/>
        <v>45870</v>
      </c>
    </row>
    <row r="104">
      <c r="F104" s="14"/>
      <c r="G104" s="13" t="str">
        <f t="array" ref="G104">iferror(XLOOKUP(A104,'Download of SFDC Activation Rep'!B:B,'Download of SFDC Activation Rep'!H:H),"")</f>
        <v/>
      </c>
      <c r="H104" s="13" t="str">
        <f t="array" ref="H104">iferror(xlookup(A104,'Download of SFDC Activation Rep'!B:B,'Download of SFDC Activation Rep'!L:L),"")</f>
        <v>Active</v>
      </c>
      <c r="I104" s="17" t="str">
        <f t="shared" si="1"/>
        <v>Active</v>
      </c>
      <c r="J104" s="17" t="str">
        <f t="array" ref="J104">iferror(XLOOKUP(A104,'Download of SFDC Activation Rep'!B:B,'Download of SFDC Activation Rep'!X:X),"")</f>
        <v>Kate Olivares</v>
      </c>
      <c r="K104" s="17" t="str">
        <f t="array" ref="K104">iferror(XLOOKUP(A104,'Download of SFDC Activation Rep'!B:B,'Download of SFDC Activation Rep'!C:C),"")</f>
        <v>Smart Launch LLC</v>
      </c>
      <c r="L104" s="18">
        <f t="array" ref="L104">iferror(XLOOKUP(A104,'Download of SFDC Activation Rep'!B:B,'Download of SFDC Activation Rep'!S:S),"")</f>
        <v>25.3</v>
      </c>
      <c r="M104" s="24">
        <f t="array" ref="M104">iferror(XLOOKUP(A104,'Download of SFDC Activation Rep'!B:B,'Download of SFDC Activation Rep'!Z:Z)+150,"")</f>
        <v>46164</v>
      </c>
      <c r="N104" s="24">
        <f t="array" ref="N104">iferror(XLOOKUP(A104,'Download of SFDC Activation Rep'!B:B,'Download of SFDC Activation Rep'!Y:Y),"")</f>
        <v>46022</v>
      </c>
      <c r="U104" s="25">
        <f t="shared" si="2"/>
        <v>46023</v>
      </c>
    </row>
    <row r="105">
      <c r="F105" s="14"/>
      <c r="G105" s="13" t="str">
        <f t="array" ref="G105">iferror(XLOOKUP(A105,'Download of SFDC Activation Rep'!B:B,'Download of SFDC Activation Rep'!H:H),"")</f>
        <v/>
      </c>
      <c r="H105" s="13" t="str">
        <f t="array" ref="H105">iferror(xlookup(A105,'Download of SFDC Activation Rep'!B:B,'Download of SFDC Activation Rep'!L:L),"")</f>
        <v>Active</v>
      </c>
      <c r="I105" s="17" t="str">
        <f t="shared" si="1"/>
        <v>Active</v>
      </c>
      <c r="J105" s="17" t="str">
        <f t="array" ref="J105">iferror(XLOOKUP(A105,'Download of SFDC Activation Rep'!B:B,'Download of SFDC Activation Rep'!X:X),"")</f>
        <v>Kate Olivares</v>
      </c>
      <c r="K105" s="17" t="str">
        <f t="array" ref="K105">iferror(XLOOKUP(A105,'Download of SFDC Activation Rep'!B:B,'Download of SFDC Activation Rep'!C:C),"")</f>
        <v>365 Archery LLC</v>
      </c>
      <c r="L105" s="18">
        <f t="array" ref="L105">iferror(XLOOKUP(A105,'Download of SFDC Activation Rep'!B:B,'Download of SFDC Activation Rep'!S:S),"")</f>
        <v>534.56</v>
      </c>
      <c r="M105" s="24">
        <f t="array" ref="M105">iferror(XLOOKUP(A105,'Download of SFDC Activation Rep'!B:B,'Download of SFDC Activation Rep'!Z:Z)+150,"")</f>
        <v>46137</v>
      </c>
      <c r="N105" s="24">
        <f t="array" ref="N105">iferror(XLOOKUP(A105,'Download of SFDC Activation Rep'!B:B,'Download of SFDC Activation Rep'!Y:Y),"")</f>
        <v>46008</v>
      </c>
      <c r="U105" s="25">
        <f t="shared" si="2"/>
        <v>45992</v>
      </c>
    </row>
    <row r="106">
      <c r="F106" s="14"/>
      <c r="G106" s="13" t="str">
        <f t="array" ref="G106">iferror(XLOOKUP(A106,'Download of SFDC Activation Rep'!B:B,'Download of SFDC Activation Rep'!H:H),"")</f>
        <v/>
      </c>
      <c r="H106" s="13" t="str">
        <f t="array" ref="H106">iferror(xlookup(A106,'Download of SFDC Activation Rep'!B:B,'Download of SFDC Activation Rep'!L:L),"")</f>
        <v>Inactive</v>
      </c>
      <c r="I106" s="17" t="str">
        <f t="shared" si="1"/>
        <v>Not Active</v>
      </c>
      <c r="J106" s="17" t="str">
        <f t="array" ref="J106">iferror(XLOOKUP(A106,'Download of SFDC Activation Rep'!B:B,'Download of SFDC Activation Rep'!X:X),"")</f>
        <v>Kate Olivares</v>
      </c>
      <c r="K106" s="17" t="str">
        <f t="array" ref="K106">iferror(XLOOKUP(A106,'Download of SFDC Activation Rep'!B:B,'Download of SFDC Activation Rep'!C:C),"")</f>
        <v>D.R. Stephens Estate Wines, LLC</v>
      </c>
      <c r="L106" s="18">
        <f t="array" ref="L106">iferror(XLOOKUP(A106,'Download of SFDC Activation Rep'!B:B,'Download of SFDC Activation Rep'!S:S),"")</f>
        <v>68.2</v>
      </c>
      <c r="M106" s="24">
        <f t="array" ref="M106">iferror(XLOOKUP(A106,'Download of SFDC Activation Rep'!B:B,'Download of SFDC Activation Rep'!Z:Z)+150,"")</f>
        <v>46163</v>
      </c>
      <c r="N106" s="24">
        <f t="array" ref="N106">iferror(XLOOKUP(A106,'Download of SFDC Activation Rep'!B:B,'Download of SFDC Activation Rep'!Y:Y),"")</f>
        <v>46036</v>
      </c>
      <c r="U106" s="25">
        <f t="shared" si="2"/>
        <v>46023</v>
      </c>
    </row>
    <row r="107">
      <c r="F107" s="14"/>
      <c r="G107" s="13" t="str">
        <f t="array" ref="G107">iferror(XLOOKUP(A107,'Download of SFDC Activation Rep'!B:B,'Download of SFDC Activation Rep'!H:H),"")</f>
        <v>Active</v>
      </c>
      <c r="H107" s="13" t="str">
        <f t="array" ref="H107">iferror(xlookup(A107,'Download of SFDC Activation Rep'!B:B,'Download of SFDC Activation Rep'!L:L),"")</f>
        <v>Active</v>
      </c>
      <c r="I107" s="17" t="str">
        <f t="shared" si="1"/>
        <v>Active</v>
      </c>
      <c r="J107" s="17" t="str">
        <f t="array" ref="J107">iferror(XLOOKUP(A107,'Download of SFDC Activation Rep'!B:B,'Download of SFDC Activation Rep'!X:X),"")</f>
        <v>Arianna Modesti</v>
      </c>
      <c r="K107" s="17" t="str">
        <f t="array" ref="K107">iferror(XLOOKUP(A107,'Download of SFDC Activation Rep'!B:B,'Download of SFDC Activation Rep'!C:C),"")</f>
        <v>WHITE COLLAR MEDIA</v>
      </c>
      <c r="L107" s="18">
        <f t="array" ref="L107">iferror(XLOOKUP(A107,'Download of SFDC Activation Rep'!B:B,'Download of SFDC Activation Rep'!S:S),"")</f>
        <v>231.27</v>
      </c>
      <c r="M107" s="24">
        <f t="array" ref="M107">iferror(XLOOKUP(A107,'Download of SFDC Activation Rep'!B:B,'Download of SFDC Activation Rep'!Z:Z)+150,"")</f>
        <v>46289</v>
      </c>
      <c r="N107" s="24">
        <f t="array" ref="N107">iferror(XLOOKUP(A107,'Download of SFDC Activation Rep'!B:B,'Download of SFDC Activation Rep'!Y:Y),"")</f>
        <v>46258</v>
      </c>
      <c r="U107" s="25">
        <f t="shared" si="2"/>
        <v>46143</v>
      </c>
    </row>
    <row r="108">
      <c r="F108" s="14"/>
      <c r="G108" s="13" t="str">
        <f t="array" ref="G108">iferror(XLOOKUP(A108,'Download of SFDC Activation Rep'!B:B,'Download of SFDC Activation Rep'!H:H),"")</f>
        <v>Active</v>
      </c>
      <c r="H108" s="13" t="str">
        <f t="array" ref="H108">iferror(xlookup(A108,'Download of SFDC Activation Rep'!B:B,'Download of SFDC Activation Rep'!L:L),"")</f>
        <v/>
      </c>
      <c r="I108" s="17" t="str">
        <f t="shared" si="1"/>
        <v>Active</v>
      </c>
      <c r="J108" s="17" t="str">
        <f t="array" ref="J108">iferror(XLOOKUP(A108,'Download of SFDC Activation Rep'!B:B,'Download of SFDC Activation Rep'!X:X),"")</f>
        <v>Arianna Modesti</v>
      </c>
      <c r="K108" s="17" t="str">
        <f t="array" ref="K108">iferror(XLOOKUP(A108,'Download of SFDC Activation Rep'!B:B,'Download of SFDC Activation Rep'!C:C),"")</f>
        <v>Covenant Construction Group Inc</v>
      </c>
      <c r="L108" s="18">
        <f t="array" ref="L108">iferror(XLOOKUP(A108,'Download of SFDC Activation Rep'!B:B,'Download of SFDC Activation Rep'!S:S),"")</f>
        <v>435</v>
      </c>
      <c r="M108" s="24">
        <f t="array" ref="M108">iferror(XLOOKUP(A108,'Download of SFDC Activation Rep'!B:B,'Download of SFDC Activation Rep'!Z:Z)+150,"")</f>
        <v>46284</v>
      </c>
      <c r="N108" s="24">
        <f t="array" ref="N108">iferror(XLOOKUP(A108,'Download of SFDC Activation Rep'!B:B,'Download of SFDC Activation Rep'!Y:Y),"")</f>
        <v>46251</v>
      </c>
      <c r="U108" s="25">
        <f t="shared" si="2"/>
        <v>46143</v>
      </c>
    </row>
    <row r="109">
      <c r="F109" s="14"/>
      <c r="G109" s="13" t="str">
        <f t="array" ref="G109">iferror(XLOOKUP(A109,'Download of SFDC Activation Rep'!B:B,'Download of SFDC Activation Rep'!H:H),"")</f>
        <v>Active</v>
      </c>
      <c r="H109" s="13" t="str">
        <f t="array" ref="H109">iferror(xlookup(A109,'Download of SFDC Activation Rep'!B:B,'Download of SFDC Activation Rep'!L:L),"")</f>
        <v>Churned</v>
      </c>
      <c r="I109" s="17" t="str">
        <f t="shared" si="1"/>
        <v>Active</v>
      </c>
      <c r="J109" s="17" t="str">
        <f t="array" ref="J109">iferror(XLOOKUP(A109,'Download of SFDC Activation Rep'!B:B,'Download of SFDC Activation Rep'!X:X),"")</f>
        <v>Matthew Frost</v>
      </c>
      <c r="K109" s="17" t="str">
        <f t="array" ref="K109">iferror(XLOOKUP(A109,'Download of SFDC Activation Rep'!B:B,'Download of SFDC Activation Rep'!C:C),"")</f>
        <v>Big House Group LLC</v>
      </c>
      <c r="L109" s="18">
        <f t="array" ref="L109">iferror(XLOOKUP(A109,'Download of SFDC Activation Rep'!B:B,'Download of SFDC Activation Rep'!S:S),"")</f>
        <v>403</v>
      </c>
      <c r="M109" s="24">
        <f t="array" ref="M109">iferror(XLOOKUP(A109,'Download of SFDC Activation Rep'!B:B,'Download of SFDC Activation Rep'!Z:Z)+150,"")</f>
        <v>46177</v>
      </c>
      <c r="N109" s="24">
        <f t="array" ref="N109">iferror(XLOOKUP(A109,'Download of SFDC Activation Rep'!B:B,'Download of SFDC Activation Rep'!Y:Y),"")</f>
        <v>46042</v>
      </c>
      <c r="U109" s="25">
        <f t="shared" si="2"/>
        <v>46054</v>
      </c>
    </row>
    <row r="110">
      <c r="F110" s="14"/>
      <c r="G110" s="13" t="str">
        <f t="array" ref="G110">iferror(XLOOKUP(A110,'Download of SFDC Activation Rep'!B:B,'Download of SFDC Activation Rep'!H:H),"")</f>
        <v/>
      </c>
      <c r="H110" s="13" t="str">
        <f t="array" ref="H110">iferror(xlookup(A110,'Download of SFDC Activation Rep'!B:B,'Download of SFDC Activation Rep'!L:L),"")</f>
        <v>Active</v>
      </c>
      <c r="I110" s="17" t="str">
        <f t="shared" si="1"/>
        <v>Active</v>
      </c>
      <c r="J110" s="17" t="str">
        <f t="array" ref="J110">iferror(XLOOKUP(A110,'Download of SFDC Activation Rep'!B:B,'Download of SFDC Activation Rep'!X:X),"")</f>
        <v>Arianna Modesti</v>
      </c>
      <c r="K110" s="17" t="str">
        <f t="array" ref="K110">iferror(XLOOKUP(A110,'Download of SFDC Activation Rep'!B:B,'Download of SFDC Activation Rep'!C:C),"")</f>
        <v>NOFD Firewatch Detail</v>
      </c>
      <c r="L110" s="18">
        <f t="array" ref="L110">iferror(XLOOKUP(A110,'Download of SFDC Activation Rep'!B:B,'Download of SFDC Activation Rep'!S:S),"")</f>
        <v>0</v>
      </c>
      <c r="M110" s="24">
        <f t="array" ref="M110">iferror(XLOOKUP(A110,'Download of SFDC Activation Rep'!B:B,'Download of SFDC Activation Rep'!Z:Z)+150,"")</f>
        <v>46254</v>
      </c>
      <c r="N110" s="24">
        <f t="array" ref="N110">iferror(XLOOKUP(A110,'Download of SFDC Activation Rep'!B:B,'Download of SFDC Activation Rep'!Y:Y),"")</f>
        <v>46132</v>
      </c>
      <c r="U110" s="25">
        <f t="shared" si="2"/>
        <v>46113</v>
      </c>
    </row>
    <row r="111">
      <c r="F111" s="14"/>
      <c r="G111" s="13" t="str">
        <f t="array" ref="G111">iferror(XLOOKUP(A111,'Download of SFDC Activation Rep'!B:B,'Download of SFDC Activation Rep'!H:H),"")</f>
        <v>Active</v>
      </c>
      <c r="H111" s="13" t="str">
        <f t="array" ref="H111">iferror(xlookup(A111,'Download of SFDC Activation Rep'!B:B,'Download of SFDC Activation Rep'!L:L),"")</f>
        <v/>
      </c>
      <c r="I111" s="17" t="str">
        <f t="shared" si="1"/>
        <v>Active</v>
      </c>
      <c r="J111" s="17" t="str">
        <f t="array" ref="J111">iferror(XLOOKUP(A111,'Download of SFDC Activation Rep'!B:B,'Download of SFDC Activation Rep'!X:X),"")</f>
        <v>Matthew Frost</v>
      </c>
      <c r="K111" s="17" t="str">
        <f t="array" ref="K111">iferror(XLOOKUP(A111,'Download of SFDC Activation Rep'!B:B,'Download of SFDC Activation Rep'!C:C),"")</f>
        <v>Austin Elementary PTO</v>
      </c>
      <c r="L111" s="18">
        <f t="array" ref="L111">iferror(XLOOKUP(A111,'Download of SFDC Activation Rep'!B:B,'Download of SFDC Activation Rep'!S:S),"")</f>
        <v>50</v>
      </c>
      <c r="M111" s="24">
        <f t="array" ref="M111">iferror(XLOOKUP(A111,'Download of SFDC Activation Rep'!B:B,'Download of SFDC Activation Rep'!Z:Z)+150,"")</f>
        <v>46079</v>
      </c>
      <c r="N111" s="24">
        <f t="array" ref="N111">iferror(XLOOKUP(A111,'Download of SFDC Activation Rep'!B:B,'Download of SFDC Activation Rep'!Y:Y),"")</f>
        <v>45936</v>
      </c>
      <c r="U111" s="25">
        <f t="shared" si="2"/>
        <v>45931</v>
      </c>
    </row>
    <row r="112">
      <c r="F112" s="14"/>
      <c r="G112" s="13" t="str">
        <f t="array" ref="G112">iferror(XLOOKUP(A112,'Download of SFDC Activation Rep'!B:B,'Download of SFDC Activation Rep'!H:H),"")</f>
        <v>Active</v>
      </c>
      <c r="H112" s="13" t="str">
        <f t="array" ref="H112">iferror(xlookup(A112,'Download of SFDC Activation Rep'!B:B,'Download of SFDC Activation Rep'!L:L),"")</f>
        <v/>
      </c>
      <c r="I112" s="17" t="str">
        <f t="shared" si="1"/>
        <v>Active</v>
      </c>
      <c r="J112" s="17" t="str">
        <f t="array" ref="J112">iferror(XLOOKUP(A112,'Download of SFDC Activation Rep'!B:B,'Download of SFDC Activation Rep'!X:X),"")</f>
        <v>Kate Olivares</v>
      </c>
      <c r="K112" s="17" t="str">
        <f t="array" ref="K112">iferror(XLOOKUP(A112,'Download of SFDC Activation Rep'!B:B,'Download of SFDC Activation Rep'!C:C),"")</f>
        <v>Amlife Global LLC</v>
      </c>
      <c r="L112" s="18">
        <f t="array" ref="L112">iferror(XLOOKUP(A112,'Download of SFDC Activation Rep'!B:B,'Download of SFDC Activation Rep'!S:S),"")</f>
        <v>0</v>
      </c>
      <c r="M112" s="24">
        <f t="array" ref="M112">iferror(XLOOKUP(A112,'Download of SFDC Activation Rep'!B:B,'Download of SFDC Activation Rep'!Z:Z)+150,"")</f>
        <v>46129</v>
      </c>
      <c r="N112" s="24">
        <f t="array" ref="N112">iferror(XLOOKUP(A112,'Download of SFDC Activation Rep'!B:B,'Download of SFDC Activation Rep'!Y:Y),"")</f>
        <v>45995</v>
      </c>
      <c r="U112" s="25">
        <f t="shared" si="2"/>
        <v>45992</v>
      </c>
    </row>
    <row r="113">
      <c r="F113" s="14"/>
      <c r="G113" s="13" t="str">
        <f t="array" ref="G113">iferror(XLOOKUP(A113,'Download of SFDC Activation Rep'!B:B,'Download of SFDC Activation Rep'!H:H),"")</f>
        <v>Active</v>
      </c>
      <c r="H113" s="13" t="str">
        <f t="array" ref="H113">iferror(xlookup(A113,'Download of SFDC Activation Rep'!B:B,'Download of SFDC Activation Rep'!L:L),"")</f>
        <v/>
      </c>
      <c r="I113" s="17" t="str">
        <f t="shared" si="1"/>
        <v>Active</v>
      </c>
      <c r="J113" s="17" t="str">
        <f t="array" ref="J113">iferror(XLOOKUP(A113,'Download of SFDC Activation Rep'!B:B,'Download of SFDC Activation Rep'!X:X),"")</f>
        <v>Kate Olivares</v>
      </c>
      <c r="K113" s="17" t="str">
        <f t="array" ref="K113">iferror(XLOOKUP(A113,'Download of SFDC Activation Rep'!B:B,'Download of SFDC Activation Rep'!C:C),"")</f>
        <v>Hemm Ventures LLC</v>
      </c>
      <c r="L113" s="18">
        <f t="array" ref="L113">iferror(XLOOKUP(A113,'Download of SFDC Activation Rep'!B:B,'Download of SFDC Activation Rep'!S:S),"")</f>
        <v>50</v>
      </c>
      <c r="M113" s="24">
        <f t="array" ref="M113">iferror(XLOOKUP(A113,'Download of SFDC Activation Rep'!B:B,'Download of SFDC Activation Rep'!Z:Z)+150,"")</f>
        <v>46129</v>
      </c>
      <c r="N113" s="24">
        <f t="array" ref="N113">iferror(XLOOKUP(A113,'Download of SFDC Activation Rep'!B:B,'Download of SFDC Activation Rep'!Y:Y),"")</f>
        <v>45999</v>
      </c>
      <c r="U113" s="25">
        <f t="shared" si="2"/>
        <v>45992</v>
      </c>
    </row>
    <row r="114">
      <c r="F114" s="14"/>
      <c r="G114" s="13" t="str">
        <f t="array" ref="G114">iferror(XLOOKUP(A114,'Download of SFDC Activation Rep'!B:B,'Download of SFDC Activation Rep'!H:H),"")</f>
        <v>Active</v>
      </c>
      <c r="H114" s="13" t="str">
        <f t="array" ref="H114">iferror(xlookup(A114,'Download of SFDC Activation Rep'!B:B,'Download of SFDC Activation Rep'!L:L),"")</f>
        <v/>
      </c>
      <c r="I114" s="17" t="str">
        <f t="shared" si="1"/>
        <v>Active</v>
      </c>
      <c r="J114" s="17" t="str">
        <f t="array" ref="J114">iferror(XLOOKUP(A114,'Download of SFDC Activation Rep'!B:B,'Download of SFDC Activation Rep'!X:X),"")</f>
        <v>Kate Olivares</v>
      </c>
      <c r="K114" s="17" t="str">
        <f t="array" ref="K114">iferror(XLOOKUP(A114,'Download of SFDC Activation Rep'!B:B,'Download of SFDC Activation Rep'!C:C),"")</f>
        <v>Trustwell Brands LLC</v>
      </c>
      <c r="L114" s="18">
        <f t="array" ref="L114">iferror(XLOOKUP(A114,'Download of SFDC Activation Rep'!B:B,'Download of SFDC Activation Rep'!S:S),"")</f>
        <v>0</v>
      </c>
      <c r="M114" s="24">
        <f t="array" ref="M114">iferror(XLOOKUP(A114,'Download of SFDC Activation Rep'!B:B,'Download of SFDC Activation Rep'!Z:Z)+150,"")</f>
        <v>46129</v>
      </c>
      <c r="N114" s="24">
        <f t="array" ref="N114">iferror(XLOOKUP(A114,'Download of SFDC Activation Rep'!B:B,'Download of SFDC Activation Rep'!Y:Y),"")</f>
        <v>45995</v>
      </c>
      <c r="U114" s="25">
        <f t="shared" si="2"/>
        <v>45992</v>
      </c>
    </row>
    <row r="115">
      <c r="F115" s="14"/>
      <c r="G115" s="13" t="str">
        <f t="array" ref="G115">iferror(XLOOKUP(A115,'Download of SFDC Activation Rep'!B:B,'Download of SFDC Activation Rep'!H:H),"")</f>
        <v>Active</v>
      </c>
      <c r="H115" s="13" t="str">
        <f t="array" ref="H115">iferror(xlookup(A115,'Download of SFDC Activation Rep'!B:B,'Download of SFDC Activation Rep'!L:L),"")</f>
        <v/>
      </c>
      <c r="I115" s="17" t="str">
        <f t="shared" si="1"/>
        <v>Active</v>
      </c>
      <c r="J115" s="17" t="str">
        <f t="array" ref="J115">iferror(XLOOKUP(A115,'Download of SFDC Activation Rep'!B:B,'Download of SFDC Activation Rep'!X:X),"")</f>
        <v>Kate Olivares</v>
      </c>
      <c r="K115" s="17" t="str">
        <f t="array" ref="K115">iferror(XLOOKUP(A115,'Download of SFDC Activation Rep'!B:B,'Download of SFDC Activation Rep'!C:C),"")</f>
        <v>Meraki Ventures LLC</v>
      </c>
      <c r="L115" s="18">
        <f t="array" ref="L115">iferror(XLOOKUP(A115,'Download of SFDC Activation Rep'!B:B,'Download of SFDC Activation Rep'!S:S),"")</f>
        <v>25</v>
      </c>
      <c r="M115" s="24">
        <f t="array" ref="M115">iferror(XLOOKUP(A115,'Download of SFDC Activation Rep'!B:B,'Download of SFDC Activation Rep'!Z:Z)+150,"")</f>
        <v>46142</v>
      </c>
      <c r="N115" s="24">
        <f t="array" ref="N115">iferror(XLOOKUP(A115,'Download of SFDC Activation Rep'!B:B,'Download of SFDC Activation Rep'!Y:Y),"")</f>
        <v>45999</v>
      </c>
      <c r="U115" s="25">
        <f t="shared" si="2"/>
        <v>45992</v>
      </c>
    </row>
    <row r="116">
      <c r="F116" s="14"/>
      <c r="G116" s="13" t="str">
        <f t="array" ref="G116">iferror(XLOOKUP(A116,'Download of SFDC Activation Rep'!B:B,'Download of SFDC Activation Rep'!H:H),"")</f>
        <v/>
      </c>
      <c r="H116" s="13" t="str">
        <f t="array" ref="H116">iferror(xlookup(A116,'Download of SFDC Activation Rep'!B:B,'Download of SFDC Activation Rep'!L:L),"")</f>
        <v>Active</v>
      </c>
      <c r="I116" s="17" t="str">
        <f t="shared" si="1"/>
        <v>Active</v>
      </c>
      <c r="J116" s="17" t="str">
        <f t="array" ref="J116">iferror(XLOOKUP(A116,'Download of SFDC Activation Rep'!B:B,'Download of SFDC Activation Rep'!X:X),"")</f>
        <v>Matthew Frost</v>
      </c>
      <c r="K116" s="17" t="str">
        <f t="array" ref="K116">iferror(XLOOKUP(A116,'Download of SFDC Activation Rep'!B:B,'Download of SFDC Activation Rep'!C:C),"")</f>
        <v>ETA Signs</v>
      </c>
      <c r="L116" s="18">
        <f t="array" ref="L116">iferror(XLOOKUP(A116,'Download of SFDC Activation Rep'!B:B,'Download of SFDC Activation Rep'!S:S),"")</f>
        <v>395</v>
      </c>
      <c r="M116" s="24">
        <f t="array" ref="M116">iferror(XLOOKUP(A116,'Download of SFDC Activation Rep'!B:B,'Download of SFDC Activation Rep'!Z:Z)+150,"")</f>
        <v>46142</v>
      </c>
      <c r="N116" s="24">
        <f t="array" ref="N116">iferror(XLOOKUP(A116,'Download of SFDC Activation Rep'!B:B,'Download of SFDC Activation Rep'!Y:Y),"")</f>
        <v>46000</v>
      </c>
      <c r="U116" s="25">
        <f t="shared" si="2"/>
        <v>45992</v>
      </c>
    </row>
    <row r="117">
      <c r="F117" s="14"/>
      <c r="G117" s="13" t="str">
        <f t="array" ref="G117">iferror(XLOOKUP(A117,'Download of SFDC Activation Rep'!B:B,'Download of SFDC Activation Rep'!H:H),"")</f>
        <v>Churned</v>
      </c>
      <c r="H117" s="13" t="str">
        <f t="array" ref="H117">iferror(xlookup(A117,'Download of SFDC Activation Rep'!B:B,'Download of SFDC Activation Rep'!L:L),"")</f>
        <v>Active</v>
      </c>
      <c r="I117" s="17" t="str">
        <f t="shared" si="1"/>
        <v>Active</v>
      </c>
      <c r="J117" s="17" t="str">
        <f t="array" ref="J117">iferror(XLOOKUP(A117,'Download of SFDC Activation Rep'!B:B,'Download of SFDC Activation Rep'!X:X),"")</f>
        <v>Kate Olivares</v>
      </c>
      <c r="K117" s="17" t="str">
        <f t="array" ref="K117">iferror(XLOOKUP(A117,'Download of SFDC Activation Rep'!B:B,'Download of SFDC Activation Rep'!C:C),"")</f>
        <v>Avenue 8 Group Inc</v>
      </c>
      <c r="L117" s="18">
        <f t="array" ref="L117">iferror(XLOOKUP(A117,'Download of SFDC Activation Rep'!B:B,'Download of SFDC Activation Rep'!S:S),"")</f>
        <v>25</v>
      </c>
      <c r="M117" s="24">
        <f t="array" ref="M117">iferror(XLOOKUP(A117,'Download of SFDC Activation Rep'!B:B,'Download of SFDC Activation Rep'!Z:Z)+150,"")</f>
        <v>46209</v>
      </c>
      <c r="N117" s="24">
        <f t="array" ref="N117">iferror(XLOOKUP(A117,'Download of SFDC Activation Rep'!B:B,'Download of SFDC Activation Rep'!Y:Y),"")</f>
        <v>46059</v>
      </c>
      <c r="U117" s="25">
        <f t="shared" si="2"/>
        <v>46082</v>
      </c>
    </row>
    <row r="118">
      <c r="F118" s="14"/>
      <c r="G118" s="13" t="str">
        <f t="array" ref="G118">iferror(XLOOKUP(A118,'Download of SFDC Activation Rep'!B:B,'Download of SFDC Activation Rep'!H:H),"")</f>
        <v/>
      </c>
      <c r="H118" s="13" t="str">
        <f t="array" ref="H118">iferror(xlookup(A118,'Download of SFDC Activation Rep'!B:B,'Download of SFDC Activation Rep'!L:L),"")</f>
        <v>Active</v>
      </c>
      <c r="I118" s="17" t="str">
        <f t="shared" si="1"/>
        <v>Active</v>
      </c>
      <c r="J118" s="17" t="str">
        <f t="array" ref="J118">iferror(XLOOKUP(A118,'Download of SFDC Activation Rep'!B:B,'Download of SFDC Activation Rep'!X:X),"")</f>
        <v>Kate Olivares</v>
      </c>
      <c r="K118" s="17" t="str">
        <f t="array" ref="K118">iferror(XLOOKUP(A118,'Download of SFDC Activation Rep'!B:B,'Download of SFDC Activation Rep'!C:C),"")</f>
        <v>Handled Commerce</v>
      </c>
      <c r="L118" s="18">
        <f t="array" ref="L118">iferror(XLOOKUP(A118,'Download of SFDC Activation Rep'!B:B,'Download of SFDC Activation Rep'!S:S),"")</f>
        <v>100</v>
      </c>
      <c r="M118" s="24">
        <f t="array" ref="M118">iferror(XLOOKUP(A118,'Download of SFDC Activation Rep'!B:B,'Download of SFDC Activation Rep'!Z:Z)+150,"")</f>
        <v>45970</v>
      </c>
      <c r="N118" s="24">
        <f t="array" ref="N118">iferror(XLOOKUP(A118,'Download of SFDC Activation Rep'!B:B,'Download of SFDC Activation Rep'!Y:Y),"")</f>
        <v>45829</v>
      </c>
      <c r="U118" s="25">
        <f t="shared" si="2"/>
        <v>45839</v>
      </c>
    </row>
    <row r="119">
      <c r="F119" s="14"/>
      <c r="G119" s="13" t="str">
        <f t="array" ref="G119">iferror(XLOOKUP(A119,'Download of SFDC Activation Rep'!B:B,'Download of SFDC Activation Rep'!H:H),"")</f>
        <v>Churned</v>
      </c>
      <c r="H119" s="13" t="str">
        <f t="array" ref="H119">iferror(xlookup(A119,'Download of SFDC Activation Rep'!B:B,'Download of SFDC Activation Rep'!L:L),"")</f>
        <v/>
      </c>
      <c r="I119" s="17" t="str">
        <f t="shared" si="1"/>
        <v>Not Active</v>
      </c>
      <c r="J119" s="17" t="str">
        <f t="array" ref="J119">iferror(XLOOKUP(A119,'Download of SFDC Activation Rep'!B:B,'Download of SFDC Activation Rep'!X:X),"")</f>
        <v>Matthew Frost</v>
      </c>
      <c r="K119" s="17" t="str">
        <f t="array" ref="K119">iferror(XLOOKUP(A119,'Download of SFDC Activation Rep'!B:B,'Download of SFDC Activation Rep'!C:C),"")</f>
        <v>AI Talent Now, LLC</v>
      </c>
      <c r="L119" s="18">
        <f t="array" ref="L119">iferror(XLOOKUP(A119,'Download of SFDC Activation Rep'!B:B,'Download of SFDC Activation Rep'!S:S),"")</f>
        <v>103.64</v>
      </c>
      <c r="M119" s="24">
        <f t="array" ref="M119">iferror(XLOOKUP(A119,'Download of SFDC Activation Rep'!B:B,'Download of SFDC Activation Rep'!Z:Z)+150,"")</f>
        <v>46129</v>
      </c>
      <c r="N119" s="24">
        <f t="array" ref="N119">iferror(XLOOKUP(A119,'Download of SFDC Activation Rep'!B:B,'Download of SFDC Activation Rep'!Y:Y),"")</f>
        <v>45985</v>
      </c>
      <c r="U119" s="25">
        <f t="shared" si="2"/>
        <v>45992</v>
      </c>
    </row>
    <row r="120">
      <c r="F120" s="14"/>
      <c r="G120" s="13" t="str">
        <f t="array" ref="G120">iferror(XLOOKUP(A120,'Download of SFDC Activation Rep'!B:B,'Download of SFDC Activation Rep'!H:H),"")</f>
        <v>Active</v>
      </c>
      <c r="H120" s="13" t="str">
        <f t="array" ref="H120">iferror(xlookup(A120,'Download of SFDC Activation Rep'!B:B,'Download of SFDC Activation Rep'!L:L),"")</f>
        <v/>
      </c>
      <c r="I120" s="17" t="str">
        <f t="shared" si="1"/>
        <v>Active</v>
      </c>
      <c r="J120" s="17" t="str">
        <f t="array" ref="J120">iferror(XLOOKUP(A120,'Download of SFDC Activation Rep'!B:B,'Download of SFDC Activation Rep'!X:X),"")</f>
        <v>Arianna Modesti</v>
      </c>
      <c r="K120" s="17" t="str">
        <f t="array" ref="K120">iferror(XLOOKUP(A120,'Download of SFDC Activation Rep'!B:B,'Download of SFDC Activation Rep'!C:C),"")</f>
        <v>Carismo</v>
      </c>
      <c r="L120" s="18">
        <f t="array" ref="L120">iferror(XLOOKUP(A120,'Download of SFDC Activation Rep'!B:B,'Download of SFDC Activation Rep'!S:S),"")</f>
        <v>400</v>
      </c>
      <c r="M120" s="24">
        <f t="array" ref="M120">iferror(XLOOKUP(A120,'Download of SFDC Activation Rep'!B:B,'Download of SFDC Activation Rep'!Z:Z)+150,"")</f>
        <v>46304</v>
      </c>
      <c r="N120" s="24">
        <f t="array" ref="N120">iferror(XLOOKUP(A120,'Download of SFDC Activation Rep'!B:B,'Download of SFDC Activation Rep'!Y:Y),"")</f>
        <v>46258</v>
      </c>
      <c r="U120" s="25">
        <f t="shared" si="2"/>
        <v>46174</v>
      </c>
    </row>
    <row r="121">
      <c r="F121" s="14"/>
      <c r="G121" s="13" t="str">
        <f t="array" ref="G121">iferror(XLOOKUP(A121,'Download of SFDC Activation Rep'!B:B,'Download of SFDC Activation Rep'!H:H),"")</f>
        <v>Active</v>
      </c>
      <c r="H121" s="13" t="str">
        <f t="array" ref="H121">iferror(xlookup(A121,'Download of SFDC Activation Rep'!B:B,'Download of SFDC Activation Rep'!L:L),"")</f>
        <v/>
      </c>
      <c r="I121" s="17" t="str">
        <f t="shared" si="1"/>
        <v>Active</v>
      </c>
      <c r="J121" s="17" t="str">
        <f t="array" ref="J121">iferror(XLOOKUP(A121,'Download of SFDC Activation Rep'!B:B,'Download of SFDC Activation Rep'!X:X),"")</f>
        <v>Matthew Frost</v>
      </c>
      <c r="K121" s="17" t="str">
        <f t="array" ref="K121">iferror(XLOOKUP(A121,'Download of SFDC Activation Rep'!B:B,'Download of SFDC Activation Rep'!C:C),"")</f>
        <v>inbanx, Inc.</v>
      </c>
      <c r="L121" s="18">
        <f t="array" ref="L121">iferror(XLOOKUP(A121,'Download of SFDC Activation Rep'!B:B,'Download of SFDC Activation Rep'!S:S),"")</f>
        <v>119.52</v>
      </c>
      <c r="M121" s="24">
        <f t="array" ref="M121">iferror(XLOOKUP(A121,'Download of SFDC Activation Rep'!B:B,'Download of SFDC Activation Rep'!Z:Z)+150,"")</f>
        <v>46080</v>
      </c>
      <c r="N121" s="24">
        <f t="array" ref="N121">iferror(XLOOKUP(A121,'Download of SFDC Activation Rep'!B:B,'Download of SFDC Activation Rep'!Y:Y),"")</f>
        <v>45950</v>
      </c>
      <c r="U121" s="25">
        <f t="shared" si="2"/>
        <v>45931</v>
      </c>
    </row>
    <row r="122">
      <c r="F122" s="14"/>
      <c r="G122" s="13" t="str">
        <f t="array" ref="G122">iferror(XLOOKUP(A122,'Download of SFDC Activation Rep'!B:B,'Download of SFDC Activation Rep'!H:H),"")</f>
        <v>Active</v>
      </c>
      <c r="H122" s="13" t="str">
        <f t="array" ref="H122">iferror(xlookup(A122,'Download of SFDC Activation Rep'!B:B,'Download of SFDC Activation Rep'!L:L),"")</f>
        <v/>
      </c>
      <c r="I122" s="17" t="str">
        <f t="shared" si="1"/>
        <v>Active</v>
      </c>
      <c r="J122" s="17" t="str">
        <f t="array" ref="J122">iferror(XLOOKUP(A122,'Download of SFDC Activation Rep'!B:B,'Download of SFDC Activation Rep'!X:X),"")</f>
        <v>Arianna Modesti</v>
      </c>
      <c r="K122" s="17" t="str">
        <f t="array" ref="K122">iferror(XLOOKUP(A122,'Download of SFDC Activation Rep'!B:B,'Download of SFDC Activation Rep'!C:C),"")</f>
        <v>JR Prime Pro Construction, LLC</v>
      </c>
      <c r="L122" s="18">
        <f t="array" ref="L122">iferror(XLOOKUP(A122,'Download of SFDC Activation Rep'!B:B,'Download of SFDC Activation Rep'!S:S),"")</f>
        <v>325</v>
      </c>
      <c r="M122" s="24">
        <f t="array" ref="M122">iferror(XLOOKUP(A122,'Download of SFDC Activation Rep'!B:B,'Download of SFDC Activation Rep'!Z:Z)+150,"")</f>
        <v>46249</v>
      </c>
      <c r="N122" s="24">
        <f t="array" ref="N122">iferror(XLOOKUP(A122,'Download of SFDC Activation Rep'!B:B,'Download of SFDC Activation Rep'!Y:Y),"")</f>
        <v>46237</v>
      </c>
      <c r="U122" s="25">
        <f t="shared" si="2"/>
        <v>46113</v>
      </c>
    </row>
    <row r="123">
      <c r="F123" s="14"/>
      <c r="G123" s="13" t="str">
        <f t="array" ref="G123">iferror(XLOOKUP(A123,'Download of SFDC Activation Rep'!B:B,'Download of SFDC Activation Rep'!H:H),"")</f>
        <v>Active</v>
      </c>
      <c r="H123" s="13" t="str">
        <f t="array" ref="H123">iferror(xlookup(A123,'Download of SFDC Activation Rep'!B:B,'Download of SFDC Activation Rep'!L:L),"")</f>
        <v/>
      </c>
      <c r="I123" s="17" t="str">
        <f t="shared" si="1"/>
        <v>Active</v>
      </c>
      <c r="J123" s="17" t="str">
        <f t="array" ref="J123">iferror(XLOOKUP(A123,'Download of SFDC Activation Rep'!B:B,'Download of SFDC Activation Rep'!X:X),"")</f>
        <v>Matthew Frost</v>
      </c>
      <c r="K123" s="17" t="str">
        <f t="array" ref="K123">iferror(XLOOKUP(A123,'Download of SFDC Activation Rep'!B:B,'Download of SFDC Activation Rep'!C:C),"")</f>
        <v>VetNecessity UC LLC</v>
      </c>
      <c r="L123" s="18">
        <f t="array" ref="L123">iferror(XLOOKUP(A123,'Download of SFDC Activation Rep'!B:B,'Download of SFDC Activation Rep'!S:S),"")</f>
        <v>0</v>
      </c>
      <c r="M123" s="24">
        <f t="array" ref="M123">iferror(XLOOKUP(A123,'Download of SFDC Activation Rep'!B:B,'Download of SFDC Activation Rep'!Z:Z)+150,"")</f>
        <v>46207</v>
      </c>
      <c r="N123" s="24">
        <f t="array" ref="N123">iferror(XLOOKUP(A123,'Download of SFDC Activation Rep'!B:B,'Download of SFDC Activation Rep'!Y:Y),"")</f>
        <v>46057</v>
      </c>
      <c r="U123" s="25">
        <f t="shared" si="2"/>
        <v>46082</v>
      </c>
    </row>
    <row r="124">
      <c r="F124" s="14"/>
      <c r="G124" s="13" t="str">
        <f t="array" ref="G124">iferror(XLOOKUP(A124,'Download of SFDC Activation Rep'!B:B,'Download of SFDC Activation Rep'!H:H),"")</f>
        <v/>
      </c>
      <c r="H124" s="13" t="str">
        <f t="array" ref="H124">iferror(xlookup(A124,'Download of SFDC Activation Rep'!B:B,'Download of SFDC Activation Rep'!L:L),"")</f>
        <v>Active</v>
      </c>
      <c r="I124" s="17" t="str">
        <f t="shared" si="1"/>
        <v>Active</v>
      </c>
      <c r="J124" s="17" t="str">
        <f t="array" ref="J124">iferror(XLOOKUP(A124,'Download of SFDC Activation Rep'!B:B,'Download of SFDC Activation Rep'!X:X),"")</f>
        <v>Matthew Frost</v>
      </c>
      <c r="K124" s="17" t="str">
        <f t="array" ref="K124">iferror(XLOOKUP(A124,'Download of SFDC Activation Rep'!B:B,'Download of SFDC Activation Rep'!C:C),"")</f>
        <v>Mighty of Arizona</v>
      </c>
      <c r="L124" s="18">
        <f t="array" ref="L124">iferror(XLOOKUP(A124,'Download of SFDC Activation Rep'!B:B,'Download of SFDC Activation Rep'!S:S),"")</f>
        <v>0</v>
      </c>
      <c r="M124" s="24">
        <f t="array" ref="M124">iferror(XLOOKUP(A124,'Download of SFDC Activation Rep'!B:B,'Download of SFDC Activation Rep'!Z:Z)+150,"")</f>
        <v>46045</v>
      </c>
      <c r="N124" s="24">
        <f t="array" ref="N124">iferror(XLOOKUP(A124,'Download of SFDC Activation Rep'!B:B,'Download of SFDC Activation Rep'!Y:Y),"")</f>
        <v>45954</v>
      </c>
      <c r="U124" s="25">
        <f t="shared" si="2"/>
        <v>45901</v>
      </c>
    </row>
    <row r="125">
      <c r="F125" s="14"/>
      <c r="G125" s="13" t="str">
        <f t="array" ref="G125">iferror(XLOOKUP(A125,'Download of SFDC Activation Rep'!B:B,'Download of SFDC Activation Rep'!H:H),"")</f>
        <v>Active</v>
      </c>
      <c r="H125" s="13" t="str">
        <f t="array" ref="H125">iferror(xlookup(A125,'Download of SFDC Activation Rep'!B:B,'Download of SFDC Activation Rep'!L:L),"")</f>
        <v/>
      </c>
      <c r="I125" s="17" t="str">
        <f t="shared" si="1"/>
        <v>Active</v>
      </c>
      <c r="J125" s="17" t="str">
        <f t="array" ref="J125">iferror(XLOOKUP(A125,'Download of SFDC Activation Rep'!B:B,'Download of SFDC Activation Rep'!X:X),"")</f>
        <v>Arianna Modesti</v>
      </c>
      <c r="K125" s="17" t="str">
        <f t="array" ref="K125">iferror(XLOOKUP(A125,'Download of SFDC Activation Rep'!B:B,'Download of SFDC Activation Rep'!C:C),"")</f>
        <v>Buyers Choice USA</v>
      </c>
      <c r="L125" s="18">
        <f t="array" ref="L125">iferror(XLOOKUP(A125,'Download of SFDC Activation Rep'!B:B,'Download of SFDC Activation Rep'!S:S),"")</f>
        <v>357.13</v>
      </c>
      <c r="M125" s="24">
        <f t="array" ref="M125">iferror(XLOOKUP(A125,'Download of SFDC Activation Rep'!B:B,'Download of SFDC Activation Rep'!Z:Z)+150,"")</f>
        <v>46347</v>
      </c>
      <c r="N125" s="24">
        <f t="array" ref="N125">iferror(XLOOKUP(A125,'Download of SFDC Activation Rep'!B:B,'Download of SFDC Activation Rep'!Y:Y),"")</f>
        <v>46361</v>
      </c>
      <c r="U125" s="25">
        <f t="shared" si="2"/>
        <v>46204</v>
      </c>
    </row>
    <row r="126">
      <c r="F126" s="14"/>
      <c r="G126" s="13" t="str">
        <f t="array" ref="G126">iferror(XLOOKUP(A126,'Download of SFDC Activation Rep'!B:B,'Download of SFDC Activation Rep'!H:H),"")</f>
        <v/>
      </c>
      <c r="H126" s="13" t="str">
        <f t="array" ref="H126">iferror(xlookup(A126,'Download of SFDC Activation Rep'!B:B,'Download of SFDC Activation Rep'!L:L),"")</f>
        <v>Active</v>
      </c>
      <c r="I126" s="17" t="str">
        <f t="shared" si="1"/>
        <v>Active</v>
      </c>
      <c r="J126" s="17" t="str">
        <f t="array" ref="J126">iferror(XLOOKUP(A126,'Download of SFDC Activation Rep'!B:B,'Download of SFDC Activation Rep'!X:X),"")</f>
        <v>Matthew Frost</v>
      </c>
      <c r="K126" s="17" t="str">
        <f t="array" ref="K126">iferror(XLOOKUP(A126,'Download of SFDC Activation Rep'!B:B,'Download of SFDC Activation Rep'!C:C),"")</f>
        <v>PC Enterprises</v>
      </c>
      <c r="L126" s="18">
        <f t="array" ref="L126">iferror(XLOOKUP(A126,'Download of SFDC Activation Rep'!B:B,'Download of SFDC Activation Rep'!S:S),"")</f>
        <v>0</v>
      </c>
      <c r="M126" s="24">
        <f t="array" ref="M126">iferror(XLOOKUP(A126,'Download of SFDC Activation Rep'!B:B,'Download of SFDC Activation Rep'!Z:Z)+150,"")</f>
        <v>46045</v>
      </c>
      <c r="N126" s="24">
        <f t="array" ref="N126">iferror(XLOOKUP(A126,'Download of SFDC Activation Rep'!B:B,'Download of SFDC Activation Rep'!Y:Y),"")</f>
        <v>45954</v>
      </c>
      <c r="U126" s="25">
        <f t="shared" si="2"/>
        <v>45901</v>
      </c>
    </row>
    <row r="127">
      <c r="F127" s="14"/>
      <c r="G127" s="13" t="str">
        <f t="array" ref="G127">iferror(XLOOKUP(A127,'Download of SFDC Activation Rep'!B:B,'Download of SFDC Activation Rep'!H:H),"")</f>
        <v>Active</v>
      </c>
      <c r="H127" s="13" t="str">
        <f t="array" ref="H127">iferror(xlookup(A127,'Download of SFDC Activation Rep'!B:B,'Download of SFDC Activation Rep'!L:L),"")</f>
        <v/>
      </c>
      <c r="I127" s="17" t="str">
        <f t="shared" si="1"/>
        <v>Active</v>
      </c>
      <c r="J127" s="17" t="str">
        <f t="array" ref="J127">iferror(XLOOKUP(A127,'Download of SFDC Activation Rep'!B:B,'Download of SFDC Activation Rep'!X:X),"")</f>
        <v>Matthew Frost</v>
      </c>
      <c r="K127" s="17" t="str">
        <f t="array" ref="K127">iferror(XLOOKUP(A127,'Download of SFDC Activation Rep'!B:B,'Download of SFDC Activation Rep'!C:C),"")</f>
        <v>Columbia Paint and Wallcover, Inc.</v>
      </c>
      <c r="L127" s="18">
        <f t="array" ref="L127">iferror(XLOOKUP(A127,'Download of SFDC Activation Rep'!B:B,'Download of SFDC Activation Rep'!S:S),"")</f>
        <v>66.61</v>
      </c>
      <c r="M127" s="24">
        <f t="array" ref="M127">iferror(XLOOKUP(A127,'Download of SFDC Activation Rep'!B:B,'Download of SFDC Activation Rep'!Z:Z)+150,"")</f>
        <v>46051</v>
      </c>
      <c r="N127" s="24">
        <f t="array" ref="N127">iferror(XLOOKUP(A127,'Download of SFDC Activation Rep'!B:B,'Download of SFDC Activation Rep'!Y:Y),"")</f>
        <v>45919</v>
      </c>
      <c r="U127" s="25">
        <f t="shared" si="2"/>
        <v>45901</v>
      </c>
    </row>
    <row r="128">
      <c r="F128" s="14"/>
      <c r="G128" s="13" t="str">
        <f t="array" ref="G128">iferror(XLOOKUP(A128,'Download of SFDC Activation Rep'!B:B,'Download of SFDC Activation Rep'!H:H),"")</f>
        <v>Churned</v>
      </c>
      <c r="H128" s="13" t="str">
        <f t="array" ref="H128">iferror(xlookup(A128,'Download of SFDC Activation Rep'!B:B,'Download of SFDC Activation Rep'!L:L),"")</f>
        <v/>
      </c>
      <c r="I128" s="17" t="str">
        <f t="shared" si="1"/>
        <v>Not Active</v>
      </c>
      <c r="J128" s="17" t="str">
        <f t="array" ref="J128">iferror(XLOOKUP(A128,'Download of SFDC Activation Rep'!B:B,'Download of SFDC Activation Rep'!X:X),"")</f>
        <v>Matthew Frost</v>
      </c>
      <c r="K128" s="17" t="str">
        <f t="array" ref="K128">iferror(XLOOKUP(A128,'Download of SFDC Activation Rep'!B:B,'Download of SFDC Activation Rep'!C:C),"")</f>
        <v>HOB Industries</v>
      </c>
      <c r="L128" s="18">
        <f t="array" ref="L128">iferror(XLOOKUP(A128,'Download of SFDC Activation Rep'!B:B,'Download of SFDC Activation Rep'!S:S),"")</f>
        <v>135.8</v>
      </c>
      <c r="M128" s="24">
        <f t="array" ref="M128">iferror(XLOOKUP(A128,'Download of SFDC Activation Rep'!B:B,'Download of SFDC Activation Rep'!Z:Z)+150,"")</f>
        <v>46124</v>
      </c>
      <c r="N128" s="24">
        <f t="array" ref="N128">iferror(XLOOKUP(A128,'Download of SFDC Activation Rep'!B:B,'Download of SFDC Activation Rep'!Y:Y),"")</f>
        <v>45987</v>
      </c>
      <c r="U128" s="25">
        <f t="shared" si="2"/>
        <v>45992</v>
      </c>
    </row>
    <row r="129">
      <c r="F129" s="14"/>
      <c r="G129" s="13" t="str">
        <f t="array" ref="G129">iferror(XLOOKUP(A129,'Download of SFDC Activation Rep'!B:B,'Download of SFDC Activation Rep'!H:H),"")</f>
        <v>Active</v>
      </c>
      <c r="H129" s="13" t="str">
        <f t="array" ref="H129">iferror(xlookup(A129,'Download of SFDC Activation Rep'!B:B,'Download of SFDC Activation Rep'!L:L),"")</f>
        <v/>
      </c>
      <c r="I129" s="17" t="str">
        <f t="shared" si="1"/>
        <v>Active</v>
      </c>
      <c r="J129" s="17" t="str">
        <f t="array" ref="J129">iferror(XLOOKUP(A129,'Download of SFDC Activation Rep'!B:B,'Download of SFDC Activation Rep'!X:X),"")</f>
        <v>Arianna Modesti</v>
      </c>
      <c r="K129" s="17" t="str">
        <f t="array" ref="K129">iferror(XLOOKUP(A129,'Download of SFDC Activation Rep'!B:B,'Download of SFDC Activation Rep'!C:C),"")</f>
        <v>Marcus &amp; Pollack LLP</v>
      </c>
      <c r="L129" s="18">
        <f t="array" ref="L129">iferror(XLOOKUP(A129,'Download of SFDC Activation Rep'!B:B,'Download of SFDC Activation Rep'!S:S),"")</f>
        <v>208.9</v>
      </c>
      <c r="M129" s="24">
        <f t="array" ref="M129">iferror(XLOOKUP(A129,'Download of SFDC Activation Rep'!B:B,'Download of SFDC Activation Rep'!Z:Z)+150,"")</f>
        <v>46347</v>
      </c>
      <c r="N129" s="24">
        <f t="array" ref="N129">iferror(XLOOKUP(A129,'Download of SFDC Activation Rep'!B:B,'Download of SFDC Activation Rep'!Y:Y),"")</f>
        <v>46361</v>
      </c>
      <c r="U129" s="25">
        <f t="shared" si="2"/>
        <v>46204</v>
      </c>
    </row>
    <row r="130">
      <c r="F130" s="14"/>
      <c r="G130" s="13" t="str">
        <f t="array" ref="G130">iferror(XLOOKUP(A130,'Download of SFDC Activation Rep'!B:B,'Download of SFDC Activation Rep'!H:H),"")</f>
        <v>Churned</v>
      </c>
      <c r="H130" s="13" t="str">
        <f t="array" ref="H130">iferror(xlookup(A130,'Download of SFDC Activation Rep'!B:B,'Download of SFDC Activation Rep'!L:L),"")</f>
        <v/>
      </c>
      <c r="I130" s="17" t="str">
        <f t="shared" si="1"/>
        <v>Not Active</v>
      </c>
      <c r="J130" s="17" t="str">
        <f t="array" ref="J130">iferror(XLOOKUP(A130,'Download of SFDC Activation Rep'!B:B,'Download of SFDC Activation Rep'!X:X),"")</f>
        <v>Arianna Modesti</v>
      </c>
      <c r="K130" s="17" t="str">
        <f t="array" ref="K130">iferror(XLOOKUP(A130,'Download of SFDC Activation Rep'!B:B,'Download of SFDC Activation Rep'!C:C),"")</f>
        <v>Plat4orm</v>
      </c>
      <c r="L130" s="18">
        <f t="array" ref="L130">iferror(XLOOKUP(A130,'Download of SFDC Activation Rep'!B:B,'Download of SFDC Activation Rep'!S:S),"")</f>
        <v>412.16</v>
      </c>
      <c r="M130" s="24">
        <f t="array" ref="M130">iferror(XLOOKUP(A130,'Download of SFDC Activation Rep'!B:B,'Download of SFDC Activation Rep'!Z:Z)+150,"")</f>
        <v>46265</v>
      </c>
      <c r="N130" s="24">
        <f t="array" ref="N130">iferror(XLOOKUP(A130,'Download of SFDC Activation Rep'!B:B,'Download of SFDC Activation Rep'!Y:Y),"")</f>
        <v>46188</v>
      </c>
      <c r="U130" s="25">
        <f t="shared" si="2"/>
        <v>46113</v>
      </c>
    </row>
    <row r="131">
      <c r="F131" s="14"/>
      <c r="G131" s="13" t="str">
        <f t="array" ref="G131">iferror(XLOOKUP(A131,'Download of SFDC Activation Rep'!B:B,'Download of SFDC Activation Rep'!H:H),"")</f>
        <v/>
      </c>
      <c r="H131" s="13" t="str">
        <f t="array" ref="H131">iferror(xlookup(A131,'Download of SFDC Activation Rep'!B:B,'Download of SFDC Activation Rep'!L:L),"")</f>
        <v>Active</v>
      </c>
      <c r="I131" s="17" t="str">
        <f t="shared" si="1"/>
        <v>Active</v>
      </c>
      <c r="J131" s="17" t="str">
        <f t="array" ref="J131">iferror(XLOOKUP(A131,'Download of SFDC Activation Rep'!B:B,'Download of SFDC Activation Rep'!X:X),"")</f>
        <v>Matthew Frost</v>
      </c>
      <c r="K131" s="17" t="str">
        <f t="array" ref="K131">iferror(XLOOKUP(A131,'Download of SFDC Activation Rep'!B:B,'Download of SFDC Activation Rep'!C:C),"")</f>
        <v>Knorr Marketing</v>
      </c>
      <c r="L131" s="18">
        <f t="array" ref="L131">iferror(XLOOKUP(A131,'Download of SFDC Activation Rep'!B:B,'Download of SFDC Activation Rep'!S:S),"")</f>
        <v>52</v>
      </c>
      <c r="M131" s="24">
        <f t="array" ref="M131">iferror(XLOOKUP(A131,'Download of SFDC Activation Rep'!B:B,'Download of SFDC Activation Rep'!Z:Z)+150,"")</f>
        <v>46066</v>
      </c>
      <c r="N131" s="24">
        <f t="array" ref="N131">iferror(XLOOKUP(A131,'Download of SFDC Activation Rep'!B:B,'Download of SFDC Activation Rep'!Y:Y),"")</f>
        <v>45966</v>
      </c>
      <c r="U131" s="25">
        <f t="shared" si="2"/>
        <v>45931</v>
      </c>
    </row>
    <row r="132">
      <c r="F132" s="14"/>
      <c r="G132" s="13" t="str">
        <f t="array" ref="G132">iferror(XLOOKUP(A132,'Download of SFDC Activation Rep'!B:B,'Download of SFDC Activation Rep'!H:H),"")</f>
        <v>Churned</v>
      </c>
      <c r="H132" s="13" t="str">
        <f t="array" ref="H132">iferror(xlookup(A132,'Download of SFDC Activation Rep'!B:B,'Download of SFDC Activation Rep'!L:L),"")</f>
        <v>Inactive</v>
      </c>
      <c r="I132" s="17" t="str">
        <f t="shared" si="1"/>
        <v>Not Active</v>
      </c>
      <c r="J132" s="17" t="str">
        <f t="array" ref="J132">iferror(XLOOKUP(A132,'Download of SFDC Activation Rep'!B:B,'Download of SFDC Activation Rep'!X:X),"")</f>
        <v>Kate Olivares</v>
      </c>
      <c r="K132" s="17" t="str">
        <f t="array" ref="K132">iferror(XLOOKUP(A132,'Download of SFDC Activation Rep'!B:B,'Download of SFDC Activation Rep'!C:C),"")</f>
        <v>JSC Distribution LLC</v>
      </c>
      <c r="L132" s="18">
        <f t="array" ref="L132">iferror(XLOOKUP(A132,'Download of SFDC Activation Rep'!B:B,'Download of SFDC Activation Rep'!S:S),"")</f>
        <v>137.54</v>
      </c>
      <c r="M132" s="24">
        <f t="array" ref="M132">iferror(XLOOKUP(A132,'Download of SFDC Activation Rep'!B:B,'Download of SFDC Activation Rep'!Z:Z)+150,"")</f>
        <v>46142</v>
      </c>
      <c r="N132" s="24">
        <f t="array" ref="N132">iferror(XLOOKUP(A132,'Download of SFDC Activation Rep'!B:B,'Download of SFDC Activation Rep'!Y:Y),"")</f>
        <v>46017</v>
      </c>
      <c r="U132" s="25">
        <f t="shared" si="2"/>
        <v>45992</v>
      </c>
    </row>
    <row r="133">
      <c r="F133" s="14"/>
      <c r="G133" s="13" t="str">
        <f t="array" ref="G133">iferror(XLOOKUP(A133,'Download of SFDC Activation Rep'!B:B,'Download of SFDC Activation Rep'!H:H),"")</f>
        <v>Active</v>
      </c>
      <c r="H133" s="13" t="str">
        <f t="array" ref="H133">iferror(xlookup(A133,'Download of SFDC Activation Rep'!B:B,'Download of SFDC Activation Rep'!L:L),"")</f>
        <v>Churned</v>
      </c>
      <c r="I133" s="17" t="str">
        <f t="shared" si="1"/>
        <v>Active</v>
      </c>
      <c r="J133" s="17" t="str">
        <f t="array" ref="J133">iferror(XLOOKUP(A133,'Download of SFDC Activation Rep'!B:B,'Download of SFDC Activation Rep'!X:X),"")</f>
        <v>Matthew Frost</v>
      </c>
      <c r="K133" s="17" t="str">
        <f t="array" ref="K133">iferror(XLOOKUP(A133,'Download of SFDC Activation Rep'!B:B,'Download of SFDC Activation Rep'!C:C),"")</f>
        <v>Barrel-Art LLC</v>
      </c>
      <c r="L133" s="18">
        <f t="array" ref="L133">iferror(XLOOKUP(A133,'Download of SFDC Activation Rep'!B:B,'Download of SFDC Activation Rep'!S:S),"")</f>
        <v>333.23</v>
      </c>
      <c r="M133" s="24">
        <f t="array" ref="M133">iferror(XLOOKUP(A133,'Download of SFDC Activation Rep'!B:B,'Download of SFDC Activation Rep'!Z:Z)+150,"")</f>
        <v>46206</v>
      </c>
      <c r="N133" s="24">
        <f t="array" ref="N133">iferror(XLOOKUP(A133,'Download of SFDC Activation Rep'!B:B,'Download of SFDC Activation Rep'!Y:Y),"")</f>
        <v>46086</v>
      </c>
      <c r="U133" s="25">
        <f t="shared" si="2"/>
        <v>46082</v>
      </c>
    </row>
    <row r="134">
      <c r="F134" s="14"/>
      <c r="G134" s="13" t="str">
        <f t="array" ref="G134">iferror(XLOOKUP(A134,'Download of SFDC Activation Rep'!B:B,'Download of SFDC Activation Rep'!H:H),"")</f>
        <v>Active</v>
      </c>
      <c r="H134" s="13" t="str">
        <f t="array" ref="H134">iferror(xlookup(A134,'Download of SFDC Activation Rep'!B:B,'Download of SFDC Activation Rep'!L:L),"")</f>
        <v>Active</v>
      </c>
      <c r="I134" s="17" t="str">
        <f t="shared" si="1"/>
        <v>Active</v>
      </c>
      <c r="J134" s="17" t="str">
        <f t="array" ref="J134">iferror(XLOOKUP(A134,'Download of SFDC Activation Rep'!B:B,'Download of SFDC Activation Rep'!X:X),"")</f>
        <v>Kate Olivares</v>
      </c>
      <c r="K134" s="17" t="str">
        <f t="array" ref="K134">iferror(XLOOKUP(A134,'Download of SFDC Activation Rep'!B:B,'Download of SFDC Activation Rep'!C:C),"")</f>
        <v>L&amp;M Mail &amp; Courier</v>
      </c>
      <c r="L134" s="18">
        <f t="array" ref="L134">iferror(XLOOKUP(A134,'Download of SFDC Activation Rep'!B:B,'Download of SFDC Activation Rep'!S:S),"")</f>
        <v>385</v>
      </c>
      <c r="M134" s="24">
        <f t="array" ref="M134">iferror(XLOOKUP(A134,'Download of SFDC Activation Rep'!B:B,'Download of SFDC Activation Rep'!Z:Z)+150,"")</f>
        <v>46030</v>
      </c>
      <c r="N134" s="24">
        <f t="array" ref="N134">iferror(XLOOKUP(A134,'Download of SFDC Activation Rep'!B:B,'Download of SFDC Activation Rep'!Y:Y),"")</f>
        <v>45896</v>
      </c>
      <c r="U134" s="25">
        <f t="shared" si="2"/>
        <v>45901</v>
      </c>
    </row>
    <row r="135">
      <c r="F135" s="14"/>
      <c r="G135" s="13" t="str">
        <f t="array" ref="G135">iferror(XLOOKUP(A135,'Download of SFDC Activation Rep'!B:B,'Download of SFDC Activation Rep'!H:H),"")</f>
        <v/>
      </c>
      <c r="H135" s="13" t="str">
        <f t="array" ref="H135">iferror(xlookup(A135,'Download of SFDC Activation Rep'!B:B,'Download of SFDC Activation Rep'!L:L),"")</f>
        <v>Active</v>
      </c>
      <c r="I135" s="17" t="str">
        <f t="shared" si="1"/>
        <v>Active</v>
      </c>
      <c r="J135" s="17" t="str">
        <f t="array" ref="J135">iferror(XLOOKUP(A135,'Download of SFDC Activation Rep'!B:B,'Download of SFDC Activation Rep'!X:X),"")</f>
        <v>Kate Olivares</v>
      </c>
      <c r="K135" s="17" t="str">
        <f t="array" ref="K135">iferror(XLOOKUP(A135,'Download of SFDC Activation Rep'!B:B,'Download of SFDC Activation Rep'!C:C),"")</f>
        <v>Jenny and Francois Selections</v>
      </c>
      <c r="L135" s="18">
        <f t="array" ref="L135">iferror(XLOOKUP(A135,'Download of SFDC Activation Rep'!B:B,'Download of SFDC Activation Rep'!S:S),"")</f>
        <v>34.9</v>
      </c>
      <c r="M135" s="24">
        <f t="array" ref="M135">iferror(XLOOKUP(A135,'Download of SFDC Activation Rep'!B:B,'Download of SFDC Activation Rep'!Z:Z)+150,"")</f>
        <v>46124</v>
      </c>
      <c r="N135" s="24">
        <f t="array" ref="N135">iferror(XLOOKUP(A135,'Download of SFDC Activation Rep'!B:B,'Download of SFDC Activation Rep'!Y:Y),"")</f>
        <v>45999</v>
      </c>
      <c r="U135" s="25">
        <f t="shared" si="2"/>
        <v>45992</v>
      </c>
    </row>
    <row r="136">
      <c r="F136" s="14"/>
      <c r="G136" s="13" t="str">
        <f t="array" ref="G136">iferror(XLOOKUP(A136,'Download of SFDC Activation Rep'!B:B,'Download of SFDC Activation Rep'!H:H),"")</f>
        <v>Active</v>
      </c>
      <c r="H136" s="13" t="str">
        <f t="array" ref="H136">iferror(xlookup(A136,'Download of SFDC Activation Rep'!B:B,'Download of SFDC Activation Rep'!L:L),"")</f>
        <v/>
      </c>
      <c r="I136" s="17" t="str">
        <f t="shared" si="1"/>
        <v>Active</v>
      </c>
      <c r="J136" s="17" t="str">
        <f t="array" ref="J136">iferror(XLOOKUP(A136,'Download of SFDC Activation Rep'!B:B,'Download of SFDC Activation Rep'!X:X),"")</f>
        <v>Kate Olivares</v>
      </c>
      <c r="K136" s="17" t="str">
        <f t="array" ref="K136">iferror(XLOOKUP(A136,'Download of SFDC Activation Rep'!B:B,'Download of SFDC Activation Rep'!C:C),"")</f>
        <v>Vitamin Science LLC</v>
      </c>
      <c r="L136" s="18">
        <f t="array" ref="L136">iferror(XLOOKUP(A136,'Download of SFDC Activation Rep'!B:B,'Download of SFDC Activation Rep'!S:S),"")</f>
        <v>0</v>
      </c>
      <c r="M136" s="24">
        <f t="array" ref="M136">iferror(XLOOKUP(A136,'Download of SFDC Activation Rep'!B:B,'Download of SFDC Activation Rep'!Z:Z)+150,"")</f>
        <v>46129</v>
      </c>
      <c r="N136" s="24">
        <f t="array" ref="N136">iferror(XLOOKUP(A136,'Download of SFDC Activation Rep'!B:B,'Download of SFDC Activation Rep'!Y:Y),"")</f>
        <v>46007</v>
      </c>
      <c r="U136" s="25">
        <f t="shared" si="2"/>
        <v>45992</v>
      </c>
    </row>
    <row r="137">
      <c r="F137" s="14"/>
      <c r="G137" s="13" t="str">
        <f t="array" ref="G137">iferror(XLOOKUP(A137,'Download of SFDC Activation Rep'!B:B,'Download of SFDC Activation Rep'!H:H),"")</f>
        <v>Churned</v>
      </c>
      <c r="H137" s="13" t="str">
        <f t="array" ref="H137">iferror(xlookup(A137,'Download of SFDC Activation Rep'!B:B,'Download of SFDC Activation Rep'!L:L),"")</f>
        <v/>
      </c>
      <c r="I137" s="17" t="str">
        <f t="shared" si="1"/>
        <v>Not Active</v>
      </c>
      <c r="J137" s="17" t="str">
        <f t="array" ref="J137">iferror(XLOOKUP(A137,'Download of SFDC Activation Rep'!B:B,'Download of SFDC Activation Rep'!X:X),"")</f>
        <v>Matthew Frost</v>
      </c>
      <c r="K137" s="17" t="str">
        <f t="array" ref="K137">iferror(XLOOKUP(A137,'Download of SFDC Activation Rep'!B:B,'Download of SFDC Activation Rep'!C:C),"")</f>
        <v>Thistle and Amber LLC</v>
      </c>
      <c r="L137" s="18">
        <f t="array" ref="L137">iferror(XLOOKUP(A137,'Download of SFDC Activation Rep'!B:B,'Download of SFDC Activation Rep'!S:S),"")</f>
        <v>361.77</v>
      </c>
      <c r="M137" s="24">
        <f t="array" ref="M137">iferror(XLOOKUP(A137,'Download of SFDC Activation Rep'!B:B,'Download of SFDC Activation Rep'!Z:Z)+150,"")</f>
        <v>46186</v>
      </c>
      <c r="N137" s="24">
        <f t="array" ref="N137">iferror(XLOOKUP(A137,'Download of SFDC Activation Rep'!B:B,'Download of SFDC Activation Rep'!Y:Y),"")</f>
        <v>46050</v>
      </c>
      <c r="U137" s="25">
        <f t="shared" si="2"/>
        <v>46054</v>
      </c>
    </row>
    <row r="138">
      <c r="F138" s="14"/>
      <c r="G138" s="13" t="str">
        <f t="array" ref="G138">iferror(XLOOKUP(A138,'Download of SFDC Activation Rep'!B:B,'Download of SFDC Activation Rep'!H:H),"")</f>
        <v/>
      </c>
      <c r="H138" s="13" t="str">
        <f t="array" ref="H138">iferror(xlookup(A138,'Download of SFDC Activation Rep'!B:B,'Download of SFDC Activation Rep'!L:L),"")</f>
        <v>Churned</v>
      </c>
      <c r="I138" s="17" t="str">
        <f t="shared" si="1"/>
        <v>Not Active</v>
      </c>
      <c r="J138" s="17" t="str">
        <f t="array" ref="J138">iferror(XLOOKUP(A138,'Download of SFDC Activation Rep'!B:B,'Download of SFDC Activation Rep'!X:X),"")</f>
        <v>Kate Olivares</v>
      </c>
      <c r="K138" s="17" t="str">
        <f t="array" ref="K138">iferror(XLOOKUP(A138,'Download of SFDC Activation Rep'!B:B,'Download of SFDC Activation Rep'!C:C),"")</f>
        <v>Mindego Ridge Vineyard</v>
      </c>
      <c r="L138" s="18">
        <f t="array" ref="L138">iferror(XLOOKUP(A138,'Download of SFDC Activation Rep'!B:B,'Download of SFDC Activation Rep'!S:S),"")</f>
        <v>134</v>
      </c>
      <c r="M138" s="24">
        <f t="array" ref="M138">iferror(XLOOKUP(A138,'Download of SFDC Activation Rep'!B:B,'Download of SFDC Activation Rep'!Z:Z)+150,"")</f>
        <v>46074</v>
      </c>
      <c r="N138" s="24">
        <f t="array" ref="N138">iferror(XLOOKUP(A138,'Download of SFDC Activation Rep'!B:B,'Download of SFDC Activation Rep'!Y:Y),"")</f>
        <v>46030</v>
      </c>
      <c r="U138" s="25">
        <f t="shared" si="2"/>
        <v>45931</v>
      </c>
    </row>
    <row r="139">
      <c r="F139" s="14"/>
      <c r="G139" s="13" t="str">
        <f t="array" ref="G139">iferror(XLOOKUP(A139,'Download of SFDC Activation Rep'!B:B,'Download of SFDC Activation Rep'!H:H),"")</f>
        <v/>
      </c>
      <c r="H139" s="13" t="str">
        <f t="array" ref="H139">iferror(xlookup(A139,'Download of SFDC Activation Rep'!B:B,'Download of SFDC Activation Rep'!L:L),"")</f>
        <v>Active</v>
      </c>
      <c r="I139" s="17" t="str">
        <f t="shared" si="1"/>
        <v>Active</v>
      </c>
      <c r="J139" s="17" t="str">
        <f t="array" ref="J139">iferror(XLOOKUP(A139,'Download of SFDC Activation Rep'!B:B,'Download of SFDC Activation Rep'!X:X),"")</f>
        <v>Kate Olivares</v>
      </c>
      <c r="K139" s="17" t="str">
        <f t="array" ref="K139">iferror(XLOOKUP(A139,'Download of SFDC Activation Rep'!B:B,'Download of SFDC Activation Rep'!C:C),"")</f>
        <v>Commercial Fire &amp; Security</v>
      </c>
      <c r="L139" s="18">
        <f t="array" ref="L139">iferror(XLOOKUP(A139,'Download of SFDC Activation Rep'!B:B,'Download of SFDC Activation Rep'!S:S),"")</f>
        <v>50</v>
      </c>
      <c r="M139" s="24">
        <f t="array" ref="M139">iferror(XLOOKUP(A139,'Download of SFDC Activation Rep'!B:B,'Download of SFDC Activation Rep'!Z:Z)+150,"")</f>
        <v>45989</v>
      </c>
      <c r="N139" s="24">
        <f t="array" ref="N139">iferror(XLOOKUP(A139,'Download of SFDC Activation Rep'!B:B,'Download of SFDC Activation Rep'!Y:Y),"")</f>
        <v>45862</v>
      </c>
      <c r="U139" s="25">
        <f t="shared" si="2"/>
        <v>45839</v>
      </c>
    </row>
    <row r="140">
      <c r="F140" s="14"/>
      <c r="G140" s="13" t="str">
        <f t="array" ref="G140">iferror(XLOOKUP(A140,'Download of SFDC Activation Rep'!B:B,'Download of SFDC Activation Rep'!H:H),"")</f>
        <v>Active</v>
      </c>
      <c r="H140" s="13" t="str">
        <f t="array" ref="H140">iferror(xlookup(A140,'Download of SFDC Activation Rep'!B:B,'Download of SFDC Activation Rep'!L:L),"")</f>
        <v/>
      </c>
      <c r="I140" s="17" t="str">
        <f t="shared" si="1"/>
        <v>Active</v>
      </c>
      <c r="J140" s="17" t="str">
        <f t="array" ref="J140">iferror(XLOOKUP(A140,'Download of SFDC Activation Rep'!B:B,'Download of SFDC Activation Rep'!X:X),"")</f>
        <v>Kate Olivares</v>
      </c>
      <c r="K140" s="17" t="str">
        <f t="array" ref="K140">iferror(XLOOKUP(A140,'Download of SFDC Activation Rep'!B:B,'Download of SFDC Activation Rep'!C:C),"")</f>
        <v>Bespoke Creations LLC</v>
      </c>
      <c r="L140" s="18">
        <f t="array" ref="L140">iferror(XLOOKUP(A140,'Download of SFDC Activation Rep'!B:B,'Download of SFDC Activation Rep'!S:S),"")</f>
        <v>25</v>
      </c>
      <c r="M140" s="24">
        <f t="array" ref="M140">iferror(XLOOKUP(A140,'Download of SFDC Activation Rep'!B:B,'Download of SFDC Activation Rep'!Z:Z)+150,"")</f>
        <v>46142</v>
      </c>
      <c r="N140" s="24">
        <f t="array" ref="N140">iferror(XLOOKUP(A140,'Download of SFDC Activation Rep'!B:B,'Download of SFDC Activation Rep'!Y:Y),"")</f>
        <v>46007</v>
      </c>
      <c r="U140" s="25">
        <f t="shared" si="2"/>
        <v>45992</v>
      </c>
    </row>
    <row r="141">
      <c r="F141" s="14"/>
      <c r="G141" s="13" t="str">
        <f t="array" ref="G141">iferror(XLOOKUP(A141,'Download of SFDC Activation Rep'!B:B,'Download of SFDC Activation Rep'!H:H),"")</f>
        <v/>
      </c>
      <c r="H141" s="13" t="str">
        <f t="array" ref="H141">iferror(xlookup(A141,'Download of SFDC Activation Rep'!B:B,'Download of SFDC Activation Rep'!L:L),"")</f>
        <v>Active</v>
      </c>
      <c r="I141" s="17" t="str">
        <f t="shared" si="1"/>
        <v>Active</v>
      </c>
      <c r="J141" s="17" t="str">
        <f t="array" ref="J141">iferror(XLOOKUP(A141,'Download of SFDC Activation Rep'!B:B,'Download of SFDC Activation Rep'!X:X),"")</f>
        <v>Matthew Frost</v>
      </c>
      <c r="K141" s="17" t="str">
        <f t="array" ref="K141">iferror(XLOOKUP(A141,'Download of SFDC Activation Rep'!B:B,'Download of SFDC Activation Rep'!C:C),"")</f>
        <v>Placewise LLC</v>
      </c>
      <c r="L141" s="18">
        <f t="array" ref="L141">iferror(XLOOKUP(A141,'Download of SFDC Activation Rep'!B:B,'Download of SFDC Activation Rep'!S:S),"")</f>
        <v>410</v>
      </c>
      <c r="M141" s="24">
        <f t="array" ref="M141">iferror(XLOOKUP(A141,'Download of SFDC Activation Rep'!B:B,'Download of SFDC Activation Rep'!Z:Z)+150,"")</f>
        <v>46227</v>
      </c>
      <c r="N141" s="24">
        <f t="array" ref="N141">iferror(XLOOKUP(A141,'Download of SFDC Activation Rep'!B:B,'Download of SFDC Activation Rep'!Y:Y),"")</f>
        <v>46139</v>
      </c>
      <c r="U141" s="25">
        <f t="shared" si="2"/>
        <v>46082</v>
      </c>
    </row>
    <row r="142">
      <c r="F142" s="14"/>
      <c r="G142" s="13" t="str">
        <f t="array" ref="G142">iferror(XLOOKUP(A142,'Download of SFDC Activation Rep'!B:B,'Download of SFDC Activation Rep'!H:H),"")</f>
        <v>Active</v>
      </c>
      <c r="H142" s="13" t="str">
        <f t="array" ref="H142">iferror(xlookup(A142,'Download of SFDC Activation Rep'!B:B,'Download of SFDC Activation Rep'!L:L),"")</f>
        <v/>
      </c>
      <c r="I142" s="17" t="str">
        <f t="shared" si="1"/>
        <v>Active</v>
      </c>
      <c r="J142" s="17" t="str">
        <f t="array" ref="J142">iferror(XLOOKUP(A142,'Download of SFDC Activation Rep'!B:B,'Download of SFDC Activation Rep'!X:X),"")</f>
        <v>Arianna Modesti</v>
      </c>
      <c r="K142" s="17" t="str">
        <f t="array" ref="K142">iferror(XLOOKUP(A142,'Download of SFDC Activation Rep'!B:B,'Download of SFDC Activation Rep'!C:C),"")</f>
        <v>K2 Parts Inc</v>
      </c>
      <c r="L142" s="18">
        <f t="array" ref="L142">iferror(XLOOKUP(A142,'Download of SFDC Activation Rep'!B:B,'Download of SFDC Activation Rep'!S:S),"")</f>
        <v>195</v>
      </c>
      <c r="M142" s="24">
        <f t="array" ref="M142">iferror(XLOOKUP(A142,'Download of SFDC Activation Rep'!B:B,'Download of SFDC Activation Rep'!Z:Z)+150,"")</f>
        <v>46242</v>
      </c>
      <c r="N142" s="24">
        <f t="array" ref="N142">iferror(XLOOKUP(A142,'Download of SFDC Activation Rep'!B:B,'Download of SFDC Activation Rep'!Y:Y),"")</f>
        <v>46251</v>
      </c>
      <c r="U142" s="25">
        <f t="shared" si="2"/>
        <v>46113</v>
      </c>
    </row>
    <row r="143">
      <c r="F143" s="14"/>
      <c r="G143" s="13" t="str">
        <f t="array" ref="G143">iferror(XLOOKUP(A143,'Download of SFDC Activation Rep'!B:B,'Download of SFDC Activation Rep'!H:H),"")</f>
        <v>Active</v>
      </c>
      <c r="H143" s="13" t="str">
        <f t="array" ref="H143">iferror(xlookup(A143,'Download of SFDC Activation Rep'!B:B,'Download of SFDC Activation Rep'!L:L),"")</f>
        <v/>
      </c>
      <c r="I143" s="17" t="str">
        <f t="shared" si="1"/>
        <v>Active</v>
      </c>
      <c r="J143" s="17" t="str">
        <f t="array" ref="J143">iferror(XLOOKUP(A143,'Download of SFDC Activation Rep'!B:B,'Download of SFDC Activation Rep'!X:X),"")</f>
        <v>Kate Olivares</v>
      </c>
      <c r="K143" s="17" t="str">
        <f t="array" ref="K143">iferror(XLOOKUP(A143,'Download of SFDC Activation Rep'!B:B,'Download of SFDC Activation Rep'!C:C),"")</f>
        <v>Pelican Head Industries</v>
      </c>
      <c r="L143" s="18">
        <f t="array" ref="L143">iferror(XLOOKUP(A143,'Download of SFDC Activation Rep'!B:B,'Download of SFDC Activation Rep'!S:S),"")</f>
        <v>54.88</v>
      </c>
      <c r="M143" s="24">
        <f t="array" ref="M143">iferror(XLOOKUP(A143,'Download of SFDC Activation Rep'!B:B,'Download of SFDC Activation Rep'!Z:Z)+150,"")</f>
        <v>46026</v>
      </c>
      <c r="N143" s="24">
        <f t="array" ref="N143">iferror(XLOOKUP(A143,'Download of SFDC Activation Rep'!B:B,'Download of SFDC Activation Rep'!Y:Y),"")</f>
        <v>45833</v>
      </c>
      <c r="U143" s="25">
        <f t="shared" si="2"/>
        <v>45901</v>
      </c>
    </row>
    <row r="144">
      <c r="F144" s="14"/>
      <c r="G144" s="13" t="str">
        <f t="array" ref="G144">iferror(XLOOKUP(A144,'Download of SFDC Activation Rep'!B:B,'Download of SFDC Activation Rep'!H:H),"")</f>
        <v/>
      </c>
      <c r="H144" s="13" t="str">
        <f t="array" ref="H144">iferror(xlookup(A144,'Download of SFDC Activation Rep'!B:B,'Download of SFDC Activation Rep'!L:L),"")</f>
        <v>Active</v>
      </c>
      <c r="I144" s="17" t="str">
        <f t="shared" si="1"/>
        <v>Active</v>
      </c>
      <c r="J144" s="17" t="str">
        <f t="array" ref="J144">iferror(XLOOKUP(A144,'Download of SFDC Activation Rep'!B:B,'Download of SFDC Activation Rep'!X:X),"")</f>
        <v>Matthew Frost</v>
      </c>
      <c r="K144" s="17" t="str">
        <f t="array" ref="K144">iferror(XLOOKUP(A144,'Download of SFDC Activation Rep'!B:B,'Download of SFDC Activation Rep'!C:C),"")</f>
        <v>Guber Sports Llc</v>
      </c>
      <c r="L144" s="18">
        <f t="array" ref="L144">iferror(XLOOKUP(A144,'Download of SFDC Activation Rep'!B:B,'Download of SFDC Activation Rep'!S:S),"")</f>
        <v>10</v>
      </c>
      <c r="M144" s="24">
        <f t="array" ref="M144">iferror(XLOOKUP(A144,'Download of SFDC Activation Rep'!B:B,'Download of SFDC Activation Rep'!Z:Z)+150,"")</f>
        <v>46249</v>
      </c>
      <c r="N144" s="24">
        <f t="array" ref="N144">iferror(XLOOKUP(A144,'Download of SFDC Activation Rep'!B:B,'Download of SFDC Activation Rep'!Y:Y),"")</f>
        <v>46118</v>
      </c>
      <c r="U144" s="25">
        <f t="shared" si="2"/>
        <v>46113</v>
      </c>
    </row>
    <row r="145">
      <c r="F145" s="14"/>
      <c r="G145" s="13" t="str">
        <f t="array" ref="G145">iferror(XLOOKUP(A145,'Download of SFDC Activation Rep'!B:B,'Download of SFDC Activation Rep'!H:H),"")</f>
        <v>Active</v>
      </c>
      <c r="H145" s="13" t="str">
        <f t="array" ref="H145">iferror(xlookup(A145,'Download of SFDC Activation Rep'!B:B,'Download of SFDC Activation Rep'!L:L),"")</f>
        <v/>
      </c>
      <c r="I145" s="17" t="str">
        <f t="shared" si="1"/>
        <v>Active</v>
      </c>
      <c r="J145" s="17" t="str">
        <f t="array" ref="J145">iferror(XLOOKUP(A145,'Download of SFDC Activation Rep'!B:B,'Download of SFDC Activation Rep'!X:X),"")</f>
        <v>Matthew Frost</v>
      </c>
      <c r="K145" s="17" t="str">
        <f t="array" ref="K145">iferror(XLOOKUP(A145,'Download of SFDC Activation Rep'!B:B,'Download of SFDC Activation Rep'!C:C),"")</f>
        <v>Vertex Holdings</v>
      </c>
      <c r="L145" s="18">
        <f t="array" ref="L145">iferror(XLOOKUP(A145,'Download of SFDC Activation Rep'!B:B,'Download of SFDC Activation Rep'!S:S),"")</f>
        <v>331.41</v>
      </c>
      <c r="M145" s="24">
        <f t="array" ref="M145">iferror(XLOOKUP(A145,'Download of SFDC Activation Rep'!B:B,'Download of SFDC Activation Rep'!Z:Z)+150,"")</f>
        <v>46198</v>
      </c>
      <c r="N145" s="24">
        <f t="array" ref="N145">iferror(XLOOKUP(A145,'Download of SFDC Activation Rep'!B:B,'Download of SFDC Activation Rep'!Y:Y),"")</f>
        <v>46091</v>
      </c>
      <c r="U145" s="25">
        <f t="shared" si="2"/>
        <v>46054</v>
      </c>
    </row>
    <row r="146">
      <c r="F146" s="14"/>
      <c r="G146" s="13" t="str">
        <f t="array" ref="G146">iferror(XLOOKUP(A146,'Download of SFDC Activation Rep'!B:B,'Download of SFDC Activation Rep'!H:H),"")</f>
        <v/>
      </c>
      <c r="H146" s="13" t="str">
        <f t="array" ref="H146">iferror(xlookup(A146,'Download of SFDC Activation Rep'!B:B,'Download of SFDC Activation Rep'!L:L),"")</f>
        <v>Active</v>
      </c>
      <c r="I146" s="17" t="str">
        <f t="shared" si="1"/>
        <v>Active</v>
      </c>
      <c r="J146" s="17" t="str">
        <f t="array" ref="J146">iferror(XLOOKUP(A146,'Download of SFDC Activation Rep'!B:B,'Download of SFDC Activation Rep'!X:X),"")</f>
        <v>Matthew Frost</v>
      </c>
      <c r="K146" s="17" t="str">
        <f t="array" ref="K146">iferror(XLOOKUP(A146,'Download of SFDC Activation Rep'!B:B,'Download of SFDC Activation Rep'!C:C),"")</f>
        <v>Advanced Medical Software Solutions, Inc.</v>
      </c>
      <c r="L146" s="18">
        <f t="array" ref="L146">iferror(XLOOKUP(A146,'Download of SFDC Activation Rep'!B:B,'Download of SFDC Activation Rep'!S:S),"")</f>
        <v>105</v>
      </c>
      <c r="M146" s="24">
        <f t="array" ref="M146">iferror(XLOOKUP(A146,'Download of SFDC Activation Rep'!B:B,'Download of SFDC Activation Rep'!Z:Z)+150,"")</f>
        <v>46045</v>
      </c>
      <c r="N146" s="24">
        <f t="array" ref="N146">iferror(XLOOKUP(A146,'Download of SFDC Activation Rep'!B:B,'Download of SFDC Activation Rep'!Y:Y),"")</f>
        <v>45910</v>
      </c>
      <c r="U146" s="25">
        <f t="shared" si="2"/>
        <v>45901</v>
      </c>
    </row>
    <row r="147">
      <c r="F147" s="14"/>
      <c r="G147" s="13" t="str">
        <f t="array" ref="G147">iferror(XLOOKUP(A147,'Download of SFDC Activation Rep'!B:B,'Download of SFDC Activation Rep'!H:H),"")</f>
        <v/>
      </c>
      <c r="H147" s="13" t="str">
        <f t="array" ref="H147">iferror(xlookup(A147,'Download of SFDC Activation Rep'!B:B,'Download of SFDC Activation Rep'!L:L),"")</f>
        <v>Active</v>
      </c>
      <c r="I147" s="17" t="str">
        <f t="shared" si="1"/>
        <v>Active</v>
      </c>
      <c r="J147" s="17" t="str">
        <f t="array" ref="J147">iferror(XLOOKUP(A147,'Download of SFDC Activation Rep'!B:B,'Download of SFDC Activation Rep'!X:X),"")</f>
        <v>Matthew Frost</v>
      </c>
      <c r="K147" s="17" t="str">
        <f t="array" ref="K147">iferror(XLOOKUP(A147,'Download of SFDC Activation Rep'!B:B,'Download of SFDC Activation Rep'!C:C),"")</f>
        <v>Super Bunny Promo</v>
      </c>
      <c r="L147" s="18">
        <f t="array" ref="L147">iferror(XLOOKUP(A147,'Download of SFDC Activation Rep'!B:B,'Download of SFDC Activation Rep'!S:S),"")</f>
        <v>11</v>
      </c>
      <c r="M147" s="24">
        <f t="array" ref="M147">iferror(XLOOKUP(A147,'Download of SFDC Activation Rep'!B:B,'Download of SFDC Activation Rep'!Z:Z)+150,"")</f>
        <v>46045</v>
      </c>
      <c r="N147" s="24">
        <f t="array" ref="N147">iferror(XLOOKUP(A147,'Download of SFDC Activation Rep'!B:B,'Download of SFDC Activation Rep'!Y:Y),"")</f>
        <v>45954</v>
      </c>
      <c r="U147" s="25">
        <f t="shared" si="2"/>
        <v>45901</v>
      </c>
    </row>
    <row r="148">
      <c r="F148" s="14"/>
      <c r="G148" s="13" t="str">
        <f t="array" ref="G148">iferror(XLOOKUP(A148,'Download of SFDC Activation Rep'!B:B,'Download of SFDC Activation Rep'!H:H),"")</f>
        <v>Churned</v>
      </c>
      <c r="H148" s="13" t="str">
        <f t="array" ref="H148">iferror(xlookup(A148,'Download of SFDC Activation Rep'!B:B,'Download of SFDC Activation Rep'!L:L),"")</f>
        <v/>
      </c>
      <c r="I148" s="17" t="str">
        <f t="shared" si="1"/>
        <v>Not Active</v>
      </c>
      <c r="J148" s="17" t="str">
        <f t="array" ref="J148">iferror(XLOOKUP(A148,'Download of SFDC Activation Rep'!B:B,'Download of SFDC Activation Rep'!X:X),"")</f>
        <v>Matthew Frost</v>
      </c>
      <c r="K148" s="17" t="str">
        <f t="array" ref="K148">iferror(XLOOKUP(A148,'Download of SFDC Activation Rep'!B:B,'Download of SFDC Activation Rep'!C:C),"")</f>
        <v>Mayfield Scientific, LLC</v>
      </c>
      <c r="L148" s="18">
        <f t="array" ref="L148">iferror(XLOOKUP(A148,'Download of SFDC Activation Rep'!B:B,'Download of SFDC Activation Rep'!S:S),"")</f>
        <v>141</v>
      </c>
      <c r="M148" s="24">
        <f t="array" ref="M148">iferror(XLOOKUP(A148,'Download of SFDC Activation Rep'!B:B,'Download of SFDC Activation Rep'!Z:Z)+150,"")</f>
        <v>46115</v>
      </c>
      <c r="N148" s="24">
        <f t="array" ref="N148">iferror(XLOOKUP(A148,'Download of SFDC Activation Rep'!B:B,'Download of SFDC Activation Rep'!Y:Y),"")</f>
        <v>45966</v>
      </c>
      <c r="U148" s="25">
        <f t="shared" si="2"/>
        <v>45992</v>
      </c>
    </row>
    <row r="149">
      <c r="F149" s="14"/>
      <c r="G149" s="13" t="str">
        <f t="array" ref="G149">iferror(XLOOKUP(A149,'Download of SFDC Activation Rep'!B:B,'Download of SFDC Activation Rep'!H:H),"")</f>
        <v/>
      </c>
      <c r="H149" s="13" t="str">
        <f t="array" ref="H149">iferror(xlookup(A149,'Download of SFDC Activation Rep'!B:B,'Download of SFDC Activation Rep'!L:L),"")</f>
        <v>Inactive</v>
      </c>
      <c r="I149" s="17" t="str">
        <f t="shared" si="1"/>
        <v>Not Active</v>
      </c>
      <c r="J149" s="17" t="str">
        <f t="array" ref="J149">iferror(XLOOKUP(A149,'Download of SFDC Activation Rep'!B:B,'Download of SFDC Activation Rep'!X:X),"")</f>
        <v>Arianna Modesti</v>
      </c>
      <c r="K149" s="17" t="str">
        <f t="array" ref="K149">iferror(XLOOKUP(A149,'Download of SFDC Activation Rep'!B:B,'Download of SFDC Activation Rep'!C:C),"")</f>
        <v>Rippa Sales Oklahoma, Llc</v>
      </c>
      <c r="L149" s="18">
        <f t="array" ref="L149">iferror(XLOOKUP(A149,'Download of SFDC Activation Rep'!B:B,'Download of SFDC Activation Rep'!S:S),"")</f>
        <v>340</v>
      </c>
      <c r="M149" s="24">
        <f t="array" ref="M149">iferror(XLOOKUP(A149,'Download of SFDC Activation Rep'!B:B,'Download of SFDC Activation Rep'!Z:Z)+150,"")</f>
        <v>46249</v>
      </c>
      <c r="N149" s="24">
        <f t="array" ref="N149">iferror(XLOOKUP(A149,'Download of SFDC Activation Rep'!B:B,'Download of SFDC Activation Rep'!Y:Y),"")</f>
        <v>46251</v>
      </c>
      <c r="U149" s="25">
        <f t="shared" si="2"/>
        <v>46113</v>
      </c>
    </row>
    <row r="150">
      <c r="F150" s="14"/>
      <c r="G150" s="13" t="str">
        <f t="array" ref="G150">iferror(XLOOKUP(A150,'Download of SFDC Activation Rep'!B:B,'Download of SFDC Activation Rep'!H:H),"")</f>
        <v/>
      </c>
      <c r="H150" s="13" t="str">
        <f t="array" ref="H150">iferror(xlookup(A150,'Download of SFDC Activation Rep'!B:B,'Download of SFDC Activation Rep'!L:L),"")</f>
        <v>Active</v>
      </c>
      <c r="I150" s="17" t="str">
        <f t="shared" si="1"/>
        <v>Active</v>
      </c>
      <c r="J150" s="17" t="str">
        <f t="array" ref="J150">iferror(XLOOKUP(A150,'Download of SFDC Activation Rep'!B:B,'Download of SFDC Activation Rep'!X:X),"")</f>
        <v>Kate Olivares</v>
      </c>
      <c r="K150" s="17" t="str">
        <f t="array" ref="K150">iferror(XLOOKUP(A150,'Download of SFDC Activation Rep'!B:B,'Download of SFDC Activation Rep'!C:C),"")</f>
        <v>Jenny and Francois Selections</v>
      </c>
      <c r="L150" s="18">
        <f t="array" ref="L150">iferror(XLOOKUP(A150,'Download of SFDC Activation Rep'!B:B,'Download of SFDC Activation Rep'!S:S),"")</f>
        <v>25</v>
      </c>
      <c r="M150" s="24">
        <f t="array" ref="M150">iferror(XLOOKUP(A150,'Download of SFDC Activation Rep'!B:B,'Download of SFDC Activation Rep'!Z:Z)+150,"")</f>
        <v>46157</v>
      </c>
      <c r="N150" s="24">
        <f t="array" ref="N150">iferror(XLOOKUP(A150,'Download of SFDC Activation Rep'!B:B,'Download of SFDC Activation Rep'!Y:Y),"")</f>
        <v>46031</v>
      </c>
      <c r="U150" s="25">
        <f t="shared" si="2"/>
        <v>46023</v>
      </c>
    </row>
    <row r="151">
      <c r="F151" s="14"/>
      <c r="G151" s="13" t="str">
        <f t="array" ref="G151">iferror(XLOOKUP(A151,'Download of SFDC Activation Rep'!B:B,'Download of SFDC Activation Rep'!H:H),"")</f>
        <v>Active</v>
      </c>
      <c r="H151" s="13" t="str">
        <f t="array" ref="H151">iferror(xlookup(A151,'Download of SFDC Activation Rep'!B:B,'Download of SFDC Activation Rep'!L:L),"")</f>
        <v>Inactive</v>
      </c>
      <c r="I151" s="17" t="str">
        <f t="shared" si="1"/>
        <v>Active</v>
      </c>
      <c r="J151" s="17" t="str">
        <f t="array" ref="J151">iferror(XLOOKUP(A151,'Download of SFDC Activation Rep'!B:B,'Download of SFDC Activation Rep'!X:X),"")</f>
        <v>Matthew Frost</v>
      </c>
      <c r="K151" s="17" t="str">
        <f t="array" ref="K151">iferror(XLOOKUP(A151,'Download of SFDC Activation Rep'!B:B,'Download of SFDC Activation Rep'!C:C),"")</f>
        <v>BTK Communications Group, LTD</v>
      </c>
      <c r="L151" s="18">
        <f t="array" ref="L151">iferror(XLOOKUP(A151,'Download of SFDC Activation Rep'!B:B,'Download of SFDC Activation Rep'!S:S),"")</f>
        <v>190</v>
      </c>
      <c r="M151" s="24">
        <f t="array" ref="M151">iferror(XLOOKUP(A151,'Download of SFDC Activation Rep'!B:B,'Download of SFDC Activation Rep'!Z:Z)+150,"")</f>
        <v>46065</v>
      </c>
      <c r="N151" s="24">
        <f t="array" ref="N151">iferror(XLOOKUP(A151,'Download of SFDC Activation Rep'!B:B,'Download of SFDC Activation Rep'!Y:Y),"")</f>
        <v>45958</v>
      </c>
      <c r="U151" s="25">
        <f t="shared" si="2"/>
        <v>45931</v>
      </c>
    </row>
    <row r="152">
      <c r="F152" s="14"/>
      <c r="G152" s="13" t="str">
        <f t="array" ref="G152">iferror(XLOOKUP(A152,'Download of SFDC Activation Rep'!B:B,'Download of SFDC Activation Rep'!H:H),"")</f>
        <v>Active</v>
      </c>
      <c r="H152" s="13" t="str">
        <f t="array" ref="H152">iferror(xlookup(A152,'Download of SFDC Activation Rep'!B:B,'Download of SFDC Activation Rep'!L:L),"")</f>
        <v>Churned</v>
      </c>
      <c r="I152" s="17" t="str">
        <f t="shared" si="1"/>
        <v>Active</v>
      </c>
      <c r="J152" s="17" t="str">
        <f t="array" ref="J152">iferror(XLOOKUP(A152,'Download of SFDC Activation Rep'!B:B,'Download of SFDC Activation Rep'!X:X),"")</f>
        <v>Kate Olivares</v>
      </c>
      <c r="K152" s="17" t="str">
        <f t="array" ref="K152">iferror(XLOOKUP(A152,'Download of SFDC Activation Rep'!B:B,'Download of SFDC Activation Rep'!C:C),"")</f>
        <v>ReSure LLC</v>
      </c>
      <c r="L152" s="18">
        <f t="array" ref="L152">iferror(XLOOKUP(A152,'Download of SFDC Activation Rep'!B:B,'Download of SFDC Activation Rep'!S:S),"")</f>
        <v>50</v>
      </c>
      <c r="M152" s="24">
        <f t="array" ref="M152">iferror(XLOOKUP(A152,'Download of SFDC Activation Rep'!B:B,'Download of SFDC Activation Rep'!Z:Z)+150,"")</f>
        <v>45956</v>
      </c>
      <c r="N152" s="24">
        <f t="array" ref="N152">iferror(XLOOKUP(A152,'Download of SFDC Activation Rep'!B:B,'Download of SFDC Activation Rep'!Y:Y),"")</f>
        <v>45806</v>
      </c>
      <c r="U152" s="25">
        <f t="shared" si="2"/>
        <v>45809</v>
      </c>
    </row>
    <row r="153">
      <c r="F153" s="14"/>
      <c r="G153" s="13" t="str">
        <f t="array" ref="G153">iferror(XLOOKUP(A153,'Download of SFDC Activation Rep'!B:B,'Download of SFDC Activation Rep'!H:H),"")</f>
        <v>Active</v>
      </c>
      <c r="H153" s="13" t="str">
        <f t="array" ref="H153">iferror(xlookup(A153,'Download of SFDC Activation Rep'!B:B,'Download of SFDC Activation Rep'!L:L),"")</f>
        <v/>
      </c>
      <c r="I153" s="17" t="str">
        <f t="shared" si="1"/>
        <v>Active</v>
      </c>
      <c r="J153" s="17" t="str">
        <f t="array" ref="J153">iferror(XLOOKUP(A153,'Download of SFDC Activation Rep'!B:B,'Download of SFDC Activation Rep'!X:X),"")</f>
        <v>Matthew Frost</v>
      </c>
      <c r="K153" s="17" t="str">
        <f t="array" ref="K153">iferror(XLOOKUP(A153,'Download of SFDC Activation Rep'!B:B,'Download of SFDC Activation Rep'!C:C),"")</f>
        <v>Fort Comfort Services</v>
      </c>
      <c r="L153" s="18">
        <f t="array" ref="L153">iferror(XLOOKUP(A153,'Download of SFDC Activation Rep'!B:B,'Download of SFDC Activation Rep'!S:S),"")</f>
        <v>84.16</v>
      </c>
      <c r="M153" s="24">
        <f t="array" ref="M153">iferror(XLOOKUP(A153,'Download of SFDC Activation Rep'!B:B,'Download of SFDC Activation Rep'!Z:Z)+150,"")</f>
        <v>46081</v>
      </c>
      <c r="N153" s="24">
        <f t="array" ref="N153">iferror(XLOOKUP(A153,'Download of SFDC Activation Rep'!B:B,'Download of SFDC Activation Rep'!Y:Y),"")</f>
        <v>45957</v>
      </c>
      <c r="U153" s="25">
        <f t="shared" si="2"/>
        <v>45931</v>
      </c>
    </row>
    <row r="154">
      <c r="F154" s="14"/>
      <c r="G154" s="13" t="str">
        <f t="array" ref="G154">iferror(XLOOKUP(A154,'Download of SFDC Activation Rep'!B:B,'Download of SFDC Activation Rep'!H:H),"")</f>
        <v>Active</v>
      </c>
      <c r="H154" s="13" t="str">
        <f t="array" ref="H154">iferror(xlookup(A154,'Download of SFDC Activation Rep'!B:B,'Download of SFDC Activation Rep'!L:L),"")</f>
        <v/>
      </c>
      <c r="I154" s="17" t="str">
        <f t="shared" si="1"/>
        <v>Active</v>
      </c>
      <c r="J154" s="17" t="str">
        <f t="array" ref="J154">iferror(XLOOKUP(A154,'Download of SFDC Activation Rep'!B:B,'Download of SFDC Activation Rep'!X:X),"")</f>
        <v>Arianna Modesti</v>
      </c>
      <c r="K154" s="17" t="str">
        <f t="array" ref="K154">iferror(XLOOKUP(A154,'Download of SFDC Activation Rep'!B:B,'Download of SFDC Activation Rep'!C:C),"")</f>
        <v>GATEWAY LIGHTING AND DESIGN INC</v>
      </c>
      <c r="L154" s="18">
        <f t="array" ref="L154">iferror(XLOOKUP(A154,'Download of SFDC Activation Rep'!B:B,'Download of SFDC Activation Rep'!S:S),"")</f>
        <v>326.16</v>
      </c>
      <c r="M154" s="24">
        <f t="array" ref="M154">iferror(XLOOKUP(A154,'Download of SFDC Activation Rep'!B:B,'Download of SFDC Activation Rep'!Z:Z)+150,"")</f>
        <v>46269</v>
      </c>
      <c r="N154" s="24">
        <f t="array" ref="N154">iferror(XLOOKUP(A154,'Download of SFDC Activation Rep'!B:B,'Download of SFDC Activation Rep'!Y:Y),"")</f>
        <v>46174</v>
      </c>
      <c r="U154" s="25">
        <f t="shared" si="2"/>
        <v>46143</v>
      </c>
    </row>
    <row r="155">
      <c r="F155" s="14"/>
      <c r="G155" s="13" t="str">
        <f t="array" ref="G155">iferror(XLOOKUP(A155,'Download of SFDC Activation Rep'!B:B,'Download of SFDC Activation Rep'!H:H),"")</f>
        <v>Churned</v>
      </c>
      <c r="H155" s="13" t="str">
        <f t="array" ref="H155">iferror(xlookup(A155,'Download of SFDC Activation Rep'!B:B,'Download of SFDC Activation Rep'!L:L),"")</f>
        <v/>
      </c>
      <c r="I155" s="17" t="str">
        <f t="shared" si="1"/>
        <v>Not Active</v>
      </c>
      <c r="J155" s="17" t="str">
        <f t="array" ref="J155">iferror(XLOOKUP(A155,'Download of SFDC Activation Rep'!B:B,'Download of SFDC Activation Rep'!X:X),"")</f>
        <v>Arianna Modesti</v>
      </c>
      <c r="K155" s="17" t="str">
        <f t="array" ref="K155">iferror(XLOOKUP(A155,'Download of SFDC Activation Rep'!B:B,'Download of SFDC Activation Rep'!C:C),"")</f>
        <v>DRD Builders Inc</v>
      </c>
      <c r="L155" s="18">
        <f t="array" ref="L155">iferror(XLOOKUP(A155,'Download of SFDC Activation Rep'!B:B,'Download of SFDC Activation Rep'!S:S),"")</f>
        <v>320.75</v>
      </c>
      <c r="M155" s="24">
        <f t="array" ref="M155">iferror(XLOOKUP(A155,'Download of SFDC Activation Rep'!B:B,'Download of SFDC Activation Rep'!Z:Z)+150,"")</f>
        <v>46261</v>
      </c>
      <c r="N155" s="24">
        <f t="array" ref="N155">iferror(XLOOKUP(A155,'Download of SFDC Activation Rep'!B:B,'Download of SFDC Activation Rep'!Y:Y),"")</f>
        <v>46118</v>
      </c>
      <c r="U155" s="25">
        <f t="shared" si="2"/>
        <v>46113</v>
      </c>
    </row>
    <row r="156">
      <c r="F156" s="14"/>
      <c r="G156" s="13" t="str">
        <f t="array" ref="G156">iferror(XLOOKUP(A156,'Download of SFDC Activation Rep'!B:B,'Download of SFDC Activation Rep'!H:H),"")</f>
        <v>Active</v>
      </c>
      <c r="H156" s="13" t="str">
        <f t="array" ref="H156">iferror(xlookup(A156,'Download of SFDC Activation Rep'!B:B,'Download of SFDC Activation Rep'!L:L),"")</f>
        <v/>
      </c>
      <c r="I156" s="17" t="str">
        <f t="shared" si="1"/>
        <v>Active</v>
      </c>
      <c r="J156" s="17" t="str">
        <f t="array" ref="J156">iferror(XLOOKUP(A156,'Download of SFDC Activation Rep'!B:B,'Download of SFDC Activation Rep'!X:X),"")</f>
        <v>Arianna Modesti</v>
      </c>
      <c r="K156" s="17" t="str">
        <f t="array" ref="K156">iferror(XLOOKUP(A156,'Download of SFDC Activation Rep'!B:B,'Download of SFDC Activation Rep'!C:C),"")</f>
        <v>Matte Collection</v>
      </c>
      <c r="L156" s="18">
        <f t="array" ref="L156">iferror(XLOOKUP(A156,'Download of SFDC Activation Rep'!B:B,'Download of SFDC Activation Rep'!S:S),"")</f>
        <v>226.55</v>
      </c>
      <c r="M156" s="24">
        <f t="array" ref="M156">iferror(XLOOKUP(A156,'Download of SFDC Activation Rep'!B:B,'Download of SFDC Activation Rep'!Z:Z)+150,"")</f>
        <v>46300</v>
      </c>
      <c r="N156" s="24">
        <f t="array" ref="N156">iferror(XLOOKUP(A156,'Download of SFDC Activation Rep'!B:B,'Download of SFDC Activation Rep'!Y:Y),"")</f>
        <v>46251</v>
      </c>
      <c r="U156" s="25">
        <f t="shared" si="2"/>
        <v>46174</v>
      </c>
    </row>
    <row r="157">
      <c r="F157" s="14"/>
      <c r="G157" s="13" t="str">
        <f t="array" ref="G157">iferror(XLOOKUP(A157,'Download of SFDC Activation Rep'!B:B,'Download of SFDC Activation Rep'!H:H),"")</f>
        <v>Active</v>
      </c>
      <c r="H157" s="13" t="str">
        <f t="array" ref="H157">iferror(xlookup(A157,'Download of SFDC Activation Rep'!B:B,'Download of SFDC Activation Rep'!L:L),"")</f>
        <v/>
      </c>
      <c r="I157" s="17" t="str">
        <f t="shared" si="1"/>
        <v>Active</v>
      </c>
      <c r="J157" s="17" t="str">
        <f t="array" ref="J157">iferror(XLOOKUP(A157,'Download of SFDC Activation Rep'!B:B,'Download of SFDC Activation Rep'!X:X),"")</f>
        <v>Arianna Modesti</v>
      </c>
      <c r="K157" s="17" t="str">
        <f t="array" ref="K157">iferror(XLOOKUP(A157,'Download of SFDC Activation Rep'!B:B,'Download of SFDC Activation Rep'!C:C),"")</f>
        <v>Victory Bicycle Studio</v>
      </c>
      <c r="L157" s="18">
        <f t="array" ref="L157">iferror(XLOOKUP(A157,'Download of SFDC Activation Rep'!B:B,'Download of SFDC Activation Rep'!S:S),"")</f>
        <v>348.54</v>
      </c>
      <c r="M157" s="24">
        <f t="array" ref="M157">iferror(XLOOKUP(A157,'Download of SFDC Activation Rep'!B:B,'Download of SFDC Activation Rep'!Z:Z)+150,"")</f>
        <v>46289</v>
      </c>
      <c r="N157" s="24">
        <f t="array" ref="N157">iferror(XLOOKUP(A157,'Download of SFDC Activation Rep'!B:B,'Download of SFDC Activation Rep'!Y:Y),"")</f>
        <v>46251</v>
      </c>
      <c r="U157" s="25">
        <f t="shared" si="2"/>
        <v>46143</v>
      </c>
    </row>
    <row r="158">
      <c r="F158" s="14"/>
      <c r="G158" s="13" t="str">
        <f t="array" ref="G158">iferror(XLOOKUP(A158,'Download of SFDC Activation Rep'!B:B,'Download of SFDC Activation Rep'!H:H),"")</f>
        <v>Active</v>
      </c>
      <c r="H158" s="13" t="str">
        <f t="array" ref="H158">iferror(xlookup(A158,'Download of SFDC Activation Rep'!B:B,'Download of SFDC Activation Rep'!L:L),"")</f>
        <v/>
      </c>
      <c r="I158" s="17" t="str">
        <f t="shared" si="1"/>
        <v>Active</v>
      </c>
      <c r="J158" s="17" t="str">
        <f t="array" ref="J158">iferror(XLOOKUP(A158,'Download of SFDC Activation Rep'!B:B,'Download of SFDC Activation Rep'!X:X),"")</f>
        <v>Arianna Modesti</v>
      </c>
      <c r="K158" s="17" t="str">
        <f t="array" ref="K158">iferror(XLOOKUP(A158,'Download of SFDC Activation Rep'!B:B,'Download of SFDC Activation Rep'!C:C),"")</f>
        <v>Bella Notte Linens</v>
      </c>
      <c r="L158" s="18">
        <f t="array" ref="L158">iferror(XLOOKUP(A158,'Download of SFDC Activation Rep'!B:B,'Download of SFDC Activation Rep'!S:S),"")</f>
        <v>355.14</v>
      </c>
      <c r="M158" s="24">
        <f t="array" ref="M158">iferror(XLOOKUP(A158,'Download of SFDC Activation Rep'!B:B,'Download of SFDC Activation Rep'!Z:Z)+150,"")</f>
        <v>46325</v>
      </c>
      <c r="N158" s="24">
        <f t="array" ref="N158">iferror(XLOOKUP(A158,'Download of SFDC Activation Rep'!B:B,'Download of SFDC Activation Rep'!Y:Y),"")</f>
        <v>46279</v>
      </c>
      <c r="U158" s="25">
        <f t="shared" si="2"/>
        <v>46174</v>
      </c>
    </row>
    <row r="159">
      <c r="F159" s="14"/>
      <c r="G159" s="13" t="str">
        <f t="array" ref="G159">iferror(XLOOKUP(A159,'Download of SFDC Activation Rep'!B:B,'Download of SFDC Activation Rep'!H:H),"")</f>
        <v>Inactive</v>
      </c>
      <c r="H159" s="13" t="str">
        <f t="array" ref="H159">iferror(xlookup(A159,'Download of SFDC Activation Rep'!B:B,'Download of SFDC Activation Rep'!L:L),"")</f>
        <v/>
      </c>
      <c r="I159" s="17" t="str">
        <f t="shared" si="1"/>
        <v>Not Active</v>
      </c>
      <c r="J159" s="17" t="str">
        <f t="array" ref="J159">iferror(XLOOKUP(A159,'Download of SFDC Activation Rep'!B:B,'Download of SFDC Activation Rep'!X:X),"")</f>
        <v>Kate Olivares</v>
      </c>
      <c r="K159" s="17" t="str">
        <f t="array" ref="K159">iferror(XLOOKUP(A159,'Download of SFDC Activation Rep'!B:B,'Download of SFDC Activation Rep'!C:C),"")</f>
        <v>Cabildo Staffing</v>
      </c>
      <c r="L159" s="18">
        <f t="array" ref="L159">iferror(XLOOKUP(A159,'Download of SFDC Activation Rep'!B:B,'Download of SFDC Activation Rep'!S:S),"")</f>
        <v>144</v>
      </c>
      <c r="M159" s="24">
        <f t="array" ref="M159">iferror(XLOOKUP(A159,'Download of SFDC Activation Rep'!B:B,'Download of SFDC Activation Rep'!Z:Z)+150,"")</f>
        <v>46111</v>
      </c>
      <c r="N159" s="24">
        <f t="array" ref="N159">iferror(XLOOKUP(A159,'Download of SFDC Activation Rep'!B:B,'Download of SFDC Activation Rep'!Y:Y),"")</f>
        <v>46051</v>
      </c>
      <c r="U159" s="25">
        <f t="shared" si="2"/>
        <v>45962</v>
      </c>
    </row>
    <row r="160">
      <c r="F160" s="14"/>
      <c r="G160" s="13" t="str">
        <f t="array" ref="G160">iferror(XLOOKUP(A160,'Download of SFDC Activation Rep'!B:B,'Download of SFDC Activation Rep'!H:H),"")</f>
        <v>Churned</v>
      </c>
      <c r="H160" s="13" t="str">
        <f t="array" ref="H160">iferror(xlookup(A160,'Download of SFDC Activation Rep'!B:B,'Download of SFDC Activation Rep'!L:L),"")</f>
        <v>Inactive</v>
      </c>
      <c r="I160" s="17" t="str">
        <f t="shared" si="1"/>
        <v>Not Active</v>
      </c>
      <c r="J160" s="17" t="str">
        <f t="array" ref="J160">iferror(XLOOKUP(A160,'Download of SFDC Activation Rep'!B:B,'Download of SFDC Activation Rep'!X:X),"")</f>
        <v>Kate Olivares</v>
      </c>
      <c r="K160" s="17" t="str">
        <f t="array" ref="K160">iferror(XLOOKUP(A160,'Download of SFDC Activation Rep'!B:B,'Download of SFDC Activation Rep'!C:C),"")</f>
        <v>K2X, Inc.</v>
      </c>
      <c r="L160" s="18">
        <f t="array" ref="L160">iferror(XLOOKUP(A160,'Download of SFDC Activation Rep'!B:B,'Download of SFDC Activation Rep'!S:S),"")</f>
        <v>50</v>
      </c>
      <c r="M160" s="24">
        <f t="array" ref="M160">iferror(XLOOKUP(A160,'Download of SFDC Activation Rep'!B:B,'Download of SFDC Activation Rep'!Z:Z)+150,"")</f>
        <v>45959</v>
      </c>
      <c r="N160" s="24">
        <f t="array" ref="N160">iferror(XLOOKUP(A160,'Download of SFDC Activation Rep'!B:B,'Download of SFDC Activation Rep'!Y:Y),"")</f>
        <v>45819</v>
      </c>
      <c r="U160" s="25">
        <f t="shared" si="2"/>
        <v>45809</v>
      </c>
    </row>
    <row r="161">
      <c r="F161" s="14"/>
      <c r="G161" s="13" t="str">
        <f t="array" ref="G161">iferror(XLOOKUP(A161,'Download of SFDC Activation Rep'!B:B,'Download of SFDC Activation Rep'!H:H),"")</f>
        <v>Active</v>
      </c>
      <c r="H161" s="13" t="str">
        <f t="array" ref="H161">iferror(xlookup(A161,'Download of SFDC Activation Rep'!B:B,'Download of SFDC Activation Rep'!L:L),"")</f>
        <v/>
      </c>
      <c r="I161" s="17" t="str">
        <f t="shared" si="1"/>
        <v>Active</v>
      </c>
      <c r="J161" s="17" t="str">
        <f t="array" ref="J161">iferror(XLOOKUP(A161,'Download of SFDC Activation Rep'!B:B,'Download of SFDC Activation Rep'!X:X),"")</f>
        <v>Arianna Modesti</v>
      </c>
      <c r="K161" s="17" t="str">
        <f t="array" ref="K161">iferror(XLOOKUP(A161,'Download of SFDC Activation Rep'!B:B,'Download of SFDC Activation Rep'!C:C),"")</f>
        <v>Gottaguap LLC</v>
      </c>
      <c r="L161" s="18">
        <f t="array" ref="L161">iferror(XLOOKUP(A161,'Download of SFDC Activation Rep'!B:B,'Download of SFDC Activation Rep'!S:S),"")</f>
        <v>337.75</v>
      </c>
      <c r="M161" s="24">
        <f t="array" ref="M161">iferror(XLOOKUP(A161,'Download of SFDC Activation Rep'!B:B,'Download of SFDC Activation Rep'!Z:Z)+150,"")</f>
        <v>46326</v>
      </c>
      <c r="N161" s="24">
        <f t="array" ref="N161">iferror(XLOOKUP(A161,'Download of SFDC Activation Rep'!B:B,'Download of SFDC Activation Rep'!Y:Y),"")</f>
        <v>46181</v>
      </c>
      <c r="U161" s="25">
        <f t="shared" si="2"/>
        <v>46174</v>
      </c>
    </row>
    <row r="162">
      <c r="F162" s="14"/>
      <c r="G162" s="13" t="str">
        <f t="array" ref="G162">iferror(XLOOKUP(A162,'Download of SFDC Activation Rep'!B:B,'Download of SFDC Activation Rep'!H:H),"")</f>
        <v>Active</v>
      </c>
      <c r="H162" s="13" t="str">
        <f t="array" ref="H162">iferror(xlookup(A162,'Download of SFDC Activation Rep'!B:B,'Download of SFDC Activation Rep'!L:L),"")</f>
        <v/>
      </c>
      <c r="I162" s="17" t="str">
        <f t="shared" si="1"/>
        <v>Active</v>
      </c>
      <c r="J162" s="17" t="str">
        <f t="array" ref="J162">iferror(XLOOKUP(A162,'Download of SFDC Activation Rep'!B:B,'Download of SFDC Activation Rep'!X:X),"")</f>
        <v>Mass Niang</v>
      </c>
      <c r="K162" s="17" t="str">
        <f t="array" ref="K162">iferror(XLOOKUP(A162,'Download of SFDC Activation Rep'!B:B,'Download of SFDC Activation Rep'!C:C),"")</f>
        <v>MJM Construction</v>
      </c>
      <c r="L162" s="18">
        <f t="array" ref="L162">iferror(XLOOKUP(A162,'Download of SFDC Activation Rep'!B:B,'Download of SFDC Activation Rep'!S:S),"")</f>
        <v>89.16</v>
      </c>
      <c r="M162" s="24">
        <f t="array" ref="M162">iferror(XLOOKUP(A162,'Download of SFDC Activation Rep'!B:B,'Download of SFDC Activation Rep'!Z:Z)+150,"")</f>
        <v>46087</v>
      </c>
      <c r="N162" s="24">
        <f t="array" ref="N162">iferror(XLOOKUP(A162,'Download of SFDC Activation Rep'!B:B,'Download of SFDC Activation Rep'!Y:Y),"")</f>
        <v>45947</v>
      </c>
      <c r="U162" s="25">
        <f t="shared" si="2"/>
        <v>45962</v>
      </c>
    </row>
    <row r="163">
      <c r="F163" s="14"/>
      <c r="G163" s="13" t="str">
        <f t="array" ref="G163">iferror(XLOOKUP(A163,'Download of SFDC Activation Rep'!B:B,'Download of SFDC Activation Rep'!H:H),"")</f>
        <v>Active</v>
      </c>
      <c r="H163" s="13" t="str">
        <f t="array" ref="H163">iferror(xlookup(A163,'Download of SFDC Activation Rep'!B:B,'Download of SFDC Activation Rep'!L:L),"")</f>
        <v>Churned</v>
      </c>
      <c r="I163" s="17" t="str">
        <f t="shared" si="1"/>
        <v>Active</v>
      </c>
      <c r="J163" s="17" t="str">
        <f t="array" ref="J163">iferror(XLOOKUP(A163,'Download of SFDC Activation Rep'!B:B,'Download of SFDC Activation Rep'!X:X),"")</f>
        <v>Mass Niang</v>
      </c>
      <c r="K163" s="17" t="str">
        <f t="array" ref="K163">iferror(XLOOKUP(A163,'Download of SFDC Activation Rep'!B:B,'Download of SFDC Activation Rep'!C:C),"")</f>
        <v>Millbrook Distillery LLC dba Tenmile Distillery</v>
      </c>
      <c r="L163" s="18">
        <f t="array" ref="L163">iferror(XLOOKUP(A163,'Download of SFDC Activation Rep'!B:B,'Download of SFDC Activation Rep'!S:S),"")</f>
        <v>150</v>
      </c>
      <c r="M163" s="24">
        <f t="array" ref="M163">iferror(XLOOKUP(A163,'Download of SFDC Activation Rep'!B:B,'Download of SFDC Activation Rep'!Z:Z)+150,"")</f>
        <v>46040</v>
      </c>
      <c r="N163" s="24">
        <f t="array" ref="N163">iferror(XLOOKUP(A163,'Download of SFDC Activation Rep'!B:B,'Download of SFDC Activation Rep'!Y:Y),"")</f>
        <v>46009</v>
      </c>
      <c r="U163" s="25">
        <f t="shared" si="2"/>
        <v>45901</v>
      </c>
    </row>
    <row r="164">
      <c r="F164" s="14"/>
      <c r="G164" s="13" t="str">
        <f t="array" ref="G164">iferror(XLOOKUP(A164,'Download of SFDC Activation Rep'!B:B,'Download of SFDC Activation Rep'!H:H),"")</f>
        <v>Active</v>
      </c>
      <c r="H164" s="13" t="str">
        <f t="array" ref="H164">iferror(xlookup(A164,'Download of SFDC Activation Rep'!B:B,'Download of SFDC Activation Rep'!L:L),"")</f>
        <v/>
      </c>
      <c r="I164" s="17" t="str">
        <f t="shared" si="1"/>
        <v>Active</v>
      </c>
      <c r="J164" s="17" t="str">
        <f t="array" ref="J164">iferror(XLOOKUP(A164,'Download of SFDC Activation Rep'!B:B,'Download of SFDC Activation Rep'!X:X),"")</f>
        <v>Arianna Modesti</v>
      </c>
      <c r="K164" s="17" t="str">
        <f t="array" ref="K164">iferror(XLOOKUP(A164,'Download of SFDC Activation Rep'!B:B,'Download of SFDC Activation Rep'!C:C),"")</f>
        <v>Nationwide Valuation Solutions, LLC</v>
      </c>
      <c r="L164" s="18">
        <f t="array" ref="L164">iferror(XLOOKUP(A164,'Download of SFDC Activation Rep'!B:B,'Download of SFDC Activation Rep'!S:S),"")</f>
        <v>328.13</v>
      </c>
      <c r="M164" s="24">
        <f t="array" ref="M164">iferror(XLOOKUP(A164,'Download of SFDC Activation Rep'!B:B,'Download of SFDC Activation Rep'!Z:Z)+150,"")</f>
        <v>46300</v>
      </c>
      <c r="N164" s="24">
        <f t="array" ref="N164">iferror(XLOOKUP(A164,'Download of SFDC Activation Rep'!B:B,'Download of SFDC Activation Rep'!Y:Y),"")</f>
        <v>46181</v>
      </c>
      <c r="U164" s="25">
        <f t="shared" si="2"/>
        <v>46174</v>
      </c>
    </row>
    <row r="165">
      <c r="F165" s="14"/>
      <c r="G165" s="13" t="str">
        <f t="array" ref="G165">iferror(XLOOKUP(A165,'Download of SFDC Activation Rep'!B:B,'Download of SFDC Activation Rep'!H:H),"")</f>
        <v/>
      </c>
      <c r="H165" s="13" t="str">
        <f t="array" ref="H165">iferror(xlookup(A165,'Download of SFDC Activation Rep'!B:B,'Download of SFDC Activation Rep'!L:L),"")</f>
        <v>Active</v>
      </c>
      <c r="I165" s="17" t="str">
        <f t="shared" si="1"/>
        <v>Active</v>
      </c>
      <c r="J165" s="17" t="str">
        <f t="array" ref="J165">iferror(XLOOKUP(A165,'Download of SFDC Activation Rep'!B:B,'Download of SFDC Activation Rep'!X:X),"")</f>
        <v>Kate Olivares</v>
      </c>
      <c r="K165" s="17" t="str">
        <f t="array" ref="K165">iferror(XLOOKUP(A165,'Download of SFDC Activation Rep'!B:B,'Download of SFDC Activation Rep'!C:C),"")</f>
        <v>Navimow Inc</v>
      </c>
      <c r="L165" s="18">
        <f t="array" ref="L165">iferror(XLOOKUP(A165,'Download of SFDC Activation Rep'!B:B,'Download of SFDC Activation Rep'!S:S),"")</f>
        <v>462</v>
      </c>
      <c r="M165" s="24">
        <f t="array" ref="M165">iferror(XLOOKUP(A165,'Download of SFDC Activation Rep'!B:B,'Download of SFDC Activation Rep'!Z:Z)+150,"")</f>
        <v>45991</v>
      </c>
      <c r="N165" s="24">
        <f t="array" ref="N165">iferror(XLOOKUP(A165,'Download of SFDC Activation Rep'!B:B,'Download of SFDC Activation Rep'!Y:Y),"")</f>
        <v>46021</v>
      </c>
      <c r="U165" s="25">
        <f t="shared" si="2"/>
        <v>45839</v>
      </c>
    </row>
    <row r="166">
      <c r="F166" s="14"/>
      <c r="G166" s="13" t="str">
        <f t="array" ref="G166">iferror(XLOOKUP(A166,'Download of SFDC Activation Rep'!B:B,'Download of SFDC Activation Rep'!H:H),"")</f>
        <v/>
      </c>
      <c r="H166" s="13" t="str">
        <f t="array" ref="H166">iferror(xlookup(A166,'Download of SFDC Activation Rep'!B:B,'Download of SFDC Activation Rep'!L:L),"")</f>
        <v>Active</v>
      </c>
      <c r="I166" s="17" t="str">
        <f t="shared" si="1"/>
        <v>Active</v>
      </c>
      <c r="J166" s="17" t="str">
        <f t="array" ref="J166">iferror(XLOOKUP(A166,'Download of SFDC Activation Rep'!B:B,'Download of SFDC Activation Rep'!X:X),"")</f>
        <v>Matthew Frost</v>
      </c>
      <c r="K166" s="17" t="str">
        <f t="array" ref="K166">iferror(XLOOKUP(A166,'Download of SFDC Activation Rep'!B:B,'Download of SFDC Activation Rep'!C:C),"")</f>
        <v>DQ of New Jersey, Inc.</v>
      </c>
      <c r="L166" s="18">
        <f t="array" ref="L166">iferror(XLOOKUP(A166,'Download of SFDC Activation Rep'!B:B,'Download of SFDC Activation Rep'!S:S),"")</f>
        <v>125.62</v>
      </c>
      <c r="M166" s="24">
        <f t="array" ref="M166">iferror(XLOOKUP(A166,'Download of SFDC Activation Rep'!B:B,'Download of SFDC Activation Rep'!Z:Z)+150,"")</f>
        <v>46118</v>
      </c>
      <c r="N166" s="24">
        <f t="array" ref="N166">iferror(XLOOKUP(A166,'Download of SFDC Activation Rep'!B:B,'Download of SFDC Activation Rep'!Y:Y),"")</f>
        <v>46006</v>
      </c>
      <c r="U166" s="25">
        <f t="shared" si="2"/>
        <v>45992</v>
      </c>
    </row>
    <row r="167">
      <c r="F167" s="14"/>
      <c r="G167" s="13" t="str">
        <f t="array" ref="G167">iferror(XLOOKUP(A167,'Download of SFDC Activation Rep'!B:B,'Download of SFDC Activation Rep'!H:H),"")</f>
        <v/>
      </c>
      <c r="H167" s="13" t="str">
        <f t="array" ref="H167">iferror(xlookup(A167,'Download of SFDC Activation Rep'!B:B,'Download of SFDC Activation Rep'!L:L),"")</f>
        <v>Active</v>
      </c>
      <c r="I167" s="17" t="str">
        <f t="shared" si="1"/>
        <v>Active</v>
      </c>
      <c r="J167" s="17" t="str">
        <f t="array" ref="J167">iferror(XLOOKUP(A167,'Download of SFDC Activation Rep'!B:B,'Download of SFDC Activation Rep'!X:X),"")</f>
        <v>Matthew Frost</v>
      </c>
      <c r="K167" s="17" t="str">
        <f t="array" ref="K167">iferror(XLOOKUP(A167,'Download of SFDC Activation Rep'!B:B,'Download of SFDC Activation Rep'!C:C),"")</f>
        <v>Southside Mighty of Chicago</v>
      </c>
      <c r="L167" s="18">
        <f t="array" ref="L167">iferror(XLOOKUP(A167,'Download of SFDC Activation Rep'!B:B,'Download of SFDC Activation Rep'!S:S),"")</f>
        <v>0</v>
      </c>
      <c r="M167" s="24">
        <f t="array" ref="M167">iferror(XLOOKUP(A167,'Download of SFDC Activation Rep'!B:B,'Download of SFDC Activation Rep'!Z:Z)+150,"")</f>
        <v>46045</v>
      </c>
      <c r="N167" s="24">
        <f t="array" ref="N167">iferror(XLOOKUP(A167,'Download of SFDC Activation Rep'!B:B,'Download of SFDC Activation Rep'!Y:Y),"")</f>
        <v>45954</v>
      </c>
      <c r="U167" s="25">
        <f t="shared" si="2"/>
        <v>45901</v>
      </c>
    </row>
    <row r="168">
      <c r="F168" s="14"/>
      <c r="G168" s="13" t="str">
        <f t="array" ref="G168">iferror(XLOOKUP(A168,'Download of SFDC Activation Rep'!B:B,'Download of SFDC Activation Rep'!H:H),"")</f>
        <v>Churned</v>
      </c>
      <c r="H168" s="13" t="str">
        <f t="array" ref="H168">iferror(xlookup(A168,'Download of SFDC Activation Rep'!B:B,'Download of SFDC Activation Rep'!L:L),"")</f>
        <v>Active</v>
      </c>
      <c r="I168" s="17" t="str">
        <f t="shared" si="1"/>
        <v>Active</v>
      </c>
      <c r="J168" s="17" t="str">
        <f t="array" ref="J168">iferror(XLOOKUP(A168,'Download of SFDC Activation Rep'!B:B,'Download of SFDC Activation Rep'!X:X),"")</f>
        <v>Matthew Frost</v>
      </c>
      <c r="K168" s="17" t="str">
        <f t="array" ref="K168">iferror(XLOOKUP(A168,'Download of SFDC Activation Rep'!B:B,'Download of SFDC Activation Rep'!C:C),"")</f>
        <v>International Marine Products</v>
      </c>
      <c r="L168" s="18">
        <f t="array" ref="L168">iferror(XLOOKUP(A168,'Download of SFDC Activation Rep'!B:B,'Download of SFDC Activation Rep'!S:S),"")</f>
        <v>6635</v>
      </c>
      <c r="M168" s="24">
        <f t="array" ref="M168">iferror(XLOOKUP(A168,'Download of SFDC Activation Rep'!B:B,'Download of SFDC Activation Rep'!Z:Z)+150,"")</f>
        <v>46123</v>
      </c>
      <c r="N168" s="24">
        <f t="array" ref="N168">iferror(XLOOKUP(A168,'Download of SFDC Activation Rep'!B:B,'Download of SFDC Activation Rep'!Y:Y),"")</f>
        <v>45968</v>
      </c>
      <c r="U168" s="25">
        <f t="shared" si="2"/>
        <v>45992</v>
      </c>
    </row>
    <row r="169">
      <c r="F169" s="14"/>
      <c r="G169" s="13" t="str">
        <f t="array" ref="G169">iferror(XLOOKUP(A169,'Download of SFDC Activation Rep'!B:B,'Download of SFDC Activation Rep'!H:H),"")</f>
        <v>Active</v>
      </c>
      <c r="H169" s="13" t="str">
        <f t="array" ref="H169">iferror(xlookup(A169,'Download of SFDC Activation Rep'!B:B,'Download of SFDC Activation Rep'!L:L),"")</f>
        <v/>
      </c>
      <c r="I169" s="17" t="str">
        <f t="shared" si="1"/>
        <v>Active</v>
      </c>
      <c r="J169" s="17" t="str">
        <f t="array" ref="J169">iferror(XLOOKUP(A169,'Download of SFDC Activation Rep'!B:B,'Download of SFDC Activation Rep'!X:X),"")</f>
        <v>Matthew Frost</v>
      </c>
      <c r="K169" s="17" t="str">
        <f t="array" ref="K169">iferror(XLOOKUP(A169,'Download of SFDC Activation Rep'!B:B,'Download of SFDC Activation Rep'!C:C),"")</f>
        <v>The Makenzie House</v>
      </c>
      <c r="L169" s="18">
        <f t="array" ref="L169">iferror(XLOOKUP(A169,'Download of SFDC Activation Rep'!B:B,'Download of SFDC Activation Rep'!S:S),"")</f>
        <v>190</v>
      </c>
      <c r="M169" s="24">
        <f t="array" ref="M169">iferror(XLOOKUP(A169,'Download of SFDC Activation Rep'!B:B,'Download of SFDC Activation Rep'!Z:Z)+150,"")</f>
        <v>46143</v>
      </c>
      <c r="N169" s="24">
        <f t="array" ref="N169">iferror(XLOOKUP(A169,'Download of SFDC Activation Rep'!B:B,'Download of SFDC Activation Rep'!Y:Y),"")</f>
        <v>45999</v>
      </c>
      <c r="U169" s="25">
        <f t="shared" si="2"/>
        <v>46023</v>
      </c>
    </row>
    <row r="170">
      <c r="B170" s="14"/>
      <c r="C170" s="14"/>
      <c r="D170" s="14"/>
      <c r="E170" s="15"/>
      <c r="F170" s="14"/>
      <c r="G170" s="13" t="str">
        <f t="array" ref="G170">iferror(XLOOKUP(A170,'Download of SFDC Activation Rep'!B:B,'Download of SFDC Activation Rep'!H:H),"")</f>
        <v/>
      </c>
      <c r="H170" s="13" t="str">
        <f t="array" ref="H170">iferror(xlookup(A170,'Download of SFDC Activation Rep'!B:B,'Download of SFDC Activation Rep'!L:L),"")</f>
        <v/>
      </c>
      <c r="I170" s="17" t="str">
        <f t="shared" si="1"/>
        <v>Not Active</v>
      </c>
      <c r="J170" s="17" t="str">
        <f t="array" ref="J170">iferror(XLOOKUP(A170,'Download of SFDC Activation Rep'!B:B,'Download of SFDC Activation Rep'!X:X),"")</f>
        <v/>
      </c>
      <c r="K170" s="17" t="str">
        <f t="array" ref="K170">iferror(XLOOKUP(A170,'Download of SFDC Activation Rep'!B:B,'Download of SFDC Activation Rep'!C:C),"")</f>
        <v/>
      </c>
      <c r="L170" s="18" t="str">
        <f t="array" ref="L170">iferror(XLOOKUP(A170,'Download of SFDC Activation Rep'!B:B,'Download of SFDC Activation Rep'!S:S),"")</f>
        <v/>
      </c>
      <c r="M170" s="24" t="str">
        <f t="array" ref="M170">iferror(XLOOKUP(A170,'Download of SFDC Activation Rep'!B:B,'Download of SFDC Activation Rep'!Z:Z)+150,"")</f>
        <v/>
      </c>
      <c r="N170" s="24" t="str">
        <f t="array" ref="N170">iferror(XLOOKUP(A170,'Download of SFDC Activation Rep'!B:B,'Download of SFDC Activation Rep'!Y:Y),"")</f>
        <v/>
      </c>
      <c r="U170" s="13" t="str">
        <f t="shared" si="2"/>
        <v/>
      </c>
    </row>
    <row r="171">
      <c r="B171" s="14"/>
      <c r="C171" s="14"/>
      <c r="D171" s="14"/>
      <c r="E171" s="15"/>
      <c r="F171" s="14"/>
      <c r="G171" s="13" t="str">
        <f t="array" ref="G171">iferror(XLOOKUP(A171,'Download of SFDC Activation Rep'!B:B,'Download of SFDC Activation Rep'!H:H),"")</f>
        <v/>
      </c>
      <c r="H171" s="13" t="str">
        <f t="array" ref="H171">iferror(xlookup(A171,'Download of SFDC Activation Rep'!B:B,'Download of SFDC Activation Rep'!L:L),"")</f>
        <v/>
      </c>
      <c r="I171" s="17" t="str">
        <f t="shared" si="1"/>
        <v>Not Active</v>
      </c>
      <c r="J171" s="17" t="str">
        <f t="array" ref="J171">iferror(XLOOKUP(A171,'Download of SFDC Activation Rep'!B:B,'Download of SFDC Activation Rep'!X:X),"")</f>
        <v/>
      </c>
      <c r="K171" s="17" t="str">
        <f t="array" ref="K171">iferror(XLOOKUP(A171,'Download of SFDC Activation Rep'!B:B,'Download of SFDC Activation Rep'!C:C),"")</f>
        <v/>
      </c>
      <c r="L171" s="18" t="str">
        <f t="array" ref="L171">iferror(XLOOKUP(A171,'Download of SFDC Activation Rep'!B:B,'Download of SFDC Activation Rep'!S:S),"")</f>
        <v/>
      </c>
      <c r="M171" s="24" t="str">
        <f t="array" ref="M171">iferror(XLOOKUP(A171,'Download of SFDC Activation Rep'!B:B,'Download of SFDC Activation Rep'!Z:Z)+150,"")</f>
        <v/>
      </c>
      <c r="N171" s="24" t="str">
        <f t="array" ref="N171">iferror(XLOOKUP(A171,'Download of SFDC Activation Rep'!B:B,'Download of SFDC Activation Rep'!Y:Y),"")</f>
        <v/>
      </c>
      <c r="U171" s="13" t="str">
        <f t="shared" si="2"/>
        <v/>
      </c>
    </row>
    <row r="172">
      <c r="B172" s="14"/>
      <c r="C172" s="14"/>
      <c r="D172" s="14"/>
      <c r="E172" s="15"/>
      <c r="F172" s="14"/>
      <c r="G172" s="13" t="str">
        <f t="array" ref="G172">iferror(XLOOKUP(A172,'Download of SFDC Activation Rep'!B:B,'Download of SFDC Activation Rep'!H:H),"")</f>
        <v/>
      </c>
      <c r="H172" s="13" t="str">
        <f t="array" ref="H172">iferror(xlookup(A172,'Download of SFDC Activation Rep'!B:B,'Download of SFDC Activation Rep'!L:L),"")</f>
        <v/>
      </c>
      <c r="I172" s="17" t="str">
        <f t="shared" si="1"/>
        <v>Not Active</v>
      </c>
      <c r="J172" s="17" t="str">
        <f t="array" ref="J172">iferror(XLOOKUP(A172,'Download of SFDC Activation Rep'!B:B,'Download of SFDC Activation Rep'!X:X),"")</f>
        <v/>
      </c>
      <c r="K172" s="17" t="str">
        <f t="array" ref="K172">iferror(XLOOKUP(A172,'Download of SFDC Activation Rep'!B:B,'Download of SFDC Activation Rep'!C:C),"")</f>
        <v/>
      </c>
      <c r="L172" s="18" t="str">
        <f t="array" ref="L172">iferror(XLOOKUP(A172,'Download of SFDC Activation Rep'!B:B,'Download of SFDC Activation Rep'!S:S),"")</f>
        <v/>
      </c>
      <c r="M172" s="24" t="str">
        <f t="array" ref="M172">iferror(XLOOKUP(A172,'Download of SFDC Activation Rep'!B:B,'Download of SFDC Activation Rep'!Z:Z)+150,"")</f>
        <v/>
      </c>
      <c r="N172" s="24" t="str">
        <f t="array" ref="N172">iferror(XLOOKUP(A172,'Download of SFDC Activation Rep'!B:B,'Download of SFDC Activation Rep'!Y:Y),"")</f>
        <v/>
      </c>
      <c r="U172" s="13" t="str">
        <f t="shared" si="2"/>
        <v/>
      </c>
    </row>
    <row r="173">
      <c r="B173" s="14"/>
      <c r="C173" s="14"/>
      <c r="D173" s="14"/>
      <c r="E173" s="15"/>
      <c r="F173" s="14"/>
      <c r="G173" s="13" t="str">
        <f t="array" ref="G173">iferror(XLOOKUP(A173,'Download of SFDC Activation Rep'!B:B,'Download of SFDC Activation Rep'!H:H),"")</f>
        <v/>
      </c>
      <c r="H173" s="13" t="str">
        <f t="array" ref="H173">iferror(xlookup(A173,'Download of SFDC Activation Rep'!B:B,'Download of SFDC Activation Rep'!L:L),"")</f>
        <v/>
      </c>
      <c r="I173" s="17" t="str">
        <f t="shared" si="1"/>
        <v>Not Active</v>
      </c>
      <c r="J173" s="17" t="str">
        <f t="array" ref="J173">iferror(XLOOKUP(A173,'Download of SFDC Activation Rep'!B:B,'Download of SFDC Activation Rep'!X:X),"")</f>
        <v/>
      </c>
      <c r="K173" s="17" t="str">
        <f t="array" ref="K173">iferror(XLOOKUP(A173,'Download of SFDC Activation Rep'!B:B,'Download of SFDC Activation Rep'!C:C),"")</f>
        <v/>
      </c>
      <c r="L173" s="18" t="str">
        <f t="array" ref="L173">iferror(XLOOKUP(A173,'Download of SFDC Activation Rep'!B:B,'Download of SFDC Activation Rep'!S:S),"")</f>
        <v/>
      </c>
      <c r="M173" s="24" t="str">
        <f t="array" ref="M173">iferror(XLOOKUP(A173,'Download of SFDC Activation Rep'!B:B,'Download of SFDC Activation Rep'!Z:Z)+150,"")</f>
        <v/>
      </c>
      <c r="N173" s="24" t="str">
        <f t="array" ref="N173">iferror(XLOOKUP(A173,'Download of SFDC Activation Rep'!B:B,'Download of SFDC Activation Rep'!Y:Y),"")</f>
        <v/>
      </c>
    </row>
    <row r="174">
      <c r="B174" s="14"/>
      <c r="C174" s="14"/>
      <c r="D174" s="14"/>
      <c r="E174" s="15"/>
      <c r="F174" s="14"/>
      <c r="G174" s="13" t="str">
        <f t="array" ref="G174">iferror(XLOOKUP(A174,'Download of SFDC Activation Rep'!B:B,'Download of SFDC Activation Rep'!H:H),"")</f>
        <v/>
      </c>
      <c r="H174" s="13" t="str">
        <f t="array" ref="H174">iferror(xlookup(A174,'Download of SFDC Activation Rep'!B:B,'Download of SFDC Activation Rep'!L:L),"")</f>
        <v/>
      </c>
      <c r="I174" s="17" t="str">
        <f t="shared" si="1"/>
        <v>Not Active</v>
      </c>
      <c r="J174" s="17" t="str">
        <f t="array" ref="J174">iferror(XLOOKUP(A174,'Download of SFDC Activation Rep'!B:B,'Download of SFDC Activation Rep'!X:X),"")</f>
        <v/>
      </c>
      <c r="K174" s="17" t="str">
        <f t="array" ref="K174">iferror(XLOOKUP(A174,'Download of SFDC Activation Rep'!B:B,'Download of SFDC Activation Rep'!C:C),"")</f>
        <v/>
      </c>
      <c r="L174" s="18" t="str">
        <f t="array" ref="L174">iferror(XLOOKUP(A174,'Download of SFDC Activation Rep'!B:B,'Download of SFDC Activation Rep'!S:S),"")</f>
        <v/>
      </c>
      <c r="M174" s="24" t="str">
        <f t="array" ref="M174">iferror(XLOOKUP(A174,'Download of SFDC Activation Rep'!B:B,'Download of SFDC Activation Rep'!Z:Z)+150,"")</f>
        <v/>
      </c>
      <c r="N174" s="24" t="str">
        <f t="array" ref="N174">iferror(XLOOKUP(A174,'Download of SFDC Activation Rep'!B:B,'Download of SFDC Activation Rep'!Y:Y),"")</f>
        <v/>
      </c>
    </row>
    <row r="175">
      <c r="B175" s="14"/>
      <c r="C175" s="14"/>
      <c r="D175" s="14"/>
      <c r="E175" s="15"/>
      <c r="F175" s="14"/>
      <c r="G175" s="13" t="str">
        <f t="array" ref="G175">iferror(XLOOKUP(A175,'Download of SFDC Activation Rep'!B:B,'Download of SFDC Activation Rep'!H:H),"")</f>
        <v/>
      </c>
      <c r="H175" s="13" t="str">
        <f t="array" ref="H175">iferror(xlookup(A175,'Download of SFDC Activation Rep'!B:B,'Download of SFDC Activation Rep'!L:L),"")</f>
        <v/>
      </c>
      <c r="I175" s="17" t="str">
        <f t="shared" si="1"/>
        <v>Not Active</v>
      </c>
      <c r="J175" s="17" t="str">
        <f t="array" ref="J175">iferror(XLOOKUP(A175,'Download of SFDC Activation Rep'!B:B,'Download of SFDC Activation Rep'!X:X),"")</f>
        <v/>
      </c>
      <c r="K175" s="17" t="str">
        <f t="array" ref="K175">iferror(XLOOKUP(A175,'Download of SFDC Activation Rep'!B:B,'Download of SFDC Activation Rep'!C:C),"")</f>
        <v/>
      </c>
      <c r="L175" s="18" t="str">
        <f t="array" ref="L175">iferror(XLOOKUP(A175,'Download of SFDC Activation Rep'!B:B,'Download of SFDC Activation Rep'!S:S),"")</f>
        <v/>
      </c>
      <c r="M175" s="24" t="str">
        <f t="array" ref="M175">iferror(XLOOKUP(A175,'Download of SFDC Activation Rep'!B:B,'Download of SFDC Activation Rep'!Z:Z)+150,"")</f>
        <v/>
      </c>
      <c r="N175" s="24" t="str">
        <f t="array" ref="N175">iferror(XLOOKUP(A175,'Download of SFDC Activation Rep'!B:B,'Download of SFDC Activation Rep'!Y:Y),"")</f>
        <v/>
      </c>
    </row>
    <row r="176">
      <c r="B176" s="14"/>
      <c r="C176" s="14"/>
      <c r="D176" s="14"/>
      <c r="E176" s="15"/>
      <c r="F176" s="14"/>
      <c r="G176" s="13" t="str">
        <f t="array" ref="G176">iferror(XLOOKUP(A176,'Download of SFDC Activation Rep'!B:B,'Download of SFDC Activation Rep'!H:H),"")</f>
        <v/>
      </c>
      <c r="H176" s="13" t="str">
        <f t="array" ref="H176">iferror(xlookup(A176,'Download of SFDC Activation Rep'!B:B,'Download of SFDC Activation Rep'!L:L),"")</f>
        <v/>
      </c>
      <c r="I176" s="17" t="str">
        <f t="shared" si="1"/>
        <v>Not Active</v>
      </c>
      <c r="J176" s="17" t="str">
        <f t="array" ref="J176">iferror(XLOOKUP(A176,'Download of SFDC Activation Rep'!B:B,'Download of SFDC Activation Rep'!X:X),"")</f>
        <v/>
      </c>
      <c r="K176" s="17" t="str">
        <f t="array" ref="K176">iferror(XLOOKUP(A176,'Download of SFDC Activation Rep'!B:B,'Download of SFDC Activation Rep'!C:C),"")</f>
        <v/>
      </c>
      <c r="L176" s="18" t="str">
        <f t="array" ref="L176">iferror(XLOOKUP(A176,'Download of SFDC Activation Rep'!B:B,'Download of SFDC Activation Rep'!S:S),"")</f>
        <v/>
      </c>
      <c r="M176" s="24" t="str">
        <f t="array" ref="M176">iferror(XLOOKUP(A176,'Download of SFDC Activation Rep'!B:B,'Download of SFDC Activation Rep'!Z:Z)+150,"")</f>
        <v/>
      </c>
      <c r="N176" s="24" t="str">
        <f t="array" ref="N176">iferror(XLOOKUP(A176,'Download of SFDC Activation Rep'!B:B,'Download of SFDC Activation Rep'!Y:Y),"")</f>
        <v/>
      </c>
    </row>
    <row r="177">
      <c r="B177" s="14"/>
      <c r="C177" s="14"/>
      <c r="D177" s="14"/>
      <c r="E177" s="15"/>
      <c r="F177" s="14"/>
      <c r="G177" s="13" t="str">
        <f t="array" ref="G177">iferror(XLOOKUP(A177,'Download of SFDC Activation Rep'!B:B,'Download of SFDC Activation Rep'!H:H),"")</f>
        <v/>
      </c>
      <c r="H177" s="13" t="str">
        <f t="array" ref="H177">iferror(xlookup(A177,'Download of SFDC Activation Rep'!B:B,'Download of SFDC Activation Rep'!L:L),"")</f>
        <v/>
      </c>
      <c r="I177" s="17" t="str">
        <f t="shared" si="1"/>
        <v>Not Active</v>
      </c>
      <c r="J177" s="17" t="str">
        <f t="array" ref="J177">iferror(XLOOKUP(A177,'Download of SFDC Activation Rep'!B:B,'Download of SFDC Activation Rep'!X:X),"")</f>
        <v/>
      </c>
      <c r="K177" s="17" t="str">
        <f t="array" ref="K177">iferror(XLOOKUP(A177,'Download of SFDC Activation Rep'!B:B,'Download of SFDC Activation Rep'!C:C),"")</f>
        <v/>
      </c>
      <c r="L177" s="18" t="str">
        <f t="array" ref="L177">iferror(XLOOKUP(A177,'Download of SFDC Activation Rep'!B:B,'Download of SFDC Activation Rep'!S:S),"")</f>
        <v/>
      </c>
      <c r="M177" s="24" t="str">
        <f t="array" ref="M177">iferror(XLOOKUP(A177,'Download of SFDC Activation Rep'!B:B,'Download of SFDC Activation Rep'!Z:Z)+150,"")</f>
        <v/>
      </c>
      <c r="N177" s="24" t="str">
        <f t="array" ref="N177">iferror(XLOOKUP(A177,'Download of SFDC Activation Rep'!B:B,'Download of SFDC Activation Rep'!Y:Y),"")</f>
        <v/>
      </c>
    </row>
    <row r="178">
      <c r="B178" s="14"/>
      <c r="C178" s="14"/>
      <c r="D178" s="14"/>
      <c r="E178" s="15"/>
      <c r="F178" s="14"/>
      <c r="G178" s="13" t="str">
        <f t="array" ref="G178">iferror(XLOOKUP(A178,'Download of SFDC Activation Rep'!B:B,'Download of SFDC Activation Rep'!H:H),"")</f>
        <v/>
      </c>
      <c r="H178" s="13" t="str">
        <f t="array" ref="H178">iferror(xlookup(A178,'Download of SFDC Activation Rep'!B:B,'Download of SFDC Activation Rep'!L:L),"")</f>
        <v/>
      </c>
      <c r="I178" s="17" t="str">
        <f t="shared" si="1"/>
        <v>Not Active</v>
      </c>
      <c r="J178" s="17" t="str">
        <f t="array" ref="J178">iferror(XLOOKUP(A178,'Download of SFDC Activation Rep'!B:B,'Download of SFDC Activation Rep'!X:X),"")</f>
        <v/>
      </c>
      <c r="K178" s="17" t="str">
        <f t="array" ref="K178">iferror(XLOOKUP(A178,'Download of SFDC Activation Rep'!B:B,'Download of SFDC Activation Rep'!C:C),"")</f>
        <v/>
      </c>
      <c r="L178" s="18" t="str">
        <f t="array" ref="L178">iferror(XLOOKUP(A178,'Download of SFDC Activation Rep'!B:B,'Download of SFDC Activation Rep'!S:S),"")</f>
        <v/>
      </c>
      <c r="M178" s="24" t="str">
        <f t="array" ref="M178">iferror(XLOOKUP(A178,'Download of SFDC Activation Rep'!B:B,'Download of SFDC Activation Rep'!Z:Z)+150,"")</f>
        <v/>
      </c>
      <c r="N178" s="24" t="str">
        <f t="array" ref="N178">iferror(XLOOKUP(A178,'Download of SFDC Activation Rep'!B:B,'Download of SFDC Activation Rep'!Y:Y),"")</f>
        <v/>
      </c>
    </row>
    <row r="179">
      <c r="B179" s="14"/>
      <c r="C179" s="14"/>
      <c r="D179" s="14"/>
      <c r="E179" s="15"/>
      <c r="F179" s="14"/>
      <c r="G179" s="13" t="str">
        <f t="array" ref="G179">iferror(XLOOKUP(A179,'Download of SFDC Activation Rep'!B:B,'Download of SFDC Activation Rep'!H:H),"")</f>
        <v/>
      </c>
      <c r="H179" s="13" t="str">
        <f t="array" ref="H179">iferror(xlookup(A179,'Download of SFDC Activation Rep'!B:B,'Download of SFDC Activation Rep'!L:L),"")</f>
        <v/>
      </c>
      <c r="I179" s="17" t="str">
        <f t="shared" si="1"/>
        <v>Not Active</v>
      </c>
      <c r="J179" s="17" t="str">
        <f t="array" ref="J179">iferror(XLOOKUP(A179,'Download of SFDC Activation Rep'!B:B,'Download of SFDC Activation Rep'!X:X),"")</f>
        <v/>
      </c>
      <c r="K179" s="17" t="str">
        <f t="array" ref="K179">iferror(XLOOKUP(A179,'Download of SFDC Activation Rep'!B:B,'Download of SFDC Activation Rep'!C:C),"")</f>
        <v/>
      </c>
      <c r="L179" s="18" t="str">
        <f t="array" ref="L179">iferror(XLOOKUP(A179,'Download of SFDC Activation Rep'!B:B,'Download of SFDC Activation Rep'!S:S),"")</f>
        <v/>
      </c>
      <c r="M179" s="24" t="str">
        <f t="array" ref="M179">iferror(XLOOKUP(A179,'Download of SFDC Activation Rep'!B:B,'Download of SFDC Activation Rep'!Z:Z)+150,"")</f>
        <v/>
      </c>
      <c r="N179" s="24" t="str">
        <f t="array" ref="N179">iferror(XLOOKUP(A179,'Download of SFDC Activation Rep'!B:B,'Download of SFDC Activation Rep'!Y:Y),"")</f>
        <v/>
      </c>
    </row>
    <row r="180">
      <c r="B180" s="14"/>
      <c r="C180" s="14"/>
      <c r="D180" s="14"/>
      <c r="E180" s="15"/>
      <c r="F180" s="14"/>
      <c r="G180" s="13" t="str">
        <f t="array" ref="G180">iferror(XLOOKUP(A180,'Download of SFDC Activation Rep'!B:B,'Download of SFDC Activation Rep'!H:H),"")</f>
        <v/>
      </c>
      <c r="H180" s="13" t="str">
        <f t="array" ref="H180">iferror(xlookup(A180,'Download of SFDC Activation Rep'!B:B,'Download of SFDC Activation Rep'!L:L),"")</f>
        <v/>
      </c>
      <c r="I180" s="17" t="str">
        <f t="shared" si="1"/>
        <v>Not Active</v>
      </c>
      <c r="J180" s="17" t="str">
        <f t="array" ref="J180">iferror(XLOOKUP(A180,'Download of SFDC Activation Rep'!B:B,'Download of SFDC Activation Rep'!X:X),"")</f>
        <v/>
      </c>
      <c r="K180" s="17" t="str">
        <f t="array" ref="K180">iferror(XLOOKUP(A180,'Download of SFDC Activation Rep'!B:B,'Download of SFDC Activation Rep'!C:C),"")</f>
        <v/>
      </c>
      <c r="L180" s="18" t="str">
        <f t="array" ref="L180">iferror(XLOOKUP(A180,'Download of SFDC Activation Rep'!B:B,'Download of SFDC Activation Rep'!S:S),"")</f>
        <v/>
      </c>
      <c r="M180" s="24" t="str">
        <f t="array" ref="M180">iferror(XLOOKUP(A180,'Download of SFDC Activation Rep'!B:B,'Download of SFDC Activation Rep'!Z:Z)+150,"")</f>
        <v/>
      </c>
      <c r="N180" s="24" t="str">
        <f t="array" ref="N180">iferror(XLOOKUP(A180,'Download of SFDC Activation Rep'!B:B,'Download of SFDC Activation Rep'!Y:Y),"")</f>
        <v/>
      </c>
    </row>
    <row r="181">
      <c r="B181" s="14"/>
      <c r="C181" s="14"/>
      <c r="D181" s="14"/>
      <c r="E181" s="15"/>
      <c r="F181" s="14"/>
      <c r="G181" s="13" t="str">
        <f t="array" ref="G181">iferror(XLOOKUP(A181,'Download of SFDC Activation Rep'!B:B,'Download of SFDC Activation Rep'!H:H),"")</f>
        <v/>
      </c>
      <c r="H181" s="13" t="str">
        <f t="array" ref="H181">iferror(xlookup(A181,'Download of SFDC Activation Rep'!B:B,'Download of SFDC Activation Rep'!L:L),"")</f>
        <v/>
      </c>
      <c r="I181" s="17" t="str">
        <f t="shared" si="1"/>
        <v>Not Active</v>
      </c>
      <c r="J181" s="17" t="str">
        <f t="array" ref="J181">iferror(XLOOKUP(A181,'Download of SFDC Activation Rep'!B:B,'Download of SFDC Activation Rep'!X:X),"")</f>
        <v/>
      </c>
      <c r="K181" s="17" t="str">
        <f t="array" ref="K181">iferror(XLOOKUP(A181,'Download of SFDC Activation Rep'!B:B,'Download of SFDC Activation Rep'!C:C),"")</f>
        <v/>
      </c>
      <c r="L181" s="18" t="str">
        <f t="array" ref="L181">iferror(XLOOKUP(A181,'Download of SFDC Activation Rep'!B:B,'Download of SFDC Activation Rep'!S:S),"")</f>
        <v/>
      </c>
      <c r="M181" s="24" t="str">
        <f t="array" ref="M181">iferror(XLOOKUP(A181,'Download of SFDC Activation Rep'!B:B,'Download of SFDC Activation Rep'!Z:Z)+150,"")</f>
        <v/>
      </c>
      <c r="N181" s="24" t="str">
        <f t="array" ref="N181">iferror(XLOOKUP(A181,'Download of SFDC Activation Rep'!B:B,'Download of SFDC Activation Rep'!Y:Y),"")</f>
        <v/>
      </c>
    </row>
    <row r="182">
      <c r="B182" s="14"/>
      <c r="C182" s="14"/>
      <c r="D182" s="14"/>
      <c r="E182" s="15"/>
      <c r="F182" s="14"/>
      <c r="G182" s="13" t="str">
        <f t="array" ref="G182">iferror(XLOOKUP(A182,'Download of SFDC Activation Rep'!B:B,'Download of SFDC Activation Rep'!H:H),"")</f>
        <v/>
      </c>
      <c r="H182" s="13" t="str">
        <f t="array" ref="H182">iferror(xlookup(A182,'Download of SFDC Activation Rep'!B:B,'Download of SFDC Activation Rep'!L:L),"")</f>
        <v/>
      </c>
      <c r="I182" s="17" t="str">
        <f t="shared" si="1"/>
        <v>Not Active</v>
      </c>
      <c r="J182" s="17" t="str">
        <f t="array" ref="J182">iferror(XLOOKUP(A182,'Download of SFDC Activation Rep'!B:B,'Download of SFDC Activation Rep'!X:X),"")</f>
        <v/>
      </c>
      <c r="K182" s="17" t="str">
        <f t="array" ref="K182">iferror(XLOOKUP(A182,'Download of SFDC Activation Rep'!B:B,'Download of SFDC Activation Rep'!C:C),"")</f>
        <v/>
      </c>
      <c r="L182" s="18" t="str">
        <f t="array" ref="L182">iferror(XLOOKUP(A182,'Download of SFDC Activation Rep'!B:B,'Download of SFDC Activation Rep'!S:S),"")</f>
        <v/>
      </c>
      <c r="M182" s="24" t="str">
        <f t="array" ref="M182">iferror(XLOOKUP(A182,'Download of SFDC Activation Rep'!B:B,'Download of SFDC Activation Rep'!Z:Z)+150,"")</f>
        <v/>
      </c>
      <c r="N182" s="24" t="str">
        <f t="array" ref="N182">iferror(XLOOKUP(A182,'Download of SFDC Activation Rep'!B:B,'Download of SFDC Activation Rep'!Y:Y),"")</f>
        <v/>
      </c>
    </row>
    <row r="183">
      <c r="B183" s="14"/>
      <c r="C183" s="14"/>
      <c r="D183" s="14"/>
      <c r="E183" s="15"/>
      <c r="F183" s="14"/>
      <c r="G183" s="13" t="str">
        <f t="array" ref="G183">iferror(XLOOKUP(A183,'Download of SFDC Activation Rep'!B:B,'Download of SFDC Activation Rep'!H:H),"")</f>
        <v/>
      </c>
      <c r="H183" s="13" t="str">
        <f t="array" ref="H183">iferror(xlookup(A183,'Download of SFDC Activation Rep'!B:B,'Download of SFDC Activation Rep'!L:L),"")</f>
        <v/>
      </c>
      <c r="I183" s="17" t="str">
        <f t="shared" si="1"/>
        <v>Not Active</v>
      </c>
      <c r="J183" s="17" t="str">
        <f t="array" ref="J183">iferror(XLOOKUP(A183,'Download of SFDC Activation Rep'!B:B,'Download of SFDC Activation Rep'!X:X),"")</f>
        <v/>
      </c>
      <c r="K183" s="17" t="str">
        <f t="array" ref="K183">iferror(XLOOKUP(A183,'Download of SFDC Activation Rep'!B:B,'Download of SFDC Activation Rep'!C:C),"")</f>
        <v/>
      </c>
      <c r="L183" s="18" t="str">
        <f t="array" ref="L183">iferror(XLOOKUP(A183,'Download of SFDC Activation Rep'!B:B,'Download of SFDC Activation Rep'!S:S),"")</f>
        <v/>
      </c>
      <c r="M183" s="24" t="str">
        <f t="array" ref="M183">iferror(XLOOKUP(A183,'Download of SFDC Activation Rep'!B:B,'Download of SFDC Activation Rep'!Z:Z)+150,"")</f>
        <v/>
      </c>
      <c r="N183" s="24" t="str">
        <f t="array" ref="N183">iferror(XLOOKUP(A183,'Download of SFDC Activation Rep'!B:B,'Download of SFDC Activation Rep'!Y:Y),"")</f>
        <v/>
      </c>
    </row>
    <row r="184">
      <c r="B184" s="14"/>
      <c r="C184" s="14"/>
      <c r="D184" s="14"/>
      <c r="E184" s="15"/>
      <c r="F184" s="14"/>
      <c r="G184" s="13" t="str">
        <f t="array" ref="G184">iferror(XLOOKUP(A184,'Download of SFDC Activation Rep'!B:B,'Download of SFDC Activation Rep'!H:H),"")</f>
        <v/>
      </c>
      <c r="H184" s="13" t="str">
        <f t="array" ref="H184">iferror(xlookup(A184,'Download of SFDC Activation Rep'!B:B,'Download of SFDC Activation Rep'!L:L),"")</f>
        <v/>
      </c>
      <c r="I184" s="17" t="str">
        <f t="shared" si="1"/>
        <v>Not Active</v>
      </c>
      <c r="J184" s="17" t="str">
        <f t="array" ref="J184">iferror(XLOOKUP(A184,'Download of SFDC Activation Rep'!B:B,'Download of SFDC Activation Rep'!X:X),"")</f>
        <v/>
      </c>
      <c r="K184" s="17" t="str">
        <f t="array" ref="K184">iferror(XLOOKUP(A184,'Download of SFDC Activation Rep'!B:B,'Download of SFDC Activation Rep'!C:C),"")</f>
        <v/>
      </c>
      <c r="L184" s="18" t="str">
        <f t="array" ref="L184">iferror(XLOOKUP(A184,'Download of SFDC Activation Rep'!B:B,'Download of SFDC Activation Rep'!S:S),"")</f>
        <v/>
      </c>
      <c r="M184" s="24" t="str">
        <f t="array" ref="M184">iferror(XLOOKUP(A184,'Download of SFDC Activation Rep'!B:B,'Download of SFDC Activation Rep'!Z:Z)+150,"")</f>
        <v/>
      </c>
      <c r="N184" s="24" t="str">
        <f t="array" ref="N184">iferror(XLOOKUP(A184,'Download of SFDC Activation Rep'!B:B,'Download of SFDC Activation Rep'!Y:Y),"")</f>
        <v/>
      </c>
    </row>
    <row r="185">
      <c r="B185" s="14"/>
      <c r="C185" s="14"/>
      <c r="D185" s="14"/>
      <c r="E185" s="15"/>
      <c r="F185" s="14"/>
      <c r="G185" s="13" t="str">
        <f t="array" ref="G185">iferror(XLOOKUP(A185,'Download of SFDC Activation Rep'!B:B,'Download of SFDC Activation Rep'!H:H),"")</f>
        <v/>
      </c>
      <c r="H185" s="13" t="str">
        <f t="array" ref="H185">iferror(xlookup(A185,'Download of SFDC Activation Rep'!B:B,'Download of SFDC Activation Rep'!L:L),"")</f>
        <v/>
      </c>
      <c r="I185" s="17" t="str">
        <f t="shared" si="1"/>
        <v>Not Active</v>
      </c>
      <c r="J185" s="17" t="str">
        <f t="array" ref="J185">iferror(XLOOKUP(A185,'Download of SFDC Activation Rep'!B:B,'Download of SFDC Activation Rep'!X:X),"")</f>
        <v/>
      </c>
      <c r="K185" s="17" t="str">
        <f t="array" ref="K185">iferror(XLOOKUP(A185,'Download of SFDC Activation Rep'!B:B,'Download of SFDC Activation Rep'!C:C),"")</f>
        <v/>
      </c>
      <c r="L185" s="18" t="str">
        <f t="array" ref="L185">iferror(XLOOKUP(A185,'Download of SFDC Activation Rep'!B:B,'Download of SFDC Activation Rep'!S:S),"")</f>
        <v/>
      </c>
      <c r="M185" s="24" t="str">
        <f t="array" ref="M185">iferror(XLOOKUP(A185,'Download of SFDC Activation Rep'!B:B,'Download of SFDC Activation Rep'!Z:Z)+150,"")</f>
        <v/>
      </c>
      <c r="N185" s="24" t="str">
        <f t="array" ref="N185">iferror(XLOOKUP(A185,'Download of SFDC Activation Rep'!B:B,'Download of SFDC Activation Rep'!Y:Y),"")</f>
        <v/>
      </c>
    </row>
    <row r="186">
      <c r="B186" s="14"/>
      <c r="C186" s="14"/>
      <c r="D186" s="14"/>
      <c r="E186" s="15"/>
      <c r="F186" s="14"/>
      <c r="G186" s="13" t="str">
        <f t="array" ref="G186">iferror(XLOOKUP(A186,'Download of SFDC Activation Rep'!B:B,'Download of SFDC Activation Rep'!H:H),"")</f>
        <v/>
      </c>
      <c r="H186" s="13" t="str">
        <f t="array" ref="H186">iferror(xlookup(A186,'Download of SFDC Activation Rep'!B:B,'Download of SFDC Activation Rep'!L:L),"")</f>
        <v/>
      </c>
      <c r="I186" s="17" t="str">
        <f t="shared" si="1"/>
        <v>Not Active</v>
      </c>
      <c r="J186" s="17" t="str">
        <f t="array" ref="J186">iferror(XLOOKUP(A186,'Download of SFDC Activation Rep'!B:B,'Download of SFDC Activation Rep'!X:X),"")</f>
        <v/>
      </c>
      <c r="K186" s="17" t="str">
        <f t="array" ref="K186">iferror(XLOOKUP(A186,'Download of SFDC Activation Rep'!B:B,'Download of SFDC Activation Rep'!C:C),"")</f>
        <v/>
      </c>
      <c r="L186" s="18" t="str">
        <f t="array" ref="L186">iferror(XLOOKUP(A186,'Download of SFDC Activation Rep'!B:B,'Download of SFDC Activation Rep'!S:S),"")</f>
        <v/>
      </c>
      <c r="M186" s="24" t="str">
        <f t="array" ref="M186">iferror(XLOOKUP(A186,'Download of SFDC Activation Rep'!B:B,'Download of SFDC Activation Rep'!Z:Z)+150,"")</f>
        <v/>
      </c>
      <c r="N186" s="24" t="str">
        <f t="array" ref="N186">iferror(XLOOKUP(A186,'Download of SFDC Activation Rep'!B:B,'Download of SFDC Activation Rep'!Y:Y),"")</f>
        <v/>
      </c>
    </row>
    <row r="187">
      <c r="B187" s="14"/>
      <c r="C187" s="14"/>
      <c r="D187" s="14"/>
      <c r="E187" s="15"/>
      <c r="F187" s="14"/>
      <c r="G187" s="13" t="str">
        <f t="array" ref="G187">iferror(XLOOKUP(A187,'Download of SFDC Activation Rep'!B:B,'Download of SFDC Activation Rep'!H:H),"")</f>
        <v/>
      </c>
      <c r="H187" s="13" t="str">
        <f t="array" ref="H187">iferror(xlookup(A187,'Download of SFDC Activation Rep'!B:B,'Download of SFDC Activation Rep'!L:L),"")</f>
        <v/>
      </c>
      <c r="I187" s="17" t="str">
        <f t="shared" si="1"/>
        <v>Not Active</v>
      </c>
      <c r="J187" s="17" t="str">
        <f t="array" ref="J187">iferror(XLOOKUP(A187,'Download of SFDC Activation Rep'!B:B,'Download of SFDC Activation Rep'!X:X),"")</f>
        <v/>
      </c>
      <c r="K187" s="17" t="str">
        <f t="array" ref="K187">iferror(XLOOKUP(A187,'Download of SFDC Activation Rep'!B:B,'Download of SFDC Activation Rep'!C:C),"")</f>
        <v/>
      </c>
      <c r="L187" s="18" t="str">
        <f t="array" ref="L187">iferror(XLOOKUP(A187,'Download of SFDC Activation Rep'!B:B,'Download of SFDC Activation Rep'!S:S),"")</f>
        <v/>
      </c>
      <c r="M187" s="24" t="str">
        <f t="array" ref="M187">iferror(XLOOKUP(A187,'Download of SFDC Activation Rep'!B:B,'Download of SFDC Activation Rep'!Z:Z)+150,"")</f>
        <v/>
      </c>
      <c r="N187" s="24" t="str">
        <f t="array" ref="N187">iferror(XLOOKUP(A187,'Download of SFDC Activation Rep'!B:B,'Download of SFDC Activation Rep'!Y:Y),"")</f>
        <v/>
      </c>
    </row>
    <row r="188">
      <c r="B188" s="14"/>
      <c r="C188" s="14"/>
      <c r="D188" s="14"/>
      <c r="E188" s="15"/>
      <c r="F188" s="14"/>
      <c r="G188" s="13" t="str">
        <f t="array" ref="G188">iferror(XLOOKUP(A188,'Download of SFDC Activation Rep'!B:B,'Download of SFDC Activation Rep'!H:H),"")</f>
        <v/>
      </c>
      <c r="H188" s="13" t="str">
        <f t="array" ref="H188">iferror(xlookup(A188,'Download of SFDC Activation Rep'!B:B,'Download of SFDC Activation Rep'!L:L),"")</f>
        <v/>
      </c>
      <c r="I188" s="17" t="str">
        <f t="shared" si="1"/>
        <v>Not Active</v>
      </c>
      <c r="J188" s="17" t="str">
        <f t="array" ref="J188">iferror(XLOOKUP(A188,'Download of SFDC Activation Rep'!B:B,'Download of SFDC Activation Rep'!X:X),"")</f>
        <v/>
      </c>
      <c r="K188" s="17" t="str">
        <f t="array" ref="K188">iferror(XLOOKUP(A188,'Download of SFDC Activation Rep'!B:B,'Download of SFDC Activation Rep'!C:C),"")</f>
        <v/>
      </c>
      <c r="L188" s="18" t="str">
        <f t="array" ref="L188">iferror(XLOOKUP(A188,'Download of SFDC Activation Rep'!B:B,'Download of SFDC Activation Rep'!S:S),"")</f>
        <v/>
      </c>
      <c r="M188" s="24" t="str">
        <f t="array" ref="M188">iferror(XLOOKUP(A188,'Download of SFDC Activation Rep'!B:B,'Download of SFDC Activation Rep'!Z:Z)+150,"")</f>
        <v/>
      </c>
      <c r="N188" s="24" t="str">
        <f t="array" ref="N188">iferror(XLOOKUP(A188,'Download of SFDC Activation Rep'!B:B,'Download of SFDC Activation Rep'!Y:Y),"")</f>
        <v/>
      </c>
    </row>
    <row r="189">
      <c r="B189" s="14"/>
      <c r="C189" s="14"/>
      <c r="D189" s="14"/>
      <c r="E189" s="15"/>
      <c r="F189" s="14"/>
      <c r="G189" s="13" t="str">
        <f t="array" ref="G189">iferror(XLOOKUP(A189,'Download of SFDC Activation Rep'!B:B,'Download of SFDC Activation Rep'!H:H),"")</f>
        <v/>
      </c>
      <c r="H189" s="13" t="str">
        <f t="array" ref="H189">iferror(xlookup(A189,'Download of SFDC Activation Rep'!B:B,'Download of SFDC Activation Rep'!L:L),"")</f>
        <v/>
      </c>
      <c r="I189" s="17" t="str">
        <f t="shared" si="1"/>
        <v>Not Active</v>
      </c>
      <c r="J189" s="17" t="str">
        <f t="array" ref="J189">iferror(XLOOKUP(A189,'Download of SFDC Activation Rep'!B:B,'Download of SFDC Activation Rep'!X:X),"")</f>
        <v/>
      </c>
      <c r="K189" s="17" t="str">
        <f t="array" ref="K189">iferror(XLOOKUP(A189,'Download of SFDC Activation Rep'!B:B,'Download of SFDC Activation Rep'!C:C),"")</f>
        <v/>
      </c>
      <c r="L189" s="18" t="str">
        <f t="array" ref="L189">iferror(XLOOKUP(A189,'Download of SFDC Activation Rep'!B:B,'Download of SFDC Activation Rep'!S:S),"")</f>
        <v/>
      </c>
      <c r="M189" s="24" t="str">
        <f t="array" ref="M189">iferror(XLOOKUP(A189,'Download of SFDC Activation Rep'!B:B,'Download of SFDC Activation Rep'!Z:Z)+150,"")</f>
        <v/>
      </c>
      <c r="N189" s="24" t="str">
        <f t="array" ref="N189">iferror(XLOOKUP(A189,'Download of SFDC Activation Rep'!B:B,'Download of SFDC Activation Rep'!Y:Y),"")</f>
        <v/>
      </c>
    </row>
    <row r="190">
      <c r="B190" s="14"/>
      <c r="C190" s="14"/>
      <c r="D190" s="14"/>
      <c r="E190" s="15"/>
      <c r="F190" s="14"/>
      <c r="G190" s="13" t="str">
        <f t="array" ref="G190">iferror(XLOOKUP(A190,'Download of SFDC Activation Rep'!B:B,'Download of SFDC Activation Rep'!H:H),"")</f>
        <v/>
      </c>
      <c r="H190" s="13" t="str">
        <f t="array" ref="H190">iferror(xlookup(A190,'Download of SFDC Activation Rep'!B:B,'Download of SFDC Activation Rep'!L:L),"")</f>
        <v/>
      </c>
      <c r="I190" s="17" t="str">
        <f t="shared" si="1"/>
        <v>Not Active</v>
      </c>
      <c r="J190" s="17" t="str">
        <f t="array" ref="J190">iferror(XLOOKUP(A190,'Download of SFDC Activation Rep'!B:B,'Download of SFDC Activation Rep'!X:X),"")</f>
        <v/>
      </c>
      <c r="K190" s="17" t="str">
        <f t="array" ref="K190">iferror(XLOOKUP(A190,'Download of SFDC Activation Rep'!B:B,'Download of SFDC Activation Rep'!C:C),"")</f>
        <v/>
      </c>
      <c r="L190" s="18" t="str">
        <f t="array" ref="L190">iferror(XLOOKUP(A190,'Download of SFDC Activation Rep'!B:B,'Download of SFDC Activation Rep'!S:S),"")</f>
        <v/>
      </c>
      <c r="M190" s="24" t="str">
        <f t="array" ref="M190">iferror(XLOOKUP(A190,'Download of SFDC Activation Rep'!B:B,'Download of SFDC Activation Rep'!Z:Z)+150,"")</f>
        <v/>
      </c>
      <c r="N190" s="24" t="str">
        <f t="array" ref="N190">iferror(XLOOKUP(A190,'Download of SFDC Activation Rep'!B:B,'Download of SFDC Activation Rep'!Y:Y),"")</f>
        <v/>
      </c>
    </row>
    <row r="191">
      <c r="B191" s="14"/>
      <c r="C191" s="14"/>
      <c r="D191" s="14"/>
      <c r="E191" s="15"/>
      <c r="F191" s="14"/>
      <c r="G191" s="13" t="str">
        <f t="array" ref="G191">iferror(XLOOKUP(A191,'Download of SFDC Activation Rep'!B:B,'Download of SFDC Activation Rep'!H:H),"")</f>
        <v/>
      </c>
      <c r="H191" s="13" t="str">
        <f t="array" ref="H191">iferror(xlookup(A191,'Download of SFDC Activation Rep'!B:B,'Download of SFDC Activation Rep'!L:L),"")</f>
        <v/>
      </c>
      <c r="I191" s="17" t="str">
        <f t="shared" si="1"/>
        <v>Not Active</v>
      </c>
      <c r="J191" s="17" t="str">
        <f t="array" ref="J191">iferror(XLOOKUP(A191,'Download of SFDC Activation Rep'!B:B,'Download of SFDC Activation Rep'!X:X),"")</f>
        <v/>
      </c>
      <c r="K191" s="17" t="str">
        <f t="array" ref="K191">iferror(XLOOKUP(A191,'Download of SFDC Activation Rep'!B:B,'Download of SFDC Activation Rep'!C:C),"")</f>
        <v/>
      </c>
      <c r="L191" s="18" t="str">
        <f t="array" ref="L191">iferror(XLOOKUP(A191,'Download of SFDC Activation Rep'!B:B,'Download of SFDC Activation Rep'!S:S),"")</f>
        <v/>
      </c>
      <c r="M191" s="24" t="str">
        <f t="array" ref="M191">iferror(XLOOKUP(A191,'Download of SFDC Activation Rep'!B:B,'Download of SFDC Activation Rep'!Z:Z)+150,"")</f>
        <v/>
      </c>
      <c r="N191" s="24" t="str">
        <f t="array" ref="N191">iferror(XLOOKUP(A191,'Download of SFDC Activation Rep'!B:B,'Download of SFDC Activation Rep'!Y:Y),"")</f>
        <v/>
      </c>
    </row>
    <row r="192">
      <c r="B192" s="14"/>
      <c r="C192" s="14"/>
      <c r="D192" s="14"/>
      <c r="E192" s="15"/>
      <c r="F192" s="14"/>
      <c r="G192" s="13" t="str">
        <f t="array" ref="G192">iferror(XLOOKUP(A192,'Download of SFDC Activation Rep'!B:B,'Download of SFDC Activation Rep'!H:H),"")</f>
        <v/>
      </c>
      <c r="H192" s="13" t="str">
        <f t="array" ref="H192">iferror(xlookup(A192,'Download of SFDC Activation Rep'!B:B,'Download of SFDC Activation Rep'!L:L),"")</f>
        <v/>
      </c>
      <c r="I192" s="17" t="str">
        <f t="shared" si="1"/>
        <v>Not Active</v>
      </c>
      <c r="J192" s="17" t="str">
        <f t="array" ref="J192">iferror(XLOOKUP(A192,'Download of SFDC Activation Rep'!B:B,'Download of SFDC Activation Rep'!X:X),"")</f>
        <v/>
      </c>
      <c r="K192" s="17" t="str">
        <f t="array" ref="K192">iferror(XLOOKUP(A192,'Download of SFDC Activation Rep'!B:B,'Download of SFDC Activation Rep'!C:C),"")</f>
        <v/>
      </c>
      <c r="L192" s="18" t="str">
        <f t="array" ref="L192">iferror(XLOOKUP(A192,'Download of SFDC Activation Rep'!B:B,'Download of SFDC Activation Rep'!S:S),"")</f>
        <v/>
      </c>
      <c r="M192" s="24" t="str">
        <f t="array" ref="M192">iferror(XLOOKUP(A192,'Download of SFDC Activation Rep'!B:B,'Download of SFDC Activation Rep'!Z:Z)+150,"")</f>
        <v/>
      </c>
      <c r="N192" s="24" t="str">
        <f t="array" ref="N192">iferror(XLOOKUP(A192,'Download of SFDC Activation Rep'!B:B,'Download of SFDC Activation Rep'!Y:Y),"")</f>
        <v/>
      </c>
    </row>
    <row r="193">
      <c r="B193" s="14"/>
      <c r="C193" s="14"/>
      <c r="D193" s="14"/>
      <c r="E193" s="15"/>
      <c r="F193" s="14"/>
      <c r="G193" s="13" t="str">
        <f t="array" ref="G193">iferror(XLOOKUP(A193,'Download of SFDC Activation Rep'!B:B,'Download of SFDC Activation Rep'!H:H),"")</f>
        <v/>
      </c>
      <c r="H193" s="13" t="str">
        <f t="array" ref="H193">iferror(xlookup(A193,'Download of SFDC Activation Rep'!B:B,'Download of SFDC Activation Rep'!L:L),"")</f>
        <v/>
      </c>
      <c r="I193" s="17" t="str">
        <f t="shared" si="1"/>
        <v>Not Active</v>
      </c>
      <c r="J193" s="17" t="str">
        <f t="array" ref="J193">iferror(XLOOKUP(A193,'Download of SFDC Activation Rep'!B:B,'Download of SFDC Activation Rep'!X:X),"")</f>
        <v/>
      </c>
      <c r="K193" s="17" t="str">
        <f t="array" ref="K193">iferror(XLOOKUP(A193,'Download of SFDC Activation Rep'!B:B,'Download of SFDC Activation Rep'!C:C),"")</f>
        <v/>
      </c>
      <c r="L193" s="18" t="str">
        <f t="array" ref="L193">iferror(XLOOKUP(A193,'Download of SFDC Activation Rep'!B:B,'Download of SFDC Activation Rep'!S:S),"")</f>
        <v/>
      </c>
      <c r="M193" s="24" t="str">
        <f t="array" ref="M193">iferror(XLOOKUP(A193,'Download of SFDC Activation Rep'!B:B,'Download of SFDC Activation Rep'!Z:Z)+150,"")</f>
        <v/>
      </c>
      <c r="N193" s="24" t="str">
        <f t="array" ref="N193">iferror(XLOOKUP(A193,'Download of SFDC Activation Rep'!B:B,'Download of SFDC Activation Rep'!Y:Y),"")</f>
        <v/>
      </c>
    </row>
    <row r="194">
      <c r="B194" s="14"/>
      <c r="C194" s="14"/>
      <c r="D194" s="14"/>
      <c r="E194" s="15"/>
      <c r="F194" s="14"/>
      <c r="G194" s="13" t="str">
        <f t="array" ref="G194">iferror(XLOOKUP(A194,'Download of SFDC Activation Rep'!B:B,'Download of SFDC Activation Rep'!H:H),"")</f>
        <v/>
      </c>
      <c r="H194" s="13" t="str">
        <f t="array" ref="H194">iferror(xlookup(A194,'Download of SFDC Activation Rep'!B:B,'Download of SFDC Activation Rep'!L:L),"")</f>
        <v/>
      </c>
      <c r="I194" s="17" t="str">
        <f t="shared" si="1"/>
        <v>Not Active</v>
      </c>
      <c r="J194" s="17" t="str">
        <f t="array" ref="J194">iferror(XLOOKUP(A194,'Download of SFDC Activation Rep'!B:B,'Download of SFDC Activation Rep'!X:X),"")</f>
        <v/>
      </c>
      <c r="K194" s="17" t="str">
        <f t="array" ref="K194">iferror(XLOOKUP(A194,'Download of SFDC Activation Rep'!B:B,'Download of SFDC Activation Rep'!C:C),"")</f>
        <v/>
      </c>
      <c r="L194" s="18" t="str">
        <f t="array" ref="L194">iferror(XLOOKUP(A194,'Download of SFDC Activation Rep'!B:B,'Download of SFDC Activation Rep'!S:S),"")</f>
        <v/>
      </c>
      <c r="M194" s="24" t="str">
        <f t="array" ref="M194">iferror(XLOOKUP(A194,'Download of SFDC Activation Rep'!B:B,'Download of SFDC Activation Rep'!Z:Z)+150,"")</f>
        <v/>
      </c>
      <c r="N194" s="24" t="str">
        <f t="array" ref="N194">iferror(XLOOKUP(A194,'Download of SFDC Activation Rep'!B:B,'Download of SFDC Activation Rep'!Y:Y),"")</f>
        <v/>
      </c>
    </row>
    <row r="195">
      <c r="B195" s="14"/>
      <c r="C195" s="14"/>
      <c r="D195" s="14"/>
      <c r="E195" s="15"/>
      <c r="F195" s="14"/>
      <c r="G195" s="13" t="str">
        <f t="array" ref="G195">iferror(XLOOKUP(A195,'Download of SFDC Activation Rep'!B:B,'Download of SFDC Activation Rep'!H:H),"")</f>
        <v/>
      </c>
      <c r="H195" s="13" t="str">
        <f t="array" ref="H195">iferror(xlookup(A195,'Download of SFDC Activation Rep'!B:B,'Download of SFDC Activation Rep'!L:L),"")</f>
        <v/>
      </c>
      <c r="I195" s="17" t="str">
        <f t="shared" si="1"/>
        <v>Not Active</v>
      </c>
      <c r="J195" s="17" t="str">
        <f t="array" ref="J195">iferror(XLOOKUP(A195,'Download of SFDC Activation Rep'!B:B,'Download of SFDC Activation Rep'!X:X),"")</f>
        <v/>
      </c>
      <c r="K195" s="17" t="str">
        <f t="array" ref="K195">iferror(XLOOKUP(A195,'Download of SFDC Activation Rep'!B:B,'Download of SFDC Activation Rep'!C:C),"")</f>
        <v/>
      </c>
      <c r="L195" s="18" t="str">
        <f t="array" ref="L195">iferror(XLOOKUP(A195,'Download of SFDC Activation Rep'!B:B,'Download of SFDC Activation Rep'!S:S),"")</f>
        <v/>
      </c>
      <c r="M195" s="24" t="str">
        <f t="array" ref="M195">iferror(XLOOKUP(A195,'Download of SFDC Activation Rep'!B:B,'Download of SFDC Activation Rep'!Z:Z)+150,"")</f>
        <v/>
      </c>
      <c r="N195" s="24" t="str">
        <f t="array" ref="N195">iferror(XLOOKUP(A195,'Download of SFDC Activation Rep'!B:B,'Download of SFDC Activation Rep'!Y:Y),"")</f>
        <v/>
      </c>
    </row>
    <row r="196">
      <c r="B196" s="14"/>
      <c r="C196" s="14"/>
      <c r="D196" s="14"/>
      <c r="E196" s="15"/>
      <c r="F196" s="14"/>
      <c r="G196" s="13" t="str">
        <f t="array" ref="G196">iferror(XLOOKUP(A196,'Download of SFDC Activation Rep'!B:B,'Download of SFDC Activation Rep'!H:H),"")</f>
        <v/>
      </c>
      <c r="H196" s="13" t="str">
        <f t="array" ref="H196">iferror(xlookup(A196,'Download of SFDC Activation Rep'!B:B,'Download of SFDC Activation Rep'!L:L),"")</f>
        <v/>
      </c>
      <c r="I196" s="17" t="str">
        <f t="shared" si="1"/>
        <v>Not Active</v>
      </c>
      <c r="J196" s="17" t="str">
        <f t="array" ref="J196">iferror(XLOOKUP(A196,'Download of SFDC Activation Rep'!B:B,'Download of SFDC Activation Rep'!X:X),"")</f>
        <v/>
      </c>
      <c r="K196" s="17" t="str">
        <f t="array" ref="K196">iferror(XLOOKUP(A196,'Download of SFDC Activation Rep'!B:B,'Download of SFDC Activation Rep'!C:C),"")</f>
        <v/>
      </c>
      <c r="L196" s="18" t="str">
        <f t="array" ref="L196">iferror(XLOOKUP(A196,'Download of SFDC Activation Rep'!B:B,'Download of SFDC Activation Rep'!S:S),"")</f>
        <v/>
      </c>
      <c r="M196" s="24" t="str">
        <f t="array" ref="M196">iferror(XLOOKUP(A196,'Download of SFDC Activation Rep'!B:B,'Download of SFDC Activation Rep'!Z:Z)+150,"")</f>
        <v/>
      </c>
      <c r="N196" s="24" t="str">
        <f t="array" ref="N196">iferror(XLOOKUP(A196,'Download of SFDC Activation Rep'!B:B,'Download of SFDC Activation Rep'!Y:Y),"")</f>
        <v/>
      </c>
    </row>
    <row r="197">
      <c r="B197" s="14"/>
      <c r="C197" s="14"/>
      <c r="D197" s="14"/>
      <c r="E197" s="15"/>
      <c r="F197" s="14"/>
      <c r="G197" s="13" t="str">
        <f t="array" ref="G197">iferror(XLOOKUP(A197,'Download of SFDC Activation Rep'!B:B,'Download of SFDC Activation Rep'!H:H),"")</f>
        <v/>
      </c>
      <c r="H197" s="13" t="str">
        <f t="array" ref="H197">iferror(xlookup(A197,'Download of SFDC Activation Rep'!B:B,'Download of SFDC Activation Rep'!L:L),"")</f>
        <v/>
      </c>
      <c r="I197" s="17" t="str">
        <f t="shared" si="1"/>
        <v>Not Active</v>
      </c>
      <c r="J197" s="17" t="str">
        <f t="array" ref="J197">iferror(XLOOKUP(A197,'Download of SFDC Activation Rep'!B:B,'Download of SFDC Activation Rep'!X:X),"")</f>
        <v/>
      </c>
      <c r="K197" s="17" t="str">
        <f t="array" ref="K197">iferror(XLOOKUP(A197,'Download of SFDC Activation Rep'!B:B,'Download of SFDC Activation Rep'!C:C),"")</f>
        <v/>
      </c>
      <c r="L197" s="18" t="str">
        <f t="array" ref="L197">iferror(XLOOKUP(A197,'Download of SFDC Activation Rep'!B:B,'Download of SFDC Activation Rep'!S:S),"")</f>
        <v/>
      </c>
      <c r="M197" s="24" t="str">
        <f t="array" ref="M197">iferror(XLOOKUP(A197,'Download of SFDC Activation Rep'!B:B,'Download of SFDC Activation Rep'!Z:Z)+150,"")</f>
        <v/>
      </c>
      <c r="N197" s="24" t="str">
        <f t="array" ref="N197">iferror(XLOOKUP(A197,'Download of SFDC Activation Rep'!B:B,'Download of SFDC Activation Rep'!Y:Y),"")</f>
        <v/>
      </c>
    </row>
    <row r="198">
      <c r="B198" s="14"/>
      <c r="C198" s="14"/>
      <c r="D198" s="14"/>
      <c r="E198" s="15"/>
      <c r="F198" s="14"/>
      <c r="G198" s="13" t="str">
        <f t="array" ref="G198">iferror(XLOOKUP(A198,'Download of SFDC Activation Rep'!B:B,'Download of SFDC Activation Rep'!H:H),"")</f>
        <v/>
      </c>
      <c r="H198" s="13" t="str">
        <f t="array" ref="H198">iferror(xlookup(A198,'Download of SFDC Activation Rep'!B:B,'Download of SFDC Activation Rep'!L:L),"")</f>
        <v/>
      </c>
      <c r="I198" s="17" t="str">
        <f t="shared" si="1"/>
        <v>Not Active</v>
      </c>
      <c r="J198" s="17" t="str">
        <f t="array" ref="J198">iferror(XLOOKUP(A198,'Download of SFDC Activation Rep'!B:B,'Download of SFDC Activation Rep'!X:X),"")</f>
        <v/>
      </c>
      <c r="K198" s="17" t="str">
        <f t="array" ref="K198">iferror(XLOOKUP(A198,'Download of SFDC Activation Rep'!B:B,'Download of SFDC Activation Rep'!C:C),"")</f>
        <v/>
      </c>
      <c r="L198" s="18" t="str">
        <f t="array" ref="L198">iferror(XLOOKUP(A198,'Download of SFDC Activation Rep'!B:B,'Download of SFDC Activation Rep'!S:S),"")</f>
        <v/>
      </c>
      <c r="M198" s="24" t="str">
        <f t="array" ref="M198">iferror(XLOOKUP(A198,'Download of SFDC Activation Rep'!B:B,'Download of SFDC Activation Rep'!Z:Z)+150,"")</f>
        <v/>
      </c>
      <c r="N198" s="24" t="str">
        <f t="array" ref="N198">iferror(XLOOKUP(A198,'Download of SFDC Activation Rep'!B:B,'Download of SFDC Activation Rep'!Y:Y),"")</f>
        <v/>
      </c>
    </row>
    <row r="199">
      <c r="B199" s="14"/>
      <c r="C199" s="14"/>
      <c r="D199" s="14"/>
      <c r="E199" s="15"/>
      <c r="F199" s="14"/>
      <c r="G199" s="13" t="str">
        <f t="array" ref="G199">iferror(XLOOKUP(A199,'Download of SFDC Activation Rep'!B:B,'Download of SFDC Activation Rep'!H:H),"")</f>
        <v/>
      </c>
      <c r="H199" s="13" t="str">
        <f t="array" ref="H199">iferror(xlookup(A199,'Download of SFDC Activation Rep'!B:B,'Download of SFDC Activation Rep'!L:L),"")</f>
        <v/>
      </c>
      <c r="I199" s="17" t="str">
        <f t="shared" si="1"/>
        <v>Not Active</v>
      </c>
      <c r="J199" s="17" t="str">
        <f t="array" ref="J199">iferror(XLOOKUP(A199,'Download of SFDC Activation Rep'!B:B,'Download of SFDC Activation Rep'!X:X),"")</f>
        <v/>
      </c>
      <c r="K199" s="17" t="str">
        <f t="array" ref="K199">iferror(XLOOKUP(A199,'Download of SFDC Activation Rep'!B:B,'Download of SFDC Activation Rep'!C:C),"")</f>
        <v/>
      </c>
      <c r="L199" s="18" t="str">
        <f t="array" ref="L199">iferror(XLOOKUP(A199,'Download of SFDC Activation Rep'!B:B,'Download of SFDC Activation Rep'!S:S),"")</f>
        <v/>
      </c>
      <c r="M199" s="24" t="str">
        <f t="array" ref="M199">iferror(XLOOKUP(A199,'Download of SFDC Activation Rep'!B:B,'Download of SFDC Activation Rep'!Z:Z)+150,"")</f>
        <v/>
      </c>
      <c r="N199" s="24" t="str">
        <f t="array" ref="N199">iferror(XLOOKUP(A199,'Download of SFDC Activation Rep'!B:B,'Download of SFDC Activation Rep'!Y:Y),"")</f>
        <v/>
      </c>
    </row>
    <row r="200">
      <c r="B200" s="14"/>
      <c r="C200" s="14"/>
      <c r="D200" s="14"/>
      <c r="E200" s="15"/>
      <c r="F200" s="14"/>
      <c r="G200" s="13" t="str">
        <f t="array" ref="G200">iferror(XLOOKUP(A200,'Download of SFDC Activation Rep'!B:B,'Download of SFDC Activation Rep'!H:H),"")</f>
        <v/>
      </c>
      <c r="H200" s="13" t="str">
        <f t="array" ref="H200">iferror(xlookup(A200,'Download of SFDC Activation Rep'!B:B,'Download of SFDC Activation Rep'!L:L),"")</f>
        <v/>
      </c>
      <c r="I200" s="17" t="str">
        <f t="shared" si="1"/>
        <v>Not Active</v>
      </c>
      <c r="J200" s="17" t="str">
        <f t="array" ref="J200">iferror(XLOOKUP(A200,'Download of SFDC Activation Rep'!B:B,'Download of SFDC Activation Rep'!X:X),"")</f>
        <v/>
      </c>
      <c r="K200" s="17" t="str">
        <f t="array" ref="K200">iferror(XLOOKUP(A200,'Download of SFDC Activation Rep'!B:B,'Download of SFDC Activation Rep'!C:C),"")</f>
        <v/>
      </c>
      <c r="L200" s="18" t="str">
        <f t="array" ref="L200">iferror(XLOOKUP(A200,'Download of SFDC Activation Rep'!B:B,'Download of SFDC Activation Rep'!S:S),"")</f>
        <v/>
      </c>
      <c r="M200" s="24" t="str">
        <f t="array" ref="M200">iferror(XLOOKUP(A200,'Download of SFDC Activation Rep'!B:B,'Download of SFDC Activation Rep'!Z:Z)+150,"")</f>
        <v/>
      </c>
      <c r="N200" s="24" t="str">
        <f t="array" ref="N200">iferror(XLOOKUP(A200,'Download of SFDC Activation Rep'!B:B,'Download of SFDC Activation Rep'!Y:Y),"")</f>
        <v/>
      </c>
    </row>
    <row r="201">
      <c r="B201" s="14"/>
      <c r="C201" s="14"/>
      <c r="D201" s="14"/>
      <c r="E201" s="15"/>
      <c r="F201" s="14"/>
      <c r="G201" s="13" t="str">
        <f t="array" ref="G201">iferror(XLOOKUP(A201,'Download of SFDC Activation Rep'!B:B,'Download of SFDC Activation Rep'!H:H),"")</f>
        <v/>
      </c>
      <c r="H201" s="13" t="str">
        <f t="array" ref="H201">iferror(xlookup(A201,'Download of SFDC Activation Rep'!B:B,'Download of SFDC Activation Rep'!L:L),"")</f>
        <v/>
      </c>
      <c r="I201" s="17" t="str">
        <f t="shared" si="1"/>
        <v>Not Active</v>
      </c>
      <c r="J201" s="17" t="str">
        <f t="array" ref="J201">iferror(XLOOKUP(A201,'Download of SFDC Activation Rep'!B:B,'Download of SFDC Activation Rep'!X:X),"")</f>
        <v/>
      </c>
      <c r="K201" s="17" t="str">
        <f t="array" ref="K201">iferror(XLOOKUP(A201,'Download of SFDC Activation Rep'!B:B,'Download of SFDC Activation Rep'!C:C),"")</f>
        <v/>
      </c>
      <c r="L201" s="18" t="str">
        <f t="array" ref="L201">iferror(XLOOKUP(A201,'Download of SFDC Activation Rep'!B:B,'Download of SFDC Activation Rep'!S:S),"")</f>
        <v/>
      </c>
      <c r="M201" s="24" t="str">
        <f t="array" ref="M201">iferror(XLOOKUP(A201,'Download of SFDC Activation Rep'!B:B,'Download of SFDC Activation Rep'!Z:Z)+150,"")</f>
        <v/>
      </c>
      <c r="N201" s="24" t="str">
        <f t="array" ref="N201">iferror(XLOOKUP(A201,'Download of SFDC Activation Rep'!B:B,'Download of SFDC Activation Rep'!Y:Y),"")</f>
        <v/>
      </c>
    </row>
    <row r="202">
      <c r="B202" s="14"/>
      <c r="C202" s="14"/>
      <c r="D202" s="14"/>
      <c r="E202" s="15"/>
      <c r="F202" s="14"/>
      <c r="G202" s="13" t="str">
        <f t="array" ref="G202">iferror(XLOOKUP(A202,'Download of SFDC Activation Rep'!B:B,'Download of SFDC Activation Rep'!H:H),"")</f>
        <v/>
      </c>
      <c r="H202" s="13" t="str">
        <f t="array" ref="H202">iferror(xlookup(A202,'Download of SFDC Activation Rep'!B:B,'Download of SFDC Activation Rep'!L:L),"")</f>
        <v/>
      </c>
      <c r="I202" s="17" t="str">
        <f t="shared" si="1"/>
        <v>Not Active</v>
      </c>
      <c r="J202" s="17" t="str">
        <f t="array" ref="J202">iferror(XLOOKUP(A202,'Download of SFDC Activation Rep'!B:B,'Download of SFDC Activation Rep'!X:X),"")</f>
        <v/>
      </c>
      <c r="K202" s="17" t="str">
        <f t="array" ref="K202">iferror(XLOOKUP(A202,'Download of SFDC Activation Rep'!B:B,'Download of SFDC Activation Rep'!C:C),"")</f>
        <v/>
      </c>
      <c r="L202" s="18" t="str">
        <f t="array" ref="L202">iferror(XLOOKUP(A202,'Download of SFDC Activation Rep'!B:B,'Download of SFDC Activation Rep'!S:S),"")</f>
        <v/>
      </c>
      <c r="M202" s="24" t="str">
        <f t="array" ref="M202">iferror(XLOOKUP(A202,'Download of SFDC Activation Rep'!B:B,'Download of SFDC Activation Rep'!Z:Z)+150,"")</f>
        <v/>
      </c>
      <c r="N202" s="24" t="str">
        <f t="array" ref="N202">iferror(XLOOKUP(A202,'Download of SFDC Activation Rep'!B:B,'Download of SFDC Activation Rep'!Y:Y),"")</f>
        <v/>
      </c>
    </row>
    <row r="203">
      <c r="B203" s="14"/>
      <c r="C203" s="14"/>
      <c r="D203" s="14"/>
      <c r="E203" s="15"/>
      <c r="F203" s="14"/>
      <c r="G203" s="13" t="str">
        <f t="array" ref="G203">iferror(XLOOKUP(A203,'Download of SFDC Activation Rep'!B:B,'Download of SFDC Activation Rep'!H:H),"")</f>
        <v/>
      </c>
      <c r="H203" s="13" t="str">
        <f t="array" ref="H203">iferror(xlookup(A203,'Download of SFDC Activation Rep'!B:B,'Download of SFDC Activation Rep'!L:L),"")</f>
        <v/>
      </c>
      <c r="I203" s="17" t="str">
        <f t="shared" si="1"/>
        <v>Not Active</v>
      </c>
      <c r="J203" s="17" t="str">
        <f t="array" ref="J203">iferror(XLOOKUP(A203,'Download of SFDC Activation Rep'!B:B,'Download of SFDC Activation Rep'!X:X),"")</f>
        <v/>
      </c>
      <c r="K203" s="17" t="str">
        <f t="array" ref="K203">iferror(XLOOKUP(A203,'Download of SFDC Activation Rep'!B:B,'Download of SFDC Activation Rep'!C:C),"")</f>
        <v/>
      </c>
      <c r="L203" s="18" t="str">
        <f t="array" ref="L203">iferror(XLOOKUP(A203,'Download of SFDC Activation Rep'!B:B,'Download of SFDC Activation Rep'!S:S),"")</f>
        <v/>
      </c>
      <c r="M203" s="24" t="str">
        <f t="array" ref="M203">iferror(XLOOKUP(A203,'Download of SFDC Activation Rep'!B:B,'Download of SFDC Activation Rep'!Z:Z)+150,"")</f>
        <v/>
      </c>
      <c r="N203" s="24" t="str">
        <f t="array" ref="N203">iferror(XLOOKUP(A203,'Download of SFDC Activation Rep'!B:B,'Download of SFDC Activation Rep'!Y:Y),"")</f>
        <v/>
      </c>
    </row>
    <row r="204">
      <c r="B204" s="14"/>
      <c r="C204" s="14"/>
      <c r="D204" s="14"/>
      <c r="E204" s="15"/>
      <c r="F204" s="14"/>
      <c r="G204" s="13" t="str">
        <f t="array" ref="G204">iferror(XLOOKUP(A204,'Download of SFDC Activation Rep'!B:B,'Download of SFDC Activation Rep'!H:H),"")</f>
        <v/>
      </c>
      <c r="H204" s="13" t="str">
        <f t="array" ref="H204">iferror(xlookup(A204,'Download of SFDC Activation Rep'!B:B,'Download of SFDC Activation Rep'!L:L),"")</f>
        <v/>
      </c>
      <c r="I204" s="17" t="str">
        <f t="shared" si="1"/>
        <v>Not Active</v>
      </c>
      <c r="J204" s="17" t="str">
        <f t="array" ref="J204">iferror(XLOOKUP(A204,'Download of SFDC Activation Rep'!B:B,'Download of SFDC Activation Rep'!X:X),"")</f>
        <v/>
      </c>
      <c r="K204" s="17" t="str">
        <f t="array" ref="K204">iferror(XLOOKUP(A204,'Download of SFDC Activation Rep'!B:B,'Download of SFDC Activation Rep'!C:C),"")</f>
        <v/>
      </c>
      <c r="L204" s="18" t="str">
        <f t="array" ref="L204">iferror(XLOOKUP(A204,'Download of SFDC Activation Rep'!B:B,'Download of SFDC Activation Rep'!S:S),"")</f>
        <v/>
      </c>
      <c r="M204" s="24" t="str">
        <f t="array" ref="M204">iferror(XLOOKUP(A204,'Download of SFDC Activation Rep'!B:B,'Download of SFDC Activation Rep'!Z:Z)+150,"")</f>
        <v/>
      </c>
      <c r="N204" s="24" t="str">
        <f t="array" ref="N204">iferror(XLOOKUP(A204,'Download of SFDC Activation Rep'!B:B,'Download of SFDC Activation Rep'!Y:Y),"")</f>
        <v/>
      </c>
    </row>
    <row r="205">
      <c r="B205" s="14"/>
      <c r="C205" s="14"/>
      <c r="D205" s="14"/>
      <c r="E205" s="15"/>
      <c r="F205" s="14"/>
      <c r="G205" s="13" t="str">
        <f t="array" ref="G205">iferror(XLOOKUP(A205,'Download of SFDC Activation Rep'!B:B,'Download of SFDC Activation Rep'!H:H),"")</f>
        <v/>
      </c>
      <c r="H205" s="13" t="str">
        <f t="array" ref="H205">iferror(xlookup(A205,'Download of SFDC Activation Rep'!B:B,'Download of SFDC Activation Rep'!L:L),"")</f>
        <v/>
      </c>
      <c r="I205" s="17" t="str">
        <f t="shared" si="1"/>
        <v>Not Active</v>
      </c>
      <c r="J205" s="17" t="str">
        <f t="array" ref="J205">iferror(XLOOKUP(A205,'Download of SFDC Activation Rep'!B:B,'Download of SFDC Activation Rep'!X:X),"")</f>
        <v/>
      </c>
      <c r="K205" s="17" t="str">
        <f t="array" ref="K205">iferror(XLOOKUP(A205,'Download of SFDC Activation Rep'!B:B,'Download of SFDC Activation Rep'!C:C),"")</f>
        <v/>
      </c>
      <c r="L205" s="18" t="str">
        <f t="array" ref="L205">iferror(XLOOKUP(A205,'Download of SFDC Activation Rep'!B:B,'Download of SFDC Activation Rep'!S:S),"")</f>
        <v/>
      </c>
      <c r="M205" s="24" t="str">
        <f t="array" ref="M205">iferror(XLOOKUP(A205,'Download of SFDC Activation Rep'!B:B,'Download of SFDC Activation Rep'!Z:Z)+150,"")</f>
        <v/>
      </c>
      <c r="N205" s="24" t="str">
        <f t="array" ref="N205">iferror(XLOOKUP(A205,'Download of SFDC Activation Rep'!B:B,'Download of SFDC Activation Rep'!Y:Y),"")</f>
        <v/>
      </c>
    </row>
    <row r="206">
      <c r="B206" s="14"/>
      <c r="C206" s="14"/>
      <c r="D206" s="14"/>
      <c r="E206" s="15"/>
      <c r="F206" s="14"/>
      <c r="G206" s="13" t="str">
        <f t="array" ref="G206">iferror(XLOOKUP(A206,'Download of SFDC Activation Rep'!B:B,'Download of SFDC Activation Rep'!H:H),"")</f>
        <v/>
      </c>
      <c r="H206" s="13" t="str">
        <f t="array" ref="H206">iferror(xlookup(A206,'Download of SFDC Activation Rep'!B:B,'Download of SFDC Activation Rep'!L:L),"")</f>
        <v/>
      </c>
      <c r="I206" s="17" t="str">
        <f t="shared" si="1"/>
        <v>Not Active</v>
      </c>
      <c r="J206" s="17" t="str">
        <f t="array" ref="J206">iferror(XLOOKUP(A206,'Download of SFDC Activation Rep'!B:B,'Download of SFDC Activation Rep'!X:X),"")</f>
        <v/>
      </c>
      <c r="K206" s="17" t="str">
        <f t="array" ref="K206">iferror(XLOOKUP(A206,'Download of SFDC Activation Rep'!B:B,'Download of SFDC Activation Rep'!C:C),"")</f>
        <v/>
      </c>
      <c r="L206" s="18" t="str">
        <f t="array" ref="L206">iferror(XLOOKUP(A206,'Download of SFDC Activation Rep'!B:B,'Download of SFDC Activation Rep'!S:S),"")</f>
        <v/>
      </c>
      <c r="M206" s="24" t="str">
        <f t="array" ref="M206">iferror(XLOOKUP(A206,'Download of SFDC Activation Rep'!B:B,'Download of SFDC Activation Rep'!Z:Z)+150,"")</f>
        <v/>
      </c>
      <c r="N206" s="24" t="str">
        <f t="array" ref="N206">iferror(XLOOKUP(A206,'Download of SFDC Activation Rep'!B:B,'Download of SFDC Activation Rep'!Y:Y),"")</f>
        <v/>
      </c>
    </row>
    <row r="207">
      <c r="B207" s="14"/>
      <c r="C207" s="14"/>
      <c r="D207" s="14"/>
      <c r="E207" s="15"/>
      <c r="F207" s="14"/>
      <c r="G207" s="13" t="str">
        <f t="array" ref="G207">iferror(XLOOKUP(A207,'Download of SFDC Activation Rep'!B:B,'Download of SFDC Activation Rep'!H:H),"")</f>
        <v/>
      </c>
      <c r="H207" s="13" t="str">
        <f t="array" ref="H207">iferror(xlookup(A207,'Download of SFDC Activation Rep'!B:B,'Download of SFDC Activation Rep'!L:L),"")</f>
        <v/>
      </c>
      <c r="I207" s="17" t="str">
        <f t="shared" si="1"/>
        <v>Not Active</v>
      </c>
      <c r="J207" s="17" t="str">
        <f t="array" ref="J207">iferror(XLOOKUP(A207,'Download of SFDC Activation Rep'!B:B,'Download of SFDC Activation Rep'!X:X),"")</f>
        <v/>
      </c>
      <c r="K207" s="17" t="str">
        <f t="array" ref="K207">iferror(XLOOKUP(A207,'Download of SFDC Activation Rep'!B:B,'Download of SFDC Activation Rep'!C:C),"")</f>
        <v/>
      </c>
      <c r="L207" s="18" t="str">
        <f t="array" ref="L207">iferror(XLOOKUP(A207,'Download of SFDC Activation Rep'!B:B,'Download of SFDC Activation Rep'!S:S),"")</f>
        <v/>
      </c>
      <c r="M207" s="24" t="str">
        <f t="array" ref="M207">iferror(XLOOKUP(A207,'Download of SFDC Activation Rep'!B:B,'Download of SFDC Activation Rep'!Z:Z)+150,"")</f>
        <v/>
      </c>
      <c r="N207" s="24" t="str">
        <f t="array" ref="N207">iferror(XLOOKUP(A207,'Download of SFDC Activation Rep'!B:B,'Download of SFDC Activation Rep'!Y:Y),"")</f>
        <v/>
      </c>
    </row>
    <row r="208">
      <c r="B208" s="14"/>
      <c r="C208" s="14"/>
      <c r="D208" s="14"/>
      <c r="E208" s="15"/>
      <c r="F208" s="14"/>
      <c r="G208" s="13" t="str">
        <f t="array" ref="G208">iferror(XLOOKUP(A208,'Download of SFDC Activation Rep'!B:B,'Download of SFDC Activation Rep'!H:H),"")</f>
        <v/>
      </c>
      <c r="H208" s="13" t="str">
        <f t="array" ref="H208">iferror(xlookup(A208,'Download of SFDC Activation Rep'!B:B,'Download of SFDC Activation Rep'!L:L),"")</f>
        <v/>
      </c>
      <c r="I208" s="17" t="str">
        <f t="shared" si="1"/>
        <v>Not Active</v>
      </c>
      <c r="J208" s="17" t="str">
        <f t="array" ref="J208">iferror(XLOOKUP(A208,'Download of SFDC Activation Rep'!B:B,'Download of SFDC Activation Rep'!X:X),"")</f>
        <v/>
      </c>
      <c r="K208" s="17" t="str">
        <f t="array" ref="K208">iferror(XLOOKUP(A208,'Download of SFDC Activation Rep'!B:B,'Download of SFDC Activation Rep'!C:C),"")</f>
        <v/>
      </c>
      <c r="L208" s="18" t="str">
        <f t="array" ref="L208">iferror(XLOOKUP(A208,'Download of SFDC Activation Rep'!B:B,'Download of SFDC Activation Rep'!S:S),"")</f>
        <v/>
      </c>
      <c r="M208" s="24" t="str">
        <f t="array" ref="M208">iferror(XLOOKUP(A208,'Download of SFDC Activation Rep'!B:B,'Download of SFDC Activation Rep'!Z:Z)+150,"")</f>
        <v/>
      </c>
      <c r="N208" s="24" t="str">
        <f t="array" ref="N208">iferror(XLOOKUP(A208,'Download of SFDC Activation Rep'!B:B,'Download of SFDC Activation Rep'!Y:Y),"")</f>
        <v/>
      </c>
    </row>
    <row r="209">
      <c r="B209" s="14"/>
      <c r="C209" s="14"/>
      <c r="D209" s="14"/>
      <c r="E209" s="15"/>
      <c r="F209" s="14"/>
      <c r="G209" s="13" t="str">
        <f t="array" ref="G209">iferror(XLOOKUP(A209,'Download of SFDC Activation Rep'!B:B,'Download of SFDC Activation Rep'!H:H),"")</f>
        <v/>
      </c>
      <c r="H209" s="13" t="str">
        <f t="array" ref="H209">iferror(xlookup(A209,'Download of SFDC Activation Rep'!B:B,'Download of SFDC Activation Rep'!L:L),"")</f>
        <v/>
      </c>
      <c r="I209" s="17" t="str">
        <f t="shared" si="1"/>
        <v>Not Active</v>
      </c>
      <c r="J209" s="17" t="str">
        <f t="array" ref="J209">iferror(XLOOKUP(A209,'Download of SFDC Activation Rep'!B:B,'Download of SFDC Activation Rep'!X:X),"")</f>
        <v/>
      </c>
      <c r="K209" s="17" t="str">
        <f t="array" ref="K209">iferror(XLOOKUP(A209,'Download of SFDC Activation Rep'!B:B,'Download of SFDC Activation Rep'!C:C),"")</f>
        <v/>
      </c>
      <c r="L209" s="18" t="str">
        <f t="array" ref="L209">iferror(XLOOKUP(A209,'Download of SFDC Activation Rep'!B:B,'Download of SFDC Activation Rep'!S:S),"")</f>
        <v/>
      </c>
      <c r="M209" s="24" t="str">
        <f t="array" ref="M209">iferror(XLOOKUP(A209,'Download of SFDC Activation Rep'!B:B,'Download of SFDC Activation Rep'!Z:Z)+150,"")</f>
        <v/>
      </c>
      <c r="N209" s="24" t="str">
        <f t="array" ref="N209">iferror(XLOOKUP(A209,'Download of SFDC Activation Rep'!B:B,'Download of SFDC Activation Rep'!Y:Y),"")</f>
        <v/>
      </c>
    </row>
    <row r="210">
      <c r="B210" s="14"/>
      <c r="C210" s="14"/>
      <c r="D210" s="14"/>
      <c r="E210" s="15"/>
      <c r="F210" s="14"/>
      <c r="G210" s="13" t="str">
        <f t="array" ref="G210">iferror(XLOOKUP(A210,'Download of SFDC Activation Rep'!B:B,'Download of SFDC Activation Rep'!H:H),"")</f>
        <v/>
      </c>
      <c r="H210" s="13" t="str">
        <f t="array" ref="H210">iferror(xlookup(A210,'Download of SFDC Activation Rep'!B:B,'Download of SFDC Activation Rep'!L:L),"")</f>
        <v/>
      </c>
      <c r="I210" s="17" t="str">
        <f t="shared" si="1"/>
        <v>Not Active</v>
      </c>
      <c r="J210" s="17" t="str">
        <f t="array" ref="J210">iferror(XLOOKUP(A210,'Download of SFDC Activation Rep'!B:B,'Download of SFDC Activation Rep'!X:X),"")</f>
        <v/>
      </c>
      <c r="K210" s="17" t="str">
        <f t="array" ref="K210">iferror(XLOOKUP(A210,'Download of SFDC Activation Rep'!B:B,'Download of SFDC Activation Rep'!C:C),"")</f>
        <v/>
      </c>
      <c r="L210" s="18" t="str">
        <f t="array" ref="L210">iferror(XLOOKUP(A210,'Download of SFDC Activation Rep'!B:B,'Download of SFDC Activation Rep'!S:S),"")</f>
        <v/>
      </c>
      <c r="M210" s="24" t="str">
        <f t="array" ref="M210">iferror(XLOOKUP(A210,'Download of SFDC Activation Rep'!B:B,'Download of SFDC Activation Rep'!Z:Z)+150,"")</f>
        <v/>
      </c>
      <c r="N210" s="24" t="str">
        <f t="array" ref="N210">iferror(XLOOKUP(A210,'Download of SFDC Activation Rep'!B:B,'Download of SFDC Activation Rep'!Y:Y),"")</f>
        <v/>
      </c>
    </row>
    <row r="211">
      <c r="B211" s="14"/>
      <c r="C211" s="14"/>
      <c r="D211" s="14"/>
      <c r="E211" s="15"/>
      <c r="F211" s="14"/>
      <c r="G211" s="13" t="str">
        <f t="array" ref="G211">iferror(XLOOKUP(A211,'Download of SFDC Activation Rep'!B:B,'Download of SFDC Activation Rep'!H:H),"")</f>
        <v/>
      </c>
      <c r="H211" s="13" t="str">
        <f t="array" ref="H211">iferror(xlookup(A211,'Download of SFDC Activation Rep'!B:B,'Download of SFDC Activation Rep'!L:L),"")</f>
        <v/>
      </c>
      <c r="I211" s="17" t="str">
        <f t="shared" si="1"/>
        <v>Not Active</v>
      </c>
      <c r="J211" s="17" t="str">
        <f t="array" ref="J211">iferror(XLOOKUP(A211,'Download of SFDC Activation Rep'!B:B,'Download of SFDC Activation Rep'!X:X),"")</f>
        <v/>
      </c>
      <c r="K211" s="17" t="str">
        <f t="array" ref="K211">iferror(XLOOKUP(A211,'Download of SFDC Activation Rep'!B:B,'Download of SFDC Activation Rep'!C:C),"")</f>
        <v/>
      </c>
      <c r="L211" s="18" t="str">
        <f t="array" ref="L211">iferror(XLOOKUP(A211,'Download of SFDC Activation Rep'!B:B,'Download of SFDC Activation Rep'!S:S),"")</f>
        <v/>
      </c>
      <c r="M211" s="24" t="str">
        <f t="array" ref="M211">iferror(XLOOKUP(A211,'Download of SFDC Activation Rep'!B:B,'Download of SFDC Activation Rep'!Z:Z)+150,"")</f>
        <v/>
      </c>
      <c r="N211" s="24" t="str">
        <f t="array" ref="N211">iferror(XLOOKUP(A211,'Download of SFDC Activation Rep'!B:B,'Download of SFDC Activation Rep'!Y:Y),"")</f>
        <v/>
      </c>
    </row>
    <row r="212">
      <c r="B212" s="14"/>
      <c r="C212" s="14"/>
      <c r="D212" s="14"/>
      <c r="E212" s="15"/>
      <c r="F212" s="14"/>
      <c r="G212" s="13" t="str">
        <f t="array" ref="G212">iferror(XLOOKUP(A212,'Download of SFDC Activation Rep'!B:B,'Download of SFDC Activation Rep'!H:H),"")</f>
        <v/>
      </c>
      <c r="H212" s="13" t="str">
        <f t="array" ref="H212">iferror(xlookup(A212,'Download of SFDC Activation Rep'!B:B,'Download of SFDC Activation Rep'!L:L),"")</f>
        <v/>
      </c>
      <c r="I212" s="17" t="str">
        <f t="shared" si="1"/>
        <v>Not Active</v>
      </c>
      <c r="J212" s="17" t="str">
        <f t="array" ref="J212">iferror(XLOOKUP(A212,'Download of SFDC Activation Rep'!B:B,'Download of SFDC Activation Rep'!X:X),"")</f>
        <v/>
      </c>
      <c r="K212" s="17" t="str">
        <f t="array" ref="K212">iferror(XLOOKUP(A212,'Download of SFDC Activation Rep'!B:B,'Download of SFDC Activation Rep'!C:C),"")</f>
        <v/>
      </c>
      <c r="L212" s="18" t="str">
        <f t="array" ref="L212">iferror(XLOOKUP(A212,'Download of SFDC Activation Rep'!B:B,'Download of SFDC Activation Rep'!S:S),"")</f>
        <v/>
      </c>
      <c r="M212" s="24" t="str">
        <f t="array" ref="M212">iferror(XLOOKUP(A212,'Download of SFDC Activation Rep'!B:B,'Download of SFDC Activation Rep'!Z:Z)+150,"")</f>
        <v/>
      </c>
      <c r="N212" s="24" t="str">
        <f t="array" ref="N212">iferror(XLOOKUP(A212,'Download of SFDC Activation Rep'!B:B,'Download of SFDC Activation Rep'!Y:Y),"")</f>
        <v/>
      </c>
    </row>
    <row r="213">
      <c r="B213" s="14"/>
      <c r="C213" s="14"/>
      <c r="D213" s="14"/>
      <c r="E213" s="15"/>
      <c r="F213" s="14"/>
      <c r="G213" s="13" t="str">
        <f t="array" ref="G213">iferror(XLOOKUP(A213,'Download of SFDC Activation Rep'!B:B,'Download of SFDC Activation Rep'!H:H),"")</f>
        <v/>
      </c>
      <c r="H213" s="13" t="str">
        <f t="array" ref="H213">iferror(xlookup(A213,'Download of SFDC Activation Rep'!B:B,'Download of SFDC Activation Rep'!L:L),"")</f>
        <v/>
      </c>
      <c r="I213" s="17" t="str">
        <f t="shared" si="1"/>
        <v>Not Active</v>
      </c>
      <c r="J213" s="17" t="str">
        <f t="array" ref="J213">iferror(XLOOKUP(A213,'Download of SFDC Activation Rep'!B:B,'Download of SFDC Activation Rep'!X:X),"")</f>
        <v/>
      </c>
      <c r="K213" s="17" t="str">
        <f t="array" ref="K213">iferror(XLOOKUP(A213,'Download of SFDC Activation Rep'!B:B,'Download of SFDC Activation Rep'!C:C),"")</f>
        <v/>
      </c>
      <c r="L213" s="18" t="str">
        <f t="array" ref="L213">iferror(XLOOKUP(A213,'Download of SFDC Activation Rep'!B:B,'Download of SFDC Activation Rep'!S:S),"")</f>
        <v/>
      </c>
      <c r="M213" s="24" t="str">
        <f t="array" ref="M213">iferror(XLOOKUP(A213,'Download of SFDC Activation Rep'!B:B,'Download of SFDC Activation Rep'!Z:Z)+150,"")</f>
        <v/>
      </c>
      <c r="N213" s="24" t="str">
        <f t="array" ref="N213">iferror(XLOOKUP(A213,'Download of SFDC Activation Rep'!B:B,'Download of SFDC Activation Rep'!Y:Y),"")</f>
        <v/>
      </c>
    </row>
    <row r="214">
      <c r="B214" s="14"/>
      <c r="C214" s="14"/>
      <c r="D214" s="14"/>
      <c r="E214" s="15"/>
      <c r="F214" s="14"/>
      <c r="G214" s="13" t="str">
        <f t="array" ref="G214">iferror(XLOOKUP(A214,'Download of SFDC Activation Rep'!B:B,'Download of SFDC Activation Rep'!H:H),"")</f>
        <v/>
      </c>
      <c r="H214" s="13" t="str">
        <f t="array" ref="H214">iferror(xlookup(A214,'Download of SFDC Activation Rep'!B:B,'Download of SFDC Activation Rep'!L:L),"")</f>
        <v/>
      </c>
      <c r="I214" s="17" t="str">
        <f t="shared" si="1"/>
        <v>Not Active</v>
      </c>
      <c r="J214" s="17" t="str">
        <f t="array" ref="J214">iferror(XLOOKUP(A214,'Download of SFDC Activation Rep'!B:B,'Download of SFDC Activation Rep'!X:X),"")</f>
        <v/>
      </c>
      <c r="K214" s="17" t="str">
        <f t="array" ref="K214">iferror(XLOOKUP(A214,'Download of SFDC Activation Rep'!B:B,'Download of SFDC Activation Rep'!C:C),"")</f>
        <v/>
      </c>
      <c r="L214" s="18" t="str">
        <f t="array" ref="L214">iferror(XLOOKUP(A214,'Download of SFDC Activation Rep'!B:B,'Download of SFDC Activation Rep'!S:S),"")</f>
        <v/>
      </c>
      <c r="M214" s="24" t="str">
        <f t="array" ref="M214">iferror(XLOOKUP(A214,'Download of SFDC Activation Rep'!B:B,'Download of SFDC Activation Rep'!Z:Z)+150,"")</f>
        <v/>
      </c>
      <c r="N214" s="24" t="str">
        <f t="array" ref="N214">iferror(XLOOKUP(A214,'Download of SFDC Activation Rep'!B:B,'Download of SFDC Activation Rep'!Y:Y),"")</f>
        <v/>
      </c>
    </row>
    <row r="215">
      <c r="B215" s="14"/>
      <c r="C215" s="14"/>
      <c r="D215" s="14"/>
      <c r="E215" s="15"/>
      <c r="F215" s="14"/>
      <c r="G215" s="13" t="str">
        <f t="array" ref="G215">iferror(XLOOKUP(A215,'Download of SFDC Activation Rep'!B:B,'Download of SFDC Activation Rep'!H:H),"")</f>
        <v/>
      </c>
      <c r="H215" s="13" t="str">
        <f t="array" ref="H215">iferror(xlookup(A215,'Download of SFDC Activation Rep'!B:B,'Download of SFDC Activation Rep'!L:L),"")</f>
        <v/>
      </c>
      <c r="I215" s="17" t="str">
        <f t="shared" si="1"/>
        <v>Not Active</v>
      </c>
      <c r="J215" s="17" t="str">
        <f t="array" ref="J215">iferror(XLOOKUP(A215,'Download of SFDC Activation Rep'!B:B,'Download of SFDC Activation Rep'!X:X),"")</f>
        <v/>
      </c>
      <c r="K215" s="17" t="str">
        <f t="array" ref="K215">iferror(XLOOKUP(A215,'Download of SFDC Activation Rep'!B:B,'Download of SFDC Activation Rep'!C:C),"")</f>
        <v/>
      </c>
      <c r="L215" s="18" t="str">
        <f t="array" ref="L215">iferror(XLOOKUP(A215,'Download of SFDC Activation Rep'!B:B,'Download of SFDC Activation Rep'!S:S),"")</f>
        <v/>
      </c>
      <c r="M215" s="24" t="str">
        <f t="array" ref="M215">iferror(XLOOKUP(A215,'Download of SFDC Activation Rep'!B:B,'Download of SFDC Activation Rep'!Z:Z)+150,"")</f>
        <v/>
      </c>
      <c r="N215" s="24" t="str">
        <f t="array" ref="N215">iferror(XLOOKUP(A215,'Download of SFDC Activation Rep'!B:B,'Download of SFDC Activation Rep'!Y:Y),"")</f>
        <v/>
      </c>
    </row>
    <row r="216">
      <c r="B216" s="14"/>
      <c r="C216" s="14"/>
      <c r="D216" s="14"/>
      <c r="E216" s="15"/>
      <c r="F216" s="14"/>
      <c r="G216" s="13" t="str">
        <f t="array" ref="G216">iferror(XLOOKUP(A216,'Download of SFDC Activation Rep'!B:B,'Download of SFDC Activation Rep'!H:H),"")</f>
        <v/>
      </c>
      <c r="H216" s="13" t="str">
        <f t="array" ref="H216">iferror(xlookup(A216,'Download of SFDC Activation Rep'!B:B,'Download of SFDC Activation Rep'!L:L),"")</f>
        <v/>
      </c>
      <c r="I216" s="17" t="str">
        <f t="shared" si="1"/>
        <v>Not Active</v>
      </c>
      <c r="J216" s="17" t="str">
        <f t="array" ref="J216">iferror(XLOOKUP(A216,'Download of SFDC Activation Rep'!B:B,'Download of SFDC Activation Rep'!X:X),"")</f>
        <v/>
      </c>
      <c r="K216" s="17" t="str">
        <f t="array" ref="K216">iferror(XLOOKUP(A216,'Download of SFDC Activation Rep'!B:B,'Download of SFDC Activation Rep'!C:C),"")</f>
        <v/>
      </c>
      <c r="L216" s="18" t="str">
        <f t="array" ref="L216">iferror(XLOOKUP(A216,'Download of SFDC Activation Rep'!B:B,'Download of SFDC Activation Rep'!S:S),"")</f>
        <v/>
      </c>
      <c r="M216" s="24" t="str">
        <f t="array" ref="M216">iferror(XLOOKUP(A216,'Download of SFDC Activation Rep'!B:B,'Download of SFDC Activation Rep'!Z:Z)+150,"")</f>
        <v/>
      </c>
      <c r="N216" s="24" t="str">
        <f t="array" ref="N216">iferror(XLOOKUP(A216,'Download of SFDC Activation Rep'!B:B,'Download of SFDC Activation Rep'!Y:Y),"")</f>
        <v/>
      </c>
    </row>
    <row r="217">
      <c r="B217" s="14"/>
      <c r="C217" s="14"/>
      <c r="D217" s="14"/>
      <c r="E217" s="15"/>
      <c r="F217" s="14"/>
      <c r="G217" s="13" t="str">
        <f t="array" ref="G217">iferror(XLOOKUP(A217,'Download of SFDC Activation Rep'!B:B,'Download of SFDC Activation Rep'!H:H),"")</f>
        <v/>
      </c>
      <c r="H217" s="13" t="str">
        <f t="array" ref="H217">iferror(xlookup(A217,'Download of SFDC Activation Rep'!B:B,'Download of SFDC Activation Rep'!L:L),"")</f>
        <v/>
      </c>
      <c r="I217" s="17" t="str">
        <f t="shared" si="1"/>
        <v>Not Active</v>
      </c>
      <c r="J217" s="17" t="str">
        <f t="array" ref="J217">iferror(XLOOKUP(A217,'Download of SFDC Activation Rep'!B:B,'Download of SFDC Activation Rep'!X:X),"")</f>
        <v/>
      </c>
      <c r="K217" s="17" t="str">
        <f t="array" ref="K217">iferror(XLOOKUP(A217,'Download of SFDC Activation Rep'!B:B,'Download of SFDC Activation Rep'!C:C),"")</f>
        <v/>
      </c>
      <c r="L217" s="18" t="str">
        <f t="array" ref="L217">iferror(XLOOKUP(A217,'Download of SFDC Activation Rep'!B:B,'Download of SFDC Activation Rep'!S:S),"")</f>
        <v/>
      </c>
      <c r="M217" s="24" t="str">
        <f t="array" ref="M217">iferror(XLOOKUP(A217,'Download of SFDC Activation Rep'!B:B,'Download of SFDC Activation Rep'!Z:Z)+150,"")</f>
        <v/>
      </c>
      <c r="N217" s="24" t="str">
        <f t="array" ref="N217">iferror(XLOOKUP(A217,'Download of SFDC Activation Rep'!B:B,'Download of SFDC Activation Rep'!Y:Y),"")</f>
        <v/>
      </c>
    </row>
    <row r="218">
      <c r="B218" s="14"/>
      <c r="C218" s="14"/>
      <c r="D218" s="14"/>
      <c r="E218" s="15"/>
      <c r="F218" s="14"/>
      <c r="G218" s="13" t="str">
        <f t="array" ref="G218">iferror(XLOOKUP(A218,'Download of SFDC Activation Rep'!B:B,'Download of SFDC Activation Rep'!H:H),"")</f>
        <v/>
      </c>
      <c r="H218" s="13" t="str">
        <f t="array" ref="H218">iferror(xlookup(A218,'Download of SFDC Activation Rep'!B:B,'Download of SFDC Activation Rep'!L:L),"")</f>
        <v/>
      </c>
      <c r="I218" s="17" t="str">
        <f t="shared" si="1"/>
        <v>Not Active</v>
      </c>
      <c r="J218" s="17" t="str">
        <f t="array" ref="J218">iferror(XLOOKUP(A218,'Download of SFDC Activation Rep'!B:B,'Download of SFDC Activation Rep'!X:X),"")</f>
        <v/>
      </c>
      <c r="K218" s="17" t="str">
        <f t="array" ref="K218">iferror(XLOOKUP(A218,'Download of SFDC Activation Rep'!B:B,'Download of SFDC Activation Rep'!C:C),"")</f>
        <v/>
      </c>
      <c r="L218" s="18" t="str">
        <f t="array" ref="L218">iferror(XLOOKUP(A218,'Download of SFDC Activation Rep'!B:B,'Download of SFDC Activation Rep'!S:S),"")</f>
        <v/>
      </c>
      <c r="M218" s="24" t="str">
        <f t="array" ref="M218">iferror(XLOOKUP(A218,'Download of SFDC Activation Rep'!B:B,'Download of SFDC Activation Rep'!Z:Z)+150,"")</f>
        <v/>
      </c>
      <c r="N218" s="24" t="str">
        <f t="array" ref="N218">iferror(XLOOKUP(A218,'Download of SFDC Activation Rep'!B:B,'Download of SFDC Activation Rep'!Y:Y),"")</f>
        <v/>
      </c>
    </row>
    <row r="219">
      <c r="B219" s="14"/>
      <c r="C219" s="14"/>
      <c r="D219" s="14"/>
      <c r="E219" s="15"/>
      <c r="F219" s="14"/>
      <c r="G219" s="13" t="str">
        <f t="array" ref="G219">iferror(XLOOKUP(A219,'Download of SFDC Activation Rep'!B:B,'Download of SFDC Activation Rep'!H:H),"")</f>
        <v/>
      </c>
      <c r="H219" s="13" t="str">
        <f t="array" ref="H219">iferror(xlookup(A219,'Download of SFDC Activation Rep'!B:B,'Download of SFDC Activation Rep'!L:L),"")</f>
        <v/>
      </c>
      <c r="I219" s="17" t="str">
        <f t="shared" si="1"/>
        <v>Not Active</v>
      </c>
      <c r="J219" s="17" t="str">
        <f t="array" ref="J219">iferror(XLOOKUP(A219,'Download of SFDC Activation Rep'!B:B,'Download of SFDC Activation Rep'!X:X),"")</f>
        <v/>
      </c>
      <c r="K219" s="17" t="str">
        <f t="array" ref="K219">iferror(XLOOKUP(A219,'Download of SFDC Activation Rep'!B:B,'Download of SFDC Activation Rep'!C:C),"")</f>
        <v/>
      </c>
      <c r="L219" s="18" t="str">
        <f t="array" ref="L219">iferror(XLOOKUP(A219,'Download of SFDC Activation Rep'!B:B,'Download of SFDC Activation Rep'!S:S),"")</f>
        <v/>
      </c>
      <c r="M219" s="24" t="str">
        <f t="array" ref="M219">iferror(XLOOKUP(A219,'Download of SFDC Activation Rep'!B:B,'Download of SFDC Activation Rep'!Z:Z)+150,"")</f>
        <v/>
      </c>
      <c r="N219" s="24" t="str">
        <f t="array" ref="N219">iferror(XLOOKUP(A219,'Download of SFDC Activation Rep'!B:B,'Download of SFDC Activation Rep'!Y:Y),"")</f>
        <v/>
      </c>
    </row>
    <row r="220">
      <c r="B220" s="14"/>
      <c r="C220" s="14"/>
      <c r="D220" s="14"/>
      <c r="E220" s="15"/>
      <c r="F220" s="14"/>
      <c r="G220" s="13" t="str">
        <f t="array" ref="G220">iferror(XLOOKUP(A220,'Download of SFDC Activation Rep'!B:B,'Download of SFDC Activation Rep'!H:H),"")</f>
        <v/>
      </c>
      <c r="H220" s="13" t="str">
        <f t="array" ref="H220">iferror(xlookup(A220,'Download of SFDC Activation Rep'!B:B,'Download of SFDC Activation Rep'!L:L),"")</f>
        <v/>
      </c>
      <c r="I220" s="17" t="str">
        <f t="shared" si="1"/>
        <v>Not Active</v>
      </c>
      <c r="J220" s="17" t="str">
        <f t="array" ref="J220">iferror(XLOOKUP(A220,'Download of SFDC Activation Rep'!B:B,'Download of SFDC Activation Rep'!X:X),"")</f>
        <v/>
      </c>
      <c r="K220" s="17" t="str">
        <f t="array" ref="K220">iferror(XLOOKUP(A220,'Download of SFDC Activation Rep'!B:B,'Download of SFDC Activation Rep'!C:C),"")</f>
        <v/>
      </c>
      <c r="L220" s="18" t="str">
        <f t="array" ref="L220">iferror(XLOOKUP(A220,'Download of SFDC Activation Rep'!B:B,'Download of SFDC Activation Rep'!S:S),"")</f>
        <v/>
      </c>
      <c r="M220" s="24" t="str">
        <f t="array" ref="M220">iferror(XLOOKUP(A220,'Download of SFDC Activation Rep'!B:B,'Download of SFDC Activation Rep'!Z:Z)+150,"")</f>
        <v/>
      </c>
      <c r="N220" s="24" t="str">
        <f t="array" ref="N220">iferror(XLOOKUP(A220,'Download of SFDC Activation Rep'!B:B,'Download of SFDC Activation Rep'!Y:Y),"")</f>
        <v/>
      </c>
    </row>
    <row r="221">
      <c r="B221" s="14"/>
      <c r="C221" s="14"/>
      <c r="D221" s="14"/>
      <c r="E221" s="15"/>
      <c r="F221" s="14"/>
      <c r="G221" s="13" t="str">
        <f t="array" ref="G221">iferror(XLOOKUP(A221,'Download of SFDC Activation Rep'!B:B,'Download of SFDC Activation Rep'!H:H),"")</f>
        <v/>
      </c>
      <c r="H221" s="13" t="str">
        <f t="array" ref="H221">iferror(xlookup(A221,'Download of SFDC Activation Rep'!B:B,'Download of SFDC Activation Rep'!L:L),"")</f>
        <v/>
      </c>
      <c r="I221" s="17" t="str">
        <f t="shared" si="1"/>
        <v>Not Active</v>
      </c>
      <c r="J221" s="17" t="str">
        <f t="array" ref="J221">iferror(XLOOKUP(A221,'Download of SFDC Activation Rep'!B:B,'Download of SFDC Activation Rep'!X:X),"")</f>
        <v/>
      </c>
      <c r="K221" s="17" t="str">
        <f t="array" ref="K221">iferror(XLOOKUP(A221,'Download of SFDC Activation Rep'!B:B,'Download of SFDC Activation Rep'!C:C),"")</f>
        <v/>
      </c>
      <c r="L221" s="18" t="str">
        <f t="array" ref="L221">iferror(XLOOKUP(A221,'Download of SFDC Activation Rep'!B:B,'Download of SFDC Activation Rep'!S:S),"")</f>
        <v/>
      </c>
      <c r="M221" s="24" t="str">
        <f t="array" ref="M221">iferror(XLOOKUP(A221,'Download of SFDC Activation Rep'!B:B,'Download of SFDC Activation Rep'!Z:Z)+150,"")</f>
        <v/>
      </c>
      <c r="N221" s="24" t="str">
        <f t="array" ref="N221">iferror(XLOOKUP(A221,'Download of SFDC Activation Rep'!B:B,'Download of SFDC Activation Rep'!Y:Y),"")</f>
        <v/>
      </c>
    </row>
    <row r="222">
      <c r="B222" s="14"/>
      <c r="C222" s="14"/>
      <c r="D222" s="14"/>
      <c r="E222" s="15"/>
      <c r="F222" s="14"/>
      <c r="G222" s="13" t="str">
        <f t="array" ref="G222">iferror(XLOOKUP(A222,'Download of SFDC Activation Rep'!B:B,'Download of SFDC Activation Rep'!H:H),"")</f>
        <v/>
      </c>
      <c r="H222" s="13" t="str">
        <f t="array" ref="H222">iferror(xlookup(A222,'Download of SFDC Activation Rep'!B:B,'Download of SFDC Activation Rep'!L:L),"")</f>
        <v/>
      </c>
      <c r="I222" s="17" t="str">
        <f t="shared" si="1"/>
        <v>Not Active</v>
      </c>
      <c r="J222" s="17" t="str">
        <f t="array" ref="J222">iferror(XLOOKUP(A222,'Download of SFDC Activation Rep'!B:B,'Download of SFDC Activation Rep'!X:X),"")</f>
        <v/>
      </c>
      <c r="K222" s="17" t="str">
        <f t="array" ref="K222">iferror(XLOOKUP(A222,'Download of SFDC Activation Rep'!B:B,'Download of SFDC Activation Rep'!C:C),"")</f>
        <v/>
      </c>
      <c r="L222" s="18" t="str">
        <f t="array" ref="L222">iferror(XLOOKUP(A222,'Download of SFDC Activation Rep'!B:B,'Download of SFDC Activation Rep'!S:S),"")</f>
        <v/>
      </c>
      <c r="M222" s="24" t="str">
        <f t="array" ref="M222">iferror(XLOOKUP(A222,'Download of SFDC Activation Rep'!B:B,'Download of SFDC Activation Rep'!Z:Z)+150,"")</f>
        <v/>
      </c>
      <c r="N222" s="24" t="str">
        <f t="array" ref="N222">iferror(XLOOKUP(A222,'Download of SFDC Activation Rep'!B:B,'Download of SFDC Activation Rep'!Y:Y),"")</f>
        <v/>
      </c>
    </row>
    <row r="223">
      <c r="B223" s="14"/>
      <c r="C223" s="14"/>
      <c r="D223" s="14"/>
      <c r="E223" s="15"/>
      <c r="F223" s="14"/>
      <c r="G223" s="13" t="str">
        <f t="array" ref="G223">iferror(XLOOKUP(A223,'Download of SFDC Activation Rep'!B:B,'Download of SFDC Activation Rep'!H:H),"")</f>
        <v/>
      </c>
      <c r="H223" s="13" t="str">
        <f t="array" ref="H223">iferror(xlookup(A223,'Download of SFDC Activation Rep'!B:B,'Download of SFDC Activation Rep'!L:L),"")</f>
        <v/>
      </c>
      <c r="I223" s="17" t="str">
        <f t="shared" si="1"/>
        <v>Not Active</v>
      </c>
      <c r="J223" s="17" t="str">
        <f t="array" ref="J223">iferror(XLOOKUP(A223,'Download of SFDC Activation Rep'!B:B,'Download of SFDC Activation Rep'!X:X),"")</f>
        <v/>
      </c>
      <c r="K223" s="17" t="str">
        <f t="array" ref="K223">iferror(XLOOKUP(A223,'Download of SFDC Activation Rep'!B:B,'Download of SFDC Activation Rep'!C:C),"")</f>
        <v/>
      </c>
      <c r="L223" s="18" t="str">
        <f t="array" ref="L223">iferror(XLOOKUP(A223,'Download of SFDC Activation Rep'!B:B,'Download of SFDC Activation Rep'!S:S),"")</f>
        <v/>
      </c>
      <c r="M223" s="24" t="str">
        <f t="array" ref="M223">iferror(XLOOKUP(A223,'Download of SFDC Activation Rep'!B:B,'Download of SFDC Activation Rep'!Z:Z)+150,"")</f>
        <v/>
      </c>
      <c r="N223" s="24" t="str">
        <f t="array" ref="N223">iferror(XLOOKUP(A223,'Download of SFDC Activation Rep'!B:B,'Download of SFDC Activation Rep'!Y:Y),"")</f>
        <v/>
      </c>
    </row>
    <row r="224">
      <c r="B224" s="14"/>
      <c r="C224" s="14"/>
      <c r="D224" s="14"/>
      <c r="E224" s="15"/>
      <c r="F224" s="14"/>
      <c r="G224" s="13" t="str">
        <f t="array" ref="G224">iferror(XLOOKUP(A224,'Download of SFDC Activation Rep'!B:B,'Download of SFDC Activation Rep'!H:H),"")</f>
        <v/>
      </c>
      <c r="H224" s="13" t="str">
        <f t="array" ref="H224">iferror(xlookup(A224,'Download of SFDC Activation Rep'!B:B,'Download of SFDC Activation Rep'!L:L),"")</f>
        <v/>
      </c>
      <c r="I224" s="17" t="str">
        <f t="shared" si="1"/>
        <v>Not Active</v>
      </c>
      <c r="J224" s="17" t="str">
        <f t="array" ref="J224">iferror(XLOOKUP(A224,'Download of SFDC Activation Rep'!B:B,'Download of SFDC Activation Rep'!X:X),"")</f>
        <v/>
      </c>
      <c r="K224" s="17" t="str">
        <f t="array" ref="K224">iferror(XLOOKUP(A224,'Download of SFDC Activation Rep'!B:B,'Download of SFDC Activation Rep'!C:C),"")</f>
        <v/>
      </c>
      <c r="L224" s="18" t="str">
        <f t="array" ref="L224">iferror(XLOOKUP(A224,'Download of SFDC Activation Rep'!B:B,'Download of SFDC Activation Rep'!S:S),"")</f>
        <v/>
      </c>
      <c r="M224" s="24" t="str">
        <f t="array" ref="M224">iferror(XLOOKUP(A224,'Download of SFDC Activation Rep'!B:B,'Download of SFDC Activation Rep'!Z:Z)+150,"")</f>
        <v/>
      </c>
      <c r="N224" s="24" t="str">
        <f t="array" ref="N224">iferror(XLOOKUP(A224,'Download of SFDC Activation Rep'!B:B,'Download of SFDC Activation Rep'!Y:Y),"")</f>
        <v/>
      </c>
    </row>
    <row r="225">
      <c r="B225" s="14"/>
      <c r="C225" s="14"/>
      <c r="D225" s="14"/>
      <c r="E225" s="15"/>
      <c r="F225" s="14"/>
      <c r="G225" s="13" t="str">
        <f t="array" ref="G225">iferror(XLOOKUP(A225,'Download of SFDC Activation Rep'!B:B,'Download of SFDC Activation Rep'!H:H),"")</f>
        <v/>
      </c>
      <c r="H225" s="13" t="str">
        <f t="array" ref="H225">iferror(xlookup(A225,'Download of SFDC Activation Rep'!B:B,'Download of SFDC Activation Rep'!L:L),"")</f>
        <v/>
      </c>
      <c r="I225" s="17" t="str">
        <f t="shared" si="1"/>
        <v>Not Active</v>
      </c>
      <c r="J225" s="17" t="str">
        <f t="array" ref="J225">iferror(XLOOKUP(A225,'Download of SFDC Activation Rep'!B:B,'Download of SFDC Activation Rep'!X:X),"")</f>
        <v/>
      </c>
      <c r="K225" s="17" t="str">
        <f t="array" ref="K225">iferror(XLOOKUP(A225,'Download of SFDC Activation Rep'!B:B,'Download of SFDC Activation Rep'!C:C),"")</f>
        <v/>
      </c>
      <c r="L225" s="18" t="str">
        <f t="array" ref="L225">iferror(XLOOKUP(A225,'Download of SFDC Activation Rep'!B:B,'Download of SFDC Activation Rep'!S:S),"")</f>
        <v/>
      </c>
      <c r="M225" s="24" t="str">
        <f t="array" ref="M225">iferror(XLOOKUP(A225,'Download of SFDC Activation Rep'!B:B,'Download of SFDC Activation Rep'!Z:Z)+150,"")</f>
        <v/>
      </c>
      <c r="N225" s="24" t="str">
        <f t="array" ref="N225">iferror(XLOOKUP(A225,'Download of SFDC Activation Rep'!B:B,'Download of SFDC Activation Rep'!Y:Y),"")</f>
        <v/>
      </c>
    </row>
    <row r="226">
      <c r="B226" s="14"/>
      <c r="C226" s="14"/>
      <c r="D226" s="14"/>
      <c r="E226" s="15"/>
      <c r="F226" s="14"/>
      <c r="G226" s="13" t="str">
        <f t="array" ref="G226">iferror(XLOOKUP(A226,'Download of SFDC Activation Rep'!B:B,'Download of SFDC Activation Rep'!H:H),"")</f>
        <v/>
      </c>
      <c r="H226" s="13" t="str">
        <f t="array" ref="H226">iferror(xlookup(A226,'Download of SFDC Activation Rep'!B:B,'Download of SFDC Activation Rep'!L:L),"")</f>
        <v/>
      </c>
      <c r="I226" s="17" t="str">
        <f t="shared" si="1"/>
        <v>Not Active</v>
      </c>
      <c r="J226" s="17" t="str">
        <f t="array" ref="J226">iferror(XLOOKUP(A226,'Download of SFDC Activation Rep'!B:B,'Download of SFDC Activation Rep'!X:X),"")</f>
        <v/>
      </c>
      <c r="K226" s="17" t="str">
        <f t="array" ref="K226">iferror(XLOOKUP(A226,'Download of SFDC Activation Rep'!B:B,'Download of SFDC Activation Rep'!C:C),"")</f>
        <v/>
      </c>
      <c r="L226" s="18" t="str">
        <f t="array" ref="L226">iferror(XLOOKUP(A226,'Download of SFDC Activation Rep'!B:B,'Download of SFDC Activation Rep'!S:S),"")</f>
        <v/>
      </c>
      <c r="M226" s="24" t="str">
        <f t="array" ref="M226">iferror(XLOOKUP(A226,'Download of SFDC Activation Rep'!B:B,'Download of SFDC Activation Rep'!Z:Z)+150,"")</f>
        <v/>
      </c>
      <c r="N226" s="24" t="str">
        <f t="array" ref="N226">iferror(XLOOKUP(A226,'Download of SFDC Activation Rep'!B:B,'Download of SFDC Activation Rep'!Y:Y),"")</f>
        <v/>
      </c>
    </row>
    <row r="227">
      <c r="B227" s="14"/>
      <c r="C227" s="14"/>
      <c r="D227" s="14"/>
      <c r="E227" s="15"/>
      <c r="F227" s="14"/>
      <c r="G227" s="13" t="str">
        <f t="array" ref="G227">iferror(XLOOKUP(A227,'Download of SFDC Activation Rep'!B:B,'Download of SFDC Activation Rep'!H:H),"")</f>
        <v/>
      </c>
      <c r="H227" s="13" t="str">
        <f t="array" ref="H227">iferror(xlookup(A227,'Download of SFDC Activation Rep'!B:B,'Download of SFDC Activation Rep'!L:L),"")</f>
        <v/>
      </c>
      <c r="I227" s="17" t="str">
        <f t="shared" si="1"/>
        <v>Not Active</v>
      </c>
      <c r="J227" s="17" t="str">
        <f t="array" ref="J227">iferror(XLOOKUP(A227,'Download of SFDC Activation Rep'!B:B,'Download of SFDC Activation Rep'!X:X),"")</f>
        <v/>
      </c>
      <c r="K227" s="17" t="str">
        <f t="array" ref="K227">iferror(XLOOKUP(A227,'Download of SFDC Activation Rep'!B:B,'Download of SFDC Activation Rep'!C:C),"")</f>
        <v/>
      </c>
      <c r="L227" s="18" t="str">
        <f t="array" ref="L227">iferror(XLOOKUP(A227,'Download of SFDC Activation Rep'!B:B,'Download of SFDC Activation Rep'!S:S),"")</f>
        <v/>
      </c>
      <c r="M227" s="24" t="str">
        <f t="array" ref="M227">iferror(XLOOKUP(A227,'Download of SFDC Activation Rep'!B:B,'Download of SFDC Activation Rep'!Z:Z)+150,"")</f>
        <v/>
      </c>
      <c r="N227" s="24" t="str">
        <f t="array" ref="N227">iferror(XLOOKUP(A227,'Download of SFDC Activation Rep'!B:B,'Download of SFDC Activation Rep'!Y:Y),"")</f>
        <v/>
      </c>
    </row>
    <row r="228">
      <c r="B228" s="14"/>
      <c r="C228" s="14"/>
      <c r="D228" s="14"/>
      <c r="E228" s="15"/>
      <c r="F228" s="14"/>
      <c r="G228" s="13" t="str">
        <f t="array" ref="G228">iferror(XLOOKUP(A228,'Download of SFDC Activation Rep'!B:B,'Download of SFDC Activation Rep'!H:H),"")</f>
        <v/>
      </c>
      <c r="H228" s="13" t="str">
        <f t="array" ref="H228">iferror(xlookup(A228,'Download of SFDC Activation Rep'!B:B,'Download of SFDC Activation Rep'!L:L),"")</f>
        <v/>
      </c>
      <c r="I228" s="17" t="str">
        <f t="shared" si="1"/>
        <v>Not Active</v>
      </c>
      <c r="J228" s="17" t="str">
        <f t="array" ref="J228">iferror(XLOOKUP(A228,'Download of SFDC Activation Rep'!B:B,'Download of SFDC Activation Rep'!X:X),"")</f>
        <v/>
      </c>
      <c r="K228" s="17" t="str">
        <f t="array" ref="K228">iferror(XLOOKUP(A228,'Download of SFDC Activation Rep'!B:B,'Download of SFDC Activation Rep'!C:C),"")</f>
        <v/>
      </c>
      <c r="L228" s="18" t="str">
        <f t="array" ref="L228">iferror(XLOOKUP(A228,'Download of SFDC Activation Rep'!B:B,'Download of SFDC Activation Rep'!S:S),"")</f>
        <v/>
      </c>
      <c r="M228" s="24" t="str">
        <f t="array" ref="M228">iferror(XLOOKUP(A228,'Download of SFDC Activation Rep'!B:B,'Download of SFDC Activation Rep'!Z:Z)+150,"")</f>
        <v/>
      </c>
      <c r="N228" s="24" t="str">
        <f t="array" ref="N228">iferror(XLOOKUP(A228,'Download of SFDC Activation Rep'!B:B,'Download of SFDC Activation Rep'!Y:Y),"")</f>
        <v/>
      </c>
    </row>
    <row r="229">
      <c r="B229" s="14"/>
      <c r="C229" s="14"/>
      <c r="D229" s="14"/>
      <c r="E229" s="15"/>
      <c r="F229" s="14"/>
      <c r="G229" s="13" t="str">
        <f t="array" ref="G229">iferror(XLOOKUP(A229,'Download of SFDC Activation Rep'!B:B,'Download of SFDC Activation Rep'!H:H),"")</f>
        <v/>
      </c>
      <c r="H229" s="13" t="str">
        <f t="array" ref="H229">iferror(xlookup(A229,'Download of SFDC Activation Rep'!B:B,'Download of SFDC Activation Rep'!L:L),"")</f>
        <v/>
      </c>
      <c r="I229" s="17" t="str">
        <f t="shared" si="1"/>
        <v>Not Active</v>
      </c>
      <c r="J229" s="17" t="str">
        <f t="array" ref="J229">iferror(XLOOKUP(A229,'Download of SFDC Activation Rep'!B:B,'Download of SFDC Activation Rep'!X:X),"")</f>
        <v/>
      </c>
      <c r="K229" s="17" t="str">
        <f t="array" ref="K229">iferror(XLOOKUP(A229,'Download of SFDC Activation Rep'!B:B,'Download of SFDC Activation Rep'!C:C),"")</f>
        <v/>
      </c>
      <c r="L229" s="18" t="str">
        <f t="array" ref="L229">iferror(XLOOKUP(A229,'Download of SFDC Activation Rep'!B:B,'Download of SFDC Activation Rep'!S:S),"")</f>
        <v/>
      </c>
      <c r="M229" s="24" t="str">
        <f t="array" ref="M229">iferror(XLOOKUP(A229,'Download of SFDC Activation Rep'!B:B,'Download of SFDC Activation Rep'!Z:Z)+150,"")</f>
        <v/>
      </c>
      <c r="N229" s="24" t="str">
        <f t="array" ref="N229">iferror(XLOOKUP(A229,'Download of SFDC Activation Rep'!B:B,'Download of SFDC Activation Rep'!Y:Y),"")</f>
        <v/>
      </c>
    </row>
    <row r="230">
      <c r="B230" s="14"/>
      <c r="C230" s="14"/>
      <c r="D230" s="14"/>
      <c r="E230" s="15"/>
      <c r="F230" s="14"/>
      <c r="G230" s="13" t="str">
        <f t="array" ref="G230">iferror(XLOOKUP(A230,'Download of SFDC Activation Rep'!B:B,'Download of SFDC Activation Rep'!H:H),"")</f>
        <v/>
      </c>
      <c r="H230" s="13" t="str">
        <f t="array" ref="H230">iferror(xlookup(A230,'Download of SFDC Activation Rep'!B:B,'Download of SFDC Activation Rep'!L:L),"")</f>
        <v/>
      </c>
      <c r="I230" s="17" t="str">
        <f t="shared" si="1"/>
        <v>Not Active</v>
      </c>
      <c r="J230" s="17" t="str">
        <f t="array" ref="J230">iferror(XLOOKUP(A230,'Download of SFDC Activation Rep'!B:B,'Download of SFDC Activation Rep'!X:X),"")</f>
        <v/>
      </c>
      <c r="K230" s="17" t="str">
        <f t="array" ref="K230">iferror(XLOOKUP(A230,'Download of SFDC Activation Rep'!B:B,'Download of SFDC Activation Rep'!C:C),"")</f>
        <v/>
      </c>
      <c r="L230" s="18" t="str">
        <f t="array" ref="L230">iferror(XLOOKUP(A230,'Download of SFDC Activation Rep'!B:B,'Download of SFDC Activation Rep'!S:S),"")</f>
        <v/>
      </c>
      <c r="M230" s="24" t="str">
        <f t="array" ref="M230">iferror(XLOOKUP(A230,'Download of SFDC Activation Rep'!B:B,'Download of SFDC Activation Rep'!Z:Z)+150,"")</f>
        <v/>
      </c>
      <c r="N230" s="24" t="str">
        <f t="array" ref="N230">iferror(XLOOKUP(A230,'Download of SFDC Activation Rep'!B:B,'Download of SFDC Activation Rep'!Y:Y),"")</f>
        <v/>
      </c>
    </row>
    <row r="231">
      <c r="B231" s="14"/>
      <c r="C231" s="14"/>
      <c r="D231" s="14"/>
      <c r="E231" s="15"/>
      <c r="F231" s="14"/>
      <c r="G231" s="13" t="str">
        <f t="array" ref="G231">iferror(XLOOKUP(A231,'Download of SFDC Activation Rep'!B:B,'Download of SFDC Activation Rep'!H:H),"")</f>
        <v/>
      </c>
      <c r="H231" s="13" t="str">
        <f t="array" ref="H231">iferror(xlookup(A231,'Download of SFDC Activation Rep'!B:B,'Download of SFDC Activation Rep'!L:L),"")</f>
        <v/>
      </c>
      <c r="I231" s="17" t="str">
        <f t="shared" si="1"/>
        <v>Not Active</v>
      </c>
      <c r="J231" s="17" t="str">
        <f t="array" ref="J231">iferror(XLOOKUP(A231,'Download of SFDC Activation Rep'!B:B,'Download of SFDC Activation Rep'!X:X),"")</f>
        <v/>
      </c>
      <c r="K231" s="17" t="str">
        <f t="array" ref="K231">iferror(XLOOKUP(A231,'Download of SFDC Activation Rep'!B:B,'Download of SFDC Activation Rep'!C:C),"")</f>
        <v/>
      </c>
      <c r="L231" s="18" t="str">
        <f t="array" ref="L231">iferror(XLOOKUP(A231,'Download of SFDC Activation Rep'!B:B,'Download of SFDC Activation Rep'!S:S),"")</f>
        <v/>
      </c>
      <c r="M231" s="24" t="str">
        <f t="array" ref="M231">iferror(XLOOKUP(A231,'Download of SFDC Activation Rep'!B:B,'Download of SFDC Activation Rep'!Z:Z)+150,"")</f>
        <v/>
      </c>
      <c r="N231" s="24" t="str">
        <f t="array" ref="N231">iferror(XLOOKUP(A231,'Download of SFDC Activation Rep'!B:B,'Download of SFDC Activation Rep'!Y:Y),"")</f>
        <v/>
      </c>
    </row>
    <row r="232">
      <c r="B232" s="14"/>
      <c r="C232" s="14"/>
      <c r="D232" s="14"/>
      <c r="E232" s="15"/>
      <c r="F232" s="14"/>
      <c r="G232" s="13" t="str">
        <f t="array" ref="G232">iferror(XLOOKUP(A232,'Download of SFDC Activation Rep'!B:B,'Download of SFDC Activation Rep'!H:H),"")</f>
        <v/>
      </c>
      <c r="H232" s="13" t="str">
        <f t="array" ref="H232">iferror(xlookup(A232,'Download of SFDC Activation Rep'!B:B,'Download of SFDC Activation Rep'!L:L),"")</f>
        <v/>
      </c>
      <c r="I232" s="17" t="str">
        <f t="shared" si="1"/>
        <v>Not Active</v>
      </c>
      <c r="J232" s="17" t="str">
        <f t="array" ref="J232">iferror(XLOOKUP(A232,'Download of SFDC Activation Rep'!B:B,'Download of SFDC Activation Rep'!X:X),"")</f>
        <v/>
      </c>
      <c r="K232" s="17" t="str">
        <f t="array" ref="K232">iferror(XLOOKUP(A232,'Download of SFDC Activation Rep'!B:B,'Download of SFDC Activation Rep'!C:C),"")</f>
        <v/>
      </c>
      <c r="L232" s="18" t="str">
        <f t="array" ref="L232">iferror(XLOOKUP(A232,'Download of SFDC Activation Rep'!B:B,'Download of SFDC Activation Rep'!S:S),"")</f>
        <v/>
      </c>
      <c r="M232" s="24" t="str">
        <f t="array" ref="M232">iferror(XLOOKUP(A232,'Download of SFDC Activation Rep'!B:B,'Download of SFDC Activation Rep'!Z:Z)+150,"")</f>
        <v/>
      </c>
      <c r="N232" s="24" t="str">
        <f t="array" ref="N232">iferror(XLOOKUP(A232,'Download of SFDC Activation Rep'!B:B,'Download of SFDC Activation Rep'!Y:Y),"")</f>
        <v/>
      </c>
    </row>
    <row r="233">
      <c r="B233" s="14"/>
      <c r="C233" s="14"/>
      <c r="D233" s="14"/>
      <c r="E233" s="15"/>
      <c r="F233" s="14"/>
      <c r="G233" s="13" t="str">
        <f t="array" ref="G233">iferror(XLOOKUP(A233,'Download of SFDC Activation Rep'!B:B,'Download of SFDC Activation Rep'!H:H),"")</f>
        <v/>
      </c>
      <c r="H233" s="13" t="str">
        <f t="array" ref="H233">iferror(xlookup(A233,'Download of SFDC Activation Rep'!B:B,'Download of SFDC Activation Rep'!L:L),"")</f>
        <v/>
      </c>
      <c r="I233" s="17" t="str">
        <f t="shared" si="1"/>
        <v>Not Active</v>
      </c>
      <c r="J233" s="17" t="str">
        <f t="array" ref="J233">iferror(XLOOKUP(A233,'Download of SFDC Activation Rep'!B:B,'Download of SFDC Activation Rep'!X:X),"")</f>
        <v/>
      </c>
      <c r="K233" s="17" t="str">
        <f t="array" ref="K233">iferror(XLOOKUP(A233,'Download of SFDC Activation Rep'!B:B,'Download of SFDC Activation Rep'!C:C),"")</f>
        <v/>
      </c>
      <c r="L233" s="18" t="str">
        <f t="array" ref="L233">iferror(XLOOKUP(A233,'Download of SFDC Activation Rep'!B:B,'Download of SFDC Activation Rep'!S:S),"")</f>
        <v/>
      </c>
      <c r="M233" s="24" t="str">
        <f t="array" ref="M233">iferror(XLOOKUP(A233,'Download of SFDC Activation Rep'!B:B,'Download of SFDC Activation Rep'!Z:Z)+150,"")</f>
        <v/>
      </c>
      <c r="N233" s="24" t="str">
        <f t="array" ref="N233">iferror(XLOOKUP(A233,'Download of SFDC Activation Rep'!B:B,'Download of SFDC Activation Rep'!Y:Y),"")</f>
        <v/>
      </c>
    </row>
    <row r="234">
      <c r="B234" s="14"/>
      <c r="C234" s="14"/>
      <c r="D234" s="14"/>
      <c r="E234" s="15"/>
      <c r="F234" s="14"/>
      <c r="G234" s="13" t="str">
        <f t="array" ref="G234">iferror(XLOOKUP(A234,'Download of SFDC Activation Rep'!B:B,'Download of SFDC Activation Rep'!H:H),"")</f>
        <v/>
      </c>
      <c r="H234" s="13" t="str">
        <f t="array" ref="H234">iferror(xlookup(A234,'Download of SFDC Activation Rep'!B:B,'Download of SFDC Activation Rep'!L:L),"")</f>
        <v/>
      </c>
      <c r="I234" s="17" t="str">
        <f t="shared" si="1"/>
        <v>Not Active</v>
      </c>
      <c r="J234" s="17" t="str">
        <f t="array" ref="J234">iferror(XLOOKUP(A234,'Download of SFDC Activation Rep'!B:B,'Download of SFDC Activation Rep'!X:X),"")</f>
        <v/>
      </c>
      <c r="K234" s="17" t="str">
        <f t="array" ref="K234">iferror(XLOOKUP(A234,'Download of SFDC Activation Rep'!B:B,'Download of SFDC Activation Rep'!C:C),"")</f>
        <v/>
      </c>
      <c r="L234" s="18" t="str">
        <f t="array" ref="L234">iferror(XLOOKUP(A234,'Download of SFDC Activation Rep'!B:B,'Download of SFDC Activation Rep'!S:S),"")</f>
        <v/>
      </c>
      <c r="M234" s="24" t="str">
        <f t="array" ref="M234">iferror(XLOOKUP(A234,'Download of SFDC Activation Rep'!B:B,'Download of SFDC Activation Rep'!Z:Z)+150,"")</f>
        <v/>
      </c>
      <c r="N234" s="24" t="str">
        <f t="array" ref="N234">iferror(XLOOKUP(A234,'Download of SFDC Activation Rep'!B:B,'Download of SFDC Activation Rep'!Y:Y),"")</f>
        <v/>
      </c>
    </row>
    <row r="235">
      <c r="B235" s="14"/>
      <c r="C235" s="14"/>
      <c r="D235" s="14"/>
      <c r="E235" s="15"/>
      <c r="F235" s="14"/>
      <c r="G235" s="13" t="str">
        <f t="array" ref="G235">iferror(XLOOKUP(A235,'Download of SFDC Activation Rep'!B:B,'Download of SFDC Activation Rep'!H:H),"")</f>
        <v/>
      </c>
      <c r="H235" s="13" t="str">
        <f t="array" ref="H235">iferror(xlookup(A235,'Download of SFDC Activation Rep'!B:B,'Download of SFDC Activation Rep'!L:L),"")</f>
        <v/>
      </c>
      <c r="I235" s="17" t="str">
        <f t="shared" si="1"/>
        <v>Not Active</v>
      </c>
      <c r="J235" s="17" t="str">
        <f t="array" ref="J235">iferror(XLOOKUP(A235,'Download of SFDC Activation Rep'!B:B,'Download of SFDC Activation Rep'!X:X),"")</f>
        <v/>
      </c>
      <c r="K235" s="17" t="str">
        <f t="array" ref="K235">iferror(XLOOKUP(A235,'Download of SFDC Activation Rep'!B:B,'Download of SFDC Activation Rep'!C:C),"")</f>
        <v/>
      </c>
      <c r="L235" s="18" t="str">
        <f t="array" ref="L235">iferror(XLOOKUP(A235,'Download of SFDC Activation Rep'!B:B,'Download of SFDC Activation Rep'!S:S),"")</f>
        <v/>
      </c>
      <c r="M235" s="24" t="str">
        <f t="array" ref="M235">iferror(XLOOKUP(A235,'Download of SFDC Activation Rep'!B:B,'Download of SFDC Activation Rep'!Z:Z)+150,"")</f>
        <v/>
      </c>
      <c r="N235" s="24" t="str">
        <f t="array" ref="N235">iferror(XLOOKUP(A235,'Download of SFDC Activation Rep'!B:B,'Download of SFDC Activation Rep'!Y:Y),"")</f>
        <v/>
      </c>
    </row>
    <row r="236">
      <c r="B236" s="14"/>
      <c r="C236" s="14"/>
      <c r="D236" s="14"/>
      <c r="E236" s="15"/>
      <c r="F236" s="14"/>
      <c r="G236" s="13" t="str">
        <f t="array" ref="G236">iferror(XLOOKUP(A236,'Download of SFDC Activation Rep'!B:B,'Download of SFDC Activation Rep'!H:H),"")</f>
        <v/>
      </c>
      <c r="H236" s="13" t="str">
        <f t="array" ref="H236">iferror(xlookup(A236,'Download of SFDC Activation Rep'!B:B,'Download of SFDC Activation Rep'!L:L),"")</f>
        <v/>
      </c>
      <c r="I236" s="17" t="str">
        <f t="shared" si="1"/>
        <v>Not Active</v>
      </c>
      <c r="J236" s="17" t="str">
        <f t="array" ref="J236">iferror(XLOOKUP(A236,'Download of SFDC Activation Rep'!B:B,'Download of SFDC Activation Rep'!X:X),"")</f>
        <v/>
      </c>
      <c r="K236" s="17" t="str">
        <f t="array" ref="K236">iferror(XLOOKUP(A236,'Download of SFDC Activation Rep'!B:B,'Download of SFDC Activation Rep'!C:C),"")</f>
        <v/>
      </c>
      <c r="L236" s="18" t="str">
        <f t="array" ref="L236">iferror(XLOOKUP(A236,'Download of SFDC Activation Rep'!B:B,'Download of SFDC Activation Rep'!S:S),"")</f>
        <v/>
      </c>
      <c r="M236" s="24" t="str">
        <f t="array" ref="M236">iferror(XLOOKUP(A236,'Download of SFDC Activation Rep'!B:B,'Download of SFDC Activation Rep'!Z:Z)+150,"")</f>
        <v/>
      </c>
      <c r="N236" s="24" t="str">
        <f t="array" ref="N236">iferror(XLOOKUP(A236,'Download of SFDC Activation Rep'!B:B,'Download of SFDC Activation Rep'!Y:Y),"")</f>
        <v/>
      </c>
    </row>
    <row r="237">
      <c r="B237" s="14"/>
      <c r="C237" s="14"/>
      <c r="D237" s="14"/>
      <c r="E237" s="15"/>
      <c r="F237" s="14"/>
      <c r="G237" s="13" t="str">
        <f t="array" ref="G237">iferror(XLOOKUP(A237,'Download of SFDC Activation Rep'!B:B,'Download of SFDC Activation Rep'!H:H),"")</f>
        <v/>
      </c>
      <c r="H237" s="13" t="str">
        <f t="array" ref="H237">iferror(xlookup(A237,'Download of SFDC Activation Rep'!B:B,'Download of SFDC Activation Rep'!L:L),"")</f>
        <v/>
      </c>
      <c r="I237" s="17" t="str">
        <f t="shared" si="1"/>
        <v>Not Active</v>
      </c>
      <c r="J237" s="17" t="str">
        <f t="array" ref="J237">iferror(XLOOKUP(A237,'Download of SFDC Activation Rep'!B:B,'Download of SFDC Activation Rep'!X:X),"")</f>
        <v/>
      </c>
      <c r="K237" s="17" t="str">
        <f t="array" ref="K237">iferror(XLOOKUP(A237,'Download of SFDC Activation Rep'!B:B,'Download of SFDC Activation Rep'!C:C),"")</f>
        <v/>
      </c>
      <c r="L237" s="18" t="str">
        <f t="array" ref="L237">iferror(XLOOKUP(A237,'Download of SFDC Activation Rep'!B:B,'Download of SFDC Activation Rep'!S:S),"")</f>
        <v/>
      </c>
      <c r="M237" s="24" t="str">
        <f t="array" ref="M237">iferror(XLOOKUP(A237,'Download of SFDC Activation Rep'!B:B,'Download of SFDC Activation Rep'!Z:Z)+150,"")</f>
        <v/>
      </c>
      <c r="N237" s="24" t="str">
        <f t="array" ref="N237">iferror(XLOOKUP(A237,'Download of SFDC Activation Rep'!B:B,'Download of SFDC Activation Rep'!Y:Y),"")</f>
        <v/>
      </c>
    </row>
    <row r="238">
      <c r="B238" s="14"/>
      <c r="C238" s="14"/>
      <c r="D238" s="14"/>
      <c r="E238" s="15"/>
      <c r="F238" s="14"/>
      <c r="G238" s="13" t="str">
        <f t="array" ref="G238">iferror(XLOOKUP(A238,'Download of SFDC Activation Rep'!B:B,'Download of SFDC Activation Rep'!H:H),"")</f>
        <v/>
      </c>
      <c r="H238" s="13" t="str">
        <f t="array" ref="H238">iferror(xlookup(A238,'Download of SFDC Activation Rep'!B:B,'Download of SFDC Activation Rep'!L:L),"")</f>
        <v/>
      </c>
      <c r="I238" s="17" t="str">
        <f t="shared" si="1"/>
        <v>Not Active</v>
      </c>
      <c r="J238" s="17" t="str">
        <f t="array" ref="J238">iferror(XLOOKUP(A238,'Download of SFDC Activation Rep'!B:B,'Download of SFDC Activation Rep'!X:X),"")</f>
        <v/>
      </c>
      <c r="K238" s="17" t="str">
        <f t="array" ref="K238">iferror(XLOOKUP(A238,'Download of SFDC Activation Rep'!B:B,'Download of SFDC Activation Rep'!C:C),"")</f>
        <v/>
      </c>
      <c r="L238" s="18" t="str">
        <f t="array" ref="L238">iferror(XLOOKUP(A238,'Download of SFDC Activation Rep'!B:B,'Download of SFDC Activation Rep'!S:S),"")</f>
        <v/>
      </c>
      <c r="M238" s="24" t="str">
        <f t="array" ref="M238">iferror(XLOOKUP(A238,'Download of SFDC Activation Rep'!B:B,'Download of SFDC Activation Rep'!Z:Z)+150,"")</f>
        <v/>
      </c>
      <c r="N238" s="24" t="str">
        <f t="array" ref="N238">iferror(XLOOKUP(A238,'Download of SFDC Activation Rep'!B:B,'Download of SFDC Activation Rep'!Y:Y),"")</f>
        <v/>
      </c>
    </row>
    <row r="239">
      <c r="B239" s="14"/>
      <c r="C239" s="14"/>
      <c r="D239" s="14"/>
      <c r="E239" s="15"/>
      <c r="F239" s="14"/>
      <c r="G239" s="13" t="str">
        <f t="array" ref="G239">iferror(XLOOKUP(A239,'Download of SFDC Activation Rep'!B:B,'Download of SFDC Activation Rep'!H:H),"")</f>
        <v/>
      </c>
      <c r="H239" s="13" t="str">
        <f t="array" ref="H239">iferror(xlookup(A239,'Download of SFDC Activation Rep'!B:B,'Download of SFDC Activation Rep'!L:L),"")</f>
        <v/>
      </c>
      <c r="I239" s="17" t="str">
        <f t="shared" si="1"/>
        <v>Not Active</v>
      </c>
      <c r="J239" s="17" t="str">
        <f t="array" ref="J239">iferror(XLOOKUP(A239,'Download of SFDC Activation Rep'!B:B,'Download of SFDC Activation Rep'!X:X),"")</f>
        <v/>
      </c>
      <c r="K239" s="17" t="str">
        <f t="array" ref="K239">iferror(XLOOKUP(A239,'Download of SFDC Activation Rep'!B:B,'Download of SFDC Activation Rep'!C:C),"")</f>
        <v/>
      </c>
      <c r="L239" s="18" t="str">
        <f t="array" ref="L239">iferror(XLOOKUP(A239,'Download of SFDC Activation Rep'!B:B,'Download of SFDC Activation Rep'!S:S),"")</f>
        <v/>
      </c>
      <c r="M239" s="24" t="str">
        <f t="array" ref="M239">iferror(XLOOKUP(A239,'Download of SFDC Activation Rep'!B:B,'Download of SFDC Activation Rep'!Z:Z)+150,"")</f>
        <v/>
      </c>
      <c r="N239" s="24" t="str">
        <f t="array" ref="N239">iferror(XLOOKUP(A239,'Download of SFDC Activation Rep'!B:B,'Download of SFDC Activation Rep'!Y:Y),"")</f>
        <v/>
      </c>
    </row>
    <row r="240">
      <c r="B240" s="14"/>
      <c r="C240" s="14"/>
      <c r="D240" s="14"/>
      <c r="E240" s="15"/>
      <c r="F240" s="14"/>
      <c r="G240" s="13" t="str">
        <f t="array" ref="G240">iferror(XLOOKUP(A240,'Download of SFDC Activation Rep'!B:B,'Download of SFDC Activation Rep'!H:H),"")</f>
        <v/>
      </c>
      <c r="H240" s="13" t="str">
        <f t="array" ref="H240">iferror(xlookup(A240,'Download of SFDC Activation Rep'!B:B,'Download of SFDC Activation Rep'!L:L),"")</f>
        <v/>
      </c>
      <c r="I240" s="17" t="str">
        <f t="shared" si="1"/>
        <v>Not Active</v>
      </c>
      <c r="J240" s="17" t="str">
        <f t="array" ref="J240">iferror(XLOOKUP(A240,'Download of SFDC Activation Rep'!B:B,'Download of SFDC Activation Rep'!X:X),"")</f>
        <v/>
      </c>
      <c r="K240" s="17" t="str">
        <f t="array" ref="K240">iferror(XLOOKUP(A240,'Download of SFDC Activation Rep'!B:B,'Download of SFDC Activation Rep'!C:C),"")</f>
        <v/>
      </c>
      <c r="L240" s="18" t="str">
        <f t="array" ref="L240">iferror(XLOOKUP(A240,'Download of SFDC Activation Rep'!B:B,'Download of SFDC Activation Rep'!S:S),"")</f>
        <v/>
      </c>
      <c r="M240" s="24" t="str">
        <f t="array" ref="M240">iferror(XLOOKUP(A240,'Download of SFDC Activation Rep'!B:B,'Download of SFDC Activation Rep'!Z:Z)+150,"")</f>
        <v/>
      </c>
      <c r="N240" s="24" t="str">
        <f t="array" ref="N240">iferror(XLOOKUP(A240,'Download of SFDC Activation Rep'!B:B,'Download of SFDC Activation Rep'!Y:Y),"")</f>
        <v/>
      </c>
    </row>
    <row r="241">
      <c r="B241" s="14"/>
      <c r="C241" s="14"/>
      <c r="D241" s="14"/>
      <c r="E241" s="15"/>
      <c r="F241" s="14"/>
      <c r="G241" s="13" t="str">
        <f t="array" ref="G241">iferror(XLOOKUP(A241,'Download of SFDC Activation Rep'!B:B,'Download of SFDC Activation Rep'!H:H),"")</f>
        <v/>
      </c>
      <c r="H241" s="13" t="str">
        <f t="array" ref="H241">iferror(xlookup(A241,'Download of SFDC Activation Rep'!B:B,'Download of SFDC Activation Rep'!L:L),"")</f>
        <v/>
      </c>
      <c r="I241" s="17" t="str">
        <f t="shared" si="1"/>
        <v>Not Active</v>
      </c>
      <c r="J241" s="17" t="str">
        <f t="array" ref="J241">iferror(XLOOKUP(A241,'Download of SFDC Activation Rep'!B:B,'Download of SFDC Activation Rep'!X:X),"")</f>
        <v/>
      </c>
      <c r="K241" s="17" t="str">
        <f t="array" ref="K241">iferror(XLOOKUP(A241,'Download of SFDC Activation Rep'!B:B,'Download of SFDC Activation Rep'!C:C),"")</f>
        <v/>
      </c>
      <c r="L241" s="18" t="str">
        <f t="array" ref="L241">iferror(XLOOKUP(A241,'Download of SFDC Activation Rep'!B:B,'Download of SFDC Activation Rep'!S:S),"")</f>
        <v/>
      </c>
      <c r="M241" s="24" t="str">
        <f t="array" ref="M241">iferror(XLOOKUP(A241,'Download of SFDC Activation Rep'!B:B,'Download of SFDC Activation Rep'!Z:Z)+150,"")</f>
        <v/>
      </c>
      <c r="N241" s="24" t="str">
        <f t="array" ref="N241">iferror(XLOOKUP(A241,'Download of SFDC Activation Rep'!B:B,'Download of SFDC Activation Rep'!Y:Y),"")</f>
        <v/>
      </c>
    </row>
    <row r="242">
      <c r="B242" s="14"/>
      <c r="C242" s="14"/>
      <c r="D242" s="14"/>
      <c r="E242" s="15"/>
      <c r="F242" s="14"/>
      <c r="G242" s="13" t="str">
        <f t="array" ref="G242">iferror(XLOOKUP(A242,'Download of SFDC Activation Rep'!B:B,'Download of SFDC Activation Rep'!H:H),"")</f>
        <v/>
      </c>
      <c r="H242" s="13" t="str">
        <f t="array" ref="H242">iferror(xlookup(A242,'Download of SFDC Activation Rep'!B:B,'Download of SFDC Activation Rep'!L:L),"")</f>
        <v/>
      </c>
      <c r="I242" s="17" t="str">
        <f t="shared" si="1"/>
        <v>Not Active</v>
      </c>
      <c r="J242" s="17" t="str">
        <f t="array" ref="J242">iferror(XLOOKUP(A242,'Download of SFDC Activation Rep'!B:B,'Download of SFDC Activation Rep'!X:X),"")</f>
        <v/>
      </c>
      <c r="K242" s="17" t="str">
        <f t="array" ref="K242">iferror(XLOOKUP(A242,'Download of SFDC Activation Rep'!B:B,'Download of SFDC Activation Rep'!C:C),"")</f>
        <v/>
      </c>
      <c r="L242" s="18" t="str">
        <f t="array" ref="L242">iferror(XLOOKUP(A242,'Download of SFDC Activation Rep'!B:B,'Download of SFDC Activation Rep'!S:S),"")</f>
        <v/>
      </c>
      <c r="M242" s="24" t="str">
        <f t="array" ref="M242">iferror(XLOOKUP(A242,'Download of SFDC Activation Rep'!B:B,'Download of SFDC Activation Rep'!Z:Z)+150,"")</f>
        <v/>
      </c>
      <c r="N242" s="24" t="str">
        <f t="array" ref="N242">iferror(XLOOKUP(A242,'Download of SFDC Activation Rep'!B:B,'Download of SFDC Activation Rep'!Y:Y),"")</f>
        <v/>
      </c>
    </row>
    <row r="243">
      <c r="B243" s="14"/>
      <c r="C243" s="14"/>
      <c r="D243" s="14"/>
      <c r="E243" s="15"/>
      <c r="F243" s="14"/>
      <c r="G243" s="13" t="str">
        <f t="array" ref="G243">iferror(XLOOKUP(A243,'Download of SFDC Activation Rep'!B:B,'Download of SFDC Activation Rep'!H:H),"")</f>
        <v/>
      </c>
      <c r="H243" s="13" t="str">
        <f t="array" ref="H243">iferror(xlookup(A243,'Download of SFDC Activation Rep'!B:B,'Download of SFDC Activation Rep'!L:L),"")</f>
        <v/>
      </c>
      <c r="I243" s="17" t="str">
        <f t="shared" si="1"/>
        <v>Not Active</v>
      </c>
      <c r="J243" s="17" t="str">
        <f t="array" ref="J243">iferror(XLOOKUP(A243,'Download of SFDC Activation Rep'!B:B,'Download of SFDC Activation Rep'!X:X),"")</f>
        <v/>
      </c>
      <c r="K243" s="17" t="str">
        <f t="array" ref="K243">iferror(XLOOKUP(A243,'Download of SFDC Activation Rep'!B:B,'Download of SFDC Activation Rep'!C:C),"")</f>
        <v/>
      </c>
      <c r="L243" s="18" t="str">
        <f t="array" ref="L243">iferror(XLOOKUP(A243,'Download of SFDC Activation Rep'!B:B,'Download of SFDC Activation Rep'!S:S),"")</f>
        <v/>
      </c>
      <c r="M243" s="24" t="str">
        <f t="array" ref="M243">iferror(XLOOKUP(A243,'Download of SFDC Activation Rep'!B:B,'Download of SFDC Activation Rep'!Z:Z)+150,"")</f>
        <v/>
      </c>
      <c r="N243" s="24" t="str">
        <f t="array" ref="N243">iferror(XLOOKUP(A243,'Download of SFDC Activation Rep'!B:B,'Download of SFDC Activation Rep'!Y:Y),"")</f>
        <v/>
      </c>
    </row>
    <row r="244">
      <c r="B244" s="14"/>
      <c r="C244" s="14"/>
      <c r="D244" s="14"/>
      <c r="E244" s="15"/>
      <c r="F244" s="14"/>
      <c r="G244" s="13" t="str">
        <f t="array" ref="G244">iferror(XLOOKUP(A244,'Download of SFDC Activation Rep'!B:B,'Download of SFDC Activation Rep'!H:H),"")</f>
        <v/>
      </c>
      <c r="H244" s="13" t="str">
        <f t="array" ref="H244">iferror(xlookup(A244,'Download of SFDC Activation Rep'!B:B,'Download of SFDC Activation Rep'!L:L),"")</f>
        <v/>
      </c>
      <c r="I244" s="17" t="str">
        <f t="shared" si="1"/>
        <v>Not Active</v>
      </c>
      <c r="J244" s="17" t="str">
        <f t="array" ref="J244">iferror(XLOOKUP(A244,'Download of SFDC Activation Rep'!B:B,'Download of SFDC Activation Rep'!X:X),"")</f>
        <v/>
      </c>
      <c r="K244" s="17" t="str">
        <f t="array" ref="K244">iferror(XLOOKUP(A244,'Download of SFDC Activation Rep'!B:B,'Download of SFDC Activation Rep'!C:C),"")</f>
        <v/>
      </c>
      <c r="L244" s="18" t="str">
        <f t="array" ref="L244">iferror(XLOOKUP(A244,'Download of SFDC Activation Rep'!B:B,'Download of SFDC Activation Rep'!S:S),"")</f>
        <v/>
      </c>
      <c r="M244" s="24" t="str">
        <f t="array" ref="M244">iferror(XLOOKUP(A244,'Download of SFDC Activation Rep'!B:B,'Download of SFDC Activation Rep'!Z:Z)+150,"")</f>
        <v/>
      </c>
      <c r="N244" s="24" t="str">
        <f t="array" ref="N244">iferror(XLOOKUP(A244,'Download of SFDC Activation Rep'!B:B,'Download of SFDC Activation Rep'!Y:Y),"")</f>
        <v/>
      </c>
    </row>
    <row r="245">
      <c r="B245" s="14"/>
      <c r="C245" s="14"/>
      <c r="D245" s="14"/>
      <c r="E245" s="15"/>
      <c r="F245" s="14"/>
      <c r="G245" s="13" t="str">
        <f t="array" ref="G245">iferror(XLOOKUP(A245,'Download of SFDC Activation Rep'!B:B,'Download of SFDC Activation Rep'!H:H),"")</f>
        <v/>
      </c>
      <c r="H245" s="13" t="str">
        <f t="array" ref="H245">iferror(xlookup(A245,'Download of SFDC Activation Rep'!B:B,'Download of SFDC Activation Rep'!L:L),"")</f>
        <v/>
      </c>
      <c r="I245" s="17" t="str">
        <f t="shared" si="1"/>
        <v>Not Active</v>
      </c>
      <c r="J245" s="17" t="str">
        <f t="array" ref="J245">iferror(XLOOKUP(A245,'Download of SFDC Activation Rep'!B:B,'Download of SFDC Activation Rep'!X:X),"")</f>
        <v/>
      </c>
      <c r="K245" s="17" t="str">
        <f t="array" ref="K245">iferror(XLOOKUP(A245,'Download of SFDC Activation Rep'!B:B,'Download of SFDC Activation Rep'!C:C),"")</f>
        <v/>
      </c>
      <c r="L245" s="18" t="str">
        <f t="array" ref="L245">iferror(XLOOKUP(A245,'Download of SFDC Activation Rep'!B:B,'Download of SFDC Activation Rep'!S:S),"")</f>
        <v/>
      </c>
      <c r="M245" s="24" t="str">
        <f t="array" ref="M245">iferror(XLOOKUP(A245,'Download of SFDC Activation Rep'!B:B,'Download of SFDC Activation Rep'!Z:Z)+150,"")</f>
        <v/>
      </c>
      <c r="N245" s="24" t="str">
        <f t="array" ref="N245">iferror(XLOOKUP(A245,'Download of SFDC Activation Rep'!B:B,'Download of SFDC Activation Rep'!Y:Y),"")</f>
        <v/>
      </c>
    </row>
    <row r="246">
      <c r="B246" s="14"/>
      <c r="C246" s="14"/>
      <c r="D246" s="14"/>
      <c r="E246" s="15"/>
      <c r="F246" s="14"/>
      <c r="G246" s="13" t="str">
        <f t="array" ref="G246">iferror(XLOOKUP(A246,'Download of SFDC Activation Rep'!B:B,'Download of SFDC Activation Rep'!H:H),"")</f>
        <v/>
      </c>
      <c r="H246" s="13" t="str">
        <f t="array" ref="H246">iferror(xlookup(A246,'Download of SFDC Activation Rep'!B:B,'Download of SFDC Activation Rep'!L:L),"")</f>
        <v/>
      </c>
      <c r="I246" s="17" t="str">
        <f t="shared" si="1"/>
        <v>Not Active</v>
      </c>
      <c r="J246" s="17" t="str">
        <f t="array" ref="J246">iferror(XLOOKUP(A246,'Download of SFDC Activation Rep'!B:B,'Download of SFDC Activation Rep'!X:X),"")</f>
        <v/>
      </c>
      <c r="K246" s="17" t="str">
        <f t="array" ref="K246">iferror(XLOOKUP(A246,'Download of SFDC Activation Rep'!B:B,'Download of SFDC Activation Rep'!C:C),"")</f>
        <v/>
      </c>
      <c r="L246" s="18" t="str">
        <f t="array" ref="L246">iferror(XLOOKUP(A246,'Download of SFDC Activation Rep'!B:B,'Download of SFDC Activation Rep'!S:S),"")</f>
        <v/>
      </c>
      <c r="M246" s="24" t="str">
        <f t="array" ref="M246">iferror(XLOOKUP(A246,'Download of SFDC Activation Rep'!B:B,'Download of SFDC Activation Rep'!Z:Z)+150,"")</f>
        <v/>
      </c>
      <c r="N246" s="24" t="str">
        <f t="array" ref="N246">iferror(XLOOKUP(A246,'Download of SFDC Activation Rep'!B:B,'Download of SFDC Activation Rep'!Y:Y),"")</f>
        <v/>
      </c>
    </row>
    <row r="247">
      <c r="B247" s="14"/>
      <c r="C247" s="14"/>
      <c r="D247" s="14"/>
      <c r="E247" s="15"/>
      <c r="F247" s="14"/>
      <c r="G247" s="13" t="str">
        <f t="array" ref="G247">iferror(XLOOKUP(A247,'Download of SFDC Activation Rep'!B:B,'Download of SFDC Activation Rep'!H:H),"")</f>
        <v/>
      </c>
      <c r="H247" s="13" t="str">
        <f t="array" ref="H247">iferror(xlookup(A247,'Download of SFDC Activation Rep'!B:B,'Download of SFDC Activation Rep'!L:L),"")</f>
        <v/>
      </c>
      <c r="I247" s="17" t="str">
        <f t="shared" si="1"/>
        <v>Not Active</v>
      </c>
      <c r="J247" s="17" t="str">
        <f t="array" ref="J247">iferror(XLOOKUP(A247,'Download of SFDC Activation Rep'!B:B,'Download of SFDC Activation Rep'!X:X),"")</f>
        <v/>
      </c>
      <c r="K247" s="17" t="str">
        <f t="array" ref="K247">iferror(XLOOKUP(A247,'Download of SFDC Activation Rep'!B:B,'Download of SFDC Activation Rep'!C:C),"")</f>
        <v/>
      </c>
      <c r="L247" s="18" t="str">
        <f t="array" ref="L247">iferror(XLOOKUP(A247,'Download of SFDC Activation Rep'!B:B,'Download of SFDC Activation Rep'!S:S),"")</f>
        <v/>
      </c>
      <c r="M247" s="24" t="str">
        <f t="array" ref="M247">iferror(XLOOKUP(A247,'Download of SFDC Activation Rep'!B:B,'Download of SFDC Activation Rep'!Z:Z)+150,"")</f>
        <v/>
      </c>
      <c r="N247" s="24" t="str">
        <f t="array" ref="N247">iferror(XLOOKUP(A247,'Download of SFDC Activation Rep'!B:B,'Download of SFDC Activation Rep'!Y:Y),"")</f>
        <v/>
      </c>
    </row>
    <row r="248">
      <c r="B248" s="14"/>
      <c r="C248" s="14"/>
      <c r="D248" s="14"/>
      <c r="E248" s="15"/>
      <c r="F248" s="14"/>
      <c r="G248" s="13" t="str">
        <f t="array" ref="G248">iferror(XLOOKUP(A248,'Download of SFDC Activation Rep'!B:B,'Download of SFDC Activation Rep'!H:H),"")</f>
        <v/>
      </c>
      <c r="H248" s="13" t="str">
        <f t="array" ref="H248">iferror(xlookup(A248,'Download of SFDC Activation Rep'!B:B,'Download of SFDC Activation Rep'!L:L),"")</f>
        <v/>
      </c>
      <c r="I248" s="17" t="str">
        <f t="shared" si="1"/>
        <v>Not Active</v>
      </c>
      <c r="J248" s="17" t="str">
        <f t="array" ref="J248">iferror(XLOOKUP(A248,'Download of SFDC Activation Rep'!B:B,'Download of SFDC Activation Rep'!X:X),"")</f>
        <v/>
      </c>
      <c r="K248" s="17" t="str">
        <f t="array" ref="K248">iferror(XLOOKUP(A248,'Download of SFDC Activation Rep'!B:B,'Download of SFDC Activation Rep'!C:C),"")</f>
        <v/>
      </c>
      <c r="L248" s="18" t="str">
        <f t="array" ref="L248">iferror(XLOOKUP(A248,'Download of SFDC Activation Rep'!B:B,'Download of SFDC Activation Rep'!S:S),"")</f>
        <v/>
      </c>
      <c r="M248" s="24" t="str">
        <f t="array" ref="M248">iferror(XLOOKUP(A248,'Download of SFDC Activation Rep'!B:B,'Download of SFDC Activation Rep'!Z:Z)+150,"")</f>
        <v/>
      </c>
      <c r="N248" s="24" t="str">
        <f t="array" ref="N248">iferror(XLOOKUP(A248,'Download of SFDC Activation Rep'!B:B,'Download of SFDC Activation Rep'!Y:Y),"")</f>
        <v/>
      </c>
    </row>
    <row r="249">
      <c r="B249" s="14"/>
      <c r="C249" s="14"/>
      <c r="D249" s="14"/>
      <c r="E249" s="15"/>
      <c r="F249" s="14"/>
      <c r="G249" s="13" t="str">
        <f t="array" ref="G249">iferror(XLOOKUP(A249,'Download of SFDC Activation Rep'!B:B,'Download of SFDC Activation Rep'!H:H),"")</f>
        <v/>
      </c>
      <c r="H249" s="13" t="str">
        <f t="array" ref="H249">iferror(xlookup(A249,'Download of SFDC Activation Rep'!B:B,'Download of SFDC Activation Rep'!L:L),"")</f>
        <v/>
      </c>
      <c r="I249" s="17" t="str">
        <f t="shared" si="1"/>
        <v>Not Active</v>
      </c>
      <c r="J249" s="17" t="str">
        <f t="array" ref="J249">iferror(XLOOKUP(A249,'Download of SFDC Activation Rep'!B:B,'Download of SFDC Activation Rep'!X:X),"")</f>
        <v/>
      </c>
      <c r="K249" s="17" t="str">
        <f t="array" ref="K249">iferror(XLOOKUP(A249,'Download of SFDC Activation Rep'!B:B,'Download of SFDC Activation Rep'!C:C),"")</f>
        <v/>
      </c>
      <c r="L249" s="18" t="str">
        <f t="array" ref="L249">iferror(XLOOKUP(A249,'Download of SFDC Activation Rep'!B:B,'Download of SFDC Activation Rep'!S:S),"")</f>
        <v/>
      </c>
      <c r="M249" s="24" t="str">
        <f t="array" ref="M249">iferror(XLOOKUP(A249,'Download of SFDC Activation Rep'!B:B,'Download of SFDC Activation Rep'!Z:Z)+150,"")</f>
        <v/>
      </c>
      <c r="N249" s="24" t="str">
        <f t="array" ref="N249">iferror(XLOOKUP(A249,'Download of SFDC Activation Rep'!B:B,'Download of SFDC Activation Rep'!Y:Y),"")</f>
        <v/>
      </c>
    </row>
    <row r="250">
      <c r="B250" s="14"/>
      <c r="C250" s="14"/>
      <c r="D250" s="14"/>
      <c r="E250" s="15"/>
      <c r="F250" s="14"/>
      <c r="G250" s="13" t="str">
        <f t="array" ref="G250">iferror(XLOOKUP(A250,'Download of SFDC Activation Rep'!B:B,'Download of SFDC Activation Rep'!H:H),"")</f>
        <v/>
      </c>
      <c r="H250" s="13" t="str">
        <f t="array" ref="H250">iferror(xlookup(A250,'Download of SFDC Activation Rep'!B:B,'Download of SFDC Activation Rep'!L:L),"")</f>
        <v/>
      </c>
      <c r="I250" s="17" t="str">
        <f t="shared" si="1"/>
        <v>Not Active</v>
      </c>
      <c r="J250" s="17" t="str">
        <f t="array" ref="J250">iferror(XLOOKUP(A250,'Download of SFDC Activation Rep'!B:B,'Download of SFDC Activation Rep'!X:X),"")</f>
        <v/>
      </c>
      <c r="K250" s="17" t="str">
        <f t="array" ref="K250">iferror(XLOOKUP(A250,'Download of SFDC Activation Rep'!B:B,'Download of SFDC Activation Rep'!C:C),"")</f>
        <v/>
      </c>
      <c r="L250" s="18" t="str">
        <f t="array" ref="L250">iferror(XLOOKUP(A250,'Download of SFDC Activation Rep'!B:B,'Download of SFDC Activation Rep'!S:S),"")</f>
        <v/>
      </c>
      <c r="M250" s="24" t="str">
        <f t="array" ref="M250">iferror(XLOOKUP(A250,'Download of SFDC Activation Rep'!B:B,'Download of SFDC Activation Rep'!Z:Z)+150,"")</f>
        <v/>
      </c>
      <c r="N250" s="24" t="str">
        <f t="array" ref="N250">iferror(XLOOKUP(A250,'Download of SFDC Activation Rep'!B:B,'Download of SFDC Activation Rep'!Y:Y),"")</f>
        <v/>
      </c>
    </row>
    <row r="251">
      <c r="B251" s="14"/>
      <c r="C251" s="14"/>
      <c r="D251" s="14"/>
      <c r="E251" s="15"/>
      <c r="F251" s="14"/>
      <c r="G251" s="13" t="str">
        <f t="array" ref="G251">iferror(XLOOKUP(A251,'Download of SFDC Activation Rep'!B:B,'Download of SFDC Activation Rep'!H:H),"")</f>
        <v/>
      </c>
      <c r="H251" s="13" t="str">
        <f t="array" ref="H251">iferror(xlookup(A251,'Download of SFDC Activation Rep'!B:B,'Download of SFDC Activation Rep'!L:L),"")</f>
        <v/>
      </c>
      <c r="I251" s="17" t="str">
        <f t="shared" si="1"/>
        <v>Not Active</v>
      </c>
      <c r="J251" s="17" t="str">
        <f t="array" ref="J251">iferror(XLOOKUP(A251,'Download of SFDC Activation Rep'!B:B,'Download of SFDC Activation Rep'!X:X),"")</f>
        <v/>
      </c>
      <c r="K251" s="17" t="str">
        <f t="array" ref="K251">iferror(XLOOKUP(A251,'Download of SFDC Activation Rep'!B:B,'Download of SFDC Activation Rep'!C:C),"")</f>
        <v/>
      </c>
      <c r="L251" s="18" t="str">
        <f t="array" ref="L251">iferror(XLOOKUP(A251,'Download of SFDC Activation Rep'!B:B,'Download of SFDC Activation Rep'!S:S),"")</f>
        <v/>
      </c>
      <c r="M251" s="24" t="str">
        <f t="array" ref="M251">iferror(XLOOKUP(A251,'Download of SFDC Activation Rep'!B:B,'Download of SFDC Activation Rep'!Z:Z)+150,"")</f>
        <v/>
      </c>
      <c r="N251" s="24" t="str">
        <f t="array" ref="N251">iferror(XLOOKUP(A251,'Download of SFDC Activation Rep'!B:B,'Download of SFDC Activation Rep'!Y:Y),"")</f>
        <v/>
      </c>
    </row>
    <row r="252">
      <c r="B252" s="14"/>
      <c r="C252" s="14"/>
      <c r="D252" s="14"/>
      <c r="E252" s="15"/>
      <c r="F252" s="14"/>
      <c r="G252" s="13" t="str">
        <f t="array" ref="G252">iferror(XLOOKUP(A252,'Download of SFDC Activation Rep'!B:B,'Download of SFDC Activation Rep'!H:H),"")</f>
        <v/>
      </c>
      <c r="H252" s="13" t="str">
        <f t="array" ref="H252">iferror(xlookup(A252,'Download of SFDC Activation Rep'!B:B,'Download of SFDC Activation Rep'!L:L),"")</f>
        <v/>
      </c>
      <c r="I252" s="17" t="str">
        <f t="shared" si="1"/>
        <v>Not Active</v>
      </c>
      <c r="J252" s="17" t="str">
        <f t="array" ref="J252">iferror(XLOOKUP(A252,'Download of SFDC Activation Rep'!B:B,'Download of SFDC Activation Rep'!X:X),"")</f>
        <v/>
      </c>
      <c r="K252" s="17" t="str">
        <f t="array" ref="K252">iferror(XLOOKUP(A252,'Download of SFDC Activation Rep'!B:B,'Download of SFDC Activation Rep'!C:C),"")</f>
        <v/>
      </c>
      <c r="L252" s="18" t="str">
        <f t="array" ref="L252">iferror(XLOOKUP(A252,'Download of SFDC Activation Rep'!B:B,'Download of SFDC Activation Rep'!S:S),"")</f>
        <v/>
      </c>
      <c r="M252" s="24" t="str">
        <f t="array" ref="M252">iferror(XLOOKUP(A252,'Download of SFDC Activation Rep'!B:B,'Download of SFDC Activation Rep'!Z:Z)+150,"")</f>
        <v/>
      </c>
      <c r="N252" s="24" t="str">
        <f t="array" ref="N252">iferror(XLOOKUP(A252,'Download of SFDC Activation Rep'!B:B,'Download of SFDC Activation Rep'!Y:Y),"")</f>
        <v/>
      </c>
    </row>
    <row r="253">
      <c r="B253" s="14"/>
      <c r="C253" s="14"/>
      <c r="D253" s="14"/>
      <c r="E253" s="15"/>
      <c r="F253" s="14"/>
      <c r="G253" s="13" t="str">
        <f t="array" ref="G253">iferror(XLOOKUP(A253,'Download of SFDC Activation Rep'!B:B,'Download of SFDC Activation Rep'!H:H),"")</f>
        <v/>
      </c>
      <c r="H253" s="13" t="str">
        <f t="array" ref="H253">iferror(xlookup(A253,'Download of SFDC Activation Rep'!B:B,'Download of SFDC Activation Rep'!L:L),"")</f>
        <v/>
      </c>
      <c r="I253" s="17" t="str">
        <f t="shared" si="1"/>
        <v>Not Active</v>
      </c>
      <c r="J253" s="17" t="str">
        <f t="array" ref="J253">iferror(XLOOKUP(A253,'Download of SFDC Activation Rep'!B:B,'Download of SFDC Activation Rep'!X:X),"")</f>
        <v/>
      </c>
      <c r="K253" s="17" t="str">
        <f t="array" ref="K253">iferror(XLOOKUP(A253,'Download of SFDC Activation Rep'!B:B,'Download of SFDC Activation Rep'!C:C),"")</f>
        <v/>
      </c>
      <c r="L253" s="18" t="str">
        <f t="array" ref="L253">iferror(XLOOKUP(A253,'Download of SFDC Activation Rep'!B:B,'Download of SFDC Activation Rep'!S:S),"")</f>
        <v/>
      </c>
      <c r="M253" s="24" t="str">
        <f t="array" ref="M253">iferror(XLOOKUP(A253,'Download of SFDC Activation Rep'!B:B,'Download of SFDC Activation Rep'!Z:Z)+150,"")</f>
        <v/>
      </c>
      <c r="N253" s="24" t="str">
        <f t="array" ref="N253">iferror(XLOOKUP(A253,'Download of SFDC Activation Rep'!B:B,'Download of SFDC Activation Rep'!Y:Y),"")</f>
        <v/>
      </c>
    </row>
    <row r="254">
      <c r="B254" s="14"/>
      <c r="C254" s="14"/>
      <c r="D254" s="14"/>
      <c r="E254" s="15"/>
      <c r="F254" s="14"/>
      <c r="G254" s="13" t="str">
        <f t="array" ref="G254">iferror(XLOOKUP(A254,'Download of SFDC Activation Rep'!B:B,'Download of SFDC Activation Rep'!H:H),"")</f>
        <v/>
      </c>
      <c r="H254" s="13" t="str">
        <f t="array" ref="H254">iferror(xlookup(A254,'Download of SFDC Activation Rep'!B:B,'Download of SFDC Activation Rep'!L:L),"")</f>
        <v/>
      </c>
      <c r="I254" s="17" t="str">
        <f t="shared" si="1"/>
        <v>Not Active</v>
      </c>
      <c r="J254" s="17" t="str">
        <f t="array" ref="J254">iferror(XLOOKUP(A254,'Download of SFDC Activation Rep'!B:B,'Download of SFDC Activation Rep'!X:X),"")</f>
        <v/>
      </c>
      <c r="K254" s="17" t="str">
        <f t="array" ref="K254">iferror(XLOOKUP(A254,'Download of SFDC Activation Rep'!B:B,'Download of SFDC Activation Rep'!C:C),"")</f>
        <v/>
      </c>
      <c r="L254" s="18" t="str">
        <f t="array" ref="L254">iferror(XLOOKUP(A254,'Download of SFDC Activation Rep'!B:B,'Download of SFDC Activation Rep'!S:S),"")</f>
        <v/>
      </c>
      <c r="M254" s="24" t="str">
        <f t="array" ref="M254">iferror(XLOOKUP(A254,'Download of SFDC Activation Rep'!B:B,'Download of SFDC Activation Rep'!Z:Z)+150,"")</f>
        <v/>
      </c>
      <c r="N254" s="24" t="str">
        <f t="array" ref="N254">iferror(XLOOKUP(A254,'Download of SFDC Activation Rep'!B:B,'Download of SFDC Activation Rep'!Y:Y),"")</f>
        <v/>
      </c>
    </row>
    <row r="255">
      <c r="B255" s="14"/>
      <c r="C255" s="14"/>
      <c r="D255" s="14"/>
      <c r="E255" s="15"/>
      <c r="F255" s="14"/>
      <c r="G255" s="13" t="str">
        <f t="array" ref="G255">iferror(XLOOKUP(A255,'Download of SFDC Activation Rep'!B:B,'Download of SFDC Activation Rep'!H:H),"")</f>
        <v/>
      </c>
      <c r="H255" s="13" t="str">
        <f t="array" ref="H255">iferror(xlookup(A255,'Download of SFDC Activation Rep'!B:B,'Download of SFDC Activation Rep'!L:L),"")</f>
        <v/>
      </c>
      <c r="I255" s="17" t="str">
        <f t="shared" si="1"/>
        <v>Not Active</v>
      </c>
      <c r="J255" s="17" t="str">
        <f t="array" ref="J255">iferror(XLOOKUP(A255,'Download of SFDC Activation Rep'!B:B,'Download of SFDC Activation Rep'!X:X),"")</f>
        <v/>
      </c>
      <c r="K255" s="17" t="str">
        <f t="array" ref="K255">iferror(XLOOKUP(A255,'Download of SFDC Activation Rep'!B:B,'Download of SFDC Activation Rep'!C:C),"")</f>
        <v/>
      </c>
      <c r="L255" s="18" t="str">
        <f t="array" ref="L255">iferror(XLOOKUP(A255,'Download of SFDC Activation Rep'!B:B,'Download of SFDC Activation Rep'!S:S),"")</f>
        <v/>
      </c>
      <c r="M255" s="24" t="str">
        <f t="array" ref="M255">iferror(XLOOKUP(A255,'Download of SFDC Activation Rep'!B:B,'Download of SFDC Activation Rep'!Z:Z)+150,"")</f>
        <v/>
      </c>
      <c r="N255" s="24" t="str">
        <f t="array" ref="N255">iferror(XLOOKUP(A255,'Download of SFDC Activation Rep'!B:B,'Download of SFDC Activation Rep'!Y:Y),"")</f>
        <v/>
      </c>
    </row>
    <row r="256">
      <c r="B256" s="14"/>
      <c r="C256" s="14"/>
      <c r="D256" s="14"/>
      <c r="E256" s="15"/>
      <c r="F256" s="14"/>
      <c r="G256" s="13" t="str">
        <f t="array" ref="G256">iferror(XLOOKUP(A256,'Download of SFDC Activation Rep'!B:B,'Download of SFDC Activation Rep'!H:H),"")</f>
        <v/>
      </c>
      <c r="H256" s="13" t="str">
        <f t="array" ref="H256">iferror(xlookup(A256,'Download of SFDC Activation Rep'!B:B,'Download of SFDC Activation Rep'!L:L),"")</f>
        <v/>
      </c>
      <c r="I256" s="17" t="str">
        <f t="shared" si="1"/>
        <v>Not Active</v>
      </c>
      <c r="J256" s="17" t="str">
        <f t="array" ref="J256">iferror(XLOOKUP(A256,'Download of SFDC Activation Rep'!B:B,'Download of SFDC Activation Rep'!X:X),"")</f>
        <v/>
      </c>
      <c r="K256" s="17" t="str">
        <f t="array" ref="K256">iferror(XLOOKUP(A256,'Download of SFDC Activation Rep'!B:B,'Download of SFDC Activation Rep'!C:C),"")</f>
        <v/>
      </c>
      <c r="L256" s="18" t="str">
        <f t="array" ref="L256">iferror(XLOOKUP(A256,'Download of SFDC Activation Rep'!B:B,'Download of SFDC Activation Rep'!S:S),"")</f>
        <v/>
      </c>
      <c r="M256" s="24" t="str">
        <f t="array" ref="M256">iferror(XLOOKUP(A256,'Download of SFDC Activation Rep'!B:B,'Download of SFDC Activation Rep'!Z:Z)+150,"")</f>
        <v/>
      </c>
      <c r="N256" s="24" t="str">
        <f t="array" ref="N256">iferror(XLOOKUP(A256,'Download of SFDC Activation Rep'!B:B,'Download of SFDC Activation Rep'!Y:Y),"")</f>
        <v/>
      </c>
    </row>
    <row r="257">
      <c r="B257" s="14"/>
      <c r="C257" s="14"/>
      <c r="D257" s="14"/>
      <c r="E257" s="15"/>
      <c r="F257" s="14"/>
      <c r="G257" s="13" t="str">
        <f t="array" ref="G257">iferror(XLOOKUP(A257,'Download of SFDC Activation Rep'!B:B,'Download of SFDC Activation Rep'!H:H),"")</f>
        <v/>
      </c>
      <c r="H257" s="13" t="str">
        <f t="array" ref="H257">iferror(xlookup(A257,'Download of SFDC Activation Rep'!B:B,'Download of SFDC Activation Rep'!L:L),"")</f>
        <v/>
      </c>
      <c r="I257" s="17" t="str">
        <f t="shared" si="1"/>
        <v>Not Active</v>
      </c>
      <c r="J257" s="17" t="str">
        <f t="array" ref="J257">iferror(XLOOKUP(A257,'Download of SFDC Activation Rep'!B:B,'Download of SFDC Activation Rep'!X:X),"")</f>
        <v/>
      </c>
      <c r="K257" s="17" t="str">
        <f t="array" ref="K257">iferror(XLOOKUP(A257,'Download of SFDC Activation Rep'!B:B,'Download of SFDC Activation Rep'!C:C),"")</f>
        <v/>
      </c>
      <c r="L257" s="18" t="str">
        <f t="array" ref="L257">iferror(XLOOKUP(A257,'Download of SFDC Activation Rep'!B:B,'Download of SFDC Activation Rep'!S:S),"")</f>
        <v/>
      </c>
      <c r="M257" s="24" t="str">
        <f t="array" ref="M257">iferror(XLOOKUP(A257,'Download of SFDC Activation Rep'!B:B,'Download of SFDC Activation Rep'!Z:Z)+150,"")</f>
        <v/>
      </c>
      <c r="N257" s="24" t="str">
        <f t="array" ref="N257">iferror(XLOOKUP(A257,'Download of SFDC Activation Rep'!B:B,'Download of SFDC Activation Rep'!Y:Y),"")</f>
        <v/>
      </c>
    </row>
    <row r="258">
      <c r="B258" s="14"/>
      <c r="C258" s="14"/>
      <c r="D258" s="14"/>
      <c r="E258" s="15"/>
      <c r="F258" s="14"/>
      <c r="G258" s="13" t="str">
        <f t="array" ref="G258">iferror(XLOOKUP(A258,'Download of SFDC Activation Rep'!B:B,'Download of SFDC Activation Rep'!H:H),"")</f>
        <v/>
      </c>
      <c r="H258" s="13" t="str">
        <f t="array" ref="H258">iferror(xlookup(A258,'Download of SFDC Activation Rep'!B:B,'Download of SFDC Activation Rep'!L:L),"")</f>
        <v/>
      </c>
      <c r="I258" s="17" t="str">
        <f t="shared" si="1"/>
        <v>Not Active</v>
      </c>
      <c r="J258" s="17" t="str">
        <f t="array" ref="J258">iferror(XLOOKUP(A258,'Download of SFDC Activation Rep'!B:B,'Download of SFDC Activation Rep'!X:X),"")</f>
        <v/>
      </c>
      <c r="K258" s="17" t="str">
        <f t="array" ref="K258">iferror(XLOOKUP(A258,'Download of SFDC Activation Rep'!B:B,'Download of SFDC Activation Rep'!C:C),"")</f>
        <v/>
      </c>
      <c r="L258" s="18" t="str">
        <f t="array" ref="L258">iferror(XLOOKUP(A258,'Download of SFDC Activation Rep'!B:B,'Download of SFDC Activation Rep'!S:S),"")</f>
        <v/>
      </c>
      <c r="M258" s="24" t="str">
        <f t="array" ref="M258">iferror(XLOOKUP(A258,'Download of SFDC Activation Rep'!B:B,'Download of SFDC Activation Rep'!Z:Z)+150,"")</f>
        <v/>
      </c>
      <c r="N258" s="24" t="str">
        <f t="array" ref="N258">iferror(XLOOKUP(A258,'Download of SFDC Activation Rep'!B:B,'Download of SFDC Activation Rep'!Y:Y),"")</f>
        <v/>
      </c>
    </row>
    <row r="259">
      <c r="B259" s="14"/>
      <c r="C259" s="14"/>
      <c r="D259" s="14"/>
      <c r="E259" s="15"/>
      <c r="F259" s="14"/>
      <c r="G259" s="13" t="str">
        <f t="array" ref="G259">iferror(XLOOKUP(A259,'Download of SFDC Activation Rep'!B:B,'Download of SFDC Activation Rep'!H:H),"")</f>
        <v/>
      </c>
      <c r="H259" s="13" t="str">
        <f t="array" ref="H259">iferror(xlookup(A259,'Download of SFDC Activation Rep'!B:B,'Download of SFDC Activation Rep'!L:L),"")</f>
        <v/>
      </c>
      <c r="I259" s="17" t="str">
        <f t="shared" si="1"/>
        <v>Not Active</v>
      </c>
      <c r="J259" s="17" t="str">
        <f t="array" ref="J259">iferror(XLOOKUP(A259,'Download of SFDC Activation Rep'!B:B,'Download of SFDC Activation Rep'!X:X),"")</f>
        <v/>
      </c>
      <c r="K259" s="17" t="str">
        <f t="array" ref="K259">iferror(XLOOKUP(A259,'Download of SFDC Activation Rep'!B:B,'Download of SFDC Activation Rep'!C:C),"")</f>
        <v/>
      </c>
      <c r="L259" s="18" t="str">
        <f t="array" ref="L259">iferror(XLOOKUP(A259,'Download of SFDC Activation Rep'!B:B,'Download of SFDC Activation Rep'!S:S),"")</f>
        <v/>
      </c>
      <c r="M259" s="24" t="str">
        <f t="array" ref="M259">iferror(XLOOKUP(A259,'Download of SFDC Activation Rep'!B:B,'Download of SFDC Activation Rep'!Z:Z)+150,"")</f>
        <v/>
      </c>
      <c r="N259" s="24" t="str">
        <f t="array" ref="N259">iferror(XLOOKUP(A259,'Download of SFDC Activation Rep'!B:B,'Download of SFDC Activation Rep'!Y:Y),"")</f>
        <v/>
      </c>
    </row>
    <row r="260">
      <c r="B260" s="14"/>
      <c r="C260" s="14"/>
      <c r="D260" s="14"/>
      <c r="E260" s="15"/>
      <c r="F260" s="14"/>
      <c r="G260" s="13" t="str">
        <f t="array" ref="G260">iferror(XLOOKUP(A260,'Download of SFDC Activation Rep'!B:B,'Download of SFDC Activation Rep'!H:H),"")</f>
        <v/>
      </c>
      <c r="H260" s="13" t="str">
        <f t="array" ref="H260">iferror(xlookup(A260,'Download of SFDC Activation Rep'!B:B,'Download of SFDC Activation Rep'!L:L),"")</f>
        <v/>
      </c>
      <c r="I260" s="17" t="str">
        <f t="shared" si="1"/>
        <v>Not Active</v>
      </c>
      <c r="J260" s="17" t="str">
        <f t="array" ref="J260">iferror(XLOOKUP(A260,'Download of SFDC Activation Rep'!B:B,'Download of SFDC Activation Rep'!X:X),"")</f>
        <v/>
      </c>
      <c r="K260" s="17" t="str">
        <f t="array" ref="K260">iferror(XLOOKUP(A260,'Download of SFDC Activation Rep'!B:B,'Download of SFDC Activation Rep'!C:C),"")</f>
        <v/>
      </c>
      <c r="L260" s="18" t="str">
        <f t="array" ref="L260">iferror(XLOOKUP(A260,'Download of SFDC Activation Rep'!B:B,'Download of SFDC Activation Rep'!S:S),"")</f>
        <v/>
      </c>
      <c r="M260" s="24" t="str">
        <f t="array" ref="M260">iferror(XLOOKUP(A260,'Download of SFDC Activation Rep'!B:B,'Download of SFDC Activation Rep'!Z:Z)+150,"")</f>
        <v/>
      </c>
      <c r="N260" s="24" t="str">
        <f t="array" ref="N260">iferror(XLOOKUP(A260,'Download of SFDC Activation Rep'!B:B,'Download of SFDC Activation Rep'!Y:Y),"")</f>
        <v/>
      </c>
    </row>
    <row r="261">
      <c r="B261" s="14"/>
      <c r="C261" s="14"/>
      <c r="D261" s="14"/>
      <c r="E261" s="15"/>
      <c r="F261" s="14"/>
      <c r="G261" s="13" t="str">
        <f t="array" ref="G261">iferror(XLOOKUP(A261,'Download of SFDC Activation Rep'!B:B,'Download of SFDC Activation Rep'!H:H),"")</f>
        <v/>
      </c>
      <c r="H261" s="13" t="str">
        <f t="array" ref="H261">iferror(xlookup(A261,'Download of SFDC Activation Rep'!B:B,'Download of SFDC Activation Rep'!L:L),"")</f>
        <v/>
      </c>
      <c r="I261" s="17" t="str">
        <f t="shared" si="1"/>
        <v>Not Active</v>
      </c>
      <c r="J261" s="17" t="str">
        <f t="array" ref="J261">iferror(XLOOKUP(A261,'Download of SFDC Activation Rep'!B:B,'Download of SFDC Activation Rep'!X:X),"")</f>
        <v/>
      </c>
      <c r="K261" s="17" t="str">
        <f t="array" ref="K261">iferror(XLOOKUP(A261,'Download of SFDC Activation Rep'!B:B,'Download of SFDC Activation Rep'!C:C),"")</f>
        <v/>
      </c>
      <c r="L261" s="18" t="str">
        <f t="array" ref="L261">iferror(XLOOKUP(A261,'Download of SFDC Activation Rep'!B:B,'Download of SFDC Activation Rep'!S:S),"")</f>
        <v/>
      </c>
      <c r="M261" s="24" t="str">
        <f t="array" ref="M261">iferror(XLOOKUP(A261,'Download of SFDC Activation Rep'!B:B,'Download of SFDC Activation Rep'!Z:Z)+150,"")</f>
        <v/>
      </c>
      <c r="N261" s="24" t="str">
        <f t="array" ref="N261">iferror(XLOOKUP(A261,'Download of SFDC Activation Rep'!B:B,'Download of SFDC Activation Rep'!Y:Y),"")</f>
        <v/>
      </c>
    </row>
    <row r="262">
      <c r="B262" s="14"/>
      <c r="C262" s="14"/>
      <c r="D262" s="14"/>
      <c r="E262" s="15"/>
      <c r="F262" s="14"/>
      <c r="G262" s="13" t="str">
        <f t="array" ref="G262">iferror(XLOOKUP(A262,'Download of SFDC Activation Rep'!B:B,'Download of SFDC Activation Rep'!H:H),"")</f>
        <v/>
      </c>
      <c r="H262" s="13" t="str">
        <f t="array" ref="H262">iferror(xlookup(A262,'Download of SFDC Activation Rep'!B:B,'Download of SFDC Activation Rep'!L:L),"")</f>
        <v/>
      </c>
      <c r="I262" s="17" t="str">
        <f t="shared" si="1"/>
        <v>Not Active</v>
      </c>
      <c r="J262" s="17" t="str">
        <f t="array" ref="J262">iferror(XLOOKUP(A262,'Download of SFDC Activation Rep'!B:B,'Download of SFDC Activation Rep'!X:X),"")</f>
        <v/>
      </c>
      <c r="K262" s="17" t="str">
        <f t="array" ref="K262">iferror(XLOOKUP(A262,'Download of SFDC Activation Rep'!B:B,'Download of SFDC Activation Rep'!C:C),"")</f>
        <v/>
      </c>
      <c r="L262" s="18" t="str">
        <f t="array" ref="L262">iferror(XLOOKUP(A262,'Download of SFDC Activation Rep'!B:B,'Download of SFDC Activation Rep'!S:S),"")</f>
        <v/>
      </c>
      <c r="M262" s="24" t="str">
        <f t="array" ref="M262">iferror(XLOOKUP(A262,'Download of SFDC Activation Rep'!B:B,'Download of SFDC Activation Rep'!Z:Z)+150,"")</f>
        <v/>
      </c>
      <c r="N262" s="24" t="str">
        <f t="array" ref="N262">iferror(XLOOKUP(A262,'Download of SFDC Activation Rep'!B:B,'Download of SFDC Activation Rep'!Y:Y),"")</f>
        <v/>
      </c>
    </row>
    <row r="263">
      <c r="B263" s="14"/>
      <c r="C263" s="14"/>
      <c r="D263" s="14"/>
      <c r="E263" s="15"/>
      <c r="F263" s="14"/>
      <c r="G263" s="13" t="str">
        <f t="array" ref="G263">iferror(XLOOKUP(A263,'Download of SFDC Activation Rep'!B:B,'Download of SFDC Activation Rep'!H:H),"")</f>
        <v/>
      </c>
      <c r="H263" s="13" t="str">
        <f t="array" ref="H263">iferror(xlookup(A263,'Download of SFDC Activation Rep'!B:B,'Download of SFDC Activation Rep'!L:L),"")</f>
        <v/>
      </c>
      <c r="I263" s="17" t="str">
        <f t="shared" si="1"/>
        <v>Not Active</v>
      </c>
      <c r="J263" s="17" t="str">
        <f t="array" ref="J263">iferror(XLOOKUP(A263,'Download of SFDC Activation Rep'!B:B,'Download of SFDC Activation Rep'!X:X),"")</f>
        <v/>
      </c>
      <c r="K263" s="17" t="str">
        <f t="array" ref="K263">iferror(XLOOKUP(A263,'Download of SFDC Activation Rep'!B:B,'Download of SFDC Activation Rep'!C:C),"")</f>
        <v/>
      </c>
      <c r="L263" s="18" t="str">
        <f t="array" ref="L263">iferror(XLOOKUP(A263,'Download of SFDC Activation Rep'!B:B,'Download of SFDC Activation Rep'!S:S),"")</f>
        <v/>
      </c>
      <c r="M263" s="24" t="str">
        <f t="array" ref="M263">iferror(XLOOKUP(A263,'Download of SFDC Activation Rep'!B:B,'Download of SFDC Activation Rep'!Z:Z)+150,"")</f>
        <v/>
      </c>
      <c r="N263" s="24" t="str">
        <f t="array" ref="N263">iferror(XLOOKUP(A263,'Download of SFDC Activation Rep'!B:B,'Download of SFDC Activation Rep'!Y:Y),"")</f>
        <v/>
      </c>
    </row>
    <row r="264">
      <c r="B264" s="14"/>
      <c r="C264" s="14"/>
      <c r="D264" s="14"/>
      <c r="E264" s="15"/>
      <c r="F264" s="14"/>
      <c r="G264" s="13" t="str">
        <f t="array" ref="G264">iferror(XLOOKUP(A264,'Download of SFDC Activation Rep'!B:B,'Download of SFDC Activation Rep'!H:H),"")</f>
        <v/>
      </c>
      <c r="H264" s="13" t="str">
        <f t="array" ref="H264">iferror(xlookup(A264,'Download of SFDC Activation Rep'!B:B,'Download of SFDC Activation Rep'!L:L),"")</f>
        <v/>
      </c>
      <c r="I264" s="17" t="str">
        <f t="shared" si="1"/>
        <v>Not Active</v>
      </c>
      <c r="J264" s="17" t="str">
        <f t="array" ref="J264">iferror(XLOOKUP(A264,'Download of SFDC Activation Rep'!B:B,'Download of SFDC Activation Rep'!X:X),"")</f>
        <v/>
      </c>
      <c r="K264" s="17" t="str">
        <f t="array" ref="K264">iferror(XLOOKUP(A264,'Download of SFDC Activation Rep'!B:B,'Download of SFDC Activation Rep'!C:C),"")</f>
        <v/>
      </c>
      <c r="L264" s="18" t="str">
        <f t="array" ref="L264">iferror(XLOOKUP(A264,'Download of SFDC Activation Rep'!B:B,'Download of SFDC Activation Rep'!S:S),"")</f>
        <v/>
      </c>
      <c r="M264" s="24" t="str">
        <f t="array" ref="M264">iferror(XLOOKUP(A264,'Download of SFDC Activation Rep'!B:B,'Download of SFDC Activation Rep'!Z:Z)+150,"")</f>
        <v/>
      </c>
      <c r="N264" s="24" t="str">
        <f t="array" ref="N264">iferror(XLOOKUP(A264,'Download of SFDC Activation Rep'!B:B,'Download of SFDC Activation Rep'!Y:Y),"")</f>
        <v/>
      </c>
    </row>
    <row r="265">
      <c r="B265" s="14"/>
      <c r="C265" s="14"/>
      <c r="D265" s="14"/>
      <c r="E265" s="15"/>
      <c r="F265" s="14"/>
      <c r="G265" s="13" t="str">
        <f t="array" ref="G265">iferror(XLOOKUP(A265,'Download of SFDC Activation Rep'!B:B,'Download of SFDC Activation Rep'!H:H),"")</f>
        <v/>
      </c>
      <c r="H265" s="13" t="str">
        <f t="array" ref="H265">iferror(xlookup(A265,'Download of SFDC Activation Rep'!B:B,'Download of SFDC Activation Rep'!L:L),"")</f>
        <v/>
      </c>
      <c r="I265" s="17" t="str">
        <f t="shared" si="1"/>
        <v>Not Active</v>
      </c>
      <c r="J265" s="17" t="str">
        <f t="array" ref="J265">iferror(XLOOKUP(A265,'Download of SFDC Activation Rep'!B:B,'Download of SFDC Activation Rep'!X:X),"")</f>
        <v/>
      </c>
      <c r="K265" s="17" t="str">
        <f t="array" ref="K265">iferror(XLOOKUP(A265,'Download of SFDC Activation Rep'!B:B,'Download of SFDC Activation Rep'!C:C),"")</f>
        <v/>
      </c>
      <c r="L265" s="18" t="str">
        <f t="array" ref="L265">iferror(XLOOKUP(A265,'Download of SFDC Activation Rep'!B:B,'Download of SFDC Activation Rep'!S:S),"")</f>
        <v/>
      </c>
      <c r="M265" s="24" t="str">
        <f t="array" ref="M265">iferror(XLOOKUP(A265,'Download of SFDC Activation Rep'!B:B,'Download of SFDC Activation Rep'!Z:Z)+150,"")</f>
        <v/>
      </c>
      <c r="N265" s="24" t="str">
        <f t="array" ref="N265">iferror(XLOOKUP(A265,'Download of SFDC Activation Rep'!B:B,'Download of SFDC Activation Rep'!Y:Y),"")</f>
        <v/>
      </c>
    </row>
    <row r="266">
      <c r="B266" s="14"/>
      <c r="C266" s="14"/>
      <c r="D266" s="14"/>
      <c r="E266" s="15"/>
      <c r="F266" s="14"/>
      <c r="G266" s="13" t="str">
        <f t="array" ref="G266">iferror(XLOOKUP(A266,'Download of SFDC Activation Rep'!B:B,'Download of SFDC Activation Rep'!H:H),"")</f>
        <v/>
      </c>
      <c r="H266" s="13" t="str">
        <f t="array" ref="H266">iferror(xlookup(A266,'Download of SFDC Activation Rep'!B:B,'Download of SFDC Activation Rep'!L:L),"")</f>
        <v/>
      </c>
      <c r="I266" s="17" t="str">
        <f t="shared" si="1"/>
        <v>Not Active</v>
      </c>
      <c r="J266" s="17" t="str">
        <f t="array" ref="J266">iferror(XLOOKUP(A266,'Download of SFDC Activation Rep'!B:B,'Download of SFDC Activation Rep'!X:X),"")</f>
        <v/>
      </c>
      <c r="K266" s="17" t="str">
        <f t="array" ref="K266">iferror(XLOOKUP(A266,'Download of SFDC Activation Rep'!B:B,'Download of SFDC Activation Rep'!C:C),"")</f>
        <v/>
      </c>
      <c r="L266" s="18" t="str">
        <f t="array" ref="L266">iferror(XLOOKUP(A266,'Download of SFDC Activation Rep'!B:B,'Download of SFDC Activation Rep'!S:S),"")</f>
        <v/>
      </c>
      <c r="M266" s="24" t="str">
        <f t="array" ref="M266">iferror(XLOOKUP(A266,'Download of SFDC Activation Rep'!B:B,'Download of SFDC Activation Rep'!Z:Z)+150,"")</f>
        <v/>
      </c>
      <c r="N266" s="24" t="str">
        <f t="array" ref="N266">iferror(XLOOKUP(A266,'Download of SFDC Activation Rep'!B:B,'Download of SFDC Activation Rep'!Y:Y),"")</f>
        <v/>
      </c>
    </row>
    <row r="267">
      <c r="B267" s="14"/>
      <c r="C267" s="14"/>
      <c r="D267" s="14"/>
      <c r="E267" s="15"/>
      <c r="F267" s="14"/>
      <c r="G267" s="13" t="str">
        <f t="array" ref="G267">iferror(XLOOKUP(A267,'Download of SFDC Activation Rep'!B:B,'Download of SFDC Activation Rep'!H:H),"")</f>
        <v/>
      </c>
      <c r="H267" s="13" t="str">
        <f t="array" ref="H267">iferror(xlookup(A267,'Download of SFDC Activation Rep'!B:B,'Download of SFDC Activation Rep'!L:L),"")</f>
        <v/>
      </c>
      <c r="I267" s="17" t="str">
        <f t="shared" si="1"/>
        <v>Not Active</v>
      </c>
      <c r="J267" s="17" t="str">
        <f t="array" ref="J267">iferror(XLOOKUP(A267,'Download of SFDC Activation Rep'!B:B,'Download of SFDC Activation Rep'!X:X),"")</f>
        <v/>
      </c>
      <c r="K267" s="17" t="str">
        <f t="array" ref="K267">iferror(XLOOKUP(A267,'Download of SFDC Activation Rep'!B:B,'Download of SFDC Activation Rep'!C:C),"")</f>
        <v/>
      </c>
      <c r="L267" s="18" t="str">
        <f t="array" ref="L267">iferror(XLOOKUP(A267,'Download of SFDC Activation Rep'!B:B,'Download of SFDC Activation Rep'!S:S),"")</f>
        <v/>
      </c>
      <c r="M267" s="24" t="str">
        <f t="array" ref="M267">iferror(XLOOKUP(A267,'Download of SFDC Activation Rep'!B:B,'Download of SFDC Activation Rep'!Z:Z)+150,"")</f>
        <v/>
      </c>
      <c r="N267" s="24" t="str">
        <f t="array" ref="N267">iferror(XLOOKUP(A267,'Download of SFDC Activation Rep'!B:B,'Download of SFDC Activation Rep'!Y:Y),"")</f>
        <v/>
      </c>
    </row>
    <row r="268">
      <c r="B268" s="14"/>
      <c r="C268" s="14"/>
      <c r="D268" s="14"/>
      <c r="E268" s="15"/>
      <c r="F268" s="14"/>
      <c r="G268" s="13" t="str">
        <f t="array" ref="G268">iferror(XLOOKUP(A268,'Download of SFDC Activation Rep'!B:B,'Download of SFDC Activation Rep'!H:H),"")</f>
        <v/>
      </c>
      <c r="H268" s="13" t="str">
        <f t="array" ref="H268">iferror(xlookup(A268,'Download of SFDC Activation Rep'!B:B,'Download of SFDC Activation Rep'!L:L),"")</f>
        <v/>
      </c>
      <c r="I268" s="17" t="str">
        <f t="shared" si="1"/>
        <v>Not Active</v>
      </c>
      <c r="J268" s="17" t="str">
        <f t="array" ref="J268">iferror(XLOOKUP(A268,'Download of SFDC Activation Rep'!B:B,'Download of SFDC Activation Rep'!X:X),"")</f>
        <v/>
      </c>
      <c r="K268" s="17" t="str">
        <f t="array" ref="K268">iferror(XLOOKUP(A268,'Download of SFDC Activation Rep'!B:B,'Download of SFDC Activation Rep'!C:C),"")</f>
        <v/>
      </c>
      <c r="L268" s="18" t="str">
        <f t="array" ref="L268">iferror(XLOOKUP(A268,'Download of SFDC Activation Rep'!B:B,'Download of SFDC Activation Rep'!S:S),"")</f>
        <v/>
      </c>
      <c r="M268" s="24" t="str">
        <f t="array" ref="M268">iferror(XLOOKUP(A268,'Download of SFDC Activation Rep'!B:B,'Download of SFDC Activation Rep'!Z:Z)+150,"")</f>
        <v/>
      </c>
      <c r="N268" s="24" t="str">
        <f t="array" ref="N268">iferror(XLOOKUP(A268,'Download of SFDC Activation Rep'!B:B,'Download of SFDC Activation Rep'!Y:Y),"")</f>
        <v/>
      </c>
    </row>
    <row r="269">
      <c r="B269" s="14"/>
      <c r="C269" s="14"/>
      <c r="D269" s="14"/>
      <c r="E269" s="15"/>
      <c r="F269" s="14"/>
      <c r="G269" s="13" t="str">
        <f t="array" ref="G269">iferror(XLOOKUP(A269,'Download of SFDC Activation Rep'!B:B,'Download of SFDC Activation Rep'!H:H),"")</f>
        <v/>
      </c>
      <c r="H269" s="13" t="str">
        <f t="array" ref="H269">iferror(xlookup(A269,'Download of SFDC Activation Rep'!B:B,'Download of SFDC Activation Rep'!L:L),"")</f>
        <v/>
      </c>
      <c r="I269" s="17" t="str">
        <f t="shared" si="1"/>
        <v>Not Active</v>
      </c>
      <c r="J269" s="17" t="str">
        <f t="array" ref="J269">iferror(XLOOKUP(A269,'Download of SFDC Activation Rep'!B:B,'Download of SFDC Activation Rep'!X:X),"")</f>
        <v/>
      </c>
      <c r="K269" s="17" t="str">
        <f t="array" ref="K269">iferror(XLOOKUP(A269,'Download of SFDC Activation Rep'!B:B,'Download of SFDC Activation Rep'!C:C),"")</f>
        <v/>
      </c>
      <c r="L269" s="18" t="str">
        <f t="array" ref="L269">iferror(XLOOKUP(A269,'Download of SFDC Activation Rep'!B:B,'Download of SFDC Activation Rep'!S:S),"")</f>
        <v/>
      </c>
      <c r="M269" s="24" t="str">
        <f t="array" ref="M269">iferror(XLOOKUP(A269,'Download of SFDC Activation Rep'!B:B,'Download of SFDC Activation Rep'!Z:Z)+150,"")</f>
        <v/>
      </c>
      <c r="N269" s="24" t="str">
        <f t="array" ref="N269">iferror(XLOOKUP(A269,'Download of SFDC Activation Rep'!B:B,'Download of SFDC Activation Rep'!Y:Y),"")</f>
        <v/>
      </c>
    </row>
    <row r="270">
      <c r="B270" s="14"/>
      <c r="C270" s="14"/>
      <c r="D270" s="14"/>
      <c r="E270" s="15"/>
      <c r="F270" s="14"/>
      <c r="G270" s="13" t="str">
        <f t="array" ref="G270">iferror(XLOOKUP(A270,'Download of SFDC Activation Rep'!B:B,'Download of SFDC Activation Rep'!H:H),"")</f>
        <v/>
      </c>
      <c r="H270" s="13" t="str">
        <f t="array" ref="H270">iferror(xlookup(A270,'Download of SFDC Activation Rep'!B:B,'Download of SFDC Activation Rep'!L:L),"")</f>
        <v/>
      </c>
      <c r="I270" s="17" t="str">
        <f t="shared" si="1"/>
        <v>Not Active</v>
      </c>
      <c r="J270" s="17" t="str">
        <f t="array" ref="J270">iferror(XLOOKUP(A270,'Download of SFDC Activation Rep'!B:B,'Download of SFDC Activation Rep'!X:X),"")</f>
        <v/>
      </c>
      <c r="K270" s="17" t="str">
        <f t="array" ref="K270">iferror(XLOOKUP(A270,'Download of SFDC Activation Rep'!B:B,'Download of SFDC Activation Rep'!C:C),"")</f>
        <v/>
      </c>
      <c r="L270" s="18" t="str">
        <f t="array" ref="L270">iferror(XLOOKUP(A270,'Download of SFDC Activation Rep'!B:B,'Download of SFDC Activation Rep'!S:S),"")</f>
        <v/>
      </c>
      <c r="M270" s="24" t="str">
        <f t="array" ref="M270">iferror(XLOOKUP(A270,'Download of SFDC Activation Rep'!B:B,'Download of SFDC Activation Rep'!Z:Z)+150,"")</f>
        <v/>
      </c>
      <c r="N270" s="24" t="str">
        <f t="array" ref="N270">iferror(XLOOKUP(A270,'Download of SFDC Activation Rep'!B:B,'Download of SFDC Activation Rep'!Y:Y),"")</f>
        <v/>
      </c>
    </row>
    <row r="271">
      <c r="B271" s="14"/>
      <c r="C271" s="14"/>
      <c r="D271" s="14"/>
      <c r="E271" s="15"/>
      <c r="F271" s="14"/>
      <c r="G271" s="13" t="str">
        <f t="array" ref="G271">iferror(XLOOKUP(A271,'Download of SFDC Activation Rep'!B:B,'Download of SFDC Activation Rep'!H:H),"")</f>
        <v/>
      </c>
      <c r="H271" s="13" t="str">
        <f t="array" ref="H271">iferror(xlookup(A271,'Download of SFDC Activation Rep'!B:B,'Download of SFDC Activation Rep'!L:L),"")</f>
        <v/>
      </c>
      <c r="I271" s="17" t="str">
        <f t="shared" si="1"/>
        <v>Not Active</v>
      </c>
      <c r="J271" s="17" t="str">
        <f t="array" ref="J271">iferror(XLOOKUP(A271,'Download of SFDC Activation Rep'!B:B,'Download of SFDC Activation Rep'!X:X),"")</f>
        <v/>
      </c>
      <c r="K271" s="17" t="str">
        <f t="array" ref="K271">iferror(XLOOKUP(A271,'Download of SFDC Activation Rep'!B:B,'Download of SFDC Activation Rep'!C:C),"")</f>
        <v/>
      </c>
      <c r="L271" s="18" t="str">
        <f t="array" ref="L271">iferror(XLOOKUP(A271,'Download of SFDC Activation Rep'!B:B,'Download of SFDC Activation Rep'!S:S),"")</f>
        <v/>
      </c>
      <c r="M271" s="24" t="str">
        <f t="array" ref="M271">iferror(XLOOKUP(A271,'Download of SFDC Activation Rep'!B:B,'Download of SFDC Activation Rep'!Z:Z)+150,"")</f>
        <v/>
      </c>
      <c r="N271" s="24" t="str">
        <f t="array" ref="N271">iferror(XLOOKUP(A271,'Download of SFDC Activation Rep'!B:B,'Download of SFDC Activation Rep'!Y:Y),"")</f>
        <v/>
      </c>
    </row>
    <row r="272">
      <c r="B272" s="14"/>
      <c r="C272" s="14"/>
      <c r="D272" s="14"/>
      <c r="E272" s="15"/>
      <c r="F272" s="14"/>
      <c r="G272" s="13" t="str">
        <f t="array" ref="G272">iferror(XLOOKUP(A272,'Download of SFDC Activation Rep'!B:B,'Download of SFDC Activation Rep'!H:H),"")</f>
        <v/>
      </c>
      <c r="H272" s="13" t="str">
        <f t="array" ref="H272">iferror(xlookup(A272,'Download of SFDC Activation Rep'!B:B,'Download of SFDC Activation Rep'!L:L),"")</f>
        <v/>
      </c>
      <c r="I272" s="17" t="str">
        <f t="shared" si="1"/>
        <v>Not Active</v>
      </c>
      <c r="J272" s="17" t="str">
        <f t="array" ref="J272">iferror(XLOOKUP(A272,'Download of SFDC Activation Rep'!B:B,'Download of SFDC Activation Rep'!X:X),"")</f>
        <v/>
      </c>
      <c r="K272" s="17" t="str">
        <f t="array" ref="K272">iferror(XLOOKUP(A272,'Download of SFDC Activation Rep'!B:B,'Download of SFDC Activation Rep'!C:C),"")</f>
        <v/>
      </c>
      <c r="L272" s="18" t="str">
        <f t="array" ref="L272">iferror(XLOOKUP(A272,'Download of SFDC Activation Rep'!B:B,'Download of SFDC Activation Rep'!S:S),"")</f>
        <v/>
      </c>
      <c r="M272" s="24" t="str">
        <f t="array" ref="M272">iferror(XLOOKUP(A272,'Download of SFDC Activation Rep'!B:B,'Download of SFDC Activation Rep'!Z:Z)+150,"")</f>
        <v/>
      </c>
      <c r="N272" s="24" t="str">
        <f t="array" ref="N272">iferror(XLOOKUP(A272,'Download of SFDC Activation Rep'!B:B,'Download of SFDC Activation Rep'!Y:Y),"")</f>
        <v/>
      </c>
    </row>
    <row r="273">
      <c r="B273" s="14"/>
      <c r="C273" s="14"/>
      <c r="D273" s="14"/>
      <c r="E273" s="15"/>
      <c r="F273" s="14"/>
      <c r="G273" s="13" t="str">
        <f t="array" ref="G273">iferror(XLOOKUP(A273,'Download of SFDC Activation Rep'!B:B,'Download of SFDC Activation Rep'!H:H),"")</f>
        <v/>
      </c>
      <c r="H273" s="13" t="str">
        <f t="array" ref="H273">iferror(xlookup(A273,'Download of SFDC Activation Rep'!B:B,'Download of SFDC Activation Rep'!L:L),"")</f>
        <v/>
      </c>
      <c r="I273" s="17" t="str">
        <f t="shared" si="1"/>
        <v>Not Active</v>
      </c>
      <c r="J273" s="17" t="str">
        <f t="array" ref="J273">iferror(XLOOKUP(A273,'Download of SFDC Activation Rep'!B:B,'Download of SFDC Activation Rep'!X:X),"")</f>
        <v/>
      </c>
      <c r="K273" s="17" t="str">
        <f t="array" ref="K273">iferror(XLOOKUP(A273,'Download of SFDC Activation Rep'!B:B,'Download of SFDC Activation Rep'!C:C),"")</f>
        <v/>
      </c>
      <c r="L273" s="18" t="str">
        <f t="array" ref="L273">iferror(XLOOKUP(A273,'Download of SFDC Activation Rep'!B:B,'Download of SFDC Activation Rep'!S:S),"")</f>
        <v/>
      </c>
      <c r="M273" s="24" t="str">
        <f t="array" ref="M273">iferror(XLOOKUP(A273,'Download of SFDC Activation Rep'!B:B,'Download of SFDC Activation Rep'!Z:Z)+150,"")</f>
        <v/>
      </c>
      <c r="N273" s="24" t="str">
        <f t="array" ref="N273">iferror(XLOOKUP(A273,'Download of SFDC Activation Rep'!B:B,'Download of SFDC Activation Rep'!Y:Y),"")</f>
        <v/>
      </c>
    </row>
    <row r="274">
      <c r="B274" s="14"/>
      <c r="C274" s="14"/>
      <c r="D274" s="14"/>
      <c r="E274" s="15"/>
      <c r="F274" s="14"/>
      <c r="G274" s="13" t="str">
        <f t="array" ref="G274">iferror(XLOOKUP(A274,'Download of SFDC Activation Rep'!B:B,'Download of SFDC Activation Rep'!H:H),"")</f>
        <v/>
      </c>
      <c r="H274" s="13" t="str">
        <f t="array" ref="H274">iferror(xlookup(A274,'Download of SFDC Activation Rep'!B:B,'Download of SFDC Activation Rep'!L:L),"")</f>
        <v/>
      </c>
      <c r="I274" s="17" t="str">
        <f t="shared" si="1"/>
        <v>Not Active</v>
      </c>
      <c r="J274" s="17" t="str">
        <f t="array" ref="J274">iferror(XLOOKUP(A274,'Download of SFDC Activation Rep'!B:B,'Download of SFDC Activation Rep'!X:X),"")</f>
        <v/>
      </c>
      <c r="K274" s="17" t="str">
        <f t="array" ref="K274">iferror(XLOOKUP(A274,'Download of SFDC Activation Rep'!B:B,'Download of SFDC Activation Rep'!C:C),"")</f>
        <v/>
      </c>
      <c r="L274" s="18" t="str">
        <f t="array" ref="L274">iferror(XLOOKUP(A274,'Download of SFDC Activation Rep'!B:B,'Download of SFDC Activation Rep'!S:S),"")</f>
        <v/>
      </c>
      <c r="M274" s="24" t="str">
        <f t="array" ref="M274">iferror(XLOOKUP(A274,'Download of SFDC Activation Rep'!B:B,'Download of SFDC Activation Rep'!Z:Z)+150,"")</f>
        <v/>
      </c>
      <c r="N274" s="24" t="str">
        <f t="array" ref="N274">iferror(XLOOKUP(A274,'Download of SFDC Activation Rep'!B:B,'Download of SFDC Activation Rep'!Y:Y),"")</f>
        <v/>
      </c>
    </row>
    <row r="275">
      <c r="B275" s="14"/>
      <c r="C275" s="14"/>
      <c r="D275" s="14"/>
      <c r="E275" s="15"/>
      <c r="F275" s="14"/>
      <c r="G275" s="13" t="str">
        <f t="array" ref="G275">iferror(XLOOKUP(A275,'Download of SFDC Activation Rep'!B:B,'Download of SFDC Activation Rep'!H:H),"")</f>
        <v/>
      </c>
      <c r="H275" s="13" t="str">
        <f t="array" ref="H275">iferror(xlookup(A275,'Download of SFDC Activation Rep'!B:B,'Download of SFDC Activation Rep'!L:L),"")</f>
        <v/>
      </c>
      <c r="I275" s="17" t="str">
        <f t="shared" si="1"/>
        <v>Not Active</v>
      </c>
      <c r="J275" s="17" t="str">
        <f t="array" ref="J275">iferror(XLOOKUP(A275,'Download of SFDC Activation Rep'!B:B,'Download of SFDC Activation Rep'!X:X),"")</f>
        <v/>
      </c>
      <c r="K275" s="17" t="str">
        <f t="array" ref="K275">iferror(XLOOKUP(A275,'Download of SFDC Activation Rep'!B:B,'Download of SFDC Activation Rep'!C:C),"")</f>
        <v/>
      </c>
      <c r="L275" s="18" t="str">
        <f t="array" ref="L275">iferror(XLOOKUP(A275,'Download of SFDC Activation Rep'!B:B,'Download of SFDC Activation Rep'!S:S),"")</f>
        <v/>
      </c>
      <c r="M275" s="24" t="str">
        <f t="array" ref="M275">iferror(XLOOKUP(A275,'Download of SFDC Activation Rep'!B:B,'Download of SFDC Activation Rep'!Z:Z)+150,"")</f>
        <v/>
      </c>
      <c r="N275" s="24" t="str">
        <f t="array" ref="N275">iferror(XLOOKUP(A275,'Download of SFDC Activation Rep'!B:B,'Download of SFDC Activation Rep'!Y:Y),"")</f>
        <v/>
      </c>
    </row>
    <row r="276">
      <c r="B276" s="14"/>
      <c r="C276" s="14"/>
      <c r="D276" s="14"/>
      <c r="E276" s="15"/>
      <c r="F276" s="14"/>
      <c r="G276" s="13" t="str">
        <f t="array" ref="G276">iferror(XLOOKUP(A276,'Download of SFDC Activation Rep'!B:B,'Download of SFDC Activation Rep'!H:H),"")</f>
        <v/>
      </c>
      <c r="H276" s="13" t="str">
        <f t="array" ref="H276">iferror(xlookup(A276,'Download of SFDC Activation Rep'!B:B,'Download of SFDC Activation Rep'!L:L),"")</f>
        <v/>
      </c>
      <c r="I276" s="17" t="str">
        <f t="shared" si="1"/>
        <v>Not Active</v>
      </c>
      <c r="J276" s="17" t="str">
        <f t="array" ref="J276">iferror(XLOOKUP(A276,'Download of SFDC Activation Rep'!B:B,'Download of SFDC Activation Rep'!X:X),"")</f>
        <v/>
      </c>
      <c r="K276" s="17" t="str">
        <f t="array" ref="K276">iferror(XLOOKUP(A276,'Download of SFDC Activation Rep'!B:B,'Download of SFDC Activation Rep'!C:C),"")</f>
        <v/>
      </c>
      <c r="L276" s="18" t="str">
        <f t="array" ref="L276">iferror(XLOOKUP(A276,'Download of SFDC Activation Rep'!B:B,'Download of SFDC Activation Rep'!S:S),"")</f>
        <v/>
      </c>
      <c r="M276" s="24" t="str">
        <f t="array" ref="M276">iferror(XLOOKUP(A276,'Download of SFDC Activation Rep'!B:B,'Download of SFDC Activation Rep'!Z:Z)+150,"")</f>
        <v/>
      </c>
      <c r="N276" s="24" t="str">
        <f t="array" ref="N276">iferror(XLOOKUP(A276,'Download of SFDC Activation Rep'!B:B,'Download of SFDC Activation Rep'!Y:Y),"")</f>
        <v/>
      </c>
    </row>
    <row r="277">
      <c r="B277" s="14"/>
      <c r="C277" s="14"/>
      <c r="D277" s="14"/>
      <c r="E277" s="15"/>
      <c r="F277" s="14"/>
      <c r="G277" s="13" t="str">
        <f t="array" ref="G277">iferror(XLOOKUP(A277,'Download of SFDC Activation Rep'!B:B,'Download of SFDC Activation Rep'!H:H),"")</f>
        <v/>
      </c>
      <c r="H277" s="13" t="str">
        <f t="array" ref="H277">iferror(xlookup(A277,'Download of SFDC Activation Rep'!B:B,'Download of SFDC Activation Rep'!L:L),"")</f>
        <v/>
      </c>
      <c r="I277" s="17" t="str">
        <f t="shared" si="1"/>
        <v>Not Active</v>
      </c>
      <c r="J277" s="17" t="str">
        <f t="array" ref="J277">iferror(XLOOKUP(A277,'Download of SFDC Activation Rep'!B:B,'Download of SFDC Activation Rep'!X:X),"")</f>
        <v/>
      </c>
      <c r="K277" s="17" t="str">
        <f t="array" ref="K277">iferror(XLOOKUP(A277,'Download of SFDC Activation Rep'!B:B,'Download of SFDC Activation Rep'!C:C),"")</f>
        <v/>
      </c>
      <c r="L277" s="18" t="str">
        <f t="array" ref="L277">iferror(XLOOKUP(A277,'Download of SFDC Activation Rep'!B:B,'Download of SFDC Activation Rep'!S:S),"")</f>
        <v/>
      </c>
      <c r="M277" s="24" t="str">
        <f t="array" ref="M277">iferror(XLOOKUP(A277,'Download of SFDC Activation Rep'!B:B,'Download of SFDC Activation Rep'!Z:Z)+150,"")</f>
        <v/>
      </c>
      <c r="N277" s="24" t="str">
        <f t="array" ref="N277">iferror(XLOOKUP(A277,'Download of SFDC Activation Rep'!B:B,'Download of SFDC Activation Rep'!Y:Y),"")</f>
        <v/>
      </c>
    </row>
    <row r="278">
      <c r="B278" s="14"/>
      <c r="C278" s="14"/>
      <c r="D278" s="14"/>
      <c r="E278" s="15"/>
      <c r="F278" s="14"/>
      <c r="G278" s="13" t="str">
        <f t="array" ref="G278">iferror(XLOOKUP(A278,'Download of SFDC Activation Rep'!B:B,'Download of SFDC Activation Rep'!H:H),"")</f>
        <v/>
      </c>
      <c r="H278" s="13" t="str">
        <f t="array" ref="H278">iferror(xlookup(A278,'Download of SFDC Activation Rep'!B:B,'Download of SFDC Activation Rep'!L:L),"")</f>
        <v/>
      </c>
      <c r="I278" s="17" t="str">
        <f t="shared" si="1"/>
        <v>Not Active</v>
      </c>
      <c r="J278" s="17" t="str">
        <f t="array" ref="J278">iferror(XLOOKUP(A278,'Download of SFDC Activation Rep'!B:B,'Download of SFDC Activation Rep'!X:X),"")</f>
        <v/>
      </c>
      <c r="K278" s="17" t="str">
        <f t="array" ref="K278">iferror(XLOOKUP(A278,'Download of SFDC Activation Rep'!B:B,'Download of SFDC Activation Rep'!C:C),"")</f>
        <v/>
      </c>
      <c r="L278" s="18" t="str">
        <f t="array" ref="L278">iferror(XLOOKUP(A278,'Download of SFDC Activation Rep'!B:B,'Download of SFDC Activation Rep'!S:S),"")</f>
        <v/>
      </c>
      <c r="M278" s="24" t="str">
        <f t="array" ref="M278">iferror(XLOOKUP(A278,'Download of SFDC Activation Rep'!B:B,'Download of SFDC Activation Rep'!Z:Z)+150,"")</f>
        <v/>
      </c>
      <c r="N278" s="24" t="str">
        <f t="array" ref="N278">iferror(XLOOKUP(A278,'Download of SFDC Activation Rep'!B:B,'Download of SFDC Activation Rep'!Y:Y),"")</f>
        <v/>
      </c>
    </row>
    <row r="279">
      <c r="B279" s="14"/>
      <c r="C279" s="14"/>
      <c r="D279" s="14"/>
      <c r="E279" s="15"/>
      <c r="F279" s="14"/>
      <c r="G279" s="13" t="str">
        <f t="array" ref="G279">iferror(XLOOKUP(A279,'Download of SFDC Activation Rep'!B:B,'Download of SFDC Activation Rep'!H:H),"")</f>
        <v/>
      </c>
      <c r="H279" s="13" t="str">
        <f t="array" ref="H279">iferror(xlookup(A279,'Download of SFDC Activation Rep'!B:B,'Download of SFDC Activation Rep'!L:L),"")</f>
        <v/>
      </c>
      <c r="I279" s="17" t="str">
        <f t="shared" si="1"/>
        <v>Not Active</v>
      </c>
      <c r="J279" s="17" t="str">
        <f t="array" ref="J279">iferror(XLOOKUP(A279,'Download of SFDC Activation Rep'!B:B,'Download of SFDC Activation Rep'!X:X),"")</f>
        <v/>
      </c>
      <c r="K279" s="17" t="str">
        <f t="array" ref="K279">iferror(XLOOKUP(A279,'Download of SFDC Activation Rep'!B:B,'Download of SFDC Activation Rep'!C:C),"")</f>
        <v/>
      </c>
      <c r="L279" s="18" t="str">
        <f t="array" ref="L279">iferror(XLOOKUP(A279,'Download of SFDC Activation Rep'!B:B,'Download of SFDC Activation Rep'!S:S),"")</f>
        <v/>
      </c>
      <c r="M279" s="24" t="str">
        <f t="array" ref="M279">iferror(XLOOKUP(A279,'Download of SFDC Activation Rep'!B:B,'Download of SFDC Activation Rep'!Z:Z)+150,"")</f>
        <v/>
      </c>
      <c r="N279" s="24" t="str">
        <f t="array" ref="N279">iferror(XLOOKUP(A279,'Download of SFDC Activation Rep'!B:B,'Download of SFDC Activation Rep'!Y:Y),"")</f>
        <v/>
      </c>
    </row>
    <row r="280">
      <c r="B280" s="14"/>
      <c r="C280" s="14"/>
      <c r="D280" s="14"/>
      <c r="E280" s="15"/>
      <c r="F280" s="14"/>
      <c r="G280" s="13" t="str">
        <f t="array" ref="G280">iferror(XLOOKUP(A280,'Download of SFDC Activation Rep'!B:B,'Download of SFDC Activation Rep'!H:H),"")</f>
        <v/>
      </c>
      <c r="H280" s="13" t="str">
        <f t="array" ref="H280">iferror(xlookup(A280,'Download of SFDC Activation Rep'!B:B,'Download of SFDC Activation Rep'!L:L),"")</f>
        <v/>
      </c>
      <c r="I280" s="17" t="str">
        <f t="shared" si="1"/>
        <v>Not Active</v>
      </c>
      <c r="J280" s="17" t="str">
        <f t="array" ref="J280">iferror(XLOOKUP(A280,'Download of SFDC Activation Rep'!B:B,'Download of SFDC Activation Rep'!X:X),"")</f>
        <v/>
      </c>
      <c r="K280" s="17" t="str">
        <f t="array" ref="K280">iferror(XLOOKUP(A280,'Download of SFDC Activation Rep'!B:B,'Download of SFDC Activation Rep'!C:C),"")</f>
        <v/>
      </c>
      <c r="L280" s="18" t="str">
        <f t="array" ref="L280">iferror(XLOOKUP(A280,'Download of SFDC Activation Rep'!B:B,'Download of SFDC Activation Rep'!S:S),"")</f>
        <v/>
      </c>
      <c r="M280" s="24" t="str">
        <f t="array" ref="M280">iferror(XLOOKUP(A280,'Download of SFDC Activation Rep'!B:B,'Download of SFDC Activation Rep'!Z:Z)+150,"")</f>
        <v/>
      </c>
      <c r="N280" s="24" t="str">
        <f t="array" ref="N280">iferror(XLOOKUP(A280,'Download of SFDC Activation Rep'!B:B,'Download of SFDC Activation Rep'!Y:Y),"")</f>
        <v/>
      </c>
    </row>
    <row r="281">
      <c r="B281" s="14"/>
      <c r="C281" s="14"/>
      <c r="D281" s="14"/>
      <c r="E281" s="15"/>
      <c r="F281" s="14"/>
      <c r="G281" s="13" t="str">
        <f t="array" ref="G281">iferror(XLOOKUP(A281,'Download of SFDC Activation Rep'!B:B,'Download of SFDC Activation Rep'!H:H),"")</f>
        <v/>
      </c>
      <c r="H281" s="13" t="str">
        <f t="array" ref="H281">iferror(xlookup(A281,'Download of SFDC Activation Rep'!B:B,'Download of SFDC Activation Rep'!L:L),"")</f>
        <v/>
      </c>
      <c r="I281" s="17" t="str">
        <f t="shared" si="1"/>
        <v>Not Active</v>
      </c>
      <c r="J281" s="17" t="str">
        <f t="array" ref="J281">iferror(XLOOKUP(A281,'Download of SFDC Activation Rep'!B:B,'Download of SFDC Activation Rep'!X:X),"")</f>
        <v/>
      </c>
      <c r="K281" s="17" t="str">
        <f t="array" ref="K281">iferror(XLOOKUP(A281,'Download of SFDC Activation Rep'!B:B,'Download of SFDC Activation Rep'!C:C),"")</f>
        <v/>
      </c>
      <c r="L281" s="18" t="str">
        <f t="array" ref="L281">iferror(XLOOKUP(A281,'Download of SFDC Activation Rep'!B:B,'Download of SFDC Activation Rep'!S:S),"")</f>
        <v/>
      </c>
      <c r="M281" s="24" t="str">
        <f t="array" ref="M281">iferror(XLOOKUP(A281,'Download of SFDC Activation Rep'!B:B,'Download of SFDC Activation Rep'!Z:Z)+150,"")</f>
        <v/>
      </c>
      <c r="N281" s="24" t="str">
        <f t="array" ref="N281">iferror(XLOOKUP(A281,'Download of SFDC Activation Rep'!B:B,'Download of SFDC Activation Rep'!Y:Y),"")</f>
        <v/>
      </c>
    </row>
    <row r="282">
      <c r="B282" s="14"/>
      <c r="C282" s="14"/>
      <c r="D282" s="14"/>
      <c r="E282" s="15"/>
      <c r="F282" s="14"/>
      <c r="G282" s="13" t="str">
        <f t="array" ref="G282">iferror(XLOOKUP(A282,'Download of SFDC Activation Rep'!B:B,'Download of SFDC Activation Rep'!H:H),"")</f>
        <v/>
      </c>
      <c r="H282" s="13" t="str">
        <f t="array" ref="H282">iferror(xlookup(A282,'Download of SFDC Activation Rep'!B:B,'Download of SFDC Activation Rep'!L:L),"")</f>
        <v/>
      </c>
      <c r="I282" s="17" t="str">
        <f t="shared" si="1"/>
        <v>Not Active</v>
      </c>
      <c r="J282" s="17" t="str">
        <f t="array" ref="J282">iferror(XLOOKUP(A282,'Download of SFDC Activation Rep'!B:B,'Download of SFDC Activation Rep'!X:X),"")</f>
        <v/>
      </c>
      <c r="K282" s="17" t="str">
        <f t="array" ref="K282">iferror(XLOOKUP(A282,'Download of SFDC Activation Rep'!B:B,'Download of SFDC Activation Rep'!C:C),"")</f>
        <v/>
      </c>
      <c r="L282" s="18" t="str">
        <f t="array" ref="L282">iferror(XLOOKUP(A282,'Download of SFDC Activation Rep'!B:B,'Download of SFDC Activation Rep'!S:S),"")</f>
        <v/>
      </c>
      <c r="M282" s="24" t="str">
        <f t="array" ref="M282">iferror(XLOOKUP(A282,'Download of SFDC Activation Rep'!B:B,'Download of SFDC Activation Rep'!Z:Z)+150,"")</f>
        <v/>
      </c>
      <c r="N282" s="24" t="str">
        <f t="array" ref="N282">iferror(XLOOKUP(A282,'Download of SFDC Activation Rep'!B:B,'Download of SFDC Activation Rep'!Y:Y),"")</f>
        <v/>
      </c>
    </row>
    <row r="283">
      <c r="B283" s="14"/>
      <c r="C283" s="14"/>
      <c r="D283" s="14"/>
      <c r="E283" s="15"/>
      <c r="F283" s="14"/>
      <c r="G283" s="13" t="str">
        <f t="array" ref="G283">iferror(XLOOKUP(A283,'Download of SFDC Activation Rep'!B:B,'Download of SFDC Activation Rep'!H:H),"")</f>
        <v/>
      </c>
      <c r="H283" s="13" t="str">
        <f t="array" ref="H283">iferror(xlookup(A283,'Download of SFDC Activation Rep'!B:B,'Download of SFDC Activation Rep'!L:L),"")</f>
        <v/>
      </c>
      <c r="I283" s="17" t="str">
        <f t="shared" si="1"/>
        <v>Not Active</v>
      </c>
      <c r="J283" s="17" t="str">
        <f t="array" ref="J283">iferror(XLOOKUP(A283,'Download of SFDC Activation Rep'!B:B,'Download of SFDC Activation Rep'!X:X),"")</f>
        <v/>
      </c>
      <c r="K283" s="17" t="str">
        <f t="array" ref="K283">iferror(XLOOKUP(A283,'Download of SFDC Activation Rep'!B:B,'Download of SFDC Activation Rep'!C:C),"")</f>
        <v/>
      </c>
      <c r="L283" s="18" t="str">
        <f t="array" ref="L283">iferror(XLOOKUP(A283,'Download of SFDC Activation Rep'!B:B,'Download of SFDC Activation Rep'!S:S),"")</f>
        <v/>
      </c>
      <c r="M283" s="24" t="str">
        <f t="array" ref="M283">iferror(XLOOKUP(A283,'Download of SFDC Activation Rep'!B:B,'Download of SFDC Activation Rep'!Z:Z)+150,"")</f>
        <v/>
      </c>
      <c r="N283" s="24" t="str">
        <f t="array" ref="N283">iferror(XLOOKUP(A283,'Download of SFDC Activation Rep'!B:B,'Download of SFDC Activation Rep'!Y:Y),"")</f>
        <v/>
      </c>
    </row>
    <row r="284">
      <c r="B284" s="14"/>
      <c r="C284" s="14"/>
      <c r="D284" s="14"/>
      <c r="E284" s="15"/>
      <c r="F284" s="14"/>
      <c r="G284" s="13" t="str">
        <f t="array" ref="G284">iferror(XLOOKUP(A284,'Download of SFDC Activation Rep'!B:B,'Download of SFDC Activation Rep'!H:H),"")</f>
        <v/>
      </c>
      <c r="H284" s="13" t="str">
        <f t="array" ref="H284">iferror(xlookup(A284,'Download of SFDC Activation Rep'!B:B,'Download of SFDC Activation Rep'!L:L),"")</f>
        <v/>
      </c>
      <c r="I284" s="17" t="str">
        <f t="shared" si="1"/>
        <v>Not Active</v>
      </c>
      <c r="J284" s="17" t="str">
        <f t="array" ref="J284">iferror(XLOOKUP(A284,'Download of SFDC Activation Rep'!B:B,'Download of SFDC Activation Rep'!X:X),"")</f>
        <v/>
      </c>
      <c r="K284" s="17" t="str">
        <f t="array" ref="K284">iferror(XLOOKUP(A284,'Download of SFDC Activation Rep'!B:B,'Download of SFDC Activation Rep'!C:C),"")</f>
        <v/>
      </c>
      <c r="L284" s="18" t="str">
        <f t="array" ref="L284">iferror(XLOOKUP(A284,'Download of SFDC Activation Rep'!B:B,'Download of SFDC Activation Rep'!S:S),"")</f>
        <v/>
      </c>
      <c r="M284" s="24" t="str">
        <f t="array" ref="M284">iferror(XLOOKUP(A284,'Download of SFDC Activation Rep'!B:B,'Download of SFDC Activation Rep'!Z:Z)+150,"")</f>
        <v/>
      </c>
      <c r="N284" s="24" t="str">
        <f t="array" ref="N284">iferror(XLOOKUP(A284,'Download of SFDC Activation Rep'!B:B,'Download of SFDC Activation Rep'!Y:Y),"")</f>
        <v/>
      </c>
    </row>
    <row r="285">
      <c r="B285" s="14"/>
      <c r="C285" s="14"/>
      <c r="D285" s="14"/>
      <c r="E285" s="15"/>
      <c r="F285" s="14"/>
      <c r="G285" s="13" t="str">
        <f t="array" ref="G285">iferror(XLOOKUP(A285,'Download of SFDC Activation Rep'!B:B,'Download of SFDC Activation Rep'!H:H),"")</f>
        <v/>
      </c>
      <c r="H285" s="13" t="str">
        <f t="array" ref="H285">iferror(xlookup(A285,'Download of SFDC Activation Rep'!B:B,'Download of SFDC Activation Rep'!L:L),"")</f>
        <v/>
      </c>
      <c r="I285" s="17" t="str">
        <f t="shared" si="1"/>
        <v>Not Active</v>
      </c>
      <c r="J285" s="17" t="str">
        <f t="array" ref="J285">iferror(XLOOKUP(A285,'Download of SFDC Activation Rep'!B:B,'Download of SFDC Activation Rep'!X:X),"")</f>
        <v/>
      </c>
      <c r="K285" s="17" t="str">
        <f t="array" ref="K285">iferror(XLOOKUP(A285,'Download of SFDC Activation Rep'!B:B,'Download of SFDC Activation Rep'!C:C),"")</f>
        <v/>
      </c>
      <c r="L285" s="18" t="str">
        <f t="array" ref="L285">iferror(XLOOKUP(A285,'Download of SFDC Activation Rep'!B:B,'Download of SFDC Activation Rep'!S:S),"")</f>
        <v/>
      </c>
      <c r="M285" s="24" t="str">
        <f t="array" ref="M285">iferror(XLOOKUP(A285,'Download of SFDC Activation Rep'!B:B,'Download of SFDC Activation Rep'!Z:Z)+150,"")</f>
        <v/>
      </c>
      <c r="N285" s="24" t="str">
        <f t="array" ref="N285">iferror(XLOOKUP(A285,'Download of SFDC Activation Rep'!B:B,'Download of SFDC Activation Rep'!Y:Y),"")</f>
        <v/>
      </c>
    </row>
    <row r="286">
      <c r="B286" s="14"/>
      <c r="C286" s="14"/>
      <c r="D286" s="14"/>
      <c r="E286" s="15"/>
      <c r="F286" s="14"/>
      <c r="G286" s="13" t="str">
        <f t="array" ref="G286">iferror(XLOOKUP(A286,'Download of SFDC Activation Rep'!B:B,'Download of SFDC Activation Rep'!H:H),"")</f>
        <v/>
      </c>
      <c r="H286" s="13" t="str">
        <f t="array" ref="H286">iferror(xlookup(A286,'Download of SFDC Activation Rep'!B:B,'Download of SFDC Activation Rep'!L:L),"")</f>
        <v/>
      </c>
      <c r="I286" s="17" t="str">
        <f t="shared" si="1"/>
        <v>Not Active</v>
      </c>
      <c r="J286" s="17" t="str">
        <f t="array" ref="J286">iferror(XLOOKUP(A286,'Download of SFDC Activation Rep'!B:B,'Download of SFDC Activation Rep'!X:X),"")</f>
        <v/>
      </c>
      <c r="K286" s="17" t="str">
        <f t="array" ref="K286">iferror(XLOOKUP(A286,'Download of SFDC Activation Rep'!B:B,'Download of SFDC Activation Rep'!C:C),"")</f>
        <v/>
      </c>
      <c r="L286" s="18" t="str">
        <f t="array" ref="L286">iferror(XLOOKUP(A286,'Download of SFDC Activation Rep'!B:B,'Download of SFDC Activation Rep'!S:S),"")</f>
        <v/>
      </c>
      <c r="M286" s="24" t="str">
        <f t="array" ref="M286">iferror(XLOOKUP(A286,'Download of SFDC Activation Rep'!B:B,'Download of SFDC Activation Rep'!Z:Z)+150,"")</f>
        <v/>
      </c>
      <c r="N286" s="24" t="str">
        <f t="array" ref="N286">iferror(XLOOKUP(A286,'Download of SFDC Activation Rep'!B:B,'Download of SFDC Activation Rep'!Y:Y),"")</f>
        <v/>
      </c>
    </row>
    <row r="287">
      <c r="B287" s="14"/>
      <c r="C287" s="14"/>
      <c r="D287" s="14"/>
      <c r="E287" s="15"/>
      <c r="F287" s="14"/>
      <c r="G287" s="13" t="str">
        <f t="array" ref="G287">iferror(XLOOKUP(A287,'Download of SFDC Activation Rep'!B:B,'Download of SFDC Activation Rep'!H:H),"")</f>
        <v/>
      </c>
      <c r="H287" s="13" t="str">
        <f t="array" ref="H287">iferror(xlookup(A287,'Download of SFDC Activation Rep'!B:B,'Download of SFDC Activation Rep'!L:L),"")</f>
        <v/>
      </c>
      <c r="I287" s="17" t="str">
        <f t="shared" si="1"/>
        <v>Not Active</v>
      </c>
      <c r="J287" s="17" t="str">
        <f t="array" ref="J287">iferror(XLOOKUP(A287,'Download of SFDC Activation Rep'!B:B,'Download of SFDC Activation Rep'!X:X),"")</f>
        <v/>
      </c>
      <c r="K287" s="17" t="str">
        <f t="array" ref="K287">iferror(XLOOKUP(A287,'Download of SFDC Activation Rep'!B:B,'Download of SFDC Activation Rep'!C:C),"")</f>
        <v/>
      </c>
      <c r="L287" s="18" t="str">
        <f t="array" ref="L287">iferror(XLOOKUP(A287,'Download of SFDC Activation Rep'!B:B,'Download of SFDC Activation Rep'!S:S),"")</f>
        <v/>
      </c>
      <c r="M287" s="24" t="str">
        <f t="array" ref="M287">iferror(XLOOKUP(A287,'Download of SFDC Activation Rep'!B:B,'Download of SFDC Activation Rep'!Z:Z)+150,"")</f>
        <v/>
      </c>
      <c r="N287" s="24" t="str">
        <f t="array" ref="N287">iferror(XLOOKUP(A287,'Download of SFDC Activation Rep'!B:B,'Download of SFDC Activation Rep'!Y:Y),"")</f>
        <v/>
      </c>
    </row>
    <row r="288">
      <c r="B288" s="14"/>
      <c r="C288" s="14"/>
      <c r="D288" s="14"/>
      <c r="E288" s="15"/>
      <c r="F288" s="14"/>
      <c r="G288" s="13" t="str">
        <f t="array" ref="G288">iferror(XLOOKUP(A288,'Download of SFDC Activation Rep'!B:B,'Download of SFDC Activation Rep'!H:H),"")</f>
        <v/>
      </c>
      <c r="H288" s="13" t="str">
        <f t="array" ref="H288">iferror(xlookup(A288,'Download of SFDC Activation Rep'!B:B,'Download of SFDC Activation Rep'!L:L),"")</f>
        <v/>
      </c>
      <c r="I288" s="17" t="str">
        <f t="shared" si="1"/>
        <v>Not Active</v>
      </c>
      <c r="J288" s="17" t="str">
        <f t="array" ref="J288">iferror(XLOOKUP(A288,'Download of SFDC Activation Rep'!B:B,'Download of SFDC Activation Rep'!X:X),"")</f>
        <v/>
      </c>
      <c r="K288" s="17" t="str">
        <f t="array" ref="K288">iferror(XLOOKUP(A288,'Download of SFDC Activation Rep'!B:B,'Download of SFDC Activation Rep'!C:C),"")</f>
        <v/>
      </c>
      <c r="L288" s="18" t="str">
        <f t="array" ref="L288">iferror(XLOOKUP(A288,'Download of SFDC Activation Rep'!B:B,'Download of SFDC Activation Rep'!S:S),"")</f>
        <v/>
      </c>
      <c r="M288" s="24" t="str">
        <f t="array" ref="M288">iferror(XLOOKUP(A288,'Download of SFDC Activation Rep'!B:B,'Download of SFDC Activation Rep'!Z:Z)+150,"")</f>
        <v/>
      </c>
      <c r="N288" s="24" t="str">
        <f t="array" ref="N288">iferror(XLOOKUP(A288,'Download of SFDC Activation Rep'!B:B,'Download of SFDC Activation Rep'!Y:Y),"")</f>
        <v/>
      </c>
    </row>
    <row r="289">
      <c r="B289" s="14"/>
      <c r="C289" s="14"/>
      <c r="D289" s="14"/>
      <c r="E289" s="15"/>
      <c r="F289" s="14"/>
      <c r="G289" s="13" t="str">
        <f t="array" ref="G289">iferror(XLOOKUP(A289,'Download of SFDC Activation Rep'!B:B,'Download of SFDC Activation Rep'!H:H),"")</f>
        <v/>
      </c>
      <c r="H289" s="13" t="str">
        <f t="array" ref="H289">iferror(xlookup(A289,'Download of SFDC Activation Rep'!B:B,'Download of SFDC Activation Rep'!L:L),"")</f>
        <v/>
      </c>
      <c r="I289" s="17" t="str">
        <f t="shared" si="1"/>
        <v>Not Active</v>
      </c>
      <c r="J289" s="17" t="str">
        <f t="array" ref="J289">iferror(XLOOKUP(A289,'Download of SFDC Activation Rep'!B:B,'Download of SFDC Activation Rep'!X:X),"")</f>
        <v/>
      </c>
      <c r="K289" s="17" t="str">
        <f t="array" ref="K289">iferror(XLOOKUP(A289,'Download of SFDC Activation Rep'!B:B,'Download of SFDC Activation Rep'!C:C),"")</f>
        <v/>
      </c>
      <c r="L289" s="18" t="str">
        <f t="array" ref="L289">iferror(XLOOKUP(A289,'Download of SFDC Activation Rep'!B:B,'Download of SFDC Activation Rep'!S:S),"")</f>
        <v/>
      </c>
      <c r="M289" s="24" t="str">
        <f t="array" ref="M289">iferror(XLOOKUP(A289,'Download of SFDC Activation Rep'!B:B,'Download of SFDC Activation Rep'!Z:Z)+150,"")</f>
        <v/>
      </c>
      <c r="N289" s="24" t="str">
        <f t="array" ref="N289">iferror(XLOOKUP(A289,'Download of SFDC Activation Rep'!B:B,'Download of SFDC Activation Rep'!Y:Y),"")</f>
        <v/>
      </c>
    </row>
    <row r="290">
      <c r="B290" s="14"/>
      <c r="C290" s="14"/>
      <c r="D290" s="14"/>
      <c r="E290" s="15"/>
      <c r="F290" s="14"/>
      <c r="G290" s="13" t="str">
        <f t="array" ref="G290">iferror(XLOOKUP(A290,'Download of SFDC Activation Rep'!B:B,'Download of SFDC Activation Rep'!H:H),"")</f>
        <v/>
      </c>
      <c r="H290" s="13" t="str">
        <f t="array" ref="H290">iferror(xlookup(A290,'Download of SFDC Activation Rep'!B:B,'Download of SFDC Activation Rep'!L:L),"")</f>
        <v/>
      </c>
      <c r="I290" s="17" t="str">
        <f t="shared" si="1"/>
        <v>Not Active</v>
      </c>
      <c r="J290" s="17" t="str">
        <f t="array" ref="J290">iferror(XLOOKUP(A290,'Download of SFDC Activation Rep'!B:B,'Download of SFDC Activation Rep'!X:X),"")</f>
        <v/>
      </c>
      <c r="K290" s="17" t="str">
        <f t="array" ref="K290">iferror(XLOOKUP(A290,'Download of SFDC Activation Rep'!B:B,'Download of SFDC Activation Rep'!C:C),"")</f>
        <v/>
      </c>
      <c r="L290" s="18" t="str">
        <f t="array" ref="L290">iferror(XLOOKUP(A290,'Download of SFDC Activation Rep'!B:B,'Download of SFDC Activation Rep'!S:S),"")</f>
        <v/>
      </c>
      <c r="M290" s="24" t="str">
        <f t="array" ref="M290">iferror(XLOOKUP(A290,'Download of SFDC Activation Rep'!B:B,'Download of SFDC Activation Rep'!Z:Z)+150,"")</f>
        <v/>
      </c>
      <c r="N290" s="24" t="str">
        <f t="array" ref="N290">iferror(XLOOKUP(A290,'Download of SFDC Activation Rep'!B:B,'Download of SFDC Activation Rep'!Y:Y),"")</f>
        <v/>
      </c>
    </row>
    <row r="291">
      <c r="B291" s="14"/>
      <c r="C291" s="14"/>
      <c r="D291" s="14"/>
      <c r="E291" s="15"/>
      <c r="F291" s="14"/>
      <c r="G291" s="13" t="str">
        <f t="array" ref="G291">iferror(XLOOKUP(A291,'Download of SFDC Activation Rep'!B:B,'Download of SFDC Activation Rep'!H:H),"")</f>
        <v/>
      </c>
      <c r="H291" s="13" t="str">
        <f t="array" ref="H291">iferror(xlookup(A291,'Download of SFDC Activation Rep'!B:B,'Download of SFDC Activation Rep'!L:L),"")</f>
        <v/>
      </c>
      <c r="I291" s="17" t="str">
        <f t="shared" si="1"/>
        <v>Not Active</v>
      </c>
      <c r="J291" s="17" t="str">
        <f t="array" ref="J291">iferror(XLOOKUP(A291,'Download of SFDC Activation Rep'!B:B,'Download of SFDC Activation Rep'!X:X),"")</f>
        <v/>
      </c>
      <c r="K291" s="17" t="str">
        <f t="array" ref="K291">iferror(XLOOKUP(A291,'Download of SFDC Activation Rep'!B:B,'Download of SFDC Activation Rep'!C:C),"")</f>
        <v/>
      </c>
      <c r="L291" s="18" t="str">
        <f t="array" ref="L291">iferror(XLOOKUP(A291,'Download of SFDC Activation Rep'!B:B,'Download of SFDC Activation Rep'!S:S),"")</f>
        <v/>
      </c>
      <c r="M291" s="24" t="str">
        <f t="array" ref="M291">iferror(XLOOKUP(A291,'Download of SFDC Activation Rep'!B:B,'Download of SFDC Activation Rep'!Z:Z)+150,"")</f>
        <v/>
      </c>
      <c r="N291" s="24" t="str">
        <f t="array" ref="N291">iferror(XLOOKUP(A291,'Download of SFDC Activation Rep'!B:B,'Download of SFDC Activation Rep'!Y:Y),"")</f>
        <v/>
      </c>
    </row>
    <row r="292">
      <c r="B292" s="14"/>
      <c r="C292" s="14"/>
      <c r="D292" s="14"/>
      <c r="E292" s="15"/>
      <c r="F292" s="14"/>
      <c r="G292" s="13" t="str">
        <f t="array" ref="G292">iferror(XLOOKUP(A292,'Download of SFDC Activation Rep'!B:B,'Download of SFDC Activation Rep'!H:H),"")</f>
        <v/>
      </c>
      <c r="H292" s="13" t="str">
        <f t="array" ref="H292">iferror(xlookup(A292,'Download of SFDC Activation Rep'!B:B,'Download of SFDC Activation Rep'!L:L),"")</f>
        <v/>
      </c>
      <c r="I292" s="17" t="str">
        <f t="shared" si="1"/>
        <v>Not Active</v>
      </c>
      <c r="J292" s="17" t="str">
        <f t="array" ref="J292">iferror(XLOOKUP(A292,'Download of SFDC Activation Rep'!B:B,'Download of SFDC Activation Rep'!X:X),"")</f>
        <v/>
      </c>
      <c r="K292" s="17" t="str">
        <f t="array" ref="K292">iferror(XLOOKUP(A292,'Download of SFDC Activation Rep'!B:B,'Download of SFDC Activation Rep'!C:C),"")</f>
        <v/>
      </c>
      <c r="L292" s="18" t="str">
        <f t="array" ref="L292">iferror(XLOOKUP(A292,'Download of SFDC Activation Rep'!B:B,'Download of SFDC Activation Rep'!S:S),"")</f>
        <v/>
      </c>
      <c r="M292" s="24" t="str">
        <f t="array" ref="M292">iferror(XLOOKUP(A292,'Download of SFDC Activation Rep'!B:B,'Download of SFDC Activation Rep'!Z:Z)+150,"")</f>
        <v/>
      </c>
      <c r="N292" s="24" t="str">
        <f t="array" ref="N292">iferror(XLOOKUP(A292,'Download of SFDC Activation Rep'!B:B,'Download of SFDC Activation Rep'!Y:Y),"")</f>
        <v/>
      </c>
    </row>
    <row r="293">
      <c r="B293" s="14"/>
      <c r="C293" s="14"/>
      <c r="D293" s="14"/>
      <c r="E293" s="15"/>
      <c r="F293" s="14"/>
      <c r="G293" s="13" t="str">
        <f t="array" ref="G293">iferror(XLOOKUP(A293,'Download of SFDC Activation Rep'!B:B,'Download of SFDC Activation Rep'!H:H),"")</f>
        <v/>
      </c>
      <c r="H293" s="13" t="str">
        <f t="array" ref="H293">iferror(xlookup(A293,'Download of SFDC Activation Rep'!B:B,'Download of SFDC Activation Rep'!L:L),"")</f>
        <v/>
      </c>
      <c r="I293" s="17" t="str">
        <f t="shared" si="1"/>
        <v>Not Active</v>
      </c>
      <c r="J293" s="17" t="str">
        <f t="array" ref="J293">iferror(XLOOKUP(A293,'Download of SFDC Activation Rep'!B:B,'Download of SFDC Activation Rep'!X:X),"")</f>
        <v/>
      </c>
      <c r="K293" s="17" t="str">
        <f t="array" ref="K293">iferror(XLOOKUP(A293,'Download of SFDC Activation Rep'!B:B,'Download of SFDC Activation Rep'!C:C),"")</f>
        <v/>
      </c>
      <c r="L293" s="18" t="str">
        <f t="array" ref="L293">iferror(XLOOKUP(A293,'Download of SFDC Activation Rep'!B:B,'Download of SFDC Activation Rep'!S:S),"")</f>
        <v/>
      </c>
      <c r="M293" s="24" t="str">
        <f t="array" ref="M293">iferror(XLOOKUP(A293,'Download of SFDC Activation Rep'!B:B,'Download of SFDC Activation Rep'!Z:Z)+150,"")</f>
        <v/>
      </c>
      <c r="N293" s="24" t="str">
        <f t="array" ref="N293">iferror(XLOOKUP(A293,'Download of SFDC Activation Rep'!B:B,'Download of SFDC Activation Rep'!Y:Y),"")</f>
        <v/>
      </c>
    </row>
    <row r="294">
      <c r="B294" s="14"/>
      <c r="C294" s="14"/>
      <c r="D294" s="14"/>
      <c r="E294" s="15"/>
      <c r="F294" s="14"/>
      <c r="G294" s="13" t="str">
        <f t="array" ref="G294">iferror(XLOOKUP(A294,'Download of SFDC Activation Rep'!B:B,'Download of SFDC Activation Rep'!H:H),"")</f>
        <v/>
      </c>
      <c r="H294" s="13" t="str">
        <f t="array" ref="H294">iferror(xlookup(A294,'Download of SFDC Activation Rep'!B:B,'Download of SFDC Activation Rep'!L:L),"")</f>
        <v/>
      </c>
      <c r="I294" s="17" t="str">
        <f t="shared" si="1"/>
        <v>Not Active</v>
      </c>
      <c r="J294" s="17" t="str">
        <f t="array" ref="J294">iferror(XLOOKUP(A294,'Download of SFDC Activation Rep'!B:B,'Download of SFDC Activation Rep'!X:X),"")</f>
        <v/>
      </c>
      <c r="K294" s="17" t="str">
        <f t="array" ref="K294">iferror(XLOOKUP(A294,'Download of SFDC Activation Rep'!B:B,'Download of SFDC Activation Rep'!C:C),"")</f>
        <v/>
      </c>
      <c r="L294" s="18" t="str">
        <f t="array" ref="L294">iferror(XLOOKUP(A294,'Download of SFDC Activation Rep'!B:B,'Download of SFDC Activation Rep'!S:S),"")</f>
        <v/>
      </c>
      <c r="M294" s="24" t="str">
        <f t="array" ref="M294">iferror(XLOOKUP(A294,'Download of SFDC Activation Rep'!B:B,'Download of SFDC Activation Rep'!Z:Z)+150,"")</f>
        <v/>
      </c>
      <c r="N294" s="24" t="str">
        <f t="array" ref="N294">iferror(XLOOKUP(A294,'Download of SFDC Activation Rep'!B:B,'Download of SFDC Activation Rep'!Y:Y),"")</f>
        <v/>
      </c>
    </row>
    <row r="295">
      <c r="B295" s="14"/>
      <c r="C295" s="14"/>
      <c r="D295" s="14"/>
      <c r="E295" s="15"/>
      <c r="F295" s="14"/>
      <c r="G295" s="13" t="str">
        <f t="array" ref="G295">iferror(XLOOKUP(A295,'Download of SFDC Activation Rep'!B:B,'Download of SFDC Activation Rep'!H:H),"")</f>
        <v/>
      </c>
      <c r="H295" s="13" t="str">
        <f t="array" ref="H295">iferror(xlookup(A295,'Download of SFDC Activation Rep'!B:B,'Download of SFDC Activation Rep'!L:L),"")</f>
        <v/>
      </c>
      <c r="I295" s="17" t="str">
        <f t="shared" si="1"/>
        <v>Not Active</v>
      </c>
      <c r="J295" s="17" t="str">
        <f t="array" ref="J295">iferror(XLOOKUP(A295,'Download of SFDC Activation Rep'!B:B,'Download of SFDC Activation Rep'!X:X),"")</f>
        <v/>
      </c>
      <c r="K295" s="17" t="str">
        <f t="array" ref="K295">iferror(XLOOKUP(A295,'Download of SFDC Activation Rep'!B:B,'Download of SFDC Activation Rep'!C:C),"")</f>
        <v/>
      </c>
      <c r="L295" s="18" t="str">
        <f t="array" ref="L295">iferror(XLOOKUP(A295,'Download of SFDC Activation Rep'!B:B,'Download of SFDC Activation Rep'!S:S),"")</f>
        <v/>
      </c>
      <c r="M295" s="24" t="str">
        <f t="array" ref="M295">iferror(XLOOKUP(A295,'Download of SFDC Activation Rep'!B:B,'Download of SFDC Activation Rep'!Z:Z)+150,"")</f>
        <v/>
      </c>
      <c r="N295" s="24" t="str">
        <f t="array" ref="N295">iferror(XLOOKUP(A295,'Download of SFDC Activation Rep'!B:B,'Download of SFDC Activation Rep'!Y:Y),"")</f>
        <v/>
      </c>
    </row>
    <row r="296">
      <c r="B296" s="14"/>
      <c r="C296" s="14"/>
      <c r="D296" s="14"/>
      <c r="E296" s="15"/>
      <c r="F296" s="14"/>
      <c r="G296" s="13" t="str">
        <f t="array" ref="G296">iferror(XLOOKUP(A296,'Download of SFDC Activation Rep'!B:B,'Download of SFDC Activation Rep'!H:H),"")</f>
        <v/>
      </c>
      <c r="H296" s="13" t="str">
        <f t="array" ref="H296">iferror(xlookup(A296,'Download of SFDC Activation Rep'!B:B,'Download of SFDC Activation Rep'!L:L),"")</f>
        <v/>
      </c>
      <c r="I296" s="17" t="str">
        <f t="shared" si="1"/>
        <v>Not Active</v>
      </c>
      <c r="J296" s="17" t="str">
        <f t="array" ref="J296">iferror(XLOOKUP(A296,'Download of SFDC Activation Rep'!B:B,'Download of SFDC Activation Rep'!X:X),"")</f>
        <v/>
      </c>
      <c r="K296" s="17" t="str">
        <f t="array" ref="K296">iferror(XLOOKUP(A296,'Download of SFDC Activation Rep'!B:B,'Download of SFDC Activation Rep'!C:C),"")</f>
        <v/>
      </c>
      <c r="L296" s="18" t="str">
        <f t="array" ref="L296">iferror(XLOOKUP(A296,'Download of SFDC Activation Rep'!B:B,'Download of SFDC Activation Rep'!S:S),"")</f>
        <v/>
      </c>
      <c r="M296" s="24" t="str">
        <f t="array" ref="M296">iferror(XLOOKUP(A296,'Download of SFDC Activation Rep'!B:B,'Download of SFDC Activation Rep'!Z:Z)+150,"")</f>
        <v/>
      </c>
      <c r="N296" s="24" t="str">
        <f t="array" ref="N296">iferror(XLOOKUP(A296,'Download of SFDC Activation Rep'!B:B,'Download of SFDC Activation Rep'!Y:Y),"")</f>
        <v/>
      </c>
    </row>
    <row r="297">
      <c r="B297" s="14"/>
      <c r="C297" s="14"/>
      <c r="D297" s="14"/>
      <c r="E297" s="15"/>
      <c r="F297" s="14"/>
      <c r="G297" s="13" t="str">
        <f t="array" ref="G297">iferror(XLOOKUP(A297,'Download of SFDC Activation Rep'!B:B,'Download of SFDC Activation Rep'!H:H),"")</f>
        <v/>
      </c>
      <c r="H297" s="13" t="str">
        <f t="array" ref="H297">iferror(xlookup(A297,'Download of SFDC Activation Rep'!B:B,'Download of SFDC Activation Rep'!L:L),"")</f>
        <v/>
      </c>
      <c r="I297" s="17" t="str">
        <f t="shared" si="1"/>
        <v>Not Active</v>
      </c>
      <c r="J297" s="17" t="str">
        <f t="array" ref="J297">iferror(XLOOKUP(A297,'Download of SFDC Activation Rep'!B:B,'Download of SFDC Activation Rep'!X:X),"")</f>
        <v/>
      </c>
      <c r="K297" s="17" t="str">
        <f t="array" ref="K297">iferror(XLOOKUP(A297,'Download of SFDC Activation Rep'!B:B,'Download of SFDC Activation Rep'!C:C),"")</f>
        <v/>
      </c>
      <c r="L297" s="18" t="str">
        <f t="array" ref="L297">iferror(XLOOKUP(A297,'Download of SFDC Activation Rep'!B:B,'Download of SFDC Activation Rep'!S:S),"")</f>
        <v/>
      </c>
      <c r="M297" s="24" t="str">
        <f t="array" ref="M297">iferror(XLOOKUP(A297,'Download of SFDC Activation Rep'!B:B,'Download of SFDC Activation Rep'!Z:Z)+150,"")</f>
        <v/>
      </c>
      <c r="N297" s="24" t="str">
        <f t="array" ref="N297">iferror(XLOOKUP(A297,'Download of SFDC Activation Rep'!B:B,'Download of SFDC Activation Rep'!Y:Y),"")</f>
        <v/>
      </c>
    </row>
    <row r="298">
      <c r="B298" s="14"/>
      <c r="C298" s="14"/>
      <c r="D298" s="14"/>
      <c r="E298" s="15"/>
      <c r="F298" s="14"/>
      <c r="G298" s="13" t="str">
        <f t="array" ref="G298">iferror(XLOOKUP(A298,'Download of SFDC Activation Rep'!B:B,'Download of SFDC Activation Rep'!H:H),"")</f>
        <v/>
      </c>
      <c r="H298" s="13" t="str">
        <f t="array" ref="H298">iferror(xlookup(A298,'Download of SFDC Activation Rep'!B:B,'Download of SFDC Activation Rep'!L:L),"")</f>
        <v/>
      </c>
      <c r="I298" s="17" t="str">
        <f t="shared" si="1"/>
        <v>Not Active</v>
      </c>
      <c r="J298" s="17" t="str">
        <f t="array" ref="J298">iferror(XLOOKUP(A298,'Download of SFDC Activation Rep'!B:B,'Download of SFDC Activation Rep'!X:X),"")</f>
        <v/>
      </c>
      <c r="K298" s="17" t="str">
        <f t="array" ref="K298">iferror(XLOOKUP(A298,'Download of SFDC Activation Rep'!B:B,'Download of SFDC Activation Rep'!C:C),"")</f>
        <v/>
      </c>
      <c r="L298" s="18" t="str">
        <f t="array" ref="L298">iferror(XLOOKUP(A298,'Download of SFDC Activation Rep'!B:B,'Download of SFDC Activation Rep'!S:S),"")</f>
        <v/>
      </c>
      <c r="M298" s="24" t="str">
        <f t="array" ref="M298">iferror(XLOOKUP(A298,'Download of SFDC Activation Rep'!B:B,'Download of SFDC Activation Rep'!Z:Z)+150,"")</f>
        <v/>
      </c>
      <c r="N298" s="24" t="str">
        <f t="array" ref="N298">iferror(XLOOKUP(A298,'Download of SFDC Activation Rep'!B:B,'Download of SFDC Activation Rep'!Y:Y),"")</f>
        <v/>
      </c>
    </row>
    <row r="299">
      <c r="B299" s="14"/>
      <c r="C299" s="14"/>
      <c r="D299" s="14"/>
      <c r="E299" s="15"/>
      <c r="F299" s="14"/>
      <c r="G299" s="13" t="str">
        <f t="array" ref="G299">iferror(XLOOKUP(A299,'Download of SFDC Activation Rep'!B:B,'Download of SFDC Activation Rep'!H:H),"")</f>
        <v/>
      </c>
      <c r="H299" s="13" t="str">
        <f t="array" ref="H299">iferror(xlookup(A299,'Download of SFDC Activation Rep'!B:B,'Download of SFDC Activation Rep'!L:L),"")</f>
        <v/>
      </c>
      <c r="I299" s="17" t="str">
        <f t="shared" si="1"/>
        <v>Not Active</v>
      </c>
      <c r="J299" s="17" t="str">
        <f t="array" ref="J299">iferror(XLOOKUP(A299,'Download of SFDC Activation Rep'!B:B,'Download of SFDC Activation Rep'!X:X),"")</f>
        <v/>
      </c>
      <c r="K299" s="17" t="str">
        <f t="array" ref="K299">iferror(XLOOKUP(A299,'Download of SFDC Activation Rep'!B:B,'Download of SFDC Activation Rep'!C:C),"")</f>
        <v/>
      </c>
      <c r="L299" s="18" t="str">
        <f t="array" ref="L299">iferror(XLOOKUP(A299,'Download of SFDC Activation Rep'!B:B,'Download of SFDC Activation Rep'!S:S),"")</f>
        <v/>
      </c>
      <c r="M299" s="24" t="str">
        <f t="array" ref="M299">iferror(XLOOKUP(A299,'Download of SFDC Activation Rep'!B:B,'Download of SFDC Activation Rep'!Z:Z)+150,"")</f>
        <v/>
      </c>
      <c r="N299" s="24" t="str">
        <f t="array" ref="N299">iferror(XLOOKUP(A299,'Download of SFDC Activation Rep'!B:B,'Download of SFDC Activation Rep'!Y:Y),"")</f>
        <v/>
      </c>
    </row>
    <row r="300">
      <c r="B300" s="14"/>
      <c r="C300" s="14"/>
      <c r="D300" s="14"/>
      <c r="E300" s="15"/>
      <c r="F300" s="14"/>
      <c r="G300" s="13" t="str">
        <f t="array" ref="G300">iferror(XLOOKUP(A300,'Download of SFDC Activation Rep'!B:B,'Download of SFDC Activation Rep'!H:H),"")</f>
        <v/>
      </c>
      <c r="H300" s="13" t="str">
        <f t="array" ref="H300">iferror(xlookup(A300,'Download of SFDC Activation Rep'!B:B,'Download of SFDC Activation Rep'!L:L),"")</f>
        <v/>
      </c>
      <c r="I300" s="17" t="str">
        <f t="shared" si="1"/>
        <v>Not Active</v>
      </c>
      <c r="J300" s="17" t="str">
        <f t="array" ref="J300">iferror(XLOOKUP(A300,'Download of SFDC Activation Rep'!B:B,'Download of SFDC Activation Rep'!X:X),"")</f>
        <v/>
      </c>
      <c r="K300" s="17" t="str">
        <f t="array" ref="K300">iferror(XLOOKUP(A300,'Download of SFDC Activation Rep'!B:B,'Download of SFDC Activation Rep'!C:C),"")</f>
        <v/>
      </c>
      <c r="L300" s="18" t="str">
        <f t="array" ref="L300">iferror(XLOOKUP(A300,'Download of SFDC Activation Rep'!B:B,'Download of SFDC Activation Rep'!S:S),"")</f>
        <v/>
      </c>
      <c r="M300" s="24" t="str">
        <f t="array" ref="M300">iferror(XLOOKUP(A300,'Download of SFDC Activation Rep'!B:B,'Download of SFDC Activation Rep'!Z:Z)+150,"")</f>
        <v/>
      </c>
      <c r="N300" s="24" t="str">
        <f t="array" ref="N300">iferror(XLOOKUP(A300,'Download of SFDC Activation Rep'!B:B,'Download of SFDC Activation Rep'!Y:Y),"")</f>
        <v/>
      </c>
    </row>
    <row r="301">
      <c r="B301" s="14"/>
      <c r="C301" s="14"/>
      <c r="D301" s="14"/>
      <c r="E301" s="15"/>
      <c r="F301" s="14"/>
      <c r="G301" s="13" t="str">
        <f t="array" ref="G301">iferror(XLOOKUP(A301,'Download of SFDC Activation Rep'!B:B,'Download of SFDC Activation Rep'!H:H),"")</f>
        <v/>
      </c>
      <c r="H301" s="13" t="str">
        <f t="array" ref="H301">iferror(xlookup(A301,'Download of SFDC Activation Rep'!B:B,'Download of SFDC Activation Rep'!L:L),"")</f>
        <v/>
      </c>
      <c r="I301" s="17" t="str">
        <f t="shared" si="1"/>
        <v>Not Active</v>
      </c>
      <c r="J301" s="17" t="str">
        <f t="array" ref="J301">iferror(XLOOKUP(A301,'Download of SFDC Activation Rep'!B:B,'Download of SFDC Activation Rep'!X:X),"")</f>
        <v/>
      </c>
      <c r="K301" s="17" t="str">
        <f t="array" ref="K301">iferror(XLOOKUP(A301,'Download of SFDC Activation Rep'!B:B,'Download of SFDC Activation Rep'!C:C),"")</f>
        <v/>
      </c>
      <c r="L301" s="18" t="str">
        <f t="array" ref="L301">iferror(XLOOKUP(A301,'Download of SFDC Activation Rep'!B:B,'Download of SFDC Activation Rep'!S:S),"")</f>
        <v/>
      </c>
      <c r="M301" s="24" t="str">
        <f t="array" ref="M301">iferror(XLOOKUP(A301,'Download of SFDC Activation Rep'!B:B,'Download of SFDC Activation Rep'!Z:Z)+150,"")</f>
        <v/>
      </c>
      <c r="N301" s="24" t="str">
        <f t="array" ref="N301">iferror(XLOOKUP(A301,'Download of SFDC Activation Rep'!B:B,'Download of SFDC Activation Rep'!Y:Y),"")</f>
        <v/>
      </c>
    </row>
    <row r="302">
      <c r="B302" s="14"/>
      <c r="C302" s="14"/>
      <c r="D302" s="14"/>
      <c r="E302" s="15"/>
      <c r="F302" s="14"/>
      <c r="G302" s="13" t="str">
        <f t="array" ref="G302">iferror(XLOOKUP(A302,'Download of SFDC Activation Rep'!B:B,'Download of SFDC Activation Rep'!H:H),"")</f>
        <v/>
      </c>
      <c r="H302" s="13" t="str">
        <f t="array" ref="H302">iferror(xlookup(A302,'Download of SFDC Activation Rep'!B:B,'Download of SFDC Activation Rep'!L:L),"")</f>
        <v/>
      </c>
      <c r="I302" s="17" t="str">
        <f t="shared" si="1"/>
        <v>Not Active</v>
      </c>
      <c r="J302" s="17" t="str">
        <f t="array" ref="J302">iferror(XLOOKUP(A302,'Download of SFDC Activation Rep'!B:B,'Download of SFDC Activation Rep'!X:X),"")</f>
        <v/>
      </c>
      <c r="K302" s="17" t="str">
        <f t="array" ref="K302">iferror(XLOOKUP(A302,'Download of SFDC Activation Rep'!B:B,'Download of SFDC Activation Rep'!C:C),"")</f>
        <v/>
      </c>
      <c r="L302" s="18" t="str">
        <f t="array" ref="L302">iferror(XLOOKUP(A302,'Download of SFDC Activation Rep'!B:B,'Download of SFDC Activation Rep'!S:S),"")</f>
        <v/>
      </c>
      <c r="M302" s="24" t="str">
        <f t="array" ref="M302">iferror(XLOOKUP(A302,'Download of SFDC Activation Rep'!B:B,'Download of SFDC Activation Rep'!Z:Z)+150,"")</f>
        <v/>
      </c>
      <c r="N302" s="24" t="str">
        <f t="array" ref="N302">iferror(XLOOKUP(A302,'Download of SFDC Activation Rep'!B:B,'Download of SFDC Activation Rep'!Y:Y),"")</f>
        <v/>
      </c>
    </row>
    <row r="303">
      <c r="B303" s="14"/>
      <c r="C303" s="14"/>
      <c r="D303" s="14"/>
      <c r="E303" s="15"/>
      <c r="F303" s="14"/>
      <c r="G303" s="13" t="str">
        <f t="array" ref="G303">iferror(XLOOKUP(A303,'Download of SFDC Activation Rep'!B:B,'Download of SFDC Activation Rep'!H:H),"")</f>
        <v/>
      </c>
      <c r="H303" s="13" t="str">
        <f t="array" ref="H303">iferror(xlookup(A303,'Download of SFDC Activation Rep'!B:B,'Download of SFDC Activation Rep'!L:L),"")</f>
        <v/>
      </c>
      <c r="I303" s="17" t="str">
        <f t="shared" si="1"/>
        <v>Not Active</v>
      </c>
      <c r="J303" s="17" t="str">
        <f t="array" ref="J303">iferror(XLOOKUP(A303,'Download of SFDC Activation Rep'!B:B,'Download of SFDC Activation Rep'!X:X),"")</f>
        <v/>
      </c>
      <c r="K303" s="17" t="str">
        <f t="array" ref="K303">iferror(XLOOKUP(A303,'Download of SFDC Activation Rep'!B:B,'Download of SFDC Activation Rep'!C:C),"")</f>
        <v/>
      </c>
      <c r="L303" s="18" t="str">
        <f t="array" ref="L303">iferror(XLOOKUP(A303,'Download of SFDC Activation Rep'!B:B,'Download of SFDC Activation Rep'!S:S),"")</f>
        <v/>
      </c>
      <c r="M303" s="24" t="str">
        <f t="array" ref="M303">iferror(XLOOKUP(A303,'Download of SFDC Activation Rep'!B:B,'Download of SFDC Activation Rep'!Z:Z)+150,"")</f>
        <v/>
      </c>
      <c r="N303" s="24" t="str">
        <f t="array" ref="N303">iferror(XLOOKUP(A303,'Download of SFDC Activation Rep'!B:B,'Download of SFDC Activation Rep'!Y:Y),"")</f>
        <v/>
      </c>
    </row>
    <row r="304">
      <c r="B304" s="14"/>
      <c r="C304" s="14"/>
      <c r="D304" s="14"/>
      <c r="E304" s="15"/>
      <c r="F304" s="14"/>
      <c r="G304" s="13" t="str">
        <f t="array" ref="G304">iferror(XLOOKUP(A304,'Download of SFDC Activation Rep'!B:B,'Download of SFDC Activation Rep'!H:H),"")</f>
        <v/>
      </c>
      <c r="H304" s="13" t="str">
        <f t="array" ref="H304">iferror(xlookup(A304,'Download of SFDC Activation Rep'!B:B,'Download of SFDC Activation Rep'!L:L),"")</f>
        <v/>
      </c>
      <c r="I304" s="17" t="str">
        <f t="shared" si="1"/>
        <v>Not Active</v>
      </c>
      <c r="J304" s="17" t="str">
        <f t="array" ref="J304">iferror(XLOOKUP(A304,'Download of SFDC Activation Rep'!B:B,'Download of SFDC Activation Rep'!X:X),"")</f>
        <v/>
      </c>
      <c r="K304" s="17" t="str">
        <f t="array" ref="K304">iferror(XLOOKUP(A304,'Download of SFDC Activation Rep'!B:B,'Download of SFDC Activation Rep'!C:C),"")</f>
        <v/>
      </c>
      <c r="L304" s="18" t="str">
        <f t="array" ref="L304">iferror(XLOOKUP(A304,'Download of SFDC Activation Rep'!B:B,'Download of SFDC Activation Rep'!S:S),"")</f>
        <v/>
      </c>
      <c r="M304" s="24" t="str">
        <f t="array" ref="M304">iferror(XLOOKUP(A304,'Download of SFDC Activation Rep'!B:B,'Download of SFDC Activation Rep'!Z:Z)+150,"")</f>
        <v/>
      </c>
      <c r="N304" s="24" t="str">
        <f t="array" ref="N304">iferror(XLOOKUP(A304,'Download of SFDC Activation Rep'!B:B,'Download of SFDC Activation Rep'!Y:Y),"")</f>
        <v/>
      </c>
    </row>
    <row r="305">
      <c r="B305" s="14"/>
      <c r="C305" s="14"/>
      <c r="D305" s="14"/>
      <c r="E305" s="15"/>
      <c r="F305" s="14"/>
      <c r="G305" s="13" t="str">
        <f t="array" ref="G305">iferror(XLOOKUP(A305,'Download of SFDC Activation Rep'!B:B,'Download of SFDC Activation Rep'!H:H),"")</f>
        <v/>
      </c>
      <c r="H305" s="13" t="str">
        <f t="array" ref="H305">iferror(xlookup(A305,'Download of SFDC Activation Rep'!B:B,'Download of SFDC Activation Rep'!L:L),"")</f>
        <v/>
      </c>
      <c r="I305" s="17" t="str">
        <f t="shared" si="1"/>
        <v>Not Active</v>
      </c>
      <c r="J305" s="17" t="str">
        <f t="array" ref="J305">iferror(XLOOKUP(A305,'Download of SFDC Activation Rep'!B:B,'Download of SFDC Activation Rep'!X:X),"")</f>
        <v/>
      </c>
      <c r="K305" s="17" t="str">
        <f t="array" ref="K305">iferror(XLOOKUP(A305,'Download of SFDC Activation Rep'!B:B,'Download of SFDC Activation Rep'!C:C),"")</f>
        <v/>
      </c>
      <c r="L305" s="18" t="str">
        <f t="array" ref="L305">iferror(XLOOKUP(A305,'Download of SFDC Activation Rep'!B:B,'Download of SFDC Activation Rep'!S:S),"")</f>
        <v/>
      </c>
      <c r="M305" s="24" t="str">
        <f t="array" ref="M305">iferror(XLOOKUP(A305,'Download of SFDC Activation Rep'!B:B,'Download of SFDC Activation Rep'!Z:Z)+150,"")</f>
        <v/>
      </c>
      <c r="N305" s="24" t="str">
        <f t="array" ref="N305">iferror(XLOOKUP(A305,'Download of SFDC Activation Rep'!B:B,'Download of SFDC Activation Rep'!Y:Y),"")</f>
        <v/>
      </c>
    </row>
    <row r="306">
      <c r="B306" s="14"/>
      <c r="C306" s="14"/>
      <c r="D306" s="14"/>
      <c r="E306" s="15"/>
      <c r="F306" s="14"/>
      <c r="G306" s="13" t="str">
        <f t="array" ref="G306">iferror(XLOOKUP(A306,'Download of SFDC Activation Rep'!B:B,'Download of SFDC Activation Rep'!H:H),"")</f>
        <v/>
      </c>
      <c r="H306" s="13" t="str">
        <f t="array" ref="H306">iferror(xlookup(A306,'Download of SFDC Activation Rep'!B:B,'Download of SFDC Activation Rep'!L:L),"")</f>
        <v/>
      </c>
      <c r="I306" s="17" t="str">
        <f t="shared" si="1"/>
        <v>Not Active</v>
      </c>
      <c r="J306" s="17" t="str">
        <f t="array" ref="J306">iferror(XLOOKUP(A306,'Download of SFDC Activation Rep'!B:B,'Download of SFDC Activation Rep'!X:X),"")</f>
        <v/>
      </c>
      <c r="K306" s="17" t="str">
        <f t="array" ref="K306">iferror(XLOOKUP(A306,'Download of SFDC Activation Rep'!B:B,'Download of SFDC Activation Rep'!C:C),"")</f>
        <v/>
      </c>
      <c r="L306" s="18" t="str">
        <f t="array" ref="L306">iferror(XLOOKUP(A306,'Download of SFDC Activation Rep'!B:B,'Download of SFDC Activation Rep'!S:S),"")</f>
        <v/>
      </c>
      <c r="M306" s="24" t="str">
        <f t="array" ref="M306">iferror(XLOOKUP(A306,'Download of SFDC Activation Rep'!B:B,'Download of SFDC Activation Rep'!Z:Z)+150,"")</f>
        <v/>
      </c>
      <c r="N306" s="24" t="str">
        <f t="array" ref="N306">iferror(XLOOKUP(A306,'Download of SFDC Activation Rep'!B:B,'Download of SFDC Activation Rep'!Y:Y),"")</f>
        <v/>
      </c>
    </row>
    <row r="307">
      <c r="B307" s="14"/>
      <c r="C307" s="14"/>
      <c r="D307" s="14"/>
      <c r="E307" s="15"/>
      <c r="F307" s="14"/>
      <c r="G307" s="13" t="str">
        <f t="array" ref="G307">iferror(XLOOKUP(A307,'Download of SFDC Activation Rep'!B:B,'Download of SFDC Activation Rep'!H:H),"")</f>
        <v/>
      </c>
      <c r="H307" s="13" t="str">
        <f t="array" ref="H307">iferror(xlookup(A307,'Download of SFDC Activation Rep'!B:B,'Download of SFDC Activation Rep'!L:L),"")</f>
        <v/>
      </c>
      <c r="I307" s="17" t="str">
        <f t="shared" si="1"/>
        <v>Not Active</v>
      </c>
      <c r="J307" s="17" t="str">
        <f t="array" ref="J307">iferror(XLOOKUP(A307,'Download of SFDC Activation Rep'!B:B,'Download of SFDC Activation Rep'!X:X),"")</f>
        <v/>
      </c>
      <c r="K307" s="17" t="str">
        <f t="array" ref="K307">iferror(XLOOKUP(A307,'Download of SFDC Activation Rep'!B:B,'Download of SFDC Activation Rep'!C:C),"")</f>
        <v/>
      </c>
      <c r="L307" s="18" t="str">
        <f t="array" ref="L307">iferror(XLOOKUP(A307,'Download of SFDC Activation Rep'!B:B,'Download of SFDC Activation Rep'!S:S),"")</f>
        <v/>
      </c>
      <c r="M307" s="24" t="str">
        <f t="array" ref="M307">iferror(XLOOKUP(A307,'Download of SFDC Activation Rep'!B:B,'Download of SFDC Activation Rep'!Z:Z)+150,"")</f>
        <v/>
      </c>
      <c r="N307" s="24" t="str">
        <f t="array" ref="N307">iferror(XLOOKUP(A307,'Download of SFDC Activation Rep'!B:B,'Download of SFDC Activation Rep'!Y:Y),"")</f>
        <v/>
      </c>
    </row>
    <row r="308">
      <c r="B308" s="14"/>
      <c r="C308" s="14"/>
      <c r="D308" s="14"/>
      <c r="E308" s="15"/>
      <c r="F308" s="14"/>
      <c r="G308" s="13" t="str">
        <f t="array" ref="G308">iferror(XLOOKUP(A308,'Download of SFDC Activation Rep'!B:B,'Download of SFDC Activation Rep'!H:H),"")</f>
        <v/>
      </c>
      <c r="H308" s="13" t="str">
        <f t="array" ref="H308">iferror(xlookup(A308,'Download of SFDC Activation Rep'!B:B,'Download of SFDC Activation Rep'!L:L),"")</f>
        <v/>
      </c>
      <c r="I308" s="17" t="str">
        <f t="shared" si="1"/>
        <v>Not Active</v>
      </c>
      <c r="J308" s="17" t="str">
        <f t="array" ref="J308">iferror(XLOOKUP(A308,'Download of SFDC Activation Rep'!B:B,'Download of SFDC Activation Rep'!X:X),"")</f>
        <v/>
      </c>
      <c r="K308" s="17" t="str">
        <f t="array" ref="K308">iferror(XLOOKUP(A308,'Download of SFDC Activation Rep'!B:B,'Download of SFDC Activation Rep'!C:C),"")</f>
        <v/>
      </c>
      <c r="L308" s="18" t="str">
        <f t="array" ref="L308">iferror(XLOOKUP(A308,'Download of SFDC Activation Rep'!B:B,'Download of SFDC Activation Rep'!S:S),"")</f>
        <v/>
      </c>
      <c r="M308" s="24" t="str">
        <f t="array" ref="M308">iferror(XLOOKUP(A308,'Download of SFDC Activation Rep'!B:B,'Download of SFDC Activation Rep'!Z:Z)+150,"")</f>
        <v/>
      </c>
      <c r="N308" s="24" t="str">
        <f t="array" ref="N308">iferror(XLOOKUP(A308,'Download of SFDC Activation Rep'!B:B,'Download of SFDC Activation Rep'!Y:Y),"")</f>
        <v/>
      </c>
    </row>
    <row r="309">
      <c r="B309" s="14"/>
      <c r="C309" s="14"/>
      <c r="D309" s="14"/>
      <c r="E309" s="15"/>
      <c r="F309" s="14"/>
      <c r="G309" s="13" t="str">
        <f t="array" ref="G309">iferror(XLOOKUP(A309,'Download of SFDC Activation Rep'!B:B,'Download of SFDC Activation Rep'!H:H),"")</f>
        <v/>
      </c>
      <c r="H309" s="13" t="str">
        <f t="array" ref="H309">iferror(xlookup(A309,'Download of SFDC Activation Rep'!B:B,'Download of SFDC Activation Rep'!L:L),"")</f>
        <v/>
      </c>
      <c r="I309" s="17" t="str">
        <f t="shared" si="1"/>
        <v>Not Active</v>
      </c>
      <c r="J309" s="17" t="str">
        <f t="array" ref="J309">iferror(XLOOKUP(A309,'Download of SFDC Activation Rep'!B:B,'Download of SFDC Activation Rep'!X:X),"")</f>
        <v/>
      </c>
      <c r="K309" s="17" t="str">
        <f t="array" ref="K309">iferror(XLOOKUP(A309,'Download of SFDC Activation Rep'!B:B,'Download of SFDC Activation Rep'!C:C),"")</f>
        <v/>
      </c>
      <c r="L309" s="18" t="str">
        <f t="array" ref="L309">iferror(XLOOKUP(A309,'Download of SFDC Activation Rep'!B:B,'Download of SFDC Activation Rep'!S:S),"")</f>
        <v/>
      </c>
      <c r="M309" s="24" t="str">
        <f t="array" ref="M309">iferror(XLOOKUP(A309,'Download of SFDC Activation Rep'!B:B,'Download of SFDC Activation Rep'!Z:Z)+150,"")</f>
        <v/>
      </c>
      <c r="N309" s="24" t="str">
        <f t="array" ref="N309">iferror(XLOOKUP(A309,'Download of SFDC Activation Rep'!B:B,'Download of SFDC Activation Rep'!Y:Y),"")</f>
        <v/>
      </c>
    </row>
    <row r="310">
      <c r="B310" s="14"/>
      <c r="C310" s="14"/>
      <c r="D310" s="14"/>
      <c r="E310" s="15"/>
      <c r="F310" s="14"/>
      <c r="G310" s="13" t="str">
        <f t="array" ref="G310">iferror(XLOOKUP(A310,'Download of SFDC Activation Rep'!B:B,'Download of SFDC Activation Rep'!H:H),"")</f>
        <v/>
      </c>
      <c r="H310" s="13" t="str">
        <f t="array" ref="H310">iferror(xlookup(A310,'Download of SFDC Activation Rep'!B:B,'Download of SFDC Activation Rep'!L:L),"")</f>
        <v/>
      </c>
      <c r="I310" s="17" t="str">
        <f t="shared" si="1"/>
        <v>Not Active</v>
      </c>
      <c r="J310" s="17" t="str">
        <f t="array" ref="J310">iferror(XLOOKUP(A310,'Download of SFDC Activation Rep'!B:B,'Download of SFDC Activation Rep'!X:X),"")</f>
        <v/>
      </c>
      <c r="K310" s="17" t="str">
        <f t="array" ref="K310">iferror(XLOOKUP(A310,'Download of SFDC Activation Rep'!B:B,'Download of SFDC Activation Rep'!C:C),"")</f>
        <v/>
      </c>
      <c r="L310" s="18" t="str">
        <f t="array" ref="L310">iferror(XLOOKUP(A310,'Download of SFDC Activation Rep'!B:B,'Download of SFDC Activation Rep'!S:S),"")</f>
        <v/>
      </c>
      <c r="M310" s="24" t="str">
        <f t="array" ref="M310">iferror(XLOOKUP(A310,'Download of SFDC Activation Rep'!B:B,'Download of SFDC Activation Rep'!Z:Z)+150,"")</f>
        <v/>
      </c>
      <c r="N310" s="24" t="str">
        <f t="array" ref="N310">iferror(XLOOKUP(A310,'Download of SFDC Activation Rep'!B:B,'Download of SFDC Activation Rep'!Y:Y),"")</f>
        <v/>
      </c>
    </row>
    <row r="311">
      <c r="B311" s="14"/>
      <c r="C311" s="14"/>
      <c r="D311" s="14"/>
      <c r="E311" s="15"/>
      <c r="F311" s="14"/>
      <c r="G311" s="13" t="str">
        <f t="array" ref="G311">iferror(XLOOKUP(A311,'Download of SFDC Activation Rep'!B:B,'Download of SFDC Activation Rep'!H:H),"")</f>
        <v/>
      </c>
      <c r="H311" s="13" t="str">
        <f t="array" ref="H311">iferror(xlookup(A311,'Download of SFDC Activation Rep'!B:B,'Download of SFDC Activation Rep'!L:L),"")</f>
        <v/>
      </c>
      <c r="I311" s="17" t="str">
        <f t="shared" si="1"/>
        <v>Not Active</v>
      </c>
      <c r="J311" s="17" t="str">
        <f t="array" ref="J311">iferror(XLOOKUP(A311,'Download of SFDC Activation Rep'!B:B,'Download of SFDC Activation Rep'!X:X),"")</f>
        <v/>
      </c>
      <c r="K311" s="17" t="str">
        <f t="array" ref="K311">iferror(XLOOKUP(A311,'Download of SFDC Activation Rep'!B:B,'Download of SFDC Activation Rep'!C:C),"")</f>
        <v/>
      </c>
      <c r="L311" s="18" t="str">
        <f t="array" ref="L311">iferror(XLOOKUP(A311,'Download of SFDC Activation Rep'!B:B,'Download of SFDC Activation Rep'!S:S),"")</f>
        <v/>
      </c>
      <c r="M311" s="24" t="str">
        <f t="array" ref="M311">iferror(XLOOKUP(A311,'Download of SFDC Activation Rep'!B:B,'Download of SFDC Activation Rep'!Z:Z)+150,"")</f>
        <v/>
      </c>
      <c r="N311" s="24" t="str">
        <f t="array" ref="N311">iferror(XLOOKUP(A311,'Download of SFDC Activation Rep'!B:B,'Download of SFDC Activation Rep'!Y:Y),"")</f>
        <v/>
      </c>
    </row>
    <row r="312">
      <c r="B312" s="14"/>
      <c r="C312" s="14"/>
      <c r="D312" s="14"/>
      <c r="E312" s="15"/>
      <c r="F312" s="14"/>
      <c r="G312" s="13" t="str">
        <f t="array" ref="G312">iferror(XLOOKUP(A312,'Download of SFDC Activation Rep'!B:B,'Download of SFDC Activation Rep'!H:H),"")</f>
        <v/>
      </c>
      <c r="H312" s="13" t="str">
        <f t="array" ref="H312">iferror(xlookup(A312,'Download of SFDC Activation Rep'!B:B,'Download of SFDC Activation Rep'!L:L),"")</f>
        <v/>
      </c>
      <c r="I312" s="17" t="str">
        <f t="shared" si="1"/>
        <v>Not Active</v>
      </c>
      <c r="J312" s="17" t="str">
        <f t="array" ref="J312">iferror(XLOOKUP(A312,'Download of SFDC Activation Rep'!B:B,'Download of SFDC Activation Rep'!X:X),"")</f>
        <v/>
      </c>
      <c r="K312" s="17" t="str">
        <f t="array" ref="K312">iferror(XLOOKUP(A312,'Download of SFDC Activation Rep'!B:B,'Download of SFDC Activation Rep'!C:C),"")</f>
        <v/>
      </c>
      <c r="L312" s="18" t="str">
        <f t="array" ref="L312">iferror(XLOOKUP(A312,'Download of SFDC Activation Rep'!B:B,'Download of SFDC Activation Rep'!S:S),"")</f>
        <v/>
      </c>
      <c r="M312" s="24" t="str">
        <f t="array" ref="M312">iferror(XLOOKUP(A312,'Download of SFDC Activation Rep'!B:B,'Download of SFDC Activation Rep'!Z:Z)+150,"")</f>
        <v/>
      </c>
      <c r="N312" s="24" t="str">
        <f t="array" ref="N312">iferror(XLOOKUP(A312,'Download of SFDC Activation Rep'!B:B,'Download of SFDC Activation Rep'!Y:Y),"")</f>
        <v/>
      </c>
    </row>
    <row r="313">
      <c r="B313" s="14"/>
      <c r="C313" s="14"/>
      <c r="D313" s="14"/>
      <c r="E313" s="15"/>
      <c r="F313" s="14"/>
      <c r="G313" s="13" t="str">
        <f t="array" ref="G313">iferror(XLOOKUP(A313,'Download of SFDC Activation Rep'!B:B,'Download of SFDC Activation Rep'!H:H),"")</f>
        <v/>
      </c>
      <c r="H313" s="13" t="str">
        <f t="array" ref="H313">iferror(xlookup(A313,'Download of SFDC Activation Rep'!B:B,'Download of SFDC Activation Rep'!L:L),"")</f>
        <v/>
      </c>
      <c r="I313" s="17" t="str">
        <f t="shared" si="1"/>
        <v>Not Active</v>
      </c>
      <c r="J313" s="17" t="str">
        <f t="array" ref="J313">iferror(XLOOKUP(A313,'Download of SFDC Activation Rep'!B:B,'Download of SFDC Activation Rep'!X:X),"")</f>
        <v/>
      </c>
      <c r="K313" s="17" t="str">
        <f t="array" ref="K313">iferror(XLOOKUP(A313,'Download of SFDC Activation Rep'!B:B,'Download of SFDC Activation Rep'!C:C),"")</f>
        <v/>
      </c>
      <c r="L313" s="18" t="str">
        <f t="array" ref="L313">iferror(XLOOKUP(A313,'Download of SFDC Activation Rep'!B:B,'Download of SFDC Activation Rep'!S:S),"")</f>
        <v/>
      </c>
      <c r="M313" s="24" t="str">
        <f t="array" ref="M313">iferror(XLOOKUP(A313,'Download of SFDC Activation Rep'!B:B,'Download of SFDC Activation Rep'!Z:Z)+150,"")</f>
        <v/>
      </c>
      <c r="N313" s="24" t="str">
        <f t="array" ref="N313">iferror(XLOOKUP(A313,'Download of SFDC Activation Rep'!B:B,'Download of SFDC Activation Rep'!Y:Y),"")</f>
        <v/>
      </c>
    </row>
    <row r="314">
      <c r="B314" s="14"/>
      <c r="C314" s="14"/>
      <c r="D314" s="14"/>
      <c r="E314" s="15"/>
      <c r="F314" s="14"/>
      <c r="G314" s="13" t="str">
        <f t="array" ref="G314">iferror(XLOOKUP(A314,'Download of SFDC Activation Rep'!B:B,'Download of SFDC Activation Rep'!H:H),"")</f>
        <v/>
      </c>
      <c r="H314" s="13" t="str">
        <f t="array" ref="H314">iferror(xlookup(A314,'Download of SFDC Activation Rep'!B:B,'Download of SFDC Activation Rep'!L:L),"")</f>
        <v/>
      </c>
      <c r="I314" s="17" t="str">
        <f t="shared" si="1"/>
        <v>Not Active</v>
      </c>
      <c r="J314" s="17" t="str">
        <f t="array" ref="J314">iferror(XLOOKUP(A314,'Download of SFDC Activation Rep'!B:B,'Download of SFDC Activation Rep'!X:X),"")</f>
        <v/>
      </c>
      <c r="K314" s="17" t="str">
        <f t="array" ref="K314">iferror(XLOOKUP(A314,'Download of SFDC Activation Rep'!B:B,'Download of SFDC Activation Rep'!C:C),"")</f>
        <v/>
      </c>
      <c r="L314" s="18" t="str">
        <f t="array" ref="L314">iferror(XLOOKUP(A314,'Download of SFDC Activation Rep'!B:B,'Download of SFDC Activation Rep'!S:S),"")</f>
        <v/>
      </c>
      <c r="M314" s="24" t="str">
        <f t="array" ref="M314">iferror(XLOOKUP(A314,'Download of SFDC Activation Rep'!B:B,'Download of SFDC Activation Rep'!Z:Z)+150,"")</f>
        <v/>
      </c>
      <c r="N314" s="24" t="str">
        <f t="array" ref="N314">iferror(XLOOKUP(A314,'Download of SFDC Activation Rep'!B:B,'Download of SFDC Activation Rep'!Y:Y),"")</f>
        <v/>
      </c>
    </row>
    <row r="315">
      <c r="B315" s="14"/>
      <c r="C315" s="14"/>
      <c r="D315" s="14"/>
      <c r="E315" s="15"/>
      <c r="F315" s="14"/>
      <c r="G315" s="13" t="str">
        <f t="array" ref="G315">iferror(XLOOKUP(A315,'Download of SFDC Activation Rep'!B:B,'Download of SFDC Activation Rep'!H:H),"")</f>
        <v/>
      </c>
      <c r="H315" s="13" t="str">
        <f t="array" ref="H315">iferror(xlookup(A315,'Download of SFDC Activation Rep'!B:B,'Download of SFDC Activation Rep'!L:L),"")</f>
        <v/>
      </c>
      <c r="I315" s="17" t="str">
        <f t="shared" si="1"/>
        <v>Not Active</v>
      </c>
      <c r="J315" s="17" t="str">
        <f t="array" ref="J315">iferror(XLOOKUP(A315,'Download of SFDC Activation Rep'!B:B,'Download of SFDC Activation Rep'!X:X),"")</f>
        <v/>
      </c>
      <c r="K315" s="17" t="str">
        <f t="array" ref="K315">iferror(XLOOKUP(A315,'Download of SFDC Activation Rep'!B:B,'Download of SFDC Activation Rep'!C:C),"")</f>
        <v/>
      </c>
      <c r="L315" s="18" t="str">
        <f t="array" ref="L315">iferror(XLOOKUP(A315,'Download of SFDC Activation Rep'!B:B,'Download of SFDC Activation Rep'!S:S),"")</f>
        <v/>
      </c>
      <c r="M315" s="24" t="str">
        <f t="array" ref="M315">iferror(XLOOKUP(A315,'Download of SFDC Activation Rep'!B:B,'Download of SFDC Activation Rep'!Z:Z)+150,"")</f>
        <v/>
      </c>
      <c r="N315" s="24" t="str">
        <f t="array" ref="N315">iferror(XLOOKUP(A315,'Download of SFDC Activation Rep'!B:B,'Download of SFDC Activation Rep'!Y:Y),"")</f>
        <v/>
      </c>
    </row>
    <row r="316">
      <c r="B316" s="14"/>
      <c r="C316" s="14"/>
      <c r="D316" s="14"/>
      <c r="E316" s="15"/>
      <c r="F316" s="14"/>
      <c r="G316" s="13" t="str">
        <f t="array" ref="G316">iferror(XLOOKUP(A316,'Download of SFDC Activation Rep'!B:B,'Download of SFDC Activation Rep'!H:H),"")</f>
        <v/>
      </c>
      <c r="H316" s="13" t="str">
        <f t="array" ref="H316">iferror(xlookup(A316,'Download of SFDC Activation Rep'!B:B,'Download of SFDC Activation Rep'!L:L),"")</f>
        <v/>
      </c>
      <c r="I316" s="17" t="str">
        <f t="shared" si="1"/>
        <v>Not Active</v>
      </c>
      <c r="J316" s="17" t="str">
        <f t="array" ref="J316">iferror(XLOOKUP(A316,'Download of SFDC Activation Rep'!B:B,'Download of SFDC Activation Rep'!X:X),"")</f>
        <v/>
      </c>
      <c r="K316" s="17" t="str">
        <f t="array" ref="K316">iferror(XLOOKUP(A316,'Download of SFDC Activation Rep'!B:B,'Download of SFDC Activation Rep'!C:C),"")</f>
        <v/>
      </c>
      <c r="L316" s="18" t="str">
        <f t="array" ref="L316">iferror(XLOOKUP(A316,'Download of SFDC Activation Rep'!B:B,'Download of SFDC Activation Rep'!S:S),"")</f>
        <v/>
      </c>
      <c r="M316" s="24" t="str">
        <f t="array" ref="M316">iferror(XLOOKUP(A316,'Download of SFDC Activation Rep'!B:B,'Download of SFDC Activation Rep'!Z:Z)+150,"")</f>
        <v/>
      </c>
      <c r="N316" s="24" t="str">
        <f t="array" ref="N316">iferror(XLOOKUP(A316,'Download of SFDC Activation Rep'!B:B,'Download of SFDC Activation Rep'!Y:Y),"")</f>
        <v/>
      </c>
    </row>
    <row r="317">
      <c r="B317" s="14"/>
      <c r="C317" s="14"/>
      <c r="D317" s="14"/>
      <c r="E317" s="15"/>
      <c r="F317" s="14"/>
      <c r="G317" s="13" t="str">
        <f t="array" ref="G317">iferror(XLOOKUP(A317,'Download of SFDC Activation Rep'!B:B,'Download of SFDC Activation Rep'!H:H),"")</f>
        <v/>
      </c>
      <c r="H317" s="13" t="str">
        <f t="array" ref="H317">iferror(xlookup(A317,'Download of SFDC Activation Rep'!B:B,'Download of SFDC Activation Rep'!L:L),"")</f>
        <v/>
      </c>
      <c r="I317" s="17" t="str">
        <f t="shared" si="1"/>
        <v>Not Active</v>
      </c>
      <c r="J317" s="17" t="str">
        <f t="array" ref="J317">iferror(XLOOKUP(A317,'Download of SFDC Activation Rep'!B:B,'Download of SFDC Activation Rep'!X:X),"")</f>
        <v/>
      </c>
      <c r="K317" s="17" t="str">
        <f t="array" ref="K317">iferror(XLOOKUP(A317,'Download of SFDC Activation Rep'!B:B,'Download of SFDC Activation Rep'!C:C),"")</f>
        <v/>
      </c>
      <c r="L317" s="18" t="str">
        <f t="array" ref="L317">iferror(XLOOKUP(A317,'Download of SFDC Activation Rep'!B:B,'Download of SFDC Activation Rep'!S:S),"")</f>
        <v/>
      </c>
      <c r="M317" s="24" t="str">
        <f t="array" ref="M317">iferror(XLOOKUP(A317,'Download of SFDC Activation Rep'!B:B,'Download of SFDC Activation Rep'!Z:Z)+150,"")</f>
        <v/>
      </c>
      <c r="N317" s="24" t="str">
        <f t="array" ref="N317">iferror(XLOOKUP(A317,'Download of SFDC Activation Rep'!B:B,'Download of SFDC Activation Rep'!Y:Y),"")</f>
        <v/>
      </c>
    </row>
    <row r="318">
      <c r="B318" s="14"/>
      <c r="C318" s="14"/>
      <c r="D318" s="14"/>
      <c r="E318" s="15"/>
      <c r="F318" s="14"/>
      <c r="G318" s="13" t="str">
        <f t="array" ref="G318">iferror(XLOOKUP(A318,'Download of SFDC Activation Rep'!B:B,'Download of SFDC Activation Rep'!H:H),"")</f>
        <v/>
      </c>
      <c r="H318" s="13" t="str">
        <f t="array" ref="H318">iferror(xlookup(A318,'Download of SFDC Activation Rep'!B:B,'Download of SFDC Activation Rep'!L:L),"")</f>
        <v/>
      </c>
      <c r="I318" s="17" t="str">
        <f t="shared" si="1"/>
        <v>Not Active</v>
      </c>
      <c r="J318" s="17" t="str">
        <f t="array" ref="J318">iferror(XLOOKUP(A318,'Download of SFDC Activation Rep'!B:B,'Download of SFDC Activation Rep'!X:X),"")</f>
        <v/>
      </c>
      <c r="K318" s="17" t="str">
        <f t="array" ref="K318">iferror(XLOOKUP(A318,'Download of SFDC Activation Rep'!B:B,'Download of SFDC Activation Rep'!C:C),"")</f>
        <v/>
      </c>
      <c r="L318" s="18" t="str">
        <f t="array" ref="L318">iferror(XLOOKUP(A318,'Download of SFDC Activation Rep'!B:B,'Download of SFDC Activation Rep'!S:S),"")</f>
        <v/>
      </c>
      <c r="M318" s="24" t="str">
        <f t="array" ref="M318">iferror(XLOOKUP(A318,'Download of SFDC Activation Rep'!B:B,'Download of SFDC Activation Rep'!Z:Z)+150,"")</f>
        <v/>
      </c>
      <c r="N318" s="24" t="str">
        <f t="array" ref="N318">iferror(XLOOKUP(A318,'Download of SFDC Activation Rep'!B:B,'Download of SFDC Activation Rep'!Y:Y),"")</f>
        <v/>
      </c>
    </row>
    <row r="319">
      <c r="B319" s="14"/>
      <c r="C319" s="14"/>
      <c r="D319" s="14"/>
      <c r="E319" s="15"/>
      <c r="F319" s="14"/>
      <c r="G319" s="13" t="str">
        <f t="array" ref="G319">iferror(XLOOKUP(A319,'Download of SFDC Activation Rep'!B:B,'Download of SFDC Activation Rep'!H:H),"")</f>
        <v/>
      </c>
      <c r="H319" s="13" t="str">
        <f t="array" ref="H319">iferror(xlookup(A319,'Download of SFDC Activation Rep'!B:B,'Download of SFDC Activation Rep'!L:L),"")</f>
        <v/>
      </c>
      <c r="I319" s="17" t="str">
        <f t="shared" si="1"/>
        <v>Not Active</v>
      </c>
      <c r="J319" s="17" t="str">
        <f t="array" ref="J319">iferror(XLOOKUP(A319,'Download of SFDC Activation Rep'!B:B,'Download of SFDC Activation Rep'!X:X),"")</f>
        <v/>
      </c>
      <c r="K319" s="17" t="str">
        <f t="array" ref="K319">iferror(XLOOKUP(A319,'Download of SFDC Activation Rep'!B:B,'Download of SFDC Activation Rep'!C:C),"")</f>
        <v/>
      </c>
      <c r="L319" s="18" t="str">
        <f t="array" ref="L319">iferror(XLOOKUP(A319,'Download of SFDC Activation Rep'!B:B,'Download of SFDC Activation Rep'!S:S),"")</f>
        <v/>
      </c>
      <c r="M319" s="24" t="str">
        <f t="array" ref="M319">iferror(XLOOKUP(A319,'Download of SFDC Activation Rep'!B:B,'Download of SFDC Activation Rep'!Z:Z)+150,"")</f>
        <v/>
      </c>
      <c r="N319" s="24" t="str">
        <f t="array" ref="N319">iferror(XLOOKUP(A319,'Download of SFDC Activation Rep'!B:B,'Download of SFDC Activation Rep'!Y:Y),"")</f>
        <v/>
      </c>
    </row>
    <row r="320">
      <c r="B320" s="14"/>
      <c r="C320" s="14"/>
      <c r="D320" s="14"/>
      <c r="E320" s="15"/>
      <c r="F320" s="14"/>
      <c r="G320" s="13" t="str">
        <f t="array" ref="G320">iferror(XLOOKUP(A320,'Download of SFDC Activation Rep'!B:B,'Download of SFDC Activation Rep'!H:H),"")</f>
        <v/>
      </c>
      <c r="H320" s="13" t="str">
        <f t="array" ref="H320">iferror(xlookup(A320,'Download of SFDC Activation Rep'!B:B,'Download of SFDC Activation Rep'!L:L),"")</f>
        <v/>
      </c>
      <c r="I320" s="17" t="str">
        <f t="shared" si="1"/>
        <v>Not Active</v>
      </c>
      <c r="J320" s="17" t="str">
        <f t="array" ref="J320">iferror(XLOOKUP(A320,'Download of SFDC Activation Rep'!B:B,'Download of SFDC Activation Rep'!X:X),"")</f>
        <v/>
      </c>
      <c r="K320" s="17" t="str">
        <f t="array" ref="K320">iferror(XLOOKUP(A320,'Download of SFDC Activation Rep'!B:B,'Download of SFDC Activation Rep'!C:C),"")</f>
        <v/>
      </c>
      <c r="L320" s="18" t="str">
        <f t="array" ref="L320">iferror(XLOOKUP(A320,'Download of SFDC Activation Rep'!B:B,'Download of SFDC Activation Rep'!S:S),"")</f>
        <v/>
      </c>
      <c r="M320" s="24" t="str">
        <f t="array" ref="M320">iferror(XLOOKUP(A320,'Download of SFDC Activation Rep'!B:B,'Download of SFDC Activation Rep'!Z:Z)+150,"")</f>
        <v/>
      </c>
      <c r="N320" s="24" t="str">
        <f t="array" ref="N320">iferror(XLOOKUP(A320,'Download of SFDC Activation Rep'!B:B,'Download of SFDC Activation Rep'!Y:Y),"")</f>
        <v/>
      </c>
    </row>
    <row r="321">
      <c r="B321" s="14"/>
      <c r="C321" s="14"/>
      <c r="D321" s="14"/>
      <c r="E321" s="15"/>
      <c r="F321" s="14"/>
      <c r="G321" s="13" t="str">
        <f t="array" ref="G321">iferror(XLOOKUP(A321,'Download of SFDC Activation Rep'!B:B,'Download of SFDC Activation Rep'!H:H),"")</f>
        <v/>
      </c>
      <c r="H321" s="13" t="str">
        <f t="array" ref="H321">iferror(xlookup(A321,'Download of SFDC Activation Rep'!B:B,'Download of SFDC Activation Rep'!L:L),"")</f>
        <v/>
      </c>
      <c r="I321" s="17" t="str">
        <f t="shared" si="1"/>
        <v>Not Active</v>
      </c>
      <c r="J321" s="17" t="str">
        <f t="array" ref="J321">iferror(XLOOKUP(A321,'Download of SFDC Activation Rep'!B:B,'Download of SFDC Activation Rep'!X:X),"")</f>
        <v/>
      </c>
      <c r="K321" s="17" t="str">
        <f t="array" ref="K321">iferror(XLOOKUP(A321,'Download of SFDC Activation Rep'!B:B,'Download of SFDC Activation Rep'!C:C),"")</f>
        <v/>
      </c>
      <c r="L321" s="18" t="str">
        <f t="array" ref="L321">iferror(XLOOKUP(A321,'Download of SFDC Activation Rep'!B:B,'Download of SFDC Activation Rep'!S:S),"")</f>
        <v/>
      </c>
      <c r="M321" s="24" t="str">
        <f t="array" ref="M321">iferror(XLOOKUP(A321,'Download of SFDC Activation Rep'!B:B,'Download of SFDC Activation Rep'!Z:Z)+150,"")</f>
        <v/>
      </c>
      <c r="N321" s="24" t="str">
        <f t="array" ref="N321">iferror(XLOOKUP(A321,'Download of SFDC Activation Rep'!B:B,'Download of SFDC Activation Rep'!Y:Y),"")</f>
        <v/>
      </c>
    </row>
    <row r="322">
      <c r="B322" s="14"/>
      <c r="C322" s="14"/>
      <c r="D322" s="14"/>
      <c r="E322" s="15"/>
      <c r="F322" s="14"/>
      <c r="G322" s="13" t="str">
        <f t="array" ref="G322">iferror(XLOOKUP(A322,'Download of SFDC Activation Rep'!B:B,'Download of SFDC Activation Rep'!H:H),"")</f>
        <v/>
      </c>
      <c r="H322" s="13" t="str">
        <f t="array" ref="H322">iferror(xlookup(A322,'Download of SFDC Activation Rep'!B:B,'Download of SFDC Activation Rep'!L:L),"")</f>
        <v/>
      </c>
      <c r="I322" s="17" t="str">
        <f t="shared" si="1"/>
        <v>Not Active</v>
      </c>
      <c r="J322" s="17" t="str">
        <f t="array" ref="J322">iferror(XLOOKUP(A322,'Download of SFDC Activation Rep'!B:B,'Download of SFDC Activation Rep'!X:X),"")</f>
        <v/>
      </c>
      <c r="K322" s="17" t="str">
        <f t="array" ref="K322">iferror(XLOOKUP(A322,'Download of SFDC Activation Rep'!B:B,'Download of SFDC Activation Rep'!C:C),"")</f>
        <v/>
      </c>
      <c r="L322" s="18" t="str">
        <f t="array" ref="L322">iferror(XLOOKUP(A322,'Download of SFDC Activation Rep'!B:B,'Download of SFDC Activation Rep'!S:S),"")</f>
        <v/>
      </c>
      <c r="M322" s="24" t="str">
        <f t="array" ref="M322">iferror(XLOOKUP(A322,'Download of SFDC Activation Rep'!B:B,'Download of SFDC Activation Rep'!Z:Z)+150,"")</f>
        <v/>
      </c>
      <c r="N322" s="24" t="str">
        <f t="array" ref="N322">iferror(XLOOKUP(A322,'Download of SFDC Activation Rep'!B:B,'Download of SFDC Activation Rep'!Y:Y),"")</f>
        <v/>
      </c>
    </row>
    <row r="323">
      <c r="B323" s="14"/>
      <c r="C323" s="14"/>
      <c r="D323" s="14"/>
      <c r="E323" s="15"/>
      <c r="F323" s="14"/>
      <c r="G323" s="13" t="str">
        <f t="array" ref="G323">iferror(XLOOKUP(A323,'Download of SFDC Activation Rep'!B:B,'Download of SFDC Activation Rep'!H:H),"")</f>
        <v/>
      </c>
      <c r="H323" s="13" t="str">
        <f t="array" ref="H323">iferror(xlookup(A323,'Download of SFDC Activation Rep'!B:B,'Download of SFDC Activation Rep'!L:L),"")</f>
        <v/>
      </c>
      <c r="I323" s="17" t="str">
        <f t="shared" si="1"/>
        <v>Not Active</v>
      </c>
      <c r="J323" s="17" t="str">
        <f t="array" ref="J323">iferror(XLOOKUP(A323,'Download of SFDC Activation Rep'!B:B,'Download of SFDC Activation Rep'!X:X),"")</f>
        <v/>
      </c>
      <c r="K323" s="17" t="str">
        <f t="array" ref="K323">iferror(XLOOKUP(A323,'Download of SFDC Activation Rep'!B:B,'Download of SFDC Activation Rep'!C:C),"")</f>
        <v/>
      </c>
      <c r="L323" s="18" t="str">
        <f t="array" ref="L323">iferror(XLOOKUP(A323,'Download of SFDC Activation Rep'!B:B,'Download of SFDC Activation Rep'!S:S),"")</f>
        <v/>
      </c>
      <c r="M323" s="24" t="str">
        <f t="array" ref="M323">iferror(XLOOKUP(A323,'Download of SFDC Activation Rep'!B:B,'Download of SFDC Activation Rep'!Z:Z)+150,"")</f>
        <v/>
      </c>
      <c r="N323" s="24" t="str">
        <f t="array" ref="N323">iferror(XLOOKUP(A323,'Download of SFDC Activation Rep'!B:B,'Download of SFDC Activation Rep'!Y:Y),"")</f>
        <v/>
      </c>
    </row>
    <row r="324">
      <c r="B324" s="14"/>
      <c r="C324" s="14"/>
      <c r="D324" s="14"/>
      <c r="E324" s="15"/>
      <c r="F324" s="14"/>
      <c r="G324" s="13" t="str">
        <f t="array" ref="G324">iferror(XLOOKUP(A324,'Download of SFDC Activation Rep'!B:B,'Download of SFDC Activation Rep'!H:H),"")</f>
        <v/>
      </c>
      <c r="H324" s="13" t="str">
        <f t="array" ref="H324">iferror(xlookup(A324,'Download of SFDC Activation Rep'!B:B,'Download of SFDC Activation Rep'!L:L),"")</f>
        <v/>
      </c>
      <c r="I324" s="17" t="str">
        <f t="shared" si="1"/>
        <v>Not Active</v>
      </c>
      <c r="J324" s="17" t="str">
        <f t="array" ref="J324">iferror(XLOOKUP(A324,'Download of SFDC Activation Rep'!B:B,'Download of SFDC Activation Rep'!X:X),"")</f>
        <v/>
      </c>
      <c r="K324" s="17" t="str">
        <f t="array" ref="K324">iferror(XLOOKUP(A324,'Download of SFDC Activation Rep'!B:B,'Download of SFDC Activation Rep'!C:C),"")</f>
        <v/>
      </c>
      <c r="L324" s="18" t="str">
        <f t="array" ref="L324">iferror(XLOOKUP(A324,'Download of SFDC Activation Rep'!B:B,'Download of SFDC Activation Rep'!S:S),"")</f>
        <v/>
      </c>
      <c r="M324" s="24" t="str">
        <f t="array" ref="M324">iferror(XLOOKUP(A324,'Download of SFDC Activation Rep'!B:B,'Download of SFDC Activation Rep'!Z:Z)+150,"")</f>
        <v/>
      </c>
      <c r="N324" s="24" t="str">
        <f t="array" ref="N324">iferror(XLOOKUP(A324,'Download of SFDC Activation Rep'!B:B,'Download of SFDC Activation Rep'!Y:Y),"")</f>
        <v/>
      </c>
    </row>
    <row r="325">
      <c r="B325" s="14"/>
      <c r="C325" s="14"/>
      <c r="D325" s="14"/>
      <c r="E325" s="15"/>
      <c r="F325" s="14"/>
      <c r="G325" s="13" t="str">
        <f t="array" ref="G325">iferror(XLOOKUP(A325,'Download of SFDC Activation Rep'!B:B,'Download of SFDC Activation Rep'!H:H),"")</f>
        <v/>
      </c>
      <c r="H325" s="13" t="str">
        <f t="array" ref="H325">iferror(xlookup(A325,'Download of SFDC Activation Rep'!B:B,'Download of SFDC Activation Rep'!L:L),"")</f>
        <v/>
      </c>
      <c r="I325" s="17" t="str">
        <f t="shared" si="1"/>
        <v>Not Active</v>
      </c>
      <c r="J325" s="17" t="str">
        <f t="array" ref="J325">iferror(XLOOKUP(A325,'Download of SFDC Activation Rep'!B:B,'Download of SFDC Activation Rep'!X:X),"")</f>
        <v/>
      </c>
      <c r="K325" s="17" t="str">
        <f t="array" ref="K325">iferror(XLOOKUP(A325,'Download of SFDC Activation Rep'!B:B,'Download of SFDC Activation Rep'!C:C),"")</f>
        <v/>
      </c>
      <c r="L325" s="18" t="str">
        <f t="array" ref="L325">iferror(XLOOKUP(A325,'Download of SFDC Activation Rep'!B:B,'Download of SFDC Activation Rep'!S:S),"")</f>
        <v/>
      </c>
      <c r="M325" s="24" t="str">
        <f t="array" ref="M325">iferror(XLOOKUP(A325,'Download of SFDC Activation Rep'!B:B,'Download of SFDC Activation Rep'!Z:Z)+150,"")</f>
        <v/>
      </c>
      <c r="N325" s="24" t="str">
        <f t="array" ref="N325">iferror(XLOOKUP(A325,'Download of SFDC Activation Rep'!B:B,'Download of SFDC Activation Rep'!Y:Y),"")</f>
        <v/>
      </c>
    </row>
    <row r="326">
      <c r="B326" s="14"/>
      <c r="C326" s="14"/>
      <c r="D326" s="14"/>
      <c r="E326" s="15"/>
      <c r="F326" s="14"/>
      <c r="G326" s="13" t="str">
        <f t="array" ref="G326">iferror(XLOOKUP(A326,'Download of SFDC Activation Rep'!B:B,'Download of SFDC Activation Rep'!H:H),"")</f>
        <v/>
      </c>
      <c r="H326" s="13" t="str">
        <f t="array" ref="H326">iferror(xlookup(A326,'Download of SFDC Activation Rep'!B:B,'Download of SFDC Activation Rep'!L:L),"")</f>
        <v/>
      </c>
      <c r="I326" s="17" t="str">
        <f t="shared" si="1"/>
        <v>Not Active</v>
      </c>
      <c r="J326" s="17" t="str">
        <f t="array" ref="J326">iferror(XLOOKUP(A326,'Download of SFDC Activation Rep'!B:B,'Download of SFDC Activation Rep'!X:X),"")</f>
        <v/>
      </c>
      <c r="K326" s="17" t="str">
        <f t="array" ref="K326">iferror(XLOOKUP(A326,'Download of SFDC Activation Rep'!B:B,'Download of SFDC Activation Rep'!C:C),"")</f>
        <v/>
      </c>
      <c r="L326" s="18" t="str">
        <f t="array" ref="L326">iferror(XLOOKUP(A326,'Download of SFDC Activation Rep'!B:B,'Download of SFDC Activation Rep'!S:S),"")</f>
        <v/>
      </c>
      <c r="M326" s="24" t="str">
        <f t="array" ref="M326">iferror(XLOOKUP(A326,'Download of SFDC Activation Rep'!B:B,'Download of SFDC Activation Rep'!Z:Z)+150,"")</f>
        <v/>
      </c>
      <c r="N326" s="24" t="str">
        <f t="array" ref="N326">iferror(XLOOKUP(A326,'Download of SFDC Activation Rep'!B:B,'Download of SFDC Activation Rep'!Y:Y),"")</f>
        <v/>
      </c>
    </row>
    <row r="327">
      <c r="B327" s="14"/>
      <c r="C327" s="14"/>
      <c r="D327" s="14"/>
      <c r="E327" s="15"/>
      <c r="F327" s="14"/>
      <c r="G327" s="13" t="str">
        <f t="array" ref="G327">iferror(XLOOKUP(A327,'Download of SFDC Activation Rep'!B:B,'Download of SFDC Activation Rep'!H:H),"")</f>
        <v/>
      </c>
      <c r="H327" s="13" t="str">
        <f t="array" ref="H327">iferror(xlookup(A327,'Download of SFDC Activation Rep'!B:B,'Download of SFDC Activation Rep'!L:L),"")</f>
        <v/>
      </c>
      <c r="I327" s="17" t="str">
        <f t="shared" si="1"/>
        <v>Not Active</v>
      </c>
      <c r="J327" s="17" t="str">
        <f t="array" ref="J327">iferror(XLOOKUP(A327,'Download of SFDC Activation Rep'!B:B,'Download of SFDC Activation Rep'!X:X),"")</f>
        <v/>
      </c>
      <c r="K327" s="17" t="str">
        <f t="array" ref="K327">iferror(XLOOKUP(A327,'Download of SFDC Activation Rep'!B:B,'Download of SFDC Activation Rep'!C:C),"")</f>
        <v/>
      </c>
      <c r="L327" s="18" t="str">
        <f t="array" ref="L327">iferror(XLOOKUP(A327,'Download of SFDC Activation Rep'!B:B,'Download of SFDC Activation Rep'!S:S),"")</f>
        <v/>
      </c>
      <c r="M327" s="24" t="str">
        <f t="array" ref="M327">iferror(XLOOKUP(A327,'Download of SFDC Activation Rep'!B:B,'Download of SFDC Activation Rep'!Z:Z)+150,"")</f>
        <v/>
      </c>
      <c r="N327" s="24" t="str">
        <f t="array" ref="N327">iferror(XLOOKUP(A327,'Download of SFDC Activation Rep'!B:B,'Download of SFDC Activation Rep'!Y:Y),"")</f>
        <v/>
      </c>
    </row>
    <row r="328">
      <c r="B328" s="14"/>
      <c r="C328" s="14"/>
      <c r="D328" s="14"/>
      <c r="E328" s="15"/>
      <c r="F328" s="14"/>
      <c r="G328" s="13" t="str">
        <f t="array" ref="G328">iferror(XLOOKUP(A328,'Download of SFDC Activation Rep'!B:B,'Download of SFDC Activation Rep'!H:H),"")</f>
        <v/>
      </c>
      <c r="H328" s="13" t="str">
        <f t="array" ref="H328">iferror(xlookup(A328,'Download of SFDC Activation Rep'!B:B,'Download of SFDC Activation Rep'!L:L),"")</f>
        <v/>
      </c>
      <c r="I328" s="17" t="str">
        <f t="shared" si="1"/>
        <v>Not Active</v>
      </c>
      <c r="J328" s="17" t="str">
        <f t="array" ref="J328">iferror(XLOOKUP(A328,'Download of SFDC Activation Rep'!B:B,'Download of SFDC Activation Rep'!X:X),"")</f>
        <v/>
      </c>
      <c r="K328" s="17" t="str">
        <f t="array" ref="K328">iferror(XLOOKUP(A328,'Download of SFDC Activation Rep'!B:B,'Download of SFDC Activation Rep'!C:C),"")</f>
        <v/>
      </c>
      <c r="L328" s="18" t="str">
        <f t="array" ref="L328">iferror(XLOOKUP(A328,'Download of SFDC Activation Rep'!B:B,'Download of SFDC Activation Rep'!S:S),"")</f>
        <v/>
      </c>
      <c r="M328" s="24" t="str">
        <f t="array" ref="M328">iferror(XLOOKUP(A328,'Download of SFDC Activation Rep'!B:B,'Download of SFDC Activation Rep'!Z:Z)+150,"")</f>
        <v/>
      </c>
      <c r="N328" s="24" t="str">
        <f t="array" ref="N328">iferror(XLOOKUP(A328,'Download of SFDC Activation Rep'!B:B,'Download of SFDC Activation Rep'!Y:Y),"")</f>
        <v/>
      </c>
    </row>
    <row r="329">
      <c r="B329" s="14"/>
      <c r="C329" s="14"/>
      <c r="D329" s="14"/>
      <c r="E329" s="15"/>
      <c r="F329" s="14"/>
      <c r="G329" s="13" t="str">
        <f t="array" ref="G329">iferror(XLOOKUP(A329,'Download of SFDC Activation Rep'!B:B,'Download of SFDC Activation Rep'!H:H),"")</f>
        <v/>
      </c>
      <c r="H329" s="13" t="str">
        <f t="array" ref="H329">iferror(xlookup(A329,'Download of SFDC Activation Rep'!B:B,'Download of SFDC Activation Rep'!L:L),"")</f>
        <v/>
      </c>
      <c r="I329" s="17" t="str">
        <f t="shared" si="1"/>
        <v>Not Active</v>
      </c>
      <c r="J329" s="17" t="str">
        <f t="array" ref="J329">iferror(XLOOKUP(A329,'Download of SFDC Activation Rep'!B:B,'Download of SFDC Activation Rep'!X:X),"")</f>
        <v/>
      </c>
      <c r="K329" s="17" t="str">
        <f t="array" ref="K329">iferror(XLOOKUP(A329,'Download of SFDC Activation Rep'!B:B,'Download of SFDC Activation Rep'!C:C),"")</f>
        <v/>
      </c>
      <c r="L329" s="18" t="str">
        <f t="array" ref="L329">iferror(XLOOKUP(A329,'Download of SFDC Activation Rep'!B:B,'Download of SFDC Activation Rep'!S:S),"")</f>
        <v/>
      </c>
      <c r="M329" s="24" t="str">
        <f t="array" ref="M329">iferror(XLOOKUP(A329,'Download of SFDC Activation Rep'!B:B,'Download of SFDC Activation Rep'!Z:Z)+150,"")</f>
        <v/>
      </c>
      <c r="N329" s="24" t="str">
        <f t="array" ref="N329">iferror(XLOOKUP(A329,'Download of SFDC Activation Rep'!B:B,'Download of SFDC Activation Rep'!Y:Y),"")</f>
        <v/>
      </c>
    </row>
    <row r="330">
      <c r="B330" s="14"/>
      <c r="C330" s="14"/>
      <c r="D330" s="14"/>
      <c r="E330" s="15"/>
      <c r="F330" s="14"/>
      <c r="G330" s="13" t="str">
        <f t="array" ref="G330">iferror(XLOOKUP(A330,'Download of SFDC Activation Rep'!B:B,'Download of SFDC Activation Rep'!H:H),"")</f>
        <v/>
      </c>
      <c r="H330" s="13" t="str">
        <f t="array" ref="H330">iferror(xlookup(A330,'Download of SFDC Activation Rep'!B:B,'Download of SFDC Activation Rep'!L:L),"")</f>
        <v/>
      </c>
      <c r="I330" s="17" t="str">
        <f t="shared" si="1"/>
        <v>Not Active</v>
      </c>
      <c r="J330" s="17" t="str">
        <f t="array" ref="J330">iferror(XLOOKUP(A330,'Download of SFDC Activation Rep'!B:B,'Download of SFDC Activation Rep'!X:X),"")</f>
        <v/>
      </c>
      <c r="K330" s="17" t="str">
        <f t="array" ref="K330">iferror(XLOOKUP(A330,'Download of SFDC Activation Rep'!B:B,'Download of SFDC Activation Rep'!C:C),"")</f>
        <v/>
      </c>
      <c r="L330" s="18" t="str">
        <f t="array" ref="L330">iferror(XLOOKUP(A330,'Download of SFDC Activation Rep'!B:B,'Download of SFDC Activation Rep'!S:S),"")</f>
        <v/>
      </c>
      <c r="M330" s="24" t="str">
        <f t="array" ref="M330">iferror(XLOOKUP(A330,'Download of SFDC Activation Rep'!B:B,'Download of SFDC Activation Rep'!Z:Z)+150,"")</f>
        <v/>
      </c>
      <c r="N330" s="24" t="str">
        <f t="array" ref="N330">iferror(XLOOKUP(A330,'Download of SFDC Activation Rep'!B:B,'Download of SFDC Activation Rep'!Y:Y),"")</f>
        <v/>
      </c>
    </row>
    <row r="331">
      <c r="B331" s="14"/>
      <c r="C331" s="14"/>
      <c r="D331" s="14"/>
      <c r="E331" s="15"/>
      <c r="F331" s="14"/>
      <c r="G331" s="13" t="str">
        <f t="array" ref="G331">iferror(XLOOKUP(A331,'Download of SFDC Activation Rep'!B:B,'Download of SFDC Activation Rep'!H:H),"")</f>
        <v/>
      </c>
      <c r="H331" s="13" t="str">
        <f t="array" ref="H331">iferror(xlookup(A331,'Download of SFDC Activation Rep'!B:B,'Download of SFDC Activation Rep'!L:L),"")</f>
        <v/>
      </c>
      <c r="I331" s="17" t="str">
        <f t="shared" si="1"/>
        <v>Not Active</v>
      </c>
      <c r="J331" s="17" t="str">
        <f t="array" ref="J331">iferror(XLOOKUP(A331,'Download of SFDC Activation Rep'!B:B,'Download of SFDC Activation Rep'!X:X),"")</f>
        <v/>
      </c>
      <c r="K331" s="17" t="str">
        <f t="array" ref="K331">iferror(XLOOKUP(A331,'Download of SFDC Activation Rep'!B:B,'Download of SFDC Activation Rep'!C:C),"")</f>
        <v/>
      </c>
      <c r="L331" s="18" t="str">
        <f t="array" ref="L331">iferror(XLOOKUP(A331,'Download of SFDC Activation Rep'!B:B,'Download of SFDC Activation Rep'!S:S),"")</f>
        <v/>
      </c>
      <c r="M331" s="24" t="str">
        <f t="array" ref="M331">iferror(XLOOKUP(A331,'Download of SFDC Activation Rep'!B:B,'Download of SFDC Activation Rep'!Z:Z)+150,"")</f>
        <v/>
      </c>
      <c r="N331" s="24" t="str">
        <f t="array" ref="N331">iferror(XLOOKUP(A331,'Download of SFDC Activation Rep'!B:B,'Download of SFDC Activation Rep'!Y:Y),"")</f>
        <v/>
      </c>
    </row>
    <row r="332">
      <c r="B332" s="14"/>
      <c r="C332" s="14"/>
      <c r="D332" s="14"/>
      <c r="E332" s="15"/>
      <c r="F332" s="14"/>
      <c r="G332" s="13" t="str">
        <f t="array" ref="G332">iferror(XLOOKUP(A332,'Download of SFDC Activation Rep'!B:B,'Download of SFDC Activation Rep'!H:H),"")</f>
        <v/>
      </c>
      <c r="H332" s="13" t="str">
        <f t="array" ref="H332">iferror(xlookup(A332,'Download of SFDC Activation Rep'!B:B,'Download of SFDC Activation Rep'!L:L),"")</f>
        <v/>
      </c>
      <c r="I332" s="17" t="str">
        <f t="shared" si="1"/>
        <v>Not Active</v>
      </c>
      <c r="J332" s="17" t="str">
        <f t="array" ref="J332">iferror(XLOOKUP(A332,'Download of SFDC Activation Rep'!B:B,'Download of SFDC Activation Rep'!X:X),"")</f>
        <v/>
      </c>
      <c r="K332" s="17" t="str">
        <f t="array" ref="K332">iferror(XLOOKUP(A332,'Download of SFDC Activation Rep'!B:B,'Download of SFDC Activation Rep'!C:C),"")</f>
        <v/>
      </c>
      <c r="L332" s="18" t="str">
        <f t="array" ref="L332">iferror(XLOOKUP(A332,'Download of SFDC Activation Rep'!B:B,'Download of SFDC Activation Rep'!S:S),"")</f>
        <v/>
      </c>
      <c r="M332" s="24" t="str">
        <f t="array" ref="M332">iferror(XLOOKUP(A332,'Download of SFDC Activation Rep'!B:B,'Download of SFDC Activation Rep'!Z:Z)+150,"")</f>
        <v/>
      </c>
      <c r="N332" s="24" t="str">
        <f t="array" ref="N332">iferror(XLOOKUP(A332,'Download of SFDC Activation Rep'!B:B,'Download of SFDC Activation Rep'!Y:Y),"")</f>
        <v/>
      </c>
    </row>
    <row r="333">
      <c r="B333" s="14"/>
      <c r="C333" s="14"/>
      <c r="D333" s="14"/>
      <c r="E333" s="15"/>
      <c r="F333" s="14"/>
      <c r="G333" s="13" t="str">
        <f t="array" ref="G333">iferror(XLOOKUP(A333,'Download of SFDC Activation Rep'!B:B,'Download of SFDC Activation Rep'!H:H),"")</f>
        <v/>
      </c>
      <c r="H333" s="13" t="str">
        <f t="array" ref="H333">iferror(xlookup(A333,'Download of SFDC Activation Rep'!B:B,'Download of SFDC Activation Rep'!L:L),"")</f>
        <v/>
      </c>
      <c r="I333" s="17" t="str">
        <f t="shared" si="1"/>
        <v>Not Active</v>
      </c>
      <c r="J333" s="17" t="str">
        <f t="array" ref="J333">iferror(XLOOKUP(A333,'Download of SFDC Activation Rep'!B:B,'Download of SFDC Activation Rep'!X:X),"")</f>
        <v/>
      </c>
      <c r="K333" s="17" t="str">
        <f t="array" ref="K333">iferror(XLOOKUP(A333,'Download of SFDC Activation Rep'!B:B,'Download of SFDC Activation Rep'!C:C),"")</f>
        <v/>
      </c>
      <c r="L333" s="18" t="str">
        <f t="array" ref="L333">iferror(XLOOKUP(A333,'Download of SFDC Activation Rep'!B:B,'Download of SFDC Activation Rep'!S:S),"")</f>
        <v/>
      </c>
      <c r="M333" s="24" t="str">
        <f t="array" ref="M333">iferror(XLOOKUP(A333,'Download of SFDC Activation Rep'!B:B,'Download of SFDC Activation Rep'!Z:Z)+150,"")</f>
        <v/>
      </c>
      <c r="N333" s="24" t="str">
        <f t="array" ref="N333">iferror(XLOOKUP(A333,'Download of SFDC Activation Rep'!B:B,'Download of SFDC Activation Rep'!Y:Y),"")</f>
        <v/>
      </c>
    </row>
    <row r="334">
      <c r="B334" s="14"/>
      <c r="C334" s="14"/>
      <c r="D334" s="14"/>
      <c r="E334" s="15"/>
      <c r="F334" s="14"/>
      <c r="G334" s="13" t="str">
        <f t="array" ref="G334">iferror(XLOOKUP(A334,'Download of SFDC Activation Rep'!B:B,'Download of SFDC Activation Rep'!H:H),"")</f>
        <v/>
      </c>
      <c r="H334" s="13" t="str">
        <f t="array" ref="H334">iferror(xlookup(A334,'Download of SFDC Activation Rep'!B:B,'Download of SFDC Activation Rep'!L:L),"")</f>
        <v/>
      </c>
      <c r="I334" s="17" t="str">
        <f t="shared" si="1"/>
        <v>Not Active</v>
      </c>
      <c r="J334" s="17" t="str">
        <f t="array" ref="J334">iferror(XLOOKUP(A334,'Download of SFDC Activation Rep'!B:B,'Download of SFDC Activation Rep'!X:X),"")</f>
        <v/>
      </c>
      <c r="K334" s="17" t="str">
        <f t="array" ref="K334">iferror(XLOOKUP(A334,'Download of SFDC Activation Rep'!B:B,'Download of SFDC Activation Rep'!C:C),"")</f>
        <v/>
      </c>
      <c r="L334" s="18" t="str">
        <f t="array" ref="L334">iferror(XLOOKUP(A334,'Download of SFDC Activation Rep'!B:B,'Download of SFDC Activation Rep'!S:S),"")</f>
        <v/>
      </c>
      <c r="M334" s="24" t="str">
        <f t="array" ref="M334">iferror(XLOOKUP(A334,'Download of SFDC Activation Rep'!B:B,'Download of SFDC Activation Rep'!Z:Z)+150,"")</f>
        <v/>
      </c>
      <c r="N334" s="24" t="str">
        <f t="array" ref="N334">iferror(XLOOKUP(A334,'Download of SFDC Activation Rep'!B:B,'Download of SFDC Activation Rep'!Y:Y),"")</f>
        <v/>
      </c>
    </row>
    <row r="335">
      <c r="B335" s="14"/>
      <c r="C335" s="14"/>
      <c r="D335" s="14"/>
      <c r="E335" s="15"/>
      <c r="F335" s="14"/>
      <c r="G335" s="13" t="str">
        <f t="array" ref="G335">iferror(XLOOKUP(A335,'Download of SFDC Activation Rep'!B:B,'Download of SFDC Activation Rep'!H:H),"")</f>
        <v/>
      </c>
      <c r="H335" s="13" t="str">
        <f t="array" ref="H335">iferror(xlookup(A335,'Download of SFDC Activation Rep'!B:B,'Download of SFDC Activation Rep'!L:L),"")</f>
        <v/>
      </c>
      <c r="I335" s="17" t="str">
        <f t="shared" si="1"/>
        <v>Not Active</v>
      </c>
      <c r="J335" s="17" t="str">
        <f t="array" ref="J335">iferror(XLOOKUP(A335,'Download of SFDC Activation Rep'!B:B,'Download of SFDC Activation Rep'!X:X),"")</f>
        <v/>
      </c>
      <c r="K335" s="17" t="str">
        <f t="array" ref="K335">iferror(XLOOKUP(A335,'Download of SFDC Activation Rep'!B:B,'Download of SFDC Activation Rep'!C:C),"")</f>
        <v/>
      </c>
      <c r="L335" s="18" t="str">
        <f t="array" ref="L335">iferror(XLOOKUP(A335,'Download of SFDC Activation Rep'!B:B,'Download of SFDC Activation Rep'!S:S),"")</f>
        <v/>
      </c>
      <c r="M335" s="24" t="str">
        <f t="array" ref="M335">iferror(XLOOKUP(A335,'Download of SFDC Activation Rep'!B:B,'Download of SFDC Activation Rep'!Z:Z)+150,"")</f>
        <v/>
      </c>
      <c r="N335" s="24" t="str">
        <f t="array" ref="N335">iferror(XLOOKUP(A335,'Download of SFDC Activation Rep'!B:B,'Download of SFDC Activation Rep'!Y:Y),"")</f>
        <v/>
      </c>
    </row>
    <row r="336">
      <c r="B336" s="14"/>
      <c r="C336" s="14"/>
      <c r="D336" s="14"/>
      <c r="E336" s="15"/>
      <c r="F336" s="14"/>
      <c r="G336" s="13" t="str">
        <f t="array" ref="G336">iferror(XLOOKUP(A336,'Download of SFDC Activation Rep'!B:B,'Download of SFDC Activation Rep'!H:H),"")</f>
        <v/>
      </c>
      <c r="H336" s="13" t="str">
        <f t="array" ref="H336">iferror(xlookup(A336,'Download of SFDC Activation Rep'!B:B,'Download of SFDC Activation Rep'!L:L),"")</f>
        <v/>
      </c>
      <c r="I336" s="17" t="str">
        <f t="shared" si="1"/>
        <v>Not Active</v>
      </c>
      <c r="J336" s="17" t="str">
        <f t="array" ref="J336">iferror(XLOOKUP(A336,'Download of SFDC Activation Rep'!B:B,'Download of SFDC Activation Rep'!X:X),"")</f>
        <v/>
      </c>
      <c r="K336" s="17" t="str">
        <f t="array" ref="K336">iferror(XLOOKUP(A336,'Download of SFDC Activation Rep'!B:B,'Download of SFDC Activation Rep'!C:C),"")</f>
        <v/>
      </c>
      <c r="L336" s="18" t="str">
        <f t="array" ref="L336">iferror(XLOOKUP(A336,'Download of SFDC Activation Rep'!B:B,'Download of SFDC Activation Rep'!S:S),"")</f>
        <v/>
      </c>
      <c r="M336" s="24" t="str">
        <f t="array" ref="M336">iferror(XLOOKUP(A336,'Download of SFDC Activation Rep'!B:B,'Download of SFDC Activation Rep'!Z:Z)+150,"")</f>
        <v/>
      </c>
      <c r="N336" s="24" t="str">
        <f t="array" ref="N336">iferror(XLOOKUP(A336,'Download of SFDC Activation Rep'!B:B,'Download of SFDC Activation Rep'!Y:Y),"")</f>
        <v/>
      </c>
    </row>
    <row r="337">
      <c r="B337" s="14"/>
      <c r="C337" s="14"/>
      <c r="D337" s="14"/>
      <c r="E337" s="15"/>
      <c r="F337" s="14"/>
      <c r="G337" s="13" t="str">
        <f t="array" ref="G337">iferror(XLOOKUP(A337,'Download of SFDC Activation Rep'!B:B,'Download of SFDC Activation Rep'!H:H),"")</f>
        <v/>
      </c>
      <c r="H337" s="13" t="str">
        <f t="array" ref="H337">iferror(xlookup(A337,'Download of SFDC Activation Rep'!B:B,'Download of SFDC Activation Rep'!L:L),"")</f>
        <v/>
      </c>
      <c r="I337" s="17" t="str">
        <f t="shared" si="1"/>
        <v>Not Active</v>
      </c>
      <c r="J337" s="17" t="str">
        <f t="array" ref="J337">iferror(XLOOKUP(A337,'Download of SFDC Activation Rep'!B:B,'Download of SFDC Activation Rep'!X:X),"")</f>
        <v/>
      </c>
      <c r="K337" s="17" t="str">
        <f t="array" ref="K337">iferror(XLOOKUP(A337,'Download of SFDC Activation Rep'!B:B,'Download of SFDC Activation Rep'!C:C),"")</f>
        <v/>
      </c>
      <c r="L337" s="18" t="str">
        <f t="array" ref="L337">iferror(XLOOKUP(A337,'Download of SFDC Activation Rep'!B:B,'Download of SFDC Activation Rep'!S:S),"")</f>
        <v/>
      </c>
      <c r="M337" s="24" t="str">
        <f t="array" ref="M337">iferror(XLOOKUP(A337,'Download of SFDC Activation Rep'!B:B,'Download of SFDC Activation Rep'!Z:Z)+150,"")</f>
        <v/>
      </c>
      <c r="N337" s="24" t="str">
        <f t="array" ref="N337">iferror(XLOOKUP(A337,'Download of SFDC Activation Rep'!B:B,'Download of SFDC Activation Rep'!Y:Y),"")</f>
        <v/>
      </c>
    </row>
    <row r="338">
      <c r="B338" s="14"/>
      <c r="C338" s="14"/>
      <c r="D338" s="14"/>
      <c r="E338" s="15"/>
      <c r="F338" s="14"/>
      <c r="G338" s="13" t="str">
        <f t="array" ref="G338">iferror(XLOOKUP(A338,'Download of SFDC Activation Rep'!B:B,'Download of SFDC Activation Rep'!H:H),"")</f>
        <v/>
      </c>
      <c r="H338" s="13" t="str">
        <f t="array" ref="H338">iferror(xlookup(A338,'Download of SFDC Activation Rep'!B:B,'Download of SFDC Activation Rep'!L:L),"")</f>
        <v/>
      </c>
      <c r="I338" s="17" t="str">
        <f t="shared" si="1"/>
        <v>Not Active</v>
      </c>
      <c r="J338" s="17" t="str">
        <f t="array" ref="J338">iferror(XLOOKUP(A338,'Download of SFDC Activation Rep'!B:B,'Download of SFDC Activation Rep'!X:X),"")</f>
        <v/>
      </c>
      <c r="K338" s="17" t="str">
        <f t="array" ref="K338">iferror(XLOOKUP(A338,'Download of SFDC Activation Rep'!B:B,'Download of SFDC Activation Rep'!C:C),"")</f>
        <v/>
      </c>
      <c r="L338" s="18" t="str">
        <f t="array" ref="L338">iferror(XLOOKUP(A338,'Download of SFDC Activation Rep'!B:B,'Download of SFDC Activation Rep'!S:S),"")</f>
        <v/>
      </c>
      <c r="M338" s="24" t="str">
        <f t="array" ref="M338">iferror(XLOOKUP(A338,'Download of SFDC Activation Rep'!B:B,'Download of SFDC Activation Rep'!Z:Z)+150,"")</f>
        <v/>
      </c>
      <c r="N338" s="24" t="str">
        <f t="array" ref="N338">iferror(XLOOKUP(A338,'Download of SFDC Activation Rep'!B:B,'Download of SFDC Activation Rep'!Y:Y),"")</f>
        <v/>
      </c>
    </row>
    <row r="339">
      <c r="B339" s="14"/>
      <c r="C339" s="14"/>
      <c r="D339" s="14"/>
      <c r="E339" s="15"/>
      <c r="F339" s="14"/>
      <c r="G339" s="13" t="str">
        <f t="array" ref="G339">iferror(XLOOKUP(A339,'Download of SFDC Activation Rep'!B:B,'Download of SFDC Activation Rep'!H:H),"")</f>
        <v/>
      </c>
      <c r="H339" s="13" t="str">
        <f t="array" ref="H339">iferror(xlookup(A339,'Download of SFDC Activation Rep'!B:B,'Download of SFDC Activation Rep'!L:L),"")</f>
        <v/>
      </c>
      <c r="I339" s="17" t="str">
        <f t="shared" si="1"/>
        <v>Not Active</v>
      </c>
      <c r="J339" s="17" t="str">
        <f t="array" ref="J339">iferror(XLOOKUP(A339,'Download of SFDC Activation Rep'!B:B,'Download of SFDC Activation Rep'!X:X),"")</f>
        <v/>
      </c>
      <c r="K339" s="17" t="str">
        <f t="array" ref="K339">iferror(XLOOKUP(A339,'Download of SFDC Activation Rep'!B:B,'Download of SFDC Activation Rep'!C:C),"")</f>
        <v/>
      </c>
      <c r="L339" s="18" t="str">
        <f t="array" ref="L339">iferror(XLOOKUP(A339,'Download of SFDC Activation Rep'!B:B,'Download of SFDC Activation Rep'!S:S),"")</f>
        <v/>
      </c>
      <c r="M339" s="24" t="str">
        <f t="array" ref="M339">iferror(XLOOKUP(A339,'Download of SFDC Activation Rep'!B:B,'Download of SFDC Activation Rep'!Z:Z)+150,"")</f>
        <v/>
      </c>
      <c r="N339" s="24" t="str">
        <f t="array" ref="N339">iferror(XLOOKUP(A339,'Download of SFDC Activation Rep'!B:B,'Download of SFDC Activation Rep'!Y:Y),"")</f>
        <v/>
      </c>
    </row>
    <row r="340">
      <c r="B340" s="14"/>
      <c r="C340" s="14"/>
      <c r="D340" s="14"/>
      <c r="E340" s="15"/>
      <c r="F340" s="14"/>
      <c r="G340" s="13" t="str">
        <f t="array" ref="G340">iferror(XLOOKUP(A340,'Download of SFDC Activation Rep'!B:B,'Download of SFDC Activation Rep'!H:H),"")</f>
        <v/>
      </c>
      <c r="H340" s="13" t="str">
        <f t="array" ref="H340">iferror(xlookup(A340,'Download of SFDC Activation Rep'!B:B,'Download of SFDC Activation Rep'!L:L),"")</f>
        <v/>
      </c>
      <c r="I340" s="17" t="str">
        <f t="shared" si="1"/>
        <v>Not Active</v>
      </c>
      <c r="J340" s="17" t="str">
        <f t="array" ref="J340">iferror(XLOOKUP(A340,'Download of SFDC Activation Rep'!B:B,'Download of SFDC Activation Rep'!X:X),"")</f>
        <v/>
      </c>
      <c r="K340" s="17" t="str">
        <f t="array" ref="K340">iferror(XLOOKUP(A340,'Download of SFDC Activation Rep'!B:B,'Download of SFDC Activation Rep'!C:C),"")</f>
        <v/>
      </c>
      <c r="L340" s="18" t="str">
        <f t="array" ref="L340">iferror(XLOOKUP(A340,'Download of SFDC Activation Rep'!B:B,'Download of SFDC Activation Rep'!S:S),"")</f>
        <v/>
      </c>
      <c r="M340" s="24" t="str">
        <f t="array" ref="M340">iferror(XLOOKUP(A340,'Download of SFDC Activation Rep'!B:B,'Download of SFDC Activation Rep'!Z:Z)+150,"")</f>
        <v/>
      </c>
      <c r="N340" s="24" t="str">
        <f t="array" ref="N340">iferror(XLOOKUP(A340,'Download of SFDC Activation Rep'!B:B,'Download of SFDC Activation Rep'!Y:Y),"")</f>
        <v/>
      </c>
    </row>
    <row r="341">
      <c r="B341" s="14"/>
      <c r="C341" s="14"/>
      <c r="D341" s="14"/>
      <c r="E341" s="15"/>
      <c r="F341" s="14"/>
      <c r="G341" s="13" t="str">
        <f t="array" ref="G341">iferror(XLOOKUP(A341,'Download of SFDC Activation Rep'!B:B,'Download of SFDC Activation Rep'!H:H),"")</f>
        <v/>
      </c>
      <c r="H341" s="13" t="str">
        <f t="array" ref="H341">iferror(xlookup(A341,'Download of SFDC Activation Rep'!B:B,'Download of SFDC Activation Rep'!L:L),"")</f>
        <v/>
      </c>
      <c r="I341" s="17" t="str">
        <f t="shared" si="1"/>
        <v>Not Active</v>
      </c>
      <c r="J341" s="17" t="str">
        <f t="array" ref="J341">iferror(XLOOKUP(A341,'Download of SFDC Activation Rep'!B:B,'Download of SFDC Activation Rep'!X:X),"")</f>
        <v/>
      </c>
      <c r="K341" s="17" t="str">
        <f t="array" ref="K341">iferror(XLOOKUP(A341,'Download of SFDC Activation Rep'!B:B,'Download of SFDC Activation Rep'!C:C),"")</f>
        <v/>
      </c>
      <c r="L341" s="18" t="str">
        <f t="array" ref="L341">iferror(XLOOKUP(A341,'Download of SFDC Activation Rep'!B:B,'Download of SFDC Activation Rep'!S:S),"")</f>
        <v/>
      </c>
      <c r="M341" s="24" t="str">
        <f t="array" ref="M341">iferror(XLOOKUP(A341,'Download of SFDC Activation Rep'!B:B,'Download of SFDC Activation Rep'!Z:Z)+150,"")</f>
        <v/>
      </c>
      <c r="N341" s="24" t="str">
        <f t="array" ref="N341">iferror(XLOOKUP(A341,'Download of SFDC Activation Rep'!B:B,'Download of SFDC Activation Rep'!Y:Y),"")</f>
        <v/>
      </c>
    </row>
    <row r="342">
      <c r="B342" s="14"/>
      <c r="C342" s="14"/>
      <c r="D342" s="14"/>
      <c r="E342" s="15"/>
      <c r="F342" s="14"/>
      <c r="G342" s="13" t="str">
        <f t="array" ref="G342">iferror(XLOOKUP(A342,'Download of SFDC Activation Rep'!B:B,'Download of SFDC Activation Rep'!H:H),"")</f>
        <v/>
      </c>
      <c r="H342" s="13" t="str">
        <f t="array" ref="H342">iferror(xlookup(A342,'Download of SFDC Activation Rep'!B:B,'Download of SFDC Activation Rep'!L:L),"")</f>
        <v/>
      </c>
      <c r="I342" s="17" t="str">
        <f t="shared" si="1"/>
        <v>Not Active</v>
      </c>
      <c r="J342" s="17" t="str">
        <f t="array" ref="J342">iferror(XLOOKUP(A342,'Download of SFDC Activation Rep'!B:B,'Download of SFDC Activation Rep'!X:X),"")</f>
        <v/>
      </c>
      <c r="K342" s="17" t="str">
        <f t="array" ref="K342">iferror(XLOOKUP(A342,'Download of SFDC Activation Rep'!B:B,'Download of SFDC Activation Rep'!C:C),"")</f>
        <v/>
      </c>
      <c r="L342" s="18" t="str">
        <f t="array" ref="L342">iferror(XLOOKUP(A342,'Download of SFDC Activation Rep'!B:B,'Download of SFDC Activation Rep'!S:S),"")</f>
        <v/>
      </c>
      <c r="M342" s="24" t="str">
        <f t="array" ref="M342">iferror(XLOOKUP(A342,'Download of SFDC Activation Rep'!B:B,'Download of SFDC Activation Rep'!Z:Z)+150,"")</f>
        <v/>
      </c>
      <c r="N342" s="24" t="str">
        <f t="array" ref="N342">iferror(XLOOKUP(A342,'Download of SFDC Activation Rep'!B:B,'Download of SFDC Activation Rep'!Y:Y),"")</f>
        <v/>
      </c>
    </row>
    <row r="343">
      <c r="B343" s="14"/>
      <c r="C343" s="14"/>
      <c r="D343" s="14"/>
      <c r="E343" s="15"/>
      <c r="F343" s="14"/>
      <c r="G343" s="13" t="str">
        <f t="array" ref="G343">iferror(XLOOKUP(A343,'Download of SFDC Activation Rep'!B:B,'Download of SFDC Activation Rep'!H:H),"")</f>
        <v/>
      </c>
      <c r="H343" s="13" t="str">
        <f t="array" ref="H343">iferror(xlookup(A343,'Download of SFDC Activation Rep'!B:B,'Download of SFDC Activation Rep'!L:L),"")</f>
        <v/>
      </c>
      <c r="I343" s="17" t="str">
        <f t="shared" si="1"/>
        <v>Not Active</v>
      </c>
      <c r="J343" s="17" t="str">
        <f t="array" ref="J343">iferror(XLOOKUP(A343,'Download of SFDC Activation Rep'!B:B,'Download of SFDC Activation Rep'!X:X),"")</f>
        <v/>
      </c>
      <c r="K343" s="17" t="str">
        <f t="array" ref="K343">iferror(XLOOKUP(A343,'Download of SFDC Activation Rep'!B:B,'Download of SFDC Activation Rep'!C:C),"")</f>
        <v/>
      </c>
      <c r="L343" s="18" t="str">
        <f t="array" ref="L343">iferror(XLOOKUP(A343,'Download of SFDC Activation Rep'!B:B,'Download of SFDC Activation Rep'!S:S),"")</f>
        <v/>
      </c>
      <c r="M343" s="24" t="str">
        <f t="array" ref="M343">iferror(XLOOKUP(A343,'Download of SFDC Activation Rep'!B:B,'Download of SFDC Activation Rep'!Z:Z)+150,"")</f>
        <v/>
      </c>
      <c r="N343" s="24" t="str">
        <f t="array" ref="N343">iferror(XLOOKUP(A343,'Download of SFDC Activation Rep'!B:B,'Download of SFDC Activation Rep'!Y:Y),"")</f>
        <v/>
      </c>
    </row>
    <row r="344">
      <c r="B344" s="14"/>
      <c r="C344" s="14"/>
      <c r="D344" s="14"/>
      <c r="E344" s="15"/>
      <c r="F344" s="14"/>
      <c r="G344" s="13" t="str">
        <f t="array" ref="G344">iferror(XLOOKUP(A344,'Download of SFDC Activation Rep'!B:B,'Download of SFDC Activation Rep'!H:H),"")</f>
        <v/>
      </c>
      <c r="H344" s="13" t="str">
        <f t="array" ref="H344">iferror(xlookup(A344,'Download of SFDC Activation Rep'!B:B,'Download of SFDC Activation Rep'!L:L),"")</f>
        <v/>
      </c>
      <c r="I344" s="17" t="str">
        <f t="shared" si="1"/>
        <v>Not Active</v>
      </c>
      <c r="J344" s="17" t="str">
        <f t="array" ref="J344">iferror(XLOOKUP(A344,'Download of SFDC Activation Rep'!B:B,'Download of SFDC Activation Rep'!X:X),"")</f>
        <v/>
      </c>
      <c r="K344" s="17" t="str">
        <f t="array" ref="K344">iferror(XLOOKUP(A344,'Download of SFDC Activation Rep'!B:B,'Download of SFDC Activation Rep'!C:C),"")</f>
        <v/>
      </c>
      <c r="L344" s="18" t="str">
        <f t="array" ref="L344">iferror(XLOOKUP(A344,'Download of SFDC Activation Rep'!B:B,'Download of SFDC Activation Rep'!S:S),"")</f>
        <v/>
      </c>
      <c r="M344" s="24" t="str">
        <f t="array" ref="M344">iferror(XLOOKUP(A344,'Download of SFDC Activation Rep'!B:B,'Download of SFDC Activation Rep'!Z:Z)+150,"")</f>
        <v/>
      </c>
      <c r="N344" s="24" t="str">
        <f t="array" ref="N344">iferror(XLOOKUP(A344,'Download of SFDC Activation Rep'!B:B,'Download of SFDC Activation Rep'!Y:Y),"")</f>
        <v/>
      </c>
    </row>
    <row r="345">
      <c r="B345" s="14"/>
      <c r="C345" s="14"/>
      <c r="D345" s="14"/>
      <c r="E345" s="15"/>
      <c r="F345" s="14"/>
      <c r="G345" s="13" t="str">
        <f t="array" ref="G345">iferror(XLOOKUP(A345,'Download of SFDC Activation Rep'!B:B,'Download of SFDC Activation Rep'!H:H),"")</f>
        <v/>
      </c>
      <c r="H345" s="13" t="str">
        <f t="array" ref="H345">iferror(xlookup(A345,'Download of SFDC Activation Rep'!B:B,'Download of SFDC Activation Rep'!L:L),"")</f>
        <v/>
      </c>
      <c r="I345" s="17" t="str">
        <f t="shared" si="1"/>
        <v>Not Active</v>
      </c>
      <c r="J345" s="17" t="str">
        <f t="array" ref="J345">iferror(XLOOKUP(A345,'Download of SFDC Activation Rep'!B:B,'Download of SFDC Activation Rep'!X:X),"")</f>
        <v/>
      </c>
      <c r="K345" s="17" t="str">
        <f t="array" ref="K345">iferror(XLOOKUP(A345,'Download of SFDC Activation Rep'!B:B,'Download of SFDC Activation Rep'!C:C),"")</f>
        <v/>
      </c>
      <c r="L345" s="18" t="str">
        <f t="array" ref="L345">iferror(XLOOKUP(A345,'Download of SFDC Activation Rep'!B:B,'Download of SFDC Activation Rep'!S:S),"")</f>
        <v/>
      </c>
      <c r="M345" s="24" t="str">
        <f t="array" ref="M345">iferror(XLOOKUP(A345,'Download of SFDC Activation Rep'!B:B,'Download of SFDC Activation Rep'!Z:Z)+150,"")</f>
        <v/>
      </c>
      <c r="N345" s="24" t="str">
        <f t="array" ref="N345">iferror(XLOOKUP(A345,'Download of SFDC Activation Rep'!B:B,'Download of SFDC Activation Rep'!Y:Y),"")</f>
        <v/>
      </c>
    </row>
    <row r="346">
      <c r="B346" s="14"/>
      <c r="C346" s="14"/>
      <c r="D346" s="14"/>
      <c r="E346" s="15"/>
      <c r="F346" s="14"/>
      <c r="G346" s="13" t="str">
        <f t="array" ref="G346">iferror(XLOOKUP(A346,'Download of SFDC Activation Rep'!B:B,'Download of SFDC Activation Rep'!H:H),"")</f>
        <v/>
      </c>
      <c r="H346" s="13" t="str">
        <f t="array" ref="H346">iferror(xlookup(A346,'Download of SFDC Activation Rep'!B:B,'Download of SFDC Activation Rep'!L:L),"")</f>
        <v/>
      </c>
      <c r="I346" s="17" t="str">
        <f t="shared" si="1"/>
        <v>Not Active</v>
      </c>
      <c r="J346" s="17" t="str">
        <f t="array" ref="J346">iferror(XLOOKUP(A346,'Download of SFDC Activation Rep'!B:B,'Download of SFDC Activation Rep'!X:X),"")</f>
        <v/>
      </c>
      <c r="K346" s="17" t="str">
        <f t="array" ref="K346">iferror(XLOOKUP(A346,'Download of SFDC Activation Rep'!B:B,'Download of SFDC Activation Rep'!C:C),"")</f>
        <v/>
      </c>
      <c r="L346" s="18" t="str">
        <f t="array" ref="L346">iferror(XLOOKUP(A346,'Download of SFDC Activation Rep'!B:B,'Download of SFDC Activation Rep'!S:S),"")</f>
        <v/>
      </c>
      <c r="M346" s="24" t="str">
        <f t="array" ref="M346">iferror(XLOOKUP(A346,'Download of SFDC Activation Rep'!B:B,'Download of SFDC Activation Rep'!Z:Z)+150,"")</f>
        <v/>
      </c>
      <c r="N346" s="24" t="str">
        <f t="array" ref="N346">iferror(XLOOKUP(A346,'Download of SFDC Activation Rep'!B:B,'Download of SFDC Activation Rep'!Y:Y),"")</f>
        <v/>
      </c>
    </row>
    <row r="347">
      <c r="B347" s="14"/>
      <c r="C347" s="14"/>
      <c r="D347" s="14"/>
      <c r="E347" s="15"/>
      <c r="F347" s="14"/>
      <c r="G347" s="13" t="str">
        <f t="array" ref="G347">iferror(XLOOKUP(A347,'Download of SFDC Activation Rep'!B:B,'Download of SFDC Activation Rep'!H:H),"")</f>
        <v/>
      </c>
      <c r="H347" s="13" t="str">
        <f t="array" ref="H347">iferror(xlookup(A347,'Download of SFDC Activation Rep'!B:B,'Download of SFDC Activation Rep'!L:L),"")</f>
        <v/>
      </c>
      <c r="I347" s="17" t="str">
        <f t="shared" si="1"/>
        <v>Not Active</v>
      </c>
      <c r="J347" s="17" t="str">
        <f t="array" ref="J347">iferror(XLOOKUP(A347,'Download of SFDC Activation Rep'!B:B,'Download of SFDC Activation Rep'!X:X),"")</f>
        <v/>
      </c>
      <c r="K347" s="17" t="str">
        <f t="array" ref="K347">iferror(XLOOKUP(A347,'Download of SFDC Activation Rep'!B:B,'Download of SFDC Activation Rep'!C:C),"")</f>
        <v/>
      </c>
      <c r="L347" s="18" t="str">
        <f t="array" ref="L347">iferror(XLOOKUP(A347,'Download of SFDC Activation Rep'!B:B,'Download of SFDC Activation Rep'!S:S),"")</f>
        <v/>
      </c>
      <c r="M347" s="24" t="str">
        <f t="array" ref="M347">iferror(XLOOKUP(A347,'Download of SFDC Activation Rep'!B:B,'Download of SFDC Activation Rep'!Z:Z)+150,"")</f>
        <v/>
      </c>
      <c r="N347" s="24" t="str">
        <f t="array" ref="N347">iferror(XLOOKUP(A347,'Download of SFDC Activation Rep'!B:B,'Download of SFDC Activation Rep'!Y:Y),"")</f>
        <v/>
      </c>
    </row>
    <row r="348">
      <c r="B348" s="14"/>
      <c r="C348" s="14"/>
      <c r="D348" s="14"/>
      <c r="E348" s="15"/>
      <c r="F348" s="14"/>
      <c r="G348" s="13" t="str">
        <f t="array" ref="G348">iferror(XLOOKUP(A348,'Download of SFDC Activation Rep'!B:B,'Download of SFDC Activation Rep'!H:H),"")</f>
        <v/>
      </c>
      <c r="H348" s="13" t="str">
        <f t="array" ref="H348">iferror(xlookup(A348,'Download of SFDC Activation Rep'!B:B,'Download of SFDC Activation Rep'!L:L),"")</f>
        <v/>
      </c>
      <c r="I348" s="17" t="str">
        <f t="shared" si="1"/>
        <v>Not Active</v>
      </c>
      <c r="J348" s="17" t="str">
        <f t="array" ref="J348">iferror(XLOOKUP(A348,'Download of SFDC Activation Rep'!B:B,'Download of SFDC Activation Rep'!X:X),"")</f>
        <v/>
      </c>
      <c r="K348" s="17" t="str">
        <f t="array" ref="K348">iferror(XLOOKUP(A348,'Download of SFDC Activation Rep'!B:B,'Download of SFDC Activation Rep'!C:C),"")</f>
        <v/>
      </c>
      <c r="L348" s="18" t="str">
        <f t="array" ref="L348">iferror(XLOOKUP(A348,'Download of SFDC Activation Rep'!B:B,'Download of SFDC Activation Rep'!S:S),"")</f>
        <v/>
      </c>
      <c r="M348" s="24" t="str">
        <f t="array" ref="M348">iferror(XLOOKUP(A348,'Download of SFDC Activation Rep'!B:B,'Download of SFDC Activation Rep'!Z:Z)+150,"")</f>
        <v/>
      </c>
      <c r="N348" s="24" t="str">
        <f t="array" ref="N348">iferror(XLOOKUP(A348,'Download of SFDC Activation Rep'!B:B,'Download of SFDC Activation Rep'!Y:Y),"")</f>
        <v/>
      </c>
    </row>
    <row r="349">
      <c r="B349" s="14"/>
      <c r="C349" s="14"/>
      <c r="D349" s="14"/>
      <c r="E349" s="15"/>
      <c r="F349" s="14"/>
      <c r="G349" s="13" t="str">
        <f t="array" ref="G349">iferror(XLOOKUP(A349,'Download of SFDC Activation Rep'!B:B,'Download of SFDC Activation Rep'!H:H),"")</f>
        <v/>
      </c>
      <c r="H349" s="13" t="str">
        <f t="array" ref="H349">iferror(xlookup(A349,'Download of SFDC Activation Rep'!B:B,'Download of SFDC Activation Rep'!L:L),"")</f>
        <v/>
      </c>
      <c r="I349" s="17" t="str">
        <f t="shared" si="1"/>
        <v>Not Active</v>
      </c>
      <c r="J349" s="17" t="str">
        <f t="array" ref="J349">iferror(XLOOKUP(A349,'Download of SFDC Activation Rep'!B:B,'Download of SFDC Activation Rep'!X:X),"")</f>
        <v/>
      </c>
      <c r="K349" s="17" t="str">
        <f t="array" ref="K349">iferror(XLOOKUP(A349,'Download of SFDC Activation Rep'!B:B,'Download of SFDC Activation Rep'!C:C),"")</f>
        <v/>
      </c>
      <c r="L349" s="18" t="str">
        <f t="array" ref="L349">iferror(XLOOKUP(A349,'Download of SFDC Activation Rep'!B:B,'Download of SFDC Activation Rep'!S:S),"")</f>
        <v/>
      </c>
      <c r="M349" s="24" t="str">
        <f t="array" ref="M349">iferror(XLOOKUP(A349,'Download of SFDC Activation Rep'!B:B,'Download of SFDC Activation Rep'!Z:Z)+150,"")</f>
        <v/>
      </c>
      <c r="N349" s="24" t="str">
        <f t="array" ref="N349">iferror(XLOOKUP(A349,'Download of SFDC Activation Rep'!B:B,'Download of SFDC Activation Rep'!Y:Y),"")</f>
        <v/>
      </c>
    </row>
    <row r="350">
      <c r="B350" s="14"/>
      <c r="C350" s="14"/>
      <c r="D350" s="14"/>
      <c r="E350" s="15"/>
      <c r="F350" s="14"/>
      <c r="G350" s="13" t="str">
        <f t="array" ref="G350">iferror(XLOOKUP(A350,'Download of SFDC Activation Rep'!B:B,'Download of SFDC Activation Rep'!H:H),"")</f>
        <v/>
      </c>
      <c r="H350" s="13" t="str">
        <f t="array" ref="H350">iferror(xlookup(A350,'Download of SFDC Activation Rep'!B:B,'Download of SFDC Activation Rep'!L:L),"")</f>
        <v/>
      </c>
      <c r="I350" s="17" t="str">
        <f t="shared" si="1"/>
        <v>Not Active</v>
      </c>
      <c r="J350" s="17" t="str">
        <f t="array" ref="J350">iferror(XLOOKUP(A350,'Download of SFDC Activation Rep'!B:B,'Download of SFDC Activation Rep'!X:X),"")</f>
        <v/>
      </c>
      <c r="K350" s="17" t="str">
        <f t="array" ref="K350">iferror(XLOOKUP(A350,'Download of SFDC Activation Rep'!B:B,'Download of SFDC Activation Rep'!C:C),"")</f>
        <v/>
      </c>
      <c r="L350" s="18" t="str">
        <f t="array" ref="L350">iferror(XLOOKUP(A350,'Download of SFDC Activation Rep'!B:B,'Download of SFDC Activation Rep'!S:S),"")</f>
        <v/>
      </c>
      <c r="M350" s="24" t="str">
        <f t="array" ref="M350">iferror(XLOOKUP(A350,'Download of SFDC Activation Rep'!B:B,'Download of SFDC Activation Rep'!Z:Z)+150,"")</f>
        <v/>
      </c>
      <c r="N350" s="24" t="str">
        <f t="array" ref="N350">iferror(XLOOKUP(A350,'Download of SFDC Activation Rep'!B:B,'Download of SFDC Activation Rep'!Y:Y),"")</f>
        <v/>
      </c>
    </row>
    <row r="351">
      <c r="B351" s="14"/>
      <c r="C351" s="14"/>
      <c r="D351" s="14"/>
      <c r="E351" s="15"/>
      <c r="F351" s="14"/>
      <c r="G351" s="13" t="str">
        <f t="array" ref="G351">iferror(XLOOKUP(A351,'Download of SFDC Activation Rep'!B:B,'Download of SFDC Activation Rep'!H:H),"")</f>
        <v/>
      </c>
      <c r="H351" s="13" t="str">
        <f t="array" ref="H351">iferror(xlookup(A351,'Download of SFDC Activation Rep'!B:B,'Download of SFDC Activation Rep'!L:L),"")</f>
        <v/>
      </c>
      <c r="I351" s="17" t="str">
        <f t="shared" si="1"/>
        <v>Not Active</v>
      </c>
      <c r="J351" s="17" t="str">
        <f t="array" ref="J351">iferror(XLOOKUP(A351,'Download of SFDC Activation Rep'!B:B,'Download of SFDC Activation Rep'!X:X),"")</f>
        <v/>
      </c>
      <c r="K351" s="17" t="str">
        <f t="array" ref="K351">iferror(XLOOKUP(A351,'Download of SFDC Activation Rep'!B:B,'Download of SFDC Activation Rep'!C:C),"")</f>
        <v/>
      </c>
      <c r="L351" s="18" t="str">
        <f t="array" ref="L351">iferror(XLOOKUP(A351,'Download of SFDC Activation Rep'!B:B,'Download of SFDC Activation Rep'!S:S),"")</f>
        <v/>
      </c>
      <c r="M351" s="24" t="str">
        <f t="array" ref="M351">iferror(XLOOKUP(A351,'Download of SFDC Activation Rep'!B:B,'Download of SFDC Activation Rep'!Z:Z)+150,"")</f>
        <v/>
      </c>
      <c r="N351" s="24" t="str">
        <f t="array" ref="N351">iferror(XLOOKUP(A351,'Download of SFDC Activation Rep'!B:B,'Download of SFDC Activation Rep'!Y:Y),"")</f>
        <v/>
      </c>
    </row>
    <row r="352">
      <c r="B352" s="14"/>
      <c r="C352" s="14"/>
      <c r="D352" s="14"/>
      <c r="E352" s="15"/>
      <c r="F352" s="14"/>
      <c r="G352" s="13" t="str">
        <f t="array" ref="G352">iferror(XLOOKUP(A352,'Download of SFDC Activation Rep'!B:B,'Download of SFDC Activation Rep'!H:H),"")</f>
        <v/>
      </c>
      <c r="H352" s="13" t="str">
        <f t="array" ref="H352">iferror(xlookup(A352,'Download of SFDC Activation Rep'!B:B,'Download of SFDC Activation Rep'!L:L),"")</f>
        <v/>
      </c>
      <c r="I352" s="17" t="str">
        <f t="shared" si="1"/>
        <v>Not Active</v>
      </c>
      <c r="J352" s="17" t="str">
        <f t="array" ref="J352">iferror(XLOOKUP(A352,'Download of SFDC Activation Rep'!B:B,'Download of SFDC Activation Rep'!X:X),"")</f>
        <v/>
      </c>
      <c r="K352" s="17" t="str">
        <f t="array" ref="K352">iferror(XLOOKUP(A352,'Download of SFDC Activation Rep'!B:B,'Download of SFDC Activation Rep'!C:C),"")</f>
        <v/>
      </c>
      <c r="L352" s="18" t="str">
        <f t="array" ref="L352">iferror(XLOOKUP(A352,'Download of SFDC Activation Rep'!B:B,'Download of SFDC Activation Rep'!S:S),"")</f>
        <v/>
      </c>
      <c r="M352" s="24" t="str">
        <f t="array" ref="M352">iferror(XLOOKUP(A352,'Download of SFDC Activation Rep'!B:B,'Download of SFDC Activation Rep'!Z:Z)+150,"")</f>
        <v/>
      </c>
      <c r="N352" s="24" t="str">
        <f t="array" ref="N352">iferror(XLOOKUP(A352,'Download of SFDC Activation Rep'!B:B,'Download of SFDC Activation Rep'!Y:Y),"")</f>
        <v/>
      </c>
    </row>
    <row r="353">
      <c r="B353" s="14"/>
      <c r="C353" s="14"/>
      <c r="D353" s="14"/>
      <c r="E353" s="15"/>
      <c r="F353" s="14"/>
      <c r="G353" s="13" t="str">
        <f t="array" ref="G353">iferror(XLOOKUP(A353,'Download of SFDC Activation Rep'!B:B,'Download of SFDC Activation Rep'!H:H),"")</f>
        <v/>
      </c>
      <c r="H353" s="13" t="str">
        <f t="array" ref="H353">iferror(xlookup(A353,'Download of SFDC Activation Rep'!B:B,'Download of SFDC Activation Rep'!L:L),"")</f>
        <v/>
      </c>
      <c r="I353" s="17" t="str">
        <f t="shared" si="1"/>
        <v>Not Active</v>
      </c>
      <c r="J353" s="17" t="str">
        <f t="array" ref="J353">iferror(XLOOKUP(A353,'Download of SFDC Activation Rep'!B:B,'Download of SFDC Activation Rep'!X:X),"")</f>
        <v/>
      </c>
      <c r="K353" s="17" t="str">
        <f t="array" ref="K353">iferror(XLOOKUP(A353,'Download of SFDC Activation Rep'!B:B,'Download of SFDC Activation Rep'!C:C),"")</f>
        <v/>
      </c>
      <c r="L353" s="18" t="str">
        <f t="array" ref="L353">iferror(XLOOKUP(A353,'Download of SFDC Activation Rep'!B:B,'Download of SFDC Activation Rep'!S:S),"")</f>
        <v/>
      </c>
      <c r="M353" s="24" t="str">
        <f t="array" ref="M353">iferror(XLOOKUP(A353,'Download of SFDC Activation Rep'!B:B,'Download of SFDC Activation Rep'!Z:Z)+150,"")</f>
        <v/>
      </c>
      <c r="N353" s="24" t="str">
        <f t="array" ref="N353">iferror(XLOOKUP(A353,'Download of SFDC Activation Rep'!B:B,'Download of SFDC Activation Rep'!Y:Y),"")</f>
        <v/>
      </c>
    </row>
    <row r="354">
      <c r="B354" s="14"/>
      <c r="C354" s="14"/>
      <c r="D354" s="14"/>
      <c r="E354" s="15"/>
      <c r="F354" s="14"/>
      <c r="G354" s="13" t="str">
        <f t="array" ref="G354">iferror(XLOOKUP(A354,'Download of SFDC Activation Rep'!B:B,'Download of SFDC Activation Rep'!H:H),"")</f>
        <v/>
      </c>
      <c r="H354" s="13" t="str">
        <f t="array" ref="H354">iferror(xlookup(A354,'Download of SFDC Activation Rep'!B:B,'Download of SFDC Activation Rep'!L:L),"")</f>
        <v/>
      </c>
      <c r="I354" s="17" t="str">
        <f t="shared" si="1"/>
        <v>Not Active</v>
      </c>
      <c r="J354" s="17" t="str">
        <f t="array" ref="J354">iferror(XLOOKUP(A354,'Download of SFDC Activation Rep'!B:B,'Download of SFDC Activation Rep'!X:X),"")</f>
        <v/>
      </c>
      <c r="K354" s="17" t="str">
        <f t="array" ref="K354">iferror(XLOOKUP(A354,'Download of SFDC Activation Rep'!B:B,'Download of SFDC Activation Rep'!C:C),"")</f>
        <v/>
      </c>
      <c r="L354" s="18" t="str">
        <f t="array" ref="L354">iferror(XLOOKUP(A354,'Download of SFDC Activation Rep'!B:B,'Download of SFDC Activation Rep'!S:S),"")</f>
        <v/>
      </c>
      <c r="M354" s="24" t="str">
        <f t="array" ref="M354">iferror(XLOOKUP(A354,'Download of SFDC Activation Rep'!B:B,'Download of SFDC Activation Rep'!Z:Z)+150,"")</f>
        <v/>
      </c>
      <c r="N354" s="24" t="str">
        <f t="array" ref="N354">iferror(XLOOKUP(A354,'Download of SFDC Activation Rep'!B:B,'Download of SFDC Activation Rep'!Y:Y),"")</f>
        <v/>
      </c>
    </row>
    <row r="355">
      <c r="B355" s="14"/>
      <c r="C355" s="14"/>
      <c r="D355" s="14"/>
      <c r="E355" s="15"/>
      <c r="F355" s="14"/>
      <c r="G355" s="13" t="str">
        <f t="array" ref="G355">iferror(XLOOKUP(A355,'Download of SFDC Activation Rep'!B:B,'Download of SFDC Activation Rep'!H:H),"")</f>
        <v/>
      </c>
      <c r="H355" s="13" t="str">
        <f t="array" ref="H355">iferror(xlookup(A355,'Download of SFDC Activation Rep'!B:B,'Download of SFDC Activation Rep'!L:L),"")</f>
        <v/>
      </c>
      <c r="I355" s="17" t="str">
        <f t="shared" si="1"/>
        <v>Not Active</v>
      </c>
      <c r="J355" s="17" t="str">
        <f t="array" ref="J355">iferror(XLOOKUP(A355,'Download of SFDC Activation Rep'!B:B,'Download of SFDC Activation Rep'!X:X),"")</f>
        <v/>
      </c>
      <c r="K355" s="17" t="str">
        <f t="array" ref="K355">iferror(XLOOKUP(A355,'Download of SFDC Activation Rep'!B:B,'Download of SFDC Activation Rep'!C:C),"")</f>
        <v/>
      </c>
      <c r="L355" s="18" t="str">
        <f t="array" ref="L355">iferror(XLOOKUP(A355,'Download of SFDC Activation Rep'!B:B,'Download of SFDC Activation Rep'!S:S),"")</f>
        <v/>
      </c>
      <c r="M355" s="24" t="str">
        <f t="array" ref="M355">iferror(XLOOKUP(A355,'Download of SFDC Activation Rep'!B:B,'Download of SFDC Activation Rep'!Z:Z)+150,"")</f>
        <v/>
      </c>
      <c r="N355" s="24" t="str">
        <f t="array" ref="N355">iferror(XLOOKUP(A355,'Download of SFDC Activation Rep'!B:B,'Download of SFDC Activation Rep'!Y:Y),"")</f>
        <v/>
      </c>
    </row>
    <row r="356">
      <c r="B356" s="14"/>
      <c r="C356" s="14"/>
      <c r="D356" s="14"/>
      <c r="E356" s="15"/>
      <c r="F356" s="14"/>
      <c r="G356" s="13" t="str">
        <f t="array" ref="G356">iferror(XLOOKUP(A356,'Download of SFDC Activation Rep'!B:B,'Download of SFDC Activation Rep'!H:H),"")</f>
        <v/>
      </c>
      <c r="H356" s="13" t="str">
        <f t="array" ref="H356">iferror(xlookup(A356,'Download of SFDC Activation Rep'!B:B,'Download of SFDC Activation Rep'!L:L),"")</f>
        <v/>
      </c>
      <c r="I356" s="17" t="str">
        <f t="shared" si="1"/>
        <v>Not Active</v>
      </c>
      <c r="J356" s="17" t="str">
        <f t="array" ref="J356">iferror(XLOOKUP(A356,'Download of SFDC Activation Rep'!B:B,'Download of SFDC Activation Rep'!X:X),"")</f>
        <v/>
      </c>
      <c r="K356" s="17" t="str">
        <f t="array" ref="K356">iferror(XLOOKUP(A356,'Download of SFDC Activation Rep'!B:B,'Download of SFDC Activation Rep'!C:C),"")</f>
        <v/>
      </c>
      <c r="L356" s="18" t="str">
        <f t="array" ref="L356">iferror(XLOOKUP(A356,'Download of SFDC Activation Rep'!B:B,'Download of SFDC Activation Rep'!S:S),"")</f>
        <v/>
      </c>
      <c r="M356" s="24" t="str">
        <f t="array" ref="M356">iferror(XLOOKUP(A356,'Download of SFDC Activation Rep'!B:B,'Download of SFDC Activation Rep'!Z:Z)+150,"")</f>
        <v/>
      </c>
      <c r="N356" s="24" t="str">
        <f t="array" ref="N356">iferror(XLOOKUP(A356,'Download of SFDC Activation Rep'!B:B,'Download of SFDC Activation Rep'!Y:Y),"")</f>
        <v/>
      </c>
    </row>
    <row r="357">
      <c r="B357" s="14"/>
      <c r="C357" s="14"/>
      <c r="D357" s="14"/>
      <c r="E357" s="15"/>
      <c r="F357" s="14"/>
      <c r="G357" s="13" t="str">
        <f t="array" ref="G357">iferror(XLOOKUP(A357,'Download of SFDC Activation Rep'!B:B,'Download of SFDC Activation Rep'!H:H),"")</f>
        <v/>
      </c>
      <c r="H357" s="13" t="str">
        <f t="array" ref="H357">iferror(xlookup(A357,'Download of SFDC Activation Rep'!B:B,'Download of SFDC Activation Rep'!L:L),"")</f>
        <v/>
      </c>
      <c r="I357" s="17" t="str">
        <f t="shared" si="1"/>
        <v>Not Active</v>
      </c>
      <c r="J357" s="17" t="str">
        <f t="array" ref="J357">iferror(XLOOKUP(A357,'Download of SFDC Activation Rep'!B:B,'Download of SFDC Activation Rep'!X:X),"")</f>
        <v/>
      </c>
      <c r="K357" s="17" t="str">
        <f t="array" ref="K357">iferror(XLOOKUP(A357,'Download of SFDC Activation Rep'!B:B,'Download of SFDC Activation Rep'!C:C),"")</f>
        <v/>
      </c>
      <c r="L357" s="18" t="str">
        <f t="array" ref="L357">iferror(XLOOKUP(A357,'Download of SFDC Activation Rep'!B:B,'Download of SFDC Activation Rep'!S:S),"")</f>
        <v/>
      </c>
      <c r="M357" s="24" t="str">
        <f t="array" ref="M357">iferror(XLOOKUP(A357,'Download of SFDC Activation Rep'!B:B,'Download of SFDC Activation Rep'!Z:Z)+150,"")</f>
        <v/>
      </c>
      <c r="N357" s="24" t="str">
        <f t="array" ref="N357">iferror(XLOOKUP(A357,'Download of SFDC Activation Rep'!B:B,'Download of SFDC Activation Rep'!Y:Y),"")</f>
        <v/>
      </c>
    </row>
    <row r="358">
      <c r="B358" s="14"/>
      <c r="C358" s="14"/>
      <c r="D358" s="14"/>
      <c r="E358" s="15"/>
      <c r="F358" s="14"/>
      <c r="G358" s="13" t="str">
        <f t="array" ref="G358">iferror(XLOOKUP(A358,'Download of SFDC Activation Rep'!B:B,'Download of SFDC Activation Rep'!H:H),"")</f>
        <v/>
      </c>
      <c r="H358" s="13" t="str">
        <f t="array" ref="H358">iferror(xlookup(A358,'Download of SFDC Activation Rep'!B:B,'Download of SFDC Activation Rep'!L:L),"")</f>
        <v/>
      </c>
      <c r="I358" s="17" t="str">
        <f t="shared" si="1"/>
        <v>Not Active</v>
      </c>
      <c r="J358" s="17" t="str">
        <f t="array" ref="J358">iferror(XLOOKUP(A358,'Download of SFDC Activation Rep'!B:B,'Download of SFDC Activation Rep'!X:X),"")</f>
        <v/>
      </c>
      <c r="K358" s="17" t="str">
        <f t="array" ref="K358">iferror(XLOOKUP(A358,'Download of SFDC Activation Rep'!B:B,'Download of SFDC Activation Rep'!C:C),"")</f>
        <v/>
      </c>
      <c r="L358" s="18" t="str">
        <f t="array" ref="L358">iferror(XLOOKUP(A358,'Download of SFDC Activation Rep'!B:B,'Download of SFDC Activation Rep'!S:S),"")</f>
        <v/>
      </c>
      <c r="M358" s="24" t="str">
        <f t="array" ref="M358">iferror(XLOOKUP(A358,'Download of SFDC Activation Rep'!B:B,'Download of SFDC Activation Rep'!Z:Z)+150,"")</f>
        <v/>
      </c>
      <c r="N358" s="24" t="str">
        <f t="array" ref="N358">iferror(XLOOKUP(A358,'Download of SFDC Activation Rep'!B:B,'Download of SFDC Activation Rep'!Y:Y),"")</f>
        <v/>
      </c>
    </row>
    <row r="359">
      <c r="B359" s="14"/>
      <c r="C359" s="14"/>
      <c r="D359" s="14"/>
      <c r="E359" s="15"/>
      <c r="F359" s="14"/>
      <c r="G359" s="13" t="str">
        <f t="array" ref="G359">iferror(XLOOKUP(A359,'Download of SFDC Activation Rep'!B:B,'Download of SFDC Activation Rep'!H:H),"")</f>
        <v/>
      </c>
      <c r="H359" s="13" t="str">
        <f t="array" ref="H359">iferror(xlookup(A359,'Download of SFDC Activation Rep'!B:B,'Download of SFDC Activation Rep'!L:L),"")</f>
        <v/>
      </c>
      <c r="I359" s="17" t="str">
        <f t="shared" si="1"/>
        <v>Not Active</v>
      </c>
      <c r="J359" s="17" t="str">
        <f t="array" ref="J359">iferror(XLOOKUP(A359,'Download of SFDC Activation Rep'!B:B,'Download of SFDC Activation Rep'!X:X),"")</f>
        <v/>
      </c>
      <c r="K359" s="17" t="str">
        <f t="array" ref="K359">iferror(XLOOKUP(A359,'Download of SFDC Activation Rep'!B:B,'Download of SFDC Activation Rep'!C:C),"")</f>
        <v/>
      </c>
      <c r="L359" s="18" t="str">
        <f t="array" ref="L359">iferror(XLOOKUP(A359,'Download of SFDC Activation Rep'!B:B,'Download of SFDC Activation Rep'!S:S),"")</f>
        <v/>
      </c>
      <c r="M359" s="24" t="str">
        <f t="array" ref="M359">iferror(XLOOKUP(A359,'Download of SFDC Activation Rep'!B:B,'Download of SFDC Activation Rep'!Z:Z)+150,"")</f>
        <v/>
      </c>
      <c r="N359" s="24" t="str">
        <f t="array" ref="N359">iferror(XLOOKUP(A359,'Download of SFDC Activation Rep'!B:B,'Download of SFDC Activation Rep'!Y:Y),"")</f>
        <v/>
      </c>
    </row>
    <row r="360">
      <c r="B360" s="14"/>
      <c r="C360" s="14"/>
      <c r="D360" s="14"/>
      <c r="E360" s="15"/>
      <c r="F360" s="14"/>
      <c r="G360" s="13" t="str">
        <f t="array" ref="G360">iferror(XLOOKUP(A360,'Download of SFDC Activation Rep'!B:B,'Download of SFDC Activation Rep'!H:H),"")</f>
        <v/>
      </c>
      <c r="H360" s="13" t="str">
        <f t="array" ref="H360">iferror(xlookup(A360,'Download of SFDC Activation Rep'!B:B,'Download of SFDC Activation Rep'!L:L),"")</f>
        <v/>
      </c>
      <c r="I360" s="17" t="str">
        <f t="shared" si="1"/>
        <v>Not Active</v>
      </c>
      <c r="J360" s="17" t="str">
        <f t="array" ref="J360">iferror(XLOOKUP(A360,'Download of SFDC Activation Rep'!B:B,'Download of SFDC Activation Rep'!X:X),"")</f>
        <v/>
      </c>
      <c r="K360" s="17" t="str">
        <f t="array" ref="K360">iferror(XLOOKUP(A360,'Download of SFDC Activation Rep'!B:B,'Download of SFDC Activation Rep'!C:C),"")</f>
        <v/>
      </c>
      <c r="L360" s="18" t="str">
        <f t="array" ref="L360">iferror(XLOOKUP(A360,'Download of SFDC Activation Rep'!B:B,'Download of SFDC Activation Rep'!S:S),"")</f>
        <v/>
      </c>
      <c r="M360" s="24" t="str">
        <f t="array" ref="M360">iferror(XLOOKUP(A360,'Download of SFDC Activation Rep'!B:B,'Download of SFDC Activation Rep'!Z:Z)+150,"")</f>
        <v/>
      </c>
      <c r="N360" s="24" t="str">
        <f t="array" ref="N360">iferror(XLOOKUP(A360,'Download of SFDC Activation Rep'!B:B,'Download of SFDC Activation Rep'!Y:Y),"")</f>
        <v/>
      </c>
    </row>
    <row r="361">
      <c r="B361" s="14"/>
      <c r="C361" s="14"/>
      <c r="D361" s="14"/>
      <c r="E361" s="15"/>
      <c r="F361" s="14"/>
      <c r="G361" s="13" t="str">
        <f t="array" ref="G361">iferror(XLOOKUP(A361,'Download of SFDC Activation Rep'!B:B,'Download of SFDC Activation Rep'!H:H),"")</f>
        <v/>
      </c>
      <c r="H361" s="13" t="str">
        <f t="array" ref="H361">iferror(xlookup(A361,'Download of SFDC Activation Rep'!B:B,'Download of SFDC Activation Rep'!L:L),"")</f>
        <v/>
      </c>
      <c r="I361" s="17" t="str">
        <f t="shared" si="1"/>
        <v>Not Active</v>
      </c>
      <c r="J361" s="17" t="str">
        <f t="array" ref="J361">iferror(XLOOKUP(A361,'Download of SFDC Activation Rep'!B:B,'Download of SFDC Activation Rep'!X:X),"")</f>
        <v/>
      </c>
      <c r="K361" s="17" t="str">
        <f t="array" ref="K361">iferror(XLOOKUP(A361,'Download of SFDC Activation Rep'!B:B,'Download of SFDC Activation Rep'!C:C),"")</f>
        <v/>
      </c>
      <c r="L361" s="18" t="str">
        <f t="array" ref="L361">iferror(XLOOKUP(A361,'Download of SFDC Activation Rep'!B:B,'Download of SFDC Activation Rep'!S:S),"")</f>
        <v/>
      </c>
      <c r="M361" s="24" t="str">
        <f t="array" ref="M361">iferror(XLOOKUP(A361,'Download of SFDC Activation Rep'!B:B,'Download of SFDC Activation Rep'!Z:Z)+150,"")</f>
        <v/>
      </c>
      <c r="N361" s="24" t="str">
        <f t="array" ref="N361">iferror(XLOOKUP(A361,'Download of SFDC Activation Rep'!B:B,'Download of SFDC Activation Rep'!Y:Y),"")</f>
        <v/>
      </c>
    </row>
    <row r="362">
      <c r="B362" s="14"/>
      <c r="C362" s="14"/>
      <c r="D362" s="14"/>
      <c r="E362" s="15"/>
      <c r="F362" s="14"/>
      <c r="G362" s="13" t="str">
        <f t="array" ref="G362">iferror(XLOOKUP(A362,'Download of SFDC Activation Rep'!B:B,'Download of SFDC Activation Rep'!H:H),"")</f>
        <v/>
      </c>
      <c r="H362" s="13" t="str">
        <f t="array" ref="H362">iferror(xlookup(A362,'Download of SFDC Activation Rep'!B:B,'Download of SFDC Activation Rep'!L:L),"")</f>
        <v/>
      </c>
      <c r="I362" s="17" t="str">
        <f t="shared" si="1"/>
        <v>Not Active</v>
      </c>
      <c r="J362" s="17" t="str">
        <f t="array" ref="J362">iferror(XLOOKUP(A362,'Download of SFDC Activation Rep'!B:B,'Download of SFDC Activation Rep'!X:X),"")</f>
        <v/>
      </c>
      <c r="K362" s="17" t="str">
        <f t="array" ref="K362">iferror(XLOOKUP(A362,'Download of SFDC Activation Rep'!B:B,'Download of SFDC Activation Rep'!C:C),"")</f>
        <v/>
      </c>
      <c r="L362" s="18" t="str">
        <f t="array" ref="L362">iferror(XLOOKUP(A362,'Download of SFDC Activation Rep'!B:B,'Download of SFDC Activation Rep'!S:S),"")</f>
        <v/>
      </c>
      <c r="M362" s="24" t="str">
        <f t="array" ref="M362">iferror(XLOOKUP(A362,'Download of SFDC Activation Rep'!B:B,'Download of SFDC Activation Rep'!Z:Z)+150,"")</f>
        <v/>
      </c>
      <c r="N362" s="24" t="str">
        <f t="array" ref="N362">iferror(XLOOKUP(A362,'Download of SFDC Activation Rep'!B:B,'Download of SFDC Activation Rep'!Y:Y),"")</f>
        <v/>
      </c>
    </row>
    <row r="363">
      <c r="B363" s="14"/>
      <c r="C363" s="14"/>
      <c r="D363" s="14"/>
      <c r="E363" s="15"/>
      <c r="F363" s="14"/>
      <c r="G363" s="13" t="str">
        <f t="array" ref="G363">iferror(XLOOKUP(A363,'Download of SFDC Activation Rep'!B:B,'Download of SFDC Activation Rep'!H:H),"")</f>
        <v/>
      </c>
      <c r="H363" s="13" t="str">
        <f t="array" ref="H363">iferror(xlookup(A363,'Download of SFDC Activation Rep'!B:B,'Download of SFDC Activation Rep'!L:L),"")</f>
        <v/>
      </c>
      <c r="I363" s="17" t="str">
        <f t="shared" si="1"/>
        <v>Not Active</v>
      </c>
      <c r="J363" s="17" t="str">
        <f t="array" ref="J363">iferror(XLOOKUP(A363,'Download of SFDC Activation Rep'!B:B,'Download of SFDC Activation Rep'!X:X),"")</f>
        <v/>
      </c>
      <c r="K363" s="17" t="str">
        <f t="array" ref="K363">iferror(XLOOKUP(A363,'Download of SFDC Activation Rep'!B:B,'Download of SFDC Activation Rep'!C:C),"")</f>
        <v/>
      </c>
      <c r="L363" s="18" t="str">
        <f t="array" ref="L363">iferror(XLOOKUP(A363,'Download of SFDC Activation Rep'!B:B,'Download of SFDC Activation Rep'!S:S),"")</f>
        <v/>
      </c>
      <c r="M363" s="24" t="str">
        <f t="array" ref="M363">iferror(XLOOKUP(A363,'Download of SFDC Activation Rep'!B:B,'Download of SFDC Activation Rep'!Z:Z)+150,"")</f>
        <v/>
      </c>
      <c r="N363" s="24" t="str">
        <f t="array" ref="N363">iferror(XLOOKUP(A363,'Download of SFDC Activation Rep'!B:B,'Download of SFDC Activation Rep'!Y:Y),"")</f>
        <v/>
      </c>
    </row>
    <row r="364">
      <c r="B364" s="14"/>
      <c r="C364" s="14"/>
      <c r="D364" s="14"/>
      <c r="E364" s="15"/>
      <c r="F364" s="14"/>
      <c r="G364" s="13" t="str">
        <f t="array" ref="G364">iferror(XLOOKUP(A364,'Download of SFDC Activation Rep'!B:B,'Download of SFDC Activation Rep'!H:H),"")</f>
        <v/>
      </c>
      <c r="H364" s="13" t="str">
        <f t="array" ref="H364">iferror(xlookup(A364,'Download of SFDC Activation Rep'!B:B,'Download of SFDC Activation Rep'!L:L),"")</f>
        <v/>
      </c>
      <c r="I364" s="17" t="str">
        <f t="shared" si="1"/>
        <v>Not Active</v>
      </c>
      <c r="J364" s="17" t="str">
        <f t="array" ref="J364">iferror(XLOOKUP(A364,'Download of SFDC Activation Rep'!B:B,'Download of SFDC Activation Rep'!X:X),"")</f>
        <v/>
      </c>
      <c r="K364" s="17" t="str">
        <f t="array" ref="K364">iferror(XLOOKUP(A364,'Download of SFDC Activation Rep'!B:B,'Download of SFDC Activation Rep'!C:C),"")</f>
        <v/>
      </c>
      <c r="L364" s="18" t="str">
        <f t="array" ref="L364">iferror(XLOOKUP(A364,'Download of SFDC Activation Rep'!B:B,'Download of SFDC Activation Rep'!S:S),"")</f>
        <v/>
      </c>
      <c r="M364" s="24" t="str">
        <f t="array" ref="M364">iferror(XLOOKUP(A364,'Download of SFDC Activation Rep'!B:B,'Download of SFDC Activation Rep'!Z:Z)+150,"")</f>
        <v/>
      </c>
      <c r="N364" s="24" t="str">
        <f t="array" ref="N364">iferror(XLOOKUP(A364,'Download of SFDC Activation Rep'!B:B,'Download of SFDC Activation Rep'!Y:Y),"")</f>
        <v/>
      </c>
    </row>
    <row r="365">
      <c r="B365" s="14"/>
      <c r="C365" s="14"/>
      <c r="D365" s="14"/>
      <c r="E365" s="15"/>
      <c r="F365" s="14"/>
      <c r="G365" s="13" t="str">
        <f t="array" ref="G365">iferror(XLOOKUP(A365,'Download of SFDC Activation Rep'!B:B,'Download of SFDC Activation Rep'!H:H),"")</f>
        <v/>
      </c>
      <c r="H365" s="13" t="str">
        <f t="array" ref="H365">iferror(xlookup(A365,'Download of SFDC Activation Rep'!B:B,'Download of SFDC Activation Rep'!L:L),"")</f>
        <v/>
      </c>
      <c r="I365" s="17" t="str">
        <f t="shared" si="1"/>
        <v>Not Active</v>
      </c>
      <c r="J365" s="17" t="str">
        <f t="array" ref="J365">iferror(XLOOKUP(A365,'Download of SFDC Activation Rep'!B:B,'Download of SFDC Activation Rep'!X:X),"")</f>
        <v/>
      </c>
      <c r="K365" s="17" t="str">
        <f t="array" ref="K365">iferror(XLOOKUP(A365,'Download of SFDC Activation Rep'!B:B,'Download of SFDC Activation Rep'!C:C),"")</f>
        <v/>
      </c>
      <c r="L365" s="18" t="str">
        <f t="array" ref="L365">iferror(XLOOKUP(A365,'Download of SFDC Activation Rep'!B:B,'Download of SFDC Activation Rep'!S:S),"")</f>
        <v/>
      </c>
      <c r="M365" s="24" t="str">
        <f t="array" ref="M365">iferror(XLOOKUP(A365,'Download of SFDC Activation Rep'!B:B,'Download of SFDC Activation Rep'!Z:Z)+150,"")</f>
        <v/>
      </c>
      <c r="N365" s="24" t="str">
        <f t="array" ref="N365">iferror(XLOOKUP(A365,'Download of SFDC Activation Rep'!B:B,'Download of SFDC Activation Rep'!Y:Y),"")</f>
        <v/>
      </c>
    </row>
    <row r="366">
      <c r="B366" s="14"/>
      <c r="C366" s="14"/>
      <c r="D366" s="14"/>
      <c r="E366" s="15"/>
      <c r="F366" s="14"/>
      <c r="G366" s="13" t="str">
        <f t="array" ref="G366">iferror(XLOOKUP(A366,'Download of SFDC Activation Rep'!B:B,'Download of SFDC Activation Rep'!H:H),"")</f>
        <v/>
      </c>
      <c r="H366" s="13" t="str">
        <f t="array" ref="H366">iferror(xlookup(A366,'Download of SFDC Activation Rep'!B:B,'Download of SFDC Activation Rep'!L:L),"")</f>
        <v/>
      </c>
      <c r="I366" s="17" t="str">
        <f t="shared" si="1"/>
        <v>Not Active</v>
      </c>
      <c r="J366" s="17" t="str">
        <f t="array" ref="J366">iferror(XLOOKUP(A366,'Download of SFDC Activation Rep'!B:B,'Download of SFDC Activation Rep'!X:X),"")</f>
        <v/>
      </c>
      <c r="K366" s="17" t="str">
        <f t="array" ref="K366">iferror(XLOOKUP(A366,'Download of SFDC Activation Rep'!B:B,'Download of SFDC Activation Rep'!C:C),"")</f>
        <v/>
      </c>
      <c r="L366" s="18" t="str">
        <f t="array" ref="L366">iferror(XLOOKUP(A366,'Download of SFDC Activation Rep'!B:B,'Download of SFDC Activation Rep'!S:S),"")</f>
        <v/>
      </c>
      <c r="M366" s="24" t="str">
        <f t="array" ref="M366">iferror(XLOOKUP(A366,'Download of SFDC Activation Rep'!B:B,'Download of SFDC Activation Rep'!Z:Z)+150,"")</f>
        <v/>
      </c>
      <c r="N366" s="24" t="str">
        <f t="array" ref="N366">iferror(XLOOKUP(A366,'Download of SFDC Activation Rep'!B:B,'Download of SFDC Activation Rep'!Y:Y),"")</f>
        <v/>
      </c>
    </row>
    <row r="367">
      <c r="B367" s="14"/>
      <c r="C367" s="14"/>
      <c r="D367" s="14"/>
      <c r="E367" s="15"/>
      <c r="F367" s="14"/>
      <c r="G367" s="13" t="str">
        <f t="array" ref="G367">iferror(XLOOKUP(A367,'Download of SFDC Activation Rep'!B:B,'Download of SFDC Activation Rep'!H:H),"")</f>
        <v/>
      </c>
      <c r="H367" s="13" t="str">
        <f t="array" ref="H367">iferror(xlookup(A367,'Download of SFDC Activation Rep'!B:B,'Download of SFDC Activation Rep'!L:L),"")</f>
        <v/>
      </c>
      <c r="I367" s="17" t="str">
        <f t="shared" si="1"/>
        <v>Not Active</v>
      </c>
      <c r="J367" s="17" t="str">
        <f t="array" ref="J367">iferror(XLOOKUP(A367,'Download of SFDC Activation Rep'!B:B,'Download of SFDC Activation Rep'!X:X),"")</f>
        <v/>
      </c>
      <c r="K367" s="17" t="str">
        <f t="array" ref="K367">iferror(XLOOKUP(A367,'Download of SFDC Activation Rep'!B:B,'Download of SFDC Activation Rep'!C:C),"")</f>
        <v/>
      </c>
      <c r="L367" s="18" t="str">
        <f t="array" ref="L367">iferror(XLOOKUP(A367,'Download of SFDC Activation Rep'!B:B,'Download of SFDC Activation Rep'!S:S),"")</f>
        <v/>
      </c>
      <c r="M367" s="24" t="str">
        <f t="array" ref="M367">iferror(XLOOKUP(A367,'Download of SFDC Activation Rep'!B:B,'Download of SFDC Activation Rep'!Z:Z)+150,"")</f>
        <v/>
      </c>
      <c r="N367" s="24" t="str">
        <f t="array" ref="N367">iferror(XLOOKUP(A367,'Download of SFDC Activation Rep'!B:B,'Download of SFDC Activation Rep'!Y:Y),"")</f>
        <v/>
      </c>
    </row>
    <row r="368">
      <c r="B368" s="14"/>
      <c r="C368" s="14"/>
      <c r="D368" s="14"/>
      <c r="E368" s="15"/>
      <c r="F368" s="14"/>
      <c r="G368" s="13" t="str">
        <f t="array" ref="G368">iferror(XLOOKUP(A368,'Download of SFDC Activation Rep'!B:B,'Download of SFDC Activation Rep'!H:H),"")</f>
        <v/>
      </c>
      <c r="H368" s="13" t="str">
        <f t="array" ref="H368">iferror(xlookup(A368,'Download of SFDC Activation Rep'!B:B,'Download of SFDC Activation Rep'!L:L),"")</f>
        <v/>
      </c>
      <c r="I368" s="17" t="str">
        <f t="shared" si="1"/>
        <v>Not Active</v>
      </c>
      <c r="J368" s="17" t="str">
        <f t="array" ref="J368">iferror(XLOOKUP(A368,'Download of SFDC Activation Rep'!B:B,'Download of SFDC Activation Rep'!X:X),"")</f>
        <v/>
      </c>
      <c r="K368" s="17" t="str">
        <f t="array" ref="K368">iferror(XLOOKUP(A368,'Download of SFDC Activation Rep'!B:B,'Download of SFDC Activation Rep'!C:C),"")</f>
        <v/>
      </c>
      <c r="L368" s="18" t="str">
        <f t="array" ref="L368">iferror(XLOOKUP(A368,'Download of SFDC Activation Rep'!B:B,'Download of SFDC Activation Rep'!S:S),"")</f>
        <v/>
      </c>
      <c r="M368" s="24" t="str">
        <f t="array" ref="M368">iferror(XLOOKUP(A368,'Download of SFDC Activation Rep'!B:B,'Download of SFDC Activation Rep'!Z:Z)+150,"")</f>
        <v/>
      </c>
      <c r="N368" s="24" t="str">
        <f t="array" ref="N368">iferror(XLOOKUP(A368,'Download of SFDC Activation Rep'!B:B,'Download of SFDC Activation Rep'!Y:Y),"")</f>
        <v/>
      </c>
    </row>
    <row r="369">
      <c r="B369" s="14"/>
      <c r="C369" s="14"/>
      <c r="D369" s="14"/>
      <c r="E369" s="15"/>
      <c r="F369" s="14"/>
      <c r="G369" s="13" t="str">
        <f t="array" ref="G369">iferror(XLOOKUP(A369,'Download of SFDC Activation Rep'!B:B,'Download of SFDC Activation Rep'!H:H),"")</f>
        <v/>
      </c>
      <c r="H369" s="13" t="str">
        <f t="array" ref="H369">iferror(xlookup(A369,'Download of SFDC Activation Rep'!B:B,'Download of SFDC Activation Rep'!L:L),"")</f>
        <v/>
      </c>
      <c r="I369" s="17" t="str">
        <f t="shared" si="1"/>
        <v>Not Active</v>
      </c>
      <c r="J369" s="17" t="str">
        <f t="array" ref="J369">iferror(XLOOKUP(A369,'Download of SFDC Activation Rep'!B:B,'Download of SFDC Activation Rep'!X:X),"")</f>
        <v/>
      </c>
      <c r="K369" s="17" t="str">
        <f t="array" ref="K369">iferror(XLOOKUP(A369,'Download of SFDC Activation Rep'!B:B,'Download of SFDC Activation Rep'!C:C),"")</f>
        <v/>
      </c>
      <c r="L369" s="18" t="str">
        <f t="array" ref="L369">iferror(XLOOKUP(A369,'Download of SFDC Activation Rep'!B:B,'Download of SFDC Activation Rep'!S:S),"")</f>
        <v/>
      </c>
      <c r="M369" s="24" t="str">
        <f t="array" ref="M369">iferror(XLOOKUP(A369,'Download of SFDC Activation Rep'!B:B,'Download of SFDC Activation Rep'!Z:Z)+150,"")</f>
        <v/>
      </c>
      <c r="N369" s="24" t="str">
        <f t="array" ref="N369">iferror(XLOOKUP(A369,'Download of SFDC Activation Rep'!B:B,'Download of SFDC Activation Rep'!Y:Y),"")</f>
        <v/>
      </c>
    </row>
    <row r="370">
      <c r="B370" s="14"/>
      <c r="C370" s="14"/>
      <c r="D370" s="14"/>
      <c r="E370" s="15"/>
      <c r="F370" s="14"/>
      <c r="G370" s="13" t="str">
        <f t="array" ref="G370">iferror(XLOOKUP(A370,'Download of SFDC Activation Rep'!B:B,'Download of SFDC Activation Rep'!H:H),"")</f>
        <v/>
      </c>
      <c r="H370" s="13" t="str">
        <f t="array" ref="H370">iferror(xlookup(A370,'Download of SFDC Activation Rep'!B:B,'Download of SFDC Activation Rep'!L:L),"")</f>
        <v/>
      </c>
      <c r="I370" s="17" t="str">
        <f t="shared" si="1"/>
        <v>Not Active</v>
      </c>
      <c r="J370" s="17" t="str">
        <f t="array" ref="J370">iferror(XLOOKUP(A370,'Download of SFDC Activation Rep'!B:B,'Download of SFDC Activation Rep'!X:X),"")</f>
        <v/>
      </c>
      <c r="K370" s="17" t="str">
        <f t="array" ref="K370">iferror(XLOOKUP(A370,'Download of SFDC Activation Rep'!B:B,'Download of SFDC Activation Rep'!C:C),"")</f>
        <v/>
      </c>
      <c r="L370" s="18" t="str">
        <f t="array" ref="L370">iferror(XLOOKUP(A370,'Download of SFDC Activation Rep'!B:B,'Download of SFDC Activation Rep'!S:S),"")</f>
        <v/>
      </c>
      <c r="M370" s="24" t="str">
        <f t="array" ref="M370">iferror(XLOOKUP(A370,'Download of SFDC Activation Rep'!B:B,'Download of SFDC Activation Rep'!Z:Z)+150,"")</f>
        <v/>
      </c>
      <c r="N370" s="24" t="str">
        <f t="array" ref="N370">iferror(XLOOKUP(A370,'Download of SFDC Activation Rep'!B:B,'Download of SFDC Activation Rep'!Y:Y),"")</f>
        <v/>
      </c>
    </row>
    <row r="371">
      <c r="B371" s="14"/>
      <c r="C371" s="14"/>
      <c r="D371" s="14"/>
      <c r="E371" s="15"/>
      <c r="F371" s="14"/>
      <c r="G371" s="13" t="str">
        <f t="array" ref="G371">iferror(XLOOKUP(A371,'Download of SFDC Activation Rep'!B:B,'Download of SFDC Activation Rep'!H:H),"")</f>
        <v/>
      </c>
      <c r="H371" s="13" t="str">
        <f t="array" ref="H371">iferror(xlookup(A371,'Download of SFDC Activation Rep'!B:B,'Download of SFDC Activation Rep'!L:L),"")</f>
        <v/>
      </c>
      <c r="I371" s="17" t="str">
        <f t="shared" si="1"/>
        <v>Not Active</v>
      </c>
      <c r="J371" s="17" t="str">
        <f t="array" ref="J371">iferror(XLOOKUP(A371,'Download of SFDC Activation Rep'!B:B,'Download of SFDC Activation Rep'!X:X),"")</f>
        <v/>
      </c>
      <c r="K371" s="17" t="str">
        <f t="array" ref="K371">iferror(XLOOKUP(A371,'Download of SFDC Activation Rep'!B:B,'Download of SFDC Activation Rep'!C:C),"")</f>
        <v/>
      </c>
      <c r="L371" s="18" t="str">
        <f t="array" ref="L371">iferror(XLOOKUP(A371,'Download of SFDC Activation Rep'!B:B,'Download of SFDC Activation Rep'!S:S),"")</f>
        <v/>
      </c>
      <c r="M371" s="24" t="str">
        <f t="array" ref="M371">iferror(XLOOKUP(A371,'Download of SFDC Activation Rep'!B:B,'Download of SFDC Activation Rep'!Z:Z)+150,"")</f>
        <v/>
      </c>
      <c r="N371" s="24" t="str">
        <f t="array" ref="N371">iferror(XLOOKUP(A371,'Download of SFDC Activation Rep'!B:B,'Download of SFDC Activation Rep'!Y:Y),"")</f>
        <v/>
      </c>
    </row>
    <row r="372">
      <c r="B372" s="14"/>
      <c r="C372" s="14"/>
      <c r="D372" s="14"/>
      <c r="E372" s="15"/>
      <c r="F372" s="14"/>
      <c r="G372" s="13" t="str">
        <f t="array" ref="G372">iferror(XLOOKUP(A372,'Download of SFDC Activation Rep'!B:B,'Download of SFDC Activation Rep'!H:H),"")</f>
        <v/>
      </c>
      <c r="H372" s="13" t="str">
        <f t="array" ref="H372">iferror(xlookup(A372,'Download of SFDC Activation Rep'!B:B,'Download of SFDC Activation Rep'!L:L),"")</f>
        <v/>
      </c>
      <c r="I372" s="17" t="str">
        <f t="shared" si="1"/>
        <v>Not Active</v>
      </c>
      <c r="J372" s="17" t="str">
        <f t="array" ref="J372">iferror(XLOOKUP(A372,'Download of SFDC Activation Rep'!B:B,'Download of SFDC Activation Rep'!X:X),"")</f>
        <v/>
      </c>
      <c r="K372" s="17" t="str">
        <f t="array" ref="K372">iferror(XLOOKUP(A372,'Download of SFDC Activation Rep'!B:B,'Download of SFDC Activation Rep'!C:C),"")</f>
        <v/>
      </c>
      <c r="L372" s="18" t="str">
        <f t="array" ref="L372">iferror(XLOOKUP(A372,'Download of SFDC Activation Rep'!B:B,'Download of SFDC Activation Rep'!S:S),"")</f>
        <v/>
      </c>
      <c r="M372" s="24" t="str">
        <f t="array" ref="M372">iferror(XLOOKUP(A372,'Download of SFDC Activation Rep'!B:B,'Download of SFDC Activation Rep'!Z:Z)+150,"")</f>
        <v/>
      </c>
      <c r="N372" s="24" t="str">
        <f t="array" ref="N372">iferror(XLOOKUP(A372,'Download of SFDC Activation Rep'!B:B,'Download of SFDC Activation Rep'!Y:Y),"")</f>
        <v/>
      </c>
    </row>
    <row r="373">
      <c r="B373" s="14"/>
      <c r="C373" s="14"/>
      <c r="D373" s="14"/>
      <c r="E373" s="15"/>
      <c r="F373" s="14"/>
      <c r="G373" s="13" t="str">
        <f t="array" ref="G373">iferror(XLOOKUP(A373,'Download of SFDC Activation Rep'!B:B,'Download of SFDC Activation Rep'!H:H),"")</f>
        <v/>
      </c>
      <c r="H373" s="13" t="str">
        <f t="array" ref="H373">iferror(xlookup(A373,'Download of SFDC Activation Rep'!B:B,'Download of SFDC Activation Rep'!L:L),"")</f>
        <v/>
      </c>
      <c r="I373" s="17" t="str">
        <f t="shared" si="1"/>
        <v>Not Active</v>
      </c>
      <c r="J373" s="17" t="str">
        <f t="array" ref="J373">iferror(XLOOKUP(A373,'Download of SFDC Activation Rep'!B:B,'Download of SFDC Activation Rep'!X:X),"")</f>
        <v/>
      </c>
      <c r="K373" s="17" t="str">
        <f t="array" ref="K373">iferror(XLOOKUP(A373,'Download of SFDC Activation Rep'!B:B,'Download of SFDC Activation Rep'!C:C),"")</f>
        <v/>
      </c>
      <c r="L373" s="18" t="str">
        <f t="array" ref="L373">iferror(XLOOKUP(A373,'Download of SFDC Activation Rep'!B:B,'Download of SFDC Activation Rep'!S:S),"")</f>
        <v/>
      </c>
      <c r="M373" s="24" t="str">
        <f t="array" ref="M373">iferror(XLOOKUP(A373,'Download of SFDC Activation Rep'!B:B,'Download of SFDC Activation Rep'!Z:Z)+150,"")</f>
        <v/>
      </c>
      <c r="N373" s="24" t="str">
        <f t="array" ref="N373">iferror(XLOOKUP(A373,'Download of SFDC Activation Rep'!B:B,'Download of SFDC Activation Rep'!Y:Y),"")</f>
        <v/>
      </c>
    </row>
    <row r="374">
      <c r="B374" s="14"/>
      <c r="C374" s="14"/>
      <c r="D374" s="14"/>
      <c r="E374" s="15"/>
      <c r="F374" s="14"/>
      <c r="G374" s="13" t="str">
        <f t="array" ref="G374">iferror(XLOOKUP(A374,'Download of SFDC Activation Rep'!B:B,'Download of SFDC Activation Rep'!H:H),"")</f>
        <v/>
      </c>
      <c r="H374" s="13" t="str">
        <f t="array" ref="H374">iferror(xlookup(A374,'Download of SFDC Activation Rep'!B:B,'Download of SFDC Activation Rep'!L:L),"")</f>
        <v/>
      </c>
      <c r="I374" s="17" t="str">
        <f t="shared" si="1"/>
        <v>Not Active</v>
      </c>
      <c r="J374" s="17" t="str">
        <f t="array" ref="J374">iferror(XLOOKUP(A374,'Download of SFDC Activation Rep'!B:B,'Download of SFDC Activation Rep'!X:X),"")</f>
        <v/>
      </c>
      <c r="K374" s="17" t="str">
        <f t="array" ref="K374">iferror(XLOOKUP(A374,'Download of SFDC Activation Rep'!B:B,'Download of SFDC Activation Rep'!C:C),"")</f>
        <v/>
      </c>
      <c r="L374" s="18" t="str">
        <f t="array" ref="L374">iferror(XLOOKUP(A374,'Download of SFDC Activation Rep'!B:B,'Download of SFDC Activation Rep'!S:S),"")</f>
        <v/>
      </c>
      <c r="M374" s="24" t="str">
        <f t="array" ref="M374">iferror(XLOOKUP(A374,'Download of SFDC Activation Rep'!B:B,'Download of SFDC Activation Rep'!Z:Z)+150,"")</f>
        <v/>
      </c>
      <c r="N374" s="24" t="str">
        <f t="array" ref="N374">iferror(XLOOKUP(A374,'Download of SFDC Activation Rep'!B:B,'Download of SFDC Activation Rep'!Y:Y),"")</f>
        <v/>
      </c>
    </row>
    <row r="375">
      <c r="B375" s="14"/>
      <c r="C375" s="14"/>
      <c r="D375" s="14"/>
      <c r="E375" s="15"/>
      <c r="F375" s="14"/>
      <c r="G375" s="13" t="str">
        <f t="array" ref="G375">iferror(XLOOKUP(A375,'Download of SFDC Activation Rep'!B:B,'Download of SFDC Activation Rep'!H:H),"")</f>
        <v/>
      </c>
      <c r="H375" s="13" t="str">
        <f t="array" ref="H375">iferror(xlookup(A375,'Download of SFDC Activation Rep'!B:B,'Download of SFDC Activation Rep'!L:L),"")</f>
        <v/>
      </c>
      <c r="I375" s="17" t="str">
        <f t="shared" si="1"/>
        <v>Not Active</v>
      </c>
      <c r="J375" s="17" t="str">
        <f t="array" ref="J375">iferror(XLOOKUP(A375,'Download of SFDC Activation Rep'!B:B,'Download of SFDC Activation Rep'!X:X),"")</f>
        <v/>
      </c>
      <c r="K375" s="17" t="str">
        <f t="array" ref="K375">iferror(XLOOKUP(A375,'Download of SFDC Activation Rep'!B:B,'Download of SFDC Activation Rep'!C:C),"")</f>
        <v/>
      </c>
      <c r="L375" s="18" t="str">
        <f t="array" ref="L375">iferror(XLOOKUP(A375,'Download of SFDC Activation Rep'!B:B,'Download of SFDC Activation Rep'!S:S),"")</f>
        <v/>
      </c>
      <c r="M375" s="24" t="str">
        <f t="array" ref="M375">iferror(XLOOKUP(A375,'Download of SFDC Activation Rep'!B:B,'Download of SFDC Activation Rep'!Z:Z)+150,"")</f>
        <v/>
      </c>
      <c r="N375" s="24" t="str">
        <f t="array" ref="N375">iferror(XLOOKUP(A375,'Download of SFDC Activation Rep'!B:B,'Download of SFDC Activation Rep'!Y:Y),"")</f>
        <v/>
      </c>
    </row>
    <row r="376">
      <c r="B376" s="14"/>
      <c r="C376" s="14"/>
      <c r="D376" s="14"/>
      <c r="E376" s="15"/>
      <c r="F376" s="14"/>
      <c r="G376" s="13" t="str">
        <f t="array" ref="G376">iferror(XLOOKUP(A376,'Download of SFDC Activation Rep'!B:B,'Download of SFDC Activation Rep'!H:H),"")</f>
        <v/>
      </c>
      <c r="H376" s="13" t="str">
        <f t="array" ref="H376">iferror(xlookup(A376,'Download of SFDC Activation Rep'!B:B,'Download of SFDC Activation Rep'!L:L),"")</f>
        <v/>
      </c>
      <c r="I376" s="17" t="str">
        <f t="shared" si="1"/>
        <v>Not Active</v>
      </c>
      <c r="J376" s="17" t="str">
        <f t="array" ref="J376">iferror(XLOOKUP(A376,'Download of SFDC Activation Rep'!B:B,'Download of SFDC Activation Rep'!X:X),"")</f>
        <v/>
      </c>
      <c r="K376" s="17" t="str">
        <f t="array" ref="K376">iferror(XLOOKUP(A376,'Download of SFDC Activation Rep'!B:B,'Download of SFDC Activation Rep'!C:C),"")</f>
        <v/>
      </c>
      <c r="L376" s="18" t="str">
        <f t="array" ref="L376">iferror(XLOOKUP(A376,'Download of SFDC Activation Rep'!B:B,'Download of SFDC Activation Rep'!S:S),"")</f>
        <v/>
      </c>
      <c r="M376" s="24" t="str">
        <f t="array" ref="M376">iferror(XLOOKUP(A376,'Download of SFDC Activation Rep'!B:B,'Download of SFDC Activation Rep'!Z:Z)+150,"")</f>
        <v/>
      </c>
      <c r="N376" s="24" t="str">
        <f t="array" ref="N376">iferror(XLOOKUP(A376,'Download of SFDC Activation Rep'!B:B,'Download of SFDC Activation Rep'!Y:Y),"")</f>
        <v/>
      </c>
    </row>
    <row r="377">
      <c r="B377" s="14"/>
      <c r="C377" s="14"/>
      <c r="D377" s="14"/>
      <c r="E377" s="15"/>
      <c r="F377" s="14"/>
      <c r="G377" s="13" t="str">
        <f t="array" ref="G377">iferror(XLOOKUP(A377,'Download of SFDC Activation Rep'!B:B,'Download of SFDC Activation Rep'!H:H),"")</f>
        <v/>
      </c>
      <c r="H377" s="13" t="str">
        <f t="array" ref="H377">iferror(xlookup(A377,'Download of SFDC Activation Rep'!B:B,'Download of SFDC Activation Rep'!L:L),"")</f>
        <v/>
      </c>
      <c r="I377" s="17" t="str">
        <f t="shared" si="1"/>
        <v>Not Active</v>
      </c>
      <c r="J377" s="17" t="str">
        <f t="array" ref="J377">iferror(XLOOKUP(A377,'Download of SFDC Activation Rep'!B:B,'Download of SFDC Activation Rep'!X:X),"")</f>
        <v/>
      </c>
      <c r="K377" s="17" t="str">
        <f t="array" ref="K377">iferror(XLOOKUP(A377,'Download of SFDC Activation Rep'!B:B,'Download of SFDC Activation Rep'!C:C),"")</f>
        <v/>
      </c>
      <c r="L377" s="18" t="str">
        <f t="array" ref="L377">iferror(XLOOKUP(A377,'Download of SFDC Activation Rep'!B:B,'Download of SFDC Activation Rep'!S:S),"")</f>
        <v/>
      </c>
      <c r="M377" s="24" t="str">
        <f t="array" ref="M377">iferror(XLOOKUP(A377,'Download of SFDC Activation Rep'!B:B,'Download of SFDC Activation Rep'!Z:Z)+150,"")</f>
        <v/>
      </c>
      <c r="N377" s="24" t="str">
        <f t="array" ref="N377">iferror(XLOOKUP(A377,'Download of SFDC Activation Rep'!B:B,'Download of SFDC Activation Rep'!Y:Y),"")</f>
        <v/>
      </c>
    </row>
    <row r="378">
      <c r="B378" s="14"/>
      <c r="C378" s="14"/>
      <c r="D378" s="14"/>
      <c r="E378" s="15"/>
      <c r="F378" s="14"/>
      <c r="G378" s="13" t="str">
        <f t="array" ref="G378">iferror(XLOOKUP(A378,'Download of SFDC Activation Rep'!B:B,'Download of SFDC Activation Rep'!H:H),"")</f>
        <v/>
      </c>
      <c r="H378" s="13" t="str">
        <f t="array" ref="H378">iferror(xlookup(A378,'Download of SFDC Activation Rep'!B:B,'Download of SFDC Activation Rep'!L:L),"")</f>
        <v/>
      </c>
      <c r="I378" s="17" t="str">
        <f t="shared" si="1"/>
        <v>Not Active</v>
      </c>
      <c r="J378" s="17" t="str">
        <f t="array" ref="J378">iferror(XLOOKUP(A378,'Download of SFDC Activation Rep'!B:B,'Download of SFDC Activation Rep'!X:X),"")</f>
        <v/>
      </c>
      <c r="K378" s="17" t="str">
        <f t="array" ref="K378">iferror(XLOOKUP(A378,'Download of SFDC Activation Rep'!B:B,'Download of SFDC Activation Rep'!C:C),"")</f>
        <v/>
      </c>
      <c r="L378" s="18" t="str">
        <f t="array" ref="L378">iferror(XLOOKUP(A378,'Download of SFDC Activation Rep'!B:B,'Download of SFDC Activation Rep'!S:S),"")</f>
        <v/>
      </c>
      <c r="M378" s="24" t="str">
        <f t="array" ref="M378">iferror(XLOOKUP(A378,'Download of SFDC Activation Rep'!B:B,'Download of SFDC Activation Rep'!Z:Z)+150,"")</f>
        <v/>
      </c>
      <c r="N378" s="24" t="str">
        <f t="array" ref="N378">iferror(XLOOKUP(A378,'Download of SFDC Activation Rep'!B:B,'Download of SFDC Activation Rep'!Y:Y),"")</f>
        <v/>
      </c>
    </row>
    <row r="379">
      <c r="B379" s="14"/>
      <c r="C379" s="14"/>
      <c r="D379" s="14"/>
      <c r="E379" s="15"/>
      <c r="F379" s="14"/>
      <c r="G379" s="13" t="str">
        <f t="array" ref="G379">iferror(XLOOKUP(A379,'Download of SFDC Activation Rep'!B:B,'Download of SFDC Activation Rep'!H:H),"")</f>
        <v/>
      </c>
      <c r="H379" s="13" t="str">
        <f t="array" ref="H379">iferror(xlookup(A379,'Download of SFDC Activation Rep'!B:B,'Download of SFDC Activation Rep'!L:L),"")</f>
        <v/>
      </c>
      <c r="I379" s="17" t="str">
        <f t="shared" si="1"/>
        <v>Not Active</v>
      </c>
      <c r="J379" s="17" t="str">
        <f t="array" ref="J379">iferror(XLOOKUP(A379,'Download of SFDC Activation Rep'!B:B,'Download of SFDC Activation Rep'!X:X),"")</f>
        <v/>
      </c>
      <c r="K379" s="17" t="str">
        <f t="array" ref="K379">iferror(XLOOKUP(A379,'Download of SFDC Activation Rep'!B:B,'Download of SFDC Activation Rep'!C:C),"")</f>
        <v/>
      </c>
      <c r="L379" s="18" t="str">
        <f t="array" ref="L379">iferror(XLOOKUP(A379,'Download of SFDC Activation Rep'!B:B,'Download of SFDC Activation Rep'!S:S),"")</f>
        <v/>
      </c>
      <c r="M379" s="24" t="str">
        <f t="array" ref="M379">iferror(XLOOKUP(A379,'Download of SFDC Activation Rep'!B:B,'Download of SFDC Activation Rep'!Z:Z)+150,"")</f>
        <v/>
      </c>
      <c r="N379" s="24" t="str">
        <f t="array" ref="N379">iferror(XLOOKUP(A379,'Download of SFDC Activation Rep'!B:B,'Download of SFDC Activation Rep'!Y:Y),"")</f>
        <v/>
      </c>
    </row>
    <row r="380">
      <c r="B380" s="14"/>
      <c r="C380" s="14"/>
      <c r="D380" s="14"/>
      <c r="E380" s="15"/>
      <c r="F380" s="14"/>
      <c r="G380" s="13" t="str">
        <f t="array" ref="G380">iferror(XLOOKUP(A380,'Download of SFDC Activation Rep'!B:B,'Download of SFDC Activation Rep'!H:H),"")</f>
        <v/>
      </c>
      <c r="H380" s="13" t="str">
        <f t="array" ref="H380">iferror(xlookup(A380,'Download of SFDC Activation Rep'!B:B,'Download of SFDC Activation Rep'!L:L),"")</f>
        <v/>
      </c>
      <c r="I380" s="17" t="str">
        <f t="shared" si="1"/>
        <v>Not Active</v>
      </c>
      <c r="J380" s="17" t="str">
        <f t="array" ref="J380">iferror(XLOOKUP(A380,'Download of SFDC Activation Rep'!B:B,'Download of SFDC Activation Rep'!X:X),"")</f>
        <v/>
      </c>
      <c r="K380" s="17" t="str">
        <f t="array" ref="K380">iferror(XLOOKUP(A380,'Download of SFDC Activation Rep'!B:B,'Download of SFDC Activation Rep'!C:C),"")</f>
        <v/>
      </c>
      <c r="L380" s="18" t="str">
        <f t="array" ref="L380">iferror(XLOOKUP(A380,'Download of SFDC Activation Rep'!B:B,'Download of SFDC Activation Rep'!S:S),"")</f>
        <v/>
      </c>
      <c r="M380" s="24" t="str">
        <f t="array" ref="M380">iferror(XLOOKUP(A380,'Download of SFDC Activation Rep'!B:B,'Download of SFDC Activation Rep'!Z:Z)+150,"")</f>
        <v/>
      </c>
      <c r="N380" s="24" t="str">
        <f t="array" ref="N380">iferror(XLOOKUP(A380,'Download of SFDC Activation Rep'!B:B,'Download of SFDC Activation Rep'!Y:Y),"")</f>
        <v/>
      </c>
    </row>
    <row r="381">
      <c r="B381" s="14"/>
      <c r="C381" s="14"/>
      <c r="D381" s="14"/>
      <c r="E381" s="15"/>
      <c r="F381" s="14"/>
      <c r="G381" s="13" t="str">
        <f t="array" ref="G381">iferror(XLOOKUP(A381,'Download of SFDC Activation Rep'!B:B,'Download of SFDC Activation Rep'!H:H),"")</f>
        <v/>
      </c>
      <c r="H381" s="13" t="str">
        <f t="array" ref="H381">iferror(xlookup(A381,'Download of SFDC Activation Rep'!B:B,'Download of SFDC Activation Rep'!L:L),"")</f>
        <v/>
      </c>
      <c r="I381" s="17" t="str">
        <f t="shared" si="1"/>
        <v>Not Active</v>
      </c>
      <c r="J381" s="17" t="str">
        <f t="array" ref="J381">iferror(XLOOKUP(A381,'Download of SFDC Activation Rep'!B:B,'Download of SFDC Activation Rep'!X:X),"")</f>
        <v/>
      </c>
      <c r="K381" s="17" t="str">
        <f t="array" ref="K381">iferror(XLOOKUP(A381,'Download of SFDC Activation Rep'!B:B,'Download of SFDC Activation Rep'!C:C),"")</f>
        <v/>
      </c>
      <c r="L381" s="18" t="str">
        <f t="array" ref="L381">iferror(XLOOKUP(A381,'Download of SFDC Activation Rep'!B:B,'Download of SFDC Activation Rep'!S:S),"")</f>
        <v/>
      </c>
      <c r="M381" s="24" t="str">
        <f t="array" ref="M381">iferror(XLOOKUP(A381,'Download of SFDC Activation Rep'!B:B,'Download of SFDC Activation Rep'!Z:Z)+150,"")</f>
        <v/>
      </c>
      <c r="N381" s="24" t="str">
        <f t="array" ref="N381">iferror(XLOOKUP(A381,'Download of SFDC Activation Rep'!B:B,'Download of SFDC Activation Rep'!Y:Y),"")</f>
        <v/>
      </c>
    </row>
    <row r="382">
      <c r="B382" s="14"/>
      <c r="C382" s="14"/>
      <c r="D382" s="14"/>
      <c r="E382" s="15"/>
      <c r="F382" s="14"/>
      <c r="G382" s="13" t="str">
        <f t="array" ref="G382">iferror(XLOOKUP(A382,'Download of SFDC Activation Rep'!B:B,'Download of SFDC Activation Rep'!H:H),"")</f>
        <v/>
      </c>
      <c r="H382" s="13" t="str">
        <f t="array" ref="H382">iferror(xlookup(A382,'Download of SFDC Activation Rep'!B:B,'Download of SFDC Activation Rep'!L:L),"")</f>
        <v/>
      </c>
      <c r="I382" s="17" t="str">
        <f t="shared" si="1"/>
        <v>Not Active</v>
      </c>
      <c r="J382" s="17" t="str">
        <f t="array" ref="J382">iferror(XLOOKUP(A382,'Download of SFDC Activation Rep'!B:B,'Download of SFDC Activation Rep'!X:X),"")</f>
        <v/>
      </c>
      <c r="K382" s="17" t="str">
        <f t="array" ref="K382">iferror(XLOOKUP(A382,'Download of SFDC Activation Rep'!B:B,'Download of SFDC Activation Rep'!C:C),"")</f>
        <v/>
      </c>
      <c r="L382" s="18" t="str">
        <f t="array" ref="L382">iferror(XLOOKUP(A382,'Download of SFDC Activation Rep'!B:B,'Download of SFDC Activation Rep'!S:S),"")</f>
        <v/>
      </c>
      <c r="M382" s="24" t="str">
        <f t="array" ref="M382">iferror(XLOOKUP(A382,'Download of SFDC Activation Rep'!B:B,'Download of SFDC Activation Rep'!Z:Z)+150,"")</f>
        <v/>
      </c>
      <c r="N382" s="24" t="str">
        <f t="array" ref="N382">iferror(XLOOKUP(A382,'Download of SFDC Activation Rep'!B:B,'Download of SFDC Activation Rep'!Y:Y),"")</f>
        <v/>
      </c>
    </row>
    <row r="383">
      <c r="B383" s="14"/>
      <c r="C383" s="14"/>
      <c r="D383" s="14"/>
      <c r="E383" s="15"/>
      <c r="F383" s="14"/>
      <c r="G383" s="13" t="str">
        <f t="array" ref="G383">iferror(XLOOKUP(A383,'Download of SFDC Activation Rep'!B:B,'Download of SFDC Activation Rep'!H:H),"")</f>
        <v/>
      </c>
      <c r="H383" s="13" t="str">
        <f t="array" ref="H383">iferror(xlookup(A383,'Download of SFDC Activation Rep'!B:B,'Download of SFDC Activation Rep'!L:L),"")</f>
        <v/>
      </c>
      <c r="I383" s="17" t="str">
        <f t="shared" si="1"/>
        <v>Not Active</v>
      </c>
      <c r="J383" s="17" t="str">
        <f t="array" ref="J383">iferror(XLOOKUP(A383,'Download of SFDC Activation Rep'!B:B,'Download of SFDC Activation Rep'!X:X),"")</f>
        <v/>
      </c>
      <c r="K383" s="17" t="str">
        <f t="array" ref="K383">iferror(XLOOKUP(A383,'Download of SFDC Activation Rep'!B:B,'Download of SFDC Activation Rep'!C:C),"")</f>
        <v/>
      </c>
      <c r="L383" s="18" t="str">
        <f t="array" ref="L383">iferror(XLOOKUP(A383,'Download of SFDC Activation Rep'!B:B,'Download of SFDC Activation Rep'!S:S),"")</f>
        <v/>
      </c>
      <c r="M383" s="24" t="str">
        <f t="array" ref="M383">iferror(XLOOKUP(A383,'Download of SFDC Activation Rep'!B:B,'Download of SFDC Activation Rep'!Z:Z)+150,"")</f>
        <v/>
      </c>
      <c r="N383" s="24" t="str">
        <f t="array" ref="N383">iferror(XLOOKUP(A383,'Download of SFDC Activation Rep'!B:B,'Download of SFDC Activation Rep'!Y:Y),"")</f>
        <v/>
      </c>
    </row>
    <row r="384">
      <c r="B384" s="14"/>
      <c r="C384" s="14"/>
      <c r="D384" s="14"/>
      <c r="E384" s="15"/>
      <c r="F384" s="14"/>
      <c r="G384" s="13" t="str">
        <f t="array" ref="G384">iferror(XLOOKUP(A384,'Download of SFDC Activation Rep'!B:B,'Download of SFDC Activation Rep'!H:H),"")</f>
        <v/>
      </c>
      <c r="H384" s="13" t="str">
        <f t="array" ref="H384">iferror(xlookup(A384,'Download of SFDC Activation Rep'!B:B,'Download of SFDC Activation Rep'!L:L),"")</f>
        <v/>
      </c>
      <c r="I384" s="17" t="str">
        <f t="shared" si="1"/>
        <v>Not Active</v>
      </c>
      <c r="J384" s="17" t="str">
        <f t="array" ref="J384">iferror(XLOOKUP(A384,'Download of SFDC Activation Rep'!B:B,'Download of SFDC Activation Rep'!X:X),"")</f>
        <v/>
      </c>
      <c r="K384" s="17" t="str">
        <f t="array" ref="K384">iferror(XLOOKUP(A384,'Download of SFDC Activation Rep'!B:B,'Download of SFDC Activation Rep'!C:C),"")</f>
        <v/>
      </c>
      <c r="L384" s="18" t="str">
        <f t="array" ref="L384">iferror(XLOOKUP(A384,'Download of SFDC Activation Rep'!B:B,'Download of SFDC Activation Rep'!S:S),"")</f>
        <v/>
      </c>
      <c r="M384" s="24" t="str">
        <f t="array" ref="M384">iferror(XLOOKUP(A384,'Download of SFDC Activation Rep'!B:B,'Download of SFDC Activation Rep'!Z:Z)+150,"")</f>
        <v/>
      </c>
      <c r="N384" s="24" t="str">
        <f t="array" ref="N384">iferror(XLOOKUP(A384,'Download of SFDC Activation Rep'!B:B,'Download of SFDC Activation Rep'!Y:Y),"")</f>
        <v/>
      </c>
    </row>
    <row r="385">
      <c r="B385" s="14"/>
      <c r="C385" s="14"/>
      <c r="D385" s="14"/>
      <c r="E385" s="15"/>
      <c r="F385" s="14"/>
      <c r="G385" s="13" t="str">
        <f t="array" ref="G385">iferror(XLOOKUP(A385,'Download of SFDC Activation Rep'!B:B,'Download of SFDC Activation Rep'!H:H),"")</f>
        <v/>
      </c>
      <c r="H385" s="13" t="str">
        <f t="array" ref="H385">iferror(xlookup(A385,'Download of SFDC Activation Rep'!B:B,'Download of SFDC Activation Rep'!L:L),"")</f>
        <v/>
      </c>
      <c r="I385" s="17" t="str">
        <f t="shared" si="1"/>
        <v>Not Active</v>
      </c>
      <c r="J385" s="17" t="str">
        <f t="array" ref="J385">iferror(XLOOKUP(A385,'Download of SFDC Activation Rep'!B:B,'Download of SFDC Activation Rep'!X:X),"")</f>
        <v/>
      </c>
      <c r="K385" s="17" t="str">
        <f t="array" ref="K385">iferror(XLOOKUP(A385,'Download of SFDC Activation Rep'!B:B,'Download of SFDC Activation Rep'!C:C),"")</f>
        <v/>
      </c>
      <c r="L385" s="18" t="str">
        <f t="array" ref="L385">iferror(XLOOKUP(A385,'Download of SFDC Activation Rep'!B:B,'Download of SFDC Activation Rep'!S:S),"")</f>
        <v/>
      </c>
      <c r="M385" s="24" t="str">
        <f t="array" ref="M385">iferror(XLOOKUP(A385,'Download of SFDC Activation Rep'!B:B,'Download of SFDC Activation Rep'!Z:Z)+150,"")</f>
        <v/>
      </c>
      <c r="N385" s="24" t="str">
        <f t="array" ref="N385">iferror(XLOOKUP(A385,'Download of SFDC Activation Rep'!B:B,'Download of SFDC Activation Rep'!Y:Y),"")</f>
        <v/>
      </c>
    </row>
    <row r="386">
      <c r="B386" s="14"/>
      <c r="C386" s="14"/>
      <c r="D386" s="14"/>
      <c r="E386" s="15"/>
      <c r="F386" s="14"/>
      <c r="G386" s="13" t="str">
        <f t="array" ref="G386">iferror(XLOOKUP(A386,'Download of SFDC Activation Rep'!B:B,'Download of SFDC Activation Rep'!H:H),"")</f>
        <v/>
      </c>
      <c r="H386" s="13" t="str">
        <f t="array" ref="H386">iferror(xlookup(A386,'Download of SFDC Activation Rep'!B:B,'Download of SFDC Activation Rep'!L:L),"")</f>
        <v/>
      </c>
      <c r="I386" s="17" t="str">
        <f t="shared" si="1"/>
        <v>Not Active</v>
      </c>
      <c r="J386" s="17" t="str">
        <f t="array" ref="J386">iferror(XLOOKUP(A386,'Download of SFDC Activation Rep'!B:B,'Download of SFDC Activation Rep'!X:X),"")</f>
        <v/>
      </c>
      <c r="K386" s="17" t="str">
        <f t="array" ref="K386">iferror(XLOOKUP(A386,'Download of SFDC Activation Rep'!B:B,'Download of SFDC Activation Rep'!C:C),"")</f>
        <v/>
      </c>
      <c r="L386" s="18" t="str">
        <f t="array" ref="L386">iferror(XLOOKUP(A386,'Download of SFDC Activation Rep'!B:B,'Download of SFDC Activation Rep'!S:S),"")</f>
        <v/>
      </c>
      <c r="M386" s="24" t="str">
        <f t="array" ref="M386">iferror(XLOOKUP(A386,'Download of SFDC Activation Rep'!B:B,'Download of SFDC Activation Rep'!Z:Z)+150,"")</f>
        <v/>
      </c>
      <c r="N386" s="24" t="str">
        <f t="array" ref="N386">iferror(XLOOKUP(A386,'Download of SFDC Activation Rep'!B:B,'Download of SFDC Activation Rep'!Y:Y),"")</f>
        <v/>
      </c>
    </row>
    <row r="387">
      <c r="B387" s="14"/>
      <c r="C387" s="14"/>
      <c r="D387" s="14"/>
      <c r="E387" s="15"/>
      <c r="F387" s="14"/>
      <c r="G387" s="13" t="str">
        <f t="array" ref="G387">iferror(XLOOKUP(A387,'Download of SFDC Activation Rep'!B:B,'Download of SFDC Activation Rep'!H:H),"")</f>
        <v/>
      </c>
      <c r="H387" s="13" t="str">
        <f t="array" ref="H387">iferror(xlookup(A387,'Download of SFDC Activation Rep'!B:B,'Download of SFDC Activation Rep'!L:L),"")</f>
        <v/>
      </c>
      <c r="I387" s="17" t="str">
        <f t="shared" si="1"/>
        <v>Not Active</v>
      </c>
      <c r="J387" s="17" t="str">
        <f t="array" ref="J387">iferror(XLOOKUP(A387,'Download of SFDC Activation Rep'!B:B,'Download of SFDC Activation Rep'!X:X),"")</f>
        <v/>
      </c>
      <c r="K387" s="17" t="str">
        <f t="array" ref="K387">iferror(XLOOKUP(A387,'Download of SFDC Activation Rep'!B:B,'Download of SFDC Activation Rep'!C:C),"")</f>
        <v/>
      </c>
      <c r="L387" s="18" t="str">
        <f t="array" ref="L387">iferror(XLOOKUP(A387,'Download of SFDC Activation Rep'!B:B,'Download of SFDC Activation Rep'!S:S),"")</f>
        <v/>
      </c>
      <c r="M387" s="24" t="str">
        <f t="array" ref="M387">iferror(XLOOKUP(A387,'Download of SFDC Activation Rep'!B:B,'Download of SFDC Activation Rep'!Z:Z)+150,"")</f>
        <v/>
      </c>
      <c r="N387" s="24" t="str">
        <f t="array" ref="N387">iferror(XLOOKUP(A387,'Download of SFDC Activation Rep'!B:B,'Download of SFDC Activation Rep'!Y:Y),"")</f>
        <v/>
      </c>
    </row>
    <row r="388">
      <c r="B388" s="14"/>
      <c r="C388" s="14"/>
      <c r="D388" s="14"/>
      <c r="E388" s="15"/>
      <c r="F388" s="14"/>
      <c r="G388" s="13" t="str">
        <f t="array" ref="G388">iferror(XLOOKUP(A388,'Download of SFDC Activation Rep'!B:B,'Download of SFDC Activation Rep'!H:H),"")</f>
        <v/>
      </c>
      <c r="H388" s="13" t="str">
        <f t="array" ref="H388">iferror(xlookup(A388,'Download of SFDC Activation Rep'!B:B,'Download of SFDC Activation Rep'!L:L),"")</f>
        <v/>
      </c>
      <c r="I388" s="17" t="str">
        <f t="shared" si="1"/>
        <v>Not Active</v>
      </c>
      <c r="J388" s="17" t="str">
        <f t="array" ref="J388">iferror(XLOOKUP(A388,'Download of SFDC Activation Rep'!B:B,'Download of SFDC Activation Rep'!X:X),"")</f>
        <v/>
      </c>
      <c r="K388" s="17" t="str">
        <f t="array" ref="K388">iferror(XLOOKUP(A388,'Download of SFDC Activation Rep'!B:B,'Download of SFDC Activation Rep'!C:C),"")</f>
        <v/>
      </c>
      <c r="L388" s="18" t="str">
        <f t="array" ref="L388">iferror(XLOOKUP(A388,'Download of SFDC Activation Rep'!B:B,'Download of SFDC Activation Rep'!S:S),"")</f>
        <v/>
      </c>
      <c r="M388" s="24" t="str">
        <f t="array" ref="M388">iferror(XLOOKUP(A388,'Download of SFDC Activation Rep'!B:B,'Download of SFDC Activation Rep'!Z:Z)+150,"")</f>
        <v/>
      </c>
      <c r="N388" s="24" t="str">
        <f t="array" ref="N388">iferror(XLOOKUP(A388,'Download of SFDC Activation Rep'!B:B,'Download of SFDC Activation Rep'!Y:Y),"")</f>
        <v/>
      </c>
    </row>
    <row r="389">
      <c r="B389" s="14"/>
      <c r="C389" s="14"/>
      <c r="D389" s="14"/>
      <c r="E389" s="15"/>
      <c r="F389" s="14"/>
      <c r="G389" s="13" t="str">
        <f t="array" ref="G389">iferror(XLOOKUP(A389,'Download of SFDC Activation Rep'!B:B,'Download of SFDC Activation Rep'!H:H),"")</f>
        <v/>
      </c>
      <c r="H389" s="13" t="str">
        <f t="array" ref="H389">iferror(xlookup(A389,'Download of SFDC Activation Rep'!B:B,'Download of SFDC Activation Rep'!L:L),"")</f>
        <v/>
      </c>
      <c r="I389" s="17" t="str">
        <f t="shared" si="1"/>
        <v>Not Active</v>
      </c>
      <c r="J389" s="17" t="str">
        <f t="array" ref="J389">iferror(XLOOKUP(A389,'Download of SFDC Activation Rep'!B:B,'Download of SFDC Activation Rep'!X:X),"")</f>
        <v/>
      </c>
      <c r="K389" s="17" t="str">
        <f t="array" ref="K389">iferror(XLOOKUP(A389,'Download of SFDC Activation Rep'!B:B,'Download of SFDC Activation Rep'!C:C),"")</f>
        <v/>
      </c>
      <c r="L389" s="18" t="str">
        <f t="array" ref="L389">iferror(XLOOKUP(A389,'Download of SFDC Activation Rep'!B:B,'Download of SFDC Activation Rep'!S:S),"")</f>
        <v/>
      </c>
      <c r="M389" s="24" t="str">
        <f t="array" ref="M389">iferror(XLOOKUP(A389,'Download of SFDC Activation Rep'!B:B,'Download of SFDC Activation Rep'!Z:Z)+150,"")</f>
        <v/>
      </c>
      <c r="N389" s="24" t="str">
        <f t="array" ref="N389">iferror(XLOOKUP(A389,'Download of SFDC Activation Rep'!B:B,'Download of SFDC Activation Rep'!Y:Y),"")</f>
        <v/>
      </c>
    </row>
    <row r="390">
      <c r="B390" s="14"/>
      <c r="C390" s="14"/>
      <c r="D390" s="14"/>
      <c r="E390" s="15"/>
      <c r="F390" s="14"/>
      <c r="G390" s="13" t="str">
        <f t="array" ref="G390">iferror(XLOOKUP(A390,'Download of SFDC Activation Rep'!B:B,'Download of SFDC Activation Rep'!H:H),"")</f>
        <v/>
      </c>
      <c r="H390" s="13" t="str">
        <f t="array" ref="H390">iferror(xlookup(A390,'Download of SFDC Activation Rep'!B:B,'Download of SFDC Activation Rep'!L:L),"")</f>
        <v/>
      </c>
      <c r="I390" s="17" t="str">
        <f t="shared" si="1"/>
        <v>Not Active</v>
      </c>
      <c r="J390" s="17" t="str">
        <f t="array" ref="J390">iferror(XLOOKUP(A390,'Download of SFDC Activation Rep'!B:B,'Download of SFDC Activation Rep'!X:X),"")</f>
        <v/>
      </c>
      <c r="K390" s="17" t="str">
        <f t="array" ref="K390">iferror(XLOOKUP(A390,'Download of SFDC Activation Rep'!B:B,'Download of SFDC Activation Rep'!C:C),"")</f>
        <v/>
      </c>
      <c r="L390" s="18" t="str">
        <f t="array" ref="L390">iferror(XLOOKUP(A390,'Download of SFDC Activation Rep'!B:B,'Download of SFDC Activation Rep'!S:S),"")</f>
        <v/>
      </c>
      <c r="M390" s="24" t="str">
        <f t="array" ref="M390">iferror(XLOOKUP(A390,'Download of SFDC Activation Rep'!B:B,'Download of SFDC Activation Rep'!Z:Z)+150,"")</f>
        <v/>
      </c>
      <c r="N390" s="24" t="str">
        <f t="array" ref="N390">iferror(XLOOKUP(A390,'Download of SFDC Activation Rep'!B:B,'Download of SFDC Activation Rep'!Y:Y),"")</f>
        <v/>
      </c>
    </row>
    <row r="391">
      <c r="B391" s="14"/>
      <c r="C391" s="14"/>
      <c r="D391" s="14"/>
      <c r="E391" s="15"/>
      <c r="F391" s="14"/>
      <c r="G391" s="13" t="str">
        <f t="array" ref="G391">iferror(XLOOKUP(A391,'Download of SFDC Activation Rep'!B:B,'Download of SFDC Activation Rep'!H:H),"")</f>
        <v/>
      </c>
      <c r="H391" s="13" t="str">
        <f t="array" ref="H391">iferror(xlookup(A391,'Download of SFDC Activation Rep'!B:B,'Download of SFDC Activation Rep'!L:L),"")</f>
        <v/>
      </c>
      <c r="I391" s="17" t="str">
        <f t="shared" si="1"/>
        <v>Not Active</v>
      </c>
      <c r="J391" s="17" t="str">
        <f t="array" ref="J391">iferror(XLOOKUP(A391,'Download of SFDC Activation Rep'!B:B,'Download of SFDC Activation Rep'!X:X),"")</f>
        <v/>
      </c>
      <c r="K391" s="17" t="str">
        <f t="array" ref="K391">iferror(XLOOKUP(A391,'Download of SFDC Activation Rep'!B:B,'Download of SFDC Activation Rep'!C:C),"")</f>
        <v/>
      </c>
      <c r="L391" s="18" t="str">
        <f t="array" ref="L391">iferror(XLOOKUP(A391,'Download of SFDC Activation Rep'!B:B,'Download of SFDC Activation Rep'!S:S),"")</f>
        <v/>
      </c>
      <c r="M391" s="24" t="str">
        <f t="array" ref="M391">iferror(XLOOKUP(A391,'Download of SFDC Activation Rep'!B:B,'Download of SFDC Activation Rep'!Z:Z)+150,"")</f>
        <v/>
      </c>
      <c r="N391" s="24" t="str">
        <f t="array" ref="N391">iferror(XLOOKUP(A391,'Download of SFDC Activation Rep'!B:B,'Download of SFDC Activation Rep'!Y:Y),"")</f>
        <v/>
      </c>
    </row>
    <row r="392">
      <c r="B392" s="14"/>
      <c r="C392" s="14"/>
      <c r="D392" s="14"/>
      <c r="E392" s="15"/>
      <c r="F392" s="14"/>
      <c r="G392" s="13" t="str">
        <f t="array" ref="G392">iferror(XLOOKUP(A392,'Download of SFDC Activation Rep'!B:B,'Download of SFDC Activation Rep'!H:H),"")</f>
        <v/>
      </c>
      <c r="H392" s="13" t="str">
        <f t="array" ref="H392">iferror(xlookup(A392,'Download of SFDC Activation Rep'!B:B,'Download of SFDC Activation Rep'!L:L),"")</f>
        <v/>
      </c>
      <c r="I392" s="17" t="str">
        <f t="shared" si="1"/>
        <v>Not Active</v>
      </c>
      <c r="J392" s="17" t="str">
        <f t="array" ref="J392">iferror(XLOOKUP(A392,'Download of SFDC Activation Rep'!B:B,'Download of SFDC Activation Rep'!X:X),"")</f>
        <v/>
      </c>
      <c r="K392" s="17" t="str">
        <f t="array" ref="K392">iferror(XLOOKUP(A392,'Download of SFDC Activation Rep'!B:B,'Download of SFDC Activation Rep'!C:C),"")</f>
        <v/>
      </c>
      <c r="L392" s="18" t="str">
        <f t="array" ref="L392">iferror(XLOOKUP(A392,'Download of SFDC Activation Rep'!B:B,'Download of SFDC Activation Rep'!S:S),"")</f>
        <v/>
      </c>
      <c r="M392" s="24" t="str">
        <f t="array" ref="M392">iferror(XLOOKUP(A392,'Download of SFDC Activation Rep'!B:B,'Download of SFDC Activation Rep'!Z:Z)+150,"")</f>
        <v/>
      </c>
      <c r="N392" s="24" t="str">
        <f t="array" ref="N392">iferror(XLOOKUP(A392,'Download of SFDC Activation Rep'!B:B,'Download of SFDC Activation Rep'!Y:Y),"")</f>
        <v/>
      </c>
    </row>
    <row r="393">
      <c r="B393" s="14"/>
      <c r="C393" s="14"/>
      <c r="D393" s="14"/>
      <c r="E393" s="15"/>
      <c r="F393" s="14"/>
      <c r="G393" s="13" t="str">
        <f t="array" ref="G393">iferror(XLOOKUP(A393,'Download of SFDC Activation Rep'!B:B,'Download of SFDC Activation Rep'!H:H),"")</f>
        <v/>
      </c>
      <c r="H393" s="13" t="str">
        <f t="array" ref="H393">iferror(xlookup(A393,'Download of SFDC Activation Rep'!B:B,'Download of SFDC Activation Rep'!L:L),"")</f>
        <v/>
      </c>
      <c r="I393" s="17" t="str">
        <f t="shared" si="1"/>
        <v>Not Active</v>
      </c>
      <c r="J393" s="17" t="str">
        <f t="array" ref="J393">iferror(XLOOKUP(A393,'Download of SFDC Activation Rep'!B:B,'Download of SFDC Activation Rep'!X:X),"")</f>
        <v/>
      </c>
      <c r="K393" s="17" t="str">
        <f t="array" ref="K393">iferror(XLOOKUP(A393,'Download of SFDC Activation Rep'!B:B,'Download of SFDC Activation Rep'!C:C),"")</f>
        <v/>
      </c>
      <c r="L393" s="18" t="str">
        <f t="array" ref="L393">iferror(XLOOKUP(A393,'Download of SFDC Activation Rep'!B:B,'Download of SFDC Activation Rep'!S:S),"")</f>
        <v/>
      </c>
      <c r="M393" s="24" t="str">
        <f t="array" ref="M393">iferror(XLOOKUP(A393,'Download of SFDC Activation Rep'!B:B,'Download of SFDC Activation Rep'!Z:Z)+150,"")</f>
        <v/>
      </c>
      <c r="N393" s="24" t="str">
        <f t="array" ref="N393">iferror(XLOOKUP(A393,'Download of SFDC Activation Rep'!B:B,'Download of SFDC Activation Rep'!Y:Y),"")</f>
        <v/>
      </c>
    </row>
    <row r="394">
      <c r="B394" s="14"/>
      <c r="C394" s="14"/>
      <c r="D394" s="14"/>
      <c r="E394" s="15"/>
      <c r="F394" s="14"/>
      <c r="G394" s="13" t="str">
        <f t="array" ref="G394">iferror(XLOOKUP(A394,'Download of SFDC Activation Rep'!B:B,'Download of SFDC Activation Rep'!H:H),"")</f>
        <v/>
      </c>
      <c r="H394" s="13" t="str">
        <f t="array" ref="H394">iferror(xlookup(A394,'Download of SFDC Activation Rep'!B:B,'Download of SFDC Activation Rep'!L:L),"")</f>
        <v/>
      </c>
      <c r="I394" s="17" t="str">
        <f t="shared" si="1"/>
        <v>Not Active</v>
      </c>
      <c r="J394" s="17" t="str">
        <f t="array" ref="J394">iferror(XLOOKUP(A394,'Download of SFDC Activation Rep'!B:B,'Download of SFDC Activation Rep'!X:X),"")</f>
        <v/>
      </c>
      <c r="K394" s="17" t="str">
        <f t="array" ref="K394">iferror(XLOOKUP(A394,'Download of SFDC Activation Rep'!B:B,'Download of SFDC Activation Rep'!C:C),"")</f>
        <v/>
      </c>
      <c r="L394" s="18" t="str">
        <f t="array" ref="L394">iferror(XLOOKUP(A394,'Download of SFDC Activation Rep'!B:B,'Download of SFDC Activation Rep'!S:S),"")</f>
        <v/>
      </c>
      <c r="M394" s="24" t="str">
        <f t="array" ref="M394">iferror(XLOOKUP(A394,'Download of SFDC Activation Rep'!B:B,'Download of SFDC Activation Rep'!Z:Z)+150,"")</f>
        <v/>
      </c>
      <c r="N394" s="24" t="str">
        <f t="array" ref="N394">iferror(XLOOKUP(A394,'Download of SFDC Activation Rep'!B:B,'Download of SFDC Activation Rep'!Y:Y),"")</f>
        <v/>
      </c>
    </row>
    <row r="395">
      <c r="B395" s="14"/>
      <c r="C395" s="14"/>
      <c r="D395" s="14"/>
      <c r="E395" s="15"/>
      <c r="F395" s="14"/>
      <c r="G395" s="13" t="str">
        <f t="array" ref="G395">iferror(XLOOKUP(A395,'Download of SFDC Activation Rep'!B:B,'Download of SFDC Activation Rep'!H:H),"")</f>
        <v/>
      </c>
      <c r="H395" s="13" t="str">
        <f t="array" ref="H395">iferror(xlookup(A395,'Download of SFDC Activation Rep'!B:B,'Download of SFDC Activation Rep'!L:L),"")</f>
        <v/>
      </c>
      <c r="I395" s="17" t="str">
        <f t="shared" si="1"/>
        <v>Not Active</v>
      </c>
      <c r="J395" s="17" t="str">
        <f t="array" ref="J395">iferror(XLOOKUP(A395,'Download of SFDC Activation Rep'!B:B,'Download of SFDC Activation Rep'!X:X),"")</f>
        <v/>
      </c>
      <c r="K395" s="17" t="str">
        <f t="array" ref="K395">iferror(XLOOKUP(A395,'Download of SFDC Activation Rep'!B:B,'Download of SFDC Activation Rep'!C:C),"")</f>
        <v/>
      </c>
      <c r="L395" s="18" t="str">
        <f t="array" ref="L395">iferror(XLOOKUP(A395,'Download of SFDC Activation Rep'!B:B,'Download of SFDC Activation Rep'!S:S),"")</f>
        <v/>
      </c>
      <c r="M395" s="24" t="str">
        <f t="array" ref="M395">iferror(XLOOKUP(A395,'Download of SFDC Activation Rep'!B:B,'Download of SFDC Activation Rep'!Z:Z)+150,"")</f>
        <v/>
      </c>
      <c r="N395" s="24" t="str">
        <f t="array" ref="N395">iferror(XLOOKUP(A395,'Download of SFDC Activation Rep'!B:B,'Download of SFDC Activation Rep'!Y:Y),"")</f>
        <v/>
      </c>
    </row>
    <row r="396">
      <c r="B396" s="14"/>
      <c r="C396" s="14"/>
      <c r="D396" s="14"/>
      <c r="E396" s="15"/>
      <c r="F396" s="14"/>
      <c r="G396" s="13" t="str">
        <f t="array" ref="G396">iferror(XLOOKUP(A396,'Download of SFDC Activation Rep'!B:B,'Download of SFDC Activation Rep'!H:H),"")</f>
        <v/>
      </c>
      <c r="H396" s="13" t="str">
        <f t="array" ref="H396">iferror(xlookup(A396,'Download of SFDC Activation Rep'!B:B,'Download of SFDC Activation Rep'!L:L),"")</f>
        <v/>
      </c>
      <c r="I396" s="17" t="str">
        <f t="shared" si="1"/>
        <v>Not Active</v>
      </c>
      <c r="J396" s="17" t="str">
        <f t="array" ref="J396">iferror(XLOOKUP(A396,'Download of SFDC Activation Rep'!B:B,'Download of SFDC Activation Rep'!X:X),"")</f>
        <v/>
      </c>
      <c r="K396" s="17" t="str">
        <f t="array" ref="K396">iferror(XLOOKUP(A396,'Download of SFDC Activation Rep'!B:B,'Download of SFDC Activation Rep'!C:C),"")</f>
        <v/>
      </c>
      <c r="L396" s="18" t="str">
        <f t="array" ref="L396">iferror(XLOOKUP(A396,'Download of SFDC Activation Rep'!B:B,'Download of SFDC Activation Rep'!S:S),"")</f>
        <v/>
      </c>
      <c r="M396" s="24" t="str">
        <f t="array" ref="M396">iferror(XLOOKUP(A396,'Download of SFDC Activation Rep'!B:B,'Download of SFDC Activation Rep'!Z:Z)+150,"")</f>
        <v/>
      </c>
      <c r="N396" s="24" t="str">
        <f t="array" ref="N396">iferror(XLOOKUP(A396,'Download of SFDC Activation Rep'!B:B,'Download of SFDC Activation Rep'!Y:Y),"")</f>
        <v/>
      </c>
    </row>
    <row r="397">
      <c r="B397" s="14"/>
      <c r="C397" s="14"/>
      <c r="D397" s="14"/>
      <c r="E397" s="15"/>
      <c r="F397" s="14"/>
      <c r="G397" s="13" t="str">
        <f t="array" ref="G397">iferror(XLOOKUP(A397,'Download of SFDC Activation Rep'!B:B,'Download of SFDC Activation Rep'!H:H),"")</f>
        <v/>
      </c>
      <c r="H397" s="13" t="str">
        <f t="array" ref="H397">iferror(xlookup(A397,'Download of SFDC Activation Rep'!B:B,'Download of SFDC Activation Rep'!L:L),"")</f>
        <v/>
      </c>
      <c r="I397" s="17" t="str">
        <f t="shared" si="1"/>
        <v>Not Active</v>
      </c>
      <c r="J397" s="17" t="str">
        <f t="array" ref="J397">iferror(XLOOKUP(A397,'Download of SFDC Activation Rep'!B:B,'Download of SFDC Activation Rep'!X:X),"")</f>
        <v/>
      </c>
      <c r="K397" s="17" t="str">
        <f t="array" ref="K397">iferror(XLOOKUP(A397,'Download of SFDC Activation Rep'!B:B,'Download of SFDC Activation Rep'!C:C),"")</f>
        <v/>
      </c>
      <c r="L397" s="18" t="str">
        <f t="array" ref="L397">iferror(XLOOKUP(A397,'Download of SFDC Activation Rep'!B:B,'Download of SFDC Activation Rep'!S:S),"")</f>
        <v/>
      </c>
      <c r="M397" s="24" t="str">
        <f t="array" ref="M397">iferror(XLOOKUP(A397,'Download of SFDC Activation Rep'!B:B,'Download of SFDC Activation Rep'!Z:Z)+150,"")</f>
        <v/>
      </c>
      <c r="N397" s="24" t="str">
        <f t="array" ref="N397">iferror(XLOOKUP(A397,'Download of SFDC Activation Rep'!B:B,'Download of SFDC Activation Rep'!Y:Y),"")</f>
        <v/>
      </c>
    </row>
    <row r="398">
      <c r="B398" s="14"/>
      <c r="C398" s="14"/>
      <c r="D398" s="14"/>
      <c r="E398" s="15"/>
      <c r="F398" s="14"/>
      <c r="G398" s="13" t="str">
        <f t="array" ref="G398">iferror(XLOOKUP(A398,'Download of SFDC Activation Rep'!B:B,'Download of SFDC Activation Rep'!H:H),"")</f>
        <v/>
      </c>
      <c r="H398" s="13" t="str">
        <f t="array" ref="H398">iferror(xlookup(A398,'Download of SFDC Activation Rep'!B:B,'Download of SFDC Activation Rep'!L:L),"")</f>
        <v/>
      </c>
      <c r="I398" s="17" t="str">
        <f t="shared" si="1"/>
        <v>Not Active</v>
      </c>
      <c r="J398" s="17" t="str">
        <f t="array" ref="J398">iferror(XLOOKUP(A398,'Download of SFDC Activation Rep'!B:B,'Download of SFDC Activation Rep'!X:X),"")</f>
        <v/>
      </c>
      <c r="K398" s="17" t="str">
        <f t="array" ref="K398">iferror(XLOOKUP(A398,'Download of SFDC Activation Rep'!B:B,'Download of SFDC Activation Rep'!C:C),"")</f>
        <v/>
      </c>
      <c r="L398" s="18" t="str">
        <f t="array" ref="L398">iferror(XLOOKUP(A398,'Download of SFDC Activation Rep'!B:B,'Download of SFDC Activation Rep'!S:S),"")</f>
        <v/>
      </c>
      <c r="M398" s="24" t="str">
        <f t="array" ref="M398">iferror(XLOOKUP(A398,'Download of SFDC Activation Rep'!B:B,'Download of SFDC Activation Rep'!Z:Z)+150,"")</f>
        <v/>
      </c>
      <c r="N398" s="24" t="str">
        <f t="array" ref="N398">iferror(XLOOKUP(A398,'Download of SFDC Activation Rep'!B:B,'Download of SFDC Activation Rep'!Y:Y),"")</f>
        <v/>
      </c>
    </row>
    <row r="399">
      <c r="B399" s="14"/>
      <c r="C399" s="14"/>
      <c r="D399" s="14"/>
      <c r="E399" s="15"/>
      <c r="F399" s="14"/>
      <c r="G399" s="13" t="str">
        <f t="array" ref="G399">iferror(XLOOKUP(A399,'Download of SFDC Activation Rep'!B:B,'Download of SFDC Activation Rep'!H:H),"")</f>
        <v/>
      </c>
      <c r="H399" s="13" t="str">
        <f t="array" ref="H399">iferror(xlookup(A399,'Download of SFDC Activation Rep'!B:B,'Download of SFDC Activation Rep'!L:L),"")</f>
        <v/>
      </c>
      <c r="I399" s="17" t="str">
        <f t="shared" si="1"/>
        <v>Not Active</v>
      </c>
      <c r="J399" s="17" t="str">
        <f t="array" ref="J399">iferror(XLOOKUP(A399,'Download of SFDC Activation Rep'!B:B,'Download of SFDC Activation Rep'!X:X),"")</f>
        <v/>
      </c>
      <c r="K399" s="17" t="str">
        <f t="array" ref="K399">iferror(XLOOKUP(A399,'Download of SFDC Activation Rep'!B:B,'Download of SFDC Activation Rep'!C:C),"")</f>
        <v/>
      </c>
      <c r="L399" s="18" t="str">
        <f t="array" ref="L399">iferror(XLOOKUP(A399,'Download of SFDC Activation Rep'!B:B,'Download of SFDC Activation Rep'!S:S),"")</f>
        <v/>
      </c>
      <c r="M399" s="24" t="str">
        <f t="array" ref="M399">iferror(XLOOKUP(A399,'Download of SFDC Activation Rep'!B:B,'Download of SFDC Activation Rep'!Z:Z)+150,"")</f>
        <v/>
      </c>
      <c r="N399" s="24" t="str">
        <f t="array" ref="N399">iferror(XLOOKUP(A399,'Download of SFDC Activation Rep'!B:B,'Download of SFDC Activation Rep'!Y:Y),"")</f>
        <v/>
      </c>
    </row>
    <row r="400">
      <c r="B400" s="14"/>
      <c r="C400" s="14"/>
      <c r="D400" s="14"/>
      <c r="E400" s="15"/>
      <c r="F400" s="14"/>
      <c r="G400" s="13" t="str">
        <f t="array" ref="G400">iferror(XLOOKUP(A400,'Download of SFDC Activation Rep'!B:B,'Download of SFDC Activation Rep'!H:H),"")</f>
        <v/>
      </c>
      <c r="H400" s="13" t="str">
        <f t="array" ref="H400">iferror(xlookup(A400,'Download of SFDC Activation Rep'!B:B,'Download of SFDC Activation Rep'!L:L),"")</f>
        <v/>
      </c>
      <c r="I400" s="17" t="str">
        <f t="shared" si="1"/>
        <v>Not Active</v>
      </c>
      <c r="J400" s="17" t="str">
        <f t="array" ref="J400">iferror(XLOOKUP(A400,'Download of SFDC Activation Rep'!B:B,'Download of SFDC Activation Rep'!X:X),"")</f>
        <v/>
      </c>
      <c r="K400" s="17" t="str">
        <f t="array" ref="K400">iferror(XLOOKUP(A400,'Download of SFDC Activation Rep'!B:B,'Download of SFDC Activation Rep'!C:C),"")</f>
        <v/>
      </c>
      <c r="L400" s="18" t="str">
        <f t="array" ref="L400">iferror(XLOOKUP(A400,'Download of SFDC Activation Rep'!B:B,'Download of SFDC Activation Rep'!S:S),"")</f>
        <v/>
      </c>
      <c r="M400" s="24" t="str">
        <f t="array" ref="M400">iferror(XLOOKUP(A400,'Download of SFDC Activation Rep'!B:B,'Download of SFDC Activation Rep'!Z:Z)+150,"")</f>
        <v/>
      </c>
      <c r="N400" s="24" t="str">
        <f t="array" ref="N400">iferror(XLOOKUP(A400,'Download of SFDC Activation Rep'!B:B,'Download of SFDC Activation Rep'!Y:Y),"")</f>
        <v/>
      </c>
    </row>
    <row r="401">
      <c r="B401" s="14"/>
      <c r="C401" s="14"/>
      <c r="D401" s="14"/>
      <c r="E401" s="15"/>
      <c r="F401" s="14"/>
      <c r="G401" s="13" t="str">
        <f t="array" ref="G401">iferror(XLOOKUP(A401,'Download of SFDC Activation Rep'!B:B,'Download of SFDC Activation Rep'!H:H),"")</f>
        <v/>
      </c>
      <c r="H401" s="13" t="str">
        <f t="array" ref="H401">iferror(xlookup(A401,'Download of SFDC Activation Rep'!B:B,'Download of SFDC Activation Rep'!L:L),"")</f>
        <v/>
      </c>
      <c r="I401" s="17" t="str">
        <f t="shared" si="1"/>
        <v>Not Active</v>
      </c>
      <c r="J401" s="17" t="str">
        <f t="array" ref="J401">iferror(XLOOKUP(A401,'Download of SFDC Activation Rep'!B:B,'Download of SFDC Activation Rep'!X:X),"")</f>
        <v/>
      </c>
      <c r="K401" s="17" t="str">
        <f t="array" ref="K401">iferror(XLOOKUP(A401,'Download of SFDC Activation Rep'!B:B,'Download of SFDC Activation Rep'!C:C),"")</f>
        <v/>
      </c>
      <c r="L401" s="18" t="str">
        <f t="array" ref="L401">iferror(XLOOKUP(A401,'Download of SFDC Activation Rep'!B:B,'Download of SFDC Activation Rep'!S:S),"")</f>
        <v/>
      </c>
      <c r="M401" s="24" t="str">
        <f t="array" ref="M401">iferror(XLOOKUP(A401,'Download of SFDC Activation Rep'!B:B,'Download of SFDC Activation Rep'!Z:Z)+150,"")</f>
        <v/>
      </c>
      <c r="N401" s="24" t="str">
        <f t="array" ref="N401">iferror(XLOOKUP(A401,'Download of SFDC Activation Rep'!B:B,'Download of SFDC Activation Rep'!Y:Y),"")</f>
        <v/>
      </c>
    </row>
    <row r="402">
      <c r="B402" s="14"/>
      <c r="C402" s="14"/>
      <c r="D402" s="14"/>
      <c r="E402" s="15"/>
      <c r="F402" s="14"/>
      <c r="G402" s="13" t="str">
        <f t="array" ref="G402">iferror(XLOOKUP(A402,'Download of SFDC Activation Rep'!B:B,'Download of SFDC Activation Rep'!H:H),"")</f>
        <v/>
      </c>
      <c r="H402" s="13" t="str">
        <f t="array" ref="H402">iferror(xlookup(A402,'Download of SFDC Activation Rep'!B:B,'Download of SFDC Activation Rep'!L:L),"")</f>
        <v/>
      </c>
      <c r="I402" s="17" t="str">
        <f t="shared" si="1"/>
        <v>Not Active</v>
      </c>
      <c r="J402" s="17" t="str">
        <f t="array" ref="J402">iferror(XLOOKUP(A402,'Download of SFDC Activation Rep'!B:B,'Download of SFDC Activation Rep'!X:X),"")</f>
        <v/>
      </c>
      <c r="K402" s="17" t="str">
        <f t="array" ref="K402">iferror(XLOOKUP(A402,'Download of SFDC Activation Rep'!B:B,'Download of SFDC Activation Rep'!C:C),"")</f>
        <v/>
      </c>
      <c r="L402" s="18" t="str">
        <f t="array" ref="L402">iferror(XLOOKUP(A402,'Download of SFDC Activation Rep'!B:B,'Download of SFDC Activation Rep'!S:S),"")</f>
        <v/>
      </c>
      <c r="M402" s="24" t="str">
        <f t="array" ref="M402">iferror(XLOOKUP(A402,'Download of SFDC Activation Rep'!B:B,'Download of SFDC Activation Rep'!Z:Z)+150,"")</f>
        <v/>
      </c>
      <c r="N402" s="24" t="str">
        <f t="array" ref="N402">iferror(XLOOKUP(A402,'Download of SFDC Activation Rep'!B:B,'Download of SFDC Activation Rep'!Y:Y),"")</f>
        <v/>
      </c>
    </row>
    <row r="403">
      <c r="B403" s="14"/>
      <c r="C403" s="14"/>
      <c r="D403" s="14"/>
      <c r="E403" s="15"/>
      <c r="F403" s="14"/>
      <c r="G403" s="13" t="str">
        <f t="array" ref="G403">iferror(XLOOKUP(A403,'Download of SFDC Activation Rep'!B:B,'Download of SFDC Activation Rep'!H:H),"")</f>
        <v/>
      </c>
      <c r="H403" s="13" t="str">
        <f t="array" ref="H403">iferror(xlookup(A403,'Download of SFDC Activation Rep'!B:B,'Download of SFDC Activation Rep'!L:L),"")</f>
        <v/>
      </c>
      <c r="I403" s="17" t="str">
        <f t="shared" si="1"/>
        <v>Not Active</v>
      </c>
      <c r="J403" s="17" t="str">
        <f t="array" ref="J403">iferror(XLOOKUP(A403,'Download of SFDC Activation Rep'!B:B,'Download of SFDC Activation Rep'!X:X),"")</f>
        <v/>
      </c>
      <c r="K403" s="17" t="str">
        <f t="array" ref="K403">iferror(XLOOKUP(A403,'Download of SFDC Activation Rep'!B:B,'Download of SFDC Activation Rep'!C:C),"")</f>
        <v/>
      </c>
      <c r="L403" s="18" t="str">
        <f t="array" ref="L403">iferror(XLOOKUP(A403,'Download of SFDC Activation Rep'!B:B,'Download of SFDC Activation Rep'!S:S),"")</f>
        <v/>
      </c>
      <c r="M403" s="24" t="str">
        <f t="array" ref="M403">iferror(XLOOKUP(A403,'Download of SFDC Activation Rep'!B:B,'Download of SFDC Activation Rep'!Z:Z)+150,"")</f>
        <v/>
      </c>
      <c r="N403" s="24" t="str">
        <f t="array" ref="N403">iferror(XLOOKUP(A403,'Download of SFDC Activation Rep'!B:B,'Download of SFDC Activation Rep'!Y:Y),"")</f>
        <v/>
      </c>
    </row>
    <row r="404">
      <c r="B404" s="14"/>
      <c r="C404" s="14"/>
      <c r="D404" s="14"/>
      <c r="E404" s="15"/>
      <c r="F404" s="14"/>
      <c r="G404" s="13" t="str">
        <f t="array" ref="G404">iferror(XLOOKUP(A404,'Download of SFDC Activation Rep'!B:B,'Download of SFDC Activation Rep'!H:H),"")</f>
        <v/>
      </c>
      <c r="H404" s="13" t="str">
        <f t="array" ref="H404">iferror(xlookup(A404,'Download of SFDC Activation Rep'!B:B,'Download of SFDC Activation Rep'!L:L),"")</f>
        <v/>
      </c>
      <c r="I404" s="17" t="str">
        <f t="shared" si="1"/>
        <v>Not Active</v>
      </c>
      <c r="J404" s="17" t="str">
        <f t="array" ref="J404">iferror(XLOOKUP(A404,'Download of SFDC Activation Rep'!B:B,'Download of SFDC Activation Rep'!X:X),"")</f>
        <v/>
      </c>
      <c r="K404" s="17" t="str">
        <f t="array" ref="K404">iferror(XLOOKUP(A404,'Download of SFDC Activation Rep'!B:B,'Download of SFDC Activation Rep'!C:C),"")</f>
        <v/>
      </c>
      <c r="L404" s="18" t="str">
        <f t="array" ref="L404">iferror(XLOOKUP(A404,'Download of SFDC Activation Rep'!B:B,'Download of SFDC Activation Rep'!S:S),"")</f>
        <v/>
      </c>
      <c r="M404" s="24" t="str">
        <f t="array" ref="M404">iferror(XLOOKUP(A404,'Download of SFDC Activation Rep'!B:B,'Download of SFDC Activation Rep'!Z:Z)+150,"")</f>
        <v/>
      </c>
      <c r="N404" s="24" t="str">
        <f t="array" ref="N404">iferror(XLOOKUP(A404,'Download of SFDC Activation Rep'!B:B,'Download of SFDC Activation Rep'!Y:Y),"")</f>
        <v/>
      </c>
    </row>
    <row r="405">
      <c r="B405" s="14"/>
      <c r="C405" s="14"/>
      <c r="D405" s="14"/>
      <c r="E405" s="15"/>
      <c r="F405" s="14"/>
      <c r="G405" s="13" t="str">
        <f t="array" ref="G405">iferror(XLOOKUP(A405,'Download of SFDC Activation Rep'!B:B,'Download of SFDC Activation Rep'!H:H),"")</f>
        <v/>
      </c>
      <c r="H405" s="13" t="str">
        <f t="array" ref="H405">iferror(xlookup(A405,'Download of SFDC Activation Rep'!B:B,'Download of SFDC Activation Rep'!L:L),"")</f>
        <v/>
      </c>
      <c r="I405" s="17" t="str">
        <f t="shared" si="1"/>
        <v>Not Active</v>
      </c>
      <c r="J405" s="17" t="str">
        <f t="array" ref="J405">iferror(XLOOKUP(A405,'Download of SFDC Activation Rep'!B:B,'Download of SFDC Activation Rep'!X:X),"")</f>
        <v/>
      </c>
      <c r="K405" s="17" t="str">
        <f t="array" ref="K405">iferror(XLOOKUP(A405,'Download of SFDC Activation Rep'!B:B,'Download of SFDC Activation Rep'!C:C),"")</f>
        <v/>
      </c>
      <c r="L405" s="18" t="str">
        <f t="array" ref="L405">iferror(XLOOKUP(A405,'Download of SFDC Activation Rep'!B:B,'Download of SFDC Activation Rep'!S:S),"")</f>
        <v/>
      </c>
      <c r="M405" s="24" t="str">
        <f t="array" ref="M405">iferror(XLOOKUP(A405,'Download of SFDC Activation Rep'!B:B,'Download of SFDC Activation Rep'!Z:Z)+150,"")</f>
        <v/>
      </c>
      <c r="N405" s="24" t="str">
        <f t="array" ref="N405">iferror(XLOOKUP(A405,'Download of SFDC Activation Rep'!B:B,'Download of SFDC Activation Rep'!Y:Y),"")</f>
        <v/>
      </c>
    </row>
    <row r="406">
      <c r="B406" s="14"/>
      <c r="C406" s="14"/>
      <c r="D406" s="14"/>
      <c r="E406" s="15"/>
      <c r="F406" s="14"/>
      <c r="G406" s="13" t="str">
        <f t="array" ref="G406">iferror(XLOOKUP(A406,'Download of SFDC Activation Rep'!B:B,'Download of SFDC Activation Rep'!H:H),"")</f>
        <v/>
      </c>
      <c r="H406" s="13" t="str">
        <f t="array" ref="H406">iferror(xlookup(A406,'Download of SFDC Activation Rep'!B:B,'Download of SFDC Activation Rep'!L:L),"")</f>
        <v/>
      </c>
      <c r="I406" s="17" t="str">
        <f t="shared" si="1"/>
        <v>Not Active</v>
      </c>
      <c r="J406" s="17" t="str">
        <f t="array" ref="J406">iferror(XLOOKUP(A406,'Download of SFDC Activation Rep'!B:B,'Download of SFDC Activation Rep'!X:X),"")</f>
        <v/>
      </c>
      <c r="K406" s="17" t="str">
        <f t="array" ref="K406">iferror(XLOOKUP(A406,'Download of SFDC Activation Rep'!B:B,'Download of SFDC Activation Rep'!C:C),"")</f>
        <v/>
      </c>
      <c r="L406" s="18" t="str">
        <f t="array" ref="L406">iferror(XLOOKUP(A406,'Download of SFDC Activation Rep'!B:B,'Download of SFDC Activation Rep'!S:S),"")</f>
        <v/>
      </c>
      <c r="M406" s="24" t="str">
        <f t="array" ref="M406">iferror(XLOOKUP(A406,'Download of SFDC Activation Rep'!B:B,'Download of SFDC Activation Rep'!Z:Z)+150,"")</f>
        <v/>
      </c>
      <c r="N406" s="24" t="str">
        <f t="array" ref="N406">iferror(XLOOKUP(A406,'Download of SFDC Activation Rep'!B:B,'Download of SFDC Activation Rep'!Y:Y),"")</f>
        <v/>
      </c>
    </row>
    <row r="407">
      <c r="B407" s="14"/>
      <c r="C407" s="14"/>
      <c r="D407" s="14"/>
      <c r="E407" s="15"/>
      <c r="F407" s="14"/>
      <c r="G407" s="13" t="str">
        <f t="array" ref="G407">iferror(XLOOKUP(A407,'Download of SFDC Activation Rep'!B:B,'Download of SFDC Activation Rep'!H:H),"")</f>
        <v/>
      </c>
      <c r="H407" s="13" t="str">
        <f t="array" ref="H407">iferror(xlookup(A407,'Download of SFDC Activation Rep'!B:B,'Download of SFDC Activation Rep'!L:L),"")</f>
        <v/>
      </c>
      <c r="I407" s="17" t="str">
        <f t="shared" si="1"/>
        <v>Not Active</v>
      </c>
      <c r="J407" s="17" t="str">
        <f t="array" ref="J407">iferror(XLOOKUP(A407,'Download of SFDC Activation Rep'!B:B,'Download of SFDC Activation Rep'!X:X),"")</f>
        <v/>
      </c>
      <c r="K407" s="17" t="str">
        <f t="array" ref="K407">iferror(XLOOKUP(A407,'Download of SFDC Activation Rep'!B:B,'Download of SFDC Activation Rep'!C:C),"")</f>
        <v/>
      </c>
      <c r="L407" s="18" t="str">
        <f t="array" ref="L407">iferror(XLOOKUP(A407,'Download of SFDC Activation Rep'!B:B,'Download of SFDC Activation Rep'!S:S),"")</f>
        <v/>
      </c>
      <c r="M407" s="24" t="str">
        <f t="array" ref="M407">iferror(XLOOKUP(A407,'Download of SFDC Activation Rep'!B:B,'Download of SFDC Activation Rep'!Z:Z)+150,"")</f>
        <v/>
      </c>
      <c r="N407" s="24" t="str">
        <f t="array" ref="N407">iferror(XLOOKUP(A407,'Download of SFDC Activation Rep'!B:B,'Download of SFDC Activation Rep'!Y:Y),"")</f>
        <v/>
      </c>
    </row>
    <row r="408">
      <c r="B408" s="14"/>
      <c r="C408" s="14"/>
      <c r="D408" s="14"/>
      <c r="E408" s="15"/>
      <c r="F408" s="14"/>
      <c r="G408" s="13" t="str">
        <f t="array" ref="G408">iferror(XLOOKUP(A408,'Download of SFDC Activation Rep'!B:B,'Download of SFDC Activation Rep'!H:H),"")</f>
        <v/>
      </c>
      <c r="H408" s="13" t="str">
        <f t="array" ref="H408">iferror(xlookup(A408,'Download of SFDC Activation Rep'!B:B,'Download of SFDC Activation Rep'!L:L),"")</f>
        <v/>
      </c>
      <c r="I408" s="17" t="str">
        <f t="shared" si="1"/>
        <v>Not Active</v>
      </c>
      <c r="J408" s="17" t="str">
        <f t="array" ref="J408">iferror(XLOOKUP(A408,'Download of SFDC Activation Rep'!B:B,'Download of SFDC Activation Rep'!X:X),"")</f>
        <v/>
      </c>
      <c r="K408" s="17" t="str">
        <f t="array" ref="K408">iferror(XLOOKUP(A408,'Download of SFDC Activation Rep'!B:B,'Download of SFDC Activation Rep'!C:C),"")</f>
        <v/>
      </c>
      <c r="L408" s="18" t="str">
        <f t="array" ref="L408">iferror(XLOOKUP(A408,'Download of SFDC Activation Rep'!B:B,'Download of SFDC Activation Rep'!S:S),"")</f>
        <v/>
      </c>
      <c r="M408" s="24" t="str">
        <f t="array" ref="M408">iferror(XLOOKUP(A408,'Download of SFDC Activation Rep'!B:B,'Download of SFDC Activation Rep'!Z:Z)+150,"")</f>
        <v/>
      </c>
      <c r="N408" s="24" t="str">
        <f t="array" ref="N408">iferror(XLOOKUP(A408,'Download of SFDC Activation Rep'!B:B,'Download of SFDC Activation Rep'!Y:Y),"")</f>
        <v/>
      </c>
    </row>
    <row r="409">
      <c r="B409" s="14"/>
      <c r="C409" s="14"/>
      <c r="D409" s="14"/>
      <c r="E409" s="15"/>
      <c r="F409" s="14"/>
      <c r="G409" s="13" t="str">
        <f t="array" ref="G409">iferror(XLOOKUP(A409,'Download of SFDC Activation Rep'!B:B,'Download of SFDC Activation Rep'!H:H),"")</f>
        <v/>
      </c>
      <c r="H409" s="13" t="str">
        <f t="array" ref="H409">iferror(xlookup(A409,'Download of SFDC Activation Rep'!B:B,'Download of SFDC Activation Rep'!L:L),"")</f>
        <v/>
      </c>
      <c r="I409" s="17" t="str">
        <f t="shared" si="1"/>
        <v>Not Active</v>
      </c>
      <c r="J409" s="17" t="str">
        <f t="array" ref="J409">iferror(XLOOKUP(A409,'Download of SFDC Activation Rep'!B:B,'Download of SFDC Activation Rep'!X:X),"")</f>
        <v/>
      </c>
      <c r="K409" s="17" t="str">
        <f t="array" ref="K409">iferror(XLOOKUP(A409,'Download of SFDC Activation Rep'!B:B,'Download of SFDC Activation Rep'!C:C),"")</f>
        <v/>
      </c>
      <c r="L409" s="18" t="str">
        <f t="array" ref="L409">iferror(XLOOKUP(A409,'Download of SFDC Activation Rep'!B:B,'Download of SFDC Activation Rep'!S:S),"")</f>
        <v/>
      </c>
      <c r="M409" s="24" t="str">
        <f t="array" ref="M409">iferror(XLOOKUP(A409,'Download of SFDC Activation Rep'!B:B,'Download of SFDC Activation Rep'!Z:Z)+150,"")</f>
        <v/>
      </c>
      <c r="N409" s="24" t="str">
        <f t="array" ref="N409">iferror(XLOOKUP(A409,'Download of SFDC Activation Rep'!B:B,'Download of SFDC Activation Rep'!Y:Y),"")</f>
        <v/>
      </c>
    </row>
    <row r="410">
      <c r="B410" s="14"/>
      <c r="C410" s="14"/>
      <c r="D410" s="14"/>
      <c r="E410" s="15"/>
      <c r="F410" s="14"/>
      <c r="G410" s="13" t="str">
        <f t="array" ref="G410">iferror(XLOOKUP(A410,'Download of SFDC Activation Rep'!B:B,'Download of SFDC Activation Rep'!H:H),"")</f>
        <v/>
      </c>
      <c r="H410" s="13" t="str">
        <f t="array" ref="H410">iferror(xlookup(A410,'Download of SFDC Activation Rep'!B:B,'Download of SFDC Activation Rep'!L:L),"")</f>
        <v/>
      </c>
      <c r="I410" s="17" t="str">
        <f t="shared" si="1"/>
        <v>Not Active</v>
      </c>
      <c r="J410" s="17" t="str">
        <f t="array" ref="J410">iferror(XLOOKUP(A410,'Download of SFDC Activation Rep'!B:B,'Download of SFDC Activation Rep'!X:X),"")</f>
        <v/>
      </c>
      <c r="K410" s="17" t="str">
        <f t="array" ref="K410">iferror(XLOOKUP(A410,'Download of SFDC Activation Rep'!B:B,'Download of SFDC Activation Rep'!C:C),"")</f>
        <v/>
      </c>
      <c r="L410" s="18" t="str">
        <f t="array" ref="L410">iferror(XLOOKUP(A410,'Download of SFDC Activation Rep'!B:B,'Download of SFDC Activation Rep'!S:S),"")</f>
        <v/>
      </c>
      <c r="M410" s="24" t="str">
        <f t="array" ref="M410">iferror(XLOOKUP(A410,'Download of SFDC Activation Rep'!B:B,'Download of SFDC Activation Rep'!Z:Z)+150,"")</f>
        <v/>
      </c>
      <c r="N410" s="24" t="str">
        <f t="array" ref="N410">iferror(XLOOKUP(A410,'Download of SFDC Activation Rep'!B:B,'Download of SFDC Activation Rep'!Y:Y),"")</f>
        <v/>
      </c>
    </row>
    <row r="411">
      <c r="B411" s="14"/>
      <c r="C411" s="14"/>
      <c r="D411" s="14"/>
      <c r="E411" s="15"/>
      <c r="F411" s="14"/>
      <c r="G411" s="13" t="str">
        <f t="array" ref="G411">iferror(XLOOKUP(A411,'Download of SFDC Activation Rep'!B:B,'Download of SFDC Activation Rep'!H:H),"")</f>
        <v/>
      </c>
      <c r="H411" s="13" t="str">
        <f t="array" ref="H411">iferror(xlookup(A411,'Download of SFDC Activation Rep'!B:B,'Download of SFDC Activation Rep'!L:L),"")</f>
        <v/>
      </c>
      <c r="I411" s="17" t="str">
        <f t="shared" si="1"/>
        <v>Not Active</v>
      </c>
      <c r="J411" s="17" t="str">
        <f t="array" ref="J411">iferror(XLOOKUP(A411,'Download of SFDC Activation Rep'!B:B,'Download of SFDC Activation Rep'!X:X),"")</f>
        <v/>
      </c>
      <c r="K411" s="17" t="str">
        <f t="array" ref="K411">iferror(XLOOKUP(A411,'Download of SFDC Activation Rep'!B:B,'Download of SFDC Activation Rep'!C:C),"")</f>
        <v/>
      </c>
      <c r="L411" s="18" t="str">
        <f t="array" ref="L411">iferror(XLOOKUP(A411,'Download of SFDC Activation Rep'!B:B,'Download of SFDC Activation Rep'!S:S),"")</f>
        <v/>
      </c>
      <c r="M411" s="24" t="str">
        <f t="array" ref="M411">iferror(XLOOKUP(A411,'Download of SFDC Activation Rep'!B:B,'Download of SFDC Activation Rep'!Z:Z)+150,"")</f>
        <v/>
      </c>
      <c r="N411" s="24" t="str">
        <f t="array" ref="N411">iferror(XLOOKUP(A411,'Download of SFDC Activation Rep'!B:B,'Download of SFDC Activation Rep'!Y:Y),"")</f>
        <v/>
      </c>
    </row>
    <row r="412">
      <c r="B412" s="14"/>
      <c r="C412" s="14"/>
      <c r="D412" s="14"/>
      <c r="E412" s="15"/>
      <c r="F412" s="14"/>
      <c r="G412" s="13" t="str">
        <f t="array" ref="G412">iferror(XLOOKUP(A412,'Download of SFDC Activation Rep'!B:B,'Download of SFDC Activation Rep'!H:H),"")</f>
        <v/>
      </c>
      <c r="H412" s="13" t="str">
        <f t="array" ref="H412">iferror(xlookup(A412,'Download of SFDC Activation Rep'!B:B,'Download of SFDC Activation Rep'!L:L),"")</f>
        <v/>
      </c>
      <c r="I412" s="17" t="str">
        <f t="shared" si="1"/>
        <v>Not Active</v>
      </c>
      <c r="J412" s="17" t="str">
        <f t="array" ref="J412">iferror(XLOOKUP(A412,'Download of SFDC Activation Rep'!B:B,'Download of SFDC Activation Rep'!X:X),"")</f>
        <v/>
      </c>
      <c r="K412" s="17" t="str">
        <f t="array" ref="K412">iferror(XLOOKUP(A412,'Download of SFDC Activation Rep'!B:B,'Download of SFDC Activation Rep'!C:C),"")</f>
        <v/>
      </c>
      <c r="L412" s="18" t="str">
        <f t="array" ref="L412">iferror(XLOOKUP(A412,'Download of SFDC Activation Rep'!B:B,'Download of SFDC Activation Rep'!S:S),"")</f>
        <v/>
      </c>
      <c r="M412" s="24" t="str">
        <f t="array" ref="M412">iferror(XLOOKUP(A412,'Download of SFDC Activation Rep'!B:B,'Download of SFDC Activation Rep'!Z:Z)+150,"")</f>
        <v/>
      </c>
      <c r="N412" s="24" t="str">
        <f t="array" ref="N412">iferror(XLOOKUP(A412,'Download of SFDC Activation Rep'!B:B,'Download of SFDC Activation Rep'!Y:Y),"")</f>
        <v/>
      </c>
    </row>
    <row r="413">
      <c r="B413" s="14"/>
      <c r="C413" s="14"/>
      <c r="D413" s="14"/>
      <c r="E413" s="15"/>
      <c r="F413" s="14"/>
      <c r="G413" s="13" t="str">
        <f t="array" ref="G413">iferror(XLOOKUP(A413,'Download of SFDC Activation Rep'!B:B,'Download of SFDC Activation Rep'!H:H),"")</f>
        <v/>
      </c>
      <c r="H413" s="13" t="str">
        <f t="array" ref="H413">iferror(xlookup(A413,'Download of SFDC Activation Rep'!B:B,'Download of SFDC Activation Rep'!L:L),"")</f>
        <v/>
      </c>
      <c r="I413" s="17" t="str">
        <f t="shared" si="1"/>
        <v>Not Active</v>
      </c>
      <c r="J413" s="17" t="str">
        <f t="array" ref="J413">iferror(XLOOKUP(A413,'Download of SFDC Activation Rep'!B:B,'Download of SFDC Activation Rep'!X:X),"")</f>
        <v/>
      </c>
      <c r="K413" s="17" t="str">
        <f t="array" ref="K413">iferror(XLOOKUP(A413,'Download of SFDC Activation Rep'!B:B,'Download of SFDC Activation Rep'!C:C),"")</f>
        <v/>
      </c>
      <c r="L413" s="18" t="str">
        <f t="array" ref="L413">iferror(XLOOKUP(A413,'Download of SFDC Activation Rep'!B:B,'Download of SFDC Activation Rep'!S:S),"")</f>
        <v/>
      </c>
      <c r="M413" s="24" t="str">
        <f t="array" ref="M413">iferror(XLOOKUP(A413,'Download of SFDC Activation Rep'!B:B,'Download of SFDC Activation Rep'!Z:Z)+150,"")</f>
        <v/>
      </c>
      <c r="N413" s="24" t="str">
        <f t="array" ref="N413">iferror(XLOOKUP(A413,'Download of SFDC Activation Rep'!B:B,'Download of SFDC Activation Rep'!Y:Y),"")</f>
        <v/>
      </c>
    </row>
    <row r="414">
      <c r="B414" s="14"/>
      <c r="C414" s="14"/>
      <c r="D414" s="14"/>
      <c r="E414" s="15"/>
      <c r="F414" s="14"/>
      <c r="G414" s="13" t="str">
        <f t="array" ref="G414">iferror(XLOOKUP(A414,'Download of SFDC Activation Rep'!B:B,'Download of SFDC Activation Rep'!H:H),"")</f>
        <v/>
      </c>
      <c r="H414" s="13" t="str">
        <f t="array" ref="H414">iferror(xlookup(A414,'Download of SFDC Activation Rep'!B:B,'Download of SFDC Activation Rep'!L:L),"")</f>
        <v/>
      </c>
      <c r="I414" s="17" t="str">
        <f t="shared" si="1"/>
        <v>Not Active</v>
      </c>
      <c r="J414" s="17" t="str">
        <f t="array" ref="J414">iferror(XLOOKUP(A414,'Download of SFDC Activation Rep'!B:B,'Download of SFDC Activation Rep'!X:X),"")</f>
        <v/>
      </c>
      <c r="K414" s="17" t="str">
        <f t="array" ref="K414">iferror(XLOOKUP(A414,'Download of SFDC Activation Rep'!B:B,'Download of SFDC Activation Rep'!C:C),"")</f>
        <v/>
      </c>
      <c r="L414" s="18" t="str">
        <f t="array" ref="L414">iferror(XLOOKUP(A414,'Download of SFDC Activation Rep'!B:B,'Download of SFDC Activation Rep'!S:S),"")</f>
        <v/>
      </c>
      <c r="M414" s="24" t="str">
        <f t="array" ref="M414">iferror(XLOOKUP(A414,'Download of SFDC Activation Rep'!B:B,'Download of SFDC Activation Rep'!Z:Z)+150,"")</f>
        <v/>
      </c>
      <c r="N414" s="24" t="str">
        <f t="array" ref="N414">iferror(XLOOKUP(A414,'Download of SFDC Activation Rep'!B:B,'Download of SFDC Activation Rep'!Y:Y),"")</f>
        <v/>
      </c>
    </row>
    <row r="415">
      <c r="B415" s="14"/>
      <c r="C415" s="14"/>
      <c r="D415" s="14"/>
      <c r="E415" s="15"/>
      <c r="F415" s="14"/>
      <c r="G415" s="13" t="str">
        <f t="array" ref="G415">iferror(XLOOKUP(A415,'Download of SFDC Activation Rep'!B:B,'Download of SFDC Activation Rep'!H:H),"")</f>
        <v/>
      </c>
      <c r="H415" s="13" t="str">
        <f t="array" ref="H415">iferror(xlookup(A415,'Download of SFDC Activation Rep'!B:B,'Download of SFDC Activation Rep'!L:L),"")</f>
        <v/>
      </c>
      <c r="I415" s="17" t="str">
        <f t="shared" si="1"/>
        <v>Not Active</v>
      </c>
      <c r="J415" s="17" t="str">
        <f t="array" ref="J415">iferror(XLOOKUP(A415,'Download of SFDC Activation Rep'!B:B,'Download of SFDC Activation Rep'!X:X),"")</f>
        <v/>
      </c>
      <c r="K415" s="17" t="str">
        <f t="array" ref="K415">iferror(XLOOKUP(A415,'Download of SFDC Activation Rep'!B:B,'Download of SFDC Activation Rep'!C:C),"")</f>
        <v/>
      </c>
      <c r="L415" s="18" t="str">
        <f t="array" ref="L415">iferror(XLOOKUP(A415,'Download of SFDC Activation Rep'!B:B,'Download of SFDC Activation Rep'!S:S),"")</f>
        <v/>
      </c>
      <c r="M415" s="24" t="str">
        <f t="array" ref="M415">iferror(XLOOKUP(A415,'Download of SFDC Activation Rep'!B:B,'Download of SFDC Activation Rep'!Z:Z)+150,"")</f>
        <v/>
      </c>
      <c r="N415" s="24" t="str">
        <f t="array" ref="N415">iferror(XLOOKUP(A415,'Download of SFDC Activation Rep'!B:B,'Download of SFDC Activation Rep'!Y:Y),"")</f>
        <v/>
      </c>
    </row>
    <row r="416">
      <c r="B416" s="14"/>
      <c r="C416" s="14"/>
      <c r="D416" s="14"/>
      <c r="E416" s="15"/>
      <c r="F416" s="14"/>
      <c r="G416" s="13" t="str">
        <f t="array" ref="G416">iferror(XLOOKUP(A416,'Download of SFDC Activation Rep'!B:B,'Download of SFDC Activation Rep'!H:H),"")</f>
        <v/>
      </c>
      <c r="H416" s="13" t="str">
        <f t="array" ref="H416">iferror(xlookup(A416,'Download of SFDC Activation Rep'!B:B,'Download of SFDC Activation Rep'!L:L),"")</f>
        <v/>
      </c>
      <c r="I416" s="17" t="str">
        <f t="shared" si="1"/>
        <v>Not Active</v>
      </c>
      <c r="J416" s="17" t="str">
        <f t="array" ref="J416">iferror(XLOOKUP(A416,'Download of SFDC Activation Rep'!B:B,'Download of SFDC Activation Rep'!X:X),"")</f>
        <v/>
      </c>
      <c r="K416" s="17" t="str">
        <f t="array" ref="K416">iferror(XLOOKUP(A416,'Download of SFDC Activation Rep'!B:B,'Download of SFDC Activation Rep'!C:C),"")</f>
        <v/>
      </c>
      <c r="L416" s="18" t="str">
        <f t="array" ref="L416">iferror(XLOOKUP(A416,'Download of SFDC Activation Rep'!B:B,'Download of SFDC Activation Rep'!S:S),"")</f>
        <v/>
      </c>
      <c r="M416" s="24" t="str">
        <f t="array" ref="M416">iferror(XLOOKUP(A416,'Download of SFDC Activation Rep'!B:B,'Download of SFDC Activation Rep'!Z:Z)+150,"")</f>
        <v/>
      </c>
      <c r="N416" s="24" t="str">
        <f t="array" ref="N416">iferror(XLOOKUP(A416,'Download of SFDC Activation Rep'!B:B,'Download of SFDC Activation Rep'!Y:Y),"")</f>
        <v/>
      </c>
    </row>
    <row r="417">
      <c r="B417" s="14"/>
      <c r="C417" s="14"/>
      <c r="D417" s="14"/>
      <c r="E417" s="15"/>
      <c r="F417" s="14"/>
      <c r="G417" s="13" t="str">
        <f t="array" ref="G417">iferror(XLOOKUP(A417,'Download of SFDC Activation Rep'!B:B,'Download of SFDC Activation Rep'!H:H),"")</f>
        <v/>
      </c>
      <c r="H417" s="13" t="str">
        <f t="array" ref="H417">iferror(xlookup(A417,'Download of SFDC Activation Rep'!B:B,'Download of SFDC Activation Rep'!L:L),"")</f>
        <v/>
      </c>
      <c r="I417" s="17" t="str">
        <f t="shared" si="1"/>
        <v>Not Active</v>
      </c>
      <c r="J417" s="17" t="str">
        <f t="array" ref="J417">iferror(XLOOKUP(A417,'Download of SFDC Activation Rep'!B:B,'Download of SFDC Activation Rep'!X:X),"")</f>
        <v/>
      </c>
      <c r="K417" s="17" t="str">
        <f t="array" ref="K417">iferror(XLOOKUP(A417,'Download of SFDC Activation Rep'!B:B,'Download of SFDC Activation Rep'!C:C),"")</f>
        <v/>
      </c>
      <c r="L417" s="18" t="str">
        <f t="array" ref="L417">iferror(XLOOKUP(A417,'Download of SFDC Activation Rep'!B:B,'Download of SFDC Activation Rep'!S:S),"")</f>
        <v/>
      </c>
      <c r="M417" s="24" t="str">
        <f t="array" ref="M417">iferror(XLOOKUP(A417,'Download of SFDC Activation Rep'!B:B,'Download of SFDC Activation Rep'!Z:Z)+150,"")</f>
        <v/>
      </c>
      <c r="N417" s="24" t="str">
        <f t="array" ref="N417">iferror(XLOOKUP(A417,'Download of SFDC Activation Rep'!B:B,'Download of SFDC Activation Rep'!Y:Y),"")</f>
        <v/>
      </c>
    </row>
    <row r="418">
      <c r="B418" s="14"/>
      <c r="C418" s="14"/>
      <c r="D418" s="14"/>
      <c r="E418" s="15"/>
      <c r="F418" s="14"/>
      <c r="G418" s="13" t="str">
        <f t="array" ref="G418">iferror(XLOOKUP(A418,'Download of SFDC Activation Rep'!B:B,'Download of SFDC Activation Rep'!H:H),"")</f>
        <v/>
      </c>
      <c r="H418" s="13" t="str">
        <f t="array" ref="H418">iferror(xlookup(A418,'Download of SFDC Activation Rep'!B:B,'Download of SFDC Activation Rep'!L:L),"")</f>
        <v/>
      </c>
      <c r="I418" s="17" t="str">
        <f t="shared" si="1"/>
        <v>Not Active</v>
      </c>
      <c r="J418" s="17" t="str">
        <f t="array" ref="J418">iferror(XLOOKUP(A418,'Download of SFDC Activation Rep'!B:B,'Download of SFDC Activation Rep'!X:X),"")</f>
        <v/>
      </c>
      <c r="K418" s="17" t="str">
        <f t="array" ref="K418">iferror(XLOOKUP(A418,'Download of SFDC Activation Rep'!B:B,'Download of SFDC Activation Rep'!C:C),"")</f>
        <v/>
      </c>
      <c r="L418" s="18" t="str">
        <f t="array" ref="L418">iferror(XLOOKUP(A418,'Download of SFDC Activation Rep'!B:B,'Download of SFDC Activation Rep'!S:S),"")</f>
        <v/>
      </c>
      <c r="M418" s="24" t="str">
        <f t="array" ref="M418">iferror(XLOOKUP(A418,'Download of SFDC Activation Rep'!B:B,'Download of SFDC Activation Rep'!Z:Z)+150,"")</f>
        <v/>
      </c>
      <c r="N418" s="24" t="str">
        <f t="array" ref="N418">iferror(XLOOKUP(A418,'Download of SFDC Activation Rep'!B:B,'Download of SFDC Activation Rep'!Y:Y),"")</f>
        <v/>
      </c>
    </row>
    <row r="419">
      <c r="B419" s="14"/>
      <c r="C419" s="14"/>
      <c r="D419" s="14"/>
      <c r="E419" s="15"/>
      <c r="F419" s="14"/>
      <c r="G419" s="13" t="str">
        <f t="array" ref="G419">iferror(XLOOKUP(A419,'Download of SFDC Activation Rep'!B:B,'Download of SFDC Activation Rep'!H:H),"")</f>
        <v/>
      </c>
      <c r="H419" s="13" t="str">
        <f t="array" ref="H419">iferror(xlookup(A419,'Download of SFDC Activation Rep'!B:B,'Download of SFDC Activation Rep'!L:L),"")</f>
        <v/>
      </c>
      <c r="I419" s="17" t="str">
        <f t="shared" si="1"/>
        <v>Not Active</v>
      </c>
      <c r="J419" s="17" t="str">
        <f t="array" ref="J419">iferror(XLOOKUP(A419,'Download of SFDC Activation Rep'!B:B,'Download of SFDC Activation Rep'!X:X),"")</f>
        <v/>
      </c>
      <c r="K419" s="17" t="str">
        <f t="array" ref="K419">iferror(XLOOKUP(A419,'Download of SFDC Activation Rep'!B:B,'Download of SFDC Activation Rep'!C:C),"")</f>
        <v/>
      </c>
      <c r="L419" s="18" t="str">
        <f t="array" ref="L419">iferror(XLOOKUP(A419,'Download of SFDC Activation Rep'!B:B,'Download of SFDC Activation Rep'!S:S),"")</f>
        <v/>
      </c>
      <c r="M419" s="24" t="str">
        <f t="array" ref="M419">iferror(XLOOKUP(A419,'Download of SFDC Activation Rep'!B:B,'Download of SFDC Activation Rep'!Z:Z)+150,"")</f>
        <v/>
      </c>
      <c r="N419" s="24" t="str">
        <f t="array" ref="N419">iferror(XLOOKUP(A419,'Download of SFDC Activation Rep'!B:B,'Download of SFDC Activation Rep'!Y:Y),"")</f>
        <v/>
      </c>
    </row>
    <row r="420">
      <c r="B420" s="14"/>
      <c r="C420" s="14"/>
      <c r="D420" s="14"/>
      <c r="E420" s="15"/>
      <c r="F420" s="14"/>
      <c r="G420" s="13" t="str">
        <f t="array" ref="G420">iferror(XLOOKUP(A420,'Download of SFDC Activation Rep'!B:B,'Download of SFDC Activation Rep'!H:H),"")</f>
        <v/>
      </c>
      <c r="H420" s="13" t="str">
        <f t="array" ref="H420">iferror(xlookup(A420,'Download of SFDC Activation Rep'!B:B,'Download of SFDC Activation Rep'!L:L),"")</f>
        <v/>
      </c>
      <c r="I420" s="17" t="str">
        <f t="shared" si="1"/>
        <v>Not Active</v>
      </c>
      <c r="J420" s="17" t="str">
        <f t="array" ref="J420">iferror(XLOOKUP(A420,'Download of SFDC Activation Rep'!B:B,'Download of SFDC Activation Rep'!X:X),"")</f>
        <v/>
      </c>
      <c r="K420" s="17" t="str">
        <f t="array" ref="K420">iferror(XLOOKUP(A420,'Download of SFDC Activation Rep'!B:B,'Download of SFDC Activation Rep'!C:C),"")</f>
        <v/>
      </c>
      <c r="L420" s="18" t="str">
        <f t="array" ref="L420">iferror(XLOOKUP(A420,'Download of SFDC Activation Rep'!B:B,'Download of SFDC Activation Rep'!S:S),"")</f>
        <v/>
      </c>
      <c r="M420" s="24" t="str">
        <f t="array" ref="M420">iferror(XLOOKUP(A420,'Download of SFDC Activation Rep'!B:B,'Download of SFDC Activation Rep'!Z:Z)+150,"")</f>
        <v/>
      </c>
      <c r="N420" s="24" t="str">
        <f t="array" ref="N420">iferror(XLOOKUP(A420,'Download of SFDC Activation Rep'!B:B,'Download of SFDC Activation Rep'!Y:Y),"")</f>
        <v/>
      </c>
    </row>
    <row r="421">
      <c r="B421" s="14"/>
      <c r="C421" s="14"/>
      <c r="D421" s="14"/>
      <c r="E421" s="15"/>
      <c r="F421" s="14"/>
      <c r="G421" s="13" t="str">
        <f t="array" ref="G421">iferror(XLOOKUP(A421,'Download of SFDC Activation Rep'!B:B,'Download of SFDC Activation Rep'!H:H),"")</f>
        <v/>
      </c>
      <c r="H421" s="13" t="str">
        <f t="array" ref="H421">iferror(xlookup(A421,'Download of SFDC Activation Rep'!B:B,'Download of SFDC Activation Rep'!L:L),"")</f>
        <v/>
      </c>
      <c r="I421" s="17" t="str">
        <f t="shared" si="1"/>
        <v>Not Active</v>
      </c>
      <c r="J421" s="17" t="str">
        <f t="array" ref="J421">iferror(XLOOKUP(A421,'Download of SFDC Activation Rep'!B:B,'Download of SFDC Activation Rep'!X:X),"")</f>
        <v/>
      </c>
      <c r="K421" s="17" t="str">
        <f t="array" ref="K421">iferror(XLOOKUP(A421,'Download of SFDC Activation Rep'!B:B,'Download of SFDC Activation Rep'!C:C),"")</f>
        <v/>
      </c>
      <c r="L421" s="18" t="str">
        <f t="array" ref="L421">iferror(XLOOKUP(A421,'Download of SFDC Activation Rep'!B:B,'Download of SFDC Activation Rep'!S:S),"")</f>
        <v/>
      </c>
      <c r="M421" s="24" t="str">
        <f t="array" ref="M421">iferror(XLOOKUP(A421,'Download of SFDC Activation Rep'!B:B,'Download of SFDC Activation Rep'!Z:Z)+150,"")</f>
        <v/>
      </c>
      <c r="N421" s="24" t="str">
        <f t="array" ref="N421">iferror(XLOOKUP(A421,'Download of SFDC Activation Rep'!B:B,'Download of SFDC Activation Rep'!Y:Y),"")</f>
        <v/>
      </c>
    </row>
    <row r="422">
      <c r="B422" s="14"/>
      <c r="C422" s="14"/>
      <c r="D422" s="14"/>
      <c r="E422" s="15"/>
      <c r="F422" s="14"/>
      <c r="G422" s="13" t="str">
        <f t="array" ref="G422">iferror(XLOOKUP(A422,'Download of SFDC Activation Rep'!B:B,'Download of SFDC Activation Rep'!H:H),"")</f>
        <v/>
      </c>
      <c r="H422" s="13" t="str">
        <f t="array" ref="H422">iferror(xlookup(A422,'Download of SFDC Activation Rep'!B:B,'Download of SFDC Activation Rep'!L:L),"")</f>
        <v/>
      </c>
      <c r="I422" s="17" t="str">
        <f t="shared" si="1"/>
        <v>Not Active</v>
      </c>
      <c r="J422" s="17" t="str">
        <f t="array" ref="J422">iferror(XLOOKUP(A422,'Download of SFDC Activation Rep'!B:B,'Download of SFDC Activation Rep'!X:X),"")</f>
        <v/>
      </c>
      <c r="K422" s="17" t="str">
        <f t="array" ref="K422">iferror(XLOOKUP(A422,'Download of SFDC Activation Rep'!B:B,'Download of SFDC Activation Rep'!C:C),"")</f>
        <v/>
      </c>
      <c r="L422" s="18" t="str">
        <f t="array" ref="L422">iferror(XLOOKUP(A422,'Download of SFDC Activation Rep'!B:B,'Download of SFDC Activation Rep'!S:S),"")</f>
        <v/>
      </c>
      <c r="M422" s="24" t="str">
        <f t="array" ref="M422">iferror(XLOOKUP(A422,'Download of SFDC Activation Rep'!B:B,'Download of SFDC Activation Rep'!Z:Z)+150,"")</f>
        <v/>
      </c>
      <c r="N422" s="24" t="str">
        <f t="array" ref="N422">iferror(XLOOKUP(A422,'Download of SFDC Activation Rep'!B:B,'Download of SFDC Activation Rep'!Y:Y),"")</f>
        <v/>
      </c>
    </row>
    <row r="423">
      <c r="B423" s="14"/>
      <c r="C423" s="14"/>
      <c r="D423" s="14"/>
      <c r="E423" s="15"/>
      <c r="F423" s="14"/>
      <c r="G423" s="13" t="str">
        <f t="array" ref="G423">iferror(XLOOKUP(A423,'Download of SFDC Activation Rep'!B:B,'Download of SFDC Activation Rep'!H:H),"")</f>
        <v/>
      </c>
      <c r="H423" s="13" t="str">
        <f t="array" ref="H423">iferror(xlookup(A423,'Download of SFDC Activation Rep'!B:B,'Download of SFDC Activation Rep'!L:L),"")</f>
        <v/>
      </c>
      <c r="I423" s="17" t="str">
        <f t="shared" si="1"/>
        <v>Not Active</v>
      </c>
      <c r="J423" s="17" t="str">
        <f t="array" ref="J423">iferror(XLOOKUP(A423,'Download of SFDC Activation Rep'!B:B,'Download of SFDC Activation Rep'!X:X),"")</f>
        <v/>
      </c>
      <c r="K423" s="17" t="str">
        <f t="array" ref="K423">iferror(XLOOKUP(A423,'Download of SFDC Activation Rep'!B:B,'Download of SFDC Activation Rep'!C:C),"")</f>
        <v/>
      </c>
      <c r="L423" s="18" t="str">
        <f t="array" ref="L423">iferror(XLOOKUP(A423,'Download of SFDC Activation Rep'!B:B,'Download of SFDC Activation Rep'!S:S),"")</f>
        <v/>
      </c>
      <c r="M423" s="24" t="str">
        <f t="array" ref="M423">iferror(XLOOKUP(A423,'Download of SFDC Activation Rep'!B:B,'Download of SFDC Activation Rep'!Z:Z)+150,"")</f>
        <v/>
      </c>
      <c r="N423" s="24" t="str">
        <f t="array" ref="N423">iferror(XLOOKUP(A423,'Download of SFDC Activation Rep'!B:B,'Download of SFDC Activation Rep'!Y:Y),"")</f>
        <v/>
      </c>
    </row>
    <row r="424">
      <c r="B424" s="14"/>
      <c r="C424" s="14"/>
      <c r="D424" s="14"/>
      <c r="E424" s="15"/>
      <c r="F424" s="14"/>
      <c r="G424" s="13" t="str">
        <f t="array" ref="G424">iferror(XLOOKUP(A424,'Download of SFDC Activation Rep'!B:B,'Download of SFDC Activation Rep'!H:H),"")</f>
        <v/>
      </c>
      <c r="H424" s="13" t="str">
        <f t="array" ref="H424">iferror(xlookup(A424,'Download of SFDC Activation Rep'!B:B,'Download of SFDC Activation Rep'!L:L),"")</f>
        <v/>
      </c>
      <c r="I424" s="17" t="str">
        <f t="shared" si="1"/>
        <v>Not Active</v>
      </c>
      <c r="J424" s="17" t="str">
        <f t="array" ref="J424">iferror(XLOOKUP(A424,'Download of SFDC Activation Rep'!B:B,'Download of SFDC Activation Rep'!X:X),"")</f>
        <v/>
      </c>
      <c r="K424" s="17" t="str">
        <f t="array" ref="K424">iferror(XLOOKUP(A424,'Download of SFDC Activation Rep'!B:B,'Download of SFDC Activation Rep'!C:C),"")</f>
        <v/>
      </c>
      <c r="L424" s="18" t="str">
        <f t="array" ref="L424">iferror(XLOOKUP(A424,'Download of SFDC Activation Rep'!B:B,'Download of SFDC Activation Rep'!S:S),"")</f>
        <v/>
      </c>
      <c r="M424" s="24" t="str">
        <f t="array" ref="M424">iferror(XLOOKUP(A424,'Download of SFDC Activation Rep'!B:B,'Download of SFDC Activation Rep'!Z:Z)+150,"")</f>
        <v/>
      </c>
      <c r="N424" s="24" t="str">
        <f t="array" ref="N424">iferror(XLOOKUP(A424,'Download of SFDC Activation Rep'!B:B,'Download of SFDC Activation Rep'!Y:Y),"")</f>
        <v/>
      </c>
    </row>
    <row r="425">
      <c r="B425" s="14"/>
      <c r="C425" s="14"/>
      <c r="D425" s="14"/>
      <c r="E425" s="15"/>
      <c r="F425" s="14"/>
      <c r="G425" s="13" t="str">
        <f t="array" ref="G425">iferror(XLOOKUP(A425,'Download of SFDC Activation Rep'!B:B,'Download of SFDC Activation Rep'!H:H),"")</f>
        <v/>
      </c>
      <c r="H425" s="13" t="str">
        <f t="array" ref="H425">iferror(xlookup(A425,'Download of SFDC Activation Rep'!B:B,'Download of SFDC Activation Rep'!L:L),"")</f>
        <v/>
      </c>
      <c r="I425" s="17" t="str">
        <f t="shared" si="1"/>
        <v>Not Active</v>
      </c>
      <c r="J425" s="17" t="str">
        <f t="array" ref="J425">iferror(XLOOKUP(A425,'Download of SFDC Activation Rep'!B:B,'Download of SFDC Activation Rep'!X:X),"")</f>
        <v/>
      </c>
      <c r="K425" s="17" t="str">
        <f t="array" ref="K425">iferror(XLOOKUP(A425,'Download of SFDC Activation Rep'!B:B,'Download of SFDC Activation Rep'!C:C),"")</f>
        <v/>
      </c>
      <c r="L425" s="18" t="str">
        <f t="array" ref="L425">iferror(XLOOKUP(A425,'Download of SFDC Activation Rep'!B:B,'Download of SFDC Activation Rep'!S:S),"")</f>
        <v/>
      </c>
      <c r="M425" s="24" t="str">
        <f t="array" ref="M425">iferror(XLOOKUP(A425,'Download of SFDC Activation Rep'!B:B,'Download of SFDC Activation Rep'!Z:Z)+150,"")</f>
        <v/>
      </c>
      <c r="N425" s="24" t="str">
        <f t="array" ref="N425">iferror(XLOOKUP(A425,'Download of SFDC Activation Rep'!B:B,'Download of SFDC Activation Rep'!Y:Y),"")</f>
        <v/>
      </c>
    </row>
    <row r="426">
      <c r="B426" s="14"/>
      <c r="C426" s="14"/>
      <c r="D426" s="14"/>
      <c r="E426" s="15"/>
      <c r="F426" s="14"/>
      <c r="G426" s="13" t="str">
        <f t="array" ref="G426">iferror(XLOOKUP(A426,'Download of SFDC Activation Rep'!B:B,'Download of SFDC Activation Rep'!H:H),"")</f>
        <v/>
      </c>
      <c r="H426" s="13" t="str">
        <f t="array" ref="H426">iferror(xlookup(A426,'Download of SFDC Activation Rep'!B:B,'Download of SFDC Activation Rep'!L:L),"")</f>
        <v/>
      </c>
      <c r="I426" s="17" t="str">
        <f t="shared" si="1"/>
        <v>Not Active</v>
      </c>
      <c r="J426" s="17" t="str">
        <f t="array" ref="J426">iferror(XLOOKUP(A426,'Download of SFDC Activation Rep'!B:B,'Download of SFDC Activation Rep'!X:X),"")</f>
        <v/>
      </c>
      <c r="K426" s="17" t="str">
        <f t="array" ref="K426">iferror(XLOOKUP(A426,'Download of SFDC Activation Rep'!B:B,'Download of SFDC Activation Rep'!C:C),"")</f>
        <v/>
      </c>
      <c r="L426" s="18" t="str">
        <f t="array" ref="L426">iferror(XLOOKUP(A426,'Download of SFDC Activation Rep'!B:B,'Download of SFDC Activation Rep'!S:S),"")</f>
        <v/>
      </c>
      <c r="M426" s="24" t="str">
        <f t="array" ref="M426">iferror(XLOOKUP(A426,'Download of SFDC Activation Rep'!B:B,'Download of SFDC Activation Rep'!Z:Z)+150,"")</f>
        <v/>
      </c>
      <c r="N426" s="24" t="str">
        <f t="array" ref="N426">iferror(XLOOKUP(A426,'Download of SFDC Activation Rep'!B:B,'Download of SFDC Activation Rep'!Y:Y),"")</f>
        <v/>
      </c>
    </row>
    <row r="427">
      <c r="B427" s="14"/>
      <c r="C427" s="14"/>
      <c r="D427" s="14"/>
      <c r="E427" s="15"/>
      <c r="F427" s="14"/>
      <c r="G427" s="13" t="str">
        <f t="array" ref="G427">iferror(XLOOKUP(A427,'Download of SFDC Activation Rep'!B:B,'Download of SFDC Activation Rep'!H:H),"")</f>
        <v/>
      </c>
      <c r="H427" s="13" t="str">
        <f t="array" ref="H427">iferror(xlookup(A427,'Download of SFDC Activation Rep'!B:B,'Download of SFDC Activation Rep'!L:L),"")</f>
        <v/>
      </c>
      <c r="I427" s="17" t="str">
        <f t="shared" si="1"/>
        <v>Not Active</v>
      </c>
      <c r="J427" s="17" t="str">
        <f t="array" ref="J427">iferror(XLOOKUP(A427,'Download of SFDC Activation Rep'!B:B,'Download of SFDC Activation Rep'!X:X),"")</f>
        <v/>
      </c>
      <c r="K427" s="17" t="str">
        <f t="array" ref="K427">iferror(XLOOKUP(A427,'Download of SFDC Activation Rep'!B:B,'Download of SFDC Activation Rep'!C:C),"")</f>
        <v/>
      </c>
      <c r="L427" s="18" t="str">
        <f t="array" ref="L427">iferror(XLOOKUP(A427,'Download of SFDC Activation Rep'!B:B,'Download of SFDC Activation Rep'!S:S),"")</f>
        <v/>
      </c>
      <c r="M427" s="24" t="str">
        <f t="array" ref="M427">iferror(XLOOKUP(A427,'Download of SFDC Activation Rep'!B:B,'Download of SFDC Activation Rep'!Z:Z)+150,"")</f>
        <v/>
      </c>
      <c r="N427" s="24" t="str">
        <f t="array" ref="N427">iferror(XLOOKUP(A427,'Download of SFDC Activation Rep'!B:B,'Download of SFDC Activation Rep'!Y:Y),"")</f>
        <v/>
      </c>
    </row>
    <row r="428">
      <c r="B428" s="14"/>
      <c r="C428" s="14"/>
      <c r="D428" s="14"/>
      <c r="E428" s="15"/>
      <c r="F428" s="14"/>
      <c r="G428" s="13" t="str">
        <f t="array" ref="G428">iferror(XLOOKUP(A428,'Download of SFDC Activation Rep'!B:B,'Download of SFDC Activation Rep'!H:H),"")</f>
        <v/>
      </c>
      <c r="H428" s="13" t="str">
        <f t="array" ref="H428">iferror(xlookup(A428,'Download of SFDC Activation Rep'!B:B,'Download of SFDC Activation Rep'!L:L),"")</f>
        <v/>
      </c>
      <c r="I428" s="17" t="str">
        <f t="shared" si="1"/>
        <v>Not Active</v>
      </c>
      <c r="J428" s="17" t="str">
        <f t="array" ref="J428">iferror(XLOOKUP(A428,'Download of SFDC Activation Rep'!B:B,'Download of SFDC Activation Rep'!X:X),"")</f>
        <v/>
      </c>
      <c r="K428" s="17" t="str">
        <f t="array" ref="K428">iferror(XLOOKUP(A428,'Download of SFDC Activation Rep'!B:B,'Download of SFDC Activation Rep'!C:C),"")</f>
        <v/>
      </c>
      <c r="L428" s="18" t="str">
        <f t="array" ref="L428">iferror(XLOOKUP(A428,'Download of SFDC Activation Rep'!B:B,'Download of SFDC Activation Rep'!S:S),"")</f>
        <v/>
      </c>
      <c r="M428" s="24" t="str">
        <f t="array" ref="M428">iferror(XLOOKUP(A428,'Download of SFDC Activation Rep'!B:B,'Download of SFDC Activation Rep'!Z:Z)+150,"")</f>
        <v/>
      </c>
      <c r="N428" s="24" t="str">
        <f t="array" ref="N428">iferror(XLOOKUP(A428,'Download of SFDC Activation Rep'!B:B,'Download of SFDC Activation Rep'!Y:Y),"")</f>
        <v/>
      </c>
    </row>
    <row r="429">
      <c r="B429" s="14"/>
      <c r="C429" s="14"/>
      <c r="D429" s="14"/>
      <c r="E429" s="15"/>
      <c r="F429" s="14"/>
      <c r="G429" s="13" t="str">
        <f t="array" ref="G429">iferror(XLOOKUP(A429,'Download of SFDC Activation Rep'!B:B,'Download of SFDC Activation Rep'!H:H),"")</f>
        <v/>
      </c>
      <c r="H429" s="13" t="str">
        <f t="array" ref="H429">iferror(xlookup(A429,'Download of SFDC Activation Rep'!B:B,'Download of SFDC Activation Rep'!L:L),"")</f>
        <v/>
      </c>
      <c r="I429" s="17" t="str">
        <f t="shared" si="1"/>
        <v>Not Active</v>
      </c>
      <c r="J429" s="17" t="str">
        <f t="array" ref="J429">iferror(XLOOKUP(A429,'Download of SFDC Activation Rep'!B:B,'Download of SFDC Activation Rep'!X:X),"")</f>
        <v/>
      </c>
      <c r="K429" s="17" t="str">
        <f t="array" ref="K429">iferror(XLOOKUP(A429,'Download of SFDC Activation Rep'!B:B,'Download of SFDC Activation Rep'!C:C),"")</f>
        <v/>
      </c>
      <c r="L429" s="18" t="str">
        <f t="array" ref="L429">iferror(XLOOKUP(A429,'Download of SFDC Activation Rep'!B:B,'Download of SFDC Activation Rep'!S:S),"")</f>
        <v/>
      </c>
      <c r="M429" s="24" t="str">
        <f t="array" ref="M429">iferror(XLOOKUP(A429,'Download of SFDC Activation Rep'!B:B,'Download of SFDC Activation Rep'!Z:Z)+150,"")</f>
        <v/>
      </c>
      <c r="N429" s="24" t="str">
        <f t="array" ref="N429">iferror(XLOOKUP(A429,'Download of SFDC Activation Rep'!B:B,'Download of SFDC Activation Rep'!Y:Y),"")</f>
        <v/>
      </c>
    </row>
    <row r="430">
      <c r="B430" s="14"/>
      <c r="C430" s="14"/>
      <c r="D430" s="14"/>
      <c r="E430" s="15"/>
      <c r="F430" s="14"/>
      <c r="G430" s="13" t="str">
        <f t="array" ref="G430">iferror(XLOOKUP(A430,'Download of SFDC Activation Rep'!B:B,'Download of SFDC Activation Rep'!H:H),"")</f>
        <v/>
      </c>
      <c r="H430" s="13" t="str">
        <f t="array" ref="H430">iferror(xlookup(A430,'Download of SFDC Activation Rep'!B:B,'Download of SFDC Activation Rep'!L:L),"")</f>
        <v/>
      </c>
      <c r="I430" s="17" t="str">
        <f t="shared" si="1"/>
        <v>Not Active</v>
      </c>
      <c r="J430" s="17" t="str">
        <f t="array" ref="J430">iferror(XLOOKUP(A430,'Download of SFDC Activation Rep'!B:B,'Download of SFDC Activation Rep'!X:X),"")</f>
        <v/>
      </c>
      <c r="K430" s="17" t="str">
        <f t="array" ref="K430">iferror(XLOOKUP(A430,'Download of SFDC Activation Rep'!B:B,'Download of SFDC Activation Rep'!C:C),"")</f>
        <v/>
      </c>
      <c r="L430" s="18" t="str">
        <f t="array" ref="L430">iferror(XLOOKUP(A430,'Download of SFDC Activation Rep'!B:B,'Download of SFDC Activation Rep'!S:S),"")</f>
        <v/>
      </c>
      <c r="M430" s="24" t="str">
        <f t="array" ref="M430">iferror(XLOOKUP(A430,'Download of SFDC Activation Rep'!B:B,'Download of SFDC Activation Rep'!Z:Z)+150,"")</f>
        <v/>
      </c>
      <c r="N430" s="24" t="str">
        <f t="array" ref="N430">iferror(XLOOKUP(A430,'Download of SFDC Activation Rep'!B:B,'Download of SFDC Activation Rep'!Y:Y),"")</f>
        <v/>
      </c>
    </row>
    <row r="431">
      <c r="B431" s="14"/>
      <c r="C431" s="14"/>
      <c r="D431" s="14"/>
      <c r="E431" s="15"/>
      <c r="F431" s="14"/>
      <c r="G431" s="13" t="str">
        <f t="array" ref="G431">iferror(XLOOKUP(A431,'Download of SFDC Activation Rep'!B:B,'Download of SFDC Activation Rep'!H:H),"")</f>
        <v/>
      </c>
      <c r="H431" s="13" t="str">
        <f t="array" ref="H431">iferror(xlookup(A431,'Download of SFDC Activation Rep'!B:B,'Download of SFDC Activation Rep'!L:L),"")</f>
        <v/>
      </c>
      <c r="I431" s="17" t="str">
        <f t="shared" si="1"/>
        <v>Not Active</v>
      </c>
      <c r="J431" s="17" t="str">
        <f t="array" ref="J431">iferror(XLOOKUP(A431,'Download of SFDC Activation Rep'!B:B,'Download of SFDC Activation Rep'!X:X),"")</f>
        <v/>
      </c>
      <c r="K431" s="17" t="str">
        <f t="array" ref="K431">iferror(XLOOKUP(A431,'Download of SFDC Activation Rep'!B:B,'Download of SFDC Activation Rep'!C:C),"")</f>
        <v/>
      </c>
      <c r="L431" s="18" t="str">
        <f t="array" ref="L431">iferror(XLOOKUP(A431,'Download of SFDC Activation Rep'!B:B,'Download of SFDC Activation Rep'!S:S),"")</f>
        <v/>
      </c>
      <c r="M431" s="24" t="str">
        <f t="array" ref="M431">iferror(XLOOKUP(A431,'Download of SFDC Activation Rep'!B:B,'Download of SFDC Activation Rep'!Z:Z)+150,"")</f>
        <v/>
      </c>
      <c r="N431" s="24" t="str">
        <f t="array" ref="N431">iferror(XLOOKUP(A431,'Download of SFDC Activation Rep'!B:B,'Download of SFDC Activation Rep'!Y:Y),"")</f>
        <v/>
      </c>
    </row>
    <row r="432">
      <c r="B432" s="14"/>
      <c r="C432" s="14"/>
      <c r="D432" s="14"/>
      <c r="E432" s="15"/>
      <c r="F432" s="14"/>
      <c r="G432" s="13" t="str">
        <f t="array" ref="G432">iferror(XLOOKUP(A432,'Download of SFDC Activation Rep'!B:B,'Download of SFDC Activation Rep'!H:H),"")</f>
        <v/>
      </c>
      <c r="H432" s="13" t="str">
        <f t="array" ref="H432">iferror(xlookup(A432,'Download of SFDC Activation Rep'!B:B,'Download of SFDC Activation Rep'!L:L),"")</f>
        <v/>
      </c>
      <c r="I432" s="17" t="str">
        <f t="shared" si="1"/>
        <v>Not Active</v>
      </c>
      <c r="J432" s="17" t="str">
        <f t="array" ref="J432">iferror(XLOOKUP(A432,'Download of SFDC Activation Rep'!B:B,'Download of SFDC Activation Rep'!X:X),"")</f>
        <v/>
      </c>
      <c r="K432" s="17" t="str">
        <f t="array" ref="K432">iferror(XLOOKUP(A432,'Download of SFDC Activation Rep'!B:B,'Download of SFDC Activation Rep'!C:C),"")</f>
        <v/>
      </c>
      <c r="L432" s="18" t="str">
        <f t="array" ref="L432">iferror(XLOOKUP(A432,'Download of SFDC Activation Rep'!B:B,'Download of SFDC Activation Rep'!S:S),"")</f>
        <v/>
      </c>
      <c r="M432" s="24" t="str">
        <f t="array" ref="M432">iferror(XLOOKUP(A432,'Download of SFDC Activation Rep'!B:B,'Download of SFDC Activation Rep'!Z:Z)+150,"")</f>
        <v/>
      </c>
      <c r="N432" s="24" t="str">
        <f t="array" ref="N432">iferror(XLOOKUP(A432,'Download of SFDC Activation Rep'!B:B,'Download of SFDC Activation Rep'!Y:Y),"")</f>
        <v/>
      </c>
    </row>
    <row r="433">
      <c r="B433" s="14"/>
      <c r="C433" s="14"/>
      <c r="D433" s="14"/>
      <c r="E433" s="15"/>
      <c r="F433" s="14"/>
      <c r="G433" s="13" t="str">
        <f t="array" ref="G433">iferror(XLOOKUP(A433,'Download of SFDC Activation Rep'!B:B,'Download of SFDC Activation Rep'!H:H),"")</f>
        <v/>
      </c>
      <c r="H433" s="13" t="str">
        <f t="array" ref="H433">iferror(xlookup(A433,'Download of SFDC Activation Rep'!B:B,'Download of SFDC Activation Rep'!L:L),"")</f>
        <v/>
      </c>
      <c r="I433" s="17" t="str">
        <f t="shared" si="1"/>
        <v>Not Active</v>
      </c>
      <c r="J433" s="17" t="str">
        <f t="array" ref="J433">iferror(XLOOKUP(A433,'Download of SFDC Activation Rep'!B:B,'Download of SFDC Activation Rep'!X:X),"")</f>
        <v/>
      </c>
      <c r="K433" s="17" t="str">
        <f t="array" ref="K433">iferror(XLOOKUP(A433,'Download of SFDC Activation Rep'!B:B,'Download of SFDC Activation Rep'!C:C),"")</f>
        <v/>
      </c>
      <c r="L433" s="18" t="str">
        <f t="array" ref="L433">iferror(XLOOKUP(A433,'Download of SFDC Activation Rep'!B:B,'Download of SFDC Activation Rep'!S:S),"")</f>
        <v/>
      </c>
      <c r="M433" s="24" t="str">
        <f t="array" ref="M433">iferror(XLOOKUP(A433,'Download of SFDC Activation Rep'!B:B,'Download of SFDC Activation Rep'!Z:Z)+150,"")</f>
        <v/>
      </c>
      <c r="N433" s="24" t="str">
        <f t="array" ref="N433">iferror(XLOOKUP(A433,'Download of SFDC Activation Rep'!B:B,'Download of SFDC Activation Rep'!Y:Y),"")</f>
        <v/>
      </c>
    </row>
    <row r="434">
      <c r="B434" s="14"/>
      <c r="C434" s="14"/>
      <c r="D434" s="14"/>
      <c r="E434" s="15"/>
      <c r="F434" s="14"/>
      <c r="G434" s="13" t="str">
        <f t="array" ref="G434">iferror(XLOOKUP(A434,'Download of SFDC Activation Rep'!B:B,'Download of SFDC Activation Rep'!H:H),"")</f>
        <v/>
      </c>
      <c r="H434" s="13" t="str">
        <f t="array" ref="H434">iferror(xlookup(A434,'Download of SFDC Activation Rep'!B:B,'Download of SFDC Activation Rep'!L:L),"")</f>
        <v/>
      </c>
      <c r="I434" s="17" t="str">
        <f t="shared" si="1"/>
        <v>Not Active</v>
      </c>
      <c r="J434" s="17" t="str">
        <f t="array" ref="J434">iferror(XLOOKUP(A434,'Download of SFDC Activation Rep'!B:B,'Download of SFDC Activation Rep'!X:X),"")</f>
        <v/>
      </c>
      <c r="K434" s="17" t="str">
        <f t="array" ref="K434">iferror(XLOOKUP(A434,'Download of SFDC Activation Rep'!B:B,'Download of SFDC Activation Rep'!C:C),"")</f>
        <v/>
      </c>
      <c r="L434" s="18" t="str">
        <f t="array" ref="L434">iferror(XLOOKUP(A434,'Download of SFDC Activation Rep'!B:B,'Download of SFDC Activation Rep'!S:S),"")</f>
        <v/>
      </c>
      <c r="M434" s="24" t="str">
        <f t="array" ref="M434">iferror(XLOOKUP(A434,'Download of SFDC Activation Rep'!B:B,'Download of SFDC Activation Rep'!Z:Z)+150,"")</f>
        <v/>
      </c>
      <c r="N434" s="24" t="str">
        <f t="array" ref="N434">iferror(XLOOKUP(A434,'Download of SFDC Activation Rep'!B:B,'Download of SFDC Activation Rep'!Y:Y),"")</f>
        <v/>
      </c>
    </row>
    <row r="435">
      <c r="B435" s="14"/>
      <c r="C435" s="14"/>
      <c r="D435" s="14"/>
      <c r="E435" s="15"/>
      <c r="F435" s="14"/>
      <c r="G435" s="13" t="str">
        <f t="array" ref="G435">iferror(XLOOKUP(A435,'Download of SFDC Activation Rep'!B:B,'Download of SFDC Activation Rep'!H:H),"")</f>
        <v/>
      </c>
      <c r="H435" s="13" t="str">
        <f t="array" ref="H435">iferror(xlookup(A435,'Download of SFDC Activation Rep'!B:B,'Download of SFDC Activation Rep'!L:L),"")</f>
        <v/>
      </c>
      <c r="I435" s="17" t="str">
        <f t="shared" si="1"/>
        <v>Not Active</v>
      </c>
      <c r="J435" s="17" t="str">
        <f t="array" ref="J435">iferror(XLOOKUP(A435,'Download of SFDC Activation Rep'!B:B,'Download of SFDC Activation Rep'!X:X),"")</f>
        <v/>
      </c>
      <c r="K435" s="17" t="str">
        <f t="array" ref="K435">iferror(XLOOKUP(A435,'Download of SFDC Activation Rep'!B:B,'Download of SFDC Activation Rep'!C:C),"")</f>
        <v/>
      </c>
      <c r="L435" s="18" t="str">
        <f t="array" ref="L435">iferror(XLOOKUP(A435,'Download of SFDC Activation Rep'!B:B,'Download of SFDC Activation Rep'!S:S),"")</f>
        <v/>
      </c>
      <c r="M435" s="24" t="str">
        <f t="array" ref="M435">iferror(XLOOKUP(A435,'Download of SFDC Activation Rep'!B:B,'Download of SFDC Activation Rep'!Z:Z)+150,"")</f>
        <v/>
      </c>
      <c r="N435" s="24" t="str">
        <f t="array" ref="N435">iferror(XLOOKUP(A435,'Download of SFDC Activation Rep'!B:B,'Download of SFDC Activation Rep'!Y:Y),"")</f>
        <v/>
      </c>
    </row>
    <row r="436">
      <c r="B436" s="14"/>
      <c r="C436" s="14"/>
      <c r="D436" s="14"/>
      <c r="E436" s="15"/>
      <c r="F436" s="14"/>
      <c r="G436" s="13" t="str">
        <f t="array" ref="G436">iferror(XLOOKUP(A436,'Download of SFDC Activation Rep'!B:B,'Download of SFDC Activation Rep'!H:H),"")</f>
        <v/>
      </c>
      <c r="H436" s="13" t="str">
        <f t="array" ref="H436">iferror(xlookup(A436,'Download of SFDC Activation Rep'!B:B,'Download of SFDC Activation Rep'!L:L),"")</f>
        <v/>
      </c>
      <c r="I436" s="17" t="str">
        <f t="shared" si="1"/>
        <v>Not Active</v>
      </c>
      <c r="J436" s="17" t="str">
        <f t="array" ref="J436">iferror(XLOOKUP(A436,'Download of SFDC Activation Rep'!B:B,'Download of SFDC Activation Rep'!X:X),"")</f>
        <v/>
      </c>
      <c r="K436" s="17" t="str">
        <f t="array" ref="K436">iferror(XLOOKUP(A436,'Download of SFDC Activation Rep'!B:B,'Download of SFDC Activation Rep'!C:C),"")</f>
        <v/>
      </c>
      <c r="L436" s="18" t="str">
        <f t="array" ref="L436">iferror(XLOOKUP(A436,'Download of SFDC Activation Rep'!B:B,'Download of SFDC Activation Rep'!S:S),"")</f>
        <v/>
      </c>
      <c r="M436" s="24" t="str">
        <f t="array" ref="M436">iferror(XLOOKUP(A436,'Download of SFDC Activation Rep'!B:B,'Download of SFDC Activation Rep'!Z:Z)+150,"")</f>
        <v/>
      </c>
      <c r="N436" s="24" t="str">
        <f t="array" ref="N436">iferror(XLOOKUP(A436,'Download of SFDC Activation Rep'!B:B,'Download of SFDC Activation Rep'!Y:Y),"")</f>
        <v/>
      </c>
    </row>
    <row r="437">
      <c r="B437" s="14"/>
      <c r="C437" s="14"/>
      <c r="D437" s="14"/>
      <c r="E437" s="15"/>
      <c r="F437" s="14"/>
      <c r="G437" s="13" t="str">
        <f t="array" ref="G437">iferror(XLOOKUP(A437,'Download of SFDC Activation Rep'!B:B,'Download of SFDC Activation Rep'!H:H),"")</f>
        <v/>
      </c>
      <c r="H437" s="13" t="str">
        <f t="array" ref="H437">iferror(xlookup(A437,'Download of SFDC Activation Rep'!B:B,'Download of SFDC Activation Rep'!L:L),"")</f>
        <v/>
      </c>
      <c r="I437" s="17" t="str">
        <f t="shared" si="1"/>
        <v>Not Active</v>
      </c>
      <c r="J437" s="17" t="str">
        <f t="array" ref="J437">iferror(XLOOKUP(A437,'Download of SFDC Activation Rep'!B:B,'Download of SFDC Activation Rep'!X:X),"")</f>
        <v/>
      </c>
      <c r="K437" s="17" t="str">
        <f t="array" ref="K437">iferror(XLOOKUP(A437,'Download of SFDC Activation Rep'!B:B,'Download of SFDC Activation Rep'!C:C),"")</f>
        <v/>
      </c>
      <c r="L437" s="18" t="str">
        <f t="array" ref="L437">iferror(XLOOKUP(A437,'Download of SFDC Activation Rep'!B:B,'Download of SFDC Activation Rep'!S:S),"")</f>
        <v/>
      </c>
      <c r="M437" s="24" t="str">
        <f t="array" ref="M437">iferror(XLOOKUP(A437,'Download of SFDC Activation Rep'!B:B,'Download of SFDC Activation Rep'!Z:Z)+150,"")</f>
        <v/>
      </c>
      <c r="N437" s="24" t="str">
        <f t="array" ref="N437">iferror(XLOOKUP(A437,'Download of SFDC Activation Rep'!B:B,'Download of SFDC Activation Rep'!Y:Y),"")</f>
        <v/>
      </c>
    </row>
    <row r="438">
      <c r="B438" s="14"/>
      <c r="C438" s="14"/>
      <c r="D438" s="14"/>
      <c r="E438" s="15"/>
      <c r="F438" s="14"/>
      <c r="G438" s="13" t="str">
        <f t="array" ref="G438">iferror(XLOOKUP(A438,'Download of SFDC Activation Rep'!B:B,'Download of SFDC Activation Rep'!H:H),"")</f>
        <v/>
      </c>
      <c r="H438" s="13" t="str">
        <f t="array" ref="H438">iferror(xlookup(A438,'Download of SFDC Activation Rep'!B:B,'Download of SFDC Activation Rep'!L:L),"")</f>
        <v/>
      </c>
      <c r="I438" s="17" t="str">
        <f t="shared" si="1"/>
        <v>Not Active</v>
      </c>
      <c r="J438" s="17" t="str">
        <f t="array" ref="J438">iferror(XLOOKUP(A438,'Download of SFDC Activation Rep'!B:B,'Download of SFDC Activation Rep'!X:X),"")</f>
        <v/>
      </c>
      <c r="K438" s="17" t="str">
        <f t="array" ref="K438">iferror(XLOOKUP(A438,'Download of SFDC Activation Rep'!B:B,'Download of SFDC Activation Rep'!C:C),"")</f>
        <v/>
      </c>
      <c r="L438" s="18" t="str">
        <f t="array" ref="L438">iferror(XLOOKUP(A438,'Download of SFDC Activation Rep'!B:B,'Download of SFDC Activation Rep'!S:S),"")</f>
        <v/>
      </c>
      <c r="M438" s="24" t="str">
        <f t="array" ref="M438">iferror(XLOOKUP(A438,'Download of SFDC Activation Rep'!B:B,'Download of SFDC Activation Rep'!Z:Z)+150,"")</f>
        <v/>
      </c>
      <c r="N438" s="24" t="str">
        <f t="array" ref="N438">iferror(XLOOKUP(A438,'Download of SFDC Activation Rep'!B:B,'Download of SFDC Activation Rep'!Y:Y),"")</f>
        <v/>
      </c>
    </row>
    <row r="439">
      <c r="B439" s="14"/>
      <c r="C439" s="14"/>
      <c r="D439" s="14"/>
      <c r="E439" s="15"/>
      <c r="F439" s="14"/>
      <c r="G439" s="13" t="str">
        <f t="array" ref="G439">iferror(XLOOKUP(A439,'Download of SFDC Activation Rep'!B:B,'Download of SFDC Activation Rep'!H:H),"")</f>
        <v/>
      </c>
      <c r="H439" s="13" t="str">
        <f t="array" ref="H439">iferror(xlookup(A439,'Download of SFDC Activation Rep'!B:B,'Download of SFDC Activation Rep'!L:L),"")</f>
        <v/>
      </c>
      <c r="I439" s="17" t="str">
        <f t="shared" si="1"/>
        <v>Not Active</v>
      </c>
      <c r="J439" s="17" t="str">
        <f t="array" ref="J439">iferror(XLOOKUP(A439,'Download of SFDC Activation Rep'!B:B,'Download of SFDC Activation Rep'!X:X),"")</f>
        <v/>
      </c>
      <c r="K439" s="17" t="str">
        <f t="array" ref="K439">iferror(XLOOKUP(A439,'Download of SFDC Activation Rep'!B:B,'Download of SFDC Activation Rep'!C:C),"")</f>
        <v/>
      </c>
      <c r="L439" s="18" t="str">
        <f t="array" ref="L439">iferror(XLOOKUP(A439,'Download of SFDC Activation Rep'!B:B,'Download of SFDC Activation Rep'!S:S),"")</f>
        <v/>
      </c>
      <c r="M439" s="24" t="str">
        <f t="array" ref="M439">iferror(XLOOKUP(A439,'Download of SFDC Activation Rep'!B:B,'Download of SFDC Activation Rep'!Z:Z)+150,"")</f>
        <v/>
      </c>
      <c r="N439" s="24" t="str">
        <f t="array" ref="N439">iferror(XLOOKUP(A439,'Download of SFDC Activation Rep'!B:B,'Download of SFDC Activation Rep'!Y:Y),"")</f>
        <v/>
      </c>
    </row>
    <row r="440">
      <c r="B440" s="14"/>
      <c r="C440" s="14"/>
      <c r="D440" s="14"/>
      <c r="E440" s="15"/>
      <c r="F440" s="14"/>
      <c r="G440" s="13" t="str">
        <f t="array" ref="G440">iferror(XLOOKUP(A440,'Download of SFDC Activation Rep'!B:B,'Download of SFDC Activation Rep'!H:H),"")</f>
        <v/>
      </c>
      <c r="H440" s="13" t="str">
        <f t="array" ref="H440">iferror(xlookup(A440,'Download of SFDC Activation Rep'!B:B,'Download of SFDC Activation Rep'!L:L),"")</f>
        <v/>
      </c>
      <c r="I440" s="17" t="str">
        <f t="shared" si="1"/>
        <v>Not Active</v>
      </c>
      <c r="J440" s="17" t="str">
        <f t="array" ref="J440">iferror(XLOOKUP(A440,'Download of SFDC Activation Rep'!B:B,'Download of SFDC Activation Rep'!X:X),"")</f>
        <v/>
      </c>
      <c r="K440" s="17" t="str">
        <f t="array" ref="K440">iferror(XLOOKUP(A440,'Download of SFDC Activation Rep'!B:B,'Download of SFDC Activation Rep'!C:C),"")</f>
        <v/>
      </c>
      <c r="L440" s="18" t="str">
        <f t="array" ref="L440">iferror(XLOOKUP(A440,'Download of SFDC Activation Rep'!B:B,'Download of SFDC Activation Rep'!S:S),"")</f>
        <v/>
      </c>
      <c r="M440" s="24" t="str">
        <f t="array" ref="M440">iferror(XLOOKUP(A440,'Download of SFDC Activation Rep'!B:B,'Download of SFDC Activation Rep'!Z:Z)+150,"")</f>
        <v/>
      </c>
      <c r="N440" s="24" t="str">
        <f t="array" ref="N440">iferror(XLOOKUP(A440,'Download of SFDC Activation Rep'!B:B,'Download of SFDC Activation Rep'!Y:Y),"")</f>
        <v/>
      </c>
    </row>
    <row r="441">
      <c r="B441" s="14"/>
      <c r="C441" s="14"/>
      <c r="D441" s="14"/>
      <c r="E441" s="15"/>
      <c r="F441" s="14"/>
      <c r="G441" s="13" t="str">
        <f t="array" ref="G441">iferror(XLOOKUP(A441,'Download of SFDC Activation Rep'!B:B,'Download of SFDC Activation Rep'!H:H),"")</f>
        <v/>
      </c>
      <c r="H441" s="13" t="str">
        <f t="array" ref="H441">iferror(xlookup(A441,'Download of SFDC Activation Rep'!B:B,'Download of SFDC Activation Rep'!L:L),"")</f>
        <v/>
      </c>
      <c r="I441" s="17" t="str">
        <f t="shared" si="1"/>
        <v>Not Active</v>
      </c>
      <c r="J441" s="17" t="str">
        <f t="array" ref="J441">iferror(XLOOKUP(A441,'Download of SFDC Activation Rep'!B:B,'Download of SFDC Activation Rep'!X:X),"")</f>
        <v/>
      </c>
      <c r="K441" s="17" t="str">
        <f t="array" ref="K441">iferror(XLOOKUP(A441,'Download of SFDC Activation Rep'!B:B,'Download of SFDC Activation Rep'!C:C),"")</f>
        <v/>
      </c>
      <c r="L441" s="18" t="str">
        <f t="array" ref="L441">iferror(XLOOKUP(A441,'Download of SFDC Activation Rep'!B:B,'Download of SFDC Activation Rep'!S:S),"")</f>
        <v/>
      </c>
      <c r="M441" s="24" t="str">
        <f t="array" ref="M441">iferror(XLOOKUP(A441,'Download of SFDC Activation Rep'!B:B,'Download of SFDC Activation Rep'!Z:Z)+150,"")</f>
        <v/>
      </c>
      <c r="N441" s="24" t="str">
        <f t="array" ref="N441">iferror(XLOOKUP(A441,'Download of SFDC Activation Rep'!B:B,'Download of SFDC Activation Rep'!Y:Y),"")</f>
        <v/>
      </c>
    </row>
    <row r="442">
      <c r="B442" s="14"/>
      <c r="C442" s="14"/>
      <c r="D442" s="14"/>
      <c r="E442" s="15"/>
      <c r="F442" s="14"/>
      <c r="G442" s="13" t="str">
        <f t="array" ref="G442">iferror(XLOOKUP(A442,'Download of SFDC Activation Rep'!B:B,'Download of SFDC Activation Rep'!H:H),"")</f>
        <v/>
      </c>
      <c r="H442" s="13" t="str">
        <f t="array" ref="H442">iferror(xlookup(A442,'Download of SFDC Activation Rep'!B:B,'Download of SFDC Activation Rep'!L:L),"")</f>
        <v/>
      </c>
      <c r="I442" s="17" t="str">
        <f t="shared" si="1"/>
        <v>Not Active</v>
      </c>
      <c r="J442" s="17" t="str">
        <f t="array" ref="J442">iferror(XLOOKUP(A442,'Download of SFDC Activation Rep'!B:B,'Download of SFDC Activation Rep'!X:X),"")</f>
        <v/>
      </c>
      <c r="K442" s="17" t="str">
        <f t="array" ref="K442">iferror(XLOOKUP(A442,'Download of SFDC Activation Rep'!B:B,'Download of SFDC Activation Rep'!C:C),"")</f>
        <v/>
      </c>
      <c r="L442" s="18" t="str">
        <f t="array" ref="L442">iferror(XLOOKUP(A442,'Download of SFDC Activation Rep'!B:B,'Download of SFDC Activation Rep'!S:S),"")</f>
        <v/>
      </c>
      <c r="M442" s="24" t="str">
        <f t="array" ref="M442">iferror(XLOOKUP(A442,'Download of SFDC Activation Rep'!B:B,'Download of SFDC Activation Rep'!Z:Z)+150,"")</f>
        <v/>
      </c>
      <c r="N442" s="24" t="str">
        <f t="array" ref="N442">iferror(XLOOKUP(A442,'Download of SFDC Activation Rep'!B:B,'Download of SFDC Activation Rep'!Y:Y),"")</f>
        <v/>
      </c>
    </row>
    <row r="443">
      <c r="B443" s="14"/>
      <c r="C443" s="14"/>
      <c r="D443" s="14"/>
      <c r="E443" s="15"/>
      <c r="F443" s="14"/>
      <c r="G443" s="13" t="str">
        <f t="array" ref="G443">iferror(XLOOKUP(A443,'Download of SFDC Activation Rep'!B:B,'Download of SFDC Activation Rep'!H:H),"")</f>
        <v/>
      </c>
      <c r="H443" s="13" t="str">
        <f t="array" ref="H443">iferror(xlookup(A443,'Download of SFDC Activation Rep'!B:B,'Download of SFDC Activation Rep'!L:L),"")</f>
        <v/>
      </c>
      <c r="I443" s="17" t="str">
        <f t="shared" si="1"/>
        <v>Not Active</v>
      </c>
      <c r="J443" s="17" t="str">
        <f t="array" ref="J443">iferror(XLOOKUP(A443,'Download of SFDC Activation Rep'!B:B,'Download of SFDC Activation Rep'!X:X),"")</f>
        <v/>
      </c>
      <c r="K443" s="17" t="str">
        <f t="array" ref="K443">iferror(XLOOKUP(A443,'Download of SFDC Activation Rep'!B:B,'Download of SFDC Activation Rep'!C:C),"")</f>
        <v/>
      </c>
      <c r="L443" s="18" t="str">
        <f t="array" ref="L443">iferror(XLOOKUP(A443,'Download of SFDC Activation Rep'!B:B,'Download of SFDC Activation Rep'!S:S),"")</f>
        <v/>
      </c>
      <c r="M443" s="24" t="str">
        <f t="array" ref="M443">iferror(XLOOKUP(A443,'Download of SFDC Activation Rep'!B:B,'Download of SFDC Activation Rep'!Z:Z)+150,"")</f>
        <v/>
      </c>
      <c r="N443" s="24" t="str">
        <f t="array" ref="N443">iferror(XLOOKUP(A443,'Download of SFDC Activation Rep'!B:B,'Download of SFDC Activation Rep'!Y:Y),"")</f>
        <v/>
      </c>
    </row>
    <row r="444">
      <c r="B444" s="14"/>
      <c r="C444" s="14"/>
      <c r="D444" s="14"/>
      <c r="E444" s="15"/>
      <c r="F444" s="14"/>
      <c r="G444" s="13" t="str">
        <f t="array" ref="G444">iferror(XLOOKUP(A444,'Download of SFDC Activation Rep'!B:B,'Download of SFDC Activation Rep'!H:H),"")</f>
        <v/>
      </c>
      <c r="H444" s="13" t="str">
        <f t="array" ref="H444">iferror(xlookup(A444,'Download of SFDC Activation Rep'!B:B,'Download of SFDC Activation Rep'!L:L),"")</f>
        <v/>
      </c>
      <c r="I444" s="17" t="str">
        <f t="shared" si="1"/>
        <v>Not Active</v>
      </c>
      <c r="J444" s="17" t="str">
        <f t="array" ref="J444">iferror(XLOOKUP(A444,'Download of SFDC Activation Rep'!B:B,'Download of SFDC Activation Rep'!X:X),"")</f>
        <v/>
      </c>
      <c r="K444" s="17" t="str">
        <f t="array" ref="K444">iferror(XLOOKUP(A444,'Download of SFDC Activation Rep'!B:B,'Download of SFDC Activation Rep'!C:C),"")</f>
        <v/>
      </c>
      <c r="L444" s="18" t="str">
        <f t="array" ref="L444">iferror(XLOOKUP(A444,'Download of SFDC Activation Rep'!B:B,'Download of SFDC Activation Rep'!S:S),"")</f>
        <v/>
      </c>
      <c r="M444" s="24" t="str">
        <f t="array" ref="M444">iferror(XLOOKUP(A444,'Download of SFDC Activation Rep'!B:B,'Download of SFDC Activation Rep'!Z:Z)+150,"")</f>
        <v/>
      </c>
      <c r="N444" s="24" t="str">
        <f t="array" ref="N444">iferror(XLOOKUP(A444,'Download of SFDC Activation Rep'!B:B,'Download of SFDC Activation Rep'!Y:Y),"")</f>
        <v/>
      </c>
    </row>
    <row r="445">
      <c r="B445" s="14"/>
      <c r="C445" s="14"/>
      <c r="D445" s="14"/>
      <c r="E445" s="15"/>
      <c r="F445" s="14"/>
      <c r="G445" s="13" t="str">
        <f t="array" ref="G445">iferror(XLOOKUP(A445,'Download of SFDC Activation Rep'!B:B,'Download of SFDC Activation Rep'!H:H),"")</f>
        <v/>
      </c>
      <c r="H445" s="13" t="str">
        <f t="array" ref="H445">iferror(xlookup(A445,'Download of SFDC Activation Rep'!B:B,'Download of SFDC Activation Rep'!L:L),"")</f>
        <v/>
      </c>
      <c r="I445" s="17" t="str">
        <f t="shared" si="1"/>
        <v>Not Active</v>
      </c>
      <c r="J445" s="17" t="str">
        <f t="array" ref="J445">iferror(XLOOKUP(A445,'Download of SFDC Activation Rep'!B:B,'Download of SFDC Activation Rep'!X:X),"")</f>
        <v/>
      </c>
      <c r="K445" s="17" t="str">
        <f t="array" ref="K445">iferror(XLOOKUP(A445,'Download of SFDC Activation Rep'!B:B,'Download of SFDC Activation Rep'!C:C),"")</f>
        <v/>
      </c>
      <c r="L445" s="18" t="str">
        <f t="array" ref="L445">iferror(XLOOKUP(A445,'Download of SFDC Activation Rep'!B:B,'Download of SFDC Activation Rep'!S:S),"")</f>
        <v/>
      </c>
      <c r="M445" s="24" t="str">
        <f t="array" ref="M445">iferror(XLOOKUP(A445,'Download of SFDC Activation Rep'!B:B,'Download of SFDC Activation Rep'!Z:Z)+150,"")</f>
        <v/>
      </c>
      <c r="N445" s="24" t="str">
        <f t="array" ref="N445">iferror(XLOOKUP(A445,'Download of SFDC Activation Rep'!B:B,'Download of SFDC Activation Rep'!Y:Y),"")</f>
        <v/>
      </c>
    </row>
    <row r="446">
      <c r="B446" s="14"/>
      <c r="C446" s="14"/>
      <c r="D446" s="14"/>
      <c r="E446" s="15"/>
      <c r="F446" s="14"/>
      <c r="G446" s="13" t="str">
        <f t="array" ref="G446">iferror(XLOOKUP(A446,'Download of SFDC Activation Rep'!B:B,'Download of SFDC Activation Rep'!H:H),"")</f>
        <v/>
      </c>
      <c r="H446" s="13" t="str">
        <f t="array" ref="H446">iferror(xlookup(A446,'Download of SFDC Activation Rep'!B:B,'Download of SFDC Activation Rep'!L:L),"")</f>
        <v/>
      </c>
      <c r="I446" s="17" t="str">
        <f t="shared" si="1"/>
        <v>Not Active</v>
      </c>
      <c r="J446" s="17" t="str">
        <f t="array" ref="J446">iferror(XLOOKUP(A446,'Download of SFDC Activation Rep'!B:B,'Download of SFDC Activation Rep'!X:X),"")</f>
        <v/>
      </c>
      <c r="K446" s="17" t="str">
        <f t="array" ref="K446">iferror(XLOOKUP(A446,'Download of SFDC Activation Rep'!B:B,'Download of SFDC Activation Rep'!C:C),"")</f>
        <v/>
      </c>
      <c r="L446" s="18" t="str">
        <f t="array" ref="L446">iferror(XLOOKUP(A446,'Download of SFDC Activation Rep'!B:B,'Download of SFDC Activation Rep'!S:S),"")</f>
        <v/>
      </c>
      <c r="M446" s="24" t="str">
        <f t="array" ref="M446">iferror(XLOOKUP(A446,'Download of SFDC Activation Rep'!B:B,'Download of SFDC Activation Rep'!Z:Z)+150,"")</f>
        <v/>
      </c>
      <c r="N446" s="24" t="str">
        <f t="array" ref="N446">iferror(XLOOKUP(A446,'Download of SFDC Activation Rep'!B:B,'Download of SFDC Activation Rep'!Y:Y),"")</f>
        <v/>
      </c>
    </row>
    <row r="447">
      <c r="B447" s="14"/>
      <c r="C447" s="14"/>
      <c r="D447" s="14"/>
      <c r="E447" s="15"/>
      <c r="F447" s="14"/>
      <c r="G447" s="13" t="str">
        <f t="array" ref="G447">iferror(XLOOKUP(A447,'Download of SFDC Activation Rep'!B:B,'Download of SFDC Activation Rep'!H:H),"")</f>
        <v/>
      </c>
      <c r="H447" s="13" t="str">
        <f t="array" ref="H447">iferror(xlookup(A447,'Download of SFDC Activation Rep'!B:B,'Download of SFDC Activation Rep'!L:L),"")</f>
        <v/>
      </c>
      <c r="I447" s="17" t="str">
        <f t="shared" si="1"/>
        <v>Not Active</v>
      </c>
      <c r="J447" s="17" t="str">
        <f t="array" ref="J447">iferror(XLOOKUP(A447,'Download of SFDC Activation Rep'!B:B,'Download of SFDC Activation Rep'!X:X),"")</f>
        <v/>
      </c>
      <c r="K447" s="17" t="str">
        <f t="array" ref="K447">iferror(XLOOKUP(A447,'Download of SFDC Activation Rep'!B:B,'Download of SFDC Activation Rep'!C:C),"")</f>
        <v/>
      </c>
      <c r="L447" s="18" t="str">
        <f t="array" ref="L447">iferror(XLOOKUP(A447,'Download of SFDC Activation Rep'!B:B,'Download of SFDC Activation Rep'!S:S),"")</f>
        <v/>
      </c>
      <c r="M447" s="24" t="str">
        <f t="array" ref="M447">iferror(XLOOKUP(A447,'Download of SFDC Activation Rep'!B:B,'Download of SFDC Activation Rep'!Z:Z)+150,"")</f>
        <v/>
      </c>
      <c r="N447" s="24" t="str">
        <f t="array" ref="N447">iferror(XLOOKUP(A447,'Download of SFDC Activation Rep'!B:B,'Download of SFDC Activation Rep'!Y:Y),"")</f>
        <v/>
      </c>
    </row>
    <row r="448">
      <c r="B448" s="14"/>
      <c r="C448" s="14"/>
      <c r="D448" s="14"/>
      <c r="E448" s="15"/>
      <c r="F448" s="14"/>
      <c r="G448" s="13" t="str">
        <f t="array" ref="G448">iferror(XLOOKUP(A448,'Download of SFDC Activation Rep'!B:B,'Download of SFDC Activation Rep'!H:H),"")</f>
        <v/>
      </c>
      <c r="H448" s="13" t="str">
        <f t="array" ref="H448">iferror(xlookup(A448,'Download of SFDC Activation Rep'!B:B,'Download of SFDC Activation Rep'!L:L),"")</f>
        <v/>
      </c>
      <c r="I448" s="17" t="str">
        <f t="shared" si="1"/>
        <v>Not Active</v>
      </c>
      <c r="J448" s="17" t="str">
        <f t="array" ref="J448">iferror(XLOOKUP(A448,'Download of SFDC Activation Rep'!B:B,'Download of SFDC Activation Rep'!X:X),"")</f>
        <v/>
      </c>
      <c r="K448" s="17" t="str">
        <f t="array" ref="K448">iferror(XLOOKUP(A448,'Download of SFDC Activation Rep'!B:B,'Download of SFDC Activation Rep'!C:C),"")</f>
        <v/>
      </c>
      <c r="L448" s="18" t="str">
        <f t="array" ref="L448">iferror(XLOOKUP(A448,'Download of SFDC Activation Rep'!B:B,'Download of SFDC Activation Rep'!S:S),"")</f>
        <v/>
      </c>
      <c r="M448" s="24" t="str">
        <f t="array" ref="M448">iferror(XLOOKUP(A448,'Download of SFDC Activation Rep'!B:B,'Download of SFDC Activation Rep'!Z:Z)+150,"")</f>
        <v/>
      </c>
      <c r="N448" s="24" t="str">
        <f t="array" ref="N448">iferror(XLOOKUP(A448,'Download of SFDC Activation Rep'!B:B,'Download of SFDC Activation Rep'!Y:Y),"")</f>
        <v/>
      </c>
    </row>
    <row r="449">
      <c r="B449" s="14"/>
      <c r="C449" s="14"/>
      <c r="D449" s="14"/>
      <c r="E449" s="15"/>
      <c r="F449" s="14"/>
      <c r="G449" s="13" t="str">
        <f t="array" ref="G449">iferror(XLOOKUP(A449,'Download of SFDC Activation Rep'!B:B,'Download of SFDC Activation Rep'!H:H),"")</f>
        <v/>
      </c>
      <c r="H449" s="13" t="str">
        <f t="array" ref="H449">iferror(xlookup(A449,'Download of SFDC Activation Rep'!B:B,'Download of SFDC Activation Rep'!L:L),"")</f>
        <v/>
      </c>
      <c r="I449" s="17" t="str">
        <f t="shared" si="1"/>
        <v>Not Active</v>
      </c>
      <c r="J449" s="17" t="str">
        <f t="array" ref="J449">iferror(XLOOKUP(A449,'Download of SFDC Activation Rep'!B:B,'Download of SFDC Activation Rep'!X:X),"")</f>
        <v/>
      </c>
      <c r="K449" s="17" t="str">
        <f t="array" ref="K449">iferror(XLOOKUP(A449,'Download of SFDC Activation Rep'!B:B,'Download of SFDC Activation Rep'!C:C),"")</f>
        <v/>
      </c>
      <c r="L449" s="18" t="str">
        <f t="array" ref="L449">iferror(XLOOKUP(A449,'Download of SFDC Activation Rep'!B:B,'Download of SFDC Activation Rep'!S:S),"")</f>
        <v/>
      </c>
      <c r="M449" s="24" t="str">
        <f t="array" ref="M449">iferror(XLOOKUP(A449,'Download of SFDC Activation Rep'!B:B,'Download of SFDC Activation Rep'!Z:Z)+150,"")</f>
        <v/>
      </c>
      <c r="N449" s="24" t="str">
        <f t="array" ref="N449">iferror(XLOOKUP(A449,'Download of SFDC Activation Rep'!B:B,'Download of SFDC Activation Rep'!Y:Y),"")</f>
        <v/>
      </c>
    </row>
    <row r="450">
      <c r="B450" s="14"/>
      <c r="C450" s="14"/>
      <c r="D450" s="14"/>
      <c r="E450" s="15"/>
      <c r="F450" s="14"/>
      <c r="G450" s="13" t="str">
        <f t="array" ref="G450">iferror(XLOOKUP(A450,'Download of SFDC Activation Rep'!B:B,'Download of SFDC Activation Rep'!H:H),"")</f>
        <v/>
      </c>
      <c r="H450" s="13" t="str">
        <f t="array" ref="H450">iferror(xlookup(A450,'Download of SFDC Activation Rep'!B:B,'Download of SFDC Activation Rep'!L:L),"")</f>
        <v/>
      </c>
      <c r="I450" s="17" t="str">
        <f t="shared" si="1"/>
        <v>Not Active</v>
      </c>
      <c r="J450" s="17" t="str">
        <f t="array" ref="J450">iferror(XLOOKUP(A450,'Download of SFDC Activation Rep'!B:B,'Download of SFDC Activation Rep'!X:X),"")</f>
        <v/>
      </c>
      <c r="K450" s="17" t="str">
        <f t="array" ref="K450">iferror(XLOOKUP(A450,'Download of SFDC Activation Rep'!B:B,'Download of SFDC Activation Rep'!C:C),"")</f>
        <v/>
      </c>
      <c r="L450" s="18" t="str">
        <f t="array" ref="L450">iferror(XLOOKUP(A450,'Download of SFDC Activation Rep'!B:B,'Download of SFDC Activation Rep'!S:S),"")</f>
        <v/>
      </c>
      <c r="M450" s="24" t="str">
        <f t="array" ref="M450">iferror(XLOOKUP(A450,'Download of SFDC Activation Rep'!B:B,'Download of SFDC Activation Rep'!Z:Z)+150,"")</f>
        <v/>
      </c>
      <c r="N450" s="24" t="str">
        <f t="array" ref="N450">iferror(XLOOKUP(A450,'Download of SFDC Activation Rep'!B:B,'Download of SFDC Activation Rep'!Y:Y),"")</f>
        <v/>
      </c>
    </row>
    <row r="451">
      <c r="B451" s="14"/>
      <c r="C451" s="14"/>
      <c r="D451" s="14"/>
      <c r="E451" s="15"/>
      <c r="F451" s="14"/>
      <c r="G451" s="13" t="str">
        <f t="array" ref="G451">iferror(XLOOKUP(A451,'Download of SFDC Activation Rep'!B:B,'Download of SFDC Activation Rep'!H:H),"")</f>
        <v/>
      </c>
      <c r="H451" s="13" t="str">
        <f t="array" ref="H451">iferror(xlookup(A451,'Download of SFDC Activation Rep'!B:B,'Download of SFDC Activation Rep'!L:L),"")</f>
        <v/>
      </c>
      <c r="I451" s="17" t="str">
        <f t="shared" si="1"/>
        <v>Not Active</v>
      </c>
      <c r="J451" s="17" t="str">
        <f t="array" ref="J451">iferror(XLOOKUP(A451,'Download of SFDC Activation Rep'!B:B,'Download of SFDC Activation Rep'!X:X),"")</f>
        <v/>
      </c>
      <c r="K451" s="17" t="str">
        <f t="array" ref="K451">iferror(XLOOKUP(A451,'Download of SFDC Activation Rep'!B:B,'Download of SFDC Activation Rep'!C:C),"")</f>
        <v/>
      </c>
      <c r="L451" s="18" t="str">
        <f t="array" ref="L451">iferror(XLOOKUP(A451,'Download of SFDC Activation Rep'!B:B,'Download of SFDC Activation Rep'!S:S),"")</f>
        <v/>
      </c>
      <c r="M451" s="24" t="str">
        <f t="array" ref="M451">iferror(XLOOKUP(A451,'Download of SFDC Activation Rep'!B:B,'Download of SFDC Activation Rep'!Z:Z)+150,"")</f>
        <v/>
      </c>
      <c r="N451" s="24" t="str">
        <f t="array" ref="N451">iferror(XLOOKUP(A451,'Download of SFDC Activation Rep'!B:B,'Download of SFDC Activation Rep'!Y:Y),"")</f>
        <v/>
      </c>
    </row>
    <row r="452">
      <c r="B452" s="14"/>
      <c r="C452" s="14"/>
      <c r="D452" s="14"/>
      <c r="E452" s="15"/>
      <c r="F452" s="14"/>
      <c r="G452" s="13" t="str">
        <f t="array" ref="G452">iferror(XLOOKUP(A452,'Download of SFDC Activation Rep'!B:B,'Download of SFDC Activation Rep'!H:H),"")</f>
        <v/>
      </c>
      <c r="H452" s="13" t="str">
        <f t="array" ref="H452">iferror(xlookup(A452,'Download of SFDC Activation Rep'!B:B,'Download of SFDC Activation Rep'!L:L),"")</f>
        <v/>
      </c>
      <c r="I452" s="17" t="str">
        <f t="shared" si="1"/>
        <v>Not Active</v>
      </c>
      <c r="J452" s="17" t="str">
        <f t="array" ref="J452">iferror(XLOOKUP(A452,'Download of SFDC Activation Rep'!B:B,'Download of SFDC Activation Rep'!X:X),"")</f>
        <v/>
      </c>
      <c r="K452" s="17" t="str">
        <f t="array" ref="K452">iferror(XLOOKUP(A452,'Download of SFDC Activation Rep'!B:B,'Download of SFDC Activation Rep'!C:C),"")</f>
        <v/>
      </c>
      <c r="L452" s="18" t="str">
        <f t="array" ref="L452">iferror(XLOOKUP(A452,'Download of SFDC Activation Rep'!B:B,'Download of SFDC Activation Rep'!S:S),"")</f>
        <v/>
      </c>
      <c r="M452" s="24" t="str">
        <f t="array" ref="M452">iferror(XLOOKUP(A452,'Download of SFDC Activation Rep'!B:B,'Download of SFDC Activation Rep'!Z:Z)+150,"")</f>
        <v/>
      </c>
      <c r="N452" s="24" t="str">
        <f t="array" ref="N452">iferror(XLOOKUP(A452,'Download of SFDC Activation Rep'!B:B,'Download of SFDC Activation Rep'!Y:Y),"")</f>
        <v/>
      </c>
    </row>
    <row r="453">
      <c r="B453" s="14"/>
      <c r="C453" s="14"/>
      <c r="D453" s="14"/>
      <c r="E453" s="15"/>
      <c r="F453" s="14"/>
      <c r="G453" s="13" t="str">
        <f t="array" ref="G453">iferror(XLOOKUP(A453,'Download of SFDC Activation Rep'!B:B,'Download of SFDC Activation Rep'!H:H),"")</f>
        <v/>
      </c>
      <c r="H453" s="13" t="str">
        <f t="array" ref="H453">iferror(xlookup(A453,'Download of SFDC Activation Rep'!B:B,'Download of SFDC Activation Rep'!L:L),"")</f>
        <v/>
      </c>
      <c r="I453" s="17" t="str">
        <f t="shared" si="1"/>
        <v>Not Active</v>
      </c>
      <c r="J453" s="17" t="str">
        <f t="array" ref="J453">iferror(XLOOKUP(A453,'Download of SFDC Activation Rep'!B:B,'Download of SFDC Activation Rep'!X:X),"")</f>
        <v/>
      </c>
      <c r="K453" s="17" t="str">
        <f t="array" ref="K453">iferror(XLOOKUP(A453,'Download of SFDC Activation Rep'!B:B,'Download of SFDC Activation Rep'!C:C),"")</f>
        <v/>
      </c>
      <c r="L453" s="18" t="str">
        <f t="array" ref="L453">iferror(XLOOKUP(A453,'Download of SFDC Activation Rep'!B:B,'Download of SFDC Activation Rep'!S:S),"")</f>
        <v/>
      </c>
      <c r="M453" s="24" t="str">
        <f t="array" ref="M453">iferror(XLOOKUP(A453,'Download of SFDC Activation Rep'!B:B,'Download of SFDC Activation Rep'!Z:Z)+150,"")</f>
        <v/>
      </c>
      <c r="N453" s="24" t="str">
        <f t="array" ref="N453">iferror(XLOOKUP(A453,'Download of SFDC Activation Rep'!B:B,'Download of SFDC Activation Rep'!Y:Y),"")</f>
        <v/>
      </c>
    </row>
    <row r="454">
      <c r="B454" s="14"/>
      <c r="C454" s="14"/>
      <c r="D454" s="14"/>
      <c r="E454" s="15"/>
      <c r="F454" s="14"/>
      <c r="G454" s="13" t="str">
        <f t="array" ref="G454">iferror(XLOOKUP(A454,'Download of SFDC Activation Rep'!B:B,'Download of SFDC Activation Rep'!H:H),"")</f>
        <v/>
      </c>
      <c r="H454" s="13" t="str">
        <f t="array" ref="H454">iferror(xlookup(A454,'Download of SFDC Activation Rep'!B:B,'Download of SFDC Activation Rep'!L:L),"")</f>
        <v/>
      </c>
      <c r="I454" s="17" t="str">
        <f t="shared" si="1"/>
        <v>Not Active</v>
      </c>
      <c r="J454" s="17" t="str">
        <f t="array" ref="J454">iferror(XLOOKUP(A454,'Download of SFDC Activation Rep'!B:B,'Download of SFDC Activation Rep'!X:X),"")</f>
        <v/>
      </c>
      <c r="K454" s="17" t="str">
        <f t="array" ref="K454">iferror(XLOOKUP(A454,'Download of SFDC Activation Rep'!B:B,'Download of SFDC Activation Rep'!C:C),"")</f>
        <v/>
      </c>
      <c r="L454" s="18" t="str">
        <f t="array" ref="L454">iferror(XLOOKUP(A454,'Download of SFDC Activation Rep'!B:B,'Download of SFDC Activation Rep'!S:S),"")</f>
        <v/>
      </c>
      <c r="M454" s="24" t="str">
        <f t="array" ref="M454">iferror(XLOOKUP(A454,'Download of SFDC Activation Rep'!B:B,'Download of SFDC Activation Rep'!Z:Z)+150,"")</f>
        <v/>
      </c>
      <c r="N454" s="24" t="str">
        <f t="array" ref="N454">iferror(XLOOKUP(A454,'Download of SFDC Activation Rep'!B:B,'Download of SFDC Activation Rep'!Y:Y),"")</f>
        <v/>
      </c>
    </row>
    <row r="455">
      <c r="B455" s="14"/>
      <c r="C455" s="14"/>
      <c r="D455" s="14"/>
      <c r="E455" s="15"/>
      <c r="F455" s="14"/>
      <c r="G455" s="13" t="str">
        <f t="array" ref="G455">iferror(XLOOKUP(A455,'Download of SFDC Activation Rep'!B:B,'Download of SFDC Activation Rep'!H:H),"")</f>
        <v/>
      </c>
      <c r="H455" s="13" t="str">
        <f t="array" ref="H455">iferror(xlookup(A455,'Download of SFDC Activation Rep'!B:B,'Download of SFDC Activation Rep'!L:L),"")</f>
        <v/>
      </c>
      <c r="I455" s="17" t="str">
        <f t="shared" si="1"/>
        <v>Not Active</v>
      </c>
      <c r="J455" s="17" t="str">
        <f t="array" ref="J455">iferror(XLOOKUP(A455,'Download of SFDC Activation Rep'!B:B,'Download of SFDC Activation Rep'!X:X),"")</f>
        <v/>
      </c>
      <c r="K455" s="17" t="str">
        <f t="array" ref="K455">iferror(XLOOKUP(A455,'Download of SFDC Activation Rep'!B:B,'Download of SFDC Activation Rep'!C:C),"")</f>
        <v/>
      </c>
      <c r="L455" s="18" t="str">
        <f t="array" ref="L455">iferror(XLOOKUP(A455,'Download of SFDC Activation Rep'!B:B,'Download of SFDC Activation Rep'!S:S),"")</f>
        <v/>
      </c>
      <c r="M455" s="24" t="str">
        <f t="array" ref="M455">iferror(XLOOKUP(A455,'Download of SFDC Activation Rep'!B:B,'Download of SFDC Activation Rep'!Z:Z)+150,"")</f>
        <v/>
      </c>
      <c r="N455" s="24" t="str">
        <f t="array" ref="N455">iferror(XLOOKUP(A455,'Download of SFDC Activation Rep'!B:B,'Download of SFDC Activation Rep'!Y:Y),"")</f>
        <v/>
      </c>
    </row>
    <row r="456">
      <c r="B456" s="14"/>
      <c r="C456" s="14"/>
      <c r="D456" s="14"/>
      <c r="E456" s="15"/>
      <c r="F456" s="14"/>
      <c r="G456" s="13" t="str">
        <f t="array" ref="G456">iferror(XLOOKUP(A456,'Download of SFDC Activation Rep'!B:B,'Download of SFDC Activation Rep'!H:H),"")</f>
        <v/>
      </c>
      <c r="H456" s="13" t="str">
        <f t="array" ref="H456">iferror(xlookup(A456,'Download of SFDC Activation Rep'!B:B,'Download of SFDC Activation Rep'!L:L),"")</f>
        <v/>
      </c>
      <c r="I456" s="17" t="str">
        <f t="shared" si="1"/>
        <v>Not Active</v>
      </c>
      <c r="J456" s="17" t="str">
        <f t="array" ref="J456">iferror(XLOOKUP(A456,'Download of SFDC Activation Rep'!B:B,'Download of SFDC Activation Rep'!X:X),"")</f>
        <v/>
      </c>
      <c r="K456" s="17" t="str">
        <f t="array" ref="K456">iferror(XLOOKUP(A456,'Download of SFDC Activation Rep'!B:B,'Download of SFDC Activation Rep'!C:C),"")</f>
        <v/>
      </c>
      <c r="L456" s="18" t="str">
        <f t="array" ref="L456">iferror(XLOOKUP(A456,'Download of SFDC Activation Rep'!B:B,'Download of SFDC Activation Rep'!S:S),"")</f>
        <v/>
      </c>
      <c r="M456" s="24" t="str">
        <f t="array" ref="M456">iferror(XLOOKUP(A456,'Download of SFDC Activation Rep'!B:B,'Download of SFDC Activation Rep'!Z:Z)+150,"")</f>
        <v/>
      </c>
      <c r="N456" s="24" t="str">
        <f t="array" ref="N456">iferror(XLOOKUP(A456,'Download of SFDC Activation Rep'!B:B,'Download of SFDC Activation Rep'!Y:Y),"")</f>
        <v/>
      </c>
    </row>
    <row r="457">
      <c r="B457" s="14"/>
      <c r="C457" s="14"/>
      <c r="D457" s="14"/>
      <c r="E457" s="15"/>
      <c r="F457" s="14"/>
      <c r="G457" s="13" t="str">
        <f t="array" ref="G457">iferror(XLOOKUP(A457,'Download of SFDC Activation Rep'!B:B,'Download of SFDC Activation Rep'!H:H),"")</f>
        <v/>
      </c>
      <c r="H457" s="13" t="str">
        <f t="array" ref="H457">iferror(xlookup(A457,'Download of SFDC Activation Rep'!B:B,'Download of SFDC Activation Rep'!L:L),"")</f>
        <v/>
      </c>
      <c r="I457" s="17" t="str">
        <f t="shared" si="1"/>
        <v>Not Active</v>
      </c>
      <c r="J457" s="17" t="str">
        <f t="array" ref="J457">iferror(XLOOKUP(A457,'Download of SFDC Activation Rep'!B:B,'Download of SFDC Activation Rep'!X:X),"")</f>
        <v/>
      </c>
      <c r="K457" s="17" t="str">
        <f t="array" ref="K457">iferror(XLOOKUP(A457,'Download of SFDC Activation Rep'!B:B,'Download of SFDC Activation Rep'!C:C),"")</f>
        <v/>
      </c>
      <c r="L457" s="18" t="str">
        <f t="array" ref="L457">iferror(XLOOKUP(A457,'Download of SFDC Activation Rep'!B:B,'Download of SFDC Activation Rep'!S:S),"")</f>
        <v/>
      </c>
      <c r="M457" s="24" t="str">
        <f t="array" ref="M457">iferror(XLOOKUP(A457,'Download of SFDC Activation Rep'!B:B,'Download of SFDC Activation Rep'!Z:Z)+150,"")</f>
        <v/>
      </c>
      <c r="N457" s="24" t="str">
        <f t="array" ref="N457">iferror(XLOOKUP(A457,'Download of SFDC Activation Rep'!B:B,'Download of SFDC Activation Rep'!Y:Y),"")</f>
        <v/>
      </c>
    </row>
    <row r="458">
      <c r="B458" s="14"/>
      <c r="C458" s="14"/>
      <c r="D458" s="14"/>
      <c r="E458" s="15"/>
      <c r="F458" s="14"/>
      <c r="G458" s="13" t="str">
        <f t="array" ref="G458">iferror(XLOOKUP(A458,'Download of SFDC Activation Rep'!B:B,'Download of SFDC Activation Rep'!H:H),"")</f>
        <v/>
      </c>
      <c r="H458" s="13" t="str">
        <f t="array" ref="H458">iferror(xlookup(A458,'Download of SFDC Activation Rep'!B:B,'Download of SFDC Activation Rep'!L:L),"")</f>
        <v/>
      </c>
      <c r="I458" s="17" t="str">
        <f t="shared" si="1"/>
        <v>Not Active</v>
      </c>
      <c r="J458" s="17" t="str">
        <f t="array" ref="J458">iferror(XLOOKUP(A458,'Download of SFDC Activation Rep'!B:B,'Download of SFDC Activation Rep'!X:X),"")</f>
        <v/>
      </c>
      <c r="K458" s="17" t="str">
        <f t="array" ref="K458">iferror(XLOOKUP(A458,'Download of SFDC Activation Rep'!B:B,'Download of SFDC Activation Rep'!C:C),"")</f>
        <v/>
      </c>
      <c r="L458" s="18" t="str">
        <f t="array" ref="L458">iferror(XLOOKUP(A458,'Download of SFDC Activation Rep'!B:B,'Download of SFDC Activation Rep'!S:S),"")</f>
        <v/>
      </c>
      <c r="M458" s="24" t="str">
        <f t="array" ref="M458">iferror(XLOOKUP(A458,'Download of SFDC Activation Rep'!B:B,'Download of SFDC Activation Rep'!Z:Z)+150,"")</f>
        <v/>
      </c>
      <c r="N458" s="24" t="str">
        <f t="array" ref="N458">iferror(XLOOKUP(A458,'Download of SFDC Activation Rep'!B:B,'Download of SFDC Activation Rep'!Y:Y),"")</f>
        <v/>
      </c>
    </row>
    <row r="459">
      <c r="B459" s="14"/>
      <c r="C459" s="14"/>
      <c r="D459" s="14"/>
      <c r="E459" s="15"/>
      <c r="F459" s="14"/>
      <c r="G459" s="13" t="str">
        <f t="array" ref="G459">iferror(XLOOKUP(A459,'Download of SFDC Activation Rep'!B:B,'Download of SFDC Activation Rep'!H:H),"")</f>
        <v/>
      </c>
      <c r="H459" s="13" t="str">
        <f t="array" ref="H459">iferror(xlookup(A459,'Download of SFDC Activation Rep'!B:B,'Download of SFDC Activation Rep'!L:L),"")</f>
        <v/>
      </c>
      <c r="I459" s="17" t="str">
        <f t="shared" si="1"/>
        <v>Not Active</v>
      </c>
      <c r="J459" s="17" t="str">
        <f t="array" ref="J459">iferror(XLOOKUP(A459,'Download of SFDC Activation Rep'!B:B,'Download of SFDC Activation Rep'!X:X),"")</f>
        <v/>
      </c>
      <c r="K459" s="17" t="str">
        <f t="array" ref="K459">iferror(XLOOKUP(A459,'Download of SFDC Activation Rep'!B:B,'Download of SFDC Activation Rep'!C:C),"")</f>
        <v/>
      </c>
      <c r="L459" s="18" t="str">
        <f t="array" ref="L459">iferror(XLOOKUP(A459,'Download of SFDC Activation Rep'!B:B,'Download of SFDC Activation Rep'!S:S),"")</f>
        <v/>
      </c>
      <c r="M459" s="24" t="str">
        <f t="array" ref="M459">iferror(XLOOKUP(A459,'Download of SFDC Activation Rep'!B:B,'Download of SFDC Activation Rep'!Z:Z)+150,"")</f>
        <v/>
      </c>
      <c r="N459" s="24" t="str">
        <f t="array" ref="N459">iferror(XLOOKUP(A459,'Download of SFDC Activation Rep'!B:B,'Download of SFDC Activation Rep'!Y:Y),"")</f>
        <v/>
      </c>
    </row>
    <row r="460">
      <c r="B460" s="14"/>
      <c r="C460" s="14"/>
      <c r="D460" s="14"/>
      <c r="E460" s="15"/>
      <c r="F460" s="14"/>
      <c r="G460" s="13" t="str">
        <f t="array" ref="G460">iferror(XLOOKUP(A460,'Download of SFDC Activation Rep'!B:B,'Download of SFDC Activation Rep'!H:H),"")</f>
        <v/>
      </c>
      <c r="H460" s="13" t="str">
        <f t="array" ref="H460">iferror(xlookup(A460,'Download of SFDC Activation Rep'!B:B,'Download of SFDC Activation Rep'!L:L),"")</f>
        <v/>
      </c>
      <c r="I460" s="17" t="str">
        <f t="shared" si="1"/>
        <v>Not Active</v>
      </c>
      <c r="J460" s="17" t="str">
        <f t="array" ref="J460">iferror(XLOOKUP(A460,'Download of SFDC Activation Rep'!B:B,'Download of SFDC Activation Rep'!X:X),"")</f>
        <v/>
      </c>
      <c r="K460" s="17" t="str">
        <f t="array" ref="K460">iferror(XLOOKUP(A460,'Download of SFDC Activation Rep'!B:B,'Download of SFDC Activation Rep'!C:C),"")</f>
        <v/>
      </c>
      <c r="L460" s="18" t="str">
        <f t="array" ref="L460">iferror(XLOOKUP(A460,'Download of SFDC Activation Rep'!B:B,'Download of SFDC Activation Rep'!S:S),"")</f>
        <v/>
      </c>
      <c r="M460" s="24" t="str">
        <f t="array" ref="M460">iferror(XLOOKUP(A460,'Download of SFDC Activation Rep'!B:B,'Download of SFDC Activation Rep'!Z:Z)+150,"")</f>
        <v/>
      </c>
      <c r="N460" s="24" t="str">
        <f t="array" ref="N460">iferror(XLOOKUP(A460,'Download of SFDC Activation Rep'!B:B,'Download of SFDC Activation Rep'!Y:Y),"")</f>
        <v/>
      </c>
    </row>
    <row r="461">
      <c r="B461" s="14"/>
      <c r="C461" s="14"/>
      <c r="D461" s="14"/>
      <c r="E461" s="15"/>
      <c r="F461" s="14"/>
      <c r="G461" s="13" t="str">
        <f t="array" ref="G461">iferror(XLOOKUP(A461,'Download of SFDC Activation Rep'!B:B,'Download of SFDC Activation Rep'!H:H),"")</f>
        <v/>
      </c>
      <c r="H461" s="13" t="str">
        <f t="array" ref="H461">iferror(xlookup(A461,'Download of SFDC Activation Rep'!B:B,'Download of SFDC Activation Rep'!L:L),"")</f>
        <v/>
      </c>
      <c r="I461" s="17" t="str">
        <f t="shared" si="1"/>
        <v>Not Active</v>
      </c>
      <c r="J461" s="17" t="str">
        <f t="array" ref="J461">iferror(XLOOKUP(A461,'Download of SFDC Activation Rep'!B:B,'Download of SFDC Activation Rep'!X:X),"")</f>
        <v/>
      </c>
      <c r="K461" s="17" t="str">
        <f t="array" ref="K461">iferror(XLOOKUP(A461,'Download of SFDC Activation Rep'!B:B,'Download of SFDC Activation Rep'!C:C),"")</f>
        <v/>
      </c>
      <c r="L461" s="18" t="str">
        <f t="array" ref="L461">iferror(XLOOKUP(A461,'Download of SFDC Activation Rep'!B:B,'Download of SFDC Activation Rep'!S:S),"")</f>
        <v/>
      </c>
      <c r="M461" s="24" t="str">
        <f t="array" ref="M461">iferror(XLOOKUP(A461,'Download of SFDC Activation Rep'!B:B,'Download of SFDC Activation Rep'!Z:Z)+150,"")</f>
        <v/>
      </c>
      <c r="N461" s="24" t="str">
        <f t="array" ref="N461">iferror(XLOOKUP(A461,'Download of SFDC Activation Rep'!B:B,'Download of SFDC Activation Rep'!Y:Y),"")</f>
        <v/>
      </c>
    </row>
    <row r="462">
      <c r="B462" s="14"/>
      <c r="C462" s="14"/>
      <c r="D462" s="14"/>
      <c r="E462" s="15"/>
      <c r="F462" s="14"/>
      <c r="G462" s="13" t="str">
        <f t="array" ref="G462">iferror(XLOOKUP(A462,'Download of SFDC Activation Rep'!B:B,'Download of SFDC Activation Rep'!H:H),"")</f>
        <v/>
      </c>
      <c r="H462" s="13" t="str">
        <f t="array" ref="H462">iferror(xlookup(A462,'Download of SFDC Activation Rep'!B:B,'Download of SFDC Activation Rep'!L:L),"")</f>
        <v/>
      </c>
      <c r="I462" s="17" t="str">
        <f t="shared" si="1"/>
        <v>Not Active</v>
      </c>
      <c r="J462" s="17" t="str">
        <f t="array" ref="J462">iferror(XLOOKUP(A462,'Download of SFDC Activation Rep'!B:B,'Download of SFDC Activation Rep'!X:X),"")</f>
        <v/>
      </c>
      <c r="K462" s="17" t="str">
        <f t="array" ref="K462">iferror(XLOOKUP(A462,'Download of SFDC Activation Rep'!B:B,'Download of SFDC Activation Rep'!C:C),"")</f>
        <v/>
      </c>
      <c r="L462" s="18" t="str">
        <f t="array" ref="L462">iferror(XLOOKUP(A462,'Download of SFDC Activation Rep'!B:B,'Download of SFDC Activation Rep'!S:S),"")</f>
        <v/>
      </c>
      <c r="M462" s="24" t="str">
        <f t="array" ref="M462">iferror(XLOOKUP(A462,'Download of SFDC Activation Rep'!B:B,'Download of SFDC Activation Rep'!Z:Z)+150,"")</f>
        <v/>
      </c>
      <c r="N462" s="24" t="str">
        <f t="array" ref="N462">iferror(XLOOKUP(A462,'Download of SFDC Activation Rep'!B:B,'Download of SFDC Activation Rep'!Y:Y),"")</f>
        <v/>
      </c>
    </row>
    <row r="463">
      <c r="B463" s="14"/>
      <c r="C463" s="14"/>
      <c r="D463" s="14"/>
      <c r="E463" s="15"/>
      <c r="F463" s="14"/>
      <c r="G463" s="13" t="str">
        <f t="array" ref="G463">iferror(XLOOKUP(A463,'Download of SFDC Activation Rep'!B:B,'Download of SFDC Activation Rep'!H:H),"")</f>
        <v/>
      </c>
      <c r="H463" s="13" t="str">
        <f t="array" ref="H463">iferror(xlookup(A463,'Download of SFDC Activation Rep'!B:B,'Download of SFDC Activation Rep'!L:L),"")</f>
        <v/>
      </c>
      <c r="I463" s="17" t="str">
        <f t="shared" si="1"/>
        <v>Not Active</v>
      </c>
      <c r="J463" s="17" t="str">
        <f t="array" ref="J463">iferror(XLOOKUP(A463,'Download of SFDC Activation Rep'!B:B,'Download of SFDC Activation Rep'!X:X),"")</f>
        <v/>
      </c>
      <c r="K463" s="17" t="str">
        <f t="array" ref="K463">iferror(XLOOKUP(A463,'Download of SFDC Activation Rep'!B:B,'Download of SFDC Activation Rep'!C:C),"")</f>
        <v/>
      </c>
      <c r="L463" s="18" t="str">
        <f t="array" ref="L463">iferror(XLOOKUP(A463,'Download of SFDC Activation Rep'!B:B,'Download of SFDC Activation Rep'!S:S),"")</f>
        <v/>
      </c>
      <c r="M463" s="24" t="str">
        <f t="array" ref="M463">iferror(XLOOKUP(A463,'Download of SFDC Activation Rep'!B:B,'Download of SFDC Activation Rep'!Z:Z)+150,"")</f>
        <v/>
      </c>
      <c r="N463" s="24" t="str">
        <f t="array" ref="N463">iferror(XLOOKUP(A463,'Download of SFDC Activation Rep'!B:B,'Download of SFDC Activation Rep'!Y:Y),"")</f>
        <v/>
      </c>
    </row>
    <row r="464">
      <c r="B464" s="14"/>
      <c r="C464" s="14"/>
      <c r="D464" s="14"/>
      <c r="E464" s="15"/>
      <c r="F464" s="14"/>
      <c r="G464" s="13" t="str">
        <f t="array" ref="G464">iferror(XLOOKUP(A464,'Download of SFDC Activation Rep'!B:B,'Download of SFDC Activation Rep'!H:H),"")</f>
        <v/>
      </c>
      <c r="H464" s="13" t="str">
        <f t="array" ref="H464">iferror(xlookup(A464,'Download of SFDC Activation Rep'!B:B,'Download of SFDC Activation Rep'!L:L),"")</f>
        <v/>
      </c>
      <c r="I464" s="17" t="str">
        <f t="shared" si="1"/>
        <v>Not Active</v>
      </c>
      <c r="J464" s="17" t="str">
        <f t="array" ref="J464">iferror(XLOOKUP(A464,'Download of SFDC Activation Rep'!B:B,'Download of SFDC Activation Rep'!X:X),"")</f>
        <v/>
      </c>
      <c r="K464" s="17" t="str">
        <f t="array" ref="K464">iferror(XLOOKUP(A464,'Download of SFDC Activation Rep'!B:B,'Download of SFDC Activation Rep'!C:C),"")</f>
        <v/>
      </c>
      <c r="L464" s="18" t="str">
        <f t="array" ref="L464">iferror(XLOOKUP(A464,'Download of SFDC Activation Rep'!B:B,'Download of SFDC Activation Rep'!S:S),"")</f>
        <v/>
      </c>
      <c r="M464" s="24" t="str">
        <f t="array" ref="M464">iferror(XLOOKUP(A464,'Download of SFDC Activation Rep'!B:B,'Download of SFDC Activation Rep'!Z:Z)+150,"")</f>
        <v/>
      </c>
      <c r="N464" s="24" t="str">
        <f t="array" ref="N464">iferror(XLOOKUP(A464,'Download of SFDC Activation Rep'!B:B,'Download of SFDC Activation Rep'!Y:Y),"")</f>
        <v/>
      </c>
    </row>
    <row r="465">
      <c r="B465" s="14"/>
      <c r="C465" s="14"/>
      <c r="D465" s="14"/>
      <c r="E465" s="15"/>
      <c r="F465" s="14"/>
      <c r="G465" s="13" t="str">
        <f t="array" ref="G465">iferror(XLOOKUP(A465,'Download of SFDC Activation Rep'!B:B,'Download of SFDC Activation Rep'!H:H),"")</f>
        <v/>
      </c>
      <c r="H465" s="13" t="str">
        <f t="array" ref="H465">iferror(xlookup(A465,'Download of SFDC Activation Rep'!B:B,'Download of SFDC Activation Rep'!L:L),"")</f>
        <v/>
      </c>
      <c r="I465" s="17" t="str">
        <f t="shared" si="1"/>
        <v>Not Active</v>
      </c>
      <c r="J465" s="17" t="str">
        <f t="array" ref="J465">iferror(XLOOKUP(A465,'Download of SFDC Activation Rep'!B:B,'Download of SFDC Activation Rep'!X:X),"")</f>
        <v/>
      </c>
      <c r="K465" s="17" t="str">
        <f t="array" ref="K465">iferror(XLOOKUP(A465,'Download of SFDC Activation Rep'!B:B,'Download of SFDC Activation Rep'!C:C),"")</f>
        <v/>
      </c>
      <c r="L465" s="18" t="str">
        <f t="array" ref="L465">iferror(XLOOKUP(A465,'Download of SFDC Activation Rep'!B:B,'Download of SFDC Activation Rep'!S:S),"")</f>
        <v/>
      </c>
      <c r="M465" s="24" t="str">
        <f t="array" ref="M465">iferror(XLOOKUP(A465,'Download of SFDC Activation Rep'!B:B,'Download of SFDC Activation Rep'!Z:Z)+150,"")</f>
        <v/>
      </c>
      <c r="N465" s="24" t="str">
        <f t="array" ref="N465">iferror(XLOOKUP(A465,'Download of SFDC Activation Rep'!B:B,'Download of SFDC Activation Rep'!Y:Y),"")</f>
        <v/>
      </c>
    </row>
    <row r="466">
      <c r="B466" s="14"/>
      <c r="C466" s="14"/>
      <c r="D466" s="14"/>
      <c r="E466" s="15"/>
      <c r="F466" s="14"/>
      <c r="G466" s="13" t="str">
        <f t="array" ref="G466">iferror(XLOOKUP(A466,'Download of SFDC Activation Rep'!B:B,'Download of SFDC Activation Rep'!H:H),"")</f>
        <v/>
      </c>
      <c r="H466" s="13" t="str">
        <f t="array" ref="H466">iferror(xlookup(A466,'Download of SFDC Activation Rep'!B:B,'Download of SFDC Activation Rep'!L:L),"")</f>
        <v/>
      </c>
      <c r="I466" s="17" t="str">
        <f t="shared" si="1"/>
        <v>Not Active</v>
      </c>
      <c r="J466" s="17" t="str">
        <f t="array" ref="J466">iferror(XLOOKUP(A466,'Download of SFDC Activation Rep'!B:B,'Download of SFDC Activation Rep'!X:X),"")</f>
        <v/>
      </c>
      <c r="K466" s="17" t="str">
        <f t="array" ref="K466">iferror(XLOOKUP(A466,'Download of SFDC Activation Rep'!B:B,'Download of SFDC Activation Rep'!C:C),"")</f>
        <v/>
      </c>
      <c r="L466" s="18" t="str">
        <f t="array" ref="L466">iferror(XLOOKUP(A466,'Download of SFDC Activation Rep'!B:B,'Download of SFDC Activation Rep'!S:S),"")</f>
        <v/>
      </c>
      <c r="M466" s="24" t="str">
        <f t="array" ref="M466">iferror(XLOOKUP(A466,'Download of SFDC Activation Rep'!B:B,'Download of SFDC Activation Rep'!Z:Z)+150,"")</f>
        <v/>
      </c>
      <c r="N466" s="24" t="str">
        <f t="array" ref="N466">iferror(XLOOKUP(A466,'Download of SFDC Activation Rep'!B:B,'Download of SFDC Activation Rep'!Y:Y),"")</f>
        <v/>
      </c>
    </row>
    <row r="467">
      <c r="B467" s="14"/>
      <c r="C467" s="14"/>
      <c r="D467" s="14"/>
      <c r="E467" s="15"/>
      <c r="F467" s="14"/>
      <c r="G467" s="13" t="str">
        <f t="array" ref="G467">iferror(XLOOKUP(A467,'Download of SFDC Activation Rep'!B:B,'Download of SFDC Activation Rep'!H:H),"")</f>
        <v/>
      </c>
      <c r="H467" s="13" t="str">
        <f t="array" ref="H467">iferror(xlookup(A467,'Download of SFDC Activation Rep'!B:B,'Download of SFDC Activation Rep'!L:L),"")</f>
        <v/>
      </c>
      <c r="I467" s="17" t="str">
        <f t="shared" si="1"/>
        <v>Not Active</v>
      </c>
      <c r="J467" s="17" t="str">
        <f t="array" ref="J467">iferror(XLOOKUP(A467,'Download of SFDC Activation Rep'!B:B,'Download of SFDC Activation Rep'!X:X),"")</f>
        <v/>
      </c>
      <c r="K467" s="17" t="str">
        <f t="array" ref="K467">iferror(XLOOKUP(A467,'Download of SFDC Activation Rep'!B:B,'Download of SFDC Activation Rep'!C:C),"")</f>
        <v/>
      </c>
      <c r="L467" s="18" t="str">
        <f t="array" ref="L467">iferror(XLOOKUP(A467,'Download of SFDC Activation Rep'!B:B,'Download of SFDC Activation Rep'!S:S),"")</f>
        <v/>
      </c>
      <c r="M467" s="24" t="str">
        <f t="array" ref="M467">iferror(XLOOKUP(A467,'Download of SFDC Activation Rep'!B:B,'Download of SFDC Activation Rep'!Z:Z)+150,"")</f>
        <v/>
      </c>
      <c r="N467" s="24" t="str">
        <f t="array" ref="N467">iferror(XLOOKUP(A467,'Download of SFDC Activation Rep'!B:B,'Download of SFDC Activation Rep'!Y:Y),"")</f>
        <v/>
      </c>
    </row>
    <row r="468">
      <c r="B468" s="14"/>
      <c r="C468" s="14"/>
      <c r="D468" s="14"/>
      <c r="E468" s="15"/>
      <c r="F468" s="14"/>
      <c r="G468" s="13" t="str">
        <f t="array" ref="G468">iferror(XLOOKUP(A468,'Download of SFDC Activation Rep'!B:B,'Download of SFDC Activation Rep'!H:H),"")</f>
        <v/>
      </c>
      <c r="H468" s="13" t="str">
        <f t="array" ref="H468">iferror(xlookup(A468,'Download of SFDC Activation Rep'!B:B,'Download of SFDC Activation Rep'!L:L),"")</f>
        <v/>
      </c>
      <c r="I468" s="17" t="str">
        <f t="shared" si="1"/>
        <v>Not Active</v>
      </c>
      <c r="J468" s="17" t="str">
        <f t="array" ref="J468">iferror(XLOOKUP(A468,'Download of SFDC Activation Rep'!B:B,'Download of SFDC Activation Rep'!X:X),"")</f>
        <v/>
      </c>
      <c r="K468" s="17" t="str">
        <f t="array" ref="K468">iferror(XLOOKUP(A468,'Download of SFDC Activation Rep'!B:B,'Download of SFDC Activation Rep'!C:C),"")</f>
        <v/>
      </c>
      <c r="L468" s="18" t="str">
        <f t="array" ref="L468">iferror(XLOOKUP(A468,'Download of SFDC Activation Rep'!B:B,'Download of SFDC Activation Rep'!S:S),"")</f>
        <v/>
      </c>
      <c r="M468" s="24" t="str">
        <f t="array" ref="M468">iferror(XLOOKUP(A468,'Download of SFDC Activation Rep'!B:B,'Download of SFDC Activation Rep'!Z:Z)+150,"")</f>
        <v/>
      </c>
      <c r="N468" s="24" t="str">
        <f t="array" ref="N468">iferror(XLOOKUP(A468,'Download of SFDC Activation Rep'!B:B,'Download of SFDC Activation Rep'!Y:Y),"")</f>
        <v/>
      </c>
    </row>
    <row r="469">
      <c r="B469" s="14"/>
      <c r="C469" s="14"/>
      <c r="D469" s="14"/>
      <c r="E469" s="15"/>
      <c r="F469" s="14"/>
      <c r="G469" s="13" t="str">
        <f t="array" ref="G469">iferror(XLOOKUP(A469,'Download of SFDC Activation Rep'!B:B,'Download of SFDC Activation Rep'!H:H),"")</f>
        <v/>
      </c>
      <c r="H469" s="13" t="str">
        <f t="array" ref="H469">iferror(xlookup(A469,'Download of SFDC Activation Rep'!B:B,'Download of SFDC Activation Rep'!L:L),"")</f>
        <v/>
      </c>
      <c r="I469" s="17" t="str">
        <f t="shared" si="1"/>
        <v>Not Active</v>
      </c>
      <c r="J469" s="17" t="str">
        <f t="array" ref="J469">iferror(XLOOKUP(A469,'Download of SFDC Activation Rep'!B:B,'Download of SFDC Activation Rep'!X:X),"")</f>
        <v/>
      </c>
      <c r="K469" s="17" t="str">
        <f t="array" ref="K469">iferror(XLOOKUP(A469,'Download of SFDC Activation Rep'!B:B,'Download of SFDC Activation Rep'!C:C),"")</f>
        <v/>
      </c>
      <c r="L469" s="18" t="str">
        <f t="array" ref="L469">iferror(XLOOKUP(A469,'Download of SFDC Activation Rep'!B:B,'Download of SFDC Activation Rep'!S:S),"")</f>
        <v/>
      </c>
      <c r="M469" s="24" t="str">
        <f t="array" ref="M469">iferror(XLOOKUP(A469,'Download of SFDC Activation Rep'!B:B,'Download of SFDC Activation Rep'!Z:Z)+150,"")</f>
        <v/>
      </c>
      <c r="N469" s="24" t="str">
        <f t="array" ref="N469">iferror(XLOOKUP(A469,'Download of SFDC Activation Rep'!B:B,'Download of SFDC Activation Rep'!Y:Y),"")</f>
        <v/>
      </c>
    </row>
    <row r="470">
      <c r="B470" s="14"/>
      <c r="C470" s="14"/>
      <c r="D470" s="14"/>
      <c r="E470" s="15"/>
      <c r="F470" s="14"/>
      <c r="G470" s="13" t="str">
        <f t="array" ref="G470">iferror(XLOOKUP(A470,'Download of SFDC Activation Rep'!B:B,'Download of SFDC Activation Rep'!H:H),"")</f>
        <v/>
      </c>
      <c r="H470" s="13" t="str">
        <f t="array" ref="H470">iferror(xlookup(A470,'Download of SFDC Activation Rep'!B:B,'Download of SFDC Activation Rep'!L:L),"")</f>
        <v/>
      </c>
      <c r="I470" s="17" t="str">
        <f t="shared" si="1"/>
        <v>Not Active</v>
      </c>
      <c r="J470" s="17" t="str">
        <f t="array" ref="J470">iferror(XLOOKUP(A470,'Download of SFDC Activation Rep'!B:B,'Download of SFDC Activation Rep'!X:X),"")</f>
        <v/>
      </c>
      <c r="K470" s="17" t="str">
        <f t="array" ref="K470">iferror(XLOOKUP(A470,'Download of SFDC Activation Rep'!B:B,'Download of SFDC Activation Rep'!C:C),"")</f>
        <v/>
      </c>
      <c r="L470" s="18" t="str">
        <f t="array" ref="L470">iferror(XLOOKUP(A470,'Download of SFDC Activation Rep'!B:B,'Download of SFDC Activation Rep'!S:S),"")</f>
        <v/>
      </c>
      <c r="M470" s="24" t="str">
        <f t="array" ref="M470">iferror(XLOOKUP(A470,'Download of SFDC Activation Rep'!B:B,'Download of SFDC Activation Rep'!Z:Z)+150,"")</f>
        <v/>
      </c>
      <c r="N470" s="24" t="str">
        <f t="array" ref="N470">iferror(XLOOKUP(A470,'Download of SFDC Activation Rep'!B:B,'Download of SFDC Activation Rep'!Y:Y),"")</f>
        <v/>
      </c>
    </row>
    <row r="471">
      <c r="B471" s="14"/>
      <c r="C471" s="14"/>
      <c r="D471" s="14"/>
      <c r="E471" s="15"/>
      <c r="F471" s="14"/>
      <c r="G471" s="13" t="str">
        <f t="array" ref="G471">iferror(XLOOKUP(A471,'Download of SFDC Activation Rep'!B:B,'Download of SFDC Activation Rep'!H:H),"")</f>
        <v/>
      </c>
      <c r="H471" s="13" t="str">
        <f t="array" ref="H471">iferror(xlookup(A471,'Download of SFDC Activation Rep'!B:B,'Download of SFDC Activation Rep'!L:L),"")</f>
        <v/>
      </c>
      <c r="I471" s="17" t="str">
        <f t="shared" si="1"/>
        <v>Not Active</v>
      </c>
      <c r="J471" s="17" t="str">
        <f t="array" ref="J471">iferror(XLOOKUP(A471,'Download of SFDC Activation Rep'!B:B,'Download of SFDC Activation Rep'!X:X),"")</f>
        <v/>
      </c>
      <c r="K471" s="17" t="str">
        <f t="array" ref="K471">iferror(XLOOKUP(A471,'Download of SFDC Activation Rep'!B:B,'Download of SFDC Activation Rep'!C:C),"")</f>
        <v/>
      </c>
      <c r="L471" s="18" t="str">
        <f t="array" ref="L471">iferror(XLOOKUP(A471,'Download of SFDC Activation Rep'!B:B,'Download of SFDC Activation Rep'!S:S),"")</f>
        <v/>
      </c>
      <c r="M471" s="24" t="str">
        <f t="array" ref="M471">iferror(XLOOKUP(A471,'Download of SFDC Activation Rep'!B:B,'Download of SFDC Activation Rep'!Z:Z)+150,"")</f>
        <v/>
      </c>
      <c r="N471" s="24" t="str">
        <f t="array" ref="N471">iferror(XLOOKUP(A471,'Download of SFDC Activation Rep'!B:B,'Download of SFDC Activation Rep'!Y:Y),"")</f>
        <v/>
      </c>
    </row>
    <row r="472">
      <c r="B472" s="14"/>
      <c r="C472" s="14"/>
      <c r="D472" s="14"/>
      <c r="E472" s="15"/>
      <c r="F472" s="14"/>
      <c r="G472" s="13" t="str">
        <f t="array" ref="G472">iferror(XLOOKUP(A472,'Download of SFDC Activation Rep'!B:B,'Download of SFDC Activation Rep'!H:H),"")</f>
        <v/>
      </c>
      <c r="H472" s="13" t="str">
        <f t="array" ref="H472">iferror(xlookup(A472,'Download of SFDC Activation Rep'!B:B,'Download of SFDC Activation Rep'!L:L),"")</f>
        <v/>
      </c>
      <c r="I472" s="17" t="str">
        <f t="shared" si="1"/>
        <v>Not Active</v>
      </c>
      <c r="J472" s="17" t="str">
        <f t="array" ref="J472">iferror(XLOOKUP(A472,'Download of SFDC Activation Rep'!B:B,'Download of SFDC Activation Rep'!X:X),"")</f>
        <v/>
      </c>
      <c r="K472" s="17" t="str">
        <f t="array" ref="K472">iferror(XLOOKUP(A472,'Download of SFDC Activation Rep'!B:B,'Download of SFDC Activation Rep'!C:C),"")</f>
        <v/>
      </c>
      <c r="L472" s="18" t="str">
        <f t="array" ref="L472">iferror(XLOOKUP(A472,'Download of SFDC Activation Rep'!B:B,'Download of SFDC Activation Rep'!S:S),"")</f>
        <v/>
      </c>
      <c r="M472" s="24" t="str">
        <f t="array" ref="M472">iferror(XLOOKUP(A472,'Download of SFDC Activation Rep'!B:B,'Download of SFDC Activation Rep'!Z:Z)+150,"")</f>
        <v/>
      </c>
      <c r="N472" s="24" t="str">
        <f t="array" ref="N472">iferror(XLOOKUP(A472,'Download of SFDC Activation Rep'!B:B,'Download of SFDC Activation Rep'!Y:Y),"")</f>
        <v/>
      </c>
    </row>
    <row r="473">
      <c r="B473" s="14"/>
      <c r="C473" s="14"/>
      <c r="D473" s="14"/>
      <c r="E473" s="15"/>
      <c r="F473" s="14"/>
      <c r="G473" s="13" t="str">
        <f t="array" ref="G473">iferror(XLOOKUP(A473,'Download of SFDC Activation Rep'!B:B,'Download of SFDC Activation Rep'!H:H),"")</f>
        <v/>
      </c>
      <c r="H473" s="13" t="str">
        <f t="array" ref="H473">iferror(xlookup(A473,'Download of SFDC Activation Rep'!B:B,'Download of SFDC Activation Rep'!L:L),"")</f>
        <v/>
      </c>
      <c r="I473" s="17" t="str">
        <f t="shared" si="1"/>
        <v>Not Active</v>
      </c>
      <c r="J473" s="17" t="str">
        <f t="array" ref="J473">iferror(XLOOKUP(A473,'Download of SFDC Activation Rep'!B:B,'Download of SFDC Activation Rep'!X:X),"")</f>
        <v/>
      </c>
      <c r="K473" s="17" t="str">
        <f t="array" ref="K473">iferror(XLOOKUP(A473,'Download of SFDC Activation Rep'!B:B,'Download of SFDC Activation Rep'!C:C),"")</f>
        <v/>
      </c>
      <c r="L473" s="18" t="str">
        <f t="array" ref="L473">iferror(XLOOKUP(A473,'Download of SFDC Activation Rep'!B:B,'Download of SFDC Activation Rep'!S:S),"")</f>
        <v/>
      </c>
      <c r="M473" s="24" t="str">
        <f t="array" ref="M473">iferror(XLOOKUP(A473,'Download of SFDC Activation Rep'!B:B,'Download of SFDC Activation Rep'!Z:Z)+150,"")</f>
        <v/>
      </c>
      <c r="N473" s="24" t="str">
        <f t="array" ref="N473">iferror(XLOOKUP(A473,'Download of SFDC Activation Rep'!B:B,'Download of SFDC Activation Rep'!Y:Y),"")</f>
        <v/>
      </c>
    </row>
    <row r="474">
      <c r="B474" s="14"/>
      <c r="C474" s="14"/>
      <c r="D474" s="14"/>
      <c r="E474" s="15"/>
      <c r="F474" s="14"/>
      <c r="G474" s="13" t="str">
        <f t="array" ref="G474">iferror(XLOOKUP(A474,'Download of SFDC Activation Rep'!B:B,'Download of SFDC Activation Rep'!H:H),"")</f>
        <v/>
      </c>
      <c r="H474" s="13" t="str">
        <f t="array" ref="H474">iferror(xlookup(A474,'Download of SFDC Activation Rep'!B:B,'Download of SFDC Activation Rep'!L:L),"")</f>
        <v/>
      </c>
      <c r="I474" s="17" t="str">
        <f t="shared" si="1"/>
        <v>Not Active</v>
      </c>
      <c r="J474" s="17" t="str">
        <f t="array" ref="J474">iferror(XLOOKUP(A474,'Download of SFDC Activation Rep'!B:B,'Download of SFDC Activation Rep'!X:X),"")</f>
        <v/>
      </c>
      <c r="K474" s="17" t="str">
        <f t="array" ref="K474">iferror(XLOOKUP(A474,'Download of SFDC Activation Rep'!B:B,'Download of SFDC Activation Rep'!C:C),"")</f>
        <v/>
      </c>
      <c r="L474" s="18" t="str">
        <f t="array" ref="L474">iferror(XLOOKUP(A474,'Download of SFDC Activation Rep'!B:B,'Download of SFDC Activation Rep'!S:S),"")</f>
        <v/>
      </c>
      <c r="M474" s="24" t="str">
        <f t="array" ref="M474">iferror(XLOOKUP(A474,'Download of SFDC Activation Rep'!B:B,'Download of SFDC Activation Rep'!Z:Z)+150,"")</f>
        <v/>
      </c>
      <c r="N474" s="24" t="str">
        <f t="array" ref="N474">iferror(XLOOKUP(A474,'Download of SFDC Activation Rep'!B:B,'Download of SFDC Activation Rep'!Y:Y),"")</f>
        <v/>
      </c>
    </row>
    <row r="475">
      <c r="B475" s="14"/>
      <c r="C475" s="14"/>
      <c r="D475" s="14"/>
      <c r="E475" s="15"/>
      <c r="F475" s="14"/>
      <c r="G475" s="13" t="str">
        <f t="array" ref="G475">iferror(XLOOKUP(A475,'Download of SFDC Activation Rep'!B:B,'Download of SFDC Activation Rep'!H:H),"")</f>
        <v/>
      </c>
      <c r="H475" s="13" t="str">
        <f t="array" ref="H475">iferror(xlookup(A475,'Download of SFDC Activation Rep'!B:B,'Download of SFDC Activation Rep'!L:L),"")</f>
        <v/>
      </c>
      <c r="I475" s="17" t="str">
        <f t="shared" si="1"/>
        <v>Not Active</v>
      </c>
      <c r="J475" s="17" t="str">
        <f t="array" ref="J475">iferror(XLOOKUP(A475,'Download of SFDC Activation Rep'!B:B,'Download of SFDC Activation Rep'!X:X),"")</f>
        <v/>
      </c>
      <c r="K475" s="17" t="str">
        <f t="array" ref="K475">iferror(XLOOKUP(A475,'Download of SFDC Activation Rep'!B:B,'Download of SFDC Activation Rep'!C:C),"")</f>
        <v/>
      </c>
      <c r="L475" s="18" t="str">
        <f t="array" ref="L475">iferror(XLOOKUP(A475,'Download of SFDC Activation Rep'!B:B,'Download of SFDC Activation Rep'!S:S),"")</f>
        <v/>
      </c>
      <c r="M475" s="24" t="str">
        <f t="array" ref="M475">iferror(XLOOKUP(A475,'Download of SFDC Activation Rep'!B:B,'Download of SFDC Activation Rep'!Z:Z)+150,"")</f>
        <v/>
      </c>
      <c r="N475" s="24" t="str">
        <f t="array" ref="N475">iferror(XLOOKUP(A475,'Download of SFDC Activation Rep'!B:B,'Download of SFDC Activation Rep'!Y:Y),"")</f>
        <v/>
      </c>
    </row>
    <row r="476">
      <c r="B476" s="14"/>
      <c r="C476" s="14"/>
      <c r="D476" s="14"/>
      <c r="E476" s="15"/>
      <c r="F476" s="14"/>
      <c r="G476" s="13" t="str">
        <f t="array" ref="G476">iferror(XLOOKUP(A476,'Download of SFDC Activation Rep'!B:B,'Download of SFDC Activation Rep'!H:H),"")</f>
        <v/>
      </c>
      <c r="H476" s="13" t="str">
        <f t="array" ref="H476">iferror(xlookup(A476,'Download of SFDC Activation Rep'!B:B,'Download of SFDC Activation Rep'!L:L),"")</f>
        <v/>
      </c>
      <c r="I476" s="17" t="str">
        <f t="shared" si="1"/>
        <v>Not Active</v>
      </c>
      <c r="J476" s="17" t="str">
        <f t="array" ref="J476">iferror(XLOOKUP(A476,'Download of SFDC Activation Rep'!B:B,'Download of SFDC Activation Rep'!X:X),"")</f>
        <v/>
      </c>
      <c r="K476" s="17" t="str">
        <f t="array" ref="K476">iferror(XLOOKUP(A476,'Download of SFDC Activation Rep'!B:B,'Download of SFDC Activation Rep'!C:C),"")</f>
        <v/>
      </c>
      <c r="L476" s="18" t="str">
        <f t="array" ref="L476">iferror(XLOOKUP(A476,'Download of SFDC Activation Rep'!B:B,'Download of SFDC Activation Rep'!S:S),"")</f>
        <v/>
      </c>
      <c r="M476" s="24" t="str">
        <f t="array" ref="M476">iferror(XLOOKUP(A476,'Download of SFDC Activation Rep'!B:B,'Download of SFDC Activation Rep'!Z:Z)+150,"")</f>
        <v/>
      </c>
      <c r="N476" s="24" t="str">
        <f t="array" ref="N476">iferror(XLOOKUP(A476,'Download of SFDC Activation Rep'!B:B,'Download of SFDC Activation Rep'!Y:Y),"")</f>
        <v/>
      </c>
    </row>
    <row r="477">
      <c r="B477" s="14"/>
      <c r="C477" s="14"/>
      <c r="D477" s="14"/>
      <c r="E477" s="15"/>
      <c r="F477" s="14"/>
      <c r="G477" s="13" t="str">
        <f t="array" ref="G477">iferror(XLOOKUP(A477,'Download of SFDC Activation Rep'!B:B,'Download of SFDC Activation Rep'!H:H),"")</f>
        <v/>
      </c>
      <c r="H477" s="13" t="str">
        <f t="array" ref="H477">iferror(xlookup(A477,'Download of SFDC Activation Rep'!B:B,'Download of SFDC Activation Rep'!L:L),"")</f>
        <v/>
      </c>
      <c r="I477" s="17" t="str">
        <f t="shared" si="1"/>
        <v>Not Active</v>
      </c>
      <c r="J477" s="17" t="str">
        <f t="array" ref="J477">iferror(XLOOKUP(A477,'Download of SFDC Activation Rep'!B:B,'Download of SFDC Activation Rep'!X:X),"")</f>
        <v/>
      </c>
      <c r="K477" s="17" t="str">
        <f t="array" ref="K477">iferror(XLOOKUP(A477,'Download of SFDC Activation Rep'!B:B,'Download of SFDC Activation Rep'!C:C),"")</f>
        <v/>
      </c>
      <c r="L477" s="18" t="str">
        <f t="array" ref="L477">iferror(XLOOKUP(A477,'Download of SFDC Activation Rep'!B:B,'Download of SFDC Activation Rep'!S:S),"")</f>
        <v/>
      </c>
      <c r="M477" s="24" t="str">
        <f t="array" ref="M477">iferror(XLOOKUP(A477,'Download of SFDC Activation Rep'!B:B,'Download of SFDC Activation Rep'!Z:Z)+150,"")</f>
        <v/>
      </c>
      <c r="N477" s="24" t="str">
        <f t="array" ref="N477">iferror(XLOOKUP(A477,'Download of SFDC Activation Rep'!B:B,'Download of SFDC Activation Rep'!Y:Y),"")</f>
        <v/>
      </c>
    </row>
    <row r="478">
      <c r="B478" s="14"/>
      <c r="C478" s="14"/>
      <c r="D478" s="14"/>
      <c r="E478" s="15"/>
      <c r="F478" s="14"/>
      <c r="G478" s="13" t="str">
        <f t="array" ref="G478">iferror(XLOOKUP(A478,'Download of SFDC Activation Rep'!B:B,'Download of SFDC Activation Rep'!H:H),"")</f>
        <v/>
      </c>
      <c r="H478" s="13" t="str">
        <f t="array" ref="H478">iferror(xlookup(A478,'Download of SFDC Activation Rep'!B:B,'Download of SFDC Activation Rep'!L:L),"")</f>
        <v/>
      </c>
      <c r="I478" s="17" t="str">
        <f t="shared" si="1"/>
        <v>Not Active</v>
      </c>
      <c r="J478" s="17" t="str">
        <f t="array" ref="J478">iferror(XLOOKUP(A478,'Download of SFDC Activation Rep'!B:B,'Download of SFDC Activation Rep'!X:X),"")</f>
        <v/>
      </c>
      <c r="K478" s="17" t="str">
        <f t="array" ref="K478">iferror(XLOOKUP(A478,'Download of SFDC Activation Rep'!B:B,'Download of SFDC Activation Rep'!C:C),"")</f>
        <v/>
      </c>
      <c r="L478" s="18" t="str">
        <f t="array" ref="L478">iferror(XLOOKUP(A478,'Download of SFDC Activation Rep'!B:B,'Download of SFDC Activation Rep'!S:S),"")</f>
        <v/>
      </c>
      <c r="M478" s="24" t="str">
        <f t="array" ref="M478">iferror(XLOOKUP(A478,'Download of SFDC Activation Rep'!B:B,'Download of SFDC Activation Rep'!Z:Z)+150,"")</f>
        <v/>
      </c>
      <c r="N478" s="24" t="str">
        <f t="array" ref="N478">iferror(XLOOKUP(A478,'Download of SFDC Activation Rep'!B:B,'Download of SFDC Activation Rep'!Y:Y),"")</f>
        <v/>
      </c>
    </row>
    <row r="479">
      <c r="B479" s="14"/>
      <c r="C479" s="14"/>
      <c r="D479" s="14"/>
      <c r="E479" s="15"/>
      <c r="F479" s="14"/>
      <c r="G479" s="13" t="str">
        <f t="array" ref="G479">iferror(XLOOKUP(A479,'Download of SFDC Activation Rep'!B:B,'Download of SFDC Activation Rep'!H:H),"")</f>
        <v/>
      </c>
      <c r="H479" s="13" t="str">
        <f t="array" ref="H479">iferror(xlookup(A479,'Download of SFDC Activation Rep'!B:B,'Download of SFDC Activation Rep'!L:L),"")</f>
        <v/>
      </c>
      <c r="I479" s="17" t="str">
        <f t="shared" si="1"/>
        <v>Not Active</v>
      </c>
      <c r="J479" s="17" t="str">
        <f t="array" ref="J479">iferror(XLOOKUP(A479,'Download of SFDC Activation Rep'!B:B,'Download of SFDC Activation Rep'!X:X),"")</f>
        <v/>
      </c>
      <c r="K479" s="17" t="str">
        <f t="array" ref="K479">iferror(XLOOKUP(A479,'Download of SFDC Activation Rep'!B:B,'Download of SFDC Activation Rep'!C:C),"")</f>
        <v/>
      </c>
      <c r="L479" s="18" t="str">
        <f t="array" ref="L479">iferror(XLOOKUP(A479,'Download of SFDC Activation Rep'!B:B,'Download of SFDC Activation Rep'!S:S),"")</f>
        <v/>
      </c>
      <c r="M479" s="24" t="str">
        <f t="array" ref="M479">iferror(XLOOKUP(A479,'Download of SFDC Activation Rep'!B:B,'Download of SFDC Activation Rep'!Z:Z)+150,"")</f>
        <v/>
      </c>
      <c r="N479" s="24" t="str">
        <f t="array" ref="N479">iferror(XLOOKUP(A479,'Download of SFDC Activation Rep'!B:B,'Download of SFDC Activation Rep'!Y:Y),"")</f>
        <v/>
      </c>
    </row>
    <row r="480">
      <c r="B480" s="14"/>
      <c r="C480" s="14"/>
      <c r="D480" s="14"/>
      <c r="E480" s="15"/>
      <c r="F480" s="14"/>
      <c r="G480" s="13" t="str">
        <f t="array" ref="G480">iferror(XLOOKUP(A480,'Download of SFDC Activation Rep'!B:B,'Download of SFDC Activation Rep'!H:H),"")</f>
        <v/>
      </c>
      <c r="H480" s="13" t="str">
        <f t="array" ref="H480">iferror(xlookup(A480,'Download of SFDC Activation Rep'!B:B,'Download of SFDC Activation Rep'!L:L),"")</f>
        <v/>
      </c>
      <c r="I480" s="17" t="str">
        <f t="shared" si="1"/>
        <v>Not Active</v>
      </c>
      <c r="J480" s="17" t="str">
        <f t="array" ref="J480">iferror(XLOOKUP(A480,'Download of SFDC Activation Rep'!B:B,'Download of SFDC Activation Rep'!X:X),"")</f>
        <v/>
      </c>
      <c r="K480" s="17" t="str">
        <f t="array" ref="K480">iferror(XLOOKUP(A480,'Download of SFDC Activation Rep'!B:B,'Download of SFDC Activation Rep'!C:C),"")</f>
        <v/>
      </c>
      <c r="L480" s="18" t="str">
        <f t="array" ref="L480">iferror(XLOOKUP(A480,'Download of SFDC Activation Rep'!B:B,'Download of SFDC Activation Rep'!S:S),"")</f>
        <v/>
      </c>
      <c r="M480" s="24" t="str">
        <f t="array" ref="M480">iferror(XLOOKUP(A480,'Download of SFDC Activation Rep'!B:B,'Download of SFDC Activation Rep'!Z:Z)+150,"")</f>
        <v/>
      </c>
      <c r="N480" s="24" t="str">
        <f t="array" ref="N480">iferror(XLOOKUP(A480,'Download of SFDC Activation Rep'!B:B,'Download of SFDC Activation Rep'!Y:Y),"")</f>
        <v/>
      </c>
    </row>
    <row r="481">
      <c r="B481" s="14"/>
      <c r="C481" s="14"/>
      <c r="D481" s="14"/>
      <c r="E481" s="15"/>
      <c r="F481" s="14"/>
      <c r="G481" s="13" t="str">
        <f t="array" ref="G481">iferror(XLOOKUP(A481,'Download of SFDC Activation Rep'!B:B,'Download of SFDC Activation Rep'!H:H),"")</f>
        <v/>
      </c>
      <c r="H481" s="13" t="str">
        <f t="array" ref="H481">iferror(xlookup(A481,'Download of SFDC Activation Rep'!B:B,'Download of SFDC Activation Rep'!L:L),"")</f>
        <v/>
      </c>
      <c r="I481" s="17" t="str">
        <f t="shared" si="1"/>
        <v>Not Active</v>
      </c>
      <c r="J481" s="17" t="str">
        <f t="array" ref="J481">iferror(XLOOKUP(A481,'Download of SFDC Activation Rep'!B:B,'Download of SFDC Activation Rep'!X:X),"")</f>
        <v/>
      </c>
      <c r="K481" s="17" t="str">
        <f t="array" ref="K481">iferror(XLOOKUP(A481,'Download of SFDC Activation Rep'!B:B,'Download of SFDC Activation Rep'!C:C),"")</f>
        <v/>
      </c>
      <c r="L481" s="18" t="str">
        <f t="array" ref="L481">iferror(XLOOKUP(A481,'Download of SFDC Activation Rep'!B:B,'Download of SFDC Activation Rep'!S:S),"")</f>
        <v/>
      </c>
      <c r="M481" s="24" t="str">
        <f t="array" ref="M481">iferror(XLOOKUP(A481,'Download of SFDC Activation Rep'!B:B,'Download of SFDC Activation Rep'!Z:Z)+150,"")</f>
        <v/>
      </c>
      <c r="N481" s="24" t="str">
        <f t="array" ref="N481">iferror(XLOOKUP(A481,'Download of SFDC Activation Rep'!B:B,'Download of SFDC Activation Rep'!Y:Y),"")</f>
        <v/>
      </c>
    </row>
    <row r="482">
      <c r="B482" s="14"/>
      <c r="C482" s="14"/>
      <c r="D482" s="14"/>
      <c r="E482" s="15"/>
      <c r="F482" s="14"/>
      <c r="G482" s="13" t="str">
        <f t="array" ref="G482">iferror(XLOOKUP(A482,'Download of SFDC Activation Rep'!B:B,'Download of SFDC Activation Rep'!H:H),"")</f>
        <v/>
      </c>
      <c r="H482" s="13" t="str">
        <f t="array" ref="H482">iferror(xlookup(A482,'Download of SFDC Activation Rep'!B:B,'Download of SFDC Activation Rep'!L:L),"")</f>
        <v/>
      </c>
      <c r="I482" s="17" t="str">
        <f t="shared" si="1"/>
        <v>Not Active</v>
      </c>
      <c r="J482" s="17" t="str">
        <f t="array" ref="J482">iferror(XLOOKUP(A482,'Download of SFDC Activation Rep'!B:B,'Download of SFDC Activation Rep'!X:X),"")</f>
        <v/>
      </c>
      <c r="K482" s="17" t="str">
        <f t="array" ref="K482">iferror(XLOOKUP(A482,'Download of SFDC Activation Rep'!B:B,'Download of SFDC Activation Rep'!C:C),"")</f>
        <v/>
      </c>
      <c r="L482" s="18" t="str">
        <f t="array" ref="L482">iferror(XLOOKUP(A482,'Download of SFDC Activation Rep'!B:B,'Download of SFDC Activation Rep'!S:S),"")</f>
        <v/>
      </c>
      <c r="M482" s="24" t="str">
        <f t="array" ref="M482">iferror(XLOOKUP(A482,'Download of SFDC Activation Rep'!B:B,'Download of SFDC Activation Rep'!Z:Z)+150,"")</f>
        <v/>
      </c>
      <c r="N482" s="24" t="str">
        <f t="array" ref="N482">iferror(XLOOKUP(A482,'Download of SFDC Activation Rep'!B:B,'Download of SFDC Activation Rep'!Y:Y),"")</f>
        <v/>
      </c>
    </row>
    <row r="483">
      <c r="B483" s="14"/>
      <c r="C483" s="14"/>
      <c r="D483" s="14"/>
      <c r="E483" s="15"/>
      <c r="F483" s="14"/>
      <c r="G483" s="13" t="str">
        <f t="array" ref="G483">iferror(XLOOKUP(A483,'Download of SFDC Activation Rep'!B:B,'Download of SFDC Activation Rep'!H:H),"")</f>
        <v/>
      </c>
      <c r="H483" s="13" t="str">
        <f t="array" ref="H483">iferror(xlookup(A483,'Download of SFDC Activation Rep'!B:B,'Download of SFDC Activation Rep'!L:L),"")</f>
        <v/>
      </c>
      <c r="I483" s="17" t="str">
        <f t="shared" si="1"/>
        <v>Not Active</v>
      </c>
      <c r="J483" s="17" t="str">
        <f t="array" ref="J483">iferror(XLOOKUP(A483,'Download of SFDC Activation Rep'!B:B,'Download of SFDC Activation Rep'!X:X),"")</f>
        <v/>
      </c>
      <c r="K483" s="17" t="str">
        <f t="array" ref="K483">iferror(XLOOKUP(A483,'Download of SFDC Activation Rep'!B:B,'Download of SFDC Activation Rep'!C:C),"")</f>
        <v/>
      </c>
      <c r="L483" s="18" t="str">
        <f t="array" ref="L483">iferror(XLOOKUP(A483,'Download of SFDC Activation Rep'!B:B,'Download of SFDC Activation Rep'!S:S),"")</f>
        <v/>
      </c>
      <c r="M483" s="24" t="str">
        <f t="array" ref="M483">iferror(XLOOKUP(A483,'Download of SFDC Activation Rep'!B:B,'Download of SFDC Activation Rep'!Z:Z)+150,"")</f>
        <v/>
      </c>
      <c r="N483" s="24" t="str">
        <f t="array" ref="N483">iferror(XLOOKUP(A483,'Download of SFDC Activation Rep'!B:B,'Download of SFDC Activation Rep'!Y:Y),"")</f>
        <v/>
      </c>
    </row>
    <row r="484">
      <c r="B484" s="14"/>
      <c r="C484" s="14"/>
      <c r="D484" s="14"/>
      <c r="E484" s="15"/>
      <c r="F484" s="14"/>
      <c r="G484" s="13" t="str">
        <f t="array" ref="G484">iferror(XLOOKUP(A484,'Download of SFDC Activation Rep'!B:B,'Download of SFDC Activation Rep'!H:H),"")</f>
        <v/>
      </c>
      <c r="H484" s="13" t="str">
        <f t="array" ref="H484">iferror(xlookup(A484,'Download of SFDC Activation Rep'!B:B,'Download of SFDC Activation Rep'!L:L),"")</f>
        <v/>
      </c>
      <c r="I484" s="17" t="str">
        <f t="shared" si="1"/>
        <v>Not Active</v>
      </c>
      <c r="J484" s="17" t="str">
        <f t="array" ref="J484">iferror(XLOOKUP(A484,'Download of SFDC Activation Rep'!B:B,'Download of SFDC Activation Rep'!X:X),"")</f>
        <v/>
      </c>
      <c r="K484" s="17" t="str">
        <f t="array" ref="K484">iferror(XLOOKUP(A484,'Download of SFDC Activation Rep'!B:B,'Download of SFDC Activation Rep'!C:C),"")</f>
        <v/>
      </c>
      <c r="L484" s="18" t="str">
        <f t="array" ref="L484">iferror(XLOOKUP(A484,'Download of SFDC Activation Rep'!B:B,'Download of SFDC Activation Rep'!S:S),"")</f>
        <v/>
      </c>
      <c r="M484" s="24" t="str">
        <f t="array" ref="M484">iferror(XLOOKUP(A484,'Download of SFDC Activation Rep'!B:B,'Download of SFDC Activation Rep'!Z:Z)+150,"")</f>
        <v/>
      </c>
      <c r="N484" s="24" t="str">
        <f t="array" ref="N484">iferror(XLOOKUP(A484,'Download of SFDC Activation Rep'!B:B,'Download of SFDC Activation Rep'!Y:Y),"")</f>
        <v/>
      </c>
    </row>
    <row r="485">
      <c r="B485" s="14"/>
      <c r="C485" s="14"/>
      <c r="D485" s="14"/>
      <c r="E485" s="15"/>
      <c r="F485" s="14"/>
      <c r="G485" s="13" t="str">
        <f t="array" ref="G485">iferror(XLOOKUP(A485,'Download of SFDC Activation Rep'!B:B,'Download of SFDC Activation Rep'!H:H),"")</f>
        <v/>
      </c>
      <c r="H485" s="13" t="str">
        <f t="array" ref="H485">iferror(xlookup(A485,'Download of SFDC Activation Rep'!B:B,'Download of SFDC Activation Rep'!L:L),"")</f>
        <v/>
      </c>
      <c r="I485" s="17" t="str">
        <f t="shared" si="1"/>
        <v>Not Active</v>
      </c>
      <c r="J485" s="17" t="str">
        <f t="array" ref="J485">iferror(XLOOKUP(A485,'Download of SFDC Activation Rep'!B:B,'Download of SFDC Activation Rep'!X:X),"")</f>
        <v/>
      </c>
      <c r="K485" s="17" t="str">
        <f t="array" ref="K485">iferror(XLOOKUP(A485,'Download of SFDC Activation Rep'!B:B,'Download of SFDC Activation Rep'!C:C),"")</f>
        <v/>
      </c>
      <c r="L485" s="18" t="str">
        <f t="array" ref="L485">iferror(XLOOKUP(A485,'Download of SFDC Activation Rep'!B:B,'Download of SFDC Activation Rep'!S:S),"")</f>
        <v/>
      </c>
      <c r="M485" s="24" t="str">
        <f t="array" ref="M485">iferror(XLOOKUP(A485,'Download of SFDC Activation Rep'!B:B,'Download of SFDC Activation Rep'!Z:Z)+150,"")</f>
        <v/>
      </c>
      <c r="N485" s="24" t="str">
        <f t="array" ref="N485">iferror(XLOOKUP(A485,'Download of SFDC Activation Rep'!B:B,'Download of SFDC Activation Rep'!Y:Y),"")</f>
        <v/>
      </c>
    </row>
    <row r="486">
      <c r="B486" s="14"/>
      <c r="C486" s="14"/>
      <c r="D486" s="14"/>
      <c r="E486" s="15"/>
      <c r="F486" s="14"/>
      <c r="G486" s="13" t="str">
        <f t="array" ref="G486">iferror(XLOOKUP(A486,'Download of SFDC Activation Rep'!B:B,'Download of SFDC Activation Rep'!H:H),"")</f>
        <v/>
      </c>
      <c r="H486" s="13" t="str">
        <f t="array" ref="H486">iferror(xlookup(A486,'Download of SFDC Activation Rep'!B:B,'Download of SFDC Activation Rep'!L:L),"")</f>
        <v/>
      </c>
      <c r="I486" s="17" t="str">
        <f t="shared" si="1"/>
        <v>Not Active</v>
      </c>
      <c r="J486" s="17" t="str">
        <f t="array" ref="J486">iferror(XLOOKUP(A486,'Download of SFDC Activation Rep'!B:B,'Download of SFDC Activation Rep'!X:X),"")</f>
        <v/>
      </c>
      <c r="K486" s="17" t="str">
        <f t="array" ref="K486">iferror(XLOOKUP(A486,'Download of SFDC Activation Rep'!B:B,'Download of SFDC Activation Rep'!C:C),"")</f>
        <v/>
      </c>
      <c r="L486" s="18" t="str">
        <f t="array" ref="L486">iferror(XLOOKUP(A486,'Download of SFDC Activation Rep'!B:B,'Download of SFDC Activation Rep'!S:S),"")</f>
        <v/>
      </c>
      <c r="M486" s="24" t="str">
        <f t="array" ref="M486">iferror(XLOOKUP(A486,'Download of SFDC Activation Rep'!B:B,'Download of SFDC Activation Rep'!Z:Z)+150,"")</f>
        <v/>
      </c>
      <c r="N486" s="24" t="str">
        <f t="array" ref="N486">iferror(XLOOKUP(A486,'Download of SFDC Activation Rep'!B:B,'Download of SFDC Activation Rep'!Y:Y),"")</f>
        <v/>
      </c>
    </row>
    <row r="487">
      <c r="B487" s="14"/>
      <c r="C487" s="14"/>
      <c r="D487" s="14"/>
      <c r="E487" s="15"/>
      <c r="F487" s="14"/>
      <c r="G487" s="13" t="str">
        <f t="array" ref="G487">iferror(XLOOKUP(A487,'Download of SFDC Activation Rep'!B:B,'Download of SFDC Activation Rep'!H:H),"")</f>
        <v/>
      </c>
      <c r="H487" s="13" t="str">
        <f t="array" ref="H487">iferror(xlookup(A487,'Download of SFDC Activation Rep'!B:B,'Download of SFDC Activation Rep'!L:L),"")</f>
        <v/>
      </c>
      <c r="I487" s="17" t="str">
        <f t="shared" si="1"/>
        <v>Not Active</v>
      </c>
      <c r="J487" s="17" t="str">
        <f t="array" ref="J487">iferror(XLOOKUP(A487,'Download of SFDC Activation Rep'!B:B,'Download of SFDC Activation Rep'!X:X),"")</f>
        <v/>
      </c>
      <c r="K487" s="17" t="str">
        <f t="array" ref="K487">iferror(XLOOKUP(A487,'Download of SFDC Activation Rep'!B:B,'Download of SFDC Activation Rep'!C:C),"")</f>
        <v/>
      </c>
      <c r="L487" s="18" t="str">
        <f t="array" ref="L487">iferror(XLOOKUP(A487,'Download of SFDC Activation Rep'!B:B,'Download of SFDC Activation Rep'!S:S),"")</f>
        <v/>
      </c>
      <c r="M487" s="24" t="str">
        <f t="array" ref="M487">iferror(XLOOKUP(A487,'Download of SFDC Activation Rep'!B:B,'Download of SFDC Activation Rep'!Z:Z)+150,"")</f>
        <v/>
      </c>
      <c r="N487" s="24" t="str">
        <f t="array" ref="N487">iferror(XLOOKUP(A487,'Download of SFDC Activation Rep'!B:B,'Download of SFDC Activation Rep'!Y:Y),"")</f>
        <v/>
      </c>
    </row>
    <row r="488">
      <c r="B488" s="14"/>
      <c r="C488" s="14"/>
      <c r="D488" s="14"/>
      <c r="E488" s="15"/>
      <c r="F488" s="14"/>
      <c r="G488" s="13" t="str">
        <f t="array" ref="G488">iferror(XLOOKUP(A488,'Download of SFDC Activation Rep'!B:B,'Download of SFDC Activation Rep'!H:H),"")</f>
        <v/>
      </c>
      <c r="H488" s="13" t="str">
        <f t="array" ref="H488">iferror(xlookup(A488,'Download of SFDC Activation Rep'!B:B,'Download of SFDC Activation Rep'!L:L),"")</f>
        <v/>
      </c>
      <c r="I488" s="17" t="str">
        <f t="shared" si="1"/>
        <v>Not Active</v>
      </c>
      <c r="J488" s="17" t="str">
        <f t="array" ref="J488">iferror(XLOOKUP(A488,'Download of SFDC Activation Rep'!B:B,'Download of SFDC Activation Rep'!X:X),"")</f>
        <v/>
      </c>
      <c r="K488" s="17" t="str">
        <f t="array" ref="K488">iferror(XLOOKUP(A488,'Download of SFDC Activation Rep'!B:B,'Download of SFDC Activation Rep'!C:C),"")</f>
        <v/>
      </c>
      <c r="L488" s="18" t="str">
        <f t="array" ref="L488">iferror(XLOOKUP(A488,'Download of SFDC Activation Rep'!B:B,'Download of SFDC Activation Rep'!S:S),"")</f>
        <v/>
      </c>
      <c r="M488" s="24" t="str">
        <f t="array" ref="M488">iferror(XLOOKUP(A488,'Download of SFDC Activation Rep'!B:B,'Download of SFDC Activation Rep'!Z:Z)+150,"")</f>
        <v/>
      </c>
      <c r="N488" s="24" t="str">
        <f t="array" ref="N488">iferror(XLOOKUP(A488,'Download of SFDC Activation Rep'!B:B,'Download of SFDC Activation Rep'!Y:Y),"")</f>
        <v/>
      </c>
    </row>
    <row r="489">
      <c r="B489" s="14"/>
      <c r="C489" s="14"/>
      <c r="D489" s="14"/>
      <c r="E489" s="15"/>
      <c r="F489" s="14"/>
      <c r="G489" s="13" t="str">
        <f t="array" ref="G489">iferror(XLOOKUP(A489,'Download of SFDC Activation Rep'!B:B,'Download of SFDC Activation Rep'!H:H),"")</f>
        <v/>
      </c>
      <c r="H489" s="13" t="str">
        <f t="array" ref="H489">iferror(xlookup(A489,'Download of SFDC Activation Rep'!B:B,'Download of SFDC Activation Rep'!L:L),"")</f>
        <v/>
      </c>
      <c r="I489" s="17" t="str">
        <f t="shared" si="1"/>
        <v>Not Active</v>
      </c>
      <c r="J489" s="17" t="str">
        <f t="array" ref="J489">iferror(XLOOKUP(A489,'Download of SFDC Activation Rep'!B:B,'Download of SFDC Activation Rep'!X:X),"")</f>
        <v/>
      </c>
      <c r="K489" s="17" t="str">
        <f t="array" ref="K489">iferror(XLOOKUP(A489,'Download of SFDC Activation Rep'!B:B,'Download of SFDC Activation Rep'!C:C),"")</f>
        <v/>
      </c>
      <c r="L489" s="18" t="str">
        <f t="array" ref="L489">iferror(XLOOKUP(A489,'Download of SFDC Activation Rep'!B:B,'Download of SFDC Activation Rep'!S:S),"")</f>
        <v/>
      </c>
      <c r="M489" s="24" t="str">
        <f t="array" ref="M489">iferror(XLOOKUP(A489,'Download of SFDC Activation Rep'!B:B,'Download of SFDC Activation Rep'!Z:Z)+150,"")</f>
        <v/>
      </c>
      <c r="N489" s="24" t="str">
        <f t="array" ref="N489">iferror(XLOOKUP(A489,'Download of SFDC Activation Rep'!B:B,'Download of SFDC Activation Rep'!Y:Y),"")</f>
        <v/>
      </c>
    </row>
    <row r="490">
      <c r="B490" s="14"/>
      <c r="C490" s="14"/>
      <c r="D490" s="14"/>
      <c r="E490" s="15"/>
      <c r="F490" s="14"/>
      <c r="G490" s="13" t="str">
        <f t="array" ref="G490">iferror(XLOOKUP(A490,'Download of SFDC Activation Rep'!B:B,'Download of SFDC Activation Rep'!H:H),"")</f>
        <v/>
      </c>
      <c r="H490" s="13" t="str">
        <f t="array" ref="H490">iferror(xlookup(A490,'Download of SFDC Activation Rep'!B:B,'Download of SFDC Activation Rep'!L:L),"")</f>
        <v/>
      </c>
      <c r="I490" s="17" t="str">
        <f t="shared" si="1"/>
        <v>Not Active</v>
      </c>
      <c r="J490" s="17" t="str">
        <f t="array" ref="J490">iferror(XLOOKUP(A490,'Download of SFDC Activation Rep'!B:B,'Download of SFDC Activation Rep'!X:X),"")</f>
        <v/>
      </c>
      <c r="K490" s="17" t="str">
        <f t="array" ref="K490">iferror(XLOOKUP(A490,'Download of SFDC Activation Rep'!B:B,'Download of SFDC Activation Rep'!C:C),"")</f>
        <v/>
      </c>
      <c r="L490" s="18" t="str">
        <f t="array" ref="L490">iferror(XLOOKUP(A490,'Download of SFDC Activation Rep'!B:B,'Download of SFDC Activation Rep'!S:S),"")</f>
        <v/>
      </c>
      <c r="M490" s="24" t="str">
        <f t="array" ref="M490">iferror(XLOOKUP(A490,'Download of SFDC Activation Rep'!B:B,'Download of SFDC Activation Rep'!Z:Z)+150,"")</f>
        <v/>
      </c>
      <c r="N490" s="24" t="str">
        <f t="array" ref="N490">iferror(XLOOKUP(A490,'Download of SFDC Activation Rep'!B:B,'Download of SFDC Activation Rep'!Y:Y),"")</f>
        <v/>
      </c>
    </row>
    <row r="491">
      <c r="B491" s="14"/>
      <c r="C491" s="14"/>
      <c r="D491" s="14"/>
      <c r="E491" s="15"/>
      <c r="F491" s="14"/>
      <c r="G491" s="13" t="str">
        <f t="array" ref="G491">iferror(XLOOKUP(A491,'Download of SFDC Activation Rep'!B:B,'Download of SFDC Activation Rep'!H:H),"")</f>
        <v/>
      </c>
      <c r="H491" s="13" t="str">
        <f t="array" ref="H491">iferror(xlookup(A491,'Download of SFDC Activation Rep'!B:B,'Download of SFDC Activation Rep'!L:L),"")</f>
        <v/>
      </c>
      <c r="I491" s="17" t="str">
        <f t="shared" si="1"/>
        <v>Not Active</v>
      </c>
      <c r="J491" s="17" t="str">
        <f t="array" ref="J491">iferror(XLOOKUP(A491,'Download of SFDC Activation Rep'!B:B,'Download of SFDC Activation Rep'!X:X),"")</f>
        <v/>
      </c>
      <c r="K491" s="17" t="str">
        <f t="array" ref="K491">iferror(XLOOKUP(A491,'Download of SFDC Activation Rep'!B:B,'Download of SFDC Activation Rep'!C:C),"")</f>
        <v/>
      </c>
      <c r="L491" s="18" t="str">
        <f t="array" ref="L491">iferror(XLOOKUP(A491,'Download of SFDC Activation Rep'!B:B,'Download of SFDC Activation Rep'!S:S),"")</f>
        <v/>
      </c>
      <c r="M491" s="24" t="str">
        <f t="array" ref="M491">iferror(XLOOKUP(A491,'Download of SFDC Activation Rep'!B:B,'Download of SFDC Activation Rep'!Z:Z)+150,"")</f>
        <v/>
      </c>
      <c r="N491" s="24" t="str">
        <f t="array" ref="N491">iferror(XLOOKUP(A491,'Download of SFDC Activation Rep'!B:B,'Download of SFDC Activation Rep'!Y:Y),"")</f>
        <v/>
      </c>
    </row>
    <row r="492">
      <c r="B492" s="14"/>
      <c r="C492" s="14"/>
      <c r="D492" s="14"/>
      <c r="E492" s="15"/>
      <c r="F492" s="14"/>
      <c r="G492" s="13" t="str">
        <f t="array" ref="G492">iferror(XLOOKUP(A492,'Download of SFDC Activation Rep'!B:B,'Download of SFDC Activation Rep'!H:H),"")</f>
        <v/>
      </c>
      <c r="H492" s="13" t="str">
        <f t="array" ref="H492">iferror(xlookup(A492,'Download of SFDC Activation Rep'!B:B,'Download of SFDC Activation Rep'!L:L),"")</f>
        <v/>
      </c>
      <c r="I492" s="17" t="str">
        <f t="shared" si="1"/>
        <v>Not Active</v>
      </c>
      <c r="J492" s="17" t="str">
        <f t="array" ref="J492">iferror(XLOOKUP(A492,'Download of SFDC Activation Rep'!B:B,'Download of SFDC Activation Rep'!X:X),"")</f>
        <v/>
      </c>
      <c r="K492" s="17" t="str">
        <f t="array" ref="K492">iferror(XLOOKUP(A492,'Download of SFDC Activation Rep'!B:B,'Download of SFDC Activation Rep'!C:C),"")</f>
        <v/>
      </c>
      <c r="L492" s="18" t="str">
        <f t="array" ref="L492">iferror(XLOOKUP(A492,'Download of SFDC Activation Rep'!B:B,'Download of SFDC Activation Rep'!S:S),"")</f>
        <v/>
      </c>
      <c r="M492" s="24" t="str">
        <f t="array" ref="M492">iferror(XLOOKUP(A492,'Download of SFDC Activation Rep'!B:B,'Download of SFDC Activation Rep'!Z:Z)+150,"")</f>
        <v/>
      </c>
      <c r="N492" s="24" t="str">
        <f t="array" ref="N492">iferror(XLOOKUP(A492,'Download of SFDC Activation Rep'!B:B,'Download of SFDC Activation Rep'!Y:Y),"")</f>
        <v/>
      </c>
    </row>
    <row r="493">
      <c r="B493" s="14"/>
      <c r="C493" s="14"/>
      <c r="D493" s="14"/>
      <c r="E493" s="15"/>
      <c r="F493" s="14"/>
      <c r="G493" s="13" t="str">
        <f t="array" ref="G493">iferror(XLOOKUP(A493,'Download of SFDC Activation Rep'!B:B,'Download of SFDC Activation Rep'!H:H),"")</f>
        <v/>
      </c>
      <c r="H493" s="13" t="str">
        <f t="array" ref="H493">iferror(xlookup(A493,'Download of SFDC Activation Rep'!B:B,'Download of SFDC Activation Rep'!L:L),"")</f>
        <v/>
      </c>
      <c r="I493" s="17" t="str">
        <f t="shared" si="1"/>
        <v>Not Active</v>
      </c>
      <c r="J493" s="17" t="str">
        <f t="array" ref="J493">iferror(XLOOKUP(A493,'Download of SFDC Activation Rep'!B:B,'Download of SFDC Activation Rep'!X:X),"")</f>
        <v/>
      </c>
      <c r="K493" s="17" t="str">
        <f t="array" ref="K493">iferror(XLOOKUP(A493,'Download of SFDC Activation Rep'!B:B,'Download of SFDC Activation Rep'!C:C),"")</f>
        <v/>
      </c>
      <c r="L493" s="18" t="str">
        <f t="array" ref="L493">iferror(XLOOKUP(A493,'Download of SFDC Activation Rep'!B:B,'Download of SFDC Activation Rep'!S:S),"")</f>
        <v/>
      </c>
      <c r="M493" s="24" t="str">
        <f t="array" ref="M493">iferror(XLOOKUP(A493,'Download of SFDC Activation Rep'!B:B,'Download of SFDC Activation Rep'!Z:Z)+150,"")</f>
        <v/>
      </c>
      <c r="N493" s="24" t="str">
        <f t="array" ref="N493">iferror(XLOOKUP(A493,'Download of SFDC Activation Rep'!B:B,'Download of SFDC Activation Rep'!Y:Y),"")</f>
        <v/>
      </c>
    </row>
    <row r="494">
      <c r="B494" s="14"/>
      <c r="C494" s="14"/>
      <c r="D494" s="14"/>
      <c r="E494" s="15"/>
      <c r="F494" s="14"/>
      <c r="G494" s="13" t="str">
        <f t="array" ref="G494">iferror(XLOOKUP(A494,'Download of SFDC Activation Rep'!B:B,'Download of SFDC Activation Rep'!H:H),"")</f>
        <v/>
      </c>
      <c r="H494" s="13" t="str">
        <f t="array" ref="H494">iferror(xlookup(A494,'Download of SFDC Activation Rep'!B:B,'Download of SFDC Activation Rep'!L:L),"")</f>
        <v/>
      </c>
      <c r="I494" s="17" t="str">
        <f t="shared" si="1"/>
        <v>Not Active</v>
      </c>
      <c r="J494" s="17" t="str">
        <f t="array" ref="J494">iferror(XLOOKUP(A494,'Download of SFDC Activation Rep'!B:B,'Download of SFDC Activation Rep'!X:X),"")</f>
        <v/>
      </c>
      <c r="K494" s="17" t="str">
        <f t="array" ref="K494">iferror(XLOOKUP(A494,'Download of SFDC Activation Rep'!B:B,'Download of SFDC Activation Rep'!C:C),"")</f>
        <v/>
      </c>
      <c r="L494" s="18" t="str">
        <f t="array" ref="L494">iferror(XLOOKUP(A494,'Download of SFDC Activation Rep'!B:B,'Download of SFDC Activation Rep'!S:S),"")</f>
        <v/>
      </c>
      <c r="M494" s="24" t="str">
        <f t="array" ref="M494">iferror(XLOOKUP(A494,'Download of SFDC Activation Rep'!B:B,'Download of SFDC Activation Rep'!Z:Z)+150,"")</f>
        <v/>
      </c>
      <c r="N494" s="24" t="str">
        <f t="array" ref="N494">iferror(XLOOKUP(A494,'Download of SFDC Activation Rep'!B:B,'Download of SFDC Activation Rep'!Y:Y),"")</f>
        <v/>
      </c>
    </row>
    <row r="495">
      <c r="B495" s="14"/>
      <c r="C495" s="14"/>
      <c r="D495" s="14"/>
      <c r="E495" s="15"/>
      <c r="F495" s="14"/>
      <c r="G495" s="13" t="str">
        <f t="array" ref="G495">iferror(XLOOKUP(A495,'Download of SFDC Activation Rep'!B:B,'Download of SFDC Activation Rep'!H:H),"")</f>
        <v/>
      </c>
      <c r="H495" s="13" t="str">
        <f t="array" ref="H495">iferror(xlookup(A495,'Download of SFDC Activation Rep'!B:B,'Download of SFDC Activation Rep'!L:L),"")</f>
        <v/>
      </c>
      <c r="I495" s="17" t="str">
        <f t="shared" si="1"/>
        <v>Not Active</v>
      </c>
      <c r="J495" s="17" t="str">
        <f t="array" ref="J495">iferror(XLOOKUP(A495,'Download of SFDC Activation Rep'!B:B,'Download of SFDC Activation Rep'!X:X),"")</f>
        <v/>
      </c>
      <c r="K495" s="17" t="str">
        <f t="array" ref="K495">iferror(XLOOKUP(A495,'Download of SFDC Activation Rep'!B:B,'Download of SFDC Activation Rep'!C:C),"")</f>
        <v/>
      </c>
      <c r="L495" s="18" t="str">
        <f t="array" ref="L495">iferror(XLOOKUP(A495,'Download of SFDC Activation Rep'!B:B,'Download of SFDC Activation Rep'!S:S),"")</f>
        <v/>
      </c>
      <c r="M495" s="24" t="str">
        <f t="array" ref="M495">iferror(XLOOKUP(A495,'Download of SFDC Activation Rep'!B:B,'Download of SFDC Activation Rep'!Z:Z)+150,"")</f>
        <v/>
      </c>
      <c r="N495" s="24" t="str">
        <f t="array" ref="N495">iferror(XLOOKUP(A495,'Download of SFDC Activation Rep'!B:B,'Download of SFDC Activation Rep'!Y:Y),"")</f>
        <v/>
      </c>
    </row>
    <row r="496">
      <c r="B496" s="14"/>
      <c r="C496" s="14"/>
      <c r="D496" s="14"/>
      <c r="E496" s="15"/>
      <c r="F496" s="14"/>
      <c r="G496" s="13" t="str">
        <f t="array" ref="G496">iferror(XLOOKUP(A496,'Download of SFDC Activation Rep'!B:B,'Download of SFDC Activation Rep'!H:H),"")</f>
        <v/>
      </c>
      <c r="H496" s="13" t="str">
        <f t="array" ref="H496">iferror(xlookup(A496,'Download of SFDC Activation Rep'!B:B,'Download of SFDC Activation Rep'!L:L),"")</f>
        <v/>
      </c>
      <c r="I496" s="17" t="str">
        <f t="shared" si="1"/>
        <v>Not Active</v>
      </c>
      <c r="J496" s="17" t="str">
        <f t="array" ref="J496">iferror(XLOOKUP(A496,'Download of SFDC Activation Rep'!B:B,'Download of SFDC Activation Rep'!X:X),"")</f>
        <v/>
      </c>
      <c r="K496" s="17" t="str">
        <f t="array" ref="K496">iferror(XLOOKUP(A496,'Download of SFDC Activation Rep'!B:B,'Download of SFDC Activation Rep'!C:C),"")</f>
        <v/>
      </c>
      <c r="L496" s="18" t="str">
        <f t="array" ref="L496">iferror(XLOOKUP(A496,'Download of SFDC Activation Rep'!B:B,'Download of SFDC Activation Rep'!S:S),"")</f>
        <v/>
      </c>
      <c r="M496" s="24" t="str">
        <f t="array" ref="M496">iferror(XLOOKUP(A496,'Download of SFDC Activation Rep'!B:B,'Download of SFDC Activation Rep'!Z:Z)+150,"")</f>
        <v/>
      </c>
      <c r="N496" s="24" t="str">
        <f t="array" ref="N496">iferror(XLOOKUP(A496,'Download of SFDC Activation Rep'!B:B,'Download of SFDC Activation Rep'!Y:Y),"")</f>
        <v/>
      </c>
    </row>
    <row r="497">
      <c r="B497" s="14"/>
      <c r="C497" s="14"/>
      <c r="D497" s="14"/>
      <c r="E497" s="15"/>
      <c r="F497" s="14"/>
      <c r="G497" s="13" t="str">
        <f t="array" ref="G497">iferror(XLOOKUP(A497,'Download of SFDC Activation Rep'!B:B,'Download of SFDC Activation Rep'!H:H),"")</f>
        <v/>
      </c>
      <c r="H497" s="13" t="str">
        <f t="array" ref="H497">iferror(xlookup(A497,'Download of SFDC Activation Rep'!B:B,'Download of SFDC Activation Rep'!L:L),"")</f>
        <v/>
      </c>
      <c r="I497" s="17" t="str">
        <f t="shared" si="1"/>
        <v>Not Active</v>
      </c>
      <c r="J497" s="17" t="str">
        <f t="array" ref="J497">iferror(XLOOKUP(A497,'Download of SFDC Activation Rep'!B:B,'Download of SFDC Activation Rep'!X:X),"")</f>
        <v/>
      </c>
      <c r="K497" s="17" t="str">
        <f t="array" ref="K497">iferror(XLOOKUP(A497,'Download of SFDC Activation Rep'!B:B,'Download of SFDC Activation Rep'!C:C),"")</f>
        <v/>
      </c>
      <c r="L497" s="18" t="str">
        <f t="array" ref="L497">iferror(XLOOKUP(A497,'Download of SFDC Activation Rep'!B:B,'Download of SFDC Activation Rep'!S:S),"")</f>
        <v/>
      </c>
      <c r="M497" s="24" t="str">
        <f t="array" ref="M497">iferror(XLOOKUP(A497,'Download of SFDC Activation Rep'!B:B,'Download of SFDC Activation Rep'!Z:Z)+150,"")</f>
        <v/>
      </c>
      <c r="N497" s="24" t="str">
        <f t="array" ref="N497">iferror(XLOOKUP(A497,'Download of SFDC Activation Rep'!B:B,'Download of SFDC Activation Rep'!Y:Y),"")</f>
        <v/>
      </c>
    </row>
    <row r="498">
      <c r="B498" s="14"/>
      <c r="C498" s="14"/>
      <c r="D498" s="14"/>
      <c r="E498" s="15"/>
      <c r="F498" s="14"/>
      <c r="G498" s="13" t="str">
        <f t="array" ref="G498">iferror(XLOOKUP(A498,'Download of SFDC Activation Rep'!B:B,'Download of SFDC Activation Rep'!H:H),"")</f>
        <v/>
      </c>
      <c r="H498" s="13" t="str">
        <f t="array" ref="H498">iferror(xlookup(A498,'Download of SFDC Activation Rep'!B:B,'Download of SFDC Activation Rep'!L:L),"")</f>
        <v/>
      </c>
      <c r="I498" s="17" t="str">
        <f t="shared" si="1"/>
        <v>Not Active</v>
      </c>
      <c r="J498" s="17" t="str">
        <f t="array" ref="J498">iferror(XLOOKUP(A498,'Download of SFDC Activation Rep'!B:B,'Download of SFDC Activation Rep'!X:X),"")</f>
        <v/>
      </c>
      <c r="K498" s="17" t="str">
        <f t="array" ref="K498">iferror(XLOOKUP(A498,'Download of SFDC Activation Rep'!B:B,'Download of SFDC Activation Rep'!C:C),"")</f>
        <v/>
      </c>
      <c r="L498" s="18" t="str">
        <f t="array" ref="L498">iferror(XLOOKUP(A498,'Download of SFDC Activation Rep'!B:B,'Download of SFDC Activation Rep'!S:S),"")</f>
        <v/>
      </c>
      <c r="M498" s="24" t="str">
        <f t="array" ref="M498">iferror(XLOOKUP(A498,'Download of SFDC Activation Rep'!B:B,'Download of SFDC Activation Rep'!Z:Z)+150,"")</f>
        <v/>
      </c>
      <c r="N498" s="24" t="str">
        <f t="array" ref="N498">iferror(XLOOKUP(A498,'Download of SFDC Activation Rep'!B:B,'Download of SFDC Activation Rep'!Y:Y),"")</f>
        <v/>
      </c>
    </row>
    <row r="499">
      <c r="B499" s="14"/>
      <c r="C499" s="14"/>
      <c r="D499" s="14"/>
      <c r="E499" s="15"/>
      <c r="F499" s="14"/>
      <c r="G499" s="13" t="str">
        <f t="array" ref="G499">iferror(XLOOKUP(A499,'Download of SFDC Activation Rep'!B:B,'Download of SFDC Activation Rep'!H:H),"")</f>
        <v/>
      </c>
      <c r="H499" s="13" t="str">
        <f t="array" ref="H499">iferror(xlookup(A499,'Download of SFDC Activation Rep'!B:B,'Download of SFDC Activation Rep'!L:L),"")</f>
        <v/>
      </c>
      <c r="I499" s="17" t="str">
        <f t="shared" si="1"/>
        <v>Not Active</v>
      </c>
      <c r="J499" s="17" t="str">
        <f t="array" ref="J499">iferror(XLOOKUP(A499,'Download of SFDC Activation Rep'!B:B,'Download of SFDC Activation Rep'!X:X),"")</f>
        <v/>
      </c>
      <c r="K499" s="17" t="str">
        <f t="array" ref="K499">iferror(XLOOKUP(A499,'Download of SFDC Activation Rep'!B:B,'Download of SFDC Activation Rep'!C:C),"")</f>
        <v/>
      </c>
      <c r="L499" s="18" t="str">
        <f t="array" ref="L499">iferror(XLOOKUP(A499,'Download of SFDC Activation Rep'!B:B,'Download of SFDC Activation Rep'!S:S),"")</f>
        <v/>
      </c>
      <c r="M499" s="24" t="str">
        <f t="array" ref="M499">iferror(XLOOKUP(A499,'Download of SFDC Activation Rep'!B:B,'Download of SFDC Activation Rep'!Z:Z)+150,"")</f>
        <v/>
      </c>
      <c r="N499" s="24" t="str">
        <f t="array" ref="N499">iferror(XLOOKUP(A499,'Download of SFDC Activation Rep'!B:B,'Download of SFDC Activation Rep'!Y:Y),"")</f>
        <v/>
      </c>
    </row>
    <row r="500">
      <c r="B500" s="14"/>
      <c r="C500" s="14"/>
      <c r="D500" s="14"/>
      <c r="E500" s="15"/>
      <c r="F500" s="14"/>
      <c r="G500" s="13" t="str">
        <f t="array" ref="G500">iferror(XLOOKUP(A500,'Download of SFDC Activation Rep'!B:B,'Download of SFDC Activation Rep'!H:H),"")</f>
        <v/>
      </c>
      <c r="H500" s="13" t="str">
        <f t="array" ref="H500">iferror(xlookup(A500,'Download of SFDC Activation Rep'!B:B,'Download of SFDC Activation Rep'!L:L),"")</f>
        <v/>
      </c>
      <c r="I500" s="17" t="str">
        <f t="shared" si="1"/>
        <v>Not Active</v>
      </c>
      <c r="J500" s="17" t="str">
        <f t="array" ref="J500">iferror(XLOOKUP(A500,'Download of SFDC Activation Rep'!B:B,'Download of SFDC Activation Rep'!X:X),"")</f>
        <v/>
      </c>
      <c r="K500" s="17" t="str">
        <f t="array" ref="K500">iferror(XLOOKUP(A500,'Download of SFDC Activation Rep'!B:B,'Download of SFDC Activation Rep'!C:C),"")</f>
        <v/>
      </c>
      <c r="L500" s="18" t="str">
        <f t="array" ref="L500">iferror(XLOOKUP(A500,'Download of SFDC Activation Rep'!B:B,'Download of SFDC Activation Rep'!S:S),"")</f>
        <v/>
      </c>
      <c r="M500" s="24" t="str">
        <f t="array" ref="M500">iferror(XLOOKUP(A500,'Download of SFDC Activation Rep'!B:B,'Download of SFDC Activation Rep'!Z:Z)+150,"")</f>
        <v/>
      </c>
      <c r="N500" s="24" t="str">
        <f t="array" ref="N500">iferror(XLOOKUP(A500,'Download of SFDC Activation Rep'!B:B,'Download of SFDC Activation Rep'!Y:Y),"")</f>
        <v/>
      </c>
    </row>
    <row r="501">
      <c r="B501" s="14"/>
      <c r="C501" s="14"/>
      <c r="D501" s="14"/>
      <c r="E501" s="15"/>
      <c r="F501" s="14"/>
      <c r="G501" s="13" t="str">
        <f t="array" ref="G501">iferror(XLOOKUP(A501,'Download of SFDC Activation Rep'!B:B,'Download of SFDC Activation Rep'!H:H),"")</f>
        <v/>
      </c>
      <c r="H501" s="13" t="str">
        <f t="array" ref="H501">iferror(xlookup(A501,'Download of SFDC Activation Rep'!B:B,'Download of SFDC Activation Rep'!L:L),"")</f>
        <v/>
      </c>
      <c r="I501" s="17" t="str">
        <f t="shared" si="1"/>
        <v>Not Active</v>
      </c>
      <c r="J501" s="17" t="str">
        <f t="array" ref="J501">iferror(XLOOKUP(A501,'Download of SFDC Activation Rep'!B:B,'Download of SFDC Activation Rep'!X:X),"")</f>
        <v/>
      </c>
      <c r="K501" s="17" t="str">
        <f t="array" ref="K501">iferror(XLOOKUP(A501,'Download of SFDC Activation Rep'!B:B,'Download of SFDC Activation Rep'!C:C),"")</f>
        <v/>
      </c>
      <c r="L501" s="18" t="str">
        <f t="array" ref="L501">iferror(XLOOKUP(A501,'Download of SFDC Activation Rep'!B:B,'Download of SFDC Activation Rep'!S:S),"")</f>
        <v/>
      </c>
      <c r="M501" s="24" t="str">
        <f t="array" ref="M501">iferror(XLOOKUP(A501,'Download of SFDC Activation Rep'!B:B,'Download of SFDC Activation Rep'!Z:Z)+150,"")</f>
        <v/>
      </c>
      <c r="N501" s="24" t="str">
        <f t="array" ref="N501">iferror(XLOOKUP(A501,'Download of SFDC Activation Rep'!B:B,'Download of SFDC Activation Rep'!Y:Y),"")</f>
        <v/>
      </c>
    </row>
    <row r="502">
      <c r="B502" s="14"/>
      <c r="C502" s="14"/>
      <c r="D502" s="14"/>
      <c r="E502" s="15"/>
      <c r="F502" s="14"/>
      <c r="G502" s="13" t="str">
        <f t="array" ref="G502">iferror(XLOOKUP(A502,'Download of SFDC Activation Rep'!B:B,'Download of SFDC Activation Rep'!H:H),"")</f>
        <v/>
      </c>
      <c r="H502" s="13" t="str">
        <f t="array" ref="H502">iferror(xlookup(A502,'Download of SFDC Activation Rep'!B:B,'Download of SFDC Activation Rep'!L:L),"")</f>
        <v/>
      </c>
      <c r="I502" s="17" t="str">
        <f t="shared" si="1"/>
        <v>Not Active</v>
      </c>
      <c r="J502" s="17" t="str">
        <f t="array" ref="J502">iferror(XLOOKUP(A502,'Download of SFDC Activation Rep'!B:B,'Download of SFDC Activation Rep'!X:X),"")</f>
        <v/>
      </c>
      <c r="K502" s="17" t="str">
        <f t="array" ref="K502">iferror(XLOOKUP(A502,'Download of SFDC Activation Rep'!B:B,'Download of SFDC Activation Rep'!C:C),"")</f>
        <v/>
      </c>
      <c r="L502" s="18" t="str">
        <f t="array" ref="L502">iferror(XLOOKUP(A502,'Download of SFDC Activation Rep'!B:B,'Download of SFDC Activation Rep'!S:S),"")</f>
        <v/>
      </c>
      <c r="M502" s="24" t="str">
        <f t="array" ref="M502">iferror(XLOOKUP(A502,'Download of SFDC Activation Rep'!B:B,'Download of SFDC Activation Rep'!Z:Z)+150,"")</f>
        <v/>
      </c>
      <c r="N502" s="24" t="str">
        <f t="array" ref="N502">iferror(XLOOKUP(A502,'Download of SFDC Activation Rep'!B:B,'Download of SFDC Activation Rep'!Y:Y),"")</f>
        <v/>
      </c>
    </row>
    <row r="503">
      <c r="B503" s="14"/>
      <c r="C503" s="14"/>
      <c r="D503" s="14"/>
      <c r="E503" s="15"/>
      <c r="F503" s="14"/>
      <c r="G503" s="13" t="str">
        <f t="array" ref="G503">iferror(XLOOKUP(A503,'Download of SFDC Activation Rep'!B:B,'Download of SFDC Activation Rep'!H:H),"")</f>
        <v/>
      </c>
      <c r="H503" s="13" t="str">
        <f t="array" ref="H503">iferror(xlookup(A503,'Download of SFDC Activation Rep'!B:B,'Download of SFDC Activation Rep'!L:L),"")</f>
        <v/>
      </c>
      <c r="I503" s="17" t="str">
        <f t="shared" si="1"/>
        <v>Not Active</v>
      </c>
      <c r="J503" s="17" t="str">
        <f t="array" ref="J503">iferror(XLOOKUP(A503,'Download of SFDC Activation Rep'!B:B,'Download of SFDC Activation Rep'!X:X),"")</f>
        <v/>
      </c>
      <c r="K503" s="17" t="str">
        <f t="array" ref="K503">iferror(XLOOKUP(A503,'Download of SFDC Activation Rep'!B:B,'Download of SFDC Activation Rep'!C:C),"")</f>
        <v/>
      </c>
      <c r="L503" s="18" t="str">
        <f t="array" ref="L503">iferror(XLOOKUP(A503,'Download of SFDC Activation Rep'!B:B,'Download of SFDC Activation Rep'!S:S),"")</f>
        <v/>
      </c>
      <c r="M503" s="24" t="str">
        <f t="array" ref="M503">iferror(XLOOKUP(A503,'Download of SFDC Activation Rep'!B:B,'Download of SFDC Activation Rep'!Z:Z)+150,"")</f>
        <v/>
      </c>
      <c r="N503" s="24" t="str">
        <f t="array" ref="N503">iferror(XLOOKUP(A503,'Download of SFDC Activation Rep'!B:B,'Download of SFDC Activation Rep'!Y:Y),"")</f>
        <v/>
      </c>
    </row>
    <row r="504">
      <c r="B504" s="14"/>
      <c r="C504" s="14"/>
      <c r="D504" s="14"/>
      <c r="E504" s="15"/>
      <c r="F504" s="14"/>
      <c r="G504" s="13" t="str">
        <f t="array" ref="G504">iferror(XLOOKUP(A504,'Download of SFDC Activation Rep'!B:B,'Download of SFDC Activation Rep'!H:H),"")</f>
        <v/>
      </c>
      <c r="H504" s="13" t="str">
        <f t="array" ref="H504">iferror(xlookup(A504,'Download of SFDC Activation Rep'!B:B,'Download of SFDC Activation Rep'!L:L),"")</f>
        <v/>
      </c>
      <c r="I504" s="17" t="str">
        <f t="shared" si="1"/>
        <v>Not Active</v>
      </c>
      <c r="J504" s="17" t="str">
        <f t="array" ref="J504">iferror(XLOOKUP(A504,'Download of SFDC Activation Rep'!B:B,'Download of SFDC Activation Rep'!X:X),"")</f>
        <v/>
      </c>
      <c r="K504" s="17" t="str">
        <f t="array" ref="K504">iferror(XLOOKUP(A504,'Download of SFDC Activation Rep'!B:B,'Download of SFDC Activation Rep'!C:C),"")</f>
        <v/>
      </c>
      <c r="L504" s="18" t="str">
        <f t="array" ref="L504">iferror(XLOOKUP(A504,'Download of SFDC Activation Rep'!B:B,'Download of SFDC Activation Rep'!S:S),"")</f>
        <v/>
      </c>
      <c r="M504" s="24" t="str">
        <f t="array" ref="M504">iferror(XLOOKUP(A504,'Download of SFDC Activation Rep'!B:B,'Download of SFDC Activation Rep'!Z:Z)+150,"")</f>
        <v/>
      </c>
      <c r="N504" s="24" t="str">
        <f t="array" ref="N504">iferror(XLOOKUP(A504,'Download of SFDC Activation Rep'!B:B,'Download of SFDC Activation Rep'!Y:Y),"")</f>
        <v/>
      </c>
    </row>
    <row r="505">
      <c r="B505" s="14"/>
      <c r="C505" s="14"/>
      <c r="D505" s="14"/>
      <c r="E505" s="15"/>
      <c r="F505" s="14"/>
      <c r="G505" s="13" t="str">
        <f t="array" ref="G505">iferror(XLOOKUP(A505,'Download of SFDC Activation Rep'!B:B,'Download of SFDC Activation Rep'!H:H),"")</f>
        <v/>
      </c>
      <c r="H505" s="13" t="str">
        <f t="array" ref="H505">iferror(xlookup(A505,'Download of SFDC Activation Rep'!B:B,'Download of SFDC Activation Rep'!L:L),"")</f>
        <v/>
      </c>
      <c r="I505" s="17" t="str">
        <f t="shared" si="1"/>
        <v>Not Active</v>
      </c>
      <c r="J505" s="17" t="str">
        <f t="array" ref="J505">iferror(XLOOKUP(A505,'Download of SFDC Activation Rep'!B:B,'Download of SFDC Activation Rep'!X:X),"")</f>
        <v/>
      </c>
      <c r="K505" s="17" t="str">
        <f t="array" ref="K505">iferror(XLOOKUP(A505,'Download of SFDC Activation Rep'!B:B,'Download of SFDC Activation Rep'!C:C),"")</f>
        <v/>
      </c>
      <c r="L505" s="18" t="str">
        <f t="array" ref="L505">iferror(XLOOKUP(A505,'Download of SFDC Activation Rep'!B:B,'Download of SFDC Activation Rep'!S:S),"")</f>
        <v/>
      </c>
      <c r="M505" s="24" t="str">
        <f t="array" ref="M505">iferror(XLOOKUP(A505,'Download of SFDC Activation Rep'!B:B,'Download of SFDC Activation Rep'!Z:Z)+150,"")</f>
        <v/>
      </c>
      <c r="N505" s="24" t="str">
        <f t="array" ref="N505">iferror(XLOOKUP(A505,'Download of SFDC Activation Rep'!B:B,'Download of SFDC Activation Rep'!Y:Y),"")</f>
        <v/>
      </c>
    </row>
    <row r="506">
      <c r="B506" s="14"/>
      <c r="C506" s="14"/>
      <c r="D506" s="14"/>
      <c r="E506" s="15"/>
      <c r="F506" s="14"/>
      <c r="G506" s="13" t="str">
        <f t="array" ref="G506">iferror(XLOOKUP(A506,'Download of SFDC Activation Rep'!B:B,'Download of SFDC Activation Rep'!H:H),"")</f>
        <v/>
      </c>
      <c r="H506" s="13" t="str">
        <f t="array" ref="H506">iferror(xlookup(A506,'Download of SFDC Activation Rep'!B:B,'Download of SFDC Activation Rep'!L:L),"")</f>
        <v/>
      </c>
      <c r="I506" s="17" t="str">
        <f t="shared" si="1"/>
        <v>Not Active</v>
      </c>
      <c r="J506" s="17" t="str">
        <f t="array" ref="J506">iferror(XLOOKUP(A506,'Download of SFDC Activation Rep'!B:B,'Download of SFDC Activation Rep'!X:X),"")</f>
        <v/>
      </c>
      <c r="K506" s="17" t="str">
        <f t="array" ref="K506">iferror(XLOOKUP(A506,'Download of SFDC Activation Rep'!B:B,'Download of SFDC Activation Rep'!C:C),"")</f>
        <v/>
      </c>
      <c r="L506" s="18" t="str">
        <f t="array" ref="L506">iferror(XLOOKUP(A506,'Download of SFDC Activation Rep'!B:B,'Download of SFDC Activation Rep'!S:S),"")</f>
        <v/>
      </c>
      <c r="M506" s="24" t="str">
        <f t="array" ref="M506">iferror(XLOOKUP(A506,'Download of SFDC Activation Rep'!B:B,'Download of SFDC Activation Rep'!Z:Z)+150,"")</f>
        <v/>
      </c>
      <c r="N506" s="24" t="str">
        <f t="array" ref="N506">iferror(XLOOKUP(A506,'Download of SFDC Activation Rep'!B:B,'Download of SFDC Activation Rep'!Y:Y),"")</f>
        <v/>
      </c>
    </row>
    <row r="507">
      <c r="B507" s="14"/>
      <c r="C507" s="14"/>
      <c r="D507" s="14"/>
      <c r="E507" s="15"/>
      <c r="F507" s="14"/>
      <c r="G507" s="13" t="str">
        <f t="array" ref="G507">iferror(XLOOKUP(A507,'Download of SFDC Activation Rep'!B:B,'Download of SFDC Activation Rep'!H:H),"")</f>
        <v/>
      </c>
      <c r="H507" s="13" t="str">
        <f t="array" ref="H507">iferror(xlookup(A507,'Download of SFDC Activation Rep'!B:B,'Download of SFDC Activation Rep'!L:L),"")</f>
        <v/>
      </c>
      <c r="I507" s="17" t="str">
        <f t="shared" si="1"/>
        <v>Not Active</v>
      </c>
      <c r="J507" s="17" t="str">
        <f t="array" ref="J507">iferror(XLOOKUP(A507,'Download of SFDC Activation Rep'!B:B,'Download of SFDC Activation Rep'!X:X),"")</f>
        <v/>
      </c>
      <c r="K507" s="17" t="str">
        <f t="array" ref="K507">iferror(XLOOKUP(A507,'Download of SFDC Activation Rep'!B:B,'Download of SFDC Activation Rep'!C:C),"")</f>
        <v/>
      </c>
      <c r="L507" s="18" t="str">
        <f t="array" ref="L507">iferror(XLOOKUP(A507,'Download of SFDC Activation Rep'!B:B,'Download of SFDC Activation Rep'!S:S),"")</f>
        <v/>
      </c>
      <c r="M507" s="24" t="str">
        <f t="array" ref="M507">iferror(XLOOKUP(A507,'Download of SFDC Activation Rep'!B:B,'Download of SFDC Activation Rep'!Z:Z)+150,"")</f>
        <v/>
      </c>
      <c r="N507" s="24" t="str">
        <f t="array" ref="N507">iferror(XLOOKUP(A507,'Download of SFDC Activation Rep'!B:B,'Download of SFDC Activation Rep'!Y:Y),"")</f>
        <v/>
      </c>
    </row>
    <row r="508">
      <c r="B508" s="14"/>
      <c r="C508" s="14"/>
      <c r="D508" s="14"/>
      <c r="E508" s="15"/>
      <c r="F508" s="14"/>
      <c r="G508" s="13" t="str">
        <f t="array" ref="G508">iferror(XLOOKUP(A508,'Download of SFDC Activation Rep'!B:B,'Download of SFDC Activation Rep'!H:H),"")</f>
        <v/>
      </c>
      <c r="H508" s="13" t="str">
        <f t="array" ref="H508">iferror(xlookup(A508,'Download of SFDC Activation Rep'!B:B,'Download of SFDC Activation Rep'!L:L),"")</f>
        <v/>
      </c>
      <c r="I508" s="17" t="str">
        <f t="shared" si="1"/>
        <v>Not Active</v>
      </c>
      <c r="J508" s="17" t="str">
        <f t="array" ref="J508">iferror(XLOOKUP(A508,'Download of SFDC Activation Rep'!B:B,'Download of SFDC Activation Rep'!X:X),"")</f>
        <v/>
      </c>
      <c r="K508" s="17" t="str">
        <f t="array" ref="K508">iferror(XLOOKUP(A508,'Download of SFDC Activation Rep'!B:B,'Download of SFDC Activation Rep'!C:C),"")</f>
        <v/>
      </c>
      <c r="L508" s="18" t="str">
        <f t="array" ref="L508">iferror(XLOOKUP(A508,'Download of SFDC Activation Rep'!B:B,'Download of SFDC Activation Rep'!S:S),"")</f>
        <v/>
      </c>
      <c r="M508" s="24" t="str">
        <f t="array" ref="M508">iferror(XLOOKUP(A508,'Download of SFDC Activation Rep'!B:B,'Download of SFDC Activation Rep'!Z:Z)+150,"")</f>
        <v/>
      </c>
      <c r="N508" s="24" t="str">
        <f t="array" ref="N508">iferror(XLOOKUP(A508,'Download of SFDC Activation Rep'!B:B,'Download of SFDC Activation Rep'!Y:Y),"")</f>
        <v/>
      </c>
    </row>
    <row r="509">
      <c r="B509" s="14"/>
      <c r="C509" s="14"/>
      <c r="D509" s="14"/>
      <c r="E509" s="15"/>
      <c r="F509" s="14"/>
      <c r="G509" s="13" t="str">
        <f t="array" ref="G509">iferror(XLOOKUP(A509,'Download of SFDC Activation Rep'!B:B,'Download of SFDC Activation Rep'!H:H),"")</f>
        <v/>
      </c>
      <c r="H509" s="13" t="str">
        <f t="array" ref="H509">iferror(xlookup(A509,'Download of SFDC Activation Rep'!B:B,'Download of SFDC Activation Rep'!L:L),"")</f>
        <v/>
      </c>
      <c r="I509" s="17" t="str">
        <f t="shared" si="1"/>
        <v>Not Active</v>
      </c>
      <c r="J509" s="17" t="str">
        <f t="array" ref="J509">iferror(XLOOKUP(A509,'Download of SFDC Activation Rep'!B:B,'Download of SFDC Activation Rep'!X:X),"")</f>
        <v/>
      </c>
      <c r="K509" s="17" t="str">
        <f t="array" ref="K509">iferror(XLOOKUP(A509,'Download of SFDC Activation Rep'!B:B,'Download of SFDC Activation Rep'!C:C),"")</f>
        <v/>
      </c>
      <c r="L509" s="18" t="str">
        <f t="array" ref="L509">iferror(XLOOKUP(A509,'Download of SFDC Activation Rep'!B:B,'Download of SFDC Activation Rep'!S:S),"")</f>
        <v/>
      </c>
      <c r="M509" s="24" t="str">
        <f t="array" ref="M509">iferror(XLOOKUP(A509,'Download of SFDC Activation Rep'!B:B,'Download of SFDC Activation Rep'!Z:Z)+150,"")</f>
        <v/>
      </c>
      <c r="N509" s="24" t="str">
        <f t="array" ref="N509">iferror(XLOOKUP(A509,'Download of SFDC Activation Rep'!B:B,'Download of SFDC Activation Rep'!Y:Y),"")</f>
        <v/>
      </c>
    </row>
    <row r="510">
      <c r="B510" s="14"/>
      <c r="C510" s="14"/>
      <c r="D510" s="14"/>
      <c r="E510" s="15"/>
      <c r="F510" s="14"/>
      <c r="G510" s="13" t="str">
        <f t="array" ref="G510">iferror(XLOOKUP(A510,'Download of SFDC Activation Rep'!B:B,'Download of SFDC Activation Rep'!H:H),"")</f>
        <v/>
      </c>
      <c r="H510" s="13" t="str">
        <f t="array" ref="H510">iferror(xlookup(A510,'Download of SFDC Activation Rep'!B:B,'Download of SFDC Activation Rep'!L:L),"")</f>
        <v/>
      </c>
      <c r="I510" s="17" t="str">
        <f t="shared" si="1"/>
        <v>Not Active</v>
      </c>
      <c r="J510" s="17" t="str">
        <f t="array" ref="J510">iferror(XLOOKUP(A510,'Download of SFDC Activation Rep'!B:B,'Download of SFDC Activation Rep'!X:X),"")</f>
        <v/>
      </c>
      <c r="K510" s="17" t="str">
        <f t="array" ref="K510">iferror(XLOOKUP(A510,'Download of SFDC Activation Rep'!B:B,'Download of SFDC Activation Rep'!C:C),"")</f>
        <v/>
      </c>
      <c r="L510" s="18" t="str">
        <f t="array" ref="L510">iferror(XLOOKUP(A510,'Download of SFDC Activation Rep'!B:B,'Download of SFDC Activation Rep'!S:S),"")</f>
        <v/>
      </c>
      <c r="M510" s="24" t="str">
        <f t="array" ref="M510">iferror(XLOOKUP(A510,'Download of SFDC Activation Rep'!B:B,'Download of SFDC Activation Rep'!Z:Z)+150,"")</f>
        <v/>
      </c>
      <c r="N510" s="24" t="str">
        <f t="array" ref="N510">iferror(XLOOKUP(A510,'Download of SFDC Activation Rep'!B:B,'Download of SFDC Activation Rep'!Y:Y),"")</f>
        <v/>
      </c>
    </row>
    <row r="511">
      <c r="B511" s="14"/>
      <c r="C511" s="14"/>
      <c r="D511" s="14"/>
      <c r="E511" s="15"/>
      <c r="F511" s="14"/>
      <c r="G511" s="13" t="str">
        <f t="array" ref="G511">iferror(XLOOKUP(A511,'Download of SFDC Activation Rep'!B:B,'Download of SFDC Activation Rep'!H:H),"")</f>
        <v/>
      </c>
      <c r="H511" s="13" t="str">
        <f t="array" ref="H511">iferror(xlookup(A511,'Download of SFDC Activation Rep'!B:B,'Download of SFDC Activation Rep'!L:L),"")</f>
        <v/>
      </c>
      <c r="I511" s="17" t="str">
        <f t="shared" si="1"/>
        <v>Not Active</v>
      </c>
      <c r="J511" s="17" t="str">
        <f t="array" ref="J511">iferror(XLOOKUP(A511,'Download of SFDC Activation Rep'!B:B,'Download of SFDC Activation Rep'!X:X),"")</f>
        <v/>
      </c>
      <c r="K511" s="17" t="str">
        <f t="array" ref="K511">iferror(XLOOKUP(A511,'Download of SFDC Activation Rep'!B:B,'Download of SFDC Activation Rep'!C:C),"")</f>
        <v/>
      </c>
      <c r="L511" s="18" t="str">
        <f t="array" ref="L511">iferror(XLOOKUP(A511,'Download of SFDC Activation Rep'!B:B,'Download of SFDC Activation Rep'!S:S),"")</f>
        <v/>
      </c>
      <c r="M511" s="24" t="str">
        <f t="array" ref="M511">iferror(XLOOKUP(A511,'Download of SFDC Activation Rep'!B:B,'Download of SFDC Activation Rep'!Z:Z)+150,"")</f>
        <v/>
      </c>
      <c r="N511" s="24" t="str">
        <f t="array" ref="N511">iferror(XLOOKUP(A511,'Download of SFDC Activation Rep'!B:B,'Download of SFDC Activation Rep'!Y:Y),"")</f>
        <v/>
      </c>
    </row>
    <row r="512">
      <c r="B512" s="14"/>
      <c r="C512" s="14"/>
      <c r="D512" s="14"/>
      <c r="E512" s="15"/>
      <c r="F512" s="14"/>
      <c r="G512" s="13" t="str">
        <f t="array" ref="G512">iferror(XLOOKUP(A512,'Download of SFDC Activation Rep'!B:B,'Download of SFDC Activation Rep'!H:H),"")</f>
        <v/>
      </c>
      <c r="H512" s="13" t="str">
        <f t="array" ref="H512">iferror(xlookup(A512,'Download of SFDC Activation Rep'!B:B,'Download of SFDC Activation Rep'!L:L),"")</f>
        <v/>
      </c>
      <c r="I512" s="17" t="str">
        <f t="shared" si="1"/>
        <v>Not Active</v>
      </c>
      <c r="J512" s="17" t="str">
        <f t="array" ref="J512">iferror(XLOOKUP(A512,'Download of SFDC Activation Rep'!B:B,'Download of SFDC Activation Rep'!X:X),"")</f>
        <v/>
      </c>
      <c r="K512" s="17" t="str">
        <f t="array" ref="K512">iferror(XLOOKUP(A512,'Download of SFDC Activation Rep'!B:B,'Download of SFDC Activation Rep'!C:C),"")</f>
        <v/>
      </c>
      <c r="L512" s="18" t="str">
        <f t="array" ref="L512">iferror(XLOOKUP(A512,'Download of SFDC Activation Rep'!B:B,'Download of SFDC Activation Rep'!S:S),"")</f>
        <v/>
      </c>
      <c r="M512" s="24" t="str">
        <f t="array" ref="M512">iferror(XLOOKUP(A512,'Download of SFDC Activation Rep'!B:B,'Download of SFDC Activation Rep'!Z:Z)+150,"")</f>
        <v/>
      </c>
      <c r="N512" s="24" t="str">
        <f t="array" ref="N512">iferror(XLOOKUP(A512,'Download of SFDC Activation Rep'!B:B,'Download of SFDC Activation Rep'!Y:Y),"")</f>
        <v/>
      </c>
    </row>
    <row r="513">
      <c r="B513" s="14"/>
      <c r="C513" s="14"/>
      <c r="D513" s="14"/>
      <c r="E513" s="15"/>
      <c r="F513" s="14"/>
      <c r="G513" s="13" t="str">
        <f t="array" ref="G513">iferror(XLOOKUP(A513,'Download of SFDC Activation Rep'!B:B,'Download of SFDC Activation Rep'!H:H),"")</f>
        <v/>
      </c>
      <c r="H513" s="13" t="str">
        <f t="array" ref="H513">iferror(xlookup(A513,'Download of SFDC Activation Rep'!B:B,'Download of SFDC Activation Rep'!L:L),"")</f>
        <v/>
      </c>
      <c r="I513" s="17" t="str">
        <f t="shared" si="1"/>
        <v>Not Active</v>
      </c>
      <c r="J513" s="17" t="str">
        <f t="array" ref="J513">iferror(XLOOKUP(A513,'Download of SFDC Activation Rep'!B:B,'Download of SFDC Activation Rep'!X:X),"")</f>
        <v/>
      </c>
      <c r="K513" s="17" t="str">
        <f t="array" ref="K513">iferror(XLOOKUP(A513,'Download of SFDC Activation Rep'!B:B,'Download of SFDC Activation Rep'!C:C),"")</f>
        <v/>
      </c>
      <c r="L513" s="18" t="str">
        <f t="array" ref="L513">iferror(XLOOKUP(A513,'Download of SFDC Activation Rep'!B:B,'Download of SFDC Activation Rep'!S:S),"")</f>
        <v/>
      </c>
      <c r="M513" s="24" t="str">
        <f t="array" ref="M513">iferror(XLOOKUP(A513,'Download of SFDC Activation Rep'!B:B,'Download of SFDC Activation Rep'!Z:Z)+150,"")</f>
        <v/>
      </c>
      <c r="N513" s="24" t="str">
        <f t="array" ref="N513">iferror(XLOOKUP(A513,'Download of SFDC Activation Rep'!B:B,'Download of SFDC Activation Rep'!Y:Y),"")</f>
        <v/>
      </c>
    </row>
    <row r="514">
      <c r="B514" s="14"/>
      <c r="C514" s="14"/>
      <c r="D514" s="14"/>
      <c r="E514" s="15"/>
      <c r="F514" s="14"/>
      <c r="G514" s="13" t="str">
        <f t="array" ref="G514">iferror(XLOOKUP(A514,'Download of SFDC Activation Rep'!B:B,'Download of SFDC Activation Rep'!H:H),"")</f>
        <v/>
      </c>
      <c r="H514" s="13" t="str">
        <f t="array" ref="H514">iferror(xlookup(A514,'Download of SFDC Activation Rep'!B:B,'Download of SFDC Activation Rep'!L:L),"")</f>
        <v/>
      </c>
      <c r="I514" s="17" t="str">
        <f t="shared" si="1"/>
        <v>Not Active</v>
      </c>
      <c r="J514" s="17" t="str">
        <f t="array" ref="J514">iferror(XLOOKUP(A514,'Download of SFDC Activation Rep'!B:B,'Download of SFDC Activation Rep'!X:X),"")</f>
        <v/>
      </c>
      <c r="K514" s="17" t="str">
        <f t="array" ref="K514">iferror(XLOOKUP(A514,'Download of SFDC Activation Rep'!B:B,'Download of SFDC Activation Rep'!C:C),"")</f>
        <v/>
      </c>
      <c r="L514" s="18" t="str">
        <f t="array" ref="L514">iferror(XLOOKUP(A514,'Download of SFDC Activation Rep'!B:B,'Download of SFDC Activation Rep'!S:S),"")</f>
        <v/>
      </c>
      <c r="M514" s="24" t="str">
        <f t="array" ref="M514">iferror(XLOOKUP(A514,'Download of SFDC Activation Rep'!B:B,'Download of SFDC Activation Rep'!Z:Z)+150,"")</f>
        <v/>
      </c>
      <c r="N514" s="24" t="str">
        <f t="array" ref="N514">iferror(XLOOKUP(A514,'Download of SFDC Activation Rep'!B:B,'Download of SFDC Activation Rep'!Y:Y),"")</f>
        <v/>
      </c>
    </row>
    <row r="515">
      <c r="B515" s="14"/>
      <c r="C515" s="14"/>
      <c r="D515" s="14"/>
      <c r="E515" s="15"/>
      <c r="F515" s="14"/>
      <c r="G515" s="13" t="str">
        <f t="array" ref="G515">iferror(XLOOKUP(A515,'Download of SFDC Activation Rep'!B:B,'Download of SFDC Activation Rep'!H:H),"")</f>
        <v/>
      </c>
      <c r="H515" s="13" t="str">
        <f t="array" ref="H515">iferror(xlookup(A515,'Download of SFDC Activation Rep'!B:B,'Download of SFDC Activation Rep'!L:L),"")</f>
        <v/>
      </c>
      <c r="I515" s="17" t="str">
        <f t="shared" si="1"/>
        <v>Not Active</v>
      </c>
      <c r="J515" s="17" t="str">
        <f t="array" ref="J515">iferror(XLOOKUP(A515,'Download of SFDC Activation Rep'!B:B,'Download of SFDC Activation Rep'!X:X),"")</f>
        <v/>
      </c>
      <c r="K515" s="17" t="str">
        <f t="array" ref="K515">iferror(XLOOKUP(A515,'Download of SFDC Activation Rep'!B:B,'Download of SFDC Activation Rep'!C:C),"")</f>
        <v/>
      </c>
      <c r="L515" s="18" t="str">
        <f t="array" ref="L515">iferror(XLOOKUP(A515,'Download of SFDC Activation Rep'!B:B,'Download of SFDC Activation Rep'!S:S),"")</f>
        <v/>
      </c>
      <c r="M515" s="24" t="str">
        <f t="array" ref="M515">iferror(XLOOKUP(A515,'Download of SFDC Activation Rep'!B:B,'Download of SFDC Activation Rep'!Z:Z)+150,"")</f>
        <v/>
      </c>
      <c r="N515" s="24" t="str">
        <f t="array" ref="N515">iferror(XLOOKUP(A515,'Download of SFDC Activation Rep'!B:B,'Download of SFDC Activation Rep'!Y:Y),"")</f>
        <v/>
      </c>
    </row>
    <row r="516">
      <c r="B516" s="14"/>
      <c r="C516" s="14"/>
      <c r="D516" s="14"/>
      <c r="E516" s="15"/>
      <c r="F516" s="14"/>
      <c r="G516" s="13" t="str">
        <f t="array" ref="G516">iferror(XLOOKUP(A516,'Download of SFDC Activation Rep'!B:B,'Download of SFDC Activation Rep'!H:H),"")</f>
        <v/>
      </c>
      <c r="H516" s="13" t="str">
        <f t="array" ref="H516">iferror(xlookup(A516,'Download of SFDC Activation Rep'!B:B,'Download of SFDC Activation Rep'!L:L),"")</f>
        <v/>
      </c>
      <c r="I516" s="17" t="str">
        <f t="shared" si="1"/>
        <v>Not Active</v>
      </c>
      <c r="J516" s="17" t="str">
        <f t="array" ref="J516">iferror(XLOOKUP(A516,'Download of SFDC Activation Rep'!B:B,'Download of SFDC Activation Rep'!X:X),"")</f>
        <v/>
      </c>
      <c r="K516" s="17" t="str">
        <f t="array" ref="K516">iferror(XLOOKUP(A516,'Download of SFDC Activation Rep'!B:B,'Download of SFDC Activation Rep'!C:C),"")</f>
        <v/>
      </c>
      <c r="L516" s="18" t="str">
        <f t="array" ref="L516">iferror(XLOOKUP(A516,'Download of SFDC Activation Rep'!B:B,'Download of SFDC Activation Rep'!S:S),"")</f>
        <v/>
      </c>
      <c r="M516" s="24" t="str">
        <f t="array" ref="M516">iferror(XLOOKUP(A516,'Download of SFDC Activation Rep'!B:B,'Download of SFDC Activation Rep'!Z:Z)+150,"")</f>
        <v/>
      </c>
      <c r="N516" s="24" t="str">
        <f t="array" ref="N516">iferror(XLOOKUP(A516,'Download of SFDC Activation Rep'!B:B,'Download of SFDC Activation Rep'!Y:Y),"")</f>
        <v/>
      </c>
    </row>
    <row r="517">
      <c r="B517" s="14"/>
      <c r="C517" s="14"/>
      <c r="D517" s="14"/>
      <c r="E517" s="15"/>
      <c r="F517" s="14"/>
      <c r="G517" s="13" t="str">
        <f t="array" ref="G517">iferror(XLOOKUP(A517,'Download of SFDC Activation Rep'!B:B,'Download of SFDC Activation Rep'!H:H),"")</f>
        <v/>
      </c>
      <c r="H517" s="13" t="str">
        <f t="array" ref="H517">iferror(xlookup(A517,'Download of SFDC Activation Rep'!B:B,'Download of SFDC Activation Rep'!L:L),"")</f>
        <v/>
      </c>
      <c r="I517" s="17" t="str">
        <f t="shared" si="1"/>
        <v>Not Active</v>
      </c>
      <c r="J517" s="17" t="str">
        <f t="array" ref="J517">iferror(XLOOKUP(A517,'Download of SFDC Activation Rep'!B:B,'Download of SFDC Activation Rep'!X:X),"")</f>
        <v/>
      </c>
      <c r="K517" s="17" t="str">
        <f t="array" ref="K517">iferror(XLOOKUP(A517,'Download of SFDC Activation Rep'!B:B,'Download of SFDC Activation Rep'!C:C),"")</f>
        <v/>
      </c>
      <c r="L517" s="18" t="str">
        <f t="array" ref="L517">iferror(XLOOKUP(A517,'Download of SFDC Activation Rep'!B:B,'Download of SFDC Activation Rep'!S:S),"")</f>
        <v/>
      </c>
      <c r="M517" s="24" t="str">
        <f t="array" ref="M517">iferror(XLOOKUP(A517,'Download of SFDC Activation Rep'!B:B,'Download of SFDC Activation Rep'!Z:Z)+150,"")</f>
        <v/>
      </c>
      <c r="N517" s="24" t="str">
        <f t="array" ref="N517">iferror(XLOOKUP(A517,'Download of SFDC Activation Rep'!B:B,'Download of SFDC Activation Rep'!Y:Y),"")</f>
        <v/>
      </c>
    </row>
    <row r="518">
      <c r="B518" s="14"/>
      <c r="C518" s="14"/>
      <c r="D518" s="14"/>
      <c r="E518" s="15"/>
      <c r="F518" s="14"/>
      <c r="G518" s="13" t="str">
        <f t="array" ref="G518">iferror(XLOOKUP(A518,'Download of SFDC Activation Rep'!B:B,'Download of SFDC Activation Rep'!H:H),"")</f>
        <v/>
      </c>
      <c r="H518" s="13" t="str">
        <f t="array" ref="H518">iferror(xlookup(A518,'Download of SFDC Activation Rep'!B:B,'Download of SFDC Activation Rep'!L:L),"")</f>
        <v/>
      </c>
      <c r="I518" s="17" t="str">
        <f t="shared" si="1"/>
        <v>Not Active</v>
      </c>
      <c r="J518" s="17" t="str">
        <f t="array" ref="J518">iferror(XLOOKUP(A518,'Download of SFDC Activation Rep'!B:B,'Download of SFDC Activation Rep'!X:X),"")</f>
        <v/>
      </c>
      <c r="K518" s="17" t="str">
        <f t="array" ref="K518">iferror(XLOOKUP(A518,'Download of SFDC Activation Rep'!B:B,'Download of SFDC Activation Rep'!C:C),"")</f>
        <v/>
      </c>
      <c r="L518" s="18" t="str">
        <f t="array" ref="L518">iferror(XLOOKUP(A518,'Download of SFDC Activation Rep'!B:B,'Download of SFDC Activation Rep'!S:S),"")</f>
        <v/>
      </c>
      <c r="M518" s="24" t="str">
        <f t="array" ref="M518">iferror(XLOOKUP(A518,'Download of SFDC Activation Rep'!B:B,'Download of SFDC Activation Rep'!Z:Z)+150,"")</f>
        <v/>
      </c>
      <c r="N518" s="24" t="str">
        <f t="array" ref="N518">iferror(XLOOKUP(A518,'Download of SFDC Activation Rep'!B:B,'Download of SFDC Activation Rep'!Y:Y),"")</f>
        <v/>
      </c>
    </row>
    <row r="519">
      <c r="B519" s="14"/>
      <c r="C519" s="14"/>
      <c r="D519" s="14"/>
      <c r="E519" s="15"/>
      <c r="F519" s="14"/>
      <c r="G519" s="13" t="str">
        <f t="array" ref="G519">iferror(XLOOKUP(A519,'Download of SFDC Activation Rep'!B:B,'Download of SFDC Activation Rep'!H:H),"")</f>
        <v/>
      </c>
      <c r="H519" s="13" t="str">
        <f t="array" ref="H519">iferror(xlookup(A519,'Download of SFDC Activation Rep'!B:B,'Download of SFDC Activation Rep'!L:L),"")</f>
        <v/>
      </c>
      <c r="I519" s="17" t="str">
        <f t="shared" si="1"/>
        <v>Not Active</v>
      </c>
      <c r="J519" s="17" t="str">
        <f t="array" ref="J519">iferror(XLOOKUP(A519,'Download of SFDC Activation Rep'!B:B,'Download of SFDC Activation Rep'!X:X),"")</f>
        <v/>
      </c>
      <c r="K519" s="17" t="str">
        <f t="array" ref="K519">iferror(XLOOKUP(A519,'Download of SFDC Activation Rep'!B:B,'Download of SFDC Activation Rep'!C:C),"")</f>
        <v/>
      </c>
      <c r="L519" s="18" t="str">
        <f t="array" ref="L519">iferror(XLOOKUP(A519,'Download of SFDC Activation Rep'!B:B,'Download of SFDC Activation Rep'!S:S),"")</f>
        <v/>
      </c>
      <c r="M519" s="24" t="str">
        <f t="array" ref="M519">iferror(XLOOKUP(A519,'Download of SFDC Activation Rep'!B:B,'Download of SFDC Activation Rep'!Z:Z)+150,"")</f>
        <v/>
      </c>
      <c r="N519" s="24" t="str">
        <f t="array" ref="N519">iferror(XLOOKUP(A519,'Download of SFDC Activation Rep'!B:B,'Download of SFDC Activation Rep'!Y:Y),"")</f>
        <v/>
      </c>
    </row>
    <row r="520">
      <c r="B520" s="14"/>
      <c r="C520" s="14"/>
      <c r="D520" s="14"/>
      <c r="E520" s="15"/>
      <c r="F520" s="14"/>
      <c r="G520" s="13" t="str">
        <f t="array" ref="G520">iferror(XLOOKUP(A520,'Download of SFDC Activation Rep'!B:B,'Download of SFDC Activation Rep'!H:H),"")</f>
        <v/>
      </c>
      <c r="H520" s="13" t="str">
        <f t="array" ref="H520">iferror(xlookup(A520,'Download of SFDC Activation Rep'!B:B,'Download of SFDC Activation Rep'!L:L),"")</f>
        <v/>
      </c>
      <c r="I520" s="17" t="str">
        <f t="shared" si="1"/>
        <v>Not Active</v>
      </c>
      <c r="J520" s="17" t="str">
        <f t="array" ref="J520">iferror(XLOOKUP(A520,'Download of SFDC Activation Rep'!B:B,'Download of SFDC Activation Rep'!X:X),"")</f>
        <v/>
      </c>
      <c r="K520" s="17" t="str">
        <f t="array" ref="K520">iferror(XLOOKUP(A520,'Download of SFDC Activation Rep'!B:B,'Download of SFDC Activation Rep'!C:C),"")</f>
        <v/>
      </c>
      <c r="L520" s="18" t="str">
        <f t="array" ref="L520">iferror(XLOOKUP(A520,'Download of SFDC Activation Rep'!B:B,'Download of SFDC Activation Rep'!S:S),"")</f>
        <v/>
      </c>
      <c r="M520" s="24" t="str">
        <f t="array" ref="M520">iferror(XLOOKUP(A520,'Download of SFDC Activation Rep'!B:B,'Download of SFDC Activation Rep'!Z:Z)+150,"")</f>
        <v/>
      </c>
      <c r="N520" s="24" t="str">
        <f t="array" ref="N520">iferror(XLOOKUP(A520,'Download of SFDC Activation Rep'!B:B,'Download of SFDC Activation Rep'!Y:Y),"")</f>
        <v/>
      </c>
    </row>
    <row r="521">
      <c r="B521" s="14"/>
      <c r="C521" s="14"/>
      <c r="D521" s="14"/>
      <c r="E521" s="15"/>
      <c r="F521" s="14"/>
      <c r="G521" s="13" t="str">
        <f t="array" ref="G521">iferror(XLOOKUP(A521,'Download of SFDC Activation Rep'!B:B,'Download of SFDC Activation Rep'!H:H),"")</f>
        <v/>
      </c>
      <c r="H521" s="13" t="str">
        <f t="array" ref="H521">iferror(xlookup(A521,'Download of SFDC Activation Rep'!B:B,'Download of SFDC Activation Rep'!L:L),"")</f>
        <v/>
      </c>
      <c r="I521" s="17" t="str">
        <f t="shared" si="1"/>
        <v>Not Active</v>
      </c>
      <c r="J521" s="17" t="str">
        <f t="array" ref="J521">iferror(XLOOKUP(A521,'Download of SFDC Activation Rep'!B:B,'Download of SFDC Activation Rep'!X:X),"")</f>
        <v/>
      </c>
      <c r="K521" s="17" t="str">
        <f t="array" ref="K521">iferror(XLOOKUP(A521,'Download of SFDC Activation Rep'!B:B,'Download of SFDC Activation Rep'!C:C),"")</f>
        <v/>
      </c>
      <c r="L521" s="18" t="str">
        <f t="array" ref="L521">iferror(XLOOKUP(A521,'Download of SFDC Activation Rep'!B:B,'Download of SFDC Activation Rep'!S:S),"")</f>
        <v/>
      </c>
      <c r="M521" s="24" t="str">
        <f t="array" ref="M521">iferror(XLOOKUP(A521,'Download of SFDC Activation Rep'!B:B,'Download of SFDC Activation Rep'!Z:Z)+150,"")</f>
        <v/>
      </c>
      <c r="N521" s="24" t="str">
        <f t="array" ref="N521">iferror(XLOOKUP(A521,'Download of SFDC Activation Rep'!B:B,'Download of SFDC Activation Rep'!Y:Y),"")</f>
        <v/>
      </c>
    </row>
    <row r="522">
      <c r="B522" s="14"/>
      <c r="C522" s="14"/>
      <c r="D522" s="14"/>
      <c r="E522" s="15"/>
      <c r="F522" s="14"/>
      <c r="G522" s="13" t="str">
        <f t="array" ref="G522">iferror(XLOOKUP(A522,'Download of SFDC Activation Rep'!B:B,'Download of SFDC Activation Rep'!H:H),"")</f>
        <v/>
      </c>
      <c r="H522" s="13" t="str">
        <f t="array" ref="H522">iferror(xlookup(A522,'Download of SFDC Activation Rep'!B:B,'Download of SFDC Activation Rep'!L:L),"")</f>
        <v/>
      </c>
      <c r="I522" s="17" t="str">
        <f t="shared" si="1"/>
        <v>Not Active</v>
      </c>
      <c r="J522" s="17" t="str">
        <f t="array" ref="J522">iferror(XLOOKUP(A522,'Download of SFDC Activation Rep'!B:B,'Download of SFDC Activation Rep'!X:X),"")</f>
        <v/>
      </c>
      <c r="K522" s="17" t="str">
        <f t="array" ref="K522">iferror(XLOOKUP(A522,'Download of SFDC Activation Rep'!B:B,'Download of SFDC Activation Rep'!C:C),"")</f>
        <v/>
      </c>
      <c r="L522" s="18" t="str">
        <f t="array" ref="L522">iferror(XLOOKUP(A522,'Download of SFDC Activation Rep'!B:B,'Download of SFDC Activation Rep'!S:S),"")</f>
        <v/>
      </c>
      <c r="M522" s="24" t="str">
        <f t="array" ref="M522">iferror(XLOOKUP(A522,'Download of SFDC Activation Rep'!B:B,'Download of SFDC Activation Rep'!Z:Z)+150,"")</f>
        <v/>
      </c>
      <c r="N522" s="24" t="str">
        <f t="array" ref="N522">iferror(XLOOKUP(A522,'Download of SFDC Activation Rep'!B:B,'Download of SFDC Activation Rep'!Y:Y),"")</f>
        <v/>
      </c>
    </row>
    <row r="523">
      <c r="B523" s="14"/>
      <c r="C523" s="14"/>
      <c r="D523" s="14"/>
      <c r="E523" s="15"/>
      <c r="F523" s="14"/>
      <c r="G523" s="13" t="str">
        <f t="array" ref="G523">iferror(XLOOKUP(A523,'Download of SFDC Activation Rep'!B:B,'Download of SFDC Activation Rep'!H:H),"")</f>
        <v/>
      </c>
      <c r="H523" s="13" t="str">
        <f t="array" ref="H523">iferror(xlookup(A523,'Download of SFDC Activation Rep'!B:B,'Download of SFDC Activation Rep'!L:L),"")</f>
        <v/>
      </c>
      <c r="I523" s="17" t="str">
        <f t="shared" si="1"/>
        <v>Not Active</v>
      </c>
      <c r="J523" s="17" t="str">
        <f t="array" ref="J523">iferror(XLOOKUP(A523,'Download of SFDC Activation Rep'!B:B,'Download of SFDC Activation Rep'!X:X),"")</f>
        <v/>
      </c>
      <c r="K523" s="17" t="str">
        <f t="array" ref="K523">iferror(XLOOKUP(A523,'Download of SFDC Activation Rep'!B:B,'Download of SFDC Activation Rep'!C:C),"")</f>
        <v/>
      </c>
      <c r="L523" s="18" t="str">
        <f t="array" ref="L523">iferror(XLOOKUP(A523,'Download of SFDC Activation Rep'!B:B,'Download of SFDC Activation Rep'!S:S),"")</f>
        <v/>
      </c>
      <c r="M523" s="24" t="str">
        <f t="array" ref="M523">iferror(XLOOKUP(A523,'Download of SFDC Activation Rep'!B:B,'Download of SFDC Activation Rep'!Z:Z)+150,"")</f>
        <v/>
      </c>
      <c r="N523" s="24" t="str">
        <f t="array" ref="N523">iferror(XLOOKUP(A523,'Download of SFDC Activation Rep'!B:B,'Download of SFDC Activation Rep'!Y:Y),"")</f>
        <v/>
      </c>
    </row>
    <row r="524">
      <c r="B524" s="14"/>
      <c r="C524" s="14"/>
      <c r="D524" s="14"/>
      <c r="E524" s="15"/>
      <c r="F524" s="14"/>
      <c r="G524" s="13" t="str">
        <f t="array" ref="G524">iferror(XLOOKUP(A524,'Download of SFDC Activation Rep'!B:B,'Download of SFDC Activation Rep'!H:H),"")</f>
        <v/>
      </c>
      <c r="H524" s="13" t="str">
        <f t="array" ref="H524">iferror(xlookup(A524,'Download of SFDC Activation Rep'!B:B,'Download of SFDC Activation Rep'!L:L),"")</f>
        <v/>
      </c>
      <c r="I524" s="17" t="str">
        <f t="shared" si="1"/>
        <v>Not Active</v>
      </c>
      <c r="J524" s="17" t="str">
        <f t="array" ref="J524">iferror(XLOOKUP(A524,'Download of SFDC Activation Rep'!B:B,'Download of SFDC Activation Rep'!X:X),"")</f>
        <v/>
      </c>
      <c r="K524" s="17" t="str">
        <f t="array" ref="K524">iferror(XLOOKUP(A524,'Download of SFDC Activation Rep'!B:B,'Download of SFDC Activation Rep'!C:C),"")</f>
        <v/>
      </c>
      <c r="L524" s="18" t="str">
        <f t="array" ref="L524">iferror(XLOOKUP(A524,'Download of SFDC Activation Rep'!B:B,'Download of SFDC Activation Rep'!S:S),"")</f>
        <v/>
      </c>
      <c r="M524" s="24" t="str">
        <f t="array" ref="M524">iferror(XLOOKUP(A524,'Download of SFDC Activation Rep'!B:B,'Download of SFDC Activation Rep'!Z:Z)+150,"")</f>
        <v/>
      </c>
      <c r="N524" s="24" t="str">
        <f t="array" ref="N524">iferror(XLOOKUP(A524,'Download of SFDC Activation Rep'!B:B,'Download of SFDC Activation Rep'!Y:Y),"")</f>
        <v/>
      </c>
    </row>
    <row r="525">
      <c r="B525" s="14"/>
      <c r="C525" s="14"/>
      <c r="D525" s="14"/>
      <c r="E525" s="15"/>
      <c r="F525" s="14"/>
      <c r="G525" s="13" t="str">
        <f t="array" ref="G525">iferror(XLOOKUP(A525,'Download of SFDC Activation Rep'!B:B,'Download of SFDC Activation Rep'!H:H),"")</f>
        <v/>
      </c>
      <c r="H525" s="13" t="str">
        <f t="array" ref="H525">iferror(xlookup(A525,'Download of SFDC Activation Rep'!B:B,'Download of SFDC Activation Rep'!L:L),"")</f>
        <v/>
      </c>
      <c r="I525" s="17" t="str">
        <f t="shared" si="1"/>
        <v>Not Active</v>
      </c>
      <c r="J525" s="17" t="str">
        <f t="array" ref="J525">iferror(XLOOKUP(A525,'Download of SFDC Activation Rep'!B:B,'Download of SFDC Activation Rep'!X:X),"")</f>
        <v/>
      </c>
      <c r="K525" s="17" t="str">
        <f t="array" ref="K525">iferror(XLOOKUP(A525,'Download of SFDC Activation Rep'!B:B,'Download of SFDC Activation Rep'!C:C),"")</f>
        <v/>
      </c>
      <c r="L525" s="18" t="str">
        <f t="array" ref="L525">iferror(XLOOKUP(A525,'Download of SFDC Activation Rep'!B:B,'Download of SFDC Activation Rep'!S:S),"")</f>
        <v/>
      </c>
      <c r="M525" s="24" t="str">
        <f t="array" ref="M525">iferror(XLOOKUP(A525,'Download of SFDC Activation Rep'!B:B,'Download of SFDC Activation Rep'!Z:Z)+150,"")</f>
        <v/>
      </c>
      <c r="N525" s="24" t="str">
        <f t="array" ref="N525">iferror(XLOOKUP(A525,'Download of SFDC Activation Rep'!B:B,'Download of SFDC Activation Rep'!Y:Y),"")</f>
        <v/>
      </c>
    </row>
    <row r="526">
      <c r="B526" s="14"/>
      <c r="C526" s="14"/>
      <c r="D526" s="14"/>
      <c r="E526" s="15"/>
      <c r="F526" s="14"/>
      <c r="G526" s="13" t="str">
        <f t="array" ref="G526">iferror(XLOOKUP(A526,'Download of SFDC Activation Rep'!B:B,'Download of SFDC Activation Rep'!H:H),"")</f>
        <v/>
      </c>
      <c r="H526" s="13" t="str">
        <f t="array" ref="H526">iferror(xlookup(A526,'Download of SFDC Activation Rep'!B:B,'Download of SFDC Activation Rep'!L:L),"")</f>
        <v/>
      </c>
      <c r="I526" s="17" t="str">
        <f t="shared" si="1"/>
        <v>Not Active</v>
      </c>
      <c r="J526" s="17" t="str">
        <f t="array" ref="J526">iferror(XLOOKUP(A526,'Download of SFDC Activation Rep'!B:B,'Download of SFDC Activation Rep'!X:X),"")</f>
        <v/>
      </c>
      <c r="K526" s="17" t="str">
        <f t="array" ref="K526">iferror(XLOOKUP(A526,'Download of SFDC Activation Rep'!B:B,'Download of SFDC Activation Rep'!C:C),"")</f>
        <v/>
      </c>
      <c r="L526" s="18" t="str">
        <f t="array" ref="L526">iferror(XLOOKUP(A526,'Download of SFDC Activation Rep'!B:B,'Download of SFDC Activation Rep'!S:S),"")</f>
        <v/>
      </c>
      <c r="M526" s="24" t="str">
        <f t="array" ref="M526">iferror(XLOOKUP(A526,'Download of SFDC Activation Rep'!B:B,'Download of SFDC Activation Rep'!Z:Z)+150,"")</f>
        <v/>
      </c>
      <c r="N526" s="24" t="str">
        <f t="array" ref="N526">iferror(XLOOKUP(A526,'Download of SFDC Activation Rep'!B:B,'Download of SFDC Activation Rep'!Y:Y),"")</f>
        <v/>
      </c>
    </row>
    <row r="527">
      <c r="B527" s="14"/>
      <c r="C527" s="14"/>
      <c r="D527" s="14"/>
      <c r="E527" s="15"/>
      <c r="F527" s="14"/>
      <c r="G527" s="13" t="str">
        <f t="array" ref="G527">iferror(XLOOKUP(A527,'Download of SFDC Activation Rep'!B:B,'Download of SFDC Activation Rep'!H:H),"")</f>
        <v/>
      </c>
      <c r="H527" s="13" t="str">
        <f t="array" ref="H527">iferror(xlookup(A527,'Download of SFDC Activation Rep'!B:B,'Download of SFDC Activation Rep'!L:L),"")</f>
        <v/>
      </c>
      <c r="I527" s="17" t="str">
        <f t="shared" si="1"/>
        <v>Not Active</v>
      </c>
      <c r="J527" s="17" t="str">
        <f t="array" ref="J527">iferror(XLOOKUP(A527,'Download of SFDC Activation Rep'!B:B,'Download of SFDC Activation Rep'!X:X),"")</f>
        <v/>
      </c>
      <c r="K527" s="17" t="str">
        <f t="array" ref="K527">iferror(XLOOKUP(A527,'Download of SFDC Activation Rep'!B:B,'Download of SFDC Activation Rep'!C:C),"")</f>
        <v/>
      </c>
      <c r="L527" s="18" t="str">
        <f t="array" ref="L527">iferror(XLOOKUP(A527,'Download of SFDC Activation Rep'!B:B,'Download of SFDC Activation Rep'!S:S),"")</f>
        <v/>
      </c>
      <c r="M527" s="24" t="str">
        <f t="array" ref="M527">iferror(XLOOKUP(A527,'Download of SFDC Activation Rep'!B:B,'Download of SFDC Activation Rep'!Z:Z)+150,"")</f>
        <v/>
      </c>
      <c r="N527" s="24" t="str">
        <f t="array" ref="N527">iferror(XLOOKUP(A527,'Download of SFDC Activation Rep'!B:B,'Download of SFDC Activation Rep'!Y:Y),"")</f>
        <v/>
      </c>
    </row>
    <row r="528">
      <c r="B528" s="14"/>
      <c r="C528" s="14"/>
      <c r="D528" s="14"/>
      <c r="E528" s="15"/>
      <c r="F528" s="14"/>
      <c r="G528" s="13" t="str">
        <f t="array" ref="G528">iferror(XLOOKUP(A528,'Download of SFDC Activation Rep'!B:B,'Download of SFDC Activation Rep'!H:H),"")</f>
        <v/>
      </c>
      <c r="H528" s="13" t="str">
        <f t="array" ref="H528">iferror(xlookup(A528,'Download of SFDC Activation Rep'!B:B,'Download of SFDC Activation Rep'!L:L),"")</f>
        <v/>
      </c>
      <c r="I528" s="17" t="str">
        <f t="shared" si="1"/>
        <v>Not Active</v>
      </c>
      <c r="J528" s="17" t="str">
        <f t="array" ref="J528">iferror(XLOOKUP(A528,'Download of SFDC Activation Rep'!B:B,'Download of SFDC Activation Rep'!X:X),"")</f>
        <v/>
      </c>
      <c r="K528" s="17" t="str">
        <f t="array" ref="K528">iferror(XLOOKUP(A528,'Download of SFDC Activation Rep'!B:B,'Download of SFDC Activation Rep'!C:C),"")</f>
        <v/>
      </c>
      <c r="L528" s="18" t="str">
        <f t="array" ref="L528">iferror(XLOOKUP(A528,'Download of SFDC Activation Rep'!B:B,'Download of SFDC Activation Rep'!S:S),"")</f>
        <v/>
      </c>
      <c r="M528" s="24" t="str">
        <f t="array" ref="M528">iferror(XLOOKUP(A528,'Download of SFDC Activation Rep'!B:B,'Download of SFDC Activation Rep'!Z:Z)+150,"")</f>
        <v/>
      </c>
      <c r="N528" s="24" t="str">
        <f t="array" ref="N528">iferror(XLOOKUP(A528,'Download of SFDC Activation Rep'!B:B,'Download of SFDC Activation Rep'!Y:Y),"")</f>
        <v/>
      </c>
    </row>
    <row r="529">
      <c r="B529" s="14"/>
      <c r="C529" s="14"/>
      <c r="D529" s="14"/>
      <c r="E529" s="15"/>
      <c r="F529" s="14"/>
      <c r="G529" s="13" t="str">
        <f t="array" ref="G529">iferror(XLOOKUP(A529,'Download of SFDC Activation Rep'!B:B,'Download of SFDC Activation Rep'!H:H),"")</f>
        <v/>
      </c>
      <c r="H529" s="13" t="str">
        <f t="array" ref="H529">iferror(xlookup(A529,'Download of SFDC Activation Rep'!B:B,'Download of SFDC Activation Rep'!L:L),"")</f>
        <v/>
      </c>
      <c r="I529" s="17" t="str">
        <f t="shared" si="1"/>
        <v>Not Active</v>
      </c>
      <c r="J529" s="17" t="str">
        <f t="array" ref="J529">iferror(XLOOKUP(A529,'Download of SFDC Activation Rep'!B:B,'Download of SFDC Activation Rep'!X:X),"")</f>
        <v/>
      </c>
      <c r="K529" s="17" t="str">
        <f t="array" ref="K529">iferror(XLOOKUP(A529,'Download of SFDC Activation Rep'!B:B,'Download of SFDC Activation Rep'!C:C),"")</f>
        <v/>
      </c>
      <c r="L529" s="18" t="str">
        <f t="array" ref="L529">iferror(XLOOKUP(A529,'Download of SFDC Activation Rep'!B:B,'Download of SFDC Activation Rep'!S:S),"")</f>
        <v/>
      </c>
      <c r="M529" s="24" t="str">
        <f t="array" ref="M529">iferror(XLOOKUP(A529,'Download of SFDC Activation Rep'!B:B,'Download of SFDC Activation Rep'!Z:Z)+150,"")</f>
        <v/>
      </c>
      <c r="N529" s="24" t="str">
        <f t="array" ref="N529">iferror(XLOOKUP(A529,'Download of SFDC Activation Rep'!B:B,'Download of SFDC Activation Rep'!Y:Y),"")</f>
        <v/>
      </c>
    </row>
    <row r="530">
      <c r="B530" s="14"/>
      <c r="C530" s="14"/>
      <c r="D530" s="14"/>
      <c r="E530" s="15"/>
      <c r="F530" s="14"/>
      <c r="G530" s="13" t="str">
        <f t="array" ref="G530">iferror(XLOOKUP(A530,'Download of SFDC Activation Rep'!B:B,'Download of SFDC Activation Rep'!H:H),"")</f>
        <v/>
      </c>
      <c r="H530" s="13" t="str">
        <f t="array" ref="H530">iferror(xlookup(A530,'Download of SFDC Activation Rep'!B:B,'Download of SFDC Activation Rep'!L:L),"")</f>
        <v/>
      </c>
      <c r="I530" s="17" t="str">
        <f t="shared" si="1"/>
        <v>Not Active</v>
      </c>
      <c r="J530" s="17" t="str">
        <f t="array" ref="J530">iferror(XLOOKUP(A530,'Download of SFDC Activation Rep'!B:B,'Download of SFDC Activation Rep'!X:X),"")</f>
        <v/>
      </c>
      <c r="K530" s="17" t="str">
        <f t="array" ref="K530">iferror(XLOOKUP(A530,'Download of SFDC Activation Rep'!B:B,'Download of SFDC Activation Rep'!C:C),"")</f>
        <v/>
      </c>
      <c r="L530" s="18" t="str">
        <f t="array" ref="L530">iferror(XLOOKUP(A530,'Download of SFDC Activation Rep'!B:B,'Download of SFDC Activation Rep'!S:S),"")</f>
        <v/>
      </c>
      <c r="M530" s="24" t="str">
        <f t="array" ref="M530">iferror(XLOOKUP(A530,'Download of SFDC Activation Rep'!B:B,'Download of SFDC Activation Rep'!Z:Z)+150,"")</f>
        <v/>
      </c>
      <c r="N530" s="24" t="str">
        <f t="array" ref="N530">iferror(XLOOKUP(A530,'Download of SFDC Activation Rep'!B:B,'Download of SFDC Activation Rep'!Y:Y),"")</f>
        <v/>
      </c>
    </row>
    <row r="531">
      <c r="B531" s="14"/>
      <c r="C531" s="14"/>
      <c r="D531" s="14"/>
      <c r="E531" s="15"/>
      <c r="F531" s="14"/>
      <c r="G531" s="13" t="str">
        <f t="array" ref="G531">iferror(XLOOKUP(A531,'Download of SFDC Activation Rep'!B:B,'Download of SFDC Activation Rep'!H:H),"")</f>
        <v/>
      </c>
      <c r="H531" s="13" t="str">
        <f t="array" ref="H531">iferror(xlookup(A531,'Download of SFDC Activation Rep'!B:B,'Download of SFDC Activation Rep'!L:L),"")</f>
        <v/>
      </c>
      <c r="I531" s="17" t="str">
        <f t="shared" si="1"/>
        <v>Not Active</v>
      </c>
      <c r="J531" s="17" t="str">
        <f t="array" ref="J531">iferror(XLOOKUP(A531,'Download of SFDC Activation Rep'!B:B,'Download of SFDC Activation Rep'!X:X),"")</f>
        <v/>
      </c>
      <c r="K531" s="17" t="str">
        <f t="array" ref="K531">iferror(XLOOKUP(A531,'Download of SFDC Activation Rep'!B:B,'Download of SFDC Activation Rep'!C:C),"")</f>
        <v/>
      </c>
      <c r="L531" s="18" t="str">
        <f t="array" ref="L531">iferror(XLOOKUP(A531,'Download of SFDC Activation Rep'!B:B,'Download of SFDC Activation Rep'!S:S),"")</f>
        <v/>
      </c>
      <c r="M531" s="24" t="str">
        <f t="array" ref="M531">iferror(XLOOKUP(A531,'Download of SFDC Activation Rep'!B:B,'Download of SFDC Activation Rep'!Z:Z)+150,"")</f>
        <v/>
      </c>
      <c r="N531" s="24" t="str">
        <f t="array" ref="N531">iferror(XLOOKUP(A531,'Download of SFDC Activation Rep'!B:B,'Download of SFDC Activation Rep'!Y:Y),"")</f>
        <v/>
      </c>
    </row>
    <row r="532">
      <c r="B532" s="14"/>
      <c r="C532" s="14"/>
      <c r="D532" s="14"/>
      <c r="E532" s="15"/>
      <c r="F532" s="14"/>
      <c r="G532" s="13" t="str">
        <f t="array" ref="G532">iferror(XLOOKUP(A532,'Download of SFDC Activation Rep'!B:B,'Download of SFDC Activation Rep'!H:H),"")</f>
        <v/>
      </c>
      <c r="H532" s="13" t="str">
        <f t="array" ref="H532">iferror(xlookup(A532,'Download of SFDC Activation Rep'!B:B,'Download of SFDC Activation Rep'!L:L),"")</f>
        <v/>
      </c>
      <c r="I532" s="17" t="str">
        <f t="shared" si="1"/>
        <v>Not Active</v>
      </c>
      <c r="J532" s="17" t="str">
        <f t="array" ref="J532">iferror(XLOOKUP(A532,'Download of SFDC Activation Rep'!B:B,'Download of SFDC Activation Rep'!X:X),"")</f>
        <v/>
      </c>
      <c r="K532" s="17" t="str">
        <f t="array" ref="K532">iferror(XLOOKUP(A532,'Download of SFDC Activation Rep'!B:B,'Download of SFDC Activation Rep'!C:C),"")</f>
        <v/>
      </c>
      <c r="L532" s="18" t="str">
        <f t="array" ref="L532">iferror(XLOOKUP(A532,'Download of SFDC Activation Rep'!B:B,'Download of SFDC Activation Rep'!S:S),"")</f>
        <v/>
      </c>
      <c r="M532" s="24" t="str">
        <f t="array" ref="M532">iferror(XLOOKUP(A532,'Download of SFDC Activation Rep'!B:B,'Download of SFDC Activation Rep'!Z:Z)+150,"")</f>
        <v/>
      </c>
      <c r="N532" s="24" t="str">
        <f t="array" ref="N532">iferror(XLOOKUP(A532,'Download of SFDC Activation Rep'!B:B,'Download of SFDC Activation Rep'!Y:Y),"")</f>
        <v/>
      </c>
    </row>
    <row r="533">
      <c r="B533" s="14"/>
      <c r="C533" s="14"/>
      <c r="D533" s="14"/>
      <c r="E533" s="15"/>
      <c r="F533" s="14"/>
      <c r="G533" s="13" t="str">
        <f t="array" ref="G533">iferror(XLOOKUP(A533,'Download of SFDC Activation Rep'!B:B,'Download of SFDC Activation Rep'!H:H),"")</f>
        <v/>
      </c>
      <c r="H533" s="13" t="str">
        <f t="array" ref="H533">iferror(xlookup(A533,'Download of SFDC Activation Rep'!B:B,'Download of SFDC Activation Rep'!L:L),"")</f>
        <v/>
      </c>
      <c r="I533" s="17" t="str">
        <f t="shared" si="1"/>
        <v>Not Active</v>
      </c>
      <c r="J533" s="17" t="str">
        <f t="array" ref="J533">iferror(XLOOKUP(A533,'Download of SFDC Activation Rep'!B:B,'Download of SFDC Activation Rep'!X:X),"")</f>
        <v/>
      </c>
      <c r="K533" s="17" t="str">
        <f t="array" ref="K533">iferror(XLOOKUP(A533,'Download of SFDC Activation Rep'!B:B,'Download of SFDC Activation Rep'!C:C),"")</f>
        <v/>
      </c>
      <c r="L533" s="18" t="str">
        <f t="array" ref="L533">iferror(XLOOKUP(A533,'Download of SFDC Activation Rep'!B:B,'Download of SFDC Activation Rep'!S:S),"")</f>
        <v/>
      </c>
      <c r="M533" s="24" t="str">
        <f t="array" ref="M533">iferror(XLOOKUP(A533,'Download of SFDC Activation Rep'!B:B,'Download of SFDC Activation Rep'!Z:Z)+150,"")</f>
        <v/>
      </c>
      <c r="N533" s="24" t="str">
        <f t="array" ref="N533">iferror(XLOOKUP(A533,'Download of SFDC Activation Rep'!B:B,'Download of SFDC Activation Rep'!Y:Y),"")</f>
        <v/>
      </c>
    </row>
    <row r="534">
      <c r="B534" s="14"/>
      <c r="C534" s="14"/>
      <c r="D534" s="14"/>
      <c r="E534" s="15"/>
      <c r="F534" s="14"/>
      <c r="G534" s="13" t="str">
        <f t="array" ref="G534">iferror(XLOOKUP(A534,'Download of SFDC Activation Rep'!B:B,'Download of SFDC Activation Rep'!H:H),"")</f>
        <v/>
      </c>
      <c r="H534" s="13" t="str">
        <f t="array" ref="H534">iferror(xlookup(A534,'Download of SFDC Activation Rep'!B:B,'Download of SFDC Activation Rep'!L:L),"")</f>
        <v/>
      </c>
      <c r="I534" s="17" t="str">
        <f t="shared" si="1"/>
        <v>Not Active</v>
      </c>
      <c r="J534" s="17" t="str">
        <f t="array" ref="J534">iferror(XLOOKUP(A534,'Download of SFDC Activation Rep'!B:B,'Download of SFDC Activation Rep'!X:X),"")</f>
        <v/>
      </c>
      <c r="K534" s="17" t="str">
        <f t="array" ref="K534">iferror(XLOOKUP(A534,'Download of SFDC Activation Rep'!B:B,'Download of SFDC Activation Rep'!C:C),"")</f>
        <v/>
      </c>
      <c r="L534" s="18" t="str">
        <f t="array" ref="L534">iferror(XLOOKUP(A534,'Download of SFDC Activation Rep'!B:B,'Download of SFDC Activation Rep'!S:S),"")</f>
        <v/>
      </c>
      <c r="M534" s="24" t="str">
        <f t="array" ref="M534">iferror(XLOOKUP(A534,'Download of SFDC Activation Rep'!B:B,'Download of SFDC Activation Rep'!Z:Z)+150,"")</f>
        <v/>
      </c>
      <c r="N534" s="24" t="str">
        <f t="array" ref="N534">iferror(XLOOKUP(A534,'Download of SFDC Activation Rep'!B:B,'Download of SFDC Activation Rep'!Y:Y),"")</f>
        <v/>
      </c>
    </row>
    <row r="535">
      <c r="B535" s="14"/>
      <c r="C535" s="14"/>
      <c r="D535" s="14"/>
      <c r="E535" s="15"/>
      <c r="F535" s="14"/>
      <c r="G535" s="13" t="str">
        <f t="array" ref="G535">iferror(XLOOKUP(A535,'Download of SFDC Activation Rep'!B:B,'Download of SFDC Activation Rep'!H:H),"")</f>
        <v/>
      </c>
      <c r="H535" s="13" t="str">
        <f t="array" ref="H535">iferror(xlookup(A535,'Download of SFDC Activation Rep'!B:B,'Download of SFDC Activation Rep'!L:L),"")</f>
        <v/>
      </c>
      <c r="I535" s="17" t="str">
        <f t="shared" si="1"/>
        <v>Not Active</v>
      </c>
      <c r="J535" s="17" t="str">
        <f t="array" ref="J535">iferror(XLOOKUP(A535,'Download of SFDC Activation Rep'!B:B,'Download of SFDC Activation Rep'!X:X),"")</f>
        <v/>
      </c>
      <c r="K535" s="17" t="str">
        <f t="array" ref="K535">iferror(XLOOKUP(A535,'Download of SFDC Activation Rep'!B:B,'Download of SFDC Activation Rep'!C:C),"")</f>
        <v/>
      </c>
      <c r="L535" s="18" t="str">
        <f t="array" ref="L535">iferror(XLOOKUP(A535,'Download of SFDC Activation Rep'!B:B,'Download of SFDC Activation Rep'!S:S),"")</f>
        <v/>
      </c>
      <c r="M535" s="24" t="str">
        <f t="array" ref="M535">iferror(XLOOKUP(A535,'Download of SFDC Activation Rep'!B:B,'Download of SFDC Activation Rep'!Z:Z)+150,"")</f>
        <v/>
      </c>
      <c r="N535" s="24" t="str">
        <f t="array" ref="N535">iferror(XLOOKUP(A535,'Download of SFDC Activation Rep'!B:B,'Download of SFDC Activation Rep'!Y:Y),"")</f>
        <v/>
      </c>
    </row>
    <row r="536">
      <c r="B536" s="14"/>
      <c r="C536" s="14"/>
      <c r="D536" s="14"/>
      <c r="E536" s="15"/>
      <c r="F536" s="14"/>
      <c r="G536" s="13" t="str">
        <f t="array" ref="G536">iferror(XLOOKUP(A536,'Download of SFDC Activation Rep'!B:B,'Download of SFDC Activation Rep'!H:H),"")</f>
        <v/>
      </c>
      <c r="H536" s="13" t="str">
        <f t="array" ref="H536">iferror(xlookup(A536,'Download of SFDC Activation Rep'!B:B,'Download of SFDC Activation Rep'!L:L),"")</f>
        <v/>
      </c>
      <c r="I536" s="17" t="str">
        <f t="shared" si="1"/>
        <v>Not Active</v>
      </c>
      <c r="J536" s="17" t="str">
        <f t="array" ref="J536">iferror(XLOOKUP(A536,'Download of SFDC Activation Rep'!B:B,'Download of SFDC Activation Rep'!X:X),"")</f>
        <v/>
      </c>
      <c r="K536" s="17" t="str">
        <f t="array" ref="K536">iferror(XLOOKUP(A536,'Download of SFDC Activation Rep'!B:B,'Download of SFDC Activation Rep'!C:C),"")</f>
        <v/>
      </c>
      <c r="L536" s="18" t="str">
        <f t="array" ref="L536">iferror(XLOOKUP(A536,'Download of SFDC Activation Rep'!B:B,'Download of SFDC Activation Rep'!S:S),"")</f>
        <v/>
      </c>
      <c r="M536" s="24" t="str">
        <f t="array" ref="M536">iferror(XLOOKUP(A536,'Download of SFDC Activation Rep'!B:B,'Download of SFDC Activation Rep'!Z:Z)+150,"")</f>
        <v/>
      </c>
      <c r="N536" s="24" t="str">
        <f t="array" ref="N536">iferror(XLOOKUP(A536,'Download of SFDC Activation Rep'!B:B,'Download of SFDC Activation Rep'!Y:Y),"")</f>
        <v/>
      </c>
    </row>
    <row r="537">
      <c r="B537" s="14"/>
      <c r="C537" s="14"/>
      <c r="D537" s="14"/>
      <c r="E537" s="15"/>
      <c r="F537" s="14"/>
      <c r="G537" s="13" t="str">
        <f t="array" ref="G537">iferror(XLOOKUP(A537,'Download of SFDC Activation Rep'!B:B,'Download of SFDC Activation Rep'!H:H),"")</f>
        <v/>
      </c>
      <c r="H537" s="13" t="str">
        <f t="array" ref="H537">iferror(xlookup(A537,'Download of SFDC Activation Rep'!B:B,'Download of SFDC Activation Rep'!L:L),"")</f>
        <v/>
      </c>
      <c r="I537" s="17" t="str">
        <f t="shared" si="1"/>
        <v>Not Active</v>
      </c>
      <c r="J537" s="17" t="str">
        <f t="array" ref="J537">iferror(XLOOKUP(A537,'Download of SFDC Activation Rep'!B:B,'Download of SFDC Activation Rep'!X:X),"")</f>
        <v/>
      </c>
      <c r="K537" s="17" t="str">
        <f t="array" ref="K537">iferror(XLOOKUP(A537,'Download of SFDC Activation Rep'!B:B,'Download of SFDC Activation Rep'!C:C),"")</f>
        <v/>
      </c>
      <c r="L537" s="18" t="str">
        <f t="array" ref="L537">iferror(XLOOKUP(A537,'Download of SFDC Activation Rep'!B:B,'Download of SFDC Activation Rep'!S:S),"")</f>
        <v/>
      </c>
      <c r="M537" s="24" t="str">
        <f t="array" ref="M537">iferror(XLOOKUP(A537,'Download of SFDC Activation Rep'!B:B,'Download of SFDC Activation Rep'!Z:Z)+150,"")</f>
        <v/>
      </c>
      <c r="N537" s="24" t="str">
        <f t="array" ref="N537">iferror(XLOOKUP(A537,'Download of SFDC Activation Rep'!B:B,'Download of SFDC Activation Rep'!Y:Y),"")</f>
        <v/>
      </c>
    </row>
    <row r="538">
      <c r="B538" s="14"/>
      <c r="C538" s="14"/>
      <c r="D538" s="14"/>
      <c r="E538" s="15"/>
      <c r="F538" s="14"/>
      <c r="G538" s="13" t="str">
        <f t="array" ref="G538">iferror(XLOOKUP(A538,'Download of SFDC Activation Rep'!B:B,'Download of SFDC Activation Rep'!H:H),"")</f>
        <v/>
      </c>
      <c r="H538" s="13" t="str">
        <f t="array" ref="H538">iferror(xlookup(A538,'Download of SFDC Activation Rep'!B:B,'Download of SFDC Activation Rep'!L:L),"")</f>
        <v/>
      </c>
      <c r="I538" s="17" t="str">
        <f t="shared" si="1"/>
        <v>Not Active</v>
      </c>
      <c r="J538" s="17" t="str">
        <f t="array" ref="J538">iferror(XLOOKUP(A538,'Download of SFDC Activation Rep'!B:B,'Download of SFDC Activation Rep'!X:X),"")</f>
        <v/>
      </c>
      <c r="K538" s="17" t="str">
        <f t="array" ref="K538">iferror(XLOOKUP(A538,'Download of SFDC Activation Rep'!B:B,'Download of SFDC Activation Rep'!C:C),"")</f>
        <v/>
      </c>
      <c r="L538" s="18" t="str">
        <f t="array" ref="L538">iferror(XLOOKUP(A538,'Download of SFDC Activation Rep'!B:B,'Download of SFDC Activation Rep'!S:S),"")</f>
        <v/>
      </c>
      <c r="M538" s="24" t="str">
        <f t="array" ref="M538">iferror(XLOOKUP(A538,'Download of SFDC Activation Rep'!B:B,'Download of SFDC Activation Rep'!Z:Z)+150,"")</f>
        <v/>
      </c>
      <c r="N538" s="24" t="str">
        <f t="array" ref="N538">iferror(XLOOKUP(A538,'Download of SFDC Activation Rep'!B:B,'Download of SFDC Activation Rep'!Y:Y),"")</f>
        <v/>
      </c>
    </row>
    <row r="539">
      <c r="B539" s="14"/>
      <c r="C539" s="14"/>
      <c r="D539" s="14"/>
      <c r="E539" s="15"/>
      <c r="F539" s="14"/>
      <c r="G539" s="13" t="str">
        <f t="array" ref="G539">iferror(XLOOKUP(A539,'Download of SFDC Activation Rep'!B:B,'Download of SFDC Activation Rep'!H:H),"")</f>
        <v/>
      </c>
      <c r="H539" s="13" t="str">
        <f t="array" ref="H539">iferror(xlookup(A539,'Download of SFDC Activation Rep'!B:B,'Download of SFDC Activation Rep'!L:L),"")</f>
        <v/>
      </c>
      <c r="I539" s="17" t="str">
        <f t="shared" si="1"/>
        <v>Not Active</v>
      </c>
      <c r="J539" s="17" t="str">
        <f t="array" ref="J539">iferror(XLOOKUP(A539,'Download of SFDC Activation Rep'!B:B,'Download of SFDC Activation Rep'!X:X),"")</f>
        <v/>
      </c>
      <c r="K539" s="17" t="str">
        <f t="array" ref="K539">iferror(XLOOKUP(A539,'Download of SFDC Activation Rep'!B:B,'Download of SFDC Activation Rep'!C:C),"")</f>
        <v/>
      </c>
      <c r="L539" s="18" t="str">
        <f t="array" ref="L539">iferror(XLOOKUP(A539,'Download of SFDC Activation Rep'!B:B,'Download of SFDC Activation Rep'!S:S),"")</f>
        <v/>
      </c>
      <c r="M539" s="24" t="str">
        <f t="array" ref="M539">iferror(XLOOKUP(A539,'Download of SFDC Activation Rep'!B:B,'Download of SFDC Activation Rep'!Z:Z)+150,"")</f>
        <v/>
      </c>
      <c r="N539" s="24" t="str">
        <f t="array" ref="N539">iferror(XLOOKUP(A539,'Download of SFDC Activation Rep'!B:B,'Download of SFDC Activation Rep'!Y:Y),"")</f>
        <v/>
      </c>
    </row>
    <row r="540">
      <c r="B540" s="14"/>
      <c r="C540" s="14"/>
      <c r="D540" s="14"/>
      <c r="E540" s="15"/>
      <c r="F540" s="14"/>
      <c r="G540" s="13" t="str">
        <f t="array" ref="G540">iferror(XLOOKUP(A540,'Download of SFDC Activation Rep'!B:B,'Download of SFDC Activation Rep'!H:H),"")</f>
        <v/>
      </c>
      <c r="H540" s="13" t="str">
        <f t="array" ref="H540">iferror(xlookup(A540,'Download of SFDC Activation Rep'!B:B,'Download of SFDC Activation Rep'!L:L),"")</f>
        <v/>
      </c>
      <c r="I540" s="17" t="str">
        <f t="shared" si="1"/>
        <v>Not Active</v>
      </c>
      <c r="J540" s="17" t="str">
        <f t="array" ref="J540">iferror(XLOOKUP(A540,'Download of SFDC Activation Rep'!B:B,'Download of SFDC Activation Rep'!X:X),"")</f>
        <v/>
      </c>
      <c r="K540" s="17" t="str">
        <f t="array" ref="K540">iferror(XLOOKUP(A540,'Download of SFDC Activation Rep'!B:B,'Download of SFDC Activation Rep'!C:C),"")</f>
        <v/>
      </c>
      <c r="L540" s="18" t="str">
        <f t="array" ref="L540">iferror(XLOOKUP(A540,'Download of SFDC Activation Rep'!B:B,'Download of SFDC Activation Rep'!S:S),"")</f>
        <v/>
      </c>
      <c r="M540" s="24" t="str">
        <f t="array" ref="M540">iferror(XLOOKUP(A540,'Download of SFDC Activation Rep'!B:B,'Download of SFDC Activation Rep'!Z:Z)+150,"")</f>
        <v/>
      </c>
      <c r="N540" s="24" t="str">
        <f t="array" ref="N540">iferror(XLOOKUP(A540,'Download of SFDC Activation Rep'!B:B,'Download of SFDC Activation Rep'!Y:Y),"")</f>
        <v/>
      </c>
    </row>
    <row r="541">
      <c r="B541" s="14"/>
      <c r="C541" s="14"/>
      <c r="D541" s="14"/>
      <c r="E541" s="15"/>
      <c r="F541" s="14"/>
      <c r="G541" s="13" t="str">
        <f t="array" ref="G541">iferror(XLOOKUP(A541,'Download of SFDC Activation Rep'!B:B,'Download of SFDC Activation Rep'!H:H),"")</f>
        <v/>
      </c>
      <c r="H541" s="13" t="str">
        <f t="array" ref="H541">iferror(xlookup(A541,'Download of SFDC Activation Rep'!B:B,'Download of SFDC Activation Rep'!L:L),"")</f>
        <v/>
      </c>
      <c r="I541" s="17" t="str">
        <f t="shared" si="1"/>
        <v>Not Active</v>
      </c>
      <c r="J541" s="17" t="str">
        <f t="array" ref="J541">iferror(XLOOKUP(A541,'Download of SFDC Activation Rep'!B:B,'Download of SFDC Activation Rep'!X:X),"")</f>
        <v/>
      </c>
      <c r="K541" s="17" t="str">
        <f t="array" ref="K541">iferror(XLOOKUP(A541,'Download of SFDC Activation Rep'!B:B,'Download of SFDC Activation Rep'!C:C),"")</f>
        <v/>
      </c>
      <c r="L541" s="18" t="str">
        <f t="array" ref="L541">iferror(XLOOKUP(A541,'Download of SFDC Activation Rep'!B:B,'Download of SFDC Activation Rep'!S:S),"")</f>
        <v/>
      </c>
      <c r="M541" s="24" t="str">
        <f t="array" ref="M541">iferror(XLOOKUP(A541,'Download of SFDC Activation Rep'!B:B,'Download of SFDC Activation Rep'!Z:Z)+150,"")</f>
        <v/>
      </c>
      <c r="N541" s="24" t="str">
        <f t="array" ref="N541">iferror(XLOOKUP(A541,'Download of SFDC Activation Rep'!B:B,'Download of SFDC Activation Rep'!Y:Y),"")</f>
        <v/>
      </c>
    </row>
    <row r="542">
      <c r="B542" s="14"/>
      <c r="C542" s="14"/>
      <c r="D542" s="14"/>
      <c r="E542" s="15"/>
      <c r="F542" s="14"/>
      <c r="G542" s="13" t="str">
        <f t="array" ref="G542">iferror(XLOOKUP(A542,'Download of SFDC Activation Rep'!B:B,'Download of SFDC Activation Rep'!H:H),"")</f>
        <v/>
      </c>
      <c r="H542" s="13" t="str">
        <f t="array" ref="H542">iferror(xlookup(A542,'Download of SFDC Activation Rep'!B:B,'Download of SFDC Activation Rep'!L:L),"")</f>
        <v/>
      </c>
      <c r="I542" s="17" t="str">
        <f t="shared" si="1"/>
        <v>Not Active</v>
      </c>
      <c r="J542" s="17" t="str">
        <f t="array" ref="J542">iferror(XLOOKUP(A542,'Download of SFDC Activation Rep'!B:B,'Download of SFDC Activation Rep'!X:X),"")</f>
        <v/>
      </c>
      <c r="K542" s="17" t="str">
        <f t="array" ref="K542">iferror(XLOOKUP(A542,'Download of SFDC Activation Rep'!B:B,'Download of SFDC Activation Rep'!C:C),"")</f>
        <v/>
      </c>
      <c r="L542" s="18" t="str">
        <f t="array" ref="L542">iferror(XLOOKUP(A542,'Download of SFDC Activation Rep'!B:B,'Download of SFDC Activation Rep'!S:S),"")</f>
        <v/>
      </c>
      <c r="M542" s="24" t="str">
        <f t="array" ref="M542">iferror(XLOOKUP(A542,'Download of SFDC Activation Rep'!B:B,'Download of SFDC Activation Rep'!Z:Z)+150,"")</f>
        <v/>
      </c>
      <c r="N542" s="24" t="str">
        <f t="array" ref="N542">iferror(XLOOKUP(A542,'Download of SFDC Activation Rep'!B:B,'Download of SFDC Activation Rep'!Y:Y),"")</f>
        <v/>
      </c>
    </row>
    <row r="543">
      <c r="B543" s="14"/>
      <c r="C543" s="14"/>
      <c r="D543" s="14"/>
      <c r="E543" s="15"/>
      <c r="F543" s="14"/>
      <c r="G543" s="13" t="str">
        <f t="array" ref="G543">iferror(XLOOKUP(A543,'Download of SFDC Activation Rep'!B:B,'Download of SFDC Activation Rep'!H:H),"")</f>
        <v/>
      </c>
      <c r="H543" s="13" t="str">
        <f t="array" ref="H543">iferror(xlookup(A543,'Download of SFDC Activation Rep'!B:B,'Download of SFDC Activation Rep'!L:L),"")</f>
        <v/>
      </c>
      <c r="I543" s="17" t="str">
        <f t="shared" si="1"/>
        <v>Not Active</v>
      </c>
      <c r="J543" s="17" t="str">
        <f t="array" ref="J543">iferror(XLOOKUP(A543,'Download of SFDC Activation Rep'!B:B,'Download of SFDC Activation Rep'!X:X),"")</f>
        <v/>
      </c>
      <c r="K543" s="17" t="str">
        <f t="array" ref="K543">iferror(XLOOKUP(A543,'Download of SFDC Activation Rep'!B:B,'Download of SFDC Activation Rep'!C:C),"")</f>
        <v/>
      </c>
      <c r="L543" s="18" t="str">
        <f t="array" ref="L543">iferror(XLOOKUP(A543,'Download of SFDC Activation Rep'!B:B,'Download of SFDC Activation Rep'!S:S),"")</f>
        <v/>
      </c>
      <c r="M543" s="24" t="str">
        <f t="array" ref="M543">iferror(XLOOKUP(A543,'Download of SFDC Activation Rep'!B:B,'Download of SFDC Activation Rep'!Z:Z)+150,"")</f>
        <v/>
      </c>
      <c r="N543" s="24" t="str">
        <f t="array" ref="N543">iferror(XLOOKUP(A543,'Download of SFDC Activation Rep'!B:B,'Download of SFDC Activation Rep'!Y:Y),"")</f>
        <v/>
      </c>
    </row>
    <row r="544">
      <c r="B544" s="14"/>
      <c r="C544" s="14"/>
      <c r="D544" s="14"/>
      <c r="E544" s="15"/>
      <c r="F544" s="14"/>
      <c r="G544" s="13" t="str">
        <f t="array" ref="G544">iferror(XLOOKUP(A544,'Download of SFDC Activation Rep'!B:B,'Download of SFDC Activation Rep'!H:H),"")</f>
        <v/>
      </c>
      <c r="H544" s="13" t="str">
        <f t="array" ref="H544">iferror(xlookup(A544,'Download of SFDC Activation Rep'!B:B,'Download of SFDC Activation Rep'!L:L),"")</f>
        <v/>
      </c>
      <c r="I544" s="17" t="str">
        <f t="shared" si="1"/>
        <v>Not Active</v>
      </c>
      <c r="J544" s="17" t="str">
        <f t="array" ref="J544">iferror(XLOOKUP(A544,'Download of SFDC Activation Rep'!B:B,'Download of SFDC Activation Rep'!X:X),"")</f>
        <v/>
      </c>
      <c r="K544" s="17" t="str">
        <f t="array" ref="K544">iferror(XLOOKUP(A544,'Download of SFDC Activation Rep'!B:B,'Download of SFDC Activation Rep'!C:C),"")</f>
        <v/>
      </c>
      <c r="L544" s="18" t="str">
        <f t="array" ref="L544">iferror(XLOOKUP(A544,'Download of SFDC Activation Rep'!B:B,'Download of SFDC Activation Rep'!S:S),"")</f>
        <v/>
      </c>
      <c r="M544" s="24" t="str">
        <f t="array" ref="M544">iferror(XLOOKUP(A544,'Download of SFDC Activation Rep'!B:B,'Download of SFDC Activation Rep'!Z:Z)+150,"")</f>
        <v/>
      </c>
      <c r="N544" s="24" t="str">
        <f t="array" ref="N544">iferror(XLOOKUP(A544,'Download of SFDC Activation Rep'!B:B,'Download of SFDC Activation Rep'!Y:Y),"")</f>
        <v/>
      </c>
    </row>
    <row r="545">
      <c r="B545" s="14"/>
      <c r="C545" s="14"/>
      <c r="D545" s="14"/>
      <c r="E545" s="15"/>
      <c r="F545" s="14"/>
      <c r="G545" s="13" t="str">
        <f t="array" ref="G545">iferror(XLOOKUP(A545,'Download of SFDC Activation Rep'!B:B,'Download of SFDC Activation Rep'!H:H),"")</f>
        <v/>
      </c>
      <c r="H545" s="13" t="str">
        <f t="array" ref="H545">iferror(xlookup(A545,'Download of SFDC Activation Rep'!B:B,'Download of SFDC Activation Rep'!L:L),"")</f>
        <v/>
      </c>
      <c r="I545" s="17" t="str">
        <f t="shared" si="1"/>
        <v>Not Active</v>
      </c>
      <c r="J545" s="17" t="str">
        <f t="array" ref="J545">iferror(XLOOKUP(A545,'Download of SFDC Activation Rep'!B:B,'Download of SFDC Activation Rep'!X:X),"")</f>
        <v/>
      </c>
      <c r="K545" s="17" t="str">
        <f t="array" ref="K545">iferror(XLOOKUP(A545,'Download of SFDC Activation Rep'!B:B,'Download of SFDC Activation Rep'!C:C),"")</f>
        <v/>
      </c>
      <c r="L545" s="18" t="str">
        <f t="array" ref="L545">iferror(XLOOKUP(A545,'Download of SFDC Activation Rep'!B:B,'Download of SFDC Activation Rep'!S:S),"")</f>
        <v/>
      </c>
      <c r="M545" s="24" t="str">
        <f t="array" ref="M545">iferror(XLOOKUP(A545,'Download of SFDC Activation Rep'!B:B,'Download of SFDC Activation Rep'!Z:Z)+150,"")</f>
        <v/>
      </c>
      <c r="N545" s="24" t="str">
        <f t="array" ref="N545">iferror(XLOOKUP(A545,'Download of SFDC Activation Rep'!B:B,'Download of SFDC Activation Rep'!Y:Y),"")</f>
        <v/>
      </c>
    </row>
    <row r="546">
      <c r="B546" s="14"/>
      <c r="C546" s="14"/>
      <c r="D546" s="14"/>
      <c r="E546" s="15"/>
      <c r="F546" s="14"/>
      <c r="G546" s="13" t="str">
        <f t="array" ref="G546">iferror(XLOOKUP(A546,'Download of SFDC Activation Rep'!B:B,'Download of SFDC Activation Rep'!H:H),"")</f>
        <v/>
      </c>
      <c r="H546" s="13" t="str">
        <f t="array" ref="H546">iferror(xlookup(A546,'Download of SFDC Activation Rep'!B:B,'Download of SFDC Activation Rep'!L:L),"")</f>
        <v/>
      </c>
      <c r="I546" s="17" t="str">
        <f t="shared" si="1"/>
        <v>Not Active</v>
      </c>
      <c r="J546" s="17" t="str">
        <f t="array" ref="J546">iferror(XLOOKUP(A546,'Download of SFDC Activation Rep'!B:B,'Download of SFDC Activation Rep'!X:X),"")</f>
        <v/>
      </c>
      <c r="K546" s="17" t="str">
        <f t="array" ref="K546">iferror(XLOOKUP(A546,'Download of SFDC Activation Rep'!B:B,'Download of SFDC Activation Rep'!C:C),"")</f>
        <v/>
      </c>
      <c r="L546" s="18" t="str">
        <f t="array" ref="L546">iferror(XLOOKUP(A546,'Download of SFDC Activation Rep'!B:B,'Download of SFDC Activation Rep'!S:S),"")</f>
        <v/>
      </c>
      <c r="M546" s="24" t="str">
        <f t="array" ref="M546">iferror(XLOOKUP(A546,'Download of SFDC Activation Rep'!B:B,'Download of SFDC Activation Rep'!Z:Z)+150,"")</f>
        <v/>
      </c>
      <c r="N546" s="24" t="str">
        <f t="array" ref="N546">iferror(XLOOKUP(A546,'Download of SFDC Activation Rep'!B:B,'Download of SFDC Activation Rep'!Y:Y),"")</f>
        <v/>
      </c>
    </row>
    <row r="547">
      <c r="B547" s="14"/>
      <c r="C547" s="14"/>
      <c r="D547" s="14"/>
      <c r="E547" s="15"/>
      <c r="F547" s="14"/>
      <c r="G547" s="13" t="str">
        <f t="array" ref="G547">iferror(XLOOKUP(A547,'Download of SFDC Activation Rep'!B:B,'Download of SFDC Activation Rep'!H:H),"")</f>
        <v/>
      </c>
      <c r="H547" s="13" t="str">
        <f t="array" ref="H547">iferror(xlookup(A547,'Download of SFDC Activation Rep'!B:B,'Download of SFDC Activation Rep'!L:L),"")</f>
        <v/>
      </c>
      <c r="I547" s="17" t="str">
        <f t="shared" si="1"/>
        <v>Not Active</v>
      </c>
      <c r="J547" s="17" t="str">
        <f t="array" ref="J547">iferror(XLOOKUP(A547,'Download of SFDC Activation Rep'!B:B,'Download of SFDC Activation Rep'!X:X),"")</f>
        <v/>
      </c>
      <c r="K547" s="17" t="str">
        <f t="array" ref="K547">iferror(XLOOKUP(A547,'Download of SFDC Activation Rep'!B:B,'Download of SFDC Activation Rep'!C:C),"")</f>
        <v/>
      </c>
      <c r="L547" s="18" t="str">
        <f t="array" ref="L547">iferror(XLOOKUP(A547,'Download of SFDC Activation Rep'!B:B,'Download of SFDC Activation Rep'!S:S),"")</f>
        <v/>
      </c>
      <c r="M547" s="24" t="str">
        <f t="array" ref="M547">iferror(XLOOKUP(A547,'Download of SFDC Activation Rep'!B:B,'Download of SFDC Activation Rep'!Z:Z)+150,"")</f>
        <v/>
      </c>
      <c r="N547" s="24" t="str">
        <f t="array" ref="N547">iferror(XLOOKUP(A547,'Download of SFDC Activation Rep'!B:B,'Download of SFDC Activation Rep'!Y:Y),"")</f>
        <v/>
      </c>
    </row>
    <row r="548">
      <c r="B548" s="14"/>
      <c r="C548" s="14"/>
      <c r="D548" s="14"/>
      <c r="E548" s="15"/>
      <c r="F548" s="14"/>
      <c r="G548" s="13" t="str">
        <f t="array" ref="G548">iferror(XLOOKUP(A548,'Download of SFDC Activation Rep'!B:B,'Download of SFDC Activation Rep'!H:H),"")</f>
        <v/>
      </c>
      <c r="H548" s="13" t="str">
        <f t="array" ref="H548">iferror(xlookup(A548,'Download of SFDC Activation Rep'!B:B,'Download of SFDC Activation Rep'!L:L),"")</f>
        <v/>
      </c>
      <c r="I548" s="17" t="str">
        <f t="shared" si="1"/>
        <v>Not Active</v>
      </c>
      <c r="J548" s="17" t="str">
        <f t="array" ref="J548">iferror(XLOOKUP(A548,'Download of SFDC Activation Rep'!B:B,'Download of SFDC Activation Rep'!X:X),"")</f>
        <v/>
      </c>
      <c r="K548" s="17" t="str">
        <f t="array" ref="K548">iferror(XLOOKUP(A548,'Download of SFDC Activation Rep'!B:B,'Download of SFDC Activation Rep'!C:C),"")</f>
        <v/>
      </c>
      <c r="L548" s="18" t="str">
        <f t="array" ref="L548">iferror(XLOOKUP(A548,'Download of SFDC Activation Rep'!B:B,'Download of SFDC Activation Rep'!S:S),"")</f>
        <v/>
      </c>
      <c r="M548" s="24" t="str">
        <f t="array" ref="M548">iferror(XLOOKUP(A548,'Download of SFDC Activation Rep'!B:B,'Download of SFDC Activation Rep'!Z:Z)+150,"")</f>
        <v/>
      </c>
      <c r="N548" s="24" t="str">
        <f t="array" ref="N548">iferror(XLOOKUP(A548,'Download of SFDC Activation Rep'!B:B,'Download of SFDC Activation Rep'!Y:Y),"")</f>
        <v/>
      </c>
    </row>
    <row r="549">
      <c r="B549" s="14"/>
      <c r="C549" s="14"/>
      <c r="D549" s="14"/>
      <c r="E549" s="15"/>
      <c r="F549" s="14"/>
      <c r="G549" s="13" t="str">
        <f t="array" ref="G549">iferror(XLOOKUP(A549,'Download of SFDC Activation Rep'!B:B,'Download of SFDC Activation Rep'!H:H),"")</f>
        <v/>
      </c>
      <c r="H549" s="13" t="str">
        <f t="array" ref="H549">iferror(xlookup(A549,'Download of SFDC Activation Rep'!B:B,'Download of SFDC Activation Rep'!L:L),"")</f>
        <v/>
      </c>
      <c r="I549" s="17" t="str">
        <f t="shared" si="1"/>
        <v>Not Active</v>
      </c>
      <c r="J549" s="17" t="str">
        <f t="array" ref="J549">iferror(XLOOKUP(A549,'Download of SFDC Activation Rep'!B:B,'Download of SFDC Activation Rep'!X:X),"")</f>
        <v/>
      </c>
      <c r="K549" s="17" t="str">
        <f t="array" ref="K549">iferror(XLOOKUP(A549,'Download of SFDC Activation Rep'!B:B,'Download of SFDC Activation Rep'!C:C),"")</f>
        <v/>
      </c>
      <c r="L549" s="18" t="str">
        <f t="array" ref="L549">iferror(XLOOKUP(A549,'Download of SFDC Activation Rep'!B:B,'Download of SFDC Activation Rep'!S:S),"")</f>
        <v/>
      </c>
      <c r="M549" s="24" t="str">
        <f t="array" ref="M549">iferror(XLOOKUP(A549,'Download of SFDC Activation Rep'!B:B,'Download of SFDC Activation Rep'!Z:Z)+150,"")</f>
        <v/>
      </c>
      <c r="N549" s="24" t="str">
        <f t="array" ref="N549">iferror(XLOOKUP(A549,'Download of SFDC Activation Rep'!B:B,'Download of SFDC Activation Rep'!Y:Y),"")</f>
        <v/>
      </c>
    </row>
    <row r="550">
      <c r="B550" s="14"/>
      <c r="C550" s="14"/>
      <c r="D550" s="14"/>
      <c r="E550" s="15"/>
      <c r="F550" s="14"/>
      <c r="G550" s="13" t="str">
        <f t="array" ref="G550">iferror(XLOOKUP(A550,'Download of SFDC Activation Rep'!B:B,'Download of SFDC Activation Rep'!H:H),"")</f>
        <v/>
      </c>
      <c r="H550" s="13" t="str">
        <f t="array" ref="H550">iferror(xlookup(A550,'Download of SFDC Activation Rep'!B:B,'Download of SFDC Activation Rep'!L:L),"")</f>
        <v/>
      </c>
      <c r="I550" s="17" t="str">
        <f t="shared" si="1"/>
        <v>Not Active</v>
      </c>
      <c r="J550" s="17" t="str">
        <f t="array" ref="J550">iferror(XLOOKUP(A550,'Download of SFDC Activation Rep'!B:B,'Download of SFDC Activation Rep'!X:X),"")</f>
        <v/>
      </c>
      <c r="K550" s="17" t="str">
        <f t="array" ref="K550">iferror(XLOOKUP(A550,'Download of SFDC Activation Rep'!B:B,'Download of SFDC Activation Rep'!C:C),"")</f>
        <v/>
      </c>
      <c r="L550" s="18" t="str">
        <f t="array" ref="L550">iferror(XLOOKUP(A550,'Download of SFDC Activation Rep'!B:B,'Download of SFDC Activation Rep'!S:S),"")</f>
        <v/>
      </c>
      <c r="M550" s="24" t="str">
        <f t="array" ref="M550">iferror(XLOOKUP(A550,'Download of SFDC Activation Rep'!B:B,'Download of SFDC Activation Rep'!Z:Z)+150,"")</f>
        <v/>
      </c>
      <c r="N550" s="24" t="str">
        <f t="array" ref="N550">iferror(XLOOKUP(A550,'Download of SFDC Activation Rep'!B:B,'Download of SFDC Activation Rep'!Y:Y),"")</f>
        <v/>
      </c>
    </row>
    <row r="551">
      <c r="B551" s="14"/>
      <c r="C551" s="14"/>
      <c r="D551" s="14"/>
      <c r="E551" s="15"/>
      <c r="F551" s="14"/>
      <c r="G551" s="13" t="str">
        <f t="array" ref="G551">iferror(XLOOKUP(A551,'Download of SFDC Activation Rep'!B:B,'Download of SFDC Activation Rep'!H:H),"")</f>
        <v/>
      </c>
      <c r="H551" s="13" t="str">
        <f t="array" ref="H551">iferror(xlookup(A551,'Download of SFDC Activation Rep'!B:B,'Download of SFDC Activation Rep'!L:L),"")</f>
        <v/>
      </c>
      <c r="I551" s="17" t="str">
        <f t="shared" si="1"/>
        <v>Not Active</v>
      </c>
      <c r="J551" s="17" t="str">
        <f t="array" ref="J551">iferror(XLOOKUP(A551,'Download of SFDC Activation Rep'!B:B,'Download of SFDC Activation Rep'!X:X),"")</f>
        <v/>
      </c>
      <c r="K551" s="17" t="str">
        <f t="array" ref="K551">iferror(XLOOKUP(A551,'Download of SFDC Activation Rep'!B:B,'Download of SFDC Activation Rep'!C:C),"")</f>
        <v/>
      </c>
      <c r="L551" s="18" t="str">
        <f t="array" ref="L551">iferror(XLOOKUP(A551,'Download of SFDC Activation Rep'!B:B,'Download of SFDC Activation Rep'!S:S),"")</f>
        <v/>
      </c>
      <c r="M551" s="24" t="str">
        <f t="array" ref="M551">iferror(XLOOKUP(A551,'Download of SFDC Activation Rep'!B:B,'Download of SFDC Activation Rep'!Z:Z)+150,"")</f>
        <v/>
      </c>
      <c r="N551" s="24" t="str">
        <f t="array" ref="N551">iferror(XLOOKUP(A551,'Download of SFDC Activation Rep'!B:B,'Download of SFDC Activation Rep'!Y:Y),"")</f>
        <v/>
      </c>
    </row>
    <row r="552">
      <c r="B552" s="14"/>
      <c r="C552" s="14"/>
      <c r="D552" s="14"/>
      <c r="E552" s="15"/>
      <c r="F552" s="14"/>
      <c r="G552" s="13" t="str">
        <f t="array" ref="G552">iferror(XLOOKUP(A552,'Download of SFDC Activation Rep'!B:B,'Download of SFDC Activation Rep'!H:H),"")</f>
        <v/>
      </c>
      <c r="H552" s="13" t="str">
        <f t="array" ref="H552">iferror(xlookup(A552,'Download of SFDC Activation Rep'!B:B,'Download of SFDC Activation Rep'!L:L),"")</f>
        <v/>
      </c>
      <c r="I552" s="17" t="str">
        <f t="shared" si="1"/>
        <v>Not Active</v>
      </c>
      <c r="J552" s="17" t="str">
        <f t="array" ref="J552">iferror(XLOOKUP(A552,'Download of SFDC Activation Rep'!B:B,'Download of SFDC Activation Rep'!X:X),"")</f>
        <v/>
      </c>
      <c r="K552" s="17" t="str">
        <f t="array" ref="K552">iferror(XLOOKUP(A552,'Download of SFDC Activation Rep'!B:B,'Download of SFDC Activation Rep'!C:C),"")</f>
        <v/>
      </c>
      <c r="L552" s="18" t="str">
        <f t="array" ref="L552">iferror(XLOOKUP(A552,'Download of SFDC Activation Rep'!B:B,'Download of SFDC Activation Rep'!S:S),"")</f>
        <v/>
      </c>
      <c r="M552" s="24" t="str">
        <f t="array" ref="M552">iferror(XLOOKUP(A552,'Download of SFDC Activation Rep'!B:B,'Download of SFDC Activation Rep'!Z:Z)+150,"")</f>
        <v/>
      </c>
      <c r="N552" s="24" t="str">
        <f t="array" ref="N552">iferror(XLOOKUP(A552,'Download of SFDC Activation Rep'!B:B,'Download of SFDC Activation Rep'!Y:Y),"")</f>
        <v/>
      </c>
    </row>
    <row r="553">
      <c r="B553" s="14"/>
      <c r="C553" s="14"/>
      <c r="D553" s="14"/>
      <c r="E553" s="15"/>
      <c r="F553" s="14"/>
      <c r="G553" s="13" t="str">
        <f t="array" ref="G553">iferror(XLOOKUP(A553,'Download of SFDC Activation Rep'!B:B,'Download of SFDC Activation Rep'!H:H),"")</f>
        <v/>
      </c>
      <c r="H553" s="13" t="str">
        <f t="array" ref="H553">iferror(xlookup(A553,'Download of SFDC Activation Rep'!B:B,'Download of SFDC Activation Rep'!L:L),"")</f>
        <v/>
      </c>
      <c r="I553" s="17" t="str">
        <f t="shared" si="1"/>
        <v>Not Active</v>
      </c>
      <c r="J553" s="17" t="str">
        <f t="array" ref="J553">iferror(XLOOKUP(A553,'Download of SFDC Activation Rep'!B:B,'Download of SFDC Activation Rep'!X:X),"")</f>
        <v/>
      </c>
      <c r="K553" s="17" t="str">
        <f t="array" ref="K553">iferror(XLOOKUP(A553,'Download of SFDC Activation Rep'!B:B,'Download of SFDC Activation Rep'!C:C),"")</f>
        <v/>
      </c>
      <c r="L553" s="18" t="str">
        <f t="array" ref="L553">iferror(XLOOKUP(A553,'Download of SFDC Activation Rep'!B:B,'Download of SFDC Activation Rep'!S:S),"")</f>
        <v/>
      </c>
      <c r="M553" s="24" t="str">
        <f t="array" ref="M553">iferror(XLOOKUP(A553,'Download of SFDC Activation Rep'!B:B,'Download of SFDC Activation Rep'!Z:Z)+150,"")</f>
        <v/>
      </c>
      <c r="N553" s="24" t="str">
        <f t="array" ref="N553">iferror(XLOOKUP(A553,'Download of SFDC Activation Rep'!B:B,'Download of SFDC Activation Rep'!Y:Y),"")</f>
        <v/>
      </c>
    </row>
    <row r="554">
      <c r="B554" s="14"/>
      <c r="C554" s="14"/>
      <c r="D554" s="14"/>
      <c r="E554" s="15"/>
      <c r="F554" s="14"/>
      <c r="G554" s="13" t="str">
        <f t="array" ref="G554">iferror(XLOOKUP(A554,'Download of SFDC Activation Rep'!B:B,'Download of SFDC Activation Rep'!H:H),"")</f>
        <v/>
      </c>
      <c r="H554" s="13" t="str">
        <f t="array" ref="H554">iferror(xlookup(A554,'Download of SFDC Activation Rep'!B:B,'Download of SFDC Activation Rep'!L:L),"")</f>
        <v/>
      </c>
      <c r="I554" s="17" t="str">
        <f t="shared" si="1"/>
        <v>Not Active</v>
      </c>
      <c r="J554" s="17" t="str">
        <f t="array" ref="J554">iferror(XLOOKUP(A554,'Download of SFDC Activation Rep'!B:B,'Download of SFDC Activation Rep'!X:X),"")</f>
        <v/>
      </c>
      <c r="K554" s="17" t="str">
        <f t="array" ref="K554">iferror(XLOOKUP(A554,'Download of SFDC Activation Rep'!B:B,'Download of SFDC Activation Rep'!C:C),"")</f>
        <v/>
      </c>
      <c r="L554" s="18" t="str">
        <f t="array" ref="L554">iferror(XLOOKUP(A554,'Download of SFDC Activation Rep'!B:B,'Download of SFDC Activation Rep'!S:S),"")</f>
        <v/>
      </c>
      <c r="M554" s="24" t="str">
        <f t="array" ref="M554">iferror(XLOOKUP(A554,'Download of SFDC Activation Rep'!B:B,'Download of SFDC Activation Rep'!Z:Z)+150,"")</f>
        <v/>
      </c>
      <c r="N554" s="24" t="str">
        <f t="array" ref="N554">iferror(XLOOKUP(A554,'Download of SFDC Activation Rep'!B:B,'Download of SFDC Activation Rep'!Y:Y),"")</f>
        <v/>
      </c>
    </row>
    <row r="555">
      <c r="B555" s="14"/>
      <c r="C555" s="14"/>
      <c r="D555" s="14"/>
      <c r="E555" s="15"/>
      <c r="F555" s="14"/>
      <c r="G555" s="13" t="str">
        <f t="array" ref="G555">iferror(XLOOKUP(A555,'Download of SFDC Activation Rep'!B:B,'Download of SFDC Activation Rep'!H:H),"")</f>
        <v/>
      </c>
      <c r="H555" s="13" t="str">
        <f t="array" ref="H555">iferror(xlookup(A555,'Download of SFDC Activation Rep'!B:B,'Download of SFDC Activation Rep'!L:L),"")</f>
        <v/>
      </c>
      <c r="I555" s="17" t="str">
        <f t="shared" si="1"/>
        <v>Not Active</v>
      </c>
      <c r="J555" s="17" t="str">
        <f t="array" ref="J555">iferror(XLOOKUP(A555,'Download of SFDC Activation Rep'!B:B,'Download of SFDC Activation Rep'!X:X),"")</f>
        <v/>
      </c>
      <c r="K555" s="17" t="str">
        <f t="array" ref="K555">iferror(XLOOKUP(A555,'Download of SFDC Activation Rep'!B:B,'Download of SFDC Activation Rep'!C:C),"")</f>
        <v/>
      </c>
      <c r="L555" s="18" t="str">
        <f t="array" ref="L555">iferror(XLOOKUP(A555,'Download of SFDC Activation Rep'!B:B,'Download of SFDC Activation Rep'!S:S),"")</f>
        <v/>
      </c>
      <c r="M555" s="24" t="str">
        <f t="array" ref="M555">iferror(XLOOKUP(A555,'Download of SFDC Activation Rep'!B:B,'Download of SFDC Activation Rep'!Z:Z)+150,"")</f>
        <v/>
      </c>
      <c r="N555" s="24" t="str">
        <f t="array" ref="N555">iferror(XLOOKUP(A555,'Download of SFDC Activation Rep'!B:B,'Download of SFDC Activation Rep'!Y:Y),"")</f>
        <v/>
      </c>
    </row>
    <row r="556">
      <c r="B556" s="14"/>
      <c r="C556" s="14"/>
      <c r="D556" s="14"/>
      <c r="E556" s="15"/>
      <c r="F556" s="14"/>
      <c r="G556" s="13" t="str">
        <f t="array" ref="G556">iferror(XLOOKUP(A556,'Download of SFDC Activation Rep'!B:B,'Download of SFDC Activation Rep'!H:H),"")</f>
        <v/>
      </c>
      <c r="H556" s="13" t="str">
        <f t="array" ref="H556">iferror(xlookup(A556,'Download of SFDC Activation Rep'!B:B,'Download of SFDC Activation Rep'!L:L),"")</f>
        <v/>
      </c>
      <c r="I556" s="17" t="str">
        <f t="shared" si="1"/>
        <v>Not Active</v>
      </c>
      <c r="J556" s="17" t="str">
        <f t="array" ref="J556">iferror(XLOOKUP(A556,'Download of SFDC Activation Rep'!B:B,'Download of SFDC Activation Rep'!X:X),"")</f>
        <v/>
      </c>
      <c r="K556" s="17" t="str">
        <f t="array" ref="K556">iferror(XLOOKUP(A556,'Download of SFDC Activation Rep'!B:B,'Download of SFDC Activation Rep'!C:C),"")</f>
        <v/>
      </c>
      <c r="L556" s="18" t="str">
        <f t="array" ref="L556">iferror(XLOOKUP(A556,'Download of SFDC Activation Rep'!B:B,'Download of SFDC Activation Rep'!S:S),"")</f>
        <v/>
      </c>
      <c r="M556" s="24" t="str">
        <f t="array" ref="M556">iferror(XLOOKUP(A556,'Download of SFDC Activation Rep'!B:B,'Download of SFDC Activation Rep'!Z:Z)+150,"")</f>
        <v/>
      </c>
      <c r="N556" s="24" t="str">
        <f t="array" ref="N556">iferror(XLOOKUP(A556,'Download of SFDC Activation Rep'!B:B,'Download of SFDC Activation Rep'!Y:Y),"")</f>
        <v/>
      </c>
    </row>
    <row r="557">
      <c r="B557" s="14"/>
      <c r="C557" s="14"/>
      <c r="D557" s="14"/>
      <c r="E557" s="15"/>
      <c r="F557" s="14"/>
      <c r="G557" s="13" t="str">
        <f t="array" ref="G557">iferror(XLOOKUP(A557,'Download of SFDC Activation Rep'!B:B,'Download of SFDC Activation Rep'!H:H),"")</f>
        <v/>
      </c>
      <c r="H557" s="13" t="str">
        <f t="array" ref="H557">iferror(xlookup(A557,'Download of SFDC Activation Rep'!B:B,'Download of SFDC Activation Rep'!L:L),"")</f>
        <v/>
      </c>
      <c r="I557" s="17" t="str">
        <f t="shared" si="1"/>
        <v>Not Active</v>
      </c>
      <c r="J557" s="17" t="str">
        <f t="array" ref="J557">iferror(XLOOKUP(A557,'Download of SFDC Activation Rep'!B:B,'Download of SFDC Activation Rep'!X:X),"")</f>
        <v/>
      </c>
      <c r="K557" s="17" t="str">
        <f t="array" ref="K557">iferror(XLOOKUP(A557,'Download of SFDC Activation Rep'!B:B,'Download of SFDC Activation Rep'!C:C),"")</f>
        <v/>
      </c>
      <c r="L557" s="18" t="str">
        <f t="array" ref="L557">iferror(XLOOKUP(A557,'Download of SFDC Activation Rep'!B:B,'Download of SFDC Activation Rep'!S:S),"")</f>
        <v/>
      </c>
      <c r="M557" s="24" t="str">
        <f t="array" ref="M557">iferror(XLOOKUP(A557,'Download of SFDC Activation Rep'!B:B,'Download of SFDC Activation Rep'!Z:Z)+150,"")</f>
        <v/>
      </c>
      <c r="N557" s="24" t="str">
        <f t="array" ref="N557">iferror(XLOOKUP(A557,'Download of SFDC Activation Rep'!B:B,'Download of SFDC Activation Rep'!Y:Y),"")</f>
        <v/>
      </c>
    </row>
    <row r="558">
      <c r="B558" s="14"/>
      <c r="C558" s="14"/>
      <c r="D558" s="14"/>
      <c r="E558" s="15"/>
      <c r="F558" s="14"/>
      <c r="G558" s="13" t="str">
        <f t="array" ref="G558">iferror(XLOOKUP(A558,'Download of SFDC Activation Rep'!B:B,'Download of SFDC Activation Rep'!H:H),"")</f>
        <v/>
      </c>
      <c r="H558" s="13" t="str">
        <f t="array" ref="H558">iferror(xlookup(A558,'Download of SFDC Activation Rep'!B:B,'Download of SFDC Activation Rep'!L:L),"")</f>
        <v/>
      </c>
      <c r="I558" s="17" t="str">
        <f t="shared" si="1"/>
        <v>Not Active</v>
      </c>
      <c r="J558" s="17" t="str">
        <f t="array" ref="J558">iferror(XLOOKUP(A558,'Download of SFDC Activation Rep'!B:B,'Download of SFDC Activation Rep'!X:X),"")</f>
        <v/>
      </c>
      <c r="K558" s="17" t="str">
        <f t="array" ref="K558">iferror(XLOOKUP(A558,'Download of SFDC Activation Rep'!B:B,'Download of SFDC Activation Rep'!C:C),"")</f>
        <v/>
      </c>
      <c r="L558" s="18" t="str">
        <f t="array" ref="L558">iferror(XLOOKUP(A558,'Download of SFDC Activation Rep'!B:B,'Download of SFDC Activation Rep'!S:S),"")</f>
        <v/>
      </c>
      <c r="M558" s="24" t="str">
        <f t="array" ref="M558">iferror(XLOOKUP(A558,'Download of SFDC Activation Rep'!B:B,'Download of SFDC Activation Rep'!Z:Z)+150,"")</f>
        <v/>
      </c>
      <c r="N558" s="24" t="str">
        <f t="array" ref="N558">iferror(XLOOKUP(A558,'Download of SFDC Activation Rep'!B:B,'Download of SFDC Activation Rep'!Y:Y),"")</f>
        <v/>
      </c>
    </row>
    <row r="559">
      <c r="B559" s="14"/>
      <c r="C559" s="14"/>
      <c r="D559" s="14"/>
      <c r="E559" s="15"/>
      <c r="F559" s="14"/>
      <c r="G559" s="13" t="str">
        <f t="array" ref="G559">iferror(XLOOKUP(A559,'Download of SFDC Activation Rep'!B:B,'Download of SFDC Activation Rep'!H:H),"")</f>
        <v/>
      </c>
      <c r="H559" s="13" t="str">
        <f t="array" ref="H559">iferror(xlookup(A559,'Download of SFDC Activation Rep'!B:B,'Download of SFDC Activation Rep'!L:L),"")</f>
        <v/>
      </c>
      <c r="I559" s="17" t="str">
        <f t="shared" si="1"/>
        <v>Not Active</v>
      </c>
      <c r="J559" s="17" t="str">
        <f t="array" ref="J559">iferror(XLOOKUP(A559,'Download of SFDC Activation Rep'!B:B,'Download of SFDC Activation Rep'!X:X),"")</f>
        <v/>
      </c>
      <c r="K559" s="17" t="str">
        <f t="array" ref="K559">iferror(XLOOKUP(A559,'Download of SFDC Activation Rep'!B:B,'Download of SFDC Activation Rep'!C:C),"")</f>
        <v/>
      </c>
      <c r="L559" s="18" t="str">
        <f t="array" ref="L559">iferror(XLOOKUP(A559,'Download of SFDC Activation Rep'!B:B,'Download of SFDC Activation Rep'!S:S),"")</f>
        <v/>
      </c>
      <c r="M559" s="24" t="str">
        <f t="array" ref="M559">iferror(XLOOKUP(A559,'Download of SFDC Activation Rep'!B:B,'Download of SFDC Activation Rep'!Z:Z)+150,"")</f>
        <v/>
      </c>
      <c r="N559" s="24" t="str">
        <f t="array" ref="N559">iferror(XLOOKUP(A559,'Download of SFDC Activation Rep'!B:B,'Download of SFDC Activation Rep'!Y:Y),"")</f>
        <v/>
      </c>
    </row>
    <row r="560">
      <c r="B560" s="14"/>
      <c r="C560" s="14"/>
      <c r="D560" s="14"/>
      <c r="E560" s="15"/>
      <c r="F560" s="14"/>
      <c r="G560" s="13" t="str">
        <f t="array" ref="G560">iferror(XLOOKUP(A560,'Download of SFDC Activation Rep'!B:B,'Download of SFDC Activation Rep'!H:H),"")</f>
        <v/>
      </c>
      <c r="H560" s="13" t="str">
        <f t="array" ref="H560">iferror(xlookup(A560,'Download of SFDC Activation Rep'!B:B,'Download of SFDC Activation Rep'!L:L),"")</f>
        <v/>
      </c>
      <c r="I560" s="17" t="str">
        <f t="shared" si="1"/>
        <v>Not Active</v>
      </c>
      <c r="J560" s="17" t="str">
        <f t="array" ref="J560">iferror(XLOOKUP(A560,'Download of SFDC Activation Rep'!B:B,'Download of SFDC Activation Rep'!X:X),"")</f>
        <v/>
      </c>
      <c r="K560" s="17" t="str">
        <f t="array" ref="K560">iferror(XLOOKUP(A560,'Download of SFDC Activation Rep'!B:B,'Download of SFDC Activation Rep'!C:C),"")</f>
        <v/>
      </c>
      <c r="L560" s="18" t="str">
        <f t="array" ref="L560">iferror(XLOOKUP(A560,'Download of SFDC Activation Rep'!B:B,'Download of SFDC Activation Rep'!S:S),"")</f>
        <v/>
      </c>
      <c r="M560" s="24" t="str">
        <f t="array" ref="M560">iferror(XLOOKUP(A560,'Download of SFDC Activation Rep'!B:B,'Download of SFDC Activation Rep'!Z:Z)+150,"")</f>
        <v/>
      </c>
      <c r="N560" s="24" t="str">
        <f t="array" ref="N560">iferror(XLOOKUP(A560,'Download of SFDC Activation Rep'!B:B,'Download of SFDC Activation Rep'!Y:Y),"")</f>
        <v/>
      </c>
    </row>
    <row r="561">
      <c r="B561" s="14"/>
      <c r="C561" s="14"/>
      <c r="D561" s="14"/>
      <c r="E561" s="15"/>
      <c r="F561" s="14"/>
      <c r="G561" s="13" t="str">
        <f t="array" ref="G561">iferror(XLOOKUP(A561,'Download of SFDC Activation Rep'!B:B,'Download of SFDC Activation Rep'!H:H),"")</f>
        <v/>
      </c>
      <c r="H561" s="13" t="str">
        <f t="array" ref="H561">iferror(xlookup(A561,'Download of SFDC Activation Rep'!B:B,'Download of SFDC Activation Rep'!L:L),"")</f>
        <v/>
      </c>
      <c r="I561" s="17" t="str">
        <f t="shared" si="1"/>
        <v>Not Active</v>
      </c>
      <c r="J561" s="17" t="str">
        <f t="array" ref="J561">iferror(XLOOKUP(A561,'Download of SFDC Activation Rep'!B:B,'Download of SFDC Activation Rep'!X:X),"")</f>
        <v/>
      </c>
      <c r="K561" s="17" t="str">
        <f t="array" ref="K561">iferror(XLOOKUP(A561,'Download of SFDC Activation Rep'!B:B,'Download of SFDC Activation Rep'!C:C),"")</f>
        <v/>
      </c>
      <c r="L561" s="18" t="str">
        <f t="array" ref="L561">iferror(XLOOKUP(A561,'Download of SFDC Activation Rep'!B:B,'Download of SFDC Activation Rep'!S:S),"")</f>
        <v/>
      </c>
      <c r="M561" s="24" t="str">
        <f t="array" ref="M561">iferror(XLOOKUP(A561,'Download of SFDC Activation Rep'!B:B,'Download of SFDC Activation Rep'!Z:Z)+150,"")</f>
        <v/>
      </c>
      <c r="N561" s="24" t="str">
        <f t="array" ref="N561">iferror(XLOOKUP(A561,'Download of SFDC Activation Rep'!B:B,'Download of SFDC Activation Rep'!Y:Y),"")</f>
        <v/>
      </c>
    </row>
    <row r="562">
      <c r="B562" s="14"/>
      <c r="C562" s="14"/>
      <c r="D562" s="14"/>
      <c r="E562" s="15"/>
      <c r="F562" s="14"/>
      <c r="G562" s="13" t="str">
        <f t="array" ref="G562">iferror(XLOOKUP(A562,'Download of SFDC Activation Rep'!B:B,'Download of SFDC Activation Rep'!H:H),"")</f>
        <v/>
      </c>
      <c r="H562" s="13" t="str">
        <f t="array" ref="H562">iferror(xlookup(A562,'Download of SFDC Activation Rep'!B:B,'Download of SFDC Activation Rep'!L:L),"")</f>
        <v/>
      </c>
      <c r="I562" s="17" t="str">
        <f t="shared" si="1"/>
        <v>Not Active</v>
      </c>
      <c r="J562" s="17" t="str">
        <f t="array" ref="J562">iferror(XLOOKUP(A562,'Download of SFDC Activation Rep'!B:B,'Download of SFDC Activation Rep'!X:X),"")</f>
        <v/>
      </c>
      <c r="K562" s="17" t="str">
        <f t="array" ref="K562">iferror(XLOOKUP(A562,'Download of SFDC Activation Rep'!B:B,'Download of SFDC Activation Rep'!C:C),"")</f>
        <v/>
      </c>
      <c r="L562" s="18" t="str">
        <f t="array" ref="L562">iferror(XLOOKUP(A562,'Download of SFDC Activation Rep'!B:B,'Download of SFDC Activation Rep'!S:S),"")</f>
        <v/>
      </c>
      <c r="M562" s="24" t="str">
        <f t="array" ref="M562">iferror(XLOOKUP(A562,'Download of SFDC Activation Rep'!B:B,'Download of SFDC Activation Rep'!Z:Z)+150,"")</f>
        <v/>
      </c>
      <c r="N562" s="24" t="str">
        <f t="array" ref="N562">iferror(XLOOKUP(A562,'Download of SFDC Activation Rep'!B:B,'Download of SFDC Activation Rep'!Y:Y),"")</f>
        <v/>
      </c>
    </row>
    <row r="563">
      <c r="B563" s="14"/>
      <c r="C563" s="14"/>
      <c r="D563" s="14"/>
      <c r="E563" s="15"/>
      <c r="F563" s="14"/>
      <c r="G563" s="13" t="str">
        <f t="array" ref="G563">iferror(XLOOKUP(A563,'Download of SFDC Activation Rep'!B:B,'Download of SFDC Activation Rep'!H:H),"")</f>
        <v/>
      </c>
      <c r="H563" s="13" t="str">
        <f t="array" ref="H563">iferror(xlookup(A563,'Download of SFDC Activation Rep'!B:B,'Download of SFDC Activation Rep'!L:L),"")</f>
        <v/>
      </c>
      <c r="I563" s="17" t="str">
        <f t="shared" si="1"/>
        <v>Not Active</v>
      </c>
      <c r="J563" s="17" t="str">
        <f t="array" ref="J563">iferror(XLOOKUP(A563,'Download of SFDC Activation Rep'!B:B,'Download of SFDC Activation Rep'!X:X),"")</f>
        <v/>
      </c>
      <c r="K563" s="17" t="str">
        <f t="array" ref="K563">iferror(XLOOKUP(A563,'Download of SFDC Activation Rep'!B:B,'Download of SFDC Activation Rep'!C:C),"")</f>
        <v/>
      </c>
      <c r="L563" s="18" t="str">
        <f t="array" ref="L563">iferror(XLOOKUP(A563,'Download of SFDC Activation Rep'!B:B,'Download of SFDC Activation Rep'!S:S),"")</f>
        <v/>
      </c>
      <c r="M563" s="24" t="str">
        <f t="array" ref="M563">iferror(XLOOKUP(A563,'Download of SFDC Activation Rep'!B:B,'Download of SFDC Activation Rep'!Z:Z)+150,"")</f>
        <v/>
      </c>
      <c r="N563" s="24" t="str">
        <f t="array" ref="N563">iferror(XLOOKUP(A563,'Download of SFDC Activation Rep'!B:B,'Download of SFDC Activation Rep'!Y:Y),"")</f>
        <v/>
      </c>
    </row>
    <row r="564">
      <c r="B564" s="14"/>
      <c r="C564" s="14"/>
      <c r="D564" s="14"/>
      <c r="E564" s="15"/>
      <c r="F564" s="14"/>
      <c r="G564" s="13" t="str">
        <f t="array" ref="G564">iferror(XLOOKUP(A564,'Download of SFDC Activation Rep'!B:B,'Download of SFDC Activation Rep'!H:H),"")</f>
        <v/>
      </c>
      <c r="H564" s="13" t="str">
        <f t="array" ref="H564">iferror(xlookup(A564,'Download of SFDC Activation Rep'!B:B,'Download of SFDC Activation Rep'!L:L),"")</f>
        <v/>
      </c>
      <c r="I564" s="17" t="str">
        <f t="shared" si="1"/>
        <v>Not Active</v>
      </c>
      <c r="J564" s="17" t="str">
        <f t="array" ref="J564">iferror(XLOOKUP(A564,'Download of SFDC Activation Rep'!B:B,'Download of SFDC Activation Rep'!X:X),"")</f>
        <v/>
      </c>
      <c r="K564" s="17" t="str">
        <f t="array" ref="K564">iferror(XLOOKUP(A564,'Download of SFDC Activation Rep'!B:B,'Download of SFDC Activation Rep'!C:C),"")</f>
        <v/>
      </c>
      <c r="L564" s="18" t="str">
        <f t="array" ref="L564">iferror(XLOOKUP(A564,'Download of SFDC Activation Rep'!B:B,'Download of SFDC Activation Rep'!S:S),"")</f>
        <v/>
      </c>
      <c r="M564" s="24" t="str">
        <f t="array" ref="M564">iferror(XLOOKUP(A564,'Download of SFDC Activation Rep'!B:B,'Download of SFDC Activation Rep'!Z:Z)+150,"")</f>
        <v/>
      </c>
      <c r="N564" s="24" t="str">
        <f t="array" ref="N564">iferror(XLOOKUP(A564,'Download of SFDC Activation Rep'!B:B,'Download of SFDC Activation Rep'!Y:Y),"")</f>
        <v/>
      </c>
    </row>
    <row r="565">
      <c r="B565" s="14"/>
      <c r="C565" s="14"/>
      <c r="D565" s="14"/>
      <c r="E565" s="15"/>
      <c r="F565" s="14"/>
      <c r="G565" s="13" t="str">
        <f t="array" ref="G565">iferror(XLOOKUP(A565,'Download of SFDC Activation Rep'!B:B,'Download of SFDC Activation Rep'!H:H),"")</f>
        <v/>
      </c>
      <c r="H565" s="13" t="str">
        <f t="array" ref="H565">iferror(xlookup(A565,'Download of SFDC Activation Rep'!B:B,'Download of SFDC Activation Rep'!L:L),"")</f>
        <v/>
      </c>
      <c r="I565" s="17" t="str">
        <f t="shared" si="1"/>
        <v>Not Active</v>
      </c>
      <c r="J565" s="17" t="str">
        <f t="array" ref="J565">iferror(XLOOKUP(A565,'Download of SFDC Activation Rep'!B:B,'Download of SFDC Activation Rep'!X:X),"")</f>
        <v/>
      </c>
      <c r="K565" s="17" t="str">
        <f t="array" ref="K565">iferror(XLOOKUP(A565,'Download of SFDC Activation Rep'!B:B,'Download of SFDC Activation Rep'!C:C),"")</f>
        <v/>
      </c>
      <c r="L565" s="18" t="str">
        <f t="array" ref="L565">iferror(XLOOKUP(A565,'Download of SFDC Activation Rep'!B:B,'Download of SFDC Activation Rep'!S:S),"")</f>
        <v/>
      </c>
      <c r="M565" s="24" t="str">
        <f t="array" ref="M565">iferror(XLOOKUP(A565,'Download of SFDC Activation Rep'!B:B,'Download of SFDC Activation Rep'!Z:Z)+150,"")</f>
        <v/>
      </c>
      <c r="N565" s="24" t="str">
        <f t="array" ref="N565">iferror(XLOOKUP(A565,'Download of SFDC Activation Rep'!B:B,'Download of SFDC Activation Rep'!Y:Y),"")</f>
        <v/>
      </c>
    </row>
    <row r="566">
      <c r="B566" s="14"/>
      <c r="C566" s="14"/>
      <c r="D566" s="14"/>
      <c r="E566" s="15"/>
      <c r="F566" s="14"/>
      <c r="G566" s="13" t="str">
        <f t="array" ref="G566">iferror(XLOOKUP(A566,'Download of SFDC Activation Rep'!B:B,'Download of SFDC Activation Rep'!H:H),"")</f>
        <v/>
      </c>
      <c r="H566" s="13" t="str">
        <f t="array" ref="H566">iferror(xlookup(A566,'Download of SFDC Activation Rep'!B:B,'Download of SFDC Activation Rep'!L:L),"")</f>
        <v/>
      </c>
      <c r="I566" s="17" t="str">
        <f t="shared" si="1"/>
        <v>Not Active</v>
      </c>
      <c r="J566" s="17" t="str">
        <f t="array" ref="J566">iferror(XLOOKUP(A566,'Download of SFDC Activation Rep'!B:B,'Download of SFDC Activation Rep'!X:X),"")</f>
        <v/>
      </c>
      <c r="K566" s="17" t="str">
        <f t="array" ref="K566">iferror(XLOOKUP(A566,'Download of SFDC Activation Rep'!B:B,'Download of SFDC Activation Rep'!C:C),"")</f>
        <v/>
      </c>
      <c r="L566" s="18" t="str">
        <f t="array" ref="L566">iferror(XLOOKUP(A566,'Download of SFDC Activation Rep'!B:B,'Download of SFDC Activation Rep'!S:S),"")</f>
        <v/>
      </c>
      <c r="M566" s="24" t="str">
        <f t="array" ref="M566">iferror(XLOOKUP(A566,'Download of SFDC Activation Rep'!B:B,'Download of SFDC Activation Rep'!Z:Z)+150,"")</f>
        <v/>
      </c>
      <c r="N566" s="24" t="str">
        <f t="array" ref="N566">iferror(XLOOKUP(A566,'Download of SFDC Activation Rep'!B:B,'Download of SFDC Activation Rep'!Y:Y),"")</f>
        <v/>
      </c>
    </row>
    <row r="567">
      <c r="B567" s="14"/>
      <c r="C567" s="14"/>
      <c r="D567" s="14"/>
      <c r="E567" s="15"/>
      <c r="F567" s="14"/>
      <c r="G567" s="13" t="str">
        <f t="array" ref="G567">iferror(XLOOKUP(A567,'Download of SFDC Activation Rep'!B:B,'Download of SFDC Activation Rep'!H:H),"")</f>
        <v/>
      </c>
      <c r="H567" s="13" t="str">
        <f t="array" ref="H567">iferror(xlookup(A567,'Download of SFDC Activation Rep'!B:B,'Download of SFDC Activation Rep'!L:L),"")</f>
        <v/>
      </c>
      <c r="I567" s="17" t="str">
        <f t="shared" si="1"/>
        <v>Not Active</v>
      </c>
      <c r="J567" s="17" t="str">
        <f t="array" ref="J567">iferror(XLOOKUP(A567,'Download of SFDC Activation Rep'!B:B,'Download of SFDC Activation Rep'!X:X),"")</f>
        <v/>
      </c>
      <c r="K567" s="17" t="str">
        <f t="array" ref="K567">iferror(XLOOKUP(A567,'Download of SFDC Activation Rep'!B:B,'Download of SFDC Activation Rep'!C:C),"")</f>
        <v/>
      </c>
      <c r="L567" s="18" t="str">
        <f t="array" ref="L567">iferror(XLOOKUP(A567,'Download of SFDC Activation Rep'!B:B,'Download of SFDC Activation Rep'!S:S),"")</f>
        <v/>
      </c>
      <c r="M567" s="24" t="str">
        <f t="array" ref="M567">iferror(XLOOKUP(A567,'Download of SFDC Activation Rep'!B:B,'Download of SFDC Activation Rep'!Z:Z)+150,"")</f>
        <v/>
      </c>
      <c r="N567" s="24" t="str">
        <f t="array" ref="N567">iferror(XLOOKUP(A567,'Download of SFDC Activation Rep'!B:B,'Download of SFDC Activation Rep'!Y:Y),"")</f>
        <v/>
      </c>
    </row>
    <row r="568">
      <c r="B568" s="14"/>
      <c r="C568" s="14"/>
      <c r="D568" s="14"/>
      <c r="E568" s="15"/>
      <c r="F568" s="14"/>
      <c r="G568" s="13" t="str">
        <f t="array" ref="G568">iferror(XLOOKUP(A568,'Download of SFDC Activation Rep'!B:B,'Download of SFDC Activation Rep'!H:H),"")</f>
        <v/>
      </c>
      <c r="H568" s="13" t="str">
        <f t="array" ref="H568">iferror(xlookup(A568,'Download of SFDC Activation Rep'!B:B,'Download of SFDC Activation Rep'!L:L),"")</f>
        <v/>
      </c>
      <c r="I568" s="17" t="str">
        <f t="shared" si="1"/>
        <v>Not Active</v>
      </c>
      <c r="J568" s="17" t="str">
        <f t="array" ref="J568">iferror(XLOOKUP(A568,'Download of SFDC Activation Rep'!B:B,'Download of SFDC Activation Rep'!X:X),"")</f>
        <v/>
      </c>
      <c r="K568" s="17" t="str">
        <f t="array" ref="K568">iferror(XLOOKUP(A568,'Download of SFDC Activation Rep'!B:B,'Download of SFDC Activation Rep'!C:C),"")</f>
        <v/>
      </c>
      <c r="L568" s="18" t="str">
        <f t="array" ref="L568">iferror(XLOOKUP(A568,'Download of SFDC Activation Rep'!B:B,'Download of SFDC Activation Rep'!S:S),"")</f>
        <v/>
      </c>
      <c r="M568" s="24" t="str">
        <f t="array" ref="M568">iferror(XLOOKUP(A568,'Download of SFDC Activation Rep'!B:B,'Download of SFDC Activation Rep'!Z:Z)+150,"")</f>
        <v/>
      </c>
      <c r="N568" s="24" t="str">
        <f t="array" ref="N568">iferror(XLOOKUP(A568,'Download of SFDC Activation Rep'!B:B,'Download of SFDC Activation Rep'!Y:Y),"")</f>
        <v/>
      </c>
    </row>
    <row r="569">
      <c r="B569" s="14"/>
      <c r="C569" s="14"/>
      <c r="D569" s="14"/>
      <c r="E569" s="15"/>
      <c r="F569" s="14"/>
      <c r="G569" s="13" t="str">
        <f t="array" ref="G569">iferror(XLOOKUP(A569,'Download of SFDC Activation Rep'!B:B,'Download of SFDC Activation Rep'!H:H),"")</f>
        <v/>
      </c>
      <c r="H569" s="13" t="str">
        <f t="array" ref="H569">iferror(xlookup(A569,'Download of SFDC Activation Rep'!B:B,'Download of SFDC Activation Rep'!L:L),"")</f>
        <v/>
      </c>
      <c r="I569" s="17" t="str">
        <f t="shared" si="1"/>
        <v>Not Active</v>
      </c>
      <c r="J569" s="17" t="str">
        <f t="array" ref="J569">iferror(XLOOKUP(A569,'Download of SFDC Activation Rep'!B:B,'Download of SFDC Activation Rep'!X:X),"")</f>
        <v/>
      </c>
      <c r="K569" s="17" t="str">
        <f t="array" ref="K569">iferror(XLOOKUP(A569,'Download of SFDC Activation Rep'!B:B,'Download of SFDC Activation Rep'!C:C),"")</f>
        <v/>
      </c>
      <c r="L569" s="18" t="str">
        <f t="array" ref="L569">iferror(XLOOKUP(A569,'Download of SFDC Activation Rep'!B:B,'Download of SFDC Activation Rep'!S:S),"")</f>
        <v/>
      </c>
      <c r="M569" s="24" t="str">
        <f t="array" ref="M569">iferror(XLOOKUP(A569,'Download of SFDC Activation Rep'!B:B,'Download of SFDC Activation Rep'!Z:Z)+150,"")</f>
        <v/>
      </c>
      <c r="N569" s="24" t="str">
        <f t="array" ref="N569">iferror(XLOOKUP(A569,'Download of SFDC Activation Rep'!B:B,'Download of SFDC Activation Rep'!Y:Y),"")</f>
        <v/>
      </c>
    </row>
    <row r="570">
      <c r="B570" s="14"/>
      <c r="C570" s="14"/>
      <c r="D570" s="14"/>
      <c r="E570" s="15"/>
      <c r="F570" s="14"/>
      <c r="G570" s="13" t="str">
        <f t="array" ref="G570">iferror(XLOOKUP(A570,'Download of SFDC Activation Rep'!B:B,'Download of SFDC Activation Rep'!H:H),"")</f>
        <v/>
      </c>
      <c r="H570" s="13" t="str">
        <f t="array" ref="H570">iferror(xlookup(A570,'Download of SFDC Activation Rep'!B:B,'Download of SFDC Activation Rep'!L:L),"")</f>
        <v/>
      </c>
      <c r="I570" s="17" t="str">
        <f t="shared" si="1"/>
        <v>Not Active</v>
      </c>
      <c r="J570" s="17" t="str">
        <f t="array" ref="J570">iferror(XLOOKUP(A570,'Download of SFDC Activation Rep'!B:B,'Download of SFDC Activation Rep'!X:X),"")</f>
        <v/>
      </c>
      <c r="K570" s="17" t="str">
        <f t="array" ref="K570">iferror(XLOOKUP(A570,'Download of SFDC Activation Rep'!B:B,'Download of SFDC Activation Rep'!C:C),"")</f>
        <v/>
      </c>
      <c r="L570" s="18" t="str">
        <f t="array" ref="L570">iferror(XLOOKUP(A570,'Download of SFDC Activation Rep'!B:B,'Download of SFDC Activation Rep'!S:S),"")</f>
        <v/>
      </c>
      <c r="M570" s="24" t="str">
        <f t="array" ref="M570">iferror(XLOOKUP(A570,'Download of SFDC Activation Rep'!B:B,'Download of SFDC Activation Rep'!Z:Z)+150,"")</f>
        <v/>
      </c>
      <c r="N570" s="24" t="str">
        <f t="array" ref="N570">iferror(XLOOKUP(A570,'Download of SFDC Activation Rep'!B:B,'Download of SFDC Activation Rep'!Y:Y),"")</f>
        <v/>
      </c>
    </row>
    <row r="571">
      <c r="B571" s="14"/>
      <c r="C571" s="14"/>
      <c r="D571" s="14"/>
      <c r="E571" s="15"/>
      <c r="F571" s="14"/>
      <c r="G571" s="13" t="str">
        <f t="array" ref="G571">iferror(XLOOKUP(A571,'Download of SFDC Activation Rep'!B:B,'Download of SFDC Activation Rep'!H:H),"")</f>
        <v/>
      </c>
      <c r="H571" s="13" t="str">
        <f t="array" ref="H571">iferror(xlookup(A571,'Download of SFDC Activation Rep'!B:B,'Download of SFDC Activation Rep'!L:L),"")</f>
        <v/>
      </c>
      <c r="I571" s="17" t="str">
        <f t="shared" si="1"/>
        <v>Not Active</v>
      </c>
      <c r="J571" s="17" t="str">
        <f t="array" ref="J571">iferror(XLOOKUP(A571,'Download of SFDC Activation Rep'!B:B,'Download of SFDC Activation Rep'!X:X),"")</f>
        <v/>
      </c>
      <c r="K571" s="17" t="str">
        <f t="array" ref="K571">iferror(XLOOKUP(A571,'Download of SFDC Activation Rep'!B:B,'Download of SFDC Activation Rep'!C:C),"")</f>
        <v/>
      </c>
      <c r="L571" s="18" t="str">
        <f t="array" ref="L571">iferror(XLOOKUP(A571,'Download of SFDC Activation Rep'!B:B,'Download of SFDC Activation Rep'!S:S),"")</f>
        <v/>
      </c>
      <c r="M571" s="24" t="str">
        <f t="array" ref="M571">iferror(XLOOKUP(A571,'Download of SFDC Activation Rep'!B:B,'Download of SFDC Activation Rep'!Z:Z)+150,"")</f>
        <v/>
      </c>
      <c r="N571" s="24" t="str">
        <f t="array" ref="N571">iferror(XLOOKUP(A571,'Download of SFDC Activation Rep'!B:B,'Download of SFDC Activation Rep'!Y:Y),"")</f>
        <v/>
      </c>
    </row>
    <row r="572">
      <c r="B572" s="14"/>
      <c r="C572" s="14"/>
      <c r="D572" s="14"/>
      <c r="E572" s="15"/>
      <c r="F572" s="14"/>
      <c r="G572" s="13" t="str">
        <f t="array" ref="G572">iferror(XLOOKUP(A572,'Download of SFDC Activation Rep'!B:B,'Download of SFDC Activation Rep'!H:H),"")</f>
        <v/>
      </c>
      <c r="H572" s="13" t="str">
        <f t="array" ref="H572">iferror(xlookup(A572,'Download of SFDC Activation Rep'!B:B,'Download of SFDC Activation Rep'!L:L),"")</f>
        <v/>
      </c>
      <c r="I572" s="17" t="str">
        <f t="shared" si="1"/>
        <v>Not Active</v>
      </c>
      <c r="J572" s="17" t="str">
        <f t="array" ref="J572">iferror(XLOOKUP(A572,'Download of SFDC Activation Rep'!B:B,'Download of SFDC Activation Rep'!X:X),"")</f>
        <v/>
      </c>
      <c r="K572" s="17" t="str">
        <f t="array" ref="K572">iferror(XLOOKUP(A572,'Download of SFDC Activation Rep'!B:B,'Download of SFDC Activation Rep'!C:C),"")</f>
        <v/>
      </c>
      <c r="L572" s="18" t="str">
        <f t="array" ref="L572">iferror(XLOOKUP(A572,'Download of SFDC Activation Rep'!B:B,'Download of SFDC Activation Rep'!S:S),"")</f>
        <v/>
      </c>
      <c r="M572" s="24" t="str">
        <f t="array" ref="M572">iferror(XLOOKUP(A572,'Download of SFDC Activation Rep'!B:B,'Download of SFDC Activation Rep'!Z:Z)+150,"")</f>
        <v/>
      </c>
      <c r="N572" s="24" t="str">
        <f t="array" ref="N572">iferror(XLOOKUP(A572,'Download of SFDC Activation Rep'!B:B,'Download of SFDC Activation Rep'!Y:Y),"")</f>
        <v/>
      </c>
    </row>
    <row r="573">
      <c r="B573" s="14"/>
      <c r="C573" s="14"/>
      <c r="D573" s="14"/>
      <c r="E573" s="15"/>
      <c r="F573" s="14"/>
      <c r="G573" s="13" t="str">
        <f t="array" ref="G573">iferror(XLOOKUP(A573,'Download of SFDC Activation Rep'!B:B,'Download of SFDC Activation Rep'!H:H),"")</f>
        <v/>
      </c>
      <c r="H573" s="13" t="str">
        <f t="array" ref="H573">iferror(xlookup(A573,'Download of SFDC Activation Rep'!B:B,'Download of SFDC Activation Rep'!L:L),"")</f>
        <v/>
      </c>
      <c r="I573" s="17" t="str">
        <f t="shared" si="1"/>
        <v>Not Active</v>
      </c>
      <c r="J573" s="17" t="str">
        <f t="array" ref="J573">iferror(XLOOKUP(A573,'Download of SFDC Activation Rep'!B:B,'Download of SFDC Activation Rep'!X:X),"")</f>
        <v/>
      </c>
      <c r="K573" s="17" t="str">
        <f t="array" ref="K573">iferror(XLOOKUP(A573,'Download of SFDC Activation Rep'!B:B,'Download of SFDC Activation Rep'!C:C),"")</f>
        <v/>
      </c>
      <c r="L573" s="18" t="str">
        <f t="array" ref="L573">iferror(XLOOKUP(A573,'Download of SFDC Activation Rep'!B:B,'Download of SFDC Activation Rep'!S:S),"")</f>
        <v/>
      </c>
      <c r="M573" s="24" t="str">
        <f t="array" ref="M573">iferror(XLOOKUP(A573,'Download of SFDC Activation Rep'!B:B,'Download of SFDC Activation Rep'!Z:Z)+150,"")</f>
        <v/>
      </c>
      <c r="N573" s="24" t="str">
        <f t="array" ref="N573">iferror(XLOOKUP(A573,'Download of SFDC Activation Rep'!B:B,'Download of SFDC Activation Rep'!Y:Y),"")</f>
        <v/>
      </c>
    </row>
    <row r="574">
      <c r="B574" s="14"/>
      <c r="C574" s="14"/>
      <c r="D574" s="14"/>
      <c r="E574" s="15"/>
      <c r="F574" s="14"/>
      <c r="G574" s="13" t="str">
        <f t="array" ref="G574">iferror(XLOOKUP(A574,'Download of SFDC Activation Rep'!B:B,'Download of SFDC Activation Rep'!H:H),"")</f>
        <v/>
      </c>
      <c r="H574" s="13" t="str">
        <f t="array" ref="H574">iferror(xlookup(A574,'Download of SFDC Activation Rep'!B:B,'Download of SFDC Activation Rep'!L:L),"")</f>
        <v/>
      </c>
      <c r="I574" s="17" t="str">
        <f t="shared" si="1"/>
        <v>Not Active</v>
      </c>
      <c r="J574" s="17" t="str">
        <f t="array" ref="J574">iferror(XLOOKUP(A574,'Download of SFDC Activation Rep'!B:B,'Download of SFDC Activation Rep'!X:X),"")</f>
        <v/>
      </c>
      <c r="K574" s="17" t="str">
        <f t="array" ref="K574">iferror(XLOOKUP(A574,'Download of SFDC Activation Rep'!B:B,'Download of SFDC Activation Rep'!C:C),"")</f>
        <v/>
      </c>
      <c r="L574" s="18" t="str">
        <f t="array" ref="L574">iferror(XLOOKUP(A574,'Download of SFDC Activation Rep'!B:B,'Download of SFDC Activation Rep'!S:S),"")</f>
        <v/>
      </c>
      <c r="M574" s="24" t="str">
        <f t="array" ref="M574">iferror(XLOOKUP(A574,'Download of SFDC Activation Rep'!B:B,'Download of SFDC Activation Rep'!Z:Z)+150,"")</f>
        <v/>
      </c>
      <c r="N574" s="24" t="str">
        <f t="array" ref="N574">iferror(XLOOKUP(A574,'Download of SFDC Activation Rep'!B:B,'Download of SFDC Activation Rep'!Y:Y),"")</f>
        <v/>
      </c>
    </row>
    <row r="575">
      <c r="B575" s="14"/>
      <c r="C575" s="14"/>
      <c r="D575" s="14"/>
      <c r="E575" s="15"/>
      <c r="F575" s="14"/>
      <c r="G575" s="13" t="str">
        <f t="array" ref="G575">iferror(XLOOKUP(A575,'Download of SFDC Activation Rep'!B:B,'Download of SFDC Activation Rep'!H:H),"")</f>
        <v/>
      </c>
      <c r="H575" s="13" t="str">
        <f t="array" ref="H575">iferror(xlookup(A575,'Download of SFDC Activation Rep'!B:B,'Download of SFDC Activation Rep'!L:L),"")</f>
        <v/>
      </c>
      <c r="I575" s="17" t="str">
        <f t="shared" si="1"/>
        <v>Not Active</v>
      </c>
      <c r="J575" s="17" t="str">
        <f t="array" ref="J575">iferror(XLOOKUP(A575,'Download of SFDC Activation Rep'!B:B,'Download of SFDC Activation Rep'!X:X),"")</f>
        <v/>
      </c>
      <c r="K575" s="17" t="str">
        <f t="array" ref="K575">iferror(XLOOKUP(A575,'Download of SFDC Activation Rep'!B:B,'Download of SFDC Activation Rep'!C:C),"")</f>
        <v/>
      </c>
      <c r="L575" s="18" t="str">
        <f t="array" ref="L575">iferror(XLOOKUP(A575,'Download of SFDC Activation Rep'!B:B,'Download of SFDC Activation Rep'!S:S),"")</f>
        <v/>
      </c>
      <c r="M575" s="24" t="str">
        <f t="array" ref="M575">iferror(XLOOKUP(A575,'Download of SFDC Activation Rep'!B:B,'Download of SFDC Activation Rep'!Z:Z)+150,"")</f>
        <v/>
      </c>
      <c r="N575" s="24" t="str">
        <f t="array" ref="N575">iferror(XLOOKUP(A575,'Download of SFDC Activation Rep'!B:B,'Download of SFDC Activation Rep'!Y:Y),"")</f>
        <v/>
      </c>
    </row>
    <row r="576">
      <c r="B576" s="14"/>
      <c r="C576" s="14"/>
      <c r="D576" s="14"/>
      <c r="E576" s="15"/>
      <c r="F576" s="14"/>
      <c r="G576" s="13" t="str">
        <f t="array" ref="G576">iferror(XLOOKUP(A576,'Download of SFDC Activation Rep'!B:B,'Download of SFDC Activation Rep'!H:H),"")</f>
        <v/>
      </c>
      <c r="H576" s="13" t="str">
        <f t="array" ref="H576">iferror(xlookup(A576,'Download of SFDC Activation Rep'!B:B,'Download of SFDC Activation Rep'!L:L),"")</f>
        <v/>
      </c>
      <c r="I576" s="17" t="str">
        <f t="shared" si="1"/>
        <v>Not Active</v>
      </c>
      <c r="J576" s="17" t="str">
        <f t="array" ref="J576">iferror(XLOOKUP(A576,'Download of SFDC Activation Rep'!B:B,'Download of SFDC Activation Rep'!X:X),"")</f>
        <v/>
      </c>
      <c r="K576" s="17" t="str">
        <f t="array" ref="K576">iferror(XLOOKUP(A576,'Download of SFDC Activation Rep'!B:B,'Download of SFDC Activation Rep'!C:C),"")</f>
        <v/>
      </c>
      <c r="L576" s="18" t="str">
        <f t="array" ref="L576">iferror(XLOOKUP(A576,'Download of SFDC Activation Rep'!B:B,'Download of SFDC Activation Rep'!S:S),"")</f>
        <v/>
      </c>
      <c r="M576" s="24" t="str">
        <f t="array" ref="M576">iferror(XLOOKUP(A576,'Download of SFDC Activation Rep'!B:B,'Download of SFDC Activation Rep'!Z:Z)+150,"")</f>
        <v/>
      </c>
      <c r="N576" s="24" t="str">
        <f t="array" ref="N576">iferror(XLOOKUP(A576,'Download of SFDC Activation Rep'!B:B,'Download of SFDC Activation Rep'!Y:Y),"")</f>
        <v/>
      </c>
    </row>
    <row r="577">
      <c r="B577" s="14"/>
      <c r="C577" s="14"/>
      <c r="D577" s="14"/>
      <c r="E577" s="15"/>
      <c r="F577" s="14"/>
      <c r="G577" s="13" t="str">
        <f t="array" ref="G577">iferror(XLOOKUP(A577,'Download of SFDC Activation Rep'!B:B,'Download of SFDC Activation Rep'!H:H),"")</f>
        <v/>
      </c>
      <c r="H577" s="13" t="str">
        <f t="array" ref="H577">iferror(xlookup(A577,'Download of SFDC Activation Rep'!B:B,'Download of SFDC Activation Rep'!L:L),"")</f>
        <v/>
      </c>
      <c r="I577" s="17" t="str">
        <f t="shared" si="1"/>
        <v>Not Active</v>
      </c>
      <c r="J577" s="17" t="str">
        <f t="array" ref="J577">iferror(XLOOKUP(A577,'Download of SFDC Activation Rep'!B:B,'Download of SFDC Activation Rep'!X:X),"")</f>
        <v/>
      </c>
      <c r="K577" s="17" t="str">
        <f t="array" ref="K577">iferror(XLOOKUP(A577,'Download of SFDC Activation Rep'!B:B,'Download of SFDC Activation Rep'!C:C),"")</f>
        <v/>
      </c>
      <c r="L577" s="18" t="str">
        <f t="array" ref="L577">iferror(XLOOKUP(A577,'Download of SFDC Activation Rep'!B:B,'Download of SFDC Activation Rep'!S:S),"")</f>
        <v/>
      </c>
      <c r="M577" s="24" t="str">
        <f t="array" ref="M577">iferror(XLOOKUP(A577,'Download of SFDC Activation Rep'!B:B,'Download of SFDC Activation Rep'!Z:Z)+150,"")</f>
        <v/>
      </c>
      <c r="N577" s="24" t="str">
        <f t="array" ref="N577">iferror(XLOOKUP(A577,'Download of SFDC Activation Rep'!B:B,'Download of SFDC Activation Rep'!Y:Y),"")</f>
        <v/>
      </c>
    </row>
    <row r="578">
      <c r="B578" s="14"/>
      <c r="C578" s="14"/>
      <c r="D578" s="14"/>
      <c r="E578" s="15"/>
      <c r="F578" s="14"/>
      <c r="G578" s="13" t="str">
        <f t="array" ref="G578">iferror(XLOOKUP(A578,'Download of SFDC Activation Rep'!B:B,'Download of SFDC Activation Rep'!H:H),"")</f>
        <v/>
      </c>
      <c r="H578" s="13" t="str">
        <f t="array" ref="H578">iferror(xlookup(A578,'Download of SFDC Activation Rep'!B:B,'Download of SFDC Activation Rep'!L:L),"")</f>
        <v/>
      </c>
      <c r="I578" s="17" t="str">
        <f t="shared" si="1"/>
        <v>Not Active</v>
      </c>
      <c r="J578" s="17" t="str">
        <f t="array" ref="J578">iferror(XLOOKUP(A578,'Download of SFDC Activation Rep'!B:B,'Download of SFDC Activation Rep'!X:X),"")</f>
        <v/>
      </c>
      <c r="K578" s="17" t="str">
        <f t="array" ref="K578">iferror(XLOOKUP(A578,'Download of SFDC Activation Rep'!B:B,'Download of SFDC Activation Rep'!C:C),"")</f>
        <v/>
      </c>
      <c r="L578" s="18" t="str">
        <f t="array" ref="L578">iferror(XLOOKUP(A578,'Download of SFDC Activation Rep'!B:B,'Download of SFDC Activation Rep'!S:S),"")</f>
        <v/>
      </c>
      <c r="M578" s="24" t="str">
        <f t="array" ref="M578">iferror(XLOOKUP(A578,'Download of SFDC Activation Rep'!B:B,'Download of SFDC Activation Rep'!Z:Z)+150,"")</f>
        <v/>
      </c>
      <c r="N578" s="24" t="str">
        <f t="array" ref="N578">iferror(XLOOKUP(A578,'Download of SFDC Activation Rep'!B:B,'Download of SFDC Activation Rep'!Y:Y),"")</f>
        <v/>
      </c>
    </row>
    <row r="579">
      <c r="B579" s="14"/>
      <c r="C579" s="14"/>
      <c r="D579" s="14"/>
      <c r="E579" s="15"/>
      <c r="F579" s="14"/>
      <c r="G579" s="13" t="str">
        <f t="array" ref="G579">iferror(XLOOKUP(A579,'Download of SFDC Activation Rep'!B:B,'Download of SFDC Activation Rep'!H:H),"")</f>
        <v/>
      </c>
      <c r="H579" s="13" t="str">
        <f t="array" ref="H579">iferror(xlookup(A579,'Download of SFDC Activation Rep'!B:B,'Download of SFDC Activation Rep'!L:L),"")</f>
        <v/>
      </c>
      <c r="I579" s="17" t="str">
        <f t="shared" si="1"/>
        <v>Not Active</v>
      </c>
      <c r="J579" s="17" t="str">
        <f t="array" ref="J579">iferror(XLOOKUP(A579,'Download of SFDC Activation Rep'!B:B,'Download of SFDC Activation Rep'!X:X),"")</f>
        <v/>
      </c>
      <c r="K579" s="17" t="str">
        <f t="array" ref="K579">iferror(XLOOKUP(A579,'Download of SFDC Activation Rep'!B:B,'Download of SFDC Activation Rep'!C:C),"")</f>
        <v/>
      </c>
      <c r="L579" s="18" t="str">
        <f t="array" ref="L579">iferror(XLOOKUP(A579,'Download of SFDC Activation Rep'!B:B,'Download of SFDC Activation Rep'!S:S),"")</f>
        <v/>
      </c>
      <c r="M579" s="24" t="str">
        <f t="array" ref="M579">iferror(XLOOKUP(A579,'Download of SFDC Activation Rep'!B:B,'Download of SFDC Activation Rep'!Z:Z)+150,"")</f>
        <v/>
      </c>
      <c r="N579" s="24" t="str">
        <f t="array" ref="N579">iferror(XLOOKUP(A579,'Download of SFDC Activation Rep'!B:B,'Download of SFDC Activation Rep'!Y:Y),"")</f>
        <v/>
      </c>
    </row>
    <row r="580">
      <c r="B580" s="14"/>
      <c r="C580" s="14"/>
      <c r="D580" s="14"/>
      <c r="E580" s="15"/>
      <c r="F580" s="14"/>
      <c r="G580" s="13" t="str">
        <f t="array" ref="G580">iferror(XLOOKUP(A580,'Download of SFDC Activation Rep'!B:B,'Download of SFDC Activation Rep'!H:H),"")</f>
        <v/>
      </c>
      <c r="H580" s="13" t="str">
        <f t="array" ref="H580">iferror(xlookup(A580,'Download of SFDC Activation Rep'!B:B,'Download of SFDC Activation Rep'!L:L),"")</f>
        <v/>
      </c>
      <c r="I580" s="17" t="str">
        <f t="shared" si="1"/>
        <v>Not Active</v>
      </c>
      <c r="J580" s="17" t="str">
        <f t="array" ref="J580">iferror(XLOOKUP(A580,'Download of SFDC Activation Rep'!B:B,'Download of SFDC Activation Rep'!X:X),"")</f>
        <v/>
      </c>
      <c r="K580" s="17" t="str">
        <f t="array" ref="K580">iferror(XLOOKUP(A580,'Download of SFDC Activation Rep'!B:B,'Download of SFDC Activation Rep'!C:C),"")</f>
        <v/>
      </c>
      <c r="L580" s="18" t="str">
        <f t="array" ref="L580">iferror(XLOOKUP(A580,'Download of SFDC Activation Rep'!B:B,'Download of SFDC Activation Rep'!S:S),"")</f>
        <v/>
      </c>
      <c r="M580" s="24" t="str">
        <f t="array" ref="M580">iferror(XLOOKUP(A580,'Download of SFDC Activation Rep'!B:B,'Download of SFDC Activation Rep'!Z:Z)+150,"")</f>
        <v/>
      </c>
      <c r="N580" s="24" t="str">
        <f t="array" ref="N580">iferror(XLOOKUP(A580,'Download of SFDC Activation Rep'!B:B,'Download of SFDC Activation Rep'!Y:Y),"")</f>
        <v/>
      </c>
    </row>
    <row r="581">
      <c r="B581" s="14"/>
      <c r="C581" s="14"/>
      <c r="D581" s="14"/>
      <c r="E581" s="15"/>
      <c r="F581" s="14"/>
      <c r="G581" s="13" t="str">
        <f t="array" ref="G581">iferror(XLOOKUP(A581,'Download of SFDC Activation Rep'!B:B,'Download of SFDC Activation Rep'!H:H),"")</f>
        <v/>
      </c>
      <c r="H581" s="13" t="str">
        <f t="array" ref="H581">iferror(xlookup(A581,'Download of SFDC Activation Rep'!B:B,'Download of SFDC Activation Rep'!L:L),"")</f>
        <v/>
      </c>
      <c r="I581" s="17" t="str">
        <f t="shared" si="1"/>
        <v>Not Active</v>
      </c>
      <c r="J581" s="17" t="str">
        <f t="array" ref="J581">iferror(XLOOKUP(A581,'Download of SFDC Activation Rep'!B:B,'Download of SFDC Activation Rep'!X:X),"")</f>
        <v/>
      </c>
      <c r="K581" s="17" t="str">
        <f t="array" ref="K581">iferror(XLOOKUP(A581,'Download of SFDC Activation Rep'!B:B,'Download of SFDC Activation Rep'!C:C),"")</f>
        <v/>
      </c>
      <c r="L581" s="18" t="str">
        <f t="array" ref="L581">iferror(XLOOKUP(A581,'Download of SFDC Activation Rep'!B:B,'Download of SFDC Activation Rep'!S:S),"")</f>
        <v/>
      </c>
      <c r="M581" s="24" t="str">
        <f t="array" ref="M581">iferror(XLOOKUP(A581,'Download of SFDC Activation Rep'!B:B,'Download of SFDC Activation Rep'!Z:Z)+150,"")</f>
        <v/>
      </c>
      <c r="N581" s="24" t="str">
        <f t="array" ref="N581">iferror(XLOOKUP(A581,'Download of SFDC Activation Rep'!B:B,'Download of SFDC Activation Rep'!Y:Y),"")</f>
        <v/>
      </c>
    </row>
    <row r="582">
      <c r="B582" s="14"/>
      <c r="C582" s="14"/>
      <c r="D582" s="14"/>
      <c r="E582" s="15"/>
      <c r="F582" s="14"/>
      <c r="G582" s="13" t="str">
        <f t="array" ref="G582">iferror(XLOOKUP(A582,'Download of SFDC Activation Rep'!B:B,'Download of SFDC Activation Rep'!H:H),"")</f>
        <v/>
      </c>
      <c r="H582" s="13" t="str">
        <f t="array" ref="H582">iferror(xlookup(A582,'Download of SFDC Activation Rep'!B:B,'Download of SFDC Activation Rep'!L:L),"")</f>
        <v/>
      </c>
      <c r="I582" s="17" t="str">
        <f t="shared" si="1"/>
        <v>Not Active</v>
      </c>
      <c r="J582" s="17" t="str">
        <f t="array" ref="J582">iferror(XLOOKUP(A582,'Download of SFDC Activation Rep'!B:B,'Download of SFDC Activation Rep'!X:X),"")</f>
        <v/>
      </c>
      <c r="K582" s="17" t="str">
        <f t="array" ref="K582">iferror(XLOOKUP(A582,'Download of SFDC Activation Rep'!B:B,'Download of SFDC Activation Rep'!C:C),"")</f>
        <v/>
      </c>
      <c r="L582" s="18" t="str">
        <f t="array" ref="L582">iferror(XLOOKUP(A582,'Download of SFDC Activation Rep'!B:B,'Download of SFDC Activation Rep'!S:S),"")</f>
        <v/>
      </c>
      <c r="M582" s="24" t="str">
        <f t="array" ref="M582">iferror(XLOOKUP(A582,'Download of SFDC Activation Rep'!B:B,'Download of SFDC Activation Rep'!Z:Z)+150,"")</f>
        <v/>
      </c>
      <c r="N582" s="24" t="str">
        <f t="array" ref="N582">iferror(XLOOKUP(A582,'Download of SFDC Activation Rep'!B:B,'Download of SFDC Activation Rep'!Y:Y),"")</f>
        <v/>
      </c>
    </row>
    <row r="583">
      <c r="B583" s="14"/>
      <c r="C583" s="14"/>
      <c r="D583" s="14"/>
      <c r="E583" s="15"/>
      <c r="F583" s="14"/>
      <c r="G583" s="13" t="str">
        <f t="array" ref="G583">iferror(XLOOKUP(A583,'Download of SFDC Activation Rep'!B:B,'Download of SFDC Activation Rep'!H:H),"")</f>
        <v/>
      </c>
      <c r="H583" s="13" t="str">
        <f t="array" ref="H583">iferror(xlookup(A583,'Download of SFDC Activation Rep'!B:B,'Download of SFDC Activation Rep'!L:L),"")</f>
        <v/>
      </c>
      <c r="I583" s="17" t="str">
        <f t="shared" si="1"/>
        <v>Not Active</v>
      </c>
      <c r="J583" s="17" t="str">
        <f t="array" ref="J583">iferror(XLOOKUP(A583,'Download of SFDC Activation Rep'!B:B,'Download of SFDC Activation Rep'!X:X),"")</f>
        <v/>
      </c>
      <c r="K583" s="17" t="str">
        <f t="array" ref="K583">iferror(XLOOKUP(A583,'Download of SFDC Activation Rep'!B:B,'Download of SFDC Activation Rep'!C:C),"")</f>
        <v/>
      </c>
      <c r="L583" s="18" t="str">
        <f t="array" ref="L583">iferror(XLOOKUP(A583,'Download of SFDC Activation Rep'!B:B,'Download of SFDC Activation Rep'!S:S),"")</f>
        <v/>
      </c>
      <c r="M583" s="24" t="str">
        <f t="array" ref="M583">iferror(XLOOKUP(A583,'Download of SFDC Activation Rep'!B:B,'Download of SFDC Activation Rep'!Z:Z)+150,"")</f>
        <v/>
      </c>
      <c r="N583" s="24" t="str">
        <f t="array" ref="N583">iferror(XLOOKUP(A583,'Download of SFDC Activation Rep'!B:B,'Download of SFDC Activation Rep'!Y:Y),"")</f>
        <v/>
      </c>
    </row>
    <row r="584">
      <c r="B584" s="14"/>
      <c r="C584" s="14"/>
      <c r="D584" s="14"/>
      <c r="E584" s="15"/>
      <c r="F584" s="14"/>
      <c r="G584" s="13" t="str">
        <f t="array" ref="G584">iferror(XLOOKUP(A584,'Download of SFDC Activation Rep'!B:B,'Download of SFDC Activation Rep'!H:H),"")</f>
        <v/>
      </c>
      <c r="H584" s="13" t="str">
        <f t="array" ref="H584">iferror(xlookup(A584,'Download of SFDC Activation Rep'!B:B,'Download of SFDC Activation Rep'!L:L),"")</f>
        <v/>
      </c>
      <c r="I584" s="17" t="str">
        <f t="shared" si="1"/>
        <v>Not Active</v>
      </c>
      <c r="J584" s="17" t="str">
        <f t="array" ref="J584">iferror(XLOOKUP(A584,'Download of SFDC Activation Rep'!B:B,'Download of SFDC Activation Rep'!X:X),"")</f>
        <v/>
      </c>
      <c r="K584" s="17" t="str">
        <f t="array" ref="K584">iferror(XLOOKUP(A584,'Download of SFDC Activation Rep'!B:B,'Download of SFDC Activation Rep'!C:C),"")</f>
        <v/>
      </c>
      <c r="L584" s="18" t="str">
        <f t="array" ref="L584">iferror(XLOOKUP(A584,'Download of SFDC Activation Rep'!B:B,'Download of SFDC Activation Rep'!S:S),"")</f>
        <v/>
      </c>
      <c r="M584" s="24" t="str">
        <f t="array" ref="M584">iferror(XLOOKUP(A584,'Download of SFDC Activation Rep'!B:B,'Download of SFDC Activation Rep'!Z:Z)+150,"")</f>
        <v/>
      </c>
      <c r="N584" s="24" t="str">
        <f t="array" ref="N584">iferror(XLOOKUP(A584,'Download of SFDC Activation Rep'!B:B,'Download of SFDC Activation Rep'!Y:Y),"")</f>
        <v/>
      </c>
    </row>
    <row r="585">
      <c r="B585" s="14"/>
      <c r="C585" s="14"/>
      <c r="D585" s="14"/>
      <c r="E585" s="15"/>
      <c r="F585" s="14"/>
      <c r="G585" s="13" t="str">
        <f t="array" ref="G585">iferror(XLOOKUP(A585,'Download of SFDC Activation Rep'!B:B,'Download of SFDC Activation Rep'!H:H),"")</f>
        <v/>
      </c>
      <c r="H585" s="13" t="str">
        <f t="array" ref="H585">iferror(xlookup(A585,'Download of SFDC Activation Rep'!B:B,'Download of SFDC Activation Rep'!L:L),"")</f>
        <v/>
      </c>
      <c r="I585" s="17" t="str">
        <f t="shared" si="1"/>
        <v>Not Active</v>
      </c>
      <c r="J585" s="17" t="str">
        <f t="array" ref="J585">iferror(XLOOKUP(A585,'Download of SFDC Activation Rep'!B:B,'Download of SFDC Activation Rep'!X:X),"")</f>
        <v/>
      </c>
      <c r="K585" s="17" t="str">
        <f t="array" ref="K585">iferror(XLOOKUP(A585,'Download of SFDC Activation Rep'!B:B,'Download of SFDC Activation Rep'!C:C),"")</f>
        <v/>
      </c>
      <c r="L585" s="18" t="str">
        <f t="array" ref="L585">iferror(XLOOKUP(A585,'Download of SFDC Activation Rep'!B:B,'Download of SFDC Activation Rep'!S:S),"")</f>
        <v/>
      </c>
      <c r="M585" s="24" t="str">
        <f t="array" ref="M585">iferror(XLOOKUP(A585,'Download of SFDC Activation Rep'!B:B,'Download of SFDC Activation Rep'!Z:Z)+150,"")</f>
        <v/>
      </c>
      <c r="N585" s="24" t="str">
        <f t="array" ref="N585">iferror(XLOOKUP(A585,'Download of SFDC Activation Rep'!B:B,'Download of SFDC Activation Rep'!Y:Y),"")</f>
        <v/>
      </c>
    </row>
    <row r="586">
      <c r="B586" s="14"/>
      <c r="C586" s="14"/>
      <c r="D586" s="14"/>
      <c r="E586" s="15"/>
      <c r="F586" s="14"/>
      <c r="G586" s="13" t="str">
        <f t="array" ref="G586">iferror(XLOOKUP(A586,'Download of SFDC Activation Rep'!B:B,'Download of SFDC Activation Rep'!H:H),"")</f>
        <v/>
      </c>
      <c r="H586" s="13" t="str">
        <f t="array" ref="H586">iferror(xlookup(A586,'Download of SFDC Activation Rep'!B:B,'Download of SFDC Activation Rep'!L:L),"")</f>
        <v/>
      </c>
      <c r="I586" s="17" t="str">
        <f t="shared" si="1"/>
        <v>Not Active</v>
      </c>
      <c r="J586" s="17" t="str">
        <f t="array" ref="J586">iferror(XLOOKUP(A586,'Download of SFDC Activation Rep'!B:B,'Download of SFDC Activation Rep'!X:X),"")</f>
        <v/>
      </c>
      <c r="K586" s="17" t="str">
        <f t="array" ref="K586">iferror(XLOOKUP(A586,'Download of SFDC Activation Rep'!B:B,'Download of SFDC Activation Rep'!C:C),"")</f>
        <v/>
      </c>
      <c r="L586" s="18" t="str">
        <f t="array" ref="L586">iferror(XLOOKUP(A586,'Download of SFDC Activation Rep'!B:B,'Download of SFDC Activation Rep'!S:S),"")</f>
        <v/>
      </c>
      <c r="M586" s="24" t="str">
        <f t="array" ref="M586">iferror(XLOOKUP(A586,'Download of SFDC Activation Rep'!B:B,'Download of SFDC Activation Rep'!Z:Z)+150,"")</f>
        <v/>
      </c>
      <c r="N586" s="24" t="str">
        <f t="array" ref="N586">iferror(XLOOKUP(A586,'Download of SFDC Activation Rep'!B:B,'Download of SFDC Activation Rep'!Y:Y),"")</f>
        <v/>
      </c>
    </row>
    <row r="587">
      <c r="B587" s="14"/>
      <c r="C587" s="14"/>
      <c r="D587" s="14"/>
      <c r="E587" s="15"/>
      <c r="F587" s="14"/>
      <c r="G587" s="13" t="str">
        <f t="array" ref="G587">iferror(XLOOKUP(A587,'Download of SFDC Activation Rep'!B:B,'Download of SFDC Activation Rep'!H:H),"")</f>
        <v/>
      </c>
      <c r="H587" s="13" t="str">
        <f t="array" ref="H587">iferror(xlookup(A587,'Download of SFDC Activation Rep'!B:B,'Download of SFDC Activation Rep'!L:L),"")</f>
        <v/>
      </c>
      <c r="I587" s="17" t="str">
        <f t="shared" si="1"/>
        <v>Not Active</v>
      </c>
      <c r="J587" s="17" t="str">
        <f t="array" ref="J587">iferror(XLOOKUP(A587,'Download of SFDC Activation Rep'!B:B,'Download of SFDC Activation Rep'!X:X),"")</f>
        <v/>
      </c>
      <c r="K587" s="17" t="str">
        <f t="array" ref="K587">iferror(XLOOKUP(A587,'Download of SFDC Activation Rep'!B:B,'Download of SFDC Activation Rep'!C:C),"")</f>
        <v/>
      </c>
      <c r="L587" s="18" t="str">
        <f t="array" ref="L587">iferror(XLOOKUP(A587,'Download of SFDC Activation Rep'!B:B,'Download of SFDC Activation Rep'!S:S),"")</f>
        <v/>
      </c>
      <c r="M587" s="24" t="str">
        <f t="array" ref="M587">iferror(XLOOKUP(A587,'Download of SFDC Activation Rep'!B:B,'Download of SFDC Activation Rep'!Z:Z)+150,"")</f>
        <v/>
      </c>
      <c r="N587" s="24" t="str">
        <f t="array" ref="N587">iferror(XLOOKUP(A587,'Download of SFDC Activation Rep'!B:B,'Download of SFDC Activation Rep'!Y:Y),"")</f>
        <v/>
      </c>
    </row>
    <row r="588">
      <c r="B588" s="14"/>
      <c r="C588" s="14"/>
      <c r="D588" s="14"/>
      <c r="E588" s="15"/>
      <c r="F588" s="14"/>
      <c r="G588" s="13" t="str">
        <f t="array" ref="G588">iferror(XLOOKUP(A588,'Download of SFDC Activation Rep'!B:B,'Download of SFDC Activation Rep'!H:H),"")</f>
        <v/>
      </c>
      <c r="H588" s="13" t="str">
        <f t="array" ref="H588">iferror(xlookup(A588,'Download of SFDC Activation Rep'!B:B,'Download of SFDC Activation Rep'!L:L),"")</f>
        <v/>
      </c>
      <c r="I588" s="17" t="str">
        <f t="shared" si="1"/>
        <v>Not Active</v>
      </c>
      <c r="J588" s="17" t="str">
        <f t="array" ref="J588">iferror(XLOOKUP(A588,'Download of SFDC Activation Rep'!B:B,'Download of SFDC Activation Rep'!X:X),"")</f>
        <v/>
      </c>
      <c r="K588" s="17" t="str">
        <f t="array" ref="K588">iferror(XLOOKUP(A588,'Download of SFDC Activation Rep'!B:B,'Download of SFDC Activation Rep'!C:C),"")</f>
        <v/>
      </c>
      <c r="L588" s="18" t="str">
        <f t="array" ref="L588">iferror(XLOOKUP(A588,'Download of SFDC Activation Rep'!B:B,'Download of SFDC Activation Rep'!S:S),"")</f>
        <v/>
      </c>
      <c r="M588" s="24" t="str">
        <f t="array" ref="M588">iferror(XLOOKUP(A588,'Download of SFDC Activation Rep'!B:B,'Download of SFDC Activation Rep'!Z:Z)+150,"")</f>
        <v/>
      </c>
      <c r="N588" s="24" t="str">
        <f t="array" ref="N588">iferror(XLOOKUP(A588,'Download of SFDC Activation Rep'!B:B,'Download of SFDC Activation Rep'!Y:Y),"")</f>
        <v/>
      </c>
    </row>
    <row r="589">
      <c r="B589" s="14"/>
      <c r="C589" s="14"/>
      <c r="D589" s="14"/>
      <c r="E589" s="15"/>
      <c r="F589" s="14"/>
      <c r="G589" s="13" t="str">
        <f t="array" ref="G589">iferror(XLOOKUP(A589,'Download of SFDC Activation Rep'!B:B,'Download of SFDC Activation Rep'!H:H),"")</f>
        <v/>
      </c>
      <c r="H589" s="13" t="str">
        <f t="array" ref="H589">iferror(xlookup(A589,'Download of SFDC Activation Rep'!B:B,'Download of SFDC Activation Rep'!L:L),"")</f>
        <v/>
      </c>
      <c r="I589" s="17" t="str">
        <f t="shared" si="1"/>
        <v>Not Active</v>
      </c>
      <c r="J589" s="17" t="str">
        <f t="array" ref="J589">iferror(XLOOKUP(A589,'Download of SFDC Activation Rep'!B:B,'Download of SFDC Activation Rep'!X:X),"")</f>
        <v/>
      </c>
      <c r="K589" s="17" t="str">
        <f t="array" ref="K589">iferror(XLOOKUP(A589,'Download of SFDC Activation Rep'!B:B,'Download of SFDC Activation Rep'!C:C),"")</f>
        <v/>
      </c>
      <c r="L589" s="18" t="str">
        <f t="array" ref="L589">iferror(XLOOKUP(A589,'Download of SFDC Activation Rep'!B:B,'Download of SFDC Activation Rep'!S:S),"")</f>
        <v/>
      </c>
      <c r="M589" s="24" t="str">
        <f t="array" ref="M589">iferror(XLOOKUP(A589,'Download of SFDC Activation Rep'!B:B,'Download of SFDC Activation Rep'!Z:Z)+150,"")</f>
        <v/>
      </c>
      <c r="N589" s="24" t="str">
        <f t="array" ref="N589">iferror(XLOOKUP(A589,'Download of SFDC Activation Rep'!B:B,'Download of SFDC Activation Rep'!Y:Y),"")</f>
        <v/>
      </c>
    </row>
    <row r="590">
      <c r="B590" s="14"/>
      <c r="C590" s="14"/>
      <c r="D590" s="14"/>
      <c r="E590" s="15"/>
      <c r="F590" s="14"/>
      <c r="G590" s="13" t="str">
        <f t="array" ref="G590">iferror(XLOOKUP(A590,'Download of SFDC Activation Rep'!B:B,'Download of SFDC Activation Rep'!H:H),"")</f>
        <v/>
      </c>
      <c r="H590" s="13" t="str">
        <f t="array" ref="H590">iferror(xlookup(A590,'Download of SFDC Activation Rep'!B:B,'Download of SFDC Activation Rep'!L:L),"")</f>
        <v/>
      </c>
      <c r="I590" s="17" t="str">
        <f t="shared" si="1"/>
        <v>Not Active</v>
      </c>
      <c r="J590" s="17" t="str">
        <f t="array" ref="J590">iferror(XLOOKUP(A590,'Download of SFDC Activation Rep'!B:B,'Download of SFDC Activation Rep'!X:X),"")</f>
        <v/>
      </c>
      <c r="K590" s="17" t="str">
        <f t="array" ref="K590">iferror(XLOOKUP(A590,'Download of SFDC Activation Rep'!B:B,'Download of SFDC Activation Rep'!C:C),"")</f>
        <v/>
      </c>
      <c r="L590" s="18" t="str">
        <f t="array" ref="L590">iferror(XLOOKUP(A590,'Download of SFDC Activation Rep'!B:B,'Download of SFDC Activation Rep'!S:S),"")</f>
        <v/>
      </c>
      <c r="M590" s="24" t="str">
        <f t="array" ref="M590">iferror(XLOOKUP(A590,'Download of SFDC Activation Rep'!B:B,'Download of SFDC Activation Rep'!Z:Z)+150,"")</f>
        <v/>
      </c>
      <c r="N590" s="24" t="str">
        <f t="array" ref="N590">iferror(XLOOKUP(A590,'Download of SFDC Activation Rep'!B:B,'Download of SFDC Activation Rep'!Y:Y),"")</f>
        <v/>
      </c>
    </row>
    <row r="591">
      <c r="B591" s="14"/>
      <c r="C591" s="14"/>
      <c r="D591" s="14"/>
      <c r="E591" s="15"/>
      <c r="F591" s="14"/>
      <c r="G591" s="13" t="str">
        <f t="array" ref="G591">iferror(XLOOKUP(A591,'Download of SFDC Activation Rep'!B:B,'Download of SFDC Activation Rep'!H:H),"")</f>
        <v/>
      </c>
      <c r="H591" s="13" t="str">
        <f t="array" ref="H591">iferror(xlookup(A591,'Download of SFDC Activation Rep'!B:B,'Download of SFDC Activation Rep'!L:L),"")</f>
        <v/>
      </c>
      <c r="I591" s="17" t="str">
        <f t="shared" si="1"/>
        <v>Not Active</v>
      </c>
      <c r="J591" s="17" t="str">
        <f t="array" ref="J591">iferror(XLOOKUP(A591,'Download of SFDC Activation Rep'!B:B,'Download of SFDC Activation Rep'!X:X),"")</f>
        <v/>
      </c>
      <c r="K591" s="17" t="str">
        <f t="array" ref="K591">iferror(XLOOKUP(A591,'Download of SFDC Activation Rep'!B:B,'Download of SFDC Activation Rep'!C:C),"")</f>
        <v/>
      </c>
      <c r="L591" s="18" t="str">
        <f t="array" ref="L591">iferror(XLOOKUP(A591,'Download of SFDC Activation Rep'!B:B,'Download of SFDC Activation Rep'!S:S),"")</f>
        <v/>
      </c>
      <c r="M591" s="24" t="str">
        <f t="array" ref="M591">iferror(XLOOKUP(A591,'Download of SFDC Activation Rep'!B:B,'Download of SFDC Activation Rep'!Z:Z)+150,"")</f>
        <v/>
      </c>
      <c r="N591" s="24" t="str">
        <f t="array" ref="N591">iferror(XLOOKUP(A591,'Download of SFDC Activation Rep'!B:B,'Download of SFDC Activation Rep'!Y:Y),"")</f>
        <v/>
      </c>
    </row>
    <row r="592">
      <c r="B592" s="14"/>
      <c r="C592" s="14"/>
      <c r="D592" s="14"/>
      <c r="E592" s="15"/>
      <c r="F592" s="14"/>
      <c r="G592" s="13" t="str">
        <f t="array" ref="G592">iferror(XLOOKUP(A592,'Download of SFDC Activation Rep'!B:B,'Download of SFDC Activation Rep'!H:H),"")</f>
        <v/>
      </c>
      <c r="H592" s="13" t="str">
        <f t="array" ref="H592">iferror(xlookup(A592,'Download of SFDC Activation Rep'!B:B,'Download of SFDC Activation Rep'!L:L),"")</f>
        <v/>
      </c>
      <c r="I592" s="17" t="str">
        <f t="shared" si="1"/>
        <v>Not Active</v>
      </c>
      <c r="J592" s="17" t="str">
        <f t="array" ref="J592">iferror(XLOOKUP(A592,'Download of SFDC Activation Rep'!B:B,'Download of SFDC Activation Rep'!X:X),"")</f>
        <v/>
      </c>
      <c r="K592" s="17" t="str">
        <f t="array" ref="K592">iferror(XLOOKUP(A592,'Download of SFDC Activation Rep'!B:B,'Download of SFDC Activation Rep'!C:C),"")</f>
        <v/>
      </c>
      <c r="L592" s="18" t="str">
        <f t="array" ref="L592">iferror(XLOOKUP(A592,'Download of SFDC Activation Rep'!B:B,'Download of SFDC Activation Rep'!S:S),"")</f>
        <v/>
      </c>
      <c r="M592" s="24" t="str">
        <f t="array" ref="M592">iferror(XLOOKUP(A592,'Download of SFDC Activation Rep'!B:B,'Download of SFDC Activation Rep'!Z:Z)+150,"")</f>
        <v/>
      </c>
      <c r="N592" s="24" t="str">
        <f t="array" ref="N592">iferror(XLOOKUP(A592,'Download of SFDC Activation Rep'!B:B,'Download of SFDC Activation Rep'!Y:Y),"")</f>
        <v/>
      </c>
    </row>
    <row r="593">
      <c r="B593" s="14"/>
      <c r="C593" s="14"/>
      <c r="D593" s="14"/>
      <c r="E593" s="15"/>
      <c r="F593" s="14"/>
      <c r="G593" s="13" t="str">
        <f t="array" ref="G593">iferror(XLOOKUP(A593,'Download of SFDC Activation Rep'!B:B,'Download of SFDC Activation Rep'!H:H),"")</f>
        <v/>
      </c>
      <c r="H593" s="13" t="str">
        <f t="array" ref="H593">iferror(xlookup(A593,'Download of SFDC Activation Rep'!B:B,'Download of SFDC Activation Rep'!L:L),"")</f>
        <v/>
      </c>
      <c r="I593" s="17" t="str">
        <f t="shared" si="1"/>
        <v>Not Active</v>
      </c>
      <c r="J593" s="17" t="str">
        <f t="array" ref="J593">iferror(XLOOKUP(A593,'Download of SFDC Activation Rep'!B:B,'Download of SFDC Activation Rep'!X:X),"")</f>
        <v/>
      </c>
      <c r="K593" s="17" t="str">
        <f t="array" ref="K593">iferror(XLOOKUP(A593,'Download of SFDC Activation Rep'!B:B,'Download of SFDC Activation Rep'!C:C),"")</f>
        <v/>
      </c>
      <c r="L593" s="18" t="str">
        <f t="array" ref="L593">iferror(XLOOKUP(A593,'Download of SFDC Activation Rep'!B:B,'Download of SFDC Activation Rep'!S:S),"")</f>
        <v/>
      </c>
      <c r="M593" s="24" t="str">
        <f t="array" ref="M593">iferror(XLOOKUP(A593,'Download of SFDC Activation Rep'!B:B,'Download of SFDC Activation Rep'!Z:Z)+150,"")</f>
        <v/>
      </c>
      <c r="N593" s="24" t="str">
        <f t="array" ref="N593">iferror(XLOOKUP(A593,'Download of SFDC Activation Rep'!B:B,'Download of SFDC Activation Rep'!Y:Y),"")</f>
        <v/>
      </c>
    </row>
    <row r="594">
      <c r="B594" s="14"/>
      <c r="C594" s="14"/>
      <c r="D594" s="14"/>
      <c r="E594" s="15"/>
      <c r="F594" s="14"/>
      <c r="G594" s="13" t="str">
        <f t="array" ref="G594">iferror(XLOOKUP(A594,'Download of SFDC Activation Rep'!B:B,'Download of SFDC Activation Rep'!H:H),"")</f>
        <v/>
      </c>
      <c r="H594" s="13" t="str">
        <f t="array" ref="H594">iferror(xlookup(A594,'Download of SFDC Activation Rep'!B:B,'Download of SFDC Activation Rep'!L:L),"")</f>
        <v/>
      </c>
      <c r="I594" s="17" t="str">
        <f t="shared" si="1"/>
        <v>Not Active</v>
      </c>
      <c r="J594" s="17" t="str">
        <f t="array" ref="J594">iferror(XLOOKUP(A594,'Download of SFDC Activation Rep'!B:B,'Download of SFDC Activation Rep'!X:X),"")</f>
        <v/>
      </c>
      <c r="K594" s="17" t="str">
        <f t="array" ref="K594">iferror(XLOOKUP(A594,'Download of SFDC Activation Rep'!B:B,'Download of SFDC Activation Rep'!C:C),"")</f>
        <v/>
      </c>
      <c r="L594" s="18" t="str">
        <f t="array" ref="L594">iferror(XLOOKUP(A594,'Download of SFDC Activation Rep'!B:B,'Download of SFDC Activation Rep'!S:S),"")</f>
        <v/>
      </c>
      <c r="M594" s="24" t="str">
        <f t="array" ref="M594">iferror(XLOOKUP(A594,'Download of SFDC Activation Rep'!B:B,'Download of SFDC Activation Rep'!Z:Z)+150,"")</f>
        <v/>
      </c>
      <c r="N594" s="24" t="str">
        <f t="array" ref="N594">iferror(XLOOKUP(A594,'Download of SFDC Activation Rep'!B:B,'Download of SFDC Activation Rep'!Y:Y),"")</f>
        <v/>
      </c>
    </row>
    <row r="595">
      <c r="B595" s="14"/>
      <c r="C595" s="14"/>
      <c r="D595" s="14"/>
      <c r="E595" s="15"/>
      <c r="F595" s="14"/>
      <c r="G595" s="13" t="str">
        <f t="array" ref="G595">iferror(XLOOKUP(A595,'Download of SFDC Activation Rep'!B:B,'Download of SFDC Activation Rep'!H:H),"")</f>
        <v/>
      </c>
      <c r="H595" s="13" t="str">
        <f t="array" ref="H595">iferror(xlookup(A595,'Download of SFDC Activation Rep'!B:B,'Download of SFDC Activation Rep'!L:L),"")</f>
        <v/>
      </c>
      <c r="I595" s="17" t="str">
        <f t="shared" si="1"/>
        <v>Not Active</v>
      </c>
      <c r="J595" s="17" t="str">
        <f t="array" ref="J595">iferror(XLOOKUP(A595,'Download of SFDC Activation Rep'!B:B,'Download of SFDC Activation Rep'!X:X),"")</f>
        <v/>
      </c>
      <c r="K595" s="17" t="str">
        <f t="array" ref="K595">iferror(XLOOKUP(A595,'Download of SFDC Activation Rep'!B:B,'Download of SFDC Activation Rep'!C:C),"")</f>
        <v/>
      </c>
      <c r="L595" s="18" t="str">
        <f t="array" ref="L595">iferror(XLOOKUP(A595,'Download of SFDC Activation Rep'!B:B,'Download of SFDC Activation Rep'!S:S),"")</f>
        <v/>
      </c>
      <c r="M595" s="24" t="str">
        <f t="array" ref="M595">iferror(XLOOKUP(A595,'Download of SFDC Activation Rep'!B:B,'Download of SFDC Activation Rep'!Z:Z)+150,"")</f>
        <v/>
      </c>
      <c r="N595" s="24" t="str">
        <f t="array" ref="N595">iferror(XLOOKUP(A595,'Download of SFDC Activation Rep'!B:B,'Download of SFDC Activation Rep'!Y:Y),"")</f>
        <v/>
      </c>
    </row>
    <row r="596">
      <c r="B596" s="14"/>
      <c r="C596" s="14"/>
      <c r="D596" s="14"/>
      <c r="E596" s="15"/>
      <c r="F596" s="14"/>
      <c r="G596" s="13" t="str">
        <f t="array" ref="G596">iferror(XLOOKUP(A596,'Download of SFDC Activation Rep'!B:B,'Download of SFDC Activation Rep'!H:H),"")</f>
        <v/>
      </c>
      <c r="H596" s="13" t="str">
        <f t="array" ref="H596">iferror(xlookup(A596,'Download of SFDC Activation Rep'!B:B,'Download of SFDC Activation Rep'!L:L),"")</f>
        <v/>
      </c>
      <c r="I596" s="17" t="str">
        <f t="shared" si="1"/>
        <v>Not Active</v>
      </c>
      <c r="J596" s="17" t="str">
        <f t="array" ref="J596">iferror(XLOOKUP(A596,'Download of SFDC Activation Rep'!B:B,'Download of SFDC Activation Rep'!X:X),"")</f>
        <v/>
      </c>
      <c r="K596" s="17" t="str">
        <f t="array" ref="K596">iferror(XLOOKUP(A596,'Download of SFDC Activation Rep'!B:B,'Download of SFDC Activation Rep'!C:C),"")</f>
        <v/>
      </c>
      <c r="L596" s="18" t="str">
        <f t="array" ref="L596">iferror(XLOOKUP(A596,'Download of SFDC Activation Rep'!B:B,'Download of SFDC Activation Rep'!S:S),"")</f>
        <v/>
      </c>
      <c r="M596" s="24" t="str">
        <f t="array" ref="M596">iferror(XLOOKUP(A596,'Download of SFDC Activation Rep'!B:B,'Download of SFDC Activation Rep'!Z:Z)+150,"")</f>
        <v/>
      </c>
      <c r="N596" s="24" t="str">
        <f t="array" ref="N596">iferror(XLOOKUP(A596,'Download of SFDC Activation Rep'!B:B,'Download of SFDC Activation Rep'!Y:Y),"")</f>
        <v/>
      </c>
    </row>
    <row r="597">
      <c r="B597" s="14"/>
      <c r="C597" s="14"/>
      <c r="D597" s="14"/>
      <c r="E597" s="15"/>
      <c r="F597" s="14"/>
      <c r="G597" s="13" t="str">
        <f t="array" ref="G597">iferror(XLOOKUP(A597,'Download of SFDC Activation Rep'!B:B,'Download of SFDC Activation Rep'!H:H),"")</f>
        <v/>
      </c>
      <c r="H597" s="13" t="str">
        <f t="array" ref="H597">iferror(xlookup(A597,'Download of SFDC Activation Rep'!B:B,'Download of SFDC Activation Rep'!L:L),"")</f>
        <v/>
      </c>
      <c r="I597" s="17" t="str">
        <f t="shared" si="1"/>
        <v>Not Active</v>
      </c>
      <c r="J597" s="17" t="str">
        <f t="array" ref="J597">iferror(XLOOKUP(A597,'Download of SFDC Activation Rep'!B:B,'Download of SFDC Activation Rep'!X:X),"")</f>
        <v/>
      </c>
      <c r="K597" s="17" t="str">
        <f t="array" ref="K597">iferror(XLOOKUP(A597,'Download of SFDC Activation Rep'!B:B,'Download of SFDC Activation Rep'!C:C),"")</f>
        <v/>
      </c>
      <c r="L597" s="18" t="str">
        <f t="array" ref="L597">iferror(XLOOKUP(A597,'Download of SFDC Activation Rep'!B:B,'Download of SFDC Activation Rep'!S:S),"")</f>
        <v/>
      </c>
      <c r="M597" s="24" t="str">
        <f t="array" ref="M597">iferror(XLOOKUP(A597,'Download of SFDC Activation Rep'!B:B,'Download of SFDC Activation Rep'!Z:Z)+150,"")</f>
        <v/>
      </c>
      <c r="N597" s="24" t="str">
        <f t="array" ref="N597">iferror(XLOOKUP(A597,'Download of SFDC Activation Rep'!B:B,'Download of SFDC Activation Rep'!Y:Y),"")</f>
        <v/>
      </c>
    </row>
    <row r="598">
      <c r="B598" s="14"/>
      <c r="C598" s="14"/>
      <c r="D598" s="14"/>
      <c r="E598" s="15"/>
      <c r="F598" s="14"/>
      <c r="G598" s="13" t="str">
        <f t="array" ref="G598">iferror(XLOOKUP(A598,'Download of SFDC Activation Rep'!B:B,'Download of SFDC Activation Rep'!H:H),"")</f>
        <v/>
      </c>
      <c r="H598" s="13" t="str">
        <f t="array" ref="H598">iferror(xlookup(A598,'Download of SFDC Activation Rep'!B:B,'Download of SFDC Activation Rep'!L:L),"")</f>
        <v/>
      </c>
      <c r="I598" s="17" t="str">
        <f t="shared" si="1"/>
        <v>Not Active</v>
      </c>
      <c r="J598" s="17" t="str">
        <f t="array" ref="J598">iferror(XLOOKUP(A598,'Download of SFDC Activation Rep'!B:B,'Download of SFDC Activation Rep'!X:X),"")</f>
        <v/>
      </c>
      <c r="K598" s="17" t="str">
        <f t="array" ref="K598">iferror(XLOOKUP(A598,'Download of SFDC Activation Rep'!B:B,'Download of SFDC Activation Rep'!C:C),"")</f>
        <v/>
      </c>
      <c r="L598" s="18" t="str">
        <f t="array" ref="L598">iferror(XLOOKUP(A598,'Download of SFDC Activation Rep'!B:B,'Download of SFDC Activation Rep'!S:S),"")</f>
        <v/>
      </c>
      <c r="M598" s="24" t="str">
        <f t="array" ref="M598">iferror(XLOOKUP(A598,'Download of SFDC Activation Rep'!B:B,'Download of SFDC Activation Rep'!Z:Z)+150,"")</f>
        <v/>
      </c>
      <c r="N598" s="24" t="str">
        <f t="array" ref="N598">iferror(XLOOKUP(A598,'Download of SFDC Activation Rep'!B:B,'Download of SFDC Activation Rep'!Y:Y),"")</f>
        <v/>
      </c>
    </row>
    <row r="599">
      <c r="B599" s="14"/>
      <c r="C599" s="14"/>
      <c r="D599" s="14"/>
      <c r="E599" s="15"/>
      <c r="F599" s="14"/>
      <c r="G599" s="13" t="str">
        <f t="array" ref="G599">iferror(XLOOKUP(A599,'Download of SFDC Activation Rep'!B:B,'Download of SFDC Activation Rep'!H:H),"")</f>
        <v/>
      </c>
      <c r="H599" s="13" t="str">
        <f t="array" ref="H599">iferror(xlookup(A599,'Download of SFDC Activation Rep'!B:B,'Download of SFDC Activation Rep'!L:L),"")</f>
        <v/>
      </c>
      <c r="I599" s="17" t="str">
        <f t="shared" si="1"/>
        <v>Not Active</v>
      </c>
      <c r="J599" s="17" t="str">
        <f t="array" ref="J599">iferror(XLOOKUP(A599,'Download of SFDC Activation Rep'!B:B,'Download of SFDC Activation Rep'!X:X),"")</f>
        <v/>
      </c>
      <c r="K599" s="17" t="str">
        <f t="array" ref="K599">iferror(XLOOKUP(A599,'Download of SFDC Activation Rep'!B:B,'Download of SFDC Activation Rep'!C:C),"")</f>
        <v/>
      </c>
      <c r="L599" s="18" t="str">
        <f t="array" ref="L599">iferror(XLOOKUP(A599,'Download of SFDC Activation Rep'!B:B,'Download of SFDC Activation Rep'!S:S),"")</f>
        <v/>
      </c>
      <c r="M599" s="24" t="str">
        <f t="array" ref="M599">iferror(XLOOKUP(A599,'Download of SFDC Activation Rep'!B:B,'Download of SFDC Activation Rep'!Z:Z)+150,"")</f>
        <v/>
      </c>
      <c r="N599" s="24" t="str">
        <f t="array" ref="N599">iferror(XLOOKUP(A599,'Download of SFDC Activation Rep'!B:B,'Download of SFDC Activation Rep'!Y:Y),"")</f>
        <v/>
      </c>
    </row>
    <row r="600">
      <c r="B600" s="14"/>
      <c r="C600" s="14"/>
      <c r="D600" s="14"/>
      <c r="E600" s="15"/>
      <c r="F600" s="14"/>
      <c r="G600" s="13" t="str">
        <f t="array" ref="G600">iferror(XLOOKUP(A600,'Download of SFDC Activation Rep'!B:B,'Download of SFDC Activation Rep'!H:H),"")</f>
        <v/>
      </c>
      <c r="H600" s="13" t="str">
        <f t="array" ref="H600">iferror(xlookup(A600,'Download of SFDC Activation Rep'!B:B,'Download of SFDC Activation Rep'!L:L),"")</f>
        <v/>
      </c>
      <c r="I600" s="17" t="str">
        <f t="shared" si="1"/>
        <v>Not Active</v>
      </c>
      <c r="J600" s="17" t="str">
        <f t="array" ref="J600">iferror(XLOOKUP(A600,'Download of SFDC Activation Rep'!B:B,'Download of SFDC Activation Rep'!X:X),"")</f>
        <v/>
      </c>
      <c r="K600" s="17" t="str">
        <f t="array" ref="K600">iferror(XLOOKUP(A600,'Download of SFDC Activation Rep'!B:B,'Download of SFDC Activation Rep'!C:C),"")</f>
        <v/>
      </c>
      <c r="L600" s="18" t="str">
        <f t="array" ref="L600">iferror(XLOOKUP(A600,'Download of SFDC Activation Rep'!B:B,'Download of SFDC Activation Rep'!S:S),"")</f>
        <v/>
      </c>
      <c r="M600" s="24" t="str">
        <f t="array" ref="M600">iferror(XLOOKUP(A600,'Download of SFDC Activation Rep'!B:B,'Download of SFDC Activation Rep'!Z:Z)+150,"")</f>
        <v/>
      </c>
      <c r="N600" s="24" t="str">
        <f t="array" ref="N600">iferror(XLOOKUP(A600,'Download of SFDC Activation Rep'!B:B,'Download of SFDC Activation Rep'!Y:Y),"")</f>
        <v/>
      </c>
    </row>
    <row r="601">
      <c r="B601" s="14"/>
      <c r="C601" s="14"/>
      <c r="D601" s="14"/>
      <c r="E601" s="15"/>
      <c r="F601" s="14"/>
      <c r="G601" s="13" t="str">
        <f t="array" ref="G601">iferror(XLOOKUP(A601,'Download of SFDC Activation Rep'!B:B,'Download of SFDC Activation Rep'!H:H),"")</f>
        <v/>
      </c>
      <c r="H601" s="13" t="str">
        <f t="array" ref="H601">iferror(xlookup(A601,'Download of SFDC Activation Rep'!B:B,'Download of SFDC Activation Rep'!L:L),"")</f>
        <v/>
      </c>
      <c r="I601" s="17" t="str">
        <f t="shared" si="1"/>
        <v>Not Active</v>
      </c>
      <c r="J601" s="17" t="str">
        <f t="array" ref="J601">iferror(XLOOKUP(A601,'Download of SFDC Activation Rep'!B:B,'Download of SFDC Activation Rep'!X:X),"")</f>
        <v/>
      </c>
      <c r="K601" s="17" t="str">
        <f t="array" ref="K601">iferror(XLOOKUP(A601,'Download of SFDC Activation Rep'!B:B,'Download of SFDC Activation Rep'!C:C),"")</f>
        <v/>
      </c>
      <c r="L601" s="18" t="str">
        <f t="array" ref="L601">iferror(XLOOKUP(A601,'Download of SFDC Activation Rep'!B:B,'Download of SFDC Activation Rep'!S:S),"")</f>
        <v/>
      </c>
      <c r="M601" s="24" t="str">
        <f t="array" ref="M601">iferror(XLOOKUP(A601,'Download of SFDC Activation Rep'!B:B,'Download of SFDC Activation Rep'!Z:Z)+150,"")</f>
        <v/>
      </c>
      <c r="N601" s="24" t="str">
        <f t="array" ref="N601">iferror(XLOOKUP(A601,'Download of SFDC Activation Rep'!B:B,'Download of SFDC Activation Rep'!Y:Y),"")</f>
        <v/>
      </c>
    </row>
    <row r="602">
      <c r="B602" s="14"/>
      <c r="C602" s="14"/>
      <c r="D602" s="14"/>
      <c r="E602" s="15"/>
      <c r="F602" s="14"/>
      <c r="G602" s="13" t="str">
        <f t="array" ref="G602">iferror(XLOOKUP(A602,'Download of SFDC Activation Rep'!B:B,'Download of SFDC Activation Rep'!H:H),"")</f>
        <v/>
      </c>
      <c r="H602" s="13" t="str">
        <f t="array" ref="H602">iferror(xlookup(A602,'Download of SFDC Activation Rep'!B:B,'Download of SFDC Activation Rep'!L:L),"")</f>
        <v/>
      </c>
      <c r="I602" s="17" t="str">
        <f t="shared" si="1"/>
        <v>Not Active</v>
      </c>
      <c r="J602" s="17" t="str">
        <f t="array" ref="J602">iferror(XLOOKUP(A602,'Download of SFDC Activation Rep'!B:B,'Download of SFDC Activation Rep'!X:X),"")</f>
        <v/>
      </c>
      <c r="K602" s="17" t="str">
        <f t="array" ref="K602">iferror(XLOOKUP(A602,'Download of SFDC Activation Rep'!B:B,'Download of SFDC Activation Rep'!C:C),"")</f>
        <v/>
      </c>
      <c r="L602" s="18" t="str">
        <f t="array" ref="L602">iferror(XLOOKUP(A602,'Download of SFDC Activation Rep'!B:B,'Download of SFDC Activation Rep'!S:S),"")</f>
        <v/>
      </c>
      <c r="M602" s="24" t="str">
        <f t="array" ref="M602">iferror(XLOOKUP(A602,'Download of SFDC Activation Rep'!B:B,'Download of SFDC Activation Rep'!Z:Z)+150,"")</f>
        <v/>
      </c>
      <c r="N602" s="24" t="str">
        <f t="array" ref="N602">iferror(XLOOKUP(A602,'Download of SFDC Activation Rep'!B:B,'Download of SFDC Activation Rep'!Y:Y),"")</f>
        <v/>
      </c>
    </row>
    <row r="603">
      <c r="B603" s="14"/>
      <c r="C603" s="14"/>
      <c r="D603" s="14"/>
      <c r="E603" s="15"/>
      <c r="F603" s="14"/>
      <c r="G603" s="13" t="str">
        <f t="array" ref="G603">iferror(XLOOKUP(A603,'Download of SFDC Activation Rep'!B:B,'Download of SFDC Activation Rep'!H:H),"")</f>
        <v/>
      </c>
      <c r="H603" s="13" t="str">
        <f t="array" ref="H603">iferror(xlookup(A603,'Download of SFDC Activation Rep'!B:B,'Download of SFDC Activation Rep'!L:L),"")</f>
        <v/>
      </c>
      <c r="I603" s="17" t="str">
        <f t="shared" si="1"/>
        <v>Not Active</v>
      </c>
      <c r="J603" s="17" t="str">
        <f t="array" ref="J603">iferror(XLOOKUP(A603,'Download of SFDC Activation Rep'!B:B,'Download of SFDC Activation Rep'!X:X),"")</f>
        <v/>
      </c>
      <c r="K603" s="17" t="str">
        <f t="array" ref="K603">iferror(XLOOKUP(A603,'Download of SFDC Activation Rep'!B:B,'Download of SFDC Activation Rep'!C:C),"")</f>
        <v/>
      </c>
      <c r="L603" s="18" t="str">
        <f t="array" ref="L603">iferror(XLOOKUP(A603,'Download of SFDC Activation Rep'!B:B,'Download of SFDC Activation Rep'!S:S),"")</f>
        <v/>
      </c>
      <c r="M603" s="24" t="str">
        <f t="array" ref="M603">iferror(XLOOKUP(A603,'Download of SFDC Activation Rep'!B:B,'Download of SFDC Activation Rep'!Z:Z)+150,"")</f>
        <v/>
      </c>
      <c r="N603" s="24" t="str">
        <f t="array" ref="N603">iferror(XLOOKUP(A603,'Download of SFDC Activation Rep'!B:B,'Download of SFDC Activation Rep'!Y:Y),"")</f>
        <v/>
      </c>
    </row>
    <row r="604">
      <c r="B604" s="14"/>
      <c r="C604" s="14"/>
      <c r="D604" s="14"/>
      <c r="E604" s="15"/>
      <c r="F604" s="14"/>
      <c r="G604" s="13" t="str">
        <f t="array" ref="G604">iferror(XLOOKUP(A604,'Download of SFDC Activation Rep'!B:B,'Download of SFDC Activation Rep'!H:H),"")</f>
        <v/>
      </c>
      <c r="H604" s="13" t="str">
        <f t="array" ref="H604">iferror(xlookup(A604,'Download of SFDC Activation Rep'!B:B,'Download of SFDC Activation Rep'!L:L),"")</f>
        <v/>
      </c>
      <c r="I604" s="17" t="str">
        <f t="shared" si="1"/>
        <v>Not Active</v>
      </c>
      <c r="J604" s="17" t="str">
        <f t="array" ref="J604">iferror(XLOOKUP(A604,'Download of SFDC Activation Rep'!B:B,'Download of SFDC Activation Rep'!X:X),"")</f>
        <v/>
      </c>
      <c r="K604" s="17" t="str">
        <f t="array" ref="K604">iferror(XLOOKUP(A604,'Download of SFDC Activation Rep'!B:B,'Download of SFDC Activation Rep'!C:C),"")</f>
        <v/>
      </c>
      <c r="L604" s="18" t="str">
        <f t="array" ref="L604">iferror(XLOOKUP(A604,'Download of SFDC Activation Rep'!B:B,'Download of SFDC Activation Rep'!S:S),"")</f>
        <v/>
      </c>
      <c r="M604" s="24" t="str">
        <f t="array" ref="M604">iferror(XLOOKUP(A604,'Download of SFDC Activation Rep'!B:B,'Download of SFDC Activation Rep'!Z:Z)+150,"")</f>
        <v/>
      </c>
      <c r="N604" s="24" t="str">
        <f t="array" ref="N604">iferror(XLOOKUP(A604,'Download of SFDC Activation Rep'!B:B,'Download of SFDC Activation Rep'!Y:Y),"")</f>
        <v/>
      </c>
    </row>
    <row r="605">
      <c r="B605" s="14"/>
      <c r="C605" s="14"/>
      <c r="D605" s="14"/>
      <c r="E605" s="15"/>
      <c r="F605" s="14"/>
      <c r="G605" s="13" t="str">
        <f t="array" ref="G605">iferror(XLOOKUP(A605,'Download of SFDC Activation Rep'!B:B,'Download of SFDC Activation Rep'!H:H),"")</f>
        <v/>
      </c>
      <c r="H605" s="13" t="str">
        <f t="array" ref="H605">iferror(xlookup(A605,'Download of SFDC Activation Rep'!B:B,'Download of SFDC Activation Rep'!L:L),"")</f>
        <v/>
      </c>
      <c r="I605" s="17" t="str">
        <f t="shared" si="1"/>
        <v>Not Active</v>
      </c>
      <c r="J605" s="17" t="str">
        <f t="array" ref="J605">iferror(XLOOKUP(A605,'Download of SFDC Activation Rep'!B:B,'Download of SFDC Activation Rep'!X:X),"")</f>
        <v/>
      </c>
      <c r="K605" s="17" t="str">
        <f t="array" ref="K605">iferror(XLOOKUP(A605,'Download of SFDC Activation Rep'!B:B,'Download of SFDC Activation Rep'!C:C),"")</f>
        <v/>
      </c>
      <c r="L605" s="18" t="str">
        <f t="array" ref="L605">iferror(XLOOKUP(A605,'Download of SFDC Activation Rep'!B:B,'Download of SFDC Activation Rep'!S:S),"")</f>
        <v/>
      </c>
      <c r="M605" s="24" t="str">
        <f t="array" ref="M605">iferror(XLOOKUP(A605,'Download of SFDC Activation Rep'!B:B,'Download of SFDC Activation Rep'!Z:Z)+150,"")</f>
        <v/>
      </c>
      <c r="N605" s="24" t="str">
        <f t="array" ref="N605">iferror(XLOOKUP(A605,'Download of SFDC Activation Rep'!B:B,'Download of SFDC Activation Rep'!Y:Y),"")</f>
        <v/>
      </c>
    </row>
    <row r="606">
      <c r="B606" s="14"/>
      <c r="C606" s="14"/>
      <c r="D606" s="14"/>
      <c r="E606" s="15"/>
      <c r="F606" s="14"/>
      <c r="G606" s="13" t="str">
        <f t="array" ref="G606">iferror(XLOOKUP(A606,'Download of SFDC Activation Rep'!B:B,'Download of SFDC Activation Rep'!H:H),"")</f>
        <v/>
      </c>
      <c r="H606" s="13" t="str">
        <f t="array" ref="H606">iferror(xlookup(A606,'Download of SFDC Activation Rep'!B:B,'Download of SFDC Activation Rep'!L:L),"")</f>
        <v/>
      </c>
      <c r="I606" s="17" t="str">
        <f t="shared" si="1"/>
        <v>Not Active</v>
      </c>
      <c r="J606" s="17" t="str">
        <f t="array" ref="J606">iferror(XLOOKUP(A606,'Download of SFDC Activation Rep'!B:B,'Download of SFDC Activation Rep'!X:X),"")</f>
        <v/>
      </c>
      <c r="K606" s="17" t="str">
        <f t="array" ref="K606">iferror(XLOOKUP(A606,'Download of SFDC Activation Rep'!B:B,'Download of SFDC Activation Rep'!C:C),"")</f>
        <v/>
      </c>
      <c r="L606" s="18" t="str">
        <f t="array" ref="L606">iferror(XLOOKUP(A606,'Download of SFDC Activation Rep'!B:B,'Download of SFDC Activation Rep'!S:S),"")</f>
        <v/>
      </c>
      <c r="M606" s="24" t="str">
        <f t="array" ref="M606">iferror(XLOOKUP(A606,'Download of SFDC Activation Rep'!B:B,'Download of SFDC Activation Rep'!Z:Z)+150,"")</f>
        <v/>
      </c>
      <c r="N606" s="24" t="str">
        <f t="array" ref="N606">iferror(XLOOKUP(A606,'Download of SFDC Activation Rep'!B:B,'Download of SFDC Activation Rep'!Y:Y),"")</f>
        <v/>
      </c>
    </row>
    <row r="607">
      <c r="B607" s="14"/>
      <c r="C607" s="14"/>
      <c r="D607" s="14"/>
      <c r="E607" s="15"/>
      <c r="F607" s="14"/>
      <c r="G607" s="13" t="str">
        <f t="array" ref="G607">iferror(XLOOKUP(A607,'Download of SFDC Activation Rep'!B:B,'Download of SFDC Activation Rep'!H:H),"")</f>
        <v/>
      </c>
      <c r="H607" s="13" t="str">
        <f t="array" ref="H607">iferror(xlookup(A607,'Download of SFDC Activation Rep'!B:B,'Download of SFDC Activation Rep'!L:L),"")</f>
        <v/>
      </c>
      <c r="I607" s="17" t="str">
        <f t="shared" si="1"/>
        <v>Not Active</v>
      </c>
      <c r="J607" s="17" t="str">
        <f t="array" ref="J607">iferror(XLOOKUP(A607,'Download of SFDC Activation Rep'!B:B,'Download of SFDC Activation Rep'!X:X),"")</f>
        <v/>
      </c>
      <c r="K607" s="17" t="str">
        <f t="array" ref="K607">iferror(XLOOKUP(A607,'Download of SFDC Activation Rep'!B:B,'Download of SFDC Activation Rep'!C:C),"")</f>
        <v/>
      </c>
      <c r="L607" s="18" t="str">
        <f t="array" ref="L607">iferror(XLOOKUP(A607,'Download of SFDC Activation Rep'!B:B,'Download of SFDC Activation Rep'!S:S),"")</f>
        <v/>
      </c>
      <c r="M607" s="24" t="str">
        <f t="array" ref="M607">iferror(XLOOKUP(A607,'Download of SFDC Activation Rep'!B:B,'Download of SFDC Activation Rep'!Z:Z)+150,"")</f>
        <v/>
      </c>
      <c r="N607" s="24" t="str">
        <f t="array" ref="N607">iferror(XLOOKUP(A607,'Download of SFDC Activation Rep'!B:B,'Download of SFDC Activation Rep'!Y:Y),"")</f>
        <v/>
      </c>
    </row>
    <row r="608">
      <c r="B608" s="14"/>
      <c r="C608" s="14"/>
      <c r="D608" s="14"/>
      <c r="E608" s="15"/>
      <c r="F608" s="14"/>
      <c r="G608" s="13" t="str">
        <f t="array" ref="G608">iferror(XLOOKUP(A608,'Download of SFDC Activation Rep'!B:B,'Download of SFDC Activation Rep'!H:H),"")</f>
        <v/>
      </c>
      <c r="H608" s="13" t="str">
        <f t="array" ref="H608">iferror(xlookup(A608,'Download of SFDC Activation Rep'!B:B,'Download of SFDC Activation Rep'!L:L),"")</f>
        <v/>
      </c>
      <c r="I608" s="17" t="str">
        <f t="shared" si="1"/>
        <v>Not Active</v>
      </c>
      <c r="J608" s="17" t="str">
        <f t="array" ref="J608">iferror(XLOOKUP(A608,'Download of SFDC Activation Rep'!B:B,'Download of SFDC Activation Rep'!X:X),"")</f>
        <v/>
      </c>
      <c r="K608" s="17" t="str">
        <f t="array" ref="K608">iferror(XLOOKUP(A608,'Download of SFDC Activation Rep'!B:B,'Download of SFDC Activation Rep'!C:C),"")</f>
        <v/>
      </c>
      <c r="L608" s="18" t="str">
        <f t="array" ref="L608">iferror(XLOOKUP(A608,'Download of SFDC Activation Rep'!B:B,'Download of SFDC Activation Rep'!S:S),"")</f>
        <v/>
      </c>
      <c r="M608" s="24" t="str">
        <f t="array" ref="M608">iferror(XLOOKUP(A608,'Download of SFDC Activation Rep'!B:B,'Download of SFDC Activation Rep'!Z:Z)+150,"")</f>
        <v/>
      </c>
      <c r="N608" s="24" t="str">
        <f t="array" ref="N608">iferror(XLOOKUP(A608,'Download of SFDC Activation Rep'!B:B,'Download of SFDC Activation Rep'!Y:Y),"")</f>
        <v/>
      </c>
    </row>
    <row r="609">
      <c r="B609" s="14"/>
      <c r="C609" s="14"/>
      <c r="D609" s="14"/>
      <c r="E609" s="15"/>
      <c r="F609" s="14"/>
      <c r="G609" s="13" t="str">
        <f t="array" ref="G609">iferror(XLOOKUP(A609,'Download of SFDC Activation Rep'!B:B,'Download of SFDC Activation Rep'!H:H),"")</f>
        <v/>
      </c>
      <c r="H609" s="13" t="str">
        <f t="array" ref="H609">iferror(xlookup(A609,'Download of SFDC Activation Rep'!B:B,'Download of SFDC Activation Rep'!L:L),"")</f>
        <v/>
      </c>
      <c r="I609" s="17" t="str">
        <f t="shared" si="1"/>
        <v>Not Active</v>
      </c>
      <c r="J609" s="17" t="str">
        <f t="array" ref="J609">iferror(XLOOKUP(A609,'Download of SFDC Activation Rep'!B:B,'Download of SFDC Activation Rep'!X:X),"")</f>
        <v/>
      </c>
      <c r="K609" s="17" t="str">
        <f t="array" ref="K609">iferror(XLOOKUP(A609,'Download of SFDC Activation Rep'!B:B,'Download of SFDC Activation Rep'!C:C),"")</f>
        <v/>
      </c>
      <c r="L609" s="18" t="str">
        <f t="array" ref="L609">iferror(XLOOKUP(A609,'Download of SFDC Activation Rep'!B:B,'Download of SFDC Activation Rep'!S:S),"")</f>
        <v/>
      </c>
      <c r="M609" s="24" t="str">
        <f t="array" ref="M609">iferror(XLOOKUP(A609,'Download of SFDC Activation Rep'!B:B,'Download of SFDC Activation Rep'!Z:Z)+150,"")</f>
        <v/>
      </c>
      <c r="N609" s="24" t="str">
        <f t="array" ref="N609">iferror(XLOOKUP(A609,'Download of SFDC Activation Rep'!B:B,'Download of SFDC Activation Rep'!Y:Y),"")</f>
        <v/>
      </c>
    </row>
    <row r="610">
      <c r="B610" s="14"/>
      <c r="C610" s="14"/>
      <c r="D610" s="14"/>
      <c r="E610" s="15"/>
      <c r="F610" s="14"/>
      <c r="G610" s="13" t="str">
        <f t="array" ref="G610">iferror(XLOOKUP(A610,'Download of SFDC Activation Rep'!B:B,'Download of SFDC Activation Rep'!H:H),"")</f>
        <v/>
      </c>
      <c r="H610" s="13" t="str">
        <f t="array" ref="H610">iferror(xlookup(A610,'Download of SFDC Activation Rep'!B:B,'Download of SFDC Activation Rep'!L:L),"")</f>
        <v/>
      </c>
      <c r="I610" s="17" t="str">
        <f t="shared" si="1"/>
        <v>Not Active</v>
      </c>
      <c r="J610" s="17" t="str">
        <f t="array" ref="J610">iferror(XLOOKUP(A610,'Download of SFDC Activation Rep'!B:B,'Download of SFDC Activation Rep'!X:X),"")</f>
        <v/>
      </c>
      <c r="K610" s="17" t="str">
        <f t="array" ref="K610">iferror(XLOOKUP(A610,'Download of SFDC Activation Rep'!B:B,'Download of SFDC Activation Rep'!C:C),"")</f>
        <v/>
      </c>
      <c r="L610" s="18" t="str">
        <f t="array" ref="L610">iferror(XLOOKUP(A610,'Download of SFDC Activation Rep'!B:B,'Download of SFDC Activation Rep'!S:S),"")</f>
        <v/>
      </c>
      <c r="M610" s="24" t="str">
        <f t="array" ref="M610">iferror(XLOOKUP(A610,'Download of SFDC Activation Rep'!B:B,'Download of SFDC Activation Rep'!Z:Z)+150,"")</f>
        <v/>
      </c>
      <c r="N610" s="24" t="str">
        <f t="array" ref="N610">iferror(XLOOKUP(A610,'Download of SFDC Activation Rep'!B:B,'Download of SFDC Activation Rep'!Y:Y),"")</f>
        <v/>
      </c>
    </row>
    <row r="611">
      <c r="B611" s="14"/>
      <c r="C611" s="14"/>
      <c r="D611" s="14"/>
      <c r="E611" s="15"/>
      <c r="F611" s="14"/>
      <c r="G611" s="13" t="str">
        <f t="array" ref="G611">iferror(XLOOKUP(A611,'Download of SFDC Activation Rep'!B:B,'Download of SFDC Activation Rep'!H:H),"")</f>
        <v/>
      </c>
      <c r="H611" s="13" t="str">
        <f t="array" ref="H611">iferror(xlookup(A611,'Download of SFDC Activation Rep'!B:B,'Download of SFDC Activation Rep'!L:L),"")</f>
        <v/>
      </c>
      <c r="I611" s="17" t="str">
        <f t="shared" si="1"/>
        <v>Not Active</v>
      </c>
      <c r="J611" s="17" t="str">
        <f t="array" ref="J611">iferror(XLOOKUP(A611,'Download of SFDC Activation Rep'!B:B,'Download of SFDC Activation Rep'!X:X),"")</f>
        <v/>
      </c>
      <c r="K611" s="17" t="str">
        <f t="array" ref="K611">iferror(XLOOKUP(A611,'Download of SFDC Activation Rep'!B:B,'Download of SFDC Activation Rep'!C:C),"")</f>
        <v/>
      </c>
      <c r="L611" s="18" t="str">
        <f t="array" ref="L611">iferror(XLOOKUP(A611,'Download of SFDC Activation Rep'!B:B,'Download of SFDC Activation Rep'!S:S),"")</f>
        <v/>
      </c>
      <c r="M611" s="24" t="str">
        <f t="array" ref="M611">iferror(XLOOKUP(A611,'Download of SFDC Activation Rep'!B:B,'Download of SFDC Activation Rep'!Z:Z)+150,"")</f>
        <v/>
      </c>
      <c r="N611" s="24" t="str">
        <f t="array" ref="N611">iferror(XLOOKUP(A611,'Download of SFDC Activation Rep'!B:B,'Download of SFDC Activation Rep'!Y:Y),"")</f>
        <v/>
      </c>
    </row>
    <row r="612">
      <c r="B612" s="14"/>
      <c r="C612" s="14"/>
      <c r="D612" s="14"/>
      <c r="E612" s="15"/>
      <c r="F612" s="14"/>
      <c r="G612" s="13" t="str">
        <f t="array" ref="G612">iferror(XLOOKUP(A612,'Download of SFDC Activation Rep'!B:B,'Download of SFDC Activation Rep'!H:H),"")</f>
        <v/>
      </c>
      <c r="H612" s="13" t="str">
        <f t="array" ref="H612">iferror(xlookup(A612,'Download of SFDC Activation Rep'!B:B,'Download of SFDC Activation Rep'!L:L),"")</f>
        <v/>
      </c>
      <c r="I612" s="17" t="str">
        <f t="shared" si="1"/>
        <v>Not Active</v>
      </c>
      <c r="J612" s="17" t="str">
        <f t="array" ref="J612">iferror(XLOOKUP(A612,'Download of SFDC Activation Rep'!B:B,'Download of SFDC Activation Rep'!X:X),"")</f>
        <v/>
      </c>
      <c r="K612" s="17" t="str">
        <f t="array" ref="K612">iferror(XLOOKUP(A612,'Download of SFDC Activation Rep'!B:B,'Download of SFDC Activation Rep'!C:C),"")</f>
        <v/>
      </c>
      <c r="L612" s="18" t="str">
        <f t="array" ref="L612">iferror(XLOOKUP(A612,'Download of SFDC Activation Rep'!B:B,'Download of SFDC Activation Rep'!S:S),"")</f>
        <v/>
      </c>
      <c r="M612" s="24" t="str">
        <f t="array" ref="M612">iferror(XLOOKUP(A612,'Download of SFDC Activation Rep'!B:B,'Download of SFDC Activation Rep'!Z:Z)+150,"")</f>
        <v/>
      </c>
      <c r="N612" s="24" t="str">
        <f t="array" ref="N612">iferror(XLOOKUP(A612,'Download of SFDC Activation Rep'!B:B,'Download of SFDC Activation Rep'!Y:Y),"")</f>
        <v/>
      </c>
    </row>
    <row r="613">
      <c r="B613" s="14"/>
      <c r="C613" s="14"/>
      <c r="D613" s="14"/>
      <c r="E613" s="15"/>
      <c r="F613" s="14"/>
      <c r="G613" s="13" t="str">
        <f t="array" ref="G613">iferror(XLOOKUP(A613,'Download of SFDC Activation Rep'!B:B,'Download of SFDC Activation Rep'!H:H),"")</f>
        <v/>
      </c>
      <c r="H613" s="13" t="str">
        <f t="array" ref="H613">iferror(xlookup(A613,'Download of SFDC Activation Rep'!B:B,'Download of SFDC Activation Rep'!L:L),"")</f>
        <v/>
      </c>
      <c r="I613" s="17" t="str">
        <f t="shared" si="1"/>
        <v>Not Active</v>
      </c>
      <c r="J613" s="17" t="str">
        <f t="array" ref="J613">iferror(XLOOKUP(A613,'Download of SFDC Activation Rep'!B:B,'Download of SFDC Activation Rep'!X:X),"")</f>
        <v/>
      </c>
      <c r="K613" s="17" t="str">
        <f t="array" ref="K613">iferror(XLOOKUP(A613,'Download of SFDC Activation Rep'!B:B,'Download of SFDC Activation Rep'!C:C),"")</f>
        <v/>
      </c>
      <c r="L613" s="18" t="str">
        <f t="array" ref="L613">iferror(XLOOKUP(A613,'Download of SFDC Activation Rep'!B:B,'Download of SFDC Activation Rep'!S:S),"")</f>
        <v/>
      </c>
      <c r="M613" s="24" t="str">
        <f t="array" ref="M613">iferror(XLOOKUP(A613,'Download of SFDC Activation Rep'!B:B,'Download of SFDC Activation Rep'!Z:Z)+150,"")</f>
        <v/>
      </c>
      <c r="N613" s="24" t="str">
        <f t="array" ref="N613">iferror(XLOOKUP(A613,'Download of SFDC Activation Rep'!B:B,'Download of SFDC Activation Rep'!Y:Y),"")</f>
        <v/>
      </c>
    </row>
    <row r="614">
      <c r="B614" s="14"/>
      <c r="C614" s="14"/>
      <c r="D614" s="14"/>
      <c r="E614" s="15"/>
      <c r="F614" s="14"/>
      <c r="G614" s="13" t="str">
        <f t="array" ref="G614">iferror(XLOOKUP(A614,'Download of SFDC Activation Rep'!B:B,'Download of SFDC Activation Rep'!H:H),"")</f>
        <v/>
      </c>
      <c r="H614" s="13" t="str">
        <f t="array" ref="H614">iferror(xlookup(A614,'Download of SFDC Activation Rep'!B:B,'Download of SFDC Activation Rep'!L:L),"")</f>
        <v/>
      </c>
      <c r="I614" s="17" t="str">
        <f t="shared" si="1"/>
        <v>Not Active</v>
      </c>
      <c r="J614" s="17" t="str">
        <f t="array" ref="J614">iferror(XLOOKUP(A614,'Download of SFDC Activation Rep'!B:B,'Download of SFDC Activation Rep'!X:X),"")</f>
        <v/>
      </c>
      <c r="K614" s="17" t="str">
        <f t="array" ref="K614">iferror(XLOOKUP(A614,'Download of SFDC Activation Rep'!B:B,'Download of SFDC Activation Rep'!C:C),"")</f>
        <v/>
      </c>
      <c r="L614" s="18" t="str">
        <f t="array" ref="L614">iferror(XLOOKUP(A614,'Download of SFDC Activation Rep'!B:B,'Download of SFDC Activation Rep'!S:S),"")</f>
        <v/>
      </c>
      <c r="M614" s="24" t="str">
        <f t="array" ref="M614">iferror(XLOOKUP(A614,'Download of SFDC Activation Rep'!B:B,'Download of SFDC Activation Rep'!Z:Z)+150,"")</f>
        <v/>
      </c>
      <c r="N614" s="24" t="str">
        <f t="array" ref="N614">iferror(XLOOKUP(A614,'Download of SFDC Activation Rep'!B:B,'Download of SFDC Activation Rep'!Y:Y),"")</f>
        <v/>
      </c>
    </row>
    <row r="615">
      <c r="B615" s="14"/>
      <c r="C615" s="14"/>
      <c r="D615" s="14"/>
      <c r="E615" s="15"/>
      <c r="F615" s="14"/>
      <c r="G615" s="13" t="str">
        <f t="array" ref="G615">iferror(XLOOKUP(A615,'Download of SFDC Activation Rep'!B:B,'Download of SFDC Activation Rep'!H:H),"")</f>
        <v/>
      </c>
      <c r="H615" s="13" t="str">
        <f t="array" ref="H615">iferror(xlookup(A615,'Download of SFDC Activation Rep'!B:B,'Download of SFDC Activation Rep'!L:L),"")</f>
        <v/>
      </c>
      <c r="I615" s="17" t="str">
        <f t="shared" si="1"/>
        <v>Not Active</v>
      </c>
      <c r="J615" s="17" t="str">
        <f t="array" ref="J615">iferror(XLOOKUP(A615,'Download of SFDC Activation Rep'!B:B,'Download of SFDC Activation Rep'!X:X),"")</f>
        <v/>
      </c>
      <c r="K615" s="17" t="str">
        <f t="array" ref="K615">iferror(XLOOKUP(A615,'Download of SFDC Activation Rep'!B:B,'Download of SFDC Activation Rep'!C:C),"")</f>
        <v/>
      </c>
      <c r="L615" s="18" t="str">
        <f t="array" ref="L615">iferror(XLOOKUP(A615,'Download of SFDC Activation Rep'!B:B,'Download of SFDC Activation Rep'!S:S),"")</f>
        <v/>
      </c>
      <c r="M615" s="24" t="str">
        <f t="array" ref="M615">iferror(XLOOKUP(A615,'Download of SFDC Activation Rep'!B:B,'Download of SFDC Activation Rep'!Z:Z)+150,"")</f>
        <v/>
      </c>
      <c r="N615" s="24" t="str">
        <f t="array" ref="N615">iferror(XLOOKUP(A615,'Download of SFDC Activation Rep'!B:B,'Download of SFDC Activation Rep'!Y:Y),"")</f>
        <v/>
      </c>
    </row>
    <row r="616">
      <c r="B616" s="14"/>
      <c r="C616" s="14"/>
      <c r="D616" s="14"/>
      <c r="E616" s="15"/>
      <c r="F616" s="14"/>
      <c r="G616" s="13" t="str">
        <f t="array" ref="G616">iferror(XLOOKUP(A616,'Download of SFDC Activation Rep'!B:B,'Download of SFDC Activation Rep'!H:H),"")</f>
        <v/>
      </c>
      <c r="H616" s="13" t="str">
        <f t="array" ref="H616">iferror(xlookup(A616,'Download of SFDC Activation Rep'!B:B,'Download of SFDC Activation Rep'!L:L),"")</f>
        <v/>
      </c>
      <c r="I616" s="17" t="str">
        <f t="shared" si="1"/>
        <v>Not Active</v>
      </c>
      <c r="J616" s="17" t="str">
        <f t="array" ref="J616">iferror(XLOOKUP(A616,'Download of SFDC Activation Rep'!B:B,'Download of SFDC Activation Rep'!X:X),"")</f>
        <v/>
      </c>
      <c r="K616" s="17" t="str">
        <f t="array" ref="K616">iferror(XLOOKUP(A616,'Download of SFDC Activation Rep'!B:B,'Download of SFDC Activation Rep'!C:C),"")</f>
        <v/>
      </c>
      <c r="L616" s="18" t="str">
        <f t="array" ref="L616">iferror(XLOOKUP(A616,'Download of SFDC Activation Rep'!B:B,'Download of SFDC Activation Rep'!S:S),"")</f>
        <v/>
      </c>
      <c r="M616" s="24" t="str">
        <f t="array" ref="M616">iferror(XLOOKUP(A616,'Download of SFDC Activation Rep'!B:B,'Download of SFDC Activation Rep'!Z:Z)+150,"")</f>
        <v/>
      </c>
      <c r="N616" s="24" t="str">
        <f t="array" ref="N616">iferror(XLOOKUP(A616,'Download of SFDC Activation Rep'!B:B,'Download of SFDC Activation Rep'!Y:Y),"")</f>
        <v/>
      </c>
    </row>
    <row r="617">
      <c r="B617" s="14"/>
      <c r="C617" s="14"/>
      <c r="D617" s="14"/>
      <c r="E617" s="15"/>
      <c r="F617" s="14"/>
      <c r="G617" s="13" t="str">
        <f t="array" ref="G617">iferror(XLOOKUP(A617,'Download of SFDC Activation Rep'!B:B,'Download of SFDC Activation Rep'!H:H),"")</f>
        <v/>
      </c>
      <c r="H617" s="13" t="str">
        <f t="array" ref="H617">iferror(xlookup(A617,'Download of SFDC Activation Rep'!B:B,'Download of SFDC Activation Rep'!L:L),"")</f>
        <v/>
      </c>
      <c r="I617" s="17" t="str">
        <f t="shared" si="1"/>
        <v>Not Active</v>
      </c>
      <c r="J617" s="17" t="str">
        <f t="array" ref="J617">iferror(XLOOKUP(A617,'Download of SFDC Activation Rep'!B:B,'Download of SFDC Activation Rep'!X:X),"")</f>
        <v/>
      </c>
      <c r="K617" s="17" t="str">
        <f t="array" ref="K617">iferror(XLOOKUP(A617,'Download of SFDC Activation Rep'!B:B,'Download of SFDC Activation Rep'!C:C),"")</f>
        <v/>
      </c>
      <c r="L617" s="18" t="str">
        <f t="array" ref="L617">iferror(XLOOKUP(A617,'Download of SFDC Activation Rep'!B:B,'Download of SFDC Activation Rep'!S:S),"")</f>
        <v/>
      </c>
      <c r="M617" s="24" t="str">
        <f t="array" ref="M617">iferror(XLOOKUP(A617,'Download of SFDC Activation Rep'!B:B,'Download of SFDC Activation Rep'!Z:Z)+150,"")</f>
        <v/>
      </c>
      <c r="N617" s="24" t="str">
        <f t="array" ref="N617">iferror(XLOOKUP(A617,'Download of SFDC Activation Rep'!B:B,'Download of SFDC Activation Rep'!Y:Y),"")</f>
        <v/>
      </c>
    </row>
    <row r="618">
      <c r="B618" s="14"/>
      <c r="C618" s="14"/>
      <c r="D618" s="14"/>
      <c r="E618" s="15"/>
      <c r="F618" s="14"/>
      <c r="G618" s="13" t="str">
        <f t="array" ref="G618">iferror(XLOOKUP(A618,'Download of SFDC Activation Rep'!B:B,'Download of SFDC Activation Rep'!H:H),"")</f>
        <v/>
      </c>
      <c r="H618" s="13" t="str">
        <f t="array" ref="H618">iferror(xlookup(A618,'Download of SFDC Activation Rep'!B:B,'Download of SFDC Activation Rep'!L:L),"")</f>
        <v/>
      </c>
      <c r="I618" s="17" t="str">
        <f t="shared" si="1"/>
        <v>Not Active</v>
      </c>
      <c r="J618" s="17" t="str">
        <f t="array" ref="J618">iferror(XLOOKUP(A618,'Download of SFDC Activation Rep'!B:B,'Download of SFDC Activation Rep'!X:X),"")</f>
        <v/>
      </c>
      <c r="K618" s="17" t="str">
        <f t="array" ref="K618">iferror(XLOOKUP(A618,'Download of SFDC Activation Rep'!B:B,'Download of SFDC Activation Rep'!C:C),"")</f>
        <v/>
      </c>
      <c r="L618" s="18" t="str">
        <f t="array" ref="L618">iferror(XLOOKUP(A618,'Download of SFDC Activation Rep'!B:B,'Download of SFDC Activation Rep'!S:S),"")</f>
        <v/>
      </c>
      <c r="M618" s="24" t="str">
        <f t="array" ref="M618">iferror(XLOOKUP(A618,'Download of SFDC Activation Rep'!B:B,'Download of SFDC Activation Rep'!Z:Z)+150,"")</f>
        <v/>
      </c>
      <c r="N618" s="24" t="str">
        <f t="array" ref="N618">iferror(XLOOKUP(A618,'Download of SFDC Activation Rep'!B:B,'Download of SFDC Activation Rep'!Y:Y),"")</f>
        <v/>
      </c>
    </row>
    <row r="619">
      <c r="B619" s="14"/>
      <c r="C619" s="14"/>
      <c r="D619" s="14"/>
      <c r="E619" s="15"/>
      <c r="F619" s="14"/>
      <c r="G619" s="13" t="str">
        <f t="array" ref="G619">iferror(XLOOKUP(A619,'Download of SFDC Activation Rep'!B:B,'Download of SFDC Activation Rep'!H:H),"")</f>
        <v/>
      </c>
      <c r="H619" s="13" t="str">
        <f t="array" ref="H619">iferror(xlookup(A619,'Download of SFDC Activation Rep'!B:B,'Download of SFDC Activation Rep'!L:L),"")</f>
        <v/>
      </c>
      <c r="I619" s="17" t="str">
        <f t="shared" si="1"/>
        <v>Not Active</v>
      </c>
      <c r="J619" s="17" t="str">
        <f t="array" ref="J619">iferror(XLOOKUP(A619,'Download of SFDC Activation Rep'!B:B,'Download of SFDC Activation Rep'!X:X),"")</f>
        <v/>
      </c>
      <c r="K619" s="17" t="str">
        <f t="array" ref="K619">iferror(XLOOKUP(A619,'Download of SFDC Activation Rep'!B:B,'Download of SFDC Activation Rep'!C:C),"")</f>
        <v/>
      </c>
      <c r="L619" s="18" t="str">
        <f t="array" ref="L619">iferror(XLOOKUP(A619,'Download of SFDC Activation Rep'!B:B,'Download of SFDC Activation Rep'!S:S),"")</f>
        <v/>
      </c>
      <c r="M619" s="24" t="str">
        <f t="array" ref="M619">iferror(XLOOKUP(A619,'Download of SFDC Activation Rep'!B:B,'Download of SFDC Activation Rep'!Z:Z)+150,"")</f>
        <v/>
      </c>
      <c r="N619" s="24" t="str">
        <f t="array" ref="N619">iferror(XLOOKUP(A619,'Download of SFDC Activation Rep'!B:B,'Download of SFDC Activation Rep'!Y:Y),"")</f>
        <v/>
      </c>
    </row>
    <row r="620">
      <c r="B620" s="14"/>
      <c r="C620" s="14"/>
      <c r="D620" s="14"/>
      <c r="E620" s="15"/>
      <c r="F620" s="14"/>
      <c r="G620" s="13" t="str">
        <f t="array" ref="G620">iferror(XLOOKUP(A620,'Download of SFDC Activation Rep'!B:B,'Download of SFDC Activation Rep'!H:H),"")</f>
        <v/>
      </c>
      <c r="H620" s="13" t="str">
        <f t="array" ref="H620">iferror(xlookup(A620,'Download of SFDC Activation Rep'!B:B,'Download of SFDC Activation Rep'!L:L),"")</f>
        <v/>
      </c>
      <c r="I620" s="17" t="str">
        <f t="shared" si="1"/>
        <v>Not Active</v>
      </c>
      <c r="J620" s="17" t="str">
        <f t="array" ref="J620">iferror(XLOOKUP(A620,'Download of SFDC Activation Rep'!B:B,'Download of SFDC Activation Rep'!X:X),"")</f>
        <v/>
      </c>
      <c r="K620" s="17" t="str">
        <f t="array" ref="K620">iferror(XLOOKUP(A620,'Download of SFDC Activation Rep'!B:B,'Download of SFDC Activation Rep'!C:C),"")</f>
        <v/>
      </c>
      <c r="L620" s="18" t="str">
        <f t="array" ref="L620">iferror(XLOOKUP(A620,'Download of SFDC Activation Rep'!B:B,'Download of SFDC Activation Rep'!S:S),"")</f>
        <v/>
      </c>
      <c r="M620" s="24" t="str">
        <f t="array" ref="M620">iferror(XLOOKUP(A620,'Download of SFDC Activation Rep'!B:B,'Download of SFDC Activation Rep'!Z:Z)+150,"")</f>
        <v/>
      </c>
      <c r="N620" s="24" t="str">
        <f t="array" ref="N620">iferror(XLOOKUP(A620,'Download of SFDC Activation Rep'!B:B,'Download of SFDC Activation Rep'!Y:Y),"")</f>
        <v/>
      </c>
    </row>
    <row r="621">
      <c r="B621" s="14"/>
      <c r="C621" s="14"/>
      <c r="D621" s="14"/>
      <c r="E621" s="15"/>
      <c r="F621" s="14"/>
      <c r="G621" s="13" t="str">
        <f t="array" ref="G621">iferror(XLOOKUP(A621,'Download of SFDC Activation Rep'!B:B,'Download of SFDC Activation Rep'!H:H),"")</f>
        <v/>
      </c>
      <c r="H621" s="13" t="str">
        <f t="array" ref="H621">iferror(xlookup(A621,'Download of SFDC Activation Rep'!B:B,'Download of SFDC Activation Rep'!L:L),"")</f>
        <v/>
      </c>
      <c r="I621" s="17" t="str">
        <f t="shared" si="1"/>
        <v>Not Active</v>
      </c>
      <c r="J621" s="17" t="str">
        <f t="array" ref="J621">iferror(XLOOKUP(A621,'Download of SFDC Activation Rep'!B:B,'Download of SFDC Activation Rep'!X:X),"")</f>
        <v/>
      </c>
      <c r="K621" s="17" t="str">
        <f t="array" ref="K621">iferror(XLOOKUP(A621,'Download of SFDC Activation Rep'!B:B,'Download of SFDC Activation Rep'!C:C),"")</f>
        <v/>
      </c>
      <c r="L621" s="18" t="str">
        <f t="array" ref="L621">iferror(XLOOKUP(A621,'Download of SFDC Activation Rep'!B:B,'Download of SFDC Activation Rep'!S:S),"")</f>
        <v/>
      </c>
      <c r="M621" s="24" t="str">
        <f t="array" ref="M621">iferror(XLOOKUP(A621,'Download of SFDC Activation Rep'!B:B,'Download of SFDC Activation Rep'!Z:Z)+150,"")</f>
        <v/>
      </c>
      <c r="N621" s="24" t="str">
        <f t="array" ref="N621">iferror(XLOOKUP(A621,'Download of SFDC Activation Rep'!B:B,'Download of SFDC Activation Rep'!Y:Y),"")</f>
        <v/>
      </c>
    </row>
    <row r="622">
      <c r="B622" s="14"/>
      <c r="C622" s="14"/>
      <c r="D622" s="14"/>
      <c r="E622" s="15"/>
      <c r="F622" s="14"/>
      <c r="G622" s="13" t="str">
        <f t="array" ref="G622">iferror(XLOOKUP(A622,'Download of SFDC Activation Rep'!B:B,'Download of SFDC Activation Rep'!H:H),"")</f>
        <v/>
      </c>
      <c r="H622" s="13" t="str">
        <f t="array" ref="H622">iferror(xlookup(A622,'Download of SFDC Activation Rep'!B:B,'Download of SFDC Activation Rep'!L:L),"")</f>
        <v/>
      </c>
      <c r="I622" s="17" t="str">
        <f t="shared" si="1"/>
        <v>Not Active</v>
      </c>
      <c r="J622" s="17" t="str">
        <f t="array" ref="J622">iferror(XLOOKUP(A622,'Download of SFDC Activation Rep'!B:B,'Download of SFDC Activation Rep'!X:X),"")</f>
        <v/>
      </c>
      <c r="K622" s="17" t="str">
        <f t="array" ref="K622">iferror(XLOOKUP(A622,'Download of SFDC Activation Rep'!B:B,'Download of SFDC Activation Rep'!C:C),"")</f>
        <v/>
      </c>
      <c r="L622" s="18" t="str">
        <f t="array" ref="L622">iferror(XLOOKUP(A622,'Download of SFDC Activation Rep'!B:B,'Download of SFDC Activation Rep'!S:S),"")</f>
        <v/>
      </c>
      <c r="M622" s="24" t="str">
        <f t="array" ref="M622">iferror(XLOOKUP(A622,'Download of SFDC Activation Rep'!B:B,'Download of SFDC Activation Rep'!Z:Z)+150,"")</f>
        <v/>
      </c>
      <c r="N622" s="24" t="str">
        <f t="array" ref="N622">iferror(XLOOKUP(A622,'Download of SFDC Activation Rep'!B:B,'Download of SFDC Activation Rep'!Y:Y),"")</f>
        <v/>
      </c>
    </row>
    <row r="623">
      <c r="B623" s="14"/>
      <c r="C623" s="14"/>
      <c r="D623" s="14"/>
      <c r="E623" s="15"/>
      <c r="F623" s="14"/>
      <c r="G623" s="13" t="str">
        <f t="array" ref="G623">iferror(XLOOKUP(A623,'Download of SFDC Activation Rep'!B:B,'Download of SFDC Activation Rep'!H:H),"")</f>
        <v/>
      </c>
      <c r="H623" s="13" t="str">
        <f t="array" ref="H623">iferror(xlookup(A623,'Download of SFDC Activation Rep'!B:B,'Download of SFDC Activation Rep'!L:L),"")</f>
        <v/>
      </c>
      <c r="I623" s="17" t="str">
        <f t="shared" si="1"/>
        <v>Not Active</v>
      </c>
      <c r="J623" s="17" t="str">
        <f t="array" ref="J623">iferror(XLOOKUP(A623,'Download of SFDC Activation Rep'!B:B,'Download of SFDC Activation Rep'!X:X),"")</f>
        <v/>
      </c>
      <c r="K623" s="17" t="str">
        <f t="array" ref="K623">iferror(XLOOKUP(A623,'Download of SFDC Activation Rep'!B:B,'Download of SFDC Activation Rep'!C:C),"")</f>
        <v/>
      </c>
      <c r="L623" s="18" t="str">
        <f t="array" ref="L623">iferror(XLOOKUP(A623,'Download of SFDC Activation Rep'!B:B,'Download of SFDC Activation Rep'!S:S),"")</f>
        <v/>
      </c>
      <c r="M623" s="24" t="str">
        <f t="array" ref="M623">iferror(XLOOKUP(A623,'Download of SFDC Activation Rep'!B:B,'Download of SFDC Activation Rep'!Z:Z)+150,"")</f>
        <v/>
      </c>
      <c r="N623" s="24" t="str">
        <f t="array" ref="N623">iferror(XLOOKUP(A623,'Download of SFDC Activation Rep'!B:B,'Download of SFDC Activation Rep'!Y:Y),"")</f>
        <v/>
      </c>
    </row>
    <row r="624">
      <c r="B624" s="14"/>
      <c r="C624" s="14"/>
      <c r="D624" s="14"/>
      <c r="E624" s="15"/>
      <c r="F624" s="14"/>
      <c r="G624" s="13" t="str">
        <f t="array" ref="G624">iferror(XLOOKUP(A624,'Download of SFDC Activation Rep'!B:B,'Download of SFDC Activation Rep'!H:H),"")</f>
        <v/>
      </c>
      <c r="H624" s="13" t="str">
        <f t="array" ref="H624">iferror(xlookup(A624,'Download of SFDC Activation Rep'!B:B,'Download of SFDC Activation Rep'!L:L),"")</f>
        <v/>
      </c>
      <c r="I624" s="17" t="str">
        <f t="shared" si="1"/>
        <v>Not Active</v>
      </c>
      <c r="J624" s="17" t="str">
        <f t="array" ref="J624">iferror(XLOOKUP(A624,'Download of SFDC Activation Rep'!B:B,'Download of SFDC Activation Rep'!X:X),"")</f>
        <v/>
      </c>
      <c r="K624" s="17" t="str">
        <f t="array" ref="K624">iferror(XLOOKUP(A624,'Download of SFDC Activation Rep'!B:B,'Download of SFDC Activation Rep'!C:C),"")</f>
        <v/>
      </c>
      <c r="L624" s="18" t="str">
        <f t="array" ref="L624">iferror(XLOOKUP(A624,'Download of SFDC Activation Rep'!B:B,'Download of SFDC Activation Rep'!S:S),"")</f>
        <v/>
      </c>
      <c r="M624" s="24" t="str">
        <f t="array" ref="M624">iferror(XLOOKUP(A624,'Download of SFDC Activation Rep'!B:B,'Download of SFDC Activation Rep'!Z:Z)+150,"")</f>
        <v/>
      </c>
      <c r="N624" s="24" t="str">
        <f t="array" ref="N624">iferror(XLOOKUP(A624,'Download of SFDC Activation Rep'!B:B,'Download of SFDC Activation Rep'!Y:Y),"")</f>
        <v/>
      </c>
    </row>
    <row r="625">
      <c r="B625" s="14"/>
      <c r="C625" s="14"/>
      <c r="D625" s="14"/>
      <c r="E625" s="15"/>
      <c r="F625" s="14"/>
      <c r="G625" s="13" t="str">
        <f t="array" ref="G625">iferror(XLOOKUP(A625,'Download of SFDC Activation Rep'!B:B,'Download of SFDC Activation Rep'!H:H),"")</f>
        <v/>
      </c>
      <c r="H625" s="13" t="str">
        <f t="array" ref="H625">iferror(xlookup(A625,'Download of SFDC Activation Rep'!B:B,'Download of SFDC Activation Rep'!L:L),"")</f>
        <v/>
      </c>
      <c r="I625" s="17" t="str">
        <f t="shared" si="1"/>
        <v>Not Active</v>
      </c>
      <c r="J625" s="17" t="str">
        <f t="array" ref="J625">iferror(XLOOKUP(A625,'Download of SFDC Activation Rep'!B:B,'Download of SFDC Activation Rep'!X:X),"")</f>
        <v/>
      </c>
      <c r="K625" s="17" t="str">
        <f t="array" ref="K625">iferror(XLOOKUP(A625,'Download of SFDC Activation Rep'!B:B,'Download of SFDC Activation Rep'!C:C),"")</f>
        <v/>
      </c>
      <c r="L625" s="18" t="str">
        <f t="array" ref="L625">iferror(XLOOKUP(A625,'Download of SFDC Activation Rep'!B:B,'Download of SFDC Activation Rep'!S:S),"")</f>
        <v/>
      </c>
      <c r="M625" s="24" t="str">
        <f t="array" ref="M625">iferror(XLOOKUP(A625,'Download of SFDC Activation Rep'!B:B,'Download of SFDC Activation Rep'!Z:Z)+150,"")</f>
        <v/>
      </c>
      <c r="N625" s="24" t="str">
        <f t="array" ref="N625">iferror(XLOOKUP(A625,'Download of SFDC Activation Rep'!B:B,'Download of SFDC Activation Rep'!Y:Y),"")</f>
        <v/>
      </c>
    </row>
    <row r="626">
      <c r="B626" s="14"/>
      <c r="C626" s="14"/>
      <c r="D626" s="14"/>
      <c r="E626" s="15"/>
      <c r="F626" s="14"/>
      <c r="G626" s="13" t="str">
        <f t="array" ref="G626">iferror(XLOOKUP(A626,'Download of SFDC Activation Rep'!B:B,'Download of SFDC Activation Rep'!H:H),"")</f>
        <v/>
      </c>
      <c r="H626" s="13" t="str">
        <f t="array" ref="H626">iferror(xlookup(A626,'Download of SFDC Activation Rep'!B:B,'Download of SFDC Activation Rep'!L:L),"")</f>
        <v/>
      </c>
      <c r="I626" s="17" t="str">
        <f t="shared" si="1"/>
        <v>Not Active</v>
      </c>
      <c r="J626" s="17" t="str">
        <f t="array" ref="J626">iferror(XLOOKUP(A626,'Download of SFDC Activation Rep'!B:B,'Download of SFDC Activation Rep'!X:X),"")</f>
        <v/>
      </c>
      <c r="K626" s="17" t="str">
        <f t="array" ref="K626">iferror(XLOOKUP(A626,'Download of SFDC Activation Rep'!B:B,'Download of SFDC Activation Rep'!C:C),"")</f>
        <v/>
      </c>
      <c r="L626" s="18" t="str">
        <f t="array" ref="L626">iferror(XLOOKUP(A626,'Download of SFDC Activation Rep'!B:B,'Download of SFDC Activation Rep'!S:S),"")</f>
        <v/>
      </c>
      <c r="M626" s="24" t="str">
        <f t="array" ref="M626">iferror(XLOOKUP(A626,'Download of SFDC Activation Rep'!B:B,'Download of SFDC Activation Rep'!Z:Z)+150,"")</f>
        <v/>
      </c>
      <c r="N626" s="24" t="str">
        <f t="array" ref="N626">iferror(XLOOKUP(A626,'Download of SFDC Activation Rep'!B:B,'Download of SFDC Activation Rep'!Y:Y),"")</f>
        <v/>
      </c>
    </row>
    <row r="627">
      <c r="B627" s="14"/>
      <c r="C627" s="14"/>
      <c r="D627" s="14"/>
      <c r="E627" s="15"/>
      <c r="F627" s="14"/>
      <c r="G627" s="13" t="str">
        <f t="array" ref="G627">iferror(XLOOKUP(A627,'Download of SFDC Activation Rep'!B:B,'Download of SFDC Activation Rep'!H:H),"")</f>
        <v/>
      </c>
      <c r="H627" s="13" t="str">
        <f t="array" ref="H627">iferror(xlookup(A627,'Download of SFDC Activation Rep'!B:B,'Download of SFDC Activation Rep'!L:L),"")</f>
        <v/>
      </c>
      <c r="I627" s="17" t="str">
        <f t="shared" si="1"/>
        <v>Not Active</v>
      </c>
      <c r="J627" s="17" t="str">
        <f t="array" ref="J627">iferror(XLOOKUP(A627,'Download of SFDC Activation Rep'!B:B,'Download of SFDC Activation Rep'!X:X),"")</f>
        <v/>
      </c>
      <c r="K627" s="17" t="str">
        <f t="array" ref="K627">iferror(XLOOKUP(A627,'Download of SFDC Activation Rep'!B:B,'Download of SFDC Activation Rep'!C:C),"")</f>
        <v/>
      </c>
      <c r="L627" s="18" t="str">
        <f t="array" ref="L627">iferror(XLOOKUP(A627,'Download of SFDC Activation Rep'!B:B,'Download of SFDC Activation Rep'!S:S),"")</f>
        <v/>
      </c>
      <c r="M627" s="24" t="str">
        <f t="array" ref="M627">iferror(XLOOKUP(A627,'Download of SFDC Activation Rep'!B:B,'Download of SFDC Activation Rep'!Z:Z)+150,"")</f>
        <v/>
      </c>
      <c r="N627" s="24" t="str">
        <f t="array" ref="N627">iferror(XLOOKUP(A627,'Download of SFDC Activation Rep'!B:B,'Download of SFDC Activation Rep'!Y:Y),"")</f>
        <v/>
      </c>
    </row>
    <row r="628">
      <c r="B628" s="14"/>
      <c r="C628" s="14"/>
      <c r="D628" s="14"/>
      <c r="E628" s="15"/>
      <c r="F628" s="14"/>
      <c r="G628" s="13" t="str">
        <f t="array" ref="G628">iferror(XLOOKUP(A628,'Download of SFDC Activation Rep'!B:B,'Download of SFDC Activation Rep'!H:H),"")</f>
        <v/>
      </c>
      <c r="H628" s="13" t="str">
        <f t="array" ref="H628">iferror(xlookup(A628,'Download of SFDC Activation Rep'!B:B,'Download of SFDC Activation Rep'!L:L),"")</f>
        <v/>
      </c>
      <c r="I628" s="17" t="str">
        <f t="shared" si="1"/>
        <v>Not Active</v>
      </c>
      <c r="J628" s="17" t="str">
        <f t="array" ref="J628">iferror(XLOOKUP(A628,'Download of SFDC Activation Rep'!B:B,'Download of SFDC Activation Rep'!X:X),"")</f>
        <v/>
      </c>
      <c r="K628" s="17" t="str">
        <f t="array" ref="K628">iferror(XLOOKUP(A628,'Download of SFDC Activation Rep'!B:B,'Download of SFDC Activation Rep'!C:C),"")</f>
        <v/>
      </c>
      <c r="L628" s="18" t="str">
        <f t="array" ref="L628">iferror(XLOOKUP(A628,'Download of SFDC Activation Rep'!B:B,'Download of SFDC Activation Rep'!S:S),"")</f>
        <v/>
      </c>
      <c r="M628" s="24" t="str">
        <f t="array" ref="M628">iferror(XLOOKUP(A628,'Download of SFDC Activation Rep'!B:B,'Download of SFDC Activation Rep'!Z:Z)+150,"")</f>
        <v/>
      </c>
      <c r="N628" s="24" t="str">
        <f t="array" ref="N628">iferror(XLOOKUP(A628,'Download of SFDC Activation Rep'!B:B,'Download of SFDC Activation Rep'!Y:Y),"")</f>
        <v/>
      </c>
    </row>
    <row r="629">
      <c r="B629" s="14"/>
      <c r="C629" s="14"/>
      <c r="D629" s="14"/>
      <c r="E629" s="15"/>
      <c r="F629" s="14"/>
      <c r="G629" s="13" t="str">
        <f t="array" ref="G629">iferror(XLOOKUP(A629,'Download of SFDC Activation Rep'!B:B,'Download of SFDC Activation Rep'!H:H),"")</f>
        <v/>
      </c>
      <c r="H629" s="13" t="str">
        <f t="array" ref="H629">iferror(xlookup(A629,'Download of SFDC Activation Rep'!B:B,'Download of SFDC Activation Rep'!L:L),"")</f>
        <v/>
      </c>
      <c r="I629" s="17" t="str">
        <f t="shared" si="1"/>
        <v>Not Active</v>
      </c>
      <c r="J629" s="17" t="str">
        <f t="array" ref="J629">iferror(XLOOKUP(A629,'Download of SFDC Activation Rep'!B:B,'Download of SFDC Activation Rep'!X:X),"")</f>
        <v/>
      </c>
      <c r="K629" s="17" t="str">
        <f t="array" ref="K629">iferror(XLOOKUP(A629,'Download of SFDC Activation Rep'!B:B,'Download of SFDC Activation Rep'!C:C),"")</f>
        <v/>
      </c>
      <c r="L629" s="18" t="str">
        <f t="array" ref="L629">iferror(XLOOKUP(A629,'Download of SFDC Activation Rep'!B:B,'Download of SFDC Activation Rep'!S:S),"")</f>
        <v/>
      </c>
      <c r="M629" s="24" t="str">
        <f t="array" ref="M629">iferror(XLOOKUP(A629,'Download of SFDC Activation Rep'!B:B,'Download of SFDC Activation Rep'!Z:Z)+150,"")</f>
        <v/>
      </c>
      <c r="N629" s="24" t="str">
        <f t="array" ref="N629">iferror(XLOOKUP(A629,'Download of SFDC Activation Rep'!B:B,'Download of SFDC Activation Rep'!Y:Y),"")</f>
        <v/>
      </c>
    </row>
    <row r="630">
      <c r="B630" s="14"/>
      <c r="C630" s="14"/>
      <c r="D630" s="14"/>
      <c r="E630" s="15"/>
      <c r="F630" s="14"/>
      <c r="G630" s="13" t="str">
        <f t="array" ref="G630">iferror(XLOOKUP(A630,'Download of SFDC Activation Rep'!B:B,'Download of SFDC Activation Rep'!H:H),"")</f>
        <v/>
      </c>
      <c r="H630" s="13" t="str">
        <f t="array" ref="H630">iferror(xlookup(A630,'Download of SFDC Activation Rep'!B:B,'Download of SFDC Activation Rep'!L:L),"")</f>
        <v/>
      </c>
      <c r="I630" s="17" t="str">
        <f t="shared" si="1"/>
        <v>Not Active</v>
      </c>
      <c r="J630" s="17" t="str">
        <f t="array" ref="J630">iferror(XLOOKUP(A630,'Download of SFDC Activation Rep'!B:B,'Download of SFDC Activation Rep'!X:X),"")</f>
        <v/>
      </c>
      <c r="K630" s="17" t="str">
        <f t="array" ref="K630">iferror(XLOOKUP(A630,'Download of SFDC Activation Rep'!B:B,'Download of SFDC Activation Rep'!C:C),"")</f>
        <v/>
      </c>
      <c r="L630" s="18" t="str">
        <f t="array" ref="L630">iferror(XLOOKUP(A630,'Download of SFDC Activation Rep'!B:B,'Download of SFDC Activation Rep'!S:S),"")</f>
        <v/>
      </c>
      <c r="M630" s="24" t="str">
        <f t="array" ref="M630">iferror(XLOOKUP(A630,'Download of SFDC Activation Rep'!B:B,'Download of SFDC Activation Rep'!Z:Z)+150,"")</f>
        <v/>
      </c>
      <c r="N630" s="24" t="str">
        <f t="array" ref="N630">iferror(XLOOKUP(A630,'Download of SFDC Activation Rep'!B:B,'Download of SFDC Activation Rep'!Y:Y),"")</f>
        <v/>
      </c>
    </row>
    <row r="631">
      <c r="B631" s="14"/>
      <c r="C631" s="14"/>
      <c r="D631" s="14"/>
      <c r="E631" s="15"/>
      <c r="F631" s="14"/>
      <c r="G631" s="13" t="str">
        <f t="array" ref="G631">iferror(XLOOKUP(A631,'Download of SFDC Activation Rep'!B:B,'Download of SFDC Activation Rep'!H:H),"")</f>
        <v/>
      </c>
      <c r="H631" s="13" t="str">
        <f t="array" ref="H631">iferror(xlookup(A631,'Download of SFDC Activation Rep'!B:B,'Download of SFDC Activation Rep'!L:L),"")</f>
        <v/>
      </c>
      <c r="I631" s="17" t="str">
        <f t="shared" si="1"/>
        <v>Not Active</v>
      </c>
      <c r="J631" s="17" t="str">
        <f t="array" ref="J631">iferror(XLOOKUP(A631,'Download of SFDC Activation Rep'!B:B,'Download of SFDC Activation Rep'!X:X),"")</f>
        <v/>
      </c>
      <c r="K631" s="17" t="str">
        <f t="array" ref="K631">iferror(XLOOKUP(A631,'Download of SFDC Activation Rep'!B:B,'Download of SFDC Activation Rep'!C:C),"")</f>
        <v/>
      </c>
      <c r="L631" s="18" t="str">
        <f t="array" ref="L631">iferror(XLOOKUP(A631,'Download of SFDC Activation Rep'!B:B,'Download of SFDC Activation Rep'!S:S),"")</f>
        <v/>
      </c>
      <c r="M631" s="24" t="str">
        <f t="array" ref="M631">iferror(XLOOKUP(A631,'Download of SFDC Activation Rep'!B:B,'Download of SFDC Activation Rep'!Z:Z)+150,"")</f>
        <v/>
      </c>
      <c r="N631" s="24" t="str">
        <f t="array" ref="N631">iferror(XLOOKUP(A631,'Download of SFDC Activation Rep'!B:B,'Download of SFDC Activation Rep'!Y:Y),"")</f>
        <v/>
      </c>
    </row>
    <row r="632">
      <c r="B632" s="14"/>
      <c r="C632" s="14"/>
      <c r="D632" s="14"/>
      <c r="E632" s="15"/>
      <c r="F632" s="14"/>
      <c r="G632" s="13" t="str">
        <f t="array" ref="G632">iferror(XLOOKUP(A632,'Download of SFDC Activation Rep'!B:B,'Download of SFDC Activation Rep'!H:H),"")</f>
        <v/>
      </c>
      <c r="H632" s="13" t="str">
        <f t="array" ref="H632">iferror(xlookup(A632,'Download of SFDC Activation Rep'!B:B,'Download of SFDC Activation Rep'!L:L),"")</f>
        <v/>
      </c>
      <c r="I632" s="17" t="str">
        <f t="shared" si="1"/>
        <v>Not Active</v>
      </c>
      <c r="J632" s="17" t="str">
        <f t="array" ref="J632">iferror(XLOOKUP(A632,'Download of SFDC Activation Rep'!B:B,'Download of SFDC Activation Rep'!X:X),"")</f>
        <v/>
      </c>
      <c r="K632" s="17" t="str">
        <f t="array" ref="K632">iferror(XLOOKUP(A632,'Download of SFDC Activation Rep'!B:B,'Download of SFDC Activation Rep'!C:C),"")</f>
        <v/>
      </c>
      <c r="L632" s="18" t="str">
        <f t="array" ref="L632">iferror(XLOOKUP(A632,'Download of SFDC Activation Rep'!B:B,'Download of SFDC Activation Rep'!S:S),"")</f>
        <v/>
      </c>
      <c r="M632" s="24" t="str">
        <f t="array" ref="M632">iferror(XLOOKUP(A632,'Download of SFDC Activation Rep'!B:B,'Download of SFDC Activation Rep'!Z:Z)+150,"")</f>
        <v/>
      </c>
      <c r="N632" s="24" t="str">
        <f t="array" ref="N632">iferror(XLOOKUP(A632,'Download of SFDC Activation Rep'!B:B,'Download of SFDC Activation Rep'!Y:Y),"")</f>
        <v/>
      </c>
    </row>
    <row r="633">
      <c r="B633" s="14"/>
      <c r="C633" s="14"/>
      <c r="D633" s="14"/>
      <c r="E633" s="15"/>
      <c r="F633" s="14"/>
      <c r="G633" s="13" t="str">
        <f t="array" ref="G633">iferror(XLOOKUP(A633,'Download of SFDC Activation Rep'!B:B,'Download of SFDC Activation Rep'!H:H),"")</f>
        <v/>
      </c>
      <c r="H633" s="13" t="str">
        <f t="array" ref="H633">iferror(xlookup(A633,'Download of SFDC Activation Rep'!B:B,'Download of SFDC Activation Rep'!L:L),"")</f>
        <v/>
      </c>
      <c r="I633" s="17" t="str">
        <f t="shared" si="1"/>
        <v>Not Active</v>
      </c>
      <c r="J633" s="17" t="str">
        <f t="array" ref="J633">iferror(XLOOKUP(A633,'Download of SFDC Activation Rep'!B:B,'Download of SFDC Activation Rep'!X:X),"")</f>
        <v/>
      </c>
      <c r="K633" s="17" t="str">
        <f t="array" ref="K633">iferror(XLOOKUP(A633,'Download of SFDC Activation Rep'!B:B,'Download of SFDC Activation Rep'!C:C),"")</f>
        <v/>
      </c>
      <c r="L633" s="18" t="str">
        <f t="array" ref="L633">iferror(XLOOKUP(A633,'Download of SFDC Activation Rep'!B:B,'Download of SFDC Activation Rep'!S:S),"")</f>
        <v/>
      </c>
      <c r="M633" s="24" t="str">
        <f t="array" ref="M633">iferror(XLOOKUP(A633,'Download of SFDC Activation Rep'!B:B,'Download of SFDC Activation Rep'!Z:Z)+150,"")</f>
        <v/>
      </c>
      <c r="N633" s="24" t="str">
        <f t="array" ref="N633">iferror(XLOOKUP(A633,'Download of SFDC Activation Rep'!B:B,'Download of SFDC Activation Rep'!Y:Y),"")</f>
        <v/>
      </c>
    </row>
    <row r="634">
      <c r="B634" s="14"/>
      <c r="C634" s="14"/>
      <c r="D634" s="14"/>
      <c r="E634" s="15"/>
      <c r="F634" s="14"/>
      <c r="G634" s="13" t="str">
        <f t="array" ref="G634">iferror(XLOOKUP(A634,'Download of SFDC Activation Rep'!B:B,'Download of SFDC Activation Rep'!H:H),"")</f>
        <v/>
      </c>
      <c r="H634" s="13" t="str">
        <f t="array" ref="H634">iferror(xlookup(A634,'Download of SFDC Activation Rep'!B:B,'Download of SFDC Activation Rep'!L:L),"")</f>
        <v/>
      </c>
      <c r="I634" s="17" t="str">
        <f t="shared" si="1"/>
        <v>Not Active</v>
      </c>
      <c r="J634" s="17" t="str">
        <f t="array" ref="J634">iferror(XLOOKUP(A634,'Download of SFDC Activation Rep'!B:B,'Download of SFDC Activation Rep'!X:X),"")</f>
        <v/>
      </c>
      <c r="K634" s="17" t="str">
        <f t="array" ref="K634">iferror(XLOOKUP(A634,'Download of SFDC Activation Rep'!B:B,'Download of SFDC Activation Rep'!C:C),"")</f>
        <v/>
      </c>
      <c r="L634" s="18" t="str">
        <f t="array" ref="L634">iferror(XLOOKUP(A634,'Download of SFDC Activation Rep'!B:B,'Download of SFDC Activation Rep'!S:S),"")</f>
        <v/>
      </c>
      <c r="M634" s="24" t="str">
        <f t="array" ref="M634">iferror(XLOOKUP(A634,'Download of SFDC Activation Rep'!B:B,'Download of SFDC Activation Rep'!Z:Z)+150,"")</f>
        <v/>
      </c>
      <c r="N634" s="24" t="str">
        <f t="array" ref="N634">iferror(XLOOKUP(A634,'Download of SFDC Activation Rep'!B:B,'Download of SFDC Activation Rep'!Y:Y),"")</f>
        <v/>
      </c>
    </row>
    <row r="635">
      <c r="B635" s="14"/>
      <c r="C635" s="14"/>
      <c r="D635" s="14"/>
      <c r="E635" s="15"/>
      <c r="F635" s="14"/>
      <c r="G635" s="13" t="str">
        <f t="array" ref="G635">iferror(XLOOKUP(A635,'Download of SFDC Activation Rep'!B:B,'Download of SFDC Activation Rep'!H:H),"")</f>
        <v/>
      </c>
      <c r="H635" s="13" t="str">
        <f t="array" ref="H635">iferror(xlookup(A635,'Download of SFDC Activation Rep'!B:B,'Download of SFDC Activation Rep'!L:L),"")</f>
        <v/>
      </c>
      <c r="I635" s="17" t="str">
        <f t="shared" si="1"/>
        <v>Not Active</v>
      </c>
      <c r="J635" s="17" t="str">
        <f t="array" ref="J635">iferror(XLOOKUP(A635,'Download of SFDC Activation Rep'!B:B,'Download of SFDC Activation Rep'!X:X),"")</f>
        <v/>
      </c>
      <c r="K635" s="17" t="str">
        <f t="array" ref="K635">iferror(XLOOKUP(A635,'Download of SFDC Activation Rep'!B:B,'Download of SFDC Activation Rep'!C:C),"")</f>
        <v/>
      </c>
      <c r="L635" s="18" t="str">
        <f t="array" ref="L635">iferror(XLOOKUP(A635,'Download of SFDC Activation Rep'!B:B,'Download of SFDC Activation Rep'!S:S),"")</f>
        <v/>
      </c>
      <c r="M635" s="24" t="str">
        <f t="array" ref="M635">iferror(XLOOKUP(A635,'Download of SFDC Activation Rep'!B:B,'Download of SFDC Activation Rep'!Z:Z)+150,"")</f>
        <v/>
      </c>
      <c r="N635" s="24" t="str">
        <f t="array" ref="N635">iferror(XLOOKUP(A635,'Download of SFDC Activation Rep'!B:B,'Download of SFDC Activation Rep'!Y:Y),"")</f>
        <v/>
      </c>
    </row>
    <row r="636">
      <c r="B636" s="14"/>
      <c r="C636" s="14"/>
      <c r="D636" s="14"/>
      <c r="E636" s="15"/>
      <c r="F636" s="14"/>
      <c r="G636" s="13" t="str">
        <f t="array" ref="G636">iferror(XLOOKUP(A636,'Download of SFDC Activation Rep'!B:B,'Download of SFDC Activation Rep'!H:H),"")</f>
        <v/>
      </c>
      <c r="H636" s="13" t="str">
        <f t="array" ref="H636">iferror(xlookup(A636,'Download of SFDC Activation Rep'!B:B,'Download of SFDC Activation Rep'!L:L),"")</f>
        <v/>
      </c>
      <c r="I636" s="17" t="str">
        <f t="shared" si="1"/>
        <v>Not Active</v>
      </c>
      <c r="J636" s="17" t="str">
        <f t="array" ref="J636">iferror(XLOOKUP(A636,'Download of SFDC Activation Rep'!B:B,'Download of SFDC Activation Rep'!X:X),"")</f>
        <v/>
      </c>
      <c r="K636" s="17" t="str">
        <f t="array" ref="K636">iferror(XLOOKUP(A636,'Download of SFDC Activation Rep'!B:B,'Download of SFDC Activation Rep'!C:C),"")</f>
        <v/>
      </c>
      <c r="L636" s="18" t="str">
        <f t="array" ref="L636">iferror(XLOOKUP(A636,'Download of SFDC Activation Rep'!B:B,'Download of SFDC Activation Rep'!S:S),"")</f>
        <v/>
      </c>
      <c r="M636" s="24" t="str">
        <f t="array" ref="M636">iferror(XLOOKUP(A636,'Download of SFDC Activation Rep'!B:B,'Download of SFDC Activation Rep'!Z:Z)+150,"")</f>
        <v/>
      </c>
      <c r="N636" s="24" t="str">
        <f t="array" ref="N636">iferror(XLOOKUP(A636,'Download of SFDC Activation Rep'!B:B,'Download of SFDC Activation Rep'!Y:Y),"")</f>
        <v/>
      </c>
    </row>
    <row r="637">
      <c r="B637" s="14"/>
      <c r="C637" s="14"/>
      <c r="D637" s="14"/>
      <c r="E637" s="15"/>
      <c r="F637" s="14"/>
      <c r="G637" s="13" t="str">
        <f t="array" ref="G637">iferror(XLOOKUP(A637,'Download of SFDC Activation Rep'!B:B,'Download of SFDC Activation Rep'!H:H),"")</f>
        <v/>
      </c>
      <c r="H637" s="13" t="str">
        <f t="array" ref="H637">iferror(xlookup(A637,'Download of SFDC Activation Rep'!B:B,'Download of SFDC Activation Rep'!L:L),"")</f>
        <v/>
      </c>
      <c r="I637" s="17" t="str">
        <f t="shared" si="1"/>
        <v>Not Active</v>
      </c>
      <c r="J637" s="17" t="str">
        <f t="array" ref="J637">iferror(XLOOKUP(A637,'Download of SFDC Activation Rep'!B:B,'Download of SFDC Activation Rep'!X:X),"")</f>
        <v/>
      </c>
      <c r="K637" s="17" t="str">
        <f t="array" ref="K637">iferror(XLOOKUP(A637,'Download of SFDC Activation Rep'!B:B,'Download of SFDC Activation Rep'!C:C),"")</f>
        <v/>
      </c>
      <c r="L637" s="18" t="str">
        <f t="array" ref="L637">iferror(XLOOKUP(A637,'Download of SFDC Activation Rep'!B:B,'Download of SFDC Activation Rep'!S:S),"")</f>
        <v/>
      </c>
      <c r="M637" s="24" t="str">
        <f t="array" ref="M637">iferror(XLOOKUP(A637,'Download of SFDC Activation Rep'!B:B,'Download of SFDC Activation Rep'!Z:Z)+150,"")</f>
        <v/>
      </c>
      <c r="N637" s="24" t="str">
        <f t="array" ref="N637">iferror(XLOOKUP(A637,'Download of SFDC Activation Rep'!B:B,'Download of SFDC Activation Rep'!Y:Y),"")</f>
        <v/>
      </c>
    </row>
    <row r="638">
      <c r="B638" s="14"/>
      <c r="C638" s="14"/>
      <c r="D638" s="14"/>
      <c r="E638" s="15"/>
      <c r="F638" s="14"/>
      <c r="G638" s="13" t="str">
        <f t="array" ref="G638">iferror(XLOOKUP(A638,'Download of SFDC Activation Rep'!B:B,'Download of SFDC Activation Rep'!H:H),"")</f>
        <v/>
      </c>
      <c r="H638" s="13" t="str">
        <f t="array" ref="H638">iferror(xlookup(A638,'Download of SFDC Activation Rep'!B:B,'Download of SFDC Activation Rep'!L:L),"")</f>
        <v/>
      </c>
      <c r="I638" s="17" t="str">
        <f t="shared" si="1"/>
        <v>Not Active</v>
      </c>
      <c r="J638" s="17" t="str">
        <f t="array" ref="J638">iferror(XLOOKUP(A638,'Download of SFDC Activation Rep'!B:B,'Download of SFDC Activation Rep'!X:X),"")</f>
        <v/>
      </c>
      <c r="K638" s="17" t="str">
        <f t="array" ref="K638">iferror(XLOOKUP(A638,'Download of SFDC Activation Rep'!B:B,'Download of SFDC Activation Rep'!C:C),"")</f>
        <v/>
      </c>
      <c r="L638" s="18" t="str">
        <f t="array" ref="L638">iferror(XLOOKUP(A638,'Download of SFDC Activation Rep'!B:B,'Download of SFDC Activation Rep'!S:S),"")</f>
        <v/>
      </c>
      <c r="M638" s="24" t="str">
        <f t="array" ref="M638">iferror(XLOOKUP(A638,'Download of SFDC Activation Rep'!B:B,'Download of SFDC Activation Rep'!Z:Z)+150,"")</f>
        <v/>
      </c>
      <c r="N638" s="24" t="str">
        <f t="array" ref="N638">iferror(XLOOKUP(A638,'Download of SFDC Activation Rep'!B:B,'Download of SFDC Activation Rep'!Y:Y),"")</f>
        <v/>
      </c>
    </row>
    <row r="639">
      <c r="B639" s="14"/>
      <c r="C639" s="14"/>
      <c r="D639" s="14"/>
      <c r="E639" s="15"/>
      <c r="F639" s="14"/>
      <c r="G639" s="13" t="str">
        <f t="array" ref="G639">iferror(XLOOKUP(A639,'Download of SFDC Activation Rep'!B:B,'Download of SFDC Activation Rep'!H:H),"")</f>
        <v/>
      </c>
      <c r="H639" s="13" t="str">
        <f t="array" ref="H639">iferror(xlookup(A639,'Download of SFDC Activation Rep'!B:B,'Download of SFDC Activation Rep'!L:L),"")</f>
        <v/>
      </c>
      <c r="I639" s="17" t="str">
        <f t="shared" si="1"/>
        <v>Not Active</v>
      </c>
      <c r="J639" s="17" t="str">
        <f t="array" ref="J639">iferror(XLOOKUP(A639,'Download of SFDC Activation Rep'!B:B,'Download of SFDC Activation Rep'!X:X),"")</f>
        <v/>
      </c>
      <c r="K639" s="17" t="str">
        <f t="array" ref="K639">iferror(XLOOKUP(A639,'Download of SFDC Activation Rep'!B:B,'Download of SFDC Activation Rep'!C:C),"")</f>
        <v/>
      </c>
      <c r="L639" s="18" t="str">
        <f t="array" ref="L639">iferror(XLOOKUP(A639,'Download of SFDC Activation Rep'!B:B,'Download of SFDC Activation Rep'!S:S),"")</f>
        <v/>
      </c>
      <c r="M639" s="24" t="str">
        <f t="array" ref="M639">iferror(XLOOKUP(A639,'Download of SFDC Activation Rep'!B:B,'Download of SFDC Activation Rep'!Z:Z)+150,"")</f>
        <v/>
      </c>
      <c r="N639" s="24" t="str">
        <f t="array" ref="N639">iferror(XLOOKUP(A639,'Download of SFDC Activation Rep'!B:B,'Download of SFDC Activation Rep'!Y:Y),"")</f>
        <v/>
      </c>
    </row>
    <row r="640">
      <c r="B640" s="14"/>
      <c r="C640" s="14"/>
      <c r="D640" s="14"/>
      <c r="E640" s="15"/>
      <c r="F640" s="14"/>
      <c r="G640" s="13" t="str">
        <f t="array" ref="G640">iferror(XLOOKUP(A640,'Download of SFDC Activation Rep'!B:B,'Download of SFDC Activation Rep'!H:H),"")</f>
        <v/>
      </c>
      <c r="H640" s="13" t="str">
        <f t="array" ref="H640">iferror(xlookup(A640,'Download of SFDC Activation Rep'!B:B,'Download of SFDC Activation Rep'!L:L),"")</f>
        <v/>
      </c>
      <c r="I640" s="17" t="str">
        <f t="shared" si="1"/>
        <v>Not Active</v>
      </c>
      <c r="J640" s="17" t="str">
        <f t="array" ref="J640">iferror(XLOOKUP(A640,'Download of SFDC Activation Rep'!B:B,'Download of SFDC Activation Rep'!X:X),"")</f>
        <v/>
      </c>
      <c r="K640" s="17" t="str">
        <f t="array" ref="K640">iferror(XLOOKUP(A640,'Download of SFDC Activation Rep'!B:B,'Download of SFDC Activation Rep'!C:C),"")</f>
        <v/>
      </c>
      <c r="L640" s="18" t="str">
        <f t="array" ref="L640">iferror(XLOOKUP(A640,'Download of SFDC Activation Rep'!B:B,'Download of SFDC Activation Rep'!S:S),"")</f>
        <v/>
      </c>
      <c r="M640" s="24" t="str">
        <f t="array" ref="M640">iferror(XLOOKUP(A640,'Download of SFDC Activation Rep'!B:B,'Download of SFDC Activation Rep'!Z:Z)+150,"")</f>
        <v/>
      </c>
      <c r="N640" s="24" t="str">
        <f t="array" ref="N640">iferror(XLOOKUP(A640,'Download of SFDC Activation Rep'!B:B,'Download of SFDC Activation Rep'!Y:Y),"")</f>
        <v/>
      </c>
    </row>
    <row r="641">
      <c r="B641" s="14"/>
      <c r="C641" s="14"/>
      <c r="D641" s="14"/>
      <c r="E641" s="15"/>
      <c r="F641" s="14"/>
      <c r="G641" s="13" t="str">
        <f t="array" ref="G641">iferror(XLOOKUP(A641,'Download of SFDC Activation Rep'!B:B,'Download of SFDC Activation Rep'!H:H),"")</f>
        <v/>
      </c>
      <c r="H641" s="13" t="str">
        <f t="array" ref="H641">iferror(xlookup(A641,'Download of SFDC Activation Rep'!B:B,'Download of SFDC Activation Rep'!L:L),"")</f>
        <v/>
      </c>
      <c r="I641" s="17" t="str">
        <f t="shared" si="1"/>
        <v>Not Active</v>
      </c>
      <c r="J641" s="17" t="str">
        <f t="array" ref="J641">iferror(XLOOKUP(A641,'Download of SFDC Activation Rep'!B:B,'Download of SFDC Activation Rep'!X:X),"")</f>
        <v/>
      </c>
      <c r="K641" s="17" t="str">
        <f t="array" ref="K641">iferror(XLOOKUP(A641,'Download of SFDC Activation Rep'!B:B,'Download of SFDC Activation Rep'!C:C),"")</f>
        <v/>
      </c>
      <c r="L641" s="18" t="str">
        <f t="array" ref="L641">iferror(XLOOKUP(A641,'Download of SFDC Activation Rep'!B:B,'Download of SFDC Activation Rep'!S:S),"")</f>
        <v/>
      </c>
      <c r="M641" s="24" t="str">
        <f t="array" ref="M641">iferror(XLOOKUP(A641,'Download of SFDC Activation Rep'!B:B,'Download of SFDC Activation Rep'!Z:Z)+150,"")</f>
        <v/>
      </c>
      <c r="N641" s="24" t="str">
        <f t="array" ref="N641">iferror(XLOOKUP(A641,'Download of SFDC Activation Rep'!B:B,'Download of SFDC Activation Rep'!Y:Y),"")</f>
        <v/>
      </c>
    </row>
    <row r="642">
      <c r="B642" s="14"/>
      <c r="C642" s="14"/>
      <c r="D642" s="14"/>
      <c r="E642" s="15"/>
      <c r="F642" s="14"/>
      <c r="G642" s="13" t="str">
        <f t="array" ref="G642">iferror(XLOOKUP(A642,'Download of SFDC Activation Rep'!B:B,'Download of SFDC Activation Rep'!H:H),"")</f>
        <v/>
      </c>
      <c r="H642" s="13" t="str">
        <f t="array" ref="H642">iferror(xlookup(A642,'Download of SFDC Activation Rep'!B:B,'Download of SFDC Activation Rep'!L:L),"")</f>
        <v/>
      </c>
      <c r="I642" s="17" t="str">
        <f t="shared" si="1"/>
        <v>Not Active</v>
      </c>
      <c r="J642" s="17" t="str">
        <f t="array" ref="J642">iferror(XLOOKUP(A642,'Download of SFDC Activation Rep'!B:B,'Download of SFDC Activation Rep'!X:X),"")</f>
        <v/>
      </c>
      <c r="K642" s="17" t="str">
        <f t="array" ref="K642">iferror(XLOOKUP(A642,'Download of SFDC Activation Rep'!B:B,'Download of SFDC Activation Rep'!C:C),"")</f>
        <v/>
      </c>
      <c r="L642" s="18" t="str">
        <f t="array" ref="L642">iferror(XLOOKUP(A642,'Download of SFDC Activation Rep'!B:B,'Download of SFDC Activation Rep'!S:S),"")</f>
        <v/>
      </c>
      <c r="M642" s="24" t="str">
        <f t="array" ref="M642">iferror(XLOOKUP(A642,'Download of SFDC Activation Rep'!B:B,'Download of SFDC Activation Rep'!Z:Z)+150,"")</f>
        <v/>
      </c>
      <c r="N642" s="24" t="str">
        <f t="array" ref="N642">iferror(XLOOKUP(A642,'Download of SFDC Activation Rep'!B:B,'Download of SFDC Activation Rep'!Y:Y),"")</f>
        <v/>
      </c>
    </row>
    <row r="643">
      <c r="B643" s="14"/>
      <c r="C643" s="14"/>
      <c r="D643" s="14"/>
      <c r="E643" s="15"/>
      <c r="F643" s="14"/>
      <c r="G643" s="13" t="str">
        <f t="array" ref="G643">iferror(XLOOKUP(A643,'Download of SFDC Activation Rep'!B:B,'Download of SFDC Activation Rep'!H:H),"")</f>
        <v/>
      </c>
      <c r="H643" s="13" t="str">
        <f t="array" ref="H643">iferror(xlookup(A643,'Download of SFDC Activation Rep'!B:B,'Download of SFDC Activation Rep'!L:L),"")</f>
        <v/>
      </c>
      <c r="I643" s="17" t="str">
        <f t="shared" si="1"/>
        <v>Not Active</v>
      </c>
      <c r="J643" s="17" t="str">
        <f t="array" ref="J643">iferror(XLOOKUP(A643,'Download of SFDC Activation Rep'!B:B,'Download of SFDC Activation Rep'!X:X),"")</f>
        <v/>
      </c>
      <c r="K643" s="17" t="str">
        <f t="array" ref="K643">iferror(XLOOKUP(A643,'Download of SFDC Activation Rep'!B:B,'Download of SFDC Activation Rep'!C:C),"")</f>
        <v/>
      </c>
      <c r="L643" s="18" t="str">
        <f t="array" ref="L643">iferror(XLOOKUP(A643,'Download of SFDC Activation Rep'!B:B,'Download of SFDC Activation Rep'!S:S),"")</f>
        <v/>
      </c>
      <c r="M643" s="24" t="str">
        <f t="array" ref="M643">iferror(XLOOKUP(A643,'Download of SFDC Activation Rep'!B:B,'Download of SFDC Activation Rep'!Z:Z)+150,"")</f>
        <v/>
      </c>
      <c r="N643" s="24" t="str">
        <f t="array" ref="N643">iferror(XLOOKUP(A643,'Download of SFDC Activation Rep'!B:B,'Download of SFDC Activation Rep'!Y:Y),"")</f>
        <v/>
      </c>
    </row>
    <row r="644">
      <c r="B644" s="14"/>
      <c r="C644" s="14"/>
      <c r="D644" s="14"/>
      <c r="E644" s="15"/>
      <c r="F644" s="14"/>
      <c r="G644" s="13" t="str">
        <f t="array" ref="G644">iferror(XLOOKUP(A644,'Download of SFDC Activation Rep'!B:B,'Download of SFDC Activation Rep'!H:H),"")</f>
        <v/>
      </c>
      <c r="H644" s="13" t="str">
        <f t="array" ref="H644">iferror(xlookup(A644,'Download of SFDC Activation Rep'!B:B,'Download of SFDC Activation Rep'!L:L),"")</f>
        <v/>
      </c>
      <c r="I644" s="17" t="str">
        <f t="shared" si="1"/>
        <v>Not Active</v>
      </c>
      <c r="J644" s="17" t="str">
        <f t="array" ref="J644">iferror(XLOOKUP(A644,'Download of SFDC Activation Rep'!B:B,'Download of SFDC Activation Rep'!X:X),"")</f>
        <v/>
      </c>
      <c r="K644" s="17" t="str">
        <f t="array" ref="K644">iferror(XLOOKUP(A644,'Download of SFDC Activation Rep'!B:B,'Download of SFDC Activation Rep'!C:C),"")</f>
        <v/>
      </c>
      <c r="L644" s="18" t="str">
        <f t="array" ref="L644">iferror(XLOOKUP(A644,'Download of SFDC Activation Rep'!B:B,'Download of SFDC Activation Rep'!S:S),"")</f>
        <v/>
      </c>
      <c r="M644" s="24" t="str">
        <f t="array" ref="M644">iferror(XLOOKUP(A644,'Download of SFDC Activation Rep'!B:B,'Download of SFDC Activation Rep'!Z:Z)+150,"")</f>
        <v/>
      </c>
      <c r="N644" s="24" t="str">
        <f t="array" ref="N644">iferror(XLOOKUP(A644,'Download of SFDC Activation Rep'!B:B,'Download of SFDC Activation Rep'!Y:Y),"")</f>
        <v/>
      </c>
    </row>
    <row r="645">
      <c r="B645" s="14"/>
      <c r="C645" s="14"/>
      <c r="D645" s="14"/>
      <c r="E645" s="15"/>
      <c r="F645" s="14"/>
      <c r="G645" s="13" t="str">
        <f t="array" ref="G645">iferror(XLOOKUP(A645,'Download of SFDC Activation Rep'!B:B,'Download of SFDC Activation Rep'!H:H),"")</f>
        <v/>
      </c>
      <c r="H645" s="13" t="str">
        <f t="array" ref="H645">iferror(xlookup(A645,'Download of SFDC Activation Rep'!B:B,'Download of SFDC Activation Rep'!L:L),"")</f>
        <v/>
      </c>
      <c r="I645" s="17" t="str">
        <f t="shared" si="1"/>
        <v>Not Active</v>
      </c>
      <c r="J645" s="17" t="str">
        <f t="array" ref="J645">iferror(XLOOKUP(A645,'Download of SFDC Activation Rep'!B:B,'Download of SFDC Activation Rep'!X:X),"")</f>
        <v/>
      </c>
      <c r="K645" s="17" t="str">
        <f t="array" ref="K645">iferror(XLOOKUP(A645,'Download of SFDC Activation Rep'!B:B,'Download of SFDC Activation Rep'!C:C),"")</f>
        <v/>
      </c>
      <c r="L645" s="18" t="str">
        <f t="array" ref="L645">iferror(XLOOKUP(A645,'Download of SFDC Activation Rep'!B:B,'Download of SFDC Activation Rep'!S:S),"")</f>
        <v/>
      </c>
      <c r="M645" s="24" t="str">
        <f t="array" ref="M645">iferror(XLOOKUP(A645,'Download of SFDC Activation Rep'!B:B,'Download of SFDC Activation Rep'!Z:Z)+150,"")</f>
        <v/>
      </c>
      <c r="N645" s="24" t="str">
        <f t="array" ref="N645">iferror(XLOOKUP(A645,'Download of SFDC Activation Rep'!B:B,'Download of SFDC Activation Rep'!Y:Y),"")</f>
        <v/>
      </c>
    </row>
    <row r="646">
      <c r="B646" s="14"/>
      <c r="C646" s="14"/>
      <c r="D646" s="14"/>
      <c r="E646" s="15"/>
      <c r="F646" s="14"/>
      <c r="G646" s="13" t="str">
        <f t="array" ref="G646">iferror(XLOOKUP(A646,'Download of SFDC Activation Rep'!B:B,'Download of SFDC Activation Rep'!H:H),"")</f>
        <v/>
      </c>
      <c r="H646" s="13" t="str">
        <f t="array" ref="H646">iferror(xlookup(A646,'Download of SFDC Activation Rep'!B:B,'Download of SFDC Activation Rep'!L:L),"")</f>
        <v/>
      </c>
      <c r="I646" s="17" t="str">
        <f t="shared" si="1"/>
        <v>Not Active</v>
      </c>
      <c r="J646" s="17" t="str">
        <f t="array" ref="J646">iferror(XLOOKUP(A646,'Download of SFDC Activation Rep'!B:B,'Download of SFDC Activation Rep'!X:X),"")</f>
        <v/>
      </c>
      <c r="K646" s="17" t="str">
        <f t="array" ref="K646">iferror(XLOOKUP(A646,'Download of SFDC Activation Rep'!B:B,'Download of SFDC Activation Rep'!C:C),"")</f>
        <v/>
      </c>
      <c r="L646" s="18" t="str">
        <f t="array" ref="L646">iferror(XLOOKUP(A646,'Download of SFDC Activation Rep'!B:B,'Download of SFDC Activation Rep'!S:S),"")</f>
        <v/>
      </c>
      <c r="M646" s="24" t="str">
        <f t="array" ref="M646">iferror(XLOOKUP(A646,'Download of SFDC Activation Rep'!B:B,'Download of SFDC Activation Rep'!Z:Z)+150,"")</f>
        <v/>
      </c>
      <c r="N646" s="24" t="str">
        <f t="array" ref="N646">iferror(XLOOKUP(A646,'Download of SFDC Activation Rep'!B:B,'Download of SFDC Activation Rep'!Y:Y),"")</f>
        <v/>
      </c>
    </row>
    <row r="647">
      <c r="B647" s="14"/>
      <c r="C647" s="14"/>
      <c r="D647" s="14"/>
      <c r="E647" s="15"/>
      <c r="F647" s="14"/>
      <c r="G647" s="13" t="str">
        <f t="array" ref="G647">iferror(XLOOKUP(A647,'Download of SFDC Activation Rep'!B:B,'Download of SFDC Activation Rep'!H:H),"")</f>
        <v/>
      </c>
      <c r="H647" s="13" t="str">
        <f t="array" ref="H647">iferror(xlookup(A647,'Download of SFDC Activation Rep'!B:B,'Download of SFDC Activation Rep'!L:L),"")</f>
        <v/>
      </c>
      <c r="I647" s="17" t="str">
        <f t="shared" si="1"/>
        <v>Not Active</v>
      </c>
      <c r="J647" s="17" t="str">
        <f t="array" ref="J647">iferror(XLOOKUP(A647,'Download of SFDC Activation Rep'!B:B,'Download of SFDC Activation Rep'!X:X),"")</f>
        <v/>
      </c>
      <c r="K647" s="17" t="str">
        <f t="array" ref="K647">iferror(XLOOKUP(A647,'Download of SFDC Activation Rep'!B:B,'Download of SFDC Activation Rep'!C:C),"")</f>
        <v/>
      </c>
      <c r="L647" s="18" t="str">
        <f t="array" ref="L647">iferror(XLOOKUP(A647,'Download of SFDC Activation Rep'!B:B,'Download of SFDC Activation Rep'!S:S),"")</f>
        <v/>
      </c>
      <c r="M647" s="24" t="str">
        <f t="array" ref="M647">iferror(XLOOKUP(A647,'Download of SFDC Activation Rep'!B:B,'Download of SFDC Activation Rep'!Z:Z)+150,"")</f>
        <v/>
      </c>
      <c r="N647" s="24" t="str">
        <f t="array" ref="N647">iferror(XLOOKUP(A647,'Download of SFDC Activation Rep'!B:B,'Download of SFDC Activation Rep'!Y:Y),"")</f>
        <v/>
      </c>
    </row>
    <row r="648">
      <c r="B648" s="14"/>
      <c r="C648" s="14"/>
      <c r="D648" s="14"/>
      <c r="E648" s="15"/>
      <c r="F648" s="14"/>
      <c r="G648" s="13" t="str">
        <f t="array" ref="G648">iferror(XLOOKUP(A648,'Download of SFDC Activation Rep'!B:B,'Download of SFDC Activation Rep'!H:H),"")</f>
        <v/>
      </c>
      <c r="H648" s="13" t="str">
        <f t="array" ref="H648">iferror(xlookup(A648,'Download of SFDC Activation Rep'!B:B,'Download of SFDC Activation Rep'!L:L),"")</f>
        <v/>
      </c>
      <c r="I648" s="17" t="str">
        <f t="shared" si="1"/>
        <v>Not Active</v>
      </c>
      <c r="J648" s="17" t="str">
        <f t="array" ref="J648">iferror(XLOOKUP(A648,'Download of SFDC Activation Rep'!B:B,'Download of SFDC Activation Rep'!X:X),"")</f>
        <v/>
      </c>
      <c r="K648" s="17" t="str">
        <f t="array" ref="K648">iferror(XLOOKUP(A648,'Download of SFDC Activation Rep'!B:B,'Download of SFDC Activation Rep'!C:C),"")</f>
        <v/>
      </c>
      <c r="L648" s="18" t="str">
        <f t="array" ref="L648">iferror(XLOOKUP(A648,'Download of SFDC Activation Rep'!B:B,'Download of SFDC Activation Rep'!S:S),"")</f>
        <v/>
      </c>
      <c r="M648" s="24" t="str">
        <f t="array" ref="M648">iferror(XLOOKUP(A648,'Download of SFDC Activation Rep'!B:B,'Download of SFDC Activation Rep'!Z:Z)+150,"")</f>
        <v/>
      </c>
      <c r="N648" s="24" t="str">
        <f t="array" ref="N648">iferror(XLOOKUP(A648,'Download of SFDC Activation Rep'!B:B,'Download of SFDC Activation Rep'!Y:Y),"")</f>
        <v/>
      </c>
    </row>
    <row r="649">
      <c r="B649" s="14"/>
      <c r="C649" s="14"/>
      <c r="D649" s="14"/>
      <c r="E649" s="15"/>
      <c r="F649" s="14"/>
      <c r="G649" s="13" t="str">
        <f t="array" ref="G649">iferror(XLOOKUP(A649,'Download of SFDC Activation Rep'!B:B,'Download of SFDC Activation Rep'!H:H),"")</f>
        <v/>
      </c>
      <c r="H649" s="13" t="str">
        <f t="array" ref="H649">iferror(xlookup(A649,'Download of SFDC Activation Rep'!B:B,'Download of SFDC Activation Rep'!L:L),"")</f>
        <v/>
      </c>
      <c r="I649" s="17" t="str">
        <f t="shared" si="1"/>
        <v>Not Active</v>
      </c>
      <c r="J649" s="17" t="str">
        <f t="array" ref="J649">iferror(XLOOKUP(A649,'Download of SFDC Activation Rep'!B:B,'Download of SFDC Activation Rep'!X:X),"")</f>
        <v/>
      </c>
      <c r="K649" s="17" t="str">
        <f t="array" ref="K649">iferror(XLOOKUP(A649,'Download of SFDC Activation Rep'!B:B,'Download of SFDC Activation Rep'!C:C),"")</f>
        <v/>
      </c>
      <c r="L649" s="18" t="str">
        <f t="array" ref="L649">iferror(XLOOKUP(A649,'Download of SFDC Activation Rep'!B:B,'Download of SFDC Activation Rep'!S:S),"")</f>
        <v/>
      </c>
      <c r="M649" s="24" t="str">
        <f t="array" ref="M649">iferror(XLOOKUP(A649,'Download of SFDC Activation Rep'!B:B,'Download of SFDC Activation Rep'!Z:Z)+150,"")</f>
        <v/>
      </c>
      <c r="N649" s="24" t="str">
        <f t="array" ref="N649">iferror(XLOOKUP(A649,'Download of SFDC Activation Rep'!B:B,'Download of SFDC Activation Rep'!Y:Y),"")</f>
        <v/>
      </c>
    </row>
    <row r="650">
      <c r="B650" s="14"/>
      <c r="C650" s="14"/>
      <c r="D650" s="14"/>
      <c r="E650" s="15"/>
      <c r="F650" s="14"/>
      <c r="G650" s="13" t="str">
        <f t="array" ref="G650">iferror(XLOOKUP(A650,'Download of SFDC Activation Rep'!B:B,'Download of SFDC Activation Rep'!H:H),"")</f>
        <v/>
      </c>
      <c r="H650" s="13" t="str">
        <f t="array" ref="H650">iferror(xlookup(A650,'Download of SFDC Activation Rep'!B:B,'Download of SFDC Activation Rep'!L:L),"")</f>
        <v/>
      </c>
      <c r="I650" s="17" t="str">
        <f t="shared" si="1"/>
        <v>Not Active</v>
      </c>
      <c r="J650" s="17" t="str">
        <f t="array" ref="J650">iferror(XLOOKUP(A650,'Download of SFDC Activation Rep'!B:B,'Download of SFDC Activation Rep'!X:X),"")</f>
        <v/>
      </c>
      <c r="K650" s="17" t="str">
        <f t="array" ref="K650">iferror(XLOOKUP(A650,'Download of SFDC Activation Rep'!B:B,'Download of SFDC Activation Rep'!C:C),"")</f>
        <v/>
      </c>
      <c r="L650" s="18" t="str">
        <f t="array" ref="L650">iferror(XLOOKUP(A650,'Download of SFDC Activation Rep'!B:B,'Download of SFDC Activation Rep'!S:S),"")</f>
        <v/>
      </c>
      <c r="M650" s="24" t="str">
        <f t="array" ref="M650">iferror(XLOOKUP(A650,'Download of SFDC Activation Rep'!B:B,'Download of SFDC Activation Rep'!Z:Z)+150,"")</f>
        <v/>
      </c>
      <c r="N650" s="24" t="str">
        <f t="array" ref="N650">iferror(XLOOKUP(A650,'Download of SFDC Activation Rep'!B:B,'Download of SFDC Activation Rep'!Y:Y),"")</f>
        <v/>
      </c>
    </row>
    <row r="651">
      <c r="B651" s="14"/>
      <c r="C651" s="14"/>
      <c r="D651" s="14"/>
      <c r="E651" s="15"/>
      <c r="F651" s="14"/>
      <c r="G651" s="13" t="str">
        <f t="array" ref="G651">iferror(XLOOKUP(A651,'Download of SFDC Activation Rep'!B:B,'Download of SFDC Activation Rep'!H:H),"")</f>
        <v/>
      </c>
      <c r="H651" s="13" t="str">
        <f t="array" ref="H651">iferror(xlookup(A651,'Download of SFDC Activation Rep'!B:B,'Download of SFDC Activation Rep'!L:L),"")</f>
        <v/>
      </c>
      <c r="I651" s="17" t="str">
        <f t="shared" si="1"/>
        <v>Not Active</v>
      </c>
      <c r="J651" s="17" t="str">
        <f t="array" ref="J651">iferror(XLOOKUP(A651,'Download of SFDC Activation Rep'!B:B,'Download of SFDC Activation Rep'!X:X),"")</f>
        <v/>
      </c>
      <c r="K651" s="17" t="str">
        <f t="array" ref="K651">iferror(XLOOKUP(A651,'Download of SFDC Activation Rep'!B:B,'Download of SFDC Activation Rep'!C:C),"")</f>
        <v/>
      </c>
      <c r="L651" s="18" t="str">
        <f t="array" ref="L651">iferror(XLOOKUP(A651,'Download of SFDC Activation Rep'!B:B,'Download of SFDC Activation Rep'!S:S),"")</f>
        <v/>
      </c>
      <c r="M651" s="24" t="str">
        <f t="array" ref="M651">iferror(XLOOKUP(A651,'Download of SFDC Activation Rep'!B:B,'Download of SFDC Activation Rep'!Z:Z)+150,"")</f>
        <v/>
      </c>
      <c r="N651" s="24" t="str">
        <f t="array" ref="N651">iferror(XLOOKUP(A651,'Download of SFDC Activation Rep'!B:B,'Download of SFDC Activation Rep'!Y:Y),"")</f>
        <v/>
      </c>
    </row>
    <row r="652">
      <c r="B652" s="14"/>
      <c r="C652" s="14"/>
      <c r="D652" s="14"/>
      <c r="E652" s="15"/>
      <c r="F652" s="14"/>
      <c r="G652" s="13" t="str">
        <f t="array" ref="G652">iferror(XLOOKUP(A652,'Download of SFDC Activation Rep'!B:B,'Download of SFDC Activation Rep'!H:H),"")</f>
        <v/>
      </c>
      <c r="H652" s="13" t="str">
        <f t="array" ref="H652">iferror(xlookup(A652,'Download of SFDC Activation Rep'!B:B,'Download of SFDC Activation Rep'!L:L),"")</f>
        <v/>
      </c>
      <c r="I652" s="17" t="str">
        <f t="shared" si="1"/>
        <v>Not Active</v>
      </c>
      <c r="J652" s="17" t="str">
        <f t="array" ref="J652">iferror(XLOOKUP(A652,'Download of SFDC Activation Rep'!B:B,'Download of SFDC Activation Rep'!X:X),"")</f>
        <v/>
      </c>
      <c r="K652" s="17" t="str">
        <f t="array" ref="K652">iferror(XLOOKUP(A652,'Download of SFDC Activation Rep'!B:B,'Download of SFDC Activation Rep'!C:C),"")</f>
        <v/>
      </c>
      <c r="L652" s="18" t="str">
        <f t="array" ref="L652">iferror(XLOOKUP(A652,'Download of SFDC Activation Rep'!B:B,'Download of SFDC Activation Rep'!S:S),"")</f>
        <v/>
      </c>
      <c r="M652" s="24" t="str">
        <f t="array" ref="M652">iferror(XLOOKUP(A652,'Download of SFDC Activation Rep'!B:B,'Download of SFDC Activation Rep'!Z:Z)+150,"")</f>
        <v/>
      </c>
      <c r="N652" s="24" t="str">
        <f t="array" ref="N652">iferror(XLOOKUP(A652,'Download of SFDC Activation Rep'!B:B,'Download of SFDC Activation Rep'!Y:Y),"")</f>
        <v/>
      </c>
    </row>
    <row r="653">
      <c r="B653" s="14"/>
      <c r="C653" s="14"/>
      <c r="D653" s="14"/>
      <c r="E653" s="15"/>
      <c r="F653" s="14"/>
      <c r="G653" s="13" t="str">
        <f t="array" ref="G653">iferror(XLOOKUP(A653,'Download of SFDC Activation Rep'!B:B,'Download of SFDC Activation Rep'!H:H),"")</f>
        <v/>
      </c>
      <c r="H653" s="13" t="str">
        <f t="array" ref="H653">iferror(xlookup(A653,'Download of SFDC Activation Rep'!B:B,'Download of SFDC Activation Rep'!L:L),"")</f>
        <v/>
      </c>
      <c r="I653" s="17" t="str">
        <f t="shared" si="1"/>
        <v>Not Active</v>
      </c>
      <c r="J653" s="17" t="str">
        <f t="array" ref="J653">iferror(XLOOKUP(A653,'Download of SFDC Activation Rep'!B:B,'Download of SFDC Activation Rep'!X:X),"")</f>
        <v/>
      </c>
      <c r="K653" s="17" t="str">
        <f t="array" ref="K653">iferror(XLOOKUP(A653,'Download of SFDC Activation Rep'!B:B,'Download of SFDC Activation Rep'!C:C),"")</f>
        <v/>
      </c>
      <c r="L653" s="18" t="str">
        <f t="array" ref="L653">iferror(XLOOKUP(A653,'Download of SFDC Activation Rep'!B:B,'Download of SFDC Activation Rep'!S:S),"")</f>
        <v/>
      </c>
      <c r="M653" s="24" t="str">
        <f t="array" ref="M653">iferror(XLOOKUP(A653,'Download of SFDC Activation Rep'!B:B,'Download of SFDC Activation Rep'!Z:Z)+150,"")</f>
        <v/>
      </c>
      <c r="N653" s="24" t="str">
        <f t="array" ref="N653">iferror(XLOOKUP(A653,'Download of SFDC Activation Rep'!B:B,'Download of SFDC Activation Rep'!Y:Y),"")</f>
        <v/>
      </c>
    </row>
    <row r="654">
      <c r="B654" s="14"/>
      <c r="C654" s="14"/>
      <c r="D654" s="14"/>
      <c r="E654" s="15"/>
      <c r="F654" s="14"/>
      <c r="G654" s="13" t="str">
        <f t="array" ref="G654">iferror(XLOOKUP(A654,'Download of SFDC Activation Rep'!B:B,'Download of SFDC Activation Rep'!H:H),"")</f>
        <v/>
      </c>
      <c r="H654" s="13" t="str">
        <f t="array" ref="H654">iferror(xlookup(A654,'Download of SFDC Activation Rep'!B:B,'Download of SFDC Activation Rep'!L:L),"")</f>
        <v/>
      </c>
      <c r="I654" s="17" t="str">
        <f t="shared" si="1"/>
        <v>Not Active</v>
      </c>
      <c r="J654" s="17" t="str">
        <f t="array" ref="J654">iferror(XLOOKUP(A654,'Download of SFDC Activation Rep'!B:B,'Download of SFDC Activation Rep'!X:X),"")</f>
        <v/>
      </c>
      <c r="K654" s="17" t="str">
        <f t="array" ref="K654">iferror(XLOOKUP(A654,'Download of SFDC Activation Rep'!B:B,'Download of SFDC Activation Rep'!C:C),"")</f>
        <v/>
      </c>
      <c r="L654" s="18" t="str">
        <f t="array" ref="L654">iferror(XLOOKUP(A654,'Download of SFDC Activation Rep'!B:B,'Download of SFDC Activation Rep'!S:S),"")</f>
        <v/>
      </c>
      <c r="M654" s="24" t="str">
        <f t="array" ref="M654">iferror(XLOOKUP(A654,'Download of SFDC Activation Rep'!B:B,'Download of SFDC Activation Rep'!Z:Z)+150,"")</f>
        <v/>
      </c>
      <c r="N654" s="24" t="str">
        <f t="array" ref="N654">iferror(XLOOKUP(A654,'Download of SFDC Activation Rep'!B:B,'Download of SFDC Activation Rep'!Y:Y),"")</f>
        <v/>
      </c>
    </row>
    <row r="655">
      <c r="B655" s="14"/>
      <c r="C655" s="14"/>
      <c r="D655" s="14"/>
      <c r="E655" s="15"/>
      <c r="F655" s="14"/>
      <c r="G655" s="13" t="str">
        <f t="array" ref="G655">iferror(XLOOKUP(A655,'Download of SFDC Activation Rep'!B:B,'Download of SFDC Activation Rep'!H:H),"")</f>
        <v/>
      </c>
      <c r="H655" s="13" t="str">
        <f t="array" ref="H655">iferror(xlookup(A655,'Download of SFDC Activation Rep'!B:B,'Download of SFDC Activation Rep'!L:L),"")</f>
        <v/>
      </c>
      <c r="I655" s="17" t="str">
        <f t="shared" si="1"/>
        <v>Not Active</v>
      </c>
      <c r="J655" s="17" t="str">
        <f t="array" ref="J655">iferror(XLOOKUP(A655,'Download of SFDC Activation Rep'!B:B,'Download of SFDC Activation Rep'!X:X),"")</f>
        <v/>
      </c>
      <c r="K655" s="17" t="str">
        <f t="array" ref="K655">iferror(XLOOKUP(A655,'Download of SFDC Activation Rep'!B:B,'Download of SFDC Activation Rep'!C:C),"")</f>
        <v/>
      </c>
      <c r="L655" s="18" t="str">
        <f t="array" ref="L655">iferror(XLOOKUP(A655,'Download of SFDC Activation Rep'!B:B,'Download of SFDC Activation Rep'!S:S),"")</f>
        <v/>
      </c>
      <c r="M655" s="24" t="str">
        <f t="array" ref="M655">iferror(XLOOKUP(A655,'Download of SFDC Activation Rep'!B:B,'Download of SFDC Activation Rep'!Z:Z)+150,"")</f>
        <v/>
      </c>
      <c r="N655" s="24" t="str">
        <f t="array" ref="N655">iferror(XLOOKUP(A655,'Download of SFDC Activation Rep'!B:B,'Download of SFDC Activation Rep'!Y:Y),"")</f>
        <v/>
      </c>
    </row>
    <row r="656">
      <c r="B656" s="14"/>
      <c r="C656" s="14"/>
      <c r="D656" s="14"/>
      <c r="E656" s="15"/>
      <c r="F656" s="14"/>
      <c r="G656" s="13" t="str">
        <f t="array" ref="G656">iferror(XLOOKUP(A656,'Download of SFDC Activation Rep'!B:B,'Download of SFDC Activation Rep'!H:H),"")</f>
        <v/>
      </c>
      <c r="H656" s="13" t="str">
        <f t="array" ref="H656">iferror(xlookup(A656,'Download of SFDC Activation Rep'!B:B,'Download of SFDC Activation Rep'!L:L),"")</f>
        <v/>
      </c>
      <c r="I656" s="17" t="str">
        <f t="shared" si="1"/>
        <v>Not Active</v>
      </c>
      <c r="J656" s="17" t="str">
        <f t="array" ref="J656">iferror(XLOOKUP(A656,'Download of SFDC Activation Rep'!B:B,'Download of SFDC Activation Rep'!X:X),"")</f>
        <v/>
      </c>
      <c r="K656" s="17" t="str">
        <f t="array" ref="K656">iferror(XLOOKUP(A656,'Download of SFDC Activation Rep'!B:B,'Download of SFDC Activation Rep'!C:C),"")</f>
        <v/>
      </c>
      <c r="L656" s="18" t="str">
        <f t="array" ref="L656">iferror(XLOOKUP(A656,'Download of SFDC Activation Rep'!B:B,'Download of SFDC Activation Rep'!S:S),"")</f>
        <v/>
      </c>
      <c r="M656" s="24" t="str">
        <f t="array" ref="M656">iferror(XLOOKUP(A656,'Download of SFDC Activation Rep'!B:B,'Download of SFDC Activation Rep'!Z:Z)+150,"")</f>
        <v/>
      </c>
      <c r="N656" s="24" t="str">
        <f t="array" ref="N656">iferror(XLOOKUP(A656,'Download of SFDC Activation Rep'!B:B,'Download of SFDC Activation Rep'!Y:Y),"")</f>
        <v/>
      </c>
    </row>
    <row r="657">
      <c r="B657" s="14"/>
      <c r="C657" s="14"/>
      <c r="D657" s="14"/>
      <c r="E657" s="15"/>
      <c r="F657" s="14"/>
      <c r="G657" s="13" t="str">
        <f t="array" ref="G657">iferror(XLOOKUP(A657,'Download of SFDC Activation Rep'!B:B,'Download of SFDC Activation Rep'!H:H),"")</f>
        <v/>
      </c>
      <c r="H657" s="13" t="str">
        <f t="array" ref="H657">iferror(xlookup(A657,'Download of SFDC Activation Rep'!B:B,'Download of SFDC Activation Rep'!L:L),"")</f>
        <v/>
      </c>
      <c r="I657" s="17" t="str">
        <f t="shared" si="1"/>
        <v>Not Active</v>
      </c>
      <c r="J657" s="17" t="str">
        <f t="array" ref="J657">iferror(XLOOKUP(A657,'Download of SFDC Activation Rep'!B:B,'Download of SFDC Activation Rep'!X:X),"")</f>
        <v/>
      </c>
      <c r="K657" s="17" t="str">
        <f t="array" ref="K657">iferror(XLOOKUP(A657,'Download of SFDC Activation Rep'!B:B,'Download of SFDC Activation Rep'!C:C),"")</f>
        <v/>
      </c>
      <c r="L657" s="18" t="str">
        <f t="array" ref="L657">iferror(XLOOKUP(A657,'Download of SFDC Activation Rep'!B:B,'Download of SFDC Activation Rep'!S:S),"")</f>
        <v/>
      </c>
      <c r="M657" s="24" t="str">
        <f t="array" ref="M657">iferror(XLOOKUP(A657,'Download of SFDC Activation Rep'!B:B,'Download of SFDC Activation Rep'!Z:Z)+150,"")</f>
        <v/>
      </c>
      <c r="N657" s="24" t="str">
        <f t="array" ref="N657">iferror(XLOOKUP(A657,'Download of SFDC Activation Rep'!B:B,'Download of SFDC Activation Rep'!Y:Y),"")</f>
        <v/>
      </c>
    </row>
    <row r="658">
      <c r="B658" s="14"/>
      <c r="C658" s="14"/>
      <c r="D658" s="14"/>
      <c r="E658" s="15"/>
      <c r="F658" s="14"/>
      <c r="G658" s="13" t="str">
        <f t="array" ref="G658">iferror(XLOOKUP(A658,'Download of SFDC Activation Rep'!B:B,'Download of SFDC Activation Rep'!H:H),"")</f>
        <v/>
      </c>
      <c r="H658" s="13" t="str">
        <f t="array" ref="H658">iferror(xlookup(A658,'Download of SFDC Activation Rep'!B:B,'Download of SFDC Activation Rep'!L:L),"")</f>
        <v/>
      </c>
      <c r="I658" s="17" t="str">
        <f t="shared" si="1"/>
        <v>Not Active</v>
      </c>
      <c r="J658" s="17" t="str">
        <f t="array" ref="J658">iferror(XLOOKUP(A658,'Download of SFDC Activation Rep'!B:B,'Download of SFDC Activation Rep'!X:X),"")</f>
        <v/>
      </c>
      <c r="K658" s="17" t="str">
        <f t="array" ref="K658">iferror(XLOOKUP(A658,'Download of SFDC Activation Rep'!B:B,'Download of SFDC Activation Rep'!C:C),"")</f>
        <v/>
      </c>
      <c r="L658" s="18" t="str">
        <f t="array" ref="L658">iferror(XLOOKUP(A658,'Download of SFDC Activation Rep'!B:B,'Download of SFDC Activation Rep'!S:S),"")</f>
        <v/>
      </c>
      <c r="M658" s="24" t="str">
        <f t="array" ref="M658">iferror(XLOOKUP(A658,'Download of SFDC Activation Rep'!B:B,'Download of SFDC Activation Rep'!Z:Z)+150,"")</f>
        <v/>
      </c>
      <c r="N658" s="24" t="str">
        <f t="array" ref="N658">iferror(XLOOKUP(A658,'Download of SFDC Activation Rep'!B:B,'Download of SFDC Activation Rep'!Y:Y),"")</f>
        <v/>
      </c>
    </row>
    <row r="659">
      <c r="B659" s="14"/>
      <c r="C659" s="14"/>
      <c r="D659" s="14"/>
      <c r="E659" s="15"/>
      <c r="F659" s="14"/>
      <c r="G659" s="13" t="str">
        <f t="array" ref="G659">iferror(XLOOKUP(A659,'Download of SFDC Activation Rep'!B:B,'Download of SFDC Activation Rep'!H:H),"")</f>
        <v/>
      </c>
      <c r="H659" s="13" t="str">
        <f t="array" ref="H659">iferror(xlookup(A659,'Download of SFDC Activation Rep'!B:B,'Download of SFDC Activation Rep'!L:L),"")</f>
        <v/>
      </c>
      <c r="I659" s="17" t="str">
        <f t="shared" si="1"/>
        <v>Not Active</v>
      </c>
      <c r="J659" s="17" t="str">
        <f t="array" ref="J659">iferror(XLOOKUP(A659,'Download of SFDC Activation Rep'!B:B,'Download of SFDC Activation Rep'!X:X),"")</f>
        <v/>
      </c>
      <c r="K659" s="17" t="str">
        <f t="array" ref="K659">iferror(XLOOKUP(A659,'Download of SFDC Activation Rep'!B:B,'Download of SFDC Activation Rep'!C:C),"")</f>
        <v/>
      </c>
      <c r="L659" s="18" t="str">
        <f t="array" ref="L659">iferror(XLOOKUP(A659,'Download of SFDC Activation Rep'!B:B,'Download of SFDC Activation Rep'!S:S),"")</f>
        <v/>
      </c>
      <c r="M659" s="24" t="str">
        <f t="array" ref="M659">iferror(XLOOKUP(A659,'Download of SFDC Activation Rep'!B:B,'Download of SFDC Activation Rep'!Z:Z)+150,"")</f>
        <v/>
      </c>
      <c r="N659" s="24" t="str">
        <f t="array" ref="N659">iferror(XLOOKUP(A659,'Download of SFDC Activation Rep'!B:B,'Download of SFDC Activation Rep'!Y:Y),"")</f>
        <v/>
      </c>
    </row>
    <row r="660">
      <c r="B660" s="14"/>
      <c r="C660" s="14"/>
      <c r="D660" s="14"/>
      <c r="E660" s="15"/>
      <c r="F660" s="14"/>
      <c r="G660" s="13" t="str">
        <f t="array" ref="G660">iferror(XLOOKUP(A660,'Download of SFDC Activation Rep'!B:B,'Download of SFDC Activation Rep'!H:H),"")</f>
        <v/>
      </c>
      <c r="H660" s="13" t="str">
        <f t="array" ref="H660">iferror(xlookup(A660,'Download of SFDC Activation Rep'!B:B,'Download of SFDC Activation Rep'!L:L),"")</f>
        <v/>
      </c>
      <c r="I660" s="17" t="str">
        <f t="shared" si="1"/>
        <v>Not Active</v>
      </c>
      <c r="J660" s="17" t="str">
        <f t="array" ref="J660">iferror(XLOOKUP(A660,'Download of SFDC Activation Rep'!B:B,'Download of SFDC Activation Rep'!X:X),"")</f>
        <v/>
      </c>
      <c r="K660" s="17" t="str">
        <f t="array" ref="K660">iferror(XLOOKUP(A660,'Download of SFDC Activation Rep'!B:B,'Download of SFDC Activation Rep'!C:C),"")</f>
        <v/>
      </c>
      <c r="L660" s="18" t="str">
        <f t="array" ref="L660">iferror(XLOOKUP(A660,'Download of SFDC Activation Rep'!B:B,'Download of SFDC Activation Rep'!S:S),"")</f>
        <v/>
      </c>
      <c r="M660" s="24" t="str">
        <f t="array" ref="M660">iferror(XLOOKUP(A660,'Download of SFDC Activation Rep'!B:B,'Download of SFDC Activation Rep'!Z:Z)+150,"")</f>
        <v/>
      </c>
      <c r="N660" s="24" t="str">
        <f t="array" ref="N660">iferror(XLOOKUP(A660,'Download of SFDC Activation Rep'!B:B,'Download of SFDC Activation Rep'!Y:Y),"")</f>
        <v/>
      </c>
    </row>
    <row r="661">
      <c r="B661" s="14"/>
      <c r="C661" s="14"/>
      <c r="D661" s="14"/>
      <c r="E661" s="15"/>
      <c r="F661" s="14"/>
      <c r="G661" s="13" t="str">
        <f t="array" ref="G661">iferror(XLOOKUP(A661,'Download of SFDC Activation Rep'!B:B,'Download of SFDC Activation Rep'!H:H),"")</f>
        <v/>
      </c>
      <c r="H661" s="13" t="str">
        <f t="array" ref="H661">iferror(xlookup(A661,'Download of SFDC Activation Rep'!B:B,'Download of SFDC Activation Rep'!L:L),"")</f>
        <v/>
      </c>
      <c r="I661" s="17" t="str">
        <f t="shared" si="1"/>
        <v>Not Active</v>
      </c>
      <c r="J661" s="17" t="str">
        <f t="array" ref="J661">iferror(XLOOKUP(A661,'Download of SFDC Activation Rep'!B:B,'Download of SFDC Activation Rep'!X:X),"")</f>
        <v/>
      </c>
      <c r="K661" s="17" t="str">
        <f t="array" ref="K661">iferror(XLOOKUP(A661,'Download of SFDC Activation Rep'!B:B,'Download of SFDC Activation Rep'!C:C),"")</f>
        <v/>
      </c>
      <c r="L661" s="18" t="str">
        <f t="array" ref="L661">iferror(XLOOKUP(A661,'Download of SFDC Activation Rep'!B:B,'Download of SFDC Activation Rep'!S:S),"")</f>
        <v/>
      </c>
      <c r="M661" s="24" t="str">
        <f t="array" ref="M661">iferror(XLOOKUP(A661,'Download of SFDC Activation Rep'!B:B,'Download of SFDC Activation Rep'!Z:Z)+150,"")</f>
        <v/>
      </c>
      <c r="N661" s="24" t="str">
        <f t="array" ref="N661">iferror(XLOOKUP(A661,'Download of SFDC Activation Rep'!B:B,'Download of SFDC Activation Rep'!Y:Y),"")</f>
        <v/>
      </c>
    </row>
    <row r="662">
      <c r="B662" s="14"/>
      <c r="C662" s="14"/>
      <c r="D662" s="14"/>
      <c r="E662" s="15"/>
      <c r="F662" s="14"/>
      <c r="G662" s="13" t="str">
        <f t="array" ref="G662">iferror(XLOOKUP(A662,'Download of SFDC Activation Rep'!B:B,'Download of SFDC Activation Rep'!H:H),"")</f>
        <v/>
      </c>
      <c r="H662" s="13" t="str">
        <f t="array" ref="H662">iferror(xlookup(A662,'Download of SFDC Activation Rep'!B:B,'Download of SFDC Activation Rep'!L:L),"")</f>
        <v/>
      </c>
      <c r="I662" s="17" t="str">
        <f t="shared" si="1"/>
        <v>Not Active</v>
      </c>
      <c r="J662" s="17" t="str">
        <f t="array" ref="J662">iferror(XLOOKUP(A662,'Download of SFDC Activation Rep'!B:B,'Download of SFDC Activation Rep'!X:X),"")</f>
        <v/>
      </c>
      <c r="K662" s="17" t="str">
        <f t="array" ref="K662">iferror(XLOOKUP(A662,'Download of SFDC Activation Rep'!B:B,'Download of SFDC Activation Rep'!C:C),"")</f>
        <v/>
      </c>
      <c r="L662" s="18" t="str">
        <f t="array" ref="L662">iferror(XLOOKUP(A662,'Download of SFDC Activation Rep'!B:B,'Download of SFDC Activation Rep'!S:S),"")</f>
        <v/>
      </c>
      <c r="M662" s="24" t="str">
        <f t="array" ref="M662">iferror(XLOOKUP(A662,'Download of SFDC Activation Rep'!B:B,'Download of SFDC Activation Rep'!Z:Z)+150,"")</f>
        <v/>
      </c>
      <c r="N662" s="24" t="str">
        <f t="array" ref="N662">iferror(XLOOKUP(A662,'Download of SFDC Activation Rep'!B:B,'Download of SFDC Activation Rep'!Y:Y),"")</f>
        <v/>
      </c>
    </row>
    <row r="663">
      <c r="B663" s="14"/>
      <c r="C663" s="14"/>
      <c r="D663" s="14"/>
      <c r="E663" s="15"/>
      <c r="F663" s="14"/>
      <c r="G663" s="13" t="str">
        <f t="array" ref="G663">iferror(XLOOKUP(A663,'Download of SFDC Activation Rep'!B:B,'Download of SFDC Activation Rep'!H:H),"")</f>
        <v/>
      </c>
      <c r="H663" s="13" t="str">
        <f t="array" ref="H663">iferror(xlookup(A663,'Download of SFDC Activation Rep'!B:B,'Download of SFDC Activation Rep'!L:L),"")</f>
        <v/>
      </c>
      <c r="I663" s="17" t="str">
        <f t="shared" si="1"/>
        <v>Not Active</v>
      </c>
      <c r="J663" s="17" t="str">
        <f t="array" ref="J663">iferror(XLOOKUP(A663,'Download of SFDC Activation Rep'!B:B,'Download of SFDC Activation Rep'!X:X),"")</f>
        <v/>
      </c>
      <c r="K663" s="17" t="str">
        <f t="array" ref="K663">iferror(XLOOKUP(A663,'Download of SFDC Activation Rep'!B:B,'Download of SFDC Activation Rep'!C:C),"")</f>
        <v/>
      </c>
      <c r="L663" s="18" t="str">
        <f t="array" ref="L663">iferror(XLOOKUP(A663,'Download of SFDC Activation Rep'!B:B,'Download of SFDC Activation Rep'!S:S),"")</f>
        <v/>
      </c>
      <c r="M663" s="24" t="str">
        <f t="array" ref="M663">iferror(XLOOKUP(A663,'Download of SFDC Activation Rep'!B:B,'Download of SFDC Activation Rep'!Z:Z)+150,"")</f>
        <v/>
      </c>
      <c r="N663" s="24" t="str">
        <f t="array" ref="N663">iferror(XLOOKUP(A663,'Download of SFDC Activation Rep'!B:B,'Download of SFDC Activation Rep'!Y:Y),"")</f>
        <v/>
      </c>
    </row>
    <row r="664">
      <c r="B664" s="14"/>
      <c r="C664" s="14"/>
      <c r="D664" s="14"/>
      <c r="E664" s="15"/>
      <c r="F664" s="14"/>
      <c r="G664" s="13" t="str">
        <f t="array" ref="G664">iferror(XLOOKUP(A664,'Download of SFDC Activation Rep'!B:B,'Download of SFDC Activation Rep'!H:H),"")</f>
        <v/>
      </c>
      <c r="H664" s="13" t="str">
        <f t="array" ref="H664">iferror(xlookup(A664,'Download of SFDC Activation Rep'!B:B,'Download of SFDC Activation Rep'!L:L),"")</f>
        <v/>
      </c>
      <c r="I664" s="17" t="str">
        <f t="shared" si="1"/>
        <v>Not Active</v>
      </c>
      <c r="J664" s="17" t="str">
        <f t="array" ref="J664">iferror(XLOOKUP(A664,'Download of SFDC Activation Rep'!B:B,'Download of SFDC Activation Rep'!X:X),"")</f>
        <v/>
      </c>
      <c r="K664" s="17" t="str">
        <f t="array" ref="K664">iferror(XLOOKUP(A664,'Download of SFDC Activation Rep'!B:B,'Download of SFDC Activation Rep'!C:C),"")</f>
        <v/>
      </c>
      <c r="L664" s="18" t="str">
        <f t="array" ref="L664">iferror(XLOOKUP(A664,'Download of SFDC Activation Rep'!B:B,'Download of SFDC Activation Rep'!S:S),"")</f>
        <v/>
      </c>
      <c r="M664" s="24" t="str">
        <f t="array" ref="M664">iferror(XLOOKUP(A664,'Download of SFDC Activation Rep'!B:B,'Download of SFDC Activation Rep'!Z:Z)+150,"")</f>
        <v/>
      </c>
      <c r="N664" s="24" t="str">
        <f t="array" ref="N664">iferror(XLOOKUP(A664,'Download of SFDC Activation Rep'!B:B,'Download of SFDC Activation Rep'!Y:Y),"")</f>
        <v/>
      </c>
    </row>
    <row r="665">
      <c r="B665" s="14"/>
      <c r="C665" s="14"/>
      <c r="D665" s="14"/>
      <c r="E665" s="15"/>
      <c r="F665" s="14"/>
      <c r="G665" s="13" t="str">
        <f t="array" ref="G665">iferror(XLOOKUP(A665,'Download of SFDC Activation Rep'!B:B,'Download of SFDC Activation Rep'!H:H),"")</f>
        <v/>
      </c>
      <c r="H665" s="13" t="str">
        <f t="array" ref="H665">iferror(xlookup(A665,'Download of SFDC Activation Rep'!B:B,'Download of SFDC Activation Rep'!L:L),"")</f>
        <v/>
      </c>
      <c r="I665" s="17" t="str">
        <f t="shared" si="1"/>
        <v>Not Active</v>
      </c>
      <c r="J665" s="17" t="str">
        <f t="array" ref="J665">iferror(XLOOKUP(A665,'Download of SFDC Activation Rep'!B:B,'Download of SFDC Activation Rep'!X:X),"")</f>
        <v/>
      </c>
      <c r="K665" s="17" t="str">
        <f t="array" ref="K665">iferror(XLOOKUP(A665,'Download of SFDC Activation Rep'!B:B,'Download of SFDC Activation Rep'!C:C),"")</f>
        <v/>
      </c>
      <c r="L665" s="18" t="str">
        <f t="array" ref="L665">iferror(XLOOKUP(A665,'Download of SFDC Activation Rep'!B:B,'Download of SFDC Activation Rep'!S:S),"")</f>
        <v/>
      </c>
      <c r="M665" s="24" t="str">
        <f t="array" ref="M665">iferror(XLOOKUP(A665,'Download of SFDC Activation Rep'!B:B,'Download of SFDC Activation Rep'!Z:Z)+150,"")</f>
        <v/>
      </c>
      <c r="N665" s="24" t="str">
        <f t="array" ref="N665">iferror(XLOOKUP(A665,'Download of SFDC Activation Rep'!B:B,'Download of SFDC Activation Rep'!Y:Y),"")</f>
        <v/>
      </c>
    </row>
    <row r="666">
      <c r="B666" s="14"/>
      <c r="C666" s="14"/>
      <c r="D666" s="14"/>
      <c r="E666" s="15"/>
      <c r="F666" s="14"/>
      <c r="G666" s="13" t="str">
        <f t="array" ref="G666">iferror(XLOOKUP(A666,'Download of SFDC Activation Rep'!B:B,'Download of SFDC Activation Rep'!H:H),"")</f>
        <v/>
      </c>
      <c r="H666" s="13" t="str">
        <f t="array" ref="H666">iferror(xlookup(A666,'Download of SFDC Activation Rep'!B:B,'Download of SFDC Activation Rep'!L:L),"")</f>
        <v/>
      </c>
      <c r="I666" s="17" t="str">
        <f t="shared" si="1"/>
        <v>Not Active</v>
      </c>
      <c r="J666" s="17" t="str">
        <f t="array" ref="J666">iferror(XLOOKUP(A666,'Download of SFDC Activation Rep'!B:B,'Download of SFDC Activation Rep'!X:X),"")</f>
        <v/>
      </c>
      <c r="K666" s="17" t="str">
        <f t="array" ref="K666">iferror(XLOOKUP(A666,'Download of SFDC Activation Rep'!B:B,'Download of SFDC Activation Rep'!C:C),"")</f>
        <v/>
      </c>
      <c r="L666" s="18" t="str">
        <f t="array" ref="L666">iferror(XLOOKUP(A666,'Download of SFDC Activation Rep'!B:B,'Download of SFDC Activation Rep'!S:S),"")</f>
        <v/>
      </c>
      <c r="M666" s="24" t="str">
        <f t="array" ref="M666">iferror(XLOOKUP(A666,'Download of SFDC Activation Rep'!B:B,'Download of SFDC Activation Rep'!Z:Z)+150,"")</f>
        <v/>
      </c>
      <c r="N666" s="24" t="str">
        <f t="array" ref="N666">iferror(XLOOKUP(A666,'Download of SFDC Activation Rep'!B:B,'Download of SFDC Activation Rep'!Y:Y),"")</f>
        <v/>
      </c>
    </row>
    <row r="667">
      <c r="B667" s="14"/>
      <c r="C667" s="14"/>
      <c r="D667" s="14"/>
      <c r="E667" s="15"/>
      <c r="F667" s="14"/>
      <c r="G667" s="13" t="str">
        <f t="array" ref="G667">iferror(XLOOKUP(A667,'Download of SFDC Activation Rep'!B:B,'Download of SFDC Activation Rep'!H:H),"")</f>
        <v/>
      </c>
      <c r="H667" s="13" t="str">
        <f t="array" ref="H667">iferror(xlookup(A667,'Download of SFDC Activation Rep'!B:B,'Download of SFDC Activation Rep'!L:L),"")</f>
        <v/>
      </c>
      <c r="I667" s="17" t="str">
        <f t="shared" si="1"/>
        <v>Not Active</v>
      </c>
      <c r="J667" s="17" t="str">
        <f t="array" ref="J667">iferror(XLOOKUP(A667,'Download of SFDC Activation Rep'!B:B,'Download of SFDC Activation Rep'!X:X),"")</f>
        <v/>
      </c>
      <c r="K667" s="17" t="str">
        <f t="array" ref="K667">iferror(XLOOKUP(A667,'Download of SFDC Activation Rep'!B:B,'Download of SFDC Activation Rep'!C:C),"")</f>
        <v/>
      </c>
      <c r="L667" s="18" t="str">
        <f t="array" ref="L667">iferror(XLOOKUP(A667,'Download of SFDC Activation Rep'!B:B,'Download of SFDC Activation Rep'!S:S),"")</f>
        <v/>
      </c>
      <c r="M667" s="24" t="str">
        <f t="array" ref="M667">iferror(XLOOKUP(A667,'Download of SFDC Activation Rep'!B:B,'Download of SFDC Activation Rep'!Z:Z)+150,"")</f>
        <v/>
      </c>
      <c r="N667" s="24" t="str">
        <f t="array" ref="N667">iferror(XLOOKUP(A667,'Download of SFDC Activation Rep'!B:B,'Download of SFDC Activation Rep'!Y:Y),"")</f>
        <v/>
      </c>
    </row>
    <row r="668">
      <c r="B668" s="14"/>
      <c r="C668" s="14"/>
      <c r="D668" s="14"/>
      <c r="E668" s="15"/>
      <c r="F668" s="14"/>
      <c r="G668" s="13" t="str">
        <f t="array" ref="G668">iferror(XLOOKUP(A668,'Download of SFDC Activation Rep'!B:B,'Download of SFDC Activation Rep'!H:H),"")</f>
        <v/>
      </c>
      <c r="H668" s="13" t="str">
        <f t="array" ref="H668">iferror(xlookup(A668,'Download of SFDC Activation Rep'!B:B,'Download of SFDC Activation Rep'!L:L),"")</f>
        <v/>
      </c>
      <c r="I668" s="17" t="str">
        <f t="shared" si="1"/>
        <v>Not Active</v>
      </c>
      <c r="J668" s="17" t="str">
        <f t="array" ref="J668">iferror(XLOOKUP(A668,'Download of SFDC Activation Rep'!B:B,'Download of SFDC Activation Rep'!X:X),"")</f>
        <v/>
      </c>
      <c r="K668" s="17" t="str">
        <f t="array" ref="K668">iferror(XLOOKUP(A668,'Download of SFDC Activation Rep'!B:B,'Download of SFDC Activation Rep'!C:C),"")</f>
        <v/>
      </c>
      <c r="L668" s="18" t="str">
        <f t="array" ref="L668">iferror(XLOOKUP(A668,'Download of SFDC Activation Rep'!B:B,'Download of SFDC Activation Rep'!S:S),"")</f>
        <v/>
      </c>
      <c r="M668" s="24" t="str">
        <f t="array" ref="M668">iferror(XLOOKUP(A668,'Download of SFDC Activation Rep'!B:B,'Download of SFDC Activation Rep'!Z:Z)+150,"")</f>
        <v/>
      </c>
      <c r="N668" s="24" t="str">
        <f t="array" ref="N668">iferror(XLOOKUP(A668,'Download of SFDC Activation Rep'!B:B,'Download of SFDC Activation Rep'!Y:Y),"")</f>
        <v/>
      </c>
    </row>
    <row r="669">
      <c r="B669" s="14"/>
      <c r="C669" s="14"/>
      <c r="D669" s="14"/>
      <c r="E669" s="15"/>
      <c r="F669" s="14"/>
      <c r="G669" s="13" t="str">
        <f t="array" ref="G669">iferror(XLOOKUP(A669,'Download of SFDC Activation Rep'!B:B,'Download of SFDC Activation Rep'!H:H),"")</f>
        <v/>
      </c>
      <c r="H669" s="13" t="str">
        <f t="array" ref="H669">iferror(xlookup(A669,'Download of SFDC Activation Rep'!B:B,'Download of SFDC Activation Rep'!L:L),"")</f>
        <v/>
      </c>
      <c r="I669" s="17" t="str">
        <f t="shared" si="1"/>
        <v>Not Active</v>
      </c>
      <c r="J669" s="17" t="str">
        <f t="array" ref="J669">iferror(XLOOKUP(A669,'Download of SFDC Activation Rep'!B:B,'Download of SFDC Activation Rep'!X:X),"")</f>
        <v/>
      </c>
      <c r="K669" s="17" t="str">
        <f t="array" ref="K669">iferror(XLOOKUP(A669,'Download of SFDC Activation Rep'!B:B,'Download of SFDC Activation Rep'!C:C),"")</f>
        <v/>
      </c>
      <c r="L669" s="18" t="str">
        <f t="array" ref="L669">iferror(XLOOKUP(A669,'Download of SFDC Activation Rep'!B:B,'Download of SFDC Activation Rep'!S:S),"")</f>
        <v/>
      </c>
      <c r="M669" s="24" t="str">
        <f t="array" ref="M669">iferror(XLOOKUP(A669,'Download of SFDC Activation Rep'!B:B,'Download of SFDC Activation Rep'!Z:Z)+150,"")</f>
        <v/>
      </c>
      <c r="N669" s="24" t="str">
        <f t="array" ref="N669">iferror(XLOOKUP(A669,'Download of SFDC Activation Rep'!B:B,'Download of SFDC Activation Rep'!Y:Y),"")</f>
        <v/>
      </c>
    </row>
    <row r="670">
      <c r="B670" s="14"/>
      <c r="C670" s="14"/>
      <c r="D670" s="14"/>
      <c r="E670" s="15"/>
      <c r="F670" s="14"/>
      <c r="G670" s="13" t="str">
        <f t="array" ref="G670">iferror(XLOOKUP(A670,'Download of SFDC Activation Rep'!B:B,'Download of SFDC Activation Rep'!H:H),"")</f>
        <v/>
      </c>
      <c r="H670" s="13" t="str">
        <f t="array" ref="H670">iferror(xlookup(A670,'Download of SFDC Activation Rep'!B:B,'Download of SFDC Activation Rep'!L:L),"")</f>
        <v/>
      </c>
      <c r="I670" s="17" t="str">
        <f t="shared" si="1"/>
        <v>Not Active</v>
      </c>
      <c r="J670" s="17" t="str">
        <f t="array" ref="J670">iferror(XLOOKUP(A670,'Download of SFDC Activation Rep'!B:B,'Download of SFDC Activation Rep'!X:X),"")</f>
        <v/>
      </c>
      <c r="K670" s="17" t="str">
        <f t="array" ref="K670">iferror(XLOOKUP(A670,'Download of SFDC Activation Rep'!B:B,'Download of SFDC Activation Rep'!C:C),"")</f>
        <v/>
      </c>
      <c r="L670" s="18" t="str">
        <f t="array" ref="L670">iferror(XLOOKUP(A670,'Download of SFDC Activation Rep'!B:B,'Download of SFDC Activation Rep'!S:S),"")</f>
        <v/>
      </c>
      <c r="M670" s="24" t="str">
        <f t="array" ref="M670">iferror(XLOOKUP(A670,'Download of SFDC Activation Rep'!B:B,'Download of SFDC Activation Rep'!Z:Z)+150,"")</f>
        <v/>
      </c>
      <c r="N670" s="24" t="str">
        <f t="array" ref="N670">iferror(XLOOKUP(A670,'Download of SFDC Activation Rep'!B:B,'Download of SFDC Activation Rep'!Y:Y),"")</f>
        <v/>
      </c>
    </row>
    <row r="671">
      <c r="B671" s="14"/>
      <c r="C671" s="14"/>
      <c r="D671" s="14"/>
      <c r="E671" s="15"/>
      <c r="F671" s="14"/>
      <c r="G671" s="13" t="str">
        <f t="array" ref="G671">iferror(XLOOKUP(A671,'Download of SFDC Activation Rep'!B:B,'Download of SFDC Activation Rep'!H:H),"")</f>
        <v/>
      </c>
      <c r="H671" s="13" t="str">
        <f t="array" ref="H671">iferror(xlookup(A671,'Download of SFDC Activation Rep'!B:B,'Download of SFDC Activation Rep'!L:L),"")</f>
        <v/>
      </c>
      <c r="I671" s="17" t="str">
        <f t="shared" si="1"/>
        <v>Not Active</v>
      </c>
      <c r="J671" s="17" t="str">
        <f t="array" ref="J671">iferror(XLOOKUP(A671,'Download of SFDC Activation Rep'!B:B,'Download of SFDC Activation Rep'!X:X),"")</f>
        <v/>
      </c>
      <c r="K671" s="17" t="str">
        <f t="array" ref="K671">iferror(XLOOKUP(A671,'Download of SFDC Activation Rep'!B:B,'Download of SFDC Activation Rep'!C:C),"")</f>
        <v/>
      </c>
      <c r="L671" s="18" t="str">
        <f t="array" ref="L671">iferror(XLOOKUP(A671,'Download of SFDC Activation Rep'!B:B,'Download of SFDC Activation Rep'!S:S),"")</f>
        <v/>
      </c>
      <c r="M671" s="24" t="str">
        <f t="array" ref="M671">iferror(XLOOKUP(A671,'Download of SFDC Activation Rep'!B:B,'Download of SFDC Activation Rep'!Z:Z)+150,"")</f>
        <v/>
      </c>
      <c r="N671" s="24" t="str">
        <f t="array" ref="N671">iferror(XLOOKUP(A671,'Download of SFDC Activation Rep'!B:B,'Download of SFDC Activation Rep'!Y:Y),"")</f>
        <v/>
      </c>
    </row>
    <row r="672">
      <c r="B672" s="14"/>
      <c r="C672" s="14"/>
      <c r="D672" s="14"/>
      <c r="E672" s="15"/>
      <c r="F672" s="14"/>
      <c r="G672" s="13" t="str">
        <f t="array" ref="G672">iferror(XLOOKUP(A672,'Download of SFDC Activation Rep'!B:B,'Download of SFDC Activation Rep'!H:H),"")</f>
        <v/>
      </c>
      <c r="H672" s="13" t="str">
        <f t="array" ref="H672">iferror(xlookup(A672,'Download of SFDC Activation Rep'!B:B,'Download of SFDC Activation Rep'!L:L),"")</f>
        <v/>
      </c>
      <c r="I672" s="17" t="str">
        <f t="shared" si="1"/>
        <v>Not Active</v>
      </c>
      <c r="J672" s="17" t="str">
        <f t="array" ref="J672">iferror(XLOOKUP(A672,'Download of SFDC Activation Rep'!B:B,'Download of SFDC Activation Rep'!X:X),"")</f>
        <v/>
      </c>
      <c r="K672" s="17" t="str">
        <f t="array" ref="K672">iferror(XLOOKUP(A672,'Download of SFDC Activation Rep'!B:B,'Download of SFDC Activation Rep'!C:C),"")</f>
        <v/>
      </c>
      <c r="L672" s="18" t="str">
        <f t="array" ref="L672">iferror(XLOOKUP(A672,'Download of SFDC Activation Rep'!B:B,'Download of SFDC Activation Rep'!S:S),"")</f>
        <v/>
      </c>
      <c r="M672" s="24" t="str">
        <f t="array" ref="M672">iferror(XLOOKUP(A672,'Download of SFDC Activation Rep'!B:B,'Download of SFDC Activation Rep'!Z:Z)+150,"")</f>
        <v/>
      </c>
      <c r="N672" s="24" t="str">
        <f t="array" ref="N672">iferror(XLOOKUP(A672,'Download of SFDC Activation Rep'!B:B,'Download of SFDC Activation Rep'!Y:Y),"")</f>
        <v/>
      </c>
    </row>
    <row r="673">
      <c r="B673" s="14"/>
      <c r="C673" s="14"/>
      <c r="D673" s="14"/>
      <c r="E673" s="15"/>
      <c r="F673" s="14"/>
      <c r="G673" s="13" t="str">
        <f t="array" ref="G673">iferror(XLOOKUP(A673,'Download of SFDC Activation Rep'!B:B,'Download of SFDC Activation Rep'!H:H),"")</f>
        <v/>
      </c>
      <c r="H673" s="13" t="str">
        <f t="array" ref="H673">iferror(xlookup(A673,'Download of SFDC Activation Rep'!B:B,'Download of SFDC Activation Rep'!L:L),"")</f>
        <v/>
      </c>
      <c r="I673" s="17" t="str">
        <f t="shared" si="1"/>
        <v>Not Active</v>
      </c>
      <c r="J673" s="17" t="str">
        <f t="array" ref="J673">iferror(XLOOKUP(A673,'Download of SFDC Activation Rep'!B:B,'Download of SFDC Activation Rep'!X:X),"")</f>
        <v/>
      </c>
      <c r="K673" s="17" t="str">
        <f t="array" ref="K673">iferror(XLOOKUP(A673,'Download of SFDC Activation Rep'!B:B,'Download of SFDC Activation Rep'!C:C),"")</f>
        <v/>
      </c>
      <c r="L673" s="18" t="str">
        <f t="array" ref="L673">iferror(XLOOKUP(A673,'Download of SFDC Activation Rep'!B:B,'Download of SFDC Activation Rep'!S:S),"")</f>
        <v/>
      </c>
      <c r="M673" s="24" t="str">
        <f t="array" ref="M673">iferror(XLOOKUP(A673,'Download of SFDC Activation Rep'!B:B,'Download of SFDC Activation Rep'!Z:Z)+150,"")</f>
        <v/>
      </c>
      <c r="N673" s="24" t="str">
        <f t="array" ref="N673">iferror(XLOOKUP(A673,'Download of SFDC Activation Rep'!B:B,'Download of SFDC Activation Rep'!Y:Y),"")</f>
        <v/>
      </c>
    </row>
    <row r="674">
      <c r="B674" s="14"/>
      <c r="C674" s="14"/>
      <c r="D674" s="14"/>
      <c r="E674" s="15"/>
      <c r="F674" s="14"/>
      <c r="G674" s="13" t="str">
        <f t="array" ref="G674">iferror(XLOOKUP(A674,'Download of SFDC Activation Rep'!B:B,'Download of SFDC Activation Rep'!H:H),"")</f>
        <v/>
      </c>
      <c r="H674" s="13" t="str">
        <f t="array" ref="H674">iferror(xlookup(A674,'Download of SFDC Activation Rep'!B:B,'Download of SFDC Activation Rep'!L:L),"")</f>
        <v/>
      </c>
      <c r="I674" s="17" t="str">
        <f t="shared" si="1"/>
        <v>Not Active</v>
      </c>
      <c r="J674" s="17" t="str">
        <f t="array" ref="J674">iferror(XLOOKUP(A674,'Download of SFDC Activation Rep'!B:B,'Download of SFDC Activation Rep'!X:X),"")</f>
        <v/>
      </c>
      <c r="K674" s="17" t="str">
        <f t="array" ref="K674">iferror(XLOOKUP(A674,'Download of SFDC Activation Rep'!B:B,'Download of SFDC Activation Rep'!C:C),"")</f>
        <v/>
      </c>
      <c r="L674" s="18" t="str">
        <f t="array" ref="L674">iferror(XLOOKUP(A674,'Download of SFDC Activation Rep'!B:B,'Download of SFDC Activation Rep'!S:S),"")</f>
        <v/>
      </c>
      <c r="M674" s="24" t="str">
        <f t="array" ref="M674">iferror(XLOOKUP(A674,'Download of SFDC Activation Rep'!B:B,'Download of SFDC Activation Rep'!Z:Z)+150,"")</f>
        <v/>
      </c>
      <c r="N674" s="24" t="str">
        <f t="array" ref="N674">iferror(XLOOKUP(A674,'Download of SFDC Activation Rep'!B:B,'Download of SFDC Activation Rep'!Y:Y),"")</f>
        <v/>
      </c>
    </row>
    <row r="675">
      <c r="B675" s="14"/>
      <c r="C675" s="14"/>
      <c r="D675" s="14"/>
      <c r="E675" s="15"/>
      <c r="F675" s="14"/>
      <c r="G675" s="13" t="str">
        <f t="array" ref="G675">iferror(XLOOKUP(A675,'Download of SFDC Activation Rep'!B:B,'Download of SFDC Activation Rep'!H:H),"")</f>
        <v/>
      </c>
      <c r="H675" s="13" t="str">
        <f t="array" ref="H675">iferror(xlookup(A675,'Download of SFDC Activation Rep'!B:B,'Download of SFDC Activation Rep'!L:L),"")</f>
        <v/>
      </c>
      <c r="I675" s="17" t="str">
        <f t="shared" si="1"/>
        <v>Not Active</v>
      </c>
      <c r="J675" s="17" t="str">
        <f t="array" ref="J675">iferror(XLOOKUP(A675,'Download of SFDC Activation Rep'!B:B,'Download of SFDC Activation Rep'!X:X),"")</f>
        <v/>
      </c>
      <c r="K675" s="17" t="str">
        <f t="array" ref="K675">iferror(XLOOKUP(A675,'Download of SFDC Activation Rep'!B:B,'Download of SFDC Activation Rep'!C:C),"")</f>
        <v/>
      </c>
      <c r="L675" s="18" t="str">
        <f t="array" ref="L675">iferror(XLOOKUP(A675,'Download of SFDC Activation Rep'!B:B,'Download of SFDC Activation Rep'!S:S),"")</f>
        <v/>
      </c>
      <c r="M675" s="24" t="str">
        <f t="array" ref="M675">iferror(XLOOKUP(A675,'Download of SFDC Activation Rep'!B:B,'Download of SFDC Activation Rep'!Z:Z)+150,"")</f>
        <v/>
      </c>
      <c r="N675" s="24" t="str">
        <f t="array" ref="N675">iferror(XLOOKUP(A675,'Download of SFDC Activation Rep'!B:B,'Download of SFDC Activation Rep'!Y:Y),"")</f>
        <v/>
      </c>
    </row>
    <row r="676">
      <c r="B676" s="14"/>
      <c r="C676" s="14"/>
      <c r="D676" s="14"/>
      <c r="E676" s="15"/>
      <c r="F676" s="14"/>
      <c r="G676" s="13" t="str">
        <f t="array" ref="G676">iferror(XLOOKUP(A676,'Download of SFDC Activation Rep'!B:B,'Download of SFDC Activation Rep'!H:H),"")</f>
        <v/>
      </c>
      <c r="H676" s="13" t="str">
        <f t="array" ref="H676">iferror(xlookup(A676,'Download of SFDC Activation Rep'!B:B,'Download of SFDC Activation Rep'!L:L),"")</f>
        <v/>
      </c>
      <c r="I676" s="17" t="str">
        <f t="shared" si="1"/>
        <v>Not Active</v>
      </c>
      <c r="J676" s="17" t="str">
        <f t="array" ref="J676">iferror(XLOOKUP(A676,'Download of SFDC Activation Rep'!B:B,'Download of SFDC Activation Rep'!X:X),"")</f>
        <v/>
      </c>
      <c r="K676" s="17" t="str">
        <f t="array" ref="K676">iferror(XLOOKUP(A676,'Download of SFDC Activation Rep'!B:B,'Download of SFDC Activation Rep'!C:C),"")</f>
        <v/>
      </c>
      <c r="L676" s="18" t="str">
        <f t="array" ref="L676">iferror(XLOOKUP(A676,'Download of SFDC Activation Rep'!B:B,'Download of SFDC Activation Rep'!S:S),"")</f>
        <v/>
      </c>
      <c r="M676" s="24" t="str">
        <f t="array" ref="M676">iferror(XLOOKUP(A676,'Download of SFDC Activation Rep'!B:B,'Download of SFDC Activation Rep'!Z:Z)+150,"")</f>
        <v/>
      </c>
      <c r="N676" s="24" t="str">
        <f t="array" ref="N676">iferror(XLOOKUP(A676,'Download of SFDC Activation Rep'!B:B,'Download of SFDC Activation Rep'!Y:Y),"")</f>
        <v/>
      </c>
    </row>
    <row r="677">
      <c r="B677" s="14"/>
      <c r="C677" s="14"/>
      <c r="D677" s="14"/>
      <c r="E677" s="15"/>
      <c r="F677" s="14"/>
      <c r="G677" s="13" t="str">
        <f t="array" ref="G677">iferror(XLOOKUP(A677,'Download of SFDC Activation Rep'!B:B,'Download of SFDC Activation Rep'!H:H),"")</f>
        <v/>
      </c>
      <c r="H677" s="13" t="str">
        <f t="array" ref="H677">iferror(xlookup(A677,'Download of SFDC Activation Rep'!B:B,'Download of SFDC Activation Rep'!L:L),"")</f>
        <v/>
      </c>
      <c r="I677" s="17" t="str">
        <f t="shared" si="1"/>
        <v>Not Active</v>
      </c>
      <c r="J677" s="17" t="str">
        <f t="array" ref="J677">iferror(XLOOKUP(A677,'Download of SFDC Activation Rep'!B:B,'Download of SFDC Activation Rep'!X:X),"")</f>
        <v/>
      </c>
      <c r="K677" s="17" t="str">
        <f t="array" ref="K677">iferror(XLOOKUP(A677,'Download of SFDC Activation Rep'!B:B,'Download of SFDC Activation Rep'!C:C),"")</f>
        <v/>
      </c>
      <c r="L677" s="18" t="str">
        <f t="array" ref="L677">iferror(XLOOKUP(A677,'Download of SFDC Activation Rep'!B:B,'Download of SFDC Activation Rep'!S:S),"")</f>
        <v/>
      </c>
      <c r="M677" s="24" t="str">
        <f t="array" ref="M677">iferror(XLOOKUP(A677,'Download of SFDC Activation Rep'!B:B,'Download of SFDC Activation Rep'!Z:Z)+150,"")</f>
        <v/>
      </c>
      <c r="N677" s="24" t="str">
        <f t="array" ref="N677">iferror(XLOOKUP(A677,'Download of SFDC Activation Rep'!B:B,'Download of SFDC Activation Rep'!Y:Y),"")</f>
        <v/>
      </c>
    </row>
    <row r="678">
      <c r="B678" s="14"/>
      <c r="C678" s="14"/>
      <c r="D678" s="14"/>
      <c r="E678" s="15"/>
      <c r="F678" s="14"/>
      <c r="G678" s="13" t="str">
        <f t="array" ref="G678">iferror(XLOOKUP(A678,'Download of SFDC Activation Rep'!B:B,'Download of SFDC Activation Rep'!H:H),"")</f>
        <v/>
      </c>
      <c r="H678" s="13" t="str">
        <f t="array" ref="H678">iferror(xlookup(A678,'Download of SFDC Activation Rep'!B:B,'Download of SFDC Activation Rep'!L:L),"")</f>
        <v/>
      </c>
      <c r="I678" s="17" t="str">
        <f t="shared" si="1"/>
        <v>Not Active</v>
      </c>
      <c r="J678" s="17" t="str">
        <f t="array" ref="J678">iferror(XLOOKUP(A678,'Download of SFDC Activation Rep'!B:B,'Download of SFDC Activation Rep'!X:X),"")</f>
        <v/>
      </c>
      <c r="K678" s="17" t="str">
        <f t="array" ref="K678">iferror(XLOOKUP(A678,'Download of SFDC Activation Rep'!B:B,'Download of SFDC Activation Rep'!C:C),"")</f>
        <v/>
      </c>
      <c r="L678" s="18" t="str">
        <f t="array" ref="L678">iferror(XLOOKUP(A678,'Download of SFDC Activation Rep'!B:B,'Download of SFDC Activation Rep'!S:S),"")</f>
        <v/>
      </c>
      <c r="M678" s="24" t="str">
        <f t="array" ref="M678">iferror(XLOOKUP(A678,'Download of SFDC Activation Rep'!B:B,'Download of SFDC Activation Rep'!Z:Z)+150,"")</f>
        <v/>
      </c>
      <c r="N678" s="24" t="str">
        <f t="array" ref="N678">iferror(XLOOKUP(A678,'Download of SFDC Activation Rep'!B:B,'Download of SFDC Activation Rep'!Y:Y),"")</f>
        <v/>
      </c>
    </row>
    <row r="679">
      <c r="B679" s="14"/>
      <c r="C679" s="14"/>
      <c r="D679" s="14"/>
      <c r="E679" s="15"/>
      <c r="F679" s="14"/>
      <c r="G679" s="13" t="str">
        <f t="array" ref="G679">iferror(XLOOKUP(A679,'Download of SFDC Activation Rep'!B:B,'Download of SFDC Activation Rep'!H:H),"")</f>
        <v/>
      </c>
      <c r="H679" s="13" t="str">
        <f t="array" ref="H679">iferror(xlookup(A679,'Download of SFDC Activation Rep'!B:B,'Download of SFDC Activation Rep'!L:L),"")</f>
        <v/>
      </c>
      <c r="I679" s="17" t="str">
        <f t="shared" si="1"/>
        <v>Not Active</v>
      </c>
      <c r="J679" s="17" t="str">
        <f t="array" ref="J679">iferror(XLOOKUP(A679,'Download of SFDC Activation Rep'!B:B,'Download of SFDC Activation Rep'!X:X),"")</f>
        <v/>
      </c>
      <c r="K679" s="17" t="str">
        <f t="array" ref="K679">iferror(XLOOKUP(A679,'Download of SFDC Activation Rep'!B:B,'Download of SFDC Activation Rep'!C:C),"")</f>
        <v/>
      </c>
      <c r="L679" s="18" t="str">
        <f t="array" ref="L679">iferror(XLOOKUP(A679,'Download of SFDC Activation Rep'!B:B,'Download of SFDC Activation Rep'!S:S),"")</f>
        <v/>
      </c>
      <c r="M679" s="24" t="str">
        <f t="array" ref="M679">iferror(XLOOKUP(A679,'Download of SFDC Activation Rep'!B:B,'Download of SFDC Activation Rep'!Z:Z)+150,"")</f>
        <v/>
      </c>
      <c r="N679" s="24" t="str">
        <f t="array" ref="N679">iferror(XLOOKUP(A679,'Download of SFDC Activation Rep'!B:B,'Download of SFDC Activation Rep'!Y:Y),"")</f>
        <v/>
      </c>
    </row>
    <row r="680">
      <c r="B680" s="14"/>
      <c r="C680" s="14"/>
      <c r="D680" s="14"/>
      <c r="E680" s="15"/>
      <c r="F680" s="14"/>
      <c r="G680" s="13" t="str">
        <f t="array" ref="G680">iferror(XLOOKUP(A680,'Download of SFDC Activation Rep'!B:B,'Download of SFDC Activation Rep'!H:H),"")</f>
        <v/>
      </c>
      <c r="H680" s="13" t="str">
        <f t="array" ref="H680">iferror(xlookup(A680,'Download of SFDC Activation Rep'!B:B,'Download of SFDC Activation Rep'!L:L),"")</f>
        <v/>
      </c>
      <c r="I680" s="17" t="str">
        <f t="shared" si="1"/>
        <v>Not Active</v>
      </c>
      <c r="J680" s="17" t="str">
        <f t="array" ref="J680">iferror(XLOOKUP(A680,'Download of SFDC Activation Rep'!B:B,'Download of SFDC Activation Rep'!X:X),"")</f>
        <v/>
      </c>
      <c r="K680" s="17" t="str">
        <f t="array" ref="K680">iferror(XLOOKUP(A680,'Download of SFDC Activation Rep'!B:B,'Download of SFDC Activation Rep'!C:C),"")</f>
        <v/>
      </c>
      <c r="L680" s="18" t="str">
        <f t="array" ref="L680">iferror(XLOOKUP(A680,'Download of SFDC Activation Rep'!B:B,'Download of SFDC Activation Rep'!S:S),"")</f>
        <v/>
      </c>
      <c r="M680" s="24" t="str">
        <f t="array" ref="M680">iferror(XLOOKUP(A680,'Download of SFDC Activation Rep'!B:B,'Download of SFDC Activation Rep'!Z:Z)+150,"")</f>
        <v/>
      </c>
      <c r="N680" s="24" t="str">
        <f t="array" ref="N680">iferror(XLOOKUP(A680,'Download of SFDC Activation Rep'!B:B,'Download of SFDC Activation Rep'!Y:Y),"")</f>
        <v/>
      </c>
    </row>
    <row r="681">
      <c r="B681" s="14"/>
      <c r="C681" s="14"/>
      <c r="D681" s="14"/>
      <c r="E681" s="15"/>
      <c r="F681" s="14"/>
      <c r="G681" s="13" t="str">
        <f t="array" ref="G681">iferror(XLOOKUP(A681,'Download of SFDC Activation Rep'!B:B,'Download of SFDC Activation Rep'!H:H),"")</f>
        <v/>
      </c>
      <c r="H681" s="13" t="str">
        <f t="array" ref="H681">iferror(xlookup(A681,'Download of SFDC Activation Rep'!B:B,'Download of SFDC Activation Rep'!L:L),"")</f>
        <v/>
      </c>
      <c r="I681" s="17" t="str">
        <f t="shared" si="1"/>
        <v>Not Active</v>
      </c>
      <c r="J681" s="17" t="str">
        <f t="array" ref="J681">iferror(XLOOKUP(A681,'Download of SFDC Activation Rep'!B:B,'Download of SFDC Activation Rep'!X:X),"")</f>
        <v/>
      </c>
      <c r="K681" s="17" t="str">
        <f t="array" ref="K681">iferror(XLOOKUP(A681,'Download of SFDC Activation Rep'!B:B,'Download of SFDC Activation Rep'!C:C),"")</f>
        <v/>
      </c>
      <c r="L681" s="18" t="str">
        <f t="array" ref="L681">iferror(XLOOKUP(A681,'Download of SFDC Activation Rep'!B:B,'Download of SFDC Activation Rep'!S:S),"")</f>
        <v/>
      </c>
      <c r="M681" s="24" t="str">
        <f t="array" ref="M681">iferror(XLOOKUP(A681,'Download of SFDC Activation Rep'!B:B,'Download of SFDC Activation Rep'!Z:Z)+150,"")</f>
        <v/>
      </c>
      <c r="N681" s="24" t="str">
        <f t="array" ref="N681">iferror(XLOOKUP(A681,'Download of SFDC Activation Rep'!B:B,'Download of SFDC Activation Rep'!Y:Y),"")</f>
        <v/>
      </c>
    </row>
    <row r="682">
      <c r="B682" s="14"/>
      <c r="C682" s="14"/>
      <c r="D682" s="14"/>
      <c r="E682" s="15"/>
      <c r="F682" s="14"/>
      <c r="G682" s="13" t="str">
        <f t="array" ref="G682">iferror(XLOOKUP(A682,'Download of SFDC Activation Rep'!B:B,'Download of SFDC Activation Rep'!H:H),"")</f>
        <v/>
      </c>
      <c r="H682" s="13" t="str">
        <f t="array" ref="H682">iferror(xlookup(A682,'Download of SFDC Activation Rep'!B:B,'Download of SFDC Activation Rep'!L:L),"")</f>
        <v/>
      </c>
      <c r="I682" s="17" t="str">
        <f t="shared" si="1"/>
        <v>Not Active</v>
      </c>
      <c r="J682" s="17" t="str">
        <f t="array" ref="J682">iferror(XLOOKUP(A682,'Download of SFDC Activation Rep'!B:B,'Download of SFDC Activation Rep'!X:X),"")</f>
        <v/>
      </c>
      <c r="K682" s="17" t="str">
        <f t="array" ref="K682">iferror(XLOOKUP(A682,'Download of SFDC Activation Rep'!B:B,'Download of SFDC Activation Rep'!C:C),"")</f>
        <v/>
      </c>
      <c r="L682" s="18" t="str">
        <f t="array" ref="L682">iferror(XLOOKUP(A682,'Download of SFDC Activation Rep'!B:B,'Download of SFDC Activation Rep'!S:S),"")</f>
        <v/>
      </c>
      <c r="M682" s="24" t="str">
        <f t="array" ref="M682">iferror(XLOOKUP(A682,'Download of SFDC Activation Rep'!B:B,'Download of SFDC Activation Rep'!Z:Z)+150,"")</f>
        <v/>
      </c>
      <c r="N682" s="24" t="str">
        <f t="array" ref="N682">iferror(XLOOKUP(A682,'Download of SFDC Activation Rep'!B:B,'Download of SFDC Activation Rep'!Y:Y),"")</f>
        <v/>
      </c>
    </row>
    <row r="683">
      <c r="B683" s="14"/>
      <c r="C683" s="14"/>
      <c r="D683" s="14"/>
      <c r="E683" s="15"/>
      <c r="F683" s="14"/>
      <c r="G683" s="13" t="str">
        <f t="array" ref="G683">iferror(XLOOKUP(A683,'Download of SFDC Activation Rep'!B:B,'Download of SFDC Activation Rep'!H:H),"")</f>
        <v/>
      </c>
      <c r="H683" s="13" t="str">
        <f t="array" ref="H683">iferror(xlookup(A683,'Download of SFDC Activation Rep'!B:B,'Download of SFDC Activation Rep'!L:L),"")</f>
        <v/>
      </c>
      <c r="I683" s="17" t="str">
        <f t="shared" si="1"/>
        <v>Not Active</v>
      </c>
      <c r="J683" s="17" t="str">
        <f t="array" ref="J683">iferror(XLOOKUP(A683,'Download of SFDC Activation Rep'!B:B,'Download of SFDC Activation Rep'!X:X),"")</f>
        <v/>
      </c>
      <c r="K683" s="17" t="str">
        <f t="array" ref="K683">iferror(XLOOKUP(A683,'Download of SFDC Activation Rep'!B:B,'Download of SFDC Activation Rep'!C:C),"")</f>
        <v/>
      </c>
      <c r="L683" s="18" t="str">
        <f t="array" ref="L683">iferror(XLOOKUP(A683,'Download of SFDC Activation Rep'!B:B,'Download of SFDC Activation Rep'!S:S),"")</f>
        <v/>
      </c>
      <c r="M683" s="24" t="str">
        <f t="array" ref="M683">iferror(XLOOKUP(A683,'Download of SFDC Activation Rep'!B:B,'Download of SFDC Activation Rep'!Z:Z)+150,"")</f>
        <v/>
      </c>
      <c r="N683" s="24" t="str">
        <f t="array" ref="N683">iferror(XLOOKUP(A683,'Download of SFDC Activation Rep'!B:B,'Download of SFDC Activation Rep'!Y:Y),"")</f>
        <v/>
      </c>
    </row>
    <row r="684">
      <c r="B684" s="14"/>
      <c r="C684" s="14"/>
      <c r="D684" s="14"/>
      <c r="E684" s="15"/>
      <c r="F684" s="14"/>
      <c r="G684" s="13" t="str">
        <f t="array" ref="G684">iferror(XLOOKUP(A684,'Download of SFDC Activation Rep'!B:B,'Download of SFDC Activation Rep'!H:H),"")</f>
        <v/>
      </c>
      <c r="H684" s="13" t="str">
        <f t="array" ref="H684">iferror(xlookup(A684,'Download of SFDC Activation Rep'!B:B,'Download of SFDC Activation Rep'!L:L),"")</f>
        <v/>
      </c>
      <c r="I684" s="17" t="str">
        <f t="shared" si="1"/>
        <v>Not Active</v>
      </c>
      <c r="J684" s="17" t="str">
        <f t="array" ref="J684">iferror(XLOOKUP(A684,'Download of SFDC Activation Rep'!B:B,'Download of SFDC Activation Rep'!X:X),"")</f>
        <v/>
      </c>
      <c r="K684" s="17" t="str">
        <f t="array" ref="K684">iferror(XLOOKUP(A684,'Download of SFDC Activation Rep'!B:B,'Download of SFDC Activation Rep'!C:C),"")</f>
        <v/>
      </c>
      <c r="L684" s="18" t="str">
        <f t="array" ref="L684">iferror(XLOOKUP(A684,'Download of SFDC Activation Rep'!B:B,'Download of SFDC Activation Rep'!S:S),"")</f>
        <v/>
      </c>
      <c r="M684" s="24" t="str">
        <f t="array" ref="M684">iferror(XLOOKUP(A684,'Download of SFDC Activation Rep'!B:B,'Download of SFDC Activation Rep'!Z:Z)+150,"")</f>
        <v/>
      </c>
      <c r="N684" s="24" t="str">
        <f t="array" ref="N684">iferror(XLOOKUP(A684,'Download of SFDC Activation Rep'!B:B,'Download of SFDC Activation Rep'!Y:Y),"")</f>
        <v/>
      </c>
    </row>
    <row r="685">
      <c r="B685" s="14"/>
      <c r="C685" s="14"/>
      <c r="D685" s="14"/>
      <c r="E685" s="15"/>
      <c r="F685" s="14"/>
      <c r="G685" s="13" t="str">
        <f t="array" ref="G685">iferror(XLOOKUP(A685,'Download of SFDC Activation Rep'!B:B,'Download of SFDC Activation Rep'!H:H),"")</f>
        <v/>
      </c>
      <c r="H685" s="13" t="str">
        <f t="array" ref="H685">iferror(xlookup(A685,'Download of SFDC Activation Rep'!B:B,'Download of SFDC Activation Rep'!L:L),"")</f>
        <v/>
      </c>
      <c r="I685" s="17" t="str">
        <f t="shared" si="1"/>
        <v>Not Active</v>
      </c>
      <c r="J685" s="17" t="str">
        <f t="array" ref="J685">iferror(XLOOKUP(A685,'Download of SFDC Activation Rep'!B:B,'Download of SFDC Activation Rep'!X:X),"")</f>
        <v/>
      </c>
      <c r="K685" s="17" t="str">
        <f t="array" ref="K685">iferror(XLOOKUP(A685,'Download of SFDC Activation Rep'!B:B,'Download of SFDC Activation Rep'!C:C),"")</f>
        <v/>
      </c>
      <c r="L685" s="18" t="str">
        <f t="array" ref="L685">iferror(XLOOKUP(A685,'Download of SFDC Activation Rep'!B:B,'Download of SFDC Activation Rep'!S:S),"")</f>
        <v/>
      </c>
      <c r="M685" s="24" t="str">
        <f t="array" ref="M685">iferror(XLOOKUP(A685,'Download of SFDC Activation Rep'!B:B,'Download of SFDC Activation Rep'!Z:Z)+150,"")</f>
        <v/>
      </c>
      <c r="N685" s="24" t="str">
        <f t="array" ref="N685">iferror(XLOOKUP(A685,'Download of SFDC Activation Rep'!B:B,'Download of SFDC Activation Rep'!Y:Y),"")</f>
        <v/>
      </c>
    </row>
    <row r="686">
      <c r="B686" s="14"/>
      <c r="C686" s="14"/>
      <c r="D686" s="14"/>
      <c r="E686" s="15"/>
      <c r="F686" s="14"/>
      <c r="G686" s="13" t="str">
        <f t="array" ref="G686">iferror(XLOOKUP(A686,'Download of SFDC Activation Rep'!B:B,'Download of SFDC Activation Rep'!H:H),"")</f>
        <v/>
      </c>
      <c r="H686" s="13" t="str">
        <f t="array" ref="H686">iferror(xlookup(A686,'Download of SFDC Activation Rep'!B:B,'Download of SFDC Activation Rep'!L:L),"")</f>
        <v/>
      </c>
      <c r="I686" s="17" t="str">
        <f t="shared" si="1"/>
        <v>Not Active</v>
      </c>
      <c r="J686" s="17" t="str">
        <f t="array" ref="J686">iferror(XLOOKUP(A686,'Download of SFDC Activation Rep'!B:B,'Download of SFDC Activation Rep'!X:X),"")</f>
        <v/>
      </c>
      <c r="K686" s="17" t="str">
        <f t="array" ref="K686">iferror(XLOOKUP(A686,'Download of SFDC Activation Rep'!B:B,'Download of SFDC Activation Rep'!C:C),"")</f>
        <v/>
      </c>
      <c r="L686" s="18" t="str">
        <f t="array" ref="L686">iferror(XLOOKUP(A686,'Download of SFDC Activation Rep'!B:B,'Download of SFDC Activation Rep'!S:S),"")</f>
        <v/>
      </c>
      <c r="M686" s="24" t="str">
        <f t="array" ref="M686">iferror(XLOOKUP(A686,'Download of SFDC Activation Rep'!B:B,'Download of SFDC Activation Rep'!Z:Z)+150,"")</f>
        <v/>
      </c>
      <c r="N686" s="24" t="str">
        <f t="array" ref="N686">iferror(XLOOKUP(A686,'Download of SFDC Activation Rep'!B:B,'Download of SFDC Activation Rep'!Y:Y),"")</f>
        <v/>
      </c>
    </row>
    <row r="687">
      <c r="B687" s="14"/>
      <c r="C687" s="14"/>
      <c r="D687" s="14"/>
      <c r="E687" s="15"/>
      <c r="F687" s="14"/>
      <c r="G687" s="13" t="str">
        <f t="array" ref="G687">iferror(XLOOKUP(A687,'Download of SFDC Activation Rep'!B:B,'Download of SFDC Activation Rep'!H:H),"")</f>
        <v/>
      </c>
      <c r="H687" s="13" t="str">
        <f t="array" ref="H687">iferror(xlookup(A687,'Download of SFDC Activation Rep'!B:B,'Download of SFDC Activation Rep'!L:L),"")</f>
        <v/>
      </c>
      <c r="I687" s="17" t="str">
        <f t="shared" si="1"/>
        <v>Not Active</v>
      </c>
      <c r="J687" s="17" t="str">
        <f t="array" ref="J687">iferror(XLOOKUP(A687,'Download of SFDC Activation Rep'!B:B,'Download of SFDC Activation Rep'!X:X),"")</f>
        <v/>
      </c>
      <c r="K687" s="17" t="str">
        <f t="array" ref="K687">iferror(XLOOKUP(A687,'Download of SFDC Activation Rep'!B:B,'Download of SFDC Activation Rep'!C:C),"")</f>
        <v/>
      </c>
      <c r="L687" s="18" t="str">
        <f t="array" ref="L687">iferror(XLOOKUP(A687,'Download of SFDC Activation Rep'!B:B,'Download of SFDC Activation Rep'!S:S),"")</f>
        <v/>
      </c>
      <c r="M687" s="24" t="str">
        <f t="array" ref="M687">iferror(XLOOKUP(A687,'Download of SFDC Activation Rep'!B:B,'Download of SFDC Activation Rep'!Z:Z)+150,"")</f>
        <v/>
      </c>
      <c r="N687" s="24" t="str">
        <f t="array" ref="N687">iferror(XLOOKUP(A687,'Download of SFDC Activation Rep'!B:B,'Download of SFDC Activation Rep'!Y:Y),"")</f>
        <v/>
      </c>
    </row>
    <row r="688">
      <c r="B688" s="14"/>
      <c r="C688" s="14"/>
      <c r="D688" s="14"/>
      <c r="E688" s="15"/>
      <c r="F688" s="14"/>
      <c r="G688" s="13" t="str">
        <f t="array" ref="G688">iferror(XLOOKUP(A688,'Download of SFDC Activation Rep'!B:B,'Download of SFDC Activation Rep'!H:H),"")</f>
        <v/>
      </c>
      <c r="H688" s="13" t="str">
        <f t="array" ref="H688">iferror(xlookup(A688,'Download of SFDC Activation Rep'!B:B,'Download of SFDC Activation Rep'!L:L),"")</f>
        <v/>
      </c>
      <c r="I688" s="17" t="str">
        <f t="shared" si="1"/>
        <v>Not Active</v>
      </c>
      <c r="J688" s="17" t="str">
        <f t="array" ref="J688">iferror(XLOOKUP(A688,'Download of SFDC Activation Rep'!B:B,'Download of SFDC Activation Rep'!X:X),"")</f>
        <v/>
      </c>
      <c r="K688" s="17" t="str">
        <f t="array" ref="K688">iferror(XLOOKUP(A688,'Download of SFDC Activation Rep'!B:B,'Download of SFDC Activation Rep'!C:C),"")</f>
        <v/>
      </c>
      <c r="L688" s="18" t="str">
        <f t="array" ref="L688">iferror(XLOOKUP(A688,'Download of SFDC Activation Rep'!B:B,'Download of SFDC Activation Rep'!S:S),"")</f>
        <v/>
      </c>
      <c r="M688" s="24" t="str">
        <f t="array" ref="M688">iferror(XLOOKUP(A688,'Download of SFDC Activation Rep'!B:B,'Download of SFDC Activation Rep'!Z:Z)+150,"")</f>
        <v/>
      </c>
      <c r="N688" s="24" t="str">
        <f t="array" ref="N688">iferror(XLOOKUP(A688,'Download of SFDC Activation Rep'!B:B,'Download of SFDC Activation Rep'!Y:Y),"")</f>
        <v/>
      </c>
    </row>
    <row r="689">
      <c r="B689" s="14"/>
      <c r="C689" s="14"/>
      <c r="D689" s="14"/>
      <c r="E689" s="15"/>
      <c r="F689" s="14"/>
      <c r="G689" s="13" t="str">
        <f t="array" ref="G689">iferror(XLOOKUP(A689,'Download of SFDC Activation Rep'!B:B,'Download of SFDC Activation Rep'!H:H),"")</f>
        <v/>
      </c>
      <c r="H689" s="13" t="str">
        <f t="array" ref="H689">iferror(xlookup(A689,'Download of SFDC Activation Rep'!B:B,'Download of SFDC Activation Rep'!L:L),"")</f>
        <v/>
      </c>
      <c r="I689" s="17" t="str">
        <f t="shared" si="1"/>
        <v>Not Active</v>
      </c>
      <c r="J689" s="17" t="str">
        <f t="array" ref="J689">iferror(XLOOKUP(A689,'Download of SFDC Activation Rep'!B:B,'Download of SFDC Activation Rep'!X:X),"")</f>
        <v/>
      </c>
      <c r="K689" s="17" t="str">
        <f t="array" ref="K689">iferror(XLOOKUP(A689,'Download of SFDC Activation Rep'!B:B,'Download of SFDC Activation Rep'!C:C),"")</f>
        <v/>
      </c>
      <c r="L689" s="18" t="str">
        <f t="array" ref="L689">iferror(XLOOKUP(A689,'Download of SFDC Activation Rep'!B:B,'Download of SFDC Activation Rep'!S:S),"")</f>
        <v/>
      </c>
      <c r="M689" s="24" t="str">
        <f t="array" ref="M689">iferror(XLOOKUP(A689,'Download of SFDC Activation Rep'!B:B,'Download of SFDC Activation Rep'!Z:Z)+150,"")</f>
        <v/>
      </c>
      <c r="N689" s="24" t="str">
        <f t="array" ref="N689">iferror(XLOOKUP(A689,'Download of SFDC Activation Rep'!B:B,'Download of SFDC Activation Rep'!Y:Y),"")</f>
        <v/>
      </c>
    </row>
    <row r="690">
      <c r="B690" s="14"/>
      <c r="C690" s="14"/>
      <c r="D690" s="14"/>
      <c r="E690" s="15"/>
      <c r="F690" s="14"/>
      <c r="G690" s="13" t="str">
        <f t="array" ref="G690">iferror(XLOOKUP(A690,'Download of SFDC Activation Rep'!B:B,'Download of SFDC Activation Rep'!H:H),"")</f>
        <v/>
      </c>
      <c r="H690" s="13" t="str">
        <f t="array" ref="H690">iferror(xlookup(A690,'Download of SFDC Activation Rep'!B:B,'Download of SFDC Activation Rep'!L:L),"")</f>
        <v/>
      </c>
      <c r="I690" s="17" t="str">
        <f t="shared" si="1"/>
        <v>Not Active</v>
      </c>
      <c r="J690" s="17" t="str">
        <f t="array" ref="J690">iferror(XLOOKUP(A690,'Download of SFDC Activation Rep'!B:B,'Download of SFDC Activation Rep'!X:X),"")</f>
        <v/>
      </c>
      <c r="K690" s="17" t="str">
        <f t="array" ref="K690">iferror(XLOOKUP(A690,'Download of SFDC Activation Rep'!B:B,'Download of SFDC Activation Rep'!C:C),"")</f>
        <v/>
      </c>
      <c r="L690" s="18" t="str">
        <f t="array" ref="L690">iferror(XLOOKUP(A690,'Download of SFDC Activation Rep'!B:B,'Download of SFDC Activation Rep'!S:S),"")</f>
        <v/>
      </c>
      <c r="M690" s="24" t="str">
        <f t="array" ref="M690">iferror(XLOOKUP(A690,'Download of SFDC Activation Rep'!B:B,'Download of SFDC Activation Rep'!Z:Z)+150,"")</f>
        <v/>
      </c>
      <c r="N690" s="24" t="str">
        <f t="array" ref="N690">iferror(XLOOKUP(A690,'Download of SFDC Activation Rep'!B:B,'Download of SFDC Activation Rep'!Y:Y),"")</f>
        <v/>
      </c>
    </row>
    <row r="691">
      <c r="B691" s="14"/>
      <c r="C691" s="14"/>
      <c r="D691" s="14"/>
      <c r="E691" s="15"/>
      <c r="F691" s="14"/>
      <c r="G691" s="13" t="str">
        <f t="array" ref="G691">iferror(XLOOKUP(A691,'Download of SFDC Activation Rep'!B:B,'Download of SFDC Activation Rep'!H:H),"")</f>
        <v/>
      </c>
      <c r="H691" s="13" t="str">
        <f t="array" ref="H691">iferror(xlookup(A691,'Download of SFDC Activation Rep'!B:B,'Download of SFDC Activation Rep'!L:L),"")</f>
        <v/>
      </c>
      <c r="I691" s="17" t="str">
        <f t="shared" si="1"/>
        <v>Not Active</v>
      </c>
      <c r="J691" s="17" t="str">
        <f t="array" ref="J691">iferror(XLOOKUP(A691,'Download of SFDC Activation Rep'!B:B,'Download of SFDC Activation Rep'!X:X),"")</f>
        <v/>
      </c>
      <c r="K691" s="17" t="str">
        <f t="array" ref="K691">iferror(XLOOKUP(A691,'Download of SFDC Activation Rep'!B:B,'Download of SFDC Activation Rep'!C:C),"")</f>
        <v/>
      </c>
      <c r="L691" s="18" t="str">
        <f t="array" ref="L691">iferror(XLOOKUP(A691,'Download of SFDC Activation Rep'!B:B,'Download of SFDC Activation Rep'!S:S),"")</f>
        <v/>
      </c>
      <c r="M691" s="24" t="str">
        <f t="array" ref="M691">iferror(XLOOKUP(A691,'Download of SFDC Activation Rep'!B:B,'Download of SFDC Activation Rep'!Z:Z)+150,"")</f>
        <v/>
      </c>
      <c r="N691" s="24" t="str">
        <f t="array" ref="N691">iferror(XLOOKUP(A691,'Download of SFDC Activation Rep'!B:B,'Download of SFDC Activation Rep'!Y:Y),"")</f>
        <v/>
      </c>
    </row>
    <row r="692">
      <c r="B692" s="14"/>
      <c r="C692" s="14"/>
      <c r="D692" s="14"/>
      <c r="E692" s="15"/>
      <c r="F692" s="14"/>
      <c r="G692" s="13" t="str">
        <f t="array" ref="G692">iferror(XLOOKUP(A692,'Download of SFDC Activation Rep'!B:B,'Download of SFDC Activation Rep'!H:H),"")</f>
        <v/>
      </c>
      <c r="H692" s="13" t="str">
        <f t="array" ref="H692">iferror(xlookup(A692,'Download of SFDC Activation Rep'!B:B,'Download of SFDC Activation Rep'!L:L),"")</f>
        <v/>
      </c>
      <c r="I692" s="17" t="str">
        <f t="shared" si="1"/>
        <v>Not Active</v>
      </c>
      <c r="J692" s="17" t="str">
        <f t="array" ref="J692">iferror(XLOOKUP(A692,'Download of SFDC Activation Rep'!B:B,'Download of SFDC Activation Rep'!X:X),"")</f>
        <v/>
      </c>
      <c r="K692" s="17" t="str">
        <f t="array" ref="K692">iferror(XLOOKUP(A692,'Download of SFDC Activation Rep'!B:B,'Download of SFDC Activation Rep'!C:C),"")</f>
        <v/>
      </c>
      <c r="L692" s="18" t="str">
        <f t="array" ref="L692">iferror(XLOOKUP(A692,'Download of SFDC Activation Rep'!B:B,'Download of SFDC Activation Rep'!S:S),"")</f>
        <v/>
      </c>
      <c r="M692" s="24" t="str">
        <f t="array" ref="M692">iferror(XLOOKUP(A692,'Download of SFDC Activation Rep'!B:B,'Download of SFDC Activation Rep'!Z:Z)+150,"")</f>
        <v/>
      </c>
      <c r="N692" s="24" t="str">
        <f t="array" ref="N692">iferror(XLOOKUP(A692,'Download of SFDC Activation Rep'!B:B,'Download of SFDC Activation Rep'!Y:Y),"")</f>
        <v/>
      </c>
    </row>
    <row r="693">
      <c r="B693" s="14"/>
      <c r="C693" s="14"/>
      <c r="D693" s="14"/>
      <c r="E693" s="15"/>
      <c r="F693" s="14"/>
      <c r="G693" s="13" t="str">
        <f t="array" ref="G693">iferror(XLOOKUP(A693,'Download of SFDC Activation Rep'!B:B,'Download of SFDC Activation Rep'!H:H),"")</f>
        <v/>
      </c>
      <c r="H693" s="13" t="str">
        <f t="array" ref="H693">iferror(xlookup(A693,'Download of SFDC Activation Rep'!B:B,'Download of SFDC Activation Rep'!L:L),"")</f>
        <v/>
      </c>
      <c r="I693" s="17" t="str">
        <f t="shared" si="1"/>
        <v>Not Active</v>
      </c>
      <c r="J693" s="17" t="str">
        <f t="array" ref="J693">iferror(XLOOKUP(A693,'Download of SFDC Activation Rep'!B:B,'Download of SFDC Activation Rep'!X:X),"")</f>
        <v/>
      </c>
      <c r="K693" s="17" t="str">
        <f t="array" ref="K693">iferror(XLOOKUP(A693,'Download of SFDC Activation Rep'!B:B,'Download of SFDC Activation Rep'!C:C),"")</f>
        <v/>
      </c>
      <c r="L693" s="18" t="str">
        <f t="array" ref="L693">iferror(XLOOKUP(A693,'Download of SFDC Activation Rep'!B:B,'Download of SFDC Activation Rep'!S:S),"")</f>
        <v/>
      </c>
      <c r="M693" s="24" t="str">
        <f t="array" ref="M693">iferror(XLOOKUP(A693,'Download of SFDC Activation Rep'!B:B,'Download of SFDC Activation Rep'!Z:Z)+150,"")</f>
        <v/>
      </c>
      <c r="N693" s="24" t="str">
        <f t="array" ref="N693">iferror(XLOOKUP(A693,'Download of SFDC Activation Rep'!B:B,'Download of SFDC Activation Rep'!Y:Y),"")</f>
        <v/>
      </c>
    </row>
    <row r="694">
      <c r="B694" s="14"/>
      <c r="C694" s="14"/>
      <c r="D694" s="14"/>
      <c r="E694" s="15"/>
      <c r="F694" s="14"/>
      <c r="G694" s="13" t="str">
        <f t="array" ref="G694">iferror(XLOOKUP(A694,'Download of SFDC Activation Rep'!B:B,'Download of SFDC Activation Rep'!H:H),"")</f>
        <v/>
      </c>
      <c r="H694" s="13" t="str">
        <f t="array" ref="H694">iferror(xlookup(A694,'Download of SFDC Activation Rep'!B:B,'Download of SFDC Activation Rep'!L:L),"")</f>
        <v/>
      </c>
      <c r="I694" s="17" t="str">
        <f t="shared" si="1"/>
        <v>Not Active</v>
      </c>
      <c r="J694" s="17" t="str">
        <f t="array" ref="J694">iferror(XLOOKUP(A694,'Download of SFDC Activation Rep'!B:B,'Download of SFDC Activation Rep'!X:X),"")</f>
        <v/>
      </c>
      <c r="K694" s="17" t="str">
        <f t="array" ref="K694">iferror(XLOOKUP(A694,'Download of SFDC Activation Rep'!B:B,'Download of SFDC Activation Rep'!C:C),"")</f>
        <v/>
      </c>
      <c r="L694" s="18" t="str">
        <f t="array" ref="L694">iferror(XLOOKUP(A694,'Download of SFDC Activation Rep'!B:B,'Download of SFDC Activation Rep'!S:S),"")</f>
        <v/>
      </c>
      <c r="M694" s="24" t="str">
        <f t="array" ref="M694">iferror(XLOOKUP(A694,'Download of SFDC Activation Rep'!B:B,'Download of SFDC Activation Rep'!Z:Z)+150,"")</f>
        <v/>
      </c>
      <c r="N694" s="24" t="str">
        <f t="array" ref="N694">iferror(XLOOKUP(A694,'Download of SFDC Activation Rep'!B:B,'Download of SFDC Activation Rep'!Y:Y),"")</f>
        <v/>
      </c>
    </row>
    <row r="695">
      <c r="B695" s="14"/>
      <c r="C695" s="14"/>
      <c r="D695" s="14"/>
      <c r="E695" s="15"/>
      <c r="F695" s="14"/>
      <c r="G695" s="13" t="str">
        <f t="array" ref="G695">iferror(XLOOKUP(A695,'Download of SFDC Activation Rep'!B:B,'Download of SFDC Activation Rep'!H:H),"")</f>
        <v/>
      </c>
      <c r="H695" s="13" t="str">
        <f t="array" ref="H695">iferror(xlookup(A695,'Download of SFDC Activation Rep'!B:B,'Download of SFDC Activation Rep'!L:L),"")</f>
        <v/>
      </c>
      <c r="I695" s="17" t="str">
        <f t="shared" si="1"/>
        <v>Not Active</v>
      </c>
      <c r="J695" s="17" t="str">
        <f t="array" ref="J695">iferror(XLOOKUP(A695,'Download of SFDC Activation Rep'!B:B,'Download of SFDC Activation Rep'!X:X),"")</f>
        <v/>
      </c>
      <c r="K695" s="17" t="str">
        <f t="array" ref="K695">iferror(XLOOKUP(A695,'Download of SFDC Activation Rep'!B:B,'Download of SFDC Activation Rep'!C:C),"")</f>
        <v/>
      </c>
      <c r="L695" s="18" t="str">
        <f t="array" ref="L695">iferror(XLOOKUP(A695,'Download of SFDC Activation Rep'!B:B,'Download of SFDC Activation Rep'!S:S),"")</f>
        <v/>
      </c>
      <c r="M695" s="24" t="str">
        <f t="array" ref="M695">iferror(XLOOKUP(A695,'Download of SFDC Activation Rep'!B:B,'Download of SFDC Activation Rep'!Z:Z)+150,"")</f>
        <v/>
      </c>
      <c r="N695" s="24" t="str">
        <f t="array" ref="N695">iferror(XLOOKUP(A695,'Download of SFDC Activation Rep'!B:B,'Download of SFDC Activation Rep'!Y:Y),"")</f>
        <v/>
      </c>
    </row>
    <row r="696">
      <c r="B696" s="14"/>
      <c r="C696" s="14"/>
      <c r="D696" s="14"/>
      <c r="E696" s="15"/>
      <c r="F696" s="14"/>
      <c r="G696" s="13" t="str">
        <f t="array" ref="G696">iferror(XLOOKUP(A696,'Download of SFDC Activation Rep'!B:B,'Download of SFDC Activation Rep'!H:H),"")</f>
        <v/>
      </c>
      <c r="H696" s="13" t="str">
        <f t="array" ref="H696">iferror(xlookup(A696,'Download of SFDC Activation Rep'!B:B,'Download of SFDC Activation Rep'!L:L),"")</f>
        <v/>
      </c>
      <c r="I696" s="17" t="str">
        <f t="shared" si="1"/>
        <v>Not Active</v>
      </c>
      <c r="J696" s="17" t="str">
        <f t="array" ref="J696">iferror(XLOOKUP(A696,'Download of SFDC Activation Rep'!B:B,'Download of SFDC Activation Rep'!X:X),"")</f>
        <v/>
      </c>
      <c r="K696" s="17" t="str">
        <f t="array" ref="K696">iferror(XLOOKUP(A696,'Download of SFDC Activation Rep'!B:B,'Download of SFDC Activation Rep'!C:C),"")</f>
        <v/>
      </c>
      <c r="L696" s="18" t="str">
        <f t="array" ref="L696">iferror(XLOOKUP(A696,'Download of SFDC Activation Rep'!B:B,'Download of SFDC Activation Rep'!S:S),"")</f>
        <v/>
      </c>
      <c r="M696" s="24" t="str">
        <f t="array" ref="M696">iferror(XLOOKUP(A696,'Download of SFDC Activation Rep'!B:B,'Download of SFDC Activation Rep'!Z:Z)+150,"")</f>
        <v/>
      </c>
      <c r="N696" s="24" t="str">
        <f t="array" ref="N696">iferror(XLOOKUP(A696,'Download of SFDC Activation Rep'!B:B,'Download of SFDC Activation Rep'!Y:Y),"")</f>
        <v/>
      </c>
    </row>
    <row r="697">
      <c r="B697" s="14"/>
      <c r="C697" s="14"/>
      <c r="D697" s="14"/>
      <c r="E697" s="15"/>
      <c r="F697" s="14"/>
      <c r="G697" s="13" t="str">
        <f t="array" ref="G697">iferror(XLOOKUP(A697,'Download of SFDC Activation Rep'!B:B,'Download of SFDC Activation Rep'!H:H),"")</f>
        <v/>
      </c>
      <c r="H697" s="13" t="str">
        <f t="array" ref="H697">iferror(xlookup(A697,'Download of SFDC Activation Rep'!B:B,'Download of SFDC Activation Rep'!L:L),"")</f>
        <v/>
      </c>
      <c r="I697" s="17" t="str">
        <f t="shared" si="1"/>
        <v>Not Active</v>
      </c>
      <c r="J697" s="17" t="str">
        <f t="array" ref="J697">iferror(XLOOKUP(A697,'Download of SFDC Activation Rep'!B:B,'Download of SFDC Activation Rep'!X:X),"")</f>
        <v/>
      </c>
      <c r="K697" s="17" t="str">
        <f t="array" ref="K697">iferror(XLOOKUP(A697,'Download of SFDC Activation Rep'!B:B,'Download of SFDC Activation Rep'!C:C),"")</f>
        <v/>
      </c>
      <c r="L697" s="18" t="str">
        <f t="array" ref="L697">iferror(XLOOKUP(A697,'Download of SFDC Activation Rep'!B:B,'Download of SFDC Activation Rep'!S:S),"")</f>
        <v/>
      </c>
      <c r="M697" s="24" t="str">
        <f t="array" ref="M697">iferror(XLOOKUP(A697,'Download of SFDC Activation Rep'!B:B,'Download of SFDC Activation Rep'!Z:Z)+150,"")</f>
        <v/>
      </c>
      <c r="N697" s="24" t="str">
        <f t="array" ref="N697">iferror(XLOOKUP(A697,'Download of SFDC Activation Rep'!B:B,'Download of SFDC Activation Rep'!Y:Y),"")</f>
        <v/>
      </c>
    </row>
    <row r="698">
      <c r="B698" s="14"/>
      <c r="C698" s="14"/>
      <c r="D698" s="14"/>
      <c r="E698" s="15"/>
      <c r="F698" s="14"/>
      <c r="G698" s="13" t="str">
        <f t="array" ref="G698">iferror(XLOOKUP(A698,'Download of SFDC Activation Rep'!B:B,'Download of SFDC Activation Rep'!H:H),"")</f>
        <v/>
      </c>
      <c r="H698" s="13" t="str">
        <f t="array" ref="H698">iferror(xlookup(A698,'Download of SFDC Activation Rep'!B:B,'Download of SFDC Activation Rep'!L:L),"")</f>
        <v/>
      </c>
      <c r="I698" s="17" t="str">
        <f t="shared" si="1"/>
        <v>Not Active</v>
      </c>
      <c r="J698" s="17" t="str">
        <f t="array" ref="J698">iferror(XLOOKUP(A698,'Download of SFDC Activation Rep'!B:B,'Download of SFDC Activation Rep'!X:X),"")</f>
        <v/>
      </c>
      <c r="K698" s="17" t="str">
        <f t="array" ref="K698">iferror(XLOOKUP(A698,'Download of SFDC Activation Rep'!B:B,'Download of SFDC Activation Rep'!C:C),"")</f>
        <v/>
      </c>
      <c r="L698" s="18" t="str">
        <f t="array" ref="L698">iferror(XLOOKUP(A698,'Download of SFDC Activation Rep'!B:B,'Download of SFDC Activation Rep'!S:S),"")</f>
        <v/>
      </c>
      <c r="M698" s="24" t="str">
        <f t="array" ref="M698">iferror(XLOOKUP(A698,'Download of SFDC Activation Rep'!B:B,'Download of SFDC Activation Rep'!Z:Z)+150,"")</f>
        <v/>
      </c>
      <c r="N698" s="24" t="str">
        <f t="array" ref="N698">iferror(XLOOKUP(A698,'Download of SFDC Activation Rep'!B:B,'Download of SFDC Activation Rep'!Y:Y),"")</f>
        <v/>
      </c>
    </row>
    <row r="699">
      <c r="B699" s="14"/>
      <c r="C699" s="14"/>
      <c r="D699" s="14"/>
      <c r="E699" s="15"/>
      <c r="F699" s="14"/>
      <c r="G699" s="13" t="str">
        <f t="array" ref="G699">iferror(XLOOKUP(A699,'Download of SFDC Activation Rep'!B:B,'Download of SFDC Activation Rep'!H:H),"")</f>
        <v/>
      </c>
      <c r="H699" s="13" t="str">
        <f t="array" ref="H699">iferror(xlookup(A699,'Download of SFDC Activation Rep'!B:B,'Download of SFDC Activation Rep'!L:L),"")</f>
        <v/>
      </c>
      <c r="I699" s="17" t="str">
        <f t="shared" si="1"/>
        <v>Not Active</v>
      </c>
      <c r="J699" s="17" t="str">
        <f t="array" ref="J699">iferror(XLOOKUP(A699,'Download of SFDC Activation Rep'!B:B,'Download of SFDC Activation Rep'!X:X),"")</f>
        <v/>
      </c>
      <c r="K699" s="17" t="str">
        <f t="array" ref="K699">iferror(XLOOKUP(A699,'Download of SFDC Activation Rep'!B:B,'Download of SFDC Activation Rep'!C:C),"")</f>
        <v/>
      </c>
      <c r="L699" s="18" t="str">
        <f t="array" ref="L699">iferror(XLOOKUP(A699,'Download of SFDC Activation Rep'!B:B,'Download of SFDC Activation Rep'!S:S),"")</f>
        <v/>
      </c>
      <c r="M699" s="24" t="str">
        <f t="array" ref="M699">iferror(XLOOKUP(A699,'Download of SFDC Activation Rep'!B:B,'Download of SFDC Activation Rep'!Z:Z)+150,"")</f>
        <v/>
      </c>
      <c r="N699" s="24" t="str">
        <f t="array" ref="N699">iferror(XLOOKUP(A699,'Download of SFDC Activation Rep'!B:B,'Download of SFDC Activation Rep'!Y:Y),"")</f>
        <v/>
      </c>
    </row>
    <row r="700">
      <c r="B700" s="14"/>
      <c r="C700" s="14"/>
      <c r="D700" s="14"/>
      <c r="E700" s="15"/>
      <c r="F700" s="14"/>
      <c r="G700" s="13" t="str">
        <f t="array" ref="G700">iferror(XLOOKUP(A700,'Download of SFDC Activation Rep'!B:B,'Download of SFDC Activation Rep'!H:H),"")</f>
        <v/>
      </c>
      <c r="H700" s="13" t="str">
        <f t="array" ref="H700">iferror(xlookup(A700,'Download of SFDC Activation Rep'!B:B,'Download of SFDC Activation Rep'!L:L),"")</f>
        <v/>
      </c>
      <c r="I700" s="17" t="str">
        <f t="shared" si="1"/>
        <v>Not Active</v>
      </c>
      <c r="J700" s="17" t="str">
        <f t="array" ref="J700">iferror(XLOOKUP(A700,'Download of SFDC Activation Rep'!B:B,'Download of SFDC Activation Rep'!X:X),"")</f>
        <v/>
      </c>
      <c r="K700" s="17" t="str">
        <f t="array" ref="K700">iferror(XLOOKUP(A700,'Download of SFDC Activation Rep'!B:B,'Download of SFDC Activation Rep'!C:C),"")</f>
        <v/>
      </c>
      <c r="L700" s="18" t="str">
        <f t="array" ref="L700">iferror(XLOOKUP(A700,'Download of SFDC Activation Rep'!B:B,'Download of SFDC Activation Rep'!S:S),"")</f>
        <v/>
      </c>
      <c r="M700" s="24" t="str">
        <f t="array" ref="M700">iferror(XLOOKUP(A700,'Download of SFDC Activation Rep'!B:B,'Download of SFDC Activation Rep'!Z:Z)+150,"")</f>
        <v/>
      </c>
      <c r="N700" s="24" t="str">
        <f t="array" ref="N700">iferror(XLOOKUP(A700,'Download of SFDC Activation Rep'!B:B,'Download of SFDC Activation Rep'!Y:Y),"")</f>
        <v/>
      </c>
    </row>
    <row r="701">
      <c r="B701" s="14"/>
      <c r="C701" s="14"/>
      <c r="D701" s="14"/>
      <c r="E701" s="15"/>
      <c r="F701" s="14"/>
      <c r="G701" s="13" t="str">
        <f t="array" ref="G701">iferror(XLOOKUP(A701,'Download of SFDC Activation Rep'!B:B,'Download of SFDC Activation Rep'!H:H),"")</f>
        <v/>
      </c>
      <c r="H701" s="13" t="str">
        <f t="array" ref="H701">iferror(xlookup(A701,'Download of SFDC Activation Rep'!B:B,'Download of SFDC Activation Rep'!L:L),"")</f>
        <v/>
      </c>
      <c r="I701" s="17" t="str">
        <f t="shared" si="1"/>
        <v>Not Active</v>
      </c>
      <c r="J701" s="17" t="str">
        <f t="array" ref="J701">iferror(XLOOKUP(A701,'Download of SFDC Activation Rep'!B:B,'Download of SFDC Activation Rep'!X:X),"")</f>
        <v/>
      </c>
      <c r="K701" s="17" t="str">
        <f t="array" ref="K701">iferror(XLOOKUP(A701,'Download of SFDC Activation Rep'!B:B,'Download of SFDC Activation Rep'!C:C),"")</f>
        <v/>
      </c>
      <c r="L701" s="18" t="str">
        <f t="array" ref="L701">iferror(XLOOKUP(A701,'Download of SFDC Activation Rep'!B:B,'Download of SFDC Activation Rep'!S:S),"")</f>
        <v/>
      </c>
      <c r="M701" s="24" t="str">
        <f t="array" ref="M701">iferror(XLOOKUP(A701,'Download of SFDC Activation Rep'!B:B,'Download of SFDC Activation Rep'!Z:Z)+150,"")</f>
        <v/>
      </c>
      <c r="N701" s="24" t="str">
        <f t="array" ref="N701">iferror(XLOOKUP(A701,'Download of SFDC Activation Rep'!B:B,'Download of SFDC Activation Rep'!Y:Y),"")</f>
        <v/>
      </c>
    </row>
    <row r="702">
      <c r="B702" s="14"/>
      <c r="C702" s="14"/>
      <c r="D702" s="14"/>
      <c r="E702" s="15"/>
      <c r="F702" s="14"/>
      <c r="G702" s="13" t="str">
        <f t="array" ref="G702">iferror(XLOOKUP(A702,'Download of SFDC Activation Rep'!B:B,'Download of SFDC Activation Rep'!H:H),"")</f>
        <v/>
      </c>
      <c r="H702" s="13" t="str">
        <f t="array" ref="H702">iferror(xlookup(A702,'Download of SFDC Activation Rep'!B:B,'Download of SFDC Activation Rep'!L:L),"")</f>
        <v/>
      </c>
      <c r="I702" s="17" t="str">
        <f t="shared" si="1"/>
        <v>Not Active</v>
      </c>
      <c r="J702" s="17" t="str">
        <f t="array" ref="J702">iferror(XLOOKUP(A702,'Download of SFDC Activation Rep'!B:B,'Download of SFDC Activation Rep'!X:X),"")</f>
        <v/>
      </c>
      <c r="K702" s="17" t="str">
        <f t="array" ref="K702">iferror(XLOOKUP(A702,'Download of SFDC Activation Rep'!B:B,'Download of SFDC Activation Rep'!C:C),"")</f>
        <v/>
      </c>
      <c r="L702" s="18" t="str">
        <f t="array" ref="L702">iferror(XLOOKUP(A702,'Download of SFDC Activation Rep'!B:B,'Download of SFDC Activation Rep'!S:S),"")</f>
        <v/>
      </c>
      <c r="M702" s="24" t="str">
        <f t="array" ref="M702">iferror(XLOOKUP(A702,'Download of SFDC Activation Rep'!B:B,'Download of SFDC Activation Rep'!Z:Z)+150,"")</f>
        <v/>
      </c>
      <c r="N702" s="24" t="str">
        <f t="array" ref="N702">iferror(XLOOKUP(A702,'Download of SFDC Activation Rep'!B:B,'Download of SFDC Activation Rep'!Y:Y),"")</f>
        <v/>
      </c>
    </row>
    <row r="703">
      <c r="B703" s="14"/>
      <c r="C703" s="14"/>
      <c r="D703" s="14"/>
      <c r="E703" s="15"/>
      <c r="F703" s="14"/>
      <c r="G703" s="13" t="str">
        <f t="array" ref="G703">iferror(XLOOKUP(A703,'Download of SFDC Activation Rep'!B:B,'Download of SFDC Activation Rep'!H:H),"")</f>
        <v/>
      </c>
      <c r="H703" s="13" t="str">
        <f t="array" ref="H703">iferror(xlookup(A703,'Download of SFDC Activation Rep'!B:B,'Download of SFDC Activation Rep'!L:L),"")</f>
        <v/>
      </c>
      <c r="I703" s="17" t="str">
        <f t="shared" si="1"/>
        <v>Not Active</v>
      </c>
      <c r="J703" s="17" t="str">
        <f t="array" ref="J703">iferror(XLOOKUP(A703,'Download of SFDC Activation Rep'!B:B,'Download of SFDC Activation Rep'!X:X),"")</f>
        <v/>
      </c>
      <c r="K703" s="17" t="str">
        <f t="array" ref="K703">iferror(XLOOKUP(A703,'Download of SFDC Activation Rep'!B:B,'Download of SFDC Activation Rep'!C:C),"")</f>
        <v/>
      </c>
      <c r="L703" s="18" t="str">
        <f t="array" ref="L703">iferror(XLOOKUP(A703,'Download of SFDC Activation Rep'!B:B,'Download of SFDC Activation Rep'!S:S),"")</f>
        <v/>
      </c>
      <c r="M703" s="24" t="str">
        <f t="array" ref="M703">iferror(XLOOKUP(A703,'Download of SFDC Activation Rep'!B:B,'Download of SFDC Activation Rep'!Z:Z)+150,"")</f>
        <v/>
      </c>
      <c r="N703" s="24" t="str">
        <f t="array" ref="N703">iferror(XLOOKUP(A703,'Download of SFDC Activation Rep'!B:B,'Download of SFDC Activation Rep'!Y:Y),"")</f>
        <v/>
      </c>
    </row>
    <row r="704">
      <c r="B704" s="14"/>
      <c r="C704" s="14"/>
      <c r="D704" s="14"/>
      <c r="E704" s="15"/>
      <c r="F704" s="14"/>
      <c r="G704" s="13" t="str">
        <f t="array" ref="G704">iferror(XLOOKUP(A704,'Download of SFDC Activation Rep'!B:B,'Download of SFDC Activation Rep'!H:H),"")</f>
        <v/>
      </c>
      <c r="H704" s="13" t="str">
        <f t="array" ref="H704">iferror(xlookup(A704,'Download of SFDC Activation Rep'!B:B,'Download of SFDC Activation Rep'!L:L),"")</f>
        <v/>
      </c>
      <c r="I704" s="17" t="str">
        <f t="shared" si="1"/>
        <v>Not Active</v>
      </c>
      <c r="J704" s="17" t="str">
        <f t="array" ref="J704">iferror(XLOOKUP(A704,'Download of SFDC Activation Rep'!B:B,'Download of SFDC Activation Rep'!X:X),"")</f>
        <v/>
      </c>
      <c r="K704" s="17" t="str">
        <f t="array" ref="K704">iferror(XLOOKUP(A704,'Download of SFDC Activation Rep'!B:B,'Download of SFDC Activation Rep'!C:C),"")</f>
        <v/>
      </c>
      <c r="L704" s="18" t="str">
        <f t="array" ref="L704">iferror(XLOOKUP(A704,'Download of SFDC Activation Rep'!B:B,'Download of SFDC Activation Rep'!S:S),"")</f>
        <v/>
      </c>
      <c r="M704" s="24" t="str">
        <f t="array" ref="M704">iferror(XLOOKUP(A704,'Download of SFDC Activation Rep'!B:B,'Download of SFDC Activation Rep'!Z:Z)+150,"")</f>
        <v/>
      </c>
      <c r="N704" s="24" t="str">
        <f t="array" ref="N704">iferror(XLOOKUP(A704,'Download of SFDC Activation Rep'!B:B,'Download of SFDC Activation Rep'!Y:Y),"")</f>
        <v/>
      </c>
    </row>
    <row r="705">
      <c r="B705" s="14"/>
      <c r="C705" s="14"/>
      <c r="D705" s="14"/>
      <c r="E705" s="15"/>
      <c r="F705" s="14"/>
      <c r="G705" s="13" t="str">
        <f t="array" ref="G705">iferror(XLOOKUP(A705,'Download of SFDC Activation Rep'!B:B,'Download of SFDC Activation Rep'!H:H),"")</f>
        <v/>
      </c>
      <c r="H705" s="13" t="str">
        <f t="array" ref="H705">iferror(xlookup(A705,'Download of SFDC Activation Rep'!B:B,'Download of SFDC Activation Rep'!L:L),"")</f>
        <v/>
      </c>
      <c r="I705" s="17" t="str">
        <f t="shared" si="1"/>
        <v>Not Active</v>
      </c>
      <c r="J705" s="17" t="str">
        <f t="array" ref="J705">iferror(XLOOKUP(A705,'Download of SFDC Activation Rep'!B:B,'Download of SFDC Activation Rep'!X:X),"")</f>
        <v/>
      </c>
      <c r="K705" s="17" t="str">
        <f t="array" ref="K705">iferror(XLOOKUP(A705,'Download of SFDC Activation Rep'!B:B,'Download of SFDC Activation Rep'!C:C),"")</f>
        <v/>
      </c>
      <c r="L705" s="18" t="str">
        <f t="array" ref="L705">iferror(XLOOKUP(A705,'Download of SFDC Activation Rep'!B:B,'Download of SFDC Activation Rep'!S:S),"")</f>
        <v/>
      </c>
      <c r="M705" s="24" t="str">
        <f t="array" ref="M705">iferror(XLOOKUP(A705,'Download of SFDC Activation Rep'!B:B,'Download of SFDC Activation Rep'!Z:Z)+150,"")</f>
        <v/>
      </c>
      <c r="N705" s="24" t="str">
        <f t="array" ref="N705">iferror(XLOOKUP(A705,'Download of SFDC Activation Rep'!B:B,'Download of SFDC Activation Rep'!Y:Y),"")</f>
        <v/>
      </c>
    </row>
    <row r="706">
      <c r="B706" s="14"/>
      <c r="C706" s="14"/>
      <c r="D706" s="14"/>
      <c r="E706" s="15"/>
      <c r="F706" s="14"/>
      <c r="G706" s="13" t="str">
        <f t="array" ref="G706">iferror(XLOOKUP(A706,'Download of SFDC Activation Rep'!B:B,'Download of SFDC Activation Rep'!H:H),"")</f>
        <v/>
      </c>
      <c r="H706" s="13" t="str">
        <f t="array" ref="H706">iferror(xlookup(A706,'Download of SFDC Activation Rep'!B:B,'Download of SFDC Activation Rep'!L:L),"")</f>
        <v/>
      </c>
      <c r="I706" s="17" t="str">
        <f t="shared" si="1"/>
        <v>Not Active</v>
      </c>
      <c r="J706" s="17" t="str">
        <f t="array" ref="J706">iferror(XLOOKUP(A706,'Download of SFDC Activation Rep'!B:B,'Download of SFDC Activation Rep'!X:X),"")</f>
        <v/>
      </c>
      <c r="K706" s="17" t="str">
        <f t="array" ref="K706">iferror(XLOOKUP(A706,'Download of SFDC Activation Rep'!B:B,'Download of SFDC Activation Rep'!C:C),"")</f>
        <v/>
      </c>
      <c r="L706" s="18" t="str">
        <f t="array" ref="L706">iferror(XLOOKUP(A706,'Download of SFDC Activation Rep'!B:B,'Download of SFDC Activation Rep'!S:S),"")</f>
        <v/>
      </c>
      <c r="M706" s="24" t="str">
        <f t="array" ref="M706">iferror(XLOOKUP(A706,'Download of SFDC Activation Rep'!B:B,'Download of SFDC Activation Rep'!Z:Z)+150,"")</f>
        <v/>
      </c>
      <c r="N706" s="24" t="str">
        <f t="array" ref="N706">iferror(XLOOKUP(A706,'Download of SFDC Activation Rep'!B:B,'Download of SFDC Activation Rep'!Y:Y),"")</f>
        <v/>
      </c>
    </row>
    <row r="707">
      <c r="B707" s="14"/>
      <c r="C707" s="14"/>
      <c r="D707" s="14"/>
      <c r="E707" s="15"/>
      <c r="F707" s="14"/>
      <c r="G707" s="13" t="str">
        <f t="array" ref="G707">iferror(XLOOKUP(A707,'Download of SFDC Activation Rep'!B:B,'Download of SFDC Activation Rep'!H:H),"")</f>
        <v/>
      </c>
      <c r="H707" s="13" t="str">
        <f t="array" ref="H707">iferror(xlookup(A707,'Download of SFDC Activation Rep'!B:B,'Download of SFDC Activation Rep'!L:L),"")</f>
        <v/>
      </c>
      <c r="I707" s="17" t="str">
        <f t="shared" si="1"/>
        <v>Not Active</v>
      </c>
      <c r="J707" s="17" t="str">
        <f t="array" ref="J707">iferror(XLOOKUP(A707,'Download of SFDC Activation Rep'!B:B,'Download of SFDC Activation Rep'!X:X),"")</f>
        <v/>
      </c>
      <c r="K707" s="17" t="str">
        <f t="array" ref="K707">iferror(XLOOKUP(A707,'Download of SFDC Activation Rep'!B:B,'Download of SFDC Activation Rep'!C:C),"")</f>
        <v/>
      </c>
      <c r="L707" s="18" t="str">
        <f t="array" ref="L707">iferror(XLOOKUP(A707,'Download of SFDC Activation Rep'!B:B,'Download of SFDC Activation Rep'!S:S),"")</f>
        <v/>
      </c>
      <c r="M707" s="24" t="str">
        <f t="array" ref="M707">iferror(XLOOKUP(A707,'Download of SFDC Activation Rep'!B:B,'Download of SFDC Activation Rep'!Z:Z)+150,"")</f>
        <v/>
      </c>
      <c r="N707" s="24" t="str">
        <f t="array" ref="N707">iferror(XLOOKUP(A707,'Download of SFDC Activation Rep'!B:B,'Download of SFDC Activation Rep'!Y:Y),"")</f>
        <v/>
      </c>
    </row>
    <row r="708">
      <c r="B708" s="14"/>
      <c r="C708" s="14"/>
      <c r="D708" s="14"/>
      <c r="E708" s="15"/>
      <c r="F708" s="14"/>
      <c r="G708" s="13" t="str">
        <f t="array" ref="G708">iferror(XLOOKUP(A708,'Download of SFDC Activation Rep'!B:B,'Download of SFDC Activation Rep'!H:H),"")</f>
        <v/>
      </c>
      <c r="H708" s="13" t="str">
        <f t="array" ref="H708">iferror(xlookup(A708,'Download of SFDC Activation Rep'!B:B,'Download of SFDC Activation Rep'!L:L),"")</f>
        <v/>
      </c>
      <c r="I708" s="17" t="str">
        <f t="shared" si="1"/>
        <v>Not Active</v>
      </c>
      <c r="J708" s="17" t="str">
        <f t="array" ref="J708">iferror(XLOOKUP(A708,'Download of SFDC Activation Rep'!B:B,'Download of SFDC Activation Rep'!X:X),"")</f>
        <v/>
      </c>
      <c r="K708" s="17" t="str">
        <f t="array" ref="K708">iferror(XLOOKUP(A708,'Download of SFDC Activation Rep'!B:B,'Download of SFDC Activation Rep'!C:C),"")</f>
        <v/>
      </c>
      <c r="L708" s="18" t="str">
        <f t="array" ref="L708">iferror(XLOOKUP(A708,'Download of SFDC Activation Rep'!B:B,'Download of SFDC Activation Rep'!S:S),"")</f>
        <v/>
      </c>
      <c r="M708" s="24" t="str">
        <f t="array" ref="M708">iferror(XLOOKUP(A708,'Download of SFDC Activation Rep'!B:B,'Download of SFDC Activation Rep'!Z:Z)+150,"")</f>
        <v/>
      </c>
      <c r="N708" s="24" t="str">
        <f t="array" ref="N708">iferror(XLOOKUP(A708,'Download of SFDC Activation Rep'!B:B,'Download of SFDC Activation Rep'!Y:Y),"")</f>
        <v/>
      </c>
    </row>
    <row r="709">
      <c r="B709" s="14"/>
      <c r="C709" s="14"/>
      <c r="D709" s="14"/>
      <c r="E709" s="15"/>
      <c r="F709" s="14"/>
      <c r="G709" s="13" t="str">
        <f t="array" ref="G709">iferror(XLOOKUP(A709,'Download of SFDC Activation Rep'!B:B,'Download of SFDC Activation Rep'!H:H),"")</f>
        <v/>
      </c>
      <c r="H709" s="13" t="str">
        <f t="array" ref="H709">iferror(xlookup(A709,'Download of SFDC Activation Rep'!B:B,'Download of SFDC Activation Rep'!L:L),"")</f>
        <v/>
      </c>
      <c r="I709" s="17" t="str">
        <f t="shared" si="1"/>
        <v>Not Active</v>
      </c>
      <c r="J709" s="17" t="str">
        <f t="array" ref="J709">iferror(XLOOKUP(A709,'Download of SFDC Activation Rep'!B:B,'Download of SFDC Activation Rep'!X:X),"")</f>
        <v/>
      </c>
      <c r="K709" s="17" t="str">
        <f t="array" ref="K709">iferror(XLOOKUP(A709,'Download of SFDC Activation Rep'!B:B,'Download of SFDC Activation Rep'!C:C),"")</f>
        <v/>
      </c>
      <c r="L709" s="18" t="str">
        <f t="array" ref="L709">iferror(XLOOKUP(A709,'Download of SFDC Activation Rep'!B:B,'Download of SFDC Activation Rep'!S:S),"")</f>
        <v/>
      </c>
      <c r="M709" s="24" t="str">
        <f t="array" ref="M709">iferror(XLOOKUP(A709,'Download of SFDC Activation Rep'!B:B,'Download of SFDC Activation Rep'!Z:Z)+150,"")</f>
        <v/>
      </c>
      <c r="N709" s="24" t="str">
        <f t="array" ref="N709">iferror(XLOOKUP(A709,'Download of SFDC Activation Rep'!B:B,'Download of SFDC Activation Rep'!Y:Y),"")</f>
        <v/>
      </c>
    </row>
    <row r="710">
      <c r="B710" s="14"/>
      <c r="C710" s="14"/>
      <c r="D710" s="14"/>
      <c r="E710" s="15"/>
      <c r="F710" s="14"/>
      <c r="G710" s="13" t="str">
        <f t="array" ref="G710">iferror(XLOOKUP(A710,'Download of SFDC Activation Rep'!B:B,'Download of SFDC Activation Rep'!H:H),"")</f>
        <v/>
      </c>
      <c r="H710" s="13" t="str">
        <f t="array" ref="H710">iferror(xlookup(A710,'Download of SFDC Activation Rep'!B:B,'Download of SFDC Activation Rep'!L:L),"")</f>
        <v/>
      </c>
      <c r="I710" s="17" t="str">
        <f t="shared" si="1"/>
        <v>Not Active</v>
      </c>
      <c r="J710" s="17" t="str">
        <f t="array" ref="J710">iferror(XLOOKUP(A710,'Download of SFDC Activation Rep'!B:B,'Download of SFDC Activation Rep'!X:X),"")</f>
        <v/>
      </c>
      <c r="K710" s="17" t="str">
        <f t="array" ref="K710">iferror(XLOOKUP(A710,'Download of SFDC Activation Rep'!B:B,'Download of SFDC Activation Rep'!C:C),"")</f>
        <v/>
      </c>
      <c r="L710" s="18" t="str">
        <f t="array" ref="L710">iferror(XLOOKUP(A710,'Download of SFDC Activation Rep'!B:B,'Download of SFDC Activation Rep'!S:S),"")</f>
        <v/>
      </c>
      <c r="M710" s="24" t="str">
        <f t="array" ref="M710">iferror(XLOOKUP(A710,'Download of SFDC Activation Rep'!B:B,'Download of SFDC Activation Rep'!Z:Z)+150,"")</f>
        <v/>
      </c>
      <c r="N710" s="24" t="str">
        <f t="array" ref="N710">iferror(XLOOKUP(A710,'Download of SFDC Activation Rep'!B:B,'Download of SFDC Activation Rep'!Y:Y),"")</f>
        <v/>
      </c>
    </row>
    <row r="711">
      <c r="B711" s="14"/>
      <c r="C711" s="14"/>
      <c r="D711" s="14"/>
      <c r="E711" s="15"/>
      <c r="F711" s="14"/>
      <c r="G711" s="13" t="str">
        <f t="array" ref="G711">iferror(XLOOKUP(A711,'Download of SFDC Activation Rep'!B:B,'Download of SFDC Activation Rep'!H:H),"")</f>
        <v/>
      </c>
      <c r="H711" s="13" t="str">
        <f t="array" ref="H711">iferror(xlookup(A711,'Download of SFDC Activation Rep'!B:B,'Download of SFDC Activation Rep'!L:L),"")</f>
        <v/>
      </c>
      <c r="I711" s="17" t="str">
        <f t="shared" si="1"/>
        <v>Not Active</v>
      </c>
      <c r="J711" s="17" t="str">
        <f t="array" ref="J711">iferror(XLOOKUP(A711,'Download of SFDC Activation Rep'!B:B,'Download of SFDC Activation Rep'!X:X),"")</f>
        <v/>
      </c>
      <c r="K711" s="17" t="str">
        <f t="array" ref="K711">iferror(XLOOKUP(A711,'Download of SFDC Activation Rep'!B:B,'Download of SFDC Activation Rep'!C:C),"")</f>
        <v/>
      </c>
      <c r="L711" s="18" t="str">
        <f t="array" ref="L711">iferror(XLOOKUP(A711,'Download of SFDC Activation Rep'!B:B,'Download of SFDC Activation Rep'!S:S),"")</f>
        <v/>
      </c>
      <c r="M711" s="24" t="str">
        <f t="array" ref="M711">iferror(XLOOKUP(A711,'Download of SFDC Activation Rep'!B:B,'Download of SFDC Activation Rep'!Z:Z)+150,"")</f>
        <v/>
      </c>
      <c r="N711" s="24" t="str">
        <f t="array" ref="N711">iferror(XLOOKUP(A711,'Download of SFDC Activation Rep'!B:B,'Download of SFDC Activation Rep'!Y:Y),"")</f>
        <v/>
      </c>
    </row>
    <row r="712">
      <c r="B712" s="14"/>
      <c r="C712" s="14"/>
      <c r="D712" s="14"/>
      <c r="E712" s="15"/>
      <c r="F712" s="14"/>
      <c r="G712" s="13" t="str">
        <f t="array" ref="G712">iferror(XLOOKUP(A712,'Download of SFDC Activation Rep'!B:B,'Download of SFDC Activation Rep'!H:H),"")</f>
        <v/>
      </c>
      <c r="H712" s="13" t="str">
        <f t="array" ref="H712">iferror(xlookup(A712,'Download of SFDC Activation Rep'!B:B,'Download of SFDC Activation Rep'!L:L),"")</f>
        <v/>
      </c>
      <c r="I712" s="17" t="str">
        <f t="shared" si="1"/>
        <v>Not Active</v>
      </c>
      <c r="J712" s="17" t="str">
        <f t="array" ref="J712">iferror(XLOOKUP(A712,'Download of SFDC Activation Rep'!B:B,'Download of SFDC Activation Rep'!X:X),"")</f>
        <v/>
      </c>
      <c r="K712" s="17" t="str">
        <f t="array" ref="K712">iferror(XLOOKUP(A712,'Download of SFDC Activation Rep'!B:B,'Download of SFDC Activation Rep'!C:C),"")</f>
        <v/>
      </c>
      <c r="L712" s="18" t="str">
        <f t="array" ref="L712">iferror(XLOOKUP(A712,'Download of SFDC Activation Rep'!B:B,'Download of SFDC Activation Rep'!S:S),"")</f>
        <v/>
      </c>
      <c r="M712" s="24" t="str">
        <f t="array" ref="M712">iferror(XLOOKUP(A712,'Download of SFDC Activation Rep'!B:B,'Download of SFDC Activation Rep'!Z:Z)+150,"")</f>
        <v/>
      </c>
      <c r="N712" s="24" t="str">
        <f t="array" ref="N712">iferror(XLOOKUP(A712,'Download of SFDC Activation Rep'!B:B,'Download of SFDC Activation Rep'!Y:Y),"")</f>
        <v/>
      </c>
    </row>
    <row r="713">
      <c r="B713" s="14"/>
      <c r="C713" s="14"/>
      <c r="D713" s="14"/>
      <c r="E713" s="15"/>
      <c r="F713" s="14"/>
      <c r="G713" s="13" t="str">
        <f t="array" ref="G713">iferror(XLOOKUP(A713,'Download of SFDC Activation Rep'!B:B,'Download of SFDC Activation Rep'!H:H),"")</f>
        <v/>
      </c>
      <c r="H713" s="13" t="str">
        <f t="array" ref="H713">iferror(xlookup(A713,'Download of SFDC Activation Rep'!B:B,'Download of SFDC Activation Rep'!L:L),"")</f>
        <v/>
      </c>
      <c r="I713" s="17" t="str">
        <f t="shared" si="1"/>
        <v>Not Active</v>
      </c>
      <c r="J713" s="17" t="str">
        <f t="array" ref="J713">iferror(XLOOKUP(A713,'Download of SFDC Activation Rep'!B:B,'Download of SFDC Activation Rep'!X:X),"")</f>
        <v/>
      </c>
      <c r="K713" s="17" t="str">
        <f t="array" ref="K713">iferror(XLOOKUP(A713,'Download of SFDC Activation Rep'!B:B,'Download of SFDC Activation Rep'!C:C),"")</f>
        <v/>
      </c>
      <c r="L713" s="18" t="str">
        <f t="array" ref="L713">iferror(XLOOKUP(A713,'Download of SFDC Activation Rep'!B:B,'Download of SFDC Activation Rep'!S:S),"")</f>
        <v/>
      </c>
      <c r="M713" s="24" t="str">
        <f t="array" ref="M713">iferror(XLOOKUP(A713,'Download of SFDC Activation Rep'!B:B,'Download of SFDC Activation Rep'!Z:Z)+150,"")</f>
        <v/>
      </c>
      <c r="N713" s="24" t="str">
        <f t="array" ref="N713">iferror(XLOOKUP(A713,'Download of SFDC Activation Rep'!B:B,'Download of SFDC Activation Rep'!Y:Y),"")</f>
        <v/>
      </c>
    </row>
    <row r="714">
      <c r="B714" s="14"/>
      <c r="C714" s="14"/>
      <c r="D714" s="14"/>
      <c r="E714" s="15"/>
      <c r="F714" s="14"/>
      <c r="G714" s="13" t="str">
        <f t="array" ref="G714">iferror(XLOOKUP(A714,'Download of SFDC Activation Rep'!B:B,'Download of SFDC Activation Rep'!H:H),"")</f>
        <v/>
      </c>
      <c r="H714" s="13" t="str">
        <f t="array" ref="H714">iferror(xlookup(A714,'Download of SFDC Activation Rep'!B:B,'Download of SFDC Activation Rep'!L:L),"")</f>
        <v/>
      </c>
      <c r="I714" s="17" t="str">
        <f t="shared" si="1"/>
        <v>Not Active</v>
      </c>
      <c r="J714" s="17" t="str">
        <f t="array" ref="J714">iferror(XLOOKUP(A714,'Download of SFDC Activation Rep'!B:B,'Download of SFDC Activation Rep'!X:X),"")</f>
        <v/>
      </c>
      <c r="K714" s="17" t="str">
        <f t="array" ref="K714">iferror(XLOOKUP(A714,'Download of SFDC Activation Rep'!B:B,'Download of SFDC Activation Rep'!C:C),"")</f>
        <v/>
      </c>
      <c r="L714" s="18" t="str">
        <f t="array" ref="L714">iferror(XLOOKUP(A714,'Download of SFDC Activation Rep'!B:B,'Download of SFDC Activation Rep'!S:S),"")</f>
        <v/>
      </c>
      <c r="M714" s="24" t="str">
        <f t="array" ref="M714">iferror(XLOOKUP(A714,'Download of SFDC Activation Rep'!B:B,'Download of SFDC Activation Rep'!Z:Z)+150,"")</f>
        <v/>
      </c>
      <c r="N714" s="24" t="str">
        <f t="array" ref="N714">iferror(XLOOKUP(A714,'Download of SFDC Activation Rep'!B:B,'Download of SFDC Activation Rep'!Y:Y),"")</f>
        <v/>
      </c>
    </row>
    <row r="715">
      <c r="B715" s="14"/>
      <c r="C715" s="14"/>
      <c r="D715" s="14"/>
      <c r="E715" s="15"/>
      <c r="F715" s="14"/>
      <c r="G715" s="13" t="str">
        <f t="array" ref="G715">iferror(XLOOKUP(A715,'Download of SFDC Activation Rep'!B:B,'Download of SFDC Activation Rep'!H:H),"")</f>
        <v/>
      </c>
      <c r="H715" s="13" t="str">
        <f t="array" ref="H715">iferror(xlookup(A715,'Download of SFDC Activation Rep'!B:B,'Download of SFDC Activation Rep'!L:L),"")</f>
        <v/>
      </c>
      <c r="I715" s="17" t="str">
        <f t="shared" si="1"/>
        <v>Not Active</v>
      </c>
      <c r="J715" s="17" t="str">
        <f t="array" ref="J715">iferror(XLOOKUP(A715,'Download of SFDC Activation Rep'!B:B,'Download of SFDC Activation Rep'!X:X),"")</f>
        <v/>
      </c>
      <c r="K715" s="17" t="str">
        <f t="array" ref="K715">iferror(XLOOKUP(A715,'Download of SFDC Activation Rep'!B:B,'Download of SFDC Activation Rep'!C:C),"")</f>
        <v/>
      </c>
      <c r="L715" s="18" t="str">
        <f t="array" ref="L715">iferror(XLOOKUP(A715,'Download of SFDC Activation Rep'!B:B,'Download of SFDC Activation Rep'!S:S),"")</f>
        <v/>
      </c>
      <c r="M715" s="24" t="str">
        <f t="array" ref="M715">iferror(XLOOKUP(A715,'Download of SFDC Activation Rep'!B:B,'Download of SFDC Activation Rep'!Z:Z)+150,"")</f>
        <v/>
      </c>
      <c r="N715" s="24" t="str">
        <f t="array" ref="N715">iferror(XLOOKUP(A715,'Download of SFDC Activation Rep'!B:B,'Download of SFDC Activation Rep'!Y:Y),"")</f>
        <v/>
      </c>
    </row>
    <row r="716">
      <c r="B716" s="14"/>
      <c r="C716" s="14"/>
      <c r="D716" s="14"/>
      <c r="E716" s="15"/>
      <c r="F716" s="14"/>
      <c r="G716" s="13" t="str">
        <f t="array" ref="G716">iferror(XLOOKUP(A716,'Download of SFDC Activation Rep'!B:B,'Download of SFDC Activation Rep'!H:H),"")</f>
        <v/>
      </c>
      <c r="H716" s="13" t="str">
        <f t="array" ref="H716">iferror(xlookup(A716,'Download of SFDC Activation Rep'!B:B,'Download of SFDC Activation Rep'!L:L),"")</f>
        <v/>
      </c>
      <c r="I716" s="17" t="str">
        <f t="shared" si="1"/>
        <v>Not Active</v>
      </c>
      <c r="J716" s="17" t="str">
        <f t="array" ref="J716">iferror(XLOOKUP(A716,'Download of SFDC Activation Rep'!B:B,'Download of SFDC Activation Rep'!X:X),"")</f>
        <v/>
      </c>
      <c r="K716" s="17" t="str">
        <f t="array" ref="K716">iferror(XLOOKUP(A716,'Download of SFDC Activation Rep'!B:B,'Download of SFDC Activation Rep'!C:C),"")</f>
        <v/>
      </c>
      <c r="L716" s="18" t="str">
        <f t="array" ref="L716">iferror(XLOOKUP(A716,'Download of SFDC Activation Rep'!B:B,'Download of SFDC Activation Rep'!S:S),"")</f>
        <v/>
      </c>
      <c r="M716" s="24" t="str">
        <f t="array" ref="M716">iferror(XLOOKUP(A716,'Download of SFDC Activation Rep'!B:B,'Download of SFDC Activation Rep'!Z:Z)+150,"")</f>
        <v/>
      </c>
      <c r="N716" s="24" t="str">
        <f t="array" ref="N716">iferror(XLOOKUP(A716,'Download of SFDC Activation Rep'!B:B,'Download of SFDC Activation Rep'!Y:Y),"")</f>
        <v/>
      </c>
    </row>
    <row r="717">
      <c r="B717" s="14"/>
      <c r="C717" s="14"/>
      <c r="D717" s="14"/>
      <c r="E717" s="15"/>
      <c r="F717" s="14"/>
      <c r="G717" s="13" t="str">
        <f t="array" ref="G717">iferror(XLOOKUP(A717,'Download of SFDC Activation Rep'!B:B,'Download of SFDC Activation Rep'!H:H),"")</f>
        <v/>
      </c>
      <c r="H717" s="13" t="str">
        <f t="array" ref="H717">iferror(xlookup(A717,'Download of SFDC Activation Rep'!B:B,'Download of SFDC Activation Rep'!L:L),"")</f>
        <v/>
      </c>
      <c r="I717" s="17" t="str">
        <f t="shared" si="1"/>
        <v>Not Active</v>
      </c>
      <c r="J717" s="17" t="str">
        <f t="array" ref="J717">iferror(XLOOKUP(A717,'Download of SFDC Activation Rep'!B:B,'Download of SFDC Activation Rep'!X:X),"")</f>
        <v/>
      </c>
      <c r="K717" s="17" t="str">
        <f t="array" ref="K717">iferror(XLOOKUP(A717,'Download of SFDC Activation Rep'!B:B,'Download of SFDC Activation Rep'!C:C),"")</f>
        <v/>
      </c>
      <c r="L717" s="18" t="str">
        <f t="array" ref="L717">iferror(XLOOKUP(A717,'Download of SFDC Activation Rep'!B:B,'Download of SFDC Activation Rep'!S:S),"")</f>
        <v/>
      </c>
      <c r="M717" s="24" t="str">
        <f t="array" ref="M717">iferror(XLOOKUP(A717,'Download of SFDC Activation Rep'!B:B,'Download of SFDC Activation Rep'!Z:Z)+150,"")</f>
        <v/>
      </c>
      <c r="N717" s="24" t="str">
        <f t="array" ref="N717">iferror(XLOOKUP(A717,'Download of SFDC Activation Rep'!B:B,'Download of SFDC Activation Rep'!Y:Y),"")</f>
        <v/>
      </c>
    </row>
    <row r="718">
      <c r="B718" s="14"/>
      <c r="C718" s="14"/>
      <c r="D718" s="14"/>
      <c r="E718" s="15"/>
      <c r="F718" s="14"/>
      <c r="G718" s="13" t="str">
        <f t="array" ref="G718">iferror(XLOOKUP(A718,'Download of SFDC Activation Rep'!B:B,'Download of SFDC Activation Rep'!H:H),"")</f>
        <v/>
      </c>
      <c r="H718" s="13" t="str">
        <f t="array" ref="H718">iferror(xlookup(A718,'Download of SFDC Activation Rep'!B:B,'Download of SFDC Activation Rep'!L:L),"")</f>
        <v/>
      </c>
      <c r="I718" s="17" t="str">
        <f t="shared" si="1"/>
        <v>Not Active</v>
      </c>
      <c r="J718" s="17" t="str">
        <f t="array" ref="J718">iferror(XLOOKUP(A718,'Download of SFDC Activation Rep'!B:B,'Download of SFDC Activation Rep'!X:X),"")</f>
        <v/>
      </c>
      <c r="K718" s="17" t="str">
        <f t="array" ref="K718">iferror(XLOOKUP(A718,'Download of SFDC Activation Rep'!B:B,'Download of SFDC Activation Rep'!C:C),"")</f>
        <v/>
      </c>
      <c r="L718" s="18" t="str">
        <f t="array" ref="L718">iferror(XLOOKUP(A718,'Download of SFDC Activation Rep'!B:B,'Download of SFDC Activation Rep'!S:S),"")</f>
        <v/>
      </c>
      <c r="M718" s="24" t="str">
        <f t="array" ref="M718">iferror(XLOOKUP(A718,'Download of SFDC Activation Rep'!B:B,'Download of SFDC Activation Rep'!Z:Z)+150,"")</f>
        <v/>
      </c>
      <c r="N718" s="24" t="str">
        <f t="array" ref="N718">iferror(XLOOKUP(A718,'Download of SFDC Activation Rep'!B:B,'Download of SFDC Activation Rep'!Y:Y),"")</f>
        <v/>
      </c>
    </row>
    <row r="719">
      <c r="B719" s="14"/>
      <c r="C719" s="14"/>
      <c r="D719" s="14"/>
      <c r="E719" s="15"/>
      <c r="F719" s="14"/>
      <c r="G719" s="13" t="str">
        <f t="array" ref="G719">iferror(XLOOKUP(A719,'Download of SFDC Activation Rep'!B:B,'Download of SFDC Activation Rep'!H:H),"")</f>
        <v/>
      </c>
      <c r="H719" s="13" t="str">
        <f t="array" ref="H719">iferror(xlookup(A719,'Download of SFDC Activation Rep'!B:B,'Download of SFDC Activation Rep'!L:L),"")</f>
        <v/>
      </c>
      <c r="I719" s="17" t="str">
        <f t="shared" si="1"/>
        <v>Not Active</v>
      </c>
      <c r="J719" s="17" t="str">
        <f t="array" ref="J719">iferror(XLOOKUP(A719,'Download of SFDC Activation Rep'!B:B,'Download of SFDC Activation Rep'!X:X),"")</f>
        <v/>
      </c>
      <c r="K719" s="17" t="str">
        <f t="array" ref="K719">iferror(XLOOKUP(A719,'Download of SFDC Activation Rep'!B:B,'Download of SFDC Activation Rep'!C:C),"")</f>
        <v/>
      </c>
      <c r="L719" s="18" t="str">
        <f t="array" ref="L719">iferror(XLOOKUP(A719,'Download of SFDC Activation Rep'!B:B,'Download of SFDC Activation Rep'!S:S),"")</f>
        <v/>
      </c>
      <c r="M719" s="24" t="str">
        <f t="array" ref="M719">iferror(XLOOKUP(A719,'Download of SFDC Activation Rep'!B:B,'Download of SFDC Activation Rep'!Z:Z)+150,"")</f>
        <v/>
      </c>
      <c r="N719" s="24" t="str">
        <f t="array" ref="N719">iferror(XLOOKUP(A719,'Download of SFDC Activation Rep'!B:B,'Download of SFDC Activation Rep'!Y:Y),"")</f>
        <v/>
      </c>
    </row>
    <row r="720">
      <c r="B720" s="14"/>
      <c r="C720" s="14"/>
      <c r="D720" s="14"/>
      <c r="E720" s="15"/>
      <c r="F720" s="14"/>
      <c r="G720" s="13" t="str">
        <f t="array" ref="G720">iferror(XLOOKUP(A720,'Download of SFDC Activation Rep'!B:B,'Download of SFDC Activation Rep'!H:H),"")</f>
        <v/>
      </c>
      <c r="H720" s="13" t="str">
        <f t="array" ref="H720">iferror(xlookup(A720,'Download of SFDC Activation Rep'!B:B,'Download of SFDC Activation Rep'!L:L),"")</f>
        <v/>
      </c>
      <c r="I720" s="17" t="str">
        <f t="shared" si="1"/>
        <v>Not Active</v>
      </c>
      <c r="J720" s="17" t="str">
        <f t="array" ref="J720">iferror(XLOOKUP(A720,'Download of SFDC Activation Rep'!B:B,'Download of SFDC Activation Rep'!X:X),"")</f>
        <v/>
      </c>
      <c r="K720" s="17" t="str">
        <f t="array" ref="K720">iferror(XLOOKUP(A720,'Download of SFDC Activation Rep'!B:B,'Download of SFDC Activation Rep'!C:C),"")</f>
        <v/>
      </c>
      <c r="L720" s="18" t="str">
        <f t="array" ref="L720">iferror(XLOOKUP(A720,'Download of SFDC Activation Rep'!B:B,'Download of SFDC Activation Rep'!S:S),"")</f>
        <v/>
      </c>
      <c r="M720" s="24" t="str">
        <f t="array" ref="M720">iferror(XLOOKUP(A720,'Download of SFDC Activation Rep'!B:B,'Download of SFDC Activation Rep'!Z:Z)+150,"")</f>
        <v/>
      </c>
      <c r="N720" s="24" t="str">
        <f t="array" ref="N720">iferror(XLOOKUP(A720,'Download of SFDC Activation Rep'!B:B,'Download of SFDC Activation Rep'!Y:Y),"")</f>
        <v/>
      </c>
    </row>
    <row r="721">
      <c r="B721" s="14"/>
      <c r="C721" s="14"/>
      <c r="D721" s="14"/>
      <c r="E721" s="15"/>
      <c r="F721" s="14"/>
      <c r="G721" s="13" t="str">
        <f t="array" ref="G721">iferror(XLOOKUP(A721,'Download of SFDC Activation Rep'!B:B,'Download of SFDC Activation Rep'!H:H),"")</f>
        <v/>
      </c>
      <c r="H721" s="13" t="str">
        <f t="array" ref="H721">iferror(xlookup(A721,'Download of SFDC Activation Rep'!B:B,'Download of SFDC Activation Rep'!L:L),"")</f>
        <v/>
      </c>
      <c r="I721" s="17" t="str">
        <f t="shared" si="1"/>
        <v>Not Active</v>
      </c>
      <c r="J721" s="17" t="str">
        <f t="array" ref="J721">iferror(XLOOKUP(A721,'Download of SFDC Activation Rep'!B:B,'Download of SFDC Activation Rep'!X:X),"")</f>
        <v/>
      </c>
      <c r="K721" s="17" t="str">
        <f t="array" ref="K721">iferror(XLOOKUP(A721,'Download of SFDC Activation Rep'!B:B,'Download of SFDC Activation Rep'!C:C),"")</f>
        <v/>
      </c>
      <c r="L721" s="18" t="str">
        <f t="array" ref="L721">iferror(XLOOKUP(A721,'Download of SFDC Activation Rep'!B:B,'Download of SFDC Activation Rep'!S:S),"")</f>
        <v/>
      </c>
      <c r="M721" s="24" t="str">
        <f t="array" ref="M721">iferror(XLOOKUP(A721,'Download of SFDC Activation Rep'!B:B,'Download of SFDC Activation Rep'!Z:Z)+150,"")</f>
        <v/>
      </c>
      <c r="N721" s="24" t="str">
        <f t="array" ref="N721">iferror(XLOOKUP(A721,'Download of SFDC Activation Rep'!B:B,'Download of SFDC Activation Rep'!Y:Y),"")</f>
        <v/>
      </c>
    </row>
    <row r="722">
      <c r="B722" s="14"/>
      <c r="C722" s="14"/>
      <c r="D722" s="14"/>
      <c r="E722" s="15"/>
      <c r="F722" s="14"/>
      <c r="G722" s="13" t="str">
        <f t="array" ref="G722">iferror(XLOOKUP(A722,'Download of SFDC Activation Rep'!B:B,'Download of SFDC Activation Rep'!H:H),"")</f>
        <v/>
      </c>
      <c r="H722" s="13" t="str">
        <f t="array" ref="H722">iferror(xlookup(A722,'Download of SFDC Activation Rep'!B:B,'Download of SFDC Activation Rep'!L:L),"")</f>
        <v/>
      </c>
      <c r="I722" s="17" t="str">
        <f t="shared" si="1"/>
        <v>Not Active</v>
      </c>
      <c r="J722" s="17" t="str">
        <f t="array" ref="J722">iferror(XLOOKUP(A722,'Download of SFDC Activation Rep'!B:B,'Download of SFDC Activation Rep'!X:X),"")</f>
        <v/>
      </c>
      <c r="K722" s="17" t="str">
        <f t="array" ref="K722">iferror(XLOOKUP(A722,'Download of SFDC Activation Rep'!B:B,'Download of SFDC Activation Rep'!C:C),"")</f>
        <v/>
      </c>
      <c r="L722" s="18" t="str">
        <f t="array" ref="L722">iferror(XLOOKUP(A722,'Download of SFDC Activation Rep'!B:B,'Download of SFDC Activation Rep'!S:S),"")</f>
        <v/>
      </c>
      <c r="M722" s="24" t="str">
        <f t="array" ref="M722">iferror(XLOOKUP(A722,'Download of SFDC Activation Rep'!B:B,'Download of SFDC Activation Rep'!Z:Z)+150,"")</f>
        <v/>
      </c>
      <c r="N722" s="24" t="str">
        <f t="array" ref="N722">iferror(XLOOKUP(A722,'Download of SFDC Activation Rep'!B:B,'Download of SFDC Activation Rep'!Y:Y),"")</f>
        <v/>
      </c>
    </row>
    <row r="723">
      <c r="B723" s="14"/>
      <c r="C723" s="14"/>
      <c r="D723" s="14"/>
      <c r="E723" s="15"/>
      <c r="F723" s="14"/>
      <c r="G723" s="13" t="str">
        <f t="array" ref="G723">iferror(XLOOKUP(A723,'Download of SFDC Activation Rep'!B:B,'Download of SFDC Activation Rep'!H:H),"")</f>
        <v/>
      </c>
      <c r="H723" s="13" t="str">
        <f t="array" ref="H723">iferror(xlookup(A723,'Download of SFDC Activation Rep'!B:B,'Download of SFDC Activation Rep'!L:L),"")</f>
        <v/>
      </c>
      <c r="I723" s="17" t="str">
        <f t="shared" si="1"/>
        <v>Not Active</v>
      </c>
      <c r="J723" s="17" t="str">
        <f t="array" ref="J723">iferror(XLOOKUP(A723,'Download of SFDC Activation Rep'!B:B,'Download of SFDC Activation Rep'!X:X),"")</f>
        <v/>
      </c>
      <c r="K723" s="17" t="str">
        <f t="array" ref="K723">iferror(XLOOKUP(A723,'Download of SFDC Activation Rep'!B:B,'Download of SFDC Activation Rep'!C:C),"")</f>
        <v/>
      </c>
      <c r="L723" s="18" t="str">
        <f t="array" ref="L723">iferror(XLOOKUP(A723,'Download of SFDC Activation Rep'!B:B,'Download of SFDC Activation Rep'!S:S),"")</f>
        <v/>
      </c>
      <c r="M723" s="24" t="str">
        <f t="array" ref="M723">iferror(XLOOKUP(A723,'Download of SFDC Activation Rep'!B:B,'Download of SFDC Activation Rep'!Z:Z)+150,"")</f>
        <v/>
      </c>
      <c r="N723" s="24" t="str">
        <f t="array" ref="N723">iferror(XLOOKUP(A723,'Download of SFDC Activation Rep'!B:B,'Download of SFDC Activation Rep'!Y:Y),"")</f>
        <v/>
      </c>
    </row>
    <row r="724">
      <c r="B724" s="14"/>
      <c r="C724" s="14"/>
      <c r="D724" s="14"/>
      <c r="E724" s="15"/>
      <c r="F724" s="14"/>
      <c r="G724" s="13" t="str">
        <f t="array" ref="G724">iferror(XLOOKUP(A724,'Download of SFDC Activation Rep'!B:B,'Download of SFDC Activation Rep'!H:H),"")</f>
        <v/>
      </c>
      <c r="H724" s="13" t="str">
        <f t="array" ref="H724">iferror(xlookup(A724,'Download of SFDC Activation Rep'!B:B,'Download of SFDC Activation Rep'!L:L),"")</f>
        <v/>
      </c>
      <c r="I724" s="17" t="str">
        <f t="shared" si="1"/>
        <v>Not Active</v>
      </c>
      <c r="J724" s="17" t="str">
        <f t="array" ref="J724">iferror(XLOOKUP(A724,'Download of SFDC Activation Rep'!B:B,'Download of SFDC Activation Rep'!X:X),"")</f>
        <v/>
      </c>
      <c r="K724" s="17" t="str">
        <f t="array" ref="K724">iferror(XLOOKUP(A724,'Download of SFDC Activation Rep'!B:B,'Download of SFDC Activation Rep'!C:C),"")</f>
        <v/>
      </c>
      <c r="L724" s="18" t="str">
        <f t="array" ref="L724">iferror(XLOOKUP(A724,'Download of SFDC Activation Rep'!B:B,'Download of SFDC Activation Rep'!S:S),"")</f>
        <v/>
      </c>
      <c r="M724" s="24" t="str">
        <f t="array" ref="M724">iferror(XLOOKUP(A724,'Download of SFDC Activation Rep'!B:B,'Download of SFDC Activation Rep'!Z:Z)+150,"")</f>
        <v/>
      </c>
      <c r="N724" s="24" t="str">
        <f t="array" ref="N724">iferror(XLOOKUP(A724,'Download of SFDC Activation Rep'!B:B,'Download of SFDC Activation Rep'!Y:Y),"")</f>
        <v/>
      </c>
    </row>
    <row r="725">
      <c r="B725" s="14"/>
      <c r="C725" s="14"/>
      <c r="D725" s="14"/>
      <c r="E725" s="15"/>
      <c r="F725" s="14"/>
      <c r="G725" s="13" t="str">
        <f t="array" ref="G725">iferror(XLOOKUP(A725,'Download of SFDC Activation Rep'!B:B,'Download of SFDC Activation Rep'!H:H),"")</f>
        <v/>
      </c>
      <c r="H725" s="13" t="str">
        <f t="array" ref="H725">iferror(xlookup(A725,'Download of SFDC Activation Rep'!B:B,'Download of SFDC Activation Rep'!L:L),"")</f>
        <v/>
      </c>
      <c r="I725" s="17" t="str">
        <f t="shared" si="1"/>
        <v>Not Active</v>
      </c>
      <c r="J725" s="17" t="str">
        <f t="array" ref="J725">iferror(XLOOKUP(A725,'Download of SFDC Activation Rep'!B:B,'Download of SFDC Activation Rep'!X:X),"")</f>
        <v/>
      </c>
      <c r="K725" s="17" t="str">
        <f t="array" ref="K725">iferror(XLOOKUP(A725,'Download of SFDC Activation Rep'!B:B,'Download of SFDC Activation Rep'!C:C),"")</f>
        <v/>
      </c>
      <c r="L725" s="18" t="str">
        <f t="array" ref="L725">iferror(XLOOKUP(A725,'Download of SFDC Activation Rep'!B:B,'Download of SFDC Activation Rep'!S:S),"")</f>
        <v/>
      </c>
      <c r="M725" s="24" t="str">
        <f t="array" ref="M725">iferror(XLOOKUP(A725,'Download of SFDC Activation Rep'!B:B,'Download of SFDC Activation Rep'!Z:Z)+150,"")</f>
        <v/>
      </c>
      <c r="N725" s="24" t="str">
        <f t="array" ref="N725">iferror(XLOOKUP(A725,'Download of SFDC Activation Rep'!B:B,'Download of SFDC Activation Rep'!Y:Y),"")</f>
        <v/>
      </c>
    </row>
    <row r="726">
      <c r="B726" s="14"/>
      <c r="C726" s="14"/>
      <c r="D726" s="14"/>
      <c r="E726" s="15"/>
      <c r="F726" s="14"/>
      <c r="G726" s="13" t="str">
        <f t="array" ref="G726">iferror(XLOOKUP(A726,'Download of SFDC Activation Rep'!B:B,'Download of SFDC Activation Rep'!H:H),"")</f>
        <v/>
      </c>
      <c r="H726" s="13" t="str">
        <f t="array" ref="H726">iferror(xlookup(A726,'Download of SFDC Activation Rep'!B:B,'Download of SFDC Activation Rep'!L:L),"")</f>
        <v/>
      </c>
      <c r="I726" s="17" t="str">
        <f t="shared" si="1"/>
        <v>Not Active</v>
      </c>
      <c r="J726" s="17" t="str">
        <f t="array" ref="J726">iferror(XLOOKUP(A726,'Download of SFDC Activation Rep'!B:B,'Download of SFDC Activation Rep'!X:X),"")</f>
        <v/>
      </c>
      <c r="K726" s="17" t="str">
        <f t="array" ref="K726">iferror(XLOOKUP(A726,'Download of SFDC Activation Rep'!B:B,'Download of SFDC Activation Rep'!C:C),"")</f>
        <v/>
      </c>
      <c r="L726" s="18" t="str">
        <f t="array" ref="L726">iferror(XLOOKUP(A726,'Download of SFDC Activation Rep'!B:B,'Download of SFDC Activation Rep'!S:S),"")</f>
        <v/>
      </c>
      <c r="M726" s="24" t="str">
        <f t="array" ref="M726">iferror(XLOOKUP(A726,'Download of SFDC Activation Rep'!B:B,'Download of SFDC Activation Rep'!Z:Z)+150,"")</f>
        <v/>
      </c>
      <c r="N726" s="24" t="str">
        <f t="array" ref="N726">iferror(XLOOKUP(A726,'Download of SFDC Activation Rep'!B:B,'Download of SFDC Activation Rep'!Y:Y),"")</f>
        <v/>
      </c>
    </row>
    <row r="727">
      <c r="B727" s="14"/>
      <c r="C727" s="14"/>
      <c r="D727" s="14"/>
      <c r="E727" s="15"/>
      <c r="F727" s="14"/>
      <c r="G727" s="13" t="str">
        <f t="array" ref="G727">iferror(XLOOKUP(A727,'Download of SFDC Activation Rep'!B:B,'Download of SFDC Activation Rep'!H:H),"")</f>
        <v/>
      </c>
      <c r="H727" s="13" t="str">
        <f t="array" ref="H727">iferror(xlookup(A727,'Download of SFDC Activation Rep'!B:B,'Download of SFDC Activation Rep'!L:L),"")</f>
        <v/>
      </c>
      <c r="I727" s="17" t="str">
        <f t="shared" si="1"/>
        <v>Not Active</v>
      </c>
      <c r="J727" s="17" t="str">
        <f t="array" ref="J727">iferror(XLOOKUP(A727,'Download of SFDC Activation Rep'!B:B,'Download of SFDC Activation Rep'!X:X),"")</f>
        <v/>
      </c>
      <c r="K727" s="17" t="str">
        <f t="array" ref="K727">iferror(XLOOKUP(A727,'Download of SFDC Activation Rep'!B:B,'Download of SFDC Activation Rep'!C:C),"")</f>
        <v/>
      </c>
      <c r="L727" s="18" t="str">
        <f t="array" ref="L727">iferror(XLOOKUP(A727,'Download of SFDC Activation Rep'!B:B,'Download of SFDC Activation Rep'!S:S),"")</f>
        <v/>
      </c>
      <c r="M727" s="24" t="str">
        <f t="array" ref="M727">iferror(XLOOKUP(A727,'Download of SFDC Activation Rep'!B:B,'Download of SFDC Activation Rep'!Z:Z)+150,"")</f>
        <v/>
      </c>
      <c r="N727" s="24" t="str">
        <f t="array" ref="N727">iferror(XLOOKUP(A727,'Download of SFDC Activation Rep'!B:B,'Download of SFDC Activation Rep'!Y:Y),"")</f>
        <v/>
      </c>
    </row>
    <row r="728">
      <c r="B728" s="14"/>
      <c r="C728" s="14"/>
      <c r="D728" s="14"/>
      <c r="E728" s="15"/>
      <c r="F728" s="14"/>
      <c r="G728" s="13" t="str">
        <f t="array" ref="G728">iferror(XLOOKUP(A728,'Download of SFDC Activation Rep'!B:B,'Download of SFDC Activation Rep'!H:H),"")</f>
        <v/>
      </c>
      <c r="H728" s="13" t="str">
        <f t="array" ref="H728">iferror(xlookup(A728,'Download of SFDC Activation Rep'!B:B,'Download of SFDC Activation Rep'!L:L),"")</f>
        <v/>
      </c>
      <c r="I728" s="17" t="str">
        <f t="shared" si="1"/>
        <v>Not Active</v>
      </c>
      <c r="J728" s="17" t="str">
        <f t="array" ref="J728">iferror(XLOOKUP(A728,'Download of SFDC Activation Rep'!B:B,'Download of SFDC Activation Rep'!X:X),"")</f>
        <v/>
      </c>
      <c r="K728" s="17" t="str">
        <f t="array" ref="K728">iferror(XLOOKUP(A728,'Download of SFDC Activation Rep'!B:B,'Download of SFDC Activation Rep'!C:C),"")</f>
        <v/>
      </c>
      <c r="L728" s="18" t="str">
        <f t="array" ref="L728">iferror(XLOOKUP(A728,'Download of SFDC Activation Rep'!B:B,'Download of SFDC Activation Rep'!S:S),"")</f>
        <v/>
      </c>
      <c r="M728" s="24" t="str">
        <f t="array" ref="M728">iferror(XLOOKUP(A728,'Download of SFDC Activation Rep'!B:B,'Download of SFDC Activation Rep'!Z:Z)+150,"")</f>
        <v/>
      </c>
      <c r="N728" s="24" t="str">
        <f t="array" ref="N728">iferror(XLOOKUP(A728,'Download of SFDC Activation Rep'!B:B,'Download of SFDC Activation Rep'!Y:Y),"")</f>
        <v/>
      </c>
    </row>
    <row r="729">
      <c r="B729" s="14"/>
      <c r="C729" s="14"/>
      <c r="D729" s="14"/>
      <c r="E729" s="15"/>
      <c r="F729" s="14"/>
      <c r="G729" s="13" t="str">
        <f t="array" ref="G729">iferror(XLOOKUP(A729,'Download of SFDC Activation Rep'!B:B,'Download of SFDC Activation Rep'!H:H),"")</f>
        <v/>
      </c>
      <c r="H729" s="13" t="str">
        <f t="array" ref="H729">iferror(xlookup(A729,'Download of SFDC Activation Rep'!B:B,'Download of SFDC Activation Rep'!L:L),"")</f>
        <v/>
      </c>
      <c r="I729" s="17" t="str">
        <f t="shared" si="1"/>
        <v>Not Active</v>
      </c>
      <c r="J729" s="17" t="str">
        <f t="array" ref="J729">iferror(XLOOKUP(A729,'Download of SFDC Activation Rep'!B:B,'Download of SFDC Activation Rep'!X:X),"")</f>
        <v/>
      </c>
      <c r="K729" s="17" t="str">
        <f t="array" ref="K729">iferror(XLOOKUP(A729,'Download of SFDC Activation Rep'!B:B,'Download of SFDC Activation Rep'!C:C),"")</f>
        <v/>
      </c>
      <c r="L729" s="18" t="str">
        <f t="array" ref="L729">iferror(XLOOKUP(A729,'Download of SFDC Activation Rep'!B:B,'Download of SFDC Activation Rep'!S:S),"")</f>
        <v/>
      </c>
      <c r="M729" s="24" t="str">
        <f t="array" ref="M729">iferror(XLOOKUP(A729,'Download of SFDC Activation Rep'!B:B,'Download of SFDC Activation Rep'!Z:Z)+150,"")</f>
        <v/>
      </c>
      <c r="N729" s="24" t="str">
        <f t="array" ref="N729">iferror(XLOOKUP(A729,'Download of SFDC Activation Rep'!B:B,'Download of SFDC Activation Rep'!Y:Y),"")</f>
        <v/>
      </c>
    </row>
    <row r="730">
      <c r="B730" s="14"/>
      <c r="C730" s="14"/>
      <c r="D730" s="14"/>
      <c r="E730" s="15"/>
      <c r="F730" s="14"/>
      <c r="G730" s="13" t="str">
        <f t="array" ref="G730">iferror(XLOOKUP(A730,'Download of SFDC Activation Rep'!B:B,'Download of SFDC Activation Rep'!H:H),"")</f>
        <v/>
      </c>
      <c r="H730" s="13" t="str">
        <f t="array" ref="H730">iferror(xlookup(A730,'Download of SFDC Activation Rep'!B:B,'Download of SFDC Activation Rep'!L:L),"")</f>
        <v/>
      </c>
      <c r="I730" s="17" t="str">
        <f t="shared" si="1"/>
        <v>Not Active</v>
      </c>
      <c r="J730" s="17" t="str">
        <f t="array" ref="J730">iferror(XLOOKUP(A730,'Download of SFDC Activation Rep'!B:B,'Download of SFDC Activation Rep'!X:X),"")</f>
        <v/>
      </c>
      <c r="K730" s="17" t="str">
        <f t="array" ref="K730">iferror(XLOOKUP(A730,'Download of SFDC Activation Rep'!B:B,'Download of SFDC Activation Rep'!C:C),"")</f>
        <v/>
      </c>
      <c r="L730" s="18" t="str">
        <f t="array" ref="L730">iferror(XLOOKUP(A730,'Download of SFDC Activation Rep'!B:B,'Download of SFDC Activation Rep'!S:S),"")</f>
        <v/>
      </c>
      <c r="M730" s="24" t="str">
        <f t="array" ref="M730">iferror(XLOOKUP(A730,'Download of SFDC Activation Rep'!B:B,'Download of SFDC Activation Rep'!Z:Z)+150,"")</f>
        <v/>
      </c>
      <c r="N730" s="24" t="str">
        <f t="array" ref="N730">iferror(XLOOKUP(A730,'Download of SFDC Activation Rep'!B:B,'Download of SFDC Activation Rep'!Y:Y),"")</f>
        <v/>
      </c>
    </row>
    <row r="731">
      <c r="B731" s="14"/>
      <c r="C731" s="14"/>
      <c r="D731" s="14"/>
      <c r="E731" s="15"/>
      <c r="F731" s="14"/>
      <c r="G731" s="13" t="str">
        <f t="array" ref="G731">iferror(XLOOKUP(A731,'Download of SFDC Activation Rep'!B:B,'Download of SFDC Activation Rep'!H:H),"")</f>
        <v/>
      </c>
      <c r="H731" s="13" t="str">
        <f t="array" ref="H731">iferror(xlookup(A731,'Download of SFDC Activation Rep'!B:B,'Download of SFDC Activation Rep'!L:L),"")</f>
        <v/>
      </c>
      <c r="I731" s="17" t="str">
        <f t="shared" si="1"/>
        <v>Not Active</v>
      </c>
      <c r="J731" s="17" t="str">
        <f t="array" ref="J731">iferror(XLOOKUP(A731,'Download of SFDC Activation Rep'!B:B,'Download of SFDC Activation Rep'!X:X),"")</f>
        <v/>
      </c>
      <c r="K731" s="17" t="str">
        <f t="array" ref="K731">iferror(XLOOKUP(A731,'Download of SFDC Activation Rep'!B:B,'Download of SFDC Activation Rep'!C:C),"")</f>
        <v/>
      </c>
      <c r="L731" s="18" t="str">
        <f t="array" ref="L731">iferror(XLOOKUP(A731,'Download of SFDC Activation Rep'!B:B,'Download of SFDC Activation Rep'!S:S),"")</f>
        <v/>
      </c>
      <c r="M731" s="24" t="str">
        <f t="array" ref="M731">iferror(XLOOKUP(A731,'Download of SFDC Activation Rep'!B:B,'Download of SFDC Activation Rep'!Z:Z)+150,"")</f>
        <v/>
      </c>
      <c r="N731" s="24" t="str">
        <f t="array" ref="N731">iferror(XLOOKUP(A731,'Download of SFDC Activation Rep'!B:B,'Download of SFDC Activation Rep'!Y:Y),"")</f>
        <v/>
      </c>
    </row>
    <row r="732">
      <c r="B732" s="14"/>
      <c r="C732" s="14"/>
      <c r="D732" s="14"/>
      <c r="E732" s="15"/>
      <c r="F732" s="14"/>
      <c r="G732" s="13" t="str">
        <f t="array" ref="G732">iferror(XLOOKUP(A732,'Download of SFDC Activation Rep'!B:B,'Download of SFDC Activation Rep'!H:H),"")</f>
        <v/>
      </c>
      <c r="H732" s="13" t="str">
        <f t="array" ref="H732">iferror(xlookup(A732,'Download of SFDC Activation Rep'!B:B,'Download of SFDC Activation Rep'!L:L),"")</f>
        <v/>
      </c>
      <c r="I732" s="17" t="str">
        <f t="shared" si="1"/>
        <v>Not Active</v>
      </c>
      <c r="J732" s="17" t="str">
        <f t="array" ref="J732">iferror(XLOOKUP(A732,'Download of SFDC Activation Rep'!B:B,'Download of SFDC Activation Rep'!X:X),"")</f>
        <v/>
      </c>
      <c r="K732" s="17" t="str">
        <f t="array" ref="K732">iferror(XLOOKUP(A732,'Download of SFDC Activation Rep'!B:B,'Download of SFDC Activation Rep'!C:C),"")</f>
        <v/>
      </c>
      <c r="L732" s="18" t="str">
        <f t="array" ref="L732">iferror(XLOOKUP(A732,'Download of SFDC Activation Rep'!B:B,'Download of SFDC Activation Rep'!S:S),"")</f>
        <v/>
      </c>
      <c r="M732" s="24" t="str">
        <f t="array" ref="M732">iferror(XLOOKUP(A732,'Download of SFDC Activation Rep'!B:B,'Download of SFDC Activation Rep'!Z:Z)+150,"")</f>
        <v/>
      </c>
      <c r="N732" s="24" t="str">
        <f t="array" ref="N732">iferror(XLOOKUP(A732,'Download of SFDC Activation Rep'!B:B,'Download of SFDC Activation Rep'!Y:Y),"")</f>
        <v/>
      </c>
    </row>
    <row r="733">
      <c r="B733" s="14"/>
      <c r="C733" s="14"/>
      <c r="D733" s="14"/>
      <c r="E733" s="15"/>
      <c r="F733" s="14"/>
      <c r="G733" s="13" t="str">
        <f t="array" ref="G733">iferror(XLOOKUP(A733,'Download of SFDC Activation Rep'!B:B,'Download of SFDC Activation Rep'!H:H),"")</f>
        <v/>
      </c>
      <c r="H733" s="13" t="str">
        <f t="array" ref="H733">iferror(xlookup(A733,'Download of SFDC Activation Rep'!B:B,'Download of SFDC Activation Rep'!L:L),"")</f>
        <v/>
      </c>
      <c r="I733" s="17" t="str">
        <f t="shared" si="1"/>
        <v>Not Active</v>
      </c>
      <c r="J733" s="17" t="str">
        <f t="array" ref="J733">iferror(XLOOKUP(A733,'Download of SFDC Activation Rep'!B:B,'Download of SFDC Activation Rep'!X:X),"")</f>
        <v/>
      </c>
      <c r="K733" s="17" t="str">
        <f t="array" ref="K733">iferror(XLOOKUP(A733,'Download of SFDC Activation Rep'!B:B,'Download of SFDC Activation Rep'!C:C),"")</f>
        <v/>
      </c>
      <c r="L733" s="18" t="str">
        <f t="array" ref="L733">iferror(XLOOKUP(A733,'Download of SFDC Activation Rep'!B:B,'Download of SFDC Activation Rep'!S:S),"")</f>
        <v/>
      </c>
      <c r="M733" s="24" t="str">
        <f t="array" ref="M733">iferror(XLOOKUP(A733,'Download of SFDC Activation Rep'!B:B,'Download of SFDC Activation Rep'!Z:Z)+150,"")</f>
        <v/>
      </c>
      <c r="N733" s="24" t="str">
        <f t="array" ref="N733">iferror(XLOOKUP(A733,'Download of SFDC Activation Rep'!B:B,'Download of SFDC Activation Rep'!Y:Y),"")</f>
        <v/>
      </c>
    </row>
    <row r="734">
      <c r="B734" s="14"/>
      <c r="C734" s="14"/>
      <c r="D734" s="14"/>
      <c r="E734" s="15"/>
      <c r="F734" s="14"/>
      <c r="G734" s="13" t="str">
        <f t="array" ref="G734">iferror(XLOOKUP(A734,'Download of SFDC Activation Rep'!B:B,'Download of SFDC Activation Rep'!H:H),"")</f>
        <v/>
      </c>
      <c r="H734" s="13" t="str">
        <f t="array" ref="H734">iferror(xlookup(A734,'Download of SFDC Activation Rep'!B:B,'Download of SFDC Activation Rep'!L:L),"")</f>
        <v/>
      </c>
      <c r="I734" s="17" t="str">
        <f t="shared" si="1"/>
        <v>Not Active</v>
      </c>
      <c r="J734" s="17" t="str">
        <f t="array" ref="J734">iferror(XLOOKUP(A734,'Download of SFDC Activation Rep'!B:B,'Download of SFDC Activation Rep'!X:X),"")</f>
        <v/>
      </c>
      <c r="K734" s="17" t="str">
        <f t="array" ref="K734">iferror(XLOOKUP(A734,'Download of SFDC Activation Rep'!B:B,'Download of SFDC Activation Rep'!C:C),"")</f>
        <v/>
      </c>
      <c r="L734" s="18" t="str">
        <f t="array" ref="L734">iferror(XLOOKUP(A734,'Download of SFDC Activation Rep'!B:B,'Download of SFDC Activation Rep'!S:S),"")</f>
        <v/>
      </c>
      <c r="M734" s="24" t="str">
        <f t="array" ref="M734">iferror(XLOOKUP(A734,'Download of SFDC Activation Rep'!B:B,'Download of SFDC Activation Rep'!Z:Z)+150,"")</f>
        <v/>
      </c>
      <c r="N734" s="24" t="str">
        <f t="array" ref="N734">iferror(XLOOKUP(A734,'Download of SFDC Activation Rep'!B:B,'Download of SFDC Activation Rep'!Y:Y),"")</f>
        <v/>
      </c>
    </row>
    <row r="735">
      <c r="B735" s="14"/>
      <c r="C735" s="14"/>
      <c r="D735" s="14"/>
      <c r="E735" s="15"/>
      <c r="F735" s="14"/>
      <c r="G735" s="13" t="str">
        <f t="array" ref="G735">iferror(XLOOKUP(A735,'Download of SFDC Activation Rep'!B:B,'Download of SFDC Activation Rep'!H:H),"")</f>
        <v/>
      </c>
      <c r="H735" s="13" t="str">
        <f t="array" ref="H735">iferror(xlookup(A735,'Download of SFDC Activation Rep'!B:B,'Download of SFDC Activation Rep'!L:L),"")</f>
        <v/>
      </c>
      <c r="I735" s="17" t="str">
        <f t="shared" si="1"/>
        <v>Not Active</v>
      </c>
      <c r="J735" s="17" t="str">
        <f t="array" ref="J735">iferror(XLOOKUP(A735,'Download of SFDC Activation Rep'!B:B,'Download of SFDC Activation Rep'!X:X),"")</f>
        <v/>
      </c>
      <c r="K735" s="17" t="str">
        <f t="array" ref="K735">iferror(XLOOKUP(A735,'Download of SFDC Activation Rep'!B:B,'Download of SFDC Activation Rep'!C:C),"")</f>
        <v/>
      </c>
      <c r="L735" s="18" t="str">
        <f t="array" ref="L735">iferror(XLOOKUP(A735,'Download of SFDC Activation Rep'!B:B,'Download of SFDC Activation Rep'!S:S),"")</f>
        <v/>
      </c>
      <c r="M735" s="24" t="str">
        <f t="array" ref="M735">iferror(XLOOKUP(A735,'Download of SFDC Activation Rep'!B:B,'Download of SFDC Activation Rep'!Z:Z)+150,"")</f>
        <v/>
      </c>
      <c r="N735" s="24" t="str">
        <f t="array" ref="N735">iferror(XLOOKUP(A735,'Download of SFDC Activation Rep'!B:B,'Download of SFDC Activation Rep'!Y:Y),"")</f>
        <v/>
      </c>
    </row>
    <row r="736">
      <c r="B736" s="14"/>
      <c r="C736" s="14"/>
      <c r="D736" s="14"/>
      <c r="E736" s="15"/>
      <c r="F736" s="14"/>
      <c r="G736" s="13" t="str">
        <f t="array" ref="G736">iferror(XLOOKUP(A736,'Download of SFDC Activation Rep'!B:B,'Download of SFDC Activation Rep'!H:H),"")</f>
        <v/>
      </c>
      <c r="H736" s="13" t="str">
        <f t="array" ref="H736">iferror(xlookup(A736,'Download of SFDC Activation Rep'!B:B,'Download of SFDC Activation Rep'!L:L),"")</f>
        <v/>
      </c>
      <c r="I736" s="17" t="str">
        <f t="shared" si="1"/>
        <v>Not Active</v>
      </c>
      <c r="J736" s="17" t="str">
        <f t="array" ref="J736">iferror(XLOOKUP(A736,'Download of SFDC Activation Rep'!B:B,'Download of SFDC Activation Rep'!X:X),"")</f>
        <v/>
      </c>
      <c r="K736" s="17" t="str">
        <f t="array" ref="K736">iferror(XLOOKUP(A736,'Download of SFDC Activation Rep'!B:B,'Download of SFDC Activation Rep'!C:C),"")</f>
        <v/>
      </c>
      <c r="L736" s="18" t="str">
        <f t="array" ref="L736">iferror(XLOOKUP(A736,'Download of SFDC Activation Rep'!B:B,'Download of SFDC Activation Rep'!S:S),"")</f>
        <v/>
      </c>
      <c r="M736" s="24" t="str">
        <f t="array" ref="M736">iferror(XLOOKUP(A736,'Download of SFDC Activation Rep'!B:B,'Download of SFDC Activation Rep'!Z:Z)+150,"")</f>
        <v/>
      </c>
      <c r="N736" s="24" t="str">
        <f t="array" ref="N736">iferror(XLOOKUP(A736,'Download of SFDC Activation Rep'!B:B,'Download of SFDC Activation Rep'!Y:Y),"")</f>
        <v/>
      </c>
    </row>
    <row r="737">
      <c r="B737" s="14"/>
      <c r="C737" s="14"/>
      <c r="D737" s="14"/>
      <c r="E737" s="15"/>
      <c r="F737" s="14"/>
      <c r="G737" s="13" t="str">
        <f t="array" ref="G737">iferror(XLOOKUP(A737,'Download of SFDC Activation Rep'!B:B,'Download of SFDC Activation Rep'!H:H),"")</f>
        <v/>
      </c>
      <c r="H737" s="13" t="str">
        <f t="array" ref="H737">iferror(xlookup(A737,'Download of SFDC Activation Rep'!B:B,'Download of SFDC Activation Rep'!L:L),"")</f>
        <v/>
      </c>
      <c r="I737" s="17" t="str">
        <f t="shared" si="1"/>
        <v>Not Active</v>
      </c>
      <c r="J737" s="17" t="str">
        <f t="array" ref="J737">iferror(XLOOKUP(A737,'Download of SFDC Activation Rep'!B:B,'Download of SFDC Activation Rep'!X:X),"")</f>
        <v/>
      </c>
      <c r="K737" s="17" t="str">
        <f t="array" ref="K737">iferror(XLOOKUP(A737,'Download of SFDC Activation Rep'!B:B,'Download of SFDC Activation Rep'!C:C),"")</f>
        <v/>
      </c>
      <c r="L737" s="18" t="str">
        <f t="array" ref="L737">iferror(XLOOKUP(A737,'Download of SFDC Activation Rep'!B:B,'Download of SFDC Activation Rep'!S:S),"")</f>
        <v/>
      </c>
      <c r="M737" s="24" t="str">
        <f t="array" ref="M737">iferror(XLOOKUP(A737,'Download of SFDC Activation Rep'!B:B,'Download of SFDC Activation Rep'!Z:Z)+150,"")</f>
        <v/>
      </c>
      <c r="N737" s="24" t="str">
        <f t="array" ref="N737">iferror(XLOOKUP(A737,'Download of SFDC Activation Rep'!B:B,'Download of SFDC Activation Rep'!Y:Y),"")</f>
        <v/>
      </c>
    </row>
    <row r="738">
      <c r="B738" s="14"/>
      <c r="C738" s="14"/>
      <c r="D738" s="14"/>
      <c r="E738" s="15"/>
      <c r="F738" s="14"/>
      <c r="G738" s="13" t="str">
        <f t="array" ref="G738">iferror(XLOOKUP(A738,'Download of SFDC Activation Rep'!B:B,'Download of SFDC Activation Rep'!H:H),"")</f>
        <v/>
      </c>
      <c r="H738" s="13" t="str">
        <f t="array" ref="H738">iferror(xlookup(A738,'Download of SFDC Activation Rep'!B:B,'Download of SFDC Activation Rep'!L:L),"")</f>
        <v/>
      </c>
      <c r="I738" s="17" t="str">
        <f t="shared" si="1"/>
        <v>Not Active</v>
      </c>
      <c r="J738" s="17" t="str">
        <f t="array" ref="J738">iferror(XLOOKUP(A738,'Download of SFDC Activation Rep'!B:B,'Download of SFDC Activation Rep'!X:X),"")</f>
        <v/>
      </c>
      <c r="K738" s="17" t="str">
        <f t="array" ref="K738">iferror(XLOOKUP(A738,'Download of SFDC Activation Rep'!B:B,'Download of SFDC Activation Rep'!C:C),"")</f>
        <v/>
      </c>
      <c r="L738" s="18" t="str">
        <f t="array" ref="L738">iferror(XLOOKUP(A738,'Download of SFDC Activation Rep'!B:B,'Download of SFDC Activation Rep'!S:S),"")</f>
        <v/>
      </c>
      <c r="M738" s="24" t="str">
        <f t="array" ref="M738">iferror(XLOOKUP(A738,'Download of SFDC Activation Rep'!B:B,'Download of SFDC Activation Rep'!Z:Z)+150,"")</f>
        <v/>
      </c>
      <c r="N738" s="24" t="str">
        <f t="array" ref="N738">iferror(XLOOKUP(A738,'Download of SFDC Activation Rep'!B:B,'Download of SFDC Activation Rep'!Y:Y),"")</f>
        <v/>
      </c>
    </row>
    <row r="739">
      <c r="B739" s="14"/>
      <c r="C739" s="14"/>
      <c r="D739" s="14"/>
      <c r="E739" s="15"/>
      <c r="F739" s="14"/>
      <c r="G739" s="13" t="str">
        <f t="array" ref="G739">iferror(XLOOKUP(A739,'Download of SFDC Activation Rep'!B:B,'Download of SFDC Activation Rep'!H:H),"")</f>
        <v/>
      </c>
      <c r="H739" s="13" t="str">
        <f t="array" ref="H739">iferror(xlookup(A739,'Download of SFDC Activation Rep'!B:B,'Download of SFDC Activation Rep'!L:L),"")</f>
        <v/>
      </c>
      <c r="I739" s="17" t="str">
        <f t="shared" si="1"/>
        <v>Not Active</v>
      </c>
      <c r="J739" s="17" t="str">
        <f t="array" ref="J739">iferror(XLOOKUP(A739,'Download of SFDC Activation Rep'!B:B,'Download of SFDC Activation Rep'!X:X),"")</f>
        <v/>
      </c>
      <c r="K739" s="17" t="str">
        <f t="array" ref="K739">iferror(XLOOKUP(A739,'Download of SFDC Activation Rep'!B:B,'Download of SFDC Activation Rep'!C:C),"")</f>
        <v/>
      </c>
      <c r="L739" s="18" t="str">
        <f t="array" ref="L739">iferror(XLOOKUP(A739,'Download of SFDC Activation Rep'!B:B,'Download of SFDC Activation Rep'!S:S),"")</f>
        <v/>
      </c>
      <c r="M739" s="24" t="str">
        <f t="array" ref="M739">iferror(XLOOKUP(A739,'Download of SFDC Activation Rep'!B:B,'Download of SFDC Activation Rep'!Z:Z)+150,"")</f>
        <v/>
      </c>
      <c r="N739" s="24" t="str">
        <f t="array" ref="N739">iferror(XLOOKUP(A739,'Download of SFDC Activation Rep'!B:B,'Download of SFDC Activation Rep'!Y:Y),"")</f>
        <v/>
      </c>
    </row>
    <row r="740">
      <c r="B740" s="14"/>
      <c r="C740" s="14"/>
      <c r="D740" s="14"/>
      <c r="E740" s="15"/>
      <c r="F740" s="14"/>
      <c r="G740" s="13" t="str">
        <f t="array" ref="G740">iferror(XLOOKUP(A740,'Download of SFDC Activation Rep'!B:B,'Download of SFDC Activation Rep'!H:H),"")</f>
        <v/>
      </c>
      <c r="H740" s="13" t="str">
        <f t="array" ref="H740">iferror(xlookup(A740,'Download of SFDC Activation Rep'!B:B,'Download of SFDC Activation Rep'!L:L),"")</f>
        <v/>
      </c>
      <c r="I740" s="17" t="str">
        <f t="shared" si="1"/>
        <v>Not Active</v>
      </c>
      <c r="J740" s="17" t="str">
        <f t="array" ref="J740">iferror(XLOOKUP(A740,'Download of SFDC Activation Rep'!B:B,'Download of SFDC Activation Rep'!X:X),"")</f>
        <v/>
      </c>
      <c r="K740" s="17" t="str">
        <f t="array" ref="K740">iferror(XLOOKUP(A740,'Download of SFDC Activation Rep'!B:B,'Download of SFDC Activation Rep'!C:C),"")</f>
        <v/>
      </c>
      <c r="L740" s="18" t="str">
        <f t="array" ref="L740">iferror(XLOOKUP(A740,'Download of SFDC Activation Rep'!B:B,'Download of SFDC Activation Rep'!S:S),"")</f>
        <v/>
      </c>
      <c r="M740" s="24" t="str">
        <f t="array" ref="M740">iferror(XLOOKUP(A740,'Download of SFDC Activation Rep'!B:B,'Download of SFDC Activation Rep'!Z:Z)+150,"")</f>
        <v/>
      </c>
      <c r="N740" s="24" t="str">
        <f t="array" ref="N740">iferror(XLOOKUP(A740,'Download of SFDC Activation Rep'!B:B,'Download of SFDC Activation Rep'!Y:Y),"")</f>
        <v/>
      </c>
    </row>
    <row r="741">
      <c r="B741" s="14"/>
      <c r="C741" s="14"/>
      <c r="D741" s="14"/>
      <c r="E741" s="15"/>
      <c r="F741" s="14"/>
      <c r="G741" s="13" t="str">
        <f t="array" ref="G741">iferror(XLOOKUP(A741,'Download of SFDC Activation Rep'!B:B,'Download of SFDC Activation Rep'!H:H),"")</f>
        <v/>
      </c>
      <c r="H741" s="13" t="str">
        <f t="array" ref="H741">iferror(xlookup(A741,'Download of SFDC Activation Rep'!B:B,'Download of SFDC Activation Rep'!L:L),"")</f>
        <v/>
      </c>
      <c r="I741" s="17" t="str">
        <f t="shared" si="1"/>
        <v>Not Active</v>
      </c>
      <c r="J741" s="17" t="str">
        <f t="array" ref="J741">iferror(XLOOKUP(A741,'Download of SFDC Activation Rep'!B:B,'Download of SFDC Activation Rep'!X:X),"")</f>
        <v/>
      </c>
      <c r="K741" s="17" t="str">
        <f t="array" ref="K741">iferror(XLOOKUP(A741,'Download of SFDC Activation Rep'!B:B,'Download of SFDC Activation Rep'!C:C),"")</f>
        <v/>
      </c>
      <c r="L741" s="18" t="str">
        <f t="array" ref="L741">iferror(XLOOKUP(A741,'Download of SFDC Activation Rep'!B:B,'Download of SFDC Activation Rep'!S:S),"")</f>
        <v/>
      </c>
      <c r="M741" s="24" t="str">
        <f t="array" ref="M741">iferror(XLOOKUP(A741,'Download of SFDC Activation Rep'!B:B,'Download of SFDC Activation Rep'!Z:Z)+150,"")</f>
        <v/>
      </c>
      <c r="N741" s="24" t="str">
        <f t="array" ref="N741">iferror(XLOOKUP(A741,'Download of SFDC Activation Rep'!B:B,'Download of SFDC Activation Rep'!Y:Y),"")</f>
        <v/>
      </c>
    </row>
    <row r="742">
      <c r="B742" s="14"/>
      <c r="C742" s="14"/>
      <c r="D742" s="14"/>
      <c r="E742" s="15"/>
      <c r="F742" s="14"/>
      <c r="G742" s="13" t="str">
        <f t="array" ref="G742">iferror(XLOOKUP(A742,'Download of SFDC Activation Rep'!B:B,'Download of SFDC Activation Rep'!H:H),"")</f>
        <v/>
      </c>
      <c r="H742" s="13" t="str">
        <f t="array" ref="H742">iferror(xlookup(A742,'Download of SFDC Activation Rep'!B:B,'Download of SFDC Activation Rep'!L:L),"")</f>
        <v/>
      </c>
      <c r="I742" s="17" t="str">
        <f t="shared" si="1"/>
        <v>Not Active</v>
      </c>
      <c r="J742" s="17" t="str">
        <f t="array" ref="J742">iferror(XLOOKUP(A742,'Download of SFDC Activation Rep'!B:B,'Download of SFDC Activation Rep'!X:X),"")</f>
        <v/>
      </c>
      <c r="K742" s="17" t="str">
        <f t="array" ref="K742">iferror(XLOOKUP(A742,'Download of SFDC Activation Rep'!B:B,'Download of SFDC Activation Rep'!C:C),"")</f>
        <v/>
      </c>
      <c r="L742" s="18" t="str">
        <f t="array" ref="L742">iferror(XLOOKUP(A742,'Download of SFDC Activation Rep'!B:B,'Download of SFDC Activation Rep'!S:S),"")</f>
        <v/>
      </c>
      <c r="M742" s="24" t="str">
        <f t="array" ref="M742">iferror(XLOOKUP(A742,'Download of SFDC Activation Rep'!B:B,'Download of SFDC Activation Rep'!Z:Z)+150,"")</f>
        <v/>
      </c>
      <c r="N742" s="24" t="str">
        <f t="array" ref="N742">iferror(XLOOKUP(A742,'Download of SFDC Activation Rep'!B:B,'Download of SFDC Activation Rep'!Y:Y),"")</f>
        <v/>
      </c>
    </row>
    <row r="743">
      <c r="B743" s="14"/>
      <c r="C743" s="14"/>
      <c r="D743" s="14"/>
      <c r="E743" s="15"/>
      <c r="F743" s="14"/>
      <c r="G743" s="13" t="str">
        <f t="array" ref="G743">iferror(XLOOKUP(A743,'Download of SFDC Activation Rep'!B:B,'Download of SFDC Activation Rep'!H:H),"")</f>
        <v/>
      </c>
      <c r="H743" s="13" t="str">
        <f t="array" ref="H743">iferror(xlookup(A743,'Download of SFDC Activation Rep'!B:B,'Download of SFDC Activation Rep'!L:L),"")</f>
        <v/>
      </c>
      <c r="I743" s="17" t="str">
        <f t="shared" si="1"/>
        <v>Not Active</v>
      </c>
      <c r="J743" s="17" t="str">
        <f t="array" ref="J743">iferror(XLOOKUP(A743,'Download of SFDC Activation Rep'!B:B,'Download of SFDC Activation Rep'!X:X),"")</f>
        <v/>
      </c>
      <c r="K743" s="17" t="str">
        <f t="array" ref="K743">iferror(XLOOKUP(A743,'Download of SFDC Activation Rep'!B:B,'Download of SFDC Activation Rep'!C:C),"")</f>
        <v/>
      </c>
      <c r="L743" s="18" t="str">
        <f t="array" ref="L743">iferror(XLOOKUP(A743,'Download of SFDC Activation Rep'!B:B,'Download of SFDC Activation Rep'!S:S),"")</f>
        <v/>
      </c>
      <c r="M743" s="24" t="str">
        <f t="array" ref="M743">iferror(XLOOKUP(A743,'Download of SFDC Activation Rep'!B:B,'Download of SFDC Activation Rep'!Z:Z)+150,"")</f>
        <v/>
      </c>
      <c r="N743" s="24" t="str">
        <f t="array" ref="N743">iferror(XLOOKUP(A743,'Download of SFDC Activation Rep'!B:B,'Download of SFDC Activation Rep'!Y:Y),"")</f>
        <v/>
      </c>
    </row>
    <row r="744">
      <c r="B744" s="14"/>
      <c r="C744" s="14"/>
      <c r="D744" s="14"/>
      <c r="E744" s="15"/>
      <c r="F744" s="14"/>
      <c r="G744" s="13" t="str">
        <f t="array" ref="G744">iferror(XLOOKUP(A744,'Download of SFDC Activation Rep'!B:B,'Download of SFDC Activation Rep'!H:H),"")</f>
        <v/>
      </c>
      <c r="H744" s="13" t="str">
        <f t="array" ref="H744">iferror(xlookup(A744,'Download of SFDC Activation Rep'!B:B,'Download of SFDC Activation Rep'!L:L),"")</f>
        <v/>
      </c>
      <c r="I744" s="17" t="str">
        <f t="shared" si="1"/>
        <v>Not Active</v>
      </c>
      <c r="J744" s="17" t="str">
        <f t="array" ref="J744">iferror(XLOOKUP(A744,'Download of SFDC Activation Rep'!B:B,'Download of SFDC Activation Rep'!X:X),"")</f>
        <v/>
      </c>
      <c r="K744" s="17" t="str">
        <f t="array" ref="K744">iferror(XLOOKUP(A744,'Download of SFDC Activation Rep'!B:B,'Download of SFDC Activation Rep'!C:C),"")</f>
        <v/>
      </c>
      <c r="L744" s="18" t="str">
        <f t="array" ref="L744">iferror(XLOOKUP(A744,'Download of SFDC Activation Rep'!B:B,'Download of SFDC Activation Rep'!S:S),"")</f>
        <v/>
      </c>
      <c r="M744" s="24" t="str">
        <f t="array" ref="M744">iferror(XLOOKUP(A744,'Download of SFDC Activation Rep'!B:B,'Download of SFDC Activation Rep'!Z:Z)+150,"")</f>
        <v/>
      </c>
      <c r="N744" s="24" t="str">
        <f t="array" ref="N744">iferror(XLOOKUP(A744,'Download of SFDC Activation Rep'!B:B,'Download of SFDC Activation Rep'!Y:Y),"")</f>
        <v/>
      </c>
    </row>
    <row r="745">
      <c r="B745" s="14"/>
      <c r="C745" s="14"/>
      <c r="D745" s="14"/>
      <c r="E745" s="15"/>
      <c r="F745" s="14"/>
      <c r="G745" s="13" t="str">
        <f t="array" ref="G745">iferror(XLOOKUP(A745,'Download of SFDC Activation Rep'!B:B,'Download of SFDC Activation Rep'!H:H),"")</f>
        <v/>
      </c>
      <c r="H745" s="13" t="str">
        <f t="array" ref="H745">iferror(xlookup(A745,'Download of SFDC Activation Rep'!B:B,'Download of SFDC Activation Rep'!L:L),"")</f>
        <v/>
      </c>
      <c r="I745" s="17" t="str">
        <f t="shared" si="1"/>
        <v>Not Active</v>
      </c>
      <c r="J745" s="17" t="str">
        <f t="array" ref="J745">iferror(XLOOKUP(A745,'Download of SFDC Activation Rep'!B:B,'Download of SFDC Activation Rep'!X:X),"")</f>
        <v/>
      </c>
      <c r="K745" s="17" t="str">
        <f t="array" ref="K745">iferror(XLOOKUP(A745,'Download of SFDC Activation Rep'!B:B,'Download of SFDC Activation Rep'!C:C),"")</f>
        <v/>
      </c>
      <c r="L745" s="18" t="str">
        <f t="array" ref="L745">iferror(XLOOKUP(A745,'Download of SFDC Activation Rep'!B:B,'Download of SFDC Activation Rep'!S:S),"")</f>
        <v/>
      </c>
      <c r="M745" s="24" t="str">
        <f t="array" ref="M745">iferror(XLOOKUP(A745,'Download of SFDC Activation Rep'!B:B,'Download of SFDC Activation Rep'!Z:Z)+150,"")</f>
        <v/>
      </c>
      <c r="N745" s="24" t="str">
        <f t="array" ref="N745">iferror(XLOOKUP(A745,'Download of SFDC Activation Rep'!B:B,'Download of SFDC Activation Rep'!Y:Y),"")</f>
        <v/>
      </c>
    </row>
    <row r="746">
      <c r="B746" s="14"/>
      <c r="C746" s="14"/>
      <c r="D746" s="14"/>
      <c r="E746" s="15"/>
      <c r="F746" s="14"/>
      <c r="G746" s="13" t="str">
        <f t="array" ref="G746">iferror(XLOOKUP(A746,'Download of SFDC Activation Rep'!B:B,'Download of SFDC Activation Rep'!H:H),"")</f>
        <v/>
      </c>
      <c r="H746" s="13" t="str">
        <f t="array" ref="H746">iferror(xlookup(A746,'Download of SFDC Activation Rep'!B:B,'Download of SFDC Activation Rep'!L:L),"")</f>
        <v/>
      </c>
      <c r="I746" s="17" t="str">
        <f t="shared" si="1"/>
        <v>Not Active</v>
      </c>
      <c r="J746" s="17" t="str">
        <f t="array" ref="J746">iferror(XLOOKUP(A746,'Download of SFDC Activation Rep'!B:B,'Download of SFDC Activation Rep'!X:X),"")</f>
        <v/>
      </c>
      <c r="K746" s="17" t="str">
        <f t="array" ref="K746">iferror(XLOOKUP(A746,'Download of SFDC Activation Rep'!B:B,'Download of SFDC Activation Rep'!C:C),"")</f>
        <v/>
      </c>
      <c r="L746" s="18" t="str">
        <f t="array" ref="L746">iferror(XLOOKUP(A746,'Download of SFDC Activation Rep'!B:B,'Download of SFDC Activation Rep'!S:S),"")</f>
        <v/>
      </c>
      <c r="M746" s="24" t="str">
        <f t="array" ref="M746">iferror(XLOOKUP(A746,'Download of SFDC Activation Rep'!B:B,'Download of SFDC Activation Rep'!Z:Z)+150,"")</f>
        <v/>
      </c>
      <c r="N746" s="24" t="str">
        <f t="array" ref="N746">iferror(XLOOKUP(A746,'Download of SFDC Activation Rep'!B:B,'Download of SFDC Activation Rep'!Y:Y),"")</f>
        <v/>
      </c>
    </row>
    <row r="747">
      <c r="B747" s="14"/>
      <c r="C747" s="14"/>
      <c r="D747" s="14"/>
      <c r="E747" s="15"/>
      <c r="F747" s="14"/>
      <c r="G747" s="13" t="str">
        <f t="array" ref="G747">iferror(XLOOKUP(A747,'Download of SFDC Activation Rep'!B:B,'Download of SFDC Activation Rep'!H:H),"")</f>
        <v/>
      </c>
      <c r="H747" s="13" t="str">
        <f t="array" ref="H747">iferror(xlookup(A747,'Download of SFDC Activation Rep'!B:B,'Download of SFDC Activation Rep'!L:L),"")</f>
        <v/>
      </c>
      <c r="I747" s="17" t="str">
        <f t="shared" si="1"/>
        <v>Not Active</v>
      </c>
      <c r="J747" s="17" t="str">
        <f t="array" ref="J747">iferror(XLOOKUP(A747,'Download of SFDC Activation Rep'!B:B,'Download of SFDC Activation Rep'!X:X),"")</f>
        <v/>
      </c>
      <c r="K747" s="17" t="str">
        <f t="array" ref="K747">iferror(XLOOKUP(A747,'Download of SFDC Activation Rep'!B:B,'Download of SFDC Activation Rep'!C:C),"")</f>
        <v/>
      </c>
      <c r="L747" s="18" t="str">
        <f t="array" ref="L747">iferror(XLOOKUP(A747,'Download of SFDC Activation Rep'!B:B,'Download of SFDC Activation Rep'!S:S),"")</f>
        <v/>
      </c>
      <c r="M747" s="24" t="str">
        <f t="array" ref="M747">iferror(XLOOKUP(A747,'Download of SFDC Activation Rep'!B:B,'Download of SFDC Activation Rep'!Z:Z)+150,"")</f>
        <v/>
      </c>
      <c r="N747" s="24" t="str">
        <f t="array" ref="N747">iferror(XLOOKUP(A747,'Download of SFDC Activation Rep'!B:B,'Download of SFDC Activation Rep'!Y:Y),"")</f>
        <v/>
      </c>
    </row>
    <row r="748">
      <c r="B748" s="14"/>
      <c r="C748" s="14"/>
      <c r="D748" s="14"/>
      <c r="E748" s="15"/>
      <c r="F748" s="14"/>
      <c r="G748" s="13" t="str">
        <f t="array" ref="G748">iferror(XLOOKUP(A748,'Download of SFDC Activation Rep'!B:B,'Download of SFDC Activation Rep'!H:H),"")</f>
        <v/>
      </c>
      <c r="H748" s="13" t="str">
        <f t="array" ref="H748">iferror(xlookup(A748,'Download of SFDC Activation Rep'!B:B,'Download of SFDC Activation Rep'!L:L),"")</f>
        <v/>
      </c>
      <c r="I748" s="17" t="str">
        <f t="shared" si="1"/>
        <v>Not Active</v>
      </c>
      <c r="J748" s="17" t="str">
        <f t="array" ref="J748">iferror(XLOOKUP(A748,'Download of SFDC Activation Rep'!B:B,'Download of SFDC Activation Rep'!X:X),"")</f>
        <v/>
      </c>
      <c r="K748" s="17" t="str">
        <f t="array" ref="K748">iferror(XLOOKUP(A748,'Download of SFDC Activation Rep'!B:B,'Download of SFDC Activation Rep'!C:C),"")</f>
        <v/>
      </c>
      <c r="L748" s="18" t="str">
        <f t="array" ref="L748">iferror(XLOOKUP(A748,'Download of SFDC Activation Rep'!B:B,'Download of SFDC Activation Rep'!S:S),"")</f>
        <v/>
      </c>
      <c r="M748" s="24" t="str">
        <f t="array" ref="M748">iferror(XLOOKUP(A748,'Download of SFDC Activation Rep'!B:B,'Download of SFDC Activation Rep'!Z:Z)+150,"")</f>
        <v/>
      </c>
      <c r="N748" s="24" t="str">
        <f t="array" ref="N748">iferror(XLOOKUP(A748,'Download of SFDC Activation Rep'!B:B,'Download of SFDC Activation Rep'!Y:Y),"")</f>
        <v/>
      </c>
    </row>
    <row r="749">
      <c r="B749" s="14"/>
      <c r="C749" s="14"/>
      <c r="D749" s="14"/>
      <c r="E749" s="15"/>
      <c r="F749" s="14"/>
      <c r="G749" s="13" t="str">
        <f t="array" ref="G749">iferror(XLOOKUP(A749,'Download of SFDC Activation Rep'!B:B,'Download of SFDC Activation Rep'!H:H),"")</f>
        <v/>
      </c>
      <c r="H749" s="13" t="str">
        <f t="array" ref="H749">iferror(xlookup(A749,'Download of SFDC Activation Rep'!B:B,'Download of SFDC Activation Rep'!L:L),"")</f>
        <v/>
      </c>
      <c r="I749" s="17" t="str">
        <f t="shared" si="1"/>
        <v>Not Active</v>
      </c>
      <c r="J749" s="17" t="str">
        <f t="array" ref="J749">iferror(XLOOKUP(A749,'Download of SFDC Activation Rep'!B:B,'Download of SFDC Activation Rep'!X:X),"")</f>
        <v/>
      </c>
      <c r="K749" s="17" t="str">
        <f t="array" ref="K749">iferror(XLOOKUP(A749,'Download of SFDC Activation Rep'!B:B,'Download of SFDC Activation Rep'!C:C),"")</f>
        <v/>
      </c>
      <c r="L749" s="18" t="str">
        <f t="array" ref="L749">iferror(XLOOKUP(A749,'Download of SFDC Activation Rep'!B:B,'Download of SFDC Activation Rep'!S:S),"")</f>
        <v/>
      </c>
      <c r="M749" s="24" t="str">
        <f t="array" ref="M749">iferror(XLOOKUP(A749,'Download of SFDC Activation Rep'!B:B,'Download of SFDC Activation Rep'!Z:Z)+150,"")</f>
        <v/>
      </c>
      <c r="N749" s="24" t="str">
        <f t="array" ref="N749">iferror(XLOOKUP(A749,'Download of SFDC Activation Rep'!B:B,'Download of SFDC Activation Rep'!Y:Y),"")</f>
        <v/>
      </c>
    </row>
    <row r="750">
      <c r="B750" s="14"/>
      <c r="C750" s="14"/>
      <c r="D750" s="14"/>
      <c r="E750" s="15"/>
      <c r="F750" s="14"/>
      <c r="G750" s="13" t="str">
        <f t="array" ref="G750">iferror(XLOOKUP(A750,'Download of SFDC Activation Rep'!B:B,'Download of SFDC Activation Rep'!H:H),"")</f>
        <v/>
      </c>
      <c r="H750" s="13" t="str">
        <f t="array" ref="H750">iferror(xlookup(A750,'Download of SFDC Activation Rep'!B:B,'Download of SFDC Activation Rep'!L:L),"")</f>
        <v/>
      </c>
      <c r="I750" s="17" t="str">
        <f t="shared" si="1"/>
        <v>Not Active</v>
      </c>
      <c r="J750" s="17" t="str">
        <f t="array" ref="J750">iferror(XLOOKUP(A750,'Download of SFDC Activation Rep'!B:B,'Download of SFDC Activation Rep'!X:X),"")</f>
        <v/>
      </c>
      <c r="K750" s="17" t="str">
        <f t="array" ref="K750">iferror(XLOOKUP(A750,'Download of SFDC Activation Rep'!B:B,'Download of SFDC Activation Rep'!C:C),"")</f>
        <v/>
      </c>
      <c r="L750" s="18" t="str">
        <f t="array" ref="L750">iferror(XLOOKUP(A750,'Download of SFDC Activation Rep'!B:B,'Download of SFDC Activation Rep'!S:S),"")</f>
        <v/>
      </c>
      <c r="M750" s="24" t="str">
        <f t="array" ref="M750">iferror(XLOOKUP(A750,'Download of SFDC Activation Rep'!B:B,'Download of SFDC Activation Rep'!Z:Z)+150,"")</f>
        <v/>
      </c>
      <c r="N750" s="24" t="str">
        <f t="array" ref="N750">iferror(XLOOKUP(A750,'Download of SFDC Activation Rep'!B:B,'Download of SFDC Activation Rep'!Y:Y),"")</f>
        <v/>
      </c>
    </row>
    <row r="751">
      <c r="B751" s="14"/>
      <c r="C751" s="14"/>
      <c r="D751" s="14"/>
      <c r="E751" s="15"/>
      <c r="F751" s="14"/>
      <c r="G751" s="13" t="str">
        <f t="array" ref="G751">iferror(XLOOKUP(A751,'Download of SFDC Activation Rep'!B:B,'Download of SFDC Activation Rep'!H:H),"")</f>
        <v/>
      </c>
      <c r="H751" s="13" t="str">
        <f t="array" ref="H751">iferror(xlookup(A751,'Download of SFDC Activation Rep'!B:B,'Download of SFDC Activation Rep'!L:L),"")</f>
        <v/>
      </c>
      <c r="I751" s="17" t="str">
        <f t="shared" si="1"/>
        <v>Not Active</v>
      </c>
      <c r="J751" s="17" t="str">
        <f t="array" ref="J751">iferror(XLOOKUP(A751,'Download of SFDC Activation Rep'!B:B,'Download of SFDC Activation Rep'!X:X),"")</f>
        <v/>
      </c>
      <c r="K751" s="17" t="str">
        <f t="array" ref="K751">iferror(XLOOKUP(A751,'Download of SFDC Activation Rep'!B:B,'Download of SFDC Activation Rep'!C:C),"")</f>
        <v/>
      </c>
      <c r="L751" s="18" t="str">
        <f t="array" ref="L751">iferror(XLOOKUP(A751,'Download of SFDC Activation Rep'!B:B,'Download of SFDC Activation Rep'!S:S),"")</f>
        <v/>
      </c>
      <c r="M751" s="24" t="str">
        <f t="array" ref="M751">iferror(XLOOKUP(A751,'Download of SFDC Activation Rep'!B:B,'Download of SFDC Activation Rep'!Z:Z)+150,"")</f>
        <v/>
      </c>
      <c r="N751" s="24" t="str">
        <f t="array" ref="N751">iferror(XLOOKUP(A751,'Download of SFDC Activation Rep'!B:B,'Download of SFDC Activation Rep'!Y:Y),"")</f>
        <v/>
      </c>
    </row>
    <row r="752">
      <c r="B752" s="14"/>
      <c r="C752" s="14"/>
      <c r="D752" s="14"/>
      <c r="E752" s="15"/>
      <c r="F752" s="14"/>
      <c r="G752" s="13" t="str">
        <f t="array" ref="G752">iferror(XLOOKUP(A752,'Download of SFDC Activation Rep'!B:B,'Download of SFDC Activation Rep'!H:H),"")</f>
        <v/>
      </c>
      <c r="H752" s="13" t="str">
        <f t="array" ref="H752">iferror(xlookup(A752,'Download of SFDC Activation Rep'!B:B,'Download of SFDC Activation Rep'!L:L),"")</f>
        <v/>
      </c>
      <c r="I752" s="17" t="str">
        <f t="shared" si="1"/>
        <v>Not Active</v>
      </c>
      <c r="J752" s="17" t="str">
        <f t="array" ref="J752">iferror(XLOOKUP(A752,'Download of SFDC Activation Rep'!B:B,'Download of SFDC Activation Rep'!X:X),"")</f>
        <v/>
      </c>
      <c r="K752" s="17" t="str">
        <f t="array" ref="K752">iferror(XLOOKUP(A752,'Download of SFDC Activation Rep'!B:B,'Download of SFDC Activation Rep'!C:C),"")</f>
        <v/>
      </c>
      <c r="L752" s="18" t="str">
        <f t="array" ref="L752">iferror(XLOOKUP(A752,'Download of SFDC Activation Rep'!B:B,'Download of SFDC Activation Rep'!S:S),"")</f>
        <v/>
      </c>
      <c r="M752" s="24" t="str">
        <f t="array" ref="M752">iferror(XLOOKUP(A752,'Download of SFDC Activation Rep'!B:B,'Download of SFDC Activation Rep'!Z:Z)+150,"")</f>
        <v/>
      </c>
      <c r="N752" s="24" t="str">
        <f t="array" ref="N752">iferror(XLOOKUP(A752,'Download of SFDC Activation Rep'!B:B,'Download of SFDC Activation Rep'!Y:Y),"")</f>
        <v/>
      </c>
    </row>
    <row r="753">
      <c r="B753" s="14"/>
      <c r="C753" s="14"/>
      <c r="D753" s="14"/>
      <c r="E753" s="15"/>
      <c r="F753" s="14"/>
      <c r="G753" s="13" t="str">
        <f t="array" ref="G753">iferror(XLOOKUP(A753,'Download of SFDC Activation Rep'!B:B,'Download of SFDC Activation Rep'!H:H),"")</f>
        <v/>
      </c>
      <c r="H753" s="13" t="str">
        <f t="array" ref="H753">iferror(xlookup(A753,'Download of SFDC Activation Rep'!B:B,'Download of SFDC Activation Rep'!L:L),"")</f>
        <v/>
      </c>
      <c r="I753" s="17" t="str">
        <f t="shared" si="1"/>
        <v>Not Active</v>
      </c>
      <c r="J753" s="17" t="str">
        <f t="array" ref="J753">iferror(XLOOKUP(A753,'Download of SFDC Activation Rep'!B:B,'Download of SFDC Activation Rep'!X:X),"")</f>
        <v/>
      </c>
      <c r="K753" s="17" t="str">
        <f t="array" ref="K753">iferror(XLOOKUP(A753,'Download of SFDC Activation Rep'!B:B,'Download of SFDC Activation Rep'!C:C),"")</f>
        <v/>
      </c>
      <c r="L753" s="18" t="str">
        <f t="array" ref="L753">iferror(XLOOKUP(A753,'Download of SFDC Activation Rep'!B:B,'Download of SFDC Activation Rep'!S:S),"")</f>
        <v/>
      </c>
      <c r="M753" s="24" t="str">
        <f t="array" ref="M753">iferror(XLOOKUP(A753,'Download of SFDC Activation Rep'!B:B,'Download of SFDC Activation Rep'!Z:Z)+150,"")</f>
        <v/>
      </c>
      <c r="N753" s="24" t="str">
        <f t="array" ref="N753">iferror(XLOOKUP(A753,'Download of SFDC Activation Rep'!B:B,'Download of SFDC Activation Rep'!Y:Y),"")</f>
        <v/>
      </c>
    </row>
    <row r="754">
      <c r="B754" s="14"/>
      <c r="C754" s="14"/>
      <c r="D754" s="14"/>
      <c r="E754" s="15"/>
      <c r="F754" s="14"/>
      <c r="G754" s="13" t="str">
        <f t="array" ref="G754">iferror(XLOOKUP(A754,'Download of SFDC Activation Rep'!B:B,'Download of SFDC Activation Rep'!H:H),"")</f>
        <v/>
      </c>
      <c r="H754" s="13" t="str">
        <f t="array" ref="H754">iferror(xlookup(A754,'Download of SFDC Activation Rep'!B:B,'Download of SFDC Activation Rep'!L:L),"")</f>
        <v/>
      </c>
      <c r="I754" s="17" t="str">
        <f t="shared" si="1"/>
        <v>Not Active</v>
      </c>
      <c r="J754" s="17" t="str">
        <f t="array" ref="J754">iferror(XLOOKUP(A754,'Download of SFDC Activation Rep'!B:B,'Download of SFDC Activation Rep'!X:X),"")</f>
        <v/>
      </c>
      <c r="K754" s="17" t="str">
        <f t="array" ref="K754">iferror(XLOOKUP(A754,'Download of SFDC Activation Rep'!B:B,'Download of SFDC Activation Rep'!C:C),"")</f>
        <v/>
      </c>
      <c r="L754" s="18" t="str">
        <f t="array" ref="L754">iferror(XLOOKUP(A754,'Download of SFDC Activation Rep'!B:B,'Download of SFDC Activation Rep'!S:S),"")</f>
        <v/>
      </c>
      <c r="M754" s="24" t="str">
        <f t="array" ref="M754">iferror(XLOOKUP(A754,'Download of SFDC Activation Rep'!B:B,'Download of SFDC Activation Rep'!Z:Z)+150,"")</f>
        <v/>
      </c>
      <c r="N754" s="24" t="str">
        <f t="array" ref="N754">iferror(XLOOKUP(A754,'Download of SFDC Activation Rep'!B:B,'Download of SFDC Activation Rep'!Y:Y),"")</f>
        <v/>
      </c>
    </row>
    <row r="755">
      <c r="B755" s="14"/>
      <c r="C755" s="14"/>
      <c r="D755" s="14"/>
      <c r="E755" s="15"/>
      <c r="F755" s="14"/>
      <c r="G755" s="13" t="str">
        <f t="array" ref="G755">iferror(XLOOKUP(A755,'Download of SFDC Activation Rep'!B:B,'Download of SFDC Activation Rep'!H:H),"")</f>
        <v/>
      </c>
      <c r="H755" s="13" t="str">
        <f t="array" ref="H755">iferror(xlookup(A755,'Download of SFDC Activation Rep'!B:B,'Download of SFDC Activation Rep'!L:L),"")</f>
        <v/>
      </c>
      <c r="I755" s="17" t="str">
        <f t="shared" si="1"/>
        <v>Not Active</v>
      </c>
      <c r="J755" s="17" t="str">
        <f t="array" ref="J755">iferror(XLOOKUP(A755,'Download of SFDC Activation Rep'!B:B,'Download of SFDC Activation Rep'!X:X),"")</f>
        <v/>
      </c>
      <c r="K755" s="17" t="str">
        <f t="array" ref="K755">iferror(XLOOKUP(A755,'Download of SFDC Activation Rep'!B:B,'Download of SFDC Activation Rep'!C:C),"")</f>
        <v/>
      </c>
      <c r="L755" s="18" t="str">
        <f t="array" ref="L755">iferror(XLOOKUP(A755,'Download of SFDC Activation Rep'!B:B,'Download of SFDC Activation Rep'!S:S),"")</f>
        <v/>
      </c>
      <c r="M755" s="24" t="str">
        <f t="array" ref="M755">iferror(XLOOKUP(A755,'Download of SFDC Activation Rep'!B:B,'Download of SFDC Activation Rep'!Z:Z)+150,"")</f>
        <v/>
      </c>
      <c r="N755" s="24" t="str">
        <f t="array" ref="N755">iferror(XLOOKUP(A755,'Download of SFDC Activation Rep'!B:B,'Download of SFDC Activation Rep'!Y:Y),"")</f>
        <v/>
      </c>
    </row>
    <row r="756">
      <c r="B756" s="14"/>
      <c r="C756" s="14"/>
      <c r="D756" s="14"/>
      <c r="E756" s="15"/>
      <c r="F756" s="14"/>
      <c r="G756" s="13" t="str">
        <f t="array" ref="G756">iferror(XLOOKUP(A756,'Download of SFDC Activation Rep'!B:B,'Download of SFDC Activation Rep'!H:H),"")</f>
        <v/>
      </c>
      <c r="H756" s="13" t="str">
        <f t="array" ref="H756">iferror(xlookup(A756,'Download of SFDC Activation Rep'!B:B,'Download of SFDC Activation Rep'!L:L),"")</f>
        <v/>
      </c>
      <c r="I756" s="17" t="str">
        <f t="shared" si="1"/>
        <v>Not Active</v>
      </c>
      <c r="J756" s="17" t="str">
        <f t="array" ref="J756">iferror(XLOOKUP(A756,'Download of SFDC Activation Rep'!B:B,'Download of SFDC Activation Rep'!X:X),"")</f>
        <v/>
      </c>
      <c r="K756" s="17" t="str">
        <f t="array" ref="K756">iferror(XLOOKUP(A756,'Download of SFDC Activation Rep'!B:B,'Download of SFDC Activation Rep'!C:C),"")</f>
        <v/>
      </c>
      <c r="L756" s="18" t="str">
        <f t="array" ref="L756">iferror(XLOOKUP(A756,'Download of SFDC Activation Rep'!B:B,'Download of SFDC Activation Rep'!S:S),"")</f>
        <v/>
      </c>
      <c r="M756" s="24" t="str">
        <f t="array" ref="M756">iferror(XLOOKUP(A756,'Download of SFDC Activation Rep'!B:B,'Download of SFDC Activation Rep'!Z:Z)+150,"")</f>
        <v/>
      </c>
      <c r="N756" s="24" t="str">
        <f t="array" ref="N756">iferror(XLOOKUP(A756,'Download of SFDC Activation Rep'!B:B,'Download of SFDC Activation Rep'!Y:Y),"")</f>
        <v/>
      </c>
    </row>
    <row r="757">
      <c r="B757" s="14"/>
      <c r="C757" s="14"/>
      <c r="D757" s="14"/>
      <c r="E757" s="15"/>
      <c r="F757" s="14"/>
      <c r="G757" s="13" t="str">
        <f t="array" ref="G757">iferror(XLOOKUP(A757,'Download of SFDC Activation Rep'!B:B,'Download of SFDC Activation Rep'!H:H),"")</f>
        <v/>
      </c>
      <c r="H757" s="13" t="str">
        <f t="array" ref="H757">iferror(xlookup(A757,'Download of SFDC Activation Rep'!B:B,'Download of SFDC Activation Rep'!L:L),"")</f>
        <v/>
      </c>
      <c r="I757" s="17" t="str">
        <f t="shared" si="1"/>
        <v>Not Active</v>
      </c>
      <c r="J757" s="17" t="str">
        <f t="array" ref="J757">iferror(XLOOKUP(A757,'Download of SFDC Activation Rep'!B:B,'Download of SFDC Activation Rep'!X:X),"")</f>
        <v/>
      </c>
      <c r="K757" s="17" t="str">
        <f t="array" ref="K757">iferror(XLOOKUP(A757,'Download of SFDC Activation Rep'!B:B,'Download of SFDC Activation Rep'!C:C),"")</f>
        <v/>
      </c>
      <c r="L757" s="18" t="str">
        <f t="array" ref="L757">iferror(XLOOKUP(A757,'Download of SFDC Activation Rep'!B:B,'Download of SFDC Activation Rep'!S:S),"")</f>
        <v/>
      </c>
      <c r="M757" s="24" t="str">
        <f t="array" ref="M757">iferror(XLOOKUP(A757,'Download of SFDC Activation Rep'!B:B,'Download of SFDC Activation Rep'!Z:Z)+150,"")</f>
        <v/>
      </c>
      <c r="N757" s="24" t="str">
        <f t="array" ref="N757">iferror(XLOOKUP(A757,'Download of SFDC Activation Rep'!B:B,'Download of SFDC Activation Rep'!Y:Y),"")</f>
        <v/>
      </c>
    </row>
    <row r="758">
      <c r="B758" s="14"/>
      <c r="C758" s="14"/>
      <c r="D758" s="14"/>
      <c r="E758" s="15"/>
      <c r="F758" s="14"/>
      <c r="G758" s="13" t="str">
        <f t="array" ref="G758">iferror(XLOOKUP(A758,'Download of SFDC Activation Rep'!B:B,'Download of SFDC Activation Rep'!H:H),"")</f>
        <v/>
      </c>
      <c r="H758" s="13" t="str">
        <f t="array" ref="H758">iferror(xlookup(A758,'Download of SFDC Activation Rep'!B:B,'Download of SFDC Activation Rep'!L:L),"")</f>
        <v/>
      </c>
      <c r="I758" s="17" t="str">
        <f t="shared" si="1"/>
        <v>Not Active</v>
      </c>
      <c r="J758" s="17" t="str">
        <f t="array" ref="J758">iferror(XLOOKUP(A758,'Download of SFDC Activation Rep'!B:B,'Download of SFDC Activation Rep'!X:X),"")</f>
        <v/>
      </c>
      <c r="K758" s="17" t="str">
        <f t="array" ref="K758">iferror(XLOOKUP(A758,'Download of SFDC Activation Rep'!B:B,'Download of SFDC Activation Rep'!C:C),"")</f>
        <v/>
      </c>
      <c r="L758" s="18" t="str">
        <f t="array" ref="L758">iferror(XLOOKUP(A758,'Download of SFDC Activation Rep'!B:B,'Download of SFDC Activation Rep'!S:S),"")</f>
        <v/>
      </c>
      <c r="M758" s="24" t="str">
        <f t="array" ref="M758">iferror(XLOOKUP(A758,'Download of SFDC Activation Rep'!B:B,'Download of SFDC Activation Rep'!Z:Z)+150,"")</f>
        <v/>
      </c>
      <c r="N758" s="24" t="str">
        <f t="array" ref="N758">iferror(XLOOKUP(A758,'Download of SFDC Activation Rep'!B:B,'Download of SFDC Activation Rep'!Y:Y),"")</f>
        <v/>
      </c>
    </row>
    <row r="759">
      <c r="B759" s="14"/>
      <c r="C759" s="14"/>
      <c r="D759" s="14"/>
      <c r="E759" s="15"/>
      <c r="F759" s="14"/>
      <c r="G759" s="13" t="str">
        <f t="array" ref="G759">iferror(XLOOKUP(A759,'Download of SFDC Activation Rep'!B:B,'Download of SFDC Activation Rep'!H:H),"")</f>
        <v/>
      </c>
      <c r="H759" s="13" t="str">
        <f t="array" ref="H759">iferror(xlookup(A759,'Download of SFDC Activation Rep'!B:B,'Download of SFDC Activation Rep'!L:L),"")</f>
        <v/>
      </c>
      <c r="I759" s="17" t="str">
        <f t="shared" si="1"/>
        <v>Not Active</v>
      </c>
      <c r="J759" s="17" t="str">
        <f t="array" ref="J759">iferror(XLOOKUP(A759,'Download of SFDC Activation Rep'!B:B,'Download of SFDC Activation Rep'!X:X),"")</f>
        <v/>
      </c>
      <c r="K759" s="17" t="str">
        <f t="array" ref="K759">iferror(XLOOKUP(A759,'Download of SFDC Activation Rep'!B:B,'Download of SFDC Activation Rep'!C:C),"")</f>
        <v/>
      </c>
      <c r="L759" s="18" t="str">
        <f t="array" ref="L759">iferror(XLOOKUP(A759,'Download of SFDC Activation Rep'!B:B,'Download of SFDC Activation Rep'!S:S),"")</f>
        <v/>
      </c>
      <c r="M759" s="24" t="str">
        <f t="array" ref="M759">iferror(XLOOKUP(A759,'Download of SFDC Activation Rep'!B:B,'Download of SFDC Activation Rep'!Z:Z)+150,"")</f>
        <v/>
      </c>
      <c r="N759" s="24" t="str">
        <f t="array" ref="N759">iferror(XLOOKUP(A759,'Download of SFDC Activation Rep'!B:B,'Download of SFDC Activation Rep'!Y:Y),"")</f>
        <v/>
      </c>
    </row>
    <row r="760">
      <c r="B760" s="14"/>
      <c r="C760" s="14"/>
      <c r="D760" s="14"/>
      <c r="E760" s="15"/>
      <c r="F760" s="14"/>
      <c r="G760" s="13" t="str">
        <f t="array" ref="G760">iferror(XLOOKUP(A760,'Download of SFDC Activation Rep'!B:B,'Download of SFDC Activation Rep'!H:H),"")</f>
        <v/>
      </c>
      <c r="H760" s="13" t="str">
        <f t="array" ref="H760">iferror(xlookup(A760,'Download of SFDC Activation Rep'!B:B,'Download of SFDC Activation Rep'!L:L),"")</f>
        <v/>
      </c>
      <c r="I760" s="17" t="str">
        <f t="shared" si="1"/>
        <v>Not Active</v>
      </c>
      <c r="J760" s="17" t="str">
        <f t="array" ref="J760">iferror(XLOOKUP(A760,'Download of SFDC Activation Rep'!B:B,'Download of SFDC Activation Rep'!X:X),"")</f>
        <v/>
      </c>
      <c r="K760" s="17" t="str">
        <f t="array" ref="K760">iferror(XLOOKUP(A760,'Download of SFDC Activation Rep'!B:B,'Download of SFDC Activation Rep'!C:C),"")</f>
        <v/>
      </c>
      <c r="L760" s="18" t="str">
        <f t="array" ref="L760">iferror(XLOOKUP(A760,'Download of SFDC Activation Rep'!B:B,'Download of SFDC Activation Rep'!S:S),"")</f>
        <v/>
      </c>
      <c r="M760" s="24" t="str">
        <f t="array" ref="M760">iferror(XLOOKUP(A760,'Download of SFDC Activation Rep'!B:B,'Download of SFDC Activation Rep'!Z:Z)+150,"")</f>
        <v/>
      </c>
      <c r="N760" s="24" t="str">
        <f t="array" ref="N760">iferror(XLOOKUP(A760,'Download of SFDC Activation Rep'!B:B,'Download of SFDC Activation Rep'!Y:Y),"")</f>
        <v/>
      </c>
    </row>
    <row r="761">
      <c r="B761" s="14"/>
      <c r="C761" s="14"/>
      <c r="D761" s="14"/>
      <c r="E761" s="15"/>
      <c r="F761" s="14"/>
      <c r="G761" s="13" t="str">
        <f t="array" ref="G761">iferror(XLOOKUP(A761,'Download of SFDC Activation Rep'!B:B,'Download of SFDC Activation Rep'!H:H),"")</f>
        <v/>
      </c>
      <c r="H761" s="13" t="str">
        <f t="array" ref="H761">iferror(xlookup(A761,'Download of SFDC Activation Rep'!B:B,'Download of SFDC Activation Rep'!L:L),"")</f>
        <v/>
      </c>
      <c r="I761" s="17" t="str">
        <f t="shared" si="1"/>
        <v>Not Active</v>
      </c>
      <c r="J761" s="17" t="str">
        <f t="array" ref="J761">iferror(XLOOKUP(A761,'Download of SFDC Activation Rep'!B:B,'Download of SFDC Activation Rep'!X:X),"")</f>
        <v/>
      </c>
      <c r="K761" s="17" t="str">
        <f t="array" ref="K761">iferror(XLOOKUP(A761,'Download of SFDC Activation Rep'!B:B,'Download of SFDC Activation Rep'!C:C),"")</f>
        <v/>
      </c>
      <c r="L761" s="18" t="str">
        <f t="array" ref="L761">iferror(XLOOKUP(A761,'Download of SFDC Activation Rep'!B:B,'Download of SFDC Activation Rep'!S:S),"")</f>
        <v/>
      </c>
      <c r="M761" s="24" t="str">
        <f t="array" ref="M761">iferror(XLOOKUP(A761,'Download of SFDC Activation Rep'!B:B,'Download of SFDC Activation Rep'!Z:Z)+150,"")</f>
        <v/>
      </c>
      <c r="N761" s="24" t="str">
        <f t="array" ref="N761">iferror(XLOOKUP(A761,'Download of SFDC Activation Rep'!B:B,'Download of SFDC Activation Rep'!Y:Y),"")</f>
        <v/>
      </c>
    </row>
    <row r="762">
      <c r="B762" s="14"/>
      <c r="C762" s="14"/>
      <c r="D762" s="14"/>
      <c r="E762" s="15"/>
      <c r="F762" s="14"/>
      <c r="G762" s="13" t="str">
        <f t="array" ref="G762">iferror(XLOOKUP(A762,'Download of SFDC Activation Rep'!B:B,'Download of SFDC Activation Rep'!H:H),"")</f>
        <v/>
      </c>
      <c r="H762" s="13" t="str">
        <f t="array" ref="H762">iferror(xlookup(A762,'Download of SFDC Activation Rep'!B:B,'Download of SFDC Activation Rep'!L:L),"")</f>
        <v/>
      </c>
      <c r="I762" s="17" t="str">
        <f t="shared" si="1"/>
        <v>Not Active</v>
      </c>
      <c r="J762" s="17" t="str">
        <f t="array" ref="J762">iferror(XLOOKUP(A762,'Download of SFDC Activation Rep'!B:B,'Download of SFDC Activation Rep'!X:X),"")</f>
        <v/>
      </c>
      <c r="K762" s="17" t="str">
        <f t="array" ref="K762">iferror(XLOOKUP(A762,'Download of SFDC Activation Rep'!B:B,'Download of SFDC Activation Rep'!C:C),"")</f>
        <v/>
      </c>
      <c r="L762" s="18" t="str">
        <f t="array" ref="L762">iferror(XLOOKUP(A762,'Download of SFDC Activation Rep'!B:B,'Download of SFDC Activation Rep'!S:S),"")</f>
        <v/>
      </c>
      <c r="M762" s="24" t="str">
        <f t="array" ref="M762">iferror(XLOOKUP(A762,'Download of SFDC Activation Rep'!B:B,'Download of SFDC Activation Rep'!Z:Z)+150,"")</f>
        <v/>
      </c>
      <c r="N762" s="24" t="str">
        <f t="array" ref="N762">iferror(XLOOKUP(A762,'Download of SFDC Activation Rep'!B:B,'Download of SFDC Activation Rep'!Y:Y),"")</f>
        <v/>
      </c>
    </row>
    <row r="763">
      <c r="B763" s="14"/>
      <c r="C763" s="14"/>
      <c r="D763" s="14"/>
      <c r="E763" s="15"/>
      <c r="F763" s="14"/>
      <c r="G763" s="13" t="str">
        <f t="array" ref="G763">iferror(XLOOKUP(A763,'Download of SFDC Activation Rep'!B:B,'Download of SFDC Activation Rep'!H:H),"")</f>
        <v/>
      </c>
      <c r="H763" s="13" t="str">
        <f t="array" ref="H763">iferror(xlookup(A763,'Download of SFDC Activation Rep'!B:B,'Download of SFDC Activation Rep'!L:L),"")</f>
        <v/>
      </c>
      <c r="I763" s="17" t="str">
        <f t="shared" si="1"/>
        <v>Not Active</v>
      </c>
      <c r="J763" s="17" t="str">
        <f t="array" ref="J763">iferror(XLOOKUP(A763,'Download of SFDC Activation Rep'!B:B,'Download of SFDC Activation Rep'!X:X),"")</f>
        <v/>
      </c>
      <c r="K763" s="17" t="str">
        <f t="array" ref="K763">iferror(XLOOKUP(A763,'Download of SFDC Activation Rep'!B:B,'Download of SFDC Activation Rep'!C:C),"")</f>
        <v/>
      </c>
      <c r="L763" s="18" t="str">
        <f t="array" ref="L763">iferror(XLOOKUP(A763,'Download of SFDC Activation Rep'!B:B,'Download of SFDC Activation Rep'!S:S),"")</f>
        <v/>
      </c>
      <c r="M763" s="24" t="str">
        <f t="array" ref="M763">iferror(XLOOKUP(A763,'Download of SFDC Activation Rep'!B:B,'Download of SFDC Activation Rep'!Z:Z)+150,"")</f>
        <v/>
      </c>
      <c r="N763" s="24" t="str">
        <f t="array" ref="N763">iferror(XLOOKUP(A763,'Download of SFDC Activation Rep'!B:B,'Download of SFDC Activation Rep'!Y:Y),"")</f>
        <v/>
      </c>
    </row>
    <row r="764">
      <c r="B764" s="14"/>
      <c r="C764" s="14"/>
      <c r="D764" s="14"/>
      <c r="E764" s="15"/>
      <c r="F764" s="14"/>
      <c r="G764" s="13" t="str">
        <f t="array" ref="G764">iferror(XLOOKUP(A764,'Download of SFDC Activation Rep'!B:B,'Download of SFDC Activation Rep'!H:H),"")</f>
        <v/>
      </c>
      <c r="H764" s="13" t="str">
        <f t="array" ref="H764">iferror(xlookup(A764,'Download of SFDC Activation Rep'!B:B,'Download of SFDC Activation Rep'!L:L),"")</f>
        <v/>
      </c>
      <c r="I764" s="17" t="str">
        <f t="shared" si="1"/>
        <v>Not Active</v>
      </c>
      <c r="J764" s="17" t="str">
        <f t="array" ref="J764">iferror(XLOOKUP(A764,'Download of SFDC Activation Rep'!B:B,'Download of SFDC Activation Rep'!X:X),"")</f>
        <v/>
      </c>
      <c r="K764" s="17" t="str">
        <f t="array" ref="K764">iferror(XLOOKUP(A764,'Download of SFDC Activation Rep'!B:B,'Download of SFDC Activation Rep'!C:C),"")</f>
        <v/>
      </c>
      <c r="L764" s="18" t="str">
        <f t="array" ref="L764">iferror(XLOOKUP(A764,'Download of SFDC Activation Rep'!B:B,'Download of SFDC Activation Rep'!S:S),"")</f>
        <v/>
      </c>
      <c r="M764" s="24" t="str">
        <f t="array" ref="M764">iferror(XLOOKUP(A764,'Download of SFDC Activation Rep'!B:B,'Download of SFDC Activation Rep'!Z:Z)+150,"")</f>
        <v/>
      </c>
      <c r="N764" s="24" t="str">
        <f t="array" ref="N764">iferror(XLOOKUP(A764,'Download of SFDC Activation Rep'!B:B,'Download of SFDC Activation Rep'!Y:Y),"")</f>
        <v/>
      </c>
    </row>
    <row r="765">
      <c r="B765" s="14"/>
      <c r="C765" s="14"/>
      <c r="D765" s="14"/>
      <c r="E765" s="15"/>
      <c r="F765" s="14"/>
      <c r="G765" s="13" t="str">
        <f t="array" ref="G765">iferror(XLOOKUP(A765,'Download of SFDC Activation Rep'!B:B,'Download of SFDC Activation Rep'!H:H),"")</f>
        <v/>
      </c>
      <c r="H765" s="13" t="str">
        <f t="array" ref="H765">iferror(xlookup(A765,'Download of SFDC Activation Rep'!B:B,'Download of SFDC Activation Rep'!L:L),"")</f>
        <v/>
      </c>
      <c r="I765" s="17" t="str">
        <f t="shared" si="1"/>
        <v>Not Active</v>
      </c>
      <c r="J765" s="17" t="str">
        <f t="array" ref="J765">iferror(XLOOKUP(A765,'Download of SFDC Activation Rep'!B:B,'Download of SFDC Activation Rep'!X:X),"")</f>
        <v/>
      </c>
      <c r="K765" s="17" t="str">
        <f t="array" ref="K765">iferror(XLOOKUP(A765,'Download of SFDC Activation Rep'!B:B,'Download of SFDC Activation Rep'!C:C),"")</f>
        <v/>
      </c>
      <c r="L765" s="18" t="str">
        <f t="array" ref="L765">iferror(XLOOKUP(A765,'Download of SFDC Activation Rep'!B:B,'Download of SFDC Activation Rep'!S:S),"")</f>
        <v/>
      </c>
      <c r="M765" s="24" t="str">
        <f t="array" ref="M765">iferror(XLOOKUP(A765,'Download of SFDC Activation Rep'!B:B,'Download of SFDC Activation Rep'!Z:Z)+150,"")</f>
        <v/>
      </c>
      <c r="N765" s="24" t="str">
        <f t="array" ref="N765">iferror(XLOOKUP(A765,'Download of SFDC Activation Rep'!B:B,'Download of SFDC Activation Rep'!Y:Y),"")</f>
        <v/>
      </c>
    </row>
    <row r="766">
      <c r="B766" s="14"/>
      <c r="C766" s="14"/>
      <c r="D766" s="14"/>
      <c r="E766" s="15"/>
      <c r="F766" s="14"/>
      <c r="G766" s="13" t="str">
        <f t="array" ref="G766">iferror(XLOOKUP(A766,'Download of SFDC Activation Rep'!B:B,'Download of SFDC Activation Rep'!H:H),"")</f>
        <v/>
      </c>
      <c r="H766" s="13" t="str">
        <f t="array" ref="H766">iferror(xlookup(A766,'Download of SFDC Activation Rep'!B:B,'Download of SFDC Activation Rep'!L:L),"")</f>
        <v/>
      </c>
      <c r="I766" s="17" t="str">
        <f t="shared" si="1"/>
        <v>Not Active</v>
      </c>
      <c r="J766" s="17" t="str">
        <f t="array" ref="J766">iferror(XLOOKUP(A766,'Download of SFDC Activation Rep'!B:B,'Download of SFDC Activation Rep'!X:X),"")</f>
        <v/>
      </c>
      <c r="K766" s="17" t="str">
        <f t="array" ref="K766">iferror(XLOOKUP(A766,'Download of SFDC Activation Rep'!B:B,'Download of SFDC Activation Rep'!C:C),"")</f>
        <v/>
      </c>
      <c r="L766" s="18" t="str">
        <f t="array" ref="L766">iferror(XLOOKUP(A766,'Download of SFDC Activation Rep'!B:B,'Download of SFDC Activation Rep'!S:S),"")</f>
        <v/>
      </c>
      <c r="M766" s="24" t="str">
        <f t="array" ref="M766">iferror(XLOOKUP(A766,'Download of SFDC Activation Rep'!B:B,'Download of SFDC Activation Rep'!Z:Z)+150,"")</f>
        <v/>
      </c>
      <c r="N766" s="24" t="str">
        <f t="array" ref="N766">iferror(XLOOKUP(A766,'Download of SFDC Activation Rep'!B:B,'Download of SFDC Activation Rep'!Y:Y),"")</f>
        <v/>
      </c>
    </row>
    <row r="767">
      <c r="B767" s="14"/>
      <c r="C767" s="14"/>
      <c r="D767" s="14"/>
      <c r="E767" s="15"/>
      <c r="F767" s="14"/>
      <c r="G767" s="13" t="str">
        <f t="array" ref="G767">iferror(XLOOKUP(A767,'Download of SFDC Activation Rep'!B:B,'Download of SFDC Activation Rep'!H:H),"")</f>
        <v/>
      </c>
      <c r="H767" s="13" t="str">
        <f t="array" ref="H767">iferror(xlookup(A767,'Download of SFDC Activation Rep'!B:B,'Download of SFDC Activation Rep'!L:L),"")</f>
        <v/>
      </c>
      <c r="I767" s="17" t="str">
        <f t="shared" si="1"/>
        <v>Not Active</v>
      </c>
      <c r="J767" s="17" t="str">
        <f t="array" ref="J767">iferror(XLOOKUP(A767,'Download of SFDC Activation Rep'!B:B,'Download of SFDC Activation Rep'!X:X),"")</f>
        <v/>
      </c>
      <c r="K767" s="17" t="str">
        <f t="array" ref="K767">iferror(XLOOKUP(A767,'Download of SFDC Activation Rep'!B:B,'Download of SFDC Activation Rep'!C:C),"")</f>
        <v/>
      </c>
      <c r="L767" s="18" t="str">
        <f t="array" ref="L767">iferror(XLOOKUP(A767,'Download of SFDC Activation Rep'!B:B,'Download of SFDC Activation Rep'!S:S),"")</f>
        <v/>
      </c>
      <c r="M767" s="24" t="str">
        <f t="array" ref="M767">iferror(XLOOKUP(A767,'Download of SFDC Activation Rep'!B:B,'Download of SFDC Activation Rep'!Z:Z)+150,"")</f>
        <v/>
      </c>
      <c r="N767" s="24" t="str">
        <f t="array" ref="N767">iferror(XLOOKUP(A767,'Download of SFDC Activation Rep'!B:B,'Download of SFDC Activation Rep'!Y:Y),"")</f>
        <v/>
      </c>
    </row>
    <row r="768">
      <c r="B768" s="14"/>
      <c r="C768" s="14"/>
      <c r="D768" s="14"/>
      <c r="E768" s="15"/>
      <c r="F768" s="14"/>
      <c r="G768" s="13" t="str">
        <f t="array" ref="G768">iferror(XLOOKUP(A768,'Download of SFDC Activation Rep'!B:B,'Download of SFDC Activation Rep'!H:H),"")</f>
        <v/>
      </c>
      <c r="H768" s="13" t="str">
        <f t="array" ref="H768">iferror(xlookup(A768,'Download of SFDC Activation Rep'!B:B,'Download of SFDC Activation Rep'!L:L),"")</f>
        <v/>
      </c>
      <c r="I768" s="17" t="str">
        <f t="shared" si="1"/>
        <v>Not Active</v>
      </c>
      <c r="J768" s="17" t="str">
        <f t="array" ref="J768">iferror(XLOOKUP(A768,'Download of SFDC Activation Rep'!B:B,'Download of SFDC Activation Rep'!X:X),"")</f>
        <v/>
      </c>
      <c r="K768" s="17" t="str">
        <f t="array" ref="K768">iferror(XLOOKUP(A768,'Download of SFDC Activation Rep'!B:B,'Download of SFDC Activation Rep'!C:C),"")</f>
        <v/>
      </c>
      <c r="L768" s="18" t="str">
        <f t="array" ref="L768">iferror(XLOOKUP(A768,'Download of SFDC Activation Rep'!B:B,'Download of SFDC Activation Rep'!S:S),"")</f>
        <v/>
      </c>
      <c r="M768" s="24" t="str">
        <f t="array" ref="M768">iferror(XLOOKUP(A768,'Download of SFDC Activation Rep'!B:B,'Download of SFDC Activation Rep'!Z:Z)+150,"")</f>
        <v/>
      </c>
      <c r="N768" s="24" t="str">
        <f t="array" ref="N768">iferror(XLOOKUP(A768,'Download of SFDC Activation Rep'!B:B,'Download of SFDC Activation Rep'!Y:Y),"")</f>
        <v/>
      </c>
    </row>
    <row r="769">
      <c r="B769" s="14"/>
      <c r="C769" s="14"/>
      <c r="D769" s="14"/>
      <c r="E769" s="15"/>
      <c r="F769" s="14"/>
      <c r="G769" s="13" t="str">
        <f t="array" ref="G769">iferror(XLOOKUP(A769,'Download of SFDC Activation Rep'!B:B,'Download of SFDC Activation Rep'!H:H),"")</f>
        <v/>
      </c>
      <c r="H769" s="13" t="str">
        <f t="array" ref="H769">iferror(xlookup(A769,'Download of SFDC Activation Rep'!B:B,'Download of SFDC Activation Rep'!L:L),"")</f>
        <v/>
      </c>
      <c r="I769" s="17" t="str">
        <f t="shared" si="1"/>
        <v>Not Active</v>
      </c>
      <c r="J769" s="17" t="str">
        <f t="array" ref="J769">iferror(XLOOKUP(A769,'Download of SFDC Activation Rep'!B:B,'Download of SFDC Activation Rep'!X:X),"")</f>
        <v/>
      </c>
      <c r="K769" s="17" t="str">
        <f t="array" ref="K769">iferror(XLOOKUP(A769,'Download of SFDC Activation Rep'!B:B,'Download of SFDC Activation Rep'!C:C),"")</f>
        <v/>
      </c>
      <c r="L769" s="18" t="str">
        <f t="array" ref="L769">iferror(XLOOKUP(A769,'Download of SFDC Activation Rep'!B:B,'Download of SFDC Activation Rep'!S:S),"")</f>
        <v/>
      </c>
      <c r="M769" s="24" t="str">
        <f t="array" ref="M769">iferror(XLOOKUP(A769,'Download of SFDC Activation Rep'!B:B,'Download of SFDC Activation Rep'!Z:Z)+150,"")</f>
        <v/>
      </c>
      <c r="N769" s="24" t="str">
        <f t="array" ref="N769">iferror(XLOOKUP(A769,'Download of SFDC Activation Rep'!B:B,'Download of SFDC Activation Rep'!Y:Y),"")</f>
        <v/>
      </c>
    </row>
    <row r="770">
      <c r="B770" s="14"/>
      <c r="C770" s="14"/>
      <c r="D770" s="14"/>
      <c r="E770" s="15"/>
      <c r="F770" s="14"/>
      <c r="G770" s="13" t="str">
        <f t="array" ref="G770">iferror(XLOOKUP(A770,'Download of SFDC Activation Rep'!B:B,'Download of SFDC Activation Rep'!H:H),"")</f>
        <v/>
      </c>
      <c r="H770" s="13" t="str">
        <f t="array" ref="H770">iferror(xlookup(A770,'Download of SFDC Activation Rep'!B:B,'Download of SFDC Activation Rep'!L:L),"")</f>
        <v/>
      </c>
      <c r="I770" s="17" t="str">
        <f t="shared" si="1"/>
        <v>Not Active</v>
      </c>
      <c r="J770" s="17" t="str">
        <f t="array" ref="J770">iferror(XLOOKUP(A770,'Download of SFDC Activation Rep'!B:B,'Download of SFDC Activation Rep'!X:X),"")</f>
        <v/>
      </c>
      <c r="K770" s="17" t="str">
        <f t="array" ref="K770">iferror(XLOOKUP(A770,'Download of SFDC Activation Rep'!B:B,'Download of SFDC Activation Rep'!C:C),"")</f>
        <v/>
      </c>
      <c r="L770" s="18" t="str">
        <f t="array" ref="L770">iferror(XLOOKUP(A770,'Download of SFDC Activation Rep'!B:B,'Download of SFDC Activation Rep'!S:S),"")</f>
        <v/>
      </c>
      <c r="M770" s="24" t="str">
        <f t="array" ref="M770">iferror(XLOOKUP(A770,'Download of SFDC Activation Rep'!B:B,'Download of SFDC Activation Rep'!Z:Z)+150,"")</f>
        <v/>
      </c>
      <c r="N770" s="24" t="str">
        <f t="array" ref="N770">iferror(XLOOKUP(A770,'Download of SFDC Activation Rep'!B:B,'Download of SFDC Activation Rep'!Y:Y),"")</f>
        <v/>
      </c>
    </row>
    <row r="771">
      <c r="B771" s="14"/>
      <c r="C771" s="14"/>
      <c r="D771" s="14"/>
      <c r="E771" s="15"/>
      <c r="F771" s="14"/>
      <c r="G771" s="13" t="str">
        <f t="array" ref="G771">iferror(XLOOKUP(A771,'Download of SFDC Activation Rep'!B:B,'Download of SFDC Activation Rep'!H:H),"")</f>
        <v/>
      </c>
      <c r="H771" s="13" t="str">
        <f t="array" ref="H771">iferror(xlookup(A771,'Download of SFDC Activation Rep'!B:B,'Download of SFDC Activation Rep'!L:L),"")</f>
        <v/>
      </c>
      <c r="I771" s="17" t="str">
        <f t="shared" si="1"/>
        <v>Not Active</v>
      </c>
      <c r="J771" s="17" t="str">
        <f t="array" ref="J771">iferror(XLOOKUP(A771,'Download of SFDC Activation Rep'!B:B,'Download of SFDC Activation Rep'!X:X),"")</f>
        <v/>
      </c>
      <c r="K771" s="17" t="str">
        <f t="array" ref="K771">iferror(XLOOKUP(A771,'Download of SFDC Activation Rep'!B:B,'Download of SFDC Activation Rep'!C:C),"")</f>
        <v/>
      </c>
      <c r="L771" s="18" t="str">
        <f t="array" ref="L771">iferror(XLOOKUP(A771,'Download of SFDC Activation Rep'!B:B,'Download of SFDC Activation Rep'!S:S),"")</f>
        <v/>
      </c>
      <c r="M771" s="24" t="str">
        <f t="array" ref="M771">iferror(XLOOKUP(A771,'Download of SFDC Activation Rep'!B:B,'Download of SFDC Activation Rep'!Z:Z)+150,"")</f>
        <v/>
      </c>
      <c r="N771" s="24" t="str">
        <f t="array" ref="N771">iferror(XLOOKUP(A771,'Download of SFDC Activation Rep'!B:B,'Download of SFDC Activation Rep'!Y:Y),"")</f>
        <v/>
      </c>
    </row>
    <row r="772">
      <c r="B772" s="14"/>
      <c r="C772" s="14"/>
      <c r="D772" s="14"/>
      <c r="E772" s="15"/>
      <c r="F772" s="14"/>
      <c r="G772" s="13" t="str">
        <f t="array" ref="G772">iferror(XLOOKUP(A772,'Download of SFDC Activation Rep'!B:B,'Download of SFDC Activation Rep'!H:H),"")</f>
        <v/>
      </c>
      <c r="H772" s="13" t="str">
        <f t="array" ref="H772">iferror(xlookup(A772,'Download of SFDC Activation Rep'!B:B,'Download of SFDC Activation Rep'!L:L),"")</f>
        <v/>
      </c>
      <c r="I772" s="17" t="str">
        <f t="shared" si="1"/>
        <v>Not Active</v>
      </c>
      <c r="J772" s="17" t="str">
        <f t="array" ref="J772">iferror(XLOOKUP(A772,'Download of SFDC Activation Rep'!B:B,'Download of SFDC Activation Rep'!X:X),"")</f>
        <v/>
      </c>
      <c r="K772" s="17" t="str">
        <f t="array" ref="K772">iferror(XLOOKUP(A772,'Download of SFDC Activation Rep'!B:B,'Download of SFDC Activation Rep'!C:C),"")</f>
        <v/>
      </c>
      <c r="L772" s="18" t="str">
        <f t="array" ref="L772">iferror(XLOOKUP(A772,'Download of SFDC Activation Rep'!B:B,'Download of SFDC Activation Rep'!S:S),"")</f>
        <v/>
      </c>
      <c r="M772" s="24" t="str">
        <f t="array" ref="M772">iferror(XLOOKUP(A772,'Download of SFDC Activation Rep'!B:B,'Download of SFDC Activation Rep'!Z:Z)+150,"")</f>
        <v/>
      </c>
      <c r="N772" s="24" t="str">
        <f t="array" ref="N772">iferror(XLOOKUP(A772,'Download of SFDC Activation Rep'!B:B,'Download of SFDC Activation Rep'!Y:Y),"")</f>
        <v/>
      </c>
    </row>
    <row r="773">
      <c r="B773" s="14"/>
      <c r="C773" s="14"/>
      <c r="D773" s="14"/>
      <c r="E773" s="15"/>
      <c r="F773" s="14"/>
      <c r="G773" s="13" t="str">
        <f t="array" ref="G773">iferror(XLOOKUP(A773,'Download of SFDC Activation Rep'!B:B,'Download of SFDC Activation Rep'!H:H),"")</f>
        <v/>
      </c>
      <c r="H773" s="13" t="str">
        <f t="array" ref="H773">iferror(xlookup(A773,'Download of SFDC Activation Rep'!B:B,'Download of SFDC Activation Rep'!L:L),"")</f>
        <v/>
      </c>
      <c r="I773" s="17" t="str">
        <f t="shared" si="1"/>
        <v>Not Active</v>
      </c>
      <c r="J773" s="17" t="str">
        <f t="array" ref="J773">iferror(XLOOKUP(A773,'Download of SFDC Activation Rep'!B:B,'Download of SFDC Activation Rep'!X:X),"")</f>
        <v/>
      </c>
      <c r="K773" s="17" t="str">
        <f t="array" ref="K773">iferror(XLOOKUP(A773,'Download of SFDC Activation Rep'!B:B,'Download of SFDC Activation Rep'!C:C),"")</f>
        <v/>
      </c>
      <c r="L773" s="18" t="str">
        <f t="array" ref="L773">iferror(XLOOKUP(A773,'Download of SFDC Activation Rep'!B:B,'Download of SFDC Activation Rep'!S:S),"")</f>
        <v/>
      </c>
      <c r="M773" s="24" t="str">
        <f t="array" ref="M773">iferror(XLOOKUP(A773,'Download of SFDC Activation Rep'!B:B,'Download of SFDC Activation Rep'!Z:Z)+150,"")</f>
        <v/>
      </c>
      <c r="N773" s="24" t="str">
        <f t="array" ref="N773">iferror(XLOOKUP(A773,'Download of SFDC Activation Rep'!B:B,'Download of SFDC Activation Rep'!Y:Y),"")</f>
        <v/>
      </c>
    </row>
    <row r="774">
      <c r="B774" s="14"/>
      <c r="C774" s="14"/>
      <c r="D774" s="14"/>
      <c r="E774" s="15"/>
      <c r="F774" s="14"/>
      <c r="G774" s="13" t="str">
        <f t="array" ref="G774">iferror(XLOOKUP(A774,'Download of SFDC Activation Rep'!B:B,'Download of SFDC Activation Rep'!H:H),"")</f>
        <v/>
      </c>
      <c r="H774" s="13" t="str">
        <f t="array" ref="H774">iferror(xlookup(A774,'Download of SFDC Activation Rep'!B:B,'Download of SFDC Activation Rep'!L:L),"")</f>
        <v/>
      </c>
      <c r="I774" s="17" t="str">
        <f t="shared" si="1"/>
        <v>Not Active</v>
      </c>
      <c r="J774" s="17" t="str">
        <f t="array" ref="J774">iferror(XLOOKUP(A774,'Download of SFDC Activation Rep'!B:B,'Download of SFDC Activation Rep'!X:X),"")</f>
        <v/>
      </c>
      <c r="K774" s="17" t="str">
        <f t="array" ref="K774">iferror(XLOOKUP(A774,'Download of SFDC Activation Rep'!B:B,'Download of SFDC Activation Rep'!C:C),"")</f>
        <v/>
      </c>
      <c r="L774" s="18" t="str">
        <f t="array" ref="L774">iferror(XLOOKUP(A774,'Download of SFDC Activation Rep'!B:B,'Download of SFDC Activation Rep'!S:S),"")</f>
        <v/>
      </c>
      <c r="M774" s="24" t="str">
        <f t="array" ref="M774">iferror(XLOOKUP(A774,'Download of SFDC Activation Rep'!B:B,'Download of SFDC Activation Rep'!Z:Z)+150,"")</f>
        <v/>
      </c>
      <c r="N774" s="24" t="str">
        <f t="array" ref="N774">iferror(XLOOKUP(A774,'Download of SFDC Activation Rep'!B:B,'Download of SFDC Activation Rep'!Y:Y),"")</f>
        <v/>
      </c>
    </row>
    <row r="775">
      <c r="B775" s="14"/>
      <c r="C775" s="14"/>
      <c r="D775" s="14"/>
      <c r="E775" s="15"/>
      <c r="F775" s="14"/>
      <c r="G775" s="13" t="str">
        <f t="array" ref="G775">iferror(XLOOKUP(A775,'Download of SFDC Activation Rep'!B:B,'Download of SFDC Activation Rep'!H:H),"")</f>
        <v/>
      </c>
      <c r="H775" s="13" t="str">
        <f t="array" ref="H775">iferror(xlookup(A775,'Download of SFDC Activation Rep'!B:B,'Download of SFDC Activation Rep'!L:L),"")</f>
        <v/>
      </c>
      <c r="I775" s="17" t="str">
        <f t="shared" si="1"/>
        <v>Not Active</v>
      </c>
      <c r="J775" s="17" t="str">
        <f t="array" ref="J775">iferror(XLOOKUP(A775,'Download of SFDC Activation Rep'!B:B,'Download of SFDC Activation Rep'!X:X),"")</f>
        <v/>
      </c>
      <c r="K775" s="17" t="str">
        <f t="array" ref="K775">iferror(XLOOKUP(A775,'Download of SFDC Activation Rep'!B:B,'Download of SFDC Activation Rep'!C:C),"")</f>
        <v/>
      </c>
      <c r="L775" s="18" t="str">
        <f t="array" ref="L775">iferror(XLOOKUP(A775,'Download of SFDC Activation Rep'!B:B,'Download of SFDC Activation Rep'!S:S),"")</f>
        <v/>
      </c>
      <c r="M775" s="24" t="str">
        <f t="array" ref="M775">iferror(XLOOKUP(A775,'Download of SFDC Activation Rep'!B:B,'Download of SFDC Activation Rep'!Z:Z)+150,"")</f>
        <v/>
      </c>
      <c r="N775" s="24" t="str">
        <f t="array" ref="N775">iferror(XLOOKUP(A775,'Download of SFDC Activation Rep'!B:B,'Download of SFDC Activation Rep'!Y:Y),"")</f>
        <v/>
      </c>
    </row>
    <row r="776">
      <c r="B776" s="14"/>
      <c r="C776" s="14"/>
      <c r="D776" s="14"/>
      <c r="E776" s="15"/>
      <c r="F776" s="14"/>
      <c r="G776" s="13" t="str">
        <f t="array" ref="G776">iferror(XLOOKUP(A776,'Download of SFDC Activation Rep'!B:B,'Download of SFDC Activation Rep'!H:H),"")</f>
        <v/>
      </c>
      <c r="H776" s="13" t="str">
        <f t="array" ref="H776">iferror(xlookup(A776,'Download of SFDC Activation Rep'!B:B,'Download of SFDC Activation Rep'!L:L),"")</f>
        <v/>
      </c>
      <c r="I776" s="17" t="str">
        <f t="shared" si="1"/>
        <v>Not Active</v>
      </c>
      <c r="J776" s="17" t="str">
        <f t="array" ref="J776">iferror(XLOOKUP(A776,'Download of SFDC Activation Rep'!B:B,'Download of SFDC Activation Rep'!X:X),"")</f>
        <v/>
      </c>
      <c r="K776" s="17" t="str">
        <f t="array" ref="K776">iferror(XLOOKUP(A776,'Download of SFDC Activation Rep'!B:B,'Download of SFDC Activation Rep'!C:C),"")</f>
        <v/>
      </c>
      <c r="L776" s="18" t="str">
        <f t="array" ref="L776">iferror(XLOOKUP(A776,'Download of SFDC Activation Rep'!B:B,'Download of SFDC Activation Rep'!S:S),"")</f>
        <v/>
      </c>
      <c r="M776" s="24" t="str">
        <f t="array" ref="M776">iferror(XLOOKUP(A776,'Download of SFDC Activation Rep'!B:B,'Download of SFDC Activation Rep'!Z:Z)+150,"")</f>
        <v/>
      </c>
      <c r="N776" s="24" t="str">
        <f t="array" ref="N776">iferror(XLOOKUP(A776,'Download of SFDC Activation Rep'!B:B,'Download of SFDC Activation Rep'!Y:Y),"")</f>
        <v/>
      </c>
    </row>
    <row r="777">
      <c r="B777" s="14"/>
      <c r="C777" s="14"/>
      <c r="D777" s="14"/>
      <c r="E777" s="15"/>
      <c r="F777" s="14"/>
      <c r="G777" s="13" t="str">
        <f t="array" ref="G777">iferror(XLOOKUP(A777,'Download of SFDC Activation Rep'!B:B,'Download of SFDC Activation Rep'!H:H),"")</f>
        <v/>
      </c>
      <c r="H777" s="13" t="str">
        <f t="array" ref="H777">iferror(xlookup(A777,'Download of SFDC Activation Rep'!B:B,'Download of SFDC Activation Rep'!L:L),"")</f>
        <v/>
      </c>
      <c r="I777" s="17" t="str">
        <f t="shared" si="1"/>
        <v>Not Active</v>
      </c>
      <c r="J777" s="17" t="str">
        <f t="array" ref="J777">iferror(XLOOKUP(A777,'Download of SFDC Activation Rep'!B:B,'Download of SFDC Activation Rep'!X:X),"")</f>
        <v/>
      </c>
      <c r="K777" s="17" t="str">
        <f t="array" ref="K777">iferror(XLOOKUP(A777,'Download of SFDC Activation Rep'!B:B,'Download of SFDC Activation Rep'!C:C),"")</f>
        <v/>
      </c>
      <c r="L777" s="18" t="str">
        <f t="array" ref="L777">iferror(XLOOKUP(A777,'Download of SFDC Activation Rep'!B:B,'Download of SFDC Activation Rep'!S:S),"")</f>
        <v/>
      </c>
      <c r="M777" s="24" t="str">
        <f t="array" ref="M777">iferror(XLOOKUP(A777,'Download of SFDC Activation Rep'!B:B,'Download of SFDC Activation Rep'!Z:Z)+150,"")</f>
        <v/>
      </c>
      <c r="N777" s="24" t="str">
        <f t="array" ref="N777">iferror(XLOOKUP(A777,'Download of SFDC Activation Rep'!B:B,'Download of SFDC Activation Rep'!Y:Y),"")</f>
        <v/>
      </c>
    </row>
    <row r="778">
      <c r="B778" s="14"/>
      <c r="C778" s="14"/>
      <c r="D778" s="14"/>
      <c r="E778" s="15"/>
      <c r="F778" s="14"/>
      <c r="G778" s="13" t="str">
        <f t="array" ref="G778">iferror(XLOOKUP(A778,'Download of SFDC Activation Rep'!B:B,'Download of SFDC Activation Rep'!H:H),"")</f>
        <v/>
      </c>
      <c r="H778" s="13" t="str">
        <f t="array" ref="H778">iferror(xlookup(A778,'Download of SFDC Activation Rep'!B:B,'Download of SFDC Activation Rep'!L:L),"")</f>
        <v/>
      </c>
      <c r="I778" s="17" t="str">
        <f t="shared" si="1"/>
        <v>Not Active</v>
      </c>
      <c r="J778" s="17" t="str">
        <f t="array" ref="J778">iferror(XLOOKUP(A778,'Download of SFDC Activation Rep'!B:B,'Download of SFDC Activation Rep'!X:X),"")</f>
        <v/>
      </c>
      <c r="K778" s="17" t="str">
        <f t="array" ref="K778">iferror(XLOOKUP(A778,'Download of SFDC Activation Rep'!B:B,'Download of SFDC Activation Rep'!C:C),"")</f>
        <v/>
      </c>
      <c r="L778" s="18" t="str">
        <f t="array" ref="L778">iferror(XLOOKUP(A778,'Download of SFDC Activation Rep'!B:B,'Download of SFDC Activation Rep'!S:S),"")</f>
        <v/>
      </c>
      <c r="M778" s="24" t="str">
        <f t="array" ref="M778">iferror(XLOOKUP(A778,'Download of SFDC Activation Rep'!B:B,'Download of SFDC Activation Rep'!Z:Z)+150,"")</f>
        <v/>
      </c>
      <c r="N778" s="24" t="str">
        <f t="array" ref="N778">iferror(XLOOKUP(A778,'Download of SFDC Activation Rep'!B:B,'Download of SFDC Activation Rep'!Y:Y),"")</f>
        <v/>
      </c>
    </row>
    <row r="779">
      <c r="B779" s="14"/>
      <c r="C779" s="14"/>
      <c r="D779" s="14"/>
      <c r="E779" s="15"/>
      <c r="F779" s="14"/>
      <c r="G779" s="13" t="str">
        <f t="array" ref="G779">iferror(XLOOKUP(A779,'Download of SFDC Activation Rep'!B:B,'Download of SFDC Activation Rep'!H:H),"")</f>
        <v/>
      </c>
      <c r="H779" s="13" t="str">
        <f t="array" ref="H779">iferror(xlookup(A779,'Download of SFDC Activation Rep'!B:B,'Download of SFDC Activation Rep'!L:L),"")</f>
        <v/>
      </c>
      <c r="I779" s="17" t="str">
        <f t="shared" si="1"/>
        <v>Not Active</v>
      </c>
      <c r="J779" s="17" t="str">
        <f t="array" ref="J779">iferror(XLOOKUP(A779,'Download of SFDC Activation Rep'!B:B,'Download of SFDC Activation Rep'!X:X),"")</f>
        <v/>
      </c>
      <c r="K779" s="17" t="str">
        <f t="array" ref="K779">iferror(XLOOKUP(A779,'Download of SFDC Activation Rep'!B:B,'Download of SFDC Activation Rep'!C:C),"")</f>
        <v/>
      </c>
      <c r="L779" s="18" t="str">
        <f t="array" ref="L779">iferror(XLOOKUP(A779,'Download of SFDC Activation Rep'!B:B,'Download of SFDC Activation Rep'!S:S),"")</f>
        <v/>
      </c>
      <c r="M779" s="24" t="str">
        <f t="array" ref="M779">iferror(XLOOKUP(A779,'Download of SFDC Activation Rep'!B:B,'Download of SFDC Activation Rep'!Z:Z)+150,"")</f>
        <v/>
      </c>
      <c r="N779" s="24" t="str">
        <f t="array" ref="N779">iferror(XLOOKUP(A779,'Download of SFDC Activation Rep'!B:B,'Download of SFDC Activation Rep'!Y:Y),"")</f>
        <v/>
      </c>
    </row>
    <row r="780">
      <c r="B780" s="14"/>
      <c r="C780" s="14"/>
      <c r="D780" s="14"/>
      <c r="E780" s="15"/>
      <c r="F780" s="14"/>
      <c r="G780" s="13" t="str">
        <f t="array" ref="G780">iferror(XLOOKUP(A780,'Download of SFDC Activation Rep'!B:B,'Download of SFDC Activation Rep'!H:H),"")</f>
        <v/>
      </c>
      <c r="H780" s="13" t="str">
        <f t="array" ref="H780">iferror(xlookup(A780,'Download of SFDC Activation Rep'!B:B,'Download of SFDC Activation Rep'!L:L),"")</f>
        <v/>
      </c>
      <c r="I780" s="17" t="str">
        <f t="shared" si="1"/>
        <v>Not Active</v>
      </c>
      <c r="J780" s="17" t="str">
        <f t="array" ref="J780">iferror(XLOOKUP(A780,'Download of SFDC Activation Rep'!B:B,'Download of SFDC Activation Rep'!X:X),"")</f>
        <v/>
      </c>
      <c r="K780" s="17" t="str">
        <f t="array" ref="K780">iferror(XLOOKUP(A780,'Download of SFDC Activation Rep'!B:B,'Download of SFDC Activation Rep'!C:C),"")</f>
        <v/>
      </c>
      <c r="L780" s="18" t="str">
        <f t="array" ref="L780">iferror(XLOOKUP(A780,'Download of SFDC Activation Rep'!B:B,'Download of SFDC Activation Rep'!S:S),"")</f>
        <v/>
      </c>
      <c r="M780" s="24" t="str">
        <f t="array" ref="M780">iferror(XLOOKUP(A780,'Download of SFDC Activation Rep'!B:B,'Download of SFDC Activation Rep'!Z:Z)+150,"")</f>
        <v/>
      </c>
      <c r="N780" s="24" t="str">
        <f t="array" ref="N780">iferror(XLOOKUP(A780,'Download of SFDC Activation Rep'!B:B,'Download of SFDC Activation Rep'!Y:Y),"")</f>
        <v/>
      </c>
    </row>
    <row r="781">
      <c r="B781" s="14"/>
      <c r="C781" s="14"/>
      <c r="D781" s="14"/>
      <c r="E781" s="15"/>
      <c r="F781" s="14"/>
      <c r="G781" s="13" t="str">
        <f t="array" ref="G781">iferror(XLOOKUP(A781,'Download of SFDC Activation Rep'!B:B,'Download of SFDC Activation Rep'!H:H),"")</f>
        <v/>
      </c>
      <c r="H781" s="13" t="str">
        <f t="array" ref="H781">iferror(xlookup(A781,'Download of SFDC Activation Rep'!B:B,'Download of SFDC Activation Rep'!L:L),"")</f>
        <v/>
      </c>
      <c r="I781" s="17" t="str">
        <f t="shared" si="1"/>
        <v>Not Active</v>
      </c>
      <c r="J781" s="17" t="str">
        <f t="array" ref="J781">iferror(XLOOKUP(A781,'Download of SFDC Activation Rep'!B:B,'Download of SFDC Activation Rep'!X:X),"")</f>
        <v/>
      </c>
      <c r="K781" s="17" t="str">
        <f t="array" ref="K781">iferror(XLOOKUP(A781,'Download of SFDC Activation Rep'!B:B,'Download of SFDC Activation Rep'!C:C),"")</f>
        <v/>
      </c>
      <c r="L781" s="18" t="str">
        <f t="array" ref="L781">iferror(XLOOKUP(A781,'Download of SFDC Activation Rep'!B:B,'Download of SFDC Activation Rep'!S:S),"")</f>
        <v/>
      </c>
      <c r="M781" s="24" t="str">
        <f t="array" ref="M781">iferror(XLOOKUP(A781,'Download of SFDC Activation Rep'!B:B,'Download of SFDC Activation Rep'!Z:Z)+150,"")</f>
        <v/>
      </c>
      <c r="N781" s="24" t="str">
        <f t="array" ref="N781">iferror(XLOOKUP(A781,'Download of SFDC Activation Rep'!B:B,'Download of SFDC Activation Rep'!Y:Y),"")</f>
        <v/>
      </c>
    </row>
    <row r="782">
      <c r="B782" s="14"/>
      <c r="C782" s="14"/>
      <c r="D782" s="14"/>
      <c r="E782" s="15"/>
      <c r="F782" s="14"/>
      <c r="G782" s="13" t="str">
        <f t="array" ref="G782">iferror(XLOOKUP(A782,'Download of SFDC Activation Rep'!B:B,'Download of SFDC Activation Rep'!H:H),"")</f>
        <v/>
      </c>
      <c r="H782" s="13" t="str">
        <f t="array" ref="H782">iferror(xlookup(A782,'Download of SFDC Activation Rep'!B:B,'Download of SFDC Activation Rep'!L:L),"")</f>
        <v/>
      </c>
      <c r="I782" s="17" t="str">
        <f t="shared" si="1"/>
        <v>Not Active</v>
      </c>
      <c r="J782" s="17" t="str">
        <f t="array" ref="J782">iferror(XLOOKUP(A782,'Download of SFDC Activation Rep'!B:B,'Download of SFDC Activation Rep'!X:X),"")</f>
        <v/>
      </c>
      <c r="K782" s="17" t="str">
        <f t="array" ref="K782">iferror(XLOOKUP(A782,'Download of SFDC Activation Rep'!B:B,'Download of SFDC Activation Rep'!C:C),"")</f>
        <v/>
      </c>
      <c r="L782" s="18" t="str">
        <f t="array" ref="L782">iferror(XLOOKUP(A782,'Download of SFDC Activation Rep'!B:B,'Download of SFDC Activation Rep'!S:S),"")</f>
        <v/>
      </c>
      <c r="M782" s="24" t="str">
        <f t="array" ref="M782">iferror(XLOOKUP(A782,'Download of SFDC Activation Rep'!B:B,'Download of SFDC Activation Rep'!Z:Z)+150,"")</f>
        <v/>
      </c>
      <c r="N782" s="24" t="str">
        <f t="array" ref="N782">iferror(XLOOKUP(A782,'Download of SFDC Activation Rep'!B:B,'Download of SFDC Activation Rep'!Y:Y),"")</f>
        <v/>
      </c>
    </row>
    <row r="783">
      <c r="B783" s="14"/>
      <c r="C783" s="14"/>
      <c r="D783" s="14"/>
      <c r="E783" s="15"/>
      <c r="F783" s="14"/>
      <c r="G783" s="13" t="str">
        <f t="array" ref="G783">iferror(XLOOKUP(A783,'Download of SFDC Activation Rep'!B:B,'Download of SFDC Activation Rep'!H:H),"")</f>
        <v/>
      </c>
      <c r="H783" s="13" t="str">
        <f t="array" ref="H783">iferror(xlookup(A783,'Download of SFDC Activation Rep'!B:B,'Download of SFDC Activation Rep'!L:L),"")</f>
        <v/>
      </c>
      <c r="I783" s="17" t="str">
        <f t="shared" si="1"/>
        <v>Not Active</v>
      </c>
      <c r="J783" s="17" t="str">
        <f t="array" ref="J783">iferror(XLOOKUP(A783,'Download of SFDC Activation Rep'!B:B,'Download of SFDC Activation Rep'!X:X),"")</f>
        <v/>
      </c>
      <c r="K783" s="17" t="str">
        <f t="array" ref="K783">iferror(XLOOKUP(A783,'Download of SFDC Activation Rep'!B:B,'Download of SFDC Activation Rep'!C:C),"")</f>
        <v/>
      </c>
      <c r="L783" s="18" t="str">
        <f t="array" ref="L783">iferror(XLOOKUP(A783,'Download of SFDC Activation Rep'!B:B,'Download of SFDC Activation Rep'!S:S),"")</f>
        <v/>
      </c>
      <c r="M783" s="24" t="str">
        <f t="array" ref="M783">iferror(XLOOKUP(A783,'Download of SFDC Activation Rep'!B:B,'Download of SFDC Activation Rep'!Z:Z)+150,"")</f>
        <v/>
      </c>
      <c r="N783" s="24" t="str">
        <f t="array" ref="N783">iferror(XLOOKUP(A783,'Download of SFDC Activation Rep'!B:B,'Download of SFDC Activation Rep'!Y:Y),"")</f>
        <v/>
      </c>
    </row>
    <row r="784">
      <c r="B784" s="14"/>
      <c r="C784" s="14"/>
      <c r="D784" s="14"/>
      <c r="E784" s="15"/>
      <c r="F784" s="14"/>
      <c r="G784" s="13" t="str">
        <f t="array" ref="G784">iferror(XLOOKUP(A784,'Download of SFDC Activation Rep'!B:B,'Download of SFDC Activation Rep'!H:H),"")</f>
        <v/>
      </c>
      <c r="H784" s="13" t="str">
        <f t="array" ref="H784">iferror(xlookup(A784,'Download of SFDC Activation Rep'!B:B,'Download of SFDC Activation Rep'!L:L),"")</f>
        <v/>
      </c>
      <c r="I784" s="17" t="str">
        <f t="shared" si="1"/>
        <v>Not Active</v>
      </c>
      <c r="J784" s="17" t="str">
        <f t="array" ref="J784">iferror(XLOOKUP(A784,'Download of SFDC Activation Rep'!B:B,'Download of SFDC Activation Rep'!X:X),"")</f>
        <v/>
      </c>
      <c r="K784" s="17" t="str">
        <f t="array" ref="K784">iferror(XLOOKUP(A784,'Download of SFDC Activation Rep'!B:B,'Download of SFDC Activation Rep'!C:C),"")</f>
        <v/>
      </c>
      <c r="L784" s="18" t="str">
        <f t="array" ref="L784">iferror(XLOOKUP(A784,'Download of SFDC Activation Rep'!B:B,'Download of SFDC Activation Rep'!S:S),"")</f>
        <v/>
      </c>
      <c r="M784" s="24" t="str">
        <f t="array" ref="M784">iferror(XLOOKUP(A784,'Download of SFDC Activation Rep'!B:B,'Download of SFDC Activation Rep'!Z:Z)+150,"")</f>
        <v/>
      </c>
      <c r="N784" s="24" t="str">
        <f t="array" ref="N784">iferror(XLOOKUP(A784,'Download of SFDC Activation Rep'!B:B,'Download of SFDC Activation Rep'!Y:Y),"")</f>
        <v/>
      </c>
    </row>
    <row r="785">
      <c r="B785" s="14"/>
      <c r="C785" s="14"/>
      <c r="D785" s="14"/>
      <c r="E785" s="15"/>
      <c r="F785" s="14"/>
      <c r="G785" s="13" t="str">
        <f t="array" ref="G785">iferror(XLOOKUP(A785,'Download of SFDC Activation Rep'!B:B,'Download of SFDC Activation Rep'!H:H),"")</f>
        <v/>
      </c>
      <c r="H785" s="13" t="str">
        <f t="array" ref="H785">iferror(xlookup(A785,'Download of SFDC Activation Rep'!B:B,'Download of SFDC Activation Rep'!L:L),"")</f>
        <v/>
      </c>
      <c r="I785" s="17" t="str">
        <f t="shared" si="1"/>
        <v>Not Active</v>
      </c>
      <c r="J785" s="17" t="str">
        <f t="array" ref="J785">iferror(XLOOKUP(A785,'Download of SFDC Activation Rep'!B:B,'Download of SFDC Activation Rep'!X:X),"")</f>
        <v/>
      </c>
      <c r="K785" s="17" t="str">
        <f t="array" ref="K785">iferror(XLOOKUP(A785,'Download of SFDC Activation Rep'!B:B,'Download of SFDC Activation Rep'!C:C),"")</f>
        <v/>
      </c>
      <c r="L785" s="18" t="str">
        <f t="array" ref="L785">iferror(XLOOKUP(A785,'Download of SFDC Activation Rep'!B:B,'Download of SFDC Activation Rep'!S:S),"")</f>
        <v/>
      </c>
      <c r="M785" s="24" t="str">
        <f t="array" ref="M785">iferror(XLOOKUP(A785,'Download of SFDC Activation Rep'!B:B,'Download of SFDC Activation Rep'!Z:Z)+150,"")</f>
        <v/>
      </c>
      <c r="N785" s="24" t="str">
        <f t="array" ref="N785">iferror(XLOOKUP(A785,'Download of SFDC Activation Rep'!B:B,'Download of SFDC Activation Rep'!Y:Y),"")</f>
        <v/>
      </c>
    </row>
    <row r="786">
      <c r="B786" s="14"/>
      <c r="C786" s="14"/>
      <c r="D786" s="14"/>
      <c r="E786" s="15"/>
      <c r="F786" s="14"/>
      <c r="G786" s="13" t="str">
        <f t="array" ref="G786">iferror(XLOOKUP(A786,'Download of SFDC Activation Rep'!B:B,'Download of SFDC Activation Rep'!H:H),"")</f>
        <v/>
      </c>
      <c r="H786" s="13" t="str">
        <f t="array" ref="H786">iferror(xlookup(A786,'Download of SFDC Activation Rep'!B:B,'Download of SFDC Activation Rep'!L:L),"")</f>
        <v/>
      </c>
      <c r="I786" s="17" t="str">
        <f t="shared" si="1"/>
        <v>Not Active</v>
      </c>
      <c r="J786" s="17" t="str">
        <f t="array" ref="J786">iferror(XLOOKUP(A786,'Download of SFDC Activation Rep'!B:B,'Download of SFDC Activation Rep'!X:X),"")</f>
        <v/>
      </c>
      <c r="K786" s="17" t="str">
        <f t="array" ref="K786">iferror(XLOOKUP(A786,'Download of SFDC Activation Rep'!B:B,'Download of SFDC Activation Rep'!C:C),"")</f>
        <v/>
      </c>
      <c r="L786" s="18" t="str">
        <f t="array" ref="L786">iferror(XLOOKUP(A786,'Download of SFDC Activation Rep'!B:B,'Download of SFDC Activation Rep'!S:S),"")</f>
        <v/>
      </c>
      <c r="M786" s="24" t="str">
        <f t="array" ref="M786">iferror(XLOOKUP(A786,'Download of SFDC Activation Rep'!B:B,'Download of SFDC Activation Rep'!Z:Z)+150,"")</f>
        <v/>
      </c>
      <c r="N786" s="24" t="str">
        <f t="array" ref="N786">iferror(XLOOKUP(A786,'Download of SFDC Activation Rep'!B:B,'Download of SFDC Activation Rep'!Y:Y),"")</f>
        <v/>
      </c>
    </row>
    <row r="787">
      <c r="B787" s="14"/>
      <c r="C787" s="14"/>
      <c r="D787" s="14"/>
      <c r="E787" s="15"/>
      <c r="F787" s="14"/>
      <c r="G787" s="13" t="str">
        <f t="array" ref="G787">iferror(XLOOKUP(A787,'Download of SFDC Activation Rep'!B:B,'Download of SFDC Activation Rep'!H:H),"")</f>
        <v/>
      </c>
      <c r="H787" s="13" t="str">
        <f t="array" ref="H787">iferror(xlookup(A787,'Download of SFDC Activation Rep'!B:B,'Download of SFDC Activation Rep'!L:L),"")</f>
        <v/>
      </c>
      <c r="I787" s="17" t="str">
        <f t="shared" si="1"/>
        <v>Not Active</v>
      </c>
      <c r="J787" s="17" t="str">
        <f t="array" ref="J787">iferror(XLOOKUP(A787,'Download of SFDC Activation Rep'!B:B,'Download of SFDC Activation Rep'!X:X),"")</f>
        <v/>
      </c>
      <c r="K787" s="17" t="str">
        <f t="array" ref="K787">iferror(XLOOKUP(A787,'Download of SFDC Activation Rep'!B:B,'Download of SFDC Activation Rep'!C:C),"")</f>
        <v/>
      </c>
      <c r="L787" s="18" t="str">
        <f t="array" ref="L787">iferror(XLOOKUP(A787,'Download of SFDC Activation Rep'!B:B,'Download of SFDC Activation Rep'!S:S),"")</f>
        <v/>
      </c>
      <c r="M787" s="24" t="str">
        <f t="array" ref="M787">iferror(XLOOKUP(A787,'Download of SFDC Activation Rep'!B:B,'Download of SFDC Activation Rep'!Z:Z)+150,"")</f>
        <v/>
      </c>
      <c r="N787" s="24" t="str">
        <f t="array" ref="N787">iferror(XLOOKUP(A787,'Download of SFDC Activation Rep'!B:B,'Download of SFDC Activation Rep'!Y:Y),"")</f>
        <v/>
      </c>
    </row>
    <row r="788">
      <c r="B788" s="14"/>
      <c r="C788" s="14"/>
      <c r="D788" s="14"/>
      <c r="E788" s="15"/>
      <c r="F788" s="14"/>
      <c r="G788" s="13" t="str">
        <f t="array" ref="G788">iferror(XLOOKUP(A788,'Download of SFDC Activation Rep'!B:B,'Download of SFDC Activation Rep'!H:H),"")</f>
        <v/>
      </c>
      <c r="H788" s="13" t="str">
        <f t="array" ref="H788">iferror(xlookup(A788,'Download of SFDC Activation Rep'!B:B,'Download of SFDC Activation Rep'!L:L),"")</f>
        <v/>
      </c>
      <c r="I788" s="17" t="str">
        <f t="shared" si="1"/>
        <v>Not Active</v>
      </c>
      <c r="J788" s="17" t="str">
        <f t="array" ref="J788">iferror(XLOOKUP(A788,'Download of SFDC Activation Rep'!B:B,'Download of SFDC Activation Rep'!X:X),"")</f>
        <v/>
      </c>
      <c r="K788" s="17" t="str">
        <f t="array" ref="K788">iferror(XLOOKUP(A788,'Download of SFDC Activation Rep'!B:B,'Download of SFDC Activation Rep'!C:C),"")</f>
        <v/>
      </c>
      <c r="L788" s="18" t="str">
        <f t="array" ref="L788">iferror(XLOOKUP(A788,'Download of SFDC Activation Rep'!B:B,'Download of SFDC Activation Rep'!S:S),"")</f>
        <v/>
      </c>
      <c r="M788" s="24" t="str">
        <f t="array" ref="M788">iferror(XLOOKUP(A788,'Download of SFDC Activation Rep'!B:B,'Download of SFDC Activation Rep'!Z:Z)+150,"")</f>
        <v/>
      </c>
      <c r="N788" s="24" t="str">
        <f t="array" ref="N788">iferror(XLOOKUP(A788,'Download of SFDC Activation Rep'!B:B,'Download of SFDC Activation Rep'!Y:Y),"")</f>
        <v/>
      </c>
    </row>
    <row r="789">
      <c r="B789" s="14"/>
      <c r="C789" s="14"/>
      <c r="D789" s="14"/>
      <c r="E789" s="15"/>
      <c r="F789" s="14"/>
      <c r="G789" s="13" t="str">
        <f t="array" ref="G789">iferror(XLOOKUP(A789,'Download of SFDC Activation Rep'!B:B,'Download of SFDC Activation Rep'!H:H),"")</f>
        <v/>
      </c>
      <c r="H789" s="13" t="str">
        <f t="array" ref="H789">iferror(xlookup(A789,'Download of SFDC Activation Rep'!B:B,'Download of SFDC Activation Rep'!L:L),"")</f>
        <v/>
      </c>
      <c r="I789" s="17" t="str">
        <f t="shared" si="1"/>
        <v>Not Active</v>
      </c>
      <c r="J789" s="17" t="str">
        <f t="array" ref="J789">iferror(XLOOKUP(A789,'Download of SFDC Activation Rep'!B:B,'Download of SFDC Activation Rep'!X:X),"")</f>
        <v/>
      </c>
      <c r="K789" s="17" t="str">
        <f t="array" ref="K789">iferror(XLOOKUP(A789,'Download of SFDC Activation Rep'!B:B,'Download of SFDC Activation Rep'!C:C),"")</f>
        <v/>
      </c>
      <c r="L789" s="18" t="str">
        <f t="array" ref="L789">iferror(XLOOKUP(A789,'Download of SFDC Activation Rep'!B:B,'Download of SFDC Activation Rep'!S:S),"")</f>
        <v/>
      </c>
      <c r="M789" s="24" t="str">
        <f t="array" ref="M789">iferror(XLOOKUP(A789,'Download of SFDC Activation Rep'!B:B,'Download of SFDC Activation Rep'!Z:Z)+150,"")</f>
        <v/>
      </c>
      <c r="N789" s="24" t="str">
        <f t="array" ref="N789">iferror(XLOOKUP(A789,'Download of SFDC Activation Rep'!B:B,'Download of SFDC Activation Rep'!Y:Y),"")</f>
        <v/>
      </c>
    </row>
    <row r="790">
      <c r="B790" s="14"/>
      <c r="C790" s="14"/>
      <c r="D790" s="14"/>
      <c r="E790" s="15"/>
      <c r="F790" s="14"/>
      <c r="G790" s="13" t="str">
        <f t="array" ref="G790">iferror(XLOOKUP(A790,'Download of SFDC Activation Rep'!B:B,'Download of SFDC Activation Rep'!H:H),"")</f>
        <v/>
      </c>
      <c r="H790" s="13" t="str">
        <f t="array" ref="H790">iferror(xlookup(A790,'Download of SFDC Activation Rep'!B:B,'Download of SFDC Activation Rep'!L:L),"")</f>
        <v/>
      </c>
      <c r="I790" s="17" t="str">
        <f t="shared" si="1"/>
        <v>Not Active</v>
      </c>
      <c r="J790" s="17" t="str">
        <f t="array" ref="J790">iferror(XLOOKUP(A790,'Download of SFDC Activation Rep'!B:B,'Download of SFDC Activation Rep'!X:X),"")</f>
        <v/>
      </c>
      <c r="K790" s="17" t="str">
        <f t="array" ref="K790">iferror(XLOOKUP(A790,'Download of SFDC Activation Rep'!B:B,'Download of SFDC Activation Rep'!C:C),"")</f>
        <v/>
      </c>
      <c r="L790" s="18" t="str">
        <f t="array" ref="L790">iferror(XLOOKUP(A790,'Download of SFDC Activation Rep'!B:B,'Download of SFDC Activation Rep'!S:S),"")</f>
        <v/>
      </c>
      <c r="M790" s="24" t="str">
        <f t="array" ref="M790">iferror(XLOOKUP(A790,'Download of SFDC Activation Rep'!B:B,'Download of SFDC Activation Rep'!Z:Z)+150,"")</f>
        <v/>
      </c>
      <c r="N790" s="24" t="str">
        <f t="array" ref="N790">iferror(XLOOKUP(A790,'Download of SFDC Activation Rep'!B:B,'Download of SFDC Activation Rep'!Y:Y),"")</f>
        <v/>
      </c>
    </row>
    <row r="791">
      <c r="B791" s="14"/>
      <c r="C791" s="14"/>
      <c r="D791" s="14"/>
      <c r="E791" s="15"/>
      <c r="F791" s="14"/>
      <c r="G791" s="13" t="str">
        <f t="array" ref="G791">iferror(XLOOKUP(A791,'Download of SFDC Activation Rep'!B:B,'Download of SFDC Activation Rep'!H:H),"")</f>
        <v/>
      </c>
      <c r="H791" s="13" t="str">
        <f t="array" ref="H791">iferror(xlookup(A791,'Download of SFDC Activation Rep'!B:B,'Download of SFDC Activation Rep'!L:L),"")</f>
        <v/>
      </c>
      <c r="I791" s="17" t="str">
        <f t="shared" si="1"/>
        <v>Not Active</v>
      </c>
      <c r="J791" s="17" t="str">
        <f t="array" ref="J791">iferror(XLOOKUP(A791,'Download of SFDC Activation Rep'!B:B,'Download of SFDC Activation Rep'!X:X),"")</f>
        <v/>
      </c>
      <c r="K791" s="17" t="str">
        <f t="array" ref="K791">iferror(XLOOKUP(A791,'Download of SFDC Activation Rep'!B:B,'Download of SFDC Activation Rep'!C:C),"")</f>
        <v/>
      </c>
      <c r="L791" s="18" t="str">
        <f t="array" ref="L791">iferror(XLOOKUP(A791,'Download of SFDC Activation Rep'!B:B,'Download of SFDC Activation Rep'!S:S),"")</f>
        <v/>
      </c>
      <c r="M791" s="24" t="str">
        <f t="array" ref="M791">iferror(XLOOKUP(A791,'Download of SFDC Activation Rep'!B:B,'Download of SFDC Activation Rep'!Z:Z)+150,"")</f>
        <v/>
      </c>
      <c r="N791" s="24" t="str">
        <f t="array" ref="N791">iferror(XLOOKUP(A791,'Download of SFDC Activation Rep'!B:B,'Download of SFDC Activation Rep'!Y:Y),"")</f>
        <v/>
      </c>
    </row>
    <row r="792">
      <c r="B792" s="14"/>
      <c r="C792" s="14"/>
      <c r="D792" s="14"/>
      <c r="E792" s="15"/>
      <c r="F792" s="14"/>
      <c r="G792" s="13" t="str">
        <f t="array" ref="G792">iferror(XLOOKUP(A792,'Download of SFDC Activation Rep'!B:B,'Download of SFDC Activation Rep'!H:H),"")</f>
        <v/>
      </c>
      <c r="H792" s="13" t="str">
        <f t="array" ref="H792">iferror(xlookup(A792,'Download of SFDC Activation Rep'!B:B,'Download of SFDC Activation Rep'!L:L),"")</f>
        <v/>
      </c>
      <c r="I792" s="17" t="str">
        <f t="shared" si="1"/>
        <v>Not Active</v>
      </c>
      <c r="J792" s="17" t="str">
        <f t="array" ref="J792">iferror(XLOOKUP(A792,'Download of SFDC Activation Rep'!B:B,'Download of SFDC Activation Rep'!X:X),"")</f>
        <v/>
      </c>
      <c r="K792" s="17" t="str">
        <f t="array" ref="K792">iferror(XLOOKUP(A792,'Download of SFDC Activation Rep'!B:B,'Download of SFDC Activation Rep'!C:C),"")</f>
        <v/>
      </c>
      <c r="L792" s="18" t="str">
        <f t="array" ref="L792">iferror(XLOOKUP(A792,'Download of SFDC Activation Rep'!B:B,'Download of SFDC Activation Rep'!S:S),"")</f>
        <v/>
      </c>
      <c r="M792" s="24" t="str">
        <f t="array" ref="M792">iferror(XLOOKUP(A792,'Download of SFDC Activation Rep'!B:B,'Download of SFDC Activation Rep'!Z:Z)+150,"")</f>
        <v/>
      </c>
      <c r="N792" s="24" t="str">
        <f t="array" ref="N792">iferror(XLOOKUP(A792,'Download of SFDC Activation Rep'!B:B,'Download of SFDC Activation Rep'!Y:Y),"")</f>
        <v/>
      </c>
    </row>
    <row r="793">
      <c r="B793" s="14"/>
      <c r="C793" s="14"/>
      <c r="D793" s="14"/>
      <c r="E793" s="15"/>
      <c r="F793" s="14"/>
      <c r="G793" s="13" t="str">
        <f t="array" ref="G793">iferror(XLOOKUP(A793,'Download of SFDC Activation Rep'!B:B,'Download of SFDC Activation Rep'!H:H),"")</f>
        <v/>
      </c>
      <c r="H793" s="13" t="str">
        <f t="array" ref="H793">iferror(xlookup(A793,'Download of SFDC Activation Rep'!B:B,'Download of SFDC Activation Rep'!L:L),"")</f>
        <v/>
      </c>
      <c r="I793" s="17" t="str">
        <f t="shared" si="1"/>
        <v>Not Active</v>
      </c>
      <c r="J793" s="17" t="str">
        <f t="array" ref="J793">iferror(XLOOKUP(A793,'Download of SFDC Activation Rep'!B:B,'Download of SFDC Activation Rep'!X:X),"")</f>
        <v/>
      </c>
      <c r="K793" s="17" t="str">
        <f t="array" ref="K793">iferror(XLOOKUP(A793,'Download of SFDC Activation Rep'!B:B,'Download of SFDC Activation Rep'!C:C),"")</f>
        <v/>
      </c>
      <c r="L793" s="18" t="str">
        <f t="array" ref="L793">iferror(XLOOKUP(A793,'Download of SFDC Activation Rep'!B:B,'Download of SFDC Activation Rep'!S:S),"")</f>
        <v/>
      </c>
      <c r="M793" s="24" t="str">
        <f t="array" ref="M793">iferror(XLOOKUP(A793,'Download of SFDC Activation Rep'!B:B,'Download of SFDC Activation Rep'!Z:Z)+150,"")</f>
        <v/>
      </c>
      <c r="N793" s="24" t="str">
        <f t="array" ref="N793">iferror(XLOOKUP(A793,'Download of SFDC Activation Rep'!B:B,'Download of SFDC Activation Rep'!Y:Y),"")</f>
        <v/>
      </c>
    </row>
    <row r="794">
      <c r="B794" s="14"/>
      <c r="C794" s="14"/>
      <c r="D794" s="14"/>
      <c r="E794" s="15"/>
      <c r="F794" s="14"/>
      <c r="G794" s="13" t="str">
        <f t="array" ref="G794">iferror(XLOOKUP(A794,'Download of SFDC Activation Rep'!B:B,'Download of SFDC Activation Rep'!H:H),"")</f>
        <v/>
      </c>
      <c r="H794" s="13" t="str">
        <f t="array" ref="H794">iferror(xlookup(A794,'Download of SFDC Activation Rep'!B:B,'Download of SFDC Activation Rep'!L:L),"")</f>
        <v/>
      </c>
      <c r="I794" s="17" t="str">
        <f t="shared" si="1"/>
        <v>Not Active</v>
      </c>
      <c r="J794" s="17" t="str">
        <f t="array" ref="J794">iferror(XLOOKUP(A794,'Download of SFDC Activation Rep'!B:B,'Download of SFDC Activation Rep'!X:X),"")</f>
        <v/>
      </c>
      <c r="K794" s="17" t="str">
        <f t="array" ref="K794">iferror(XLOOKUP(A794,'Download of SFDC Activation Rep'!B:B,'Download of SFDC Activation Rep'!C:C),"")</f>
        <v/>
      </c>
      <c r="L794" s="18" t="str">
        <f t="array" ref="L794">iferror(XLOOKUP(A794,'Download of SFDC Activation Rep'!B:B,'Download of SFDC Activation Rep'!S:S),"")</f>
        <v/>
      </c>
      <c r="M794" s="24" t="str">
        <f t="array" ref="M794">iferror(XLOOKUP(A794,'Download of SFDC Activation Rep'!B:B,'Download of SFDC Activation Rep'!Z:Z)+150,"")</f>
        <v/>
      </c>
      <c r="N794" s="24" t="str">
        <f t="array" ref="N794">iferror(XLOOKUP(A794,'Download of SFDC Activation Rep'!B:B,'Download of SFDC Activation Rep'!Y:Y),"")</f>
        <v/>
      </c>
    </row>
    <row r="795">
      <c r="B795" s="14"/>
      <c r="C795" s="14"/>
      <c r="D795" s="14"/>
      <c r="E795" s="15"/>
      <c r="F795" s="14"/>
      <c r="G795" s="13" t="str">
        <f t="array" ref="G795">iferror(XLOOKUP(A795,'Download of SFDC Activation Rep'!B:B,'Download of SFDC Activation Rep'!H:H),"")</f>
        <v/>
      </c>
      <c r="H795" s="13" t="str">
        <f t="array" ref="H795">iferror(xlookup(A795,'Download of SFDC Activation Rep'!B:B,'Download of SFDC Activation Rep'!L:L),"")</f>
        <v/>
      </c>
      <c r="I795" s="17" t="str">
        <f t="shared" si="1"/>
        <v>Not Active</v>
      </c>
      <c r="J795" s="17" t="str">
        <f t="array" ref="J795">iferror(XLOOKUP(A795,'Download of SFDC Activation Rep'!B:B,'Download of SFDC Activation Rep'!X:X),"")</f>
        <v/>
      </c>
      <c r="K795" s="17" t="str">
        <f t="array" ref="K795">iferror(XLOOKUP(A795,'Download of SFDC Activation Rep'!B:B,'Download of SFDC Activation Rep'!C:C),"")</f>
        <v/>
      </c>
      <c r="L795" s="18" t="str">
        <f t="array" ref="L795">iferror(XLOOKUP(A795,'Download of SFDC Activation Rep'!B:B,'Download of SFDC Activation Rep'!S:S),"")</f>
        <v/>
      </c>
      <c r="M795" s="24" t="str">
        <f t="array" ref="M795">iferror(XLOOKUP(A795,'Download of SFDC Activation Rep'!B:B,'Download of SFDC Activation Rep'!Z:Z)+150,"")</f>
        <v/>
      </c>
      <c r="N795" s="24" t="str">
        <f t="array" ref="N795">iferror(XLOOKUP(A795,'Download of SFDC Activation Rep'!B:B,'Download of SFDC Activation Rep'!Y:Y),"")</f>
        <v/>
      </c>
    </row>
    <row r="796">
      <c r="B796" s="14"/>
      <c r="C796" s="14"/>
      <c r="D796" s="14"/>
      <c r="E796" s="15"/>
      <c r="F796" s="14"/>
      <c r="G796" s="13" t="str">
        <f t="array" ref="G796">iferror(XLOOKUP(A796,'Download of SFDC Activation Rep'!B:B,'Download of SFDC Activation Rep'!H:H),"")</f>
        <v/>
      </c>
      <c r="H796" s="13" t="str">
        <f t="array" ref="H796">iferror(xlookup(A796,'Download of SFDC Activation Rep'!B:B,'Download of SFDC Activation Rep'!L:L),"")</f>
        <v/>
      </c>
      <c r="I796" s="17" t="str">
        <f t="shared" si="1"/>
        <v>Not Active</v>
      </c>
      <c r="J796" s="17" t="str">
        <f t="array" ref="J796">iferror(XLOOKUP(A796,'Download of SFDC Activation Rep'!B:B,'Download of SFDC Activation Rep'!X:X),"")</f>
        <v/>
      </c>
      <c r="K796" s="17" t="str">
        <f t="array" ref="K796">iferror(XLOOKUP(A796,'Download of SFDC Activation Rep'!B:B,'Download of SFDC Activation Rep'!C:C),"")</f>
        <v/>
      </c>
      <c r="L796" s="18" t="str">
        <f t="array" ref="L796">iferror(XLOOKUP(A796,'Download of SFDC Activation Rep'!B:B,'Download of SFDC Activation Rep'!S:S),"")</f>
        <v/>
      </c>
      <c r="M796" s="24" t="str">
        <f t="array" ref="M796">iferror(XLOOKUP(A796,'Download of SFDC Activation Rep'!B:B,'Download of SFDC Activation Rep'!Z:Z)+150,"")</f>
        <v/>
      </c>
      <c r="N796" s="24" t="str">
        <f t="array" ref="N796">iferror(XLOOKUP(A796,'Download of SFDC Activation Rep'!B:B,'Download of SFDC Activation Rep'!Y:Y),"")</f>
        <v/>
      </c>
    </row>
    <row r="797">
      <c r="B797" s="14"/>
      <c r="C797" s="14"/>
      <c r="D797" s="14"/>
      <c r="E797" s="15"/>
      <c r="F797" s="14"/>
      <c r="G797" s="13" t="str">
        <f t="array" ref="G797">iferror(XLOOKUP(A797,'Download of SFDC Activation Rep'!B:B,'Download of SFDC Activation Rep'!H:H),"")</f>
        <v/>
      </c>
      <c r="H797" s="13" t="str">
        <f t="array" ref="H797">iferror(xlookup(A797,'Download of SFDC Activation Rep'!B:B,'Download of SFDC Activation Rep'!L:L),"")</f>
        <v/>
      </c>
      <c r="I797" s="17" t="str">
        <f t="shared" si="1"/>
        <v>Not Active</v>
      </c>
      <c r="J797" s="17" t="str">
        <f t="array" ref="J797">iferror(XLOOKUP(A797,'Download of SFDC Activation Rep'!B:B,'Download of SFDC Activation Rep'!X:X),"")</f>
        <v/>
      </c>
      <c r="K797" s="17" t="str">
        <f t="array" ref="K797">iferror(XLOOKUP(A797,'Download of SFDC Activation Rep'!B:B,'Download of SFDC Activation Rep'!C:C),"")</f>
        <v/>
      </c>
      <c r="L797" s="18" t="str">
        <f t="array" ref="L797">iferror(XLOOKUP(A797,'Download of SFDC Activation Rep'!B:B,'Download of SFDC Activation Rep'!S:S),"")</f>
        <v/>
      </c>
      <c r="M797" s="24" t="str">
        <f t="array" ref="M797">iferror(XLOOKUP(A797,'Download of SFDC Activation Rep'!B:B,'Download of SFDC Activation Rep'!Z:Z)+150,"")</f>
        <v/>
      </c>
      <c r="N797" s="24" t="str">
        <f t="array" ref="N797">iferror(XLOOKUP(A797,'Download of SFDC Activation Rep'!B:B,'Download of SFDC Activation Rep'!Y:Y),"")</f>
        <v/>
      </c>
    </row>
    <row r="798">
      <c r="B798" s="14"/>
      <c r="C798" s="14"/>
      <c r="D798" s="14"/>
      <c r="E798" s="15"/>
      <c r="F798" s="14"/>
      <c r="G798" s="13" t="str">
        <f t="array" ref="G798">iferror(XLOOKUP(A798,'Download of SFDC Activation Rep'!B:B,'Download of SFDC Activation Rep'!H:H),"")</f>
        <v/>
      </c>
      <c r="H798" s="13" t="str">
        <f t="array" ref="H798">iferror(xlookup(A798,'Download of SFDC Activation Rep'!B:B,'Download of SFDC Activation Rep'!L:L),"")</f>
        <v/>
      </c>
      <c r="I798" s="17" t="str">
        <f t="shared" si="1"/>
        <v>Not Active</v>
      </c>
      <c r="J798" s="17" t="str">
        <f t="array" ref="J798">iferror(XLOOKUP(A798,'Download of SFDC Activation Rep'!B:B,'Download of SFDC Activation Rep'!X:X),"")</f>
        <v/>
      </c>
      <c r="K798" s="17" t="str">
        <f t="array" ref="K798">iferror(XLOOKUP(A798,'Download of SFDC Activation Rep'!B:B,'Download of SFDC Activation Rep'!C:C),"")</f>
        <v/>
      </c>
      <c r="L798" s="18" t="str">
        <f t="array" ref="L798">iferror(XLOOKUP(A798,'Download of SFDC Activation Rep'!B:B,'Download of SFDC Activation Rep'!S:S),"")</f>
        <v/>
      </c>
      <c r="M798" s="24" t="str">
        <f t="array" ref="M798">iferror(XLOOKUP(A798,'Download of SFDC Activation Rep'!B:B,'Download of SFDC Activation Rep'!Z:Z)+150,"")</f>
        <v/>
      </c>
      <c r="N798" s="24" t="str">
        <f t="array" ref="N798">iferror(XLOOKUP(A798,'Download of SFDC Activation Rep'!B:B,'Download of SFDC Activation Rep'!Y:Y),"")</f>
        <v/>
      </c>
    </row>
    <row r="799">
      <c r="B799" s="14"/>
      <c r="C799" s="14"/>
      <c r="D799" s="14"/>
      <c r="E799" s="15"/>
      <c r="F799" s="14"/>
      <c r="G799" s="13" t="str">
        <f t="array" ref="G799">iferror(XLOOKUP(A799,'Download of SFDC Activation Rep'!B:B,'Download of SFDC Activation Rep'!H:H),"")</f>
        <v/>
      </c>
      <c r="H799" s="13" t="str">
        <f t="array" ref="H799">iferror(xlookup(A799,'Download of SFDC Activation Rep'!B:B,'Download of SFDC Activation Rep'!L:L),"")</f>
        <v/>
      </c>
      <c r="I799" s="17" t="str">
        <f t="shared" si="1"/>
        <v>Not Active</v>
      </c>
      <c r="J799" s="17" t="str">
        <f t="array" ref="J799">iferror(XLOOKUP(A799,'Download of SFDC Activation Rep'!B:B,'Download of SFDC Activation Rep'!X:X),"")</f>
        <v/>
      </c>
      <c r="K799" s="17" t="str">
        <f t="array" ref="K799">iferror(XLOOKUP(A799,'Download of SFDC Activation Rep'!B:B,'Download of SFDC Activation Rep'!C:C),"")</f>
        <v/>
      </c>
      <c r="L799" s="18" t="str">
        <f t="array" ref="L799">iferror(XLOOKUP(A799,'Download of SFDC Activation Rep'!B:B,'Download of SFDC Activation Rep'!S:S),"")</f>
        <v/>
      </c>
      <c r="M799" s="24" t="str">
        <f t="array" ref="M799">iferror(XLOOKUP(A799,'Download of SFDC Activation Rep'!B:B,'Download of SFDC Activation Rep'!Z:Z)+150,"")</f>
        <v/>
      </c>
      <c r="N799" s="24" t="str">
        <f t="array" ref="N799">iferror(XLOOKUP(A799,'Download of SFDC Activation Rep'!B:B,'Download of SFDC Activation Rep'!Y:Y),"")</f>
        <v/>
      </c>
    </row>
    <row r="800">
      <c r="B800" s="14"/>
      <c r="C800" s="14"/>
      <c r="D800" s="14"/>
      <c r="E800" s="15"/>
      <c r="F800" s="14"/>
      <c r="G800" s="13" t="str">
        <f t="array" ref="G800">iferror(XLOOKUP(A800,'Download of SFDC Activation Rep'!B:B,'Download of SFDC Activation Rep'!H:H),"")</f>
        <v/>
      </c>
      <c r="H800" s="13" t="str">
        <f t="array" ref="H800">iferror(xlookup(A800,'Download of SFDC Activation Rep'!B:B,'Download of SFDC Activation Rep'!L:L),"")</f>
        <v/>
      </c>
      <c r="I800" s="17" t="str">
        <f t="shared" si="1"/>
        <v>Not Active</v>
      </c>
      <c r="J800" s="17" t="str">
        <f t="array" ref="J800">iferror(XLOOKUP(A800,'Download of SFDC Activation Rep'!B:B,'Download of SFDC Activation Rep'!X:X),"")</f>
        <v/>
      </c>
      <c r="K800" s="17" t="str">
        <f t="array" ref="K800">iferror(XLOOKUP(A800,'Download of SFDC Activation Rep'!B:B,'Download of SFDC Activation Rep'!C:C),"")</f>
        <v/>
      </c>
      <c r="L800" s="18" t="str">
        <f t="array" ref="L800">iferror(XLOOKUP(A800,'Download of SFDC Activation Rep'!B:B,'Download of SFDC Activation Rep'!S:S),"")</f>
        <v/>
      </c>
      <c r="M800" s="24" t="str">
        <f t="array" ref="M800">iferror(XLOOKUP(A800,'Download of SFDC Activation Rep'!B:B,'Download of SFDC Activation Rep'!Z:Z)+150,"")</f>
        <v/>
      </c>
      <c r="N800" s="24" t="str">
        <f t="array" ref="N800">iferror(XLOOKUP(A800,'Download of SFDC Activation Rep'!B:B,'Download of SFDC Activation Rep'!Y:Y),"")</f>
        <v/>
      </c>
    </row>
    <row r="801">
      <c r="B801" s="14"/>
      <c r="C801" s="14"/>
      <c r="D801" s="14"/>
      <c r="E801" s="15"/>
      <c r="F801" s="14"/>
      <c r="G801" s="13" t="str">
        <f t="array" ref="G801">iferror(XLOOKUP(A801,'Download of SFDC Activation Rep'!B:B,'Download of SFDC Activation Rep'!H:H),"")</f>
        <v/>
      </c>
      <c r="H801" s="13" t="str">
        <f t="array" ref="H801">iferror(xlookup(A801,'Download of SFDC Activation Rep'!B:B,'Download of SFDC Activation Rep'!L:L),"")</f>
        <v/>
      </c>
      <c r="I801" s="17" t="str">
        <f t="shared" si="1"/>
        <v>Not Active</v>
      </c>
      <c r="J801" s="17" t="str">
        <f t="array" ref="J801">iferror(XLOOKUP(A801,'Download of SFDC Activation Rep'!B:B,'Download of SFDC Activation Rep'!X:X),"")</f>
        <v/>
      </c>
      <c r="K801" s="17" t="str">
        <f t="array" ref="K801">iferror(XLOOKUP(A801,'Download of SFDC Activation Rep'!B:B,'Download of SFDC Activation Rep'!C:C),"")</f>
        <v/>
      </c>
      <c r="L801" s="18" t="str">
        <f t="array" ref="L801">iferror(XLOOKUP(A801,'Download of SFDC Activation Rep'!B:B,'Download of SFDC Activation Rep'!S:S),"")</f>
        <v/>
      </c>
      <c r="M801" s="24" t="str">
        <f t="array" ref="M801">iferror(XLOOKUP(A801,'Download of SFDC Activation Rep'!B:B,'Download of SFDC Activation Rep'!Z:Z)+150,"")</f>
        <v/>
      </c>
      <c r="N801" s="24" t="str">
        <f t="array" ref="N801">iferror(XLOOKUP(A801,'Download of SFDC Activation Rep'!B:B,'Download of SFDC Activation Rep'!Y:Y),"")</f>
        <v/>
      </c>
    </row>
    <row r="802">
      <c r="B802" s="14"/>
      <c r="C802" s="14"/>
      <c r="D802" s="14"/>
      <c r="E802" s="15"/>
      <c r="F802" s="14"/>
      <c r="G802" s="13" t="str">
        <f t="array" ref="G802">iferror(XLOOKUP(A802,'Download of SFDC Activation Rep'!B:B,'Download of SFDC Activation Rep'!H:H),"")</f>
        <v/>
      </c>
      <c r="H802" s="13" t="str">
        <f t="array" ref="H802">iferror(xlookup(A802,'Download of SFDC Activation Rep'!B:B,'Download of SFDC Activation Rep'!L:L),"")</f>
        <v/>
      </c>
      <c r="I802" s="17" t="str">
        <f t="shared" si="1"/>
        <v>Not Active</v>
      </c>
      <c r="J802" s="17" t="str">
        <f t="array" ref="J802">iferror(XLOOKUP(A802,'Download of SFDC Activation Rep'!B:B,'Download of SFDC Activation Rep'!X:X),"")</f>
        <v/>
      </c>
      <c r="K802" s="17" t="str">
        <f t="array" ref="K802">iferror(XLOOKUP(A802,'Download of SFDC Activation Rep'!B:B,'Download of SFDC Activation Rep'!C:C),"")</f>
        <v/>
      </c>
      <c r="L802" s="18" t="str">
        <f t="array" ref="L802">iferror(XLOOKUP(A802,'Download of SFDC Activation Rep'!B:B,'Download of SFDC Activation Rep'!S:S),"")</f>
        <v/>
      </c>
      <c r="M802" s="24" t="str">
        <f t="array" ref="M802">iferror(XLOOKUP(A802,'Download of SFDC Activation Rep'!B:B,'Download of SFDC Activation Rep'!Z:Z)+150,"")</f>
        <v/>
      </c>
      <c r="N802" s="24" t="str">
        <f t="array" ref="N802">iferror(XLOOKUP(A802,'Download of SFDC Activation Rep'!B:B,'Download of SFDC Activation Rep'!Y:Y),"")</f>
        <v/>
      </c>
    </row>
    <row r="803">
      <c r="B803" s="14"/>
      <c r="C803" s="14"/>
      <c r="D803" s="14"/>
      <c r="E803" s="15"/>
      <c r="F803" s="14"/>
      <c r="G803" s="13" t="str">
        <f t="array" ref="G803">iferror(XLOOKUP(A803,'Download of SFDC Activation Rep'!B:B,'Download of SFDC Activation Rep'!H:H),"")</f>
        <v/>
      </c>
      <c r="H803" s="13" t="str">
        <f t="array" ref="H803">iferror(xlookup(A803,'Download of SFDC Activation Rep'!B:B,'Download of SFDC Activation Rep'!L:L),"")</f>
        <v/>
      </c>
      <c r="I803" s="17" t="str">
        <f t="shared" si="1"/>
        <v>Not Active</v>
      </c>
      <c r="J803" s="17" t="str">
        <f t="array" ref="J803">iferror(XLOOKUP(A803,'Download of SFDC Activation Rep'!B:B,'Download of SFDC Activation Rep'!X:X),"")</f>
        <v/>
      </c>
      <c r="K803" s="17" t="str">
        <f t="array" ref="K803">iferror(XLOOKUP(A803,'Download of SFDC Activation Rep'!B:B,'Download of SFDC Activation Rep'!C:C),"")</f>
        <v/>
      </c>
      <c r="L803" s="18" t="str">
        <f t="array" ref="L803">iferror(XLOOKUP(A803,'Download of SFDC Activation Rep'!B:B,'Download of SFDC Activation Rep'!S:S),"")</f>
        <v/>
      </c>
      <c r="M803" s="24" t="str">
        <f t="array" ref="M803">iferror(XLOOKUP(A803,'Download of SFDC Activation Rep'!B:B,'Download of SFDC Activation Rep'!Z:Z)+150,"")</f>
        <v/>
      </c>
      <c r="N803" s="24" t="str">
        <f t="array" ref="N803">iferror(XLOOKUP(A803,'Download of SFDC Activation Rep'!B:B,'Download of SFDC Activation Rep'!Y:Y),"")</f>
        <v/>
      </c>
    </row>
    <row r="804">
      <c r="B804" s="14"/>
      <c r="C804" s="14"/>
      <c r="D804" s="14"/>
      <c r="E804" s="15"/>
      <c r="F804" s="14"/>
      <c r="G804" s="13" t="str">
        <f t="array" ref="G804">iferror(XLOOKUP(A804,'Download of SFDC Activation Rep'!B:B,'Download of SFDC Activation Rep'!H:H),"")</f>
        <v/>
      </c>
      <c r="H804" s="13" t="str">
        <f t="array" ref="H804">iferror(xlookup(A804,'Download of SFDC Activation Rep'!B:B,'Download of SFDC Activation Rep'!L:L),"")</f>
        <v/>
      </c>
      <c r="I804" s="17" t="str">
        <f t="shared" si="1"/>
        <v>Not Active</v>
      </c>
      <c r="J804" s="17" t="str">
        <f t="array" ref="J804">iferror(XLOOKUP(A804,'Download of SFDC Activation Rep'!B:B,'Download of SFDC Activation Rep'!X:X),"")</f>
        <v/>
      </c>
      <c r="K804" s="17" t="str">
        <f t="array" ref="K804">iferror(XLOOKUP(A804,'Download of SFDC Activation Rep'!B:B,'Download of SFDC Activation Rep'!C:C),"")</f>
        <v/>
      </c>
      <c r="L804" s="18" t="str">
        <f t="array" ref="L804">iferror(XLOOKUP(A804,'Download of SFDC Activation Rep'!B:B,'Download of SFDC Activation Rep'!S:S),"")</f>
        <v/>
      </c>
      <c r="M804" s="24" t="str">
        <f t="array" ref="M804">iferror(XLOOKUP(A804,'Download of SFDC Activation Rep'!B:B,'Download of SFDC Activation Rep'!Z:Z)+150,"")</f>
        <v/>
      </c>
      <c r="N804" s="24" t="str">
        <f t="array" ref="N804">iferror(XLOOKUP(A804,'Download of SFDC Activation Rep'!B:B,'Download of SFDC Activation Rep'!Y:Y),"")</f>
        <v/>
      </c>
    </row>
    <row r="805">
      <c r="B805" s="14"/>
      <c r="C805" s="14"/>
      <c r="D805" s="14"/>
      <c r="E805" s="15"/>
      <c r="F805" s="14"/>
      <c r="G805" s="13" t="str">
        <f t="array" ref="G805">iferror(XLOOKUP(A805,'Download of SFDC Activation Rep'!B:B,'Download of SFDC Activation Rep'!H:H),"")</f>
        <v/>
      </c>
      <c r="H805" s="13" t="str">
        <f t="array" ref="H805">iferror(xlookup(A805,'Download of SFDC Activation Rep'!B:B,'Download of SFDC Activation Rep'!L:L),"")</f>
        <v/>
      </c>
      <c r="I805" s="17" t="str">
        <f t="shared" si="1"/>
        <v>Not Active</v>
      </c>
      <c r="J805" s="17" t="str">
        <f t="array" ref="J805">iferror(XLOOKUP(A805,'Download of SFDC Activation Rep'!B:B,'Download of SFDC Activation Rep'!X:X),"")</f>
        <v/>
      </c>
      <c r="K805" s="17" t="str">
        <f t="array" ref="K805">iferror(XLOOKUP(A805,'Download of SFDC Activation Rep'!B:B,'Download of SFDC Activation Rep'!C:C),"")</f>
        <v/>
      </c>
      <c r="L805" s="18" t="str">
        <f t="array" ref="L805">iferror(XLOOKUP(A805,'Download of SFDC Activation Rep'!B:B,'Download of SFDC Activation Rep'!S:S),"")</f>
        <v/>
      </c>
      <c r="M805" s="24" t="str">
        <f t="array" ref="M805">iferror(XLOOKUP(A805,'Download of SFDC Activation Rep'!B:B,'Download of SFDC Activation Rep'!Z:Z)+150,"")</f>
        <v/>
      </c>
      <c r="N805" s="24" t="str">
        <f t="array" ref="N805">iferror(XLOOKUP(A805,'Download of SFDC Activation Rep'!B:B,'Download of SFDC Activation Rep'!Y:Y),"")</f>
        <v/>
      </c>
    </row>
    <row r="806">
      <c r="B806" s="14"/>
      <c r="C806" s="14"/>
      <c r="D806" s="14"/>
      <c r="E806" s="15"/>
      <c r="F806" s="14"/>
      <c r="G806" s="13" t="str">
        <f t="array" ref="G806">iferror(XLOOKUP(A806,'Download of SFDC Activation Rep'!B:B,'Download of SFDC Activation Rep'!H:H),"")</f>
        <v/>
      </c>
      <c r="H806" s="13" t="str">
        <f t="array" ref="H806">iferror(xlookup(A806,'Download of SFDC Activation Rep'!B:B,'Download of SFDC Activation Rep'!L:L),"")</f>
        <v/>
      </c>
      <c r="I806" s="17" t="str">
        <f t="shared" si="1"/>
        <v>Not Active</v>
      </c>
      <c r="J806" s="17" t="str">
        <f t="array" ref="J806">iferror(XLOOKUP(A806,'Download of SFDC Activation Rep'!B:B,'Download of SFDC Activation Rep'!X:X),"")</f>
        <v/>
      </c>
      <c r="K806" s="17" t="str">
        <f t="array" ref="K806">iferror(XLOOKUP(A806,'Download of SFDC Activation Rep'!B:B,'Download of SFDC Activation Rep'!C:C),"")</f>
        <v/>
      </c>
      <c r="L806" s="18" t="str">
        <f t="array" ref="L806">iferror(XLOOKUP(A806,'Download of SFDC Activation Rep'!B:B,'Download of SFDC Activation Rep'!S:S),"")</f>
        <v/>
      </c>
      <c r="M806" s="24" t="str">
        <f t="array" ref="M806">iferror(XLOOKUP(A806,'Download of SFDC Activation Rep'!B:B,'Download of SFDC Activation Rep'!Z:Z)+150,"")</f>
        <v/>
      </c>
      <c r="N806" s="24" t="str">
        <f t="array" ref="N806">iferror(XLOOKUP(A806,'Download of SFDC Activation Rep'!B:B,'Download of SFDC Activation Rep'!Y:Y),"")</f>
        <v/>
      </c>
    </row>
    <row r="807">
      <c r="B807" s="14"/>
      <c r="C807" s="14"/>
      <c r="D807" s="14"/>
      <c r="E807" s="15"/>
      <c r="F807" s="14"/>
      <c r="G807" s="13" t="str">
        <f t="array" ref="G807">iferror(XLOOKUP(A807,'Download of SFDC Activation Rep'!B:B,'Download of SFDC Activation Rep'!H:H),"")</f>
        <v/>
      </c>
      <c r="H807" s="13" t="str">
        <f t="array" ref="H807">iferror(xlookup(A807,'Download of SFDC Activation Rep'!B:B,'Download of SFDC Activation Rep'!L:L),"")</f>
        <v/>
      </c>
      <c r="I807" s="17" t="str">
        <f t="shared" si="1"/>
        <v>Not Active</v>
      </c>
      <c r="J807" s="17" t="str">
        <f t="array" ref="J807">iferror(XLOOKUP(A807,'Download of SFDC Activation Rep'!B:B,'Download of SFDC Activation Rep'!X:X),"")</f>
        <v/>
      </c>
      <c r="K807" s="17" t="str">
        <f t="array" ref="K807">iferror(XLOOKUP(A807,'Download of SFDC Activation Rep'!B:B,'Download of SFDC Activation Rep'!C:C),"")</f>
        <v/>
      </c>
      <c r="L807" s="18" t="str">
        <f t="array" ref="L807">iferror(XLOOKUP(A807,'Download of SFDC Activation Rep'!B:B,'Download of SFDC Activation Rep'!S:S),"")</f>
        <v/>
      </c>
      <c r="M807" s="24" t="str">
        <f t="array" ref="M807">iferror(XLOOKUP(A807,'Download of SFDC Activation Rep'!B:B,'Download of SFDC Activation Rep'!Z:Z)+150,"")</f>
        <v/>
      </c>
      <c r="N807" s="24" t="str">
        <f t="array" ref="N807">iferror(XLOOKUP(A807,'Download of SFDC Activation Rep'!B:B,'Download of SFDC Activation Rep'!Y:Y),"")</f>
        <v/>
      </c>
    </row>
    <row r="808">
      <c r="B808" s="14"/>
      <c r="C808" s="14"/>
      <c r="D808" s="14"/>
      <c r="E808" s="15"/>
      <c r="F808" s="14"/>
      <c r="G808" s="13" t="str">
        <f t="array" ref="G808">iferror(XLOOKUP(A808,'Download of SFDC Activation Rep'!B:B,'Download of SFDC Activation Rep'!H:H),"")</f>
        <v/>
      </c>
      <c r="H808" s="13" t="str">
        <f t="array" ref="H808">iferror(xlookup(A808,'Download of SFDC Activation Rep'!B:B,'Download of SFDC Activation Rep'!L:L),"")</f>
        <v/>
      </c>
      <c r="I808" s="17" t="str">
        <f t="shared" si="1"/>
        <v>Not Active</v>
      </c>
      <c r="J808" s="17" t="str">
        <f t="array" ref="J808">iferror(XLOOKUP(A808,'Download of SFDC Activation Rep'!B:B,'Download of SFDC Activation Rep'!X:X),"")</f>
        <v/>
      </c>
      <c r="K808" s="17" t="str">
        <f t="array" ref="K808">iferror(XLOOKUP(A808,'Download of SFDC Activation Rep'!B:B,'Download of SFDC Activation Rep'!C:C),"")</f>
        <v/>
      </c>
      <c r="L808" s="18" t="str">
        <f t="array" ref="L808">iferror(XLOOKUP(A808,'Download of SFDC Activation Rep'!B:B,'Download of SFDC Activation Rep'!S:S),"")</f>
        <v/>
      </c>
      <c r="M808" s="24" t="str">
        <f t="array" ref="M808">iferror(XLOOKUP(A808,'Download of SFDC Activation Rep'!B:B,'Download of SFDC Activation Rep'!Z:Z)+150,"")</f>
        <v/>
      </c>
      <c r="N808" s="24" t="str">
        <f t="array" ref="N808">iferror(XLOOKUP(A808,'Download of SFDC Activation Rep'!B:B,'Download of SFDC Activation Rep'!Y:Y),"")</f>
        <v/>
      </c>
    </row>
    <row r="809">
      <c r="B809" s="14"/>
      <c r="C809" s="14"/>
      <c r="D809" s="14"/>
      <c r="E809" s="15"/>
      <c r="F809" s="14"/>
      <c r="G809" s="13" t="str">
        <f t="array" ref="G809">iferror(XLOOKUP(A809,'Download of SFDC Activation Rep'!B:B,'Download of SFDC Activation Rep'!H:H),"")</f>
        <v/>
      </c>
      <c r="H809" s="13" t="str">
        <f t="array" ref="H809">iferror(xlookup(A809,'Download of SFDC Activation Rep'!B:B,'Download of SFDC Activation Rep'!L:L),"")</f>
        <v/>
      </c>
      <c r="I809" s="17" t="str">
        <f t="shared" si="1"/>
        <v>Not Active</v>
      </c>
      <c r="J809" s="17" t="str">
        <f t="array" ref="J809">iferror(XLOOKUP(A809,'Download of SFDC Activation Rep'!B:B,'Download of SFDC Activation Rep'!X:X),"")</f>
        <v/>
      </c>
      <c r="K809" s="17" t="str">
        <f t="array" ref="K809">iferror(XLOOKUP(A809,'Download of SFDC Activation Rep'!B:B,'Download of SFDC Activation Rep'!C:C),"")</f>
        <v/>
      </c>
      <c r="L809" s="18" t="str">
        <f t="array" ref="L809">iferror(XLOOKUP(A809,'Download of SFDC Activation Rep'!B:B,'Download of SFDC Activation Rep'!S:S),"")</f>
        <v/>
      </c>
      <c r="M809" s="24" t="str">
        <f t="array" ref="M809">iferror(XLOOKUP(A809,'Download of SFDC Activation Rep'!B:B,'Download of SFDC Activation Rep'!Z:Z)+150,"")</f>
        <v/>
      </c>
      <c r="N809" s="24" t="str">
        <f t="array" ref="N809">iferror(XLOOKUP(A809,'Download of SFDC Activation Rep'!B:B,'Download of SFDC Activation Rep'!Y:Y),"")</f>
        <v/>
      </c>
    </row>
    <row r="810">
      <c r="B810" s="14"/>
      <c r="C810" s="14"/>
      <c r="D810" s="14"/>
      <c r="E810" s="15"/>
      <c r="F810" s="14"/>
      <c r="G810" s="13" t="str">
        <f t="array" ref="G810">iferror(XLOOKUP(A810,'Download of SFDC Activation Rep'!B:B,'Download of SFDC Activation Rep'!H:H),"")</f>
        <v/>
      </c>
      <c r="H810" s="13" t="str">
        <f t="array" ref="H810">iferror(xlookup(A810,'Download of SFDC Activation Rep'!B:B,'Download of SFDC Activation Rep'!L:L),"")</f>
        <v/>
      </c>
      <c r="I810" s="17" t="str">
        <f t="shared" si="1"/>
        <v>Not Active</v>
      </c>
      <c r="J810" s="17" t="str">
        <f t="array" ref="J810">iferror(XLOOKUP(A810,'Download of SFDC Activation Rep'!B:B,'Download of SFDC Activation Rep'!X:X),"")</f>
        <v/>
      </c>
      <c r="K810" s="17" t="str">
        <f t="array" ref="K810">iferror(XLOOKUP(A810,'Download of SFDC Activation Rep'!B:B,'Download of SFDC Activation Rep'!C:C),"")</f>
        <v/>
      </c>
      <c r="L810" s="18" t="str">
        <f t="array" ref="L810">iferror(XLOOKUP(A810,'Download of SFDC Activation Rep'!B:B,'Download of SFDC Activation Rep'!S:S),"")</f>
        <v/>
      </c>
      <c r="M810" s="24" t="str">
        <f t="array" ref="M810">iferror(XLOOKUP(A810,'Download of SFDC Activation Rep'!B:B,'Download of SFDC Activation Rep'!Z:Z)+150,"")</f>
        <v/>
      </c>
      <c r="N810" s="24" t="str">
        <f t="array" ref="N810">iferror(XLOOKUP(A810,'Download of SFDC Activation Rep'!B:B,'Download of SFDC Activation Rep'!Y:Y),"")</f>
        <v/>
      </c>
    </row>
    <row r="811">
      <c r="B811" s="14"/>
      <c r="C811" s="14"/>
      <c r="D811" s="14"/>
      <c r="E811" s="15"/>
      <c r="F811" s="14"/>
      <c r="G811" s="13" t="str">
        <f t="array" ref="G811">iferror(XLOOKUP(A811,'Download of SFDC Activation Rep'!B:B,'Download of SFDC Activation Rep'!H:H),"")</f>
        <v/>
      </c>
      <c r="H811" s="13" t="str">
        <f t="array" ref="H811">iferror(xlookup(A811,'Download of SFDC Activation Rep'!B:B,'Download of SFDC Activation Rep'!L:L),"")</f>
        <v/>
      </c>
      <c r="I811" s="17" t="str">
        <f t="shared" si="1"/>
        <v>Not Active</v>
      </c>
      <c r="J811" s="17" t="str">
        <f t="array" ref="J811">iferror(XLOOKUP(A811,'Download of SFDC Activation Rep'!B:B,'Download of SFDC Activation Rep'!X:X),"")</f>
        <v/>
      </c>
      <c r="K811" s="17" t="str">
        <f t="array" ref="K811">iferror(XLOOKUP(A811,'Download of SFDC Activation Rep'!B:B,'Download of SFDC Activation Rep'!C:C),"")</f>
        <v/>
      </c>
      <c r="L811" s="18" t="str">
        <f t="array" ref="L811">iferror(XLOOKUP(A811,'Download of SFDC Activation Rep'!B:B,'Download of SFDC Activation Rep'!S:S),"")</f>
        <v/>
      </c>
      <c r="M811" s="24" t="str">
        <f t="array" ref="M811">iferror(XLOOKUP(A811,'Download of SFDC Activation Rep'!B:B,'Download of SFDC Activation Rep'!Z:Z)+150,"")</f>
        <v/>
      </c>
      <c r="N811" s="24" t="str">
        <f t="array" ref="N811">iferror(XLOOKUP(A811,'Download of SFDC Activation Rep'!B:B,'Download of SFDC Activation Rep'!Y:Y),"")</f>
        <v/>
      </c>
    </row>
    <row r="812">
      <c r="B812" s="14"/>
      <c r="C812" s="14"/>
      <c r="D812" s="14"/>
      <c r="E812" s="15"/>
      <c r="F812" s="14"/>
      <c r="G812" s="13" t="str">
        <f t="array" ref="G812">iferror(XLOOKUP(A812,'Download of SFDC Activation Rep'!B:B,'Download of SFDC Activation Rep'!H:H),"")</f>
        <v/>
      </c>
      <c r="H812" s="13" t="str">
        <f t="array" ref="H812">iferror(xlookup(A812,'Download of SFDC Activation Rep'!B:B,'Download of SFDC Activation Rep'!L:L),"")</f>
        <v/>
      </c>
      <c r="I812" s="17" t="str">
        <f t="shared" si="1"/>
        <v>Not Active</v>
      </c>
      <c r="J812" s="17" t="str">
        <f t="array" ref="J812">iferror(XLOOKUP(A812,'Download of SFDC Activation Rep'!B:B,'Download of SFDC Activation Rep'!X:X),"")</f>
        <v/>
      </c>
      <c r="K812" s="17" t="str">
        <f t="array" ref="K812">iferror(XLOOKUP(A812,'Download of SFDC Activation Rep'!B:B,'Download of SFDC Activation Rep'!C:C),"")</f>
        <v/>
      </c>
      <c r="L812" s="18" t="str">
        <f t="array" ref="L812">iferror(XLOOKUP(A812,'Download of SFDC Activation Rep'!B:B,'Download of SFDC Activation Rep'!S:S),"")</f>
        <v/>
      </c>
      <c r="M812" s="24" t="str">
        <f t="array" ref="M812">iferror(XLOOKUP(A812,'Download of SFDC Activation Rep'!B:B,'Download of SFDC Activation Rep'!Z:Z)+150,"")</f>
        <v/>
      </c>
      <c r="N812" s="24" t="str">
        <f t="array" ref="N812">iferror(XLOOKUP(A812,'Download of SFDC Activation Rep'!B:B,'Download of SFDC Activation Rep'!Y:Y),"")</f>
        <v/>
      </c>
    </row>
    <row r="813">
      <c r="B813" s="14"/>
      <c r="C813" s="14"/>
      <c r="D813" s="14"/>
      <c r="E813" s="15"/>
      <c r="F813" s="14"/>
      <c r="G813" s="13" t="str">
        <f t="array" ref="G813">iferror(XLOOKUP(A813,'Download of SFDC Activation Rep'!B:B,'Download of SFDC Activation Rep'!H:H),"")</f>
        <v/>
      </c>
      <c r="H813" s="13" t="str">
        <f t="array" ref="H813">iferror(xlookup(A813,'Download of SFDC Activation Rep'!B:B,'Download of SFDC Activation Rep'!L:L),"")</f>
        <v/>
      </c>
      <c r="I813" s="17" t="str">
        <f t="shared" si="1"/>
        <v>Not Active</v>
      </c>
      <c r="J813" s="17" t="str">
        <f t="array" ref="J813">iferror(XLOOKUP(A813,'Download of SFDC Activation Rep'!B:B,'Download of SFDC Activation Rep'!X:X),"")</f>
        <v/>
      </c>
      <c r="K813" s="17" t="str">
        <f t="array" ref="K813">iferror(XLOOKUP(A813,'Download of SFDC Activation Rep'!B:B,'Download of SFDC Activation Rep'!C:C),"")</f>
        <v/>
      </c>
      <c r="L813" s="18" t="str">
        <f t="array" ref="L813">iferror(XLOOKUP(A813,'Download of SFDC Activation Rep'!B:B,'Download of SFDC Activation Rep'!S:S),"")</f>
        <v/>
      </c>
      <c r="M813" s="24" t="str">
        <f t="array" ref="M813">iferror(XLOOKUP(A813,'Download of SFDC Activation Rep'!B:B,'Download of SFDC Activation Rep'!Z:Z)+150,"")</f>
        <v/>
      </c>
      <c r="N813" s="24" t="str">
        <f t="array" ref="N813">iferror(XLOOKUP(A813,'Download of SFDC Activation Rep'!B:B,'Download of SFDC Activation Rep'!Y:Y),"")</f>
        <v/>
      </c>
    </row>
    <row r="814">
      <c r="B814" s="14"/>
      <c r="C814" s="14"/>
      <c r="D814" s="14"/>
      <c r="E814" s="15"/>
      <c r="F814" s="14"/>
      <c r="G814" s="13" t="str">
        <f t="array" ref="G814">iferror(XLOOKUP(A814,'Download of SFDC Activation Rep'!B:B,'Download of SFDC Activation Rep'!H:H),"")</f>
        <v/>
      </c>
      <c r="H814" s="13" t="str">
        <f t="array" ref="H814">iferror(xlookup(A814,'Download of SFDC Activation Rep'!B:B,'Download of SFDC Activation Rep'!L:L),"")</f>
        <v/>
      </c>
      <c r="I814" s="17" t="str">
        <f t="shared" si="1"/>
        <v>Not Active</v>
      </c>
      <c r="J814" s="17" t="str">
        <f t="array" ref="J814">iferror(XLOOKUP(A814,'Download of SFDC Activation Rep'!B:B,'Download of SFDC Activation Rep'!X:X),"")</f>
        <v/>
      </c>
      <c r="K814" s="17" t="str">
        <f t="array" ref="K814">iferror(XLOOKUP(A814,'Download of SFDC Activation Rep'!B:B,'Download of SFDC Activation Rep'!C:C),"")</f>
        <v/>
      </c>
      <c r="L814" s="18" t="str">
        <f t="array" ref="L814">iferror(XLOOKUP(A814,'Download of SFDC Activation Rep'!B:B,'Download of SFDC Activation Rep'!S:S),"")</f>
        <v/>
      </c>
      <c r="M814" s="24" t="str">
        <f t="array" ref="M814">iferror(XLOOKUP(A814,'Download of SFDC Activation Rep'!B:B,'Download of SFDC Activation Rep'!Z:Z)+150,"")</f>
        <v/>
      </c>
      <c r="N814" s="24" t="str">
        <f t="array" ref="N814">iferror(XLOOKUP(A814,'Download of SFDC Activation Rep'!B:B,'Download of SFDC Activation Rep'!Y:Y),"")</f>
        <v/>
      </c>
    </row>
    <row r="815">
      <c r="B815" s="14"/>
      <c r="C815" s="14"/>
      <c r="D815" s="14"/>
      <c r="E815" s="15"/>
      <c r="F815" s="14"/>
      <c r="G815" s="13" t="str">
        <f t="array" ref="G815">iferror(XLOOKUP(A815,'Download of SFDC Activation Rep'!B:B,'Download of SFDC Activation Rep'!H:H),"")</f>
        <v/>
      </c>
      <c r="H815" s="13" t="str">
        <f t="array" ref="H815">iferror(xlookup(A815,'Download of SFDC Activation Rep'!B:B,'Download of SFDC Activation Rep'!L:L),"")</f>
        <v/>
      </c>
      <c r="I815" s="17" t="str">
        <f t="shared" si="1"/>
        <v>Not Active</v>
      </c>
      <c r="J815" s="17" t="str">
        <f t="array" ref="J815">iferror(XLOOKUP(A815,'Download of SFDC Activation Rep'!B:B,'Download of SFDC Activation Rep'!X:X),"")</f>
        <v/>
      </c>
      <c r="K815" s="17" t="str">
        <f t="array" ref="K815">iferror(XLOOKUP(A815,'Download of SFDC Activation Rep'!B:B,'Download of SFDC Activation Rep'!C:C),"")</f>
        <v/>
      </c>
      <c r="L815" s="18" t="str">
        <f t="array" ref="L815">iferror(XLOOKUP(A815,'Download of SFDC Activation Rep'!B:B,'Download of SFDC Activation Rep'!S:S),"")</f>
        <v/>
      </c>
      <c r="M815" s="24" t="str">
        <f t="array" ref="M815">iferror(XLOOKUP(A815,'Download of SFDC Activation Rep'!B:B,'Download of SFDC Activation Rep'!Z:Z)+150,"")</f>
        <v/>
      </c>
      <c r="N815" s="24" t="str">
        <f t="array" ref="N815">iferror(XLOOKUP(A815,'Download of SFDC Activation Rep'!B:B,'Download of SFDC Activation Rep'!Y:Y),"")</f>
        <v/>
      </c>
    </row>
    <row r="816">
      <c r="B816" s="14"/>
      <c r="C816" s="14"/>
      <c r="D816" s="14"/>
      <c r="E816" s="15"/>
      <c r="F816" s="14"/>
      <c r="G816" s="13" t="str">
        <f t="array" ref="G816">iferror(XLOOKUP(A816,'Download of SFDC Activation Rep'!B:B,'Download of SFDC Activation Rep'!H:H),"")</f>
        <v/>
      </c>
      <c r="H816" s="13" t="str">
        <f t="array" ref="H816">iferror(xlookup(A816,'Download of SFDC Activation Rep'!B:B,'Download of SFDC Activation Rep'!L:L),"")</f>
        <v/>
      </c>
      <c r="I816" s="17" t="str">
        <f t="shared" si="1"/>
        <v>Not Active</v>
      </c>
      <c r="J816" s="17" t="str">
        <f t="array" ref="J816">iferror(XLOOKUP(A816,'Download of SFDC Activation Rep'!B:B,'Download of SFDC Activation Rep'!X:X),"")</f>
        <v/>
      </c>
      <c r="K816" s="17" t="str">
        <f t="array" ref="K816">iferror(XLOOKUP(A816,'Download of SFDC Activation Rep'!B:B,'Download of SFDC Activation Rep'!C:C),"")</f>
        <v/>
      </c>
      <c r="L816" s="18" t="str">
        <f t="array" ref="L816">iferror(XLOOKUP(A816,'Download of SFDC Activation Rep'!B:B,'Download of SFDC Activation Rep'!S:S),"")</f>
        <v/>
      </c>
      <c r="M816" s="24" t="str">
        <f t="array" ref="M816">iferror(XLOOKUP(A816,'Download of SFDC Activation Rep'!B:B,'Download of SFDC Activation Rep'!Z:Z)+150,"")</f>
        <v/>
      </c>
      <c r="N816" s="24" t="str">
        <f t="array" ref="N816">iferror(XLOOKUP(A816,'Download of SFDC Activation Rep'!B:B,'Download of SFDC Activation Rep'!Y:Y),"")</f>
        <v/>
      </c>
    </row>
    <row r="817">
      <c r="B817" s="14"/>
      <c r="C817" s="14"/>
      <c r="D817" s="14"/>
      <c r="E817" s="15"/>
      <c r="F817" s="14"/>
      <c r="G817" s="13" t="str">
        <f t="array" ref="G817">iferror(XLOOKUP(A817,'Download of SFDC Activation Rep'!B:B,'Download of SFDC Activation Rep'!H:H),"")</f>
        <v/>
      </c>
      <c r="H817" s="13" t="str">
        <f t="array" ref="H817">iferror(xlookup(A817,'Download of SFDC Activation Rep'!B:B,'Download of SFDC Activation Rep'!L:L),"")</f>
        <v/>
      </c>
      <c r="I817" s="17" t="str">
        <f t="shared" si="1"/>
        <v>Not Active</v>
      </c>
      <c r="J817" s="17" t="str">
        <f t="array" ref="J817">iferror(XLOOKUP(A817,'Download of SFDC Activation Rep'!B:B,'Download of SFDC Activation Rep'!X:X),"")</f>
        <v/>
      </c>
      <c r="K817" s="17" t="str">
        <f t="array" ref="K817">iferror(XLOOKUP(A817,'Download of SFDC Activation Rep'!B:B,'Download of SFDC Activation Rep'!C:C),"")</f>
        <v/>
      </c>
      <c r="L817" s="18" t="str">
        <f t="array" ref="L817">iferror(XLOOKUP(A817,'Download of SFDC Activation Rep'!B:B,'Download of SFDC Activation Rep'!S:S),"")</f>
        <v/>
      </c>
      <c r="M817" s="24" t="str">
        <f t="array" ref="M817">iferror(XLOOKUP(A817,'Download of SFDC Activation Rep'!B:B,'Download of SFDC Activation Rep'!Z:Z)+150,"")</f>
        <v/>
      </c>
      <c r="N817" s="24" t="str">
        <f t="array" ref="N817">iferror(XLOOKUP(A817,'Download of SFDC Activation Rep'!B:B,'Download of SFDC Activation Rep'!Y:Y),"")</f>
        <v/>
      </c>
    </row>
    <row r="818">
      <c r="B818" s="14"/>
      <c r="C818" s="14"/>
      <c r="D818" s="14"/>
      <c r="E818" s="15"/>
      <c r="F818" s="14"/>
      <c r="G818" s="13" t="str">
        <f t="array" ref="G818">iferror(XLOOKUP(A818,'Download of SFDC Activation Rep'!B:B,'Download of SFDC Activation Rep'!H:H),"")</f>
        <v/>
      </c>
      <c r="H818" s="13" t="str">
        <f t="array" ref="H818">iferror(xlookup(A818,'Download of SFDC Activation Rep'!B:B,'Download of SFDC Activation Rep'!L:L),"")</f>
        <v/>
      </c>
      <c r="I818" s="17" t="str">
        <f t="shared" si="1"/>
        <v>Not Active</v>
      </c>
      <c r="J818" s="17" t="str">
        <f t="array" ref="J818">iferror(XLOOKUP(A818,'Download of SFDC Activation Rep'!B:B,'Download of SFDC Activation Rep'!X:X),"")</f>
        <v/>
      </c>
      <c r="K818" s="17" t="str">
        <f t="array" ref="K818">iferror(XLOOKUP(A818,'Download of SFDC Activation Rep'!B:B,'Download of SFDC Activation Rep'!C:C),"")</f>
        <v/>
      </c>
      <c r="L818" s="18" t="str">
        <f t="array" ref="L818">iferror(XLOOKUP(A818,'Download of SFDC Activation Rep'!B:B,'Download of SFDC Activation Rep'!S:S),"")</f>
        <v/>
      </c>
      <c r="M818" s="24" t="str">
        <f t="array" ref="M818">iferror(XLOOKUP(A818,'Download of SFDC Activation Rep'!B:B,'Download of SFDC Activation Rep'!Z:Z)+150,"")</f>
        <v/>
      </c>
      <c r="N818" s="24" t="str">
        <f t="array" ref="N818">iferror(XLOOKUP(A818,'Download of SFDC Activation Rep'!B:B,'Download of SFDC Activation Rep'!Y:Y),"")</f>
        <v/>
      </c>
    </row>
    <row r="819">
      <c r="B819" s="14"/>
      <c r="C819" s="14"/>
      <c r="D819" s="14"/>
      <c r="E819" s="15"/>
      <c r="F819" s="14"/>
      <c r="G819" s="13" t="str">
        <f t="array" ref="G819">iferror(XLOOKUP(A819,'Download of SFDC Activation Rep'!B:B,'Download of SFDC Activation Rep'!H:H),"")</f>
        <v/>
      </c>
      <c r="H819" s="13" t="str">
        <f t="array" ref="H819">iferror(xlookup(A819,'Download of SFDC Activation Rep'!B:B,'Download of SFDC Activation Rep'!L:L),"")</f>
        <v/>
      </c>
      <c r="I819" s="17" t="str">
        <f t="shared" si="1"/>
        <v>Not Active</v>
      </c>
      <c r="J819" s="17" t="str">
        <f t="array" ref="J819">iferror(XLOOKUP(A819,'Download of SFDC Activation Rep'!B:B,'Download of SFDC Activation Rep'!X:X),"")</f>
        <v/>
      </c>
      <c r="K819" s="17" t="str">
        <f t="array" ref="K819">iferror(XLOOKUP(A819,'Download of SFDC Activation Rep'!B:B,'Download of SFDC Activation Rep'!C:C),"")</f>
        <v/>
      </c>
      <c r="L819" s="18" t="str">
        <f t="array" ref="L819">iferror(XLOOKUP(A819,'Download of SFDC Activation Rep'!B:B,'Download of SFDC Activation Rep'!S:S),"")</f>
        <v/>
      </c>
      <c r="M819" s="24" t="str">
        <f t="array" ref="M819">iferror(XLOOKUP(A819,'Download of SFDC Activation Rep'!B:B,'Download of SFDC Activation Rep'!Z:Z)+150,"")</f>
        <v/>
      </c>
      <c r="N819" s="24" t="str">
        <f t="array" ref="N819">iferror(XLOOKUP(A819,'Download of SFDC Activation Rep'!B:B,'Download of SFDC Activation Rep'!Y:Y),"")</f>
        <v/>
      </c>
    </row>
    <row r="820">
      <c r="B820" s="14"/>
      <c r="C820" s="14"/>
      <c r="D820" s="14"/>
      <c r="E820" s="15"/>
      <c r="F820" s="14"/>
      <c r="G820" s="13" t="str">
        <f t="array" ref="G820">iferror(XLOOKUP(A820,'Download of SFDC Activation Rep'!B:B,'Download of SFDC Activation Rep'!H:H),"")</f>
        <v/>
      </c>
      <c r="H820" s="13" t="str">
        <f t="array" ref="H820">iferror(xlookup(A820,'Download of SFDC Activation Rep'!B:B,'Download of SFDC Activation Rep'!L:L),"")</f>
        <v/>
      </c>
      <c r="I820" s="17" t="str">
        <f t="shared" si="1"/>
        <v>Not Active</v>
      </c>
      <c r="J820" s="17" t="str">
        <f t="array" ref="J820">iferror(XLOOKUP(A820,'Download of SFDC Activation Rep'!B:B,'Download of SFDC Activation Rep'!X:X),"")</f>
        <v/>
      </c>
      <c r="K820" s="17" t="str">
        <f t="array" ref="K820">iferror(XLOOKUP(A820,'Download of SFDC Activation Rep'!B:B,'Download of SFDC Activation Rep'!C:C),"")</f>
        <v/>
      </c>
      <c r="L820" s="18" t="str">
        <f t="array" ref="L820">iferror(XLOOKUP(A820,'Download of SFDC Activation Rep'!B:B,'Download of SFDC Activation Rep'!S:S),"")</f>
        <v/>
      </c>
      <c r="M820" s="24" t="str">
        <f t="array" ref="M820">iferror(XLOOKUP(A820,'Download of SFDC Activation Rep'!B:B,'Download of SFDC Activation Rep'!Z:Z)+150,"")</f>
        <v/>
      </c>
      <c r="N820" s="24" t="str">
        <f t="array" ref="N820">iferror(XLOOKUP(A820,'Download of SFDC Activation Rep'!B:B,'Download of SFDC Activation Rep'!Y:Y),"")</f>
        <v/>
      </c>
    </row>
    <row r="821">
      <c r="B821" s="14"/>
      <c r="C821" s="14"/>
      <c r="D821" s="14"/>
      <c r="E821" s="15"/>
      <c r="F821" s="14"/>
      <c r="G821" s="13" t="str">
        <f t="array" ref="G821">iferror(XLOOKUP(A821,'Download of SFDC Activation Rep'!B:B,'Download of SFDC Activation Rep'!H:H),"")</f>
        <v/>
      </c>
      <c r="H821" s="13" t="str">
        <f t="array" ref="H821">iferror(xlookup(A821,'Download of SFDC Activation Rep'!B:B,'Download of SFDC Activation Rep'!L:L),"")</f>
        <v/>
      </c>
      <c r="I821" s="17" t="str">
        <f t="shared" si="1"/>
        <v>Not Active</v>
      </c>
      <c r="J821" s="17" t="str">
        <f t="array" ref="J821">iferror(XLOOKUP(A821,'Download of SFDC Activation Rep'!B:B,'Download of SFDC Activation Rep'!X:X),"")</f>
        <v/>
      </c>
      <c r="K821" s="17" t="str">
        <f t="array" ref="K821">iferror(XLOOKUP(A821,'Download of SFDC Activation Rep'!B:B,'Download of SFDC Activation Rep'!C:C),"")</f>
        <v/>
      </c>
      <c r="L821" s="18" t="str">
        <f t="array" ref="L821">iferror(XLOOKUP(A821,'Download of SFDC Activation Rep'!B:B,'Download of SFDC Activation Rep'!S:S),"")</f>
        <v/>
      </c>
      <c r="M821" s="24" t="str">
        <f t="array" ref="M821">iferror(XLOOKUP(A821,'Download of SFDC Activation Rep'!B:B,'Download of SFDC Activation Rep'!Z:Z)+150,"")</f>
        <v/>
      </c>
      <c r="N821" s="24" t="str">
        <f t="array" ref="N821">iferror(XLOOKUP(A821,'Download of SFDC Activation Rep'!B:B,'Download of SFDC Activation Rep'!Y:Y),"")</f>
        <v/>
      </c>
    </row>
    <row r="822">
      <c r="B822" s="14"/>
      <c r="C822" s="14"/>
      <c r="D822" s="14"/>
      <c r="E822" s="15"/>
      <c r="F822" s="14"/>
      <c r="G822" s="13" t="str">
        <f t="array" ref="G822">iferror(XLOOKUP(A822,'Download of SFDC Activation Rep'!B:B,'Download of SFDC Activation Rep'!H:H),"")</f>
        <v/>
      </c>
      <c r="H822" s="13" t="str">
        <f t="array" ref="H822">iferror(xlookup(A822,'Download of SFDC Activation Rep'!B:B,'Download of SFDC Activation Rep'!L:L),"")</f>
        <v/>
      </c>
      <c r="I822" s="17" t="str">
        <f t="shared" si="1"/>
        <v>Not Active</v>
      </c>
      <c r="J822" s="17" t="str">
        <f t="array" ref="J822">iferror(XLOOKUP(A822,'Download of SFDC Activation Rep'!B:B,'Download of SFDC Activation Rep'!X:X),"")</f>
        <v/>
      </c>
      <c r="K822" s="17" t="str">
        <f t="array" ref="K822">iferror(XLOOKUP(A822,'Download of SFDC Activation Rep'!B:B,'Download of SFDC Activation Rep'!C:C),"")</f>
        <v/>
      </c>
      <c r="L822" s="18" t="str">
        <f t="array" ref="L822">iferror(XLOOKUP(A822,'Download of SFDC Activation Rep'!B:B,'Download of SFDC Activation Rep'!S:S),"")</f>
        <v/>
      </c>
      <c r="M822" s="24" t="str">
        <f t="array" ref="M822">iferror(XLOOKUP(A822,'Download of SFDC Activation Rep'!B:B,'Download of SFDC Activation Rep'!Z:Z)+150,"")</f>
        <v/>
      </c>
      <c r="N822" s="24" t="str">
        <f t="array" ref="N822">iferror(XLOOKUP(A822,'Download of SFDC Activation Rep'!B:B,'Download of SFDC Activation Rep'!Y:Y),"")</f>
        <v/>
      </c>
    </row>
    <row r="823">
      <c r="B823" s="14"/>
      <c r="C823" s="14"/>
      <c r="D823" s="14"/>
      <c r="E823" s="15"/>
      <c r="F823" s="14"/>
      <c r="G823" s="13" t="str">
        <f t="array" ref="G823">iferror(XLOOKUP(A823,'Download of SFDC Activation Rep'!B:B,'Download of SFDC Activation Rep'!H:H),"")</f>
        <v/>
      </c>
      <c r="H823" s="13" t="str">
        <f t="array" ref="H823">iferror(xlookup(A823,'Download of SFDC Activation Rep'!B:B,'Download of SFDC Activation Rep'!L:L),"")</f>
        <v/>
      </c>
      <c r="I823" s="17" t="str">
        <f t="shared" si="1"/>
        <v>Not Active</v>
      </c>
      <c r="J823" s="17" t="str">
        <f t="array" ref="J823">iferror(XLOOKUP(A823,'Download of SFDC Activation Rep'!B:B,'Download of SFDC Activation Rep'!X:X),"")</f>
        <v/>
      </c>
      <c r="K823" s="17" t="str">
        <f t="array" ref="K823">iferror(XLOOKUP(A823,'Download of SFDC Activation Rep'!B:B,'Download of SFDC Activation Rep'!C:C),"")</f>
        <v/>
      </c>
      <c r="L823" s="18" t="str">
        <f t="array" ref="L823">iferror(XLOOKUP(A823,'Download of SFDC Activation Rep'!B:B,'Download of SFDC Activation Rep'!S:S),"")</f>
        <v/>
      </c>
      <c r="M823" s="24" t="str">
        <f t="array" ref="M823">iferror(XLOOKUP(A823,'Download of SFDC Activation Rep'!B:B,'Download of SFDC Activation Rep'!Z:Z)+150,"")</f>
        <v/>
      </c>
      <c r="N823" s="24" t="str">
        <f t="array" ref="N823">iferror(XLOOKUP(A823,'Download of SFDC Activation Rep'!B:B,'Download of SFDC Activation Rep'!Y:Y),"")</f>
        <v/>
      </c>
    </row>
    <row r="824">
      <c r="B824" s="14"/>
      <c r="C824" s="14"/>
      <c r="D824" s="14"/>
      <c r="E824" s="15"/>
      <c r="F824" s="14"/>
      <c r="G824" s="13" t="str">
        <f t="array" ref="G824">iferror(XLOOKUP(A824,'Download of SFDC Activation Rep'!B:B,'Download of SFDC Activation Rep'!H:H),"")</f>
        <v/>
      </c>
      <c r="H824" s="13" t="str">
        <f t="array" ref="H824">iferror(xlookup(A824,'Download of SFDC Activation Rep'!B:B,'Download of SFDC Activation Rep'!L:L),"")</f>
        <v/>
      </c>
      <c r="I824" s="17" t="str">
        <f t="shared" si="1"/>
        <v>Not Active</v>
      </c>
      <c r="J824" s="17" t="str">
        <f t="array" ref="J824">iferror(XLOOKUP(A824,'Download of SFDC Activation Rep'!B:B,'Download of SFDC Activation Rep'!X:X),"")</f>
        <v/>
      </c>
      <c r="K824" s="17" t="str">
        <f t="array" ref="K824">iferror(XLOOKUP(A824,'Download of SFDC Activation Rep'!B:B,'Download of SFDC Activation Rep'!C:C),"")</f>
        <v/>
      </c>
      <c r="L824" s="18" t="str">
        <f t="array" ref="L824">iferror(XLOOKUP(A824,'Download of SFDC Activation Rep'!B:B,'Download of SFDC Activation Rep'!S:S),"")</f>
        <v/>
      </c>
      <c r="M824" s="24" t="str">
        <f t="array" ref="M824">iferror(XLOOKUP(A824,'Download of SFDC Activation Rep'!B:B,'Download of SFDC Activation Rep'!Z:Z)+150,"")</f>
        <v/>
      </c>
      <c r="N824" s="24" t="str">
        <f t="array" ref="N824">iferror(XLOOKUP(A824,'Download of SFDC Activation Rep'!B:B,'Download of SFDC Activation Rep'!Y:Y),"")</f>
        <v/>
      </c>
    </row>
    <row r="825">
      <c r="B825" s="14"/>
      <c r="C825" s="14"/>
      <c r="D825" s="14"/>
      <c r="E825" s="15"/>
      <c r="F825" s="14"/>
      <c r="G825" s="13" t="str">
        <f t="array" ref="G825">iferror(XLOOKUP(A825,'Download of SFDC Activation Rep'!B:B,'Download of SFDC Activation Rep'!H:H),"")</f>
        <v/>
      </c>
      <c r="H825" s="13" t="str">
        <f t="array" ref="H825">iferror(xlookup(A825,'Download of SFDC Activation Rep'!B:B,'Download of SFDC Activation Rep'!L:L),"")</f>
        <v/>
      </c>
      <c r="I825" s="17" t="str">
        <f t="shared" si="1"/>
        <v>Not Active</v>
      </c>
      <c r="J825" s="17" t="str">
        <f t="array" ref="J825">iferror(XLOOKUP(A825,'Download of SFDC Activation Rep'!B:B,'Download of SFDC Activation Rep'!X:X),"")</f>
        <v/>
      </c>
      <c r="K825" s="17" t="str">
        <f t="array" ref="K825">iferror(XLOOKUP(A825,'Download of SFDC Activation Rep'!B:B,'Download of SFDC Activation Rep'!C:C),"")</f>
        <v/>
      </c>
      <c r="L825" s="18" t="str">
        <f t="array" ref="L825">iferror(XLOOKUP(A825,'Download of SFDC Activation Rep'!B:B,'Download of SFDC Activation Rep'!S:S),"")</f>
        <v/>
      </c>
      <c r="M825" s="24" t="str">
        <f t="array" ref="M825">iferror(XLOOKUP(A825,'Download of SFDC Activation Rep'!B:B,'Download of SFDC Activation Rep'!Z:Z)+150,"")</f>
        <v/>
      </c>
      <c r="N825" s="24" t="str">
        <f t="array" ref="N825">iferror(XLOOKUP(A825,'Download of SFDC Activation Rep'!B:B,'Download of SFDC Activation Rep'!Y:Y),"")</f>
        <v/>
      </c>
    </row>
    <row r="826">
      <c r="B826" s="14"/>
      <c r="C826" s="14"/>
      <c r="D826" s="14"/>
      <c r="E826" s="15"/>
      <c r="F826" s="14"/>
      <c r="G826" s="13" t="str">
        <f t="array" ref="G826">iferror(XLOOKUP(A826,'Download of SFDC Activation Rep'!B:B,'Download of SFDC Activation Rep'!H:H),"")</f>
        <v/>
      </c>
      <c r="H826" s="13" t="str">
        <f t="array" ref="H826">iferror(xlookup(A826,'Download of SFDC Activation Rep'!B:B,'Download of SFDC Activation Rep'!L:L),"")</f>
        <v/>
      </c>
      <c r="I826" s="17" t="str">
        <f t="shared" si="1"/>
        <v>Not Active</v>
      </c>
      <c r="J826" s="17" t="str">
        <f t="array" ref="J826">iferror(XLOOKUP(A826,'Download of SFDC Activation Rep'!B:B,'Download of SFDC Activation Rep'!X:X),"")</f>
        <v/>
      </c>
      <c r="K826" s="17" t="str">
        <f t="array" ref="K826">iferror(XLOOKUP(A826,'Download of SFDC Activation Rep'!B:B,'Download of SFDC Activation Rep'!C:C),"")</f>
        <v/>
      </c>
      <c r="L826" s="18" t="str">
        <f t="array" ref="L826">iferror(XLOOKUP(A826,'Download of SFDC Activation Rep'!B:B,'Download of SFDC Activation Rep'!S:S),"")</f>
        <v/>
      </c>
      <c r="M826" s="24" t="str">
        <f t="array" ref="M826">iferror(XLOOKUP(A826,'Download of SFDC Activation Rep'!B:B,'Download of SFDC Activation Rep'!Z:Z)+150,"")</f>
        <v/>
      </c>
      <c r="N826" s="24" t="str">
        <f t="array" ref="N826">iferror(XLOOKUP(A826,'Download of SFDC Activation Rep'!B:B,'Download of SFDC Activation Rep'!Y:Y),"")</f>
        <v/>
      </c>
    </row>
    <row r="827">
      <c r="B827" s="14"/>
      <c r="C827" s="14"/>
      <c r="D827" s="14"/>
      <c r="E827" s="15"/>
      <c r="F827" s="14"/>
      <c r="G827" s="13" t="str">
        <f t="array" ref="G827">iferror(XLOOKUP(A827,'Download of SFDC Activation Rep'!B:B,'Download of SFDC Activation Rep'!H:H),"")</f>
        <v/>
      </c>
      <c r="H827" s="13" t="str">
        <f t="array" ref="H827">iferror(xlookup(A827,'Download of SFDC Activation Rep'!B:B,'Download of SFDC Activation Rep'!L:L),"")</f>
        <v/>
      </c>
      <c r="I827" s="17" t="str">
        <f t="shared" si="1"/>
        <v>Not Active</v>
      </c>
      <c r="J827" s="17" t="str">
        <f t="array" ref="J827">iferror(XLOOKUP(A827,'Download of SFDC Activation Rep'!B:B,'Download of SFDC Activation Rep'!X:X),"")</f>
        <v/>
      </c>
      <c r="K827" s="17" t="str">
        <f t="array" ref="K827">iferror(XLOOKUP(A827,'Download of SFDC Activation Rep'!B:B,'Download of SFDC Activation Rep'!C:C),"")</f>
        <v/>
      </c>
      <c r="L827" s="18" t="str">
        <f t="array" ref="L827">iferror(XLOOKUP(A827,'Download of SFDC Activation Rep'!B:B,'Download of SFDC Activation Rep'!S:S),"")</f>
        <v/>
      </c>
      <c r="M827" s="24" t="str">
        <f t="array" ref="M827">iferror(XLOOKUP(A827,'Download of SFDC Activation Rep'!B:B,'Download of SFDC Activation Rep'!Z:Z)+150,"")</f>
        <v/>
      </c>
      <c r="N827" s="24" t="str">
        <f t="array" ref="N827">iferror(XLOOKUP(A827,'Download of SFDC Activation Rep'!B:B,'Download of SFDC Activation Rep'!Y:Y),"")</f>
        <v/>
      </c>
    </row>
    <row r="828">
      <c r="B828" s="14"/>
      <c r="C828" s="14"/>
      <c r="D828" s="14"/>
      <c r="E828" s="15"/>
      <c r="F828" s="14"/>
      <c r="G828" s="13" t="str">
        <f t="array" ref="G828">iferror(XLOOKUP(A828,'Download of SFDC Activation Rep'!B:B,'Download of SFDC Activation Rep'!H:H),"")</f>
        <v/>
      </c>
      <c r="H828" s="13" t="str">
        <f t="array" ref="H828">iferror(xlookup(A828,'Download of SFDC Activation Rep'!B:B,'Download of SFDC Activation Rep'!L:L),"")</f>
        <v/>
      </c>
      <c r="I828" s="17" t="str">
        <f t="shared" si="1"/>
        <v>Not Active</v>
      </c>
      <c r="J828" s="17" t="str">
        <f t="array" ref="J828">iferror(XLOOKUP(A828,'Download of SFDC Activation Rep'!B:B,'Download of SFDC Activation Rep'!X:X),"")</f>
        <v/>
      </c>
      <c r="K828" s="17" t="str">
        <f t="array" ref="K828">iferror(XLOOKUP(A828,'Download of SFDC Activation Rep'!B:B,'Download of SFDC Activation Rep'!C:C),"")</f>
        <v/>
      </c>
      <c r="L828" s="18" t="str">
        <f t="array" ref="L828">iferror(XLOOKUP(A828,'Download of SFDC Activation Rep'!B:B,'Download of SFDC Activation Rep'!S:S),"")</f>
        <v/>
      </c>
      <c r="M828" s="24" t="str">
        <f t="array" ref="M828">iferror(XLOOKUP(A828,'Download of SFDC Activation Rep'!B:B,'Download of SFDC Activation Rep'!Z:Z)+150,"")</f>
        <v/>
      </c>
      <c r="N828" s="24" t="str">
        <f t="array" ref="N828">iferror(XLOOKUP(A828,'Download of SFDC Activation Rep'!B:B,'Download of SFDC Activation Rep'!Y:Y),"")</f>
        <v/>
      </c>
    </row>
    <row r="829">
      <c r="B829" s="14"/>
      <c r="C829" s="14"/>
      <c r="D829" s="14"/>
      <c r="E829" s="15"/>
      <c r="F829" s="14"/>
      <c r="G829" s="13" t="str">
        <f t="array" ref="G829">iferror(XLOOKUP(A829,'Download of SFDC Activation Rep'!B:B,'Download of SFDC Activation Rep'!H:H),"")</f>
        <v/>
      </c>
      <c r="H829" s="13" t="str">
        <f t="array" ref="H829">iferror(xlookup(A829,'Download of SFDC Activation Rep'!B:B,'Download of SFDC Activation Rep'!L:L),"")</f>
        <v/>
      </c>
      <c r="I829" s="17" t="str">
        <f t="shared" si="1"/>
        <v>Not Active</v>
      </c>
      <c r="J829" s="17" t="str">
        <f t="array" ref="J829">iferror(XLOOKUP(A829,'Download of SFDC Activation Rep'!B:B,'Download of SFDC Activation Rep'!X:X),"")</f>
        <v/>
      </c>
      <c r="K829" s="17" t="str">
        <f t="array" ref="K829">iferror(XLOOKUP(A829,'Download of SFDC Activation Rep'!B:B,'Download of SFDC Activation Rep'!C:C),"")</f>
        <v/>
      </c>
      <c r="L829" s="18" t="str">
        <f t="array" ref="L829">iferror(XLOOKUP(A829,'Download of SFDC Activation Rep'!B:B,'Download of SFDC Activation Rep'!S:S),"")</f>
        <v/>
      </c>
      <c r="M829" s="24" t="str">
        <f t="array" ref="M829">iferror(XLOOKUP(A829,'Download of SFDC Activation Rep'!B:B,'Download of SFDC Activation Rep'!Z:Z)+150,"")</f>
        <v/>
      </c>
      <c r="N829" s="24" t="str">
        <f t="array" ref="N829">iferror(XLOOKUP(A829,'Download of SFDC Activation Rep'!B:B,'Download of SFDC Activation Rep'!Y:Y),"")</f>
        <v/>
      </c>
    </row>
    <row r="830">
      <c r="B830" s="14"/>
      <c r="C830" s="14"/>
      <c r="D830" s="14"/>
      <c r="E830" s="15"/>
      <c r="F830" s="14"/>
      <c r="G830" s="13" t="str">
        <f t="array" ref="G830">iferror(XLOOKUP(A830,'Download of SFDC Activation Rep'!B:B,'Download of SFDC Activation Rep'!H:H),"")</f>
        <v/>
      </c>
      <c r="H830" s="13" t="str">
        <f t="array" ref="H830">iferror(xlookup(A830,'Download of SFDC Activation Rep'!B:B,'Download of SFDC Activation Rep'!L:L),"")</f>
        <v/>
      </c>
      <c r="I830" s="17" t="str">
        <f t="shared" si="1"/>
        <v>Not Active</v>
      </c>
      <c r="J830" s="17" t="str">
        <f t="array" ref="J830">iferror(XLOOKUP(A830,'Download of SFDC Activation Rep'!B:B,'Download of SFDC Activation Rep'!X:X),"")</f>
        <v/>
      </c>
      <c r="K830" s="17" t="str">
        <f t="array" ref="K830">iferror(XLOOKUP(A830,'Download of SFDC Activation Rep'!B:B,'Download of SFDC Activation Rep'!C:C),"")</f>
        <v/>
      </c>
      <c r="L830" s="18" t="str">
        <f t="array" ref="L830">iferror(XLOOKUP(A830,'Download of SFDC Activation Rep'!B:B,'Download of SFDC Activation Rep'!S:S),"")</f>
        <v/>
      </c>
      <c r="M830" s="24" t="str">
        <f t="array" ref="M830">iferror(XLOOKUP(A830,'Download of SFDC Activation Rep'!B:B,'Download of SFDC Activation Rep'!Z:Z)+150,"")</f>
        <v/>
      </c>
      <c r="N830" s="24" t="str">
        <f t="array" ref="N830">iferror(XLOOKUP(A830,'Download of SFDC Activation Rep'!B:B,'Download of SFDC Activation Rep'!Y:Y),"")</f>
        <v/>
      </c>
    </row>
    <row r="831">
      <c r="B831" s="14"/>
      <c r="C831" s="14"/>
      <c r="D831" s="14"/>
      <c r="E831" s="15"/>
      <c r="F831" s="14"/>
      <c r="G831" s="13" t="str">
        <f t="array" ref="G831">iferror(XLOOKUP(A831,'Download of SFDC Activation Rep'!B:B,'Download of SFDC Activation Rep'!H:H),"")</f>
        <v/>
      </c>
      <c r="H831" s="13" t="str">
        <f t="array" ref="H831">iferror(xlookup(A831,'Download of SFDC Activation Rep'!B:B,'Download of SFDC Activation Rep'!L:L),"")</f>
        <v/>
      </c>
      <c r="I831" s="17" t="str">
        <f t="shared" si="1"/>
        <v>Not Active</v>
      </c>
      <c r="J831" s="17" t="str">
        <f t="array" ref="J831">iferror(XLOOKUP(A831,'Download of SFDC Activation Rep'!B:B,'Download of SFDC Activation Rep'!X:X),"")</f>
        <v/>
      </c>
      <c r="K831" s="17" t="str">
        <f t="array" ref="K831">iferror(XLOOKUP(A831,'Download of SFDC Activation Rep'!B:B,'Download of SFDC Activation Rep'!C:C),"")</f>
        <v/>
      </c>
      <c r="L831" s="18" t="str">
        <f t="array" ref="L831">iferror(XLOOKUP(A831,'Download of SFDC Activation Rep'!B:B,'Download of SFDC Activation Rep'!S:S),"")</f>
        <v/>
      </c>
      <c r="M831" s="24" t="str">
        <f t="array" ref="M831">iferror(XLOOKUP(A831,'Download of SFDC Activation Rep'!B:B,'Download of SFDC Activation Rep'!Z:Z)+150,"")</f>
        <v/>
      </c>
      <c r="N831" s="24" t="str">
        <f t="array" ref="N831">iferror(XLOOKUP(A831,'Download of SFDC Activation Rep'!B:B,'Download of SFDC Activation Rep'!Y:Y),"")</f>
        <v/>
      </c>
    </row>
    <row r="832">
      <c r="B832" s="14"/>
      <c r="C832" s="14"/>
      <c r="D832" s="14"/>
      <c r="E832" s="15"/>
      <c r="F832" s="14"/>
      <c r="G832" s="13" t="str">
        <f t="array" ref="G832">iferror(XLOOKUP(A832,'Download of SFDC Activation Rep'!B:B,'Download of SFDC Activation Rep'!H:H),"")</f>
        <v/>
      </c>
      <c r="H832" s="13" t="str">
        <f t="array" ref="H832">iferror(xlookup(A832,'Download of SFDC Activation Rep'!B:B,'Download of SFDC Activation Rep'!L:L),"")</f>
        <v/>
      </c>
      <c r="I832" s="17" t="str">
        <f t="shared" si="1"/>
        <v>Not Active</v>
      </c>
      <c r="J832" s="17" t="str">
        <f t="array" ref="J832">iferror(XLOOKUP(A832,'Download of SFDC Activation Rep'!B:B,'Download of SFDC Activation Rep'!X:X),"")</f>
        <v/>
      </c>
      <c r="K832" s="17" t="str">
        <f t="array" ref="K832">iferror(XLOOKUP(A832,'Download of SFDC Activation Rep'!B:B,'Download of SFDC Activation Rep'!C:C),"")</f>
        <v/>
      </c>
      <c r="L832" s="18" t="str">
        <f t="array" ref="L832">iferror(XLOOKUP(A832,'Download of SFDC Activation Rep'!B:B,'Download of SFDC Activation Rep'!S:S),"")</f>
        <v/>
      </c>
      <c r="M832" s="24" t="str">
        <f t="array" ref="M832">iferror(XLOOKUP(A832,'Download of SFDC Activation Rep'!B:B,'Download of SFDC Activation Rep'!Z:Z)+150,"")</f>
        <v/>
      </c>
      <c r="N832" s="24" t="str">
        <f t="array" ref="N832">iferror(XLOOKUP(A832,'Download of SFDC Activation Rep'!B:B,'Download of SFDC Activation Rep'!Y:Y),"")</f>
        <v/>
      </c>
    </row>
    <row r="833">
      <c r="B833" s="14"/>
      <c r="C833" s="14"/>
      <c r="D833" s="14"/>
      <c r="E833" s="15"/>
      <c r="F833" s="14"/>
      <c r="G833" s="13" t="str">
        <f t="array" ref="G833">iferror(XLOOKUP(A833,'Download of SFDC Activation Rep'!B:B,'Download of SFDC Activation Rep'!H:H),"")</f>
        <v/>
      </c>
      <c r="H833" s="13" t="str">
        <f t="array" ref="H833">iferror(xlookup(A833,'Download of SFDC Activation Rep'!B:B,'Download of SFDC Activation Rep'!L:L),"")</f>
        <v/>
      </c>
      <c r="I833" s="17" t="str">
        <f t="shared" si="1"/>
        <v>Not Active</v>
      </c>
      <c r="J833" s="17" t="str">
        <f t="array" ref="J833">iferror(XLOOKUP(A833,'Download of SFDC Activation Rep'!B:B,'Download of SFDC Activation Rep'!X:X),"")</f>
        <v/>
      </c>
      <c r="K833" s="17" t="str">
        <f t="array" ref="K833">iferror(XLOOKUP(A833,'Download of SFDC Activation Rep'!B:B,'Download of SFDC Activation Rep'!C:C),"")</f>
        <v/>
      </c>
      <c r="L833" s="18" t="str">
        <f t="array" ref="L833">iferror(XLOOKUP(A833,'Download of SFDC Activation Rep'!B:B,'Download of SFDC Activation Rep'!S:S),"")</f>
        <v/>
      </c>
      <c r="M833" s="24" t="str">
        <f t="array" ref="M833">iferror(XLOOKUP(A833,'Download of SFDC Activation Rep'!B:B,'Download of SFDC Activation Rep'!Z:Z)+150,"")</f>
        <v/>
      </c>
      <c r="N833" s="24" t="str">
        <f t="array" ref="N833">iferror(XLOOKUP(A833,'Download of SFDC Activation Rep'!B:B,'Download of SFDC Activation Rep'!Y:Y),"")</f>
        <v/>
      </c>
    </row>
    <row r="834">
      <c r="B834" s="14"/>
      <c r="C834" s="14"/>
      <c r="D834" s="14"/>
      <c r="E834" s="15"/>
      <c r="F834" s="14"/>
      <c r="G834" s="13" t="str">
        <f t="array" ref="G834">iferror(XLOOKUP(A834,'Download of SFDC Activation Rep'!B:B,'Download of SFDC Activation Rep'!H:H),"")</f>
        <v/>
      </c>
      <c r="H834" s="13" t="str">
        <f t="array" ref="H834">iferror(xlookup(A834,'Download of SFDC Activation Rep'!B:B,'Download of SFDC Activation Rep'!L:L),"")</f>
        <v/>
      </c>
      <c r="I834" s="17" t="str">
        <f t="shared" si="1"/>
        <v>Not Active</v>
      </c>
      <c r="J834" s="17" t="str">
        <f t="array" ref="J834">iferror(XLOOKUP(A834,'Download of SFDC Activation Rep'!B:B,'Download of SFDC Activation Rep'!X:X),"")</f>
        <v/>
      </c>
      <c r="K834" s="17" t="str">
        <f t="array" ref="K834">iferror(XLOOKUP(A834,'Download of SFDC Activation Rep'!B:B,'Download of SFDC Activation Rep'!C:C),"")</f>
        <v/>
      </c>
      <c r="L834" s="18" t="str">
        <f t="array" ref="L834">iferror(XLOOKUP(A834,'Download of SFDC Activation Rep'!B:B,'Download of SFDC Activation Rep'!S:S),"")</f>
        <v/>
      </c>
      <c r="M834" s="24" t="str">
        <f t="array" ref="M834">iferror(XLOOKUP(A834,'Download of SFDC Activation Rep'!B:B,'Download of SFDC Activation Rep'!Z:Z)+150,"")</f>
        <v/>
      </c>
      <c r="N834" s="24" t="str">
        <f t="array" ref="N834">iferror(XLOOKUP(A834,'Download of SFDC Activation Rep'!B:B,'Download of SFDC Activation Rep'!Y:Y),"")</f>
        <v/>
      </c>
    </row>
    <row r="835">
      <c r="B835" s="14"/>
      <c r="C835" s="14"/>
      <c r="D835" s="14"/>
      <c r="E835" s="15"/>
      <c r="F835" s="14"/>
      <c r="G835" s="13" t="str">
        <f t="array" ref="G835">iferror(XLOOKUP(A835,'Download of SFDC Activation Rep'!B:B,'Download of SFDC Activation Rep'!H:H),"")</f>
        <v/>
      </c>
      <c r="H835" s="13" t="str">
        <f t="array" ref="H835">iferror(xlookup(A835,'Download of SFDC Activation Rep'!B:B,'Download of SFDC Activation Rep'!L:L),"")</f>
        <v/>
      </c>
      <c r="I835" s="17" t="str">
        <f t="shared" si="1"/>
        <v>Not Active</v>
      </c>
      <c r="J835" s="17" t="str">
        <f t="array" ref="J835">iferror(XLOOKUP(A835,'Download of SFDC Activation Rep'!B:B,'Download of SFDC Activation Rep'!X:X),"")</f>
        <v/>
      </c>
      <c r="K835" s="17" t="str">
        <f t="array" ref="K835">iferror(XLOOKUP(A835,'Download of SFDC Activation Rep'!B:B,'Download of SFDC Activation Rep'!C:C),"")</f>
        <v/>
      </c>
      <c r="L835" s="18" t="str">
        <f t="array" ref="L835">iferror(XLOOKUP(A835,'Download of SFDC Activation Rep'!B:B,'Download of SFDC Activation Rep'!S:S),"")</f>
        <v/>
      </c>
      <c r="M835" s="24" t="str">
        <f t="array" ref="M835">iferror(XLOOKUP(A835,'Download of SFDC Activation Rep'!B:B,'Download of SFDC Activation Rep'!Z:Z)+150,"")</f>
        <v/>
      </c>
      <c r="N835" s="24" t="str">
        <f t="array" ref="N835">iferror(XLOOKUP(A835,'Download of SFDC Activation Rep'!B:B,'Download of SFDC Activation Rep'!Y:Y),"")</f>
        <v/>
      </c>
    </row>
    <row r="836">
      <c r="B836" s="14"/>
      <c r="C836" s="14"/>
      <c r="D836" s="14"/>
      <c r="E836" s="15"/>
      <c r="F836" s="14"/>
      <c r="G836" s="13" t="str">
        <f t="array" ref="G836">iferror(XLOOKUP(A836,'Download of SFDC Activation Rep'!B:B,'Download of SFDC Activation Rep'!H:H),"")</f>
        <v/>
      </c>
      <c r="H836" s="13" t="str">
        <f t="array" ref="H836">iferror(xlookup(A836,'Download of SFDC Activation Rep'!B:B,'Download of SFDC Activation Rep'!L:L),"")</f>
        <v/>
      </c>
      <c r="I836" s="17" t="str">
        <f t="shared" si="1"/>
        <v>Not Active</v>
      </c>
      <c r="J836" s="17" t="str">
        <f t="array" ref="J836">iferror(XLOOKUP(A836,'Download of SFDC Activation Rep'!B:B,'Download of SFDC Activation Rep'!X:X),"")</f>
        <v/>
      </c>
      <c r="K836" s="17" t="str">
        <f t="array" ref="K836">iferror(XLOOKUP(A836,'Download of SFDC Activation Rep'!B:B,'Download of SFDC Activation Rep'!C:C),"")</f>
        <v/>
      </c>
      <c r="L836" s="18" t="str">
        <f t="array" ref="L836">iferror(XLOOKUP(A836,'Download of SFDC Activation Rep'!B:B,'Download of SFDC Activation Rep'!S:S),"")</f>
        <v/>
      </c>
      <c r="M836" s="24" t="str">
        <f t="array" ref="M836">iferror(XLOOKUP(A836,'Download of SFDC Activation Rep'!B:B,'Download of SFDC Activation Rep'!Z:Z)+150,"")</f>
        <v/>
      </c>
      <c r="N836" s="24" t="str">
        <f t="array" ref="N836">iferror(XLOOKUP(A836,'Download of SFDC Activation Rep'!B:B,'Download of SFDC Activation Rep'!Y:Y),"")</f>
        <v/>
      </c>
    </row>
    <row r="837">
      <c r="B837" s="14"/>
      <c r="C837" s="14"/>
      <c r="D837" s="14"/>
      <c r="E837" s="15"/>
      <c r="F837" s="14"/>
      <c r="G837" s="13" t="str">
        <f t="array" ref="G837">iferror(XLOOKUP(A837,'Download of SFDC Activation Rep'!B:B,'Download of SFDC Activation Rep'!H:H),"")</f>
        <v/>
      </c>
      <c r="H837" s="13" t="str">
        <f t="array" ref="H837">iferror(xlookup(A837,'Download of SFDC Activation Rep'!B:B,'Download of SFDC Activation Rep'!L:L),"")</f>
        <v/>
      </c>
      <c r="I837" s="17" t="str">
        <f t="shared" si="1"/>
        <v>Not Active</v>
      </c>
      <c r="J837" s="17" t="str">
        <f t="array" ref="J837">iferror(XLOOKUP(A837,'Download of SFDC Activation Rep'!B:B,'Download of SFDC Activation Rep'!X:X),"")</f>
        <v/>
      </c>
      <c r="K837" s="17" t="str">
        <f t="array" ref="K837">iferror(XLOOKUP(A837,'Download of SFDC Activation Rep'!B:B,'Download of SFDC Activation Rep'!C:C),"")</f>
        <v/>
      </c>
      <c r="L837" s="18" t="str">
        <f t="array" ref="L837">iferror(XLOOKUP(A837,'Download of SFDC Activation Rep'!B:B,'Download of SFDC Activation Rep'!S:S),"")</f>
        <v/>
      </c>
      <c r="M837" s="24" t="str">
        <f t="array" ref="M837">iferror(XLOOKUP(A837,'Download of SFDC Activation Rep'!B:B,'Download of SFDC Activation Rep'!Z:Z)+150,"")</f>
        <v/>
      </c>
      <c r="N837" s="24" t="str">
        <f t="array" ref="N837">iferror(XLOOKUP(A837,'Download of SFDC Activation Rep'!B:B,'Download of SFDC Activation Rep'!Y:Y),"")</f>
        <v/>
      </c>
    </row>
    <row r="838">
      <c r="B838" s="14"/>
      <c r="C838" s="14"/>
      <c r="D838" s="14"/>
      <c r="E838" s="15"/>
      <c r="F838" s="14"/>
      <c r="G838" s="13" t="str">
        <f t="array" ref="G838">iferror(XLOOKUP(A838,'Download of SFDC Activation Rep'!B:B,'Download of SFDC Activation Rep'!H:H),"")</f>
        <v/>
      </c>
      <c r="H838" s="13" t="str">
        <f t="array" ref="H838">iferror(xlookup(A838,'Download of SFDC Activation Rep'!B:B,'Download of SFDC Activation Rep'!L:L),"")</f>
        <v/>
      </c>
      <c r="I838" s="17" t="str">
        <f t="shared" si="1"/>
        <v>Not Active</v>
      </c>
      <c r="J838" s="17" t="str">
        <f t="array" ref="J838">iferror(XLOOKUP(A838,'Download of SFDC Activation Rep'!B:B,'Download of SFDC Activation Rep'!X:X),"")</f>
        <v/>
      </c>
      <c r="K838" s="17" t="str">
        <f t="array" ref="K838">iferror(XLOOKUP(A838,'Download of SFDC Activation Rep'!B:B,'Download of SFDC Activation Rep'!C:C),"")</f>
        <v/>
      </c>
      <c r="L838" s="18" t="str">
        <f t="array" ref="L838">iferror(XLOOKUP(A838,'Download of SFDC Activation Rep'!B:B,'Download of SFDC Activation Rep'!S:S),"")</f>
        <v/>
      </c>
      <c r="M838" s="24" t="str">
        <f t="array" ref="M838">iferror(XLOOKUP(A838,'Download of SFDC Activation Rep'!B:B,'Download of SFDC Activation Rep'!Z:Z)+150,"")</f>
        <v/>
      </c>
      <c r="N838" s="24" t="str">
        <f t="array" ref="N838">iferror(XLOOKUP(A838,'Download of SFDC Activation Rep'!B:B,'Download of SFDC Activation Rep'!Y:Y),"")</f>
        <v/>
      </c>
    </row>
    <row r="839">
      <c r="B839" s="14"/>
      <c r="C839" s="14"/>
      <c r="D839" s="14"/>
      <c r="E839" s="15"/>
      <c r="F839" s="14"/>
      <c r="G839" s="13" t="str">
        <f t="array" ref="G839">iferror(XLOOKUP(A839,'Download of SFDC Activation Rep'!B:B,'Download of SFDC Activation Rep'!H:H),"")</f>
        <v/>
      </c>
      <c r="H839" s="13" t="str">
        <f t="array" ref="H839">iferror(xlookup(A839,'Download of SFDC Activation Rep'!B:B,'Download of SFDC Activation Rep'!L:L),"")</f>
        <v/>
      </c>
      <c r="I839" s="17" t="str">
        <f t="shared" si="1"/>
        <v>Not Active</v>
      </c>
      <c r="J839" s="17" t="str">
        <f t="array" ref="J839">iferror(XLOOKUP(A839,'Download of SFDC Activation Rep'!B:B,'Download of SFDC Activation Rep'!X:X),"")</f>
        <v/>
      </c>
      <c r="K839" s="17" t="str">
        <f t="array" ref="K839">iferror(XLOOKUP(A839,'Download of SFDC Activation Rep'!B:B,'Download of SFDC Activation Rep'!C:C),"")</f>
        <v/>
      </c>
      <c r="L839" s="18" t="str">
        <f t="array" ref="L839">iferror(XLOOKUP(A839,'Download of SFDC Activation Rep'!B:B,'Download of SFDC Activation Rep'!S:S),"")</f>
        <v/>
      </c>
      <c r="M839" s="24" t="str">
        <f t="array" ref="M839">iferror(XLOOKUP(A839,'Download of SFDC Activation Rep'!B:B,'Download of SFDC Activation Rep'!Z:Z)+150,"")</f>
        <v/>
      </c>
      <c r="N839" s="24" t="str">
        <f t="array" ref="N839">iferror(XLOOKUP(A839,'Download of SFDC Activation Rep'!B:B,'Download of SFDC Activation Rep'!Y:Y),"")</f>
        <v/>
      </c>
    </row>
    <row r="840">
      <c r="B840" s="14"/>
      <c r="C840" s="14"/>
      <c r="D840" s="14"/>
      <c r="E840" s="15"/>
      <c r="F840" s="14"/>
      <c r="G840" s="13" t="str">
        <f t="array" ref="G840">iferror(XLOOKUP(A840,'Download of SFDC Activation Rep'!B:B,'Download of SFDC Activation Rep'!H:H),"")</f>
        <v/>
      </c>
      <c r="H840" s="13" t="str">
        <f t="array" ref="H840">iferror(xlookup(A840,'Download of SFDC Activation Rep'!B:B,'Download of SFDC Activation Rep'!L:L),"")</f>
        <v/>
      </c>
      <c r="I840" s="17" t="str">
        <f t="shared" si="1"/>
        <v>Not Active</v>
      </c>
      <c r="J840" s="17" t="str">
        <f t="array" ref="J840">iferror(XLOOKUP(A840,'Download of SFDC Activation Rep'!B:B,'Download of SFDC Activation Rep'!X:X),"")</f>
        <v/>
      </c>
      <c r="K840" s="17" t="str">
        <f t="array" ref="K840">iferror(XLOOKUP(A840,'Download of SFDC Activation Rep'!B:B,'Download of SFDC Activation Rep'!C:C),"")</f>
        <v/>
      </c>
      <c r="L840" s="18" t="str">
        <f t="array" ref="L840">iferror(XLOOKUP(A840,'Download of SFDC Activation Rep'!B:B,'Download of SFDC Activation Rep'!S:S),"")</f>
        <v/>
      </c>
      <c r="M840" s="24" t="str">
        <f t="array" ref="M840">iferror(XLOOKUP(A840,'Download of SFDC Activation Rep'!B:B,'Download of SFDC Activation Rep'!Z:Z)+150,"")</f>
        <v/>
      </c>
      <c r="N840" s="24" t="str">
        <f t="array" ref="N840">iferror(XLOOKUP(A840,'Download of SFDC Activation Rep'!B:B,'Download of SFDC Activation Rep'!Y:Y),"")</f>
        <v/>
      </c>
    </row>
    <row r="841">
      <c r="B841" s="14"/>
      <c r="C841" s="14"/>
      <c r="D841" s="14"/>
      <c r="E841" s="15"/>
      <c r="F841" s="14"/>
      <c r="G841" s="13" t="str">
        <f t="array" ref="G841">iferror(XLOOKUP(A841,'Download of SFDC Activation Rep'!B:B,'Download of SFDC Activation Rep'!H:H),"")</f>
        <v/>
      </c>
      <c r="H841" s="13" t="str">
        <f t="array" ref="H841">iferror(xlookup(A841,'Download of SFDC Activation Rep'!B:B,'Download of SFDC Activation Rep'!L:L),"")</f>
        <v/>
      </c>
      <c r="I841" s="17" t="str">
        <f t="shared" si="1"/>
        <v>Not Active</v>
      </c>
      <c r="J841" s="17" t="str">
        <f t="array" ref="J841">iferror(XLOOKUP(A841,'Download of SFDC Activation Rep'!B:B,'Download of SFDC Activation Rep'!X:X),"")</f>
        <v/>
      </c>
      <c r="K841" s="17" t="str">
        <f t="array" ref="K841">iferror(XLOOKUP(A841,'Download of SFDC Activation Rep'!B:B,'Download of SFDC Activation Rep'!C:C),"")</f>
        <v/>
      </c>
      <c r="L841" s="18" t="str">
        <f t="array" ref="L841">iferror(XLOOKUP(A841,'Download of SFDC Activation Rep'!B:B,'Download of SFDC Activation Rep'!S:S),"")</f>
        <v/>
      </c>
      <c r="M841" s="24" t="str">
        <f t="array" ref="M841">iferror(XLOOKUP(A841,'Download of SFDC Activation Rep'!B:B,'Download of SFDC Activation Rep'!Z:Z)+150,"")</f>
        <v/>
      </c>
      <c r="N841" s="24" t="str">
        <f t="array" ref="N841">iferror(XLOOKUP(A841,'Download of SFDC Activation Rep'!B:B,'Download of SFDC Activation Rep'!Y:Y),"")</f>
        <v/>
      </c>
    </row>
    <row r="842">
      <c r="B842" s="14"/>
      <c r="C842" s="14"/>
      <c r="D842" s="14"/>
      <c r="E842" s="15"/>
      <c r="F842" s="14"/>
      <c r="G842" s="13" t="str">
        <f t="array" ref="G842">iferror(XLOOKUP(A842,'Download of SFDC Activation Rep'!B:B,'Download of SFDC Activation Rep'!H:H),"")</f>
        <v/>
      </c>
      <c r="H842" s="13" t="str">
        <f t="array" ref="H842">iferror(xlookup(A842,'Download of SFDC Activation Rep'!B:B,'Download of SFDC Activation Rep'!L:L),"")</f>
        <v/>
      </c>
      <c r="I842" s="17" t="str">
        <f t="shared" si="1"/>
        <v>Not Active</v>
      </c>
      <c r="J842" s="17" t="str">
        <f t="array" ref="J842">iferror(XLOOKUP(A842,'Download of SFDC Activation Rep'!B:B,'Download of SFDC Activation Rep'!X:X),"")</f>
        <v/>
      </c>
      <c r="K842" s="17" t="str">
        <f t="array" ref="K842">iferror(XLOOKUP(A842,'Download of SFDC Activation Rep'!B:B,'Download of SFDC Activation Rep'!C:C),"")</f>
        <v/>
      </c>
      <c r="L842" s="18" t="str">
        <f t="array" ref="L842">iferror(XLOOKUP(A842,'Download of SFDC Activation Rep'!B:B,'Download of SFDC Activation Rep'!S:S),"")</f>
        <v/>
      </c>
      <c r="M842" s="24" t="str">
        <f t="array" ref="M842">iferror(XLOOKUP(A842,'Download of SFDC Activation Rep'!B:B,'Download of SFDC Activation Rep'!Z:Z)+150,"")</f>
        <v/>
      </c>
      <c r="N842" s="24" t="str">
        <f t="array" ref="N842">iferror(XLOOKUP(A842,'Download of SFDC Activation Rep'!B:B,'Download of SFDC Activation Rep'!Y:Y),"")</f>
        <v/>
      </c>
    </row>
    <row r="843">
      <c r="B843" s="14"/>
      <c r="C843" s="14"/>
      <c r="D843" s="14"/>
      <c r="E843" s="15"/>
      <c r="F843" s="14"/>
      <c r="G843" s="13" t="str">
        <f t="array" ref="G843">iferror(XLOOKUP(A843,'Download of SFDC Activation Rep'!B:B,'Download of SFDC Activation Rep'!H:H),"")</f>
        <v/>
      </c>
      <c r="H843" s="13" t="str">
        <f t="array" ref="H843">iferror(xlookup(A843,'Download of SFDC Activation Rep'!B:B,'Download of SFDC Activation Rep'!L:L),"")</f>
        <v/>
      </c>
      <c r="I843" s="17" t="str">
        <f t="shared" si="1"/>
        <v>Not Active</v>
      </c>
      <c r="J843" s="17" t="str">
        <f t="array" ref="J843">iferror(XLOOKUP(A843,'Download of SFDC Activation Rep'!B:B,'Download of SFDC Activation Rep'!X:X),"")</f>
        <v/>
      </c>
      <c r="K843" s="17" t="str">
        <f t="array" ref="K843">iferror(XLOOKUP(A843,'Download of SFDC Activation Rep'!B:B,'Download of SFDC Activation Rep'!C:C),"")</f>
        <v/>
      </c>
      <c r="L843" s="18" t="str">
        <f t="array" ref="L843">iferror(XLOOKUP(A843,'Download of SFDC Activation Rep'!B:B,'Download of SFDC Activation Rep'!S:S),"")</f>
        <v/>
      </c>
      <c r="M843" s="24" t="str">
        <f t="array" ref="M843">iferror(XLOOKUP(A843,'Download of SFDC Activation Rep'!B:B,'Download of SFDC Activation Rep'!Z:Z)+150,"")</f>
        <v/>
      </c>
      <c r="N843" s="24" t="str">
        <f t="array" ref="N843">iferror(XLOOKUP(A843,'Download of SFDC Activation Rep'!B:B,'Download of SFDC Activation Rep'!Y:Y),"")</f>
        <v/>
      </c>
    </row>
    <row r="844">
      <c r="B844" s="14"/>
      <c r="C844" s="14"/>
      <c r="D844" s="14"/>
      <c r="E844" s="15"/>
      <c r="F844" s="14"/>
      <c r="G844" s="13" t="str">
        <f t="array" ref="G844">iferror(XLOOKUP(A844,'Download of SFDC Activation Rep'!B:B,'Download of SFDC Activation Rep'!H:H),"")</f>
        <v/>
      </c>
      <c r="H844" s="13" t="str">
        <f t="array" ref="H844">iferror(xlookup(A844,'Download of SFDC Activation Rep'!B:B,'Download of SFDC Activation Rep'!L:L),"")</f>
        <v/>
      </c>
      <c r="I844" s="17" t="str">
        <f t="shared" si="1"/>
        <v>Not Active</v>
      </c>
      <c r="J844" s="17" t="str">
        <f t="array" ref="J844">iferror(XLOOKUP(A844,'Download of SFDC Activation Rep'!B:B,'Download of SFDC Activation Rep'!X:X),"")</f>
        <v/>
      </c>
      <c r="K844" s="17" t="str">
        <f t="array" ref="K844">iferror(XLOOKUP(A844,'Download of SFDC Activation Rep'!B:B,'Download of SFDC Activation Rep'!C:C),"")</f>
        <v/>
      </c>
      <c r="L844" s="18" t="str">
        <f t="array" ref="L844">iferror(XLOOKUP(A844,'Download of SFDC Activation Rep'!B:B,'Download of SFDC Activation Rep'!S:S),"")</f>
        <v/>
      </c>
      <c r="M844" s="24" t="str">
        <f t="array" ref="M844">iferror(XLOOKUP(A844,'Download of SFDC Activation Rep'!B:B,'Download of SFDC Activation Rep'!Z:Z)+150,"")</f>
        <v/>
      </c>
      <c r="N844" s="24" t="str">
        <f t="array" ref="N844">iferror(XLOOKUP(A844,'Download of SFDC Activation Rep'!B:B,'Download of SFDC Activation Rep'!Y:Y),"")</f>
        <v/>
      </c>
    </row>
    <row r="845">
      <c r="B845" s="14"/>
      <c r="C845" s="14"/>
      <c r="D845" s="14"/>
      <c r="E845" s="15"/>
      <c r="F845" s="14"/>
      <c r="G845" s="13" t="str">
        <f t="array" ref="G845">iferror(XLOOKUP(A845,'Download of SFDC Activation Rep'!B:B,'Download of SFDC Activation Rep'!H:H),"")</f>
        <v/>
      </c>
      <c r="H845" s="13" t="str">
        <f t="array" ref="H845">iferror(xlookup(A845,'Download of SFDC Activation Rep'!B:B,'Download of SFDC Activation Rep'!L:L),"")</f>
        <v/>
      </c>
      <c r="I845" s="17" t="str">
        <f t="shared" si="1"/>
        <v>Not Active</v>
      </c>
      <c r="J845" s="17" t="str">
        <f t="array" ref="J845">iferror(XLOOKUP(A845,'Download of SFDC Activation Rep'!B:B,'Download of SFDC Activation Rep'!X:X),"")</f>
        <v/>
      </c>
      <c r="K845" s="17" t="str">
        <f t="array" ref="K845">iferror(XLOOKUP(A845,'Download of SFDC Activation Rep'!B:B,'Download of SFDC Activation Rep'!C:C),"")</f>
        <v/>
      </c>
      <c r="L845" s="18" t="str">
        <f t="array" ref="L845">iferror(XLOOKUP(A845,'Download of SFDC Activation Rep'!B:B,'Download of SFDC Activation Rep'!S:S),"")</f>
        <v/>
      </c>
      <c r="M845" s="24" t="str">
        <f t="array" ref="M845">iferror(XLOOKUP(A845,'Download of SFDC Activation Rep'!B:B,'Download of SFDC Activation Rep'!Z:Z)+150,"")</f>
        <v/>
      </c>
      <c r="N845" s="24" t="str">
        <f t="array" ref="N845">iferror(XLOOKUP(A845,'Download of SFDC Activation Rep'!B:B,'Download of SFDC Activation Rep'!Y:Y),"")</f>
        <v/>
      </c>
    </row>
    <row r="846">
      <c r="B846" s="14"/>
      <c r="C846" s="14"/>
      <c r="D846" s="14"/>
      <c r="E846" s="15"/>
      <c r="F846" s="14"/>
      <c r="G846" s="13" t="str">
        <f t="array" ref="G846">iferror(XLOOKUP(A846,'Download of SFDC Activation Rep'!B:B,'Download of SFDC Activation Rep'!H:H),"")</f>
        <v/>
      </c>
      <c r="H846" s="13" t="str">
        <f t="array" ref="H846">iferror(xlookup(A846,'Download of SFDC Activation Rep'!B:B,'Download of SFDC Activation Rep'!L:L),"")</f>
        <v/>
      </c>
      <c r="I846" s="17" t="str">
        <f t="shared" si="1"/>
        <v>Not Active</v>
      </c>
      <c r="J846" s="17" t="str">
        <f t="array" ref="J846">iferror(XLOOKUP(A846,'Download of SFDC Activation Rep'!B:B,'Download of SFDC Activation Rep'!X:X),"")</f>
        <v/>
      </c>
      <c r="K846" s="17" t="str">
        <f t="array" ref="K846">iferror(XLOOKUP(A846,'Download of SFDC Activation Rep'!B:B,'Download of SFDC Activation Rep'!C:C),"")</f>
        <v/>
      </c>
      <c r="L846" s="18" t="str">
        <f t="array" ref="L846">iferror(XLOOKUP(A846,'Download of SFDC Activation Rep'!B:B,'Download of SFDC Activation Rep'!S:S),"")</f>
        <v/>
      </c>
      <c r="M846" s="24" t="str">
        <f t="array" ref="M846">iferror(XLOOKUP(A846,'Download of SFDC Activation Rep'!B:B,'Download of SFDC Activation Rep'!Z:Z)+150,"")</f>
        <v/>
      </c>
      <c r="N846" s="24" t="str">
        <f t="array" ref="N846">iferror(XLOOKUP(A846,'Download of SFDC Activation Rep'!B:B,'Download of SFDC Activation Rep'!Y:Y),"")</f>
        <v/>
      </c>
    </row>
    <row r="847">
      <c r="B847" s="14"/>
      <c r="C847" s="14"/>
      <c r="D847" s="14"/>
      <c r="E847" s="15"/>
      <c r="F847" s="14"/>
      <c r="G847" s="13" t="str">
        <f t="array" ref="G847">iferror(XLOOKUP(A847,'Download of SFDC Activation Rep'!B:B,'Download of SFDC Activation Rep'!H:H),"")</f>
        <v/>
      </c>
      <c r="H847" s="13" t="str">
        <f t="array" ref="H847">iferror(xlookup(A847,'Download of SFDC Activation Rep'!B:B,'Download of SFDC Activation Rep'!L:L),"")</f>
        <v/>
      </c>
      <c r="I847" s="17" t="str">
        <f t="shared" si="1"/>
        <v>Not Active</v>
      </c>
      <c r="J847" s="17" t="str">
        <f t="array" ref="J847">iferror(XLOOKUP(A847,'Download of SFDC Activation Rep'!B:B,'Download of SFDC Activation Rep'!X:X),"")</f>
        <v/>
      </c>
      <c r="K847" s="17" t="str">
        <f t="array" ref="K847">iferror(XLOOKUP(A847,'Download of SFDC Activation Rep'!B:B,'Download of SFDC Activation Rep'!C:C),"")</f>
        <v/>
      </c>
      <c r="L847" s="18" t="str">
        <f t="array" ref="L847">iferror(XLOOKUP(A847,'Download of SFDC Activation Rep'!B:B,'Download of SFDC Activation Rep'!S:S),"")</f>
        <v/>
      </c>
      <c r="M847" s="24" t="str">
        <f t="array" ref="M847">iferror(XLOOKUP(A847,'Download of SFDC Activation Rep'!B:B,'Download of SFDC Activation Rep'!Z:Z)+150,"")</f>
        <v/>
      </c>
      <c r="N847" s="24" t="str">
        <f t="array" ref="N847">iferror(XLOOKUP(A847,'Download of SFDC Activation Rep'!B:B,'Download of SFDC Activation Rep'!Y:Y),"")</f>
        <v/>
      </c>
    </row>
    <row r="848">
      <c r="B848" s="14"/>
      <c r="C848" s="14"/>
      <c r="D848" s="14"/>
      <c r="E848" s="15"/>
      <c r="F848" s="14"/>
      <c r="G848" s="13" t="str">
        <f t="array" ref="G848">iferror(XLOOKUP(A848,'Download of SFDC Activation Rep'!B:B,'Download of SFDC Activation Rep'!H:H),"")</f>
        <v/>
      </c>
      <c r="H848" s="13" t="str">
        <f t="array" ref="H848">iferror(xlookup(A848,'Download of SFDC Activation Rep'!B:B,'Download of SFDC Activation Rep'!L:L),"")</f>
        <v/>
      </c>
      <c r="I848" s="17" t="str">
        <f t="shared" si="1"/>
        <v>Not Active</v>
      </c>
      <c r="J848" s="17" t="str">
        <f t="array" ref="J848">iferror(XLOOKUP(A848,'Download of SFDC Activation Rep'!B:B,'Download of SFDC Activation Rep'!X:X),"")</f>
        <v/>
      </c>
      <c r="K848" s="17" t="str">
        <f t="array" ref="K848">iferror(XLOOKUP(A848,'Download of SFDC Activation Rep'!B:B,'Download of SFDC Activation Rep'!C:C),"")</f>
        <v/>
      </c>
      <c r="L848" s="18" t="str">
        <f t="array" ref="L848">iferror(XLOOKUP(A848,'Download of SFDC Activation Rep'!B:B,'Download of SFDC Activation Rep'!S:S),"")</f>
        <v/>
      </c>
      <c r="M848" s="24" t="str">
        <f t="array" ref="M848">iferror(XLOOKUP(A848,'Download of SFDC Activation Rep'!B:B,'Download of SFDC Activation Rep'!Z:Z)+150,"")</f>
        <v/>
      </c>
      <c r="N848" s="24" t="str">
        <f t="array" ref="N848">iferror(XLOOKUP(A848,'Download of SFDC Activation Rep'!B:B,'Download of SFDC Activation Rep'!Y:Y),"")</f>
        <v/>
      </c>
    </row>
    <row r="849">
      <c r="B849" s="14"/>
      <c r="C849" s="14"/>
      <c r="D849" s="14"/>
      <c r="E849" s="15"/>
      <c r="F849" s="14"/>
      <c r="G849" s="13" t="str">
        <f t="array" ref="G849">iferror(XLOOKUP(A849,'Download of SFDC Activation Rep'!B:B,'Download of SFDC Activation Rep'!H:H),"")</f>
        <v/>
      </c>
      <c r="H849" s="13" t="str">
        <f t="array" ref="H849">iferror(xlookup(A849,'Download of SFDC Activation Rep'!B:B,'Download of SFDC Activation Rep'!L:L),"")</f>
        <v/>
      </c>
      <c r="I849" s="17" t="str">
        <f t="shared" si="1"/>
        <v>Not Active</v>
      </c>
      <c r="J849" s="17" t="str">
        <f t="array" ref="J849">iferror(XLOOKUP(A849,'Download of SFDC Activation Rep'!B:B,'Download of SFDC Activation Rep'!X:X),"")</f>
        <v/>
      </c>
      <c r="K849" s="17" t="str">
        <f t="array" ref="K849">iferror(XLOOKUP(A849,'Download of SFDC Activation Rep'!B:B,'Download of SFDC Activation Rep'!C:C),"")</f>
        <v/>
      </c>
      <c r="L849" s="18" t="str">
        <f t="array" ref="L849">iferror(XLOOKUP(A849,'Download of SFDC Activation Rep'!B:B,'Download of SFDC Activation Rep'!S:S),"")</f>
        <v/>
      </c>
      <c r="M849" s="24" t="str">
        <f t="array" ref="M849">iferror(XLOOKUP(A849,'Download of SFDC Activation Rep'!B:B,'Download of SFDC Activation Rep'!Z:Z)+150,"")</f>
        <v/>
      </c>
      <c r="N849" s="24" t="str">
        <f t="array" ref="N849">iferror(XLOOKUP(A849,'Download of SFDC Activation Rep'!B:B,'Download of SFDC Activation Rep'!Y:Y),"")</f>
        <v/>
      </c>
    </row>
    <row r="850">
      <c r="B850" s="14"/>
      <c r="C850" s="14"/>
      <c r="D850" s="14"/>
      <c r="E850" s="15"/>
      <c r="F850" s="14"/>
      <c r="G850" s="13" t="str">
        <f t="array" ref="G850">iferror(XLOOKUP(A850,'Download of SFDC Activation Rep'!B:B,'Download of SFDC Activation Rep'!H:H),"")</f>
        <v/>
      </c>
      <c r="H850" s="13" t="str">
        <f t="array" ref="H850">iferror(xlookup(A850,'Download of SFDC Activation Rep'!B:B,'Download of SFDC Activation Rep'!L:L),"")</f>
        <v/>
      </c>
      <c r="I850" s="17" t="str">
        <f t="shared" si="1"/>
        <v>Not Active</v>
      </c>
      <c r="J850" s="17" t="str">
        <f t="array" ref="J850">iferror(XLOOKUP(A850,'Download of SFDC Activation Rep'!B:B,'Download of SFDC Activation Rep'!X:X),"")</f>
        <v/>
      </c>
      <c r="K850" s="17" t="str">
        <f t="array" ref="K850">iferror(XLOOKUP(A850,'Download of SFDC Activation Rep'!B:B,'Download of SFDC Activation Rep'!C:C),"")</f>
        <v/>
      </c>
      <c r="L850" s="18" t="str">
        <f t="array" ref="L850">iferror(XLOOKUP(A850,'Download of SFDC Activation Rep'!B:B,'Download of SFDC Activation Rep'!S:S),"")</f>
        <v/>
      </c>
      <c r="M850" s="24" t="str">
        <f t="array" ref="M850">iferror(XLOOKUP(A850,'Download of SFDC Activation Rep'!B:B,'Download of SFDC Activation Rep'!Z:Z)+150,"")</f>
        <v/>
      </c>
      <c r="N850" s="24" t="str">
        <f t="array" ref="N850">iferror(XLOOKUP(A850,'Download of SFDC Activation Rep'!B:B,'Download of SFDC Activation Rep'!Y:Y),"")</f>
        <v/>
      </c>
    </row>
    <row r="851">
      <c r="B851" s="14"/>
      <c r="C851" s="14"/>
      <c r="D851" s="14"/>
      <c r="E851" s="15"/>
      <c r="F851" s="14"/>
      <c r="G851" s="13" t="str">
        <f t="array" ref="G851">iferror(XLOOKUP(A851,'Download of SFDC Activation Rep'!B:B,'Download of SFDC Activation Rep'!H:H),"")</f>
        <v/>
      </c>
      <c r="H851" s="13" t="str">
        <f t="array" ref="H851">iferror(xlookup(A851,'Download of SFDC Activation Rep'!B:B,'Download of SFDC Activation Rep'!L:L),"")</f>
        <v/>
      </c>
      <c r="I851" s="17" t="str">
        <f t="shared" si="1"/>
        <v>Not Active</v>
      </c>
      <c r="J851" s="17" t="str">
        <f t="array" ref="J851">iferror(XLOOKUP(A851,'Download of SFDC Activation Rep'!B:B,'Download of SFDC Activation Rep'!X:X),"")</f>
        <v/>
      </c>
      <c r="K851" s="17" t="str">
        <f t="array" ref="K851">iferror(XLOOKUP(A851,'Download of SFDC Activation Rep'!B:B,'Download of SFDC Activation Rep'!C:C),"")</f>
        <v/>
      </c>
      <c r="L851" s="18" t="str">
        <f t="array" ref="L851">iferror(XLOOKUP(A851,'Download of SFDC Activation Rep'!B:B,'Download of SFDC Activation Rep'!S:S),"")</f>
        <v/>
      </c>
      <c r="M851" s="24" t="str">
        <f t="array" ref="M851">iferror(XLOOKUP(A851,'Download of SFDC Activation Rep'!B:B,'Download of SFDC Activation Rep'!Z:Z)+150,"")</f>
        <v/>
      </c>
      <c r="N851" s="24" t="str">
        <f t="array" ref="N851">iferror(XLOOKUP(A851,'Download of SFDC Activation Rep'!B:B,'Download of SFDC Activation Rep'!Y:Y),"")</f>
        <v/>
      </c>
    </row>
    <row r="852">
      <c r="B852" s="14"/>
      <c r="C852" s="14"/>
      <c r="D852" s="14"/>
      <c r="E852" s="15"/>
      <c r="F852" s="14"/>
      <c r="G852" s="13" t="str">
        <f t="array" ref="G852">iferror(XLOOKUP(A852,'Download of SFDC Activation Rep'!B:B,'Download of SFDC Activation Rep'!H:H),"")</f>
        <v/>
      </c>
      <c r="H852" s="13" t="str">
        <f t="array" ref="H852">iferror(xlookup(A852,'Download of SFDC Activation Rep'!B:B,'Download of SFDC Activation Rep'!L:L),"")</f>
        <v/>
      </c>
      <c r="I852" s="17" t="str">
        <f t="shared" si="1"/>
        <v>Not Active</v>
      </c>
      <c r="J852" s="17" t="str">
        <f t="array" ref="J852">iferror(XLOOKUP(A852,'Download of SFDC Activation Rep'!B:B,'Download of SFDC Activation Rep'!X:X),"")</f>
        <v/>
      </c>
      <c r="K852" s="17" t="str">
        <f t="array" ref="K852">iferror(XLOOKUP(A852,'Download of SFDC Activation Rep'!B:B,'Download of SFDC Activation Rep'!C:C),"")</f>
        <v/>
      </c>
      <c r="L852" s="18" t="str">
        <f t="array" ref="L852">iferror(XLOOKUP(A852,'Download of SFDC Activation Rep'!B:B,'Download of SFDC Activation Rep'!S:S),"")</f>
        <v/>
      </c>
      <c r="M852" s="24" t="str">
        <f t="array" ref="M852">iferror(XLOOKUP(A852,'Download of SFDC Activation Rep'!B:B,'Download of SFDC Activation Rep'!Z:Z)+150,"")</f>
        <v/>
      </c>
      <c r="N852" s="24" t="str">
        <f t="array" ref="N852">iferror(XLOOKUP(A852,'Download of SFDC Activation Rep'!B:B,'Download of SFDC Activation Rep'!Y:Y),"")</f>
        <v/>
      </c>
    </row>
    <row r="853">
      <c r="B853" s="14"/>
      <c r="C853" s="14"/>
      <c r="D853" s="14"/>
      <c r="E853" s="15"/>
      <c r="F853" s="14"/>
      <c r="G853" s="13" t="str">
        <f t="array" ref="G853">iferror(XLOOKUP(A853,'Download of SFDC Activation Rep'!B:B,'Download of SFDC Activation Rep'!H:H),"")</f>
        <v/>
      </c>
      <c r="H853" s="13" t="str">
        <f t="array" ref="H853">iferror(xlookup(A853,'Download of SFDC Activation Rep'!B:B,'Download of SFDC Activation Rep'!L:L),"")</f>
        <v/>
      </c>
      <c r="I853" s="17" t="str">
        <f t="shared" si="1"/>
        <v>Not Active</v>
      </c>
      <c r="J853" s="17" t="str">
        <f t="array" ref="J853">iferror(XLOOKUP(A853,'Download of SFDC Activation Rep'!B:B,'Download of SFDC Activation Rep'!X:X),"")</f>
        <v/>
      </c>
      <c r="K853" s="17" t="str">
        <f t="array" ref="K853">iferror(XLOOKUP(A853,'Download of SFDC Activation Rep'!B:B,'Download of SFDC Activation Rep'!C:C),"")</f>
        <v/>
      </c>
      <c r="L853" s="18" t="str">
        <f t="array" ref="L853">iferror(XLOOKUP(A853,'Download of SFDC Activation Rep'!B:B,'Download of SFDC Activation Rep'!S:S),"")</f>
        <v/>
      </c>
      <c r="M853" s="24" t="str">
        <f t="array" ref="M853">iferror(XLOOKUP(A853,'Download of SFDC Activation Rep'!B:B,'Download of SFDC Activation Rep'!Z:Z)+150,"")</f>
        <v/>
      </c>
      <c r="N853" s="24" t="str">
        <f t="array" ref="N853">iferror(XLOOKUP(A853,'Download of SFDC Activation Rep'!B:B,'Download of SFDC Activation Rep'!Y:Y),"")</f>
        <v/>
      </c>
    </row>
    <row r="854">
      <c r="B854" s="14"/>
      <c r="C854" s="14"/>
      <c r="D854" s="14"/>
      <c r="E854" s="15"/>
      <c r="F854" s="14"/>
      <c r="G854" s="13" t="str">
        <f t="array" ref="G854">iferror(XLOOKUP(A854,'Download of SFDC Activation Rep'!B:B,'Download of SFDC Activation Rep'!H:H),"")</f>
        <v/>
      </c>
      <c r="H854" s="13" t="str">
        <f t="array" ref="H854">iferror(xlookup(A854,'Download of SFDC Activation Rep'!B:B,'Download of SFDC Activation Rep'!L:L),"")</f>
        <v/>
      </c>
      <c r="I854" s="17" t="str">
        <f t="shared" si="1"/>
        <v>Not Active</v>
      </c>
      <c r="J854" s="17" t="str">
        <f t="array" ref="J854">iferror(XLOOKUP(A854,'Download of SFDC Activation Rep'!B:B,'Download of SFDC Activation Rep'!X:X),"")</f>
        <v/>
      </c>
      <c r="K854" s="17" t="str">
        <f t="array" ref="K854">iferror(XLOOKUP(A854,'Download of SFDC Activation Rep'!B:B,'Download of SFDC Activation Rep'!C:C),"")</f>
        <v/>
      </c>
      <c r="L854" s="18" t="str">
        <f t="array" ref="L854">iferror(XLOOKUP(A854,'Download of SFDC Activation Rep'!B:B,'Download of SFDC Activation Rep'!S:S),"")</f>
        <v/>
      </c>
      <c r="M854" s="24" t="str">
        <f t="array" ref="M854">iferror(XLOOKUP(A854,'Download of SFDC Activation Rep'!B:B,'Download of SFDC Activation Rep'!Z:Z)+150,"")</f>
        <v/>
      </c>
      <c r="N854" s="24" t="str">
        <f t="array" ref="N854">iferror(XLOOKUP(A854,'Download of SFDC Activation Rep'!B:B,'Download of SFDC Activation Rep'!Y:Y),"")</f>
        <v/>
      </c>
    </row>
    <row r="855">
      <c r="B855" s="14"/>
      <c r="C855" s="14"/>
      <c r="D855" s="14"/>
      <c r="E855" s="15"/>
      <c r="F855" s="14"/>
      <c r="G855" s="13" t="str">
        <f t="array" ref="G855">iferror(XLOOKUP(A855,'Download of SFDC Activation Rep'!B:B,'Download of SFDC Activation Rep'!H:H),"")</f>
        <v/>
      </c>
      <c r="H855" s="13" t="str">
        <f t="array" ref="H855">iferror(xlookup(A855,'Download of SFDC Activation Rep'!B:B,'Download of SFDC Activation Rep'!L:L),"")</f>
        <v/>
      </c>
      <c r="I855" s="17" t="str">
        <f t="shared" si="1"/>
        <v>Not Active</v>
      </c>
      <c r="J855" s="17" t="str">
        <f t="array" ref="J855">iferror(XLOOKUP(A855,'Download of SFDC Activation Rep'!B:B,'Download of SFDC Activation Rep'!X:X),"")</f>
        <v/>
      </c>
      <c r="K855" s="17" t="str">
        <f t="array" ref="K855">iferror(XLOOKUP(A855,'Download of SFDC Activation Rep'!B:B,'Download of SFDC Activation Rep'!C:C),"")</f>
        <v/>
      </c>
      <c r="L855" s="18" t="str">
        <f t="array" ref="L855">iferror(XLOOKUP(A855,'Download of SFDC Activation Rep'!B:B,'Download of SFDC Activation Rep'!S:S),"")</f>
        <v/>
      </c>
      <c r="M855" s="24" t="str">
        <f t="array" ref="M855">iferror(XLOOKUP(A855,'Download of SFDC Activation Rep'!B:B,'Download of SFDC Activation Rep'!Z:Z)+150,"")</f>
        <v/>
      </c>
      <c r="N855" s="24" t="str">
        <f t="array" ref="N855">iferror(XLOOKUP(A855,'Download of SFDC Activation Rep'!B:B,'Download of SFDC Activation Rep'!Y:Y),"")</f>
        <v/>
      </c>
    </row>
    <row r="856">
      <c r="B856" s="14"/>
      <c r="C856" s="14"/>
      <c r="D856" s="14"/>
      <c r="E856" s="15"/>
      <c r="F856" s="14"/>
      <c r="G856" s="13" t="str">
        <f t="array" ref="G856">iferror(XLOOKUP(A856,'Download of SFDC Activation Rep'!B:B,'Download of SFDC Activation Rep'!H:H),"")</f>
        <v/>
      </c>
      <c r="H856" s="13" t="str">
        <f t="array" ref="H856">iferror(xlookup(A856,'Download of SFDC Activation Rep'!B:B,'Download of SFDC Activation Rep'!L:L),"")</f>
        <v/>
      </c>
      <c r="I856" s="17" t="str">
        <f t="shared" si="1"/>
        <v>Not Active</v>
      </c>
      <c r="J856" s="17" t="str">
        <f t="array" ref="J856">iferror(XLOOKUP(A856,'Download of SFDC Activation Rep'!B:B,'Download of SFDC Activation Rep'!X:X),"")</f>
        <v/>
      </c>
      <c r="K856" s="17" t="str">
        <f t="array" ref="K856">iferror(XLOOKUP(A856,'Download of SFDC Activation Rep'!B:B,'Download of SFDC Activation Rep'!C:C),"")</f>
        <v/>
      </c>
      <c r="L856" s="18" t="str">
        <f t="array" ref="L856">iferror(XLOOKUP(A856,'Download of SFDC Activation Rep'!B:B,'Download of SFDC Activation Rep'!S:S),"")</f>
        <v/>
      </c>
      <c r="M856" s="24" t="str">
        <f t="array" ref="M856">iferror(XLOOKUP(A856,'Download of SFDC Activation Rep'!B:B,'Download of SFDC Activation Rep'!Z:Z)+150,"")</f>
        <v/>
      </c>
      <c r="N856" s="24" t="str">
        <f t="array" ref="N856">iferror(XLOOKUP(A856,'Download of SFDC Activation Rep'!B:B,'Download of SFDC Activation Rep'!Y:Y),"")</f>
        <v/>
      </c>
    </row>
    <row r="857">
      <c r="B857" s="14"/>
      <c r="C857" s="14"/>
      <c r="D857" s="14"/>
      <c r="E857" s="15"/>
      <c r="F857" s="14"/>
      <c r="G857" s="13" t="str">
        <f t="array" ref="G857">iferror(XLOOKUP(A857,'Download of SFDC Activation Rep'!B:B,'Download of SFDC Activation Rep'!H:H),"")</f>
        <v/>
      </c>
      <c r="H857" s="13" t="str">
        <f t="array" ref="H857">iferror(xlookup(A857,'Download of SFDC Activation Rep'!B:B,'Download of SFDC Activation Rep'!L:L),"")</f>
        <v/>
      </c>
      <c r="I857" s="17" t="str">
        <f t="shared" si="1"/>
        <v>Not Active</v>
      </c>
      <c r="J857" s="17" t="str">
        <f t="array" ref="J857">iferror(XLOOKUP(A857,'Download of SFDC Activation Rep'!B:B,'Download of SFDC Activation Rep'!X:X),"")</f>
        <v/>
      </c>
      <c r="K857" s="17" t="str">
        <f t="array" ref="K857">iferror(XLOOKUP(A857,'Download of SFDC Activation Rep'!B:B,'Download of SFDC Activation Rep'!C:C),"")</f>
        <v/>
      </c>
      <c r="L857" s="18" t="str">
        <f t="array" ref="L857">iferror(XLOOKUP(A857,'Download of SFDC Activation Rep'!B:B,'Download of SFDC Activation Rep'!S:S),"")</f>
        <v/>
      </c>
      <c r="M857" s="24" t="str">
        <f t="array" ref="M857">iferror(XLOOKUP(A857,'Download of SFDC Activation Rep'!B:B,'Download of SFDC Activation Rep'!Z:Z)+150,"")</f>
        <v/>
      </c>
      <c r="N857" s="24" t="str">
        <f t="array" ref="N857">iferror(XLOOKUP(A857,'Download of SFDC Activation Rep'!B:B,'Download of SFDC Activation Rep'!Y:Y),"")</f>
        <v/>
      </c>
    </row>
    <row r="858">
      <c r="B858" s="14"/>
      <c r="C858" s="14"/>
      <c r="D858" s="14"/>
      <c r="E858" s="15"/>
      <c r="F858" s="14"/>
      <c r="G858" s="13" t="str">
        <f t="array" ref="G858">iferror(XLOOKUP(A858,'Download of SFDC Activation Rep'!B:B,'Download of SFDC Activation Rep'!H:H),"")</f>
        <v/>
      </c>
      <c r="H858" s="13" t="str">
        <f t="array" ref="H858">iferror(xlookup(A858,'Download of SFDC Activation Rep'!B:B,'Download of SFDC Activation Rep'!L:L),"")</f>
        <v/>
      </c>
      <c r="I858" s="17" t="str">
        <f t="shared" si="1"/>
        <v>Not Active</v>
      </c>
      <c r="J858" s="17" t="str">
        <f t="array" ref="J858">iferror(XLOOKUP(A858,'Download of SFDC Activation Rep'!B:B,'Download of SFDC Activation Rep'!X:X),"")</f>
        <v/>
      </c>
      <c r="K858" s="17" t="str">
        <f t="array" ref="K858">iferror(XLOOKUP(A858,'Download of SFDC Activation Rep'!B:B,'Download of SFDC Activation Rep'!C:C),"")</f>
        <v/>
      </c>
      <c r="L858" s="18" t="str">
        <f t="array" ref="L858">iferror(XLOOKUP(A858,'Download of SFDC Activation Rep'!B:B,'Download of SFDC Activation Rep'!S:S),"")</f>
        <v/>
      </c>
      <c r="M858" s="24" t="str">
        <f t="array" ref="M858">iferror(XLOOKUP(A858,'Download of SFDC Activation Rep'!B:B,'Download of SFDC Activation Rep'!Z:Z)+150,"")</f>
        <v/>
      </c>
      <c r="N858" s="24" t="str">
        <f t="array" ref="N858">iferror(XLOOKUP(A858,'Download of SFDC Activation Rep'!B:B,'Download of SFDC Activation Rep'!Y:Y),"")</f>
        <v/>
      </c>
    </row>
    <row r="859">
      <c r="B859" s="14"/>
      <c r="C859" s="14"/>
      <c r="D859" s="14"/>
      <c r="E859" s="15"/>
      <c r="F859" s="14"/>
      <c r="G859" s="13" t="str">
        <f t="array" ref="G859">iferror(XLOOKUP(A859,'Download of SFDC Activation Rep'!B:B,'Download of SFDC Activation Rep'!H:H),"")</f>
        <v/>
      </c>
      <c r="H859" s="13" t="str">
        <f t="array" ref="H859">iferror(xlookup(A859,'Download of SFDC Activation Rep'!B:B,'Download of SFDC Activation Rep'!L:L),"")</f>
        <v/>
      </c>
      <c r="I859" s="17" t="str">
        <f t="shared" si="1"/>
        <v>Not Active</v>
      </c>
      <c r="J859" s="17" t="str">
        <f t="array" ref="J859">iferror(XLOOKUP(A859,'Download of SFDC Activation Rep'!B:B,'Download of SFDC Activation Rep'!X:X),"")</f>
        <v/>
      </c>
      <c r="K859" s="17" t="str">
        <f t="array" ref="K859">iferror(XLOOKUP(A859,'Download of SFDC Activation Rep'!B:B,'Download of SFDC Activation Rep'!C:C),"")</f>
        <v/>
      </c>
      <c r="L859" s="18" t="str">
        <f t="array" ref="L859">iferror(XLOOKUP(A859,'Download of SFDC Activation Rep'!B:B,'Download of SFDC Activation Rep'!S:S),"")</f>
        <v/>
      </c>
      <c r="M859" s="24" t="str">
        <f t="array" ref="M859">iferror(XLOOKUP(A859,'Download of SFDC Activation Rep'!B:B,'Download of SFDC Activation Rep'!Z:Z)+150,"")</f>
        <v/>
      </c>
      <c r="N859" s="24" t="str">
        <f t="array" ref="N859">iferror(XLOOKUP(A859,'Download of SFDC Activation Rep'!B:B,'Download of SFDC Activation Rep'!Y:Y),"")</f>
        <v/>
      </c>
    </row>
    <row r="860">
      <c r="B860" s="14"/>
      <c r="C860" s="14"/>
      <c r="D860" s="14"/>
      <c r="E860" s="15"/>
      <c r="F860" s="14"/>
      <c r="G860" s="13" t="str">
        <f t="array" ref="G860">iferror(XLOOKUP(A860,'Download of SFDC Activation Rep'!B:B,'Download of SFDC Activation Rep'!H:H),"")</f>
        <v/>
      </c>
      <c r="H860" s="13" t="str">
        <f t="array" ref="H860">iferror(xlookup(A860,'Download of SFDC Activation Rep'!B:B,'Download of SFDC Activation Rep'!L:L),"")</f>
        <v/>
      </c>
      <c r="I860" s="17" t="str">
        <f t="shared" si="1"/>
        <v>Not Active</v>
      </c>
      <c r="J860" s="17" t="str">
        <f t="array" ref="J860">iferror(XLOOKUP(A860,'Download of SFDC Activation Rep'!B:B,'Download of SFDC Activation Rep'!X:X),"")</f>
        <v/>
      </c>
      <c r="K860" s="17" t="str">
        <f t="array" ref="K860">iferror(XLOOKUP(A860,'Download of SFDC Activation Rep'!B:B,'Download of SFDC Activation Rep'!C:C),"")</f>
        <v/>
      </c>
      <c r="L860" s="18" t="str">
        <f t="array" ref="L860">iferror(XLOOKUP(A860,'Download of SFDC Activation Rep'!B:B,'Download of SFDC Activation Rep'!S:S),"")</f>
        <v/>
      </c>
      <c r="M860" s="24" t="str">
        <f t="array" ref="M860">iferror(XLOOKUP(A860,'Download of SFDC Activation Rep'!B:B,'Download of SFDC Activation Rep'!Z:Z)+150,"")</f>
        <v/>
      </c>
      <c r="N860" s="24" t="str">
        <f t="array" ref="N860">iferror(XLOOKUP(A860,'Download of SFDC Activation Rep'!B:B,'Download of SFDC Activation Rep'!Y:Y),"")</f>
        <v/>
      </c>
    </row>
    <row r="861">
      <c r="B861" s="14"/>
      <c r="C861" s="14"/>
      <c r="D861" s="14"/>
      <c r="E861" s="15"/>
      <c r="F861" s="14"/>
      <c r="G861" s="13" t="str">
        <f t="array" ref="G861">iferror(XLOOKUP(A861,'Download of SFDC Activation Rep'!B:B,'Download of SFDC Activation Rep'!H:H),"")</f>
        <v/>
      </c>
      <c r="H861" s="13" t="str">
        <f t="array" ref="H861">iferror(xlookup(A861,'Download of SFDC Activation Rep'!B:B,'Download of SFDC Activation Rep'!L:L),"")</f>
        <v/>
      </c>
      <c r="I861" s="17" t="str">
        <f t="shared" si="1"/>
        <v>Not Active</v>
      </c>
      <c r="J861" s="17" t="str">
        <f t="array" ref="J861">iferror(XLOOKUP(A861,'Download of SFDC Activation Rep'!B:B,'Download of SFDC Activation Rep'!X:X),"")</f>
        <v/>
      </c>
      <c r="K861" s="17" t="str">
        <f t="array" ref="K861">iferror(XLOOKUP(A861,'Download of SFDC Activation Rep'!B:B,'Download of SFDC Activation Rep'!C:C),"")</f>
        <v/>
      </c>
      <c r="L861" s="18" t="str">
        <f t="array" ref="L861">iferror(XLOOKUP(A861,'Download of SFDC Activation Rep'!B:B,'Download of SFDC Activation Rep'!S:S),"")</f>
        <v/>
      </c>
      <c r="M861" s="24" t="str">
        <f t="array" ref="M861">iferror(XLOOKUP(A861,'Download of SFDC Activation Rep'!B:B,'Download of SFDC Activation Rep'!Z:Z)+150,"")</f>
        <v/>
      </c>
      <c r="N861" s="24" t="str">
        <f t="array" ref="N861">iferror(XLOOKUP(A861,'Download of SFDC Activation Rep'!B:B,'Download of SFDC Activation Rep'!Y:Y),"")</f>
        <v/>
      </c>
    </row>
    <row r="862">
      <c r="B862" s="14"/>
      <c r="C862" s="14"/>
      <c r="D862" s="14"/>
      <c r="E862" s="15"/>
      <c r="F862" s="14"/>
      <c r="G862" s="13" t="str">
        <f t="array" ref="G862">iferror(XLOOKUP(A862,'Download of SFDC Activation Rep'!B:B,'Download of SFDC Activation Rep'!H:H),"")</f>
        <v/>
      </c>
      <c r="H862" s="13" t="str">
        <f t="array" ref="H862">iferror(xlookup(A862,'Download of SFDC Activation Rep'!B:B,'Download of SFDC Activation Rep'!L:L),"")</f>
        <v/>
      </c>
      <c r="I862" s="17" t="str">
        <f t="shared" si="1"/>
        <v>Not Active</v>
      </c>
      <c r="J862" s="17" t="str">
        <f t="array" ref="J862">iferror(XLOOKUP(A862,'Download of SFDC Activation Rep'!B:B,'Download of SFDC Activation Rep'!X:X),"")</f>
        <v/>
      </c>
      <c r="K862" s="17" t="str">
        <f t="array" ref="K862">iferror(XLOOKUP(A862,'Download of SFDC Activation Rep'!B:B,'Download of SFDC Activation Rep'!C:C),"")</f>
        <v/>
      </c>
      <c r="L862" s="18" t="str">
        <f t="array" ref="L862">iferror(XLOOKUP(A862,'Download of SFDC Activation Rep'!B:B,'Download of SFDC Activation Rep'!S:S),"")</f>
        <v/>
      </c>
      <c r="M862" s="24" t="str">
        <f t="array" ref="M862">iferror(XLOOKUP(A862,'Download of SFDC Activation Rep'!B:B,'Download of SFDC Activation Rep'!Z:Z)+150,"")</f>
        <v/>
      </c>
      <c r="N862" s="24" t="str">
        <f t="array" ref="N862">iferror(XLOOKUP(A862,'Download of SFDC Activation Rep'!B:B,'Download of SFDC Activation Rep'!Y:Y),"")</f>
        <v/>
      </c>
    </row>
    <row r="863">
      <c r="B863" s="14"/>
      <c r="C863" s="14"/>
      <c r="D863" s="14"/>
      <c r="E863" s="15"/>
      <c r="F863" s="14"/>
      <c r="G863" s="13" t="str">
        <f t="array" ref="G863">iferror(XLOOKUP(A863,'Download of SFDC Activation Rep'!B:B,'Download of SFDC Activation Rep'!H:H),"")</f>
        <v/>
      </c>
      <c r="H863" s="13" t="str">
        <f t="array" ref="H863">iferror(xlookup(A863,'Download of SFDC Activation Rep'!B:B,'Download of SFDC Activation Rep'!L:L),"")</f>
        <v/>
      </c>
      <c r="I863" s="17" t="str">
        <f t="shared" si="1"/>
        <v>Not Active</v>
      </c>
      <c r="J863" s="17" t="str">
        <f t="array" ref="J863">iferror(XLOOKUP(A863,'Download of SFDC Activation Rep'!B:B,'Download of SFDC Activation Rep'!X:X),"")</f>
        <v/>
      </c>
      <c r="K863" s="17" t="str">
        <f t="array" ref="K863">iferror(XLOOKUP(A863,'Download of SFDC Activation Rep'!B:B,'Download of SFDC Activation Rep'!C:C),"")</f>
        <v/>
      </c>
      <c r="L863" s="18" t="str">
        <f t="array" ref="L863">iferror(XLOOKUP(A863,'Download of SFDC Activation Rep'!B:B,'Download of SFDC Activation Rep'!S:S),"")</f>
        <v/>
      </c>
      <c r="M863" s="24" t="str">
        <f t="array" ref="M863">iferror(XLOOKUP(A863,'Download of SFDC Activation Rep'!B:B,'Download of SFDC Activation Rep'!Z:Z)+150,"")</f>
        <v/>
      </c>
      <c r="N863" s="24" t="str">
        <f t="array" ref="N863">iferror(XLOOKUP(A863,'Download of SFDC Activation Rep'!B:B,'Download of SFDC Activation Rep'!Y:Y),"")</f>
        <v/>
      </c>
    </row>
    <row r="864">
      <c r="B864" s="14"/>
      <c r="C864" s="14"/>
      <c r="D864" s="14"/>
      <c r="E864" s="15"/>
      <c r="F864" s="14"/>
      <c r="G864" s="13" t="str">
        <f t="array" ref="G864">iferror(XLOOKUP(A864,'Download of SFDC Activation Rep'!B:B,'Download of SFDC Activation Rep'!H:H),"")</f>
        <v/>
      </c>
      <c r="H864" s="13" t="str">
        <f t="array" ref="H864">iferror(xlookup(A864,'Download of SFDC Activation Rep'!B:B,'Download of SFDC Activation Rep'!L:L),"")</f>
        <v/>
      </c>
      <c r="I864" s="17" t="str">
        <f t="shared" si="1"/>
        <v>Not Active</v>
      </c>
      <c r="J864" s="17" t="str">
        <f t="array" ref="J864">iferror(XLOOKUP(A864,'Download of SFDC Activation Rep'!B:B,'Download of SFDC Activation Rep'!X:X),"")</f>
        <v/>
      </c>
      <c r="K864" s="17" t="str">
        <f t="array" ref="K864">iferror(XLOOKUP(A864,'Download of SFDC Activation Rep'!B:B,'Download of SFDC Activation Rep'!C:C),"")</f>
        <v/>
      </c>
      <c r="L864" s="18" t="str">
        <f t="array" ref="L864">iferror(XLOOKUP(A864,'Download of SFDC Activation Rep'!B:B,'Download of SFDC Activation Rep'!S:S),"")</f>
        <v/>
      </c>
      <c r="M864" s="24" t="str">
        <f t="array" ref="M864">iferror(XLOOKUP(A864,'Download of SFDC Activation Rep'!B:B,'Download of SFDC Activation Rep'!Z:Z)+150,"")</f>
        <v/>
      </c>
      <c r="N864" s="24" t="str">
        <f t="array" ref="N864">iferror(XLOOKUP(A864,'Download of SFDC Activation Rep'!B:B,'Download of SFDC Activation Rep'!Y:Y),"")</f>
        <v/>
      </c>
    </row>
    <row r="865">
      <c r="B865" s="14"/>
      <c r="C865" s="14"/>
      <c r="D865" s="14"/>
      <c r="E865" s="15"/>
      <c r="F865" s="14"/>
      <c r="G865" s="13" t="str">
        <f t="array" ref="G865">iferror(XLOOKUP(A865,'Download of SFDC Activation Rep'!B:B,'Download of SFDC Activation Rep'!H:H),"")</f>
        <v/>
      </c>
      <c r="H865" s="13" t="str">
        <f t="array" ref="H865">iferror(xlookup(A865,'Download of SFDC Activation Rep'!B:B,'Download of SFDC Activation Rep'!L:L),"")</f>
        <v/>
      </c>
      <c r="I865" s="17" t="str">
        <f t="shared" si="1"/>
        <v>Not Active</v>
      </c>
      <c r="J865" s="17" t="str">
        <f t="array" ref="J865">iferror(XLOOKUP(A865,'Download of SFDC Activation Rep'!B:B,'Download of SFDC Activation Rep'!X:X),"")</f>
        <v/>
      </c>
      <c r="K865" s="17" t="str">
        <f t="array" ref="K865">iferror(XLOOKUP(A865,'Download of SFDC Activation Rep'!B:B,'Download of SFDC Activation Rep'!C:C),"")</f>
        <v/>
      </c>
      <c r="L865" s="18" t="str">
        <f t="array" ref="L865">iferror(XLOOKUP(A865,'Download of SFDC Activation Rep'!B:B,'Download of SFDC Activation Rep'!S:S),"")</f>
        <v/>
      </c>
      <c r="M865" s="24" t="str">
        <f t="array" ref="M865">iferror(XLOOKUP(A865,'Download of SFDC Activation Rep'!B:B,'Download of SFDC Activation Rep'!Z:Z)+150,"")</f>
        <v/>
      </c>
      <c r="N865" s="24" t="str">
        <f t="array" ref="N865">iferror(XLOOKUP(A865,'Download of SFDC Activation Rep'!B:B,'Download of SFDC Activation Rep'!Y:Y),"")</f>
        <v/>
      </c>
    </row>
    <row r="866">
      <c r="B866" s="14"/>
      <c r="C866" s="14"/>
      <c r="D866" s="14"/>
      <c r="E866" s="15"/>
      <c r="F866" s="14"/>
      <c r="G866" s="13" t="str">
        <f t="array" ref="G866">iferror(XLOOKUP(A866,'Download of SFDC Activation Rep'!B:B,'Download of SFDC Activation Rep'!H:H),"")</f>
        <v/>
      </c>
      <c r="H866" s="13" t="str">
        <f t="array" ref="H866">iferror(xlookup(A866,'Download of SFDC Activation Rep'!B:B,'Download of SFDC Activation Rep'!L:L),"")</f>
        <v/>
      </c>
      <c r="I866" s="17" t="str">
        <f t="shared" si="1"/>
        <v>Not Active</v>
      </c>
      <c r="J866" s="17" t="str">
        <f t="array" ref="J866">iferror(XLOOKUP(A866,'Download of SFDC Activation Rep'!B:B,'Download of SFDC Activation Rep'!X:X),"")</f>
        <v/>
      </c>
      <c r="K866" s="17" t="str">
        <f t="array" ref="K866">iferror(XLOOKUP(A866,'Download of SFDC Activation Rep'!B:B,'Download of SFDC Activation Rep'!C:C),"")</f>
        <v/>
      </c>
      <c r="L866" s="18" t="str">
        <f t="array" ref="L866">iferror(XLOOKUP(A866,'Download of SFDC Activation Rep'!B:B,'Download of SFDC Activation Rep'!S:S),"")</f>
        <v/>
      </c>
      <c r="M866" s="24" t="str">
        <f t="array" ref="M866">iferror(XLOOKUP(A866,'Download of SFDC Activation Rep'!B:B,'Download of SFDC Activation Rep'!Z:Z)+150,"")</f>
        <v/>
      </c>
      <c r="N866" s="24" t="str">
        <f t="array" ref="N866">iferror(XLOOKUP(A866,'Download of SFDC Activation Rep'!B:B,'Download of SFDC Activation Rep'!Y:Y),"")</f>
        <v/>
      </c>
    </row>
    <row r="867">
      <c r="B867" s="14"/>
      <c r="C867" s="14"/>
      <c r="D867" s="14"/>
      <c r="E867" s="15"/>
      <c r="F867" s="14"/>
      <c r="G867" s="13" t="str">
        <f t="array" ref="G867">iferror(XLOOKUP(A867,'Download of SFDC Activation Rep'!B:B,'Download of SFDC Activation Rep'!H:H),"")</f>
        <v/>
      </c>
      <c r="H867" s="13" t="str">
        <f t="array" ref="H867">iferror(xlookup(A867,'Download of SFDC Activation Rep'!B:B,'Download of SFDC Activation Rep'!L:L),"")</f>
        <v/>
      </c>
      <c r="I867" s="17" t="str">
        <f t="shared" si="1"/>
        <v>Not Active</v>
      </c>
      <c r="J867" s="17" t="str">
        <f t="array" ref="J867">iferror(XLOOKUP(A867,'Download of SFDC Activation Rep'!B:B,'Download of SFDC Activation Rep'!X:X),"")</f>
        <v/>
      </c>
      <c r="K867" s="17" t="str">
        <f t="array" ref="K867">iferror(XLOOKUP(A867,'Download of SFDC Activation Rep'!B:B,'Download of SFDC Activation Rep'!C:C),"")</f>
        <v/>
      </c>
      <c r="L867" s="18" t="str">
        <f t="array" ref="L867">iferror(XLOOKUP(A867,'Download of SFDC Activation Rep'!B:B,'Download of SFDC Activation Rep'!S:S),"")</f>
        <v/>
      </c>
      <c r="M867" s="24" t="str">
        <f t="array" ref="M867">iferror(XLOOKUP(A867,'Download of SFDC Activation Rep'!B:B,'Download of SFDC Activation Rep'!Z:Z)+150,"")</f>
        <v/>
      </c>
      <c r="N867" s="24" t="str">
        <f t="array" ref="N867">iferror(XLOOKUP(A867,'Download of SFDC Activation Rep'!B:B,'Download of SFDC Activation Rep'!Y:Y),"")</f>
        <v/>
      </c>
    </row>
    <row r="868">
      <c r="B868" s="14"/>
      <c r="C868" s="14"/>
      <c r="D868" s="14"/>
      <c r="E868" s="15"/>
      <c r="F868" s="14"/>
      <c r="G868" s="13" t="str">
        <f t="array" ref="G868">iferror(XLOOKUP(A868,'Download of SFDC Activation Rep'!B:B,'Download of SFDC Activation Rep'!H:H),"")</f>
        <v/>
      </c>
      <c r="H868" s="13" t="str">
        <f t="array" ref="H868">iferror(xlookup(A868,'Download of SFDC Activation Rep'!B:B,'Download of SFDC Activation Rep'!L:L),"")</f>
        <v/>
      </c>
      <c r="I868" s="17" t="str">
        <f t="shared" si="1"/>
        <v>Not Active</v>
      </c>
      <c r="J868" s="17" t="str">
        <f t="array" ref="J868">iferror(XLOOKUP(A868,'Download of SFDC Activation Rep'!B:B,'Download of SFDC Activation Rep'!X:X),"")</f>
        <v/>
      </c>
      <c r="K868" s="17" t="str">
        <f t="array" ref="K868">iferror(XLOOKUP(A868,'Download of SFDC Activation Rep'!B:B,'Download of SFDC Activation Rep'!C:C),"")</f>
        <v/>
      </c>
      <c r="L868" s="18" t="str">
        <f t="array" ref="L868">iferror(XLOOKUP(A868,'Download of SFDC Activation Rep'!B:B,'Download of SFDC Activation Rep'!S:S),"")</f>
        <v/>
      </c>
      <c r="M868" s="24" t="str">
        <f t="array" ref="M868">iferror(XLOOKUP(A868,'Download of SFDC Activation Rep'!B:B,'Download of SFDC Activation Rep'!Z:Z)+150,"")</f>
        <v/>
      </c>
      <c r="N868" s="24" t="str">
        <f t="array" ref="N868">iferror(XLOOKUP(A868,'Download of SFDC Activation Rep'!B:B,'Download of SFDC Activation Rep'!Y:Y),"")</f>
        <v/>
      </c>
    </row>
    <row r="869">
      <c r="B869" s="14"/>
      <c r="C869" s="14"/>
      <c r="D869" s="14"/>
      <c r="E869" s="15"/>
      <c r="F869" s="14"/>
      <c r="G869" s="13" t="str">
        <f t="array" ref="G869">iferror(XLOOKUP(A869,'Download of SFDC Activation Rep'!B:B,'Download of SFDC Activation Rep'!H:H),"")</f>
        <v/>
      </c>
      <c r="H869" s="13" t="str">
        <f t="array" ref="H869">iferror(xlookup(A869,'Download of SFDC Activation Rep'!B:B,'Download of SFDC Activation Rep'!L:L),"")</f>
        <v/>
      </c>
      <c r="I869" s="17" t="str">
        <f t="shared" si="1"/>
        <v>Not Active</v>
      </c>
      <c r="J869" s="17" t="str">
        <f t="array" ref="J869">iferror(XLOOKUP(A869,'Download of SFDC Activation Rep'!B:B,'Download of SFDC Activation Rep'!X:X),"")</f>
        <v/>
      </c>
      <c r="K869" s="17" t="str">
        <f t="array" ref="K869">iferror(XLOOKUP(A869,'Download of SFDC Activation Rep'!B:B,'Download of SFDC Activation Rep'!C:C),"")</f>
        <v/>
      </c>
      <c r="L869" s="18" t="str">
        <f t="array" ref="L869">iferror(XLOOKUP(A869,'Download of SFDC Activation Rep'!B:B,'Download of SFDC Activation Rep'!S:S),"")</f>
        <v/>
      </c>
      <c r="M869" s="24" t="str">
        <f t="array" ref="M869">iferror(XLOOKUP(A869,'Download of SFDC Activation Rep'!B:B,'Download of SFDC Activation Rep'!Z:Z)+150,"")</f>
        <v/>
      </c>
      <c r="N869" s="24" t="str">
        <f t="array" ref="N869">iferror(XLOOKUP(A869,'Download of SFDC Activation Rep'!B:B,'Download of SFDC Activation Rep'!Y:Y),"")</f>
        <v/>
      </c>
    </row>
    <row r="870">
      <c r="B870" s="14"/>
      <c r="C870" s="14"/>
      <c r="D870" s="14"/>
      <c r="E870" s="15"/>
      <c r="F870" s="14"/>
      <c r="G870" s="13" t="str">
        <f t="array" ref="G870">iferror(XLOOKUP(A870,'Download of SFDC Activation Rep'!B:B,'Download of SFDC Activation Rep'!H:H),"")</f>
        <v/>
      </c>
      <c r="H870" s="13" t="str">
        <f t="array" ref="H870">iferror(xlookup(A870,'Download of SFDC Activation Rep'!B:B,'Download of SFDC Activation Rep'!L:L),"")</f>
        <v/>
      </c>
      <c r="I870" s="17" t="str">
        <f t="shared" si="1"/>
        <v>Not Active</v>
      </c>
      <c r="J870" s="17" t="str">
        <f t="array" ref="J870">iferror(XLOOKUP(A870,'Download of SFDC Activation Rep'!B:B,'Download of SFDC Activation Rep'!X:X),"")</f>
        <v/>
      </c>
      <c r="K870" s="17" t="str">
        <f t="array" ref="K870">iferror(XLOOKUP(A870,'Download of SFDC Activation Rep'!B:B,'Download of SFDC Activation Rep'!C:C),"")</f>
        <v/>
      </c>
      <c r="L870" s="18" t="str">
        <f t="array" ref="L870">iferror(XLOOKUP(A870,'Download of SFDC Activation Rep'!B:B,'Download of SFDC Activation Rep'!S:S),"")</f>
        <v/>
      </c>
      <c r="M870" s="24" t="str">
        <f t="array" ref="M870">iferror(XLOOKUP(A870,'Download of SFDC Activation Rep'!B:B,'Download of SFDC Activation Rep'!Z:Z)+150,"")</f>
        <v/>
      </c>
      <c r="N870" s="24" t="str">
        <f t="array" ref="N870">iferror(XLOOKUP(A870,'Download of SFDC Activation Rep'!B:B,'Download of SFDC Activation Rep'!Y:Y),"")</f>
        <v/>
      </c>
    </row>
    <row r="871">
      <c r="B871" s="14"/>
      <c r="C871" s="14"/>
      <c r="D871" s="14"/>
      <c r="E871" s="15"/>
      <c r="F871" s="14"/>
      <c r="G871" s="13" t="str">
        <f t="array" ref="G871">iferror(XLOOKUP(A871,'Download of SFDC Activation Rep'!B:B,'Download of SFDC Activation Rep'!H:H),"")</f>
        <v/>
      </c>
      <c r="H871" s="13" t="str">
        <f t="array" ref="H871">iferror(xlookup(A871,'Download of SFDC Activation Rep'!B:B,'Download of SFDC Activation Rep'!L:L),"")</f>
        <v/>
      </c>
      <c r="I871" s="17" t="str">
        <f t="shared" si="1"/>
        <v>Not Active</v>
      </c>
      <c r="J871" s="17" t="str">
        <f t="array" ref="J871">iferror(XLOOKUP(A871,'Download of SFDC Activation Rep'!B:B,'Download of SFDC Activation Rep'!X:X),"")</f>
        <v/>
      </c>
      <c r="K871" s="17" t="str">
        <f t="array" ref="K871">iferror(XLOOKUP(A871,'Download of SFDC Activation Rep'!B:B,'Download of SFDC Activation Rep'!C:C),"")</f>
        <v/>
      </c>
      <c r="L871" s="18" t="str">
        <f t="array" ref="L871">iferror(XLOOKUP(A871,'Download of SFDC Activation Rep'!B:B,'Download of SFDC Activation Rep'!S:S),"")</f>
        <v/>
      </c>
      <c r="M871" s="24" t="str">
        <f t="array" ref="M871">iferror(XLOOKUP(A871,'Download of SFDC Activation Rep'!B:B,'Download of SFDC Activation Rep'!Z:Z)+150,"")</f>
        <v/>
      </c>
      <c r="N871" s="24" t="str">
        <f t="array" ref="N871">iferror(XLOOKUP(A871,'Download of SFDC Activation Rep'!B:B,'Download of SFDC Activation Rep'!Y:Y),"")</f>
        <v/>
      </c>
    </row>
    <row r="872">
      <c r="B872" s="14"/>
      <c r="C872" s="14"/>
      <c r="D872" s="14"/>
      <c r="E872" s="15"/>
      <c r="F872" s="14"/>
      <c r="G872" s="13" t="str">
        <f t="array" ref="G872">iferror(XLOOKUP(A872,'Download of SFDC Activation Rep'!B:B,'Download of SFDC Activation Rep'!H:H),"")</f>
        <v/>
      </c>
      <c r="H872" s="13" t="str">
        <f t="array" ref="H872">iferror(xlookup(A872,'Download of SFDC Activation Rep'!B:B,'Download of SFDC Activation Rep'!L:L),"")</f>
        <v/>
      </c>
      <c r="I872" s="17" t="str">
        <f t="shared" si="1"/>
        <v>Not Active</v>
      </c>
      <c r="J872" s="17" t="str">
        <f t="array" ref="J872">iferror(XLOOKUP(A872,'Download of SFDC Activation Rep'!B:B,'Download of SFDC Activation Rep'!X:X),"")</f>
        <v/>
      </c>
      <c r="K872" s="17" t="str">
        <f t="array" ref="K872">iferror(XLOOKUP(A872,'Download of SFDC Activation Rep'!B:B,'Download of SFDC Activation Rep'!C:C),"")</f>
        <v/>
      </c>
      <c r="L872" s="18" t="str">
        <f t="array" ref="L872">iferror(XLOOKUP(A872,'Download of SFDC Activation Rep'!B:B,'Download of SFDC Activation Rep'!S:S),"")</f>
        <v/>
      </c>
      <c r="M872" s="24" t="str">
        <f t="array" ref="M872">iferror(XLOOKUP(A872,'Download of SFDC Activation Rep'!B:B,'Download of SFDC Activation Rep'!Z:Z)+150,"")</f>
        <v/>
      </c>
      <c r="N872" s="24" t="str">
        <f t="array" ref="N872">iferror(XLOOKUP(A872,'Download of SFDC Activation Rep'!B:B,'Download of SFDC Activation Rep'!Y:Y),"")</f>
        <v/>
      </c>
    </row>
    <row r="873">
      <c r="B873" s="14"/>
      <c r="C873" s="14"/>
      <c r="D873" s="14"/>
      <c r="E873" s="15"/>
      <c r="F873" s="14"/>
      <c r="G873" s="13" t="str">
        <f t="array" ref="G873">iferror(XLOOKUP(A873,'Download of SFDC Activation Rep'!B:B,'Download of SFDC Activation Rep'!H:H),"")</f>
        <v/>
      </c>
      <c r="H873" s="13" t="str">
        <f t="array" ref="H873">iferror(xlookup(A873,'Download of SFDC Activation Rep'!B:B,'Download of SFDC Activation Rep'!L:L),"")</f>
        <v/>
      </c>
      <c r="I873" s="17" t="str">
        <f t="shared" si="1"/>
        <v>Not Active</v>
      </c>
      <c r="J873" s="17" t="str">
        <f t="array" ref="J873">iferror(XLOOKUP(A873,'Download of SFDC Activation Rep'!B:B,'Download of SFDC Activation Rep'!X:X),"")</f>
        <v/>
      </c>
      <c r="K873" s="17" t="str">
        <f t="array" ref="K873">iferror(XLOOKUP(A873,'Download of SFDC Activation Rep'!B:B,'Download of SFDC Activation Rep'!C:C),"")</f>
        <v/>
      </c>
      <c r="L873" s="18" t="str">
        <f t="array" ref="L873">iferror(XLOOKUP(A873,'Download of SFDC Activation Rep'!B:B,'Download of SFDC Activation Rep'!S:S),"")</f>
        <v/>
      </c>
      <c r="M873" s="24" t="str">
        <f t="array" ref="M873">iferror(XLOOKUP(A873,'Download of SFDC Activation Rep'!B:B,'Download of SFDC Activation Rep'!Z:Z)+150,"")</f>
        <v/>
      </c>
      <c r="N873" s="24" t="str">
        <f t="array" ref="N873">iferror(XLOOKUP(A873,'Download of SFDC Activation Rep'!B:B,'Download of SFDC Activation Rep'!Y:Y),"")</f>
        <v/>
      </c>
    </row>
    <row r="874">
      <c r="B874" s="14"/>
      <c r="C874" s="14"/>
      <c r="D874" s="14"/>
      <c r="E874" s="15"/>
      <c r="F874" s="14"/>
      <c r="G874" s="13" t="str">
        <f t="array" ref="G874">iferror(XLOOKUP(A874,'Download of SFDC Activation Rep'!B:B,'Download of SFDC Activation Rep'!H:H),"")</f>
        <v/>
      </c>
      <c r="H874" s="13" t="str">
        <f t="array" ref="H874">iferror(xlookup(A874,'Download of SFDC Activation Rep'!B:B,'Download of SFDC Activation Rep'!L:L),"")</f>
        <v/>
      </c>
      <c r="I874" s="17" t="str">
        <f t="shared" si="1"/>
        <v>Not Active</v>
      </c>
      <c r="J874" s="17" t="str">
        <f t="array" ref="J874">iferror(XLOOKUP(A874,'Download of SFDC Activation Rep'!B:B,'Download of SFDC Activation Rep'!X:X),"")</f>
        <v/>
      </c>
      <c r="K874" s="17" t="str">
        <f t="array" ref="K874">iferror(XLOOKUP(A874,'Download of SFDC Activation Rep'!B:B,'Download of SFDC Activation Rep'!C:C),"")</f>
        <v/>
      </c>
      <c r="L874" s="18" t="str">
        <f t="array" ref="L874">iferror(XLOOKUP(A874,'Download of SFDC Activation Rep'!B:B,'Download of SFDC Activation Rep'!S:S),"")</f>
        <v/>
      </c>
      <c r="M874" s="24" t="str">
        <f t="array" ref="M874">iferror(XLOOKUP(A874,'Download of SFDC Activation Rep'!B:B,'Download of SFDC Activation Rep'!Z:Z)+150,"")</f>
        <v/>
      </c>
      <c r="N874" s="24" t="str">
        <f t="array" ref="N874">iferror(XLOOKUP(A874,'Download of SFDC Activation Rep'!B:B,'Download of SFDC Activation Rep'!Y:Y),"")</f>
        <v/>
      </c>
    </row>
    <row r="875">
      <c r="B875" s="14"/>
      <c r="C875" s="14"/>
      <c r="D875" s="14"/>
      <c r="E875" s="15"/>
      <c r="F875" s="14"/>
      <c r="G875" s="13" t="str">
        <f t="array" ref="G875">iferror(XLOOKUP(A875,'Download of SFDC Activation Rep'!B:B,'Download of SFDC Activation Rep'!H:H),"")</f>
        <v/>
      </c>
      <c r="H875" s="13" t="str">
        <f t="array" ref="H875">iferror(xlookup(A875,'Download of SFDC Activation Rep'!B:B,'Download of SFDC Activation Rep'!L:L),"")</f>
        <v/>
      </c>
      <c r="I875" s="17" t="str">
        <f t="shared" si="1"/>
        <v>Not Active</v>
      </c>
      <c r="J875" s="17" t="str">
        <f t="array" ref="J875">iferror(XLOOKUP(A875,'Download of SFDC Activation Rep'!B:B,'Download of SFDC Activation Rep'!X:X),"")</f>
        <v/>
      </c>
      <c r="K875" s="17" t="str">
        <f t="array" ref="K875">iferror(XLOOKUP(A875,'Download of SFDC Activation Rep'!B:B,'Download of SFDC Activation Rep'!C:C),"")</f>
        <v/>
      </c>
      <c r="L875" s="18" t="str">
        <f t="array" ref="L875">iferror(XLOOKUP(A875,'Download of SFDC Activation Rep'!B:B,'Download of SFDC Activation Rep'!S:S),"")</f>
        <v/>
      </c>
      <c r="M875" s="24" t="str">
        <f t="array" ref="M875">iferror(XLOOKUP(A875,'Download of SFDC Activation Rep'!B:B,'Download of SFDC Activation Rep'!Z:Z)+150,"")</f>
        <v/>
      </c>
      <c r="N875" s="24" t="str">
        <f t="array" ref="N875">iferror(XLOOKUP(A875,'Download of SFDC Activation Rep'!B:B,'Download of SFDC Activation Rep'!Y:Y),"")</f>
        <v/>
      </c>
    </row>
    <row r="876">
      <c r="B876" s="14"/>
      <c r="C876" s="14"/>
      <c r="D876" s="14"/>
      <c r="E876" s="15"/>
      <c r="F876" s="14"/>
      <c r="G876" s="13" t="str">
        <f t="array" ref="G876">iferror(XLOOKUP(A876,'Download of SFDC Activation Rep'!B:B,'Download of SFDC Activation Rep'!H:H),"")</f>
        <v/>
      </c>
      <c r="H876" s="13" t="str">
        <f t="array" ref="H876">iferror(xlookup(A876,'Download of SFDC Activation Rep'!B:B,'Download of SFDC Activation Rep'!L:L),"")</f>
        <v/>
      </c>
      <c r="I876" s="17" t="str">
        <f t="shared" si="1"/>
        <v>Not Active</v>
      </c>
      <c r="J876" s="17" t="str">
        <f t="array" ref="J876">iferror(XLOOKUP(A876,'Download of SFDC Activation Rep'!B:B,'Download of SFDC Activation Rep'!X:X),"")</f>
        <v/>
      </c>
      <c r="K876" s="17" t="str">
        <f t="array" ref="K876">iferror(XLOOKUP(A876,'Download of SFDC Activation Rep'!B:B,'Download of SFDC Activation Rep'!C:C),"")</f>
        <v/>
      </c>
      <c r="L876" s="18" t="str">
        <f t="array" ref="L876">iferror(XLOOKUP(A876,'Download of SFDC Activation Rep'!B:B,'Download of SFDC Activation Rep'!S:S),"")</f>
        <v/>
      </c>
      <c r="M876" s="24" t="str">
        <f t="array" ref="M876">iferror(XLOOKUP(A876,'Download of SFDC Activation Rep'!B:B,'Download of SFDC Activation Rep'!Z:Z)+150,"")</f>
        <v/>
      </c>
      <c r="N876" s="24" t="str">
        <f t="array" ref="N876">iferror(XLOOKUP(A876,'Download of SFDC Activation Rep'!B:B,'Download of SFDC Activation Rep'!Y:Y),"")</f>
        <v/>
      </c>
    </row>
    <row r="877">
      <c r="B877" s="14"/>
      <c r="C877" s="14"/>
      <c r="D877" s="14"/>
      <c r="E877" s="15"/>
      <c r="F877" s="14"/>
      <c r="G877" s="13" t="str">
        <f t="array" ref="G877">iferror(XLOOKUP(A877,'Download of SFDC Activation Rep'!B:B,'Download of SFDC Activation Rep'!H:H),"")</f>
        <v/>
      </c>
      <c r="H877" s="13" t="str">
        <f t="array" ref="H877">iferror(xlookup(A877,'Download of SFDC Activation Rep'!B:B,'Download of SFDC Activation Rep'!L:L),"")</f>
        <v/>
      </c>
      <c r="I877" s="17" t="str">
        <f t="shared" si="1"/>
        <v>Not Active</v>
      </c>
      <c r="J877" s="17" t="str">
        <f t="array" ref="J877">iferror(XLOOKUP(A877,'Download of SFDC Activation Rep'!B:B,'Download of SFDC Activation Rep'!X:X),"")</f>
        <v/>
      </c>
      <c r="K877" s="17" t="str">
        <f t="array" ref="K877">iferror(XLOOKUP(A877,'Download of SFDC Activation Rep'!B:B,'Download of SFDC Activation Rep'!C:C),"")</f>
        <v/>
      </c>
      <c r="L877" s="18" t="str">
        <f t="array" ref="L877">iferror(XLOOKUP(A877,'Download of SFDC Activation Rep'!B:B,'Download of SFDC Activation Rep'!S:S),"")</f>
        <v/>
      </c>
      <c r="M877" s="24" t="str">
        <f t="array" ref="M877">iferror(XLOOKUP(A877,'Download of SFDC Activation Rep'!B:B,'Download of SFDC Activation Rep'!Z:Z)+150,"")</f>
        <v/>
      </c>
      <c r="N877" s="24" t="str">
        <f t="array" ref="N877">iferror(XLOOKUP(A877,'Download of SFDC Activation Rep'!B:B,'Download of SFDC Activation Rep'!Y:Y),"")</f>
        <v/>
      </c>
    </row>
    <row r="878">
      <c r="B878" s="14"/>
      <c r="C878" s="14"/>
      <c r="D878" s="14"/>
      <c r="E878" s="15"/>
      <c r="F878" s="14"/>
      <c r="G878" s="13" t="str">
        <f t="array" ref="G878">iferror(XLOOKUP(A878,'Download of SFDC Activation Rep'!B:B,'Download of SFDC Activation Rep'!H:H),"")</f>
        <v/>
      </c>
      <c r="H878" s="13" t="str">
        <f t="array" ref="H878">iferror(xlookup(A878,'Download of SFDC Activation Rep'!B:B,'Download of SFDC Activation Rep'!L:L),"")</f>
        <v/>
      </c>
      <c r="I878" s="17" t="str">
        <f t="shared" si="1"/>
        <v>Not Active</v>
      </c>
      <c r="J878" s="17" t="str">
        <f t="array" ref="J878">iferror(XLOOKUP(A878,'Download of SFDC Activation Rep'!B:B,'Download of SFDC Activation Rep'!X:X),"")</f>
        <v/>
      </c>
      <c r="K878" s="17" t="str">
        <f t="array" ref="K878">iferror(XLOOKUP(A878,'Download of SFDC Activation Rep'!B:B,'Download of SFDC Activation Rep'!C:C),"")</f>
        <v/>
      </c>
      <c r="L878" s="18" t="str">
        <f t="array" ref="L878">iferror(XLOOKUP(A878,'Download of SFDC Activation Rep'!B:B,'Download of SFDC Activation Rep'!S:S),"")</f>
        <v/>
      </c>
      <c r="M878" s="24" t="str">
        <f t="array" ref="M878">iferror(XLOOKUP(A878,'Download of SFDC Activation Rep'!B:B,'Download of SFDC Activation Rep'!Z:Z)+150,"")</f>
        <v/>
      </c>
      <c r="N878" s="24" t="str">
        <f t="array" ref="N878">iferror(XLOOKUP(A878,'Download of SFDC Activation Rep'!B:B,'Download of SFDC Activation Rep'!Y:Y),"")</f>
        <v/>
      </c>
    </row>
    <row r="879">
      <c r="B879" s="14"/>
      <c r="C879" s="14"/>
      <c r="D879" s="14"/>
      <c r="E879" s="15"/>
      <c r="F879" s="14"/>
      <c r="G879" s="13" t="str">
        <f t="array" ref="G879">iferror(XLOOKUP(A879,'Download of SFDC Activation Rep'!B:B,'Download of SFDC Activation Rep'!H:H),"")</f>
        <v/>
      </c>
      <c r="H879" s="13" t="str">
        <f t="array" ref="H879">iferror(xlookup(A879,'Download of SFDC Activation Rep'!B:B,'Download of SFDC Activation Rep'!L:L),"")</f>
        <v/>
      </c>
      <c r="I879" s="17" t="str">
        <f t="shared" si="1"/>
        <v>Not Active</v>
      </c>
      <c r="J879" s="17" t="str">
        <f t="array" ref="J879">iferror(XLOOKUP(A879,'Download of SFDC Activation Rep'!B:B,'Download of SFDC Activation Rep'!X:X),"")</f>
        <v/>
      </c>
      <c r="K879" s="17" t="str">
        <f t="array" ref="K879">iferror(XLOOKUP(A879,'Download of SFDC Activation Rep'!B:B,'Download of SFDC Activation Rep'!C:C),"")</f>
        <v/>
      </c>
      <c r="L879" s="18" t="str">
        <f t="array" ref="L879">iferror(XLOOKUP(A879,'Download of SFDC Activation Rep'!B:B,'Download of SFDC Activation Rep'!S:S),"")</f>
        <v/>
      </c>
      <c r="M879" s="24" t="str">
        <f t="array" ref="M879">iferror(XLOOKUP(A879,'Download of SFDC Activation Rep'!B:B,'Download of SFDC Activation Rep'!Z:Z)+150,"")</f>
        <v/>
      </c>
      <c r="N879" s="24" t="str">
        <f t="array" ref="N879">iferror(XLOOKUP(A879,'Download of SFDC Activation Rep'!B:B,'Download of SFDC Activation Rep'!Y:Y),"")</f>
        <v/>
      </c>
    </row>
    <row r="880">
      <c r="B880" s="14"/>
      <c r="C880" s="14"/>
      <c r="D880" s="14"/>
      <c r="E880" s="15"/>
      <c r="F880" s="14"/>
      <c r="G880" s="13" t="str">
        <f t="array" ref="G880">iferror(XLOOKUP(A880,'Download of SFDC Activation Rep'!B:B,'Download of SFDC Activation Rep'!H:H),"")</f>
        <v/>
      </c>
      <c r="H880" s="13" t="str">
        <f t="array" ref="H880">iferror(xlookup(A880,'Download of SFDC Activation Rep'!B:B,'Download of SFDC Activation Rep'!L:L),"")</f>
        <v/>
      </c>
      <c r="I880" s="17" t="str">
        <f t="shared" si="1"/>
        <v>Not Active</v>
      </c>
      <c r="J880" s="17" t="str">
        <f t="array" ref="J880">iferror(XLOOKUP(A880,'Download of SFDC Activation Rep'!B:B,'Download of SFDC Activation Rep'!X:X),"")</f>
        <v/>
      </c>
      <c r="K880" s="17" t="str">
        <f t="array" ref="K880">iferror(XLOOKUP(A880,'Download of SFDC Activation Rep'!B:B,'Download of SFDC Activation Rep'!C:C),"")</f>
        <v/>
      </c>
      <c r="L880" s="18" t="str">
        <f t="array" ref="L880">iferror(XLOOKUP(A880,'Download of SFDC Activation Rep'!B:B,'Download of SFDC Activation Rep'!S:S),"")</f>
        <v/>
      </c>
      <c r="M880" s="24" t="str">
        <f t="array" ref="M880">iferror(XLOOKUP(A880,'Download of SFDC Activation Rep'!B:B,'Download of SFDC Activation Rep'!Z:Z)+150,"")</f>
        <v/>
      </c>
      <c r="N880" s="24" t="str">
        <f t="array" ref="N880">iferror(XLOOKUP(A880,'Download of SFDC Activation Rep'!B:B,'Download of SFDC Activation Rep'!Y:Y),"")</f>
        <v/>
      </c>
    </row>
    <row r="881">
      <c r="B881" s="14"/>
      <c r="C881" s="14"/>
      <c r="D881" s="14"/>
      <c r="E881" s="15"/>
      <c r="F881" s="14"/>
      <c r="G881" s="13" t="str">
        <f t="array" ref="G881">iferror(XLOOKUP(A881,'Download of SFDC Activation Rep'!B:B,'Download of SFDC Activation Rep'!H:H),"")</f>
        <v/>
      </c>
      <c r="H881" s="13" t="str">
        <f t="array" ref="H881">iferror(xlookup(A881,'Download of SFDC Activation Rep'!B:B,'Download of SFDC Activation Rep'!L:L),"")</f>
        <v/>
      </c>
      <c r="I881" s="17" t="str">
        <f t="shared" si="1"/>
        <v>Not Active</v>
      </c>
      <c r="J881" s="17" t="str">
        <f t="array" ref="J881">iferror(XLOOKUP(A881,'Download of SFDC Activation Rep'!B:B,'Download of SFDC Activation Rep'!X:X),"")</f>
        <v/>
      </c>
      <c r="K881" s="17" t="str">
        <f t="array" ref="K881">iferror(XLOOKUP(A881,'Download of SFDC Activation Rep'!B:B,'Download of SFDC Activation Rep'!C:C),"")</f>
        <v/>
      </c>
      <c r="L881" s="18" t="str">
        <f t="array" ref="L881">iferror(XLOOKUP(A881,'Download of SFDC Activation Rep'!B:B,'Download of SFDC Activation Rep'!S:S),"")</f>
        <v/>
      </c>
      <c r="M881" s="24" t="str">
        <f t="array" ref="M881">iferror(XLOOKUP(A881,'Download of SFDC Activation Rep'!B:B,'Download of SFDC Activation Rep'!Z:Z)+150,"")</f>
        <v/>
      </c>
      <c r="N881" s="24" t="str">
        <f t="array" ref="N881">iferror(XLOOKUP(A881,'Download of SFDC Activation Rep'!B:B,'Download of SFDC Activation Rep'!Y:Y),"")</f>
        <v/>
      </c>
    </row>
    <row r="882">
      <c r="B882" s="14"/>
      <c r="C882" s="14"/>
      <c r="D882" s="14"/>
      <c r="E882" s="15"/>
      <c r="F882" s="14"/>
      <c r="G882" s="13" t="str">
        <f t="array" ref="G882">iferror(XLOOKUP(A882,'Download of SFDC Activation Rep'!B:B,'Download of SFDC Activation Rep'!H:H),"")</f>
        <v/>
      </c>
      <c r="H882" s="13" t="str">
        <f t="array" ref="H882">iferror(xlookup(A882,'Download of SFDC Activation Rep'!B:B,'Download of SFDC Activation Rep'!L:L),"")</f>
        <v/>
      </c>
      <c r="I882" s="17" t="str">
        <f t="shared" si="1"/>
        <v>Not Active</v>
      </c>
      <c r="J882" s="17" t="str">
        <f t="array" ref="J882">iferror(XLOOKUP(A882,'Download of SFDC Activation Rep'!B:B,'Download of SFDC Activation Rep'!X:X),"")</f>
        <v/>
      </c>
      <c r="K882" s="17" t="str">
        <f t="array" ref="K882">iferror(XLOOKUP(A882,'Download of SFDC Activation Rep'!B:B,'Download of SFDC Activation Rep'!C:C),"")</f>
        <v/>
      </c>
      <c r="L882" s="18" t="str">
        <f t="array" ref="L882">iferror(XLOOKUP(A882,'Download of SFDC Activation Rep'!B:B,'Download of SFDC Activation Rep'!S:S),"")</f>
        <v/>
      </c>
      <c r="M882" s="24" t="str">
        <f t="array" ref="M882">iferror(XLOOKUP(A882,'Download of SFDC Activation Rep'!B:B,'Download of SFDC Activation Rep'!Z:Z)+150,"")</f>
        <v/>
      </c>
      <c r="N882" s="24" t="str">
        <f t="array" ref="N882">iferror(XLOOKUP(A882,'Download of SFDC Activation Rep'!B:B,'Download of SFDC Activation Rep'!Y:Y),"")</f>
        <v/>
      </c>
    </row>
    <row r="883">
      <c r="B883" s="14"/>
      <c r="C883" s="14"/>
      <c r="D883" s="14"/>
      <c r="E883" s="15"/>
      <c r="F883" s="14"/>
      <c r="G883" s="13" t="str">
        <f t="array" ref="G883">iferror(XLOOKUP(A883,'Download of SFDC Activation Rep'!B:B,'Download of SFDC Activation Rep'!H:H),"")</f>
        <v/>
      </c>
      <c r="H883" s="13" t="str">
        <f t="array" ref="H883">iferror(xlookup(A883,'Download of SFDC Activation Rep'!B:B,'Download of SFDC Activation Rep'!L:L),"")</f>
        <v/>
      </c>
      <c r="I883" s="17" t="str">
        <f t="shared" si="1"/>
        <v>Not Active</v>
      </c>
      <c r="J883" s="17" t="str">
        <f t="array" ref="J883">iferror(XLOOKUP(A883,'Download of SFDC Activation Rep'!B:B,'Download of SFDC Activation Rep'!X:X),"")</f>
        <v/>
      </c>
      <c r="K883" s="17" t="str">
        <f t="array" ref="K883">iferror(XLOOKUP(A883,'Download of SFDC Activation Rep'!B:B,'Download of SFDC Activation Rep'!C:C),"")</f>
        <v/>
      </c>
      <c r="L883" s="18" t="str">
        <f t="array" ref="L883">iferror(XLOOKUP(A883,'Download of SFDC Activation Rep'!B:B,'Download of SFDC Activation Rep'!S:S),"")</f>
        <v/>
      </c>
      <c r="M883" s="24" t="str">
        <f t="array" ref="M883">iferror(XLOOKUP(A883,'Download of SFDC Activation Rep'!B:B,'Download of SFDC Activation Rep'!Z:Z)+150,"")</f>
        <v/>
      </c>
      <c r="N883" s="24" t="str">
        <f t="array" ref="N883">iferror(XLOOKUP(A883,'Download of SFDC Activation Rep'!B:B,'Download of SFDC Activation Rep'!Y:Y),"")</f>
        <v/>
      </c>
    </row>
    <row r="884">
      <c r="B884" s="14"/>
      <c r="C884" s="14"/>
      <c r="D884" s="14"/>
      <c r="E884" s="15"/>
      <c r="F884" s="14"/>
      <c r="G884" s="13" t="str">
        <f t="array" ref="G884">iferror(XLOOKUP(A884,'Download of SFDC Activation Rep'!B:B,'Download of SFDC Activation Rep'!H:H),"")</f>
        <v/>
      </c>
      <c r="H884" s="13" t="str">
        <f t="array" ref="H884">iferror(xlookup(A884,'Download of SFDC Activation Rep'!B:B,'Download of SFDC Activation Rep'!L:L),"")</f>
        <v/>
      </c>
      <c r="I884" s="17" t="str">
        <f t="shared" si="1"/>
        <v>Not Active</v>
      </c>
      <c r="J884" s="17" t="str">
        <f t="array" ref="J884">iferror(XLOOKUP(A884,'Download of SFDC Activation Rep'!B:B,'Download of SFDC Activation Rep'!X:X),"")</f>
        <v/>
      </c>
      <c r="K884" s="17" t="str">
        <f t="array" ref="K884">iferror(XLOOKUP(A884,'Download of SFDC Activation Rep'!B:B,'Download of SFDC Activation Rep'!C:C),"")</f>
        <v/>
      </c>
      <c r="L884" s="18" t="str">
        <f t="array" ref="L884">iferror(XLOOKUP(A884,'Download of SFDC Activation Rep'!B:B,'Download of SFDC Activation Rep'!S:S),"")</f>
        <v/>
      </c>
      <c r="M884" s="24" t="str">
        <f t="array" ref="M884">iferror(XLOOKUP(A884,'Download of SFDC Activation Rep'!B:B,'Download of SFDC Activation Rep'!Z:Z)+150,"")</f>
        <v/>
      </c>
      <c r="N884" s="24" t="str">
        <f t="array" ref="N884">iferror(XLOOKUP(A884,'Download of SFDC Activation Rep'!B:B,'Download of SFDC Activation Rep'!Y:Y),"")</f>
        <v/>
      </c>
    </row>
    <row r="885">
      <c r="B885" s="14"/>
      <c r="C885" s="14"/>
      <c r="D885" s="14"/>
      <c r="E885" s="15"/>
      <c r="F885" s="14"/>
      <c r="G885" s="13" t="str">
        <f t="array" ref="G885">iferror(XLOOKUP(A885,'Download of SFDC Activation Rep'!B:B,'Download of SFDC Activation Rep'!H:H),"")</f>
        <v/>
      </c>
      <c r="H885" s="13" t="str">
        <f t="array" ref="H885">iferror(xlookup(A885,'Download of SFDC Activation Rep'!B:B,'Download of SFDC Activation Rep'!L:L),"")</f>
        <v/>
      </c>
      <c r="I885" s="17" t="str">
        <f t="shared" si="1"/>
        <v>Not Active</v>
      </c>
      <c r="J885" s="17" t="str">
        <f t="array" ref="J885">iferror(XLOOKUP(A885,'Download of SFDC Activation Rep'!B:B,'Download of SFDC Activation Rep'!X:X),"")</f>
        <v/>
      </c>
      <c r="K885" s="17" t="str">
        <f t="array" ref="K885">iferror(XLOOKUP(A885,'Download of SFDC Activation Rep'!B:B,'Download of SFDC Activation Rep'!C:C),"")</f>
        <v/>
      </c>
      <c r="L885" s="18" t="str">
        <f t="array" ref="L885">iferror(XLOOKUP(A885,'Download of SFDC Activation Rep'!B:B,'Download of SFDC Activation Rep'!S:S),"")</f>
        <v/>
      </c>
      <c r="M885" s="24" t="str">
        <f t="array" ref="M885">iferror(XLOOKUP(A885,'Download of SFDC Activation Rep'!B:B,'Download of SFDC Activation Rep'!Z:Z)+150,"")</f>
        <v/>
      </c>
      <c r="N885" s="24" t="str">
        <f t="array" ref="N885">iferror(XLOOKUP(A885,'Download of SFDC Activation Rep'!B:B,'Download of SFDC Activation Rep'!Y:Y),"")</f>
        <v/>
      </c>
    </row>
    <row r="886">
      <c r="B886" s="14"/>
      <c r="C886" s="14"/>
      <c r="D886" s="14"/>
      <c r="E886" s="15"/>
      <c r="F886" s="14"/>
      <c r="G886" s="13" t="str">
        <f t="array" ref="G886">iferror(XLOOKUP(A886,'Download of SFDC Activation Rep'!B:B,'Download of SFDC Activation Rep'!H:H),"")</f>
        <v/>
      </c>
      <c r="H886" s="13" t="str">
        <f t="array" ref="H886">iferror(xlookup(A886,'Download of SFDC Activation Rep'!B:B,'Download of SFDC Activation Rep'!L:L),"")</f>
        <v/>
      </c>
      <c r="I886" s="17" t="str">
        <f t="shared" si="1"/>
        <v>Not Active</v>
      </c>
      <c r="J886" s="17" t="str">
        <f t="array" ref="J886">iferror(XLOOKUP(A886,'Download of SFDC Activation Rep'!B:B,'Download of SFDC Activation Rep'!X:X),"")</f>
        <v/>
      </c>
      <c r="K886" s="17" t="str">
        <f t="array" ref="K886">iferror(XLOOKUP(A886,'Download of SFDC Activation Rep'!B:B,'Download of SFDC Activation Rep'!C:C),"")</f>
        <v/>
      </c>
      <c r="L886" s="18" t="str">
        <f t="array" ref="L886">iferror(XLOOKUP(A886,'Download of SFDC Activation Rep'!B:B,'Download of SFDC Activation Rep'!S:S),"")</f>
        <v/>
      </c>
      <c r="M886" s="24" t="str">
        <f t="array" ref="M886">iferror(XLOOKUP(A886,'Download of SFDC Activation Rep'!B:B,'Download of SFDC Activation Rep'!Z:Z)+150,"")</f>
        <v/>
      </c>
      <c r="N886" s="24" t="str">
        <f t="array" ref="N886">iferror(XLOOKUP(A886,'Download of SFDC Activation Rep'!B:B,'Download of SFDC Activation Rep'!Y:Y),"")</f>
        <v/>
      </c>
    </row>
    <row r="887">
      <c r="B887" s="14"/>
      <c r="C887" s="14"/>
      <c r="D887" s="14"/>
      <c r="E887" s="15"/>
      <c r="F887" s="14"/>
      <c r="G887" s="13" t="str">
        <f t="array" ref="G887">iferror(XLOOKUP(A887,'Download of SFDC Activation Rep'!B:B,'Download of SFDC Activation Rep'!H:H),"")</f>
        <v/>
      </c>
      <c r="H887" s="13" t="str">
        <f t="array" ref="H887">iferror(xlookup(A887,'Download of SFDC Activation Rep'!B:B,'Download of SFDC Activation Rep'!L:L),"")</f>
        <v/>
      </c>
      <c r="I887" s="17" t="str">
        <f t="shared" si="1"/>
        <v>Not Active</v>
      </c>
      <c r="J887" s="17" t="str">
        <f t="array" ref="J887">iferror(XLOOKUP(A887,'Download of SFDC Activation Rep'!B:B,'Download of SFDC Activation Rep'!X:X),"")</f>
        <v/>
      </c>
      <c r="K887" s="17" t="str">
        <f t="array" ref="K887">iferror(XLOOKUP(A887,'Download of SFDC Activation Rep'!B:B,'Download of SFDC Activation Rep'!C:C),"")</f>
        <v/>
      </c>
      <c r="L887" s="18" t="str">
        <f t="array" ref="L887">iferror(XLOOKUP(A887,'Download of SFDC Activation Rep'!B:B,'Download of SFDC Activation Rep'!S:S),"")</f>
        <v/>
      </c>
      <c r="M887" s="24" t="str">
        <f t="array" ref="M887">iferror(XLOOKUP(A887,'Download of SFDC Activation Rep'!B:B,'Download of SFDC Activation Rep'!Z:Z)+150,"")</f>
        <v/>
      </c>
      <c r="N887" s="24" t="str">
        <f t="array" ref="N887">iferror(XLOOKUP(A887,'Download of SFDC Activation Rep'!B:B,'Download of SFDC Activation Rep'!Y:Y),"")</f>
        <v/>
      </c>
    </row>
    <row r="888">
      <c r="B888" s="14"/>
      <c r="C888" s="14"/>
      <c r="D888" s="14"/>
      <c r="E888" s="15"/>
      <c r="F888" s="14"/>
      <c r="G888" s="13" t="str">
        <f t="array" ref="G888">iferror(XLOOKUP(A888,'Download of SFDC Activation Rep'!B:B,'Download of SFDC Activation Rep'!H:H),"")</f>
        <v/>
      </c>
      <c r="H888" s="13" t="str">
        <f t="array" ref="H888">iferror(xlookup(A888,'Download of SFDC Activation Rep'!B:B,'Download of SFDC Activation Rep'!L:L),"")</f>
        <v/>
      </c>
      <c r="I888" s="17" t="str">
        <f t="shared" si="1"/>
        <v>Not Active</v>
      </c>
      <c r="J888" s="17" t="str">
        <f t="array" ref="J888">iferror(XLOOKUP(A888,'Download of SFDC Activation Rep'!B:B,'Download of SFDC Activation Rep'!X:X),"")</f>
        <v/>
      </c>
      <c r="K888" s="17" t="str">
        <f t="array" ref="K888">iferror(XLOOKUP(A888,'Download of SFDC Activation Rep'!B:B,'Download of SFDC Activation Rep'!C:C),"")</f>
        <v/>
      </c>
      <c r="L888" s="18" t="str">
        <f t="array" ref="L888">iferror(XLOOKUP(A888,'Download of SFDC Activation Rep'!B:B,'Download of SFDC Activation Rep'!S:S),"")</f>
        <v/>
      </c>
      <c r="M888" s="24" t="str">
        <f t="array" ref="M888">iferror(XLOOKUP(A888,'Download of SFDC Activation Rep'!B:B,'Download of SFDC Activation Rep'!Z:Z)+150,"")</f>
        <v/>
      </c>
      <c r="N888" s="24" t="str">
        <f t="array" ref="N888">iferror(XLOOKUP(A888,'Download of SFDC Activation Rep'!B:B,'Download of SFDC Activation Rep'!Y:Y),"")</f>
        <v/>
      </c>
    </row>
    <row r="889">
      <c r="B889" s="14"/>
      <c r="C889" s="14"/>
      <c r="D889" s="14"/>
      <c r="E889" s="15"/>
      <c r="F889" s="14"/>
      <c r="G889" s="13" t="str">
        <f t="array" ref="G889">iferror(XLOOKUP(A889,'Download of SFDC Activation Rep'!B:B,'Download of SFDC Activation Rep'!H:H),"")</f>
        <v/>
      </c>
      <c r="H889" s="13" t="str">
        <f t="array" ref="H889">iferror(xlookup(A889,'Download of SFDC Activation Rep'!B:B,'Download of SFDC Activation Rep'!L:L),"")</f>
        <v/>
      </c>
      <c r="I889" s="17" t="str">
        <f t="shared" si="1"/>
        <v>Not Active</v>
      </c>
      <c r="J889" s="17" t="str">
        <f t="array" ref="J889">iferror(XLOOKUP(A889,'Download of SFDC Activation Rep'!B:B,'Download of SFDC Activation Rep'!X:X),"")</f>
        <v/>
      </c>
      <c r="K889" s="17" t="str">
        <f t="array" ref="K889">iferror(XLOOKUP(A889,'Download of SFDC Activation Rep'!B:B,'Download of SFDC Activation Rep'!C:C),"")</f>
        <v/>
      </c>
      <c r="L889" s="18" t="str">
        <f t="array" ref="L889">iferror(XLOOKUP(A889,'Download of SFDC Activation Rep'!B:B,'Download of SFDC Activation Rep'!S:S),"")</f>
        <v/>
      </c>
      <c r="M889" s="24" t="str">
        <f t="array" ref="M889">iferror(XLOOKUP(A889,'Download of SFDC Activation Rep'!B:B,'Download of SFDC Activation Rep'!Z:Z)+150,"")</f>
        <v/>
      </c>
      <c r="N889" s="24" t="str">
        <f t="array" ref="N889">iferror(XLOOKUP(A889,'Download of SFDC Activation Rep'!B:B,'Download of SFDC Activation Rep'!Y:Y),"")</f>
        <v/>
      </c>
    </row>
    <row r="890">
      <c r="B890" s="14"/>
      <c r="C890" s="14"/>
      <c r="D890" s="14"/>
      <c r="E890" s="15"/>
      <c r="F890" s="14"/>
      <c r="G890" s="13" t="str">
        <f t="array" ref="G890">iferror(XLOOKUP(A890,'Download of SFDC Activation Rep'!B:B,'Download of SFDC Activation Rep'!H:H),"")</f>
        <v/>
      </c>
      <c r="H890" s="13" t="str">
        <f t="array" ref="H890">iferror(xlookup(A890,'Download of SFDC Activation Rep'!B:B,'Download of SFDC Activation Rep'!L:L),"")</f>
        <v/>
      </c>
      <c r="I890" s="17" t="str">
        <f t="shared" si="1"/>
        <v>Not Active</v>
      </c>
      <c r="J890" s="17" t="str">
        <f t="array" ref="J890">iferror(XLOOKUP(A890,'Download of SFDC Activation Rep'!B:B,'Download of SFDC Activation Rep'!X:X),"")</f>
        <v/>
      </c>
      <c r="K890" s="17" t="str">
        <f t="array" ref="K890">iferror(XLOOKUP(A890,'Download of SFDC Activation Rep'!B:B,'Download of SFDC Activation Rep'!C:C),"")</f>
        <v/>
      </c>
      <c r="L890" s="18" t="str">
        <f t="array" ref="L890">iferror(XLOOKUP(A890,'Download of SFDC Activation Rep'!B:B,'Download of SFDC Activation Rep'!S:S),"")</f>
        <v/>
      </c>
      <c r="M890" s="24" t="str">
        <f t="array" ref="M890">iferror(XLOOKUP(A890,'Download of SFDC Activation Rep'!B:B,'Download of SFDC Activation Rep'!Z:Z)+150,"")</f>
        <v/>
      </c>
      <c r="N890" s="24" t="str">
        <f t="array" ref="N890">iferror(XLOOKUP(A890,'Download of SFDC Activation Rep'!B:B,'Download of SFDC Activation Rep'!Y:Y),"")</f>
        <v/>
      </c>
    </row>
    <row r="891">
      <c r="B891" s="14"/>
      <c r="C891" s="14"/>
      <c r="D891" s="14"/>
      <c r="E891" s="15"/>
      <c r="F891" s="14"/>
      <c r="G891" s="13" t="str">
        <f t="array" ref="G891">iferror(XLOOKUP(A891,'Download of SFDC Activation Rep'!B:B,'Download of SFDC Activation Rep'!H:H),"")</f>
        <v/>
      </c>
      <c r="H891" s="13" t="str">
        <f t="array" ref="H891">iferror(xlookup(A891,'Download of SFDC Activation Rep'!B:B,'Download of SFDC Activation Rep'!L:L),"")</f>
        <v/>
      </c>
      <c r="I891" s="17" t="str">
        <f t="shared" si="1"/>
        <v>Not Active</v>
      </c>
      <c r="J891" s="17" t="str">
        <f t="array" ref="J891">iferror(XLOOKUP(A891,'Download of SFDC Activation Rep'!B:B,'Download of SFDC Activation Rep'!X:X),"")</f>
        <v/>
      </c>
      <c r="K891" s="17" t="str">
        <f t="array" ref="K891">iferror(XLOOKUP(A891,'Download of SFDC Activation Rep'!B:B,'Download of SFDC Activation Rep'!C:C),"")</f>
        <v/>
      </c>
      <c r="L891" s="18" t="str">
        <f t="array" ref="L891">iferror(XLOOKUP(A891,'Download of SFDC Activation Rep'!B:B,'Download of SFDC Activation Rep'!S:S),"")</f>
        <v/>
      </c>
      <c r="M891" s="24" t="str">
        <f t="array" ref="M891">iferror(XLOOKUP(A891,'Download of SFDC Activation Rep'!B:B,'Download of SFDC Activation Rep'!Z:Z)+150,"")</f>
        <v/>
      </c>
      <c r="N891" s="24" t="str">
        <f t="array" ref="N891">iferror(XLOOKUP(A891,'Download of SFDC Activation Rep'!B:B,'Download of SFDC Activation Rep'!Y:Y),"")</f>
        <v/>
      </c>
    </row>
    <row r="892">
      <c r="B892" s="14"/>
      <c r="C892" s="14"/>
      <c r="D892" s="14"/>
      <c r="E892" s="15"/>
      <c r="F892" s="14"/>
      <c r="G892" s="13" t="str">
        <f t="array" ref="G892">iferror(XLOOKUP(A892,'Download of SFDC Activation Rep'!B:B,'Download of SFDC Activation Rep'!H:H),"")</f>
        <v/>
      </c>
      <c r="H892" s="13" t="str">
        <f t="array" ref="H892">iferror(xlookup(A892,'Download of SFDC Activation Rep'!B:B,'Download of SFDC Activation Rep'!L:L),"")</f>
        <v/>
      </c>
      <c r="I892" s="17" t="str">
        <f t="shared" si="1"/>
        <v>Not Active</v>
      </c>
      <c r="J892" s="17" t="str">
        <f t="array" ref="J892">iferror(XLOOKUP(A892,'Download of SFDC Activation Rep'!B:B,'Download of SFDC Activation Rep'!X:X),"")</f>
        <v/>
      </c>
      <c r="K892" s="17" t="str">
        <f t="array" ref="K892">iferror(XLOOKUP(A892,'Download of SFDC Activation Rep'!B:B,'Download of SFDC Activation Rep'!C:C),"")</f>
        <v/>
      </c>
      <c r="L892" s="18" t="str">
        <f t="array" ref="L892">iferror(XLOOKUP(A892,'Download of SFDC Activation Rep'!B:B,'Download of SFDC Activation Rep'!S:S),"")</f>
        <v/>
      </c>
      <c r="M892" s="24" t="str">
        <f t="array" ref="M892">iferror(XLOOKUP(A892,'Download of SFDC Activation Rep'!B:B,'Download of SFDC Activation Rep'!Z:Z)+150,"")</f>
        <v/>
      </c>
      <c r="N892" s="24" t="str">
        <f t="array" ref="N892">iferror(XLOOKUP(A892,'Download of SFDC Activation Rep'!B:B,'Download of SFDC Activation Rep'!Y:Y),"")</f>
        <v/>
      </c>
    </row>
    <row r="893">
      <c r="B893" s="14"/>
      <c r="C893" s="14"/>
      <c r="D893" s="14"/>
      <c r="E893" s="15"/>
      <c r="F893" s="14"/>
      <c r="G893" s="13" t="str">
        <f t="array" ref="G893">iferror(XLOOKUP(A893,'Download of SFDC Activation Rep'!B:B,'Download of SFDC Activation Rep'!H:H),"")</f>
        <v/>
      </c>
      <c r="H893" s="13" t="str">
        <f t="array" ref="H893">iferror(xlookup(A893,'Download of SFDC Activation Rep'!B:B,'Download of SFDC Activation Rep'!L:L),"")</f>
        <v/>
      </c>
      <c r="I893" s="17" t="str">
        <f t="shared" si="1"/>
        <v>Not Active</v>
      </c>
      <c r="J893" s="17" t="str">
        <f t="array" ref="J893">iferror(XLOOKUP(A893,'Download of SFDC Activation Rep'!B:B,'Download of SFDC Activation Rep'!X:X),"")</f>
        <v/>
      </c>
      <c r="K893" s="17" t="str">
        <f t="array" ref="K893">iferror(XLOOKUP(A893,'Download of SFDC Activation Rep'!B:B,'Download of SFDC Activation Rep'!C:C),"")</f>
        <v/>
      </c>
      <c r="L893" s="18" t="str">
        <f t="array" ref="L893">iferror(XLOOKUP(A893,'Download of SFDC Activation Rep'!B:B,'Download of SFDC Activation Rep'!S:S),"")</f>
        <v/>
      </c>
      <c r="M893" s="24" t="str">
        <f t="array" ref="M893">iferror(XLOOKUP(A893,'Download of SFDC Activation Rep'!B:B,'Download of SFDC Activation Rep'!Z:Z)+150,"")</f>
        <v/>
      </c>
      <c r="N893" s="24" t="str">
        <f t="array" ref="N893">iferror(XLOOKUP(A893,'Download of SFDC Activation Rep'!B:B,'Download of SFDC Activation Rep'!Y:Y),"")</f>
        <v/>
      </c>
    </row>
    <row r="894">
      <c r="B894" s="14"/>
      <c r="C894" s="14"/>
      <c r="D894" s="14"/>
      <c r="E894" s="15"/>
      <c r="F894" s="14"/>
      <c r="G894" s="13" t="str">
        <f t="array" ref="G894">iferror(XLOOKUP(A894,'Download of SFDC Activation Rep'!B:B,'Download of SFDC Activation Rep'!H:H),"")</f>
        <v/>
      </c>
      <c r="H894" s="13" t="str">
        <f t="array" ref="H894">iferror(xlookup(A894,'Download of SFDC Activation Rep'!B:B,'Download of SFDC Activation Rep'!L:L),"")</f>
        <v/>
      </c>
      <c r="I894" s="17" t="str">
        <f t="shared" si="1"/>
        <v>Not Active</v>
      </c>
      <c r="J894" s="17" t="str">
        <f t="array" ref="J894">iferror(XLOOKUP(A894,'Download of SFDC Activation Rep'!B:B,'Download of SFDC Activation Rep'!X:X),"")</f>
        <v/>
      </c>
      <c r="K894" s="17" t="str">
        <f t="array" ref="K894">iferror(XLOOKUP(A894,'Download of SFDC Activation Rep'!B:B,'Download of SFDC Activation Rep'!C:C),"")</f>
        <v/>
      </c>
      <c r="L894" s="18" t="str">
        <f t="array" ref="L894">iferror(XLOOKUP(A894,'Download of SFDC Activation Rep'!B:B,'Download of SFDC Activation Rep'!S:S),"")</f>
        <v/>
      </c>
      <c r="M894" s="24" t="str">
        <f t="array" ref="M894">iferror(XLOOKUP(A894,'Download of SFDC Activation Rep'!B:B,'Download of SFDC Activation Rep'!Z:Z)+150,"")</f>
        <v/>
      </c>
      <c r="N894" s="24" t="str">
        <f t="array" ref="N894">iferror(XLOOKUP(A894,'Download of SFDC Activation Rep'!B:B,'Download of SFDC Activation Rep'!Y:Y),"")</f>
        <v/>
      </c>
    </row>
    <row r="895">
      <c r="B895" s="14"/>
      <c r="C895" s="14"/>
      <c r="D895" s="14"/>
      <c r="E895" s="15"/>
      <c r="F895" s="14"/>
      <c r="G895" s="13" t="str">
        <f t="array" ref="G895">iferror(XLOOKUP(A895,'Download of SFDC Activation Rep'!B:B,'Download of SFDC Activation Rep'!H:H),"")</f>
        <v/>
      </c>
      <c r="H895" s="13" t="str">
        <f t="array" ref="H895">iferror(xlookup(A895,'Download of SFDC Activation Rep'!B:B,'Download of SFDC Activation Rep'!L:L),"")</f>
        <v/>
      </c>
      <c r="I895" s="17" t="str">
        <f t="shared" si="1"/>
        <v>Not Active</v>
      </c>
      <c r="J895" s="17" t="str">
        <f t="array" ref="J895">iferror(XLOOKUP(A895,'Download of SFDC Activation Rep'!B:B,'Download of SFDC Activation Rep'!X:X),"")</f>
        <v/>
      </c>
      <c r="K895" s="17" t="str">
        <f t="array" ref="K895">iferror(XLOOKUP(A895,'Download of SFDC Activation Rep'!B:B,'Download of SFDC Activation Rep'!C:C),"")</f>
        <v/>
      </c>
      <c r="L895" s="18" t="str">
        <f t="array" ref="L895">iferror(XLOOKUP(A895,'Download of SFDC Activation Rep'!B:B,'Download of SFDC Activation Rep'!S:S),"")</f>
        <v/>
      </c>
      <c r="M895" s="24" t="str">
        <f t="array" ref="M895">iferror(XLOOKUP(A895,'Download of SFDC Activation Rep'!B:B,'Download of SFDC Activation Rep'!Z:Z)+150,"")</f>
        <v/>
      </c>
      <c r="N895" s="24" t="str">
        <f t="array" ref="N895">iferror(XLOOKUP(A895,'Download of SFDC Activation Rep'!B:B,'Download of SFDC Activation Rep'!Y:Y),"")</f>
        <v/>
      </c>
    </row>
    <row r="896">
      <c r="B896" s="14"/>
      <c r="C896" s="14"/>
      <c r="D896" s="14"/>
      <c r="E896" s="15"/>
      <c r="F896" s="14"/>
      <c r="G896" s="13" t="str">
        <f t="array" ref="G896">iferror(XLOOKUP(A896,'Download of SFDC Activation Rep'!B:B,'Download of SFDC Activation Rep'!H:H),"")</f>
        <v/>
      </c>
      <c r="H896" s="13" t="str">
        <f t="array" ref="H896">iferror(xlookup(A896,'Download of SFDC Activation Rep'!B:B,'Download of SFDC Activation Rep'!L:L),"")</f>
        <v/>
      </c>
      <c r="I896" s="17" t="str">
        <f t="shared" si="1"/>
        <v>Not Active</v>
      </c>
      <c r="J896" s="17" t="str">
        <f t="array" ref="J896">iferror(XLOOKUP(A896,'Download of SFDC Activation Rep'!B:B,'Download of SFDC Activation Rep'!X:X),"")</f>
        <v/>
      </c>
      <c r="K896" s="17" t="str">
        <f t="array" ref="K896">iferror(XLOOKUP(A896,'Download of SFDC Activation Rep'!B:B,'Download of SFDC Activation Rep'!C:C),"")</f>
        <v/>
      </c>
      <c r="L896" s="18" t="str">
        <f t="array" ref="L896">iferror(XLOOKUP(A896,'Download of SFDC Activation Rep'!B:B,'Download of SFDC Activation Rep'!S:S),"")</f>
        <v/>
      </c>
      <c r="M896" s="24" t="str">
        <f t="array" ref="M896">iferror(XLOOKUP(A896,'Download of SFDC Activation Rep'!B:B,'Download of SFDC Activation Rep'!Z:Z)+150,"")</f>
        <v/>
      </c>
      <c r="N896" s="24" t="str">
        <f t="array" ref="N896">iferror(XLOOKUP(A896,'Download of SFDC Activation Rep'!B:B,'Download of SFDC Activation Rep'!Y:Y),"")</f>
        <v/>
      </c>
    </row>
    <row r="897">
      <c r="B897" s="14"/>
      <c r="C897" s="14"/>
      <c r="D897" s="14"/>
      <c r="E897" s="15"/>
      <c r="F897" s="14"/>
      <c r="G897" s="13" t="str">
        <f t="array" ref="G897">iferror(XLOOKUP(A897,'Download of SFDC Activation Rep'!B:B,'Download of SFDC Activation Rep'!H:H),"")</f>
        <v/>
      </c>
      <c r="H897" s="13" t="str">
        <f t="array" ref="H897">iferror(xlookup(A897,'Download of SFDC Activation Rep'!B:B,'Download of SFDC Activation Rep'!L:L),"")</f>
        <v/>
      </c>
      <c r="I897" s="17" t="str">
        <f t="shared" si="1"/>
        <v>Not Active</v>
      </c>
      <c r="J897" s="17" t="str">
        <f t="array" ref="J897">iferror(XLOOKUP(A897,'Download of SFDC Activation Rep'!B:B,'Download of SFDC Activation Rep'!X:X),"")</f>
        <v/>
      </c>
      <c r="K897" s="17" t="str">
        <f t="array" ref="K897">iferror(XLOOKUP(A897,'Download of SFDC Activation Rep'!B:B,'Download of SFDC Activation Rep'!C:C),"")</f>
        <v/>
      </c>
      <c r="L897" s="18" t="str">
        <f t="array" ref="L897">iferror(XLOOKUP(A897,'Download of SFDC Activation Rep'!B:B,'Download of SFDC Activation Rep'!S:S),"")</f>
        <v/>
      </c>
      <c r="M897" s="24" t="str">
        <f t="array" ref="M897">iferror(XLOOKUP(A897,'Download of SFDC Activation Rep'!B:B,'Download of SFDC Activation Rep'!Z:Z)+150,"")</f>
        <v/>
      </c>
      <c r="N897" s="24" t="str">
        <f t="array" ref="N897">iferror(XLOOKUP(A897,'Download of SFDC Activation Rep'!B:B,'Download of SFDC Activation Rep'!Y:Y),"")</f>
        <v/>
      </c>
    </row>
    <row r="898">
      <c r="B898" s="14"/>
      <c r="C898" s="14"/>
      <c r="D898" s="14"/>
      <c r="E898" s="15"/>
      <c r="F898" s="14"/>
      <c r="G898" s="13" t="str">
        <f t="array" ref="G898">iferror(XLOOKUP(A898,'Download of SFDC Activation Rep'!B:B,'Download of SFDC Activation Rep'!H:H),"")</f>
        <v/>
      </c>
      <c r="H898" s="13" t="str">
        <f t="array" ref="H898">iferror(xlookup(A898,'Download of SFDC Activation Rep'!B:B,'Download of SFDC Activation Rep'!L:L),"")</f>
        <v/>
      </c>
      <c r="I898" s="17" t="str">
        <f t="shared" si="1"/>
        <v>Not Active</v>
      </c>
      <c r="J898" s="17" t="str">
        <f t="array" ref="J898">iferror(XLOOKUP(A898,'Download of SFDC Activation Rep'!B:B,'Download of SFDC Activation Rep'!X:X),"")</f>
        <v/>
      </c>
      <c r="K898" s="17" t="str">
        <f t="array" ref="K898">iferror(XLOOKUP(A898,'Download of SFDC Activation Rep'!B:B,'Download of SFDC Activation Rep'!C:C),"")</f>
        <v/>
      </c>
      <c r="L898" s="18" t="str">
        <f t="array" ref="L898">iferror(XLOOKUP(A898,'Download of SFDC Activation Rep'!B:B,'Download of SFDC Activation Rep'!S:S),"")</f>
        <v/>
      </c>
      <c r="M898" s="24" t="str">
        <f t="array" ref="M898">iferror(XLOOKUP(A898,'Download of SFDC Activation Rep'!B:B,'Download of SFDC Activation Rep'!Z:Z)+150,"")</f>
        <v/>
      </c>
      <c r="N898" s="24" t="str">
        <f t="array" ref="N898">iferror(XLOOKUP(A898,'Download of SFDC Activation Rep'!B:B,'Download of SFDC Activation Rep'!Y:Y),"")</f>
        <v/>
      </c>
    </row>
    <row r="899">
      <c r="B899" s="14"/>
      <c r="C899" s="14"/>
      <c r="D899" s="14"/>
      <c r="E899" s="15"/>
      <c r="F899" s="14"/>
      <c r="G899" s="13" t="str">
        <f t="array" ref="G899">iferror(XLOOKUP(A899,'Download of SFDC Activation Rep'!B:B,'Download of SFDC Activation Rep'!H:H),"")</f>
        <v/>
      </c>
      <c r="H899" s="13" t="str">
        <f t="array" ref="H899">iferror(xlookup(A899,'Download of SFDC Activation Rep'!B:B,'Download of SFDC Activation Rep'!L:L),"")</f>
        <v/>
      </c>
      <c r="I899" s="17" t="str">
        <f t="shared" si="1"/>
        <v>Not Active</v>
      </c>
      <c r="J899" s="17" t="str">
        <f t="array" ref="J899">iferror(XLOOKUP(A899,'Download of SFDC Activation Rep'!B:B,'Download of SFDC Activation Rep'!X:X),"")</f>
        <v/>
      </c>
      <c r="K899" s="17" t="str">
        <f t="array" ref="K899">iferror(XLOOKUP(A899,'Download of SFDC Activation Rep'!B:B,'Download of SFDC Activation Rep'!C:C),"")</f>
        <v/>
      </c>
      <c r="L899" s="18" t="str">
        <f t="array" ref="L899">iferror(XLOOKUP(A899,'Download of SFDC Activation Rep'!B:B,'Download of SFDC Activation Rep'!S:S),"")</f>
        <v/>
      </c>
      <c r="M899" s="24" t="str">
        <f t="array" ref="M899">iferror(XLOOKUP(A899,'Download of SFDC Activation Rep'!B:B,'Download of SFDC Activation Rep'!Z:Z)+150,"")</f>
        <v/>
      </c>
      <c r="N899" s="24" t="str">
        <f t="array" ref="N899">iferror(XLOOKUP(A899,'Download of SFDC Activation Rep'!B:B,'Download of SFDC Activation Rep'!Y:Y),"")</f>
        <v/>
      </c>
    </row>
    <row r="900">
      <c r="B900" s="14"/>
      <c r="C900" s="14"/>
      <c r="D900" s="14"/>
      <c r="E900" s="15"/>
      <c r="F900" s="14"/>
      <c r="G900" s="13" t="str">
        <f t="array" ref="G900">iferror(XLOOKUP(A900,'Download of SFDC Activation Rep'!B:B,'Download of SFDC Activation Rep'!H:H),"")</f>
        <v/>
      </c>
      <c r="H900" s="13" t="str">
        <f t="array" ref="H900">iferror(xlookup(A900,'Download of SFDC Activation Rep'!B:B,'Download of SFDC Activation Rep'!L:L),"")</f>
        <v/>
      </c>
      <c r="I900" s="17" t="str">
        <f t="shared" si="1"/>
        <v>Not Active</v>
      </c>
      <c r="J900" s="17" t="str">
        <f t="array" ref="J900">iferror(XLOOKUP(A900,'Download of SFDC Activation Rep'!B:B,'Download of SFDC Activation Rep'!X:X),"")</f>
        <v/>
      </c>
      <c r="K900" s="17" t="str">
        <f t="array" ref="K900">iferror(XLOOKUP(A900,'Download of SFDC Activation Rep'!B:B,'Download of SFDC Activation Rep'!C:C),"")</f>
        <v/>
      </c>
      <c r="L900" s="18" t="str">
        <f t="array" ref="L900">iferror(XLOOKUP(A900,'Download of SFDC Activation Rep'!B:B,'Download of SFDC Activation Rep'!S:S),"")</f>
        <v/>
      </c>
      <c r="M900" s="24" t="str">
        <f t="array" ref="M900">iferror(XLOOKUP(A900,'Download of SFDC Activation Rep'!B:B,'Download of SFDC Activation Rep'!Z:Z)+150,"")</f>
        <v/>
      </c>
      <c r="N900" s="24" t="str">
        <f t="array" ref="N900">iferror(XLOOKUP(A900,'Download of SFDC Activation Rep'!B:B,'Download of SFDC Activation Rep'!Y:Y),"")</f>
        <v/>
      </c>
    </row>
    <row r="901">
      <c r="B901" s="14"/>
      <c r="C901" s="14"/>
      <c r="D901" s="14"/>
      <c r="E901" s="15"/>
      <c r="F901" s="14"/>
      <c r="G901" s="13" t="str">
        <f t="array" ref="G901">iferror(XLOOKUP(A901,'Download of SFDC Activation Rep'!B:B,'Download of SFDC Activation Rep'!H:H),"")</f>
        <v/>
      </c>
      <c r="H901" s="13" t="str">
        <f t="array" ref="H901">iferror(xlookup(A901,'Download of SFDC Activation Rep'!B:B,'Download of SFDC Activation Rep'!L:L),"")</f>
        <v/>
      </c>
      <c r="I901" s="17" t="str">
        <f t="shared" si="1"/>
        <v>Not Active</v>
      </c>
      <c r="J901" s="17" t="str">
        <f t="array" ref="J901">iferror(XLOOKUP(A901,'Download of SFDC Activation Rep'!B:B,'Download of SFDC Activation Rep'!X:X),"")</f>
        <v/>
      </c>
      <c r="K901" s="17" t="str">
        <f t="array" ref="K901">iferror(XLOOKUP(A901,'Download of SFDC Activation Rep'!B:B,'Download of SFDC Activation Rep'!C:C),"")</f>
        <v/>
      </c>
      <c r="L901" s="18" t="str">
        <f t="array" ref="L901">iferror(XLOOKUP(A901,'Download of SFDC Activation Rep'!B:B,'Download of SFDC Activation Rep'!S:S),"")</f>
        <v/>
      </c>
      <c r="M901" s="24" t="str">
        <f t="array" ref="M901">iferror(XLOOKUP(A901,'Download of SFDC Activation Rep'!B:B,'Download of SFDC Activation Rep'!Z:Z)+150,"")</f>
        <v/>
      </c>
      <c r="N901" s="24" t="str">
        <f t="array" ref="N901">iferror(XLOOKUP(A901,'Download of SFDC Activation Rep'!B:B,'Download of SFDC Activation Rep'!Y:Y),"")</f>
        <v/>
      </c>
    </row>
    <row r="902">
      <c r="B902" s="14"/>
      <c r="C902" s="14"/>
      <c r="D902" s="14"/>
      <c r="E902" s="15"/>
      <c r="F902" s="14"/>
      <c r="G902" s="13" t="str">
        <f t="array" ref="G902">iferror(XLOOKUP(A902,'Download of SFDC Activation Rep'!B:B,'Download of SFDC Activation Rep'!H:H),"")</f>
        <v/>
      </c>
      <c r="H902" s="13" t="str">
        <f t="array" ref="H902">iferror(xlookup(A902,'Download of SFDC Activation Rep'!B:B,'Download of SFDC Activation Rep'!L:L),"")</f>
        <v/>
      </c>
      <c r="I902" s="17" t="str">
        <f t="shared" si="1"/>
        <v>Not Active</v>
      </c>
      <c r="J902" s="17" t="str">
        <f t="array" ref="J902">iferror(XLOOKUP(A902,'Download of SFDC Activation Rep'!B:B,'Download of SFDC Activation Rep'!X:X),"")</f>
        <v/>
      </c>
      <c r="K902" s="17" t="str">
        <f t="array" ref="K902">iferror(XLOOKUP(A902,'Download of SFDC Activation Rep'!B:B,'Download of SFDC Activation Rep'!C:C),"")</f>
        <v/>
      </c>
      <c r="L902" s="18" t="str">
        <f t="array" ref="L902">iferror(XLOOKUP(A902,'Download of SFDC Activation Rep'!B:B,'Download of SFDC Activation Rep'!S:S),"")</f>
        <v/>
      </c>
      <c r="M902" s="24" t="str">
        <f t="array" ref="M902">iferror(XLOOKUP(A902,'Download of SFDC Activation Rep'!B:B,'Download of SFDC Activation Rep'!Z:Z)+150,"")</f>
        <v/>
      </c>
      <c r="N902" s="24" t="str">
        <f t="array" ref="N902">iferror(XLOOKUP(A902,'Download of SFDC Activation Rep'!B:B,'Download of SFDC Activation Rep'!Y:Y),"")</f>
        <v/>
      </c>
    </row>
    <row r="903">
      <c r="B903" s="14"/>
      <c r="C903" s="14"/>
      <c r="D903" s="14"/>
      <c r="E903" s="15"/>
      <c r="F903" s="14"/>
      <c r="G903" s="13" t="str">
        <f t="array" ref="G903">iferror(XLOOKUP(A903,'Download of SFDC Activation Rep'!B:B,'Download of SFDC Activation Rep'!H:H),"")</f>
        <v/>
      </c>
      <c r="H903" s="13" t="str">
        <f t="array" ref="H903">iferror(xlookup(A903,'Download of SFDC Activation Rep'!B:B,'Download of SFDC Activation Rep'!L:L),"")</f>
        <v/>
      </c>
      <c r="I903" s="17" t="str">
        <f t="shared" si="1"/>
        <v>Not Active</v>
      </c>
      <c r="J903" s="17" t="str">
        <f t="array" ref="J903">iferror(XLOOKUP(A903,'Download of SFDC Activation Rep'!B:B,'Download of SFDC Activation Rep'!X:X),"")</f>
        <v/>
      </c>
      <c r="K903" s="17" t="str">
        <f t="array" ref="K903">iferror(XLOOKUP(A903,'Download of SFDC Activation Rep'!B:B,'Download of SFDC Activation Rep'!C:C),"")</f>
        <v/>
      </c>
      <c r="L903" s="18" t="str">
        <f t="array" ref="L903">iferror(XLOOKUP(A903,'Download of SFDC Activation Rep'!B:B,'Download of SFDC Activation Rep'!S:S),"")</f>
        <v/>
      </c>
      <c r="M903" s="24" t="str">
        <f t="array" ref="M903">iferror(XLOOKUP(A903,'Download of SFDC Activation Rep'!B:B,'Download of SFDC Activation Rep'!Z:Z)+150,"")</f>
        <v/>
      </c>
      <c r="N903" s="24" t="str">
        <f t="array" ref="N903">iferror(XLOOKUP(A903,'Download of SFDC Activation Rep'!B:B,'Download of SFDC Activation Rep'!Y:Y),"")</f>
        <v/>
      </c>
    </row>
    <row r="904">
      <c r="B904" s="14"/>
      <c r="C904" s="14"/>
      <c r="D904" s="14"/>
      <c r="E904" s="15"/>
      <c r="F904" s="14"/>
      <c r="G904" s="13" t="str">
        <f t="array" ref="G904">iferror(XLOOKUP(A904,'Download of SFDC Activation Rep'!B:B,'Download of SFDC Activation Rep'!H:H),"")</f>
        <v/>
      </c>
      <c r="H904" s="13" t="str">
        <f t="array" ref="H904">iferror(xlookup(A904,'Download of SFDC Activation Rep'!B:B,'Download of SFDC Activation Rep'!L:L),"")</f>
        <v/>
      </c>
      <c r="I904" s="17" t="str">
        <f t="shared" si="1"/>
        <v>Not Active</v>
      </c>
      <c r="J904" s="17" t="str">
        <f t="array" ref="J904">iferror(XLOOKUP(A904,'Download of SFDC Activation Rep'!B:B,'Download of SFDC Activation Rep'!X:X),"")</f>
        <v/>
      </c>
      <c r="K904" s="17" t="str">
        <f t="array" ref="K904">iferror(XLOOKUP(A904,'Download of SFDC Activation Rep'!B:B,'Download of SFDC Activation Rep'!C:C),"")</f>
        <v/>
      </c>
      <c r="L904" s="18" t="str">
        <f t="array" ref="L904">iferror(XLOOKUP(A904,'Download of SFDC Activation Rep'!B:B,'Download of SFDC Activation Rep'!S:S),"")</f>
        <v/>
      </c>
      <c r="M904" s="24" t="str">
        <f t="array" ref="M904">iferror(XLOOKUP(A904,'Download of SFDC Activation Rep'!B:B,'Download of SFDC Activation Rep'!Z:Z)+150,"")</f>
        <v/>
      </c>
      <c r="N904" s="24" t="str">
        <f t="array" ref="N904">iferror(XLOOKUP(A904,'Download of SFDC Activation Rep'!B:B,'Download of SFDC Activation Rep'!Y:Y),"")</f>
        <v/>
      </c>
    </row>
    <row r="905">
      <c r="B905" s="14"/>
      <c r="C905" s="14"/>
      <c r="D905" s="14"/>
      <c r="E905" s="15"/>
      <c r="F905" s="14"/>
      <c r="G905" s="13" t="str">
        <f t="array" ref="G905">iferror(XLOOKUP(A905,'Download of SFDC Activation Rep'!B:B,'Download of SFDC Activation Rep'!H:H),"")</f>
        <v/>
      </c>
      <c r="H905" s="13" t="str">
        <f t="array" ref="H905">iferror(xlookup(A905,'Download of SFDC Activation Rep'!B:B,'Download of SFDC Activation Rep'!L:L),"")</f>
        <v/>
      </c>
      <c r="I905" s="17" t="str">
        <f t="shared" si="1"/>
        <v>Not Active</v>
      </c>
      <c r="J905" s="17" t="str">
        <f t="array" ref="J905">iferror(XLOOKUP(A905,'Download of SFDC Activation Rep'!B:B,'Download of SFDC Activation Rep'!X:X),"")</f>
        <v/>
      </c>
      <c r="K905" s="17" t="str">
        <f t="array" ref="K905">iferror(XLOOKUP(A905,'Download of SFDC Activation Rep'!B:B,'Download of SFDC Activation Rep'!C:C),"")</f>
        <v/>
      </c>
      <c r="L905" s="18" t="str">
        <f t="array" ref="L905">iferror(XLOOKUP(A905,'Download of SFDC Activation Rep'!B:B,'Download of SFDC Activation Rep'!S:S),"")</f>
        <v/>
      </c>
      <c r="M905" s="24" t="str">
        <f t="array" ref="M905">iferror(XLOOKUP(A905,'Download of SFDC Activation Rep'!B:B,'Download of SFDC Activation Rep'!Z:Z)+150,"")</f>
        <v/>
      </c>
      <c r="N905" s="24" t="str">
        <f t="array" ref="N905">iferror(XLOOKUP(A905,'Download of SFDC Activation Rep'!B:B,'Download of SFDC Activation Rep'!Y:Y),"")</f>
        <v/>
      </c>
    </row>
    <row r="906">
      <c r="B906" s="14"/>
      <c r="C906" s="14"/>
      <c r="D906" s="14"/>
      <c r="E906" s="15"/>
      <c r="F906" s="14"/>
      <c r="G906" s="13" t="str">
        <f t="array" ref="G906">iferror(XLOOKUP(A906,'Download of SFDC Activation Rep'!B:B,'Download of SFDC Activation Rep'!H:H),"")</f>
        <v/>
      </c>
      <c r="H906" s="13" t="str">
        <f t="array" ref="H906">iferror(xlookup(A906,'Download of SFDC Activation Rep'!B:B,'Download of SFDC Activation Rep'!L:L),"")</f>
        <v/>
      </c>
      <c r="I906" s="17" t="str">
        <f t="shared" si="1"/>
        <v>Not Active</v>
      </c>
      <c r="J906" s="17" t="str">
        <f t="array" ref="J906">iferror(XLOOKUP(A906,'Download of SFDC Activation Rep'!B:B,'Download of SFDC Activation Rep'!X:X),"")</f>
        <v/>
      </c>
      <c r="K906" s="17" t="str">
        <f t="array" ref="K906">iferror(XLOOKUP(A906,'Download of SFDC Activation Rep'!B:B,'Download of SFDC Activation Rep'!C:C),"")</f>
        <v/>
      </c>
      <c r="L906" s="18" t="str">
        <f t="array" ref="L906">iferror(XLOOKUP(A906,'Download of SFDC Activation Rep'!B:B,'Download of SFDC Activation Rep'!S:S),"")</f>
        <v/>
      </c>
      <c r="M906" s="24" t="str">
        <f t="array" ref="M906">iferror(XLOOKUP(A906,'Download of SFDC Activation Rep'!B:B,'Download of SFDC Activation Rep'!Z:Z)+150,"")</f>
        <v/>
      </c>
      <c r="N906" s="24" t="str">
        <f t="array" ref="N906">iferror(XLOOKUP(A906,'Download of SFDC Activation Rep'!B:B,'Download of SFDC Activation Rep'!Y:Y),"")</f>
        <v/>
      </c>
    </row>
    <row r="907">
      <c r="B907" s="14"/>
      <c r="C907" s="14"/>
      <c r="D907" s="14"/>
      <c r="E907" s="15"/>
      <c r="F907" s="14"/>
      <c r="G907" s="13" t="str">
        <f t="array" ref="G907">iferror(XLOOKUP(A907,'Download of SFDC Activation Rep'!B:B,'Download of SFDC Activation Rep'!H:H),"")</f>
        <v/>
      </c>
      <c r="H907" s="13" t="str">
        <f t="array" ref="H907">iferror(xlookup(A907,'Download of SFDC Activation Rep'!B:B,'Download of SFDC Activation Rep'!L:L),"")</f>
        <v/>
      </c>
      <c r="I907" s="17" t="str">
        <f t="shared" si="1"/>
        <v>Not Active</v>
      </c>
      <c r="J907" s="17" t="str">
        <f t="array" ref="J907">iferror(XLOOKUP(A907,'Download of SFDC Activation Rep'!B:B,'Download of SFDC Activation Rep'!X:X),"")</f>
        <v/>
      </c>
      <c r="K907" s="17" t="str">
        <f t="array" ref="K907">iferror(XLOOKUP(A907,'Download of SFDC Activation Rep'!B:B,'Download of SFDC Activation Rep'!C:C),"")</f>
        <v/>
      </c>
      <c r="L907" s="18" t="str">
        <f t="array" ref="L907">iferror(XLOOKUP(A907,'Download of SFDC Activation Rep'!B:B,'Download of SFDC Activation Rep'!S:S),"")</f>
        <v/>
      </c>
      <c r="M907" s="24" t="str">
        <f t="array" ref="M907">iferror(XLOOKUP(A907,'Download of SFDC Activation Rep'!B:B,'Download of SFDC Activation Rep'!Z:Z)+150,"")</f>
        <v/>
      </c>
      <c r="N907" s="24" t="str">
        <f t="array" ref="N907">iferror(XLOOKUP(A907,'Download of SFDC Activation Rep'!B:B,'Download of SFDC Activation Rep'!Y:Y),"")</f>
        <v/>
      </c>
    </row>
    <row r="908">
      <c r="B908" s="14"/>
      <c r="C908" s="14"/>
      <c r="D908" s="14"/>
      <c r="E908" s="15"/>
      <c r="F908" s="14"/>
      <c r="G908" s="13" t="str">
        <f t="array" ref="G908">iferror(XLOOKUP(A908,'Download of SFDC Activation Rep'!B:B,'Download of SFDC Activation Rep'!H:H),"")</f>
        <v/>
      </c>
      <c r="H908" s="13" t="str">
        <f t="array" ref="H908">iferror(xlookup(A908,'Download of SFDC Activation Rep'!B:B,'Download of SFDC Activation Rep'!L:L),"")</f>
        <v/>
      </c>
      <c r="I908" s="17" t="str">
        <f t="shared" si="1"/>
        <v>Not Active</v>
      </c>
      <c r="J908" s="17" t="str">
        <f t="array" ref="J908">iferror(XLOOKUP(A908,'Download of SFDC Activation Rep'!B:B,'Download of SFDC Activation Rep'!X:X),"")</f>
        <v/>
      </c>
      <c r="K908" s="17" t="str">
        <f t="array" ref="K908">iferror(XLOOKUP(A908,'Download of SFDC Activation Rep'!B:B,'Download of SFDC Activation Rep'!C:C),"")</f>
        <v/>
      </c>
      <c r="L908" s="18" t="str">
        <f t="array" ref="L908">iferror(XLOOKUP(A908,'Download of SFDC Activation Rep'!B:B,'Download of SFDC Activation Rep'!S:S),"")</f>
        <v/>
      </c>
      <c r="M908" s="24" t="str">
        <f t="array" ref="M908">iferror(XLOOKUP(A908,'Download of SFDC Activation Rep'!B:B,'Download of SFDC Activation Rep'!Z:Z)+150,"")</f>
        <v/>
      </c>
      <c r="N908" s="24" t="str">
        <f t="array" ref="N908">iferror(XLOOKUP(A908,'Download of SFDC Activation Rep'!B:B,'Download of SFDC Activation Rep'!Y:Y),"")</f>
        <v/>
      </c>
    </row>
    <row r="909">
      <c r="B909" s="14"/>
      <c r="C909" s="14"/>
      <c r="D909" s="14"/>
      <c r="E909" s="15"/>
      <c r="F909" s="14"/>
      <c r="G909" s="13" t="str">
        <f t="array" ref="G909">iferror(XLOOKUP(A909,'Download of SFDC Activation Rep'!B:B,'Download of SFDC Activation Rep'!H:H),"")</f>
        <v/>
      </c>
      <c r="H909" s="13" t="str">
        <f t="array" ref="H909">iferror(xlookup(A909,'Download of SFDC Activation Rep'!B:B,'Download of SFDC Activation Rep'!L:L),"")</f>
        <v/>
      </c>
      <c r="I909" s="17" t="str">
        <f t="shared" si="1"/>
        <v>Not Active</v>
      </c>
      <c r="J909" s="17" t="str">
        <f t="array" ref="J909">iferror(XLOOKUP(A909,'Download of SFDC Activation Rep'!B:B,'Download of SFDC Activation Rep'!X:X),"")</f>
        <v/>
      </c>
      <c r="K909" s="17" t="str">
        <f t="array" ref="K909">iferror(XLOOKUP(A909,'Download of SFDC Activation Rep'!B:B,'Download of SFDC Activation Rep'!C:C),"")</f>
        <v/>
      </c>
      <c r="L909" s="18" t="str">
        <f t="array" ref="L909">iferror(XLOOKUP(A909,'Download of SFDC Activation Rep'!B:B,'Download of SFDC Activation Rep'!S:S),"")</f>
        <v/>
      </c>
      <c r="M909" s="24" t="str">
        <f t="array" ref="M909">iferror(XLOOKUP(A909,'Download of SFDC Activation Rep'!B:B,'Download of SFDC Activation Rep'!Z:Z)+150,"")</f>
        <v/>
      </c>
      <c r="N909" s="24" t="str">
        <f t="array" ref="N909">iferror(XLOOKUP(A909,'Download of SFDC Activation Rep'!B:B,'Download of SFDC Activation Rep'!Y:Y),"")</f>
        <v/>
      </c>
    </row>
    <row r="910">
      <c r="B910" s="14"/>
      <c r="C910" s="14"/>
      <c r="D910" s="14"/>
      <c r="E910" s="15"/>
      <c r="F910" s="14"/>
      <c r="G910" s="13" t="str">
        <f t="array" ref="G910">iferror(XLOOKUP(A910,'Download of SFDC Activation Rep'!B:B,'Download of SFDC Activation Rep'!H:H),"")</f>
        <v/>
      </c>
      <c r="H910" s="13" t="str">
        <f t="array" ref="H910">iferror(xlookup(A910,'Download of SFDC Activation Rep'!B:B,'Download of SFDC Activation Rep'!L:L),"")</f>
        <v/>
      </c>
      <c r="I910" s="17" t="str">
        <f t="shared" si="1"/>
        <v>Not Active</v>
      </c>
      <c r="J910" s="17" t="str">
        <f t="array" ref="J910">iferror(XLOOKUP(A910,'Download of SFDC Activation Rep'!B:B,'Download of SFDC Activation Rep'!X:X),"")</f>
        <v/>
      </c>
      <c r="K910" s="17" t="str">
        <f t="array" ref="K910">iferror(XLOOKUP(A910,'Download of SFDC Activation Rep'!B:B,'Download of SFDC Activation Rep'!C:C),"")</f>
        <v/>
      </c>
      <c r="L910" s="18" t="str">
        <f t="array" ref="L910">iferror(XLOOKUP(A910,'Download of SFDC Activation Rep'!B:B,'Download of SFDC Activation Rep'!S:S),"")</f>
        <v/>
      </c>
      <c r="M910" s="24" t="str">
        <f t="array" ref="M910">iferror(XLOOKUP(A910,'Download of SFDC Activation Rep'!B:B,'Download of SFDC Activation Rep'!Z:Z)+150,"")</f>
        <v/>
      </c>
      <c r="N910" s="24" t="str">
        <f t="array" ref="N910">iferror(XLOOKUP(A910,'Download of SFDC Activation Rep'!B:B,'Download of SFDC Activation Rep'!Y:Y),"")</f>
        <v/>
      </c>
    </row>
    <row r="911">
      <c r="B911" s="14"/>
      <c r="C911" s="14"/>
      <c r="D911" s="14"/>
      <c r="E911" s="15"/>
      <c r="F911" s="14"/>
      <c r="G911" s="13" t="str">
        <f t="array" ref="G911">iferror(XLOOKUP(A911,'Download of SFDC Activation Rep'!B:B,'Download of SFDC Activation Rep'!H:H),"")</f>
        <v/>
      </c>
      <c r="H911" s="13" t="str">
        <f t="array" ref="H911">iferror(xlookup(A911,'Download of SFDC Activation Rep'!B:B,'Download of SFDC Activation Rep'!L:L),"")</f>
        <v/>
      </c>
      <c r="I911" s="17" t="str">
        <f t="shared" si="1"/>
        <v>Not Active</v>
      </c>
      <c r="J911" s="17" t="str">
        <f t="array" ref="J911">iferror(XLOOKUP(A911,'Download of SFDC Activation Rep'!B:B,'Download of SFDC Activation Rep'!X:X),"")</f>
        <v/>
      </c>
      <c r="K911" s="17" t="str">
        <f t="array" ref="K911">iferror(XLOOKUP(A911,'Download of SFDC Activation Rep'!B:B,'Download of SFDC Activation Rep'!C:C),"")</f>
        <v/>
      </c>
      <c r="L911" s="18" t="str">
        <f t="array" ref="L911">iferror(XLOOKUP(A911,'Download of SFDC Activation Rep'!B:B,'Download of SFDC Activation Rep'!S:S),"")</f>
        <v/>
      </c>
      <c r="M911" s="24" t="str">
        <f t="array" ref="M911">iferror(XLOOKUP(A911,'Download of SFDC Activation Rep'!B:B,'Download of SFDC Activation Rep'!Z:Z)+150,"")</f>
        <v/>
      </c>
      <c r="N911" s="24" t="str">
        <f t="array" ref="N911">iferror(XLOOKUP(A911,'Download of SFDC Activation Rep'!B:B,'Download of SFDC Activation Rep'!Y:Y),"")</f>
        <v/>
      </c>
    </row>
    <row r="912">
      <c r="B912" s="14"/>
      <c r="C912" s="14"/>
      <c r="D912" s="14"/>
      <c r="E912" s="15"/>
      <c r="F912" s="14"/>
      <c r="G912" s="13" t="str">
        <f t="array" ref="G912">iferror(XLOOKUP(A912,'Download of SFDC Activation Rep'!B:B,'Download of SFDC Activation Rep'!H:H),"")</f>
        <v/>
      </c>
      <c r="H912" s="13" t="str">
        <f t="array" ref="H912">iferror(xlookup(A912,'Download of SFDC Activation Rep'!B:B,'Download of SFDC Activation Rep'!L:L),"")</f>
        <v/>
      </c>
      <c r="I912" s="17" t="str">
        <f t="shared" si="1"/>
        <v>Not Active</v>
      </c>
      <c r="J912" s="17" t="str">
        <f t="array" ref="J912">iferror(XLOOKUP(A912,'Download of SFDC Activation Rep'!B:B,'Download of SFDC Activation Rep'!X:X),"")</f>
        <v/>
      </c>
      <c r="K912" s="17" t="str">
        <f t="array" ref="K912">iferror(XLOOKUP(A912,'Download of SFDC Activation Rep'!B:B,'Download of SFDC Activation Rep'!C:C),"")</f>
        <v/>
      </c>
      <c r="L912" s="18" t="str">
        <f t="array" ref="L912">iferror(XLOOKUP(A912,'Download of SFDC Activation Rep'!B:B,'Download of SFDC Activation Rep'!S:S),"")</f>
        <v/>
      </c>
      <c r="M912" s="24" t="str">
        <f t="array" ref="M912">iferror(XLOOKUP(A912,'Download of SFDC Activation Rep'!B:B,'Download of SFDC Activation Rep'!Z:Z)+150,"")</f>
        <v/>
      </c>
      <c r="N912" s="24" t="str">
        <f t="array" ref="N912">iferror(XLOOKUP(A912,'Download of SFDC Activation Rep'!B:B,'Download of SFDC Activation Rep'!Y:Y),"")</f>
        <v/>
      </c>
    </row>
    <row r="913">
      <c r="B913" s="14"/>
      <c r="C913" s="14"/>
      <c r="D913" s="14"/>
      <c r="E913" s="15"/>
      <c r="F913" s="14"/>
      <c r="G913" s="13" t="str">
        <f t="array" ref="G913">iferror(XLOOKUP(A913,'Download of SFDC Activation Rep'!B:B,'Download of SFDC Activation Rep'!H:H),"")</f>
        <v/>
      </c>
      <c r="H913" s="13" t="str">
        <f t="array" ref="H913">iferror(xlookup(A913,'Download of SFDC Activation Rep'!B:B,'Download of SFDC Activation Rep'!L:L),"")</f>
        <v/>
      </c>
      <c r="I913" s="17" t="str">
        <f t="shared" si="1"/>
        <v>Not Active</v>
      </c>
      <c r="J913" s="17" t="str">
        <f t="array" ref="J913">iferror(XLOOKUP(A913,'Download of SFDC Activation Rep'!B:B,'Download of SFDC Activation Rep'!X:X),"")</f>
        <v/>
      </c>
      <c r="K913" s="17" t="str">
        <f t="array" ref="K913">iferror(XLOOKUP(A913,'Download of SFDC Activation Rep'!B:B,'Download of SFDC Activation Rep'!C:C),"")</f>
        <v/>
      </c>
      <c r="L913" s="18" t="str">
        <f t="array" ref="L913">iferror(XLOOKUP(A913,'Download of SFDC Activation Rep'!B:B,'Download of SFDC Activation Rep'!S:S),"")</f>
        <v/>
      </c>
      <c r="M913" s="24" t="str">
        <f t="array" ref="M913">iferror(XLOOKUP(A913,'Download of SFDC Activation Rep'!B:B,'Download of SFDC Activation Rep'!Z:Z)+150,"")</f>
        <v/>
      </c>
      <c r="N913" s="24" t="str">
        <f t="array" ref="N913">iferror(XLOOKUP(A913,'Download of SFDC Activation Rep'!B:B,'Download of SFDC Activation Rep'!Y:Y),"")</f>
        <v/>
      </c>
    </row>
    <row r="914">
      <c r="B914" s="14"/>
      <c r="C914" s="14"/>
      <c r="D914" s="14"/>
      <c r="E914" s="15"/>
      <c r="F914" s="14"/>
      <c r="G914" s="13" t="str">
        <f t="array" ref="G914">iferror(XLOOKUP(A914,'Download of SFDC Activation Rep'!B:B,'Download of SFDC Activation Rep'!H:H),"")</f>
        <v/>
      </c>
      <c r="H914" s="13" t="str">
        <f t="array" ref="H914">iferror(xlookup(A914,'Download of SFDC Activation Rep'!B:B,'Download of SFDC Activation Rep'!L:L),"")</f>
        <v/>
      </c>
      <c r="I914" s="17" t="str">
        <f t="shared" si="1"/>
        <v>Not Active</v>
      </c>
      <c r="J914" s="17" t="str">
        <f t="array" ref="J914">iferror(XLOOKUP(A914,'Download of SFDC Activation Rep'!B:B,'Download of SFDC Activation Rep'!X:X),"")</f>
        <v/>
      </c>
      <c r="K914" s="17" t="str">
        <f t="array" ref="K914">iferror(XLOOKUP(A914,'Download of SFDC Activation Rep'!B:B,'Download of SFDC Activation Rep'!C:C),"")</f>
        <v/>
      </c>
      <c r="L914" s="18" t="str">
        <f t="array" ref="L914">iferror(XLOOKUP(A914,'Download of SFDC Activation Rep'!B:B,'Download of SFDC Activation Rep'!S:S),"")</f>
        <v/>
      </c>
      <c r="M914" s="24" t="str">
        <f t="array" ref="M914">iferror(XLOOKUP(A914,'Download of SFDC Activation Rep'!B:B,'Download of SFDC Activation Rep'!Z:Z)+150,"")</f>
        <v/>
      </c>
      <c r="N914" s="24" t="str">
        <f t="array" ref="N914">iferror(XLOOKUP(A914,'Download of SFDC Activation Rep'!B:B,'Download of SFDC Activation Rep'!Y:Y),"")</f>
        <v/>
      </c>
    </row>
    <row r="915">
      <c r="B915" s="14"/>
      <c r="C915" s="14"/>
      <c r="D915" s="14"/>
      <c r="E915" s="15"/>
      <c r="F915" s="14"/>
      <c r="G915" s="13" t="str">
        <f t="array" ref="G915">iferror(XLOOKUP(A915,'Download of SFDC Activation Rep'!B:B,'Download of SFDC Activation Rep'!H:H),"")</f>
        <v/>
      </c>
      <c r="H915" s="13" t="str">
        <f t="array" ref="H915">iferror(xlookup(A915,'Download of SFDC Activation Rep'!B:B,'Download of SFDC Activation Rep'!L:L),"")</f>
        <v/>
      </c>
      <c r="I915" s="17" t="str">
        <f t="shared" si="1"/>
        <v>Not Active</v>
      </c>
      <c r="J915" s="17" t="str">
        <f t="array" ref="J915">iferror(XLOOKUP(A915,'Download of SFDC Activation Rep'!B:B,'Download of SFDC Activation Rep'!X:X),"")</f>
        <v/>
      </c>
      <c r="K915" s="17" t="str">
        <f t="array" ref="K915">iferror(XLOOKUP(A915,'Download of SFDC Activation Rep'!B:B,'Download of SFDC Activation Rep'!C:C),"")</f>
        <v/>
      </c>
      <c r="L915" s="18" t="str">
        <f t="array" ref="L915">iferror(XLOOKUP(A915,'Download of SFDC Activation Rep'!B:B,'Download of SFDC Activation Rep'!S:S),"")</f>
        <v/>
      </c>
      <c r="M915" s="24" t="str">
        <f t="array" ref="M915">iferror(XLOOKUP(A915,'Download of SFDC Activation Rep'!B:B,'Download of SFDC Activation Rep'!Z:Z)+150,"")</f>
        <v/>
      </c>
      <c r="N915" s="24" t="str">
        <f t="array" ref="N915">iferror(XLOOKUP(A915,'Download of SFDC Activation Rep'!B:B,'Download of SFDC Activation Rep'!Y:Y),"")</f>
        <v/>
      </c>
    </row>
    <row r="916">
      <c r="B916" s="14"/>
      <c r="C916" s="14"/>
      <c r="D916" s="14"/>
      <c r="E916" s="15"/>
      <c r="F916" s="14"/>
      <c r="G916" s="13" t="str">
        <f t="array" ref="G916">iferror(XLOOKUP(A916,'Download of SFDC Activation Rep'!B:B,'Download of SFDC Activation Rep'!H:H),"")</f>
        <v/>
      </c>
      <c r="H916" s="13" t="str">
        <f t="array" ref="H916">iferror(xlookup(A916,'Download of SFDC Activation Rep'!B:B,'Download of SFDC Activation Rep'!L:L),"")</f>
        <v/>
      </c>
      <c r="I916" s="17" t="str">
        <f t="shared" si="1"/>
        <v>Not Active</v>
      </c>
      <c r="J916" s="17" t="str">
        <f t="array" ref="J916">iferror(XLOOKUP(A916,'Download of SFDC Activation Rep'!B:B,'Download of SFDC Activation Rep'!X:X),"")</f>
        <v/>
      </c>
      <c r="K916" s="17" t="str">
        <f t="array" ref="K916">iferror(XLOOKUP(A916,'Download of SFDC Activation Rep'!B:B,'Download of SFDC Activation Rep'!C:C),"")</f>
        <v/>
      </c>
      <c r="L916" s="18" t="str">
        <f t="array" ref="L916">iferror(XLOOKUP(A916,'Download of SFDC Activation Rep'!B:B,'Download of SFDC Activation Rep'!S:S),"")</f>
        <v/>
      </c>
      <c r="M916" s="24" t="str">
        <f t="array" ref="M916">iferror(XLOOKUP(A916,'Download of SFDC Activation Rep'!B:B,'Download of SFDC Activation Rep'!Z:Z)+150,"")</f>
        <v/>
      </c>
      <c r="N916" s="24" t="str">
        <f t="array" ref="N916">iferror(XLOOKUP(A916,'Download of SFDC Activation Rep'!B:B,'Download of SFDC Activation Rep'!Y:Y),"")</f>
        <v/>
      </c>
    </row>
    <row r="917">
      <c r="B917" s="14"/>
      <c r="C917" s="14"/>
      <c r="D917" s="14"/>
      <c r="E917" s="15"/>
      <c r="F917" s="14"/>
      <c r="G917" s="13" t="str">
        <f t="array" ref="G917">iferror(XLOOKUP(A917,'Download of SFDC Activation Rep'!B:B,'Download of SFDC Activation Rep'!H:H),"")</f>
        <v/>
      </c>
      <c r="H917" s="13" t="str">
        <f t="array" ref="H917">iferror(xlookup(A917,'Download of SFDC Activation Rep'!B:B,'Download of SFDC Activation Rep'!L:L),"")</f>
        <v/>
      </c>
      <c r="I917" s="17" t="str">
        <f t="shared" si="1"/>
        <v>Not Active</v>
      </c>
      <c r="J917" s="17" t="str">
        <f t="array" ref="J917">iferror(XLOOKUP(A917,'Download of SFDC Activation Rep'!B:B,'Download of SFDC Activation Rep'!X:X),"")</f>
        <v/>
      </c>
      <c r="K917" s="17" t="str">
        <f t="array" ref="K917">iferror(XLOOKUP(A917,'Download of SFDC Activation Rep'!B:B,'Download of SFDC Activation Rep'!C:C),"")</f>
        <v/>
      </c>
      <c r="L917" s="18" t="str">
        <f t="array" ref="L917">iferror(XLOOKUP(A917,'Download of SFDC Activation Rep'!B:B,'Download of SFDC Activation Rep'!S:S),"")</f>
        <v/>
      </c>
      <c r="M917" s="24" t="str">
        <f t="array" ref="M917">iferror(XLOOKUP(A917,'Download of SFDC Activation Rep'!B:B,'Download of SFDC Activation Rep'!Z:Z)+150,"")</f>
        <v/>
      </c>
      <c r="N917" s="24" t="str">
        <f t="array" ref="N917">iferror(XLOOKUP(A917,'Download of SFDC Activation Rep'!B:B,'Download of SFDC Activation Rep'!Y:Y),"")</f>
        <v/>
      </c>
    </row>
    <row r="918">
      <c r="B918" s="14"/>
      <c r="C918" s="14"/>
      <c r="D918" s="14"/>
      <c r="E918" s="15"/>
      <c r="F918" s="14"/>
      <c r="G918" s="13" t="str">
        <f t="array" ref="G918">iferror(XLOOKUP(A918,'Download of SFDC Activation Rep'!B:B,'Download of SFDC Activation Rep'!H:H),"")</f>
        <v/>
      </c>
      <c r="H918" s="13" t="str">
        <f t="array" ref="H918">iferror(xlookup(A918,'Download of SFDC Activation Rep'!B:B,'Download of SFDC Activation Rep'!L:L),"")</f>
        <v/>
      </c>
      <c r="I918" s="17" t="str">
        <f t="shared" si="1"/>
        <v>Not Active</v>
      </c>
      <c r="J918" s="17" t="str">
        <f t="array" ref="J918">iferror(XLOOKUP(A918,'Download of SFDC Activation Rep'!B:B,'Download of SFDC Activation Rep'!X:X),"")</f>
        <v/>
      </c>
      <c r="K918" s="17" t="str">
        <f t="array" ref="K918">iferror(XLOOKUP(A918,'Download of SFDC Activation Rep'!B:B,'Download of SFDC Activation Rep'!C:C),"")</f>
        <v/>
      </c>
      <c r="L918" s="18" t="str">
        <f t="array" ref="L918">iferror(XLOOKUP(A918,'Download of SFDC Activation Rep'!B:B,'Download of SFDC Activation Rep'!S:S),"")</f>
        <v/>
      </c>
      <c r="M918" s="24" t="str">
        <f t="array" ref="M918">iferror(XLOOKUP(A918,'Download of SFDC Activation Rep'!B:B,'Download of SFDC Activation Rep'!Z:Z)+150,"")</f>
        <v/>
      </c>
      <c r="N918" s="24" t="str">
        <f t="array" ref="N918">iferror(XLOOKUP(A918,'Download of SFDC Activation Rep'!B:B,'Download of SFDC Activation Rep'!Y:Y),"")</f>
        <v/>
      </c>
    </row>
    <row r="919">
      <c r="B919" s="14"/>
      <c r="C919" s="14"/>
      <c r="D919" s="14"/>
      <c r="E919" s="15"/>
      <c r="F919" s="14"/>
      <c r="G919" s="13" t="str">
        <f t="array" ref="G919">iferror(XLOOKUP(A919,'Download of SFDC Activation Rep'!B:B,'Download of SFDC Activation Rep'!H:H),"")</f>
        <v/>
      </c>
      <c r="H919" s="13" t="str">
        <f t="array" ref="H919">iferror(xlookup(A919,'Download of SFDC Activation Rep'!B:B,'Download of SFDC Activation Rep'!L:L),"")</f>
        <v/>
      </c>
      <c r="I919" s="17" t="str">
        <f t="shared" si="1"/>
        <v>Not Active</v>
      </c>
      <c r="J919" s="17" t="str">
        <f t="array" ref="J919">iferror(XLOOKUP(A919,'Download of SFDC Activation Rep'!B:B,'Download of SFDC Activation Rep'!X:X),"")</f>
        <v/>
      </c>
      <c r="K919" s="17" t="str">
        <f t="array" ref="K919">iferror(XLOOKUP(A919,'Download of SFDC Activation Rep'!B:B,'Download of SFDC Activation Rep'!C:C),"")</f>
        <v/>
      </c>
      <c r="L919" s="18" t="str">
        <f t="array" ref="L919">iferror(XLOOKUP(A919,'Download of SFDC Activation Rep'!B:B,'Download of SFDC Activation Rep'!S:S),"")</f>
        <v/>
      </c>
      <c r="M919" s="24" t="str">
        <f t="array" ref="M919">iferror(XLOOKUP(A919,'Download of SFDC Activation Rep'!B:B,'Download of SFDC Activation Rep'!Z:Z)+150,"")</f>
        <v/>
      </c>
      <c r="N919" s="24" t="str">
        <f t="array" ref="N919">iferror(XLOOKUP(A919,'Download of SFDC Activation Rep'!B:B,'Download of SFDC Activation Rep'!Y:Y),"")</f>
        <v/>
      </c>
    </row>
    <row r="920">
      <c r="B920" s="14"/>
      <c r="C920" s="14"/>
      <c r="D920" s="14"/>
      <c r="E920" s="15"/>
      <c r="F920" s="14"/>
      <c r="G920" s="13" t="str">
        <f t="array" ref="G920">iferror(XLOOKUP(A920,'Download of SFDC Activation Rep'!B:B,'Download of SFDC Activation Rep'!H:H),"")</f>
        <v/>
      </c>
      <c r="H920" s="13" t="str">
        <f t="array" ref="H920">iferror(xlookup(A920,'Download of SFDC Activation Rep'!B:B,'Download of SFDC Activation Rep'!L:L),"")</f>
        <v/>
      </c>
      <c r="I920" s="17" t="str">
        <f t="shared" si="1"/>
        <v>Not Active</v>
      </c>
      <c r="J920" s="17" t="str">
        <f t="array" ref="J920">iferror(XLOOKUP(A920,'Download of SFDC Activation Rep'!B:B,'Download of SFDC Activation Rep'!X:X),"")</f>
        <v/>
      </c>
      <c r="K920" s="17" t="str">
        <f t="array" ref="K920">iferror(XLOOKUP(A920,'Download of SFDC Activation Rep'!B:B,'Download of SFDC Activation Rep'!C:C),"")</f>
        <v/>
      </c>
      <c r="L920" s="18" t="str">
        <f t="array" ref="L920">iferror(XLOOKUP(A920,'Download of SFDC Activation Rep'!B:B,'Download of SFDC Activation Rep'!S:S),"")</f>
        <v/>
      </c>
      <c r="M920" s="24" t="str">
        <f t="array" ref="M920">iferror(XLOOKUP(A920,'Download of SFDC Activation Rep'!B:B,'Download of SFDC Activation Rep'!Z:Z)+150,"")</f>
        <v/>
      </c>
      <c r="N920" s="24" t="str">
        <f t="array" ref="N920">iferror(XLOOKUP(A920,'Download of SFDC Activation Rep'!B:B,'Download of SFDC Activation Rep'!Y:Y),"")</f>
        <v/>
      </c>
    </row>
    <row r="921">
      <c r="B921" s="14"/>
      <c r="C921" s="14"/>
      <c r="D921" s="14"/>
      <c r="E921" s="15"/>
      <c r="F921" s="14"/>
      <c r="G921" s="13" t="str">
        <f t="array" ref="G921">iferror(XLOOKUP(A921,'Download of SFDC Activation Rep'!B:B,'Download of SFDC Activation Rep'!H:H),"")</f>
        <v/>
      </c>
      <c r="H921" s="13" t="str">
        <f t="array" ref="H921">iferror(xlookup(A921,'Download of SFDC Activation Rep'!B:B,'Download of SFDC Activation Rep'!L:L),"")</f>
        <v/>
      </c>
      <c r="I921" s="17" t="str">
        <f t="shared" si="1"/>
        <v>Not Active</v>
      </c>
      <c r="J921" s="17" t="str">
        <f t="array" ref="J921">iferror(XLOOKUP(A921,'Download of SFDC Activation Rep'!B:B,'Download of SFDC Activation Rep'!X:X),"")</f>
        <v/>
      </c>
      <c r="K921" s="17" t="str">
        <f t="array" ref="K921">iferror(XLOOKUP(A921,'Download of SFDC Activation Rep'!B:B,'Download of SFDC Activation Rep'!C:C),"")</f>
        <v/>
      </c>
      <c r="L921" s="18" t="str">
        <f t="array" ref="L921">iferror(XLOOKUP(A921,'Download of SFDC Activation Rep'!B:B,'Download of SFDC Activation Rep'!S:S),"")</f>
        <v/>
      </c>
      <c r="M921" s="24" t="str">
        <f t="array" ref="M921">iferror(XLOOKUP(A921,'Download of SFDC Activation Rep'!B:B,'Download of SFDC Activation Rep'!Z:Z)+150,"")</f>
        <v/>
      </c>
      <c r="N921" s="24" t="str">
        <f t="array" ref="N921">iferror(XLOOKUP(A921,'Download of SFDC Activation Rep'!B:B,'Download of SFDC Activation Rep'!Y:Y),"")</f>
        <v/>
      </c>
    </row>
    <row r="922">
      <c r="B922" s="14"/>
      <c r="C922" s="14"/>
      <c r="D922" s="14"/>
      <c r="E922" s="15"/>
      <c r="F922" s="14"/>
      <c r="G922" s="13" t="str">
        <f t="array" ref="G922">iferror(XLOOKUP(A922,'Download of SFDC Activation Rep'!B:B,'Download of SFDC Activation Rep'!H:H),"")</f>
        <v/>
      </c>
      <c r="H922" s="13" t="str">
        <f t="array" ref="H922">iferror(xlookup(A922,'Download of SFDC Activation Rep'!B:B,'Download of SFDC Activation Rep'!L:L),"")</f>
        <v/>
      </c>
      <c r="I922" s="17" t="str">
        <f t="shared" si="1"/>
        <v>Not Active</v>
      </c>
      <c r="J922" s="17" t="str">
        <f t="array" ref="J922">iferror(XLOOKUP(A922,'Download of SFDC Activation Rep'!B:B,'Download of SFDC Activation Rep'!X:X),"")</f>
        <v/>
      </c>
      <c r="K922" s="17" t="str">
        <f t="array" ref="K922">iferror(XLOOKUP(A922,'Download of SFDC Activation Rep'!B:B,'Download of SFDC Activation Rep'!C:C),"")</f>
        <v/>
      </c>
      <c r="L922" s="18" t="str">
        <f t="array" ref="L922">iferror(XLOOKUP(A922,'Download of SFDC Activation Rep'!B:B,'Download of SFDC Activation Rep'!S:S),"")</f>
        <v/>
      </c>
      <c r="M922" s="24" t="str">
        <f t="array" ref="M922">iferror(XLOOKUP(A922,'Download of SFDC Activation Rep'!B:B,'Download of SFDC Activation Rep'!Z:Z)+150,"")</f>
        <v/>
      </c>
      <c r="N922" s="24" t="str">
        <f t="array" ref="N922">iferror(XLOOKUP(A922,'Download of SFDC Activation Rep'!B:B,'Download of SFDC Activation Rep'!Y:Y),"")</f>
        <v/>
      </c>
    </row>
    <row r="923">
      <c r="B923" s="14"/>
      <c r="C923" s="14"/>
      <c r="D923" s="14"/>
      <c r="E923" s="15"/>
      <c r="F923" s="14"/>
      <c r="G923" s="13" t="str">
        <f t="array" ref="G923">iferror(XLOOKUP(A923,'Download of SFDC Activation Rep'!B:B,'Download of SFDC Activation Rep'!H:H),"")</f>
        <v/>
      </c>
      <c r="H923" s="13" t="str">
        <f t="array" ref="H923">iferror(xlookup(A923,'Download of SFDC Activation Rep'!B:B,'Download of SFDC Activation Rep'!L:L),"")</f>
        <v/>
      </c>
      <c r="I923" s="17" t="str">
        <f t="shared" si="1"/>
        <v>Not Active</v>
      </c>
      <c r="J923" s="17" t="str">
        <f t="array" ref="J923">iferror(XLOOKUP(A923,'Download of SFDC Activation Rep'!B:B,'Download of SFDC Activation Rep'!X:X),"")</f>
        <v/>
      </c>
      <c r="K923" s="17" t="str">
        <f t="array" ref="K923">iferror(XLOOKUP(A923,'Download of SFDC Activation Rep'!B:B,'Download of SFDC Activation Rep'!C:C),"")</f>
        <v/>
      </c>
      <c r="L923" s="18" t="str">
        <f t="array" ref="L923">iferror(XLOOKUP(A923,'Download of SFDC Activation Rep'!B:B,'Download of SFDC Activation Rep'!S:S),"")</f>
        <v/>
      </c>
      <c r="M923" s="24" t="str">
        <f t="array" ref="M923">iferror(XLOOKUP(A923,'Download of SFDC Activation Rep'!B:B,'Download of SFDC Activation Rep'!Z:Z)+150,"")</f>
        <v/>
      </c>
      <c r="N923" s="24" t="str">
        <f t="array" ref="N923">iferror(XLOOKUP(A923,'Download of SFDC Activation Rep'!B:B,'Download of SFDC Activation Rep'!Y:Y),"")</f>
        <v/>
      </c>
    </row>
    <row r="924">
      <c r="B924" s="14"/>
      <c r="C924" s="14"/>
      <c r="D924" s="14"/>
      <c r="E924" s="15"/>
      <c r="F924" s="14"/>
      <c r="G924" s="13" t="str">
        <f t="array" ref="G924">iferror(XLOOKUP(A924,'Download of SFDC Activation Rep'!B:B,'Download of SFDC Activation Rep'!H:H),"")</f>
        <v/>
      </c>
      <c r="H924" s="13" t="str">
        <f t="array" ref="H924">iferror(xlookup(A924,'Download of SFDC Activation Rep'!B:B,'Download of SFDC Activation Rep'!L:L),"")</f>
        <v/>
      </c>
      <c r="I924" s="17" t="str">
        <f t="shared" si="1"/>
        <v>Not Active</v>
      </c>
      <c r="J924" s="17" t="str">
        <f t="array" ref="J924">iferror(XLOOKUP(A924,'Download of SFDC Activation Rep'!B:B,'Download of SFDC Activation Rep'!X:X),"")</f>
        <v/>
      </c>
      <c r="K924" s="17" t="str">
        <f t="array" ref="K924">iferror(XLOOKUP(A924,'Download of SFDC Activation Rep'!B:B,'Download of SFDC Activation Rep'!C:C),"")</f>
        <v/>
      </c>
      <c r="L924" s="18" t="str">
        <f t="array" ref="L924">iferror(XLOOKUP(A924,'Download of SFDC Activation Rep'!B:B,'Download of SFDC Activation Rep'!S:S),"")</f>
        <v/>
      </c>
      <c r="M924" s="24" t="str">
        <f t="array" ref="M924">iferror(XLOOKUP(A924,'Download of SFDC Activation Rep'!B:B,'Download of SFDC Activation Rep'!Z:Z)+150,"")</f>
        <v/>
      </c>
      <c r="N924" s="24" t="str">
        <f t="array" ref="N924">iferror(XLOOKUP(A924,'Download of SFDC Activation Rep'!B:B,'Download of SFDC Activation Rep'!Y:Y),"")</f>
        <v/>
      </c>
    </row>
    <row r="925">
      <c r="B925" s="14"/>
      <c r="C925" s="14"/>
      <c r="D925" s="14"/>
      <c r="E925" s="15"/>
      <c r="F925" s="14"/>
      <c r="G925" s="13" t="str">
        <f t="array" ref="G925">iferror(XLOOKUP(A925,'Download of SFDC Activation Rep'!B:B,'Download of SFDC Activation Rep'!H:H),"")</f>
        <v/>
      </c>
      <c r="H925" s="13" t="str">
        <f t="array" ref="H925">iferror(xlookup(A925,'Download of SFDC Activation Rep'!B:B,'Download of SFDC Activation Rep'!L:L),"")</f>
        <v/>
      </c>
      <c r="I925" s="17" t="str">
        <f t="shared" si="1"/>
        <v>Not Active</v>
      </c>
      <c r="J925" s="17" t="str">
        <f t="array" ref="J925">iferror(XLOOKUP(A925,'Download of SFDC Activation Rep'!B:B,'Download of SFDC Activation Rep'!X:X),"")</f>
        <v/>
      </c>
      <c r="K925" s="17" t="str">
        <f t="array" ref="K925">iferror(XLOOKUP(A925,'Download of SFDC Activation Rep'!B:B,'Download of SFDC Activation Rep'!C:C),"")</f>
        <v/>
      </c>
      <c r="L925" s="18" t="str">
        <f t="array" ref="L925">iferror(XLOOKUP(A925,'Download of SFDC Activation Rep'!B:B,'Download of SFDC Activation Rep'!S:S),"")</f>
        <v/>
      </c>
      <c r="M925" s="24" t="str">
        <f t="array" ref="M925">iferror(XLOOKUP(A925,'Download of SFDC Activation Rep'!B:B,'Download of SFDC Activation Rep'!Z:Z)+150,"")</f>
        <v/>
      </c>
      <c r="N925" s="24" t="str">
        <f t="array" ref="N925">iferror(XLOOKUP(A925,'Download of SFDC Activation Rep'!B:B,'Download of SFDC Activation Rep'!Y:Y),"")</f>
        <v/>
      </c>
    </row>
    <row r="926">
      <c r="B926" s="14"/>
      <c r="C926" s="14"/>
      <c r="D926" s="14"/>
      <c r="E926" s="15"/>
      <c r="F926" s="14"/>
      <c r="G926" s="13" t="str">
        <f t="array" ref="G926">iferror(XLOOKUP(A926,'Download of SFDC Activation Rep'!B:B,'Download of SFDC Activation Rep'!H:H),"")</f>
        <v/>
      </c>
      <c r="H926" s="13" t="str">
        <f t="array" ref="H926">iferror(xlookup(A926,'Download of SFDC Activation Rep'!B:B,'Download of SFDC Activation Rep'!L:L),"")</f>
        <v/>
      </c>
      <c r="I926" s="17" t="str">
        <f t="shared" si="1"/>
        <v>Not Active</v>
      </c>
      <c r="J926" s="17" t="str">
        <f t="array" ref="J926">iferror(XLOOKUP(A926,'Download of SFDC Activation Rep'!B:B,'Download of SFDC Activation Rep'!X:X),"")</f>
        <v/>
      </c>
      <c r="K926" s="17" t="str">
        <f t="array" ref="K926">iferror(XLOOKUP(A926,'Download of SFDC Activation Rep'!B:B,'Download of SFDC Activation Rep'!C:C),"")</f>
        <v/>
      </c>
      <c r="L926" s="18" t="str">
        <f t="array" ref="L926">iferror(XLOOKUP(A926,'Download of SFDC Activation Rep'!B:B,'Download of SFDC Activation Rep'!S:S),"")</f>
        <v/>
      </c>
      <c r="M926" s="24" t="str">
        <f t="array" ref="M926">iferror(XLOOKUP(A926,'Download of SFDC Activation Rep'!B:B,'Download of SFDC Activation Rep'!Z:Z)+150,"")</f>
        <v/>
      </c>
      <c r="N926" s="24" t="str">
        <f t="array" ref="N926">iferror(XLOOKUP(A926,'Download of SFDC Activation Rep'!B:B,'Download of SFDC Activation Rep'!Y:Y),"")</f>
        <v/>
      </c>
    </row>
    <row r="927">
      <c r="B927" s="14"/>
      <c r="C927" s="14"/>
      <c r="D927" s="14"/>
      <c r="E927" s="15"/>
      <c r="F927" s="14"/>
      <c r="G927" s="13" t="str">
        <f t="array" ref="G927">iferror(XLOOKUP(A927,'Download of SFDC Activation Rep'!B:B,'Download of SFDC Activation Rep'!H:H),"")</f>
        <v/>
      </c>
      <c r="H927" s="13" t="str">
        <f t="array" ref="H927">iferror(xlookup(A927,'Download of SFDC Activation Rep'!B:B,'Download of SFDC Activation Rep'!L:L),"")</f>
        <v/>
      </c>
      <c r="I927" s="17" t="str">
        <f t="shared" si="1"/>
        <v>Not Active</v>
      </c>
      <c r="J927" s="17" t="str">
        <f t="array" ref="J927">iferror(XLOOKUP(A927,'Download of SFDC Activation Rep'!B:B,'Download of SFDC Activation Rep'!X:X),"")</f>
        <v/>
      </c>
      <c r="K927" s="17" t="str">
        <f t="array" ref="K927">iferror(XLOOKUP(A927,'Download of SFDC Activation Rep'!B:B,'Download of SFDC Activation Rep'!C:C),"")</f>
        <v/>
      </c>
      <c r="L927" s="18" t="str">
        <f t="array" ref="L927">iferror(XLOOKUP(A927,'Download of SFDC Activation Rep'!B:B,'Download of SFDC Activation Rep'!S:S),"")</f>
        <v/>
      </c>
      <c r="M927" s="24" t="str">
        <f t="array" ref="M927">iferror(XLOOKUP(A927,'Download of SFDC Activation Rep'!B:B,'Download of SFDC Activation Rep'!Z:Z)+150,"")</f>
        <v/>
      </c>
      <c r="N927" s="24" t="str">
        <f t="array" ref="N927">iferror(XLOOKUP(A927,'Download of SFDC Activation Rep'!B:B,'Download of SFDC Activation Rep'!Y:Y),"")</f>
        <v/>
      </c>
    </row>
    <row r="928">
      <c r="B928" s="14"/>
      <c r="C928" s="14"/>
      <c r="D928" s="14"/>
      <c r="E928" s="15"/>
      <c r="F928" s="14"/>
      <c r="G928" s="13" t="str">
        <f t="array" ref="G928">iferror(XLOOKUP(A928,'Download of SFDC Activation Rep'!B:B,'Download of SFDC Activation Rep'!H:H),"")</f>
        <v/>
      </c>
      <c r="H928" s="13" t="str">
        <f t="array" ref="H928">iferror(xlookup(A928,'Download of SFDC Activation Rep'!B:B,'Download of SFDC Activation Rep'!L:L),"")</f>
        <v/>
      </c>
      <c r="I928" s="17" t="str">
        <f t="shared" si="1"/>
        <v>Not Active</v>
      </c>
      <c r="J928" s="17" t="str">
        <f t="array" ref="J928">iferror(XLOOKUP(A928,'Download of SFDC Activation Rep'!B:B,'Download of SFDC Activation Rep'!X:X),"")</f>
        <v/>
      </c>
      <c r="K928" s="17" t="str">
        <f t="array" ref="K928">iferror(XLOOKUP(A928,'Download of SFDC Activation Rep'!B:B,'Download of SFDC Activation Rep'!C:C),"")</f>
        <v/>
      </c>
      <c r="L928" s="18" t="str">
        <f t="array" ref="L928">iferror(XLOOKUP(A928,'Download of SFDC Activation Rep'!B:B,'Download of SFDC Activation Rep'!S:S),"")</f>
        <v/>
      </c>
      <c r="M928" s="24" t="str">
        <f t="array" ref="M928">iferror(XLOOKUP(A928,'Download of SFDC Activation Rep'!B:B,'Download of SFDC Activation Rep'!Z:Z)+150,"")</f>
        <v/>
      </c>
      <c r="N928" s="24" t="str">
        <f t="array" ref="N928">iferror(XLOOKUP(A928,'Download of SFDC Activation Rep'!B:B,'Download of SFDC Activation Rep'!Y:Y),"")</f>
        <v/>
      </c>
    </row>
    <row r="929">
      <c r="B929" s="14"/>
      <c r="C929" s="14"/>
      <c r="D929" s="14"/>
      <c r="E929" s="15"/>
      <c r="F929" s="14"/>
      <c r="G929" s="13" t="str">
        <f t="array" ref="G929">iferror(XLOOKUP(A929,'Download of SFDC Activation Rep'!B:B,'Download of SFDC Activation Rep'!H:H),"")</f>
        <v/>
      </c>
      <c r="H929" s="13" t="str">
        <f t="array" ref="H929">iferror(xlookup(A929,'Download of SFDC Activation Rep'!B:B,'Download of SFDC Activation Rep'!L:L),"")</f>
        <v/>
      </c>
      <c r="I929" s="17" t="str">
        <f t="shared" si="1"/>
        <v>Not Active</v>
      </c>
      <c r="J929" s="17" t="str">
        <f t="array" ref="J929">iferror(XLOOKUP(A929,'Download of SFDC Activation Rep'!B:B,'Download of SFDC Activation Rep'!X:X),"")</f>
        <v/>
      </c>
      <c r="K929" s="17" t="str">
        <f t="array" ref="K929">iferror(XLOOKUP(A929,'Download of SFDC Activation Rep'!B:B,'Download of SFDC Activation Rep'!C:C),"")</f>
        <v/>
      </c>
      <c r="L929" s="18" t="str">
        <f t="array" ref="L929">iferror(XLOOKUP(A929,'Download of SFDC Activation Rep'!B:B,'Download of SFDC Activation Rep'!S:S),"")</f>
        <v/>
      </c>
      <c r="M929" s="24" t="str">
        <f t="array" ref="M929">iferror(XLOOKUP(A929,'Download of SFDC Activation Rep'!B:B,'Download of SFDC Activation Rep'!Z:Z)+150,"")</f>
        <v/>
      </c>
      <c r="N929" s="24" t="str">
        <f t="array" ref="N929">iferror(XLOOKUP(A929,'Download of SFDC Activation Rep'!B:B,'Download of SFDC Activation Rep'!Y:Y),"")</f>
        <v/>
      </c>
    </row>
    <row r="930">
      <c r="B930" s="14"/>
      <c r="C930" s="14"/>
      <c r="D930" s="14"/>
      <c r="E930" s="15"/>
      <c r="F930" s="14"/>
      <c r="G930" s="13" t="str">
        <f t="array" ref="G930">iferror(XLOOKUP(A930,'Download of SFDC Activation Rep'!B:B,'Download of SFDC Activation Rep'!H:H),"")</f>
        <v/>
      </c>
      <c r="H930" s="13" t="str">
        <f t="array" ref="H930">iferror(xlookup(A930,'Download of SFDC Activation Rep'!B:B,'Download of SFDC Activation Rep'!L:L),"")</f>
        <v/>
      </c>
      <c r="I930" s="17" t="str">
        <f t="shared" si="1"/>
        <v>Not Active</v>
      </c>
      <c r="J930" s="17" t="str">
        <f t="array" ref="J930">iferror(XLOOKUP(A930,'Download of SFDC Activation Rep'!B:B,'Download of SFDC Activation Rep'!X:X),"")</f>
        <v/>
      </c>
      <c r="K930" s="17" t="str">
        <f t="array" ref="K930">iferror(XLOOKUP(A930,'Download of SFDC Activation Rep'!B:B,'Download of SFDC Activation Rep'!C:C),"")</f>
        <v/>
      </c>
      <c r="L930" s="18" t="str">
        <f t="array" ref="L930">iferror(XLOOKUP(A930,'Download of SFDC Activation Rep'!B:B,'Download of SFDC Activation Rep'!S:S),"")</f>
        <v/>
      </c>
      <c r="M930" s="24" t="str">
        <f t="array" ref="M930">iferror(XLOOKUP(A930,'Download of SFDC Activation Rep'!B:B,'Download of SFDC Activation Rep'!Z:Z)+150,"")</f>
        <v/>
      </c>
      <c r="N930" s="24" t="str">
        <f t="array" ref="N930">iferror(XLOOKUP(A930,'Download of SFDC Activation Rep'!B:B,'Download of SFDC Activation Rep'!Y:Y),"")</f>
        <v/>
      </c>
    </row>
    <row r="931">
      <c r="B931" s="14"/>
      <c r="C931" s="14"/>
      <c r="D931" s="14"/>
      <c r="E931" s="15"/>
      <c r="F931" s="14"/>
      <c r="G931" s="13" t="str">
        <f t="array" ref="G931">iferror(XLOOKUP(A931,'Download of SFDC Activation Rep'!B:B,'Download of SFDC Activation Rep'!H:H),"")</f>
        <v/>
      </c>
      <c r="H931" s="13" t="str">
        <f t="array" ref="H931">iferror(xlookup(A931,'Download of SFDC Activation Rep'!B:B,'Download of SFDC Activation Rep'!L:L),"")</f>
        <v/>
      </c>
      <c r="I931" s="17" t="str">
        <f t="shared" si="1"/>
        <v>Not Active</v>
      </c>
      <c r="J931" s="17" t="str">
        <f t="array" ref="J931">iferror(XLOOKUP(A931,'Download of SFDC Activation Rep'!B:B,'Download of SFDC Activation Rep'!X:X),"")</f>
        <v/>
      </c>
      <c r="K931" s="17" t="str">
        <f t="array" ref="K931">iferror(XLOOKUP(A931,'Download of SFDC Activation Rep'!B:B,'Download of SFDC Activation Rep'!C:C),"")</f>
        <v/>
      </c>
      <c r="L931" s="18" t="str">
        <f t="array" ref="L931">iferror(XLOOKUP(A931,'Download of SFDC Activation Rep'!B:B,'Download of SFDC Activation Rep'!S:S),"")</f>
        <v/>
      </c>
      <c r="M931" s="24" t="str">
        <f t="array" ref="M931">iferror(XLOOKUP(A931,'Download of SFDC Activation Rep'!B:B,'Download of SFDC Activation Rep'!Z:Z)+150,"")</f>
        <v/>
      </c>
      <c r="N931" s="24" t="str">
        <f t="array" ref="N931">iferror(XLOOKUP(A931,'Download of SFDC Activation Rep'!B:B,'Download of SFDC Activation Rep'!Y:Y),"")</f>
        <v/>
      </c>
    </row>
    <row r="932">
      <c r="B932" s="14"/>
      <c r="C932" s="14"/>
      <c r="D932" s="14"/>
      <c r="E932" s="15"/>
      <c r="F932" s="14"/>
      <c r="G932" s="13" t="str">
        <f t="array" ref="G932">iferror(XLOOKUP(A932,'Download of SFDC Activation Rep'!B:B,'Download of SFDC Activation Rep'!H:H),"")</f>
        <v/>
      </c>
      <c r="H932" s="13" t="str">
        <f t="array" ref="H932">iferror(xlookup(A932,'Download of SFDC Activation Rep'!B:B,'Download of SFDC Activation Rep'!L:L),"")</f>
        <v/>
      </c>
      <c r="I932" s="17" t="str">
        <f t="shared" si="1"/>
        <v>Not Active</v>
      </c>
      <c r="J932" s="17" t="str">
        <f t="array" ref="J932">iferror(XLOOKUP(A932,'Download of SFDC Activation Rep'!B:B,'Download of SFDC Activation Rep'!X:X),"")</f>
        <v/>
      </c>
      <c r="K932" s="17" t="str">
        <f t="array" ref="K932">iferror(XLOOKUP(A932,'Download of SFDC Activation Rep'!B:B,'Download of SFDC Activation Rep'!C:C),"")</f>
        <v/>
      </c>
      <c r="L932" s="18" t="str">
        <f t="array" ref="L932">iferror(XLOOKUP(A932,'Download of SFDC Activation Rep'!B:B,'Download of SFDC Activation Rep'!S:S),"")</f>
        <v/>
      </c>
      <c r="M932" s="24" t="str">
        <f t="array" ref="M932">iferror(XLOOKUP(A932,'Download of SFDC Activation Rep'!B:B,'Download of SFDC Activation Rep'!Z:Z)+150,"")</f>
        <v/>
      </c>
      <c r="N932" s="24" t="str">
        <f t="array" ref="N932">iferror(XLOOKUP(A932,'Download of SFDC Activation Rep'!B:B,'Download of SFDC Activation Rep'!Y:Y),"")</f>
        <v/>
      </c>
    </row>
    <row r="933">
      <c r="B933" s="14"/>
      <c r="C933" s="14"/>
      <c r="D933" s="14"/>
      <c r="E933" s="15"/>
      <c r="F933" s="14"/>
      <c r="G933" s="13" t="str">
        <f t="array" ref="G933">iferror(XLOOKUP(A933,'Download of SFDC Activation Rep'!B:B,'Download of SFDC Activation Rep'!H:H),"")</f>
        <v/>
      </c>
      <c r="H933" s="13" t="str">
        <f t="array" ref="H933">iferror(xlookup(A933,'Download of SFDC Activation Rep'!B:B,'Download of SFDC Activation Rep'!L:L),"")</f>
        <v/>
      </c>
      <c r="I933" s="17" t="str">
        <f t="shared" si="1"/>
        <v>Not Active</v>
      </c>
      <c r="J933" s="17" t="str">
        <f t="array" ref="J933">iferror(XLOOKUP(A933,'Download of SFDC Activation Rep'!B:B,'Download of SFDC Activation Rep'!X:X),"")</f>
        <v/>
      </c>
      <c r="K933" s="17" t="str">
        <f t="array" ref="K933">iferror(XLOOKUP(A933,'Download of SFDC Activation Rep'!B:B,'Download of SFDC Activation Rep'!C:C),"")</f>
        <v/>
      </c>
      <c r="L933" s="18" t="str">
        <f t="array" ref="L933">iferror(XLOOKUP(A933,'Download of SFDC Activation Rep'!B:B,'Download of SFDC Activation Rep'!S:S),"")</f>
        <v/>
      </c>
      <c r="M933" s="24" t="str">
        <f t="array" ref="M933">iferror(XLOOKUP(A933,'Download of SFDC Activation Rep'!B:B,'Download of SFDC Activation Rep'!Z:Z)+150,"")</f>
        <v/>
      </c>
      <c r="N933" s="24" t="str">
        <f t="array" ref="N933">iferror(XLOOKUP(A933,'Download of SFDC Activation Rep'!B:B,'Download of SFDC Activation Rep'!Y:Y),"")</f>
        <v/>
      </c>
    </row>
    <row r="934">
      <c r="B934" s="14"/>
      <c r="C934" s="14"/>
      <c r="D934" s="14"/>
      <c r="E934" s="15"/>
      <c r="F934" s="14"/>
      <c r="G934" s="13" t="str">
        <f t="array" ref="G934">iferror(XLOOKUP(A934,'Download of SFDC Activation Rep'!B:B,'Download of SFDC Activation Rep'!H:H),"")</f>
        <v/>
      </c>
      <c r="H934" s="13" t="str">
        <f t="array" ref="H934">iferror(xlookup(A934,'Download of SFDC Activation Rep'!B:B,'Download of SFDC Activation Rep'!L:L),"")</f>
        <v/>
      </c>
      <c r="I934" s="17" t="str">
        <f t="shared" si="1"/>
        <v>Not Active</v>
      </c>
      <c r="J934" s="17" t="str">
        <f t="array" ref="J934">iferror(XLOOKUP(A934,'Download of SFDC Activation Rep'!B:B,'Download of SFDC Activation Rep'!X:X),"")</f>
        <v/>
      </c>
      <c r="K934" s="17" t="str">
        <f t="array" ref="K934">iferror(XLOOKUP(A934,'Download of SFDC Activation Rep'!B:B,'Download of SFDC Activation Rep'!C:C),"")</f>
        <v/>
      </c>
      <c r="L934" s="18" t="str">
        <f t="array" ref="L934">iferror(XLOOKUP(A934,'Download of SFDC Activation Rep'!B:B,'Download of SFDC Activation Rep'!S:S),"")</f>
        <v/>
      </c>
      <c r="M934" s="24" t="str">
        <f t="array" ref="M934">iferror(XLOOKUP(A934,'Download of SFDC Activation Rep'!B:B,'Download of SFDC Activation Rep'!Z:Z)+150,"")</f>
        <v/>
      </c>
      <c r="N934" s="24" t="str">
        <f t="array" ref="N934">iferror(XLOOKUP(A934,'Download of SFDC Activation Rep'!B:B,'Download of SFDC Activation Rep'!Y:Y),"")</f>
        <v/>
      </c>
    </row>
    <row r="935">
      <c r="B935" s="14"/>
      <c r="C935" s="14"/>
      <c r="D935" s="14"/>
      <c r="E935" s="15"/>
      <c r="F935" s="14"/>
      <c r="G935" s="13" t="str">
        <f t="array" ref="G935">iferror(XLOOKUP(A935,'Download of SFDC Activation Rep'!B:B,'Download of SFDC Activation Rep'!H:H),"")</f>
        <v/>
      </c>
      <c r="H935" s="13" t="str">
        <f t="array" ref="H935">iferror(xlookup(A935,'Download of SFDC Activation Rep'!B:B,'Download of SFDC Activation Rep'!L:L),"")</f>
        <v/>
      </c>
      <c r="I935" s="17" t="str">
        <f t="shared" si="1"/>
        <v>Not Active</v>
      </c>
      <c r="J935" s="17" t="str">
        <f t="array" ref="J935">iferror(XLOOKUP(A935,'Download of SFDC Activation Rep'!B:B,'Download of SFDC Activation Rep'!X:X),"")</f>
        <v/>
      </c>
      <c r="K935" s="17" t="str">
        <f t="array" ref="K935">iferror(XLOOKUP(A935,'Download of SFDC Activation Rep'!B:B,'Download of SFDC Activation Rep'!C:C),"")</f>
        <v/>
      </c>
      <c r="L935" s="18" t="str">
        <f t="array" ref="L935">iferror(XLOOKUP(A935,'Download of SFDC Activation Rep'!B:B,'Download of SFDC Activation Rep'!S:S),"")</f>
        <v/>
      </c>
      <c r="M935" s="24" t="str">
        <f t="array" ref="M935">iferror(XLOOKUP(A935,'Download of SFDC Activation Rep'!B:B,'Download of SFDC Activation Rep'!Z:Z)+150,"")</f>
        <v/>
      </c>
      <c r="N935" s="24" t="str">
        <f t="array" ref="N935">iferror(XLOOKUP(A935,'Download of SFDC Activation Rep'!B:B,'Download of SFDC Activation Rep'!Y:Y),"")</f>
        <v/>
      </c>
    </row>
    <row r="936">
      <c r="B936" s="14"/>
      <c r="C936" s="14"/>
      <c r="D936" s="14"/>
      <c r="E936" s="15"/>
      <c r="F936" s="14"/>
      <c r="G936" s="13" t="str">
        <f t="array" ref="G936">iferror(XLOOKUP(A936,'Download of SFDC Activation Rep'!B:B,'Download of SFDC Activation Rep'!H:H),"")</f>
        <v/>
      </c>
      <c r="H936" s="13" t="str">
        <f t="array" ref="H936">iferror(xlookup(A936,'Download of SFDC Activation Rep'!B:B,'Download of SFDC Activation Rep'!L:L),"")</f>
        <v/>
      </c>
      <c r="I936" s="17" t="str">
        <f t="shared" si="1"/>
        <v>Not Active</v>
      </c>
      <c r="J936" s="17" t="str">
        <f t="array" ref="J936">iferror(XLOOKUP(A936,'Download of SFDC Activation Rep'!B:B,'Download of SFDC Activation Rep'!X:X),"")</f>
        <v/>
      </c>
      <c r="K936" s="17" t="str">
        <f t="array" ref="K936">iferror(XLOOKUP(A936,'Download of SFDC Activation Rep'!B:B,'Download of SFDC Activation Rep'!C:C),"")</f>
        <v/>
      </c>
      <c r="L936" s="18" t="str">
        <f t="array" ref="L936">iferror(XLOOKUP(A936,'Download of SFDC Activation Rep'!B:B,'Download of SFDC Activation Rep'!S:S),"")</f>
        <v/>
      </c>
      <c r="M936" s="24" t="str">
        <f t="array" ref="M936">iferror(XLOOKUP(A936,'Download of SFDC Activation Rep'!B:B,'Download of SFDC Activation Rep'!Z:Z)+150,"")</f>
        <v/>
      </c>
      <c r="N936" s="24" t="str">
        <f t="array" ref="N936">iferror(XLOOKUP(A936,'Download of SFDC Activation Rep'!B:B,'Download of SFDC Activation Rep'!Y:Y),"")</f>
        <v/>
      </c>
    </row>
    <row r="937">
      <c r="B937" s="14"/>
      <c r="C937" s="14"/>
      <c r="D937" s="14"/>
      <c r="E937" s="15"/>
      <c r="F937" s="14"/>
      <c r="G937" s="13" t="str">
        <f t="array" ref="G937">iferror(XLOOKUP(A937,'Download of SFDC Activation Rep'!B:B,'Download of SFDC Activation Rep'!H:H),"")</f>
        <v/>
      </c>
      <c r="H937" s="13" t="str">
        <f t="array" ref="H937">iferror(xlookup(A937,'Download of SFDC Activation Rep'!B:B,'Download of SFDC Activation Rep'!L:L),"")</f>
        <v/>
      </c>
      <c r="I937" s="17" t="str">
        <f t="shared" si="1"/>
        <v>Not Active</v>
      </c>
      <c r="J937" s="17" t="str">
        <f t="array" ref="J937">iferror(XLOOKUP(A937,'Download of SFDC Activation Rep'!B:B,'Download of SFDC Activation Rep'!X:X),"")</f>
        <v/>
      </c>
      <c r="K937" s="17" t="str">
        <f t="array" ref="K937">iferror(XLOOKUP(A937,'Download of SFDC Activation Rep'!B:B,'Download of SFDC Activation Rep'!C:C),"")</f>
        <v/>
      </c>
      <c r="L937" s="18" t="str">
        <f t="array" ref="L937">iferror(XLOOKUP(A937,'Download of SFDC Activation Rep'!B:B,'Download of SFDC Activation Rep'!S:S),"")</f>
        <v/>
      </c>
      <c r="M937" s="24" t="str">
        <f t="array" ref="M937">iferror(XLOOKUP(A937,'Download of SFDC Activation Rep'!B:B,'Download of SFDC Activation Rep'!Z:Z)+150,"")</f>
        <v/>
      </c>
      <c r="N937" s="24" t="str">
        <f t="array" ref="N937">iferror(XLOOKUP(A937,'Download of SFDC Activation Rep'!B:B,'Download of SFDC Activation Rep'!Y:Y),"")</f>
        <v/>
      </c>
    </row>
    <row r="938">
      <c r="B938" s="14"/>
      <c r="C938" s="14"/>
      <c r="D938" s="14"/>
      <c r="E938" s="15"/>
      <c r="F938" s="14"/>
      <c r="G938" s="13" t="str">
        <f t="array" ref="G938">iferror(XLOOKUP(A938,'Download of SFDC Activation Rep'!B:B,'Download of SFDC Activation Rep'!H:H),"")</f>
        <v/>
      </c>
      <c r="H938" s="13" t="str">
        <f t="array" ref="H938">iferror(xlookup(A938,'Download of SFDC Activation Rep'!B:B,'Download of SFDC Activation Rep'!L:L),"")</f>
        <v/>
      </c>
      <c r="I938" s="17" t="str">
        <f t="shared" si="1"/>
        <v>Not Active</v>
      </c>
      <c r="J938" s="17" t="str">
        <f t="array" ref="J938">iferror(XLOOKUP(A938,'Download of SFDC Activation Rep'!B:B,'Download of SFDC Activation Rep'!X:X),"")</f>
        <v/>
      </c>
      <c r="K938" s="17" t="str">
        <f t="array" ref="K938">iferror(XLOOKUP(A938,'Download of SFDC Activation Rep'!B:B,'Download of SFDC Activation Rep'!C:C),"")</f>
        <v/>
      </c>
      <c r="L938" s="18" t="str">
        <f t="array" ref="L938">iferror(XLOOKUP(A938,'Download of SFDC Activation Rep'!B:B,'Download of SFDC Activation Rep'!S:S),"")</f>
        <v/>
      </c>
      <c r="M938" s="24" t="str">
        <f t="array" ref="M938">iferror(XLOOKUP(A938,'Download of SFDC Activation Rep'!B:B,'Download of SFDC Activation Rep'!Z:Z)+150,"")</f>
        <v/>
      </c>
      <c r="N938" s="24" t="str">
        <f t="array" ref="N938">iferror(XLOOKUP(A938,'Download of SFDC Activation Rep'!B:B,'Download of SFDC Activation Rep'!Y:Y),"")</f>
        <v/>
      </c>
    </row>
    <row r="939">
      <c r="B939" s="14"/>
      <c r="C939" s="14"/>
      <c r="D939" s="14"/>
      <c r="E939" s="15"/>
      <c r="F939" s="14"/>
      <c r="G939" s="13" t="str">
        <f t="array" ref="G939">iferror(XLOOKUP(A939,'Download of SFDC Activation Rep'!B:B,'Download of SFDC Activation Rep'!H:H),"")</f>
        <v/>
      </c>
      <c r="H939" s="13" t="str">
        <f t="array" ref="H939">iferror(xlookup(A939,'Download of SFDC Activation Rep'!B:B,'Download of SFDC Activation Rep'!L:L),"")</f>
        <v/>
      </c>
      <c r="I939" s="17" t="str">
        <f t="shared" si="1"/>
        <v>Not Active</v>
      </c>
      <c r="J939" s="17" t="str">
        <f t="array" ref="J939">iferror(XLOOKUP(A939,'Download of SFDC Activation Rep'!B:B,'Download of SFDC Activation Rep'!X:X),"")</f>
        <v/>
      </c>
      <c r="K939" s="17" t="str">
        <f t="array" ref="K939">iferror(XLOOKUP(A939,'Download of SFDC Activation Rep'!B:B,'Download of SFDC Activation Rep'!C:C),"")</f>
        <v/>
      </c>
      <c r="L939" s="18" t="str">
        <f t="array" ref="L939">iferror(XLOOKUP(A939,'Download of SFDC Activation Rep'!B:B,'Download of SFDC Activation Rep'!S:S),"")</f>
        <v/>
      </c>
      <c r="M939" s="24" t="str">
        <f t="array" ref="M939">iferror(XLOOKUP(A939,'Download of SFDC Activation Rep'!B:B,'Download of SFDC Activation Rep'!Z:Z)+150,"")</f>
        <v/>
      </c>
      <c r="N939" s="24" t="str">
        <f t="array" ref="N939">iferror(XLOOKUP(A939,'Download of SFDC Activation Rep'!B:B,'Download of SFDC Activation Rep'!Y:Y),"")</f>
        <v/>
      </c>
    </row>
    <row r="940">
      <c r="B940" s="14"/>
      <c r="C940" s="14"/>
      <c r="D940" s="14"/>
      <c r="E940" s="15"/>
      <c r="F940" s="14"/>
      <c r="G940" s="13" t="str">
        <f t="array" ref="G940">iferror(XLOOKUP(A940,'Download of SFDC Activation Rep'!B:B,'Download of SFDC Activation Rep'!H:H),"")</f>
        <v/>
      </c>
      <c r="H940" s="13" t="str">
        <f t="array" ref="H940">iferror(xlookup(A940,'Download of SFDC Activation Rep'!B:B,'Download of SFDC Activation Rep'!L:L),"")</f>
        <v/>
      </c>
      <c r="I940" s="17" t="str">
        <f t="shared" si="1"/>
        <v>Not Active</v>
      </c>
      <c r="J940" s="17" t="str">
        <f t="array" ref="J940">iferror(XLOOKUP(A940,'Download of SFDC Activation Rep'!B:B,'Download of SFDC Activation Rep'!X:X),"")</f>
        <v/>
      </c>
      <c r="K940" s="17" t="str">
        <f t="array" ref="K940">iferror(XLOOKUP(A940,'Download of SFDC Activation Rep'!B:B,'Download of SFDC Activation Rep'!C:C),"")</f>
        <v/>
      </c>
      <c r="L940" s="18" t="str">
        <f t="array" ref="L940">iferror(XLOOKUP(A940,'Download of SFDC Activation Rep'!B:B,'Download of SFDC Activation Rep'!S:S),"")</f>
        <v/>
      </c>
      <c r="M940" s="24" t="str">
        <f t="array" ref="M940">iferror(XLOOKUP(A940,'Download of SFDC Activation Rep'!B:B,'Download of SFDC Activation Rep'!Z:Z)+150,"")</f>
        <v/>
      </c>
      <c r="N940" s="24" t="str">
        <f t="array" ref="N940">iferror(XLOOKUP(A940,'Download of SFDC Activation Rep'!B:B,'Download of SFDC Activation Rep'!Y:Y),"")</f>
        <v/>
      </c>
    </row>
    <row r="941">
      <c r="B941" s="14"/>
      <c r="C941" s="14"/>
      <c r="D941" s="14"/>
      <c r="E941" s="15"/>
      <c r="F941" s="14"/>
      <c r="G941" s="13" t="str">
        <f t="array" ref="G941">iferror(XLOOKUP(A941,'Download of SFDC Activation Rep'!B:B,'Download of SFDC Activation Rep'!H:H),"")</f>
        <v/>
      </c>
      <c r="H941" s="13" t="str">
        <f t="array" ref="H941">iferror(xlookup(A941,'Download of SFDC Activation Rep'!B:B,'Download of SFDC Activation Rep'!L:L),"")</f>
        <v/>
      </c>
      <c r="I941" s="17" t="str">
        <f t="shared" si="1"/>
        <v>Not Active</v>
      </c>
      <c r="J941" s="17" t="str">
        <f t="array" ref="J941">iferror(XLOOKUP(A941,'Download of SFDC Activation Rep'!B:B,'Download of SFDC Activation Rep'!X:X),"")</f>
        <v/>
      </c>
      <c r="K941" s="17" t="str">
        <f t="array" ref="K941">iferror(XLOOKUP(A941,'Download of SFDC Activation Rep'!B:B,'Download of SFDC Activation Rep'!C:C),"")</f>
        <v/>
      </c>
      <c r="L941" s="18" t="str">
        <f t="array" ref="L941">iferror(XLOOKUP(A941,'Download of SFDC Activation Rep'!B:B,'Download of SFDC Activation Rep'!S:S),"")</f>
        <v/>
      </c>
      <c r="M941" s="24" t="str">
        <f t="array" ref="M941">iferror(XLOOKUP(A941,'Download of SFDC Activation Rep'!B:B,'Download of SFDC Activation Rep'!Z:Z)+150,"")</f>
        <v/>
      </c>
      <c r="N941" s="24" t="str">
        <f t="array" ref="N941">iferror(XLOOKUP(A941,'Download of SFDC Activation Rep'!B:B,'Download of SFDC Activation Rep'!Y:Y),"")</f>
        <v/>
      </c>
    </row>
    <row r="942">
      <c r="B942" s="14"/>
      <c r="C942" s="14"/>
      <c r="D942" s="14"/>
      <c r="E942" s="15"/>
      <c r="F942" s="14"/>
      <c r="G942" s="13" t="str">
        <f t="array" ref="G942">iferror(XLOOKUP(A942,'Download of SFDC Activation Rep'!B:B,'Download of SFDC Activation Rep'!H:H),"")</f>
        <v/>
      </c>
      <c r="H942" s="13" t="str">
        <f t="array" ref="H942">iferror(xlookup(A942,'Download of SFDC Activation Rep'!B:B,'Download of SFDC Activation Rep'!L:L),"")</f>
        <v/>
      </c>
      <c r="I942" s="17" t="str">
        <f t="shared" si="1"/>
        <v>Not Active</v>
      </c>
      <c r="J942" s="17" t="str">
        <f t="array" ref="J942">iferror(XLOOKUP(A942,'Download of SFDC Activation Rep'!B:B,'Download of SFDC Activation Rep'!X:X),"")</f>
        <v/>
      </c>
      <c r="K942" s="17" t="str">
        <f t="array" ref="K942">iferror(XLOOKUP(A942,'Download of SFDC Activation Rep'!B:B,'Download of SFDC Activation Rep'!C:C),"")</f>
        <v/>
      </c>
      <c r="L942" s="18" t="str">
        <f t="array" ref="L942">iferror(XLOOKUP(A942,'Download of SFDC Activation Rep'!B:B,'Download of SFDC Activation Rep'!S:S),"")</f>
        <v/>
      </c>
      <c r="M942" s="24" t="str">
        <f t="array" ref="M942">iferror(XLOOKUP(A942,'Download of SFDC Activation Rep'!B:B,'Download of SFDC Activation Rep'!Z:Z)+150,"")</f>
        <v/>
      </c>
      <c r="N942" s="24" t="str">
        <f t="array" ref="N942">iferror(XLOOKUP(A942,'Download of SFDC Activation Rep'!B:B,'Download of SFDC Activation Rep'!Y:Y),"")</f>
        <v/>
      </c>
    </row>
    <row r="943">
      <c r="B943" s="14"/>
      <c r="C943" s="14"/>
      <c r="D943" s="14"/>
      <c r="E943" s="15"/>
      <c r="F943" s="14"/>
      <c r="G943" s="13" t="str">
        <f t="array" ref="G943">iferror(XLOOKUP(A943,'Download of SFDC Activation Rep'!B:B,'Download of SFDC Activation Rep'!H:H),"")</f>
        <v/>
      </c>
      <c r="H943" s="13" t="str">
        <f t="array" ref="H943">iferror(xlookup(A943,'Download of SFDC Activation Rep'!B:B,'Download of SFDC Activation Rep'!L:L),"")</f>
        <v/>
      </c>
      <c r="I943" s="17" t="str">
        <f t="shared" si="1"/>
        <v>Not Active</v>
      </c>
      <c r="J943" s="17" t="str">
        <f t="array" ref="J943">iferror(XLOOKUP(A943,'Download of SFDC Activation Rep'!B:B,'Download of SFDC Activation Rep'!X:X),"")</f>
        <v/>
      </c>
      <c r="K943" s="17" t="str">
        <f t="array" ref="K943">iferror(XLOOKUP(A943,'Download of SFDC Activation Rep'!B:B,'Download of SFDC Activation Rep'!C:C),"")</f>
        <v/>
      </c>
      <c r="L943" s="18" t="str">
        <f t="array" ref="L943">iferror(XLOOKUP(A943,'Download of SFDC Activation Rep'!B:B,'Download of SFDC Activation Rep'!S:S),"")</f>
        <v/>
      </c>
      <c r="M943" s="24" t="str">
        <f t="array" ref="M943">iferror(XLOOKUP(A943,'Download of SFDC Activation Rep'!B:B,'Download of SFDC Activation Rep'!Z:Z)+150,"")</f>
        <v/>
      </c>
      <c r="N943" s="24" t="str">
        <f t="array" ref="N943">iferror(XLOOKUP(A943,'Download of SFDC Activation Rep'!B:B,'Download of SFDC Activation Rep'!Y:Y),"")</f>
        <v/>
      </c>
    </row>
    <row r="944">
      <c r="B944" s="14"/>
      <c r="C944" s="14"/>
      <c r="D944" s="14"/>
      <c r="E944" s="15"/>
      <c r="F944" s="14"/>
      <c r="G944" s="13" t="str">
        <f t="array" ref="G944">iferror(XLOOKUP(A944,'Download of SFDC Activation Rep'!B:B,'Download of SFDC Activation Rep'!H:H),"")</f>
        <v/>
      </c>
      <c r="H944" s="13" t="str">
        <f t="array" ref="H944">iferror(xlookup(A944,'Download of SFDC Activation Rep'!B:B,'Download of SFDC Activation Rep'!L:L),"")</f>
        <v/>
      </c>
      <c r="I944" s="17" t="str">
        <f t="shared" si="1"/>
        <v>Not Active</v>
      </c>
      <c r="J944" s="17" t="str">
        <f t="array" ref="J944">iferror(XLOOKUP(A944,'Download of SFDC Activation Rep'!B:B,'Download of SFDC Activation Rep'!X:X),"")</f>
        <v/>
      </c>
      <c r="K944" s="17" t="str">
        <f t="array" ref="K944">iferror(XLOOKUP(A944,'Download of SFDC Activation Rep'!B:B,'Download of SFDC Activation Rep'!C:C),"")</f>
        <v/>
      </c>
      <c r="L944" s="18" t="str">
        <f t="array" ref="L944">iferror(XLOOKUP(A944,'Download of SFDC Activation Rep'!B:B,'Download of SFDC Activation Rep'!S:S),"")</f>
        <v/>
      </c>
      <c r="M944" s="24" t="str">
        <f t="array" ref="M944">iferror(XLOOKUP(A944,'Download of SFDC Activation Rep'!B:B,'Download of SFDC Activation Rep'!Z:Z)+150,"")</f>
        <v/>
      </c>
      <c r="N944" s="24" t="str">
        <f t="array" ref="N944">iferror(XLOOKUP(A944,'Download of SFDC Activation Rep'!B:B,'Download of SFDC Activation Rep'!Y:Y),"")</f>
        <v/>
      </c>
    </row>
    <row r="945">
      <c r="B945" s="14"/>
      <c r="C945" s="14"/>
      <c r="D945" s="14"/>
      <c r="E945" s="15"/>
      <c r="F945" s="14"/>
      <c r="G945" s="13" t="str">
        <f t="array" ref="G945">iferror(XLOOKUP(A945,'Download of SFDC Activation Rep'!B:B,'Download of SFDC Activation Rep'!H:H),"")</f>
        <v/>
      </c>
      <c r="H945" s="13" t="str">
        <f t="array" ref="H945">iferror(xlookup(A945,'Download of SFDC Activation Rep'!B:B,'Download of SFDC Activation Rep'!L:L),"")</f>
        <v/>
      </c>
      <c r="I945" s="17" t="str">
        <f t="shared" si="1"/>
        <v>Not Active</v>
      </c>
      <c r="J945" s="17" t="str">
        <f t="array" ref="J945">iferror(XLOOKUP(A945,'Download of SFDC Activation Rep'!B:B,'Download of SFDC Activation Rep'!X:X),"")</f>
        <v/>
      </c>
      <c r="K945" s="17" t="str">
        <f t="array" ref="K945">iferror(XLOOKUP(A945,'Download of SFDC Activation Rep'!B:B,'Download of SFDC Activation Rep'!C:C),"")</f>
        <v/>
      </c>
      <c r="L945" s="18" t="str">
        <f t="array" ref="L945">iferror(XLOOKUP(A945,'Download of SFDC Activation Rep'!B:B,'Download of SFDC Activation Rep'!S:S),"")</f>
        <v/>
      </c>
      <c r="M945" s="24" t="str">
        <f t="array" ref="M945">iferror(XLOOKUP(A945,'Download of SFDC Activation Rep'!B:B,'Download of SFDC Activation Rep'!Z:Z)+150,"")</f>
        <v/>
      </c>
      <c r="N945" s="24" t="str">
        <f t="array" ref="N945">iferror(XLOOKUP(A945,'Download of SFDC Activation Rep'!B:B,'Download of SFDC Activation Rep'!Y:Y),"")</f>
        <v/>
      </c>
    </row>
    <row r="946">
      <c r="B946" s="14"/>
      <c r="C946" s="14"/>
      <c r="D946" s="14"/>
      <c r="E946" s="15"/>
      <c r="F946" s="14"/>
      <c r="G946" s="13" t="str">
        <f t="array" ref="G946">iferror(XLOOKUP(A946,'Download of SFDC Activation Rep'!B:B,'Download of SFDC Activation Rep'!H:H),"")</f>
        <v/>
      </c>
      <c r="H946" s="13" t="str">
        <f t="array" ref="H946">iferror(xlookup(A946,'Download of SFDC Activation Rep'!B:B,'Download of SFDC Activation Rep'!L:L),"")</f>
        <v/>
      </c>
      <c r="I946" s="17" t="str">
        <f t="shared" si="1"/>
        <v>Not Active</v>
      </c>
      <c r="J946" s="17" t="str">
        <f t="array" ref="J946">iferror(XLOOKUP(A946,'Download of SFDC Activation Rep'!B:B,'Download of SFDC Activation Rep'!X:X),"")</f>
        <v/>
      </c>
      <c r="K946" s="17" t="str">
        <f t="array" ref="K946">iferror(XLOOKUP(A946,'Download of SFDC Activation Rep'!B:B,'Download of SFDC Activation Rep'!C:C),"")</f>
        <v/>
      </c>
      <c r="L946" s="18" t="str">
        <f t="array" ref="L946">iferror(XLOOKUP(A946,'Download of SFDC Activation Rep'!B:B,'Download of SFDC Activation Rep'!S:S),"")</f>
        <v/>
      </c>
      <c r="M946" s="24" t="str">
        <f t="array" ref="M946">iferror(XLOOKUP(A946,'Download of SFDC Activation Rep'!B:B,'Download of SFDC Activation Rep'!Z:Z)+150,"")</f>
        <v/>
      </c>
      <c r="N946" s="24" t="str">
        <f t="array" ref="N946">iferror(XLOOKUP(A946,'Download of SFDC Activation Rep'!B:B,'Download of SFDC Activation Rep'!Y:Y),"")</f>
        <v/>
      </c>
    </row>
    <row r="947">
      <c r="B947" s="14"/>
      <c r="C947" s="14"/>
      <c r="D947" s="14"/>
      <c r="E947" s="15"/>
      <c r="F947" s="14"/>
      <c r="G947" s="13" t="str">
        <f t="array" ref="G947">iferror(XLOOKUP(A947,'Download of SFDC Activation Rep'!B:B,'Download of SFDC Activation Rep'!H:H),"")</f>
        <v/>
      </c>
      <c r="H947" s="13" t="str">
        <f t="array" ref="H947">iferror(xlookup(A947,'Download of SFDC Activation Rep'!B:B,'Download of SFDC Activation Rep'!L:L),"")</f>
        <v/>
      </c>
      <c r="I947" s="17" t="str">
        <f t="shared" si="1"/>
        <v>Not Active</v>
      </c>
      <c r="J947" s="17" t="str">
        <f t="array" ref="J947">iferror(XLOOKUP(A947,'Download of SFDC Activation Rep'!B:B,'Download of SFDC Activation Rep'!X:X),"")</f>
        <v/>
      </c>
      <c r="K947" s="17" t="str">
        <f t="array" ref="K947">iferror(XLOOKUP(A947,'Download of SFDC Activation Rep'!B:B,'Download of SFDC Activation Rep'!C:C),"")</f>
        <v/>
      </c>
      <c r="L947" s="18" t="str">
        <f t="array" ref="L947">iferror(XLOOKUP(A947,'Download of SFDC Activation Rep'!B:B,'Download of SFDC Activation Rep'!S:S),"")</f>
        <v/>
      </c>
      <c r="M947" s="24" t="str">
        <f t="array" ref="M947">iferror(XLOOKUP(A947,'Download of SFDC Activation Rep'!B:B,'Download of SFDC Activation Rep'!Z:Z)+150,"")</f>
        <v/>
      </c>
      <c r="N947" s="24" t="str">
        <f t="array" ref="N947">iferror(XLOOKUP(A947,'Download of SFDC Activation Rep'!B:B,'Download of SFDC Activation Rep'!Y:Y),"")</f>
        <v/>
      </c>
    </row>
    <row r="948">
      <c r="B948" s="14"/>
      <c r="C948" s="14"/>
      <c r="D948" s="14"/>
      <c r="E948" s="15"/>
      <c r="F948" s="14"/>
      <c r="G948" s="13" t="str">
        <f t="array" ref="G948">iferror(XLOOKUP(A948,'Download of SFDC Activation Rep'!B:B,'Download of SFDC Activation Rep'!H:H),"")</f>
        <v/>
      </c>
      <c r="H948" s="13" t="str">
        <f t="array" ref="H948">iferror(xlookup(A948,'Download of SFDC Activation Rep'!B:B,'Download of SFDC Activation Rep'!L:L),"")</f>
        <v/>
      </c>
      <c r="I948" s="17" t="str">
        <f t="shared" si="1"/>
        <v>Not Active</v>
      </c>
      <c r="J948" s="17" t="str">
        <f t="array" ref="J948">iferror(XLOOKUP(A948,'Download of SFDC Activation Rep'!B:B,'Download of SFDC Activation Rep'!X:X),"")</f>
        <v/>
      </c>
      <c r="K948" s="17" t="str">
        <f t="array" ref="K948">iferror(XLOOKUP(A948,'Download of SFDC Activation Rep'!B:B,'Download of SFDC Activation Rep'!C:C),"")</f>
        <v/>
      </c>
      <c r="L948" s="18" t="str">
        <f t="array" ref="L948">iferror(XLOOKUP(A948,'Download of SFDC Activation Rep'!B:B,'Download of SFDC Activation Rep'!S:S),"")</f>
        <v/>
      </c>
      <c r="M948" s="24" t="str">
        <f t="array" ref="M948">iferror(XLOOKUP(A948,'Download of SFDC Activation Rep'!B:B,'Download of SFDC Activation Rep'!Z:Z)+150,"")</f>
        <v/>
      </c>
      <c r="N948" s="24" t="str">
        <f t="array" ref="N948">iferror(XLOOKUP(A948,'Download of SFDC Activation Rep'!B:B,'Download of SFDC Activation Rep'!Y:Y),"")</f>
        <v/>
      </c>
    </row>
    <row r="949">
      <c r="B949" s="14"/>
      <c r="C949" s="14"/>
      <c r="D949" s="14"/>
      <c r="E949" s="15"/>
      <c r="F949" s="14"/>
      <c r="G949" s="13" t="str">
        <f t="array" ref="G949">iferror(XLOOKUP(A949,'Download of SFDC Activation Rep'!B:B,'Download of SFDC Activation Rep'!H:H),"")</f>
        <v/>
      </c>
      <c r="H949" s="13" t="str">
        <f t="array" ref="H949">iferror(xlookup(A949,'Download of SFDC Activation Rep'!B:B,'Download of SFDC Activation Rep'!L:L),"")</f>
        <v/>
      </c>
      <c r="I949" s="17" t="str">
        <f t="shared" si="1"/>
        <v>Not Active</v>
      </c>
      <c r="J949" s="17" t="str">
        <f t="array" ref="J949">iferror(XLOOKUP(A949,'Download of SFDC Activation Rep'!B:B,'Download of SFDC Activation Rep'!X:X),"")</f>
        <v/>
      </c>
      <c r="K949" s="17" t="str">
        <f t="array" ref="K949">iferror(XLOOKUP(A949,'Download of SFDC Activation Rep'!B:B,'Download of SFDC Activation Rep'!C:C),"")</f>
        <v/>
      </c>
      <c r="L949" s="18" t="str">
        <f t="array" ref="L949">iferror(XLOOKUP(A949,'Download of SFDC Activation Rep'!B:B,'Download of SFDC Activation Rep'!S:S),"")</f>
        <v/>
      </c>
      <c r="M949" s="24" t="str">
        <f t="array" ref="M949">iferror(XLOOKUP(A949,'Download of SFDC Activation Rep'!B:B,'Download of SFDC Activation Rep'!Z:Z)+150,"")</f>
        <v/>
      </c>
      <c r="N949" s="24" t="str">
        <f t="array" ref="N949">iferror(XLOOKUP(A949,'Download of SFDC Activation Rep'!B:B,'Download of SFDC Activation Rep'!Y:Y),"")</f>
        <v/>
      </c>
    </row>
    <row r="950">
      <c r="B950" s="14"/>
      <c r="C950" s="14"/>
      <c r="D950" s="14"/>
      <c r="E950" s="15"/>
      <c r="F950" s="14"/>
      <c r="G950" s="13" t="str">
        <f t="array" ref="G950">iferror(XLOOKUP(A950,'Download of SFDC Activation Rep'!B:B,'Download of SFDC Activation Rep'!H:H),"")</f>
        <v/>
      </c>
      <c r="H950" s="13" t="str">
        <f t="array" ref="H950">iferror(xlookup(A950,'Download of SFDC Activation Rep'!B:B,'Download of SFDC Activation Rep'!L:L),"")</f>
        <v/>
      </c>
      <c r="I950" s="17" t="str">
        <f t="shared" si="1"/>
        <v>Not Active</v>
      </c>
      <c r="J950" s="17" t="str">
        <f t="array" ref="J950">iferror(XLOOKUP(A950,'Download of SFDC Activation Rep'!B:B,'Download of SFDC Activation Rep'!X:X),"")</f>
        <v/>
      </c>
      <c r="K950" s="17" t="str">
        <f t="array" ref="K950">iferror(XLOOKUP(A950,'Download of SFDC Activation Rep'!B:B,'Download of SFDC Activation Rep'!C:C),"")</f>
        <v/>
      </c>
      <c r="L950" s="18" t="str">
        <f t="array" ref="L950">iferror(XLOOKUP(A950,'Download of SFDC Activation Rep'!B:B,'Download of SFDC Activation Rep'!S:S),"")</f>
        <v/>
      </c>
      <c r="M950" s="24" t="str">
        <f t="array" ref="M950">iferror(XLOOKUP(A950,'Download of SFDC Activation Rep'!B:B,'Download of SFDC Activation Rep'!Z:Z)+150,"")</f>
        <v/>
      </c>
      <c r="N950" s="24" t="str">
        <f t="array" ref="N950">iferror(XLOOKUP(A950,'Download of SFDC Activation Rep'!B:B,'Download of SFDC Activation Rep'!Y:Y),"")</f>
        <v/>
      </c>
    </row>
    <row r="951">
      <c r="B951" s="14"/>
      <c r="C951" s="14"/>
      <c r="D951" s="14"/>
      <c r="E951" s="15"/>
      <c r="F951" s="14"/>
      <c r="G951" s="13" t="str">
        <f t="array" ref="G951">iferror(XLOOKUP(A951,'Download of SFDC Activation Rep'!B:B,'Download of SFDC Activation Rep'!H:H),"")</f>
        <v/>
      </c>
      <c r="H951" s="13" t="str">
        <f t="array" ref="H951">iferror(xlookup(A951,'Download of SFDC Activation Rep'!B:B,'Download of SFDC Activation Rep'!L:L),"")</f>
        <v/>
      </c>
      <c r="I951" s="17" t="str">
        <f t="shared" si="1"/>
        <v>Not Active</v>
      </c>
      <c r="J951" s="17" t="str">
        <f t="array" ref="J951">iferror(XLOOKUP(A951,'Download of SFDC Activation Rep'!B:B,'Download of SFDC Activation Rep'!X:X),"")</f>
        <v/>
      </c>
      <c r="K951" s="17" t="str">
        <f t="array" ref="K951">iferror(XLOOKUP(A951,'Download of SFDC Activation Rep'!B:B,'Download of SFDC Activation Rep'!C:C),"")</f>
        <v/>
      </c>
      <c r="L951" s="18" t="str">
        <f t="array" ref="L951">iferror(XLOOKUP(A951,'Download of SFDC Activation Rep'!B:B,'Download of SFDC Activation Rep'!S:S),"")</f>
        <v/>
      </c>
      <c r="M951" s="24" t="str">
        <f t="array" ref="M951">iferror(XLOOKUP(A951,'Download of SFDC Activation Rep'!B:B,'Download of SFDC Activation Rep'!Z:Z)+150,"")</f>
        <v/>
      </c>
      <c r="N951" s="24" t="str">
        <f t="array" ref="N951">iferror(XLOOKUP(A951,'Download of SFDC Activation Rep'!B:B,'Download of SFDC Activation Rep'!Y:Y),"")</f>
        <v/>
      </c>
    </row>
    <row r="952">
      <c r="B952" s="14"/>
      <c r="C952" s="14"/>
      <c r="D952" s="14"/>
      <c r="E952" s="15"/>
      <c r="F952" s="14"/>
      <c r="G952" s="13" t="str">
        <f t="array" ref="G952">iferror(XLOOKUP(A952,'Download of SFDC Activation Rep'!B:B,'Download of SFDC Activation Rep'!H:H),"")</f>
        <v/>
      </c>
      <c r="H952" s="13" t="str">
        <f t="array" ref="H952">iferror(xlookup(A952,'Download of SFDC Activation Rep'!B:B,'Download of SFDC Activation Rep'!L:L),"")</f>
        <v/>
      </c>
      <c r="I952" s="17" t="str">
        <f t="shared" si="1"/>
        <v>Not Active</v>
      </c>
      <c r="J952" s="17" t="str">
        <f t="array" ref="J952">iferror(XLOOKUP(A952,'Download of SFDC Activation Rep'!B:B,'Download of SFDC Activation Rep'!X:X),"")</f>
        <v/>
      </c>
      <c r="K952" s="17" t="str">
        <f t="array" ref="K952">iferror(XLOOKUP(A952,'Download of SFDC Activation Rep'!B:B,'Download of SFDC Activation Rep'!C:C),"")</f>
        <v/>
      </c>
      <c r="L952" s="18" t="str">
        <f t="array" ref="L952">iferror(XLOOKUP(A952,'Download of SFDC Activation Rep'!B:B,'Download of SFDC Activation Rep'!S:S),"")</f>
        <v/>
      </c>
      <c r="M952" s="24" t="str">
        <f t="array" ref="M952">iferror(XLOOKUP(A952,'Download of SFDC Activation Rep'!B:B,'Download of SFDC Activation Rep'!Z:Z)+150,"")</f>
        <v/>
      </c>
      <c r="N952" s="24" t="str">
        <f t="array" ref="N952">iferror(XLOOKUP(A952,'Download of SFDC Activation Rep'!B:B,'Download of SFDC Activation Rep'!Y:Y),"")</f>
        <v/>
      </c>
    </row>
    <row r="953">
      <c r="B953" s="14"/>
      <c r="C953" s="14"/>
      <c r="D953" s="14"/>
      <c r="E953" s="15"/>
      <c r="F953" s="14"/>
      <c r="G953" s="13" t="str">
        <f t="array" ref="G953">iferror(XLOOKUP(A953,'Download of SFDC Activation Rep'!B:B,'Download of SFDC Activation Rep'!H:H),"")</f>
        <v/>
      </c>
      <c r="H953" s="13" t="str">
        <f t="array" ref="H953">iferror(xlookup(A953,'Download of SFDC Activation Rep'!B:B,'Download of SFDC Activation Rep'!L:L),"")</f>
        <v/>
      </c>
      <c r="I953" s="17" t="str">
        <f t="shared" si="1"/>
        <v>Not Active</v>
      </c>
      <c r="J953" s="17" t="str">
        <f t="array" ref="J953">iferror(XLOOKUP(A953,'Download of SFDC Activation Rep'!B:B,'Download of SFDC Activation Rep'!X:X),"")</f>
        <v/>
      </c>
      <c r="K953" s="17" t="str">
        <f t="array" ref="K953">iferror(XLOOKUP(A953,'Download of SFDC Activation Rep'!B:B,'Download of SFDC Activation Rep'!C:C),"")</f>
        <v/>
      </c>
      <c r="L953" s="18" t="str">
        <f t="array" ref="L953">iferror(XLOOKUP(A953,'Download of SFDC Activation Rep'!B:B,'Download of SFDC Activation Rep'!S:S),"")</f>
        <v/>
      </c>
      <c r="M953" s="24" t="str">
        <f t="array" ref="M953">iferror(XLOOKUP(A953,'Download of SFDC Activation Rep'!B:B,'Download of SFDC Activation Rep'!Z:Z)+150,"")</f>
        <v/>
      </c>
      <c r="N953" s="24" t="str">
        <f t="array" ref="N953">iferror(XLOOKUP(A953,'Download of SFDC Activation Rep'!B:B,'Download of SFDC Activation Rep'!Y:Y),"")</f>
        <v/>
      </c>
    </row>
    <row r="954">
      <c r="B954" s="14"/>
      <c r="C954" s="14"/>
      <c r="D954" s="14"/>
      <c r="E954" s="15"/>
      <c r="F954" s="14"/>
      <c r="G954" s="13" t="str">
        <f t="array" ref="G954">iferror(XLOOKUP(A954,'Download of SFDC Activation Rep'!B:B,'Download of SFDC Activation Rep'!H:H),"")</f>
        <v/>
      </c>
      <c r="H954" s="13" t="str">
        <f t="array" ref="H954">iferror(xlookup(A954,'Download of SFDC Activation Rep'!B:B,'Download of SFDC Activation Rep'!L:L),"")</f>
        <v/>
      </c>
      <c r="I954" s="17" t="str">
        <f t="shared" si="1"/>
        <v>Not Active</v>
      </c>
      <c r="J954" s="17" t="str">
        <f t="array" ref="J954">iferror(XLOOKUP(A954,'Download of SFDC Activation Rep'!B:B,'Download of SFDC Activation Rep'!X:X),"")</f>
        <v/>
      </c>
      <c r="K954" s="17" t="str">
        <f t="array" ref="K954">iferror(XLOOKUP(A954,'Download of SFDC Activation Rep'!B:B,'Download of SFDC Activation Rep'!C:C),"")</f>
        <v/>
      </c>
      <c r="L954" s="18" t="str">
        <f t="array" ref="L954">iferror(XLOOKUP(A954,'Download of SFDC Activation Rep'!B:B,'Download of SFDC Activation Rep'!S:S),"")</f>
        <v/>
      </c>
      <c r="M954" s="24" t="str">
        <f t="array" ref="M954">iferror(XLOOKUP(A954,'Download of SFDC Activation Rep'!B:B,'Download of SFDC Activation Rep'!Z:Z)+150,"")</f>
        <v/>
      </c>
      <c r="N954" s="24" t="str">
        <f t="array" ref="N954">iferror(XLOOKUP(A954,'Download of SFDC Activation Rep'!B:B,'Download of SFDC Activation Rep'!Y:Y),"")</f>
        <v/>
      </c>
    </row>
    <row r="955">
      <c r="B955" s="14"/>
      <c r="C955" s="14"/>
      <c r="D955" s="14"/>
      <c r="E955" s="15"/>
      <c r="F955" s="14"/>
      <c r="G955" s="13" t="str">
        <f t="array" ref="G955">iferror(XLOOKUP(A955,'Download of SFDC Activation Rep'!B:B,'Download of SFDC Activation Rep'!H:H),"")</f>
        <v/>
      </c>
      <c r="H955" s="13" t="str">
        <f t="array" ref="H955">iferror(xlookup(A955,'Download of SFDC Activation Rep'!B:B,'Download of SFDC Activation Rep'!L:L),"")</f>
        <v/>
      </c>
      <c r="I955" s="17" t="str">
        <f t="shared" si="1"/>
        <v>Not Active</v>
      </c>
      <c r="J955" s="17" t="str">
        <f t="array" ref="J955">iferror(XLOOKUP(A955,'Download of SFDC Activation Rep'!B:B,'Download of SFDC Activation Rep'!X:X),"")</f>
        <v/>
      </c>
      <c r="K955" s="17" t="str">
        <f t="array" ref="K955">iferror(XLOOKUP(A955,'Download of SFDC Activation Rep'!B:B,'Download of SFDC Activation Rep'!C:C),"")</f>
        <v/>
      </c>
      <c r="L955" s="18" t="str">
        <f t="array" ref="L955">iferror(XLOOKUP(A955,'Download of SFDC Activation Rep'!B:B,'Download of SFDC Activation Rep'!S:S),"")</f>
        <v/>
      </c>
      <c r="M955" s="24" t="str">
        <f t="array" ref="M955">iferror(XLOOKUP(A955,'Download of SFDC Activation Rep'!B:B,'Download of SFDC Activation Rep'!Z:Z)+150,"")</f>
        <v/>
      </c>
      <c r="N955" s="24" t="str">
        <f t="array" ref="N955">iferror(XLOOKUP(A955,'Download of SFDC Activation Rep'!B:B,'Download of SFDC Activation Rep'!Y:Y),"")</f>
        <v/>
      </c>
    </row>
    <row r="956">
      <c r="B956" s="14"/>
      <c r="C956" s="14"/>
      <c r="D956" s="14"/>
      <c r="E956" s="15"/>
      <c r="F956" s="14"/>
      <c r="G956" s="13" t="str">
        <f t="array" ref="G956">iferror(XLOOKUP(A956,'Download of SFDC Activation Rep'!B:B,'Download of SFDC Activation Rep'!H:H),"")</f>
        <v/>
      </c>
      <c r="H956" s="13" t="str">
        <f t="array" ref="H956">iferror(xlookup(A956,'Download of SFDC Activation Rep'!B:B,'Download of SFDC Activation Rep'!L:L),"")</f>
        <v/>
      </c>
      <c r="I956" s="17" t="str">
        <f t="shared" si="1"/>
        <v>Not Active</v>
      </c>
      <c r="J956" s="17" t="str">
        <f t="array" ref="J956">iferror(XLOOKUP(A956,'Download of SFDC Activation Rep'!B:B,'Download of SFDC Activation Rep'!X:X),"")</f>
        <v/>
      </c>
      <c r="K956" s="17" t="str">
        <f t="array" ref="K956">iferror(XLOOKUP(A956,'Download of SFDC Activation Rep'!B:B,'Download of SFDC Activation Rep'!C:C),"")</f>
        <v/>
      </c>
      <c r="L956" s="18" t="str">
        <f t="array" ref="L956">iferror(XLOOKUP(A956,'Download of SFDC Activation Rep'!B:B,'Download of SFDC Activation Rep'!S:S),"")</f>
        <v/>
      </c>
      <c r="M956" s="24" t="str">
        <f t="array" ref="M956">iferror(XLOOKUP(A956,'Download of SFDC Activation Rep'!B:B,'Download of SFDC Activation Rep'!Z:Z)+150,"")</f>
        <v/>
      </c>
      <c r="N956" s="24" t="str">
        <f t="array" ref="N956">iferror(XLOOKUP(A956,'Download of SFDC Activation Rep'!B:B,'Download of SFDC Activation Rep'!Y:Y),"")</f>
        <v/>
      </c>
    </row>
    <row r="957">
      <c r="B957" s="14"/>
      <c r="C957" s="14"/>
      <c r="D957" s="14"/>
      <c r="E957" s="15"/>
      <c r="F957" s="14"/>
      <c r="G957" s="13" t="str">
        <f t="array" ref="G957">iferror(XLOOKUP(A957,'Download of SFDC Activation Rep'!B:B,'Download of SFDC Activation Rep'!H:H),"")</f>
        <v/>
      </c>
      <c r="H957" s="13" t="str">
        <f t="array" ref="H957">iferror(xlookup(A957,'Download of SFDC Activation Rep'!B:B,'Download of SFDC Activation Rep'!L:L),"")</f>
        <v/>
      </c>
      <c r="I957" s="17" t="str">
        <f t="shared" si="1"/>
        <v>Not Active</v>
      </c>
      <c r="J957" s="17" t="str">
        <f t="array" ref="J957">iferror(XLOOKUP(A957,'Download of SFDC Activation Rep'!B:B,'Download of SFDC Activation Rep'!X:X),"")</f>
        <v/>
      </c>
      <c r="K957" s="17" t="str">
        <f t="array" ref="K957">iferror(XLOOKUP(A957,'Download of SFDC Activation Rep'!B:B,'Download of SFDC Activation Rep'!C:C),"")</f>
        <v/>
      </c>
      <c r="L957" s="18" t="str">
        <f t="array" ref="L957">iferror(XLOOKUP(A957,'Download of SFDC Activation Rep'!B:B,'Download of SFDC Activation Rep'!S:S),"")</f>
        <v/>
      </c>
      <c r="M957" s="24" t="str">
        <f t="array" ref="M957">iferror(XLOOKUP(A957,'Download of SFDC Activation Rep'!B:B,'Download of SFDC Activation Rep'!Z:Z)+150,"")</f>
        <v/>
      </c>
      <c r="N957" s="24" t="str">
        <f t="array" ref="N957">iferror(XLOOKUP(A957,'Download of SFDC Activation Rep'!B:B,'Download of SFDC Activation Rep'!Y:Y),"")</f>
        <v/>
      </c>
    </row>
    <row r="958">
      <c r="B958" s="14"/>
      <c r="C958" s="14"/>
      <c r="D958" s="14"/>
      <c r="E958" s="15"/>
      <c r="F958" s="14"/>
      <c r="G958" s="13" t="str">
        <f t="array" ref="G958">iferror(XLOOKUP(A958,'Download of SFDC Activation Rep'!B:B,'Download of SFDC Activation Rep'!H:H),"")</f>
        <v/>
      </c>
      <c r="H958" s="13" t="str">
        <f t="array" ref="H958">iferror(xlookup(A958,'Download of SFDC Activation Rep'!B:B,'Download of SFDC Activation Rep'!L:L),"")</f>
        <v/>
      </c>
      <c r="I958" s="17" t="str">
        <f t="shared" si="1"/>
        <v>Not Active</v>
      </c>
      <c r="J958" s="17" t="str">
        <f t="array" ref="J958">iferror(XLOOKUP(A958,'Download of SFDC Activation Rep'!B:B,'Download of SFDC Activation Rep'!X:X),"")</f>
        <v/>
      </c>
      <c r="K958" s="17" t="str">
        <f t="array" ref="K958">iferror(XLOOKUP(A958,'Download of SFDC Activation Rep'!B:B,'Download of SFDC Activation Rep'!C:C),"")</f>
        <v/>
      </c>
      <c r="L958" s="18" t="str">
        <f t="array" ref="L958">iferror(XLOOKUP(A958,'Download of SFDC Activation Rep'!B:B,'Download of SFDC Activation Rep'!S:S),"")</f>
        <v/>
      </c>
      <c r="M958" s="24" t="str">
        <f t="array" ref="M958">iferror(XLOOKUP(A958,'Download of SFDC Activation Rep'!B:B,'Download of SFDC Activation Rep'!Z:Z)+150,"")</f>
        <v/>
      </c>
      <c r="N958" s="24" t="str">
        <f t="array" ref="N958">iferror(XLOOKUP(A958,'Download of SFDC Activation Rep'!B:B,'Download of SFDC Activation Rep'!Y:Y),"")</f>
        <v/>
      </c>
    </row>
    <row r="959">
      <c r="B959" s="14"/>
      <c r="C959" s="14"/>
      <c r="D959" s="14"/>
      <c r="E959" s="15"/>
      <c r="F959" s="14"/>
      <c r="G959" s="13" t="str">
        <f t="array" ref="G959">iferror(XLOOKUP(A959,'Download of SFDC Activation Rep'!B:B,'Download of SFDC Activation Rep'!H:H),"")</f>
        <v/>
      </c>
      <c r="H959" s="13" t="str">
        <f t="array" ref="H959">iferror(xlookup(A959,'Download of SFDC Activation Rep'!B:B,'Download of SFDC Activation Rep'!L:L),"")</f>
        <v/>
      </c>
      <c r="I959" s="17" t="str">
        <f t="shared" si="1"/>
        <v>Not Active</v>
      </c>
      <c r="J959" s="17" t="str">
        <f t="array" ref="J959">iferror(XLOOKUP(A959,'Download of SFDC Activation Rep'!B:B,'Download of SFDC Activation Rep'!X:X),"")</f>
        <v/>
      </c>
      <c r="K959" s="17" t="str">
        <f t="array" ref="K959">iferror(XLOOKUP(A959,'Download of SFDC Activation Rep'!B:B,'Download of SFDC Activation Rep'!C:C),"")</f>
        <v/>
      </c>
      <c r="L959" s="18" t="str">
        <f t="array" ref="L959">iferror(XLOOKUP(A959,'Download of SFDC Activation Rep'!B:B,'Download of SFDC Activation Rep'!S:S),"")</f>
        <v/>
      </c>
      <c r="M959" s="24" t="str">
        <f t="array" ref="M959">iferror(XLOOKUP(A959,'Download of SFDC Activation Rep'!B:B,'Download of SFDC Activation Rep'!Z:Z)+150,"")</f>
        <v/>
      </c>
      <c r="N959" s="24" t="str">
        <f t="array" ref="N959">iferror(XLOOKUP(A959,'Download of SFDC Activation Rep'!B:B,'Download of SFDC Activation Rep'!Y:Y),"")</f>
        <v/>
      </c>
    </row>
    <row r="960">
      <c r="B960" s="14"/>
      <c r="C960" s="14"/>
      <c r="D960" s="14"/>
      <c r="E960" s="15"/>
      <c r="F960" s="14"/>
      <c r="G960" s="13" t="str">
        <f t="array" ref="G960">iferror(XLOOKUP(A960,'Download of SFDC Activation Rep'!B:B,'Download of SFDC Activation Rep'!H:H),"")</f>
        <v/>
      </c>
      <c r="H960" s="13" t="str">
        <f t="array" ref="H960">iferror(xlookup(A960,'Download of SFDC Activation Rep'!B:B,'Download of SFDC Activation Rep'!L:L),"")</f>
        <v/>
      </c>
      <c r="I960" s="17" t="str">
        <f t="shared" si="1"/>
        <v>Not Active</v>
      </c>
      <c r="J960" s="17" t="str">
        <f t="array" ref="J960">iferror(XLOOKUP(A960,'Download of SFDC Activation Rep'!B:B,'Download of SFDC Activation Rep'!X:X),"")</f>
        <v/>
      </c>
      <c r="K960" s="17" t="str">
        <f t="array" ref="K960">iferror(XLOOKUP(A960,'Download of SFDC Activation Rep'!B:B,'Download of SFDC Activation Rep'!C:C),"")</f>
        <v/>
      </c>
      <c r="L960" s="18" t="str">
        <f t="array" ref="L960">iferror(XLOOKUP(A960,'Download of SFDC Activation Rep'!B:B,'Download of SFDC Activation Rep'!S:S),"")</f>
        <v/>
      </c>
      <c r="M960" s="24" t="str">
        <f t="array" ref="M960">iferror(XLOOKUP(A960,'Download of SFDC Activation Rep'!B:B,'Download of SFDC Activation Rep'!Z:Z)+150,"")</f>
        <v/>
      </c>
      <c r="N960" s="24" t="str">
        <f t="array" ref="N960">iferror(XLOOKUP(A960,'Download of SFDC Activation Rep'!B:B,'Download of SFDC Activation Rep'!Y:Y),"")</f>
        <v/>
      </c>
    </row>
    <row r="961">
      <c r="B961" s="14"/>
      <c r="C961" s="14"/>
      <c r="D961" s="14"/>
      <c r="E961" s="15"/>
      <c r="F961" s="14"/>
      <c r="G961" s="13" t="str">
        <f t="array" ref="G961">iferror(XLOOKUP(A961,'Download of SFDC Activation Rep'!B:B,'Download of SFDC Activation Rep'!H:H),"")</f>
        <v/>
      </c>
      <c r="H961" s="13" t="str">
        <f t="array" ref="H961">iferror(xlookup(A961,'Download of SFDC Activation Rep'!B:B,'Download of SFDC Activation Rep'!L:L),"")</f>
        <v/>
      </c>
      <c r="I961" s="17" t="str">
        <f t="shared" si="1"/>
        <v>Not Active</v>
      </c>
      <c r="J961" s="17" t="str">
        <f t="array" ref="J961">iferror(XLOOKUP(A961,'Download of SFDC Activation Rep'!B:B,'Download of SFDC Activation Rep'!X:X),"")</f>
        <v/>
      </c>
      <c r="K961" s="17" t="str">
        <f t="array" ref="K961">iferror(XLOOKUP(A961,'Download of SFDC Activation Rep'!B:B,'Download of SFDC Activation Rep'!C:C),"")</f>
        <v/>
      </c>
      <c r="L961" s="18" t="str">
        <f t="array" ref="L961">iferror(XLOOKUP(A961,'Download of SFDC Activation Rep'!B:B,'Download of SFDC Activation Rep'!S:S),"")</f>
        <v/>
      </c>
      <c r="M961" s="24" t="str">
        <f t="array" ref="M961">iferror(XLOOKUP(A961,'Download of SFDC Activation Rep'!B:B,'Download of SFDC Activation Rep'!Z:Z)+150,"")</f>
        <v/>
      </c>
      <c r="N961" s="24" t="str">
        <f t="array" ref="N961">iferror(XLOOKUP(A961,'Download of SFDC Activation Rep'!B:B,'Download of SFDC Activation Rep'!Y:Y),"")</f>
        <v/>
      </c>
    </row>
    <row r="962">
      <c r="B962" s="14"/>
      <c r="C962" s="14"/>
      <c r="D962" s="14"/>
      <c r="E962" s="15"/>
      <c r="F962" s="14"/>
      <c r="G962" s="13" t="str">
        <f t="array" ref="G962">iferror(XLOOKUP(A962,'Download of SFDC Activation Rep'!B:B,'Download of SFDC Activation Rep'!H:H),"")</f>
        <v/>
      </c>
      <c r="H962" s="13" t="str">
        <f t="array" ref="H962">iferror(xlookup(A962,'Download of SFDC Activation Rep'!B:B,'Download of SFDC Activation Rep'!L:L),"")</f>
        <v/>
      </c>
      <c r="I962" s="17" t="str">
        <f t="shared" si="1"/>
        <v>Not Active</v>
      </c>
      <c r="J962" s="17" t="str">
        <f t="array" ref="J962">iferror(XLOOKUP(A962,'Download of SFDC Activation Rep'!B:B,'Download of SFDC Activation Rep'!X:X),"")</f>
        <v/>
      </c>
      <c r="K962" s="17" t="str">
        <f t="array" ref="K962">iferror(XLOOKUP(A962,'Download of SFDC Activation Rep'!B:B,'Download of SFDC Activation Rep'!C:C),"")</f>
        <v/>
      </c>
      <c r="L962" s="18" t="str">
        <f t="array" ref="L962">iferror(XLOOKUP(A962,'Download of SFDC Activation Rep'!B:B,'Download of SFDC Activation Rep'!S:S),"")</f>
        <v/>
      </c>
      <c r="M962" s="24" t="str">
        <f t="array" ref="M962">iferror(XLOOKUP(A962,'Download of SFDC Activation Rep'!B:B,'Download of SFDC Activation Rep'!Z:Z)+150,"")</f>
        <v/>
      </c>
      <c r="N962" s="24" t="str">
        <f t="array" ref="N962">iferror(XLOOKUP(A962,'Download of SFDC Activation Rep'!B:B,'Download of SFDC Activation Rep'!Y:Y),"")</f>
        <v/>
      </c>
    </row>
    <row r="963">
      <c r="B963" s="14"/>
      <c r="C963" s="14"/>
      <c r="D963" s="14"/>
      <c r="E963" s="15"/>
      <c r="F963" s="14"/>
      <c r="G963" s="13" t="str">
        <f t="array" ref="G963">iferror(XLOOKUP(A963,'Download of SFDC Activation Rep'!B:B,'Download of SFDC Activation Rep'!H:H),"")</f>
        <v/>
      </c>
      <c r="H963" s="13" t="str">
        <f t="array" ref="H963">iferror(xlookup(A963,'Download of SFDC Activation Rep'!B:B,'Download of SFDC Activation Rep'!L:L),"")</f>
        <v/>
      </c>
      <c r="I963" s="17" t="str">
        <f t="shared" si="1"/>
        <v>Not Active</v>
      </c>
      <c r="J963" s="17" t="str">
        <f t="array" ref="J963">iferror(XLOOKUP(A963,'Download of SFDC Activation Rep'!B:B,'Download of SFDC Activation Rep'!X:X),"")</f>
        <v/>
      </c>
      <c r="K963" s="17" t="str">
        <f t="array" ref="K963">iferror(XLOOKUP(A963,'Download of SFDC Activation Rep'!B:B,'Download of SFDC Activation Rep'!C:C),"")</f>
        <v/>
      </c>
      <c r="L963" s="18" t="str">
        <f t="array" ref="L963">iferror(XLOOKUP(A963,'Download of SFDC Activation Rep'!B:B,'Download of SFDC Activation Rep'!S:S),"")</f>
        <v/>
      </c>
      <c r="M963" s="24" t="str">
        <f t="array" ref="M963">iferror(XLOOKUP(A963,'Download of SFDC Activation Rep'!B:B,'Download of SFDC Activation Rep'!Z:Z)+150,"")</f>
        <v/>
      </c>
      <c r="N963" s="24" t="str">
        <f t="array" ref="N963">iferror(XLOOKUP(A963,'Download of SFDC Activation Rep'!B:B,'Download of SFDC Activation Rep'!Y:Y),"")</f>
        <v/>
      </c>
    </row>
    <row r="964">
      <c r="B964" s="14"/>
      <c r="C964" s="14"/>
      <c r="D964" s="14"/>
      <c r="E964" s="15"/>
      <c r="F964" s="14"/>
      <c r="G964" s="13" t="str">
        <f t="array" ref="G964">iferror(XLOOKUP(A964,'Download of SFDC Activation Rep'!B:B,'Download of SFDC Activation Rep'!H:H),"")</f>
        <v/>
      </c>
      <c r="H964" s="13" t="str">
        <f t="array" ref="H964">iferror(xlookup(A964,'Download of SFDC Activation Rep'!B:B,'Download of SFDC Activation Rep'!L:L),"")</f>
        <v/>
      </c>
      <c r="I964" s="17" t="str">
        <f t="shared" si="1"/>
        <v>Not Active</v>
      </c>
      <c r="J964" s="17" t="str">
        <f t="array" ref="J964">iferror(XLOOKUP(A964,'Download of SFDC Activation Rep'!B:B,'Download of SFDC Activation Rep'!X:X),"")</f>
        <v/>
      </c>
      <c r="K964" s="17" t="str">
        <f t="array" ref="K964">iferror(XLOOKUP(A964,'Download of SFDC Activation Rep'!B:B,'Download of SFDC Activation Rep'!C:C),"")</f>
        <v/>
      </c>
      <c r="L964" s="18" t="str">
        <f t="array" ref="L964">iferror(XLOOKUP(A964,'Download of SFDC Activation Rep'!B:B,'Download of SFDC Activation Rep'!S:S),"")</f>
        <v/>
      </c>
      <c r="M964" s="24" t="str">
        <f t="array" ref="M964">iferror(XLOOKUP(A964,'Download of SFDC Activation Rep'!B:B,'Download of SFDC Activation Rep'!Z:Z)+150,"")</f>
        <v/>
      </c>
      <c r="N964" s="24" t="str">
        <f t="array" ref="N964">iferror(XLOOKUP(A964,'Download of SFDC Activation Rep'!B:B,'Download of SFDC Activation Rep'!Y:Y),"")</f>
        <v/>
      </c>
    </row>
    <row r="965">
      <c r="B965" s="14"/>
      <c r="C965" s="14"/>
      <c r="D965" s="14"/>
      <c r="E965" s="15"/>
      <c r="F965" s="14"/>
      <c r="G965" s="13" t="str">
        <f t="array" ref="G965">iferror(XLOOKUP(A965,'Download of SFDC Activation Rep'!B:B,'Download of SFDC Activation Rep'!H:H),"")</f>
        <v/>
      </c>
      <c r="H965" s="13" t="str">
        <f t="array" ref="H965">iferror(xlookup(A965,'Download of SFDC Activation Rep'!B:B,'Download of SFDC Activation Rep'!L:L),"")</f>
        <v/>
      </c>
      <c r="I965" s="17" t="str">
        <f t="shared" si="1"/>
        <v>Not Active</v>
      </c>
      <c r="J965" s="17" t="str">
        <f t="array" ref="J965">iferror(XLOOKUP(A965,'Download of SFDC Activation Rep'!B:B,'Download of SFDC Activation Rep'!X:X),"")</f>
        <v/>
      </c>
      <c r="K965" s="17" t="str">
        <f t="array" ref="K965">iferror(XLOOKUP(A965,'Download of SFDC Activation Rep'!B:B,'Download of SFDC Activation Rep'!C:C),"")</f>
        <v/>
      </c>
      <c r="L965" s="18" t="str">
        <f t="array" ref="L965">iferror(XLOOKUP(A965,'Download of SFDC Activation Rep'!B:B,'Download of SFDC Activation Rep'!S:S),"")</f>
        <v/>
      </c>
      <c r="M965" s="24" t="str">
        <f t="array" ref="M965">iferror(XLOOKUP(A965,'Download of SFDC Activation Rep'!B:B,'Download of SFDC Activation Rep'!Z:Z)+150,"")</f>
        <v/>
      </c>
      <c r="N965" s="24" t="str">
        <f t="array" ref="N965">iferror(XLOOKUP(A965,'Download of SFDC Activation Rep'!B:B,'Download of SFDC Activation Rep'!Y:Y),"")</f>
        <v/>
      </c>
    </row>
    <row r="966">
      <c r="B966" s="14"/>
      <c r="C966" s="14"/>
      <c r="D966" s="14"/>
      <c r="E966" s="15"/>
      <c r="F966" s="14"/>
      <c r="G966" s="13" t="str">
        <f t="array" ref="G966">iferror(XLOOKUP(A966,'Download of SFDC Activation Rep'!B:B,'Download of SFDC Activation Rep'!H:H),"")</f>
        <v/>
      </c>
      <c r="H966" s="13" t="str">
        <f t="array" ref="H966">iferror(xlookup(A966,'Download of SFDC Activation Rep'!B:B,'Download of SFDC Activation Rep'!L:L),"")</f>
        <v/>
      </c>
      <c r="I966" s="17" t="str">
        <f t="shared" si="1"/>
        <v>Not Active</v>
      </c>
      <c r="J966" s="17" t="str">
        <f t="array" ref="J966">iferror(XLOOKUP(A966,'Download of SFDC Activation Rep'!B:B,'Download of SFDC Activation Rep'!X:X),"")</f>
        <v/>
      </c>
      <c r="K966" s="17" t="str">
        <f t="array" ref="K966">iferror(XLOOKUP(A966,'Download of SFDC Activation Rep'!B:B,'Download of SFDC Activation Rep'!C:C),"")</f>
        <v/>
      </c>
      <c r="L966" s="18" t="str">
        <f t="array" ref="L966">iferror(XLOOKUP(A966,'Download of SFDC Activation Rep'!B:B,'Download of SFDC Activation Rep'!S:S),"")</f>
        <v/>
      </c>
      <c r="M966" s="24" t="str">
        <f t="array" ref="M966">iferror(XLOOKUP(A966,'Download of SFDC Activation Rep'!B:B,'Download of SFDC Activation Rep'!Z:Z)+150,"")</f>
        <v/>
      </c>
      <c r="N966" s="24" t="str">
        <f t="array" ref="N966">iferror(XLOOKUP(A966,'Download of SFDC Activation Rep'!B:B,'Download of SFDC Activation Rep'!Y:Y),"")</f>
        <v/>
      </c>
    </row>
    <row r="967">
      <c r="B967" s="14"/>
      <c r="C967" s="14"/>
      <c r="D967" s="14"/>
      <c r="E967" s="15"/>
      <c r="F967" s="14"/>
      <c r="G967" s="13" t="str">
        <f t="array" ref="G967">iferror(XLOOKUP(A967,'Download of SFDC Activation Rep'!B:B,'Download of SFDC Activation Rep'!H:H),"")</f>
        <v/>
      </c>
      <c r="H967" s="13" t="str">
        <f t="array" ref="H967">iferror(xlookup(A967,'Download of SFDC Activation Rep'!B:B,'Download of SFDC Activation Rep'!L:L),"")</f>
        <v/>
      </c>
      <c r="I967" s="17" t="str">
        <f t="shared" si="1"/>
        <v>Not Active</v>
      </c>
      <c r="J967" s="17" t="str">
        <f t="array" ref="J967">iferror(XLOOKUP(A967,'Download of SFDC Activation Rep'!B:B,'Download of SFDC Activation Rep'!X:X),"")</f>
        <v/>
      </c>
      <c r="K967" s="17" t="str">
        <f t="array" ref="K967">iferror(XLOOKUP(A967,'Download of SFDC Activation Rep'!B:B,'Download of SFDC Activation Rep'!C:C),"")</f>
        <v/>
      </c>
      <c r="L967" s="18" t="str">
        <f t="array" ref="L967">iferror(XLOOKUP(A967,'Download of SFDC Activation Rep'!B:B,'Download of SFDC Activation Rep'!S:S),"")</f>
        <v/>
      </c>
      <c r="M967" s="24" t="str">
        <f t="array" ref="M967">iferror(XLOOKUP(A967,'Download of SFDC Activation Rep'!B:B,'Download of SFDC Activation Rep'!Z:Z)+150,"")</f>
        <v/>
      </c>
      <c r="N967" s="24" t="str">
        <f t="array" ref="N967">iferror(XLOOKUP(A967,'Download of SFDC Activation Rep'!B:B,'Download of SFDC Activation Rep'!Y:Y),"")</f>
        <v/>
      </c>
    </row>
    <row r="968">
      <c r="B968" s="14"/>
      <c r="C968" s="14"/>
      <c r="D968" s="14"/>
      <c r="E968" s="15"/>
      <c r="F968" s="14"/>
      <c r="G968" s="13" t="str">
        <f t="array" ref="G968">iferror(XLOOKUP(A968,'Download of SFDC Activation Rep'!B:B,'Download of SFDC Activation Rep'!H:H),"")</f>
        <v/>
      </c>
      <c r="H968" s="13" t="str">
        <f t="array" ref="H968">iferror(xlookup(A968,'Download of SFDC Activation Rep'!B:B,'Download of SFDC Activation Rep'!L:L),"")</f>
        <v/>
      </c>
      <c r="I968" s="17" t="str">
        <f t="shared" si="1"/>
        <v>Not Active</v>
      </c>
      <c r="J968" s="17" t="str">
        <f t="array" ref="J968">iferror(XLOOKUP(A968,'Download of SFDC Activation Rep'!B:B,'Download of SFDC Activation Rep'!X:X),"")</f>
        <v/>
      </c>
      <c r="K968" s="17" t="str">
        <f t="array" ref="K968">iferror(XLOOKUP(A968,'Download of SFDC Activation Rep'!B:B,'Download of SFDC Activation Rep'!C:C),"")</f>
        <v/>
      </c>
      <c r="L968" s="18" t="str">
        <f t="array" ref="L968">iferror(XLOOKUP(A968,'Download of SFDC Activation Rep'!B:B,'Download of SFDC Activation Rep'!S:S),"")</f>
        <v/>
      </c>
      <c r="M968" s="24" t="str">
        <f t="array" ref="M968">iferror(XLOOKUP(A968,'Download of SFDC Activation Rep'!B:B,'Download of SFDC Activation Rep'!Z:Z)+150,"")</f>
        <v/>
      </c>
      <c r="N968" s="24" t="str">
        <f t="array" ref="N968">iferror(XLOOKUP(A968,'Download of SFDC Activation Rep'!B:B,'Download of SFDC Activation Rep'!Y:Y),"")</f>
        <v/>
      </c>
    </row>
    <row r="969">
      <c r="B969" s="14"/>
      <c r="C969" s="14"/>
      <c r="D969" s="14"/>
      <c r="E969" s="15"/>
      <c r="F969" s="14"/>
      <c r="G969" s="13" t="str">
        <f t="array" ref="G969">iferror(XLOOKUP(A969,'Download of SFDC Activation Rep'!B:B,'Download of SFDC Activation Rep'!H:H),"")</f>
        <v/>
      </c>
      <c r="H969" s="13" t="str">
        <f t="array" ref="H969">iferror(xlookup(A969,'Download of SFDC Activation Rep'!B:B,'Download of SFDC Activation Rep'!L:L),"")</f>
        <v/>
      </c>
      <c r="I969" s="17" t="str">
        <f t="shared" si="1"/>
        <v>Not Active</v>
      </c>
      <c r="J969" s="17" t="str">
        <f t="array" ref="J969">iferror(XLOOKUP(A969,'Download of SFDC Activation Rep'!B:B,'Download of SFDC Activation Rep'!X:X),"")</f>
        <v/>
      </c>
      <c r="K969" s="17" t="str">
        <f t="array" ref="K969">iferror(XLOOKUP(A969,'Download of SFDC Activation Rep'!B:B,'Download of SFDC Activation Rep'!C:C),"")</f>
        <v/>
      </c>
      <c r="L969" s="18" t="str">
        <f t="array" ref="L969">iferror(XLOOKUP(A969,'Download of SFDC Activation Rep'!B:B,'Download of SFDC Activation Rep'!S:S),"")</f>
        <v/>
      </c>
      <c r="M969" s="24" t="str">
        <f t="array" ref="M969">iferror(XLOOKUP(A969,'Download of SFDC Activation Rep'!B:B,'Download of SFDC Activation Rep'!Z:Z)+150,"")</f>
        <v/>
      </c>
      <c r="N969" s="24" t="str">
        <f t="array" ref="N969">iferror(XLOOKUP(A969,'Download of SFDC Activation Rep'!B:B,'Download of SFDC Activation Rep'!Y:Y),"")</f>
        <v/>
      </c>
    </row>
    <row r="970">
      <c r="B970" s="14"/>
      <c r="C970" s="14"/>
      <c r="D970" s="14"/>
      <c r="E970" s="15"/>
      <c r="F970" s="14"/>
      <c r="G970" s="13" t="str">
        <f t="array" ref="G970">iferror(XLOOKUP(A970,'Download of SFDC Activation Rep'!B:B,'Download of SFDC Activation Rep'!H:H),"")</f>
        <v/>
      </c>
      <c r="H970" s="13" t="str">
        <f t="array" ref="H970">iferror(xlookup(A970,'Download of SFDC Activation Rep'!B:B,'Download of SFDC Activation Rep'!L:L),"")</f>
        <v/>
      </c>
      <c r="I970" s="17" t="str">
        <f t="shared" si="1"/>
        <v>Not Active</v>
      </c>
      <c r="J970" s="17" t="str">
        <f t="array" ref="J970">iferror(XLOOKUP(A970,'Download of SFDC Activation Rep'!B:B,'Download of SFDC Activation Rep'!X:X),"")</f>
        <v/>
      </c>
      <c r="K970" s="17" t="str">
        <f t="array" ref="K970">iferror(XLOOKUP(A970,'Download of SFDC Activation Rep'!B:B,'Download of SFDC Activation Rep'!C:C),"")</f>
        <v/>
      </c>
      <c r="L970" s="18" t="str">
        <f t="array" ref="L970">iferror(XLOOKUP(A970,'Download of SFDC Activation Rep'!B:B,'Download of SFDC Activation Rep'!S:S),"")</f>
        <v/>
      </c>
      <c r="M970" s="24" t="str">
        <f t="array" ref="M970">iferror(XLOOKUP(A970,'Download of SFDC Activation Rep'!B:B,'Download of SFDC Activation Rep'!Z:Z)+150,"")</f>
        <v/>
      </c>
      <c r="N970" s="24" t="str">
        <f t="array" ref="N970">iferror(XLOOKUP(A970,'Download of SFDC Activation Rep'!B:B,'Download of SFDC Activation Rep'!Y:Y),"")</f>
        <v/>
      </c>
    </row>
    <row r="971">
      <c r="B971" s="14"/>
      <c r="C971" s="14"/>
      <c r="D971" s="14"/>
      <c r="E971" s="15"/>
      <c r="F971" s="14"/>
      <c r="G971" s="13" t="str">
        <f t="array" ref="G971">iferror(XLOOKUP(A971,'Download of SFDC Activation Rep'!B:B,'Download of SFDC Activation Rep'!H:H),"")</f>
        <v/>
      </c>
      <c r="H971" s="13" t="str">
        <f t="array" ref="H971">iferror(xlookup(A971,'Download of SFDC Activation Rep'!B:B,'Download of SFDC Activation Rep'!L:L),"")</f>
        <v/>
      </c>
      <c r="I971" s="17" t="str">
        <f t="shared" si="1"/>
        <v>Not Active</v>
      </c>
      <c r="J971" s="17" t="str">
        <f t="array" ref="J971">iferror(XLOOKUP(A971,'Download of SFDC Activation Rep'!B:B,'Download of SFDC Activation Rep'!X:X),"")</f>
        <v/>
      </c>
      <c r="K971" s="17" t="str">
        <f t="array" ref="K971">iferror(XLOOKUP(A971,'Download of SFDC Activation Rep'!B:B,'Download of SFDC Activation Rep'!C:C),"")</f>
        <v/>
      </c>
      <c r="L971" s="18" t="str">
        <f t="array" ref="L971">iferror(XLOOKUP(A971,'Download of SFDC Activation Rep'!B:B,'Download of SFDC Activation Rep'!S:S),"")</f>
        <v/>
      </c>
      <c r="M971" s="24" t="str">
        <f t="array" ref="M971">iferror(XLOOKUP(A971,'Download of SFDC Activation Rep'!B:B,'Download of SFDC Activation Rep'!Z:Z)+150,"")</f>
        <v/>
      </c>
      <c r="N971" s="24" t="str">
        <f t="array" ref="N971">iferror(XLOOKUP(A971,'Download of SFDC Activation Rep'!B:B,'Download of SFDC Activation Rep'!Y:Y),"")</f>
        <v/>
      </c>
    </row>
    <row r="972">
      <c r="B972" s="14"/>
      <c r="C972" s="14"/>
      <c r="D972" s="14"/>
      <c r="E972" s="15"/>
      <c r="F972" s="14"/>
      <c r="G972" s="13" t="str">
        <f t="array" ref="G972">iferror(XLOOKUP(A972,'Download of SFDC Activation Rep'!B:B,'Download of SFDC Activation Rep'!H:H),"")</f>
        <v/>
      </c>
      <c r="H972" s="13" t="str">
        <f t="array" ref="H972">iferror(xlookup(A972,'Download of SFDC Activation Rep'!B:B,'Download of SFDC Activation Rep'!L:L),"")</f>
        <v/>
      </c>
      <c r="I972" s="17" t="str">
        <f t="shared" si="1"/>
        <v>Not Active</v>
      </c>
      <c r="J972" s="17" t="str">
        <f t="array" ref="J972">iferror(XLOOKUP(A972,'Download of SFDC Activation Rep'!B:B,'Download of SFDC Activation Rep'!X:X),"")</f>
        <v/>
      </c>
      <c r="K972" s="17" t="str">
        <f t="array" ref="K972">iferror(XLOOKUP(A972,'Download of SFDC Activation Rep'!B:B,'Download of SFDC Activation Rep'!C:C),"")</f>
        <v/>
      </c>
      <c r="L972" s="18" t="str">
        <f t="array" ref="L972">iferror(XLOOKUP(A972,'Download of SFDC Activation Rep'!B:B,'Download of SFDC Activation Rep'!S:S),"")</f>
        <v/>
      </c>
      <c r="M972" s="24" t="str">
        <f t="array" ref="M972">iferror(XLOOKUP(A972,'Download of SFDC Activation Rep'!B:B,'Download of SFDC Activation Rep'!Z:Z)+150,"")</f>
        <v/>
      </c>
      <c r="N972" s="24" t="str">
        <f t="array" ref="N972">iferror(XLOOKUP(A972,'Download of SFDC Activation Rep'!B:B,'Download of SFDC Activation Rep'!Y:Y),"")</f>
        <v/>
      </c>
    </row>
    <row r="973">
      <c r="B973" s="14"/>
      <c r="C973" s="14"/>
      <c r="D973" s="14"/>
      <c r="E973" s="15"/>
      <c r="F973" s="14"/>
      <c r="G973" s="13" t="str">
        <f t="array" ref="G973">iferror(XLOOKUP(A973,'Download of SFDC Activation Rep'!B:B,'Download of SFDC Activation Rep'!H:H),"")</f>
        <v/>
      </c>
      <c r="H973" s="13" t="str">
        <f t="array" ref="H973">iferror(xlookup(A973,'Download of SFDC Activation Rep'!B:B,'Download of SFDC Activation Rep'!L:L),"")</f>
        <v/>
      </c>
      <c r="I973" s="17" t="str">
        <f t="shared" si="1"/>
        <v>Not Active</v>
      </c>
      <c r="J973" s="17" t="str">
        <f t="array" ref="J973">iferror(XLOOKUP(A973,'Download of SFDC Activation Rep'!B:B,'Download of SFDC Activation Rep'!X:X),"")</f>
        <v/>
      </c>
      <c r="K973" s="17" t="str">
        <f t="array" ref="K973">iferror(XLOOKUP(A973,'Download of SFDC Activation Rep'!B:B,'Download of SFDC Activation Rep'!C:C),"")</f>
        <v/>
      </c>
      <c r="L973" s="18" t="str">
        <f t="array" ref="L973">iferror(XLOOKUP(A973,'Download of SFDC Activation Rep'!B:B,'Download of SFDC Activation Rep'!S:S),"")</f>
        <v/>
      </c>
      <c r="M973" s="24" t="str">
        <f t="array" ref="M973">iferror(XLOOKUP(A973,'Download of SFDC Activation Rep'!B:B,'Download of SFDC Activation Rep'!Z:Z)+150,"")</f>
        <v/>
      </c>
      <c r="N973" s="24" t="str">
        <f t="array" ref="N973">iferror(XLOOKUP(A973,'Download of SFDC Activation Rep'!B:B,'Download of SFDC Activation Rep'!Y:Y),"")</f>
        <v/>
      </c>
    </row>
    <row r="974">
      <c r="B974" s="14"/>
      <c r="C974" s="14"/>
      <c r="D974" s="14"/>
      <c r="E974" s="15"/>
      <c r="F974" s="14"/>
      <c r="G974" s="13" t="str">
        <f t="array" ref="G974">iferror(XLOOKUP(A974,'Download of SFDC Activation Rep'!B:B,'Download of SFDC Activation Rep'!H:H),"")</f>
        <v/>
      </c>
      <c r="H974" s="13" t="str">
        <f t="array" ref="H974">iferror(xlookup(A974,'Download of SFDC Activation Rep'!B:B,'Download of SFDC Activation Rep'!L:L),"")</f>
        <v/>
      </c>
      <c r="I974" s="17" t="str">
        <f t="shared" si="1"/>
        <v>Not Active</v>
      </c>
      <c r="J974" s="17" t="str">
        <f t="array" ref="J974">iferror(XLOOKUP(A974,'Download of SFDC Activation Rep'!B:B,'Download of SFDC Activation Rep'!X:X),"")</f>
        <v/>
      </c>
      <c r="K974" s="17" t="str">
        <f t="array" ref="K974">iferror(XLOOKUP(A974,'Download of SFDC Activation Rep'!B:B,'Download of SFDC Activation Rep'!C:C),"")</f>
        <v/>
      </c>
      <c r="L974" s="18" t="str">
        <f t="array" ref="L974">iferror(XLOOKUP(A974,'Download of SFDC Activation Rep'!B:B,'Download of SFDC Activation Rep'!S:S),"")</f>
        <v/>
      </c>
      <c r="M974" s="24" t="str">
        <f t="array" ref="M974">iferror(XLOOKUP(A974,'Download of SFDC Activation Rep'!B:B,'Download of SFDC Activation Rep'!Z:Z)+150,"")</f>
        <v/>
      </c>
      <c r="N974" s="24" t="str">
        <f t="array" ref="N974">iferror(XLOOKUP(A974,'Download of SFDC Activation Rep'!B:B,'Download of SFDC Activation Rep'!Y:Y),"")</f>
        <v/>
      </c>
    </row>
    <row r="975">
      <c r="B975" s="14"/>
      <c r="C975" s="14"/>
      <c r="D975" s="14"/>
      <c r="E975" s="15"/>
      <c r="F975" s="14"/>
      <c r="G975" s="13" t="str">
        <f t="array" ref="G975">iferror(XLOOKUP(A975,'Download of SFDC Activation Rep'!B:B,'Download of SFDC Activation Rep'!H:H),"")</f>
        <v/>
      </c>
      <c r="H975" s="13" t="str">
        <f t="array" ref="H975">iferror(xlookup(A975,'Download of SFDC Activation Rep'!B:B,'Download of SFDC Activation Rep'!L:L),"")</f>
        <v/>
      </c>
      <c r="I975" s="17" t="str">
        <f t="shared" si="1"/>
        <v>Not Active</v>
      </c>
      <c r="J975" s="17" t="str">
        <f t="array" ref="J975">iferror(XLOOKUP(A975,'Download of SFDC Activation Rep'!B:B,'Download of SFDC Activation Rep'!X:X),"")</f>
        <v/>
      </c>
      <c r="K975" s="17" t="str">
        <f t="array" ref="K975">iferror(XLOOKUP(A975,'Download of SFDC Activation Rep'!B:B,'Download of SFDC Activation Rep'!C:C),"")</f>
        <v/>
      </c>
      <c r="L975" s="18" t="str">
        <f t="array" ref="L975">iferror(XLOOKUP(A975,'Download of SFDC Activation Rep'!B:B,'Download of SFDC Activation Rep'!S:S),"")</f>
        <v/>
      </c>
      <c r="M975" s="24" t="str">
        <f t="array" ref="M975">iferror(XLOOKUP(A975,'Download of SFDC Activation Rep'!B:B,'Download of SFDC Activation Rep'!Z:Z)+150,"")</f>
        <v/>
      </c>
      <c r="N975" s="24" t="str">
        <f t="array" ref="N975">iferror(XLOOKUP(A975,'Download of SFDC Activation Rep'!B:B,'Download of SFDC Activation Rep'!Y:Y),"")</f>
        <v/>
      </c>
    </row>
    <row r="976">
      <c r="B976" s="14"/>
      <c r="C976" s="14"/>
      <c r="D976" s="14"/>
      <c r="E976" s="15"/>
      <c r="F976" s="14"/>
      <c r="G976" s="13" t="str">
        <f t="array" ref="G976">iferror(XLOOKUP(A976,'Download of SFDC Activation Rep'!B:B,'Download of SFDC Activation Rep'!H:H),"")</f>
        <v/>
      </c>
      <c r="H976" s="13" t="str">
        <f t="array" ref="H976">iferror(xlookup(A976,'Download of SFDC Activation Rep'!B:B,'Download of SFDC Activation Rep'!L:L),"")</f>
        <v/>
      </c>
      <c r="I976" s="17" t="str">
        <f t="shared" si="1"/>
        <v>Not Active</v>
      </c>
      <c r="J976" s="17" t="str">
        <f t="array" ref="J976">iferror(XLOOKUP(A976,'Download of SFDC Activation Rep'!B:B,'Download of SFDC Activation Rep'!X:X),"")</f>
        <v/>
      </c>
      <c r="K976" s="17" t="str">
        <f t="array" ref="K976">iferror(XLOOKUP(A976,'Download of SFDC Activation Rep'!B:B,'Download of SFDC Activation Rep'!C:C),"")</f>
        <v/>
      </c>
      <c r="L976" s="18" t="str">
        <f t="array" ref="L976">iferror(XLOOKUP(A976,'Download of SFDC Activation Rep'!B:B,'Download of SFDC Activation Rep'!S:S),"")</f>
        <v/>
      </c>
      <c r="M976" s="24" t="str">
        <f t="array" ref="M976">iferror(XLOOKUP(A976,'Download of SFDC Activation Rep'!B:B,'Download of SFDC Activation Rep'!Z:Z)+150,"")</f>
        <v/>
      </c>
      <c r="N976" s="24" t="str">
        <f t="array" ref="N976">iferror(XLOOKUP(A976,'Download of SFDC Activation Rep'!B:B,'Download of SFDC Activation Rep'!Y:Y),"")</f>
        <v/>
      </c>
    </row>
    <row r="977">
      <c r="B977" s="14"/>
      <c r="C977" s="14"/>
      <c r="D977" s="14"/>
      <c r="E977" s="15"/>
      <c r="F977" s="14"/>
      <c r="G977" s="13" t="str">
        <f t="array" ref="G977">iferror(XLOOKUP(A977,'Download of SFDC Activation Rep'!B:B,'Download of SFDC Activation Rep'!H:H),"")</f>
        <v/>
      </c>
      <c r="H977" s="13" t="str">
        <f t="array" ref="H977">iferror(xlookup(A977,'Download of SFDC Activation Rep'!B:B,'Download of SFDC Activation Rep'!L:L),"")</f>
        <v/>
      </c>
      <c r="I977" s="17" t="str">
        <f t="shared" si="1"/>
        <v>Not Active</v>
      </c>
      <c r="J977" s="17" t="str">
        <f t="array" ref="J977">iferror(XLOOKUP(A977,'Download of SFDC Activation Rep'!B:B,'Download of SFDC Activation Rep'!X:X),"")</f>
        <v/>
      </c>
      <c r="K977" s="17" t="str">
        <f t="array" ref="K977">iferror(XLOOKUP(A977,'Download of SFDC Activation Rep'!B:B,'Download of SFDC Activation Rep'!C:C),"")</f>
        <v/>
      </c>
      <c r="L977" s="18" t="str">
        <f t="array" ref="L977">iferror(XLOOKUP(A977,'Download of SFDC Activation Rep'!B:B,'Download of SFDC Activation Rep'!S:S),"")</f>
        <v/>
      </c>
      <c r="M977" s="24" t="str">
        <f t="array" ref="M977">iferror(XLOOKUP(A977,'Download of SFDC Activation Rep'!B:B,'Download of SFDC Activation Rep'!Z:Z)+150,"")</f>
        <v/>
      </c>
      <c r="N977" s="24" t="str">
        <f t="array" ref="N977">iferror(XLOOKUP(A977,'Download of SFDC Activation Rep'!B:B,'Download of SFDC Activation Rep'!Y:Y),"")</f>
        <v/>
      </c>
    </row>
    <row r="978">
      <c r="B978" s="14"/>
      <c r="C978" s="14"/>
      <c r="D978" s="14"/>
      <c r="E978" s="15"/>
      <c r="F978" s="14"/>
      <c r="G978" s="13" t="str">
        <f t="array" ref="G978">iferror(XLOOKUP(A978,'Download of SFDC Activation Rep'!B:B,'Download of SFDC Activation Rep'!H:H),"")</f>
        <v/>
      </c>
      <c r="H978" s="13" t="str">
        <f t="array" ref="H978">iferror(xlookup(A978,'Download of SFDC Activation Rep'!B:B,'Download of SFDC Activation Rep'!L:L),"")</f>
        <v/>
      </c>
      <c r="I978" s="17" t="str">
        <f t="shared" si="1"/>
        <v>Not Active</v>
      </c>
      <c r="J978" s="17" t="str">
        <f t="array" ref="J978">iferror(XLOOKUP(A978,'Download of SFDC Activation Rep'!B:B,'Download of SFDC Activation Rep'!X:X),"")</f>
        <v/>
      </c>
      <c r="K978" s="17" t="str">
        <f t="array" ref="K978">iferror(XLOOKUP(A978,'Download of SFDC Activation Rep'!B:B,'Download of SFDC Activation Rep'!C:C),"")</f>
        <v/>
      </c>
      <c r="L978" s="18" t="str">
        <f t="array" ref="L978">iferror(XLOOKUP(A978,'Download of SFDC Activation Rep'!B:B,'Download of SFDC Activation Rep'!S:S),"")</f>
        <v/>
      </c>
      <c r="M978" s="24" t="str">
        <f t="array" ref="M978">iferror(XLOOKUP(A978,'Download of SFDC Activation Rep'!B:B,'Download of SFDC Activation Rep'!Z:Z)+150,"")</f>
        <v/>
      </c>
      <c r="N978" s="24" t="str">
        <f t="array" ref="N978">iferror(XLOOKUP(A978,'Download of SFDC Activation Rep'!B:B,'Download of SFDC Activation Rep'!Y:Y),"")</f>
        <v/>
      </c>
    </row>
    <row r="979">
      <c r="B979" s="14"/>
      <c r="C979" s="14"/>
      <c r="D979" s="14"/>
      <c r="E979" s="15"/>
      <c r="F979" s="14"/>
      <c r="G979" s="13" t="str">
        <f t="array" ref="G979">iferror(XLOOKUP(A979,'Download of SFDC Activation Rep'!B:B,'Download of SFDC Activation Rep'!H:H),"")</f>
        <v/>
      </c>
      <c r="H979" s="13" t="str">
        <f t="array" ref="H979">iferror(xlookup(A979,'Download of SFDC Activation Rep'!B:B,'Download of SFDC Activation Rep'!L:L),"")</f>
        <v/>
      </c>
      <c r="I979" s="17" t="str">
        <f t="shared" si="1"/>
        <v>Not Active</v>
      </c>
      <c r="J979" s="17" t="str">
        <f t="array" ref="J979">iferror(XLOOKUP(A979,'Download of SFDC Activation Rep'!B:B,'Download of SFDC Activation Rep'!X:X),"")</f>
        <v/>
      </c>
      <c r="K979" s="17" t="str">
        <f t="array" ref="K979">iferror(XLOOKUP(A979,'Download of SFDC Activation Rep'!B:B,'Download of SFDC Activation Rep'!C:C),"")</f>
        <v/>
      </c>
      <c r="L979" s="18" t="str">
        <f t="array" ref="L979">iferror(XLOOKUP(A979,'Download of SFDC Activation Rep'!B:B,'Download of SFDC Activation Rep'!S:S),"")</f>
        <v/>
      </c>
      <c r="M979" s="24" t="str">
        <f t="array" ref="M979">iferror(XLOOKUP(A979,'Download of SFDC Activation Rep'!B:B,'Download of SFDC Activation Rep'!Z:Z)+150,"")</f>
        <v/>
      </c>
      <c r="N979" s="24" t="str">
        <f t="array" ref="N979">iferror(XLOOKUP(A979,'Download of SFDC Activation Rep'!B:B,'Download of SFDC Activation Rep'!Y:Y),"")</f>
        <v/>
      </c>
    </row>
    <row r="980">
      <c r="B980" s="14"/>
      <c r="C980" s="14"/>
      <c r="D980" s="14"/>
      <c r="E980" s="15"/>
      <c r="F980" s="14"/>
      <c r="G980" s="13" t="str">
        <f t="array" ref="G980">iferror(XLOOKUP(A980,'Download of SFDC Activation Rep'!B:B,'Download of SFDC Activation Rep'!H:H),"")</f>
        <v/>
      </c>
      <c r="H980" s="13" t="str">
        <f t="array" ref="H980">iferror(xlookup(A980,'Download of SFDC Activation Rep'!B:B,'Download of SFDC Activation Rep'!L:L),"")</f>
        <v/>
      </c>
      <c r="I980" s="17" t="str">
        <f t="shared" si="1"/>
        <v>Not Active</v>
      </c>
      <c r="J980" s="17" t="str">
        <f t="array" ref="J980">iferror(XLOOKUP(A980,'Download of SFDC Activation Rep'!B:B,'Download of SFDC Activation Rep'!X:X),"")</f>
        <v/>
      </c>
      <c r="K980" s="17" t="str">
        <f t="array" ref="K980">iferror(XLOOKUP(A980,'Download of SFDC Activation Rep'!B:B,'Download of SFDC Activation Rep'!C:C),"")</f>
        <v/>
      </c>
      <c r="L980" s="18" t="str">
        <f t="array" ref="L980">iferror(XLOOKUP(A980,'Download of SFDC Activation Rep'!B:B,'Download of SFDC Activation Rep'!S:S),"")</f>
        <v/>
      </c>
      <c r="M980" s="24" t="str">
        <f t="array" ref="M980">iferror(XLOOKUP(A980,'Download of SFDC Activation Rep'!B:B,'Download of SFDC Activation Rep'!Z:Z)+150,"")</f>
        <v/>
      </c>
      <c r="N980" s="24" t="str">
        <f t="array" ref="N980">iferror(XLOOKUP(A980,'Download of SFDC Activation Rep'!B:B,'Download of SFDC Activation Rep'!Y:Y),"")</f>
        <v/>
      </c>
    </row>
    <row r="981">
      <c r="B981" s="14"/>
      <c r="C981" s="14"/>
      <c r="D981" s="14"/>
      <c r="E981" s="15"/>
      <c r="F981" s="14"/>
      <c r="G981" s="13" t="str">
        <f t="array" ref="G981">iferror(XLOOKUP(A981,'Download of SFDC Activation Rep'!B:B,'Download of SFDC Activation Rep'!H:H),"")</f>
        <v/>
      </c>
      <c r="H981" s="13" t="str">
        <f t="array" ref="H981">iferror(xlookup(A981,'Download of SFDC Activation Rep'!B:B,'Download of SFDC Activation Rep'!L:L),"")</f>
        <v/>
      </c>
      <c r="I981" s="17" t="str">
        <f t="shared" si="1"/>
        <v>Not Active</v>
      </c>
      <c r="J981" s="17" t="str">
        <f t="array" ref="J981">iferror(XLOOKUP(A981,'Download of SFDC Activation Rep'!B:B,'Download of SFDC Activation Rep'!X:X),"")</f>
        <v/>
      </c>
      <c r="K981" s="17" t="str">
        <f t="array" ref="K981">iferror(XLOOKUP(A981,'Download of SFDC Activation Rep'!B:B,'Download of SFDC Activation Rep'!C:C),"")</f>
        <v/>
      </c>
      <c r="L981" s="18" t="str">
        <f t="array" ref="L981">iferror(XLOOKUP(A981,'Download of SFDC Activation Rep'!B:B,'Download of SFDC Activation Rep'!S:S),"")</f>
        <v/>
      </c>
      <c r="M981" s="24" t="str">
        <f t="array" ref="M981">iferror(XLOOKUP(A981,'Download of SFDC Activation Rep'!B:B,'Download of SFDC Activation Rep'!Z:Z)+150,"")</f>
        <v/>
      </c>
      <c r="N981" s="24" t="str">
        <f t="array" ref="N981">iferror(XLOOKUP(A981,'Download of SFDC Activation Rep'!B:B,'Download of SFDC Activation Rep'!Y:Y),"")</f>
        <v/>
      </c>
    </row>
    <row r="982">
      <c r="B982" s="14"/>
      <c r="C982" s="14"/>
      <c r="D982" s="14"/>
      <c r="E982" s="15"/>
      <c r="F982" s="14"/>
      <c r="G982" s="13" t="str">
        <f t="array" ref="G982">iferror(XLOOKUP(A982,'Download of SFDC Activation Rep'!B:B,'Download of SFDC Activation Rep'!H:H),"")</f>
        <v/>
      </c>
      <c r="H982" s="13" t="str">
        <f t="array" ref="H982">iferror(xlookup(A982,'Download of SFDC Activation Rep'!B:B,'Download of SFDC Activation Rep'!L:L),"")</f>
        <v/>
      </c>
      <c r="I982" s="17" t="str">
        <f t="shared" si="1"/>
        <v>Not Active</v>
      </c>
      <c r="J982" s="17" t="str">
        <f t="array" ref="J982">iferror(XLOOKUP(A982,'Download of SFDC Activation Rep'!B:B,'Download of SFDC Activation Rep'!X:X),"")</f>
        <v/>
      </c>
      <c r="K982" s="17" t="str">
        <f t="array" ref="K982">iferror(XLOOKUP(A982,'Download of SFDC Activation Rep'!B:B,'Download of SFDC Activation Rep'!C:C),"")</f>
        <v/>
      </c>
      <c r="L982" s="18" t="str">
        <f t="array" ref="L982">iferror(XLOOKUP(A982,'Download of SFDC Activation Rep'!B:B,'Download of SFDC Activation Rep'!S:S),"")</f>
        <v/>
      </c>
      <c r="M982" s="24" t="str">
        <f t="array" ref="M982">iferror(XLOOKUP(A982,'Download of SFDC Activation Rep'!B:B,'Download of SFDC Activation Rep'!Z:Z)+150,"")</f>
        <v/>
      </c>
      <c r="N982" s="24" t="str">
        <f t="array" ref="N982">iferror(XLOOKUP(A982,'Download of SFDC Activation Rep'!B:B,'Download of SFDC Activation Rep'!Y:Y),"")</f>
        <v/>
      </c>
    </row>
    <row r="983">
      <c r="B983" s="14"/>
      <c r="C983" s="14"/>
      <c r="D983" s="14"/>
      <c r="E983" s="15"/>
      <c r="F983" s="14"/>
      <c r="G983" s="13" t="str">
        <f t="array" ref="G983">iferror(XLOOKUP(A983,'Download of SFDC Activation Rep'!B:B,'Download of SFDC Activation Rep'!H:H),"")</f>
        <v/>
      </c>
      <c r="H983" s="13" t="str">
        <f t="array" ref="H983">iferror(xlookup(A983,'Download of SFDC Activation Rep'!B:B,'Download of SFDC Activation Rep'!L:L),"")</f>
        <v/>
      </c>
      <c r="I983" s="17" t="str">
        <f t="shared" si="1"/>
        <v>Not Active</v>
      </c>
      <c r="J983" s="17" t="str">
        <f t="array" ref="J983">iferror(XLOOKUP(A983,'Download of SFDC Activation Rep'!B:B,'Download of SFDC Activation Rep'!X:X),"")</f>
        <v/>
      </c>
      <c r="K983" s="17" t="str">
        <f t="array" ref="K983">iferror(XLOOKUP(A983,'Download of SFDC Activation Rep'!B:B,'Download of SFDC Activation Rep'!C:C),"")</f>
        <v/>
      </c>
      <c r="L983" s="18" t="str">
        <f t="array" ref="L983">iferror(XLOOKUP(A983,'Download of SFDC Activation Rep'!B:B,'Download of SFDC Activation Rep'!S:S),"")</f>
        <v/>
      </c>
      <c r="M983" s="24" t="str">
        <f t="array" ref="M983">iferror(XLOOKUP(A983,'Download of SFDC Activation Rep'!B:B,'Download of SFDC Activation Rep'!Z:Z)+150,"")</f>
        <v/>
      </c>
      <c r="N983" s="24" t="str">
        <f t="array" ref="N983">iferror(XLOOKUP(A983,'Download of SFDC Activation Rep'!B:B,'Download of SFDC Activation Rep'!Y:Y),"")</f>
        <v/>
      </c>
    </row>
    <row r="984">
      <c r="B984" s="14"/>
      <c r="C984" s="14"/>
      <c r="D984" s="14"/>
      <c r="E984" s="15"/>
      <c r="F984" s="14"/>
      <c r="G984" s="13" t="str">
        <f t="array" ref="G984">iferror(XLOOKUP(A984,'Download of SFDC Activation Rep'!B:B,'Download of SFDC Activation Rep'!H:H),"")</f>
        <v/>
      </c>
      <c r="H984" s="13" t="str">
        <f t="array" ref="H984">iferror(xlookup(A984,'Download of SFDC Activation Rep'!B:B,'Download of SFDC Activation Rep'!L:L),"")</f>
        <v/>
      </c>
      <c r="I984" s="17" t="str">
        <f t="shared" si="1"/>
        <v>Not Active</v>
      </c>
      <c r="J984" s="17" t="str">
        <f t="array" ref="J984">iferror(XLOOKUP(A984,'Download of SFDC Activation Rep'!B:B,'Download of SFDC Activation Rep'!X:X),"")</f>
        <v/>
      </c>
      <c r="K984" s="17" t="str">
        <f t="array" ref="K984">iferror(XLOOKUP(A984,'Download of SFDC Activation Rep'!B:B,'Download of SFDC Activation Rep'!C:C),"")</f>
        <v/>
      </c>
      <c r="L984" s="18" t="str">
        <f t="array" ref="L984">iferror(XLOOKUP(A984,'Download of SFDC Activation Rep'!B:B,'Download of SFDC Activation Rep'!S:S),"")</f>
        <v/>
      </c>
      <c r="M984" s="24" t="str">
        <f t="array" ref="M984">iferror(XLOOKUP(A984,'Download of SFDC Activation Rep'!B:B,'Download of SFDC Activation Rep'!Z:Z)+150,"")</f>
        <v/>
      </c>
      <c r="N984" s="24" t="str">
        <f t="array" ref="N984">iferror(XLOOKUP(A984,'Download of SFDC Activation Rep'!B:B,'Download of SFDC Activation Rep'!Y:Y),"")</f>
        <v/>
      </c>
    </row>
    <row r="985">
      <c r="B985" s="14"/>
      <c r="C985" s="14"/>
      <c r="D985" s="14"/>
      <c r="E985" s="15"/>
      <c r="F985" s="14"/>
      <c r="G985" s="13" t="str">
        <f t="array" ref="G985">iferror(XLOOKUP(A985,'Download of SFDC Activation Rep'!B:B,'Download of SFDC Activation Rep'!H:H),"")</f>
        <v/>
      </c>
      <c r="H985" s="13" t="str">
        <f t="array" ref="H985">iferror(xlookup(A985,'Download of SFDC Activation Rep'!B:B,'Download of SFDC Activation Rep'!L:L),"")</f>
        <v/>
      </c>
      <c r="I985" s="17" t="str">
        <f t="shared" si="1"/>
        <v>Not Active</v>
      </c>
      <c r="J985" s="17" t="str">
        <f t="array" ref="J985">iferror(XLOOKUP(A985,'Download of SFDC Activation Rep'!B:B,'Download of SFDC Activation Rep'!X:X),"")</f>
        <v/>
      </c>
      <c r="K985" s="17" t="str">
        <f t="array" ref="K985">iferror(XLOOKUP(A985,'Download of SFDC Activation Rep'!B:B,'Download of SFDC Activation Rep'!C:C),"")</f>
        <v/>
      </c>
      <c r="L985" s="18" t="str">
        <f t="array" ref="L985">iferror(XLOOKUP(A985,'Download of SFDC Activation Rep'!B:B,'Download of SFDC Activation Rep'!S:S),"")</f>
        <v/>
      </c>
      <c r="M985" s="24" t="str">
        <f t="array" ref="M985">iferror(XLOOKUP(A985,'Download of SFDC Activation Rep'!B:B,'Download of SFDC Activation Rep'!Z:Z)+150,"")</f>
        <v/>
      </c>
      <c r="N985" s="24" t="str">
        <f t="array" ref="N985">iferror(XLOOKUP(A985,'Download of SFDC Activation Rep'!B:B,'Download of SFDC Activation Rep'!Y:Y),"")</f>
        <v/>
      </c>
    </row>
    <row r="986">
      <c r="B986" s="14"/>
      <c r="C986" s="14"/>
      <c r="D986" s="14"/>
      <c r="E986" s="15"/>
      <c r="F986" s="14"/>
      <c r="G986" s="13" t="str">
        <f t="array" ref="G986">iferror(XLOOKUP(A986,'Download of SFDC Activation Rep'!B:B,'Download of SFDC Activation Rep'!H:H),"")</f>
        <v/>
      </c>
      <c r="H986" s="13" t="str">
        <f t="array" ref="H986">iferror(xlookup(A986,'Download of SFDC Activation Rep'!B:B,'Download of SFDC Activation Rep'!L:L),"")</f>
        <v/>
      </c>
      <c r="I986" s="17" t="str">
        <f t="shared" si="1"/>
        <v>Not Active</v>
      </c>
      <c r="J986" s="17" t="str">
        <f t="array" ref="J986">iferror(XLOOKUP(A986,'Download of SFDC Activation Rep'!B:B,'Download of SFDC Activation Rep'!X:X),"")</f>
        <v/>
      </c>
      <c r="K986" s="17" t="str">
        <f t="array" ref="K986">iferror(XLOOKUP(A986,'Download of SFDC Activation Rep'!B:B,'Download of SFDC Activation Rep'!C:C),"")</f>
        <v/>
      </c>
      <c r="L986" s="18" t="str">
        <f t="array" ref="L986">iferror(XLOOKUP(A986,'Download of SFDC Activation Rep'!B:B,'Download of SFDC Activation Rep'!S:S),"")</f>
        <v/>
      </c>
      <c r="M986" s="24" t="str">
        <f t="array" ref="M986">iferror(XLOOKUP(A986,'Download of SFDC Activation Rep'!B:B,'Download of SFDC Activation Rep'!Z:Z)+150,"")</f>
        <v/>
      </c>
      <c r="N986" s="24" t="str">
        <f t="array" ref="N986">iferror(XLOOKUP(A986,'Download of SFDC Activation Rep'!B:B,'Download of SFDC Activation Rep'!Y:Y),"")</f>
        <v/>
      </c>
    </row>
    <row r="987">
      <c r="B987" s="14"/>
      <c r="C987" s="14"/>
      <c r="D987" s="14"/>
      <c r="E987" s="15"/>
      <c r="F987" s="14"/>
      <c r="G987" s="13" t="str">
        <f t="array" ref="G987">iferror(XLOOKUP(A987,'Download of SFDC Activation Rep'!B:B,'Download of SFDC Activation Rep'!H:H),"")</f>
        <v/>
      </c>
      <c r="H987" s="13" t="str">
        <f t="array" ref="H987">iferror(xlookup(A987,'Download of SFDC Activation Rep'!B:B,'Download of SFDC Activation Rep'!L:L),"")</f>
        <v/>
      </c>
      <c r="I987" s="17" t="str">
        <f t="shared" si="1"/>
        <v>Not Active</v>
      </c>
      <c r="J987" s="17" t="str">
        <f t="array" ref="J987">iferror(XLOOKUP(A987,'Download of SFDC Activation Rep'!B:B,'Download of SFDC Activation Rep'!X:X),"")</f>
        <v/>
      </c>
      <c r="K987" s="17" t="str">
        <f t="array" ref="K987">iferror(XLOOKUP(A987,'Download of SFDC Activation Rep'!B:B,'Download of SFDC Activation Rep'!C:C),"")</f>
        <v/>
      </c>
      <c r="L987" s="18" t="str">
        <f t="array" ref="L987">iferror(XLOOKUP(A987,'Download of SFDC Activation Rep'!B:B,'Download of SFDC Activation Rep'!S:S),"")</f>
        <v/>
      </c>
      <c r="M987" s="24" t="str">
        <f t="array" ref="M987">iferror(XLOOKUP(A987,'Download of SFDC Activation Rep'!B:B,'Download of SFDC Activation Rep'!Z:Z)+150,"")</f>
        <v/>
      </c>
      <c r="N987" s="24" t="str">
        <f t="array" ref="N987">iferror(XLOOKUP(A987,'Download of SFDC Activation Rep'!B:B,'Download of SFDC Activation Rep'!Y:Y),"")</f>
        <v/>
      </c>
    </row>
    <row r="988">
      <c r="B988" s="14"/>
      <c r="C988" s="14"/>
      <c r="D988" s="14"/>
      <c r="E988" s="15"/>
      <c r="F988" s="14"/>
      <c r="G988" s="13" t="str">
        <f t="array" ref="G988">iferror(XLOOKUP(A988,'Download of SFDC Activation Rep'!B:B,'Download of SFDC Activation Rep'!H:H),"")</f>
        <v/>
      </c>
      <c r="H988" s="13" t="str">
        <f t="array" ref="H988">iferror(xlookup(A988,'Download of SFDC Activation Rep'!B:B,'Download of SFDC Activation Rep'!L:L),"")</f>
        <v/>
      </c>
      <c r="I988" s="17" t="str">
        <f t="shared" si="1"/>
        <v>Not Active</v>
      </c>
      <c r="J988" s="17" t="str">
        <f t="array" ref="J988">iferror(XLOOKUP(A988,'Download of SFDC Activation Rep'!B:B,'Download of SFDC Activation Rep'!X:X),"")</f>
        <v/>
      </c>
      <c r="K988" s="17" t="str">
        <f t="array" ref="K988">iferror(XLOOKUP(A988,'Download of SFDC Activation Rep'!B:B,'Download of SFDC Activation Rep'!C:C),"")</f>
        <v/>
      </c>
      <c r="L988" s="18" t="str">
        <f t="array" ref="L988">iferror(XLOOKUP(A988,'Download of SFDC Activation Rep'!B:B,'Download of SFDC Activation Rep'!S:S),"")</f>
        <v/>
      </c>
      <c r="M988" s="24" t="str">
        <f t="array" ref="M988">iferror(XLOOKUP(A988,'Download of SFDC Activation Rep'!B:B,'Download of SFDC Activation Rep'!Z:Z)+150,"")</f>
        <v/>
      </c>
      <c r="N988" s="24" t="str">
        <f t="array" ref="N988">iferror(XLOOKUP(A988,'Download of SFDC Activation Rep'!B:B,'Download of SFDC Activation Rep'!Y:Y),"")</f>
        <v/>
      </c>
    </row>
    <row r="989">
      <c r="B989" s="14"/>
      <c r="C989" s="14"/>
      <c r="D989" s="14"/>
      <c r="E989" s="15"/>
      <c r="F989" s="14"/>
      <c r="G989" s="13" t="str">
        <f t="array" ref="G989">iferror(XLOOKUP(A989,'Download of SFDC Activation Rep'!B:B,'Download of SFDC Activation Rep'!H:H),"")</f>
        <v/>
      </c>
      <c r="H989" s="13" t="str">
        <f t="array" ref="H989">iferror(xlookup(A989,'Download of SFDC Activation Rep'!B:B,'Download of SFDC Activation Rep'!L:L),"")</f>
        <v/>
      </c>
      <c r="I989" s="17" t="str">
        <f t="shared" si="1"/>
        <v>Not Active</v>
      </c>
      <c r="J989" s="17" t="str">
        <f t="array" ref="J989">iferror(XLOOKUP(A989,'Download of SFDC Activation Rep'!B:B,'Download of SFDC Activation Rep'!X:X),"")</f>
        <v/>
      </c>
      <c r="K989" s="17" t="str">
        <f t="array" ref="K989">iferror(XLOOKUP(A989,'Download of SFDC Activation Rep'!B:B,'Download of SFDC Activation Rep'!C:C),"")</f>
        <v/>
      </c>
      <c r="L989" s="18" t="str">
        <f t="array" ref="L989">iferror(XLOOKUP(A989,'Download of SFDC Activation Rep'!B:B,'Download of SFDC Activation Rep'!S:S),"")</f>
        <v/>
      </c>
      <c r="M989" s="24" t="str">
        <f t="array" ref="M989">iferror(XLOOKUP(A989,'Download of SFDC Activation Rep'!B:B,'Download of SFDC Activation Rep'!Z:Z)+150,"")</f>
        <v/>
      </c>
      <c r="N989" s="24" t="str">
        <f t="array" ref="N989">iferror(XLOOKUP(A989,'Download of SFDC Activation Rep'!B:B,'Download of SFDC Activation Rep'!Y:Y),"")</f>
        <v/>
      </c>
    </row>
    <row r="990">
      <c r="B990" s="14"/>
      <c r="C990" s="14"/>
      <c r="D990" s="14"/>
      <c r="E990" s="15"/>
      <c r="F990" s="14"/>
      <c r="G990" s="13" t="str">
        <f t="array" ref="G990">iferror(XLOOKUP(A990,'Download of SFDC Activation Rep'!B:B,'Download of SFDC Activation Rep'!H:H),"")</f>
        <v/>
      </c>
      <c r="H990" s="13" t="str">
        <f t="array" ref="H990">iferror(xlookup(A990,'Download of SFDC Activation Rep'!B:B,'Download of SFDC Activation Rep'!L:L),"")</f>
        <v/>
      </c>
      <c r="I990" s="17" t="str">
        <f t="shared" si="1"/>
        <v>Not Active</v>
      </c>
      <c r="J990" s="17" t="str">
        <f t="array" ref="J990">iferror(XLOOKUP(A990,'Download of SFDC Activation Rep'!B:B,'Download of SFDC Activation Rep'!X:X),"")</f>
        <v/>
      </c>
      <c r="K990" s="17" t="str">
        <f t="array" ref="K990">iferror(XLOOKUP(A990,'Download of SFDC Activation Rep'!B:B,'Download of SFDC Activation Rep'!C:C),"")</f>
        <v/>
      </c>
      <c r="L990" s="18" t="str">
        <f t="array" ref="L990">iferror(XLOOKUP(A990,'Download of SFDC Activation Rep'!B:B,'Download of SFDC Activation Rep'!S:S),"")</f>
        <v/>
      </c>
      <c r="M990" s="24" t="str">
        <f t="array" ref="M990">iferror(XLOOKUP(A990,'Download of SFDC Activation Rep'!B:B,'Download of SFDC Activation Rep'!Z:Z)+150,"")</f>
        <v/>
      </c>
      <c r="N990" s="24" t="str">
        <f t="array" ref="N990">iferror(XLOOKUP(A990,'Download of SFDC Activation Rep'!B:B,'Download of SFDC Activation Rep'!Y:Y),"")</f>
        <v/>
      </c>
    </row>
    <row r="991">
      <c r="B991" s="14"/>
      <c r="C991" s="14"/>
      <c r="D991" s="14"/>
      <c r="E991" s="15"/>
      <c r="F991" s="14"/>
      <c r="G991" s="13" t="str">
        <f t="array" ref="G991">iferror(XLOOKUP(A991,'Download of SFDC Activation Rep'!B:B,'Download of SFDC Activation Rep'!H:H),"")</f>
        <v/>
      </c>
      <c r="H991" s="13" t="str">
        <f t="array" ref="H991">iferror(xlookup(A991,'Download of SFDC Activation Rep'!B:B,'Download of SFDC Activation Rep'!L:L),"")</f>
        <v/>
      </c>
      <c r="I991" s="17" t="str">
        <f t="shared" si="1"/>
        <v>Not Active</v>
      </c>
      <c r="J991" s="17" t="str">
        <f t="array" ref="J991">iferror(XLOOKUP(A991,'Download of SFDC Activation Rep'!B:B,'Download of SFDC Activation Rep'!X:X),"")</f>
        <v/>
      </c>
      <c r="K991" s="17" t="str">
        <f t="array" ref="K991">iferror(XLOOKUP(A991,'Download of SFDC Activation Rep'!B:B,'Download of SFDC Activation Rep'!C:C),"")</f>
        <v/>
      </c>
      <c r="L991" s="18" t="str">
        <f t="array" ref="L991">iferror(XLOOKUP(A991,'Download of SFDC Activation Rep'!B:B,'Download of SFDC Activation Rep'!S:S),"")</f>
        <v/>
      </c>
      <c r="M991" s="24" t="str">
        <f t="array" ref="M991">iferror(XLOOKUP(A991,'Download of SFDC Activation Rep'!B:B,'Download of SFDC Activation Rep'!Z:Z)+150,"")</f>
        <v/>
      </c>
      <c r="N991" s="24" t="str">
        <f t="array" ref="N991">iferror(XLOOKUP(A991,'Download of SFDC Activation Rep'!B:B,'Download of SFDC Activation Rep'!Y:Y),"")</f>
        <v/>
      </c>
    </row>
    <row r="992">
      <c r="B992" s="14"/>
      <c r="C992" s="14"/>
      <c r="D992" s="14"/>
      <c r="E992" s="15"/>
      <c r="F992" s="14"/>
      <c r="G992" s="13" t="str">
        <f t="array" ref="G992">iferror(XLOOKUP(A992,'Download of SFDC Activation Rep'!B:B,'Download of SFDC Activation Rep'!H:H),"")</f>
        <v/>
      </c>
      <c r="H992" s="13" t="str">
        <f t="array" ref="H992">iferror(xlookup(A992,'Download of SFDC Activation Rep'!B:B,'Download of SFDC Activation Rep'!L:L),"")</f>
        <v/>
      </c>
      <c r="I992" s="17" t="str">
        <f t="shared" si="1"/>
        <v>Not Active</v>
      </c>
      <c r="J992" s="17" t="str">
        <f t="array" ref="J992">iferror(XLOOKUP(A992,'Download of SFDC Activation Rep'!B:B,'Download of SFDC Activation Rep'!X:X),"")</f>
        <v/>
      </c>
      <c r="K992" s="17" t="str">
        <f t="array" ref="K992">iferror(XLOOKUP(A992,'Download of SFDC Activation Rep'!B:B,'Download of SFDC Activation Rep'!C:C),"")</f>
        <v/>
      </c>
      <c r="L992" s="18" t="str">
        <f t="array" ref="L992">iferror(XLOOKUP(A992,'Download of SFDC Activation Rep'!B:B,'Download of SFDC Activation Rep'!S:S),"")</f>
        <v/>
      </c>
      <c r="M992" s="24" t="str">
        <f t="array" ref="M992">iferror(XLOOKUP(A992,'Download of SFDC Activation Rep'!B:B,'Download of SFDC Activation Rep'!Z:Z)+150,"")</f>
        <v/>
      </c>
      <c r="N992" s="24" t="str">
        <f t="array" ref="N992">iferror(XLOOKUP(A992,'Download of SFDC Activation Rep'!B:B,'Download of SFDC Activation Rep'!Y:Y),"")</f>
        <v/>
      </c>
    </row>
    <row r="993">
      <c r="B993" s="14"/>
      <c r="C993" s="14"/>
      <c r="D993" s="14"/>
      <c r="E993" s="15"/>
      <c r="F993" s="14"/>
      <c r="G993" s="13" t="str">
        <f t="array" ref="G993">iferror(XLOOKUP(A993,'Download of SFDC Activation Rep'!B:B,'Download of SFDC Activation Rep'!H:H),"")</f>
        <v/>
      </c>
      <c r="H993" s="13" t="str">
        <f t="array" ref="H993">iferror(xlookup(A993,'Download of SFDC Activation Rep'!B:B,'Download of SFDC Activation Rep'!L:L),"")</f>
        <v/>
      </c>
      <c r="I993" s="17" t="str">
        <f t="shared" si="1"/>
        <v>Not Active</v>
      </c>
      <c r="J993" s="17" t="str">
        <f t="array" ref="J993">iferror(XLOOKUP(A993,'Download of SFDC Activation Rep'!B:B,'Download of SFDC Activation Rep'!X:X),"")</f>
        <v/>
      </c>
      <c r="K993" s="17" t="str">
        <f t="array" ref="K993">iferror(XLOOKUP(A993,'Download of SFDC Activation Rep'!B:B,'Download of SFDC Activation Rep'!C:C),"")</f>
        <v/>
      </c>
      <c r="L993" s="18" t="str">
        <f t="array" ref="L993">iferror(XLOOKUP(A993,'Download of SFDC Activation Rep'!B:B,'Download of SFDC Activation Rep'!S:S),"")</f>
        <v/>
      </c>
      <c r="M993" s="24" t="str">
        <f t="array" ref="M993">iferror(XLOOKUP(A993,'Download of SFDC Activation Rep'!B:B,'Download of SFDC Activation Rep'!Z:Z)+150,"")</f>
        <v/>
      </c>
      <c r="N993" s="24" t="str">
        <f t="array" ref="N993">iferror(XLOOKUP(A993,'Download of SFDC Activation Rep'!B:B,'Download of SFDC Activation Rep'!Y:Y),"")</f>
        <v/>
      </c>
    </row>
    <row r="994">
      <c r="B994" s="14"/>
      <c r="C994" s="14"/>
      <c r="D994" s="14"/>
      <c r="E994" s="15"/>
      <c r="F994" s="14"/>
      <c r="G994" s="13" t="str">
        <f t="array" ref="G994">iferror(XLOOKUP(A994,'Download of SFDC Activation Rep'!B:B,'Download of SFDC Activation Rep'!H:H),"")</f>
        <v/>
      </c>
      <c r="H994" s="13" t="str">
        <f t="array" ref="H994">iferror(xlookup(A994,'Download of SFDC Activation Rep'!B:B,'Download of SFDC Activation Rep'!L:L),"")</f>
        <v/>
      </c>
      <c r="I994" s="17" t="str">
        <f t="shared" si="1"/>
        <v>Not Active</v>
      </c>
      <c r="J994" s="17" t="str">
        <f t="array" ref="J994">iferror(XLOOKUP(A994,'Download of SFDC Activation Rep'!B:B,'Download of SFDC Activation Rep'!X:X),"")</f>
        <v/>
      </c>
      <c r="K994" s="17" t="str">
        <f t="array" ref="K994">iferror(XLOOKUP(A994,'Download of SFDC Activation Rep'!B:B,'Download of SFDC Activation Rep'!C:C),"")</f>
        <v/>
      </c>
      <c r="L994" s="18" t="str">
        <f t="array" ref="L994">iferror(XLOOKUP(A994,'Download of SFDC Activation Rep'!B:B,'Download of SFDC Activation Rep'!S:S),"")</f>
        <v/>
      </c>
      <c r="M994" s="24" t="str">
        <f t="array" ref="M994">iferror(XLOOKUP(A994,'Download of SFDC Activation Rep'!B:B,'Download of SFDC Activation Rep'!Z:Z)+150,"")</f>
        <v/>
      </c>
      <c r="N994" s="24" t="str">
        <f t="array" ref="N994">iferror(XLOOKUP(A994,'Download of SFDC Activation Rep'!B:B,'Download of SFDC Activation Rep'!Y:Y),"")</f>
        <v/>
      </c>
    </row>
    <row r="995">
      <c r="B995" s="14"/>
      <c r="C995" s="14"/>
      <c r="D995" s="14"/>
      <c r="E995" s="15"/>
      <c r="F995" s="14"/>
      <c r="G995" s="13" t="str">
        <f t="array" ref="G995">iferror(XLOOKUP(A995,'Download of SFDC Activation Rep'!B:B,'Download of SFDC Activation Rep'!H:H),"")</f>
        <v/>
      </c>
      <c r="H995" s="13" t="str">
        <f t="array" ref="H995">iferror(xlookup(A995,'Download of SFDC Activation Rep'!B:B,'Download of SFDC Activation Rep'!L:L),"")</f>
        <v/>
      </c>
      <c r="I995" s="17" t="str">
        <f t="shared" si="1"/>
        <v>Not Active</v>
      </c>
      <c r="J995" s="17" t="str">
        <f t="array" ref="J995">iferror(XLOOKUP(A995,'Download of SFDC Activation Rep'!B:B,'Download of SFDC Activation Rep'!X:X),"")</f>
        <v/>
      </c>
      <c r="K995" s="17" t="str">
        <f t="array" ref="K995">iferror(XLOOKUP(A995,'Download of SFDC Activation Rep'!B:B,'Download of SFDC Activation Rep'!C:C),"")</f>
        <v/>
      </c>
      <c r="L995" s="18" t="str">
        <f t="array" ref="L995">iferror(XLOOKUP(A995,'Download of SFDC Activation Rep'!B:B,'Download of SFDC Activation Rep'!S:S),"")</f>
        <v/>
      </c>
      <c r="M995" s="24" t="str">
        <f t="array" ref="M995">iferror(XLOOKUP(A995,'Download of SFDC Activation Rep'!B:B,'Download of SFDC Activation Rep'!Z:Z)+150,"")</f>
        <v/>
      </c>
      <c r="N995" s="24" t="str">
        <f t="array" ref="N995">iferror(XLOOKUP(A995,'Download of SFDC Activation Rep'!B:B,'Download of SFDC Activation Rep'!Y:Y),"")</f>
        <v/>
      </c>
    </row>
    <row r="996">
      <c r="B996" s="14"/>
      <c r="C996" s="14"/>
      <c r="D996" s="14"/>
      <c r="E996" s="15"/>
      <c r="F996" s="14"/>
      <c r="G996" s="13" t="str">
        <f t="array" ref="G996">iferror(XLOOKUP(A996,'Download of SFDC Activation Rep'!B:B,'Download of SFDC Activation Rep'!H:H),"")</f>
        <v/>
      </c>
      <c r="H996" s="13" t="str">
        <f t="array" ref="H996">iferror(xlookup(A996,'Download of SFDC Activation Rep'!B:B,'Download of SFDC Activation Rep'!L:L),"")</f>
        <v/>
      </c>
      <c r="I996" s="17" t="str">
        <f t="shared" si="1"/>
        <v>Not Active</v>
      </c>
      <c r="J996" s="17" t="str">
        <f t="array" ref="J996">iferror(XLOOKUP(A996,'Download of SFDC Activation Rep'!B:B,'Download of SFDC Activation Rep'!X:X),"")</f>
        <v/>
      </c>
      <c r="K996" s="17" t="str">
        <f t="array" ref="K996">iferror(XLOOKUP(A996,'Download of SFDC Activation Rep'!B:B,'Download of SFDC Activation Rep'!C:C),"")</f>
        <v/>
      </c>
      <c r="L996" s="18" t="str">
        <f t="array" ref="L996">iferror(XLOOKUP(A996,'Download of SFDC Activation Rep'!B:B,'Download of SFDC Activation Rep'!S:S),"")</f>
        <v/>
      </c>
      <c r="M996" s="24" t="str">
        <f t="array" ref="M996">iferror(XLOOKUP(A996,'Download of SFDC Activation Rep'!B:B,'Download of SFDC Activation Rep'!Z:Z)+150,"")</f>
        <v/>
      </c>
      <c r="N996" s="24" t="str">
        <f t="array" ref="N996">iferror(XLOOKUP(A996,'Download of SFDC Activation Rep'!B:B,'Download of SFDC Activation Rep'!Y:Y),"")</f>
        <v/>
      </c>
    </row>
    <row r="997">
      <c r="B997" s="14"/>
      <c r="C997" s="14"/>
      <c r="D997" s="14"/>
      <c r="E997" s="15"/>
      <c r="F997" s="14"/>
      <c r="G997" s="13" t="str">
        <f t="array" ref="G997">iferror(XLOOKUP(A997,'Download of SFDC Activation Rep'!B:B,'Download of SFDC Activation Rep'!H:H),"")</f>
        <v/>
      </c>
      <c r="H997" s="13" t="str">
        <f t="array" ref="H997">iferror(xlookup(A997,'Download of SFDC Activation Rep'!B:B,'Download of SFDC Activation Rep'!L:L),"")</f>
        <v/>
      </c>
      <c r="I997" s="17" t="str">
        <f t="shared" si="1"/>
        <v>Not Active</v>
      </c>
      <c r="J997" s="17" t="str">
        <f t="array" ref="J997">iferror(XLOOKUP(A997,'Download of SFDC Activation Rep'!B:B,'Download of SFDC Activation Rep'!X:X),"")</f>
        <v/>
      </c>
      <c r="K997" s="17" t="str">
        <f t="array" ref="K997">iferror(XLOOKUP(A997,'Download of SFDC Activation Rep'!B:B,'Download of SFDC Activation Rep'!C:C),"")</f>
        <v/>
      </c>
      <c r="L997" s="18" t="str">
        <f t="array" ref="L997">iferror(XLOOKUP(A997,'Download of SFDC Activation Rep'!B:B,'Download of SFDC Activation Rep'!S:S),"")</f>
        <v/>
      </c>
      <c r="M997" s="24" t="str">
        <f t="array" ref="M997">iferror(XLOOKUP(A997,'Download of SFDC Activation Rep'!B:B,'Download of SFDC Activation Rep'!Z:Z)+150,"")</f>
        <v/>
      </c>
      <c r="N997" s="24" t="str">
        <f t="array" ref="N997">iferror(XLOOKUP(A997,'Download of SFDC Activation Rep'!B:B,'Download of SFDC Activation Rep'!Y:Y),"")</f>
        <v/>
      </c>
    </row>
    <row r="998">
      <c r="B998" s="14"/>
      <c r="C998" s="14"/>
      <c r="D998" s="14"/>
      <c r="E998" s="15"/>
      <c r="F998" s="14"/>
      <c r="G998" s="13" t="str">
        <f t="array" ref="G998">iferror(XLOOKUP(A998,'Download of SFDC Activation Rep'!B:B,'Download of SFDC Activation Rep'!H:H),"")</f>
        <v/>
      </c>
      <c r="H998" s="13" t="str">
        <f t="array" ref="H998">iferror(xlookup(A998,'Download of SFDC Activation Rep'!B:B,'Download of SFDC Activation Rep'!L:L),"")</f>
        <v/>
      </c>
      <c r="I998" s="17" t="str">
        <f t="shared" si="1"/>
        <v>Not Active</v>
      </c>
      <c r="J998" s="17" t="str">
        <f t="array" ref="J998">iferror(XLOOKUP(A998,'Download of SFDC Activation Rep'!B:B,'Download of SFDC Activation Rep'!X:X),"")</f>
        <v/>
      </c>
      <c r="K998" s="17" t="str">
        <f t="array" ref="K998">iferror(XLOOKUP(A998,'Download of SFDC Activation Rep'!B:B,'Download of SFDC Activation Rep'!C:C),"")</f>
        <v/>
      </c>
      <c r="L998" s="18" t="str">
        <f t="array" ref="L998">iferror(XLOOKUP(A998,'Download of SFDC Activation Rep'!B:B,'Download of SFDC Activation Rep'!S:S),"")</f>
        <v/>
      </c>
      <c r="M998" s="24" t="str">
        <f t="array" ref="M998">iferror(XLOOKUP(A998,'Download of SFDC Activation Rep'!B:B,'Download of SFDC Activation Rep'!Z:Z)+150,"")</f>
        <v/>
      </c>
      <c r="N998" s="24" t="str">
        <f t="array" ref="N998">iferror(XLOOKUP(A998,'Download of SFDC Activation Rep'!B:B,'Download of SFDC Activation Rep'!Y:Y),"")</f>
        <v/>
      </c>
    </row>
    <row r="999">
      <c r="B999" s="14"/>
      <c r="C999" s="14"/>
      <c r="D999" s="14"/>
      <c r="E999" s="15"/>
      <c r="F999" s="14"/>
      <c r="G999" s="13" t="str">
        <f t="array" ref="G999">iferror(XLOOKUP(A999,'Download of SFDC Activation Rep'!B:B,'Download of SFDC Activation Rep'!H:H),"")</f>
        <v/>
      </c>
      <c r="H999" s="13" t="str">
        <f t="array" ref="H999">iferror(xlookup(A999,'Download of SFDC Activation Rep'!B:B,'Download of SFDC Activation Rep'!L:L),"")</f>
        <v/>
      </c>
      <c r="I999" s="17" t="str">
        <f t="shared" si="1"/>
        <v>Not Active</v>
      </c>
      <c r="J999" s="17" t="str">
        <f t="array" ref="J999">iferror(XLOOKUP(A999,'Download of SFDC Activation Rep'!B:B,'Download of SFDC Activation Rep'!X:X),"")</f>
        <v/>
      </c>
      <c r="K999" s="17" t="str">
        <f t="array" ref="K999">iferror(XLOOKUP(A999,'Download of SFDC Activation Rep'!B:B,'Download of SFDC Activation Rep'!C:C),"")</f>
        <v/>
      </c>
      <c r="L999" s="18" t="str">
        <f t="array" ref="L999">iferror(XLOOKUP(A999,'Download of SFDC Activation Rep'!B:B,'Download of SFDC Activation Rep'!S:S),"")</f>
        <v/>
      </c>
      <c r="M999" s="24" t="str">
        <f t="array" ref="M999">iferror(XLOOKUP(A999,'Download of SFDC Activation Rep'!B:B,'Download of SFDC Activation Rep'!Z:Z)+150,"")</f>
        <v/>
      </c>
      <c r="N999" s="24" t="str">
        <f t="array" ref="N999">iferror(XLOOKUP(A999,'Download of SFDC Activation Rep'!B:B,'Download of SFDC Activation Rep'!Y:Y),"")</f>
        <v/>
      </c>
    </row>
    <row r="1000">
      <c r="B1000" s="14"/>
      <c r="C1000" s="14"/>
      <c r="D1000" s="14"/>
      <c r="E1000" s="15"/>
      <c r="F1000" s="14"/>
      <c r="G1000" s="13" t="str">
        <f t="array" ref="G1000">iferror(XLOOKUP(A1000,'Download of SFDC Activation Rep'!B:B,'Download of SFDC Activation Rep'!H:H),"")</f>
        <v/>
      </c>
      <c r="H1000" s="13" t="str">
        <f t="array" ref="H1000">iferror(xlookup(A1000,'Download of SFDC Activation Rep'!B:B,'Download of SFDC Activation Rep'!L:L),"")</f>
        <v/>
      </c>
      <c r="I1000" s="17" t="str">
        <f t="shared" si="1"/>
        <v>Not Active</v>
      </c>
      <c r="J1000" s="17" t="str">
        <f t="array" ref="J1000">iferror(XLOOKUP(A1000,'Download of SFDC Activation Rep'!B:B,'Download of SFDC Activation Rep'!X:X),"")</f>
        <v/>
      </c>
      <c r="K1000" s="17" t="str">
        <f t="array" ref="K1000">iferror(XLOOKUP(A1000,'Download of SFDC Activation Rep'!B:B,'Download of SFDC Activation Rep'!C:C),"")</f>
        <v/>
      </c>
      <c r="L1000" s="18" t="str">
        <f t="array" ref="L1000">iferror(XLOOKUP(A1000,'Download of SFDC Activation Rep'!B:B,'Download of SFDC Activation Rep'!S:S),"")</f>
        <v/>
      </c>
      <c r="M1000" s="24" t="str">
        <f t="array" ref="M1000">iferror(XLOOKUP(A1000,'Download of SFDC Activation Rep'!B:B,'Download of SFDC Activation Rep'!Z:Z)+150,"")</f>
        <v/>
      </c>
      <c r="N1000" s="24" t="str">
        <f t="array" ref="N1000">iferror(XLOOKUP(A1000,'Download of SFDC Activation Rep'!B:B,'Download of SFDC Activation Rep'!Y:Y),"")</f>
        <v/>
      </c>
    </row>
  </sheetData>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2" max="2" width="17.25"/>
    <col customWidth="1" min="5" max="5" width="26.63"/>
    <col customWidth="1" min="7" max="7" width="12.88"/>
    <col customWidth="1" min="8" max="9" width="11.63"/>
    <col customWidth="1" min="10" max="10" width="32.63"/>
    <col customWidth="1" min="11" max="11" width="18.13"/>
    <col customWidth="1" min="12" max="12" width="21.0"/>
    <col customWidth="1" min="13" max="13" width="25.5"/>
    <col customWidth="1" min="15" max="16" width="15.5"/>
  </cols>
  <sheetData>
    <row r="1">
      <c r="F1" s="17" t="s">
        <v>25</v>
      </c>
      <c r="G1" s="17" t="s">
        <v>26</v>
      </c>
      <c r="H1" s="17" t="s">
        <v>27</v>
      </c>
      <c r="I1" s="17" t="s">
        <v>47</v>
      </c>
      <c r="J1" s="17" t="s">
        <v>29</v>
      </c>
      <c r="K1" s="17" t="s">
        <v>48</v>
      </c>
      <c r="L1" s="32" t="s">
        <v>49</v>
      </c>
      <c r="M1" s="19" t="s">
        <v>33</v>
      </c>
      <c r="N1" s="20">
        <f>COUNTIF(A2:A1000,"&gt;=0")</f>
        <v>121</v>
      </c>
      <c r="P1" s="21" t="s">
        <v>34</v>
      </c>
      <c r="Q1" s="22">
        <v>46201.0</v>
      </c>
    </row>
    <row r="2">
      <c r="F2" s="13" t="str">
        <f t="array" ref="F2">iferror(XLOOKUP(A2,'Download of SFDC Activation Rep'!B:B,'Download of SFDC Activation Rep'!H:H),"")</f>
        <v>Active</v>
      </c>
      <c r="G2" s="13" t="str">
        <f t="array" ref="G2">iferror(xlookup(A2,'Download of SFDC Activation Rep'!B:B,'Download of SFDC Activation Rep'!L:L),"")</f>
        <v/>
      </c>
      <c r="H2" s="17" t="str">
        <f t="shared" ref="H2:H1000" si="1">IF(or(F2="Active",G2="Active"),"Active","Not Active")</f>
        <v>Active</v>
      </c>
      <c r="I2" s="17" t="str">
        <f t="array" ref="I2">XLOOKUP(A2,'Download of SFDC Activation Rep'!B:B,'Download of SFDC Activation Rep'!T:T)</f>
        <v>006VT00000sgdkK</v>
      </c>
      <c r="J2" s="17" t="str">
        <f t="array" ref="J2">iferror(XLOOKUP(A2,'Download of SFDC Activation Rep'!B:B,'Download of SFDC Activation Rep'!C:C),"")</f>
        <v>HTT Cardmax Company</v>
      </c>
      <c r="K2" s="17" t="str">
        <f t="array" ref="K2">XLOOKUP(A2,'Download of SFDC Activation Rep'!B:B,'Download of SFDC Activation Rep'!X:X)</f>
        <v>Arianna Modesti</v>
      </c>
      <c r="L2" s="33">
        <f t="array" ref="L2">xlookup(A2,'Download of SFDC Activation Rep'!B:B,'Download of SFDC Activation Rep'!Z:Z)</f>
        <v>46197</v>
      </c>
      <c r="M2" s="19" t="s">
        <v>36</v>
      </c>
      <c r="N2" s="20">
        <f>COUNTIF(H:H,"Active")</f>
        <v>121</v>
      </c>
      <c r="O2" s="14">
        <f>SUMIFS('Redash Pull of Activated Org GP'!J:J,'Redash Pull of Activated Org GP'!B:B,"2025-10-01",'Redash Pull of Activated Org GP'!C:C,"&lt;&gt;4054136")</f>
        <v>42</v>
      </c>
    </row>
    <row r="3">
      <c r="F3" s="13" t="str">
        <f t="array" ref="F3">iferror(XLOOKUP(A3,'Download of SFDC Activation Rep'!B:B,'Download of SFDC Activation Rep'!H:H),"")</f>
        <v>Active</v>
      </c>
      <c r="G3" s="13" t="str">
        <f t="array" ref="G3">iferror(xlookup(A3,'Download of SFDC Activation Rep'!B:B,'Download of SFDC Activation Rep'!L:L),"")</f>
        <v/>
      </c>
      <c r="H3" s="17" t="str">
        <f t="shared" si="1"/>
        <v>Active</v>
      </c>
      <c r="I3" s="17" t="str">
        <f t="array" ref="I3">XLOOKUP(A3,'Download of SFDC Activation Rep'!B:B,'Download of SFDC Activation Rep'!T:T)</f>
        <v>006VT00000rNywD</v>
      </c>
      <c r="J3" s="17" t="str">
        <f t="array" ref="J3">iferror(XLOOKUP(A3,'Download of SFDC Activation Rep'!B:B,'Download of SFDC Activation Rep'!C:C),"")</f>
        <v>DataLinks LLC</v>
      </c>
      <c r="K3" s="17" t="str">
        <f t="array" ref="K3">XLOOKUP(A3,'Download of SFDC Activation Rep'!B:B,'Download of SFDC Activation Rep'!X:X)</f>
        <v>Arianna Modesti</v>
      </c>
      <c r="L3" s="33">
        <f t="array" ref="L3">xlookup(A3,'Download of SFDC Activation Rep'!B:B,'Download of SFDC Activation Rep'!Z:Z)</f>
        <v>46170</v>
      </c>
    </row>
    <row r="4">
      <c r="F4" s="13" t="str">
        <f t="array" ref="F4">iferror(XLOOKUP(A4,'Download of SFDC Activation Rep'!B:B,'Download of SFDC Activation Rep'!H:H),"")</f>
        <v>Active</v>
      </c>
      <c r="G4" s="13" t="str">
        <f t="array" ref="G4">iferror(xlookup(A4,'Download of SFDC Activation Rep'!B:B,'Download of SFDC Activation Rep'!L:L),"")</f>
        <v/>
      </c>
      <c r="H4" s="17" t="str">
        <f t="shared" si="1"/>
        <v>Active</v>
      </c>
      <c r="I4" s="17" t="str">
        <f t="array" ref="I4">XLOOKUP(A4,'Download of SFDC Activation Rep'!B:B,'Download of SFDC Activation Rep'!T:T)</f>
        <v>006UU00000Og7FN</v>
      </c>
      <c r="J4" s="17" t="str">
        <f t="array" ref="J4">iferror(XLOOKUP(A4,'Download of SFDC Activation Rep'!B:B,'Download of SFDC Activation Rep'!C:C),"")</f>
        <v>Solutions Group International, Inc.</v>
      </c>
      <c r="K4" s="17" t="str">
        <f t="array" ref="K4">XLOOKUP(A4,'Download of SFDC Activation Rep'!B:B,'Download of SFDC Activation Rep'!X:X)</f>
        <v>Matthew Frost</v>
      </c>
      <c r="L4" s="33">
        <f t="array" ref="L4">xlookup(A4,'Download of SFDC Activation Rep'!B:B,'Download of SFDC Activation Rep'!Z:Z)</f>
        <v>46028</v>
      </c>
      <c r="M4" s="19" t="s">
        <v>50</v>
      </c>
      <c r="N4" s="28">
        <f>N15/N2</f>
        <v>130241.2161</v>
      </c>
    </row>
    <row r="5">
      <c r="F5" s="13" t="str">
        <f t="array" ref="F5">iferror(XLOOKUP(A5,'Download of SFDC Activation Rep'!B:B,'Download of SFDC Activation Rep'!H:H),"")</f>
        <v>Active</v>
      </c>
      <c r="G5" s="13" t="str">
        <f t="array" ref="G5">iferror(xlookup(A5,'Download of SFDC Activation Rep'!B:B,'Download of SFDC Activation Rep'!L:L),"")</f>
        <v/>
      </c>
      <c r="H5" s="17" t="str">
        <f t="shared" si="1"/>
        <v>Active</v>
      </c>
      <c r="I5" s="17" t="str">
        <f t="array" ref="I5">XLOOKUP(A5,'Download of SFDC Activation Rep'!B:B,'Download of SFDC Activation Rep'!T:T)</f>
        <v>006UU00000LzrZs</v>
      </c>
      <c r="J5" s="17" t="str">
        <f t="array" ref="J5">iferror(XLOOKUP(A5,'Download of SFDC Activation Rep'!B:B,'Download of SFDC Activation Rep'!C:C),"")</f>
        <v>Net Conversion</v>
      </c>
      <c r="K5" s="17" t="str">
        <f t="array" ref="K5">XLOOKUP(A5,'Download of SFDC Activation Rep'!B:B,'Download of SFDC Activation Rep'!X:X)</f>
        <v>Kate Olivares</v>
      </c>
      <c r="L5" s="33">
        <f t="array" ref="L5">xlookup(A5,'Download of SFDC Activation Rep'!B:B,'Download of SFDC Activation Rep'!Z:Z)</f>
        <v>45831</v>
      </c>
    </row>
    <row r="6">
      <c r="F6" s="13" t="str">
        <f t="array" ref="F6">iferror(XLOOKUP(A6,'Download of SFDC Activation Rep'!B:B,'Download of SFDC Activation Rep'!H:H),"")</f>
        <v>Active</v>
      </c>
      <c r="G6" s="13" t="str">
        <f t="array" ref="G6">iferror(xlookup(A6,'Download of SFDC Activation Rep'!B:B,'Download of SFDC Activation Rep'!L:L),"")</f>
        <v/>
      </c>
      <c r="H6" s="17" t="str">
        <f t="shared" si="1"/>
        <v>Active</v>
      </c>
      <c r="I6" s="17" t="str">
        <f t="array" ref="I6">XLOOKUP(A6,'Download of SFDC Activation Rep'!B:B,'Download of SFDC Activation Rep'!T:T)</f>
        <v>006VT00000pom8v</v>
      </c>
      <c r="J6" s="17" t="str">
        <f t="array" ref="J6">iferror(XLOOKUP(A6,'Download of SFDC Activation Rep'!B:B,'Download of SFDC Activation Rep'!C:C),"")</f>
        <v>Kloris LLC</v>
      </c>
      <c r="K6" s="17" t="str">
        <f t="array" ref="K6">XLOOKUP(A6,'Download of SFDC Activation Rep'!B:B,'Download of SFDC Activation Rep'!X:X)</f>
        <v>Arianna Modesti</v>
      </c>
      <c r="L6" s="33">
        <f t="array" ref="L6">xlookup(A6,'Download of SFDC Activation Rep'!B:B,'Download of SFDC Activation Rep'!Z:Z)</f>
        <v>46136</v>
      </c>
      <c r="M6" s="19" t="s">
        <v>51</v>
      </c>
      <c r="N6" s="28">
        <f>N13/N2</f>
        <v>227.2065983</v>
      </c>
    </row>
    <row r="7">
      <c r="F7" s="13" t="str">
        <f t="array" ref="F7">iferror(XLOOKUP(A7,'Download of SFDC Activation Rep'!B:B,'Download of SFDC Activation Rep'!H:H),"")</f>
        <v>Active</v>
      </c>
      <c r="G7" s="13" t="str">
        <f t="array" ref="G7">iferror(xlookup(A7,'Download of SFDC Activation Rep'!B:B,'Download of SFDC Activation Rep'!L:L),"")</f>
        <v/>
      </c>
      <c r="H7" s="17" t="str">
        <f t="shared" si="1"/>
        <v>Active</v>
      </c>
      <c r="I7" s="17" t="str">
        <f t="array" ref="I7">XLOOKUP(A7,'Download of SFDC Activation Rep'!B:B,'Download of SFDC Activation Rep'!T:T)</f>
        <v>006VT00000sgdkF</v>
      </c>
      <c r="J7" s="17" t="str">
        <f t="array" ref="J7">iferror(XLOOKUP(A7,'Download of SFDC Activation Rep'!B:B,'Download of SFDC Activation Rep'!C:C),"")</f>
        <v>Naz Apparel</v>
      </c>
      <c r="K7" s="17" t="str">
        <f t="array" ref="K7">XLOOKUP(A7,'Download of SFDC Activation Rep'!B:B,'Download of SFDC Activation Rep'!X:X)</f>
        <v>Arianna Modesti</v>
      </c>
      <c r="L7" s="33">
        <f t="array" ref="L7">xlookup(A7,'Download of SFDC Activation Rep'!B:B,'Download of SFDC Activation Rep'!Z:Z)</f>
        <v>46197</v>
      </c>
    </row>
    <row r="8">
      <c r="F8" s="13" t="str">
        <f t="array" ref="F8">iferror(XLOOKUP(A8,'Download of SFDC Activation Rep'!B:B,'Download of SFDC Activation Rep'!H:H),"")</f>
        <v>Active</v>
      </c>
      <c r="G8" s="13" t="str">
        <f t="array" ref="G8">iferror(xlookup(A8,'Download of SFDC Activation Rep'!B:B,'Download of SFDC Activation Rep'!L:L),"")</f>
        <v/>
      </c>
      <c r="H8" s="17" t="str">
        <f t="shared" si="1"/>
        <v>Active</v>
      </c>
      <c r="I8" s="17" t="str">
        <f t="array" ref="I8">XLOOKUP(A8,'Download of SFDC Activation Rep'!B:B,'Download of SFDC Activation Rep'!T:T)</f>
        <v>006UU00000Lzmjj</v>
      </c>
      <c r="J8" s="17" t="str">
        <f t="array" ref="J8">iferror(XLOOKUP(A8,'Download of SFDC Activation Rep'!B:B,'Download of SFDC Activation Rep'!C:C),"")</f>
        <v>Hendersonville Community Co-Op</v>
      </c>
      <c r="K8" s="17" t="str">
        <f t="array" ref="K8">XLOOKUP(A8,'Download of SFDC Activation Rep'!B:B,'Download of SFDC Activation Rep'!X:X)</f>
        <v>Matthew Frost</v>
      </c>
      <c r="L8" s="33">
        <f t="array" ref="L8">xlookup(A8,'Download of SFDC Activation Rep'!B:B,'Download of SFDC Activation Rep'!Z:Z)</f>
        <v>45891</v>
      </c>
    </row>
    <row r="9">
      <c r="F9" s="13" t="str">
        <f t="array" ref="F9">iferror(XLOOKUP(A9,'Download of SFDC Activation Rep'!B:B,'Download of SFDC Activation Rep'!H:H),"")</f>
        <v>Active</v>
      </c>
      <c r="G9" s="13" t="str">
        <f t="array" ref="G9">iferror(xlookup(A9,'Download of SFDC Activation Rep'!B:B,'Download of SFDC Activation Rep'!L:L),"")</f>
        <v>Active</v>
      </c>
      <c r="H9" s="17" t="str">
        <f t="shared" si="1"/>
        <v>Active</v>
      </c>
      <c r="I9" s="17" t="str">
        <f t="array" ref="I9">XLOOKUP(A9,'Download of SFDC Activation Rep'!B:B,'Download of SFDC Activation Rep'!T:T)</f>
        <v>006UU00000OgQGQ</v>
      </c>
      <c r="J9" s="17" t="str">
        <f t="array" ref="J9">iferror(XLOOKUP(A9,'Download of SFDC Activation Rep'!B:B,'Download of SFDC Activation Rep'!C:C),"")</f>
        <v>Scale Foundations Inc.</v>
      </c>
      <c r="K9" s="17" t="str">
        <f t="array" ref="K9">XLOOKUP(A9,'Download of SFDC Activation Rep'!B:B,'Download of SFDC Activation Rep'!X:X)</f>
        <v>Matthew Frost</v>
      </c>
      <c r="L9" s="33">
        <f t="array" ref="L9">xlookup(A9,'Download of SFDC Activation Rep'!B:B,'Download of SFDC Activation Rep'!Z:Z)</f>
        <v>46028</v>
      </c>
    </row>
    <row r="10">
      <c r="F10" s="13" t="str">
        <f t="array" ref="F10">iferror(XLOOKUP(A10,'Download of SFDC Activation Rep'!B:B,'Download of SFDC Activation Rep'!H:H),"")</f>
        <v>Active</v>
      </c>
      <c r="G10" s="13" t="str">
        <f t="array" ref="G10">iferror(xlookup(A10,'Download of SFDC Activation Rep'!B:B,'Download of SFDC Activation Rep'!L:L),"")</f>
        <v/>
      </c>
      <c r="H10" s="17" t="str">
        <f t="shared" si="1"/>
        <v>Active</v>
      </c>
      <c r="I10" s="17" t="str">
        <f t="array" ref="I10">XLOOKUP(A10,'Download of SFDC Activation Rep'!B:B,'Download of SFDC Activation Rep'!T:T)</f>
        <v>006VT00000niYeT</v>
      </c>
      <c r="J10" s="17" t="str">
        <f t="array" ref="J10">iferror(XLOOKUP(A10,'Download of SFDC Activation Rep'!B:B,'Download of SFDC Activation Rep'!C:C),"")</f>
        <v>Brian Schmidt Builder</v>
      </c>
      <c r="K10" s="17" t="str">
        <f t="array" ref="K10">XLOOKUP(A10,'Download of SFDC Activation Rep'!B:B,'Download of SFDC Activation Rep'!X:X)</f>
        <v>Arianna Modesti</v>
      </c>
      <c r="L10" s="33">
        <f t="array" ref="L10">xlookup(A10,'Download of SFDC Activation Rep'!B:B,'Download of SFDC Activation Rep'!Z:Z)</f>
        <v>46092</v>
      </c>
    </row>
    <row r="11">
      <c r="F11" s="13" t="str">
        <f t="array" ref="F11">iferror(XLOOKUP(A11,'Download of SFDC Activation Rep'!B:B,'Download of SFDC Activation Rep'!H:H),"")</f>
        <v>Active</v>
      </c>
      <c r="G11" s="13" t="str">
        <f t="array" ref="G11">iferror(xlookup(A11,'Download of SFDC Activation Rep'!B:B,'Download of SFDC Activation Rep'!L:L),"")</f>
        <v/>
      </c>
      <c r="H11" s="17" t="str">
        <f t="shared" si="1"/>
        <v>Active</v>
      </c>
      <c r="I11" s="17" t="str">
        <f t="array" ref="I11">XLOOKUP(A11,'Download of SFDC Activation Rep'!B:B,'Download of SFDC Activation Rep'!T:T)</f>
        <v>006UU00000LzrZl</v>
      </c>
      <c r="J11" s="17" t="str">
        <f t="array" ref="J11">iferror(XLOOKUP(A11,'Download of SFDC Activation Rep'!B:B,'Download of SFDC Activation Rep'!C:C),"")</f>
        <v>Toland Construction - MO</v>
      </c>
      <c r="K11" s="17"/>
      <c r="L11" s="32"/>
    </row>
    <row r="12">
      <c r="F12" s="13" t="str">
        <f t="array" ref="F12">iferror(XLOOKUP(A12,'Download of SFDC Activation Rep'!B:B,'Download of SFDC Activation Rep'!H:H),"")</f>
        <v>Active</v>
      </c>
      <c r="G12" s="13" t="str">
        <f t="array" ref="G12">iferror(xlookup(A12,'Download of SFDC Activation Rep'!B:B,'Download of SFDC Activation Rep'!L:L),"")</f>
        <v/>
      </c>
      <c r="H12" s="17" t="str">
        <f t="shared" si="1"/>
        <v>Active</v>
      </c>
      <c r="I12" s="17" t="str">
        <f t="array" ref="I12">XLOOKUP(A12,'Download of SFDC Activation Rep'!B:B,'Download of SFDC Activation Rep'!T:T)</f>
        <v>006VT00000qfNVl</v>
      </c>
      <c r="J12" s="17" t="str">
        <f t="array" ref="J12">iferror(XLOOKUP(A12,'Download of SFDC Activation Rep'!B:B,'Download of SFDC Activation Rep'!C:C),"")</f>
        <v>GK Truckline</v>
      </c>
      <c r="K12" s="17" t="str">
        <f t="array" ref="K12">XLOOKUP(A12,'Download of SFDC Activation Rep'!B:B,'Download of SFDC Activation Rep'!X:X)</f>
        <v>Kate Olivares</v>
      </c>
      <c r="L12" s="33">
        <f t="array" ref="L12">xlookup(A12,'Download of SFDC Activation Rep'!B:B,'Download of SFDC Activation Rep'!Z:Z)</f>
        <v>46155</v>
      </c>
    </row>
    <row r="13">
      <c r="F13" s="13" t="str">
        <f t="array" ref="F13">iferror(XLOOKUP(A13,'Download of SFDC Activation Rep'!B:B,'Download of SFDC Activation Rep'!H:H),"")</f>
        <v>Active</v>
      </c>
      <c r="G13" s="13" t="str">
        <f t="array" ref="G13">iferror(xlookup(A13,'Download of SFDC Activation Rep'!B:B,'Download of SFDC Activation Rep'!L:L),"")</f>
        <v/>
      </c>
      <c r="H13" s="17" t="str">
        <f t="shared" si="1"/>
        <v>Active</v>
      </c>
      <c r="I13" s="17" t="str">
        <f t="array" ref="I13">XLOOKUP(A13,'Download of SFDC Activation Rep'!B:B,'Download of SFDC Activation Rep'!T:T)</f>
        <v>006UU00000O1KbZ</v>
      </c>
      <c r="J13" s="17" t="str">
        <f t="array" ref="J13">iferror(XLOOKUP(A13,'Download of SFDC Activation Rep'!B:B,'Download of SFDC Activation Rep'!C:C),"")</f>
        <v>MJDII Architects, Inc.</v>
      </c>
      <c r="K13" s="17" t="str">
        <f t="array" ref="K13">XLOOKUP(A13,'Download of SFDC Activation Rep'!B:B,'Download of SFDC Activation Rep'!X:X)</f>
        <v>Matthew Frost</v>
      </c>
      <c r="L13" s="33">
        <f t="array" ref="L13">xlookup(A13,'Download of SFDC Activation Rep'!B:B,'Download of SFDC Activation Rep'!Z:Z)</f>
        <v>46007</v>
      </c>
      <c r="M13" s="29" t="s">
        <v>42</v>
      </c>
      <c r="N13" s="30">
        <f>SUM(B:B)</f>
        <v>27491.9984</v>
      </c>
    </row>
    <row r="14">
      <c r="F14" s="13" t="str">
        <f t="array" ref="F14">iferror(XLOOKUP(A14,'Download of SFDC Activation Rep'!B:B,'Download of SFDC Activation Rep'!H:H),"")</f>
        <v>Active</v>
      </c>
      <c r="G14" s="13" t="str">
        <f t="array" ref="G14">iferror(xlookup(A14,'Download of SFDC Activation Rep'!B:B,'Download of SFDC Activation Rep'!L:L),"")</f>
        <v/>
      </c>
      <c r="H14" s="17" t="str">
        <f t="shared" si="1"/>
        <v>Active</v>
      </c>
      <c r="I14" s="17" t="str">
        <f t="array" ref="I14">XLOOKUP(A14,'Download of SFDC Activation Rep'!B:B,'Download of SFDC Activation Rep'!T:T)</f>
        <v>006UU00000MQpnD</v>
      </c>
      <c r="J14" s="17" t="str">
        <f t="array" ref="J14">iferror(XLOOKUP(A14,'Download of SFDC Activation Rep'!B:B,'Download of SFDC Activation Rep'!C:C),"")</f>
        <v>Expert Semiconductor Technology, inc</v>
      </c>
      <c r="K14" s="17" t="str">
        <f t="array" ref="K14">XLOOKUP(A14,'Download of SFDC Activation Rep'!B:B,'Download of SFDC Activation Rep'!X:X)</f>
        <v>Kate Olivares</v>
      </c>
      <c r="L14" s="33">
        <f t="array" ref="L14">xlookup(A14,'Download of SFDC Activation Rep'!B:B,'Download of SFDC Activation Rep'!Z:Z)</f>
        <v>45818</v>
      </c>
    </row>
    <row r="15">
      <c r="F15" s="13" t="str">
        <f t="array" ref="F15">iferror(XLOOKUP(A15,'Download of SFDC Activation Rep'!B:B,'Download of SFDC Activation Rep'!H:H),"")</f>
        <v>Active</v>
      </c>
      <c r="G15" s="13" t="str">
        <f t="array" ref="G15">iferror(xlookup(A15,'Download of SFDC Activation Rep'!B:B,'Download of SFDC Activation Rep'!L:L),"")</f>
        <v/>
      </c>
      <c r="H15" s="17" t="str">
        <f t="shared" si="1"/>
        <v>Active</v>
      </c>
      <c r="I15" s="17" t="str">
        <f t="array" ref="I15">XLOOKUP(A15,'Download of SFDC Activation Rep'!B:B,'Download of SFDC Activation Rep'!T:T)</f>
        <v>006VT00000oiGKQ</v>
      </c>
      <c r="J15" s="17" t="str">
        <f t="array" ref="J15">iferror(XLOOKUP(A15,'Download of SFDC Activation Rep'!B:B,'Download of SFDC Activation Rep'!C:C),"")</f>
        <v>Landa Cleary Travel Co. Inc. D.B.A. Mater Dei Tours</v>
      </c>
      <c r="K15" s="17" t="str">
        <f t="array" ref="K15">XLOOKUP(A15,'Download of SFDC Activation Rep'!B:B,'Download of SFDC Activation Rep'!X:X)</f>
        <v>Arianna Modesti</v>
      </c>
      <c r="L15" s="33">
        <f t="array" ref="L15">xlookup(A15,'Download of SFDC Activation Rep'!B:B,'Download of SFDC Activation Rep'!Z:Z)</f>
        <v>46113</v>
      </c>
      <c r="M15" s="29" t="s">
        <v>43</v>
      </c>
      <c r="N15" s="30">
        <f>SUM(D:D)</f>
        <v>15759187.15</v>
      </c>
    </row>
    <row r="16">
      <c r="F16" s="13" t="str">
        <f t="array" ref="F16">iferror(XLOOKUP(A16,'Download of SFDC Activation Rep'!B:B,'Download of SFDC Activation Rep'!H:H),"")</f>
        <v>Active</v>
      </c>
      <c r="G16" s="13" t="str">
        <f t="array" ref="G16">iferror(xlookup(A16,'Download of SFDC Activation Rep'!B:B,'Download of SFDC Activation Rep'!L:L),"")</f>
        <v/>
      </c>
      <c r="H16" s="17" t="str">
        <f t="shared" si="1"/>
        <v>Active</v>
      </c>
      <c r="I16" s="17" t="str">
        <f t="array" ref="I16">XLOOKUP(A16,'Download of SFDC Activation Rep'!B:B,'Download of SFDC Activation Rep'!T:T)</f>
        <v>006UU00000MU72b</v>
      </c>
      <c r="J16" s="17" t="str">
        <f t="array" ref="J16">iferror(XLOOKUP(A16,'Download of SFDC Activation Rep'!B:B,'Download of SFDC Activation Rep'!C:C),"")</f>
        <v>Buescher Ranch</v>
      </c>
      <c r="K16" s="17" t="str">
        <f t="array" ref="K16">XLOOKUP(A16,'Download of SFDC Activation Rep'!B:B,'Download of SFDC Activation Rep'!X:X)</f>
        <v>Kate Olivares</v>
      </c>
      <c r="L16" s="33">
        <f t="array" ref="L16">xlookup(A16,'Download of SFDC Activation Rep'!B:B,'Download of SFDC Activation Rep'!Z:Z)</f>
        <v>45966</v>
      </c>
    </row>
    <row r="17">
      <c r="F17" s="13" t="str">
        <f t="array" ref="F17">iferror(XLOOKUP(A17,'Download of SFDC Activation Rep'!B:B,'Download of SFDC Activation Rep'!H:H),"")</f>
        <v>Active</v>
      </c>
      <c r="G17" s="13" t="str">
        <f t="array" ref="G17">iferror(xlookup(A17,'Download of SFDC Activation Rep'!B:B,'Download of SFDC Activation Rep'!L:L),"")</f>
        <v/>
      </c>
      <c r="H17" s="17" t="str">
        <f t="shared" si="1"/>
        <v>Active</v>
      </c>
      <c r="I17" s="17" t="str">
        <f t="array" ref="I17">XLOOKUP(A17,'Download of SFDC Activation Rep'!B:B,'Download of SFDC Activation Rep'!T:T)</f>
        <v>006UU00000OcWHB</v>
      </c>
      <c r="J17" s="17" t="str">
        <f t="array" ref="J17">iferror(XLOOKUP(A17,'Download of SFDC Activation Rep'!B:B,'Download of SFDC Activation Rep'!C:C),"")</f>
        <v>Kenneth Adam Designs</v>
      </c>
      <c r="K17" s="17" t="str">
        <f t="array" ref="K17">XLOOKUP(A17,'Download of SFDC Activation Rep'!B:B,'Download of SFDC Activation Rep'!X:X)</f>
        <v>Matthew Frost</v>
      </c>
      <c r="L17" s="33">
        <f t="array" ref="L17">xlookup(A17,'Download of SFDC Activation Rep'!B:B,'Download of SFDC Activation Rep'!Z:Z)</f>
        <v>46027</v>
      </c>
    </row>
    <row r="18">
      <c r="F18" s="13" t="str">
        <f t="array" ref="F18">iferror(XLOOKUP(A18,'Download of SFDC Activation Rep'!B:B,'Download of SFDC Activation Rep'!H:H),"")</f>
        <v>Active</v>
      </c>
      <c r="G18" s="13" t="str">
        <f t="array" ref="G18">iferror(xlookup(A18,'Download of SFDC Activation Rep'!B:B,'Download of SFDC Activation Rep'!L:L),"")</f>
        <v/>
      </c>
      <c r="H18" s="17" t="str">
        <f t="shared" si="1"/>
        <v>Active</v>
      </c>
      <c r="I18" s="17" t="str">
        <f t="array" ref="I18">XLOOKUP(A18,'Download of SFDC Activation Rep'!B:B,'Download of SFDC Activation Rep'!T:T)</f>
        <v>006UU00000KruBr</v>
      </c>
      <c r="J18" s="17" t="str">
        <f t="array" ref="J18">iferror(XLOOKUP(A18,'Download of SFDC Activation Rep'!B:B,'Download of SFDC Activation Rep'!C:C),"")</f>
        <v>megg mining llc</v>
      </c>
      <c r="K18" s="17" t="str">
        <f t="array" ref="K18">XLOOKUP(A18,'Download of SFDC Activation Rep'!B:B,'Download of SFDC Activation Rep'!X:X)</f>
        <v>Rudy Maestas</v>
      </c>
      <c r="L18" s="33">
        <f t="array" ref="L18">xlookup(A18,'Download of SFDC Activation Rep'!B:B,'Download of SFDC Activation Rep'!Z:Z)</f>
        <v>45924</v>
      </c>
      <c r="M18" s="29" t="s">
        <v>44</v>
      </c>
      <c r="N18" s="30">
        <f>MEDIAN(D:D)</f>
        <v>27018.47</v>
      </c>
    </row>
    <row r="19">
      <c r="F19" s="13" t="str">
        <f t="array" ref="F19">iferror(XLOOKUP(A19,'Download of SFDC Activation Rep'!B:B,'Download of SFDC Activation Rep'!H:H),"")</f>
        <v>Active</v>
      </c>
      <c r="G19" s="13" t="str">
        <f t="array" ref="G19">iferror(xlookup(A19,'Download of SFDC Activation Rep'!B:B,'Download of SFDC Activation Rep'!L:L),"")</f>
        <v/>
      </c>
      <c r="H19" s="17" t="str">
        <f t="shared" si="1"/>
        <v>Active</v>
      </c>
      <c r="I19" s="17" t="str">
        <f t="array" ref="I19">XLOOKUP(A19,'Download of SFDC Activation Rep'!B:B,'Download of SFDC Activation Rep'!T:T)</f>
        <v>006UU00000MQpnP</v>
      </c>
      <c r="J19" s="17" t="str">
        <f t="array" ref="J19">iferror(XLOOKUP(A19,'Download of SFDC Activation Rep'!B:B,'Download of SFDC Activation Rep'!C:C),"")</f>
        <v>United Home Care LLC</v>
      </c>
      <c r="K19" s="17" t="str">
        <f t="array" ref="K19">XLOOKUP(A19,'Download of SFDC Activation Rep'!B:B,'Download of SFDC Activation Rep'!X:X)</f>
        <v>Kate Olivares</v>
      </c>
      <c r="L19" s="33">
        <f t="array" ref="L19">xlookup(A19,'Download of SFDC Activation Rep'!B:B,'Download of SFDC Activation Rep'!Z:Z)</f>
        <v>45839</v>
      </c>
      <c r="M19" s="29" t="s">
        <v>45</v>
      </c>
      <c r="N19" s="30">
        <f>MEDIAN(B:B)</f>
        <v>60.1</v>
      </c>
    </row>
    <row r="20">
      <c r="F20" s="13" t="str">
        <f t="array" ref="F20">iferror(XLOOKUP(A20,'Download of SFDC Activation Rep'!B:B,'Download of SFDC Activation Rep'!H:H),"")</f>
        <v>Active</v>
      </c>
      <c r="G20" s="13" t="str">
        <f t="array" ref="G20">iferror(xlookup(A20,'Download of SFDC Activation Rep'!B:B,'Download of SFDC Activation Rep'!L:L),"")</f>
        <v/>
      </c>
      <c r="H20" s="17" t="str">
        <f t="shared" si="1"/>
        <v>Active</v>
      </c>
      <c r="I20" s="17" t="str">
        <f t="array" ref="I20">XLOOKUP(A20,'Download of SFDC Activation Rep'!B:B,'Download of SFDC Activation Rep'!T:T)</f>
        <v>006VT00000qes29</v>
      </c>
      <c r="J20" s="17" t="str">
        <f t="array" ref="J20">iferror(XLOOKUP(A20,'Download of SFDC Activation Rep'!B:B,'Download of SFDC Activation Rep'!C:C),"")</f>
        <v>Temporary Assistance Guru, Inc</v>
      </c>
      <c r="K20" s="17" t="str">
        <f t="array" ref="K20">XLOOKUP(A20,'Download of SFDC Activation Rep'!B:B,'Download of SFDC Activation Rep'!X:X)</f>
        <v>Arianna Modesti</v>
      </c>
      <c r="L20" s="33">
        <f t="array" ref="L20">xlookup(A20,'Download of SFDC Activation Rep'!B:B,'Download of SFDC Activation Rep'!Z:Z)</f>
        <v>46155</v>
      </c>
    </row>
    <row r="21">
      <c r="F21" s="13" t="str">
        <f t="array" ref="F21">iferror(XLOOKUP(A21,'Download of SFDC Activation Rep'!B:B,'Download of SFDC Activation Rep'!H:H),"")</f>
        <v>Active</v>
      </c>
      <c r="G21" s="13" t="str">
        <f t="array" ref="G21">iferror(xlookup(A21,'Download of SFDC Activation Rep'!B:B,'Download of SFDC Activation Rep'!L:L),"")</f>
        <v/>
      </c>
      <c r="H21" s="17" t="str">
        <f t="shared" si="1"/>
        <v>Active</v>
      </c>
      <c r="I21" s="17" t="str">
        <f t="array" ref="I21">XLOOKUP(A21,'Download of SFDC Activation Rep'!B:B,'Download of SFDC Activation Rep'!T:T)</f>
        <v>006UU00000MGsar</v>
      </c>
      <c r="J21" s="17" t="str">
        <f t="array" ref="J21">iferror(XLOOKUP(A21,'Download of SFDC Activation Rep'!B:B,'Download of SFDC Activation Rep'!C:C),"")</f>
        <v>Protagenic Therapeutics, Inc.</v>
      </c>
      <c r="K21" s="17" t="str">
        <f t="array" ref="K21">XLOOKUP(A21,'Download of SFDC Activation Rep'!B:B,'Download of SFDC Activation Rep'!X:X)</f>
        <v>Matthew Frost</v>
      </c>
      <c r="L21" s="33">
        <f t="array" ref="L21">xlookup(A21,'Download of SFDC Activation Rep'!B:B,'Download of SFDC Activation Rep'!Z:Z)</f>
        <v>45960</v>
      </c>
    </row>
    <row r="22">
      <c r="F22" s="13" t="str">
        <f t="array" ref="F22">iferror(XLOOKUP(A22,'Download of SFDC Activation Rep'!B:B,'Download of SFDC Activation Rep'!H:H),"")</f>
        <v>Inactive</v>
      </c>
      <c r="G22" s="13" t="str">
        <f t="array" ref="G22">iferror(xlookup(A22,'Download of SFDC Activation Rep'!B:B,'Download of SFDC Activation Rep'!L:L),"")</f>
        <v>Active</v>
      </c>
      <c r="H22" s="17" t="str">
        <f t="shared" si="1"/>
        <v>Active</v>
      </c>
      <c r="I22" s="17" t="str">
        <f t="array" ref="I22">XLOOKUP(A22,'Download of SFDC Activation Rep'!B:B,'Download of SFDC Activation Rep'!T:T)</f>
        <v>006VT00000sgdkD</v>
      </c>
      <c r="J22" s="17" t="str">
        <f t="array" ref="J22">iferror(XLOOKUP(A22,'Download of SFDC Activation Rep'!B:B,'Download of SFDC Activation Rep'!C:C),"")</f>
        <v>lanier welding products</v>
      </c>
      <c r="K22" s="17" t="str">
        <f t="array" ref="K22">XLOOKUP(A22,'Download of SFDC Activation Rep'!B:B,'Download of SFDC Activation Rep'!X:X)</f>
        <v>Arianna Modesti</v>
      </c>
      <c r="L22" s="33">
        <f t="array" ref="L22">xlookup(A22,'Download of SFDC Activation Rep'!B:B,'Download of SFDC Activation Rep'!Z:Z)</f>
        <v>46197</v>
      </c>
    </row>
    <row r="23">
      <c r="F23" s="13" t="str">
        <f t="array" ref="F23">iferror(XLOOKUP(A23,'Download of SFDC Activation Rep'!B:B,'Download of SFDC Activation Rep'!H:H),"")</f>
        <v>Active</v>
      </c>
      <c r="G23" s="13" t="str">
        <f t="array" ref="G23">iferror(xlookup(A23,'Download of SFDC Activation Rep'!B:B,'Download of SFDC Activation Rep'!L:L),"")</f>
        <v>Active</v>
      </c>
      <c r="H23" s="17" t="str">
        <f t="shared" si="1"/>
        <v>Active</v>
      </c>
      <c r="I23" s="17" t="str">
        <f t="array" ref="I23">XLOOKUP(A23,'Download of SFDC Activation Rep'!B:B,'Download of SFDC Activation Rep'!T:T)</f>
        <v>006UU00000LzrZk</v>
      </c>
      <c r="J23" s="17" t="str">
        <f t="array" ref="J23">iferror(XLOOKUP(A23,'Download of SFDC Activation Rep'!B:B,'Download of SFDC Activation Rep'!C:C),"")</f>
        <v>Rumford Stone, Inc</v>
      </c>
      <c r="K23" s="17" t="str">
        <f t="array" ref="K23">XLOOKUP(A23,'Download of SFDC Activation Rep'!B:B,'Download of SFDC Activation Rep'!X:X)</f>
        <v>Kate Olivares</v>
      </c>
      <c r="L23" s="33">
        <f t="array" ref="L23">xlookup(A23,'Download of SFDC Activation Rep'!B:B,'Download of SFDC Activation Rep'!Z:Z)</f>
        <v>45797</v>
      </c>
    </row>
    <row r="24">
      <c r="F24" s="13" t="str">
        <f t="array" ref="F24">iferror(XLOOKUP(A24,'Download of SFDC Activation Rep'!B:B,'Download of SFDC Activation Rep'!H:H),"")</f>
        <v>Active</v>
      </c>
      <c r="G24" s="13" t="str">
        <f t="array" ref="G24">iferror(xlookup(A24,'Download of SFDC Activation Rep'!B:B,'Download of SFDC Activation Rep'!L:L),"")</f>
        <v/>
      </c>
      <c r="H24" s="17" t="str">
        <f t="shared" si="1"/>
        <v>Active</v>
      </c>
      <c r="I24" s="17" t="str">
        <f t="array" ref="I24">XLOOKUP(A24,'Download of SFDC Activation Rep'!B:B,'Download of SFDC Activation Rep'!T:T)</f>
        <v>006UU00000LzrZp</v>
      </c>
      <c r="J24" s="17" t="str">
        <f t="array" ref="J24">iferror(XLOOKUP(A24,'Download of SFDC Activation Rep'!B:B,'Download of SFDC Activation Rep'!C:C),"")</f>
        <v>Liberty Orchards LLC</v>
      </c>
      <c r="K24" s="17" t="str">
        <f t="array" ref="K24">XLOOKUP(A24,'Download of SFDC Activation Rep'!B:B,'Download of SFDC Activation Rep'!X:X)</f>
        <v>Kate Olivares</v>
      </c>
      <c r="L24" s="33">
        <f t="array" ref="L24">xlookup(A24,'Download of SFDC Activation Rep'!B:B,'Download of SFDC Activation Rep'!Z:Z)</f>
        <v>45856</v>
      </c>
    </row>
    <row r="25">
      <c r="F25" s="13" t="str">
        <f t="array" ref="F25">iferror(XLOOKUP(A25,'Download of SFDC Activation Rep'!B:B,'Download of SFDC Activation Rep'!H:H),"")</f>
        <v>Active</v>
      </c>
      <c r="G25" s="13" t="str">
        <f t="array" ref="G25">iferror(xlookup(A25,'Download of SFDC Activation Rep'!B:B,'Download of SFDC Activation Rep'!L:L),"")</f>
        <v/>
      </c>
      <c r="H25" s="17" t="str">
        <f t="shared" si="1"/>
        <v>Active</v>
      </c>
      <c r="I25" s="17" t="str">
        <f t="array" ref="I25">XLOOKUP(A25,'Download of SFDC Activation Rep'!B:B,'Download of SFDC Activation Rep'!T:T)</f>
        <v>006UU00000LzrZn</v>
      </c>
      <c r="J25" s="17" t="str">
        <f t="array" ref="J25">iferror(XLOOKUP(A25,'Download of SFDC Activation Rep'!B:B,'Download of SFDC Activation Rep'!C:C),"")</f>
        <v>CRUSHS</v>
      </c>
      <c r="K25" s="17" t="str">
        <f t="array" ref="K25">XLOOKUP(A25,'Download of SFDC Activation Rep'!B:B,'Download of SFDC Activation Rep'!X:X)</f>
        <v>Matthew Frost</v>
      </c>
      <c r="L25" s="33">
        <f t="array" ref="L25">xlookup(A25,'Download of SFDC Activation Rep'!B:B,'Download of SFDC Activation Rep'!Z:Z)</f>
        <v>45890</v>
      </c>
    </row>
    <row r="26">
      <c r="F26" s="13" t="str">
        <f t="array" ref="F26">iferror(XLOOKUP(A26,'Download of SFDC Activation Rep'!B:B,'Download of SFDC Activation Rep'!H:H),"")</f>
        <v>Active</v>
      </c>
      <c r="G26" s="13" t="str">
        <f t="array" ref="G26">iferror(xlookup(A26,'Download of SFDC Activation Rep'!B:B,'Download of SFDC Activation Rep'!L:L),"")</f>
        <v>Active</v>
      </c>
      <c r="H26" s="17" t="str">
        <f t="shared" si="1"/>
        <v>Active</v>
      </c>
      <c r="I26" s="17" t="str">
        <f t="array" ref="I26">XLOOKUP(A26,'Download of SFDC Activation Rep'!B:B,'Download of SFDC Activation Rep'!T:T)</f>
        <v>006UU00000O1zBi</v>
      </c>
      <c r="J26" s="17" t="str">
        <f t="array" ref="J26">iferror(XLOOKUP(A26,'Download of SFDC Activation Rep'!B:B,'Download of SFDC Activation Rep'!C:C),"")</f>
        <v>Friendly Foods Inc</v>
      </c>
      <c r="K26" s="17"/>
      <c r="L26" s="32"/>
    </row>
    <row r="27">
      <c r="F27" s="13" t="str">
        <f t="array" ref="F27">iferror(XLOOKUP(A27,'Download of SFDC Activation Rep'!B:B,'Download of SFDC Activation Rep'!H:H),"")</f>
        <v>Active</v>
      </c>
      <c r="G27" s="13" t="str">
        <f t="array" ref="G27">iferror(xlookup(A27,'Download of SFDC Activation Rep'!B:B,'Download of SFDC Activation Rep'!L:L),"")</f>
        <v/>
      </c>
      <c r="H27" s="17" t="str">
        <f t="shared" si="1"/>
        <v>Active</v>
      </c>
      <c r="I27" s="17" t="str">
        <f t="array" ref="I27">XLOOKUP(A27,'Download of SFDC Activation Rep'!B:B,'Download of SFDC Activation Rep'!T:T)</f>
        <v>006VT00000qMODp</v>
      </c>
      <c r="J27" s="17" t="str">
        <f t="array" ref="J27">iferror(XLOOKUP(A27,'Download of SFDC Activation Rep'!B:B,'Download of SFDC Activation Rep'!C:C),"")</f>
        <v>Willard Manufacturing</v>
      </c>
      <c r="K27" s="17" t="str">
        <f t="array" ref="K27">XLOOKUP(A27,'Download of SFDC Activation Rep'!B:B,'Download of SFDC Activation Rep'!X:X)</f>
        <v>Arianna Modesti</v>
      </c>
      <c r="L27" s="33">
        <f t="array" ref="L27">xlookup(A27,'Download of SFDC Activation Rep'!B:B,'Download of SFDC Activation Rep'!Z:Z)</f>
        <v>46148</v>
      </c>
    </row>
    <row r="28">
      <c r="F28" s="13" t="str">
        <f t="array" ref="F28">iferror(XLOOKUP(A28,'Download of SFDC Activation Rep'!B:B,'Download of SFDC Activation Rep'!H:H),"")</f>
        <v>Active</v>
      </c>
      <c r="G28" s="13" t="str">
        <f t="array" ref="G28">iferror(xlookup(A28,'Download of SFDC Activation Rep'!B:B,'Download of SFDC Activation Rep'!L:L),"")</f>
        <v/>
      </c>
      <c r="H28" s="17" t="str">
        <f t="shared" si="1"/>
        <v>Active</v>
      </c>
      <c r="I28" s="17" t="str">
        <f t="array" ref="I28">XLOOKUP(A28,'Download of SFDC Activation Rep'!B:B,'Download of SFDC Activation Rep'!T:T)</f>
        <v>006UU00000MpN7Z</v>
      </c>
      <c r="J28" s="17" t="str">
        <f t="array" ref="J28">iferror(XLOOKUP(A28,'Download of SFDC Activation Rep'!B:B,'Download of SFDC Activation Rep'!C:C),"")</f>
        <v>Liberty Land Management LLC</v>
      </c>
      <c r="K28" s="17" t="str">
        <f t="array" ref="K28">XLOOKUP(A28,'Download of SFDC Activation Rep'!B:B,'Download of SFDC Activation Rep'!X:X)</f>
        <v>Kate Olivares</v>
      </c>
      <c r="L28" s="33">
        <f t="array" ref="L28">xlookup(A28,'Download of SFDC Activation Rep'!B:B,'Download of SFDC Activation Rep'!Z:Z)</f>
        <v>45974</v>
      </c>
    </row>
    <row r="29">
      <c r="F29" s="13" t="str">
        <f t="array" ref="F29">iferror(XLOOKUP(A29,'Download of SFDC Activation Rep'!B:B,'Download of SFDC Activation Rep'!H:H),"")</f>
        <v>Active</v>
      </c>
      <c r="G29" s="13" t="str">
        <f t="array" ref="G29">iferror(xlookup(A29,'Download of SFDC Activation Rep'!B:B,'Download of SFDC Activation Rep'!L:L),"")</f>
        <v>Inactive</v>
      </c>
      <c r="H29" s="17" t="str">
        <f t="shared" si="1"/>
        <v>Active</v>
      </c>
      <c r="I29" s="17" t="str">
        <f t="array" ref="I29">XLOOKUP(A29,'Download of SFDC Activation Rep'!B:B,'Download of SFDC Activation Rep'!T:T)</f>
        <v>006UU00000Lzmjh</v>
      </c>
      <c r="J29" s="17" t="str">
        <f t="array" ref="J29">iferror(XLOOKUP(A29,'Download of SFDC Activation Rep'!B:B,'Download of SFDC Activation Rep'!C:C),"")</f>
        <v>ClearBlu Environmental</v>
      </c>
      <c r="K29" s="17" t="str">
        <f t="array" ref="K29">XLOOKUP(A29,'Download of SFDC Activation Rep'!B:B,'Download of SFDC Activation Rep'!X:X)</f>
        <v>Kate Olivares</v>
      </c>
      <c r="L29" s="33">
        <f t="array" ref="L29">xlookup(A29,'Download of SFDC Activation Rep'!B:B,'Download of SFDC Activation Rep'!Z:Z)</f>
        <v>45896</v>
      </c>
    </row>
    <row r="30">
      <c r="F30" s="13" t="str">
        <f t="array" ref="F30">iferror(XLOOKUP(A30,'Download of SFDC Activation Rep'!B:B,'Download of SFDC Activation Rep'!H:H),"")</f>
        <v>Active</v>
      </c>
      <c r="G30" s="13" t="str">
        <f t="array" ref="G30">iferror(xlookup(A30,'Download of SFDC Activation Rep'!B:B,'Download of SFDC Activation Rep'!L:L),"")</f>
        <v/>
      </c>
      <c r="H30" s="17" t="str">
        <f t="shared" si="1"/>
        <v>Active</v>
      </c>
      <c r="I30" s="17" t="str">
        <f t="array" ref="I30">XLOOKUP(A30,'Download of SFDC Activation Rep'!B:B,'Download of SFDC Activation Rep'!T:T)</f>
        <v>006VT00000qLJJR</v>
      </c>
      <c r="J30" s="17" t="str">
        <f t="array" ref="J30">iferror(XLOOKUP(A30,'Download of SFDC Activation Rep'!B:B,'Download of SFDC Activation Rep'!C:C),"")</f>
        <v>Lyophilization Systems Inc.</v>
      </c>
      <c r="K30" s="17" t="str">
        <f t="array" ref="K30">XLOOKUP(A30,'Download of SFDC Activation Rep'!B:B,'Download of SFDC Activation Rep'!X:X)</f>
        <v>Arianna Modesti</v>
      </c>
      <c r="L30" s="33">
        <f t="array" ref="L30">xlookup(A30,'Download of SFDC Activation Rep'!B:B,'Download of SFDC Activation Rep'!Z:Z)</f>
        <v>46148</v>
      </c>
    </row>
    <row r="31">
      <c r="F31" s="13" t="str">
        <f t="array" ref="F31">iferror(XLOOKUP(A31,'Download of SFDC Activation Rep'!B:B,'Download of SFDC Activation Rep'!H:H),"")</f>
        <v>Active</v>
      </c>
      <c r="G31" s="13" t="str">
        <f t="array" ref="G31">iferror(xlookup(A31,'Download of SFDC Activation Rep'!B:B,'Download of SFDC Activation Rep'!L:L),"")</f>
        <v/>
      </c>
      <c r="H31" s="17" t="str">
        <f t="shared" si="1"/>
        <v>Active</v>
      </c>
      <c r="I31" s="17" t="str">
        <f t="array" ref="I31">XLOOKUP(A31,'Download of SFDC Activation Rep'!B:B,'Download of SFDC Activation Rep'!T:T)</f>
        <v>006VT00000mhbv7</v>
      </c>
      <c r="J31" s="17" t="str">
        <f t="array" ref="J31">iferror(XLOOKUP(A31,'Download of SFDC Activation Rep'!B:B,'Download of SFDC Activation Rep'!C:C),"")</f>
        <v>YRS LLC</v>
      </c>
      <c r="K31" s="17" t="str">
        <f t="array" ref="K31">XLOOKUP(A31,'Download of SFDC Activation Rep'!B:B,'Download of SFDC Activation Rep'!X:X)</f>
        <v>Matthew Frost</v>
      </c>
      <c r="L31" s="33">
        <f t="array" ref="L31">xlookup(A31,'Download of SFDC Activation Rep'!B:B,'Download of SFDC Activation Rep'!Z:Z)</f>
        <v>46071</v>
      </c>
    </row>
    <row r="32">
      <c r="F32" s="13" t="str">
        <f t="array" ref="F32">iferror(XLOOKUP(A32,'Download of SFDC Activation Rep'!B:B,'Download of SFDC Activation Rep'!H:H),"")</f>
        <v/>
      </c>
      <c r="G32" s="13" t="str">
        <f t="array" ref="G32">iferror(xlookup(A32,'Download of SFDC Activation Rep'!B:B,'Download of SFDC Activation Rep'!L:L),"")</f>
        <v>Active</v>
      </c>
      <c r="H32" s="17" t="str">
        <f t="shared" si="1"/>
        <v>Active</v>
      </c>
      <c r="I32" s="17" t="str">
        <f t="array" ref="I32">XLOOKUP(A32,'Download of SFDC Activation Rep'!B:B,'Download of SFDC Activation Rep'!T:T)</f>
        <v>006UU00000LSvAX</v>
      </c>
      <c r="J32" s="17" t="str">
        <f t="array" ref="J32">iferror(XLOOKUP(A32,'Download of SFDC Activation Rep'!B:B,'Download of SFDC Activation Rep'!C:C),"")</f>
        <v>Rippa USA Sales LLC.</v>
      </c>
      <c r="K32" s="17" t="str">
        <f t="array" ref="K32">XLOOKUP(A32,'Download of SFDC Activation Rep'!B:B,'Download of SFDC Activation Rep'!X:X)</f>
        <v>Matthew Frost</v>
      </c>
      <c r="L32" s="33">
        <f t="array" ref="L32">xlookup(A32,'Download of SFDC Activation Rep'!B:B,'Download of SFDC Activation Rep'!Z:Z)</f>
        <v>45940</v>
      </c>
    </row>
    <row r="33">
      <c r="F33" s="13" t="str">
        <f t="array" ref="F33">iferror(XLOOKUP(A33,'Download of SFDC Activation Rep'!B:B,'Download of SFDC Activation Rep'!H:H),"")</f>
        <v>Active</v>
      </c>
      <c r="G33" s="13" t="str">
        <f t="array" ref="G33">iferror(xlookup(A33,'Download of SFDC Activation Rep'!B:B,'Download of SFDC Activation Rep'!L:L),"")</f>
        <v/>
      </c>
      <c r="H33" s="17" t="str">
        <f t="shared" si="1"/>
        <v>Active</v>
      </c>
      <c r="I33" s="17" t="str">
        <f t="array" ref="I33">XLOOKUP(A33,'Download of SFDC Activation Rep'!B:B,'Download of SFDC Activation Rep'!T:T)</f>
        <v>006VT00000q0rzF</v>
      </c>
      <c r="J33" s="17" t="str">
        <f t="array" ref="J33">iferror(XLOOKUP(A33,'Download of SFDC Activation Rep'!B:B,'Download of SFDC Activation Rep'!C:C),"")</f>
        <v>Boston Granite Exchange</v>
      </c>
      <c r="K33" s="17" t="str">
        <f t="array" ref="K33">XLOOKUP(A33,'Download of SFDC Activation Rep'!B:B,'Download of SFDC Activation Rep'!X:X)</f>
        <v>Arianna Modesti</v>
      </c>
      <c r="L33" s="33">
        <f t="array" ref="L33">xlookup(A33,'Download of SFDC Activation Rep'!B:B,'Download of SFDC Activation Rep'!Z:Z)</f>
        <v>46141</v>
      </c>
    </row>
    <row r="34">
      <c r="F34" s="13" t="str">
        <f t="array" ref="F34">iferror(XLOOKUP(A34,'Download of SFDC Activation Rep'!B:B,'Download of SFDC Activation Rep'!H:H),"")</f>
        <v/>
      </c>
      <c r="G34" s="13" t="str">
        <f t="array" ref="G34">iferror(xlookup(A34,'Download of SFDC Activation Rep'!B:B,'Download of SFDC Activation Rep'!L:L),"")</f>
        <v>Active</v>
      </c>
      <c r="H34" s="17" t="str">
        <f t="shared" si="1"/>
        <v>Active</v>
      </c>
      <c r="I34" s="17" t="str">
        <f t="array" ref="I34">XLOOKUP(A34,'Download of SFDC Activation Rep'!B:B,'Download of SFDC Activation Rep'!T:T)</f>
        <v>006UU00000Lzkqw</v>
      </c>
      <c r="J34" s="17" t="str">
        <f t="array" ref="J34">iferror(XLOOKUP(A34,'Download of SFDC Activation Rep'!B:B,'Download of SFDC Activation Rep'!C:C),"")</f>
        <v>Rminvestmentsmiami LLC</v>
      </c>
      <c r="K34" s="17" t="str">
        <f t="array" ref="K34">XLOOKUP(A34,'Download of SFDC Activation Rep'!B:B,'Download of SFDC Activation Rep'!X:X)</f>
        <v>Matthew Frost</v>
      </c>
      <c r="L34" s="33">
        <f t="array" ref="L34">xlookup(A34,'Download of SFDC Activation Rep'!B:B,'Download of SFDC Activation Rep'!Z:Z)</f>
        <v>45903</v>
      </c>
    </row>
    <row r="35">
      <c r="F35" s="13" t="str">
        <f t="array" ref="F35">iferror(XLOOKUP(A35,'Download of SFDC Activation Rep'!B:B,'Download of SFDC Activation Rep'!H:H),"")</f>
        <v>Active</v>
      </c>
      <c r="G35" s="13" t="str">
        <f t="array" ref="G35">iferror(xlookup(A35,'Download of SFDC Activation Rep'!B:B,'Download of SFDC Activation Rep'!L:L),"")</f>
        <v/>
      </c>
      <c r="H35" s="17" t="str">
        <f t="shared" si="1"/>
        <v>Active</v>
      </c>
      <c r="I35" s="17" t="str">
        <f t="array" ref="I35">XLOOKUP(A35,'Download of SFDC Activation Rep'!B:B,'Download of SFDC Activation Rep'!T:T)</f>
        <v>006VT00000o0IBR</v>
      </c>
      <c r="J35" s="17" t="str">
        <f t="array" ref="J35">iferror(XLOOKUP(A35,'Download of SFDC Activation Rep'!B:B,'Download of SFDC Activation Rep'!C:C),"")</f>
        <v>Cope Equities</v>
      </c>
      <c r="K35" s="17" t="str">
        <f t="array" ref="K35">XLOOKUP(A35,'Download of SFDC Activation Rep'!B:B,'Download of SFDC Activation Rep'!X:X)</f>
        <v>Matthew Frost</v>
      </c>
      <c r="L35" s="33">
        <f t="array" ref="L35">xlookup(A35,'Download of SFDC Activation Rep'!B:B,'Download of SFDC Activation Rep'!Z:Z)</f>
        <v>46099</v>
      </c>
    </row>
    <row r="36">
      <c r="F36" s="13" t="str">
        <f t="array" ref="F36">iferror(XLOOKUP(A36,'Download of SFDC Activation Rep'!B:B,'Download of SFDC Activation Rep'!H:H),"")</f>
        <v>Active</v>
      </c>
      <c r="G36" s="13" t="str">
        <f t="array" ref="G36">iferror(xlookup(A36,'Download of SFDC Activation Rep'!B:B,'Download of SFDC Activation Rep'!L:L),"")</f>
        <v/>
      </c>
      <c r="H36" s="17" t="str">
        <f t="shared" si="1"/>
        <v>Active</v>
      </c>
      <c r="I36" s="17" t="str">
        <f t="array" ref="I36">XLOOKUP(A36,'Download of SFDC Activation Rep'!B:B,'Download of SFDC Activation Rep'!T:T)</f>
        <v>006VT00000mBkrt</v>
      </c>
      <c r="J36" s="17" t="str">
        <f t="array" ref="J36">iferror(XLOOKUP(A36,'Download of SFDC Activation Rep'!B:B,'Download of SFDC Activation Rep'!C:C),"")</f>
        <v>Beyond Pickleball LLC</v>
      </c>
      <c r="K36" s="17" t="str">
        <f t="array" ref="K36">XLOOKUP(A36,'Download of SFDC Activation Rep'!B:B,'Download of SFDC Activation Rep'!X:X)</f>
        <v>Matthew Frost</v>
      </c>
      <c r="L36" s="33">
        <f t="array" ref="L36">xlookup(A36,'Download of SFDC Activation Rep'!B:B,'Download of SFDC Activation Rep'!Z:Z)</f>
        <v>46059</v>
      </c>
    </row>
    <row r="37">
      <c r="F37" s="13" t="str">
        <f t="array" ref="F37">iferror(XLOOKUP(A37,'Download of SFDC Activation Rep'!B:B,'Download of SFDC Activation Rep'!H:H),"")</f>
        <v>Active</v>
      </c>
      <c r="G37" s="13" t="str">
        <f t="array" ref="G37">iferror(xlookup(A37,'Download of SFDC Activation Rep'!B:B,'Download of SFDC Activation Rep'!L:L),"")</f>
        <v/>
      </c>
      <c r="H37" s="17" t="str">
        <f t="shared" si="1"/>
        <v>Active</v>
      </c>
      <c r="I37" s="17" t="str">
        <f t="array" ref="I37">XLOOKUP(A37,'Download of SFDC Activation Rep'!B:B,'Download of SFDC Activation Rep'!T:T)</f>
        <v>006VT00000owkyd</v>
      </c>
      <c r="J37" s="17" t="str">
        <f t="array" ref="J37">iferror(XLOOKUP(A37,'Download of SFDC Activation Rep'!B:B,'Download of SFDC Activation Rep'!C:C),"")</f>
        <v>Shri Krishna Inc</v>
      </c>
      <c r="K37" s="17" t="str">
        <f t="array" ref="K37">XLOOKUP(A37,'Download of SFDC Activation Rep'!B:B,'Download of SFDC Activation Rep'!X:X)</f>
        <v>Matthew Frost</v>
      </c>
      <c r="L37" s="33">
        <f t="array" ref="L37">xlookup(A37,'Download of SFDC Activation Rep'!B:B,'Download of SFDC Activation Rep'!Z:Z)</f>
        <v>46119</v>
      </c>
    </row>
    <row r="38">
      <c r="F38" s="13" t="str">
        <f t="array" ref="F38">iferror(XLOOKUP(A38,'Download of SFDC Activation Rep'!B:B,'Download of SFDC Activation Rep'!H:H),"")</f>
        <v>Active</v>
      </c>
      <c r="G38" s="13" t="str">
        <f t="array" ref="G38">iferror(xlookup(A38,'Download of SFDC Activation Rep'!B:B,'Download of SFDC Activation Rep'!L:L),"")</f>
        <v/>
      </c>
      <c r="H38" s="17" t="str">
        <f t="shared" si="1"/>
        <v>Active</v>
      </c>
      <c r="I38" s="17" t="str">
        <f t="array" ref="I38">XLOOKUP(A38,'Download of SFDC Activation Rep'!B:B,'Download of SFDC Activation Rep'!T:T)</f>
        <v>006VT00000nyDe5</v>
      </c>
      <c r="J38" s="17" t="str">
        <f t="array" ref="J38">iferror(XLOOKUP(A38,'Download of SFDC Activation Rep'!B:B,'Download of SFDC Activation Rep'!C:C),"")</f>
        <v>Abecca Grace, LLC</v>
      </c>
      <c r="K38" s="17" t="str">
        <f t="array" ref="K38">XLOOKUP(A38,'Download of SFDC Activation Rep'!B:B,'Download of SFDC Activation Rep'!X:X)</f>
        <v>Matthew Frost</v>
      </c>
      <c r="L38" s="33">
        <f t="array" ref="L38">xlookup(A38,'Download of SFDC Activation Rep'!B:B,'Download of SFDC Activation Rep'!Z:Z)</f>
        <v>46098</v>
      </c>
    </row>
    <row r="39">
      <c r="F39" s="13" t="str">
        <f t="array" ref="F39">iferror(XLOOKUP(A39,'Download of SFDC Activation Rep'!B:B,'Download of SFDC Activation Rep'!H:H),"")</f>
        <v>Active</v>
      </c>
      <c r="G39" s="13" t="str">
        <f t="array" ref="G39">iferror(xlookup(A39,'Download of SFDC Activation Rep'!B:B,'Download of SFDC Activation Rep'!L:L),"")</f>
        <v/>
      </c>
      <c r="H39" s="17" t="str">
        <f t="shared" si="1"/>
        <v>Active</v>
      </c>
      <c r="I39" s="17" t="str">
        <f t="array" ref="I39">XLOOKUP(A39,'Download of SFDC Activation Rep'!B:B,'Download of SFDC Activation Rep'!T:T)</f>
        <v>006UU00000Lzkqq</v>
      </c>
      <c r="J39" s="17" t="str">
        <f t="array" ref="J39">iferror(XLOOKUP(A39,'Download of SFDC Activation Rep'!B:B,'Download of SFDC Activation Rep'!C:C),"")</f>
        <v>Congdon &amp; Coleman Real Estate</v>
      </c>
      <c r="K39" s="17" t="str">
        <f t="array" ref="K39">XLOOKUP(A39,'Download of SFDC Activation Rep'!B:B,'Download of SFDC Activation Rep'!X:X)</f>
        <v>Kate Olivares</v>
      </c>
      <c r="L39" s="33">
        <f t="array" ref="L39">xlookup(A39,'Download of SFDC Activation Rep'!B:B,'Download of SFDC Activation Rep'!Z:Z)</f>
        <v>45805</v>
      </c>
    </row>
    <row r="40">
      <c r="F40" s="13" t="str">
        <f t="array" ref="F40">iferror(XLOOKUP(A40,'Download of SFDC Activation Rep'!B:B,'Download of SFDC Activation Rep'!H:H),"")</f>
        <v>Active</v>
      </c>
      <c r="G40" s="13" t="str">
        <f t="array" ref="G40">iferror(xlookup(A40,'Download of SFDC Activation Rep'!B:B,'Download of SFDC Activation Rep'!L:L),"")</f>
        <v>Churned</v>
      </c>
      <c r="H40" s="17" t="str">
        <f t="shared" si="1"/>
        <v>Active</v>
      </c>
      <c r="I40" s="17" t="str">
        <f t="array" ref="I40">XLOOKUP(A40,'Download of SFDC Activation Rep'!B:B,'Download of SFDC Activation Rep'!T:T)</f>
        <v>006UU00000MQpnB</v>
      </c>
      <c r="J40" s="17" t="str">
        <f t="array" ref="J40">iferror(XLOOKUP(A40,'Download of SFDC Activation Rep'!B:B,'Download of SFDC Activation Rep'!C:C),"")</f>
        <v>ANALYTICAL WATER SOLUTIONS INC.</v>
      </c>
      <c r="K40" s="17" t="str">
        <f t="array" ref="K40">XLOOKUP(A40,'Download of SFDC Activation Rep'!B:B,'Download of SFDC Activation Rep'!X:X)</f>
        <v>Kate Olivares</v>
      </c>
      <c r="L40" s="33">
        <f t="array" ref="L40">xlookup(A40,'Download of SFDC Activation Rep'!B:B,'Download of SFDC Activation Rep'!Z:Z)</f>
        <v>45870</v>
      </c>
    </row>
    <row r="41">
      <c r="F41" s="13" t="str">
        <f t="array" ref="F41">iferror(XLOOKUP(A41,'Download of SFDC Activation Rep'!B:B,'Download of SFDC Activation Rep'!H:H),"")</f>
        <v>Active</v>
      </c>
      <c r="G41" s="13" t="str">
        <f t="array" ref="G41">iferror(xlookup(A41,'Download of SFDC Activation Rep'!B:B,'Download of SFDC Activation Rep'!L:L),"")</f>
        <v/>
      </c>
      <c r="H41" s="17" t="str">
        <f t="shared" si="1"/>
        <v>Active</v>
      </c>
      <c r="I41" s="17" t="str">
        <f t="array" ref="I41">XLOOKUP(A41,'Download of SFDC Activation Rep'!B:B,'Download of SFDC Activation Rep'!T:T)</f>
        <v>006UU00000Lzkr4</v>
      </c>
      <c r="J41" s="17" t="str">
        <f t="array" ref="J41">iferror(XLOOKUP(A41,'Download of SFDC Activation Rep'!B:B,'Download of SFDC Activation Rep'!C:C),"")</f>
        <v>Berkovitch &amp; Bouskila Pllc</v>
      </c>
      <c r="K41" s="17" t="str">
        <f t="array" ref="K41">XLOOKUP(A41,'Download of SFDC Activation Rep'!B:B,'Download of SFDC Activation Rep'!X:X)</f>
        <v>Kate Olivares</v>
      </c>
      <c r="L41" s="33">
        <f t="array" ref="L41">xlookup(A41,'Download of SFDC Activation Rep'!B:B,'Download of SFDC Activation Rep'!Z:Z)</f>
        <v>45873</v>
      </c>
    </row>
    <row r="42">
      <c r="F42" s="13" t="str">
        <f t="array" ref="F42">iferror(XLOOKUP(A42,'Download of SFDC Activation Rep'!B:B,'Download of SFDC Activation Rep'!H:H),"")</f>
        <v>Active</v>
      </c>
      <c r="G42" s="13" t="str">
        <f t="array" ref="G42">iferror(xlookup(A42,'Download of SFDC Activation Rep'!B:B,'Download of SFDC Activation Rep'!L:L),"")</f>
        <v/>
      </c>
      <c r="H42" s="17" t="str">
        <f t="shared" si="1"/>
        <v>Active</v>
      </c>
      <c r="I42" s="17" t="str">
        <f t="array" ref="I42">XLOOKUP(A42,'Download of SFDC Activation Rep'!B:B,'Download of SFDC Activation Rep'!T:T)</f>
        <v>006VT00000rLcgU</v>
      </c>
      <c r="J42" s="17" t="str">
        <f t="array" ref="J42">iferror(XLOOKUP(A42,'Download of SFDC Activation Rep'!B:B,'Download of SFDC Activation Rep'!C:C),"")</f>
        <v>Talcan Systems, LLC</v>
      </c>
      <c r="K42" s="17" t="str">
        <f t="array" ref="K42">XLOOKUP(A42,'Download of SFDC Activation Rep'!B:B,'Download of SFDC Activation Rep'!X:X)</f>
        <v>Arianna Modesti</v>
      </c>
      <c r="L42" s="33">
        <f t="array" ref="L42">xlookup(A42,'Download of SFDC Activation Rep'!B:B,'Download of SFDC Activation Rep'!Z:Z)</f>
        <v>46169</v>
      </c>
    </row>
    <row r="43">
      <c r="F43" s="13" t="str">
        <f t="array" ref="F43">iferror(XLOOKUP(A43,'Download of SFDC Activation Rep'!B:B,'Download of SFDC Activation Rep'!H:H),"")</f>
        <v>Active</v>
      </c>
      <c r="G43" s="13" t="str">
        <f t="array" ref="G43">iferror(xlookup(A43,'Download of SFDC Activation Rep'!B:B,'Download of SFDC Activation Rep'!L:L),"")</f>
        <v>Active</v>
      </c>
      <c r="H43" s="17" t="str">
        <f t="shared" si="1"/>
        <v>Active</v>
      </c>
      <c r="I43" s="17" t="str">
        <f t="array" ref="I43">XLOOKUP(A43,'Download of SFDC Activation Rep'!B:B,'Download of SFDC Activation Rep'!T:T)</f>
        <v>006UU00000O7JjF</v>
      </c>
      <c r="J43" s="17" t="str">
        <f t="array" ref="J43">iferror(XLOOKUP(A43,'Download of SFDC Activation Rep'!B:B,'Download of SFDC Activation Rep'!C:C),"")</f>
        <v>Field Sports Publishing, Inc.</v>
      </c>
      <c r="K43" s="17" t="str">
        <f t="array" ref="K43">XLOOKUP(A43,'Download of SFDC Activation Rep'!B:B,'Download of SFDC Activation Rep'!X:X)</f>
        <v>Matthew Frost</v>
      </c>
      <c r="L43" s="33">
        <f t="array" ref="L43">xlookup(A43,'Download of SFDC Activation Rep'!B:B,'Download of SFDC Activation Rep'!Z:Z)</f>
        <v>46009</v>
      </c>
    </row>
    <row r="44">
      <c r="F44" s="13" t="str">
        <f t="array" ref="F44">iferror(XLOOKUP(A44,'Download of SFDC Activation Rep'!B:B,'Download of SFDC Activation Rep'!H:H),"")</f>
        <v>Active</v>
      </c>
      <c r="G44" s="13" t="str">
        <f t="array" ref="G44">iferror(xlookup(A44,'Download of SFDC Activation Rep'!B:B,'Download of SFDC Activation Rep'!L:L),"")</f>
        <v/>
      </c>
      <c r="H44" s="17" t="str">
        <f t="shared" si="1"/>
        <v>Active</v>
      </c>
      <c r="I44" s="17" t="str">
        <f t="array" ref="I44">XLOOKUP(A44,'Download of SFDC Activation Rep'!B:B,'Download of SFDC Activation Rep'!T:T)</f>
        <v>006VT00000o1YIz</v>
      </c>
      <c r="J44" s="17" t="str">
        <f t="array" ref="J44">iferror(XLOOKUP(A44,'Download of SFDC Activation Rep'!B:B,'Download of SFDC Activation Rep'!C:C),"")</f>
        <v>CRNA Locum Jobs</v>
      </c>
      <c r="K44" s="17" t="str">
        <f t="array" ref="K44">XLOOKUP(A44,'Download of SFDC Activation Rep'!B:B,'Download of SFDC Activation Rep'!X:X)</f>
        <v>Arianna Modesti</v>
      </c>
      <c r="L44" s="33">
        <f t="array" ref="L44">xlookup(A44,'Download of SFDC Activation Rep'!B:B,'Download of SFDC Activation Rep'!Z:Z)</f>
        <v>46099</v>
      </c>
    </row>
    <row r="45">
      <c r="F45" s="13" t="str">
        <f t="array" ref="F45">iferror(XLOOKUP(A45,'Download of SFDC Activation Rep'!B:B,'Download of SFDC Activation Rep'!H:H),"")</f>
        <v>Active</v>
      </c>
      <c r="G45" s="13" t="str">
        <f t="array" ref="G45">iferror(xlookup(A45,'Download of SFDC Activation Rep'!B:B,'Download of SFDC Activation Rep'!L:L),"")</f>
        <v/>
      </c>
      <c r="H45" s="17" t="str">
        <f t="shared" si="1"/>
        <v>Active</v>
      </c>
      <c r="I45" s="17" t="str">
        <f t="array" ref="I45">XLOOKUP(A45,'Download of SFDC Activation Rep'!B:B,'Download of SFDC Activation Rep'!T:T)</f>
        <v>006UU00000LzrZr</v>
      </c>
      <c r="J45" s="17" t="str">
        <f t="array" ref="J45">iferror(XLOOKUP(A45,'Download of SFDC Activation Rep'!B:B,'Download of SFDC Activation Rep'!C:C),"")</f>
        <v>Taylor Brothers Architectural Products</v>
      </c>
      <c r="K45" s="17" t="str">
        <f t="array" ref="K45">XLOOKUP(A45,'Download of SFDC Activation Rep'!B:B,'Download of SFDC Activation Rep'!X:X)</f>
        <v>Kate Olivares</v>
      </c>
      <c r="L45" s="33">
        <f t="array" ref="L45">xlookup(A45,'Download of SFDC Activation Rep'!B:B,'Download of SFDC Activation Rep'!Z:Z)</f>
        <v>45870</v>
      </c>
    </row>
    <row r="46">
      <c r="F46" s="13" t="str">
        <f t="array" ref="F46">iferror(XLOOKUP(A46,'Download of SFDC Activation Rep'!B:B,'Download of SFDC Activation Rep'!H:H),"")</f>
        <v>Active</v>
      </c>
      <c r="G46" s="13" t="str">
        <f t="array" ref="G46">iferror(xlookup(A46,'Download of SFDC Activation Rep'!B:B,'Download of SFDC Activation Rep'!L:L),"")</f>
        <v>Active</v>
      </c>
      <c r="H46" s="17" t="str">
        <f t="shared" si="1"/>
        <v>Active</v>
      </c>
      <c r="I46" s="17" t="str">
        <f t="array" ref="I46">XLOOKUP(A46,'Download of SFDC Activation Rep'!B:B,'Download of SFDC Activation Rep'!T:T)</f>
        <v>006UU00000Lzkqm</v>
      </c>
      <c r="J46" s="17" t="str">
        <f t="array" ref="J46">iferror(XLOOKUP(A46,'Download of SFDC Activation Rep'!B:B,'Download of SFDC Activation Rep'!C:C),"")</f>
        <v>ReSure Tax Tactics and Strategies LLC</v>
      </c>
      <c r="K46" s="17" t="str">
        <f t="array" ref="K46">XLOOKUP(A46,'Download of SFDC Activation Rep'!B:B,'Download of SFDC Activation Rep'!X:X)</f>
        <v>Kate Olivares</v>
      </c>
      <c r="L46" s="33">
        <f t="array" ref="L46">xlookup(A46,'Download of SFDC Activation Rep'!B:B,'Download of SFDC Activation Rep'!Z:Z)</f>
        <v>45806</v>
      </c>
    </row>
    <row r="47">
      <c r="F47" s="13" t="str">
        <f t="array" ref="F47">iferror(XLOOKUP(A47,'Download of SFDC Activation Rep'!B:B,'Download of SFDC Activation Rep'!H:H),"")</f>
        <v>Active</v>
      </c>
      <c r="G47" s="13" t="str">
        <f t="array" ref="G47">iferror(xlookup(A47,'Download of SFDC Activation Rep'!B:B,'Download of SFDC Activation Rep'!L:L),"")</f>
        <v/>
      </c>
      <c r="H47" s="17" t="str">
        <f t="shared" si="1"/>
        <v>Active</v>
      </c>
      <c r="I47" s="17" t="str">
        <f t="array" ref="I47">XLOOKUP(A47,'Download of SFDC Activation Rep'!B:B,'Download of SFDC Activation Rep'!T:T)</f>
        <v>006UU00000MpXyA</v>
      </c>
      <c r="J47" s="17" t="str">
        <f t="array" ref="J47">iferror(XLOOKUP(A47,'Download of SFDC Activation Rep'!B:B,'Download of SFDC Activation Rep'!C:C),"")</f>
        <v>UC Gelato llc</v>
      </c>
      <c r="K47" s="17" t="str">
        <f t="array" ref="K47">XLOOKUP(A47,'Download of SFDC Activation Rep'!B:B,'Download of SFDC Activation Rep'!X:X)</f>
        <v>Matthew Frost</v>
      </c>
      <c r="L47" s="33">
        <f t="array" ref="L47">xlookup(A47,'Download of SFDC Activation Rep'!B:B,'Download of SFDC Activation Rep'!Z:Z)</f>
        <v>45974</v>
      </c>
    </row>
    <row r="48">
      <c r="F48" s="13" t="str">
        <f t="array" ref="F48">iferror(XLOOKUP(A48,'Download of SFDC Activation Rep'!B:B,'Download of SFDC Activation Rep'!H:H),"")</f>
        <v>Active</v>
      </c>
      <c r="G48" s="13" t="str">
        <f t="array" ref="G48">iferror(xlookup(A48,'Download of SFDC Activation Rep'!B:B,'Download of SFDC Activation Rep'!L:L),"")</f>
        <v/>
      </c>
      <c r="H48" s="17" t="str">
        <f t="shared" si="1"/>
        <v>Active</v>
      </c>
      <c r="I48" s="17" t="str">
        <f t="array" ref="I48">XLOOKUP(A48,'Download of SFDC Activation Rep'!B:B,'Download of SFDC Activation Rep'!T:T)</f>
        <v>006VT00000nRBzG</v>
      </c>
      <c r="J48" s="17" t="str">
        <f t="array" ref="J48">iferror(XLOOKUP(A48,'Download of SFDC Activation Rep'!B:B,'Download of SFDC Activation Rep'!C:C),"")</f>
        <v>TAVco Holdings I LLC</v>
      </c>
      <c r="K48" s="17" t="str">
        <f t="array" ref="K48">XLOOKUP(A48,'Download of SFDC Activation Rep'!B:B,'Download of SFDC Activation Rep'!X:X)</f>
        <v>Matthew Frost</v>
      </c>
      <c r="L48" s="33">
        <f t="array" ref="L48">xlookup(A48,'Download of SFDC Activation Rep'!B:B,'Download of SFDC Activation Rep'!Z:Z)</f>
        <v>46086</v>
      </c>
    </row>
    <row r="49">
      <c r="F49" s="13" t="str">
        <f t="array" ref="F49">iferror(XLOOKUP(A49,'Download of SFDC Activation Rep'!B:B,'Download of SFDC Activation Rep'!H:H),"")</f>
        <v>Active</v>
      </c>
      <c r="G49" s="13" t="str">
        <f t="array" ref="G49">iferror(xlookup(A49,'Download of SFDC Activation Rep'!B:B,'Download of SFDC Activation Rep'!L:L),"")</f>
        <v>Active</v>
      </c>
      <c r="H49" s="17" t="str">
        <f t="shared" si="1"/>
        <v>Active</v>
      </c>
      <c r="I49" s="17" t="str">
        <f t="array" ref="I49">XLOOKUP(A49,'Download of SFDC Activation Rep'!B:B,'Download of SFDC Activation Rep'!T:T)</f>
        <v>006VT00000oaqEc</v>
      </c>
      <c r="J49" s="17" t="str">
        <f t="array" ref="J49">iferror(XLOOKUP(A49,'Download of SFDC Activation Rep'!B:B,'Download of SFDC Activation Rep'!C:C),"")</f>
        <v>Bauer Home Furnishings</v>
      </c>
      <c r="K49" s="17" t="str">
        <f t="array" ref="K49">XLOOKUP(A49,'Download of SFDC Activation Rep'!B:B,'Download of SFDC Activation Rep'!X:X)</f>
        <v>Arianna Modesti</v>
      </c>
      <c r="L49" s="33">
        <f t="array" ref="L49">xlookup(A49,'Download of SFDC Activation Rep'!B:B,'Download of SFDC Activation Rep'!Z:Z)</f>
        <v>46111</v>
      </c>
    </row>
    <row r="50">
      <c r="F50" s="13" t="str">
        <f t="array" ref="F50">iferror(XLOOKUP(A50,'Download of SFDC Activation Rep'!B:B,'Download of SFDC Activation Rep'!H:H),"")</f>
        <v>Active</v>
      </c>
      <c r="G50" s="13" t="str">
        <f t="array" ref="G50">iferror(xlookup(A50,'Download of SFDC Activation Rep'!B:B,'Download of SFDC Activation Rep'!L:L),"")</f>
        <v/>
      </c>
      <c r="H50" s="17" t="str">
        <f t="shared" si="1"/>
        <v>Active</v>
      </c>
      <c r="I50" s="17" t="str">
        <f t="array" ref="I50">XLOOKUP(A50,'Download of SFDC Activation Rep'!B:B,'Download of SFDC Activation Rep'!T:T)</f>
        <v>006VT00000n13XW</v>
      </c>
      <c r="J50" s="17" t="str">
        <f t="array" ref="J50">iferror(XLOOKUP(A50,'Download of SFDC Activation Rep'!B:B,'Download of SFDC Activation Rep'!C:C),"")</f>
        <v>2Work</v>
      </c>
      <c r="K50" s="17" t="str">
        <f t="array" ref="K50">XLOOKUP(A50,'Download of SFDC Activation Rep'!B:B,'Download of SFDC Activation Rep'!X:X)</f>
        <v>Matthew Frost</v>
      </c>
      <c r="L50" s="33">
        <f t="array" ref="L50">xlookup(A50,'Download of SFDC Activation Rep'!B:B,'Download of SFDC Activation Rep'!Z:Z)</f>
        <v>46077</v>
      </c>
    </row>
    <row r="51">
      <c r="F51" s="13" t="str">
        <f t="array" ref="F51">iferror(XLOOKUP(A51,'Download of SFDC Activation Rep'!B:B,'Download of SFDC Activation Rep'!H:H),"")</f>
        <v/>
      </c>
      <c r="G51" s="13" t="str">
        <f t="array" ref="G51">iferror(xlookup(A51,'Download of SFDC Activation Rep'!B:B,'Download of SFDC Activation Rep'!L:L),"")</f>
        <v>Active</v>
      </c>
      <c r="H51" s="17" t="str">
        <f t="shared" si="1"/>
        <v>Active</v>
      </c>
      <c r="I51" s="17" t="str">
        <f t="array" ref="I51">XLOOKUP(A51,'Download of SFDC Activation Rep'!B:B,'Download of SFDC Activation Rep'!T:T)</f>
        <v>006UU00000MQpnI</v>
      </c>
      <c r="J51" s="17" t="str">
        <f t="array" ref="J51">iferror(XLOOKUP(A51,'Download of SFDC Activation Rep'!B:B,'Download of SFDC Activation Rep'!C:C),"")</f>
        <v>METI Dallas, LLC</v>
      </c>
      <c r="K51" s="17" t="str">
        <f t="array" ref="K51">XLOOKUP(A51,'Download of SFDC Activation Rep'!B:B,'Download of SFDC Activation Rep'!X:X)</f>
        <v>Kate Olivares</v>
      </c>
      <c r="L51" s="33">
        <f t="array" ref="L51">xlookup(A51,'Download of SFDC Activation Rep'!B:B,'Download of SFDC Activation Rep'!Z:Z)</f>
        <v>45876</v>
      </c>
    </row>
    <row r="52">
      <c r="F52" s="13" t="str">
        <f t="array" ref="F52">iferror(XLOOKUP(A52,'Download of SFDC Activation Rep'!B:B,'Download of SFDC Activation Rep'!H:H),"")</f>
        <v>Active</v>
      </c>
      <c r="G52" s="13" t="str">
        <f t="array" ref="G52">iferror(xlookup(A52,'Download of SFDC Activation Rep'!B:B,'Download of SFDC Activation Rep'!L:L),"")</f>
        <v/>
      </c>
      <c r="H52" s="17" t="str">
        <f t="shared" si="1"/>
        <v>Active</v>
      </c>
      <c r="I52" s="17" t="str">
        <f t="array" ref="I52">XLOOKUP(A52,'Download of SFDC Activation Rep'!B:B,'Download of SFDC Activation Rep'!T:T)</f>
        <v>006VT00000phFw6</v>
      </c>
      <c r="J52" s="17" t="str">
        <f t="array" ref="J52">iferror(XLOOKUP(A52,'Download of SFDC Activation Rep'!B:B,'Download of SFDC Activation Rep'!C:C),"")</f>
        <v>Covenant Construction Group Inc</v>
      </c>
      <c r="K52" s="17" t="str">
        <f t="array" ref="K52">XLOOKUP(A52,'Download of SFDC Activation Rep'!B:B,'Download of SFDC Activation Rep'!X:X)</f>
        <v>Arianna Modesti</v>
      </c>
      <c r="L52" s="33">
        <f t="array" ref="L52">xlookup(A52,'Download of SFDC Activation Rep'!B:B,'Download of SFDC Activation Rep'!Z:Z)</f>
        <v>46134</v>
      </c>
    </row>
    <row r="53">
      <c r="F53" s="13" t="str">
        <f t="array" ref="F53">iferror(XLOOKUP(A53,'Download of SFDC Activation Rep'!B:B,'Download of SFDC Activation Rep'!H:H),"")</f>
        <v>Active</v>
      </c>
      <c r="G53" s="13" t="str">
        <f t="array" ref="G53">iferror(xlookup(A53,'Download of SFDC Activation Rep'!B:B,'Download of SFDC Activation Rep'!L:L),"")</f>
        <v/>
      </c>
      <c r="H53" s="17" t="str">
        <f t="shared" si="1"/>
        <v>Active</v>
      </c>
      <c r="I53" s="17" t="str">
        <f t="array" ref="I53">XLOOKUP(A53,'Download of SFDC Activation Rep'!B:B,'Download of SFDC Activation Rep'!T:T)</f>
        <v>006UU00000N8qc7</v>
      </c>
      <c r="J53" s="17" t="str">
        <f t="array" ref="J53">iferror(XLOOKUP(A53,'Download of SFDC Activation Rep'!B:B,'Download of SFDC Activation Rep'!C:C),"")</f>
        <v>Acme Fine Wines</v>
      </c>
      <c r="K53" s="17" t="str">
        <f t="array" ref="K53">XLOOKUP(A53,'Download of SFDC Activation Rep'!B:B,'Download of SFDC Activation Rep'!X:X)</f>
        <v>Kate Olivares</v>
      </c>
      <c r="L53" s="33">
        <f t="array" ref="L53">xlookup(A53,'Download of SFDC Activation Rep'!B:B,'Download of SFDC Activation Rep'!Z:Z)</f>
        <v>45981</v>
      </c>
    </row>
    <row r="54">
      <c r="F54" s="13" t="str">
        <f t="array" ref="F54">iferror(XLOOKUP(A54,'Download of SFDC Activation Rep'!B:B,'Download of SFDC Activation Rep'!H:H),"")</f>
        <v>Active</v>
      </c>
      <c r="G54" s="13" t="str">
        <f t="array" ref="G54">iferror(xlookup(A54,'Download of SFDC Activation Rep'!B:B,'Download of SFDC Activation Rep'!L:L),"")</f>
        <v/>
      </c>
      <c r="H54" s="17" t="str">
        <f t="shared" si="1"/>
        <v>Active</v>
      </c>
      <c r="I54" s="17" t="str">
        <f t="array" ref="I54">XLOOKUP(A54,'Download of SFDC Activation Rep'!B:B,'Download of SFDC Activation Rep'!T:T)</f>
        <v>006UU00000P2jh1</v>
      </c>
      <c r="J54" s="17" t="str">
        <f t="array" ref="J54">iferror(XLOOKUP(A54,'Download of SFDC Activation Rep'!B:B,'Download of SFDC Activation Rep'!C:C),"")</f>
        <v>Herbert Law Group, LLC</v>
      </c>
      <c r="L54" s="33">
        <f t="array" ref="L54">xlookup(A54,'Download of SFDC Activation Rep'!B:B,'Download of SFDC Activation Rep'!Z:Z)</f>
        <v>46037</v>
      </c>
    </row>
    <row r="55">
      <c r="F55" s="13" t="str">
        <f t="array" ref="F55">iferror(XLOOKUP(A55,'Download of SFDC Activation Rep'!B:B,'Download of SFDC Activation Rep'!H:H),"")</f>
        <v>Active</v>
      </c>
      <c r="G55" s="13" t="str">
        <f t="array" ref="G55">iferror(xlookup(A55,'Download of SFDC Activation Rep'!B:B,'Download of SFDC Activation Rep'!L:L),"")</f>
        <v>Churned</v>
      </c>
      <c r="H55" s="17" t="str">
        <f t="shared" si="1"/>
        <v>Active</v>
      </c>
      <c r="I55" s="17" t="str">
        <f t="array" ref="I55">XLOOKUP(A55,'Download of SFDC Activation Rep'!B:B,'Download of SFDC Activation Rep'!T:T)</f>
        <v>006UU00000LzkrL</v>
      </c>
      <c r="J55" s="17" t="str">
        <f t="array" ref="J55">iferror(XLOOKUP(A55,'Download of SFDC Activation Rep'!B:B,'Download of SFDC Activation Rep'!C:C),"")</f>
        <v>The Arts Club of Chicago</v>
      </c>
      <c r="K55" s="17" t="str">
        <f t="array" ref="K55">XLOOKUP(A55,'Download of SFDC Activation Rep'!B:B,'Download of SFDC Activation Rep'!X:X)</f>
        <v>Matthew Frost</v>
      </c>
      <c r="L55" s="33">
        <f t="array" ref="L55">xlookup(A55,'Download of SFDC Activation Rep'!B:B,'Download of SFDC Activation Rep'!Z:Z)</f>
        <v>45904</v>
      </c>
    </row>
    <row r="56">
      <c r="F56" s="13" t="str">
        <f t="array" ref="F56">iferror(XLOOKUP(A56,'Download of SFDC Activation Rep'!B:B,'Download of SFDC Activation Rep'!H:H),"")</f>
        <v>Active</v>
      </c>
      <c r="G56" s="13" t="str">
        <f t="array" ref="G56">iferror(xlookup(A56,'Download of SFDC Activation Rep'!B:B,'Download of SFDC Activation Rep'!L:L),"")</f>
        <v/>
      </c>
      <c r="H56" s="17" t="str">
        <f t="shared" si="1"/>
        <v>Active</v>
      </c>
      <c r="I56" s="17" t="str">
        <f t="array" ref="I56">XLOOKUP(A56,'Download of SFDC Activation Rep'!B:B,'Download of SFDC Activation Rep'!T:T)</f>
        <v>006UU00000MQpnS</v>
      </c>
      <c r="J56" s="17" t="str">
        <f t="array" ref="J56">iferror(XLOOKUP(A56,'Download of SFDC Activation Rep'!B:B,'Download of SFDC Activation Rep'!C:C),"")</f>
        <v>Meralex Farm, Inc.</v>
      </c>
      <c r="K56" s="17" t="str">
        <f t="array" ref="K56">XLOOKUP(A56,'Download of SFDC Activation Rep'!B:B,'Download of SFDC Activation Rep'!X:X)</f>
        <v>Kate Olivares</v>
      </c>
      <c r="L56" s="33">
        <f t="array" ref="L56">xlookup(A56,'Download of SFDC Activation Rep'!B:B,'Download of SFDC Activation Rep'!Z:Z)</f>
        <v>45809</v>
      </c>
    </row>
    <row r="57">
      <c r="F57" s="13" t="str">
        <f t="array" ref="F57">iferror(XLOOKUP(A57,'Download of SFDC Activation Rep'!B:B,'Download of SFDC Activation Rep'!H:H),"")</f>
        <v>Active</v>
      </c>
      <c r="G57" s="13" t="str">
        <f t="array" ref="G57">iferror(xlookup(A57,'Download of SFDC Activation Rep'!B:B,'Download of SFDC Activation Rep'!L:L),"")</f>
        <v/>
      </c>
      <c r="H57" s="17" t="str">
        <f t="shared" si="1"/>
        <v>Active</v>
      </c>
      <c r="I57" s="17" t="str">
        <f t="array" ref="I57">XLOOKUP(A57,'Download of SFDC Activation Rep'!B:B,'Download of SFDC Activation Rep'!T:T)</f>
        <v>006UU00000MIrPN</v>
      </c>
      <c r="J57" s="17" t="str">
        <f t="array" ref="J57">iferror(XLOOKUP(A57,'Download of SFDC Activation Rep'!B:B,'Download of SFDC Activation Rep'!C:C),"")</f>
        <v>National Rural Health Association</v>
      </c>
      <c r="K57" s="17" t="str">
        <f t="array" ref="K57">XLOOKUP(A57,'Download of SFDC Activation Rep'!B:B,'Download of SFDC Activation Rep'!X:X)</f>
        <v>Matthew Frost</v>
      </c>
      <c r="L57" s="33">
        <f t="array" ref="L57">xlookup(A57,'Download of SFDC Activation Rep'!B:B,'Download of SFDC Activation Rep'!Z:Z)</f>
        <v>45961</v>
      </c>
    </row>
    <row r="58">
      <c r="F58" s="13" t="str">
        <f t="array" ref="F58">iferror(XLOOKUP(A58,'Download of SFDC Activation Rep'!B:B,'Download of SFDC Activation Rep'!H:H),"")</f>
        <v>Active</v>
      </c>
      <c r="G58" s="13" t="str">
        <f t="array" ref="G58">iferror(xlookup(A58,'Download of SFDC Activation Rep'!B:B,'Download of SFDC Activation Rep'!L:L),"")</f>
        <v/>
      </c>
      <c r="H58" s="17" t="str">
        <f t="shared" si="1"/>
        <v>Active</v>
      </c>
      <c r="I58" s="17" t="str">
        <f t="array" ref="I58">XLOOKUP(A58,'Download of SFDC Activation Rep'!B:B,'Download of SFDC Activation Rep'!T:T)</f>
        <v>006UU00000Lzkqn</v>
      </c>
      <c r="J58" s="17" t="str">
        <f t="array" ref="J58">iferror(XLOOKUP(A58,'Download of SFDC Activation Rep'!B:B,'Download of SFDC Activation Rep'!C:C),"")</f>
        <v>Stupendous Events LLC</v>
      </c>
      <c r="K58" s="17" t="str">
        <f t="array" ref="K58">XLOOKUP(A58,'Download of SFDC Activation Rep'!B:B,'Download of SFDC Activation Rep'!X:X)</f>
        <v>Kate Olivares</v>
      </c>
      <c r="L58" s="33">
        <f t="array" ref="L58">xlookup(A58,'Download of SFDC Activation Rep'!B:B,'Download of SFDC Activation Rep'!Z:Z)</f>
        <v>45817</v>
      </c>
    </row>
    <row r="59">
      <c r="F59" s="13" t="str">
        <f t="array" ref="F59">iferror(XLOOKUP(A59,'Download of SFDC Activation Rep'!B:B,'Download of SFDC Activation Rep'!H:H),"")</f>
        <v>Active</v>
      </c>
      <c r="G59" s="13" t="str">
        <f t="array" ref="G59">iferror(xlookup(A59,'Download of SFDC Activation Rep'!B:B,'Download of SFDC Activation Rep'!L:L),"")</f>
        <v/>
      </c>
      <c r="H59" s="17" t="str">
        <f t="shared" si="1"/>
        <v>Active</v>
      </c>
      <c r="I59" s="17" t="str">
        <f t="array" ref="I59">XLOOKUP(A59,'Download of SFDC Activation Rep'!B:B,'Download of SFDC Activation Rep'!T:T)</f>
        <v>006VT00000m8uPZ</v>
      </c>
      <c r="J59" s="17" t="str">
        <f t="array" ref="J59">iferror(XLOOKUP(A59,'Download of SFDC Activation Rep'!B:B,'Download of SFDC Activation Rep'!C:C),"")</f>
        <v>St George Spirits</v>
      </c>
      <c r="K59" s="17" t="str">
        <f t="array" ref="K59">XLOOKUP(A59,'Download of SFDC Activation Rep'!B:B,'Download of SFDC Activation Rep'!X:X)</f>
        <v>Matthew Frost</v>
      </c>
      <c r="L59" s="33">
        <f t="array" ref="L59">xlookup(A59,'Download of SFDC Activation Rep'!B:B,'Download of SFDC Activation Rep'!Z:Z)</f>
        <v>46058</v>
      </c>
    </row>
    <row r="60">
      <c r="F60" s="13" t="str">
        <f t="array" ref="F60">iferror(XLOOKUP(A60,'Download of SFDC Activation Rep'!B:B,'Download of SFDC Activation Rep'!H:H),"")</f>
        <v>Active</v>
      </c>
      <c r="G60" s="13" t="str">
        <f t="array" ref="G60">iferror(xlookup(A60,'Download of SFDC Activation Rep'!B:B,'Download of SFDC Activation Rep'!L:L),"")</f>
        <v/>
      </c>
      <c r="H60" s="17" t="str">
        <f t="shared" si="1"/>
        <v>Active</v>
      </c>
      <c r="I60" s="17" t="str">
        <f t="array" ref="I60">XLOOKUP(A60,'Download of SFDC Activation Rep'!B:B,'Download of SFDC Activation Rep'!T:T)</f>
        <v>006VT00000m4kgX</v>
      </c>
      <c r="J60" s="17" t="str">
        <f t="array" ref="J60">iferror(XLOOKUP(A60,'Download of SFDC Activation Rep'!B:B,'Download of SFDC Activation Rep'!C:C),"")</f>
        <v>GF Equine LLC</v>
      </c>
      <c r="K60" s="17" t="str">
        <f t="array" ref="K60">XLOOKUP(A60,'Download of SFDC Activation Rep'!B:B,'Download of SFDC Activation Rep'!X:X)</f>
        <v>Matthew Frost</v>
      </c>
      <c r="L60" s="33">
        <f t="array" ref="L60">xlookup(A60,'Download of SFDC Activation Rep'!B:B,'Download of SFDC Activation Rep'!Z:Z)</f>
        <v>46057</v>
      </c>
    </row>
    <row r="61">
      <c r="F61" s="13" t="str">
        <f t="array" ref="F61">iferror(XLOOKUP(A61,'Download of SFDC Activation Rep'!B:B,'Download of SFDC Activation Rep'!H:H),"")</f>
        <v>Active</v>
      </c>
      <c r="G61" s="13" t="str">
        <f t="array" ref="G61">iferror(xlookup(A61,'Download of SFDC Activation Rep'!B:B,'Download of SFDC Activation Rep'!L:L),"")</f>
        <v/>
      </c>
      <c r="H61" s="17" t="str">
        <f t="shared" si="1"/>
        <v>Active</v>
      </c>
      <c r="I61" s="17" t="str">
        <f t="array" ref="I61">XLOOKUP(A61,'Download of SFDC Activation Rep'!B:B,'Download of SFDC Activation Rep'!T:T)</f>
        <v>006UU00000MQpnN</v>
      </c>
      <c r="J61" s="17" t="str">
        <f t="array" ref="J61">iferror(XLOOKUP(A61,'Download of SFDC Activation Rep'!B:B,'Download of SFDC Activation Rep'!C:C),"")</f>
        <v>CLS Brands LLC</v>
      </c>
      <c r="K61" s="17" t="str">
        <f t="array" ref="K61">XLOOKUP(A61,'Download of SFDC Activation Rep'!B:B,'Download of SFDC Activation Rep'!X:X)</f>
        <v>Kate Olivares</v>
      </c>
      <c r="L61" s="33">
        <f t="array" ref="L61">xlookup(A61,'Download of SFDC Activation Rep'!B:B,'Download of SFDC Activation Rep'!Z:Z)</f>
        <v>45809</v>
      </c>
    </row>
    <row r="62">
      <c r="F62" s="13" t="str">
        <f t="array" ref="F62">iferror(XLOOKUP(A62,'Download of SFDC Activation Rep'!B:B,'Download of SFDC Activation Rep'!H:H),"")</f>
        <v>Active</v>
      </c>
      <c r="G62" s="13" t="str">
        <f t="array" ref="G62">iferror(xlookup(A62,'Download of SFDC Activation Rep'!B:B,'Download of SFDC Activation Rep'!L:L),"")</f>
        <v/>
      </c>
      <c r="H62" s="17" t="str">
        <f t="shared" si="1"/>
        <v>Active</v>
      </c>
      <c r="I62" s="17" t="str">
        <f t="array" ref="I62">XLOOKUP(A62,'Download of SFDC Activation Rep'!B:B,'Download of SFDC Activation Rep'!T:T)</f>
        <v>006UU00000LlvrZ</v>
      </c>
      <c r="J62" s="17" t="str">
        <f t="array" ref="J62">iferror(XLOOKUP(A62,'Download of SFDC Activation Rep'!B:B,'Download of SFDC Activation Rep'!C:C),"")</f>
        <v>Texas Winds Musical Outreach</v>
      </c>
      <c r="K62" s="17" t="str">
        <f t="array" ref="K62">XLOOKUP(A62,'Download of SFDC Activation Rep'!B:B,'Download of SFDC Activation Rep'!X:X)</f>
        <v>Matthew Frost</v>
      </c>
      <c r="L62" s="33">
        <f t="array" ref="L62">xlookup(A62,'Download of SFDC Activation Rep'!B:B,'Download of SFDC Activation Rep'!Z:Z)</f>
        <v>45947</v>
      </c>
    </row>
    <row r="63">
      <c r="F63" s="13" t="str">
        <f t="array" ref="F63">iferror(XLOOKUP(A63,'Download of SFDC Activation Rep'!B:B,'Download of SFDC Activation Rep'!H:H),"")</f>
        <v>Active</v>
      </c>
      <c r="G63" s="13" t="str">
        <f t="array" ref="G63">iferror(xlookup(A63,'Download of SFDC Activation Rep'!B:B,'Download of SFDC Activation Rep'!L:L),"")</f>
        <v/>
      </c>
      <c r="H63" s="17" t="str">
        <f t="shared" si="1"/>
        <v>Active</v>
      </c>
      <c r="I63" s="17" t="str">
        <f t="array" ref="I63">XLOOKUP(A63,'Download of SFDC Activation Rep'!B:B,'Download of SFDC Activation Rep'!T:T)</f>
        <v>006UU00000MNO9q</v>
      </c>
      <c r="J63" s="17" t="str">
        <f t="array" ref="J63">iferror(XLOOKUP(A63,'Download of SFDC Activation Rep'!B:B,'Download of SFDC Activation Rep'!C:C),"")</f>
        <v>Johnston LLC</v>
      </c>
      <c r="K63" s="17" t="str">
        <f t="array" ref="K63">XLOOKUP(A63,'Download of SFDC Activation Rep'!B:B,'Download of SFDC Activation Rep'!X:X)</f>
        <v>Matthew Frost</v>
      </c>
      <c r="L63" s="33">
        <f t="array" ref="L63">xlookup(A63,'Download of SFDC Activation Rep'!B:B,'Download of SFDC Activation Rep'!Z:Z)</f>
        <v>45964</v>
      </c>
    </row>
    <row r="64">
      <c r="F64" s="13" t="str">
        <f t="array" ref="F64">iferror(XLOOKUP(A64,'Download of SFDC Activation Rep'!B:B,'Download of SFDC Activation Rep'!H:H),"")</f>
        <v>Active</v>
      </c>
      <c r="G64" s="13" t="str">
        <f t="array" ref="G64">iferror(xlookup(A64,'Download of SFDC Activation Rep'!B:B,'Download of SFDC Activation Rep'!L:L),"")</f>
        <v/>
      </c>
      <c r="H64" s="17" t="str">
        <f t="shared" si="1"/>
        <v>Active</v>
      </c>
      <c r="I64" s="17" t="str">
        <f t="array" ref="I64">XLOOKUP(A64,'Download of SFDC Activation Rep'!B:B,'Download of SFDC Activation Rep'!T:T)</f>
        <v>006UU00000L4wu9</v>
      </c>
      <c r="J64" s="17" t="str">
        <f t="array" ref="J64">iferror(XLOOKUP(A64,'Download of SFDC Activation Rep'!B:B,'Download of SFDC Activation Rep'!C:C),"")</f>
        <v>Places to Age</v>
      </c>
      <c r="K64" s="17" t="str">
        <f t="array" ref="K64">XLOOKUP(A64,'Download of SFDC Activation Rep'!B:B,'Download of SFDC Activation Rep'!X:X)</f>
        <v>Matthew Frost</v>
      </c>
      <c r="L64" s="33">
        <f t="array" ref="L64">xlookup(A64,'Download of SFDC Activation Rep'!B:B,'Download of SFDC Activation Rep'!Z:Z)</f>
        <v>45930</v>
      </c>
    </row>
    <row r="65">
      <c r="F65" s="13" t="str">
        <f t="array" ref="F65">iferror(XLOOKUP(A65,'Download of SFDC Activation Rep'!B:B,'Download of SFDC Activation Rep'!H:H),"")</f>
        <v>Active</v>
      </c>
      <c r="G65" s="13" t="str">
        <f t="array" ref="G65">iferror(xlookup(A65,'Download of SFDC Activation Rep'!B:B,'Download of SFDC Activation Rep'!L:L),"")</f>
        <v/>
      </c>
      <c r="H65" s="17" t="str">
        <f t="shared" si="1"/>
        <v>Active</v>
      </c>
      <c r="I65" s="17" t="str">
        <f t="array" ref="I65">XLOOKUP(A65,'Download of SFDC Activation Rep'!B:B,'Download of SFDC Activation Rep'!T:T)</f>
        <v>006UU00000MQpnH</v>
      </c>
      <c r="J65" s="17" t="str">
        <f t="array" ref="J65">iferror(XLOOKUP(A65,'Download of SFDC Activation Rep'!B:B,'Download of SFDC Activation Rep'!C:C),"")</f>
        <v>Coastal Speech Pathology, LLC.</v>
      </c>
      <c r="K65" s="17" t="str">
        <f t="array" ref="K65">XLOOKUP(A65,'Download of SFDC Activation Rep'!B:B,'Download of SFDC Activation Rep'!X:X)</f>
        <v>Kate Olivares</v>
      </c>
      <c r="L65" s="33">
        <f t="array" ref="L65">xlookup(A65,'Download of SFDC Activation Rep'!B:B,'Download of SFDC Activation Rep'!Z:Z)</f>
        <v>45870</v>
      </c>
    </row>
    <row r="66">
      <c r="F66" s="13" t="str">
        <f t="array" ref="F66">iferror(XLOOKUP(A66,'Download of SFDC Activation Rep'!B:B,'Download of SFDC Activation Rep'!H:H),"")</f>
        <v/>
      </c>
      <c r="G66" s="13" t="str">
        <f t="array" ref="G66">iferror(xlookup(A66,'Download of SFDC Activation Rep'!B:B,'Download of SFDC Activation Rep'!L:L),"")</f>
        <v>Active</v>
      </c>
      <c r="H66" s="17" t="str">
        <f t="shared" si="1"/>
        <v>Active</v>
      </c>
      <c r="I66" s="17" t="str">
        <f t="array" ref="I66">XLOOKUP(A66,'Download of SFDC Activation Rep'!B:B,'Download of SFDC Activation Rep'!T:T)</f>
        <v>006UU00000KfrEY</v>
      </c>
      <c r="J66" s="17" t="str">
        <f t="array" ref="J66">iferror(XLOOKUP(A66,'Download of SFDC Activation Rep'!B:B,'Download of SFDC Activation Rep'!C:C),"")</f>
        <v>Paydirt Earthworks Support Services LLC</v>
      </c>
      <c r="K66" s="17" t="str">
        <f t="array" ref="K66">XLOOKUP(A66,'Download of SFDC Activation Rep'!B:B,'Download of SFDC Activation Rep'!X:X)</f>
        <v>Matthew Frost</v>
      </c>
      <c r="L66" s="33">
        <f t="array" ref="L66">xlookup(A66,'Download of SFDC Activation Rep'!B:B,'Download of SFDC Activation Rep'!Z:Z)</f>
        <v>45918</v>
      </c>
    </row>
    <row r="67">
      <c r="F67" s="13" t="str">
        <f t="array" ref="F67">iferror(XLOOKUP(A67,'Download of SFDC Activation Rep'!B:B,'Download of SFDC Activation Rep'!H:H),"")</f>
        <v>Active</v>
      </c>
      <c r="G67" s="13" t="str">
        <f t="array" ref="G67">iferror(xlookup(A67,'Download of SFDC Activation Rep'!B:B,'Download of SFDC Activation Rep'!L:L),"")</f>
        <v/>
      </c>
      <c r="H67" s="17" t="str">
        <f t="shared" si="1"/>
        <v>Active</v>
      </c>
      <c r="I67" s="17" t="str">
        <f t="array" ref="I67">XLOOKUP(A67,'Download of SFDC Activation Rep'!B:B,'Download of SFDC Activation Rep'!T:T)</f>
        <v>006VT00000sgdkJ</v>
      </c>
      <c r="J67" s="17" t="str">
        <f t="array" ref="J67">iferror(XLOOKUP(A67,'Download of SFDC Activation Rep'!B:B,'Download of SFDC Activation Rep'!C:C),"")</f>
        <v>Buyers Choice USA</v>
      </c>
      <c r="K67" s="17" t="str">
        <f t="array" ref="K67">XLOOKUP(A67,'Download of SFDC Activation Rep'!B:B,'Download of SFDC Activation Rep'!X:X)</f>
        <v>Arianna Modesti</v>
      </c>
      <c r="L67" s="33">
        <f t="array" ref="L67">xlookup(A67,'Download of SFDC Activation Rep'!B:B,'Download of SFDC Activation Rep'!Z:Z)</f>
        <v>46197</v>
      </c>
    </row>
    <row r="68">
      <c r="F68" s="13" t="str">
        <f t="array" ref="F68">iferror(XLOOKUP(A68,'Download of SFDC Activation Rep'!B:B,'Download of SFDC Activation Rep'!H:H),"")</f>
        <v>Active</v>
      </c>
      <c r="G68" s="13" t="str">
        <f t="array" ref="G68">iferror(xlookup(A68,'Download of SFDC Activation Rep'!B:B,'Download of SFDC Activation Rep'!L:L),"")</f>
        <v>Churned</v>
      </c>
      <c r="H68" s="17" t="str">
        <f t="shared" si="1"/>
        <v>Active</v>
      </c>
      <c r="I68" s="17" t="str">
        <f t="array" ref="I68">XLOOKUP(A68,'Download of SFDC Activation Rep'!B:B,'Download of SFDC Activation Rep'!T:T)</f>
        <v>006UU00000Lzkqv</v>
      </c>
      <c r="J68" s="17" t="str">
        <f t="array" ref="J68">iferror(XLOOKUP(A68,'Download of SFDC Activation Rep'!B:B,'Download of SFDC Activation Rep'!C:C),"")</f>
        <v>American Shoring Inc</v>
      </c>
      <c r="K68" s="17" t="str">
        <f t="array" ref="K68">XLOOKUP(A68,'Download of SFDC Activation Rep'!B:B,'Download of SFDC Activation Rep'!X:X)</f>
        <v>Matthew Frost</v>
      </c>
      <c r="L68" s="33">
        <f t="array" ref="L68">xlookup(A68,'Download of SFDC Activation Rep'!B:B,'Download of SFDC Activation Rep'!Z:Z)</f>
        <v>45894</v>
      </c>
    </row>
    <row r="69">
      <c r="F69" s="13" t="str">
        <f t="array" ref="F69">iferror(XLOOKUP(A69,'Download of SFDC Activation Rep'!B:B,'Download of SFDC Activation Rep'!H:H),"")</f>
        <v>Active</v>
      </c>
      <c r="G69" s="13" t="str">
        <f t="array" ref="G69">iferror(xlookup(A69,'Download of SFDC Activation Rep'!B:B,'Download of SFDC Activation Rep'!L:L),"")</f>
        <v/>
      </c>
      <c r="H69" s="17" t="str">
        <f t="shared" si="1"/>
        <v>Active</v>
      </c>
      <c r="I69" s="17" t="str">
        <f t="array" ref="I69">XLOOKUP(A69,'Download of SFDC Activation Rep'!B:B,'Download of SFDC Activation Rep'!T:T)</f>
        <v>006UU00000NnFru</v>
      </c>
      <c r="J69" s="17" t="str">
        <f t="array" ref="J69">iferror(XLOOKUP(A69,'Download of SFDC Activation Rep'!B:B,'Download of SFDC Activation Rep'!C:C),"")</f>
        <v>Mark S Dill DDS PLLC</v>
      </c>
      <c r="K69" s="17" t="str">
        <f t="array" ref="K69">XLOOKUP(A69,'Download of SFDC Activation Rep'!B:B,'Download of SFDC Activation Rep'!X:X)</f>
        <v>Matthew Frost</v>
      </c>
      <c r="L69" s="33">
        <f t="array" ref="L69">xlookup(A69,'Download of SFDC Activation Rep'!B:B,'Download of SFDC Activation Rep'!Z:Z)</f>
        <v>46001</v>
      </c>
    </row>
    <row r="70">
      <c r="F70" s="13" t="str">
        <f t="array" ref="F70">iferror(XLOOKUP(A70,'Download of SFDC Activation Rep'!B:B,'Download of SFDC Activation Rep'!H:H),"")</f>
        <v>Active</v>
      </c>
      <c r="G70" s="13" t="str">
        <f t="array" ref="G70">iferror(xlookup(A70,'Download of SFDC Activation Rep'!B:B,'Download of SFDC Activation Rep'!L:L),"")</f>
        <v>Active</v>
      </c>
      <c r="H70" s="17" t="str">
        <f t="shared" si="1"/>
        <v>Active</v>
      </c>
      <c r="I70" s="17" t="str">
        <f t="array" ref="I70">XLOOKUP(A70,'Download of SFDC Activation Rep'!B:B,'Download of SFDC Activation Rep'!T:T)</f>
        <v>006VT00000pude2</v>
      </c>
      <c r="J70" s="17" t="str">
        <f t="array" ref="J70">iferror(XLOOKUP(A70,'Download of SFDC Activation Rep'!B:B,'Download of SFDC Activation Rep'!C:C),"")</f>
        <v>WHITE COLLAR MEDIA</v>
      </c>
      <c r="K70" s="17" t="str">
        <f t="array" ref="K70">XLOOKUP(A70,'Download of SFDC Activation Rep'!B:B,'Download of SFDC Activation Rep'!X:X)</f>
        <v>Arianna Modesti</v>
      </c>
      <c r="L70" s="33">
        <f t="array" ref="L70">xlookup(A70,'Download of SFDC Activation Rep'!B:B,'Download of SFDC Activation Rep'!Z:Z)</f>
        <v>46139</v>
      </c>
    </row>
    <row r="71">
      <c r="F71" s="13" t="str">
        <f t="array" ref="F71">iferror(XLOOKUP(A71,'Download of SFDC Activation Rep'!B:B,'Download of SFDC Activation Rep'!H:H),"")</f>
        <v>Active</v>
      </c>
      <c r="G71" s="13" t="str">
        <f t="array" ref="G71">iferror(xlookup(A71,'Download of SFDC Activation Rep'!B:B,'Download of SFDC Activation Rep'!L:L),"")</f>
        <v/>
      </c>
      <c r="H71" s="17" t="str">
        <f t="shared" si="1"/>
        <v>Active</v>
      </c>
      <c r="I71" s="17" t="str">
        <f t="array" ref="I71">XLOOKUP(A71,'Download of SFDC Activation Rep'!B:B,'Download of SFDC Activation Rep'!T:T)</f>
        <v>006VT00000sgdkH</v>
      </c>
      <c r="J71" s="17" t="str">
        <f t="array" ref="J71">iferror(XLOOKUP(A71,'Download of SFDC Activation Rep'!B:B,'Download of SFDC Activation Rep'!C:C),"")</f>
        <v>Marcus &amp; Pollack LLP</v>
      </c>
      <c r="K71" s="17" t="str">
        <f t="array" ref="K71">XLOOKUP(A71,'Download of SFDC Activation Rep'!B:B,'Download of SFDC Activation Rep'!X:X)</f>
        <v>Arianna Modesti</v>
      </c>
      <c r="L71" s="33">
        <f t="array" ref="L71">xlookup(A71,'Download of SFDC Activation Rep'!B:B,'Download of SFDC Activation Rep'!Z:Z)</f>
        <v>46197</v>
      </c>
    </row>
    <row r="72">
      <c r="F72" s="13" t="str">
        <f t="array" ref="F72">iferror(XLOOKUP(A72,'Download of SFDC Activation Rep'!B:B,'Download of SFDC Activation Rep'!H:H),"")</f>
        <v/>
      </c>
      <c r="G72" s="13" t="str">
        <f t="array" ref="G72">iferror(xlookup(A72,'Download of SFDC Activation Rep'!B:B,'Download of SFDC Activation Rep'!L:L),"")</f>
        <v>Active</v>
      </c>
      <c r="H72" s="17" t="str">
        <f t="shared" si="1"/>
        <v>Active</v>
      </c>
      <c r="I72" s="17" t="str">
        <f t="array" ref="I72">XLOOKUP(A72,'Download of SFDC Activation Rep'!B:B,'Download of SFDC Activation Rep'!T:T)</f>
        <v>006UU00000NTAQC</v>
      </c>
      <c r="J72" s="17" t="str">
        <f t="array" ref="J72">iferror(XLOOKUP(A72,'Download of SFDC Activation Rep'!B:B,'Download of SFDC Activation Rep'!C:C),"")</f>
        <v>ETA Signs</v>
      </c>
      <c r="K72" s="17" t="str">
        <f t="array" ref="K72">XLOOKUP(A72,'Download of SFDC Activation Rep'!B:B,'Download of SFDC Activation Rep'!X:X)</f>
        <v>Matthew Frost</v>
      </c>
      <c r="L72" s="33">
        <f t="array" ref="L72">xlookup(A72,'Download of SFDC Activation Rep'!B:B,'Download of SFDC Activation Rep'!Z:Z)</f>
        <v>45992</v>
      </c>
    </row>
    <row r="73">
      <c r="F73" s="13" t="str">
        <f t="array" ref="F73">iferror(XLOOKUP(A73,'Download of SFDC Activation Rep'!B:B,'Download of SFDC Activation Rep'!H:H),"")</f>
        <v>Active</v>
      </c>
      <c r="G73" s="13" t="str">
        <f t="array" ref="G73">iferror(xlookup(A73,'Download of SFDC Activation Rep'!B:B,'Download of SFDC Activation Rep'!L:L),"")</f>
        <v/>
      </c>
      <c r="H73" s="17" t="str">
        <f t="shared" si="1"/>
        <v>Active</v>
      </c>
      <c r="I73" s="17" t="str">
        <f t="array" ref="I73">XLOOKUP(A73,'Download of SFDC Activation Rep'!B:B,'Download of SFDC Activation Rep'!T:T)</f>
        <v>006VT00000owVZi</v>
      </c>
      <c r="J73" s="17" t="str">
        <f t="array" ref="J73">iferror(XLOOKUP(A73,'Download of SFDC Activation Rep'!B:B,'Download of SFDC Activation Rep'!C:C),"")</f>
        <v>Verde Recruitment LLC</v>
      </c>
      <c r="K73" s="17" t="str">
        <f t="array" ref="K73">XLOOKUP(A73,'Download of SFDC Activation Rep'!B:B,'Download of SFDC Activation Rep'!X:X)</f>
        <v>Arianna Modesti</v>
      </c>
      <c r="L73" s="33">
        <f t="array" ref="L73">xlookup(A73,'Download of SFDC Activation Rep'!B:B,'Download of SFDC Activation Rep'!Z:Z)</f>
        <v>46119</v>
      </c>
    </row>
    <row r="74">
      <c r="F74" s="13" t="str">
        <f t="array" ref="F74">iferror(XLOOKUP(A74,'Download of SFDC Activation Rep'!B:B,'Download of SFDC Activation Rep'!H:H),"")</f>
        <v>Active</v>
      </c>
      <c r="G74" s="13" t="str">
        <f t="array" ref="G74">iferror(xlookup(A74,'Download of SFDC Activation Rep'!B:B,'Download of SFDC Activation Rep'!L:L),"")</f>
        <v/>
      </c>
      <c r="H74" s="17" t="str">
        <f t="shared" si="1"/>
        <v>Active</v>
      </c>
      <c r="I74" s="17" t="str">
        <f t="array" ref="I74">XLOOKUP(A74,'Download of SFDC Activation Rep'!B:B,'Download of SFDC Activation Rep'!T:T)</f>
        <v>006VT00000qc2Np</v>
      </c>
      <c r="J74" s="17" t="str">
        <f t="array" ref="J74">iferror(XLOOKUP(A74,'Download of SFDC Activation Rep'!B:B,'Download of SFDC Activation Rep'!C:C),"")</f>
        <v>Carismo</v>
      </c>
      <c r="K74" s="17" t="str">
        <f t="array" ref="K74">XLOOKUP(A74,'Download of SFDC Activation Rep'!B:B,'Download of SFDC Activation Rep'!X:X)</f>
        <v>Arianna Modesti</v>
      </c>
      <c r="L74" s="33">
        <f t="array" ref="L74">xlookup(A74,'Download of SFDC Activation Rep'!B:B,'Download of SFDC Activation Rep'!Z:Z)</f>
        <v>46154</v>
      </c>
    </row>
    <row r="75">
      <c r="F75" s="13" t="str">
        <f t="array" ref="F75">iferror(XLOOKUP(A75,'Download of SFDC Activation Rep'!B:B,'Download of SFDC Activation Rep'!H:H),"")</f>
        <v>Active</v>
      </c>
      <c r="G75" s="13" t="str">
        <f t="array" ref="G75">iferror(xlookup(A75,'Download of SFDC Activation Rep'!B:B,'Download of SFDC Activation Rep'!L:L),"")</f>
        <v/>
      </c>
      <c r="H75" s="17" t="str">
        <f t="shared" si="1"/>
        <v>Active</v>
      </c>
      <c r="I75" s="17" t="str">
        <f t="array" ref="I75">XLOOKUP(A75,'Download of SFDC Activation Rep'!B:B,'Download of SFDC Activation Rep'!T:T)</f>
        <v>006UU00000M3cby</v>
      </c>
      <c r="J75" s="17" t="str">
        <f t="array" ref="J75">iferror(XLOOKUP(A75,'Download of SFDC Activation Rep'!B:B,'Download of SFDC Activation Rep'!C:C),"")</f>
        <v>Empire Consulting Group, Inc.</v>
      </c>
      <c r="K75" s="17" t="str">
        <f t="array" ref="K75">XLOOKUP(A75,'Download of SFDC Activation Rep'!B:B,'Download of SFDC Activation Rep'!X:X)</f>
        <v>Kate Olivares</v>
      </c>
      <c r="L75" s="33">
        <f t="array" ref="L75">xlookup(A75,'Download of SFDC Activation Rep'!B:B,'Download of SFDC Activation Rep'!Z:Z)</f>
        <v>45954</v>
      </c>
    </row>
    <row r="76">
      <c r="F76" s="13" t="str">
        <f t="array" ref="F76">iferror(XLOOKUP(A76,'Download of SFDC Activation Rep'!B:B,'Download of SFDC Activation Rep'!H:H),"")</f>
        <v>Active</v>
      </c>
      <c r="G76" s="13" t="str">
        <f t="array" ref="G76">iferror(xlookup(A76,'Download of SFDC Activation Rep'!B:B,'Download of SFDC Activation Rep'!L:L),"")</f>
        <v/>
      </c>
      <c r="H76" s="17" t="str">
        <f t="shared" si="1"/>
        <v>Active</v>
      </c>
      <c r="I76" s="17" t="str">
        <f t="array" ref="I76">XLOOKUP(A76,'Download of SFDC Activation Rep'!B:B,'Download of SFDC Activation Rep'!T:T)</f>
        <v>006UU00000Lzkqr</v>
      </c>
      <c r="J76" s="17" t="str">
        <f t="array" ref="J76">iferror(XLOOKUP(A76,'Download of SFDC Activation Rep'!B:B,'Download of SFDC Activation Rep'!C:C),"")</f>
        <v>MAV Aqua LLC</v>
      </c>
      <c r="K76" s="17" t="str">
        <f t="array" ref="K76">XLOOKUP(A76,'Download of SFDC Activation Rep'!B:B,'Download of SFDC Activation Rep'!X:X)</f>
        <v>Kate Olivares</v>
      </c>
      <c r="L76" s="33">
        <f t="array" ref="L76">xlookup(A76,'Download of SFDC Activation Rep'!B:B,'Download of SFDC Activation Rep'!Z:Z)</f>
        <v>45856</v>
      </c>
    </row>
    <row r="77">
      <c r="F77" s="13" t="str">
        <f t="array" ref="F77">iferror(XLOOKUP(A77,'Download of SFDC Activation Rep'!B:B,'Download of SFDC Activation Rep'!H:H),"")</f>
        <v>Churned</v>
      </c>
      <c r="G77" s="13" t="str">
        <f t="array" ref="G77">iferror(xlookup(A77,'Download of SFDC Activation Rep'!B:B,'Download of SFDC Activation Rep'!L:L),"")</f>
        <v>Active</v>
      </c>
      <c r="H77" s="17" t="str">
        <f t="shared" si="1"/>
        <v>Active</v>
      </c>
      <c r="I77" s="17" t="str">
        <f t="array" ref="I77">XLOOKUP(A77,'Download of SFDC Activation Rep'!B:B,'Download of SFDC Activation Rep'!T:T)</f>
        <v>006VT00000mBSWo</v>
      </c>
      <c r="J77" s="17" t="str">
        <f t="array" ref="J77">iferror(XLOOKUP(A77,'Download of SFDC Activation Rep'!B:B,'Download of SFDC Activation Rep'!C:C),"")</f>
        <v>Avenue 8 Group Inc</v>
      </c>
      <c r="K77" s="17" t="str">
        <f t="array" ref="K77">XLOOKUP(A77,'Download of SFDC Activation Rep'!B:B,'Download of SFDC Activation Rep'!X:X)</f>
        <v>Kate Olivares</v>
      </c>
      <c r="L77" s="33">
        <f t="array" ref="L77">xlookup(A77,'Download of SFDC Activation Rep'!B:B,'Download of SFDC Activation Rep'!Z:Z)</f>
        <v>46059</v>
      </c>
    </row>
    <row r="78">
      <c r="F78" s="13" t="str">
        <f t="array" ref="F78">iferror(XLOOKUP(A78,'Download of SFDC Activation Rep'!B:B,'Download of SFDC Activation Rep'!H:H),"")</f>
        <v>Active</v>
      </c>
      <c r="G78" s="13" t="str">
        <f t="array" ref="G78">iferror(xlookup(A78,'Download of SFDC Activation Rep'!B:B,'Download of SFDC Activation Rep'!L:L),"")</f>
        <v/>
      </c>
      <c r="H78" s="17" t="str">
        <f t="shared" si="1"/>
        <v>Active</v>
      </c>
      <c r="I78" s="17" t="str">
        <f t="array" ref="I78">XLOOKUP(A78,'Download of SFDC Activation Rep'!B:B,'Download of SFDC Activation Rep'!T:T)</f>
        <v>006UU00000MQpn3</v>
      </c>
      <c r="J78" s="17" t="str">
        <f t="array" ref="J78">iferror(XLOOKUP(A78,'Download of SFDC Activation Rep'!B:B,'Download of SFDC Activation Rep'!C:C),"")</f>
        <v>inbanx, Inc.</v>
      </c>
      <c r="K78" s="17" t="str">
        <f t="array" ref="K78">XLOOKUP(A78,'Download of SFDC Activation Rep'!B:B,'Download of SFDC Activation Rep'!X:X)</f>
        <v>Matthew Frost</v>
      </c>
      <c r="L78" s="33">
        <f t="array" ref="L78">xlookup(A78,'Download of SFDC Activation Rep'!B:B,'Download of SFDC Activation Rep'!Z:Z)</f>
        <v>45930</v>
      </c>
    </row>
    <row r="79">
      <c r="F79" s="13" t="str">
        <f t="array" ref="F79">iferror(XLOOKUP(A79,'Download of SFDC Activation Rep'!B:B,'Download of SFDC Activation Rep'!H:H),"")</f>
        <v>Active</v>
      </c>
      <c r="G79" s="13" t="str">
        <f t="array" ref="G79">iferror(xlookup(A79,'Download of SFDC Activation Rep'!B:B,'Download of SFDC Activation Rep'!L:L),"")</f>
        <v/>
      </c>
      <c r="H79" s="17" t="str">
        <f t="shared" si="1"/>
        <v>Active</v>
      </c>
      <c r="I79" s="17" t="str">
        <f t="array" ref="I79">XLOOKUP(A79,'Download of SFDC Activation Rep'!B:B,'Download of SFDC Activation Rep'!T:T)</f>
        <v>006UU00000MQpnC</v>
      </c>
      <c r="J79" s="17" t="str">
        <f t="array" ref="J79">iferror(XLOOKUP(A79,'Download of SFDC Activation Rep'!B:B,'Download of SFDC Activation Rep'!C:C),"")</f>
        <v>Lock Solid Storage</v>
      </c>
      <c r="K79" s="17" t="str">
        <f t="array" ref="K79">XLOOKUP(A79,'Download of SFDC Activation Rep'!B:B,'Download of SFDC Activation Rep'!X:X)</f>
        <v>Kate Olivares</v>
      </c>
      <c r="L79" s="33">
        <f t="array" ref="L79">xlookup(A79,'Download of SFDC Activation Rep'!B:B,'Download of SFDC Activation Rep'!Z:Z)</f>
        <v>45869</v>
      </c>
    </row>
    <row r="80">
      <c r="F80" s="13" t="str">
        <f t="array" ref="F80">iferror(XLOOKUP(A80,'Download of SFDC Activation Rep'!B:B,'Download of SFDC Activation Rep'!H:H),"")</f>
        <v>Active</v>
      </c>
      <c r="G80" s="13" t="str">
        <f t="array" ref="G80">iferror(xlookup(A80,'Download of SFDC Activation Rep'!B:B,'Download of SFDC Activation Rep'!L:L),"")</f>
        <v/>
      </c>
      <c r="H80" s="17" t="str">
        <f t="shared" si="1"/>
        <v>Active</v>
      </c>
      <c r="I80" s="17" t="str">
        <f t="array" ref="I80">XLOOKUP(A80,'Download of SFDC Activation Rep'!B:B,'Download of SFDC Activation Rep'!T:T)</f>
        <v>006UU00000Lzkqs</v>
      </c>
      <c r="J80" s="17" t="str">
        <f t="array" ref="J80">iferror(XLOOKUP(A80,'Download of SFDC Activation Rep'!B:B,'Download of SFDC Activation Rep'!C:C),"")</f>
        <v>scenic world LLC</v>
      </c>
      <c r="K80" s="17" t="str">
        <f t="array" ref="K80">XLOOKUP(A80,'Download of SFDC Activation Rep'!B:B,'Download of SFDC Activation Rep'!X:X)</f>
        <v>Kate Olivares</v>
      </c>
      <c r="L80" s="33">
        <f t="array" ref="L80">xlookup(A80,'Download of SFDC Activation Rep'!B:B,'Download of SFDC Activation Rep'!Z:Z)</f>
        <v>45799</v>
      </c>
    </row>
    <row r="81">
      <c r="F81" s="13" t="str">
        <f t="array" ref="F81">iferror(XLOOKUP(A81,'Download of SFDC Activation Rep'!B:B,'Download of SFDC Activation Rep'!H:H),"")</f>
        <v/>
      </c>
      <c r="G81" s="13" t="str">
        <f t="array" ref="G81">iferror(xlookup(A81,'Download of SFDC Activation Rep'!B:B,'Download of SFDC Activation Rep'!L:L),"")</f>
        <v>Active</v>
      </c>
      <c r="H81" s="17" t="str">
        <f t="shared" si="1"/>
        <v>Active</v>
      </c>
      <c r="I81" s="17" t="str">
        <f t="array" ref="I81">XLOOKUP(A81,'Download of SFDC Activation Rep'!B:B,'Download of SFDC Activation Rep'!T:T)</f>
        <v>006UU00000OSfnC</v>
      </c>
      <c r="J81" s="17" t="str">
        <f t="array" ref="J81">iferror(XLOOKUP(A81,'Download of SFDC Activation Rep'!B:B,'Download of SFDC Activation Rep'!C:C),"")</f>
        <v>Wyoming Traders</v>
      </c>
      <c r="K81" s="17" t="str">
        <f t="array" ref="K81">XLOOKUP(A81,'Download of SFDC Activation Rep'!B:B,'Download of SFDC Activation Rep'!X:X)</f>
        <v>Matthew Frost</v>
      </c>
      <c r="L81" s="33">
        <f t="array" ref="L81">xlookup(A81,'Download of SFDC Activation Rep'!B:B,'Download of SFDC Activation Rep'!Z:Z)</f>
        <v>46021</v>
      </c>
    </row>
    <row r="82">
      <c r="F82" s="13" t="str">
        <f t="array" ref="F82">iferror(XLOOKUP(A82,'Download of SFDC Activation Rep'!B:B,'Download of SFDC Activation Rep'!H:H),"")</f>
        <v>Active</v>
      </c>
      <c r="G82" s="13" t="str">
        <f t="array" ref="G82">iferror(xlookup(A82,'Download of SFDC Activation Rep'!B:B,'Download of SFDC Activation Rep'!L:L),"")</f>
        <v/>
      </c>
      <c r="H82" s="17" t="str">
        <f t="shared" si="1"/>
        <v>Active</v>
      </c>
      <c r="I82" s="17" t="str">
        <f t="array" ref="I82">XLOOKUP(A82,'Download of SFDC Activation Rep'!B:B,'Download of SFDC Activation Rep'!T:T)</f>
        <v>006UU00000NnJkI</v>
      </c>
      <c r="J82" s="17" t="str">
        <f t="array" ref="J82">iferror(XLOOKUP(A82,'Download of SFDC Activation Rep'!B:B,'Download of SFDC Activation Rep'!C:C),"")</f>
        <v>Bottle Barn</v>
      </c>
      <c r="K82" s="17" t="str">
        <f t="array" ref="K82">XLOOKUP(A82,'Download of SFDC Activation Rep'!B:B,'Download of SFDC Activation Rep'!X:X)</f>
        <v>Matthew Frost</v>
      </c>
      <c r="L82" s="33">
        <f t="array" ref="L82">xlookup(A82,'Download of SFDC Activation Rep'!B:B,'Download of SFDC Activation Rep'!Z:Z)</f>
        <v>46001</v>
      </c>
    </row>
    <row r="83">
      <c r="F83" s="13" t="str">
        <f t="array" ref="F83">iferror(XLOOKUP(A83,'Download of SFDC Activation Rep'!B:B,'Download of SFDC Activation Rep'!H:H),"")</f>
        <v>Active</v>
      </c>
      <c r="G83" s="13" t="str">
        <f t="array" ref="G83">iferror(xlookup(A83,'Download of SFDC Activation Rep'!B:B,'Download of SFDC Activation Rep'!L:L),"")</f>
        <v>Churned</v>
      </c>
      <c r="H83" s="17" t="str">
        <f t="shared" si="1"/>
        <v>Active</v>
      </c>
      <c r="I83" s="17" t="str">
        <f t="array" ref="I83">XLOOKUP(A83,'Download of SFDC Activation Rep'!B:B,'Download of SFDC Activation Rep'!T:T)</f>
        <v>006UU00000Lzm6t</v>
      </c>
      <c r="J83" s="17" t="str">
        <f t="array" ref="J83">iferror(XLOOKUP(A83,'Download of SFDC Activation Rep'!B:B,'Download of SFDC Activation Rep'!C:C),"")</f>
        <v>South Earth Property Management</v>
      </c>
      <c r="K83" s="17"/>
      <c r="L83" s="32"/>
    </row>
    <row r="84">
      <c r="F84" s="13" t="str">
        <f t="array" ref="F84">iferror(XLOOKUP(A84,'Download of SFDC Activation Rep'!B:B,'Download of SFDC Activation Rep'!H:H),"")</f>
        <v/>
      </c>
      <c r="G84" s="13" t="str">
        <f t="array" ref="G84">iferror(xlookup(A84,'Download of SFDC Activation Rep'!B:B,'Download of SFDC Activation Rep'!L:L),"")</f>
        <v>Active</v>
      </c>
      <c r="H84" s="17" t="str">
        <f t="shared" si="1"/>
        <v>Active</v>
      </c>
      <c r="I84" s="17" t="str">
        <f t="array" ref="I84">XLOOKUP(A84,'Download of SFDC Activation Rep'!B:B,'Download of SFDC Activation Rep'!T:T)</f>
        <v>006UU00000OHzkP</v>
      </c>
      <c r="J84" s="17" t="str">
        <f t="array" ref="J84">iferror(XLOOKUP(A84,'Download of SFDC Activation Rep'!B:B,'Download of SFDC Activation Rep'!C:C),"")</f>
        <v>Smart Launch LLC</v>
      </c>
      <c r="K84" s="17" t="str">
        <f t="array" ref="K84">XLOOKUP(A84,'Download of SFDC Activation Rep'!B:B,'Download of SFDC Activation Rep'!X:X)</f>
        <v>Kate Olivares</v>
      </c>
      <c r="L84" s="33">
        <f t="array" ref="L84">xlookup(A84,'Download of SFDC Activation Rep'!B:B,'Download of SFDC Activation Rep'!Z:Z)</f>
        <v>46014</v>
      </c>
    </row>
    <row r="85">
      <c r="F85" s="13" t="str">
        <f t="array" ref="F85">iferror(XLOOKUP(A85,'Download of SFDC Activation Rep'!B:B,'Download of SFDC Activation Rep'!H:H),"")</f>
        <v>Active</v>
      </c>
      <c r="G85" s="13" t="str">
        <f t="array" ref="G85">iferror(xlookup(A85,'Download of SFDC Activation Rep'!B:B,'Download of SFDC Activation Rep'!L:L),"")</f>
        <v/>
      </c>
      <c r="H85" s="17" t="str">
        <f t="shared" si="1"/>
        <v>Active</v>
      </c>
      <c r="I85" s="17" t="str">
        <f t="array" ref="I85">XLOOKUP(A85,'Download of SFDC Activation Rep'!B:B,'Download of SFDC Activation Rep'!T:T)</f>
        <v>006UU00000MxXJR</v>
      </c>
      <c r="J85" s="17" t="str">
        <f t="array" ref="J85">iferror(XLOOKUP(A85,'Download of SFDC Activation Rep'!B:B,'Download of SFDC Activation Rep'!C:C),"")</f>
        <v>gh Package Product Testing and Consulting, Inc.</v>
      </c>
      <c r="K85" s="17" t="str">
        <f t="array" ref="K85">XLOOKUP(A85,'Download of SFDC Activation Rep'!B:B,'Download of SFDC Activation Rep'!X:X)</f>
        <v>Matthew Frost</v>
      </c>
      <c r="L85" s="33">
        <f t="array" ref="L85">xlookup(A85,'Download of SFDC Activation Rep'!B:B,'Download of SFDC Activation Rep'!Z:Z)</f>
        <v>45978</v>
      </c>
    </row>
    <row r="86">
      <c r="F86" s="13" t="str">
        <f t="array" ref="F86">iferror(XLOOKUP(A86,'Download of SFDC Activation Rep'!B:B,'Download of SFDC Activation Rep'!H:H),"")</f>
        <v/>
      </c>
      <c r="G86" s="13" t="str">
        <f t="array" ref="G86">iferror(xlookup(A86,'Download of SFDC Activation Rep'!B:B,'Download of SFDC Activation Rep'!L:L),"")</f>
        <v>Active</v>
      </c>
      <c r="H86" s="17" t="str">
        <f t="shared" si="1"/>
        <v>Active</v>
      </c>
      <c r="I86" s="17" t="str">
        <f t="array" ref="I86">XLOOKUP(A86,'Download of SFDC Activation Rep'!B:B,'Download of SFDC Activation Rep'!T:T)</f>
        <v>006UU00000NKUMT</v>
      </c>
      <c r="J86" s="17" t="str">
        <f t="array" ref="J86">iferror(XLOOKUP(A86,'Download of SFDC Activation Rep'!B:B,'Download of SFDC Activation Rep'!C:C),"")</f>
        <v>365 Archery LLC</v>
      </c>
      <c r="K86" s="17" t="str">
        <f t="array" ref="K86">XLOOKUP(A86,'Download of SFDC Activation Rep'!B:B,'Download of SFDC Activation Rep'!X:X)</f>
        <v>Kate Olivares</v>
      </c>
      <c r="L86" s="33">
        <f t="array" ref="L86">xlookup(A86,'Download of SFDC Activation Rep'!B:B,'Download of SFDC Activation Rep'!Z:Z)</f>
        <v>45987</v>
      </c>
    </row>
    <row r="87">
      <c r="F87" s="13" t="str">
        <f t="array" ref="F87">iferror(XLOOKUP(A87,'Download of SFDC Activation Rep'!B:B,'Download of SFDC Activation Rep'!H:H),"")</f>
        <v>Active</v>
      </c>
      <c r="G87" s="13" t="str">
        <f t="array" ref="G87">iferror(xlookup(A87,'Download of SFDC Activation Rep'!B:B,'Download of SFDC Activation Rep'!L:L),"")</f>
        <v>Active</v>
      </c>
      <c r="H87" s="17" t="str">
        <f t="shared" si="1"/>
        <v>Active</v>
      </c>
      <c r="I87" s="17" t="str">
        <f t="array" ref="I87">XLOOKUP(A87,'Download of SFDC Activation Rep'!B:B,'Download of SFDC Activation Rep'!T:T)</f>
        <v>006UU00000NKOvN</v>
      </c>
      <c r="J87" s="17" t="str">
        <f t="array" ref="J87">iferror(XLOOKUP(A87,'Download of SFDC Activation Rep'!B:B,'Download of SFDC Activation Rep'!C:C),"")</f>
        <v>Performance Supply LLC</v>
      </c>
      <c r="K87" s="17" t="str">
        <f t="array" ref="K87">XLOOKUP(A87,'Download of SFDC Activation Rep'!B:B,'Download of SFDC Activation Rep'!X:X)</f>
        <v>Kate Olivares</v>
      </c>
      <c r="L87" s="33">
        <f t="array" ref="L87">xlookup(A87,'Download of SFDC Activation Rep'!B:B,'Download of SFDC Activation Rep'!Z:Z)</f>
        <v>45987</v>
      </c>
    </row>
    <row r="88">
      <c r="F88" s="13" t="str">
        <f t="array" ref="F88">iferror(XLOOKUP(A88,'Download of SFDC Activation Rep'!B:B,'Download of SFDC Activation Rep'!H:H),"")</f>
        <v/>
      </c>
      <c r="G88" s="13" t="str">
        <f t="array" ref="G88">iferror(xlookup(A88,'Download of SFDC Activation Rep'!B:B,'Download of SFDC Activation Rep'!L:L),"")</f>
        <v>Active</v>
      </c>
      <c r="H88" s="17" t="str">
        <f t="shared" si="1"/>
        <v>Active</v>
      </c>
      <c r="I88" s="17" t="str">
        <f t="array" ref="I88">XLOOKUP(A88,'Download of SFDC Activation Rep'!B:B,'Download of SFDC Activation Rep'!T:T)</f>
        <v>006VT00000moks5</v>
      </c>
      <c r="J88" s="17" t="str">
        <f t="array" ref="J88">iferror(XLOOKUP(A88,'Download of SFDC Activation Rep'!B:B,'Download of SFDC Activation Rep'!C:C),"")</f>
        <v>Cross Engineering LLC</v>
      </c>
      <c r="K88" s="17" t="str">
        <f t="array" ref="K88">XLOOKUP(A88,'Download of SFDC Activation Rep'!B:B,'Download of SFDC Activation Rep'!X:X)</f>
        <v>Matthew Frost</v>
      </c>
      <c r="L88" s="33">
        <f t="array" ref="L88">xlookup(A88,'Download of SFDC Activation Rep'!B:B,'Download of SFDC Activation Rep'!Z:Z)</f>
        <v>46073</v>
      </c>
    </row>
    <row r="89">
      <c r="F89" s="13" t="str">
        <f t="array" ref="F89">iferror(XLOOKUP(A89,'Download of SFDC Activation Rep'!B:B,'Download of SFDC Activation Rep'!H:H),"")</f>
        <v/>
      </c>
      <c r="G89" s="13" t="str">
        <f t="array" ref="G89">iferror(xlookup(A89,'Download of SFDC Activation Rep'!B:B,'Download of SFDC Activation Rep'!L:L),"")</f>
        <v>Active</v>
      </c>
      <c r="H89" s="17" t="str">
        <f t="shared" si="1"/>
        <v>Active</v>
      </c>
      <c r="I89" s="17" t="str">
        <f t="array" ref="I89">XLOOKUP(A89,'Download of SFDC Activation Rep'!B:B,'Download of SFDC Activation Rep'!T:T)</f>
        <v>006UU00000MQpnQ</v>
      </c>
      <c r="J89" s="17" t="str">
        <f t="array" ref="J89">iferror(XLOOKUP(A89,'Download of SFDC Activation Rep'!B:B,'Download of SFDC Activation Rep'!C:C),"")</f>
        <v>Commercial Fire &amp; Security</v>
      </c>
      <c r="K89" s="17" t="str">
        <f t="array" ref="K89">XLOOKUP(A89,'Download of SFDC Activation Rep'!B:B,'Download of SFDC Activation Rep'!X:X)</f>
        <v>Kate Olivares</v>
      </c>
      <c r="L89" s="33">
        <f t="array" ref="L89">xlookup(A89,'Download of SFDC Activation Rep'!B:B,'Download of SFDC Activation Rep'!Z:Z)</f>
        <v>45839</v>
      </c>
    </row>
    <row r="90">
      <c r="F90" s="13" t="str">
        <f t="array" ref="F90">iferror(XLOOKUP(A90,'Download of SFDC Activation Rep'!B:B,'Download of SFDC Activation Rep'!H:H),"")</f>
        <v>Active</v>
      </c>
      <c r="G90" s="13" t="str">
        <f t="array" ref="G90">iferror(xlookup(A90,'Download of SFDC Activation Rep'!B:B,'Download of SFDC Activation Rep'!L:L),"")</f>
        <v/>
      </c>
      <c r="H90" s="17" t="str">
        <f t="shared" si="1"/>
        <v>Active</v>
      </c>
      <c r="I90" s="17" t="str">
        <f t="array" ref="I90">XLOOKUP(A90,'Download of SFDC Activation Rep'!B:B,'Download of SFDC Activation Rep'!T:T)</f>
        <v>006UU00000MQpn9</v>
      </c>
      <c r="J90" s="17" t="str">
        <f t="array" ref="J90">iferror(XLOOKUP(A90,'Download of SFDC Activation Rep'!B:B,'Download of SFDC Activation Rep'!C:C),"")</f>
        <v>Star Blue Interpreting Service, LLC</v>
      </c>
      <c r="K90" s="17" t="str">
        <f t="array" ref="K90">XLOOKUP(A90,'Download of SFDC Activation Rep'!B:B,'Download of SFDC Activation Rep'!X:X)</f>
        <v>Kate Olivares</v>
      </c>
      <c r="L90" s="33">
        <f t="array" ref="L90">xlookup(A90,'Download of SFDC Activation Rep'!B:B,'Download of SFDC Activation Rep'!Z:Z)</f>
        <v>45863</v>
      </c>
    </row>
    <row r="91">
      <c r="F91" s="13" t="str">
        <f t="array" ref="F91">iferror(XLOOKUP(A91,'Download of SFDC Activation Rep'!B:B,'Download of SFDC Activation Rep'!H:H),"")</f>
        <v/>
      </c>
      <c r="G91" s="13" t="str">
        <f t="array" ref="G91">iferror(xlookup(A91,'Download of SFDC Activation Rep'!B:B,'Download of SFDC Activation Rep'!L:L),"")</f>
        <v>Active</v>
      </c>
      <c r="H91" s="17" t="str">
        <f t="shared" si="1"/>
        <v>Active</v>
      </c>
      <c r="I91" s="17" t="str">
        <f t="array" ref="I91">XLOOKUP(A91,'Download of SFDC Activation Rep'!B:B,'Download of SFDC Activation Rep'!T:T)</f>
        <v>006VT00000oHAFu</v>
      </c>
      <c r="J91" s="17" t="str">
        <f t="array" ref="J91">iferror(XLOOKUP(A91,'Download of SFDC Activation Rep'!B:B,'Download of SFDC Activation Rep'!C:C),"")</f>
        <v>NOFD Firewatch Detail</v>
      </c>
      <c r="K91" s="17" t="str">
        <f t="array" ref="K91">XLOOKUP(A91,'Download of SFDC Activation Rep'!B:B,'Download of SFDC Activation Rep'!X:X)</f>
        <v>Arianna Modesti</v>
      </c>
      <c r="L91" s="33">
        <f t="array" ref="L91">xlookup(A91,'Download of SFDC Activation Rep'!B:B,'Download of SFDC Activation Rep'!Z:Z)</f>
        <v>46104</v>
      </c>
    </row>
    <row r="92">
      <c r="F92" s="13" t="str">
        <f t="array" ref="F92">iferror(XLOOKUP(A92,'Download of SFDC Activation Rep'!B:B,'Download of SFDC Activation Rep'!H:H),"")</f>
        <v>Active</v>
      </c>
      <c r="G92" s="13" t="str">
        <f t="array" ref="G92">iferror(xlookup(A92,'Download of SFDC Activation Rep'!B:B,'Download of SFDC Activation Rep'!L:L),"")</f>
        <v/>
      </c>
      <c r="H92" s="17" t="str">
        <f t="shared" si="1"/>
        <v>Active</v>
      </c>
      <c r="I92" s="17" t="str">
        <f t="array" ref="I92">XLOOKUP(A92,'Download of SFDC Activation Rep'!B:B,'Download of SFDC Activation Rep'!T:T)</f>
        <v>006UU00000N120w</v>
      </c>
      <c r="J92" s="17" t="str">
        <f t="array" ref="J92">iferror(XLOOKUP(A92,'Download of SFDC Activation Rep'!B:B,'Download of SFDC Activation Rep'!C:C),"")</f>
        <v>Amlife Global LLC</v>
      </c>
      <c r="K92" s="17"/>
      <c r="L92" s="32"/>
    </row>
    <row r="93">
      <c r="F93" s="13" t="str">
        <f t="array" ref="F93">iferror(XLOOKUP(A93,'Download of SFDC Activation Rep'!B:B,'Download of SFDC Activation Rep'!H:H),"")</f>
        <v>Active</v>
      </c>
      <c r="G93" s="13" t="str">
        <f t="array" ref="G93">iferror(xlookup(A93,'Download of SFDC Activation Rep'!B:B,'Download of SFDC Activation Rep'!L:L),"")</f>
        <v/>
      </c>
      <c r="H93" s="17" t="str">
        <f t="shared" si="1"/>
        <v>Active</v>
      </c>
      <c r="I93" s="17" t="str">
        <f t="array" ref="I93">XLOOKUP(A93,'Download of SFDC Activation Rep'!B:B,'Download of SFDC Activation Rep'!T:T)</f>
        <v>006UU00000N14tx</v>
      </c>
      <c r="J93" s="17" t="str">
        <f t="array" ref="J93">iferror(XLOOKUP(A93,'Download of SFDC Activation Rep'!B:B,'Download of SFDC Activation Rep'!C:C),"")</f>
        <v>Hemm Ventures LLC</v>
      </c>
      <c r="K93" s="17" t="str">
        <f t="array" ref="K93">XLOOKUP(A93,'Download of SFDC Activation Rep'!B:B,'Download of SFDC Activation Rep'!X:X)</f>
        <v>Kate Olivares</v>
      </c>
      <c r="L93" s="33">
        <f t="array" ref="L93">xlookup(A93,'Download of SFDC Activation Rep'!B:B,'Download of SFDC Activation Rep'!Z:Z)</f>
        <v>45979</v>
      </c>
    </row>
    <row r="94">
      <c r="F94" s="13" t="str">
        <f t="array" ref="F94">iferror(XLOOKUP(A94,'Download of SFDC Activation Rep'!B:B,'Download of SFDC Activation Rep'!H:H),"")</f>
        <v>Active</v>
      </c>
      <c r="G94" s="13" t="str">
        <f t="array" ref="G94">iferror(xlookup(A94,'Download of SFDC Activation Rep'!B:B,'Download of SFDC Activation Rep'!L:L),"")</f>
        <v/>
      </c>
      <c r="H94" s="17" t="str">
        <f t="shared" si="1"/>
        <v>Active</v>
      </c>
      <c r="I94" s="17" t="str">
        <f t="array" ref="I94">XLOOKUP(A94,'Download of SFDC Activation Rep'!B:B,'Download of SFDC Activation Rep'!T:T)</f>
        <v>006UU00000N14E1</v>
      </c>
      <c r="J94" s="17" t="str">
        <f t="array" ref="J94">iferror(XLOOKUP(A94,'Download of SFDC Activation Rep'!B:B,'Download of SFDC Activation Rep'!C:C),"")</f>
        <v>Trustwell Brands LLC</v>
      </c>
      <c r="K94" s="17" t="str">
        <f t="array" ref="K94">XLOOKUP(A94,'Download of SFDC Activation Rep'!B:B,'Download of SFDC Activation Rep'!X:X)</f>
        <v>Kate Olivares</v>
      </c>
      <c r="L94" s="33">
        <f t="array" ref="L94">xlookup(A94,'Download of SFDC Activation Rep'!B:B,'Download of SFDC Activation Rep'!Z:Z)</f>
        <v>45979</v>
      </c>
    </row>
    <row r="95">
      <c r="F95" s="13" t="str">
        <f t="array" ref="F95">iferror(XLOOKUP(A95,'Download of SFDC Activation Rep'!B:B,'Download of SFDC Activation Rep'!H:H),"")</f>
        <v>Active</v>
      </c>
      <c r="G95" s="13" t="str">
        <f t="array" ref="G95">iferror(xlookup(A95,'Download of SFDC Activation Rep'!B:B,'Download of SFDC Activation Rep'!L:L),"")</f>
        <v/>
      </c>
      <c r="H95" s="17" t="str">
        <f t="shared" si="1"/>
        <v>Active</v>
      </c>
      <c r="I95" s="17" t="str">
        <f t="array" ref="I95">XLOOKUP(A95,'Download of SFDC Activation Rep'!B:B,'Download of SFDC Activation Rep'!T:T)</f>
        <v>006UU00000NTWs6</v>
      </c>
      <c r="J95" s="17" t="str">
        <f t="array" ref="J95">iferror(XLOOKUP(A95,'Download of SFDC Activation Rep'!B:B,'Download of SFDC Activation Rep'!C:C),"")</f>
        <v>Meraki Ventures LLC</v>
      </c>
      <c r="K95" s="17" t="str">
        <f t="array" ref="K95">XLOOKUP(A95,'Download of SFDC Activation Rep'!B:B,'Download of SFDC Activation Rep'!X:X)</f>
        <v>Kate Olivares</v>
      </c>
      <c r="L95" s="33">
        <f t="array" ref="L95">xlookup(A95,'Download of SFDC Activation Rep'!B:B,'Download of SFDC Activation Rep'!Z:Z)</f>
        <v>45992</v>
      </c>
    </row>
    <row r="96">
      <c r="F96" s="13" t="str">
        <f t="array" ref="F96">iferror(XLOOKUP(A96,'Download of SFDC Activation Rep'!B:B,'Download of SFDC Activation Rep'!H:H),"")</f>
        <v>Active</v>
      </c>
      <c r="G96" s="13" t="str">
        <f t="array" ref="G96">iferror(xlookup(A96,'Download of SFDC Activation Rep'!B:B,'Download of SFDC Activation Rep'!L:L),"")</f>
        <v/>
      </c>
      <c r="H96" s="17" t="str">
        <f t="shared" si="1"/>
        <v>Active</v>
      </c>
      <c r="I96" s="17" t="str">
        <f t="array" ref="I96">XLOOKUP(A96,'Download of SFDC Activation Rep'!B:B,'Download of SFDC Activation Rep'!T:T)</f>
        <v>006UU00000NTdIT</v>
      </c>
      <c r="J96" s="17" t="str">
        <f t="array" ref="J96">iferror(XLOOKUP(A96,'Download of SFDC Activation Rep'!B:B,'Download of SFDC Activation Rep'!C:C),"")</f>
        <v>Bespoke Creations LLC</v>
      </c>
      <c r="K96" s="17" t="str">
        <f t="array" ref="K96">XLOOKUP(A96,'Download of SFDC Activation Rep'!B:B,'Download of SFDC Activation Rep'!X:X)</f>
        <v>Kate Olivares</v>
      </c>
      <c r="L96" s="33">
        <f t="array" ref="L96">xlookup(A96,'Download of SFDC Activation Rep'!B:B,'Download of SFDC Activation Rep'!Z:Z)</f>
        <v>45992</v>
      </c>
    </row>
    <row r="97">
      <c r="F97" s="13" t="str">
        <f t="array" ref="F97">iferror(XLOOKUP(A97,'Download of SFDC Activation Rep'!B:B,'Download of SFDC Activation Rep'!H:H),"")</f>
        <v>Active</v>
      </c>
      <c r="G97" s="13" t="str">
        <f t="array" ref="G97">iferror(xlookup(A97,'Download of SFDC Activation Rep'!B:B,'Download of SFDC Activation Rep'!L:L),"")</f>
        <v/>
      </c>
      <c r="H97" s="17" t="str">
        <f t="shared" si="1"/>
        <v>Active</v>
      </c>
      <c r="I97" s="17" t="str">
        <f t="array" ref="I97">XLOOKUP(A97,'Download of SFDC Activation Rep'!B:B,'Download of SFDC Activation Rep'!T:T)</f>
        <v>006UU00000L2cpv</v>
      </c>
      <c r="J97" s="17" t="str">
        <f t="array" ref="J97">iferror(XLOOKUP(A97,'Download of SFDC Activation Rep'!B:B,'Download of SFDC Activation Rep'!C:C),"")</f>
        <v>Austin Elementary PTO</v>
      </c>
      <c r="K97" s="17" t="str">
        <f t="array" ref="K97">XLOOKUP(A97,'Download of SFDC Activation Rep'!B:B,'Download of SFDC Activation Rep'!X:X)</f>
        <v>Matthew Frost</v>
      </c>
      <c r="L97" s="33">
        <f t="array" ref="L97">xlookup(A97,'Download of SFDC Activation Rep'!B:B,'Download of SFDC Activation Rep'!Z:Z)</f>
        <v>45929</v>
      </c>
    </row>
    <row r="98">
      <c r="F98" s="13" t="str">
        <f t="array" ref="F98">iferror(XLOOKUP(A98,'Download of SFDC Activation Rep'!B:B,'Download of SFDC Activation Rep'!H:H),"")</f>
        <v/>
      </c>
      <c r="G98" s="13" t="str">
        <f t="array" ref="G98">iferror(xlookup(A98,'Download of SFDC Activation Rep'!B:B,'Download of SFDC Activation Rep'!L:L),"")</f>
        <v>Active</v>
      </c>
      <c r="H98" s="17" t="str">
        <f t="shared" si="1"/>
        <v>Active</v>
      </c>
      <c r="I98" s="17" t="str">
        <f t="array" ref="I98">XLOOKUP(A98,'Download of SFDC Activation Rep'!B:B,'Download of SFDC Activation Rep'!T:T)</f>
        <v>006UU00000LzkrK</v>
      </c>
      <c r="J98" s="17" t="str">
        <f t="array" ref="J98">iferror(XLOOKUP(A98,'Download of SFDC Activation Rep'!B:B,'Download of SFDC Activation Rep'!C:C),"")</f>
        <v>Mighty of Arizona</v>
      </c>
      <c r="K98" s="17" t="str">
        <f t="array" ref="K98">XLOOKUP(A98,'Download of SFDC Activation Rep'!B:B,'Download of SFDC Activation Rep'!X:X)</f>
        <v>Matthew Frost</v>
      </c>
      <c r="L98" s="33">
        <f t="array" ref="L98">xlookup(A98,'Download of SFDC Activation Rep'!B:B,'Download of SFDC Activation Rep'!Z:Z)</f>
        <v>45895</v>
      </c>
    </row>
    <row r="99">
      <c r="F99" s="13" t="str">
        <f t="array" ref="F99">iferror(XLOOKUP(A99,'Download of SFDC Activation Rep'!B:B,'Download of SFDC Activation Rep'!H:H),"")</f>
        <v>Active</v>
      </c>
      <c r="G99" s="13" t="str">
        <f t="array" ref="G99">iferror(xlookup(A99,'Download of SFDC Activation Rep'!B:B,'Download of SFDC Activation Rep'!L:L),"")</f>
        <v/>
      </c>
      <c r="H99" s="17" t="str">
        <f t="shared" si="1"/>
        <v>Active</v>
      </c>
      <c r="I99" s="17" t="str">
        <f t="array" ref="I99">XLOOKUP(A99,'Download of SFDC Activation Rep'!B:B,'Download of SFDC Activation Rep'!T:T)</f>
        <v>006UU00000LTAki</v>
      </c>
      <c r="J99" s="17" t="str">
        <f t="array" ref="J99">iferror(XLOOKUP(A99,'Download of SFDC Activation Rep'!B:B,'Download of SFDC Activation Rep'!C:C),"")</f>
        <v>TecTeam LLC</v>
      </c>
      <c r="K99" s="17" t="str">
        <f t="array" ref="K99">XLOOKUP(A99,'Download of SFDC Activation Rep'!B:B,'Download of SFDC Activation Rep'!X:X)</f>
        <v>Mass Niang</v>
      </c>
      <c r="L99" s="33">
        <f t="array" ref="L99">xlookup(A99,'Download of SFDC Activation Rep'!B:B,'Download of SFDC Activation Rep'!Z:Z)</f>
        <v>45940</v>
      </c>
    </row>
    <row r="100">
      <c r="F100" s="13" t="str">
        <f t="array" ref="F100">iferror(XLOOKUP(A100,'Download of SFDC Activation Rep'!B:B,'Download of SFDC Activation Rep'!H:H),"")</f>
        <v>Active</v>
      </c>
      <c r="G100" s="13" t="str">
        <f t="array" ref="G100">iferror(xlookup(A100,'Download of SFDC Activation Rep'!B:B,'Download of SFDC Activation Rep'!L:L),"")</f>
        <v/>
      </c>
      <c r="H100" s="17" t="str">
        <f t="shared" si="1"/>
        <v>Active</v>
      </c>
      <c r="I100" s="17" t="str">
        <f t="array" ref="I100">XLOOKUP(A100,'Download of SFDC Activation Rep'!B:B,'Download of SFDC Activation Rep'!T:T)</f>
        <v>006VT00000niEUT</v>
      </c>
      <c r="J100" s="17" t="str">
        <f t="array" ref="J100">iferror(XLOOKUP(A100,'Download of SFDC Activation Rep'!B:B,'Download of SFDC Activation Rep'!C:C),"")</f>
        <v>K2 Parts Inc</v>
      </c>
      <c r="K100" s="17" t="str">
        <f t="array" ref="K100">XLOOKUP(A100,'Download of SFDC Activation Rep'!B:B,'Download of SFDC Activation Rep'!X:X)</f>
        <v>Arianna Modesti</v>
      </c>
      <c r="L100" s="33">
        <f t="array" ref="L100">xlookup(A100,'Download of SFDC Activation Rep'!B:B,'Download of SFDC Activation Rep'!Z:Z)</f>
        <v>46092</v>
      </c>
    </row>
    <row r="101">
      <c r="F101" s="13" t="str">
        <f t="array" ref="F101">iferror(XLOOKUP(A101,'Download of SFDC Activation Rep'!B:B,'Download of SFDC Activation Rep'!H:H),"")</f>
        <v/>
      </c>
      <c r="G101" s="13" t="str">
        <f t="array" ref="G101">iferror(xlookup(A101,'Download of SFDC Activation Rep'!B:B,'Download of SFDC Activation Rep'!L:L),"")</f>
        <v>Active</v>
      </c>
      <c r="H101" s="17" t="str">
        <f t="shared" si="1"/>
        <v>Active</v>
      </c>
      <c r="I101" s="17" t="str">
        <f t="array" ref="I101">XLOOKUP(A101,'Download of SFDC Activation Rep'!B:B,'Download of SFDC Activation Rep'!T:T)</f>
        <v>006UU00000Mq5Oj</v>
      </c>
      <c r="J101" s="17" t="str">
        <f t="array" ref="J101">iferror(XLOOKUP(A101,'Download of SFDC Activation Rep'!B:B,'Download of SFDC Activation Rep'!C:C),"")</f>
        <v>Jenny and Francois Selections</v>
      </c>
      <c r="K101" s="17" t="str">
        <f t="array" ref="K101">XLOOKUP(A101,'Download of SFDC Activation Rep'!B:B,'Download of SFDC Activation Rep'!X:X)</f>
        <v>Kate Olivares</v>
      </c>
      <c r="L101" s="33">
        <f t="array" ref="L101">xlookup(A101,'Download of SFDC Activation Rep'!B:B,'Download of SFDC Activation Rep'!Z:Z)</f>
        <v>45974</v>
      </c>
    </row>
    <row r="102">
      <c r="F102" s="13" t="str">
        <f t="array" ref="F102">iferror(XLOOKUP(A102,'Download of SFDC Activation Rep'!B:B,'Download of SFDC Activation Rep'!H:H),"")</f>
        <v>Active</v>
      </c>
      <c r="G102" s="13" t="str">
        <f t="array" ref="G102">iferror(xlookup(A102,'Download of SFDC Activation Rep'!B:B,'Download of SFDC Activation Rep'!L:L),"")</f>
        <v/>
      </c>
      <c r="H102" s="17" t="str">
        <f t="shared" si="1"/>
        <v>Active</v>
      </c>
      <c r="I102" s="17" t="str">
        <f t="array" ref="I102">XLOOKUP(A102,'Download of SFDC Activation Rep'!B:B,'Download of SFDC Activation Rep'!T:T)</f>
        <v>006UU00000N12ov</v>
      </c>
      <c r="J102" s="17" t="str">
        <f t="array" ref="J102">iferror(XLOOKUP(A102,'Download of SFDC Activation Rep'!B:B,'Download of SFDC Activation Rep'!C:C),"")</f>
        <v>Vitamin Science LLC</v>
      </c>
      <c r="K102" s="17" t="str">
        <f t="array" ref="K102">XLOOKUP(A102,'Download of SFDC Activation Rep'!B:B,'Download of SFDC Activation Rep'!X:X)</f>
        <v>Kate Olivares</v>
      </c>
      <c r="L102" s="33">
        <f t="array" ref="L102">xlookup(A102,'Download of SFDC Activation Rep'!B:B,'Download of SFDC Activation Rep'!Z:Z)</f>
        <v>45979</v>
      </c>
    </row>
    <row r="103">
      <c r="F103" s="13" t="str">
        <f t="array" ref="F103">iferror(XLOOKUP(A103,'Download of SFDC Activation Rep'!B:B,'Download of SFDC Activation Rep'!H:H),"")</f>
        <v>Active</v>
      </c>
      <c r="G103" s="13" t="str">
        <f t="array" ref="G103">iferror(xlookup(A103,'Download of SFDC Activation Rep'!B:B,'Download of SFDC Activation Rep'!L:L),"")</f>
        <v/>
      </c>
      <c r="H103" s="17" t="str">
        <f t="shared" si="1"/>
        <v>Active</v>
      </c>
      <c r="I103" s="17" t="str">
        <f t="array" ref="I103">XLOOKUP(A103,'Download of SFDC Activation Rep'!B:B,'Download of SFDC Activation Rep'!T:T)</f>
        <v>006UU00000LzrZm</v>
      </c>
      <c r="J103" s="17" t="str">
        <f t="array" ref="J103">iferror(XLOOKUP(A103,'Download of SFDC Activation Rep'!B:B,'Download of SFDC Activation Rep'!C:C),"")</f>
        <v>Habitat for Humanity-Anchorage</v>
      </c>
      <c r="K103" s="17" t="str">
        <f t="array" ref="K103">XLOOKUP(A103,'Download of SFDC Activation Rep'!B:B,'Download of SFDC Activation Rep'!X:X)</f>
        <v>Matthew Frost</v>
      </c>
      <c r="L103" s="33">
        <f t="array" ref="L103">xlookup(A103,'Download of SFDC Activation Rep'!B:B,'Download of SFDC Activation Rep'!Z:Z)</f>
        <v>45897</v>
      </c>
    </row>
    <row r="104">
      <c r="F104" s="13" t="str">
        <f t="array" ref="F104">iferror(XLOOKUP(A104,'Download of SFDC Activation Rep'!B:B,'Download of SFDC Activation Rep'!H:H),"")</f>
        <v/>
      </c>
      <c r="G104" s="13" t="str">
        <f t="array" ref="G104">iferror(xlookup(A104,'Download of SFDC Activation Rep'!B:B,'Download of SFDC Activation Rep'!L:L),"")</f>
        <v>Active</v>
      </c>
      <c r="H104" s="17" t="str">
        <f t="shared" si="1"/>
        <v>Active</v>
      </c>
      <c r="I104" s="17" t="str">
        <f t="array" ref="I104">XLOOKUP(A104,'Download of SFDC Activation Rep'!B:B,'Download of SFDC Activation Rep'!T:T)</f>
        <v>006VT00000o0NO1</v>
      </c>
      <c r="J104" s="17" t="str">
        <f t="array" ref="J104">iferror(XLOOKUP(A104,'Download of SFDC Activation Rep'!B:B,'Download of SFDC Activation Rep'!C:C),"")</f>
        <v>Guber Sports Llc</v>
      </c>
      <c r="K104" s="17" t="str">
        <f t="array" ref="K104">XLOOKUP(A104,'Download of SFDC Activation Rep'!B:B,'Download of SFDC Activation Rep'!X:X)</f>
        <v>Matthew Frost</v>
      </c>
      <c r="L104" s="33">
        <f t="array" ref="L104">xlookup(A104,'Download of SFDC Activation Rep'!B:B,'Download of SFDC Activation Rep'!Z:Z)</f>
        <v>46099</v>
      </c>
    </row>
    <row r="105">
      <c r="F105" s="13" t="str">
        <f t="array" ref="F105">iferror(XLOOKUP(A105,'Download of SFDC Activation Rep'!B:B,'Download of SFDC Activation Rep'!H:H),"")</f>
        <v>Active</v>
      </c>
      <c r="G105" s="13" t="str">
        <f t="array" ref="G105">iferror(xlookup(A105,'Download of SFDC Activation Rep'!B:B,'Download of SFDC Activation Rep'!L:L),"")</f>
        <v>Churned</v>
      </c>
      <c r="H105" s="17" t="str">
        <f t="shared" si="1"/>
        <v>Active</v>
      </c>
      <c r="I105" s="17" t="str">
        <f t="array" ref="I105">XLOOKUP(A105,'Download of SFDC Activation Rep'!B:B,'Download of SFDC Activation Rep'!T:T)</f>
        <v>006VT00000m1AEc</v>
      </c>
      <c r="J105" s="17" t="str">
        <f t="array" ref="J105">iferror(XLOOKUP(A105,'Download of SFDC Activation Rep'!B:B,'Download of SFDC Activation Rep'!C:C),"")</f>
        <v>Barrel-Art LLC</v>
      </c>
      <c r="K105" s="17" t="str">
        <f t="array" ref="K105">XLOOKUP(A105,'Download of SFDC Activation Rep'!B:B,'Download of SFDC Activation Rep'!X:X)</f>
        <v>Matthew Frost</v>
      </c>
      <c r="L105" s="33">
        <f t="array" ref="L105">xlookup(A105,'Download of SFDC Activation Rep'!B:B,'Download of SFDC Activation Rep'!Z:Z)</f>
        <v>46056</v>
      </c>
    </row>
    <row r="106">
      <c r="F106" s="13" t="str">
        <f t="array" ref="F106">iferror(XLOOKUP(A106,'Download of SFDC Activation Rep'!B:B,'Download of SFDC Activation Rep'!H:H),"")</f>
        <v>Active</v>
      </c>
      <c r="G106" s="13" t="str">
        <f t="array" ref="G106">iferror(xlookup(A106,'Download of SFDC Activation Rep'!B:B,'Download of SFDC Activation Rep'!L:L),"")</f>
        <v/>
      </c>
      <c r="H106" s="17" t="str">
        <f t="shared" si="1"/>
        <v>Active</v>
      </c>
      <c r="I106" s="17" t="str">
        <f t="array" ref="I106">XLOOKUP(A106,'Download of SFDC Activation Rep'!B:B,'Download of SFDC Activation Rep'!T:T)</f>
        <v>006VT00000lSjgf</v>
      </c>
      <c r="J106" s="17" t="str">
        <f t="array" ref="J106">iferror(XLOOKUP(A106,'Download of SFDC Activation Rep'!B:B,'Download of SFDC Activation Rep'!C:C),"")</f>
        <v>Vertex Holdings</v>
      </c>
      <c r="K106" s="17" t="str">
        <f t="array" ref="K106">XLOOKUP(A106,'Download of SFDC Activation Rep'!B:B,'Download of SFDC Activation Rep'!X:X)</f>
        <v>Matthew Frost</v>
      </c>
      <c r="L106" s="33">
        <f t="array" ref="L106">xlookup(A106,'Download of SFDC Activation Rep'!B:B,'Download of SFDC Activation Rep'!Z:Z)</f>
        <v>46048</v>
      </c>
    </row>
    <row r="107">
      <c r="F107" s="13" t="str">
        <f t="array" ref="F107">iferror(XLOOKUP(A107,'Download of SFDC Activation Rep'!B:B,'Download of SFDC Activation Rep'!H:H),"")</f>
        <v>Active</v>
      </c>
      <c r="G107" s="13" t="str">
        <f t="array" ref="G107">iferror(xlookup(A107,'Download of SFDC Activation Rep'!B:B,'Download of SFDC Activation Rep'!L:L),"")</f>
        <v/>
      </c>
      <c r="H107" s="17" t="str">
        <f t="shared" si="1"/>
        <v>Active</v>
      </c>
      <c r="I107" s="17" t="str">
        <f t="array" ref="I107">XLOOKUP(A107,'Download of SFDC Activation Rep'!B:B,'Download of SFDC Activation Rep'!T:T)</f>
        <v>006VT00000nhlvV</v>
      </c>
      <c r="J107" s="17" t="str">
        <f t="array" ref="J107">iferror(XLOOKUP(A107,'Download of SFDC Activation Rep'!B:B,'Download of SFDC Activation Rep'!C:C),"")</f>
        <v>Island Containers</v>
      </c>
      <c r="K107" s="17" t="str">
        <f t="array" ref="K107">XLOOKUP(A107,'Download of SFDC Activation Rep'!B:B,'Download of SFDC Activation Rep'!X:X)</f>
        <v>Arianna Modesti</v>
      </c>
      <c r="L107" s="33">
        <f t="array" ref="L107">xlookup(A107,'Download of SFDC Activation Rep'!B:B,'Download of SFDC Activation Rep'!Z:Z)</f>
        <v>46092</v>
      </c>
    </row>
    <row r="108">
      <c r="F108" s="13" t="str">
        <f t="array" ref="F108">iferror(XLOOKUP(A108,'Download of SFDC Activation Rep'!B:B,'Download of SFDC Activation Rep'!H:H),"")</f>
        <v/>
      </c>
      <c r="G108" s="13" t="str">
        <f t="array" ref="G108">iferror(xlookup(A108,'Download of SFDC Activation Rep'!B:B,'Download of SFDC Activation Rep'!L:L),"")</f>
        <v>Active</v>
      </c>
      <c r="H108" s="17" t="str">
        <f t="shared" si="1"/>
        <v>Active</v>
      </c>
      <c r="I108" s="17" t="str">
        <f t="array" ref="I108">XLOOKUP(A108,'Download of SFDC Activation Rep'!B:B,'Download of SFDC Activation Rep'!T:T)</f>
        <v>006VT00000n1i61</v>
      </c>
      <c r="J108" s="17" t="str">
        <f t="array" ref="J108">iferror(XLOOKUP(A108,'Download of SFDC Activation Rep'!B:B,'Download of SFDC Activation Rep'!C:C),"")</f>
        <v>Placewise LLC</v>
      </c>
      <c r="K108" s="17" t="str">
        <f t="array" ref="K108">XLOOKUP(A108,'Download of SFDC Activation Rep'!B:B,'Download of SFDC Activation Rep'!X:X)</f>
        <v>Matthew Frost</v>
      </c>
      <c r="L108" s="33">
        <f t="array" ref="L108">xlookup(A108,'Download of SFDC Activation Rep'!B:B,'Download of SFDC Activation Rep'!Z:Z)</f>
        <v>46077</v>
      </c>
    </row>
    <row r="109">
      <c r="F109" s="13" t="str">
        <f t="array" ref="F109">iferror(XLOOKUP(A109,'Download of SFDC Activation Rep'!B:B,'Download of SFDC Activation Rep'!H:H),"")</f>
        <v>Active</v>
      </c>
      <c r="G109" s="13" t="str">
        <f t="array" ref="G109">iferror(xlookup(A109,'Download of SFDC Activation Rep'!B:B,'Download of SFDC Activation Rep'!L:L),"")</f>
        <v/>
      </c>
      <c r="H109" s="17" t="str">
        <f t="shared" si="1"/>
        <v>Active</v>
      </c>
      <c r="I109" s="17" t="str">
        <f t="array" ref="I109">XLOOKUP(A109,'Download of SFDC Activation Rep'!B:B,'Download of SFDC Activation Rep'!T:T)</f>
        <v>006VT00000owujN</v>
      </c>
      <c r="J109" s="17" t="str">
        <f t="array" ref="J109">iferror(XLOOKUP(A109,'Download of SFDC Activation Rep'!B:B,'Download of SFDC Activation Rep'!C:C),"")</f>
        <v>GATEWAY LIGHTING AND DESIGN INC</v>
      </c>
      <c r="K109" s="17" t="str">
        <f t="array" ref="K109">XLOOKUP(A109,'Download of SFDC Activation Rep'!B:B,'Download of SFDC Activation Rep'!X:X)</f>
        <v>Arianna Modesti</v>
      </c>
      <c r="L109" s="33">
        <f t="array" ref="L109">xlookup(A109,'Download of SFDC Activation Rep'!B:B,'Download of SFDC Activation Rep'!Z:Z)</f>
        <v>46119</v>
      </c>
    </row>
    <row r="110">
      <c r="F110" s="13" t="str">
        <f t="array" ref="F110">iferror(XLOOKUP(A110,'Download of SFDC Activation Rep'!B:B,'Download of SFDC Activation Rep'!H:H),"")</f>
        <v/>
      </c>
      <c r="G110" s="13" t="str">
        <f t="array" ref="G110">iferror(xlookup(A110,'Download of SFDC Activation Rep'!B:B,'Download of SFDC Activation Rep'!L:L),"")</f>
        <v>Active</v>
      </c>
      <c r="H110" s="17" t="str">
        <f t="shared" si="1"/>
        <v>Active</v>
      </c>
      <c r="I110" s="17" t="str">
        <f t="array" ref="I110">XLOOKUP(A110,'Download of SFDC Activation Rep'!B:B,'Download of SFDC Activation Rep'!T:T)</f>
        <v>006UU00000O1Il6</v>
      </c>
      <c r="J110" s="17" t="str">
        <f t="array" ref="J110">iferror(XLOOKUP(A110,'Download of SFDC Activation Rep'!B:B,'Download of SFDC Activation Rep'!C:C),"")</f>
        <v>Jenny and Francois Selections</v>
      </c>
      <c r="K110" s="17"/>
      <c r="L110" s="32"/>
    </row>
    <row r="111">
      <c r="F111" s="13" t="str">
        <f t="array" ref="F111">iferror(XLOOKUP(A111,'Download of SFDC Activation Rep'!B:B,'Download of SFDC Activation Rep'!H:H),"")</f>
        <v>Active</v>
      </c>
      <c r="G111" s="13" t="str">
        <f t="array" ref="G111">iferror(xlookup(A111,'Download of SFDC Activation Rep'!B:B,'Download of SFDC Activation Rep'!L:L),"")</f>
        <v/>
      </c>
      <c r="H111" s="17" t="str">
        <f t="shared" si="1"/>
        <v>Active</v>
      </c>
      <c r="I111" s="17" t="str">
        <f t="array" ref="I111">XLOOKUP(A111,'Download of SFDC Activation Rep'!B:B,'Download of SFDC Activation Rep'!T:T)</f>
        <v>006VT00000puqcr</v>
      </c>
      <c r="J111" s="17" t="str">
        <f t="array" ref="J111">iferror(XLOOKUP(A111,'Download of SFDC Activation Rep'!B:B,'Download of SFDC Activation Rep'!C:C),"")</f>
        <v>Victory Bicycle Studio</v>
      </c>
      <c r="K111" s="17" t="str">
        <f t="array" ref="K111">XLOOKUP(A111,'Download of SFDC Activation Rep'!B:B,'Download of SFDC Activation Rep'!X:X)</f>
        <v>Arianna Modesti</v>
      </c>
      <c r="L111" s="33">
        <f t="array" ref="L111">xlookup(A111,'Download of SFDC Activation Rep'!B:B,'Download of SFDC Activation Rep'!Z:Z)</f>
        <v>46139</v>
      </c>
    </row>
    <row r="112">
      <c r="F112" s="13" t="str">
        <f t="array" ref="F112">iferror(XLOOKUP(A112,'Download of SFDC Activation Rep'!B:B,'Download of SFDC Activation Rep'!H:H),"")</f>
        <v>Active</v>
      </c>
      <c r="G112" s="13" t="str">
        <f t="array" ref="G112">iferror(xlookup(A112,'Download of SFDC Activation Rep'!B:B,'Download of SFDC Activation Rep'!L:L),"")</f>
        <v>Churned</v>
      </c>
      <c r="H112" s="17" t="str">
        <f t="shared" si="1"/>
        <v>Active</v>
      </c>
      <c r="I112" s="17" t="str">
        <f t="array" ref="I112">XLOOKUP(A112,'Download of SFDC Activation Rep'!B:B,'Download of SFDC Activation Rep'!T:T)</f>
        <v>006UU00000LzkrF</v>
      </c>
      <c r="J112" s="17" t="str">
        <f t="array" ref="J112">iferror(XLOOKUP(A112,'Download of SFDC Activation Rep'!B:B,'Download of SFDC Activation Rep'!C:C),"")</f>
        <v>Millbrook Distillery LLC dba Tenmile Distillery</v>
      </c>
      <c r="K112" s="17" t="str">
        <f t="array" ref="K112">XLOOKUP(A112,'Download of SFDC Activation Rep'!B:B,'Download of SFDC Activation Rep'!X:X)</f>
        <v>Mass Niang</v>
      </c>
      <c r="L112" s="33">
        <f t="array" ref="L112">xlookup(A112,'Download of SFDC Activation Rep'!B:B,'Download of SFDC Activation Rep'!Z:Z)</f>
        <v>45890</v>
      </c>
    </row>
    <row r="113">
      <c r="F113" s="13" t="str">
        <f t="array" ref="F113">iferror(XLOOKUP(A113,'Download of SFDC Activation Rep'!B:B,'Download of SFDC Activation Rep'!H:H),"")</f>
        <v>Active</v>
      </c>
      <c r="G113" s="13" t="str">
        <f t="array" ref="G113">iferror(xlookup(A113,'Download of SFDC Activation Rep'!B:B,'Download of SFDC Activation Rep'!L:L),"")</f>
        <v/>
      </c>
      <c r="H113" s="17" t="str">
        <f t="shared" si="1"/>
        <v>Active</v>
      </c>
      <c r="I113" s="17" t="str">
        <f t="array" ref="I113">XLOOKUP(A113,'Download of SFDC Activation Rep'!B:B,'Download of SFDC Activation Rep'!T:T)</f>
        <v>006VT00000rcekJ</v>
      </c>
      <c r="J113" s="17" t="str">
        <f t="array" ref="J113">iferror(XLOOKUP(A113,'Download of SFDC Activation Rep'!B:B,'Download of SFDC Activation Rep'!C:C),"")</f>
        <v>Bella Notte Linens</v>
      </c>
      <c r="K113" s="17" t="str">
        <f t="array" ref="K113">XLOOKUP(A113,'Download of SFDC Activation Rep'!B:B,'Download of SFDC Activation Rep'!X:X)</f>
        <v>Arianna Modesti</v>
      </c>
      <c r="L113" s="33">
        <f t="array" ref="L113">xlookup(A113,'Download of SFDC Activation Rep'!B:B,'Download of SFDC Activation Rep'!Z:Z)</f>
        <v>46175</v>
      </c>
    </row>
    <row r="114">
      <c r="F114" s="13" t="str">
        <f t="array" ref="F114">iferror(XLOOKUP(A114,'Download of SFDC Activation Rep'!B:B,'Download of SFDC Activation Rep'!H:H),"")</f>
        <v>Active</v>
      </c>
      <c r="G114" s="13" t="str">
        <f t="array" ref="G114">iferror(xlookup(A114,'Download of SFDC Activation Rep'!B:B,'Download of SFDC Activation Rep'!L:L),"")</f>
        <v/>
      </c>
      <c r="H114" s="17" t="str">
        <f t="shared" si="1"/>
        <v>Active</v>
      </c>
      <c r="I114" s="17" t="str">
        <f t="array" ref="I114">XLOOKUP(A114,'Download of SFDC Activation Rep'!B:B,'Download of SFDC Activation Rep'!T:T)</f>
        <v>006UU00000LKXgU</v>
      </c>
      <c r="J114" s="17" t="str">
        <f t="array" ref="J114">iferror(XLOOKUP(A114,'Download of SFDC Activation Rep'!B:B,'Download of SFDC Activation Rep'!C:C),"")</f>
        <v>MJM Construction</v>
      </c>
      <c r="K114" s="17" t="str">
        <f t="array" ref="K114">XLOOKUP(A114,'Download of SFDC Activation Rep'!B:B,'Download of SFDC Activation Rep'!X:X)</f>
        <v>Mass Niang</v>
      </c>
      <c r="L114" s="33">
        <f t="array" ref="L114">xlookup(A114,'Download of SFDC Activation Rep'!B:B,'Download of SFDC Activation Rep'!Z:Z)</f>
        <v>45937</v>
      </c>
    </row>
    <row r="115">
      <c r="F115" s="13" t="str">
        <f t="array" ref="F115">iferror(XLOOKUP(A115,'Download of SFDC Activation Rep'!B:B,'Download of SFDC Activation Rep'!H:H),"")</f>
        <v>Active</v>
      </c>
      <c r="G115" s="13" t="str">
        <f t="array" ref="G115">iferror(xlookup(A115,'Download of SFDC Activation Rep'!B:B,'Download of SFDC Activation Rep'!L:L),"")</f>
        <v>Churned</v>
      </c>
      <c r="H115" s="17" t="str">
        <f t="shared" si="1"/>
        <v>Active</v>
      </c>
      <c r="I115" s="17" t="str">
        <f t="array" ref="I115">XLOOKUP(A115,'Download of SFDC Activation Rep'!B:B,'Download of SFDC Activation Rep'!T:T)</f>
        <v>006UU00000OcYZ7</v>
      </c>
      <c r="J115" s="17" t="str">
        <f t="array" ref="J115">iferror(XLOOKUP(A115,'Download of SFDC Activation Rep'!B:B,'Download of SFDC Activation Rep'!C:C),"")</f>
        <v>Big House Group LLC</v>
      </c>
      <c r="K115" s="17" t="str">
        <f t="array" ref="K115">XLOOKUP(A115,'Download of SFDC Activation Rep'!B:B,'Download of SFDC Activation Rep'!X:X)</f>
        <v>Matthew Frost</v>
      </c>
      <c r="L115" s="33">
        <f t="array" ref="L115">xlookup(A115,'Download of SFDC Activation Rep'!B:B,'Download of SFDC Activation Rep'!Z:Z)</f>
        <v>46027</v>
      </c>
    </row>
    <row r="116">
      <c r="F116" s="13" t="str">
        <f t="array" ref="F116">iferror(XLOOKUP(A116,'Download of SFDC Activation Rep'!B:B,'Download of SFDC Activation Rep'!H:H),"")</f>
        <v>Active</v>
      </c>
      <c r="G116" s="13" t="str">
        <f t="array" ref="G116">iferror(xlookup(A116,'Download of SFDC Activation Rep'!B:B,'Download of SFDC Activation Rep'!L:L),"")</f>
        <v>Active</v>
      </c>
      <c r="H116" s="17" t="str">
        <f t="shared" si="1"/>
        <v>Active</v>
      </c>
      <c r="I116" s="17" t="str">
        <f t="array" ref="I116">XLOOKUP(A116,'Download of SFDC Activation Rep'!B:B,'Download of SFDC Activation Rep'!T:T)</f>
        <v>006UU00000MQpn6</v>
      </c>
      <c r="J116" s="17" t="str">
        <f t="array" ref="J116">iferror(XLOOKUP(A116,'Download of SFDC Activation Rep'!B:B,'Download of SFDC Activation Rep'!C:C),"")</f>
        <v>L&amp;M Mail &amp; Courier</v>
      </c>
      <c r="K116" s="17" t="str">
        <f t="array" ref="K116">XLOOKUP(A116,'Download of SFDC Activation Rep'!B:B,'Download of SFDC Activation Rep'!X:X)</f>
        <v>Kate Olivares</v>
      </c>
      <c r="L116" s="33">
        <f t="array" ref="L116">xlookup(A116,'Download of SFDC Activation Rep'!B:B,'Download of SFDC Activation Rep'!Z:Z)</f>
        <v>45880</v>
      </c>
    </row>
    <row r="117">
      <c r="F117" s="13" t="str">
        <f t="array" ref="F117">iferror(XLOOKUP(A117,'Download of SFDC Activation Rep'!B:B,'Download of SFDC Activation Rep'!H:H),"")</f>
        <v/>
      </c>
      <c r="G117" s="13" t="str">
        <f t="array" ref="G117">iferror(xlookup(A117,'Download of SFDC Activation Rep'!B:B,'Download of SFDC Activation Rep'!L:L),"")</f>
        <v>Active</v>
      </c>
      <c r="H117" s="17" t="str">
        <f t="shared" si="1"/>
        <v>Active</v>
      </c>
      <c r="I117" s="17" t="str">
        <f t="array" ref="I117">XLOOKUP(A117,'Download of SFDC Activation Rep'!B:B,'Download of SFDC Activation Rep'!T:T)</f>
        <v>006UU00000Lzkqz</v>
      </c>
      <c r="J117" s="17" t="str">
        <f t="array" ref="J117">iferror(XLOOKUP(A117,'Download of SFDC Activation Rep'!B:B,'Download of SFDC Activation Rep'!C:C),"")</f>
        <v>Advanced Medical Software Solutions, Inc.</v>
      </c>
      <c r="K117" s="17" t="str">
        <f t="array" ref="K117">XLOOKUP(A117,'Download of SFDC Activation Rep'!B:B,'Download of SFDC Activation Rep'!X:X)</f>
        <v>Matthew Frost</v>
      </c>
      <c r="L117" s="33">
        <f t="array" ref="L117">xlookup(A117,'Download of SFDC Activation Rep'!B:B,'Download of SFDC Activation Rep'!Z:Z)</f>
        <v>45895</v>
      </c>
    </row>
    <row r="118">
      <c r="F118" s="13" t="str">
        <f t="array" ref="F118">iferror(XLOOKUP(A118,'Download of SFDC Activation Rep'!B:B,'Download of SFDC Activation Rep'!H:H),"")</f>
        <v>Active</v>
      </c>
      <c r="G118" s="13" t="str">
        <f t="array" ref="G118">iferror(xlookup(A118,'Download of SFDC Activation Rep'!B:B,'Download of SFDC Activation Rep'!L:L),"")</f>
        <v/>
      </c>
      <c r="H118" s="17" t="str">
        <f t="shared" si="1"/>
        <v>Active</v>
      </c>
      <c r="I118" s="17" t="str">
        <f t="array" ref="I118">XLOOKUP(A118,'Download of SFDC Activation Rep'!B:B,'Download of SFDC Activation Rep'!T:T)</f>
        <v>006VT00000qRtP3</v>
      </c>
      <c r="J118" s="17" t="str">
        <f t="array" ref="J118">iferror(XLOOKUP(A118,'Download of SFDC Activation Rep'!B:B,'Download of SFDC Activation Rep'!C:C),"")</f>
        <v>Nationwide Valuation Solutions, LLC</v>
      </c>
      <c r="K118" s="17" t="str">
        <f t="array" ref="K118">XLOOKUP(A118,'Download of SFDC Activation Rep'!B:B,'Download of SFDC Activation Rep'!X:X)</f>
        <v>Arianna Modesti</v>
      </c>
      <c r="L118" s="33">
        <f t="array" ref="L118">xlookup(A118,'Download of SFDC Activation Rep'!B:B,'Download of SFDC Activation Rep'!Z:Z)</f>
        <v>46150</v>
      </c>
    </row>
    <row r="119">
      <c r="F119" s="13" t="str">
        <f t="array" ref="F119">iferror(XLOOKUP(A119,'Download of SFDC Activation Rep'!B:B,'Download of SFDC Activation Rep'!H:H),"")</f>
        <v/>
      </c>
      <c r="G119" s="13" t="str">
        <f t="array" ref="G119">iferror(xlookup(A119,'Download of SFDC Activation Rep'!B:B,'Download of SFDC Activation Rep'!L:L),"")</f>
        <v>Active</v>
      </c>
      <c r="H119" s="17" t="str">
        <f t="shared" si="1"/>
        <v>Active</v>
      </c>
      <c r="I119" s="17" t="str">
        <f t="array" ref="I119">XLOOKUP(A119,'Download of SFDC Activation Rep'!B:B,'Download of SFDC Activation Rep'!T:T)</f>
        <v>006UU00000LzkrI</v>
      </c>
      <c r="J119" s="17" t="str">
        <f t="array" ref="J119">iferror(XLOOKUP(A119,'Download of SFDC Activation Rep'!B:B,'Download of SFDC Activation Rep'!C:C),"")</f>
        <v>Southside Mighty of Chicago</v>
      </c>
      <c r="K119" s="17" t="str">
        <f t="array" ref="K119">XLOOKUP(A119,'Download of SFDC Activation Rep'!B:B,'Download of SFDC Activation Rep'!X:X)</f>
        <v>Matthew Frost</v>
      </c>
      <c r="L119" s="33">
        <f t="array" ref="L119">xlookup(A119,'Download of SFDC Activation Rep'!B:B,'Download of SFDC Activation Rep'!Z:Z)</f>
        <v>45895</v>
      </c>
    </row>
    <row r="120">
      <c r="F120" s="13" t="str">
        <f t="array" ref="F120">iferror(XLOOKUP(A120,'Download of SFDC Activation Rep'!B:B,'Download of SFDC Activation Rep'!H:H),"")</f>
        <v>Churned</v>
      </c>
      <c r="G120" s="13" t="str">
        <f t="array" ref="G120">iferror(xlookup(A120,'Download of SFDC Activation Rep'!B:B,'Download of SFDC Activation Rep'!L:L),"")</f>
        <v>Active</v>
      </c>
      <c r="H120" s="17" t="str">
        <f t="shared" si="1"/>
        <v>Active</v>
      </c>
      <c r="I120" s="17" t="str">
        <f t="array" ref="I120">XLOOKUP(A120,'Download of SFDC Activation Rep'!B:B,'Download of SFDC Activation Rep'!T:T)</f>
        <v>006UU00000MmdC5</v>
      </c>
      <c r="J120" s="17" t="str">
        <f t="array" ref="J120">iferror(XLOOKUP(A120,'Download of SFDC Activation Rep'!B:B,'Download of SFDC Activation Rep'!C:C),"")</f>
        <v>International Marine Products</v>
      </c>
      <c r="K120" s="17" t="str">
        <f t="array" ref="K120">XLOOKUP(A120,'Download of SFDC Activation Rep'!B:B,'Download of SFDC Activation Rep'!X:X)</f>
        <v>Matthew Frost</v>
      </c>
      <c r="L120" s="33">
        <f t="array" ref="L120">xlookup(A120,'Download of SFDC Activation Rep'!B:B,'Download of SFDC Activation Rep'!Z:Z)</f>
        <v>45973</v>
      </c>
    </row>
    <row r="121">
      <c r="F121" s="13" t="str">
        <f t="array" ref="F121">iferror(XLOOKUP(A121,'Download of SFDC Activation Rep'!B:B,'Download of SFDC Activation Rep'!H:H),"")</f>
        <v/>
      </c>
      <c r="G121" s="13" t="str">
        <f t="array" ref="G121">iferror(xlookup(A121,'Download of SFDC Activation Rep'!B:B,'Download of SFDC Activation Rep'!L:L),"")</f>
        <v>Active</v>
      </c>
      <c r="H121" s="17" t="str">
        <f t="shared" si="1"/>
        <v>Active</v>
      </c>
      <c r="I121" s="17" t="str">
        <f t="array" ref="I121">XLOOKUP(A121,'Download of SFDC Activation Rep'!B:B,'Download of SFDC Activation Rep'!T:T)</f>
        <v>006UU00000LzkrH</v>
      </c>
      <c r="J121" s="17" t="str">
        <f t="array" ref="J121">iferror(XLOOKUP(A121,'Download of SFDC Activation Rep'!B:B,'Download of SFDC Activation Rep'!C:C),"")</f>
        <v>PC Enterprises</v>
      </c>
      <c r="K121" s="17" t="str">
        <f t="array" ref="K121">XLOOKUP(A121,'Download of SFDC Activation Rep'!B:B,'Download of SFDC Activation Rep'!X:X)</f>
        <v>Matthew Frost</v>
      </c>
      <c r="L121" s="33">
        <f t="array" ref="L121">xlookup(A121,'Download of SFDC Activation Rep'!B:B,'Download of SFDC Activation Rep'!Z:Z)</f>
        <v>45895</v>
      </c>
    </row>
    <row r="122">
      <c r="F122" s="13" t="str">
        <f t="array" ref="F122">iferror(XLOOKUP(A122,'Download of SFDC Activation Rep'!B:B,'Download of SFDC Activation Rep'!H:H),"")</f>
        <v>Active</v>
      </c>
      <c r="G122" s="13" t="str">
        <f t="array" ref="G122">iferror(xlookup(A122,'Download of SFDC Activation Rep'!B:B,'Download of SFDC Activation Rep'!L:L),"")</f>
        <v/>
      </c>
      <c r="H122" s="17" t="str">
        <f t="shared" si="1"/>
        <v>Active</v>
      </c>
      <c r="I122" s="17" t="str">
        <f t="array" ref="I122">XLOOKUP(A122,'Download of SFDC Activation Rep'!B:B,'Download of SFDC Activation Rep'!T:T)</f>
        <v>006UU00000NVQyi</v>
      </c>
      <c r="J122" s="17" t="str">
        <f t="array" ref="J122">iferror(XLOOKUP(A122,'Download of SFDC Activation Rep'!B:B,'Download of SFDC Activation Rep'!C:C),"")</f>
        <v>The Makenzie House</v>
      </c>
      <c r="K122" s="17" t="str">
        <f t="array" ref="K122">XLOOKUP(A122,'Download of SFDC Activation Rep'!B:B,'Download of SFDC Activation Rep'!X:X)</f>
        <v>Matthew Frost</v>
      </c>
      <c r="L122" s="33">
        <f t="array" ref="L122">xlookup(A122,'Download of SFDC Activation Rep'!B:B,'Download of SFDC Activation Rep'!Z:Z)</f>
        <v>45993</v>
      </c>
    </row>
    <row r="123">
      <c r="B123" s="14"/>
      <c r="C123" s="14"/>
      <c r="D123" s="14"/>
      <c r="E123" s="14"/>
      <c r="F123" s="13" t="str">
        <f t="array" ref="F123">iferror(XLOOKUP(A123,'Download of SFDC Activation Rep'!B:B,'Download of SFDC Activation Rep'!H:H),"")</f>
        <v/>
      </c>
      <c r="G123" s="13" t="str">
        <f t="array" ref="G123">iferror(xlookup(A123,'Download of SFDC Activation Rep'!B:B,'Download of SFDC Activation Rep'!L:L),"")</f>
        <v/>
      </c>
      <c r="H123" s="17" t="str">
        <f t="shared" si="1"/>
        <v>Not Active</v>
      </c>
      <c r="I123" s="17" t="str">
        <f t="array" ref="I123">XLOOKUP(A123,'Download of SFDC Activation Rep'!B:B,'Download of SFDC Activation Rep'!T:T)</f>
        <v>#N/A</v>
      </c>
      <c r="J123" s="17" t="str">
        <f t="array" ref="J123">iferror(XLOOKUP(A123,'Download of SFDC Activation Rep'!B:B,'Download of SFDC Activation Rep'!C:C),"")</f>
        <v/>
      </c>
      <c r="K123" s="17" t="str">
        <f t="array" ref="K123">XLOOKUP(A123,'Download of SFDC Activation Rep'!B:B,'Download of SFDC Activation Rep'!X:X)</f>
        <v>#N/A</v>
      </c>
      <c r="L123" s="32" t="str">
        <f t="array" ref="L123">xlookup(A123,'Download of SFDC Activation Rep'!B:B,'Download of SFDC Activation Rep'!Z:Z)</f>
        <v>#N/A</v>
      </c>
    </row>
    <row r="124">
      <c r="B124" s="14"/>
      <c r="C124" s="14"/>
      <c r="D124" s="14"/>
      <c r="E124" s="14"/>
      <c r="F124" s="13" t="str">
        <f t="array" ref="F124">iferror(XLOOKUP(A124,'Download of SFDC Activation Rep'!B:B,'Download of SFDC Activation Rep'!H:H),"")</f>
        <v/>
      </c>
      <c r="G124" s="13" t="str">
        <f t="array" ref="G124">iferror(xlookup(A124,'Download of SFDC Activation Rep'!B:B,'Download of SFDC Activation Rep'!L:L),"")</f>
        <v/>
      </c>
      <c r="H124" s="17" t="str">
        <f t="shared" si="1"/>
        <v>Not Active</v>
      </c>
      <c r="I124" s="17" t="str">
        <f t="array" ref="I124">XLOOKUP(A124,'Download of SFDC Activation Rep'!B:B,'Download of SFDC Activation Rep'!T:T)</f>
        <v>#N/A</v>
      </c>
      <c r="J124" s="17" t="str">
        <f t="array" ref="J124">iferror(XLOOKUP(A124,'Download of SFDC Activation Rep'!B:B,'Download of SFDC Activation Rep'!C:C),"")</f>
        <v/>
      </c>
      <c r="K124" s="17" t="str">
        <f t="array" ref="K124">XLOOKUP(A124,'Download of SFDC Activation Rep'!B:B,'Download of SFDC Activation Rep'!X:X)</f>
        <v>#N/A</v>
      </c>
      <c r="L124" s="32" t="str">
        <f t="array" ref="L124">xlookup(A124,'Download of SFDC Activation Rep'!B:B,'Download of SFDC Activation Rep'!Z:Z)</f>
        <v>#N/A</v>
      </c>
      <c r="M124" s="31"/>
    </row>
    <row r="125">
      <c r="B125" s="14"/>
      <c r="C125" s="14"/>
      <c r="D125" s="14"/>
      <c r="E125" s="14"/>
      <c r="F125" s="13" t="str">
        <f t="array" ref="F125">iferror(XLOOKUP(A125,'Download of SFDC Activation Rep'!B:B,'Download of SFDC Activation Rep'!H:H),"")</f>
        <v/>
      </c>
      <c r="G125" s="13" t="str">
        <f t="array" ref="G125">iferror(xlookup(A125,'Download of SFDC Activation Rep'!B:B,'Download of SFDC Activation Rep'!L:L),"")</f>
        <v/>
      </c>
      <c r="H125" s="17" t="str">
        <f t="shared" si="1"/>
        <v>Not Active</v>
      </c>
      <c r="I125" s="17" t="str">
        <f t="array" ref="I125">XLOOKUP(A125,'Download of SFDC Activation Rep'!B:B,'Download of SFDC Activation Rep'!T:T)</f>
        <v>#N/A</v>
      </c>
      <c r="J125" s="17" t="str">
        <f t="array" ref="J125">iferror(XLOOKUP(A125,'Download of SFDC Activation Rep'!B:B,'Download of SFDC Activation Rep'!C:C),"")</f>
        <v/>
      </c>
      <c r="K125" s="17" t="str">
        <f t="array" ref="K125">XLOOKUP(A125,'Download of SFDC Activation Rep'!B:B,'Download of SFDC Activation Rep'!X:X)</f>
        <v>#N/A</v>
      </c>
      <c r="L125" s="32" t="str">
        <f t="array" ref="L125">xlookup(A125,'Download of SFDC Activation Rep'!B:B,'Download of SFDC Activation Rep'!Z:Z)</f>
        <v>#N/A</v>
      </c>
    </row>
    <row r="126">
      <c r="B126" s="14"/>
      <c r="C126" s="14"/>
      <c r="D126" s="14"/>
      <c r="E126" s="14"/>
      <c r="F126" s="13" t="str">
        <f t="array" ref="F126">iferror(XLOOKUP(A126,'Download of SFDC Activation Rep'!B:B,'Download of SFDC Activation Rep'!H:H),"")</f>
        <v/>
      </c>
      <c r="G126" s="13" t="str">
        <f t="array" ref="G126">iferror(xlookup(A126,'Download of SFDC Activation Rep'!B:B,'Download of SFDC Activation Rep'!L:L),"")</f>
        <v/>
      </c>
      <c r="H126" s="17" t="str">
        <f t="shared" si="1"/>
        <v>Not Active</v>
      </c>
      <c r="I126" s="17" t="str">
        <f t="array" ref="I126">XLOOKUP(A126,'Download of SFDC Activation Rep'!B:B,'Download of SFDC Activation Rep'!T:T)</f>
        <v>#N/A</v>
      </c>
      <c r="J126" s="17" t="str">
        <f t="array" ref="J126">iferror(XLOOKUP(A126,'Download of SFDC Activation Rep'!B:B,'Download of SFDC Activation Rep'!C:C),"")</f>
        <v/>
      </c>
      <c r="K126" s="17" t="str">
        <f t="array" ref="K126">XLOOKUP(A126,'Download of SFDC Activation Rep'!B:B,'Download of SFDC Activation Rep'!X:X)</f>
        <v>#N/A</v>
      </c>
      <c r="L126" s="32" t="str">
        <f t="array" ref="L126">xlookup(A126,'Download of SFDC Activation Rep'!B:B,'Download of SFDC Activation Rep'!Z:Z)</f>
        <v>#N/A</v>
      </c>
    </row>
    <row r="127">
      <c r="B127" s="14"/>
      <c r="C127" s="14"/>
      <c r="D127" s="14"/>
      <c r="E127" s="14"/>
      <c r="F127" s="13" t="str">
        <f t="array" ref="F127">iferror(XLOOKUP(A127,'Download of SFDC Activation Rep'!B:B,'Download of SFDC Activation Rep'!H:H),"")</f>
        <v/>
      </c>
      <c r="G127" s="13" t="str">
        <f t="array" ref="G127">iferror(xlookup(A127,'Download of SFDC Activation Rep'!B:B,'Download of SFDC Activation Rep'!L:L),"")</f>
        <v/>
      </c>
      <c r="H127" s="17" t="str">
        <f t="shared" si="1"/>
        <v>Not Active</v>
      </c>
      <c r="I127" s="17" t="str">
        <f t="array" ref="I127">XLOOKUP(A127,'Download of SFDC Activation Rep'!B:B,'Download of SFDC Activation Rep'!T:T)</f>
        <v>#N/A</v>
      </c>
      <c r="J127" s="17" t="str">
        <f t="array" ref="J127">iferror(XLOOKUP(A127,'Download of SFDC Activation Rep'!B:B,'Download of SFDC Activation Rep'!C:C),"")</f>
        <v/>
      </c>
      <c r="K127" s="17" t="str">
        <f t="array" ref="K127">XLOOKUP(A127,'Download of SFDC Activation Rep'!B:B,'Download of SFDC Activation Rep'!X:X)</f>
        <v>#N/A</v>
      </c>
      <c r="L127" s="32" t="str">
        <f t="array" ref="L127">xlookup(A127,'Download of SFDC Activation Rep'!B:B,'Download of SFDC Activation Rep'!Z:Z)</f>
        <v>#N/A</v>
      </c>
    </row>
    <row r="128">
      <c r="B128" s="14"/>
      <c r="C128" s="14"/>
      <c r="D128" s="14"/>
      <c r="E128" s="14"/>
      <c r="F128" s="13" t="str">
        <f t="array" ref="F128">iferror(XLOOKUP(A128,'Download of SFDC Activation Rep'!B:B,'Download of SFDC Activation Rep'!H:H),"")</f>
        <v/>
      </c>
      <c r="G128" s="13" t="str">
        <f t="array" ref="G128">iferror(xlookup(A128,'Download of SFDC Activation Rep'!B:B,'Download of SFDC Activation Rep'!L:L),"")</f>
        <v/>
      </c>
      <c r="H128" s="17" t="str">
        <f t="shared" si="1"/>
        <v>Not Active</v>
      </c>
      <c r="I128" s="17" t="str">
        <f t="array" ref="I128">XLOOKUP(A128,'Download of SFDC Activation Rep'!B:B,'Download of SFDC Activation Rep'!T:T)</f>
        <v>#N/A</v>
      </c>
      <c r="J128" s="17" t="str">
        <f t="array" ref="J128">iferror(XLOOKUP(A128,'Download of SFDC Activation Rep'!B:B,'Download of SFDC Activation Rep'!C:C),"")</f>
        <v/>
      </c>
      <c r="K128" s="17" t="str">
        <f t="array" ref="K128">XLOOKUP(A128,'Download of SFDC Activation Rep'!B:B,'Download of SFDC Activation Rep'!X:X)</f>
        <v>#N/A</v>
      </c>
      <c r="L128" s="32" t="str">
        <f t="array" ref="L128">xlookup(A128,'Download of SFDC Activation Rep'!B:B,'Download of SFDC Activation Rep'!Z:Z)</f>
        <v>#N/A</v>
      </c>
    </row>
    <row r="129">
      <c r="B129" s="14"/>
      <c r="C129" s="14"/>
      <c r="D129" s="14"/>
      <c r="E129" s="14"/>
      <c r="F129" s="13" t="str">
        <f t="array" ref="F129">iferror(XLOOKUP(A129,'Download of SFDC Activation Rep'!B:B,'Download of SFDC Activation Rep'!H:H),"")</f>
        <v/>
      </c>
      <c r="G129" s="13" t="str">
        <f t="array" ref="G129">iferror(xlookup(A129,'Download of SFDC Activation Rep'!B:B,'Download of SFDC Activation Rep'!L:L),"")</f>
        <v/>
      </c>
      <c r="H129" s="17" t="str">
        <f t="shared" si="1"/>
        <v>Not Active</v>
      </c>
      <c r="I129" s="17" t="str">
        <f t="array" ref="I129">XLOOKUP(A129,'Download of SFDC Activation Rep'!B:B,'Download of SFDC Activation Rep'!T:T)</f>
        <v>#N/A</v>
      </c>
      <c r="J129" s="17" t="str">
        <f t="array" ref="J129">iferror(XLOOKUP(A129,'Download of SFDC Activation Rep'!B:B,'Download of SFDC Activation Rep'!C:C),"")</f>
        <v/>
      </c>
      <c r="K129" s="17" t="str">
        <f t="array" ref="K129">XLOOKUP(A129,'Download of SFDC Activation Rep'!B:B,'Download of SFDC Activation Rep'!X:X)</f>
        <v>#N/A</v>
      </c>
      <c r="L129" s="32" t="str">
        <f t="array" ref="L129">xlookup(A129,'Download of SFDC Activation Rep'!B:B,'Download of SFDC Activation Rep'!Z:Z)</f>
        <v>#N/A</v>
      </c>
    </row>
    <row r="130">
      <c r="B130" s="14"/>
      <c r="C130" s="14"/>
      <c r="D130" s="14"/>
      <c r="E130" s="14"/>
      <c r="F130" s="13" t="str">
        <f t="array" ref="F130">iferror(XLOOKUP(A130,'Download of SFDC Activation Rep'!B:B,'Download of SFDC Activation Rep'!H:H),"")</f>
        <v/>
      </c>
      <c r="G130" s="13" t="str">
        <f t="array" ref="G130">iferror(xlookup(A130,'Download of SFDC Activation Rep'!B:B,'Download of SFDC Activation Rep'!L:L),"")</f>
        <v/>
      </c>
      <c r="H130" s="17" t="str">
        <f t="shared" si="1"/>
        <v>Not Active</v>
      </c>
      <c r="I130" s="17" t="str">
        <f t="array" ref="I130">XLOOKUP(A130,'Download of SFDC Activation Rep'!B:B,'Download of SFDC Activation Rep'!T:T)</f>
        <v>#N/A</v>
      </c>
      <c r="J130" s="17" t="str">
        <f t="array" ref="J130">iferror(XLOOKUP(A130,'Download of SFDC Activation Rep'!B:B,'Download of SFDC Activation Rep'!C:C),"")</f>
        <v/>
      </c>
      <c r="K130" s="17" t="str">
        <f t="array" ref="K130">XLOOKUP(A130,'Download of SFDC Activation Rep'!B:B,'Download of SFDC Activation Rep'!X:X)</f>
        <v>#N/A</v>
      </c>
      <c r="L130" s="32" t="str">
        <f t="array" ref="L130">xlookup(A130,'Download of SFDC Activation Rep'!B:B,'Download of SFDC Activation Rep'!Z:Z)</f>
        <v>#N/A</v>
      </c>
    </row>
    <row r="131">
      <c r="B131" s="14"/>
      <c r="C131" s="14"/>
      <c r="D131" s="14"/>
      <c r="E131" s="14"/>
      <c r="F131" s="13" t="str">
        <f t="array" ref="F131">iferror(XLOOKUP(A131,'Download of SFDC Activation Rep'!B:B,'Download of SFDC Activation Rep'!H:H),"")</f>
        <v/>
      </c>
      <c r="G131" s="13" t="str">
        <f t="array" ref="G131">iferror(xlookup(A131,'Download of SFDC Activation Rep'!B:B,'Download of SFDC Activation Rep'!L:L),"")</f>
        <v/>
      </c>
      <c r="H131" s="17" t="str">
        <f t="shared" si="1"/>
        <v>Not Active</v>
      </c>
      <c r="I131" s="17" t="str">
        <f t="array" ref="I131">XLOOKUP(A131,'Download of SFDC Activation Rep'!B:B,'Download of SFDC Activation Rep'!T:T)</f>
        <v>#N/A</v>
      </c>
      <c r="J131" s="17" t="str">
        <f t="array" ref="J131">iferror(XLOOKUP(A131,'Download of SFDC Activation Rep'!B:B,'Download of SFDC Activation Rep'!C:C),"")</f>
        <v/>
      </c>
      <c r="K131" s="17" t="str">
        <f t="array" ref="K131">XLOOKUP(A131,'Download of SFDC Activation Rep'!B:B,'Download of SFDC Activation Rep'!X:X)</f>
        <v>#N/A</v>
      </c>
      <c r="L131" s="32" t="str">
        <f t="array" ref="L131">xlookup(A131,'Download of SFDC Activation Rep'!B:B,'Download of SFDC Activation Rep'!Z:Z)</f>
        <v>#N/A</v>
      </c>
    </row>
    <row r="132">
      <c r="B132" s="14"/>
      <c r="C132" s="14"/>
      <c r="D132" s="14"/>
      <c r="E132" s="14"/>
      <c r="F132" s="13" t="str">
        <f t="array" ref="F132">iferror(XLOOKUP(A132,'Download of SFDC Activation Rep'!B:B,'Download of SFDC Activation Rep'!H:H),"")</f>
        <v/>
      </c>
      <c r="G132" s="13" t="str">
        <f t="array" ref="G132">iferror(xlookup(A132,'Download of SFDC Activation Rep'!B:B,'Download of SFDC Activation Rep'!L:L),"")</f>
        <v/>
      </c>
      <c r="H132" s="17" t="str">
        <f t="shared" si="1"/>
        <v>Not Active</v>
      </c>
      <c r="I132" s="17" t="str">
        <f t="array" ref="I132">XLOOKUP(A132,'Download of SFDC Activation Rep'!B:B,'Download of SFDC Activation Rep'!T:T)</f>
        <v>#N/A</v>
      </c>
      <c r="J132" s="17" t="str">
        <f t="array" ref="J132">iferror(XLOOKUP(A132,'Download of SFDC Activation Rep'!B:B,'Download of SFDC Activation Rep'!C:C),"")</f>
        <v/>
      </c>
      <c r="K132" s="17" t="str">
        <f t="array" ref="K132">XLOOKUP(A132,'Download of SFDC Activation Rep'!B:B,'Download of SFDC Activation Rep'!X:X)</f>
        <v>#N/A</v>
      </c>
      <c r="L132" s="32" t="str">
        <f t="array" ref="L132">xlookup(A132,'Download of SFDC Activation Rep'!B:B,'Download of SFDC Activation Rep'!Z:Z)</f>
        <v>#N/A</v>
      </c>
    </row>
    <row r="133">
      <c r="B133" s="14"/>
      <c r="C133" s="14"/>
      <c r="D133" s="14"/>
      <c r="E133" s="14"/>
      <c r="F133" s="13" t="str">
        <f t="array" ref="F133">iferror(XLOOKUP(A133,'Download of SFDC Activation Rep'!B:B,'Download of SFDC Activation Rep'!H:H),"")</f>
        <v/>
      </c>
      <c r="G133" s="13" t="str">
        <f t="array" ref="G133">iferror(xlookup(A133,'Download of SFDC Activation Rep'!B:B,'Download of SFDC Activation Rep'!L:L),"")</f>
        <v/>
      </c>
      <c r="H133" s="17" t="str">
        <f t="shared" si="1"/>
        <v>Not Active</v>
      </c>
      <c r="I133" s="17" t="str">
        <f t="array" ref="I133">XLOOKUP(A133,'Download of SFDC Activation Rep'!B:B,'Download of SFDC Activation Rep'!T:T)</f>
        <v>#N/A</v>
      </c>
      <c r="J133" s="17" t="str">
        <f t="array" ref="J133">iferror(XLOOKUP(A133,'Download of SFDC Activation Rep'!B:B,'Download of SFDC Activation Rep'!C:C),"")</f>
        <v/>
      </c>
      <c r="K133" s="17" t="str">
        <f t="array" ref="K133">XLOOKUP(A133,'Download of SFDC Activation Rep'!B:B,'Download of SFDC Activation Rep'!X:X)</f>
        <v>#N/A</v>
      </c>
      <c r="L133" s="32" t="str">
        <f t="array" ref="L133">xlookup(A133,'Download of SFDC Activation Rep'!B:B,'Download of SFDC Activation Rep'!Z:Z)</f>
        <v>#N/A</v>
      </c>
    </row>
    <row r="134">
      <c r="B134" s="14"/>
      <c r="C134" s="14"/>
      <c r="D134" s="14"/>
      <c r="E134" s="14"/>
      <c r="F134" s="13" t="str">
        <f t="array" ref="F134">iferror(XLOOKUP(A134,'Download of SFDC Activation Rep'!B:B,'Download of SFDC Activation Rep'!H:H),"")</f>
        <v/>
      </c>
      <c r="G134" s="13" t="str">
        <f t="array" ref="G134">iferror(xlookup(A134,'Download of SFDC Activation Rep'!B:B,'Download of SFDC Activation Rep'!L:L),"")</f>
        <v/>
      </c>
      <c r="H134" s="17" t="str">
        <f t="shared" si="1"/>
        <v>Not Active</v>
      </c>
      <c r="I134" s="17" t="str">
        <f t="array" ref="I134">XLOOKUP(A134,'Download of SFDC Activation Rep'!B:B,'Download of SFDC Activation Rep'!T:T)</f>
        <v>#N/A</v>
      </c>
      <c r="J134" s="17" t="str">
        <f t="array" ref="J134">iferror(XLOOKUP(A134,'Download of SFDC Activation Rep'!B:B,'Download of SFDC Activation Rep'!C:C),"")</f>
        <v/>
      </c>
      <c r="K134" s="17" t="str">
        <f t="array" ref="K134">XLOOKUP(A134,'Download of SFDC Activation Rep'!B:B,'Download of SFDC Activation Rep'!X:X)</f>
        <v>#N/A</v>
      </c>
      <c r="L134" s="32" t="str">
        <f t="array" ref="L134">xlookup(A134,'Download of SFDC Activation Rep'!B:B,'Download of SFDC Activation Rep'!Z:Z)</f>
        <v>#N/A</v>
      </c>
    </row>
    <row r="135">
      <c r="B135" s="14"/>
      <c r="C135" s="14"/>
      <c r="D135" s="14"/>
      <c r="E135" s="14"/>
      <c r="F135" s="13" t="str">
        <f t="array" ref="F135">iferror(XLOOKUP(A135,'Download of SFDC Activation Rep'!B:B,'Download of SFDC Activation Rep'!H:H),"")</f>
        <v/>
      </c>
      <c r="G135" s="13" t="str">
        <f t="array" ref="G135">iferror(xlookup(A135,'Download of SFDC Activation Rep'!B:B,'Download of SFDC Activation Rep'!L:L),"")</f>
        <v/>
      </c>
      <c r="H135" s="17" t="str">
        <f t="shared" si="1"/>
        <v>Not Active</v>
      </c>
      <c r="I135" s="17" t="str">
        <f t="array" ref="I135">XLOOKUP(A135,'Download of SFDC Activation Rep'!B:B,'Download of SFDC Activation Rep'!T:T)</f>
        <v>#N/A</v>
      </c>
      <c r="J135" s="17" t="str">
        <f t="array" ref="J135">iferror(XLOOKUP(A135,'Download of SFDC Activation Rep'!B:B,'Download of SFDC Activation Rep'!C:C),"")</f>
        <v/>
      </c>
      <c r="K135" s="17" t="str">
        <f t="array" ref="K135">XLOOKUP(A135,'Download of SFDC Activation Rep'!B:B,'Download of SFDC Activation Rep'!X:X)</f>
        <v>#N/A</v>
      </c>
      <c r="L135" s="32" t="str">
        <f t="array" ref="L135">xlookup(A135,'Download of SFDC Activation Rep'!B:B,'Download of SFDC Activation Rep'!Z:Z)</f>
        <v>#N/A</v>
      </c>
    </row>
    <row r="136">
      <c r="B136" s="14"/>
      <c r="C136" s="14"/>
      <c r="D136" s="14"/>
      <c r="E136" s="14"/>
      <c r="F136" s="13" t="str">
        <f t="array" ref="F136">iferror(XLOOKUP(A136,'Download of SFDC Activation Rep'!B:B,'Download of SFDC Activation Rep'!H:H),"")</f>
        <v/>
      </c>
      <c r="G136" s="13" t="str">
        <f t="array" ref="G136">iferror(xlookup(A136,'Download of SFDC Activation Rep'!B:B,'Download of SFDC Activation Rep'!L:L),"")</f>
        <v/>
      </c>
      <c r="H136" s="17" t="str">
        <f t="shared" si="1"/>
        <v>Not Active</v>
      </c>
      <c r="I136" s="17" t="str">
        <f t="array" ref="I136">XLOOKUP(A136,'Download of SFDC Activation Rep'!B:B,'Download of SFDC Activation Rep'!T:T)</f>
        <v>#N/A</v>
      </c>
      <c r="J136" s="17" t="str">
        <f t="array" ref="J136">iferror(XLOOKUP(A136,'Download of SFDC Activation Rep'!B:B,'Download of SFDC Activation Rep'!C:C),"")</f>
        <v/>
      </c>
      <c r="K136" s="17" t="str">
        <f t="array" ref="K136">XLOOKUP(A136,'Download of SFDC Activation Rep'!B:B,'Download of SFDC Activation Rep'!X:X)</f>
        <v>#N/A</v>
      </c>
      <c r="L136" s="32" t="str">
        <f t="array" ref="L136">xlookup(A136,'Download of SFDC Activation Rep'!B:B,'Download of SFDC Activation Rep'!Z:Z)</f>
        <v>#N/A</v>
      </c>
    </row>
    <row r="137">
      <c r="B137" s="14"/>
      <c r="C137" s="14"/>
      <c r="D137" s="14"/>
      <c r="E137" s="14"/>
      <c r="F137" s="13" t="str">
        <f t="array" ref="F137">iferror(XLOOKUP(A137,'Download of SFDC Activation Rep'!B:B,'Download of SFDC Activation Rep'!H:H),"")</f>
        <v/>
      </c>
      <c r="G137" s="13" t="str">
        <f t="array" ref="G137">iferror(xlookup(A137,'Download of SFDC Activation Rep'!B:B,'Download of SFDC Activation Rep'!L:L),"")</f>
        <v/>
      </c>
      <c r="H137" s="17" t="str">
        <f t="shared" si="1"/>
        <v>Not Active</v>
      </c>
      <c r="I137" s="17" t="str">
        <f t="array" ref="I137">XLOOKUP(A137,'Download of SFDC Activation Rep'!B:B,'Download of SFDC Activation Rep'!T:T)</f>
        <v>#N/A</v>
      </c>
      <c r="J137" s="17" t="str">
        <f t="array" ref="J137">iferror(XLOOKUP(A137,'Download of SFDC Activation Rep'!B:B,'Download of SFDC Activation Rep'!C:C),"")</f>
        <v/>
      </c>
      <c r="K137" s="17" t="str">
        <f t="array" ref="K137">XLOOKUP(A137,'Download of SFDC Activation Rep'!B:B,'Download of SFDC Activation Rep'!X:X)</f>
        <v>#N/A</v>
      </c>
      <c r="L137" s="32" t="str">
        <f t="array" ref="L137">xlookup(A137,'Download of SFDC Activation Rep'!B:B,'Download of SFDC Activation Rep'!Z:Z)</f>
        <v>#N/A</v>
      </c>
    </row>
    <row r="138">
      <c r="B138" s="14"/>
      <c r="C138" s="14"/>
      <c r="D138" s="14"/>
      <c r="E138" s="14"/>
      <c r="F138" s="13" t="str">
        <f t="array" ref="F138">iferror(XLOOKUP(A138,'Download of SFDC Activation Rep'!B:B,'Download of SFDC Activation Rep'!H:H),"")</f>
        <v/>
      </c>
      <c r="G138" s="13" t="str">
        <f t="array" ref="G138">iferror(xlookup(A138,'Download of SFDC Activation Rep'!B:B,'Download of SFDC Activation Rep'!L:L),"")</f>
        <v/>
      </c>
      <c r="H138" s="17" t="str">
        <f t="shared" si="1"/>
        <v>Not Active</v>
      </c>
      <c r="I138" s="17" t="str">
        <f t="array" ref="I138">XLOOKUP(A138,'Download of SFDC Activation Rep'!B:B,'Download of SFDC Activation Rep'!T:T)</f>
        <v>#N/A</v>
      </c>
      <c r="J138" s="17" t="str">
        <f t="array" ref="J138">iferror(XLOOKUP(A138,'Download of SFDC Activation Rep'!B:B,'Download of SFDC Activation Rep'!C:C),"")</f>
        <v/>
      </c>
      <c r="K138" s="17" t="str">
        <f t="array" ref="K138">XLOOKUP(A138,'Download of SFDC Activation Rep'!B:B,'Download of SFDC Activation Rep'!X:X)</f>
        <v>#N/A</v>
      </c>
      <c r="L138" s="32" t="str">
        <f t="array" ref="L138">xlookup(A138,'Download of SFDC Activation Rep'!B:B,'Download of SFDC Activation Rep'!Z:Z)</f>
        <v>#N/A</v>
      </c>
    </row>
    <row r="139">
      <c r="B139" s="14"/>
      <c r="C139" s="14"/>
      <c r="D139" s="14"/>
      <c r="E139" s="14"/>
      <c r="F139" s="13" t="str">
        <f t="array" ref="F139">iferror(XLOOKUP(A139,'Download of SFDC Activation Rep'!B:B,'Download of SFDC Activation Rep'!H:H),"")</f>
        <v/>
      </c>
      <c r="G139" s="13" t="str">
        <f t="array" ref="G139">iferror(xlookup(A139,'Download of SFDC Activation Rep'!B:B,'Download of SFDC Activation Rep'!L:L),"")</f>
        <v/>
      </c>
      <c r="H139" s="17" t="str">
        <f t="shared" si="1"/>
        <v>Not Active</v>
      </c>
      <c r="I139" s="17" t="str">
        <f t="array" ref="I139">XLOOKUP(A139,'Download of SFDC Activation Rep'!B:B,'Download of SFDC Activation Rep'!T:T)</f>
        <v>#N/A</v>
      </c>
      <c r="J139" s="17" t="str">
        <f t="array" ref="J139">iferror(XLOOKUP(A139,'Download of SFDC Activation Rep'!B:B,'Download of SFDC Activation Rep'!C:C),"")</f>
        <v/>
      </c>
      <c r="K139" s="17" t="str">
        <f t="array" ref="K139">XLOOKUP(A139,'Download of SFDC Activation Rep'!B:B,'Download of SFDC Activation Rep'!X:X)</f>
        <v>#N/A</v>
      </c>
      <c r="L139" s="32" t="str">
        <f t="array" ref="L139">xlookup(A139,'Download of SFDC Activation Rep'!B:B,'Download of SFDC Activation Rep'!Z:Z)</f>
        <v>#N/A</v>
      </c>
    </row>
    <row r="140">
      <c r="B140" s="14"/>
      <c r="C140" s="14"/>
      <c r="D140" s="14"/>
      <c r="E140" s="14"/>
      <c r="F140" s="13" t="str">
        <f t="array" ref="F140">iferror(XLOOKUP(A140,'Download of SFDC Activation Rep'!B:B,'Download of SFDC Activation Rep'!H:H),"")</f>
        <v/>
      </c>
      <c r="G140" s="13" t="str">
        <f t="array" ref="G140">iferror(xlookup(A140,'Download of SFDC Activation Rep'!B:B,'Download of SFDC Activation Rep'!L:L),"")</f>
        <v/>
      </c>
      <c r="H140" s="17" t="str">
        <f t="shared" si="1"/>
        <v>Not Active</v>
      </c>
      <c r="I140" s="17" t="str">
        <f t="array" ref="I140">XLOOKUP(A140,'Download of SFDC Activation Rep'!B:B,'Download of SFDC Activation Rep'!T:T)</f>
        <v>#N/A</v>
      </c>
      <c r="J140" s="17" t="str">
        <f t="array" ref="J140">iferror(XLOOKUP(A140,'Download of SFDC Activation Rep'!B:B,'Download of SFDC Activation Rep'!C:C),"")</f>
        <v/>
      </c>
      <c r="K140" s="17" t="str">
        <f t="array" ref="K140">XLOOKUP(A140,'Download of SFDC Activation Rep'!B:B,'Download of SFDC Activation Rep'!X:X)</f>
        <v>#N/A</v>
      </c>
      <c r="L140" s="32" t="str">
        <f t="array" ref="L140">xlookup(A140,'Download of SFDC Activation Rep'!B:B,'Download of SFDC Activation Rep'!Z:Z)</f>
        <v>#N/A</v>
      </c>
    </row>
    <row r="141">
      <c r="B141" s="14"/>
      <c r="C141" s="14"/>
      <c r="D141" s="14"/>
      <c r="E141" s="14"/>
      <c r="F141" s="13" t="str">
        <f t="array" ref="F141">iferror(XLOOKUP(A141,'Download of SFDC Activation Rep'!B:B,'Download of SFDC Activation Rep'!H:H),"")</f>
        <v/>
      </c>
      <c r="G141" s="13" t="str">
        <f t="array" ref="G141">iferror(xlookup(A141,'Download of SFDC Activation Rep'!B:B,'Download of SFDC Activation Rep'!L:L),"")</f>
        <v/>
      </c>
      <c r="H141" s="17" t="str">
        <f t="shared" si="1"/>
        <v>Not Active</v>
      </c>
      <c r="I141" s="17" t="str">
        <f t="array" ref="I141">XLOOKUP(A141,'Download of SFDC Activation Rep'!B:B,'Download of SFDC Activation Rep'!T:T)</f>
        <v>#N/A</v>
      </c>
      <c r="J141" s="17" t="str">
        <f t="array" ref="J141">iferror(XLOOKUP(A141,'Download of SFDC Activation Rep'!B:B,'Download of SFDC Activation Rep'!C:C),"")</f>
        <v/>
      </c>
      <c r="K141" s="17" t="str">
        <f t="array" ref="K141">XLOOKUP(A141,'Download of SFDC Activation Rep'!B:B,'Download of SFDC Activation Rep'!X:X)</f>
        <v>#N/A</v>
      </c>
      <c r="L141" s="32" t="str">
        <f t="array" ref="L141">xlookup(A141,'Download of SFDC Activation Rep'!B:B,'Download of SFDC Activation Rep'!Z:Z)</f>
        <v>#N/A</v>
      </c>
    </row>
    <row r="142">
      <c r="B142" s="14"/>
      <c r="C142" s="14"/>
      <c r="D142" s="14"/>
      <c r="E142" s="14"/>
      <c r="F142" s="13" t="str">
        <f t="array" ref="F142">iferror(XLOOKUP(A142,'Download of SFDC Activation Rep'!B:B,'Download of SFDC Activation Rep'!H:H),"")</f>
        <v/>
      </c>
      <c r="G142" s="13" t="str">
        <f t="array" ref="G142">iferror(xlookup(A142,'Download of SFDC Activation Rep'!B:B,'Download of SFDC Activation Rep'!L:L),"")</f>
        <v/>
      </c>
      <c r="H142" s="17" t="str">
        <f t="shared" si="1"/>
        <v>Not Active</v>
      </c>
      <c r="I142" s="17" t="str">
        <f t="array" ref="I142">XLOOKUP(A142,'Download of SFDC Activation Rep'!B:B,'Download of SFDC Activation Rep'!T:T)</f>
        <v>#N/A</v>
      </c>
      <c r="J142" s="17" t="str">
        <f t="array" ref="J142">iferror(XLOOKUP(A142,'Download of SFDC Activation Rep'!B:B,'Download of SFDC Activation Rep'!C:C),"")</f>
        <v/>
      </c>
      <c r="K142" s="17" t="str">
        <f t="array" ref="K142">XLOOKUP(A142,'Download of SFDC Activation Rep'!B:B,'Download of SFDC Activation Rep'!X:X)</f>
        <v>#N/A</v>
      </c>
      <c r="L142" s="32" t="str">
        <f t="array" ref="L142">xlookup(A142,'Download of SFDC Activation Rep'!B:B,'Download of SFDC Activation Rep'!Z:Z)</f>
        <v>#N/A</v>
      </c>
    </row>
    <row r="143">
      <c r="B143" s="14"/>
      <c r="C143" s="14"/>
      <c r="D143" s="14"/>
      <c r="E143" s="14"/>
      <c r="F143" s="13" t="str">
        <f t="array" ref="F143">iferror(XLOOKUP(A143,'Download of SFDC Activation Rep'!B:B,'Download of SFDC Activation Rep'!H:H),"")</f>
        <v/>
      </c>
      <c r="G143" s="13" t="str">
        <f t="array" ref="G143">iferror(xlookup(A143,'Download of SFDC Activation Rep'!B:B,'Download of SFDC Activation Rep'!L:L),"")</f>
        <v/>
      </c>
      <c r="H143" s="17" t="str">
        <f t="shared" si="1"/>
        <v>Not Active</v>
      </c>
      <c r="I143" s="17" t="str">
        <f t="array" ref="I143">XLOOKUP(A143,'Download of SFDC Activation Rep'!B:B,'Download of SFDC Activation Rep'!T:T)</f>
        <v>#N/A</v>
      </c>
      <c r="J143" s="17" t="str">
        <f t="array" ref="J143">iferror(XLOOKUP(A143,'Download of SFDC Activation Rep'!B:B,'Download of SFDC Activation Rep'!C:C),"")</f>
        <v/>
      </c>
      <c r="K143" s="17" t="str">
        <f t="array" ref="K143">XLOOKUP(A143,'Download of SFDC Activation Rep'!B:B,'Download of SFDC Activation Rep'!X:X)</f>
        <v>#N/A</v>
      </c>
      <c r="L143" s="32" t="str">
        <f t="array" ref="L143">xlookup(A143,'Download of SFDC Activation Rep'!B:B,'Download of SFDC Activation Rep'!Z:Z)</f>
        <v>#N/A</v>
      </c>
    </row>
    <row r="144">
      <c r="B144" s="14"/>
      <c r="C144" s="14"/>
      <c r="D144" s="14"/>
      <c r="E144" s="14"/>
      <c r="F144" s="13" t="str">
        <f t="array" ref="F144">iferror(XLOOKUP(A144,'Download of SFDC Activation Rep'!B:B,'Download of SFDC Activation Rep'!H:H),"")</f>
        <v/>
      </c>
      <c r="G144" s="13" t="str">
        <f t="array" ref="G144">iferror(xlookup(A144,'Download of SFDC Activation Rep'!B:B,'Download of SFDC Activation Rep'!L:L),"")</f>
        <v/>
      </c>
      <c r="H144" s="17" t="str">
        <f t="shared" si="1"/>
        <v>Not Active</v>
      </c>
      <c r="I144" s="17" t="str">
        <f t="array" ref="I144">XLOOKUP(A144,'Download of SFDC Activation Rep'!B:B,'Download of SFDC Activation Rep'!T:T)</f>
        <v>#N/A</v>
      </c>
      <c r="J144" s="17" t="str">
        <f t="array" ref="J144">iferror(XLOOKUP(A144,'Download of SFDC Activation Rep'!B:B,'Download of SFDC Activation Rep'!C:C),"")</f>
        <v/>
      </c>
      <c r="K144" s="17" t="str">
        <f t="array" ref="K144">XLOOKUP(A144,'Download of SFDC Activation Rep'!B:B,'Download of SFDC Activation Rep'!X:X)</f>
        <v>#N/A</v>
      </c>
      <c r="L144" s="32" t="str">
        <f t="array" ref="L144">xlookup(A144,'Download of SFDC Activation Rep'!B:B,'Download of SFDC Activation Rep'!Z:Z)</f>
        <v>#N/A</v>
      </c>
    </row>
    <row r="145">
      <c r="B145" s="14"/>
      <c r="C145" s="14"/>
      <c r="D145" s="14"/>
      <c r="E145" s="14"/>
      <c r="F145" s="13" t="str">
        <f t="array" ref="F145">iferror(XLOOKUP(A145,'Download of SFDC Activation Rep'!B:B,'Download of SFDC Activation Rep'!H:H),"")</f>
        <v/>
      </c>
      <c r="G145" s="13" t="str">
        <f t="array" ref="G145">iferror(xlookup(A145,'Download of SFDC Activation Rep'!B:B,'Download of SFDC Activation Rep'!L:L),"")</f>
        <v/>
      </c>
      <c r="H145" s="17" t="str">
        <f t="shared" si="1"/>
        <v>Not Active</v>
      </c>
      <c r="I145" s="17" t="str">
        <f t="array" ref="I145">XLOOKUP(A145,'Download of SFDC Activation Rep'!B:B,'Download of SFDC Activation Rep'!T:T)</f>
        <v>#N/A</v>
      </c>
      <c r="J145" s="17" t="str">
        <f t="array" ref="J145">iferror(XLOOKUP(A145,'Download of SFDC Activation Rep'!B:B,'Download of SFDC Activation Rep'!C:C),"")</f>
        <v/>
      </c>
      <c r="K145" s="17" t="str">
        <f t="array" ref="K145">XLOOKUP(A145,'Download of SFDC Activation Rep'!B:B,'Download of SFDC Activation Rep'!X:X)</f>
        <v>#N/A</v>
      </c>
      <c r="L145" s="32" t="str">
        <f t="array" ref="L145">xlookup(A145,'Download of SFDC Activation Rep'!B:B,'Download of SFDC Activation Rep'!Z:Z)</f>
        <v>#N/A</v>
      </c>
    </row>
    <row r="146">
      <c r="B146" s="14"/>
      <c r="C146" s="14"/>
      <c r="D146" s="14"/>
      <c r="E146" s="14"/>
      <c r="F146" s="13" t="str">
        <f t="array" ref="F146">iferror(XLOOKUP(A146,'Download of SFDC Activation Rep'!B:B,'Download of SFDC Activation Rep'!H:H),"")</f>
        <v/>
      </c>
      <c r="G146" s="13" t="str">
        <f t="array" ref="G146">iferror(xlookup(A146,'Download of SFDC Activation Rep'!B:B,'Download of SFDC Activation Rep'!L:L),"")</f>
        <v/>
      </c>
      <c r="H146" s="17" t="str">
        <f t="shared" si="1"/>
        <v>Not Active</v>
      </c>
      <c r="I146" s="17" t="str">
        <f t="array" ref="I146">XLOOKUP(A146,'Download of SFDC Activation Rep'!B:B,'Download of SFDC Activation Rep'!T:T)</f>
        <v>#N/A</v>
      </c>
      <c r="J146" s="17" t="str">
        <f t="array" ref="J146">iferror(XLOOKUP(A146,'Download of SFDC Activation Rep'!B:B,'Download of SFDC Activation Rep'!C:C),"")</f>
        <v/>
      </c>
      <c r="K146" s="17" t="str">
        <f t="array" ref="K146">XLOOKUP(A146,'Download of SFDC Activation Rep'!B:B,'Download of SFDC Activation Rep'!X:X)</f>
        <v>#N/A</v>
      </c>
      <c r="L146" s="32" t="str">
        <f t="array" ref="L146">xlookup(A146,'Download of SFDC Activation Rep'!B:B,'Download of SFDC Activation Rep'!Z:Z)</f>
        <v>#N/A</v>
      </c>
    </row>
    <row r="147">
      <c r="B147" s="14"/>
      <c r="C147" s="14"/>
      <c r="D147" s="14"/>
      <c r="E147" s="14"/>
      <c r="F147" s="13" t="str">
        <f t="array" ref="F147">iferror(XLOOKUP(A147,'Download of SFDC Activation Rep'!B:B,'Download of SFDC Activation Rep'!H:H),"")</f>
        <v/>
      </c>
      <c r="G147" s="13" t="str">
        <f t="array" ref="G147">iferror(xlookup(A147,'Download of SFDC Activation Rep'!B:B,'Download of SFDC Activation Rep'!L:L),"")</f>
        <v/>
      </c>
      <c r="H147" s="17" t="str">
        <f t="shared" si="1"/>
        <v>Not Active</v>
      </c>
      <c r="I147" s="17" t="str">
        <f t="array" ref="I147">XLOOKUP(A147,'Download of SFDC Activation Rep'!B:B,'Download of SFDC Activation Rep'!T:T)</f>
        <v>#N/A</v>
      </c>
      <c r="J147" s="17" t="str">
        <f t="array" ref="J147">iferror(XLOOKUP(A147,'Download of SFDC Activation Rep'!B:B,'Download of SFDC Activation Rep'!C:C),"")</f>
        <v/>
      </c>
      <c r="K147" s="17" t="str">
        <f t="array" ref="K147">XLOOKUP(A147,'Download of SFDC Activation Rep'!B:B,'Download of SFDC Activation Rep'!X:X)</f>
        <v>#N/A</v>
      </c>
      <c r="L147" s="32" t="str">
        <f t="array" ref="L147">xlookup(A147,'Download of SFDC Activation Rep'!B:B,'Download of SFDC Activation Rep'!Z:Z)</f>
        <v>#N/A</v>
      </c>
    </row>
    <row r="148">
      <c r="B148" s="14"/>
      <c r="C148" s="14"/>
      <c r="D148" s="14"/>
      <c r="E148" s="14"/>
      <c r="F148" s="13" t="str">
        <f t="array" ref="F148">iferror(XLOOKUP(A148,'Download of SFDC Activation Rep'!B:B,'Download of SFDC Activation Rep'!H:H),"")</f>
        <v/>
      </c>
      <c r="G148" s="13" t="str">
        <f t="array" ref="G148">iferror(xlookup(A148,'Download of SFDC Activation Rep'!B:B,'Download of SFDC Activation Rep'!L:L),"")</f>
        <v/>
      </c>
      <c r="H148" s="17" t="str">
        <f t="shared" si="1"/>
        <v>Not Active</v>
      </c>
      <c r="I148" s="17" t="str">
        <f t="array" ref="I148">XLOOKUP(A148,'Download of SFDC Activation Rep'!B:B,'Download of SFDC Activation Rep'!T:T)</f>
        <v>#N/A</v>
      </c>
      <c r="J148" s="17" t="str">
        <f t="array" ref="J148">iferror(XLOOKUP(A148,'Download of SFDC Activation Rep'!B:B,'Download of SFDC Activation Rep'!C:C),"")</f>
        <v/>
      </c>
      <c r="K148" s="17" t="str">
        <f t="array" ref="K148">XLOOKUP(A148,'Download of SFDC Activation Rep'!B:B,'Download of SFDC Activation Rep'!X:X)</f>
        <v>#N/A</v>
      </c>
      <c r="L148" s="32" t="str">
        <f t="array" ref="L148">xlookup(A148,'Download of SFDC Activation Rep'!B:B,'Download of SFDC Activation Rep'!Z:Z)</f>
        <v>#N/A</v>
      </c>
    </row>
    <row r="149">
      <c r="B149" s="14"/>
      <c r="C149" s="14"/>
      <c r="D149" s="14"/>
      <c r="E149" s="14"/>
      <c r="F149" s="13" t="str">
        <f t="array" ref="F149">iferror(XLOOKUP(A149,'Download of SFDC Activation Rep'!B:B,'Download of SFDC Activation Rep'!H:H),"")</f>
        <v/>
      </c>
      <c r="G149" s="13" t="str">
        <f t="array" ref="G149">iferror(xlookup(A149,'Download of SFDC Activation Rep'!B:B,'Download of SFDC Activation Rep'!L:L),"")</f>
        <v/>
      </c>
      <c r="H149" s="17" t="str">
        <f t="shared" si="1"/>
        <v>Not Active</v>
      </c>
      <c r="I149" s="17" t="str">
        <f t="array" ref="I149">XLOOKUP(A149,'Download of SFDC Activation Rep'!B:B,'Download of SFDC Activation Rep'!T:T)</f>
        <v>#N/A</v>
      </c>
      <c r="J149" s="17" t="str">
        <f t="array" ref="J149">iferror(XLOOKUP(A149,'Download of SFDC Activation Rep'!B:B,'Download of SFDC Activation Rep'!C:C),"")</f>
        <v/>
      </c>
      <c r="K149" s="17" t="str">
        <f t="array" ref="K149">XLOOKUP(A149,'Download of SFDC Activation Rep'!B:B,'Download of SFDC Activation Rep'!X:X)</f>
        <v>#N/A</v>
      </c>
      <c r="L149" s="32" t="str">
        <f t="array" ref="L149">xlookup(A149,'Download of SFDC Activation Rep'!B:B,'Download of SFDC Activation Rep'!Z:Z)</f>
        <v>#N/A</v>
      </c>
    </row>
    <row r="150">
      <c r="B150" s="14"/>
      <c r="C150" s="14"/>
      <c r="D150" s="14"/>
      <c r="E150" s="14"/>
      <c r="F150" s="13" t="str">
        <f t="array" ref="F150">iferror(XLOOKUP(A150,'Download of SFDC Activation Rep'!B:B,'Download of SFDC Activation Rep'!H:H),"")</f>
        <v/>
      </c>
      <c r="G150" s="13" t="str">
        <f t="array" ref="G150">iferror(xlookup(A150,'Download of SFDC Activation Rep'!B:B,'Download of SFDC Activation Rep'!L:L),"")</f>
        <v/>
      </c>
      <c r="H150" s="17" t="str">
        <f t="shared" si="1"/>
        <v>Not Active</v>
      </c>
      <c r="I150" s="17" t="str">
        <f t="array" ref="I150">XLOOKUP(A150,'Download of SFDC Activation Rep'!B:B,'Download of SFDC Activation Rep'!T:T)</f>
        <v>#N/A</v>
      </c>
      <c r="J150" s="17" t="str">
        <f t="array" ref="J150">iferror(XLOOKUP(A150,'Download of SFDC Activation Rep'!B:B,'Download of SFDC Activation Rep'!C:C),"")</f>
        <v/>
      </c>
      <c r="K150" s="17" t="str">
        <f t="array" ref="K150">XLOOKUP(A150,'Download of SFDC Activation Rep'!B:B,'Download of SFDC Activation Rep'!X:X)</f>
        <v>#N/A</v>
      </c>
      <c r="L150" s="32" t="str">
        <f t="array" ref="L150">xlookup(A150,'Download of SFDC Activation Rep'!B:B,'Download of SFDC Activation Rep'!Z:Z)</f>
        <v>#N/A</v>
      </c>
    </row>
    <row r="151">
      <c r="B151" s="14"/>
      <c r="C151" s="14"/>
      <c r="D151" s="14"/>
      <c r="E151" s="14"/>
      <c r="F151" s="13" t="str">
        <f t="array" ref="F151">iferror(XLOOKUP(A151,'Download of SFDC Activation Rep'!B:B,'Download of SFDC Activation Rep'!H:H),"")</f>
        <v/>
      </c>
      <c r="G151" s="13" t="str">
        <f t="array" ref="G151">iferror(xlookup(A151,'Download of SFDC Activation Rep'!B:B,'Download of SFDC Activation Rep'!L:L),"")</f>
        <v/>
      </c>
      <c r="H151" s="17" t="str">
        <f t="shared" si="1"/>
        <v>Not Active</v>
      </c>
      <c r="I151" s="17" t="str">
        <f t="array" ref="I151">XLOOKUP(A151,'Download of SFDC Activation Rep'!B:B,'Download of SFDC Activation Rep'!T:T)</f>
        <v>#N/A</v>
      </c>
      <c r="J151" s="17" t="str">
        <f t="array" ref="J151">iferror(XLOOKUP(A151,'Download of SFDC Activation Rep'!B:B,'Download of SFDC Activation Rep'!C:C),"")</f>
        <v/>
      </c>
      <c r="K151" s="17" t="str">
        <f t="array" ref="K151">XLOOKUP(A151,'Download of SFDC Activation Rep'!B:B,'Download of SFDC Activation Rep'!X:X)</f>
        <v>#N/A</v>
      </c>
      <c r="L151" s="32" t="str">
        <f t="array" ref="L151">xlookup(A151,'Download of SFDC Activation Rep'!B:B,'Download of SFDC Activation Rep'!Z:Z)</f>
        <v>#N/A</v>
      </c>
    </row>
    <row r="152">
      <c r="B152" s="14"/>
      <c r="C152" s="14"/>
      <c r="D152" s="14"/>
      <c r="E152" s="14"/>
      <c r="F152" s="13" t="str">
        <f t="array" ref="F152">iferror(XLOOKUP(A152,'Download of SFDC Activation Rep'!B:B,'Download of SFDC Activation Rep'!H:H),"")</f>
        <v/>
      </c>
      <c r="G152" s="13" t="str">
        <f t="array" ref="G152">iferror(xlookup(A152,'Download of SFDC Activation Rep'!B:B,'Download of SFDC Activation Rep'!L:L),"")</f>
        <v/>
      </c>
      <c r="H152" s="17" t="str">
        <f t="shared" si="1"/>
        <v>Not Active</v>
      </c>
      <c r="I152" s="17" t="str">
        <f t="array" ref="I152">XLOOKUP(A152,'Download of SFDC Activation Rep'!B:B,'Download of SFDC Activation Rep'!T:T)</f>
        <v>#N/A</v>
      </c>
      <c r="J152" s="17" t="str">
        <f t="array" ref="J152">iferror(XLOOKUP(A152,'Download of SFDC Activation Rep'!B:B,'Download of SFDC Activation Rep'!C:C),"")</f>
        <v/>
      </c>
      <c r="K152" s="17" t="str">
        <f t="array" ref="K152">XLOOKUP(A152,'Download of SFDC Activation Rep'!B:B,'Download of SFDC Activation Rep'!X:X)</f>
        <v>#N/A</v>
      </c>
      <c r="L152" s="32" t="str">
        <f t="array" ref="L152">xlookup(A152,'Download of SFDC Activation Rep'!B:B,'Download of SFDC Activation Rep'!Z:Z)</f>
        <v>#N/A</v>
      </c>
    </row>
    <row r="153">
      <c r="B153" s="14"/>
      <c r="C153" s="14"/>
      <c r="D153" s="14"/>
      <c r="E153" s="14"/>
      <c r="F153" s="13" t="str">
        <f t="array" ref="F153">iferror(XLOOKUP(A153,'Download of SFDC Activation Rep'!B:B,'Download of SFDC Activation Rep'!H:H),"")</f>
        <v/>
      </c>
      <c r="G153" s="13" t="str">
        <f t="array" ref="G153">iferror(xlookup(A153,'Download of SFDC Activation Rep'!B:B,'Download of SFDC Activation Rep'!L:L),"")</f>
        <v/>
      </c>
      <c r="H153" s="17" t="str">
        <f t="shared" si="1"/>
        <v>Not Active</v>
      </c>
      <c r="I153" s="17" t="str">
        <f t="array" ref="I153">XLOOKUP(A153,'Download of SFDC Activation Rep'!B:B,'Download of SFDC Activation Rep'!T:T)</f>
        <v>#N/A</v>
      </c>
      <c r="J153" s="17" t="str">
        <f t="array" ref="J153">iferror(XLOOKUP(A153,'Download of SFDC Activation Rep'!B:B,'Download of SFDC Activation Rep'!C:C),"")</f>
        <v/>
      </c>
      <c r="K153" s="17" t="str">
        <f t="array" ref="K153">XLOOKUP(A153,'Download of SFDC Activation Rep'!B:B,'Download of SFDC Activation Rep'!X:X)</f>
        <v>#N/A</v>
      </c>
      <c r="L153" s="32" t="str">
        <f t="array" ref="L153">xlookup(A153,'Download of SFDC Activation Rep'!B:B,'Download of SFDC Activation Rep'!Z:Z)</f>
        <v>#N/A</v>
      </c>
    </row>
    <row r="154">
      <c r="B154" s="14"/>
      <c r="C154" s="14"/>
      <c r="D154" s="14"/>
      <c r="E154" s="14"/>
      <c r="F154" s="13" t="str">
        <f t="array" ref="F154">iferror(XLOOKUP(A154,'Download of SFDC Activation Rep'!B:B,'Download of SFDC Activation Rep'!H:H),"")</f>
        <v/>
      </c>
      <c r="G154" s="13" t="str">
        <f t="array" ref="G154">iferror(xlookup(A154,'Download of SFDC Activation Rep'!B:B,'Download of SFDC Activation Rep'!L:L),"")</f>
        <v/>
      </c>
      <c r="H154" s="17" t="str">
        <f t="shared" si="1"/>
        <v>Not Active</v>
      </c>
      <c r="I154" s="17" t="str">
        <f t="array" ref="I154">XLOOKUP(A154,'Download of SFDC Activation Rep'!B:B,'Download of SFDC Activation Rep'!T:T)</f>
        <v>#N/A</v>
      </c>
      <c r="J154" s="17" t="str">
        <f t="array" ref="J154">iferror(XLOOKUP(A154,'Download of SFDC Activation Rep'!B:B,'Download of SFDC Activation Rep'!C:C),"")</f>
        <v/>
      </c>
      <c r="K154" s="17" t="str">
        <f t="array" ref="K154">XLOOKUP(A154,'Download of SFDC Activation Rep'!B:B,'Download of SFDC Activation Rep'!X:X)</f>
        <v>#N/A</v>
      </c>
      <c r="L154" s="32" t="str">
        <f t="array" ref="L154">xlookup(A154,'Download of SFDC Activation Rep'!B:B,'Download of SFDC Activation Rep'!Z:Z)</f>
        <v>#N/A</v>
      </c>
    </row>
    <row r="155">
      <c r="B155" s="14"/>
      <c r="C155" s="14"/>
      <c r="D155" s="14"/>
      <c r="E155" s="14"/>
      <c r="F155" s="13" t="str">
        <f t="array" ref="F155">iferror(XLOOKUP(A155,'Download of SFDC Activation Rep'!B:B,'Download of SFDC Activation Rep'!H:H),"")</f>
        <v/>
      </c>
      <c r="G155" s="13" t="str">
        <f t="array" ref="G155">iferror(xlookup(A155,'Download of SFDC Activation Rep'!B:B,'Download of SFDC Activation Rep'!L:L),"")</f>
        <v/>
      </c>
      <c r="H155" s="17" t="str">
        <f t="shared" si="1"/>
        <v>Not Active</v>
      </c>
      <c r="I155" s="17" t="str">
        <f t="array" ref="I155">XLOOKUP(A155,'Download of SFDC Activation Rep'!B:B,'Download of SFDC Activation Rep'!T:T)</f>
        <v>#N/A</v>
      </c>
      <c r="J155" s="17" t="str">
        <f t="array" ref="J155">iferror(XLOOKUP(A155,'Download of SFDC Activation Rep'!B:B,'Download of SFDC Activation Rep'!C:C),"")</f>
        <v/>
      </c>
      <c r="K155" s="17" t="str">
        <f t="array" ref="K155">XLOOKUP(A155,'Download of SFDC Activation Rep'!B:B,'Download of SFDC Activation Rep'!X:X)</f>
        <v>#N/A</v>
      </c>
      <c r="L155" s="32" t="str">
        <f t="array" ref="L155">xlookup(A155,'Download of SFDC Activation Rep'!B:B,'Download of SFDC Activation Rep'!Z:Z)</f>
        <v>#N/A</v>
      </c>
    </row>
    <row r="156">
      <c r="B156" s="14"/>
      <c r="C156" s="14"/>
      <c r="D156" s="14"/>
      <c r="E156" s="14"/>
      <c r="F156" s="13" t="str">
        <f t="array" ref="F156">iferror(XLOOKUP(A156,'Download of SFDC Activation Rep'!B:B,'Download of SFDC Activation Rep'!H:H),"")</f>
        <v/>
      </c>
      <c r="G156" s="13" t="str">
        <f t="array" ref="G156">iferror(xlookup(A156,'Download of SFDC Activation Rep'!B:B,'Download of SFDC Activation Rep'!L:L),"")</f>
        <v/>
      </c>
      <c r="H156" s="17" t="str">
        <f t="shared" si="1"/>
        <v>Not Active</v>
      </c>
      <c r="I156" s="17" t="str">
        <f t="array" ref="I156">XLOOKUP(A156,'Download of SFDC Activation Rep'!B:B,'Download of SFDC Activation Rep'!T:T)</f>
        <v>#N/A</v>
      </c>
      <c r="J156" s="17" t="str">
        <f t="array" ref="J156">iferror(XLOOKUP(A156,'Download of SFDC Activation Rep'!B:B,'Download of SFDC Activation Rep'!C:C),"")</f>
        <v/>
      </c>
      <c r="K156" s="17" t="str">
        <f t="array" ref="K156">XLOOKUP(A156,'Download of SFDC Activation Rep'!B:B,'Download of SFDC Activation Rep'!X:X)</f>
        <v>#N/A</v>
      </c>
      <c r="L156" s="32" t="str">
        <f t="array" ref="L156">xlookup(A156,'Download of SFDC Activation Rep'!B:B,'Download of SFDC Activation Rep'!Z:Z)</f>
        <v>#N/A</v>
      </c>
    </row>
    <row r="157">
      <c r="B157" s="14"/>
      <c r="C157" s="14"/>
      <c r="D157" s="14"/>
      <c r="E157" s="14"/>
      <c r="F157" s="13" t="str">
        <f t="array" ref="F157">iferror(XLOOKUP(A157,'Download of SFDC Activation Rep'!B:B,'Download of SFDC Activation Rep'!H:H),"")</f>
        <v/>
      </c>
      <c r="G157" s="13" t="str">
        <f t="array" ref="G157">iferror(xlookup(A157,'Download of SFDC Activation Rep'!B:B,'Download of SFDC Activation Rep'!L:L),"")</f>
        <v/>
      </c>
      <c r="H157" s="17" t="str">
        <f t="shared" si="1"/>
        <v>Not Active</v>
      </c>
      <c r="I157" s="17" t="str">
        <f t="array" ref="I157">XLOOKUP(A157,'Download of SFDC Activation Rep'!B:B,'Download of SFDC Activation Rep'!T:T)</f>
        <v>#N/A</v>
      </c>
      <c r="J157" s="17" t="str">
        <f t="array" ref="J157">iferror(XLOOKUP(A157,'Download of SFDC Activation Rep'!B:B,'Download of SFDC Activation Rep'!C:C),"")</f>
        <v/>
      </c>
      <c r="K157" s="17" t="str">
        <f t="array" ref="K157">XLOOKUP(A157,'Download of SFDC Activation Rep'!B:B,'Download of SFDC Activation Rep'!X:X)</f>
        <v>#N/A</v>
      </c>
      <c r="L157" s="32" t="str">
        <f t="array" ref="L157">xlookup(A157,'Download of SFDC Activation Rep'!B:B,'Download of SFDC Activation Rep'!Z:Z)</f>
        <v>#N/A</v>
      </c>
    </row>
    <row r="158">
      <c r="B158" s="14"/>
      <c r="C158" s="14"/>
      <c r="D158" s="14"/>
      <c r="E158" s="14"/>
      <c r="F158" s="13" t="str">
        <f t="array" ref="F158">iferror(XLOOKUP(A158,'Download of SFDC Activation Rep'!B:B,'Download of SFDC Activation Rep'!H:H),"")</f>
        <v/>
      </c>
      <c r="G158" s="13" t="str">
        <f t="array" ref="G158">iferror(xlookup(A158,'Download of SFDC Activation Rep'!B:B,'Download of SFDC Activation Rep'!L:L),"")</f>
        <v/>
      </c>
      <c r="H158" s="17" t="str">
        <f t="shared" si="1"/>
        <v>Not Active</v>
      </c>
      <c r="I158" s="17" t="str">
        <f t="array" ref="I158">XLOOKUP(A158,'Download of SFDC Activation Rep'!B:B,'Download of SFDC Activation Rep'!T:T)</f>
        <v>#N/A</v>
      </c>
      <c r="J158" s="17" t="str">
        <f t="array" ref="J158">iferror(XLOOKUP(A158,'Download of SFDC Activation Rep'!B:B,'Download of SFDC Activation Rep'!C:C),"")</f>
        <v/>
      </c>
      <c r="K158" s="17" t="str">
        <f t="array" ref="K158">XLOOKUP(A158,'Download of SFDC Activation Rep'!B:B,'Download of SFDC Activation Rep'!X:X)</f>
        <v>#N/A</v>
      </c>
      <c r="L158" s="32" t="str">
        <f t="array" ref="L158">xlookup(A158,'Download of SFDC Activation Rep'!B:B,'Download of SFDC Activation Rep'!Z:Z)</f>
        <v>#N/A</v>
      </c>
    </row>
    <row r="159">
      <c r="B159" s="14"/>
      <c r="C159" s="14"/>
      <c r="D159" s="14"/>
      <c r="E159" s="14"/>
      <c r="F159" s="13" t="str">
        <f t="array" ref="F159">iferror(XLOOKUP(A159,'Download of SFDC Activation Rep'!B:B,'Download of SFDC Activation Rep'!H:H),"")</f>
        <v/>
      </c>
      <c r="G159" s="13" t="str">
        <f t="array" ref="G159">iferror(xlookup(A159,'Download of SFDC Activation Rep'!B:B,'Download of SFDC Activation Rep'!L:L),"")</f>
        <v/>
      </c>
      <c r="H159" s="17" t="str">
        <f t="shared" si="1"/>
        <v>Not Active</v>
      </c>
      <c r="I159" s="17" t="str">
        <f t="array" ref="I159">XLOOKUP(A159,'Download of SFDC Activation Rep'!B:B,'Download of SFDC Activation Rep'!T:T)</f>
        <v>#N/A</v>
      </c>
      <c r="J159" s="17" t="str">
        <f t="array" ref="J159">iferror(XLOOKUP(A159,'Download of SFDC Activation Rep'!B:B,'Download of SFDC Activation Rep'!C:C),"")</f>
        <v/>
      </c>
      <c r="K159" s="17" t="str">
        <f t="array" ref="K159">XLOOKUP(A159,'Download of SFDC Activation Rep'!B:B,'Download of SFDC Activation Rep'!X:X)</f>
        <v>#N/A</v>
      </c>
      <c r="L159" s="32" t="str">
        <f t="array" ref="L159">xlookup(A159,'Download of SFDC Activation Rep'!B:B,'Download of SFDC Activation Rep'!Z:Z)</f>
        <v>#N/A</v>
      </c>
    </row>
    <row r="160">
      <c r="B160" s="14"/>
      <c r="C160" s="14"/>
      <c r="D160" s="14"/>
      <c r="E160" s="14"/>
      <c r="F160" s="13" t="str">
        <f t="array" ref="F160">iferror(XLOOKUP(A160,'Download of SFDC Activation Rep'!B:B,'Download of SFDC Activation Rep'!H:H),"")</f>
        <v/>
      </c>
      <c r="G160" s="13" t="str">
        <f t="array" ref="G160">iferror(xlookup(A160,'Download of SFDC Activation Rep'!B:B,'Download of SFDC Activation Rep'!L:L),"")</f>
        <v/>
      </c>
      <c r="H160" s="17" t="str">
        <f t="shared" si="1"/>
        <v>Not Active</v>
      </c>
      <c r="I160" s="17" t="str">
        <f t="array" ref="I160">XLOOKUP(A160,'Download of SFDC Activation Rep'!B:B,'Download of SFDC Activation Rep'!T:T)</f>
        <v>#N/A</v>
      </c>
      <c r="J160" s="17" t="str">
        <f t="array" ref="J160">iferror(XLOOKUP(A160,'Download of SFDC Activation Rep'!B:B,'Download of SFDC Activation Rep'!C:C),"")</f>
        <v/>
      </c>
      <c r="K160" s="17" t="str">
        <f t="array" ref="K160">XLOOKUP(A160,'Download of SFDC Activation Rep'!B:B,'Download of SFDC Activation Rep'!X:X)</f>
        <v>#N/A</v>
      </c>
      <c r="L160" s="32" t="str">
        <f t="array" ref="L160">xlookup(A160,'Download of SFDC Activation Rep'!B:B,'Download of SFDC Activation Rep'!Z:Z)</f>
        <v>#N/A</v>
      </c>
    </row>
    <row r="161">
      <c r="B161" s="14"/>
      <c r="C161" s="14"/>
      <c r="D161" s="14"/>
      <c r="E161" s="14"/>
      <c r="F161" s="13" t="str">
        <f t="array" ref="F161">iferror(XLOOKUP(A161,'Download of SFDC Activation Rep'!B:B,'Download of SFDC Activation Rep'!H:H),"")</f>
        <v/>
      </c>
      <c r="G161" s="13" t="str">
        <f t="array" ref="G161">iferror(xlookup(A161,'Download of SFDC Activation Rep'!B:B,'Download of SFDC Activation Rep'!L:L),"")</f>
        <v/>
      </c>
      <c r="H161" s="17" t="str">
        <f t="shared" si="1"/>
        <v>Not Active</v>
      </c>
      <c r="I161" s="17" t="str">
        <f t="array" ref="I161">XLOOKUP(A161,'Download of SFDC Activation Rep'!B:B,'Download of SFDC Activation Rep'!T:T)</f>
        <v>#N/A</v>
      </c>
      <c r="J161" s="17" t="str">
        <f t="array" ref="J161">iferror(XLOOKUP(A161,'Download of SFDC Activation Rep'!B:B,'Download of SFDC Activation Rep'!C:C),"")</f>
        <v/>
      </c>
      <c r="K161" s="17" t="str">
        <f t="array" ref="K161">XLOOKUP(A161,'Download of SFDC Activation Rep'!B:B,'Download of SFDC Activation Rep'!X:X)</f>
        <v>#N/A</v>
      </c>
      <c r="L161" s="32" t="str">
        <f t="array" ref="L161">xlookup(A161,'Download of SFDC Activation Rep'!B:B,'Download of SFDC Activation Rep'!Z:Z)</f>
        <v>#N/A</v>
      </c>
    </row>
    <row r="162">
      <c r="B162" s="14"/>
      <c r="C162" s="14"/>
      <c r="D162" s="14"/>
      <c r="E162" s="14"/>
      <c r="F162" s="13" t="str">
        <f t="array" ref="F162">iferror(XLOOKUP(A162,'Download of SFDC Activation Rep'!B:B,'Download of SFDC Activation Rep'!H:H),"")</f>
        <v/>
      </c>
      <c r="G162" s="13" t="str">
        <f t="array" ref="G162">iferror(xlookup(A162,'Download of SFDC Activation Rep'!B:B,'Download of SFDC Activation Rep'!L:L),"")</f>
        <v/>
      </c>
      <c r="H162" s="17" t="str">
        <f t="shared" si="1"/>
        <v>Not Active</v>
      </c>
      <c r="I162" s="17" t="str">
        <f t="array" ref="I162">XLOOKUP(A162,'Download of SFDC Activation Rep'!B:B,'Download of SFDC Activation Rep'!T:T)</f>
        <v>#N/A</v>
      </c>
      <c r="J162" s="17" t="str">
        <f t="array" ref="J162">iferror(XLOOKUP(A162,'Download of SFDC Activation Rep'!B:B,'Download of SFDC Activation Rep'!C:C),"")</f>
        <v/>
      </c>
      <c r="K162" s="17" t="str">
        <f t="array" ref="K162">XLOOKUP(A162,'Download of SFDC Activation Rep'!B:B,'Download of SFDC Activation Rep'!X:X)</f>
        <v>#N/A</v>
      </c>
      <c r="L162" s="32" t="str">
        <f t="array" ref="L162">xlookup(A162,'Download of SFDC Activation Rep'!B:B,'Download of SFDC Activation Rep'!Z:Z)</f>
        <v>#N/A</v>
      </c>
    </row>
    <row r="163">
      <c r="B163" s="14"/>
      <c r="C163" s="14"/>
      <c r="D163" s="14"/>
      <c r="E163" s="14"/>
      <c r="F163" s="13" t="str">
        <f t="array" ref="F163">iferror(XLOOKUP(A163,'Download of SFDC Activation Rep'!B:B,'Download of SFDC Activation Rep'!H:H),"")</f>
        <v/>
      </c>
      <c r="G163" s="13" t="str">
        <f t="array" ref="G163">iferror(xlookup(A163,'Download of SFDC Activation Rep'!B:B,'Download of SFDC Activation Rep'!L:L),"")</f>
        <v/>
      </c>
      <c r="H163" s="17" t="str">
        <f t="shared" si="1"/>
        <v>Not Active</v>
      </c>
      <c r="I163" s="17" t="str">
        <f t="array" ref="I163">XLOOKUP(A163,'Download of SFDC Activation Rep'!B:B,'Download of SFDC Activation Rep'!T:T)</f>
        <v>#N/A</v>
      </c>
      <c r="J163" s="17" t="str">
        <f t="array" ref="J163">iferror(XLOOKUP(A163,'Download of SFDC Activation Rep'!B:B,'Download of SFDC Activation Rep'!C:C),"")</f>
        <v/>
      </c>
      <c r="K163" s="17" t="str">
        <f t="array" ref="K163">XLOOKUP(A163,'Download of SFDC Activation Rep'!B:B,'Download of SFDC Activation Rep'!X:X)</f>
        <v>#N/A</v>
      </c>
      <c r="L163" s="32" t="str">
        <f t="array" ref="L163">xlookup(A163,'Download of SFDC Activation Rep'!B:B,'Download of SFDC Activation Rep'!Z:Z)</f>
        <v>#N/A</v>
      </c>
    </row>
    <row r="164">
      <c r="B164" s="14"/>
      <c r="C164" s="14"/>
      <c r="D164" s="14"/>
      <c r="E164" s="14"/>
      <c r="F164" s="13" t="str">
        <f t="array" ref="F164">iferror(XLOOKUP(A164,'Download of SFDC Activation Rep'!B:B,'Download of SFDC Activation Rep'!H:H),"")</f>
        <v/>
      </c>
      <c r="G164" s="13" t="str">
        <f t="array" ref="G164">iferror(xlookup(A164,'Download of SFDC Activation Rep'!B:B,'Download of SFDC Activation Rep'!L:L),"")</f>
        <v/>
      </c>
      <c r="H164" s="17" t="str">
        <f t="shared" si="1"/>
        <v>Not Active</v>
      </c>
      <c r="I164" s="17" t="str">
        <f t="array" ref="I164">XLOOKUP(A164,'Download of SFDC Activation Rep'!B:B,'Download of SFDC Activation Rep'!T:T)</f>
        <v>#N/A</v>
      </c>
      <c r="J164" s="17" t="str">
        <f t="array" ref="J164">iferror(XLOOKUP(A164,'Download of SFDC Activation Rep'!B:B,'Download of SFDC Activation Rep'!C:C),"")</f>
        <v/>
      </c>
      <c r="K164" s="17" t="str">
        <f t="array" ref="K164">XLOOKUP(A164,'Download of SFDC Activation Rep'!B:B,'Download of SFDC Activation Rep'!X:X)</f>
        <v>#N/A</v>
      </c>
      <c r="L164" s="32" t="str">
        <f t="array" ref="L164">xlookup(A164,'Download of SFDC Activation Rep'!B:B,'Download of SFDC Activation Rep'!Z:Z)</f>
        <v>#N/A</v>
      </c>
    </row>
    <row r="165">
      <c r="B165" s="14"/>
      <c r="C165" s="14"/>
      <c r="D165" s="14"/>
      <c r="E165" s="14"/>
      <c r="F165" s="13" t="str">
        <f t="array" ref="F165">iferror(XLOOKUP(A165,'Download of SFDC Activation Rep'!B:B,'Download of SFDC Activation Rep'!H:H),"")</f>
        <v/>
      </c>
      <c r="G165" s="13" t="str">
        <f t="array" ref="G165">iferror(xlookup(A165,'Download of SFDC Activation Rep'!B:B,'Download of SFDC Activation Rep'!L:L),"")</f>
        <v/>
      </c>
      <c r="H165" s="17" t="str">
        <f t="shared" si="1"/>
        <v>Not Active</v>
      </c>
      <c r="I165" s="17" t="str">
        <f t="array" ref="I165">XLOOKUP(A165,'Download of SFDC Activation Rep'!B:B,'Download of SFDC Activation Rep'!T:T)</f>
        <v>#N/A</v>
      </c>
      <c r="J165" s="17" t="str">
        <f t="array" ref="J165">iferror(XLOOKUP(A165,'Download of SFDC Activation Rep'!B:B,'Download of SFDC Activation Rep'!C:C),"")</f>
        <v/>
      </c>
      <c r="K165" s="17" t="str">
        <f t="array" ref="K165">XLOOKUP(A165,'Download of SFDC Activation Rep'!B:B,'Download of SFDC Activation Rep'!X:X)</f>
        <v>#N/A</v>
      </c>
      <c r="L165" s="32" t="str">
        <f t="array" ref="L165">xlookup(A165,'Download of SFDC Activation Rep'!B:B,'Download of SFDC Activation Rep'!Z:Z)</f>
        <v>#N/A</v>
      </c>
    </row>
    <row r="166">
      <c r="B166" s="14"/>
      <c r="C166" s="14"/>
      <c r="D166" s="14"/>
      <c r="E166" s="14"/>
      <c r="F166" s="13" t="str">
        <f t="array" ref="F166">iferror(XLOOKUP(A166,'Download of SFDC Activation Rep'!B:B,'Download of SFDC Activation Rep'!H:H),"")</f>
        <v/>
      </c>
      <c r="G166" s="13" t="str">
        <f t="array" ref="G166">iferror(xlookup(A166,'Download of SFDC Activation Rep'!B:B,'Download of SFDC Activation Rep'!L:L),"")</f>
        <v/>
      </c>
      <c r="H166" s="17" t="str">
        <f t="shared" si="1"/>
        <v>Not Active</v>
      </c>
      <c r="I166" s="17" t="str">
        <f t="array" ref="I166">XLOOKUP(A166,'Download of SFDC Activation Rep'!B:B,'Download of SFDC Activation Rep'!T:T)</f>
        <v>#N/A</v>
      </c>
      <c r="J166" s="17" t="str">
        <f t="array" ref="J166">iferror(XLOOKUP(A166,'Download of SFDC Activation Rep'!B:B,'Download of SFDC Activation Rep'!C:C),"")</f>
        <v/>
      </c>
      <c r="K166" s="17" t="str">
        <f t="array" ref="K166">XLOOKUP(A166,'Download of SFDC Activation Rep'!B:B,'Download of SFDC Activation Rep'!X:X)</f>
        <v>#N/A</v>
      </c>
      <c r="L166" s="32" t="str">
        <f t="array" ref="L166">xlookup(A166,'Download of SFDC Activation Rep'!B:B,'Download of SFDC Activation Rep'!Z:Z)</f>
        <v>#N/A</v>
      </c>
    </row>
    <row r="167">
      <c r="B167" s="14"/>
      <c r="C167" s="14"/>
      <c r="D167" s="14"/>
      <c r="E167" s="14"/>
      <c r="F167" s="13" t="str">
        <f t="array" ref="F167">iferror(XLOOKUP(A167,'Download of SFDC Activation Rep'!B:B,'Download of SFDC Activation Rep'!H:H),"")</f>
        <v/>
      </c>
      <c r="G167" s="13" t="str">
        <f t="array" ref="G167">iferror(xlookup(A167,'Download of SFDC Activation Rep'!B:B,'Download of SFDC Activation Rep'!L:L),"")</f>
        <v/>
      </c>
      <c r="H167" s="17" t="str">
        <f t="shared" si="1"/>
        <v>Not Active</v>
      </c>
      <c r="I167" s="17" t="str">
        <f t="array" ref="I167">XLOOKUP(A167,'Download of SFDC Activation Rep'!B:B,'Download of SFDC Activation Rep'!T:T)</f>
        <v>#N/A</v>
      </c>
      <c r="J167" s="17" t="str">
        <f t="array" ref="J167">iferror(XLOOKUP(A167,'Download of SFDC Activation Rep'!B:B,'Download of SFDC Activation Rep'!C:C),"")</f>
        <v/>
      </c>
      <c r="K167" s="17" t="str">
        <f t="array" ref="K167">XLOOKUP(A167,'Download of SFDC Activation Rep'!B:B,'Download of SFDC Activation Rep'!X:X)</f>
        <v>#N/A</v>
      </c>
      <c r="L167" s="32" t="str">
        <f t="array" ref="L167">xlookup(A167,'Download of SFDC Activation Rep'!B:B,'Download of SFDC Activation Rep'!Z:Z)</f>
        <v>#N/A</v>
      </c>
    </row>
    <row r="168">
      <c r="B168" s="14"/>
      <c r="C168" s="14"/>
      <c r="D168" s="14"/>
      <c r="E168" s="14"/>
      <c r="F168" s="13" t="str">
        <f t="array" ref="F168">iferror(XLOOKUP(A168,'Download of SFDC Activation Rep'!B:B,'Download of SFDC Activation Rep'!H:H),"")</f>
        <v/>
      </c>
      <c r="G168" s="13" t="str">
        <f t="array" ref="G168">iferror(xlookup(A168,'Download of SFDC Activation Rep'!B:B,'Download of SFDC Activation Rep'!L:L),"")</f>
        <v/>
      </c>
      <c r="H168" s="17" t="str">
        <f t="shared" si="1"/>
        <v>Not Active</v>
      </c>
      <c r="I168" s="17" t="str">
        <f t="array" ref="I168">XLOOKUP(A168,'Download of SFDC Activation Rep'!B:B,'Download of SFDC Activation Rep'!T:T)</f>
        <v>#N/A</v>
      </c>
      <c r="J168" s="17" t="str">
        <f t="array" ref="J168">iferror(XLOOKUP(A168,'Download of SFDC Activation Rep'!B:B,'Download of SFDC Activation Rep'!C:C),"")</f>
        <v/>
      </c>
      <c r="K168" s="17" t="str">
        <f t="array" ref="K168">XLOOKUP(A168,'Download of SFDC Activation Rep'!B:B,'Download of SFDC Activation Rep'!X:X)</f>
        <v>#N/A</v>
      </c>
      <c r="L168" s="32" t="str">
        <f t="array" ref="L168">xlookup(A168,'Download of SFDC Activation Rep'!B:B,'Download of SFDC Activation Rep'!Z:Z)</f>
        <v>#N/A</v>
      </c>
    </row>
    <row r="169">
      <c r="B169" s="14"/>
      <c r="C169" s="14"/>
      <c r="D169" s="14"/>
      <c r="E169" s="14"/>
      <c r="F169" s="13" t="str">
        <f t="array" ref="F169">iferror(XLOOKUP(A169,'Download of SFDC Activation Rep'!B:B,'Download of SFDC Activation Rep'!H:H),"")</f>
        <v/>
      </c>
      <c r="G169" s="13" t="str">
        <f t="array" ref="G169">iferror(xlookup(A169,'Download of SFDC Activation Rep'!B:B,'Download of SFDC Activation Rep'!L:L),"")</f>
        <v/>
      </c>
      <c r="H169" s="17" t="str">
        <f t="shared" si="1"/>
        <v>Not Active</v>
      </c>
      <c r="I169" s="17" t="str">
        <f t="array" ref="I169">XLOOKUP(A169,'Download of SFDC Activation Rep'!B:B,'Download of SFDC Activation Rep'!T:T)</f>
        <v>#N/A</v>
      </c>
      <c r="J169" s="17" t="str">
        <f t="array" ref="J169">iferror(XLOOKUP(A169,'Download of SFDC Activation Rep'!B:B,'Download of SFDC Activation Rep'!C:C),"")</f>
        <v/>
      </c>
      <c r="K169" s="17" t="str">
        <f t="array" ref="K169">XLOOKUP(A169,'Download of SFDC Activation Rep'!B:B,'Download of SFDC Activation Rep'!X:X)</f>
        <v>#N/A</v>
      </c>
      <c r="L169" s="32" t="str">
        <f t="array" ref="L169">xlookup(A169,'Download of SFDC Activation Rep'!B:B,'Download of SFDC Activation Rep'!Z:Z)</f>
        <v>#N/A</v>
      </c>
    </row>
    <row r="170">
      <c r="B170" s="14"/>
      <c r="C170" s="14"/>
      <c r="D170" s="14"/>
      <c r="E170" s="14"/>
      <c r="F170" s="13" t="str">
        <f t="array" ref="F170">iferror(XLOOKUP(A170,'Download of SFDC Activation Rep'!B:B,'Download of SFDC Activation Rep'!H:H),"")</f>
        <v/>
      </c>
      <c r="G170" s="13" t="str">
        <f t="array" ref="G170">iferror(xlookup(A170,'Download of SFDC Activation Rep'!B:B,'Download of SFDC Activation Rep'!L:L),"")</f>
        <v/>
      </c>
      <c r="H170" s="17" t="str">
        <f t="shared" si="1"/>
        <v>Not Active</v>
      </c>
      <c r="I170" s="17" t="str">
        <f t="array" ref="I170">XLOOKUP(A170,'Download of SFDC Activation Rep'!B:B,'Download of SFDC Activation Rep'!T:T)</f>
        <v>#N/A</v>
      </c>
      <c r="J170" s="17" t="str">
        <f t="array" ref="J170">iferror(XLOOKUP(A170,'Download of SFDC Activation Rep'!B:B,'Download of SFDC Activation Rep'!C:C),"")</f>
        <v/>
      </c>
      <c r="K170" s="17" t="str">
        <f t="array" ref="K170">XLOOKUP(A170,'Download of SFDC Activation Rep'!B:B,'Download of SFDC Activation Rep'!X:X)</f>
        <v>#N/A</v>
      </c>
      <c r="L170" s="32" t="str">
        <f t="array" ref="L170">xlookup(A170,'Download of SFDC Activation Rep'!B:B,'Download of SFDC Activation Rep'!Z:Z)</f>
        <v>#N/A</v>
      </c>
    </row>
    <row r="171">
      <c r="B171" s="14"/>
      <c r="C171" s="14"/>
      <c r="D171" s="14"/>
      <c r="E171" s="14"/>
      <c r="F171" s="13" t="str">
        <f t="array" ref="F171">iferror(XLOOKUP(A171,'Download of SFDC Activation Rep'!B:B,'Download of SFDC Activation Rep'!H:H),"")</f>
        <v/>
      </c>
      <c r="G171" s="13" t="str">
        <f t="array" ref="G171">iferror(xlookup(A171,'Download of SFDC Activation Rep'!B:B,'Download of SFDC Activation Rep'!L:L),"")</f>
        <v/>
      </c>
      <c r="H171" s="17" t="str">
        <f t="shared" si="1"/>
        <v>Not Active</v>
      </c>
      <c r="I171" s="17" t="str">
        <f t="array" ref="I171">XLOOKUP(A171,'Download of SFDC Activation Rep'!B:B,'Download of SFDC Activation Rep'!T:T)</f>
        <v>#N/A</v>
      </c>
      <c r="J171" s="17" t="str">
        <f t="array" ref="J171">iferror(XLOOKUP(A171,'Download of SFDC Activation Rep'!B:B,'Download of SFDC Activation Rep'!C:C),"")</f>
        <v/>
      </c>
      <c r="K171" s="17" t="str">
        <f t="array" ref="K171">XLOOKUP(A171,'Download of SFDC Activation Rep'!B:B,'Download of SFDC Activation Rep'!X:X)</f>
        <v>#N/A</v>
      </c>
      <c r="L171" s="32" t="str">
        <f t="array" ref="L171">xlookup(A171,'Download of SFDC Activation Rep'!B:B,'Download of SFDC Activation Rep'!Z:Z)</f>
        <v>#N/A</v>
      </c>
    </row>
    <row r="172">
      <c r="B172" s="14"/>
      <c r="C172" s="14"/>
      <c r="D172" s="14"/>
      <c r="E172" s="14"/>
      <c r="F172" s="13" t="str">
        <f t="array" ref="F172">iferror(XLOOKUP(A172,'Download of SFDC Activation Rep'!B:B,'Download of SFDC Activation Rep'!H:H),"")</f>
        <v/>
      </c>
      <c r="G172" s="13" t="str">
        <f t="array" ref="G172">iferror(xlookup(A172,'Download of SFDC Activation Rep'!B:B,'Download of SFDC Activation Rep'!L:L),"")</f>
        <v/>
      </c>
      <c r="H172" s="17" t="str">
        <f t="shared" si="1"/>
        <v>Not Active</v>
      </c>
      <c r="I172" s="17" t="str">
        <f t="array" ref="I172">XLOOKUP(A172,'Download of SFDC Activation Rep'!B:B,'Download of SFDC Activation Rep'!T:T)</f>
        <v>#N/A</v>
      </c>
      <c r="J172" s="17" t="str">
        <f t="array" ref="J172">iferror(XLOOKUP(A172,'Download of SFDC Activation Rep'!B:B,'Download of SFDC Activation Rep'!C:C),"")</f>
        <v/>
      </c>
      <c r="K172" s="17" t="str">
        <f t="array" ref="K172">XLOOKUP(A172,'Download of SFDC Activation Rep'!B:B,'Download of SFDC Activation Rep'!X:X)</f>
        <v>#N/A</v>
      </c>
      <c r="L172" s="32" t="str">
        <f t="array" ref="L172">xlookup(A172,'Download of SFDC Activation Rep'!B:B,'Download of SFDC Activation Rep'!Z:Z)</f>
        <v>#N/A</v>
      </c>
    </row>
    <row r="173">
      <c r="B173" s="14"/>
      <c r="C173" s="14"/>
      <c r="D173" s="14"/>
      <c r="E173" s="14"/>
      <c r="F173" s="13" t="str">
        <f t="array" ref="F173">iferror(XLOOKUP(A173,'Download of SFDC Activation Rep'!B:B,'Download of SFDC Activation Rep'!H:H),"")</f>
        <v/>
      </c>
      <c r="G173" s="13" t="str">
        <f t="array" ref="G173">iferror(xlookup(A173,'Download of SFDC Activation Rep'!B:B,'Download of SFDC Activation Rep'!L:L),"")</f>
        <v/>
      </c>
      <c r="H173" s="17" t="str">
        <f t="shared" si="1"/>
        <v>Not Active</v>
      </c>
      <c r="I173" s="17" t="str">
        <f t="array" ref="I173">XLOOKUP(A173,'Download of SFDC Activation Rep'!B:B,'Download of SFDC Activation Rep'!T:T)</f>
        <v>#N/A</v>
      </c>
      <c r="J173" s="17" t="str">
        <f t="array" ref="J173">iferror(XLOOKUP(A173,'Download of SFDC Activation Rep'!B:B,'Download of SFDC Activation Rep'!C:C),"")</f>
        <v/>
      </c>
      <c r="K173" s="17" t="str">
        <f t="array" ref="K173">XLOOKUP(A173,'Download of SFDC Activation Rep'!B:B,'Download of SFDC Activation Rep'!X:X)</f>
        <v>#N/A</v>
      </c>
      <c r="L173" s="32" t="str">
        <f t="array" ref="L173">xlookup(A173,'Download of SFDC Activation Rep'!B:B,'Download of SFDC Activation Rep'!Z:Z)</f>
        <v>#N/A</v>
      </c>
    </row>
    <row r="174">
      <c r="B174" s="14"/>
      <c r="C174" s="14"/>
      <c r="D174" s="14"/>
      <c r="E174" s="14"/>
      <c r="F174" s="13" t="str">
        <f t="array" ref="F174">iferror(XLOOKUP(A174,'Download of SFDC Activation Rep'!B:B,'Download of SFDC Activation Rep'!H:H),"")</f>
        <v/>
      </c>
      <c r="G174" s="13" t="str">
        <f t="array" ref="G174">iferror(xlookup(A174,'Download of SFDC Activation Rep'!B:B,'Download of SFDC Activation Rep'!L:L),"")</f>
        <v/>
      </c>
      <c r="H174" s="17" t="str">
        <f t="shared" si="1"/>
        <v>Not Active</v>
      </c>
      <c r="I174" s="17" t="str">
        <f t="array" ref="I174">XLOOKUP(A174,'Download of SFDC Activation Rep'!B:B,'Download of SFDC Activation Rep'!T:T)</f>
        <v>#N/A</v>
      </c>
      <c r="J174" s="17" t="str">
        <f t="array" ref="J174">iferror(XLOOKUP(A174,'Download of SFDC Activation Rep'!B:B,'Download of SFDC Activation Rep'!C:C),"")</f>
        <v/>
      </c>
      <c r="K174" s="17" t="str">
        <f t="array" ref="K174">XLOOKUP(A174,'Download of SFDC Activation Rep'!B:B,'Download of SFDC Activation Rep'!X:X)</f>
        <v>#N/A</v>
      </c>
      <c r="L174" s="32" t="str">
        <f t="array" ref="L174">xlookup(A174,'Download of SFDC Activation Rep'!B:B,'Download of SFDC Activation Rep'!Z:Z)</f>
        <v>#N/A</v>
      </c>
    </row>
    <row r="175">
      <c r="B175" s="14"/>
      <c r="C175" s="14"/>
      <c r="D175" s="14"/>
      <c r="E175" s="14"/>
      <c r="F175" s="13" t="str">
        <f t="array" ref="F175">iferror(XLOOKUP(A175,'Download of SFDC Activation Rep'!B:B,'Download of SFDC Activation Rep'!H:H),"")</f>
        <v/>
      </c>
      <c r="G175" s="13" t="str">
        <f t="array" ref="G175">iferror(xlookup(A175,'Download of SFDC Activation Rep'!B:B,'Download of SFDC Activation Rep'!L:L),"")</f>
        <v/>
      </c>
      <c r="H175" s="17" t="str">
        <f t="shared" si="1"/>
        <v>Not Active</v>
      </c>
      <c r="I175" s="17" t="str">
        <f t="array" ref="I175">XLOOKUP(A175,'Download of SFDC Activation Rep'!B:B,'Download of SFDC Activation Rep'!T:T)</f>
        <v>#N/A</v>
      </c>
      <c r="J175" s="17" t="str">
        <f t="array" ref="J175">iferror(XLOOKUP(A175,'Download of SFDC Activation Rep'!B:B,'Download of SFDC Activation Rep'!C:C),"")</f>
        <v/>
      </c>
      <c r="K175" s="17" t="str">
        <f t="array" ref="K175">XLOOKUP(A175,'Download of SFDC Activation Rep'!B:B,'Download of SFDC Activation Rep'!X:X)</f>
        <v>#N/A</v>
      </c>
      <c r="L175" s="32" t="str">
        <f t="array" ref="L175">xlookup(A175,'Download of SFDC Activation Rep'!B:B,'Download of SFDC Activation Rep'!Z:Z)</f>
        <v>#N/A</v>
      </c>
    </row>
    <row r="176">
      <c r="B176" s="14"/>
      <c r="C176" s="14"/>
      <c r="D176" s="14"/>
      <c r="E176" s="14"/>
      <c r="F176" s="13" t="str">
        <f t="array" ref="F176">iferror(XLOOKUP(A176,'Download of SFDC Activation Rep'!B:B,'Download of SFDC Activation Rep'!H:H),"")</f>
        <v/>
      </c>
      <c r="G176" s="13" t="str">
        <f t="array" ref="G176">iferror(xlookup(A176,'Download of SFDC Activation Rep'!B:B,'Download of SFDC Activation Rep'!L:L),"")</f>
        <v/>
      </c>
      <c r="H176" s="17" t="str">
        <f t="shared" si="1"/>
        <v>Not Active</v>
      </c>
      <c r="I176" s="17" t="str">
        <f t="array" ref="I176">XLOOKUP(A176,'Download of SFDC Activation Rep'!B:B,'Download of SFDC Activation Rep'!T:T)</f>
        <v>#N/A</v>
      </c>
      <c r="J176" s="17" t="str">
        <f t="array" ref="J176">iferror(XLOOKUP(A176,'Download of SFDC Activation Rep'!B:B,'Download of SFDC Activation Rep'!C:C),"")</f>
        <v/>
      </c>
      <c r="K176" s="17" t="str">
        <f t="array" ref="K176">XLOOKUP(A176,'Download of SFDC Activation Rep'!B:B,'Download of SFDC Activation Rep'!X:X)</f>
        <v>#N/A</v>
      </c>
      <c r="L176" s="32" t="str">
        <f t="array" ref="L176">xlookup(A176,'Download of SFDC Activation Rep'!B:B,'Download of SFDC Activation Rep'!Z:Z)</f>
        <v>#N/A</v>
      </c>
    </row>
    <row r="177">
      <c r="B177" s="14"/>
      <c r="C177" s="14"/>
      <c r="D177" s="14"/>
      <c r="E177" s="14"/>
      <c r="F177" s="13" t="str">
        <f t="array" ref="F177">iferror(XLOOKUP(A177,'Download of SFDC Activation Rep'!B:B,'Download of SFDC Activation Rep'!H:H),"")</f>
        <v/>
      </c>
      <c r="G177" s="13" t="str">
        <f t="array" ref="G177">iferror(xlookup(A177,'Download of SFDC Activation Rep'!B:B,'Download of SFDC Activation Rep'!L:L),"")</f>
        <v/>
      </c>
      <c r="H177" s="17" t="str">
        <f t="shared" si="1"/>
        <v>Not Active</v>
      </c>
      <c r="I177" s="17" t="str">
        <f t="array" ref="I177">XLOOKUP(A177,'Download of SFDC Activation Rep'!B:B,'Download of SFDC Activation Rep'!T:T)</f>
        <v>#N/A</v>
      </c>
      <c r="J177" s="17" t="str">
        <f t="array" ref="J177">iferror(XLOOKUP(A177,'Download of SFDC Activation Rep'!B:B,'Download of SFDC Activation Rep'!C:C),"")</f>
        <v/>
      </c>
      <c r="K177" s="17" t="str">
        <f t="array" ref="K177">XLOOKUP(A177,'Download of SFDC Activation Rep'!B:B,'Download of SFDC Activation Rep'!X:X)</f>
        <v>#N/A</v>
      </c>
      <c r="L177" s="32" t="str">
        <f t="array" ref="L177">xlookup(A177,'Download of SFDC Activation Rep'!B:B,'Download of SFDC Activation Rep'!Z:Z)</f>
        <v>#N/A</v>
      </c>
    </row>
    <row r="178">
      <c r="B178" s="14"/>
      <c r="C178" s="14"/>
      <c r="D178" s="14"/>
      <c r="E178" s="14"/>
      <c r="F178" s="13" t="str">
        <f t="array" ref="F178">iferror(XLOOKUP(A178,'Download of SFDC Activation Rep'!B:B,'Download of SFDC Activation Rep'!H:H),"")</f>
        <v/>
      </c>
      <c r="G178" s="13" t="str">
        <f t="array" ref="G178">iferror(xlookup(A178,'Download of SFDC Activation Rep'!B:B,'Download of SFDC Activation Rep'!L:L),"")</f>
        <v/>
      </c>
      <c r="H178" s="17" t="str">
        <f t="shared" si="1"/>
        <v>Not Active</v>
      </c>
      <c r="I178" s="17" t="str">
        <f t="array" ref="I178">XLOOKUP(A178,'Download of SFDC Activation Rep'!B:B,'Download of SFDC Activation Rep'!T:T)</f>
        <v>#N/A</v>
      </c>
      <c r="J178" s="17" t="str">
        <f t="array" ref="J178">iferror(XLOOKUP(A178,'Download of SFDC Activation Rep'!B:B,'Download of SFDC Activation Rep'!C:C),"")</f>
        <v/>
      </c>
      <c r="K178" s="17" t="str">
        <f t="array" ref="K178">XLOOKUP(A178,'Download of SFDC Activation Rep'!B:B,'Download of SFDC Activation Rep'!X:X)</f>
        <v>#N/A</v>
      </c>
      <c r="L178" s="32" t="str">
        <f t="array" ref="L178">xlookup(A178,'Download of SFDC Activation Rep'!B:B,'Download of SFDC Activation Rep'!Z:Z)</f>
        <v>#N/A</v>
      </c>
    </row>
    <row r="179">
      <c r="B179" s="14"/>
      <c r="C179" s="14"/>
      <c r="D179" s="14"/>
      <c r="E179" s="14"/>
      <c r="F179" s="13" t="str">
        <f t="array" ref="F179">iferror(XLOOKUP(A179,'Download of SFDC Activation Rep'!B:B,'Download of SFDC Activation Rep'!H:H),"")</f>
        <v/>
      </c>
      <c r="G179" s="13" t="str">
        <f t="array" ref="G179">iferror(xlookup(A179,'Download of SFDC Activation Rep'!B:B,'Download of SFDC Activation Rep'!L:L),"")</f>
        <v/>
      </c>
      <c r="H179" s="17" t="str">
        <f t="shared" si="1"/>
        <v>Not Active</v>
      </c>
      <c r="I179" s="17" t="str">
        <f t="array" ref="I179">XLOOKUP(A179,'Download of SFDC Activation Rep'!B:B,'Download of SFDC Activation Rep'!T:T)</f>
        <v>#N/A</v>
      </c>
      <c r="J179" s="17" t="str">
        <f t="array" ref="J179">iferror(XLOOKUP(A179,'Download of SFDC Activation Rep'!B:B,'Download of SFDC Activation Rep'!C:C),"")</f>
        <v/>
      </c>
      <c r="K179" s="17" t="str">
        <f t="array" ref="K179">XLOOKUP(A179,'Download of SFDC Activation Rep'!B:B,'Download of SFDC Activation Rep'!X:X)</f>
        <v>#N/A</v>
      </c>
      <c r="L179" s="32" t="str">
        <f t="array" ref="L179">xlookup(A179,'Download of SFDC Activation Rep'!B:B,'Download of SFDC Activation Rep'!Z:Z)</f>
        <v>#N/A</v>
      </c>
    </row>
    <row r="180">
      <c r="B180" s="14"/>
      <c r="C180" s="14"/>
      <c r="D180" s="14"/>
      <c r="E180" s="14"/>
      <c r="F180" s="13" t="str">
        <f t="array" ref="F180">iferror(XLOOKUP(A180,'Download of SFDC Activation Rep'!B:B,'Download of SFDC Activation Rep'!H:H),"")</f>
        <v/>
      </c>
      <c r="G180" s="13" t="str">
        <f t="array" ref="G180">iferror(xlookup(A180,'Download of SFDC Activation Rep'!B:B,'Download of SFDC Activation Rep'!L:L),"")</f>
        <v/>
      </c>
      <c r="H180" s="17" t="str">
        <f t="shared" si="1"/>
        <v>Not Active</v>
      </c>
      <c r="I180" s="17" t="str">
        <f t="array" ref="I180">XLOOKUP(A180,'Download of SFDC Activation Rep'!B:B,'Download of SFDC Activation Rep'!T:T)</f>
        <v>#N/A</v>
      </c>
      <c r="J180" s="17" t="str">
        <f t="array" ref="J180">iferror(XLOOKUP(A180,'Download of SFDC Activation Rep'!B:B,'Download of SFDC Activation Rep'!C:C),"")</f>
        <v/>
      </c>
      <c r="K180" s="17" t="str">
        <f t="array" ref="K180">XLOOKUP(A180,'Download of SFDC Activation Rep'!B:B,'Download of SFDC Activation Rep'!X:X)</f>
        <v>#N/A</v>
      </c>
      <c r="L180" s="32" t="str">
        <f t="array" ref="L180">xlookup(A180,'Download of SFDC Activation Rep'!B:B,'Download of SFDC Activation Rep'!Z:Z)</f>
        <v>#N/A</v>
      </c>
    </row>
    <row r="181">
      <c r="B181" s="14"/>
      <c r="C181" s="14"/>
      <c r="D181" s="14"/>
      <c r="E181" s="14"/>
      <c r="F181" s="13" t="str">
        <f t="array" ref="F181">iferror(XLOOKUP(A181,'Download of SFDC Activation Rep'!B:B,'Download of SFDC Activation Rep'!H:H),"")</f>
        <v/>
      </c>
      <c r="G181" s="13" t="str">
        <f t="array" ref="G181">iferror(xlookup(A181,'Download of SFDC Activation Rep'!B:B,'Download of SFDC Activation Rep'!L:L),"")</f>
        <v/>
      </c>
      <c r="H181" s="17" t="str">
        <f t="shared" si="1"/>
        <v>Not Active</v>
      </c>
      <c r="I181" s="17" t="str">
        <f t="array" ref="I181">XLOOKUP(A181,'Download of SFDC Activation Rep'!B:B,'Download of SFDC Activation Rep'!T:T)</f>
        <v>#N/A</v>
      </c>
      <c r="J181" s="17" t="str">
        <f t="array" ref="J181">iferror(XLOOKUP(A181,'Download of SFDC Activation Rep'!B:B,'Download of SFDC Activation Rep'!C:C),"")</f>
        <v/>
      </c>
      <c r="K181" s="17" t="str">
        <f t="array" ref="K181">XLOOKUP(A181,'Download of SFDC Activation Rep'!B:B,'Download of SFDC Activation Rep'!X:X)</f>
        <v>#N/A</v>
      </c>
      <c r="L181" s="32" t="str">
        <f t="array" ref="L181">xlookup(A181,'Download of SFDC Activation Rep'!B:B,'Download of SFDC Activation Rep'!Z:Z)</f>
        <v>#N/A</v>
      </c>
    </row>
    <row r="182">
      <c r="B182" s="14"/>
      <c r="C182" s="14"/>
      <c r="D182" s="14"/>
      <c r="E182" s="14"/>
      <c r="F182" s="13" t="str">
        <f t="array" ref="F182">iferror(XLOOKUP(A182,'Download of SFDC Activation Rep'!B:B,'Download of SFDC Activation Rep'!H:H),"")</f>
        <v/>
      </c>
      <c r="G182" s="13" t="str">
        <f t="array" ref="G182">iferror(xlookup(A182,'Download of SFDC Activation Rep'!B:B,'Download of SFDC Activation Rep'!L:L),"")</f>
        <v/>
      </c>
      <c r="H182" s="17" t="str">
        <f t="shared" si="1"/>
        <v>Not Active</v>
      </c>
      <c r="I182" s="17" t="str">
        <f t="array" ref="I182">XLOOKUP(A182,'Download of SFDC Activation Rep'!B:B,'Download of SFDC Activation Rep'!T:T)</f>
        <v>#N/A</v>
      </c>
      <c r="J182" s="17" t="str">
        <f t="array" ref="J182">iferror(XLOOKUP(A182,'Download of SFDC Activation Rep'!B:B,'Download of SFDC Activation Rep'!C:C),"")</f>
        <v/>
      </c>
      <c r="K182" s="17" t="str">
        <f t="array" ref="K182">XLOOKUP(A182,'Download of SFDC Activation Rep'!B:B,'Download of SFDC Activation Rep'!X:X)</f>
        <v>#N/A</v>
      </c>
      <c r="L182" s="32" t="str">
        <f t="array" ref="L182">xlookup(A182,'Download of SFDC Activation Rep'!B:B,'Download of SFDC Activation Rep'!Z:Z)</f>
        <v>#N/A</v>
      </c>
    </row>
    <row r="183">
      <c r="B183" s="14"/>
      <c r="C183" s="14"/>
      <c r="D183" s="14"/>
      <c r="E183" s="14"/>
      <c r="F183" s="13" t="str">
        <f t="array" ref="F183">iferror(XLOOKUP(A183,'Download of SFDC Activation Rep'!B:B,'Download of SFDC Activation Rep'!H:H),"")</f>
        <v/>
      </c>
      <c r="G183" s="13" t="str">
        <f t="array" ref="G183">iferror(xlookup(A183,'Download of SFDC Activation Rep'!B:B,'Download of SFDC Activation Rep'!L:L),"")</f>
        <v/>
      </c>
      <c r="H183" s="17" t="str">
        <f t="shared" si="1"/>
        <v>Not Active</v>
      </c>
      <c r="I183" s="17" t="str">
        <f t="array" ref="I183">XLOOKUP(A183,'Download of SFDC Activation Rep'!B:B,'Download of SFDC Activation Rep'!T:T)</f>
        <v>#N/A</v>
      </c>
      <c r="J183" s="17" t="str">
        <f t="array" ref="J183">iferror(XLOOKUP(A183,'Download of SFDC Activation Rep'!B:B,'Download of SFDC Activation Rep'!C:C),"")</f>
        <v/>
      </c>
      <c r="K183" s="17" t="str">
        <f t="array" ref="K183">XLOOKUP(A183,'Download of SFDC Activation Rep'!B:B,'Download of SFDC Activation Rep'!X:X)</f>
        <v>#N/A</v>
      </c>
      <c r="L183" s="32" t="str">
        <f t="array" ref="L183">xlookup(A183,'Download of SFDC Activation Rep'!B:B,'Download of SFDC Activation Rep'!Z:Z)</f>
        <v>#N/A</v>
      </c>
    </row>
    <row r="184">
      <c r="B184" s="14"/>
      <c r="C184" s="14"/>
      <c r="D184" s="14"/>
      <c r="E184" s="14"/>
      <c r="F184" s="13" t="str">
        <f t="array" ref="F184">iferror(XLOOKUP(A184,'Download of SFDC Activation Rep'!B:B,'Download of SFDC Activation Rep'!H:H),"")</f>
        <v/>
      </c>
      <c r="G184" s="13" t="str">
        <f t="array" ref="G184">iferror(xlookup(A184,'Download of SFDC Activation Rep'!B:B,'Download of SFDC Activation Rep'!L:L),"")</f>
        <v/>
      </c>
      <c r="H184" s="17" t="str">
        <f t="shared" si="1"/>
        <v>Not Active</v>
      </c>
      <c r="I184" s="17" t="str">
        <f t="array" ref="I184">XLOOKUP(A184,'Download of SFDC Activation Rep'!B:B,'Download of SFDC Activation Rep'!T:T)</f>
        <v>#N/A</v>
      </c>
      <c r="J184" s="17" t="str">
        <f t="array" ref="J184">iferror(XLOOKUP(A184,'Download of SFDC Activation Rep'!B:B,'Download of SFDC Activation Rep'!C:C),"")</f>
        <v/>
      </c>
      <c r="K184" s="17" t="str">
        <f t="array" ref="K184">XLOOKUP(A184,'Download of SFDC Activation Rep'!B:B,'Download of SFDC Activation Rep'!X:X)</f>
        <v>#N/A</v>
      </c>
      <c r="L184" s="32" t="str">
        <f t="array" ref="L184">xlookup(A184,'Download of SFDC Activation Rep'!B:B,'Download of SFDC Activation Rep'!Z:Z)</f>
        <v>#N/A</v>
      </c>
    </row>
    <row r="185">
      <c r="B185" s="14"/>
      <c r="C185" s="14"/>
      <c r="D185" s="14"/>
      <c r="E185" s="14"/>
      <c r="F185" s="13" t="str">
        <f t="array" ref="F185">iferror(XLOOKUP(A185,'Download of SFDC Activation Rep'!B:B,'Download of SFDC Activation Rep'!H:H),"")</f>
        <v/>
      </c>
      <c r="G185" s="13" t="str">
        <f t="array" ref="G185">iferror(xlookup(A185,'Download of SFDC Activation Rep'!B:B,'Download of SFDC Activation Rep'!L:L),"")</f>
        <v/>
      </c>
      <c r="H185" s="17" t="str">
        <f t="shared" si="1"/>
        <v>Not Active</v>
      </c>
      <c r="I185" s="17" t="str">
        <f t="array" ref="I185">XLOOKUP(A185,'Download of SFDC Activation Rep'!B:B,'Download of SFDC Activation Rep'!T:T)</f>
        <v>#N/A</v>
      </c>
      <c r="J185" s="17" t="str">
        <f t="array" ref="J185">iferror(XLOOKUP(A185,'Download of SFDC Activation Rep'!B:B,'Download of SFDC Activation Rep'!C:C),"")</f>
        <v/>
      </c>
      <c r="K185" s="17" t="str">
        <f t="array" ref="K185">XLOOKUP(A185,'Download of SFDC Activation Rep'!B:B,'Download of SFDC Activation Rep'!X:X)</f>
        <v>#N/A</v>
      </c>
      <c r="L185" s="32" t="str">
        <f t="array" ref="L185">xlookup(A185,'Download of SFDC Activation Rep'!B:B,'Download of SFDC Activation Rep'!Z:Z)</f>
        <v>#N/A</v>
      </c>
    </row>
    <row r="186">
      <c r="B186" s="14"/>
      <c r="C186" s="14"/>
      <c r="D186" s="14"/>
      <c r="E186" s="14"/>
      <c r="F186" s="13" t="str">
        <f t="array" ref="F186">iferror(XLOOKUP(A186,'Download of SFDC Activation Rep'!B:B,'Download of SFDC Activation Rep'!H:H),"")</f>
        <v/>
      </c>
      <c r="G186" s="13" t="str">
        <f t="array" ref="G186">iferror(xlookup(A186,'Download of SFDC Activation Rep'!B:B,'Download of SFDC Activation Rep'!L:L),"")</f>
        <v/>
      </c>
      <c r="H186" s="17" t="str">
        <f t="shared" si="1"/>
        <v>Not Active</v>
      </c>
      <c r="I186" s="17" t="str">
        <f t="array" ref="I186">XLOOKUP(A186,'Download of SFDC Activation Rep'!B:B,'Download of SFDC Activation Rep'!T:T)</f>
        <v>#N/A</v>
      </c>
      <c r="J186" s="17" t="str">
        <f t="array" ref="J186">iferror(XLOOKUP(A186,'Download of SFDC Activation Rep'!B:B,'Download of SFDC Activation Rep'!C:C),"")</f>
        <v/>
      </c>
      <c r="K186" s="17" t="str">
        <f t="array" ref="K186">XLOOKUP(A186,'Download of SFDC Activation Rep'!B:B,'Download of SFDC Activation Rep'!X:X)</f>
        <v>#N/A</v>
      </c>
      <c r="L186" s="32" t="str">
        <f t="array" ref="L186">xlookup(A186,'Download of SFDC Activation Rep'!B:B,'Download of SFDC Activation Rep'!Z:Z)</f>
        <v>#N/A</v>
      </c>
    </row>
    <row r="187">
      <c r="B187" s="14"/>
      <c r="C187" s="14"/>
      <c r="D187" s="14"/>
      <c r="E187" s="14"/>
      <c r="F187" s="13" t="str">
        <f t="array" ref="F187">iferror(XLOOKUP(A187,'Download of SFDC Activation Rep'!B:B,'Download of SFDC Activation Rep'!H:H),"")</f>
        <v/>
      </c>
      <c r="G187" s="13" t="str">
        <f t="array" ref="G187">iferror(xlookup(A187,'Download of SFDC Activation Rep'!B:B,'Download of SFDC Activation Rep'!L:L),"")</f>
        <v/>
      </c>
      <c r="H187" s="17" t="str">
        <f t="shared" si="1"/>
        <v>Not Active</v>
      </c>
      <c r="I187" s="17" t="str">
        <f t="array" ref="I187">XLOOKUP(A187,'Download of SFDC Activation Rep'!B:B,'Download of SFDC Activation Rep'!T:T)</f>
        <v>#N/A</v>
      </c>
      <c r="J187" s="17" t="str">
        <f t="array" ref="J187">iferror(XLOOKUP(A187,'Download of SFDC Activation Rep'!B:B,'Download of SFDC Activation Rep'!C:C),"")</f>
        <v/>
      </c>
      <c r="K187" s="17" t="str">
        <f t="array" ref="K187">XLOOKUP(A187,'Download of SFDC Activation Rep'!B:B,'Download of SFDC Activation Rep'!X:X)</f>
        <v>#N/A</v>
      </c>
      <c r="L187" s="32" t="str">
        <f t="array" ref="L187">xlookup(A187,'Download of SFDC Activation Rep'!B:B,'Download of SFDC Activation Rep'!Z:Z)</f>
        <v>#N/A</v>
      </c>
    </row>
    <row r="188">
      <c r="B188" s="14"/>
      <c r="C188" s="14"/>
      <c r="D188" s="14"/>
      <c r="E188" s="14"/>
      <c r="F188" s="13" t="str">
        <f t="array" ref="F188">iferror(XLOOKUP(A188,'Download of SFDC Activation Rep'!B:B,'Download of SFDC Activation Rep'!H:H),"")</f>
        <v/>
      </c>
      <c r="G188" s="13" t="str">
        <f t="array" ref="G188">iferror(xlookup(A188,'Download of SFDC Activation Rep'!B:B,'Download of SFDC Activation Rep'!L:L),"")</f>
        <v/>
      </c>
      <c r="H188" s="17" t="str">
        <f t="shared" si="1"/>
        <v>Not Active</v>
      </c>
      <c r="I188" s="17" t="str">
        <f t="array" ref="I188">XLOOKUP(A188,'Download of SFDC Activation Rep'!B:B,'Download of SFDC Activation Rep'!T:T)</f>
        <v>#N/A</v>
      </c>
      <c r="J188" s="17" t="str">
        <f t="array" ref="J188">iferror(XLOOKUP(A188,'Download of SFDC Activation Rep'!B:B,'Download of SFDC Activation Rep'!C:C),"")</f>
        <v/>
      </c>
      <c r="K188" s="17" t="str">
        <f t="array" ref="K188">XLOOKUP(A188,'Download of SFDC Activation Rep'!B:B,'Download of SFDC Activation Rep'!X:X)</f>
        <v>#N/A</v>
      </c>
      <c r="L188" s="32" t="str">
        <f t="array" ref="L188">xlookup(A188,'Download of SFDC Activation Rep'!B:B,'Download of SFDC Activation Rep'!Z:Z)</f>
        <v>#N/A</v>
      </c>
    </row>
    <row r="189">
      <c r="B189" s="14"/>
      <c r="C189" s="14"/>
      <c r="D189" s="14"/>
      <c r="E189" s="14"/>
      <c r="F189" s="13" t="str">
        <f t="array" ref="F189">iferror(XLOOKUP(A189,'Download of SFDC Activation Rep'!B:B,'Download of SFDC Activation Rep'!H:H),"")</f>
        <v/>
      </c>
      <c r="G189" s="13" t="str">
        <f t="array" ref="G189">iferror(xlookup(A189,'Download of SFDC Activation Rep'!B:B,'Download of SFDC Activation Rep'!L:L),"")</f>
        <v/>
      </c>
      <c r="H189" s="17" t="str">
        <f t="shared" si="1"/>
        <v>Not Active</v>
      </c>
      <c r="I189" s="17" t="str">
        <f t="array" ref="I189">XLOOKUP(A189,'Download of SFDC Activation Rep'!B:B,'Download of SFDC Activation Rep'!T:T)</f>
        <v>#N/A</v>
      </c>
      <c r="J189" s="17" t="str">
        <f t="array" ref="J189">iferror(XLOOKUP(A189,'Download of SFDC Activation Rep'!B:B,'Download of SFDC Activation Rep'!C:C),"")</f>
        <v/>
      </c>
      <c r="K189" s="17" t="str">
        <f t="array" ref="K189">XLOOKUP(A189,'Download of SFDC Activation Rep'!B:B,'Download of SFDC Activation Rep'!X:X)</f>
        <v>#N/A</v>
      </c>
      <c r="L189" s="32" t="str">
        <f t="array" ref="L189">xlookup(A189,'Download of SFDC Activation Rep'!B:B,'Download of SFDC Activation Rep'!Z:Z)</f>
        <v>#N/A</v>
      </c>
    </row>
    <row r="190">
      <c r="B190" s="14"/>
      <c r="C190" s="14"/>
      <c r="D190" s="14"/>
      <c r="E190" s="14"/>
      <c r="F190" s="13" t="str">
        <f t="array" ref="F190">iferror(XLOOKUP(A190,'Download of SFDC Activation Rep'!B:B,'Download of SFDC Activation Rep'!H:H),"")</f>
        <v/>
      </c>
      <c r="G190" s="13" t="str">
        <f t="array" ref="G190">iferror(xlookup(A190,'Download of SFDC Activation Rep'!B:B,'Download of SFDC Activation Rep'!L:L),"")</f>
        <v/>
      </c>
      <c r="H190" s="17" t="str">
        <f t="shared" si="1"/>
        <v>Not Active</v>
      </c>
      <c r="I190" s="17" t="str">
        <f t="array" ref="I190">XLOOKUP(A190,'Download of SFDC Activation Rep'!B:B,'Download of SFDC Activation Rep'!T:T)</f>
        <v>#N/A</v>
      </c>
      <c r="J190" s="17" t="str">
        <f t="array" ref="J190">iferror(XLOOKUP(A190,'Download of SFDC Activation Rep'!B:B,'Download of SFDC Activation Rep'!C:C),"")</f>
        <v/>
      </c>
      <c r="K190" s="17" t="str">
        <f t="array" ref="K190">XLOOKUP(A190,'Download of SFDC Activation Rep'!B:B,'Download of SFDC Activation Rep'!X:X)</f>
        <v>#N/A</v>
      </c>
      <c r="L190" s="32" t="str">
        <f t="array" ref="L190">xlookup(A190,'Download of SFDC Activation Rep'!B:B,'Download of SFDC Activation Rep'!Z:Z)</f>
        <v>#N/A</v>
      </c>
    </row>
    <row r="191">
      <c r="B191" s="14"/>
      <c r="C191" s="14"/>
      <c r="D191" s="14"/>
      <c r="E191" s="14"/>
      <c r="F191" s="13" t="str">
        <f t="array" ref="F191">iferror(XLOOKUP(A191,'Download of SFDC Activation Rep'!B:B,'Download of SFDC Activation Rep'!H:H),"")</f>
        <v/>
      </c>
      <c r="G191" s="13" t="str">
        <f t="array" ref="G191">iferror(xlookup(A191,'Download of SFDC Activation Rep'!B:B,'Download of SFDC Activation Rep'!L:L),"")</f>
        <v/>
      </c>
      <c r="H191" s="17" t="str">
        <f t="shared" si="1"/>
        <v>Not Active</v>
      </c>
      <c r="I191" s="17" t="str">
        <f t="array" ref="I191">XLOOKUP(A191,'Download of SFDC Activation Rep'!B:B,'Download of SFDC Activation Rep'!T:T)</f>
        <v>#N/A</v>
      </c>
      <c r="J191" s="17" t="str">
        <f t="array" ref="J191">iferror(XLOOKUP(A191,'Download of SFDC Activation Rep'!B:B,'Download of SFDC Activation Rep'!C:C),"")</f>
        <v/>
      </c>
      <c r="K191" s="17" t="str">
        <f t="array" ref="K191">XLOOKUP(A191,'Download of SFDC Activation Rep'!B:B,'Download of SFDC Activation Rep'!X:X)</f>
        <v>#N/A</v>
      </c>
      <c r="L191" s="32" t="str">
        <f t="array" ref="L191">xlookup(A191,'Download of SFDC Activation Rep'!B:B,'Download of SFDC Activation Rep'!Z:Z)</f>
        <v>#N/A</v>
      </c>
    </row>
    <row r="192">
      <c r="B192" s="14"/>
      <c r="C192" s="14"/>
      <c r="D192" s="14"/>
      <c r="E192" s="14"/>
      <c r="F192" s="13" t="str">
        <f t="array" ref="F192">iferror(XLOOKUP(A192,'Download of SFDC Activation Rep'!B:B,'Download of SFDC Activation Rep'!H:H),"")</f>
        <v/>
      </c>
      <c r="G192" s="13" t="str">
        <f t="array" ref="G192">iferror(xlookup(A192,'Download of SFDC Activation Rep'!B:B,'Download of SFDC Activation Rep'!L:L),"")</f>
        <v/>
      </c>
      <c r="H192" s="17" t="str">
        <f t="shared" si="1"/>
        <v>Not Active</v>
      </c>
      <c r="I192" s="17" t="str">
        <f t="array" ref="I192">XLOOKUP(A192,'Download of SFDC Activation Rep'!B:B,'Download of SFDC Activation Rep'!T:T)</f>
        <v>#N/A</v>
      </c>
      <c r="J192" s="17" t="str">
        <f t="array" ref="J192">iferror(XLOOKUP(A192,'Download of SFDC Activation Rep'!B:B,'Download of SFDC Activation Rep'!C:C),"")</f>
        <v/>
      </c>
      <c r="K192" s="17" t="str">
        <f t="array" ref="K192">XLOOKUP(A192,'Download of SFDC Activation Rep'!B:B,'Download of SFDC Activation Rep'!X:X)</f>
        <v>#N/A</v>
      </c>
      <c r="L192" s="32" t="str">
        <f t="array" ref="L192">xlookup(A192,'Download of SFDC Activation Rep'!B:B,'Download of SFDC Activation Rep'!Z:Z)</f>
        <v>#N/A</v>
      </c>
    </row>
    <row r="193">
      <c r="B193" s="14"/>
      <c r="C193" s="14"/>
      <c r="D193" s="14"/>
      <c r="E193" s="14"/>
      <c r="F193" s="13" t="str">
        <f t="array" ref="F193">iferror(XLOOKUP(A193,'Download of SFDC Activation Rep'!B:B,'Download of SFDC Activation Rep'!H:H),"")</f>
        <v/>
      </c>
      <c r="G193" s="13" t="str">
        <f t="array" ref="G193">iferror(xlookup(A193,'Download of SFDC Activation Rep'!B:B,'Download of SFDC Activation Rep'!L:L),"")</f>
        <v/>
      </c>
      <c r="H193" s="17" t="str">
        <f t="shared" si="1"/>
        <v>Not Active</v>
      </c>
      <c r="I193" s="17" t="str">
        <f t="array" ref="I193">XLOOKUP(A193,'Download of SFDC Activation Rep'!B:B,'Download of SFDC Activation Rep'!T:T)</f>
        <v>#N/A</v>
      </c>
      <c r="J193" s="17" t="str">
        <f t="array" ref="J193">iferror(XLOOKUP(A193,'Download of SFDC Activation Rep'!B:B,'Download of SFDC Activation Rep'!C:C),"")</f>
        <v/>
      </c>
      <c r="K193" s="17" t="str">
        <f t="array" ref="K193">XLOOKUP(A193,'Download of SFDC Activation Rep'!B:B,'Download of SFDC Activation Rep'!X:X)</f>
        <v>#N/A</v>
      </c>
      <c r="L193" s="32" t="str">
        <f t="array" ref="L193">xlookup(A193,'Download of SFDC Activation Rep'!B:B,'Download of SFDC Activation Rep'!Z:Z)</f>
        <v>#N/A</v>
      </c>
    </row>
    <row r="194">
      <c r="B194" s="14"/>
      <c r="C194" s="14"/>
      <c r="D194" s="14"/>
      <c r="E194" s="14"/>
      <c r="F194" s="13" t="str">
        <f t="array" ref="F194">iferror(XLOOKUP(A194,'Download of SFDC Activation Rep'!B:B,'Download of SFDC Activation Rep'!H:H),"")</f>
        <v/>
      </c>
      <c r="G194" s="13" t="str">
        <f t="array" ref="G194">iferror(xlookup(A194,'Download of SFDC Activation Rep'!B:B,'Download of SFDC Activation Rep'!L:L),"")</f>
        <v/>
      </c>
      <c r="H194" s="17" t="str">
        <f t="shared" si="1"/>
        <v>Not Active</v>
      </c>
      <c r="I194" s="17" t="str">
        <f t="array" ref="I194">XLOOKUP(A194,'Download of SFDC Activation Rep'!B:B,'Download of SFDC Activation Rep'!T:T)</f>
        <v>#N/A</v>
      </c>
      <c r="J194" s="17" t="str">
        <f t="array" ref="J194">iferror(XLOOKUP(A194,'Download of SFDC Activation Rep'!B:B,'Download of SFDC Activation Rep'!C:C),"")</f>
        <v/>
      </c>
      <c r="K194" s="17" t="str">
        <f t="array" ref="K194">XLOOKUP(A194,'Download of SFDC Activation Rep'!B:B,'Download of SFDC Activation Rep'!X:X)</f>
        <v>#N/A</v>
      </c>
      <c r="L194" s="32" t="str">
        <f t="array" ref="L194">xlookup(A194,'Download of SFDC Activation Rep'!B:B,'Download of SFDC Activation Rep'!Z:Z)</f>
        <v>#N/A</v>
      </c>
    </row>
    <row r="195">
      <c r="B195" s="14"/>
      <c r="C195" s="14"/>
      <c r="D195" s="14"/>
      <c r="E195" s="14"/>
      <c r="F195" s="13" t="str">
        <f t="array" ref="F195">iferror(XLOOKUP(A195,'Download of SFDC Activation Rep'!B:B,'Download of SFDC Activation Rep'!H:H),"")</f>
        <v/>
      </c>
      <c r="G195" s="13" t="str">
        <f t="array" ref="G195">iferror(xlookup(A195,'Download of SFDC Activation Rep'!B:B,'Download of SFDC Activation Rep'!L:L),"")</f>
        <v/>
      </c>
      <c r="H195" s="17" t="str">
        <f t="shared" si="1"/>
        <v>Not Active</v>
      </c>
      <c r="I195" s="17" t="str">
        <f t="array" ref="I195">XLOOKUP(A195,'Download of SFDC Activation Rep'!B:B,'Download of SFDC Activation Rep'!T:T)</f>
        <v>#N/A</v>
      </c>
      <c r="J195" s="17" t="str">
        <f t="array" ref="J195">iferror(XLOOKUP(A195,'Download of SFDC Activation Rep'!B:B,'Download of SFDC Activation Rep'!C:C),"")</f>
        <v/>
      </c>
      <c r="K195" s="17" t="str">
        <f t="array" ref="K195">XLOOKUP(A195,'Download of SFDC Activation Rep'!B:B,'Download of SFDC Activation Rep'!X:X)</f>
        <v>#N/A</v>
      </c>
      <c r="L195" s="32" t="str">
        <f t="array" ref="L195">xlookup(A195,'Download of SFDC Activation Rep'!B:B,'Download of SFDC Activation Rep'!Z:Z)</f>
        <v>#N/A</v>
      </c>
    </row>
    <row r="196">
      <c r="B196" s="14"/>
      <c r="C196" s="14"/>
      <c r="D196" s="14"/>
      <c r="E196" s="14"/>
      <c r="F196" s="13" t="str">
        <f t="array" ref="F196">iferror(XLOOKUP(A196,'Download of SFDC Activation Rep'!B:B,'Download of SFDC Activation Rep'!H:H),"")</f>
        <v/>
      </c>
      <c r="G196" s="13" t="str">
        <f t="array" ref="G196">iferror(xlookup(A196,'Download of SFDC Activation Rep'!B:B,'Download of SFDC Activation Rep'!L:L),"")</f>
        <v/>
      </c>
      <c r="H196" s="17" t="str">
        <f t="shared" si="1"/>
        <v>Not Active</v>
      </c>
      <c r="I196" s="17" t="str">
        <f t="array" ref="I196">XLOOKUP(A196,'Download of SFDC Activation Rep'!B:B,'Download of SFDC Activation Rep'!T:T)</f>
        <v>#N/A</v>
      </c>
      <c r="J196" s="17" t="str">
        <f t="array" ref="J196">iferror(XLOOKUP(A196,'Download of SFDC Activation Rep'!B:B,'Download of SFDC Activation Rep'!C:C),"")</f>
        <v/>
      </c>
      <c r="K196" s="17" t="str">
        <f t="array" ref="K196">XLOOKUP(A196,'Download of SFDC Activation Rep'!B:B,'Download of SFDC Activation Rep'!X:X)</f>
        <v>#N/A</v>
      </c>
      <c r="L196" s="32" t="str">
        <f t="array" ref="L196">xlookup(A196,'Download of SFDC Activation Rep'!B:B,'Download of SFDC Activation Rep'!Z:Z)</f>
        <v>#N/A</v>
      </c>
    </row>
    <row r="197">
      <c r="B197" s="14"/>
      <c r="C197" s="14"/>
      <c r="D197" s="14"/>
      <c r="E197" s="14"/>
      <c r="F197" s="13" t="str">
        <f t="array" ref="F197">iferror(XLOOKUP(A197,'Download of SFDC Activation Rep'!B:B,'Download of SFDC Activation Rep'!H:H),"")</f>
        <v/>
      </c>
      <c r="G197" s="13" t="str">
        <f t="array" ref="G197">iferror(xlookup(A197,'Download of SFDC Activation Rep'!B:B,'Download of SFDC Activation Rep'!L:L),"")</f>
        <v/>
      </c>
      <c r="H197" s="17" t="str">
        <f t="shared" si="1"/>
        <v>Not Active</v>
      </c>
      <c r="I197" s="17" t="str">
        <f t="array" ref="I197">XLOOKUP(A197,'Download of SFDC Activation Rep'!B:B,'Download of SFDC Activation Rep'!T:T)</f>
        <v>#N/A</v>
      </c>
      <c r="J197" s="17" t="str">
        <f t="array" ref="J197">iferror(XLOOKUP(A197,'Download of SFDC Activation Rep'!B:B,'Download of SFDC Activation Rep'!C:C),"")</f>
        <v/>
      </c>
      <c r="K197" s="17" t="str">
        <f t="array" ref="K197">XLOOKUP(A197,'Download of SFDC Activation Rep'!B:B,'Download of SFDC Activation Rep'!X:X)</f>
        <v>#N/A</v>
      </c>
      <c r="L197" s="32" t="str">
        <f t="array" ref="L197">xlookup(A197,'Download of SFDC Activation Rep'!B:B,'Download of SFDC Activation Rep'!Z:Z)</f>
        <v>#N/A</v>
      </c>
    </row>
    <row r="198">
      <c r="B198" s="14"/>
      <c r="C198" s="14"/>
      <c r="D198" s="14"/>
      <c r="E198" s="14"/>
      <c r="F198" s="13" t="str">
        <f t="array" ref="F198">iferror(XLOOKUP(A198,'Download of SFDC Activation Rep'!B:B,'Download of SFDC Activation Rep'!H:H),"")</f>
        <v/>
      </c>
      <c r="G198" s="13" t="str">
        <f t="array" ref="G198">iferror(xlookup(A198,'Download of SFDC Activation Rep'!B:B,'Download of SFDC Activation Rep'!L:L),"")</f>
        <v/>
      </c>
      <c r="H198" s="17" t="str">
        <f t="shared" si="1"/>
        <v>Not Active</v>
      </c>
      <c r="I198" s="17" t="str">
        <f t="array" ref="I198">XLOOKUP(A198,'Download of SFDC Activation Rep'!B:B,'Download of SFDC Activation Rep'!T:T)</f>
        <v>#N/A</v>
      </c>
      <c r="J198" s="17" t="str">
        <f t="array" ref="J198">iferror(XLOOKUP(A198,'Download of SFDC Activation Rep'!B:B,'Download of SFDC Activation Rep'!C:C),"")</f>
        <v/>
      </c>
      <c r="K198" s="17" t="str">
        <f t="array" ref="K198">XLOOKUP(A198,'Download of SFDC Activation Rep'!B:B,'Download of SFDC Activation Rep'!X:X)</f>
        <v>#N/A</v>
      </c>
      <c r="L198" s="32" t="str">
        <f t="array" ref="L198">xlookup(A198,'Download of SFDC Activation Rep'!B:B,'Download of SFDC Activation Rep'!Z:Z)</f>
        <v>#N/A</v>
      </c>
    </row>
    <row r="199">
      <c r="B199" s="14"/>
      <c r="C199" s="14"/>
      <c r="D199" s="14"/>
      <c r="E199" s="14"/>
      <c r="F199" s="13" t="str">
        <f t="array" ref="F199">iferror(XLOOKUP(A199,'Download of SFDC Activation Rep'!B:B,'Download of SFDC Activation Rep'!H:H),"")</f>
        <v/>
      </c>
      <c r="G199" s="13" t="str">
        <f t="array" ref="G199">iferror(xlookup(A199,'Download of SFDC Activation Rep'!B:B,'Download of SFDC Activation Rep'!L:L),"")</f>
        <v/>
      </c>
      <c r="H199" s="17" t="str">
        <f t="shared" si="1"/>
        <v>Not Active</v>
      </c>
      <c r="I199" s="17" t="str">
        <f t="array" ref="I199">XLOOKUP(A199,'Download of SFDC Activation Rep'!B:B,'Download of SFDC Activation Rep'!T:T)</f>
        <v>#N/A</v>
      </c>
      <c r="J199" s="17" t="str">
        <f t="array" ref="J199">iferror(XLOOKUP(A199,'Download of SFDC Activation Rep'!B:B,'Download of SFDC Activation Rep'!C:C),"")</f>
        <v/>
      </c>
      <c r="K199" s="17" t="str">
        <f t="array" ref="K199">XLOOKUP(A199,'Download of SFDC Activation Rep'!B:B,'Download of SFDC Activation Rep'!X:X)</f>
        <v>#N/A</v>
      </c>
      <c r="L199" s="32" t="str">
        <f t="array" ref="L199">xlookup(A199,'Download of SFDC Activation Rep'!B:B,'Download of SFDC Activation Rep'!Z:Z)</f>
        <v>#N/A</v>
      </c>
    </row>
    <row r="200">
      <c r="B200" s="14"/>
      <c r="C200" s="14"/>
      <c r="D200" s="14"/>
      <c r="E200" s="14"/>
      <c r="F200" s="13" t="str">
        <f t="array" ref="F200">iferror(XLOOKUP(A200,'Download of SFDC Activation Rep'!B:B,'Download of SFDC Activation Rep'!H:H),"")</f>
        <v/>
      </c>
      <c r="G200" s="13" t="str">
        <f t="array" ref="G200">iferror(xlookup(A200,'Download of SFDC Activation Rep'!B:B,'Download of SFDC Activation Rep'!L:L),"")</f>
        <v/>
      </c>
      <c r="H200" s="17" t="str">
        <f t="shared" si="1"/>
        <v>Not Active</v>
      </c>
      <c r="I200" s="17" t="str">
        <f t="array" ref="I200">XLOOKUP(A200,'Download of SFDC Activation Rep'!B:B,'Download of SFDC Activation Rep'!T:T)</f>
        <v>#N/A</v>
      </c>
      <c r="J200" s="17" t="str">
        <f t="array" ref="J200">iferror(XLOOKUP(A200,'Download of SFDC Activation Rep'!B:B,'Download of SFDC Activation Rep'!C:C),"")</f>
        <v/>
      </c>
      <c r="K200" s="17" t="str">
        <f t="array" ref="K200">XLOOKUP(A200,'Download of SFDC Activation Rep'!B:B,'Download of SFDC Activation Rep'!X:X)</f>
        <v>#N/A</v>
      </c>
      <c r="L200" s="32" t="str">
        <f t="array" ref="L200">xlookup(A200,'Download of SFDC Activation Rep'!B:B,'Download of SFDC Activation Rep'!Z:Z)</f>
        <v>#N/A</v>
      </c>
    </row>
    <row r="201">
      <c r="B201" s="14"/>
      <c r="C201" s="14"/>
      <c r="D201" s="14"/>
      <c r="E201" s="14"/>
      <c r="F201" s="13" t="str">
        <f t="array" ref="F201">iferror(XLOOKUP(A201,'Download of SFDC Activation Rep'!B:B,'Download of SFDC Activation Rep'!H:H),"")</f>
        <v/>
      </c>
      <c r="G201" s="13" t="str">
        <f t="array" ref="G201">iferror(xlookup(A201,'Download of SFDC Activation Rep'!B:B,'Download of SFDC Activation Rep'!L:L),"")</f>
        <v/>
      </c>
      <c r="H201" s="17" t="str">
        <f t="shared" si="1"/>
        <v>Not Active</v>
      </c>
      <c r="I201" s="17" t="str">
        <f t="array" ref="I201">XLOOKUP(A201,'Download of SFDC Activation Rep'!B:B,'Download of SFDC Activation Rep'!T:T)</f>
        <v>#N/A</v>
      </c>
      <c r="J201" s="17" t="str">
        <f t="array" ref="J201">iferror(XLOOKUP(A201,'Download of SFDC Activation Rep'!B:B,'Download of SFDC Activation Rep'!C:C),"")</f>
        <v/>
      </c>
      <c r="K201" s="17" t="str">
        <f t="array" ref="K201">XLOOKUP(A201,'Download of SFDC Activation Rep'!B:B,'Download of SFDC Activation Rep'!X:X)</f>
        <v>#N/A</v>
      </c>
      <c r="L201" s="32" t="str">
        <f t="array" ref="L201">xlookup(A201,'Download of SFDC Activation Rep'!B:B,'Download of SFDC Activation Rep'!Z:Z)</f>
        <v>#N/A</v>
      </c>
    </row>
    <row r="202">
      <c r="B202" s="14"/>
      <c r="C202" s="14"/>
      <c r="D202" s="14"/>
      <c r="E202" s="14"/>
      <c r="F202" s="13" t="str">
        <f t="array" ref="F202">iferror(XLOOKUP(A202,'Download of SFDC Activation Rep'!B:B,'Download of SFDC Activation Rep'!H:H),"")</f>
        <v/>
      </c>
      <c r="G202" s="13" t="str">
        <f t="array" ref="G202">iferror(xlookup(A202,'Download of SFDC Activation Rep'!B:B,'Download of SFDC Activation Rep'!L:L),"")</f>
        <v/>
      </c>
      <c r="H202" s="17" t="str">
        <f t="shared" si="1"/>
        <v>Not Active</v>
      </c>
      <c r="I202" s="17" t="str">
        <f t="array" ref="I202">XLOOKUP(A202,'Download of SFDC Activation Rep'!B:B,'Download of SFDC Activation Rep'!T:T)</f>
        <v>#N/A</v>
      </c>
      <c r="J202" s="17" t="str">
        <f t="array" ref="J202">iferror(XLOOKUP(A202,'Download of SFDC Activation Rep'!B:B,'Download of SFDC Activation Rep'!C:C),"")</f>
        <v/>
      </c>
      <c r="K202" s="17" t="str">
        <f t="array" ref="K202">XLOOKUP(A202,'Download of SFDC Activation Rep'!B:B,'Download of SFDC Activation Rep'!X:X)</f>
        <v>#N/A</v>
      </c>
      <c r="L202" s="32" t="str">
        <f t="array" ref="L202">xlookup(A202,'Download of SFDC Activation Rep'!B:B,'Download of SFDC Activation Rep'!Z:Z)</f>
        <v>#N/A</v>
      </c>
    </row>
    <row r="203">
      <c r="B203" s="14"/>
      <c r="C203" s="14"/>
      <c r="D203" s="14"/>
      <c r="E203" s="14"/>
      <c r="F203" s="13" t="str">
        <f t="array" ref="F203">iferror(XLOOKUP(A203,'Download of SFDC Activation Rep'!B:B,'Download of SFDC Activation Rep'!H:H),"")</f>
        <v/>
      </c>
      <c r="G203" s="13" t="str">
        <f t="array" ref="G203">iferror(xlookup(A203,'Download of SFDC Activation Rep'!B:B,'Download of SFDC Activation Rep'!L:L),"")</f>
        <v/>
      </c>
      <c r="H203" s="17" t="str">
        <f t="shared" si="1"/>
        <v>Not Active</v>
      </c>
      <c r="I203" s="17" t="str">
        <f t="array" ref="I203">XLOOKUP(A203,'Download of SFDC Activation Rep'!B:B,'Download of SFDC Activation Rep'!T:T)</f>
        <v>#N/A</v>
      </c>
      <c r="J203" s="17" t="str">
        <f t="array" ref="J203">iferror(XLOOKUP(A203,'Download of SFDC Activation Rep'!B:B,'Download of SFDC Activation Rep'!C:C),"")</f>
        <v/>
      </c>
      <c r="K203" s="17" t="str">
        <f t="array" ref="K203">XLOOKUP(A203,'Download of SFDC Activation Rep'!B:B,'Download of SFDC Activation Rep'!X:X)</f>
        <v>#N/A</v>
      </c>
      <c r="L203" s="32" t="str">
        <f t="array" ref="L203">xlookup(A203,'Download of SFDC Activation Rep'!B:B,'Download of SFDC Activation Rep'!Z:Z)</f>
        <v>#N/A</v>
      </c>
    </row>
    <row r="204">
      <c r="B204" s="14"/>
      <c r="C204" s="14"/>
      <c r="D204" s="14"/>
      <c r="E204" s="14"/>
      <c r="F204" s="13" t="str">
        <f t="array" ref="F204">iferror(XLOOKUP(A204,'Download of SFDC Activation Rep'!B:B,'Download of SFDC Activation Rep'!H:H),"")</f>
        <v/>
      </c>
      <c r="G204" s="13" t="str">
        <f t="array" ref="G204">iferror(xlookup(A204,'Download of SFDC Activation Rep'!B:B,'Download of SFDC Activation Rep'!L:L),"")</f>
        <v/>
      </c>
      <c r="H204" s="17" t="str">
        <f t="shared" si="1"/>
        <v>Not Active</v>
      </c>
      <c r="I204" s="17" t="str">
        <f t="array" ref="I204">XLOOKUP(A204,'Download of SFDC Activation Rep'!B:B,'Download of SFDC Activation Rep'!T:T)</f>
        <v>#N/A</v>
      </c>
      <c r="J204" s="17" t="str">
        <f t="array" ref="J204">iferror(XLOOKUP(A204,'Download of SFDC Activation Rep'!B:B,'Download of SFDC Activation Rep'!C:C),"")</f>
        <v/>
      </c>
      <c r="K204" s="17" t="str">
        <f t="array" ref="K204">XLOOKUP(A204,'Download of SFDC Activation Rep'!B:B,'Download of SFDC Activation Rep'!X:X)</f>
        <v>#N/A</v>
      </c>
      <c r="L204" s="32" t="str">
        <f t="array" ref="L204">xlookup(A204,'Download of SFDC Activation Rep'!B:B,'Download of SFDC Activation Rep'!Z:Z)</f>
        <v>#N/A</v>
      </c>
    </row>
    <row r="205">
      <c r="B205" s="14"/>
      <c r="C205" s="14"/>
      <c r="D205" s="14"/>
      <c r="E205" s="14"/>
      <c r="F205" s="13" t="str">
        <f t="array" ref="F205">iferror(XLOOKUP(A205,'Download of SFDC Activation Rep'!B:B,'Download of SFDC Activation Rep'!H:H),"")</f>
        <v/>
      </c>
      <c r="G205" s="13" t="str">
        <f t="array" ref="G205">iferror(xlookup(A205,'Download of SFDC Activation Rep'!B:B,'Download of SFDC Activation Rep'!L:L),"")</f>
        <v/>
      </c>
      <c r="H205" s="17" t="str">
        <f t="shared" si="1"/>
        <v>Not Active</v>
      </c>
      <c r="I205" s="17" t="str">
        <f t="array" ref="I205">XLOOKUP(A205,'Download of SFDC Activation Rep'!B:B,'Download of SFDC Activation Rep'!T:T)</f>
        <v>#N/A</v>
      </c>
      <c r="J205" s="17" t="str">
        <f t="array" ref="J205">iferror(XLOOKUP(A205,'Download of SFDC Activation Rep'!B:B,'Download of SFDC Activation Rep'!C:C),"")</f>
        <v/>
      </c>
      <c r="K205" s="17" t="str">
        <f t="array" ref="K205">XLOOKUP(A205,'Download of SFDC Activation Rep'!B:B,'Download of SFDC Activation Rep'!X:X)</f>
        <v>#N/A</v>
      </c>
      <c r="L205" s="32" t="str">
        <f t="array" ref="L205">xlookup(A205,'Download of SFDC Activation Rep'!B:B,'Download of SFDC Activation Rep'!Z:Z)</f>
        <v>#N/A</v>
      </c>
    </row>
    <row r="206">
      <c r="B206" s="14"/>
      <c r="C206" s="14"/>
      <c r="D206" s="14"/>
      <c r="E206" s="14"/>
      <c r="F206" s="13" t="str">
        <f t="array" ref="F206">iferror(XLOOKUP(A206,'Download of SFDC Activation Rep'!B:B,'Download of SFDC Activation Rep'!H:H),"")</f>
        <v/>
      </c>
      <c r="G206" s="13" t="str">
        <f t="array" ref="G206">iferror(xlookup(A206,'Download of SFDC Activation Rep'!B:B,'Download of SFDC Activation Rep'!L:L),"")</f>
        <v/>
      </c>
      <c r="H206" s="17" t="str">
        <f t="shared" si="1"/>
        <v>Not Active</v>
      </c>
      <c r="I206" s="17" t="str">
        <f t="array" ref="I206">XLOOKUP(A206,'Download of SFDC Activation Rep'!B:B,'Download of SFDC Activation Rep'!T:T)</f>
        <v>#N/A</v>
      </c>
      <c r="J206" s="17" t="str">
        <f t="array" ref="J206">iferror(XLOOKUP(A206,'Download of SFDC Activation Rep'!B:B,'Download of SFDC Activation Rep'!C:C),"")</f>
        <v/>
      </c>
      <c r="K206" s="17" t="str">
        <f t="array" ref="K206">XLOOKUP(A206,'Download of SFDC Activation Rep'!B:B,'Download of SFDC Activation Rep'!X:X)</f>
        <v>#N/A</v>
      </c>
      <c r="L206" s="32" t="str">
        <f t="array" ref="L206">xlookup(A206,'Download of SFDC Activation Rep'!B:B,'Download of SFDC Activation Rep'!Z:Z)</f>
        <v>#N/A</v>
      </c>
    </row>
    <row r="207">
      <c r="B207" s="14"/>
      <c r="C207" s="14"/>
      <c r="D207" s="14"/>
      <c r="E207" s="14"/>
      <c r="F207" s="13" t="str">
        <f t="array" ref="F207">iferror(XLOOKUP(A207,'Download of SFDC Activation Rep'!B:B,'Download of SFDC Activation Rep'!H:H),"")</f>
        <v/>
      </c>
      <c r="G207" s="13" t="str">
        <f t="array" ref="G207">iferror(xlookup(A207,'Download of SFDC Activation Rep'!B:B,'Download of SFDC Activation Rep'!L:L),"")</f>
        <v/>
      </c>
      <c r="H207" s="17" t="str">
        <f t="shared" si="1"/>
        <v>Not Active</v>
      </c>
      <c r="I207" s="17" t="str">
        <f t="array" ref="I207">XLOOKUP(A207,'Download of SFDC Activation Rep'!B:B,'Download of SFDC Activation Rep'!T:T)</f>
        <v>#N/A</v>
      </c>
      <c r="J207" s="17" t="str">
        <f t="array" ref="J207">iferror(XLOOKUP(A207,'Download of SFDC Activation Rep'!B:B,'Download of SFDC Activation Rep'!C:C),"")</f>
        <v/>
      </c>
      <c r="K207" s="17" t="str">
        <f t="array" ref="K207">XLOOKUP(A207,'Download of SFDC Activation Rep'!B:B,'Download of SFDC Activation Rep'!X:X)</f>
        <v>#N/A</v>
      </c>
      <c r="L207" s="32" t="str">
        <f t="array" ref="L207">xlookup(A207,'Download of SFDC Activation Rep'!B:B,'Download of SFDC Activation Rep'!Z:Z)</f>
        <v>#N/A</v>
      </c>
    </row>
    <row r="208">
      <c r="B208" s="14"/>
      <c r="C208" s="14"/>
      <c r="D208" s="14"/>
      <c r="E208" s="14"/>
      <c r="F208" s="13" t="str">
        <f t="array" ref="F208">iferror(XLOOKUP(A208,'Download of SFDC Activation Rep'!B:B,'Download of SFDC Activation Rep'!H:H),"")</f>
        <v/>
      </c>
      <c r="G208" s="13" t="str">
        <f t="array" ref="G208">iferror(xlookup(A208,'Download of SFDC Activation Rep'!B:B,'Download of SFDC Activation Rep'!L:L),"")</f>
        <v/>
      </c>
      <c r="H208" s="17" t="str">
        <f t="shared" si="1"/>
        <v>Not Active</v>
      </c>
      <c r="I208" s="17" t="str">
        <f t="array" ref="I208">XLOOKUP(A208,'Download of SFDC Activation Rep'!B:B,'Download of SFDC Activation Rep'!T:T)</f>
        <v>#N/A</v>
      </c>
      <c r="J208" s="17" t="str">
        <f t="array" ref="J208">iferror(XLOOKUP(A208,'Download of SFDC Activation Rep'!B:B,'Download of SFDC Activation Rep'!C:C),"")</f>
        <v/>
      </c>
      <c r="K208" s="17" t="str">
        <f t="array" ref="K208">XLOOKUP(A208,'Download of SFDC Activation Rep'!B:B,'Download of SFDC Activation Rep'!X:X)</f>
        <v>#N/A</v>
      </c>
      <c r="L208" s="32" t="str">
        <f t="array" ref="L208">xlookup(A208,'Download of SFDC Activation Rep'!B:B,'Download of SFDC Activation Rep'!Z:Z)</f>
        <v>#N/A</v>
      </c>
    </row>
    <row r="209">
      <c r="B209" s="14"/>
      <c r="C209" s="14"/>
      <c r="D209" s="14"/>
      <c r="E209" s="14"/>
      <c r="F209" s="13" t="str">
        <f t="array" ref="F209">iferror(XLOOKUP(A209,'Download of SFDC Activation Rep'!B:B,'Download of SFDC Activation Rep'!H:H),"")</f>
        <v/>
      </c>
      <c r="G209" s="13" t="str">
        <f t="array" ref="G209">iferror(xlookup(A209,'Download of SFDC Activation Rep'!B:B,'Download of SFDC Activation Rep'!L:L),"")</f>
        <v/>
      </c>
      <c r="H209" s="17" t="str">
        <f t="shared" si="1"/>
        <v>Not Active</v>
      </c>
      <c r="I209" s="17" t="str">
        <f t="array" ref="I209">XLOOKUP(A209,'Download of SFDC Activation Rep'!B:B,'Download of SFDC Activation Rep'!T:T)</f>
        <v>#N/A</v>
      </c>
      <c r="J209" s="17" t="str">
        <f t="array" ref="J209">iferror(XLOOKUP(A209,'Download of SFDC Activation Rep'!B:B,'Download of SFDC Activation Rep'!C:C),"")</f>
        <v/>
      </c>
      <c r="K209" s="17" t="str">
        <f t="array" ref="K209">XLOOKUP(A209,'Download of SFDC Activation Rep'!B:B,'Download of SFDC Activation Rep'!X:X)</f>
        <v>#N/A</v>
      </c>
      <c r="L209" s="32" t="str">
        <f t="array" ref="L209">xlookup(A209,'Download of SFDC Activation Rep'!B:B,'Download of SFDC Activation Rep'!Z:Z)</f>
        <v>#N/A</v>
      </c>
    </row>
    <row r="210">
      <c r="B210" s="14"/>
      <c r="C210" s="14"/>
      <c r="D210" s="14"/>
      <c r="E210" s="14"/>
      <c r="F210" s="13" t="str">
        <f t="array" ref="F210">iferror(XLOOKUP(A210,'Download of SFDC Activation Rep'!B:B,'Download of SFDC Activation Rep'!H:H),"")</f>
        <v/>
      </c>
      <c r="G210" s="13" t="str">
        <f t="array" ref="G210">iferror(xlookup(A210,'Download of SFDC Activation Rep'!B:B,'Download of SFDC Activation Rep'!L:L),"")</f>
        <v/>
      </c>
      <c r="H210" s="17" t="str">
        <f t="shared" si="1"/>
        <v>Not Active</v>
      </c>
      <c r="I210" s="17" t="str">
        <f t="array" ref="I210">XLOOKUP(A210,'Download of SFDC Activation Rep'!B:B,'Download of SFDC Activation Rep'!T:T)</f>
        <v>#N/A</v>
      </c>
      <c r="J210" s="17" t="str">
        <f t="array" ref="J210">iferror(XLOOKUP(A210,'Download of SFDC Activation Rep'!B:B,'Download of SFDC Activation Rep'!C:C),"")</f>
        <v/>
      </c>
      <c r="K210" s="17" t="str">
        <f t="array" ref="K210">XLOOKUP(A210,'Download of SFDC Activation Rep'!B:B,'Download of SFDC Activation Rep'!X:X)</f>
        <v>#N/A</v>
      </c>
      <c r="L210" s="32" t="str">
        <f t="array" ref="L210">xlookup(A210,'Download of SFDC Activation Rep'!B:B,'Download of SFDC Activation Rep'!Z:Z)</f>
        <v>#N/A</v>
      </c>
    </row>
    <row r="211">
      <c r="B211" s="14"/>
      <c r="C211" s="14"/>
      <c r="D211" s="14"/>
      <c r="E211" s="14"/>
      <c r="F211" s="13" t="str">
        <f t="array" ref="F211">iferror(XLOOKUP(A211,'Download of SFDC Activation Rep'!B:B,'Download of SFDC Activation Rep'!H:H),"")</f>
        <v/>
      </c>
      <c r="G211" s="13" t="str">
        <f t="array" ref="G211">iferror(xlookup(A211,'Download of SFDC Activation Rep'!B:B,'Download of SFDC Activation Rep'!L:L),"")</f>
        <v/>
      </c>
      <c r="H211" s="17" t="str">
        <f t="shared" si="1"/>
        <v>Not Active</v>
      </c>
      <c r="I211" s="17" t="str">
        <f t="array" ref="I211">XLOOKUP(A211,'Download of SFDC Activation Rep'!B:B,'Download of SFDC Activation Rep'!T:T)</f>
        <v>#N/A</v>
      </c>
      <c r="J211" s="17" t="str">
        <f t="array" ref="J211">iferror(XLOOKUP(A211,'Download of SFDC Activation Rep'!B:B,'Download of SFDC Activation Rep'!C:C),"")</f>
        <v/>
      </c>
      <c r="K211" s="17" t="str">
        <f t="array" ref="K211">XLOOKUP(A211,'Download of SFDC Activation Rep'!B:B,'Download of SFDC Activation Rep'!X:X)</f>
        <v>#N/A</v>
      </c>
      <c r="L211" s="32" t="str">
        <f t="array" ref="L211">xlookup(A211,'Download of SFDC Activation Rep'!B:B,'Download of SFDC Activation Rep'!Z:Z)</f>
        <v>#N/A</v>
      </c>
    </row>
    <row r="212">
      <c r="B212" s="14"/>
      <c r="C212" s="14"/>
      <c r="D212" s="14"/>
      <c r="E212" s="14"/>
      <c r="F212" s="13" t="str">
        <f t="array" ref="F212">iferror(XLOOKUP(A212,'Download of SFDC Activation Rep'!B:B,'Download of SFDC Activation Rep'!H:H),"")</f>
        <v/>
      </c>
      <c r="G212" s="13" t="str">
        <f t="array" ref="G212">iferror(xlookup(A212,'Download of SFDC Activation Rep'!B:B,'Download of SFDC Activation Rep'!L:L),"")</f>
        <v/>
      </c>
      <c r="H212" s="17" t="str">
        <f t="shared" si="1"/>
        <v>Not Active</v>
      </c>
      <c r="I212" s="17" t="str">
        <f t="array" ref="I212">XLOOKUP(A212,'Download of SFDC Activation Rep'!B:B,'Download of SFDC Activation Rep'!T:T)</f>
        <v>#N/A</v>
      </c>
      <c r="J212" s="17" t="str">
        <f t="array" ref="J212">iferror(XLOOKUP(A212,'Download of SFDC Activation Rep'!B:B,'Download of SFDC Activation Rep'!C:C),"")</f>
        <v/>
      </c>
      <c r="K212" s="17" t="str">
        <f t="array" ref="K212">XLOOKUP(A212,'Download of SFDC Activation Rep'!B:B,'Download of SFDC Activation Rep'!X:X)</f>
        <v>#N/A</v>
      </c>
      <c r="L212" s="32" t="str">
        <f t="array" ref="L212">xlookup(A212,'Download of SFDC Activation Rep'!B:B,'Download of SFDC Activation Rep'!Z:Z)</f>
        <v>#N/A</v>
      </c>
    </row>
    <row r="213">
      <c r="B213" s="14"/>
      <c r="C213" s="14"/>
      <c r="D213" s="14"/>
      <c r="E213" s="14"/>
      <c r="F213" s="13" t="str">
        <f t="array" ref="F213">iferror(XLOOKUP(A213,'Download of SFDC Activation Rep'!B:B,'Download of SFDC Activation Rep'!H:H),"")</f>
        <v/>
      </c>
      <c r="G213" s="13" t="str">
        <f t="array" ref="G213">iferror(xlookup(A213,'Download of SFDC Activation Rep'!B:B,'Download of SFDC Activation Rep'!L:L),"")</f>
        <v/>
      </c>
      <c r="H213" s="17" t="str">
        <f t="shared" si="1"/>
        <v>Not Active</v>
      </c>
      <c r="I213" s="17" t="str">
        <f t="array" ref="I213">XLOOKUP(A213,'Download of SFDC Activation Rep'!B:B,'Download of SFDC Activation Rep'!T:T)</f>
        <v>#N/A</v>
      </c>
      <c r="J213" s="17" t="str">
        <f t="array" ref="J213">iferror(XLOOKUP(A213,'Download of SFDC Activation Rep'!B:B,'Download of SFDC Activation Rep'!C:C),"")</f>
        <v/>
      </c>
      <c r="K213" s="17" t="str">
        <f t="array" ref="K213">XLOOKUP(A213,'Download of SFDC Activation Rep'!B:B,'Download of SFDC Activation Rep'!X:X)</f>
        <v>#N/A</v>
      </c>
      <c r="L213" s="32" t="str">
        <f t="array" ref="L213">xlookup(A213,'Download of SFDC Activation Rep'!B:B,'Download of SFDC Activation Rep'!Z:Z)</f>
        <v>#N/A</v>
      </c>
    </row>
    <row r="214">
      <c r="B214" s="14"/>
      <c r="C214" s="14"/>
      <c r="D214" s="14"/>
      <c r="E214" s="14"/>
      <c r="F214" s="13" t="str">
        <f t="array" ref="F214">iferror(XLOOKUP(A214,'Download of SFDC Activation Rep'!B:B,'Download of SFDC Activation Rep'!H:H),"")</f>
        <v/>
      </c>
      <c r="G214" s="13" t="str">
        <f t="array" ref="G214">iferror(xlookup(A214,'Download of SFDC Activation Rep'!B:B,'Download of SFDC Activation Rep'!L:L),"")</f>
        <v/>
      </c>
      <c r="H214" s="17" t="str">
        <f t="shared" si="1"/>
        <v>Not Active</v>
      </c>
      <c r="I214" s="17" t="str">
        <f t="array" ref="I214">XLOOKUP(A214,'Download of SFDC Activation Rep'!B:B,'Download of SFDC Activation Rep'!T:T)</f>
        <v>#N/A</v>
      </c>
      <c r="J214" s="17" t="str">
        <f t="array" ref="J214">iferror(XLOOKUP(A214,'Download of SFDC Activation Rep'!B:B,'Download of SFDC Activation Rep'!C:C),"")</f>
        <v/>
      </c>
      <c r="K214" s="17" t="str">
        <f t="array" ref="K214">XLOOKUP(A214,'Download of SFDC Activation Rep'!B:B,'Download of SFDC Activation Rep'!X:X)</f>
        <v>#N/A</v>
      </c>
      <c r="L214" s="32" t="str">
        <f t="array" ref="L214">xlookup(A214,'Download of SFDC Activation Rep'!B:B,'Download of SFDC Activation Rep'!Z:Z)</f>
        <v>#N/A</v>
      </c>
    </row>
    <row r="215">
      <c r="B215" s="14"/>
      <c r="C215" s="14"/>
      <c r="D215" s="14"/>
      <c r="E215" s="14"/>
      <c r="F215" s="13" t="str">
        <f t="array" ref="F215">iferror(XLOOKUP(A215,'Download of SFDC Activation Rep'!B:B,'Download of SFDC Activation Rep'!H:H),"")</f>
        <v/>
      </c>
      <c r="G215" s="13" t="str">
        <f t="array" ref="G215">iferror(xlookup(A215,'Download of SFDC Activation Rep'!B:B,'Download of SFDC Activation Rep'!L:L),"")</f>
        <v/>
      </c>
      <c r="H215" s="17" t="str">
        <f t="shared" si="1"/>
        <v>Not Active</v>
      </c>
      <c r="I215" s="17" t="str">
        <f t="array" ref="I215">XLOOKUP(A215,'Download of SFDC Activation Rep'!B:B,'Download of SFDC Activation Rep'!T:T)</f>
        <v>#N/A</v>
      </c>
      <c r="J215" s="17" t="str">
        <f t="array" ref="J215">iferror(XLOOKUP(A215,'Download of SFDC Activation Rep'!B:B,'Download of SFDC Activation Rep'!C:C),"")</f>
        <v/>
      </c>
      <c r="K215" s="17" t="str">
        <f t="array" ref="K215">XLOOKUP(A215,'Download of SFDC Activation Rep'!B:B,'Download of SFDC Activation Rep'!X:X)</f>
        <v>#N/A</v>
      </c>
      <c r="L215" s="32" t="str">
        <f t="array" ref="L215">xlookup(A215,'Download of SFDC Activation Rep'!B:B,'Download of SFDC Activation Rep'!Z:Z)</f>
        <v>#N/A</v>
      </c>
    </row>
    <row r="216">
      <c r="B216" s="14"/>
      <c r="C216" s="14"/>
      <c r="D216" s="14"/>
      <c r="E216" s="14"/>
      <c r="F216" s="13" t="str">
        <f t="array" ref="F216">iferror(XLOOKUP(A216,'Download of SFDC Activation Rep'!B:B,'Download of SFDC Activation Rep'!H:H),"")</f>
        <v/>
      </c>
      <c r="G216" s="13" t="str">
        <f t="array" ref="G216">iferror(xlookup(A216,'Download of SFDC Activation Rep'!B:B,'Download of SFDC Activation Rep'!L:L),"")</f>
        <v/>
      </c>
      <c r="H216" s="17" t="str">
        <f t="shared" si="1"/>
        <v>Not Active</v>
      </c>
      <c r="I216" s="17" t="str">
        <f t="array" ref="I216">XLOOKUP(A216,'Download of SFDC Activation Rep'!B:B,'Download of SFDC Activation Rep'!T:T)</f>
        <v>#N/A</v>
      </c>
      <c r="J216" s="17" t="str">
        <f t="array" ref="J216">iferror(XLOOKUP(A216,'Download of SFDC Activation Rep'!B:B,'Download of SFDC Activation Rep'!C:C),"")</f>
        <v/>
      </c>
      <c r="K216" s="17" t="str">
        <f t="array" ref="K216">XLOOKUP(A216,'Download of SFDC Activation Rep'!B:B,'Download of SFDC Activation Rep'!X:X)</f>
        <v>#N/A</v>
      </c>
      <c r="L216" s="32" t="str">
        <f t="array" ref="L216">xlookup(A216,'Download of SFDC Activation Rep'!B:B,'Download of SFDC Activation Rep'!Z:Z)</f>
        <v>#N/A</v>
      </c>
    </row>
    <row r="217">
      <c r="B217" s="14"/>
      <c r="C217" s="14"/>
      <c r="D217" s="14"/>
      <c r="E217" s="14"/>
      <c r="F217" s="13" t="str">
        <f t="array" ref="F217">iferror(XLOOKUP(A217,'Download of SFDC Activation Rep'!B:B,'Download of SFDC Activation Rep'!H:H),"")</f>
        <v/>
      </c>
      <c r="G217" s="13" t="str">
        <f t="array" ref="G217">iferror(xlookup(A217,'Download of SFDC Activation Rep'!B:B,'Download of SFDC Activation Rep'!L:L),"")</f>
        <v/>
      </c>
      <c r="H217" s="17" t="str">
        <f t="shared" si="1"/>
        <v>Not Active</v>
      </c>
      <c r="I217" s="17" t="str">
        <f t="array" ref="I217">XLOOKUP(A217,'Download of SFDC Activation Rep'!B:B,'Download of SFDC Activation Rep'!T:T)</f>
        <v>#N/A</v>
      </c>
      <c r="J217" s="17" t="str">
        <f t="array" ref="J217">iferror(XLOOKUP(A217,'Download of SFDC Activation Rep'!B:B,'Download of SFDC Activation Rep'!C:C),"")</f>
        <v/>
      </c>
      <c r="K217" s="17" t="str">
        <f t="array" ref="K217">XLOOKUP(A217,'Download of SFDC Activation Rep'!B:B,'Download of SFDC Activation Rep'!X:X)</f>
        <v>#N/A</v>
      </c>
      <c r="L217" s="32" t="str">
        <f t="array" ref="L217">xlookup(A217,'Download of SFDC Activation Rep'!B:B,'Download of SFDC Activation Rep'!Z:Z)</f>
        <v>#N/A</v>
      </c>
    </row>
    <row r="218">
      <c r="B218" s="14"/>
      <c r="C218" s="14"/>
      <c r="D218" s="14"/>
      <c r="E218" s="14"/>
      <c r="F218" s="13" t="str">
        <f t="array" ref="F218">iferror(XLOOKUP(A218,'Download of SFDC Activation Rep'!B:B,'Download of SFDC Activation Rep'!H:H),"")</f>
        <v/>
      </c>
      <c r="G218" s="13" t="str">
        <f t="array" ref="G218">iferror(xlookup(A218,'Download of SFDC Activation Rep'!B:B,'Download of SFDC Activation Rep'!L:L),"")</f>
        <v/>
      </c>
      <c r="H218" s="17" t="str">
        <f t="shared" si="1"/>
        <v>Not Active</v>
      </c>
      <c r="I218" s="17" t="str">
        <f t="array" ref="I218">XLOOKUP(A218,'Download of SFDC Activation Rep'!B:B,'Download of SFDC Activation Rep'!T:T)</f>
        <v>#N/A</v>
      </c>
      <c r="J218" s="17" t="str">
        <f t="array" ref="J218">iferror(XLOOKUP(A218,'Download of SFDC Activation Rep'!B:B,'Download of SFDC Activation Rep'!C:C),"")</f>
        <v/>
      </c>
      <c r="K218" s="17" t="str">
        <f t="array" ref="K218">XLOOKUP(A218,'Download of SFDC Activation Rep'!B:B,'Download of SFDC Activation Rep'!X:X)</f>
        <v>#N/A</v>
      </c>
      <c r="L218" s="32" t="str">
        <f t="array" ref="L218">xlookup(A218,'Download of SFDC Activation Rep'!B:B,'Download of SFDC Activation Rep'!Z:Z)</f>
        <v>#N/A</v>
      </c>
    </row>
    <row r="219">
      <c r="B219" s="14"/>
      <c r="C219" s="14"/>
      <c r="D219" s="14"/>
      <c r="E219" s="14"/>
      <c r="F219" s="13" t="str">
        <f t="array" ref="F219">iferror(XLOOKUP(A219,'Download of SFDC Activation Rep'!B:B,'Download of SFDC Activation Rep'!H:H),"")</f>
        <v/>
      </c>
      <c r="G219" s="13" t="str">
        <f t="array" ref="G219">iferror(xlookup(A219,'Download of SFDC Activation Rep'!B:B,'Download of SFDC Activation Rep'!L:L),"")</f>
        <v/>
      </c>
      <c r="H219" s="17" t="str">
        <f t="shared" si="1"/>
        <v>Not Active</v>
      </c>
      <c r="I219" s="17" t="str">
        <f t="array" ref="I219">XLOOKUP(A219,'Download of SFDC Activation Rep'!B:B,'Download of SFDC Activation Rep'!T:T)</f>
        <v>#N/A</v>
      </c>
      <c r="J219" s="17" t="str">
        <f t="array" ref="J219">iferror(XLOOKUP(A219,'Download of SFDC Activation Rep'!B:B,'Download of SFDC Activation Rep'!C:C),"")</f>
        <v/>
      </c>
      <c r="K219" s="17" t="str">
        <f t="array" ref="K219">XLOOKUP(A219,'Download of SFDC Activation Rep'!B:B,'Download of SFDC Activation Rep'!X:X)</f>
        <v>#N/A</v>
      </c>
      <c r="L219" s="32" t="str">
        <f t="array" ref="L219">xlookup(A219,'Download of SFDC Activation Rep'!B:B,'Download of SFDC Activation Rep'!Z:Z)</f>
        <v>#N/A</v>
      </c>
    </row>
    <row r="220">
      <c r="B220" s="14"/>
      <c r="C220" s="14"/>
      <c r="D220" s="14"/>
      <c r="E220" s="14"/>
      <c r="F220" s="13" t="str">
        <f t="array" ref="F220">iferror(XLOOKUP(A220,'Download of SFDC Activation Rep'!B:B,'Download of SFDC Activation Rep'!H:H),"")</f>
        <v/>
      </c>
      <c r="G220" s="13" t="str">
        <f t="array" ref="G220">iferror(xlookup(A220,'Download of SFDC Activation Rep'!B:B,'Download of SFDC Activation Rep'!L:L),"")</f>
        <v/>
      </c>
      <c r="H220" s="17" t="str">
        <f t="shared" si="1"/>
        <v>Not Active</v>
      </c>
      <c r="I220" s="17" t="str">
        <f t="array" ref="I220">XLOOKUP(A220,'Download of SFDC Activation Rep'!B:B,'Download of SFDC Activation Rep'!T:T)</f>
        <v>#N/A</v>
      </c>
      <c r="J220" s="17" t="str">
        <f t="array" ref="J220">iferror(XLOOKUP(A220,'Download of SFDC Activation Rep'!B:B,'Download of SFDC Activation Rep'!C:C),"")</f>
        <v/>
      </c>
      <c r="K220" s="17" t="str">
        <f t="array" ref="K220">XLOOKUP(A220,'Download of SFDC Activation Rep'!B:B,'Download of SFDC Activation Rep'!X:X)</f>
        <v>#N/A</v>
      </c>
      <c r="L220" s="32" t="str">
        <f t="array" ref="L220">xlookup(A220,'Download of SFDC Activation Rep'!B:B,'Download of SFDC Activation Rep'!Z:Z)</f>
        <v>#N/A</v>
      </c>
    </row>
    <row r="221">
      <c r="B221" s="14"/>
      <c r="C221" s="14"/>
      <c r="D221" s="14"/>
      <c r="E221" s="14"/>
      <c r="F221" s="13" t="str">
        <f t="array" ref="F221">iferror(XLOOKUP(A221,'Download of SFDC Activation Rep'!B:B,'Download of SFDC Activation Rep'!H:H),"")</f>
        <v/>
      </c>
      <c r="G221" s="13" t="str">
        <f t="array" ref="G221">iferror(xlookup(A221,'Download of SFDC Activation Rep'!B:B,'Download of SFDC Activation Rep'!L:L),"")</f>
        <v/>
      </c>
      <c r="H221" s="17" t="str">
        <f t="shared" si="1"/>
        <v>Not Active</v>
      </c>
      <c r="I221" s="17" t="str">
        <f t="array" ref="I221">XLOOKUP(A221,'Download of SFDC Activation Rep'!B:B,'Download of SFDC Activation Rep'!T:T)</f>
        <v>#N/A</v>
      </c>
      <c r="J221" s="17" t="str">
        <f t="array" ref="J221">iferror(XLOOKUP(A221,'Download of SFDC Activation Rep'!B:B,'Download of SFDC Activation Rep'!C:C),"")</f>
        <v/>
      </c>
      <c r="K221" s="17" t="str">
        <f t="array" ref="K221">XLOOKUP(A221,'Download of SFDC Activation Rep'!B:B,'Download of SFDC Activation Rep'!X:X)</f>
        <v>#N/A</v>
      </c>
      <c r="L221" s="32" t="str">
        <f t="array" ref="L221">xlookup(A221,'Download of SFDC Activation Rep'!B:B,'Download of SFDC Activation Rep'!Z:Z)</f>
        <v>#N/A</v>
      </c>
    </row>
    <row r="222">
      <c r="B222" s="14"/>
      <c r="C222" s="14"/>
      <c r="D222" s="14"/>
      <c r="E222" s="14"/>
      <c r="F222" s="13" t="str">
        <f t="array" ref="F222">iferror(XLOOKUP(A222,'Download of SFDC Activation Rep'!B:B,'Download of SFDC Activation Rep'!H:H),"")</f>
        <v/>
      </c>
      <c r="G222" s="13" t="str">
        <f t="array" ref="G222">iferror(xlookup(A222,'Download of SFDC Activation Rep'!B:B,'Download of SFDC Activation Rep'!L:L),"")</f>
        <v/>
      </c>
      <c r="H222" s="17" t="str">
        <f t="shared" si="1"/>
        <v>Not Active</v>
      </c>
      <c r="I222" s="17" t="str">
        <f t="array" ref="I222">XLOOKUP(A222,'Download of SFDC Activation Rep'!B:B,'Download of SFDC Activation Rep'!T:T)</f>
        <v>#N/A</v>
      </c>
      <c r="J222" s="17" t="str">
        <f t="array" ref="J222">iferror(XLOOKUP(A222,'Download of SFDC Activation Rep'!B:B,'Download of SFDC Activation Rep'!C:C),"")</f>
        <v/>
      </c>
      <c r="K222" s="17" t="str">
        <f t="array" ref="K222">XLOOKUP(A222,'Download of SFDC Activation Rep'!B:B,'Download of SFDC Activation Rep'!X:X)</f>
        <v>#N/A</v>
      </c>
      <c r="L222" s="32" t="str">
        <f t="array" ref="L222">xlookup(A222,'Download of SFDC Activation Rep'!B:B,'Download of SFDC Activation Rep'!Z:Z)</f>
        <v>#N/A</v>
      </c>
    </row>
    <row r="223">
      <c r="B223" s="14"/>
      <c r="C223" s="14"/>
      <c r="D223" s="14"/>
      <c r="E223" s="14"/>
      <c r="F223" s="13" t="str">
        <f t="array" ref="F223">iferror(XLOOKUP(A223,'Download of SFDC Activation Rep'!B:B,'Download of SFDC Activation Rep'!H:H),"")</f>
        <v/>
      </c>
      <c r="G223" s="13" t="str">
        <f t="array" ref="G223">iferror(xlookup(A223,'Download of SFDC Activation Rep'!B:B,'Download of SFDC Activation Rep'!L:L),"")</f>
        <v/>
      </c>
      <c r="H223" s="17" t="str">
        <f t="shared" si="1"/>
        <v>Not Active</v>
      </c>
      <c r="I223" s="17" t="str">
        <f t="array" ref="I223">XLOOKUP(A223,'Download of SFDC Activation Rep'!B:B,'Download of SFDC Activation Rep'!T:T)</f>
        <v>#N/A</v>
      </c>
      <c r="J223" s="17" t="str">
        <f t="array" ref="J223">iferror(XLOOKUP(A223,'Download of SFDC Activation Rep'!B:B,'Download of SFDC Activation Rep'!C:C),"")</f>
        <v/>
      </c>
      <c r="K223" s="17" t="str">
        <f t="array" ref="K223">XLOOKUP(A223,'Download of SFDC Activation Rep'!B:B,'Download of SFDC Activation Rep'!X:X)</f>
        <v>#N/A</v>
      </c>
      <c r="L223" s="32" t="str">
        <f t="array" ref="L223">xlookup(A223,'Download of SFDC Activation Rep'!B:B,'Download of SFDC Activation Rep'!Z:Z)</f>
        <v>#N/A</v>
      </c>
    </row>
    <row r="224">
      <c r="B224" s="14"/>
      <c r="C224" s="14"/>
      <c r="D224" s="14"/>
      <c r="E224" s="14"/>
      <c r="F224" s="13" t="str">
        <f t="array" ref="F224">iferror(XLOOKUP(A224,'Download of SFDC Activation Rep'!B:B,'Download of SFDC Activation Rep'!H:H),"")</f>
        <v/>
      </c>
      <c r="G224" s="13" t="str">
        <f t="array" ref="G224">iferror(xlookup(A224,'Download of SFDC Activation Rep'!B:B,'Download of SFDC Activation Rep'!L:L),"")</f>
        <v/>
      </c>
      <c r="H224" s="17" t="str">
        <f t="shared" si="1"/>
        <v>Not Active</v>
      </c>
      <c r="I224" s="17" t="str">
        <f t="array" ref="I224">XLOOKUP(A224,'Download of SFDC Activation Rep'!B:B,'Download of SFDC Activation Rep'!T:T)</f>
        <v>#N/A</v>
      </c>
      <c r="J224" s="17" t="str">
        <f t="array" ref="J224">iferror(XLOOKUP(A224,'Download of SFDC Activation Rep'!B:B,'Download of SFDC Activation Rep'!C:C),"")</f>
        <v/>
      </c>
      <c r="K224" s="17" t="str">
        <f t="array" ref="K224">XLOOKUP(A224,'Download of SFDC Activation Rep'!B:B,'Download of SFDC Activation Rep'!X:X)</f>
        <v>#N/A</v>
      </c>
      <c r="L224" s="32" t="str">
        <f t="array" ref="L224">xlookup(A224,'Download of SFDC Activation Rep'!B:B,'Download of SFDC Activation Rep'!Z:Z)</f>
        <v>#N/A</v>
      </c>
    </row>
    <row r="225">
      <c r="B225" s="14"/>
      <c r="C225" s="14"/>
      <c r="D225" s="14"/>
      <c r="E225" s="14"/>
      <c r="F225" s="13" t="str">
        <f t="array" ref="F225">iferror(XLOOKUP(A225,'Download of SFDC Activation Rep'!B:B,'Download of SFDC Activation Rep'!H:H),"")</f>
        <v/>
      </c>
      <c r="G225" s="13" t="str">
        <f t="array" ref="G225">iferror(xlookup(A225,'Download of SFDC Activation Rep'!B:B,'Download of SFDC Activation Rep'!L:L),"")</f>
        <v/>
      </c>
      <c r="H225" s="17" t="str">
        <f t="shared" si="1"/>
        <v>Not Active</v>
      </c>
      <c r="I225" s="17" t="str">
        <f t="array" ref="I225">XLOOKUP(A225,'Download of SFDC Activation Rep'!B:B,'Download of SFDC Activation Rep'!T:T)</f>
        <v>#N/A</v>
      </c>
      <c r="J225" s="17" t="str">
        <f t="array" ref="J225">iferror(XLOOKUP(A225,'Download of SFDC Activation Rep'!B:B,'Download of SFDC Activation Rep'!C:C),"")</f>
        <v/>
      </c>
      <c r="K225" s="17" t="str">
        <f t="array" ref="K225">XLOOKUP(A225,'Download of SFDC Activation Rep'!B:B,'Download of SFDC Activation Rep'!X:X)</f>
        <v>#N/A</v>
      </c>
      <c r="L225" s="32" t="str">
        <f t="array" ref="L225">xlookup(A225,'Download of SFDC Activation Rep'!B:B,'Download of SFDC Activation Rep'!Z:Z)</f>
        <v>#N/A</v>
      </c>
    </row>
    <row r="226">
      <c r="B226" s="14"/>
      <c r="C226" s="14"/>
      <c r="D226" s="14"/>
      <c r="E226" s="14"/>
      <c r="F226" s="13" t="str">
        <f t="array" ref="F226">iferror(XLOOKUP(A226,'Download of SFDC Activation Rep'!B:B,'Download of SFDC Activation Rep'!H:H),"")</f>
        <v/>
      </c>
      <c r="G226" s="13" t="str">
        <f t="array" ref="G226">iferror(xlookup(A226,'Download of SFDC Activation Rep'!B:B,'Download of SFDC Activation Rep'!L:L),"")</f>
        <v/>
      </c>
      <c r="H226" s="17" t="str">
        <f t="shared" si="1"/>
        <v>Not Active</v>
      </c>
      <c r="I226" s="17" t="str">
        <f t="array" ref="I226">XLOOKUP(A226,'Download of SFDC Activation Rep'!B:B,'Download of SFDC Activation Rep'!T:T)</f>
        <v>#N/A</v>
      </c>
      <c r="J226" s="17" t="str">
        <f t="array" ref="J226">iferror(XLOOKUP(A226,'Download of SFDC Activation Rep'!B:B,'Download of SFDC Activation Rep'!C:C),"")</f>
        <v/>
      </c>
      <c r="K226" s="17" t="str">
        <f t="array" ref="K226">XLOOKUP(A226,'Download of SFDC Activation Rep'!B:B,'Download of SFDC Activation Rep'!X:X)</f>
        <v>#N/A</v>
      </c>
      <c r="L226" s="32" t="str">
        <f t="array" ref="L226">xlookup(A226,'Download of SFDC Activation Rep'!B:B,'Download of SFDC Activation Rep'!Z:Z)</f>
        <v>#N/A</v>
      </c>
    </row>
    <row r="227">
      <c r="B227" s="14"/>
      <c r="C227" s="14"/>
      <c r="D227" s="14"/>
      <c r="E227" s="14"/>
      <c r="F227" s="13" t="str">
        <f t="array" ref="F227">iferror(XLOOKUP(A227,'Download of SFDC Activation Rep'!B:B,'Download of SFDC Activation Rep'!H:H),"")</f>
        <v/>
      </c>
      <c r="G227" s="13" t="str">
        <f t="array" ref="G227">iferror(xlookup(A227,'Download of SFDC Activation Rep'!B:B,'Download of SFDC Activation Rep'!L:L),"")</f>
        <v/>
      </c>
      <c r="H227" s="17" t="str">
        <f t="shared" si="1"/>
        <v>Not Active</v>
      </c>
      <c r="I227" s="17" t="str">
        <f t="array" ref="I227">XLOOKUP(A227,'Download of SFDC Activation Rep'!B:B,'Download of SFDC Activation Rep'!T:T)</f>
        <v>#N/A</v>
      </c>
      <c r="J227" s="17" t="str">
        <f t="array" ref="J227">iferror(XLOOKUP(A227,'Download of SFDC Activation Rep'!B:B,'Download of SFDC Activation Rep'!C:C),"")</f>
        <v/>
      </c>
      <c r="K227" s="17" t="str">
        <f t="array" ref="K227">XLOOKUP(A227,'Download of SFDC Activation Rep'!B:B,'Download of SFDC Activation Rep'!X:X)</f>
        <v>#N/A</v>
      </c>
      <c r="L227" s="32" t="str">
        <f t="array" ref="L227">xlookup(A227,'Download of SFDC Activation Rep'!B:B,'Download of SFDC Activation Rep'!Z:Z)</f>
        <v>#N/A</v>
      </c>
    </row>
    <row r="228">
      <c r="B228" s="14"/>
      <c r="C228" s="14"/>
      <c r="D228" s="14"/>
      <c r="E228" s="14"/>
      <c r="F228" s="13" t="str">
        <f t="array" ref="F228">iferror(XLOOKUP(A228,'Download of SFDC Activation Rep'!B:B,'Download of SFDC Activation Rep'!H:H),"")</f>
        <v/>
      </c>
      <c r="G228" s="13" t="str">
        <f t="array" ref="G228">iferror(xlookup(A228,'Download of SFDC Activation Rep'!B:B,'Download of SFDC Activation Rep'!L:L),"")</f>
        <v/>
      </c>
      <c r="H228" s="17" t="str">
        <f t="shared" si="1"/>
        <v>Not Active</v>
      </c>
      <c r="I228" s="17" t="str">
        <f t="array" ref="I228">XLOOKUP(A228,'Download of SFDC Activation Rep'!B:B,'Download of SFDC Activation Rep'!T:T)</f>
        <v>#N/A</v>
      </c>
      <c r="J228" s="17" t="str">
        <f t="array" ref="J228">iferror(XLOOKUP(A228,'Download of SFDC Activation Rep'!B:B,'Download of SFDC Activation Rep'!C:C),"")</f>
        <v/>
      </c>
      <c r="K228" s="17" t="str">
        <f t="array" ref="K228">XLOOKUP(A228,'Download of SFDC Activation Rep'!B:B,'Download of SFDC Activation Rep'!X:X)</f>
        <v>#N/A</v>
      </c>
      <c r="L228" s="32" t="str">
        <f t="array" ref="L228">xlookup(A228,'Download of SFDC Activation Rep'!B:B,'Download of SFDC Activation Rep'!Z:Z)</f>
        <v>#N/A</v>
      </c>
    </row>
    <row r="229">
      <c r="B229" s="14"/>
      <c r="C229" s="14"/>
      <c r="D229" s="14"/>
      <c r="E229" s="14"/>
      <c r="F229" s="13" t="str">
        <f t="array" ref="F229">iferror(XLOOKUP(A229,'Download of SFDC Activation Rep'!B:B,'Download of SFDC Activation Rep'!H:H),"")</f>
        <v/>
      </c>
      <c r="G229" s="13" t="str">
        <f t="array" ref="G229">iferror(xlookup(A229,'Download of SFDC Activation Rep'!B:B,'Download of SFDC Activation Rep'!L:L),"")</f>
        <v/>
      </c>
      <c r="H229" s="17" t="str">
        <f t="shared" si="1"/>
        <v>Not Active</v>
      </c>
      <c r="I229" s="17" t="str">
        <f t="array" ref="I229">XLOOKUP(A229,'Download of SFDC Activation Rep'!B:B,'Download of SFDC Activation Rep'!T:T)</f>
        <v>#N/A</v>
      </c>
      <c r="J229" s="17" t="str">
        <f t="array" ref="J229">iferror(XLOOKUP(A229,'Download of SFDC Activation Rep'!B:B,'Download of SFDC Activation Rep'!C:C),"")</f>
        <v/>
      </c>
      <c r="K229" s="17" t="str">
        <f t="array" ref="K229">XLOOKUP(A229,'Download of SFDC Activation Rep'!B:B,'Download of SFDC Activation Rep'!X:X)</f>
        <v>#N/A</v>
      </c>
      <c r="L229" s="32" t="str">
        <f t="array" ref="L229">xlookup(A229,'Download of SFDC Activation Rep'!B:B,'Download of SFDC Activation Rep'!Z:Z)</f>
        <v>#N/A</v>
      </c>
    </row>
    <row r="230">
      <c r="B230" s="14"/>
      <c r="C230" s="14"/>
      <c r="D230" s="14"/>
      <c r="E230" s="14"/>
      <c r="F230" s="13" t="str">
        <f t="array" ref="F230">iferror(XLOOKUP(A230,'Download of SFDC Activation Rep'!B:B,'Download of SFDC Activation Rep'!H:H),"")</f>
        <v/>
      </c>
      <c r="G230" s="13" t="str">
        <f t="array" ref="G230">iferror(xlookup(A230,'Download of SFDC Activation Rep'!B:B,'Download of SFDC Activation Rep'!L:L),"")</f>
        <v/>
      </c>
      <c r="H230" s="17" t="str">
        <f t="shared" si="1"/>
        <v>Not Active</v>
      </c>
      <c r="I230" s="17" t="str">
        <f t="array" ref="I230">XLOOKUP(A230,'Download of SFDC Activation Rep'!B:B,'Download of SFDC Activation Rep'!T:T)</f>
        <v>#N/A</v>
      </c>
      <c r="J230" s="17" t="str">
        <f t="array" ref="J230">iferror(XLOOKUP(A230,'Download of SFDC Activation Rep'!B:B,'Download of SFDC Activation Rep'!C:C),"")</f>
        <v/>
      </c>
      <c r="K230" s="17" t="str">
        <f t="array" ref="K230">XLOOKUP(A230,'Download of SFDC Activation Rep'!B:B,'Download of SFDC Activation Rep'!X:X)</f>
        <v>#N/A</v>
      </c>
      <c r="L230" s="32" t="str">
        <f t="array" ref="L230">xlookup(A230,'Download of SFDC Activation Rep'!B:B,'Download of SFDC Activation Rep'!Z:Z)</f>
        <v>#N/A</v>
      </c>
    </row>
    <row r="231">
      <c r="B231" s="14"/>
      <c r="C231" s="14"/>
      <c r="D231" s="14"/>
      <c r="E231" s="14"/>
      <c r="F231" s="13" t="str">
        <f t="array" ref="F231">iferror(XLOOKUP(A231,'Download of SFDC Activation Rep'!B:B,'Download of SFDC Activation Rep'!H:H),"")</f>
        <v/>
      </c>
      <c r="G231" s="13" t="str">
        <f t="array" ref="G231">iferror(xlookup(A231,'Download of SFDC Activation Rep'!B:B,'Download of SFDC Activation Rep'!L:L),"")</f>
        <v/>
      </c>
      <c r="H231" s="17" t="str">
        <f t="shared" si="1"/>
        <v>Not Active</v>
      </c>
      <c r="I231" s="17" t="str">
        <f t="array" ref="I231">XLOOKUP(A231,'Download of SFDC Activation Rep'!B:B,'Download of SFDC Activation Rep'!T:T)</f>
        <v>#N/A</v>
      </c>
      <c r="J231" s="17" t="str">
        <f t="array" ref="J231">iferror(XLOOKUP(A231,'Download of SFDC Activation Rep'!B:B,'Download of SFDC Activation Rep'!C:C),"")</f>
        <v/>
      </c>
      <c r="K231" s="17" t="str">
        <f t="array" ref="K231">XLOOKUP(A231,'Download of SFDC Activation Rep'!B:B,'Download of SFDC Activation Rep'!X:X)</f>
        <v>#N/A</v>
      </c>
      <c r="L231" s="32" t="str">
        <f t="array" ref="L231">xlookup(A231,'Download of SFDC Activation Rep'!B:B,'Download of SFDC Activation Rep'!Z:Z)</f>
        <v>#N/A</v>
      </c>
    </row>
    <row r="232">
      <c r="B232" s="14"/>
      <c r="C232" s="14"/>
      <c r="D232" s="14"/>
      <c r="E232" s="14"/>
      <c r="F232" s="13" t="str">
        <f t="array" ref="F232">iferror(XLOOKUP(A232,'Download of SFDC Activation Rep'!B:B,'Download of SFDC Activation Rep'!H:H),"")</f>
        <v/>
      </c>
      <c r="G232" s="13" t="str">
        <f t="array" ref="G232">iferror(xlookup(A232,'Download of SFDC Activation Rep'!B:B,'Download of SFDC Activation Rep'!L:L),"")</f>
        <v/>
      </c>
      <c r="H232" s="17" t="str">
        <f t="shared" si="1"/>
        <v>Not Active</v>
      </c>
      <c r="I232" s="17" t="str">
        <f t="array" ref="I232">XLOOKUP(A232,'Download of SFDC Activation Rep'!B:B,'Download of SFDC Activation Rep'!T:T)</f>
        <v>#N/A</v>
      </c>
      <c r="J232" s="17" t="str">
        <f t="array" ref="J232">iferror(XLOOKUP(A232,'Download of SFDC Activation Rep'!B:B,'Download of SFDC Activation Rep'!C:C),"")</f>
        <v/>
      </c>
      <c r="K232" s="17" t="str">
        <f t="array" ref="K232">XLOOKUP(A232,'Download of SFDC Activation Rep'!B:B,'Download of SFDC Activation Rep'!X:X)</f>
        <v>#N/A</v>
      </c>
      <c r="L232" s="32" t="str">
        <f t="array" ref="L232">xlookup(A232,'Download of SFDC Activation Rep'!B:B,'Download of SFDC Activation Rep'!Z:Z)</f>
        <v>#N/A</v>
      </c>
    </row>
    <row r="233">
      <c r="B233" s="14"/>
      <c r="C233" s="14"/>
      <c r="D233" s="14"/>
      <c r="E233" s="14"/>
      <c r="F233" s="13" t="str">
        <f t="array" ref="F233">iferror(XLOOKUP(A233,'Download of SFDC Activation Rep'!B:B,'Download of SFDC Activation Rep'!H:H),"")</f>
        <v/>
      </c>
      <c r="G233" s="13" t="str">
        <f t="array" ref="G233">iferror(xlookup(A233,'Download of SFDC Activation Rep'!B:B,'Download of SFDC Activation Rep'!L:L),"")</f>
        <v/>
      </c>
      <c r="H233" s="17" t="str">
        <f t="shared" si="1"/>
        <v>Not Active</v>
      </c>
      <c r="I233" s="17" t="str">
        <f t="array" ref="I233">XLOOKUP(A233,'Download of SFDC Activation Rep'!B:B,'Download of SFDC Activation Rep'!T:T)</f>
        <v>#N/A</v>
      </c>
      <c r="J233" s="17" t="str">
        <f t="array" ref="J233">iferror(XLOOKUP(A233,'Download of SFDC Activation Rep'!B:B,'Download of SFDC Activation Rep'!C:C),"")</f>
        <v/>
      </c>
      <c r="K233" s="17" t="str">
        <f t="array" ref="K233">XLOOKUP(A233,'Download of SFDC Activation Rep'!B:B,'Download of SFDC Activation Rep'!X:X)</f>
        <v>#N/A</v>
      </c>
      <c r="L233" s="32" t="str">
        <f t="array" ref="L233">xlookup(A233,'Download of SFDC Activation Rep'!B:B,'Download of SFDC Activation Rep'!Z:Z)</f>
        <v>#N/A</v>
      </c>
    </row>
    <row r="234">
      <c r="B234" s="14"/>
      <c r="C234" s="14"/>
      <c r="D234" s="14"/>
      <c r="E234" s="14"/>
      <c r="F234" s="13" t="str">
        <f t="array" ref="F234">iferror(XLOOKUP(A234,'Download of SFDC Activation Rep'!B:B,'Download of SFDC Activation Rep'!H:H),"")</f>
        <v/>
      </c>
      <c r="G234" s="13" t="str">
        <f t="array" ref="G234">iferror(xlookup(A234,'Download of SFDC Activation Rep'!B:B,'Download of SFDC Activation Rep'!L:L),"")</f>
        <v/>
      </c>
      <c r="H234" s="17" t="str">
        <f t="shared" si="1"/>
        <v>Not Active</v>
      </c>
      <c r="I234" s="17" t="str">
        <f t="array" ref="I234">XLOOKUP(A234,'Download of SFDC Activation Rep'!B:B,'Download of SFDC Activation Rep'!T:T)</f>
        <v>#N/A</v>
      </c>
      <c r="J234" s="17" t="str">
        <f t="array" ref="J234">iferror(XLOOKUP(A234,'Download of SFDC Activation Rep'!B:B,'Download of SFDC Activation Rep'!C:C),"")</f>
        <v/>
      </c>
      <c r="K234" s="17" t="str">
        <f t="array" ref="K234">XLOOKUP(A234,'Download of SFDC Activation Rep'!B:B,'Download of SFDC Activation Rep'!X:X)</f>
        <v>#N/A</v>
      </c>
      <c r="L234" s="32" t="str">
        <f t="array" ref="L234">xlookup(A234,'Download of SFDC Activation Rep'!B:B,'Download of SFDC Activation Rep'!Z:Z)</f>
        <v>#N/A</v>
      </c>
    </row>
    <row r="235">
      <c r="B235" s="14"/>
      <c r="C235" s="14"/>
      <c r="D235" s="14"/>
      <c r="E235" s="14"/>
      <c r="F235" s="13" t="str">
        <f t="array" ref="F235">iferror(XLOOKUP(A235,'Download of SFDC Activation Rep'!B:B,'Download of SFDC Activation Rep'!H:H),"")</f>
        <v/>
      </c>
      <c r="G235" s="13" t="str">
        <f t="array" ref="G235">iferror(xlookup(A235,'Download of SFDC Activation Rep'!B:B,'Download of SFDC Activation Rep'!L:L),"")</f>
        <v/>
      </c>
      <c r="H235" s="17" t="str">
        <f t="shared" si="1"/>
        <v>Not Active</v>
      </c>
      <c r="I235" s="17" t="str">
        <f t="array" ref="I235">XLOOKUP(A235,'Download of SFDC Activation Rep'!B:B,'Download of SFDC Activation Rep'!T:T)</f>
        <v>#N/A</v>
      </c>
      <c r="J235" s="17" t="str">
        <f t="array" ref="J235">iferror(XLOOKUP(A235,'Download of SFDC Activation Rep'!B:B,'Download of SFDC Activation Rep'!C:C),"")</f>
        <v/>
      </c>
      <c r="K235" s="17" t="str">
        <f t="array" ref="K235">XLOOKUP(A235,'Download of SFDC Activation Rep'!B:B,'Download of SFDC Activation Rep'!X:X)</f>
        <v>#N/A</v>
      </c>
      <c r="L235" s="32" t="str">
        <f t="array" ref="L235">xlookup(A235,'Download of SFDC Activation Rep'!B:B,'Download of SFDC Activation Rep'!Z:Z)</f>
        <v>#N/A</v>
      </c>
    </row>
    <row r="236">
      <c r="B236" s="14"/>
      <c r="C236" s="14"/>
      <c r="D236" s="14"/>
      <c r="E236" s="14"/>
      <c r="F236" s="13" t="str">
        <f t="array" ref="F236">iferror(XLOOKUP(A236,'Download of SFDC Activation Rep'!B:B,'Download of SFDC Activation Rep'!H:H),"")</f>
        <v/>
      </c>
      <c r="G236" s="13" t="str">
        <f t="array" ref="G236">iferror(xlookup(A236,'Download of SFDC Activation Rep'!B:B,'Download of SFDC Activation Rep'!L:L),"")</f>
        <v/>
      </c>
      <c r="H236" s="17" t="str">
        <f t="shared" si="1"/>
        <v>Not Active</v>
      </c>
      <c r="I236" s="17" t="str">
        <f t="array" ref="I236">XLOOKUP(A236,'Download of SFDC Activation Rep'!B:B,'Download of SFDC Activation Rep'!T:T)</f>
        <v>#N/A</v>
      </c>
      <c r="J236" s="17" t="str">
        <f t="array" ref="J236">iferror(XLOOKUP(A236,'Download of SFDC Activation Rep'!B:B,'Download of SFDC Activation Rep'!C:C),"")</f>
        <v/>
      </c>
      <c r="K236" s="17" t="str">
        <f t="array" ref="K236">XLOOKUP(A236,'Download of SFDC Activation Rep'!B:B,'Download of SFDC Activation Rep'!X:X)</f>
        <v>#N/A</v>
      </c>
      <c r="L236" s="32" t="str">
        <f t="array" ref="L236">xlookup(A236,'Download of SFDC Activation Rep'!B:B,'Download of SFDC Activation Rep'!Z:Z)</f>
        <v>#N/A</v>
      </c>
    </row>
    <row r="237">
      <c r="B237" s="14"/>
      <c r="C237" s="14"/>
      <c r="D237" s="14"/>
      <c r="E237" s="14"/>
      <c r="F237" s="13" t="str">
        <f t="array" ref="F237">iferror(XLOOKUP(A237,'Download of SFDC Activation Rep'!B:B,'Download of SFDC Activation Rep'!H:H),"")</f>
        <v/>
      </c>
      <c r="G237" s="13" t="str">
        <f t="array" ref="G237">iferror(xlookup(A237,'Download of SFDC Activation Rep'!B:B,'Download of SFDC Activation Rep'!L:L),"")</f>
        <v/>
      </c>
      <c r="H237" s="17" t="str">
        <f t="shared" si="1"/>
        <v>Not Active</v>
      </c>
      <c r="I237" s="17" t="str">
        <f t="array" ref="I237">XLOOKUP(A237,'Download of SFDC Activation Rep'!B:B,'Download of SFDC Activation Rep'!T:T)</f>
        <v>#N/A</v>
      </c>
      <c r="J237" s="17" t="str">
        <f t="array" ref="J237">iferror(XLOOKUP(A237,'Download of SFDC Activation Rep'!B:B,'Download of SFDC Activation Rep'!C:C),"")</f>
        <v/>
      </c>
      <c r="K237" s="17" t="str">
        <f t="array" ref="K237">XLOOKUP(A237,'Download of SFDC Activation Rep'!B:B,'Download of SFDC Activation Rep'!X:X)</f>
        <v>#N/A</v>
      </c>
      <c r="L237" s="32" t="str">
        <f t="array" ref="L237">xlookup(A237,'Download of SFDC Activation Rep'!B:B,'Download of SFDC Activation Rep'!Z:Z)</f>
        <v>#N/A</v>
      </c>
    </row>
    <row r="238">
      <c r="B238" s="14"/>
      <c r="C238" s="14"/>
      <c r="D238" s="14"/>
      <c r="E238" s="14"/>
      <c r="F238" s="13" t="str">
        <f t="array" ref="F238">iferror(XLOOKUP(A238,'Download of SFDC Activation Rep'!B:B,'Download of SFDC Activation Rep'!H:H),"")</f>
        <v/>
      </c>
      <c r="G238" s="13" t="str">
        <f t="array" ref="G238">iferror(xlookup(A238,'Download of SFDC Activation Rep'!B:B,'Download of SFDC Activation Rep'!L:L),"")</f>
        <v/>
      </c>
      <c r="H238" s="17" t="str">
        <f t="shared" si="1"/>
        <v>Not Active</v>
      </c>
      <c r="I238" s="17" t="str">
        <f t="array" ref="I238">XLOOKUP(A238,'Download of SFDC Activation Rep'!B:B,'Download of SFDC Activation Rep'!T:T)</f>
        <v>#N/A</v>
      </c>
      <c r="J238" s="17" t="str">
        <f t="array" ref="J238">iferror(XLOOKUP(A238,'Download of SFDC Activation Rep'!B:B,'Download of SFDC Activation Rep'!C:C),"")</f>
        <v/>
      </c>
      <c r="K238" s="17" t="str">
        <f t="array" ref="K238">XLOOKUP(A238,'Download of SFDC Activation Rep'!B:B,'Download of SFDC Activation Rep'!X:X)</f>
        <v>#N/A</v>
      </c>
      <c r="L238" s="32" t="str">
        <f t="array" ref="L238">xlookup(A238,'Download of SFDC Activation Rep'!B:B,'Download of SFDC Activation Rep'!Z:Z)</f>
        <v>#N/A</v>
      </c>
    </row>
    <row r="239">
      <c r="B239" s="14"/>
      <c r="C239" s="14"/>
      <c r="D239" s="14"/>
      <c r="E239" s="14"/>
      <c r="F239" s="13" t="str">
        <f t="array" ref="F239">iferror(XLOOKUP(A239,'Download of SFDC Activation Rep'!B:B,'Download of SFDC Activation Rep'!H:H),"")</f>
        <v/>
      </c>
      <c r="G239" s="13" t="str">
        <f t="array" ref="G239">iferror(xlookup(A239,'Download of SFDC Activation Rep'!B:B,'Download of SFDC Activation Rep'!L:L),"")</f>
        <v/>
      </c>
      <c r="H239" s="17" t="str">
        <f t="shared" si="1"/>
        <v>Not Active</v>
      </c>
      <c r="I239" s="17" t="str">
        <f t="array" ref="I239">XLOOKUP(A239,'Download of SFDC Activation Rep'!B:B,'Download of SFDC Activation Rep'!T:T)</f>
        <v>#N/A</v>
      </c>
      <c r="J239" s="17" t="str">
        <f t="array" ref="J239">iferror(XLOOKUP(A239,'Download of SFDC Activation Rep'!B:B,'Download of SFDC Activation Rep'!C:C),"")</f>
        <v/>
      </c>
      <c r="K239" s="17" t="str">
        <f t="array" ref="K239">XLOOKUP(A239,'Download of SFDC Activation Rep'!B:B,'Download of SFDC Activation Rep'!X:X)</f>
        <v>#N/A</v>
      </c>
      <c r="L239" s="32" t="str">
        <f t="array" ref="L239">xlookup(A239,'Download of SFDC Activation Rep'!B:B,'Download of SFDC Activation Rep'!Z:Z)</f>
        <v>#N/A</v>
      </c>
    </row>
    <row r="240">
      <c r="B240" s="14"/>
      <c r="C240" s="14"/>
      <c r="D240" s="14"/>
      <c r="E240" s="14"/>
      <c r="F240" s="13" t="str">
        <f t="array" ref="F240">iferror(XLOOKUP(A240,'Download of SFDC Activation Rep'!B:B,'Download of SFDC Activation Rep'!H:H),"")</f>
        <v/>
      </c>
      <c r="G240" s="13" t="str">
        <f t="array" ref="G240">iferror(xlookup(A240,'Download of SFDC Activation Rep'!B:B,'Download of SFDC Activation Rep'!L:L),"")</f>
        <v/>
      </c>
      <c r="H240" s="17" t="str">
        <f t="shared" si="1"/>
        <v>Not Active</v>
      </c>
      <c r="I240" s="17" t="str">
        <f t="array" ref="I240">XLOOKUP(A240,'Download of SFDC Activation Rep'!B:B,'Download of SFDC Activation Rep'!T:T)</f>
        <v>#N/A</v>
      </c>
      <c r="J240" s="17" t="str">
        <f t="array" ref="J240">iferror(XLOOKUP(A240,'Download of SFDC Activation Rep'!B:B,'Download of SFDC Activation Rep'!C:C),"")</f>
        <v/>
      </c>
      <c r="K240" s="17" t="str">
        <f t="array" ref="K240">XLOOKUP(A240,'Download of SFDC Activation Rep'!B:B,'Download of SFDC Activation Rep'!X:X)</f>
        <v>#N/A</v>
      </c>
      <c r="L240" s="32" t="str">
        <f t="array" ref="L240">xlookup(A240,'Download of SFDC Activation Rep'!B:B,'Download of SFDC Activation Rep'!Z:Z)</f>
        <v>#N/A</v>
      </c>
    </row>
    <row r="241">
      <c r="B241" s="14"/>
      <c r="C241" s="14"/>
      <c r="D241" s="14"/>
      <c r="E241" s="14"/>
      <c r="F241" s="13" t="str">
        <f t="array" ref="F241">iferror(XLOOKUP(A241,'Download of SFDC Activation Rep'!B:B,'Download of SFDC Activation Rep'!H:H),"")</f>
        <v/>
      </c>
      <c r="G241" s="13" t="str">
        <f t="array" ref="G241">iferror(xlookup(A241,'Download of SFDC Activation Rep'!B:B,'Download of SFDC Activation Rep'!L:L),"")</f>
        <v/>
      </c>
      <c r="H241" s="17" t="str">
        <f t="shared" si="1"/>
        <v>Not Active</v>
      </c>
      <c r="I241" s="17" t="str">
        <f t="array" ref="I241">XLOOKUP(A241,'Download of SFDC Activation Rep'!B:B,'Download of SFDC Activation Rep'!T:T)</f>
        <v>#N/A</v>
      </c>
      <c r="J241" s="17" t="str">
        <f t="array" ref="J241">iferror(XLOOKUP(A241,'Download of SFDC Activation Rep'!B:B,'Download of SFDC Activation Rep'!C:C),"")</f>
        <v/>
      </c>
      <c r="K241" s="17" t="str">
        <f t="array" ref="K241">XLOOKUP(A241,'Download of SFDC Activation Rep'!B:B,'Download of SFDC Activation Rep'!X:X)</f>
        <v>#N/A</v>
      </c>
      <c r="L241" s="32" t="str">
        <f t="array" ref="L241">xlookup(A241,'Download of SFDC Activation Rep'!B:B,'Download of SFDC Activation Rep'!Z:Z)</f>
        <v>#N/A</v>
      </c>
    </row>
    <row r="242">
      <c r="B242" s="14"/>
      <c r="C242" s="14"/>
      <c r="D242" s="14"/>
      <c r="E242" s="14"/>
      <c r="F242" s="13" t="str">
        <f t="array" ref="F242">iferror(XLOOKUP(A242,'Download of SFDC Activation Rep'!B:B,'Download of SFDC Activation Rep'!H:H),"")</f>
        <v/>
      </c>
      <c r="G242" s="13" t="str">
        <f t="array" ref="G242">iferror(xlookup(A242,'Download of SFDC Activation Rep'!B:B,'Download of SFDC Activation Rep'!L:L),"")</f>
        <v/>
      </c>
      <c r="H242" s="17" t="str">
        <f t="shared" si="1"/>
        <v>Not Active</v>
      </c>
      <c r="I242" s="17" t="str">
        <f t="array" ref="I242">XLOOKUP(A242,'Download of SFDC Activation Rep'!B:B,'Download of SFDC Activation Rep'!T:T)</f>
        <v>#N/A</v>
      </c>
      <c r="J242" s="17" t="str">
        <f t="array" ref="J242">iferror(XLOOKUP(A242,'Download of SFDC Activation Rep'!B:B,'Download of SFDC Activation Rep'!C:C),"")</f>
        <v/>
      </c>
      <c r="K242" s="17" t="str">
        <f t="array" ref="K242">XLOOKUP(A242,'Download of SFDC Activation Rep'!B:B,'Download of SFDC Activation Rep'!X:X)</f>
        <v>#N/A</v>
      </c>
      <c r="L242" s="32" t="str">
        <f t="array" ref="L242">xlookup(A242,'Download of SFDC Activation Rep'!B:B,'Download of SFDC Activation Rep'!Z:Z)</f>
        <v>#N/A</v>
      </c>
    </row>
    <row r="243">
      <c r="B243" s="14"/>
      <c r="C243" s="14"/>
      <c r="D243" s="14"/>
      <c r="E243" s="14"/>
      <c r="F243" s="13" t="str">
        <f t="array" ref="F243">iferror(XLOOKUP(A243,'Download of SFDC Activation Rep'!B:B,'Download of SFDC Activation Rep'!H:H),"")</f>
        <v/>
      </c>
      <c r="G243" s="13" t="str">
        <f t="array" ref="G243">iferror(xlookup(A243,'Download of SFDC Activation Rep'!B:B,'Download of SFDC Activation Rep'!L:L),"")</f>
        <v/>
      </c>
      <c r="H243" s="17" t="str">
        <f t="shared" si="1"/>
        <v>Not Active</v>
      </c>
      <c r="I243" s="17" t="str">
        <f t="array" ref="I243">XLOOKUP(A243,'Download of SFDC Activation Rep'!B:B,'Download of SFDC Activation Rep'!T:T)</f>
        <v>#N/A</v>
      </c>
      <c r="J243" s="17" t="str">
        <f t="array" ref="J243">iferror(XLOOKUP(A243,'Download of SFDC Activation Rep'!B:B,'Download of SFDC Activation Rep'!C:C),"")</f>
        <v/>
      </c>
      <c r="K243" s="17" t="str">
        <f t="array" ref="K243">XLOOKUP(A243,'Download of SFDC Activation Rep'!B:B,'Download of SFDC Activation Rep'!X:X)</f>
        <v>#N/A</v>
      </c>
      <c r="L243" s="32" t="str">
        <f t="array" ref="L243">xlookup(A243,'Download of SFDC Activation Rep'!B:B,'Download of SFDC Activation Rep'!Z:Z)</f>
        <v>#N/A</v>
      </c>
    </row>
    <row r="244">
      <c r="B244" s="14"/>
      <c r="C244" s="14"/>
      <c r="D244" s="14"/>
      <c r="E244" s="14"/>
      <c r="F244" s="13" t="str">
        <f t="array" ref="F244">iferror(XLOOKUP(A244,'Download of SFDC Activation Rep'!B:B,'Download of SFDC Activation Rep'!H:H),"")</f>
        <v/>
      </c>
      <c r="G244" s="13" t="str">
        <f t="array" ref="G244">iferror(xlookup(A244,'Download of SFDC Activation Rep'!B:B,'Download of SFDC Activation Rep'!L:L),"")</f>
        <v/>
      </c>
      <c r="H244" s="17" t="str">
        <f t="shared" si="1"/>
        <v>Not Active</v>
      </c>
      <c r="I244" s="17" t="str">
        <f t="array" ref="I244">XLOOKUP(A244,'Download of SFDC Activation Rep'!B:B,'Download of SFDC Activation Rep'!T:T)</f>
        <v>#N/A</v>
      </c>
      <c r="J244" s="17" t="str">
        <f t="array" ref="J244">iferror(XLOOKUP(A244,'Download of SFDC Activation Rep'!B:B,'Download of SFDC Activation Rep'!C:C),"")</f>
        <v/>
      </c>
      <c r="K244" s="17" t="str">
        <f t="array" ref="K244">XLOOKUP(A244,'Download of SFDC Activation Rep'!B:B,'Download of SFDC Activation Rep'!X:X)</f>
        <v>#N/A</v>
      </c>
      <c r="L244" s="32" t="str">
        <f t="array" ref="L244">xlookup(A244,'Download of SFDC Activation Rep'!B:B,'Download of SFDC Activation Rep'!Z:Z)</f>
        <v>#N/A</v>
      </c>
    </row>
    <row r="245">
      <c r="B245" s="14"/>
      <c r="C245" s="14"/>
      <c r="D245" s="14"/>
      <c r="E245" s="14"/>
      <c r="F245" s="13" t="str">
        <f t="array" ref="F245">iferror(XLOOKUP(A245,'Download of SFDC Activation Rep'!B:B,'Download of SFDC Activation Rep'!H:H),"")</f>
        <v/>
      </c>
      <c r="G245" s="13" t="str">
        <f t="array" ref="G245">iferror(xlookup(A245,'Download of SFDC Activation Rep'!B:B,'Download of SFDC Activation Rep'!L:L),"")</f>
        <v/>
      </c>
      <c r="H245" s="17" t="str">
        <f t="shared" si="1"/>
        <v>Not Active</v>
      </c>
      <c r="I245" s="17" t="str">
        <f t="array" ref="I245">XLOOKUP(A245,'Download of SFDC Activation Rep'!B:B,'Download of SFDC Activation Rep'!T:T)</f>
        <v>#N/A</v>
      </c>
      <c r="J245" s="17" t="str">
        <f t="array" ref="J245">iferror(XLOOKUP(A245,'Download of SFDC Activation Rep'!B:B,'Download of SFDC Activation Rep'!C:C),"")</f>
        <v/>
      </c>
      <c r="K245" s="17" t="str">
        <f t="array" ref="K245">XLOOKUP(A245,'Download of SFDC Activation Rep'!B:B,'Download of SFDC Activation Rep'!X:X)</f>
        <v>#N/A</v>
      </c>
      <c r="L245" s="32" t="str">
        <f t="array" ref="L245">xlookup(A245,'Download of SFDC Activation Rep'!B:B,'Download of SFDC Activation Rep'!Z:Z)</f>
        <v>#N/A</v>
      </c>
    </row>
    <row r="246">
      <c r="B246" s="14"/>
      <c r="C246" s="14"/>
      <c r="D246" s="14"/>
      <c r="E246" s="14"/>
      <c r="F246" s="13" t="str">
        <f t="array" ref="F246">iferror(XLOOKUP(A246,'Download of SFDC Activation Rep'!B:B,'Download of SFDC Activation Rep'!H:H),"")</f>
        <v/>
      </c>
      <c r="G246" s="13" t="str">
        <f t="array" ref="G246">iferror(xlookup(A246,'Download of SFDC Activation Rep'!B:B,'Download of SFDC Activation Rep'!L:L),"")</f>
        <v/>
      </c>
      <c r="H246" s="17" t="str">
        <f t="shared" si="1"/>
        <v>Not Active</v>
      </c>
      <c r="I246" s="17" t="str">
        <f t="array" ref="I246">XLOOKUP(A246,'Download of SFDC Activation Rep'!B:B,'Download of SFDC Activation Rep'!T:T)</f>
        <v>#N/A</v>
      </c>
      <c r="J246" s="17" t="str">
        <f t="array" ref="J246">iferror(XLOOKUP(A246,'Download of SFDC Activation Rep'!B:B,'Download of SFDC Activation Rep'!C:C),"")</f>
        <v/>
      </c>
      <c r="K246" s="17" t="str">
        <f t="array" ref="K246">XLOOKUP(A246,'Download of SFDC Activation Rep'!B:B,'Download of SFDC Activation Rep'!X:X)</f>
        <v>#N/A</v>
      </c>
      <c r="L246" s="32" t="str">
        <f t="array" ref="L246">xlookup(A246,'Download of SFDC Activation Rep'!B:B,'Download of SFDC Activation Rep'!Z:Z)</f>
        <v>#N/A</v>
      </c>
    </row>
    <row r="247">
      <c r="B247" s="14"/>
      <c r="C247" s="14"/>
      <c r="D247" s="14"/>
      <c r="E247" s="14"/>
      <c r="F247" s="13" t="str">
        <f t="array" ref="F247">iferror(XLOOKUP(A247,'Download of SFDC Activation Rep'!B:B,'Download of SFDC Activation Rep'!H:H),"")</f>
        <v/>
      </c>
      <c r="G247" s="13" t="str">
        <f t="array" ref="G247">iferror(xlookup(A247,'Download of SFDC Activation Rep'!B:B,'Download of SFDC Activation Rep'!L:L),"")</f>
        <v/>
      </c>
      <c r="H247" s="17" t="str">
        <f t="shared" si="1"/>
        <v>Not Active</v>
      </c>
      <c r="I247" s="17" t="str">
        <f t="array" ref="I247">XLOOKUP(A247,'Download of SFDC Activation Rep'!B:B,'Download of SFDC Activation Rep'!T:T)</f>
        <v>#N/A</v>
      </c>
      <c r="J247" s="17" t="str">
        <f t="array" ref="J247">iferror(XLOOKUP(A247,'Download of SFDC Activation Rep'!B:B,'Download of SFDC Activation Rep'!C:C),"")</f>
        <v/>
      </c>
      <c r="K247" s="17" t="str">
        <f t="array" ref="K247">XLOOKUP(A247,'Download of SFDC Activation Rep'!B:B,'Download of SFDC Activation Rep'!X:X)</f>
        <v>#N/A</v>
      </c>
      <c r="L247" s="32" t="str">
        <f t="array" ref="L247">xlookup(A247,'Download of SFDC Activation Rep'!B:B,'Download of SFDC Activation Rep'!Z:Z)</f>
        <v>#N/A</v>
      </c>
    </row>
    <row r="248">
      <c r="B248" s="14"/>
      <c r="C248" s="14"/>
      <c r="D248" s="14"/>
      <c r="E248" s="14"/>
      <c r="F248" s="13" t="str">
        <f t="array" ref="F248">iferror(XLOOKUP(A248,'Download of SFDC Activation Rep'!B:B,'Download of SFDC Activation Rep'!H:H),"")</f>
        <v/>
      </c>
      <c r="G248" s="13" t="str">
        <f t="array" ref="G248">iferror(xlookup(A248,'Download of SFDC Activation Rep'!B:B,'Download of SFDC Activation Rep'!L:L),"")</f>
        <v/>
      </c>
      <c r="H248" s="17" t="str">
        <f t="shared" si="1"/>
        <v>Not Active</v>
      </c>
      <c r="I248" s="17" t="str">
        <f t="array" ref="I248">XLOOKUP(A248,'Download of SFDC Activation Rep'!B:B,'Download of SFDC Activation Rep'!T:T)</f>
        <v>#N/A</v>
      </c>
      <c r="J248" s="17" t="str">
        <f t="array" ref="J248">iferror(XLOOKUP(A248,'Download of SFDC Activation Rep'!B:B,'Download of SFDC Activation Rep'!C:C),"")</f>
        <v/>
      </c>
      <c r="K248" s="17" t="str">
        <f t="array" ref="K248">XLOOKUP(A248,'Download of SFDC Activation Rep'!B:B,'Download of SFDC Activation Rep'!X:X)</f>
        <v>#N/A</v>
      </c>
      <c r="L248" s="32" t="str">
        <f t="array" ref="L248">xlookup(A248,'Download of SFDC Activation Rep'!B:B,'Download of SFDC Activation Rep'!Z:Z)</f>
        <v>#N/A</v>
      </c>
    </row>
    <row r="249">
      <c r="B249" s="14"/>
      <c r="C249" s="14"/>
      <c r="D249" s="14"/>
      <c r="E249" s="14"/>
      <c r="F249" s="13" t="str">
        <f t="array" ref="F249">iferror(XLOOKUP(A249,'Download of SFDC Activation Rep'!B:B,'Download of SFDC Activation Rep'!H:H),"")</f>
        <v/>
      </c>
      <c r="G249" s="13" t="str">
        <f t="array" ref="G249">iferror(xlookup(A249,'Download of SFDC Activation Rep'!B:B,'Download of SFDC Activation Rep'!L:L),"")</f>
        <v/>
      </c>
      <c r="H249" s="17" t="str">
        <f t="shared" si="1"/>
        <v>Not Active</v>
      </c>
      <c r="I249" s="17" t="str">
        <f t="array" ref="I249">XLOOKUP(A249,'Download of SFDC Activation Rep'!B:B,'Download of SFDC Activation Rep'!T:T)</f>
        <v>#N/A</v>
      </c>
      <c r="J249" s="17" t="str">
        <f t="array" ref="J249">iferror(XLOOKUP(A249,'Download of SFDC Activation Rep'!B:B,'Download of SFDC Activation Rep'!C:C),"")</f>
        <v/>
      </c>
      <c r="K249" s="17" t="str">
        <f t="array" ref="K249">XLOOKUP(A249,'Download of SFDC Activation Rep'!B:B,'Download of SFDC Activation Rep'!X:X)</f>
        <v>#N/A</v>
      </c>
      <c r="L249" s="32" t="str">
        <f t="array" ref="L249">xlookup(A249,'Download of SFDC Activation Rep'!B:B,'Download of SFDC Activation Rep'!Z:Z)</f>
        <v>#N/A</v>
      </c>
    </row>
    <row r="250">
      <c r="B250" s="14"/>
      <c r="C250" s="14"/>
      <c r="D250" s="14"/>
      <c r="E250" s="14"/>
      <c r="F250" s="13" t="str">
        <f t="array" ref="F250">iferror(XLOOKUP(A250,'Download of SFDC Activation Rep'!B:B,'Download of SFDC Activation Rep'!H:H),"")</f>
        <v/>
      </c>
      <c r="G250" s="13" t="str">
        <f t="array" ref="G250">iferror(xlookup(A250,'Download of SFDC Activation Rep'!B:B,'Download of SFDC Activation Rep'!L:L),"")</f>
        <v/>
      </c>
      <c r="H250" s="17" t="str">
        <f t="shared" si="1"/>
        <v>Not Active</v>
      </c>
      <c r="I250" s="17" t="str">
        <f t="array" ref="I250">XLOOKUP(A250,'Download of SFDC Activation Rep'!B:B,'Download of SFDC Activation Rep'!T:T)</f>
        <v>#N/A</v>
      </c>
      <c r="J250" s="17" t="str">
        <f t="array" ref="J250">iferror(XLOOKUP(A250,'Download of SFDC Activation Rep'!B:B,'Download of SFDC Activation Rep'!C:C),"")</f>
        <v/>
      </c>
      <c r="K250" s="17" t="str">
        <f t="array" ref="K250">XLOOKUP(A250,'Download of SFDC Activation Rep'!B:B,'Download of SFDC Activation Rep'!X:X)</f>
        <v>#N/A</v>
      </c>
      <c r="L250" s="32" t="str">
        <f t="array" ref="L250">xlookup(A250,'Download of SFDC Activation Rep'!B:B,'Download of SFDC Activation Rep'!Z:Z)</f>
        <v>#N/A</v>
      </c>
    </row>
    <row r="251">
      <c r="B251" s="14"/>
      <c r="C251" s="14"/>
      <c r="D251" s="14"/>
      <c r="E251" s="14"/>
      <c r="F251" s="13" t="str">
        <f t="array" ref="F251">iferror(XLOOKUP(A251,'Download of SFDC Activation Rep'!B:B,'Download of SFDC Activation Rep'!H:H),"")</f>
        <v/>
      </c>
      <c r="G251" s="13" t="str">
        <f t="array" ref="G251">iferror(xlookup(A251,'Download of SFDC Activation Rep'!B:B,'Download of SFDC Activation Rep'!L:L),"")</f>
        <v/>
      </c>
      <c r="H251" s="17" t="str">
        <f t="shared" si="1"/>
        <v>Not Active</v>
      </c>
      <c r="I251" s="17" t="str">
        <f t="array" ref="I251">XLOOKUP(A251,'Download of SFDC Activation Rep'!B:B,'Download of SFDC Activation Rep'!T:T)</f>
        <v>#N/A</v>
      </c>
      <c r="J251" s="17" t="str">
        <f t="array" ref="J251">iferror(XLOOKUP(A251,'Download of SFDC Activation Rep'!B:B,'Download of SFDC Activation Rep'!C:C),"")</f>
        <v/>
      </c>
      <c r="K251" s="17" t="str">
        <f t="array" ref="K251">XLOOKUP(A251,'Download of SFDC Activation Rep'!B:B,'Download of SFDC Activation Rep'!X:X)</f>
        <v>#N/A</v>
      </c>
      <c r="L251" s="32" t="str">
        <f t="array" ref="L251">xlookup(A251,'Download of SFDC Activation Rep'!B:B,'Download of SFDC Activation Rep'!Z:Z)</f>
        <v>#N/A</v>
      </c>
    </row>
    <row r="252">
      <c r="B252" s="14"/>
      <c r="C252" s="14"/>
      <c r="D252" s="14"/>
      <c r="E252" s="14"/>
      <c r="F252" s="13" t="str">
        <f t="array" ref="F252">iferror(XLOOKUP(A252,'Download of SFDC Activation Rep'!B:B,'Download of SFDC Activation Rep'!H:H),"")</f>
        <v/>
      </c>
      <c r="G252" s="13" t="str">
        <f t="array" ref="G252">iferror(xlookup(A252,'Download of SFDC Activation Rep'!B:B,'Download of SFDC Activation Rep'!L:L),"")</f>
        <v/>
      </c>
      <c r="H252" s="17" t="str">
        <f t="shared" si="1"/>
        <v>Not Active</v>
      </c>
      <c r="I252" s="17" t="str">
        <f t="array" ref="I252">XLOOKUP(A252,'Download of SFDC Activation Rep'!B:B,'Download of SFDC Activation Rep'!T:T)</f>
        <v>#N/A</v>
      </c>
      <c r="J252" s="17" t="str">
        <f t="array" ref="J252">iferror(XLOOKUP(A252,'Download of SFDC Activation Rep'!B:B,'Download of SFDC Activation Rep'!C:C),"")</f>
        <v/>
      </c>
      <c r="K252" s="17" t="str">
        <f t="array" ref="K252">XLOOKUP(A252,'Download of SFDC Activation Rep'!B:B,'Download of SFDC Activation Rep'!X:X)</f>
        <v>#N/A</v>
      </c>
      <c r="L252" s="32" t="str">
        <f t="array" ref="L252">xlookup(A252,'Download of SFDC Activation Rep'!B:B,'Download of SFDC Activation Rep'!Z:Z)</f>
        <v>#N/A</v>
      </c>
    </row>
    <row r="253">
      <c r="B253" s="14"/>
      <c r="C253" s="14"/>
      <c r="D253" s="14"/>
      <c r="E253" s="14"/>
      <c r="F253" s="13" t="str">
        <f t="array" ref="F253">iferror(XLOOKUP(A253,'Download of SFDC Activation Rep'!B:B,'Download of SFDC Activation Rep'!H:H),"")</f>
        <v/>
      </c>
      <c r="G253" s="13" t="str">
        <f t="array" ref="G253">iferror(xlookup(A253,'Download of SFDC Activation Rep'!B:B,'Download of SFDC Activation Rep'!L:L),"")</f>
        <v/>
      </c>
      <c r="H253" s="17" t="str">
        <f t="shared" si="1"/>
        <v>Not Active</v>
      </c>
      <c r="I253" s="17" t="str">
        <f t="array" ref="I253">XLOOKUP(A253,'Download of SFDC Activation Rep'!B:B,'Download of SFDC Activation Rep'!T:T)</f>
        <v>#N/A</v>
      </c>
      <c r="J253" s="17" t="str">
        <f t="array" ref="J253">iferror(XLOOKUP(A253,'Download of SFDC Activation Rep'!B:B,'Download of SFDC Activation Rep'!C:C),"")</f>
        <v/>
      </c>
      <c r="K253" s="17" t="str">
        <f t="array" ref="K253">XLOOKUP(A253,'Download of SFDC Activation Rep'!B:B,'Download of SFDC Activation Rep'!X:X)</f>
        <v>#N/A</v>
      </c>
      <c r="L253" s="32" t="str">
        <f t="array" ref="L253">xlookup(A253,'Download of SFDC Activation Rep'!B:B,'Download of SFDC Activation Rep'!Z:Z)</f>
        <v>#N/A</v>
      </c>
    </row>
    <row r="254">
      <c r="B254" s="14"/>
      <c r="C254" s="14"/>
      <c r="D254" s="14"/>
      <c r="E254" s="14"/>
      <c r="F254" s="13" t="str">
        <f t="array" ref="F254">iferror(XLOOKUP(A254,'Download of SFDC Activation Rep'!B:B,'Download of SFDC Activation Rep'!H:H),"")</f>
        <v/>
      </c>
      <c r="G254" s="13" t="str">
        <f t="array" ref="G254">iferror(xlookup(A254,'Download of SFDC Activation Rep'!B:B,'Download of SFDC Activation Rep'!L:L),"")</f>
        <v/>
      </c>
      <c r="H254" s="17" t="str">
        <f t="shared" si="1"/>
        <v>Not Active</v>
      </c>
      <c r="I254" s="17" t="str">
        <f t="array" ref="I254">XLOOKUP(A254,'Download of SFDC Activation Rep'!B:B,'Download of SFDC Activation Rep'!T:T)</f>
        <v>#N/A</v>
      </c>
      <c r="J254" s="17" t="str">
        <f t="array" ref="J254">iferror(XLOOKUP(A254,'Download of SFDC Activation Rep'!B:B,'Download of SFDC Activation Rep'!C:C),"")</f>
        <v/>
      </c>
      <c r="K254" s="17" t="str">
        <f t="array" ref="K254">XLOOKUP(A254,'Download of SFDC Activation Rep'!B:B,'Download of SFDC Activation Rep'!X:X)</f>
        <v>#N/A</v>
      </c>
      <c r="L254" s="32" t="str">
        <f t="array" ref="L254">xlookup(A254,'Download of SFDC Activation Rep'!B:B,'Download of SFDC Activation Rep'!Z:Z)</f>
        <v>#N/A</v>
      </c>
    </row>
    <row r="255">
      <c r="B255" s="14"/>
      <c r="C255" s="14"/>
      <c r="D255" s="14"/>
      <c r="E255" s="14"/>
      <c r="F255" s="13" t="str">
        <f t="array" ref="F255">iferror(XLOOKUP(A255,'Download of SFDC Activation Rep'!B:B,'Download of SFDC Activation Rep'!H:H),"")</f>
        <v/>
      </c>
      <c r="G255" s="13" t="str">
        <f t="array" ref="G255">iferror(xlookup(A255,'Download of SFDC Activation Rep'!B:B,'Download of SFDC Activation Rep'!L:L),"")</f>
        <v/>
      </c>
      <c r="H255" s="17" t="str">
        <f t="shared" si="1"/>
        <v>Not Active</v>
      </c>
      <c r="I255" s="17" t="str">
        <f t="array" ref="I255">XLOOKUP(A255,'Download of SFDC Activation Rep'!B:B,'Download of SFDC Activation Rep'!T:T)</f>
        <v>#N/A</v>
      </c>
      <c r="J255" s="17" t="str">
        <f t="array" ref="J255">iferror(XLOOKUP(A255,'Download of SFDC Activation Rep'!B:B,'Download of SFDC Activation Rep'!C:C),"")</f>
        <v/>
      </c>
      <c r="K255" s="17" t="str">
        <f t="array" ref="K255">XLOOKUP(A255,'Download of SFDC Activation Rep'!B:B,'Download of SFDC Activation Rep'!X:X)</f>
        <v>#N/A</v>
      </c>
      <c r="L255" s="32" t="str">
        <f t="array" ref="L255">xlookup(A255,'Download of SFDC Activation Rep'!B:B,'Download of SFDC Activation Rep'!Z:Z)</f>
        <v>#N/A</v>
      </c>
    </row>
    <row r="256">
      <c r="B256" s="14"/>
      <c r="C256" s="14"/>
      <c r="D256" s="14"/>
      <c r="E256" s="14"/>
      <c r="F256" s="13" t="str">
        <f t="array" ref="F256">iferror(XLOOKUP(A256,'Download of SFDC Activation Rep'!B:B,'Download of SFDC Activation Rep'!H:H),"")</f>
        <v/>
      </c>
      <c r="G256" s="13" t="str">
        <f t="array" ref="G256">iferror(xlookup(A256,'Download of SFDC Activation Rep'!B:B,'Download of SFDC Activation Rep'!L:L),"")</f>
        <v/>
      </c>
      <c r="H256" s="17" t="str">
        <f t="shared" si="1"/>
        <v>Not Active</v>
      </c>
      <c r="I256" s="17" t="str">
        <f t="array" ref="I256">XLOOKUP(A256,'Download of SFDC Activation Rep'!B:B,'Download of SFDC Activation Rep'!T:T)</f>
        <v>#N/A</v>
      </c>
      <c r="J256" s="17" t="str">
        <f t="array" ref="J256">iferror(XLOOKUP(A256,'Download of SFDC Activation Rep'!B:B,'Download of SFDC Activation Rep'!C:C),"")</f>
        <v/>
      </c>
      <c r="K256" s="17" t="str">
        <f t="array" ref="K256">XLOOKUP(A256,'Download of SFDC Activation Rep'!B:B,'Download of SFDC Activation Rep'!X:X)</f>
        <v>#N/A</v>
      </c>
      <c r="L256" s="32" t="str">
        <f t="array" ref="L256">xlookup(A256,'Download of SFDC Activation Rep'!B:B,'Download of SFDC Activation Rep'!Z:Z)</f>
        <v>#N/A</v>
      </c>
    </row>
    <row r="257">
      <c r="B257" s="14"/>
      <c r="C257" s="14"/>
      <c r="D257" s="14"/>
      <c r="E257" s="14"/>
      <c r="F257" s="13" t="str">
        <f t="array" ref="F257">iferror(XLOOKUP(A257,'Download of SFDC Activation Rep'!B:B,'Download of SFDC Activation Rep'!H:H),"")</f>
        <v/>
      </c>
      <c r="G257" s="13" t="str">
        <f t="array" ref="G257">iferror(xlookup(A257,'Download of SFDC Activation Rep'!B:B,'Download of SFDC Activation Rep'!L:L),"")</f>
        <v/>
      </c>
      <c r="H257" s="17" t="str">
        <f t="shared" si="1"/>
        <v>Not Active</v>
      </c>
      <c r="I257" s="17" t="str">
        <f t="array" ref="I257">XLOOKUP(A257,'Download of SFDC Activation Rep'!B:B,'Download of SFDC Activation Rep'!T:T)</f>
        <v>#N/A</v>
      </c>
      <c r="J257" s="17" t="str">
        <f t="array" ref="J257">iferror(XLOOKUP(A257,'Download of SFDC Activation Rep'!B:B,'Download of SFDC Activation Rep'!C:C),"")</f>
        <v/>
      </c>
      <c r="K257" s="17" t="str">
        <f t="array" ref="K257">XLOOKUP(A257,'Download of SFDC Activation Rep'!B:B,'Download of SFDC Activation Rep'!X:X)</f>
        <v>#N/A</v>
      </c>
      <c r="L257" s="32" t="str">
        <f t="array" ref="L257">xlookup(A257,'Download of SFDC Activation Rep'!B:B,'Download of SFDC Activation Rep'!Z:Z)</f>
        <v>#N/A</v>
      </c>
    </row>
    <row r="258">
      <c r="B258" s="14"/>
      <c r="C258" s="14"/>
      <c r="D258" s="14"/>
      <c r="E258" s="14"/>
      <c r="F258" s="13" t="str">
        <f t="array" ref="F258">iferror(XLOOKUP(A258,'Download of SFDC Activation Rep'!B:B,'Download of SFDC Activation Rep'!H:H),"")</f>
        <v/>
      </c>
      <c r="G258" s="13" t="str">
        <f t="array" ref="G258">iferror(xlookup(A258,'Download of SFDC Activation Rep'!B:B,'Download of SFDC Activation Rep'!L:L),"")</f>
        <v/>
      </c>
      <c r="H258" s="17" t="str">
        <f t="shared" si="1"/>
        <v>Not Active</v>
      </c>
      <c r="I258" s="17" t="str">
        <f t="array" ref="I258">XLOOKUP(A258,'Download of SFDC Activation Rep'!B:B,'Download of SFDC Activation Rep'!T:T)</f>
        <v>#N/A</v>
      </c>
      <c r="J258" s="17" t="str">
        <f t="array" ref="J258">iferror(XLOOKUP(A258,'Download of SFDC Activation Rep'!B:B,'Download of SFDC Activation Rep'!C:C),"")</f>
        <v/>
      </c>
      <c r="K258" s="17" t="str">
        <f t="array" ref="K258">XLOOKUP(A258,'Download of SFDC Activation Rep'!B:B,'Download of SFDC Activation Rep'!X:X)</f>
        <v>#N/A</v>
      </c>
      <c r="L258" s="32" t="str">
        <f t="array" ref="L258">xlookup(A258,'Download of SFDC Activation Rep'!B:B,'Download of SFDC Activation Rep'!Z:Z)</f>
        <v>#N/A</v>
      </c>
    </row>
    <row r="259">
      <c r="B259" s="14"/>
      <c r="C259" s="14"/>
      <c r="D259" s="14"/>
      <c r="E259" s="14"/>
      <c r="F259" s="13" t="str">
        <f t="array" ref="F259">iferror(XLOOKUP(A259,'Download of SFDC Activation Rep'!B:B,'Download of SFDC Activation Rep'!H:H),"")</f>
        <v/>
      </c>
      <c r="G259" s="13" t="str">
        <f t="array" ref="G259">iferror(xlookup(A259,'Download of SFDC Activation Rep'!B:B,'Download of SFDC Activation Rep'!L:L),"")</f>
        <v/>
      </c>
      <c r="H259" s="17" t="str">
        <f t="shared" si="1"/>
        <v>Not Active</v>
      </c>
      <c r="I259" s="17" t="str">
        <f t="array" ref="I259">XLOOKUP(A259,'Download of SFDC Activation Rep'!B:B,'Download of SFDC Activation Rep'!T:T)</f>
        <v>#N/A</v>
      </c>
      <c r="J259" s="17" t="str">
        <f t="array" ref="J259">iferror(XLOOKUP(A259,'Download of SFDC Activation Rep'!B:B,'Download of SFDC Activation Rep'!C:C),"")</f>
        <v/>
      </c>
      <c r="K259" s="17" t="str">
        <f t="array" ref="K259">XLOOKUP(A259,'Download of SFDC Activation Rep'!B:B,'Download of SFDC Activation Rep'!X:X)</f>
        <v>#N/A</v>
      </c>
      <c r="L259" s="32" t="str">
        <f t="array" ref="L259">xlookup(A259,'Download of SFDC Activation Rep'!B:B,'Download of SFDC Activation Rep'!Z:Z)</f>
        <v>#N/A</v>
      </c>
    </row>
    <row r="260">
      <c r="B260" s="14"/>
      <c r="C260" s="14"/>
      <c r="D260" s="14"/>
      <c r="E260" s="14"/>
      <c r="F260" s="13" t="str">
        <f t="array" ref="F260">iferror(XLOOKUP(A260,'Download of SFDC Activation Rep'!B:B,'Download of SFDC Activation Rep'!H:H),"")</f>
        <v/>
      </c>
      <c r="G260" s="13" t="str">
        <f t="array" ref="G260">iferror(xlookup(A260,'Download of SFDC Activation Rep'!B:B,'Download of SFDC Activation Rep'!L:L),"")</f>
        <v/>
      </c>
      <c r="H260" s="17" t="str">
        <f t="shared" si="1"/>
        <v>Not Active</v>
      </c>
      <c r="I260" s="17" t="str">
        <f t="array" ref="I260">XLOOKUP(A260,'Download of SFDC Activation Rep'!B:B,'Download of SFDC Activation Rep'!T:T)</f>
        <v>#N/A</v>
      </c>
      <c r="J260" s="17" t="str">
        <f t="array" ref="J260">iferror(XLOOKUP(A260,'Download of SFDC Activation Rep'!B:B,'Download of SFDC Activation Rep'!C:C),"")</f>
        <v/>
      </c>
      <c r="K260" s="17" t="str">
        <f t="array" ref="K260">XLOOKUP(A260,'Download of SFDC Activation Rep'!B:B,'Download of SFDC Activation Rep'!X:X)</f>
        <v>#N/A</v>
      </c>
      <c r="L260" s="32" t="str">
        <f t="array" ref="L260">xlookup(A260,'Download of SFDC Activation Rep'!B:B,'Download of SFDC Activation Rep'!Z:Z)</f>
        <v>#N/A</v>
      </c>
    </row>
    <row r="261">
      <c r="B261" s="14"/>
      <c r="C261" s="14"/>
      <c r="D261" s="14"/>
      <c r="E261" s="14"/>
      <c r="F261" s="13" t="str">
        <f t="array" ref="F261">iferror(XLOOKUP(A261,'Download of SFDC Activation Rep'!B:B,'Download of SFDC Activation Rep'!H:H),"")</f>
        <v/>
      </c>
      <c r="G261" s="13" t="str">
        <f t="array" ref="G261">iferror(xlookup(A261,'Download of SFDC Activation Rep'!B:B,'Download of SFDC Activation Rep'!L:L),"")</f>
        <v/>
      </c>
      <c r="H261" s="17" t="str">
        <f t="shared" si="1"/>
        <v>Not Active</v>
      </c>
      <c r="I261" s="17" t="str">
        <f t="array" ref="I261">XLOOKUP(A261,'Download of SFDC Activation Rep'!B:B,'Download of SFDC Activation Rep'!T:T)</f>
        <v>#N/A</v>
      </c>
      <c r="J261" s="17" t="str">
        <f t="array" ref="J261">iferror(XLOOKUP(A261,'Download of SFDC Activation Rep'!B:B,'Download of SFDC Activation Rep'!C:C),"")</f>
        <v/>
      </c>
      <c r="K261" s="17" t="str">
        <f t="array" ref="K261">XLOOKUP(A261,'Download of SFDC Activation Rep'!B:B,'Download of SFDC Activation Rep'!X:X)</f>
        <v>#N/A</v>
      </c>
      <c r="L261" s="32" t="str">
        <f t="array" ref="L261">xlookup(A261,'Download of SFDC Activation Rep'!B:B,'Download of SFDC Activation Rep'!Z:Z)</f>
        <v>#N/A</v>
      </c>
    </row>
    <row r="262">
      <c r="B262" s="14"/>
      <c r="C262" s="14"/>
      <c r="D262" s="14"/>
      <c r="E262" s="14"/>
      <c r="F262" s="13" t="str">
        <f t="array" ref="F262">iferror(XLOOKUP(A262,'Download of SFDC Activation Rep'!B:B,'Download of SFDC Activation Rep'!H:H),"")</f>
        <v/>
      </c>
      <c r="G262" s="13" t="str">
        <f t="array" ref="G262">iferror(xlookup(A262,'Download of SFDC Activation Rep'!B:B,'Download of SFDC Activation Rep'!L:L),"")</f>
        <v/>
      </c>
      <c r="H262" s="17" t="str">
        <f t="shared" si="1"/>
        <v>Not Active</v>
      </c>
      <c r="I262" s="17" t="str">
        <f t="array" ref="I262">XLOOKUP(A262,'Download of SFDC Activation Rep'!B:B,'Download of SFDC Activation Rep'!T:T)</f>
        <v>#N/A</v>
      </c>
      <c r="J262" s="17" t="str">
        <f t="array" ref="J262">iferror(XLOOKUP(A262,'Download of SFDC Activation Rep'!B:B,'Download of SFDC Activation Rep'!C:C),"")</f>
        <v/>
      </c>
      <c r="K262" s="17" t="str">
        <f t="array" ref="K262">XLOOKUP(A262,'Download of SFDC Activation Rep'!B:B,'Download of SFDC Activation Rep'!X:X)</f>
        <v>#N/A</v>
      </c>
      <c r="L262" s="32" t="str">
        <f t="array" ref="L262">xlookup(A262,'Download of SFDC Activation Rep'!B:B,'Download of SFDC Activation Rep'!Z:Z)</f>
        <v>#N/A</v>
      </c>
    </row>
    <row r="263">
      <c r="B263" s="14"/>
      <c r="C263" s="14"/>
      <c r="D263" s="14"/>
      <c r="E263" s="14"/>
      <c r="F263" s="13" t="str">
        <f t="array" ref="F263">iferror(XLOOKUP(A263,'Download of SFDC Activation Rep'!B:B,'Download of SFDC Activation Rep'!H:H),"")</f>
        <v/>
      </c>
      <c r="G263" s="13" t="str">
        <f t="array" ref="G263">iferror(xlookup(A263,'Download of SFDC Activation Rep'!B:B,'Download of SFDC Activation Rep'!L:L),"")</f>
        <v/>
      </c>
      <c r="H263" s="17" t="str">
        <f t="shared" si="1"/>
        <v>Not Active</v>
      </c>
      <c r="I263" s="17" t="str">
        <f t="array" ref="I263">XLOOKUP(A263,'Download of SFDC Activation Rep'!B:B,'Download of SFDC Activation Rep'!T:T)</f>
        <v>#N/A</v>
      </c>
      <c r="J263" s="17" t="str">
        <f t="array" ref="J263">iferror(XLOOKUP(A263,'Download of SFDC Activation Rep'!B:B,'Download of SFDC Activation Rep'!C:C),"")</f>
        <v/>
      </c>
      <c r="K263" s="17" t="str">
        <f t="array" ref="K263">XLOOKUP(A263,'Download of SFDC Activation Rep'!B:B,'Download of SFDC Activation Rep'!X:X)</f>
        <v>#N/A</v>
      </c>
      <c r="L263" s="32" t="str">
        <f t="array" ref="L263">xlookup(A263,'Download of SFDC Activation Rep'!B:B,'Download of SFDC Activation Rep'!Z:Z)</f>
        <v>#N/A</v>
      </c>
    </row>
    <row r="264">
      <c r="B264" s="14"/>
      <c r="C264" s="14"/>
      <c r="D264" s="14"/>
      <c r="E264" s="14"/>
      <c r="F264" s="13" t="str">
        <f t="array" ref="F264">iferror(XLOOKUP(A264,'Download of SFDC Activation Rep'!B:B,'Download of SFDC Activation Rep'!H:H),"")</f>
        <v/>
      </c>
      <c r="G264" s="13" t="str">
        <f t="array" ref="G264">iferror(xlookup(A264,'Download of SFDC Activation Rep'!B:B,'Download of SFDC Activation Rep'!L:L),"")</f>
        <v/>
      </c>
      <c r="H264" s="17" t="str">
        <f t="shared" si="1"/>
        <v>Not Active</v>
      </c>
      <c r="I264" s="17" t="str">
        <f t="array" ref="I264">XLOOKUP(A264,'Download of SFDC Activation Rep'!B:B,'Download of SFDC Activation Rep'!T:T)</f>
        <v>#N/A</v>
      </c>
      <c r="J264" s="17" t="str">
        <f t="array" ref="J264">iferror(XLOOKUP(A264,'Download of SFDC Activation Rep'!B:B,'Download of SFDC Activation Rep'!C:C),"")</f>
        <v/>
      </c>
      <c r="K264" s="17" t="str">
        <f t="array" ref="K264">XLOOKUP(A264,'Download of SFDC Activation Rep'!B:B,'Download of SFDC Activation Rep'!X:X)</f>
        <v>#N/A</v>
      </c>
      <c r="L264" s="32" t="str">
        <f t="array" ref="L264">xlookup(A264,'Download of SFDC Activation Rep'!B:B,'Download of SFDC Activation Rep'!Z:Z)</f>
        <v>#N/A</v>
      </c>
    </row>
    <row r="265">
      <c r="B265" s="14"/>
      <c r="C265" s="14"/>
      <c r="D265" s="14"/>
      <c r="E265" s="14"/>
      <c r="F265" s="13" t="str">
        <f t="array" ref="F265">iferror(XLOOKUP(A265,'Download of SFDC Activation Rep'!B:B,'Download of SFDC Activation Rep'!H:H),"")</f>
        <v/>
      </c>
      <c r="G265" s="13" t="str">
        <f t="array" ref="G265">iferror(xlookup(A265,'Download of SFDC Activation Rep'!B:B,'Download of SFDC Activation Rep'!L:L),"")</f>
        <v/>
      </c>
      <c r="H265" s="17" t="str">
        <f t="shared" si="1"/>
        <v>Not Active</v>
      </c>
      <c r="I265" s="17" t="str">
        <f t="array" ref="I265">XLOOKUP(A265,'Download of SFDC Activation Rep'!B:B,'Download of SFDC Activation Rep'!T:T)</f>
        <v>#N/A</v>
      </c>
      <c r="J265" s="17" t="str">
        <f t="array" ref="J265">iferror(XLOOKUP(A265,'Download of SFDC Activation Rep'!B:B,'Download of SFDC Activation Rep'!C:C),"")</f>
        <v/>
      </c>
      <c r="K265" s="17" t="str">
        <f t="array" ref="K265">XLOOKUP(A265,'Download of SFDC Activation Rep'!B:B,'Download of SFDC Activation Rep'!X:X)</f>
        <v>#N/A</v>
      </c>
      <c r="L265" s="32" t="str">
        <f t="array" ref="L265">xlookup(A265,'Download of SFDC Activation Rep'!B:B,'Download of SFDC Activation Rep'!Z:Z)</f>
        <v>#N/A</v>
      </c>
    </row>
    <row r="266">
      <c r="B266" s="14"/>
      <c r="C266" s="14"/>
      <c r="D266" s="14"/>
      <c r="E266" s="14"/>
      <c r="F266" s="13" t="str">
        <f t="array" ref="F266">iferror(XLOOKUP(A266,'Download of SFDC Activation Rep'!B:B,'Download of SFDC Activation Rep'!H:H),"")</f>
        <v/>
      </c>
      <c r="G266" s="13" t="str">
        <f t="array" ref="G266">iferror(xlookup(A266,'Download of SFDC Activation Rep'!B:B,'Download of SFDC Activation Rep'!L:L),"")</f>
        <v/>
      </c>
      <c r="H266" s="17" t="str">
        <f t="shared" si="1"/>
        <v>Not Active</v>
      </c>
      <c r="I266" s="17" t="str">
        <f t="array" ref="I266">XLOOKUP(A266,'Download of SFDC Activation Rep'!B:B,'Download of SFDC Activation Rep'!T:T)</f>
        <v>#N/A</v>
      </c>
      <c r="J266" s="17" t="str">
        <f t="array" ref="J266">iferror(XLOOKUP(A266,'Download of SFDC Activation Rep'!B:B,'Download of SFDC Activation Rep'!C:C),"")</f>
        <v/>
      </c>
      <c r="K266" s="17" t="str">
        <f t="array" ref="K266">XLOOKUP(A266,'Download of SFDC Activation Rep'!B:B,'Download of SFDC Activation Rep'!X:X)</f>
        <v>#N/A</v>
      </c>
      <c r="L266" s="32" t="str">
        <f t="array" ref="L266">xlookup(A266,'Download of SFDC Activation Rep'!B:B,'Download of SFDC Activation Rep'!Z:Z)</f>
        <v>#N/A</v>
      </c>
    </row>
    <row r="267">
      <c r="B267" s="14"/>
      <c r="C267" s="14"/>
      <c r="D267" s="14"/>
      <c r="E267" s="14"/>
      <c r="F267" s="13" t="str">
        <f t="array" ref="F267">iferror(XLOOKUP(A267,'Download of SFDC Activation Rep'!B:B,'Download of SFDC Activation Rep'!H:H),"")</f>
        <v/>
      </c>
      <c r="G267" s="13" t="str">
        <f t="array" ref="G267">iferror(xlookup(A267,'Download of SFDC Activation Rep'!B:B,'Download of SFDC Activation Rep'!L:L),"")</f>
        <v/>
      </c>
      <c r="H267" s="17" t="str">
        <f t="shared" si="1"/>
        <v>Not Active</v>
      </c>
      <c r="I267" s="17" t="str">
        <f t="array" ref="I267">XLOOKUP(A267,'Download of SFDC Activation Rep'!B:B,'Download of SFDC Activation Rep'!T:T)</f>
        <v>#N/A</v>
      </c>
      <c r="J267" s="17" t="str">
        <f t="array" ref="J267">iferror(XLOOKUP(A267,'Download of SFDC Activation Rep'!B:B,'Download of SFDC Activation Rep'!C:C),"")</f>
        <v/>
      </c>
      <c r="K267" s="17" t="str">
        <f t="array" ref="K267">XLOOKUP(A267,'Download of SFDC Activation Rep'!B:B,'Download of SFDC Activation Rep'!X:X)</f>
        <v>#N/A</v>
      </c>
      <c r="L267" s="32" t="str">
        <f t="array" ref="L267">xlookup(A267,'Download of SFDC Activation Rep'!B:B,'Download of SFDC Activation Rep'!Z:Z)</f>
        <v>#N/A</v>
      </c>
    </row>
    <row r="268">
      <c r="B268" s="14"/>
      <c r="C268" s="14"/>
      <c r="D268" s="14"/>
      <c r="E268" s="14"/>
      <c r="F268" s="13" t="str">
        <f t="array" ref="F268">iferror(XLOOKUP(A268,'Download of SFDC Activation Rep'!B:B,'Download of SFDC Activation Rep'!H:H),"")</f>
        <v/>
      </c>
      <c r="G268" s="13" t="str">
        <f t="array" ref="G268">iferror(xlookup(A268,'Download of SFDC Activation Rep'!B:B,'Download of SFDC Activation Rep'!L:L),"")</f>
        <v/>
      </c>
      <c r="H268" s="17" t="str">
        <f t="shared" si="1"/>
        <v>Not Active</v>
      </c>
      <c r="I268" s="17" t="str">
        <f t="array" ref="I268">XLOOKUP(A268,'Download of SFDC Activation Rep'!B:B,'Download of SFDC Activation Rep'!T:T)</f>
        <v>#N/A</v>
      </c>
      <c r="J268" s="17" t="str">
        <f t="array" ref="J268">iferror(XLOOKUP(A268,'Download of SFDC Activation Rep'!B:B,'Download of SFDC Activation Rep'!C:C),"")</f>
        <v/>
      </c>
      <c r="K268" s="17" t="str">
        <f t="array" ref="K268">XLOOKUP(A268,'Download of SFDC Activation Rep'!B:B,'Download of SFDC Activation Rep'!X:X)</f>
        <v>#N/A</v>
      </c>
      <c r="L268" s="32" t="str">
        <f t="array" ref="L268">xlookup(A268,'Download of SFDC Activation Rep'!B:B,'Download of SFDC Activation Rep'!Z:Z)</f>
        <v>#N/A</v>
      </c>
    </row>
    <row r="269">
      <c r="B269" s="14"/>
      <c r="C269" s="14"/>
      <c r="D269" s="14"/>
      <c r="E269" s="14"/>
      <c r="F269" s="13" t="str">
        <f t="array" ref="F269">iferror(XLOOKUP(A269,'Download of SFDC Activation Rep'!B:B,'Download of SFDC Activation Rep'!H:H),"")</f>
        <v/>
      </c>
      <c r="G269" s="13" t="str">
        <f t="array" ref="G269">iferror(xlookup(A269,'Download of SFDC Activation Rep'!B:B,'Download of SFDC Activation Rep'!L:L),"")</f>
        <v/>
      </c>
      <c r="H269" s="17" t="str">
        <f t="shared" si="1"/>
        <v>Not Active</v>
      </c>
      <c r="I269" s="17" t="str">
        <f t="array" ref="I269">XLOOKUP(A269,'Download of SFDC Activation Rep'!B:B,'Download of SFDC Activation Rep'!T:T)</f>
        <v>#N/A</v>
      </c>
      <c r="J269" s="17" t="str">
        <f t="array" ref="J269">iferror(XLOOKUP(A269,'Download of SFDC Activation Rep'!B:B,'Download of SFDC Activation Rep'!C:C),"")</f>
        <v/>
      </c>
      <c r="K269" s="17" t="str">
        <f t="array" ref="K269">XLOOKUP(A269,'Download of SFDC Activation Rep'!B:B,'Download of SFDC Activation Rep'!X:X)</f>
        <v>#N/A</v>
      </c>
      <c r="L269" s="32" t="str">
        <f t="array" ref="L269">xlookup(A269,'Download of SFDC Activation Rep'!B:B,'Download of SFDC Activation Rep'!Z:Z)</f>
        <v>#N/A</v>
      </c>
    </row>
    <row r="270">
      <c r="B270" s="14"/>
      <c r="C270" s="14"/>
      <c r="D270" s="14"/>
      <c r="E270" s="14"/>
      <c r="F270" s="13" t="str">
        <f t="array" ref="F270">iferror(XLOOKUP(A270,'Download of SFDC Activation Rep'!B:B,'Download of SFDC Activation Rep'!H:H),"")</f>
        <v/>
      </c>
      <c r="G270" s="13" t="str">
        <f t="array" ref="G270">iferror(xlookup(A270,'Download of SFDC Activation Rep'!B:B,'Download of SFDC Activation Rep'!L:L),"")</f>
        <v/>
      </c>
      <c r="H270" s="17" t="str">
        <f t="shared" si="1"/>
        <v>Not Active</v>
      </c>
      <c r="I270" s="17" t="str">
        <f t="array" ref="I270">XLOOKUP(A270,'Download of SFDC Activation Rep'!B:B,'Download of SFDC Activation Rep'!T:T)</f>
        <v>#N/A</v>
      </c>
      <c r="J270" s="17" t="str">
        <f t="array" ref="J270">iferror(XLOOKUP(A270,'Download of SFDC Activation Rep'!B:B,'Download of SFDC Activation Rep'!C:C),"")</f>
        <v/>
      </c>
      <c r="K270" s="17" t="str">
        <f t="array" ref="K270">XLOOKUP(A270,'Download of SFDC Activation Rep'!B:B,'Download of SFDC Activation Rep'!X:X)</f>
        <v>#N/A</v>
      </c>
      <c r="L270" s="32" t="str">
        <f t="array" ref="L270">xlookup(A270,'Download of SFDC Activation Rep'!B:B,'Download of SFDC Activation Rep'!Z:Z)</f>
        <v>#N/A</v>
      </c>
    </row>
    <row r="271">
      <c r="B271" s="14"/>
      <c r="C271" s="14"/>
      <c r="D271" s="14"/>
      <c r="E271" s="14"/>
      <c r="F271" s="13" t="str">
        <f t="array" ref="F271">iferror(XLOOKUP(A271,'Download of SFDC Activation Rep'!B:B,'Download of SFDC Activation Rep'!H:H),"")</f>
        <v/>
      </c>
      <c r="G271" s="13" t="str">
        <f t="array" ref="G271">iferror(xlookup(A271,'Download of SFDC Activation Rep'!B:B,'Download of SFDC Activation Rep'!L:L),"")</f>
        <v/>
      </c>
      <c r="H271" s="17" t="str">
        <f t="shared" si="1"/>
        <v>Not Active</v>
      </c>
      <c r="I271" s="17" t="str">
        <f t="array" ref="I271">XLOOKUP(A271,'Download of SFDC Activation Rep'!B:B,'Download of SFDC Activation Rep'!T:T)</f>
        <v>#N/A</v>
      </c>
      <c r="J271" s="17" t="str">
        <f t="array" ref="J271">iferror(XLOOKUP(A271,'Download of SFDC Activation Rep'!B:B,'Download of SFDC Activation Rep'!C:C),"")</f>
        <v/>
      </c>
      <c r="K271" s="17" t="str">
        <f t="array" ref="K271">XLOOKUP(A271,'Download of SFDC Activation Rep'!B:B,'Download of SFDC Activation Rep'!X:X)</f>
        <v>#N/A</v>
      </c>
      <c r="L271" s="32" t="str">
        <f t="array" ref="L271">xlookup(A271,'Download of SFDC Activation Rep'!B:B,'Download of SFDC Activation Rep'!Z:Z)</f>
        <v>#N/A</v>
      </c>
    </row>
    <row r="272">
      <c r="B272" s="14"/>
      <c r="C272" s="14"/>
      <c r="D272" s="14"/>
      <c r="E272" s="14"/>
      <c r="F272" s="13" t="str">
        <f t="array" ref="F272">iferror(XLOOKUP(A272,'Download of SFDC Activation Rep'!B:B,'Download of SFDC Activation Rep'!H:H),"")</f>
        <v/>
      </c>
      <c r="G272" s="13" t="str">
        <f t="array" ref="G272">iferror(xlookup(A272,'Download of SFDC Activation Rep'!B:B,'Download of SFDC Activation Rep'!L:L),"")</f>
        <v/>
      </c>
      <c r="H272" s="17" t="str">
        <f t="shared" si="1"/>
        <v>Not Active</v>
      </c>
      <c r="I272" s="17" t="str">
        <f t="array" ref="I272">XLOOKUP(A272,'Download of SFDC Activation Rep'!B:B,'Download of SFDC Activation Rep'!T:T)</f>
        <v>#N/A</v>
      </c>
      <c r="J272" s="17" t="str">
        <f t="array" ref="J272">iferror(XLOOKUP(A272,'Download of SFDC Activation Rep'!B:B,'Download of SFDC Activation Rep'!C:C),"")</f>
        <v/>
      </c>
      <c r="K272" s="17" t="str">
        <f t="array" ref="K272">XLOOKUP(A272,'Download of SFDC Activation Rep'!B:B,'Download of SFDC Activation Rep'!X:X)</f>
        <v>#N/A</v>
      </c>
      <c r="L272" s="32" t="str">
        <f t="array" ref="L272">xlookup(A272,'Download of SFDC Activation Rep'!B:B,'Download of SFDC Activation Rep'!Z:Z)</f>
        <v>#N/A</v>
      </c>
    </row>
    <row r="273">
      <c r="B273" s="14"/>
      <c r="C273" s="14"/>
      <c r="D273" s="14"/>
      <c r="E273" s="14"/>
      <c r="F273" s="13" t="str">
        <f t="array" ref="F273">iferror(XLOOKUP(A273,'Download of SFDC Activation Rep'!B:B,'Download of SFDC Activation Rep'!H:H),"")</f>
        <v/>
      </c>
      <c r="G273" s="13" t="str">
        <f t="array" ref="G273">iferror(xlookup(A273,'Download of SFDC Activation Rep'!B:B,'Download of SFDC Activation Rep'!L:L),"")</f>
        <v/>
      </c>
      <c r="H273" s="17" t="str">
        <f t="shared" si="1"/>
        <v>Not Active</v>
      </c>
      <c r="I273" s="17" t="str">
        <f t="array" ref="I273">XLOOKUP(A273,'Download of SFDC Activation Rep'!B:B,'Download of SFDC Activation Rep'!T:T)</f>
        <v>#N/A</v>
      </c>
      <c r="J273" s="17" t="str">
        <f t="array" ref="J273">iferror(XLOOKUP(A273,'Download of SFDC Activation Rep'!B:B,'Download of SFDC Activation Rep'!C:C),"")</f>
        <v/>
      </c>
      <c r="K273" s="17" t="str">
        <f t="array" ref="K273">XLOOKUP(A273,'Download of SFDC Activation Rep'!B:B,'Download of SFDC Activation Rep'!X:X)</f>
        <v>#N/A</v>
      </c>
      <c r="L273" s="32" t="str">
        <f t="array" ref="L273">xlookup(A273,'Download of SFDC Activation Rep'!B:B,'Download of SFDC Activation Rep'!Z:Z)</f>
        <v>#N/A</v>
      </c>
    </row>
    <row r="274">
      <c r="B274" s="14"/>
      <c r="C274" s="14"/>
      <c r="D274" s="14"/>
      <c r="E274" s="14"/>
      <c r="F274" s="13" t="str">
        <f t="array" ref="F274">iferror(XLOOKUP(A274,'Download of SFDC Activation Rep'!B:B,'Download of SFDC Activation Rep'!H:H),"")</f>
        <v/>
      </c>
      <c r="G274" s="13" t="str">
        <f t="array" ref="G274">iferror(xlookup(A274,'Download of SFDC Activation Rep'!B:B,'Download of SFDC Activation Rep'!L:L),"")</f>
        <v/>
      </c>
      <c r="H274" s="17" t="str">
        <f t="shared" si="1"/>
        <v>Not Active</v>
      </c>
      <c r="I274" s="17" t="str">
        <f t="array" ref="I274">XLOOKUP(A274,'Download of SFDC Activation Rep'!B:B,'Download of SFDC Activation Rep'!T:T)</f>
        <v>#N/A</v>
      </c>
      <c r="J274" s="17" t="str">
        <f t="array" ref="J274">iferror(XLOOKUP(A274,'Download of SFDC Activation Rep'!B:B,'Download of SFDC Activation Rep'!C:C),"")</f>
        <v/>
      </c>
      <c r="K274" s="17" t="str">
        <f t="array" ref="K274">XLOOKUP(A274,'Download of SFDC Activation Rep'!B:B,'Download of SFDC Activation Rep'!X:X)</f>
        <v>#N/A</v>
      </c>
      <c r="L274" s="32" t="str">
        <f t="array" ref="L274">xlookup(A274,'Download of SFDC Activation Rep'!B:B,'Download of SFDC Activation Rep'!Z:Z)</f>
        <v>#N/A</v>
      </c>
    </row>
    <row r="275">
      <c r="B275" s="14"/>
      <c r="C275" s="14"/>
      <c r="D275" s="14"/>
      <c r="E275" s="14"/>
      <c r="F275" s="13" t="str">
        <f t="array" ref="F275">iferror(XLOOKUP(A275,'Download of SFDC Activation Rep'!B:B,'Download of SFDC Activation Rep'!H:H),"")</f>
        <v/>
      </c>
      <c r="G275" s="13" t="str">
        <f t="array" ref="G275">iferror(xlookup(A275,'Download of SFDC Activation Rep'!B:B,'Download of SFDC Activation Rep'!L:L),"")</f>
        <v/>
      </c>
      <c r="H275" s="17" t="str">
        <f t="shared" si="1"/>
        <v>Not Active</v>
      </c>
      <c r="I275" s="17" t="str">
        <f t="array" ref="I275">XLOOKUP(A275,'Download of SFDC Activation Rep'!B:B,'Download of SFDC Activation Rep'!T:T)</f>
        <v>#N/A</v>
      </c>
      <c r="J275" s="17" t="str">
        <f t="array" ref="J275">iferror(XLOOKUP(A275,'Download of SFDC Activation Rep'!B:B,'Download of SFDC Activation Rep'!C:C),"")</f>
        <v/>
      </c>
      <c r="K275" s="17" t="str">
        <f t="array" ref="K275">XLOOKUP(A275,'Download of SFDC Activation Rep'!B:B,'Download of SFDC Activation Rep'!X:X)</f>
        <v>#N/A</v>
      </c>
      <c r="L275" s="32" t="str">
        <f t="array" ref="L275">xlookup(A275,'Download of SFDC Activation Rep'!B:B,'Download of SFDC Activation Rep'!Z:Z)</f>
        <v>#N/A</v>
      </c>
    </row>
    <row r="276">
      <c r="B276" s="14"/>
      <c r="C276" s="14"/>
      <c r="D276" s="14"/>
      <c r="E276" s="14"/>
      <c r="F276" s="13" t="str">
        <f t="array" ref="F276">iferror(XLOOKUP(A276,'Download of SFDC Activation Rep'!B:B,'Download of SFDC Activation Rep'!H:H),"")</f>
        <v/>
      </c>
      <c r="G276" s="13" t="str">
        <f t="array" ref="G276">iferror(xlookup(A276,'Download of SFDC Activation Rep'!B:B,'Download of SFDC Activation Rep'!L:L),"")</f>
        <v/>
      </c>
      <c r="H276" s="17" t="str">
        <f t="shared" si="1"/>
        <v>Not Active</v>
      </c>
      <c r="I276" s="17" t="str">
        <f t="array" ref="I276">XLOOKUP(A276,'Download of SFDC Activation Rep'!B:B,'Download of SFDC Activation Rep'!T:T)</f>
        <v>#N/A</v>
      </c>
      <c r="J276" s="17" t="str">
        <f t="array" ref="J276">iferror(XLOOKUP(A276,'Download of SFDC Activation Rep'!B:B,'Download of SFDC Activation Rep'!C:C),"")</f>
        <v/>
      </c>
      <c r="K276" s="17" t="str">
        <f t="array" ref="K276">XLOOKUP(A276,'Download of SFDC Activation Rep'!B:B,'Download of SFDC Activation Rep'!X:X)</f>
        <v>#N/A</v>
      </c>
      <c r="L276" s="32" t="str">
        <f t="array" ref="L276">xlookup(A276,'Download of SFDC Activation Rep'!B:B,'Download of SFDC Activation Rep'!Z:Z)</f>
        <v>#N/A</v>
      </c>
    </row>
    <row r="277">
      <c r="B277" s="14"/>
      <c r="C277" s="14"/>
      <c r="D277" s="14"/>
      <c r="E277" s="14"/>
      <c r="F277" s="13" t="str">
        <f t="array" ref="F277">iferror(XLOOKUP(A277,'Download of SFDC Activation Rep'!B:B,'Download of SFDC Activation Rep'!H:H),"")</f>
        <v/>
      </c>
      <c r="G277" s="13" t="str">
        <f t="array" ref="G277">iferror(xlookup(A277,'Download of SFDC Activation Rep'!B:B,'Download of SFDC Activation Rep'!L:L),"")</f>
        <v/>
      </c>
      <c r="H277" s="17" t="str">
        <f t="shared" si="1"/>
        <v>Not Active</v>
      </c>
      <c r="I277" s="17" t="str">
        <f t="array" ref="I277">XLOOKUP(A277,'Download of SFDC Activation Rep'!B:B,'Download of SFDC Activation Rep'!T:T)</f>
        <v>#N/A</v>
      </c>
      <c r="J277" s="17" t="str">
        <f t="array" ref="J277">iferror(XLOOKUP(A277,'Download of SFDC Activation Rep'!B:B,'Download of SFDC Activation Rep'!C:C),"")</f>
        <v/>
      </c>
      <c r="K277" s="17" t="str">
        <f t="array" ref="K277">XLOOKUP(A277,'Download of SFDC Activation Rep'!B:B,'Download of SFDC Activation Rep'!X:X)</f>
        <v>#N/A</v>
      </c>
      <c r="L277" s="32" t="str">
        <f t="array" ref="L277">xlookup(A277,'Download of SFDC Activation Rep'!B:B,'Download of SFDC Activation Rep'!Z:Z)</f>
        <v>#N/A</v>
      </c>
    </row>
    <row r="278">
      <c r="B278" s="14"/>
      <c r="C278" s="14"/>
      <c r="D278" s="14"/>
      <c r="E278" s="14"/>
      <c r="F278" s="13" t="str">
        <f t="array" ref="F278">iferror(XLOOKUP(A278,'Download of SFDC Activation Rep'!B:B,'Download of SFDC Activation Rep'!H:H),"")</f>
        <v/>
      </c>
      <c r="G278" s="13" t="str">
        <f t="array" ref="G278">iferror(xlookup(A278,'Download of SFDC Activation Rep'!B:B,'Download of SFDC Activation Rep'!L:L),"")</f>
        <v/>
      </c>
      <c r="H278" s="17" t="str">
        <f t="shared" si="1"/>
        <v>Not Active</v>
      </c>
      <c r="I278" s="17" t="str">
        <f t="array" ref="I278">XLOOKUP(A278,'Download of SFDC Activation Rep'!B:B,'Download of SFDC Activation Rep'!T:T)</f>
        <v>#N/A</v>
      </c>
      <c r="J278" s="17" t="str">
        <f t="array" ref="J278">iferror(XLOOKUP(A278,'Download of SFDC Activation Rep'!B:B,'Download of SFDC Activation Rep'!C:C),"")</f>
        <v/>
      </c>
      <c r="K278" s="17" t="str">
        <f t="array" ref="K278">XLOOKUP(A278,'Download of SFDC Activation Rep'!B:B,'Download of SFDC Activation Rep'!X:X)</f>
        <v>#N/A</v>
      </c>
      <c r="L278" s="32" t="str">
        <f t="array" ref="L278">xlookup(A278,'Download of SFDC Activation Rep'!B:B,'Download of SFDC Activation Rep'!Z:Z)</f>
        <v>#N/A</v>
      </c>
    </row>
    <row r="279">
      <c r="B279" s="14"/>
      <c r="C279" s="14"/>
      <c r="D279" s="14"/>
      <c r="E279" s="14"/>
      <c r="F279" s="13" t="str">
        <f t="array" ref="F279">iferror(XLOOKUP(A279,'Download of SFDC Activation Rep'!B:B,'Download of SFDC Activation Rep'!H:H),"")</f>
        <v/>
      </c>
      <c r="G279" s="13" t="str">
        <f t="array" ref="G279">iferror(xlookup(A279,'Download of SFDC Activation Rep'!B:B,'Download of SFDC Activation Rep'!L:L),"")</f>
        <v/>
      </c>
      <c r="H279" s="17" t="str">
        <f t="shared" si="1"/>
        <v>Not Active</v>
      </c>
      <c r="I279" s="17" t="str">
        <f t="array" ref="I279">XLOOKUP(A279,'Download of SFDC Activation Rep'!B:B,'Download of SFDC Activation Rep'!T:T)</f>
        <v>#N/A</v>
      </c>
      <c r="J279" s="17" t="str">
        <f t="array" ref="J279">iferror(XLOOKUP(A279,'Download of SFDC Activation Rep'!B:B,'Download of SFDC Activation Rep'!C:C),"")</f>
        <v/>
      </c>
      <c r="K279" s="17" t="str">
        <f t="array" ref="K279">XLOOKUP(A279,'Download of SFDC Activation Rep'!B:B,'Download of SFDC Activation Rep'!X:X)</f>
        <v>#N/A</v>
      </c>
      <c r="L279" s="32" t="str">
        <f t="array" ref="L279">xlookup(A279,'Download of SFDC Activation Rep'!B:B,'Download of SFDC Activation Rep'!Z:Z)</f>
        <v>#N/A</v>
      </c>
    </row>
    <row r="280">
      <c r="B280" s="14"/>
      <c r="C280" s="14"/>
      <c r="D280" s="14"/>
      <c r="E280" s="14"/>
      <c r="F280" s="13" t="str">
        <f t="array" ref="F280">iferror(XLOOKUP(A280,'Download of SFDC Activation Rep'!B:B,'Download of SFDC Activation Rep'!H:H),"")</f>
        <v/>
      </c>
      <c r="G280" s="13" t="str">
        <f t="array" ref="G280">iferror(xlookup(A280,'Download of SFDC Activation Rep'!B:B,'Download of SFDC Activation Rep'!L:L),"")</f>
        <v/>
      </c>
      <c r="H280" s="17" t="str">
        <f t="shared" si="1"/>
        <v>Not Active</v>
      </c>
      <c r="I280" s="17" t="str">
        <f t="array" ref="I280">XLOOKUP(A280,'Download of SFDC Activation Rep'!B:B,'Download of SFDC Activation Rep'!T:T)</f>
        <v>#N/A</v>
      </c>
      <c r="J280" s="17" t="str">
        <f t="array" ref="J280">iferror(XLOOKUP(A280,'Download of SFDC Activation Rep'!B:B,'Download of SFDC Activation Rep'!C:C),"")</f>
        <v/>
      </c>
      <c r="K280" s="17" t="str">
        <f t="array" ref="K280">XLOOKUP(A280,'Download of SFDC Activation Rep'!B:B,'Download of SFDC Activation Rep'!X:X)</f>
        <v>#N/A</v>
      </c>
      <c r="L280" s="32" t="str">
        <f t="array" ref="L280">xlookup(A280,'Download of SFDC Activation Rep'!B:B,'Download of SFDC Activation Rep'!Z:Z)</f>
        <v>#N/A</v>
      </c>
    </row>
    <row r="281">
      <c r="B281" s="14"/>
      <c r="C281" s="14"/>
      <c r="D281" s="14"/>
      <c r="E281" s="14"/>
      <c r="F281" s="13" t="str">
        <f t="array" ref="F281">iferror(XLOOKUP(A281,'Download of SFDC Activation Rep'!B:B,'Download of SFDC Activation Rep'!H:H),"")</f>
        <v/>
      </c>
      <c r="G281" s="13" t="str">
        <f t="array" ref="G281">iferror(xlookup(A281,'Download of SFDC Activation Rep'!B:B,'Download of SFDC Activation Rep'!L:L),"")</f>
        <v/>
      </c>
      <c r="H281" s="17" t="str">
        <f t="shared" si="1"/>
        <v>Not Active</v>
      </c>
      <c r="I281" s="17" t="str">
        <f t="array" ref="I281">XLOOKUP(A281,'Download of SFDC Activation Rep'!B:B,'Download of SFDC Activation Rep'!T:T)</f>
        <v>#N/A</v>
      </c>
      <c r="J281" s="17" t="str">
        <f t="array" ref="J281">iferror(XLOOKUP(A281,'Download of SFDC Activation Rep'!B:B,'Download of SFDC Activation Rep'!C:C),"")</f>
        <v/>
      </c>
      <c r="K281" s="17" t="str">
        <f t="array" ref="K281">XLOOKUP(A281,'Download of SFDC Activation Rep'!B:B,'Download of SFDC Activation Rep'!X:X)</f>
        <v>#N/A</v>
      </c>
      <c r="L281" s="32" t="str">
        <f t="array" ref="L281">xlookup(A281,'Download of SFDC Activation Rep'!B:B,'Download of SFDC Activation Rep'!Z:Z)</f>
        <v>#N/A</v>
      </c>
    </row>
    <row r="282">
      <c r="B282" s="14"/>
      <c r="C282" s="14"/>
      <c r="D282" s="14"/>
      <c r="E282" s="14"/>
      <c r="F282" s="13" t="str">
        <f t="array" ref="F282">iferror(XLOOKUP(A282,'Download of SFDC Activation Rep'!B:B,'Download of SFDC Activation Rep'!H:H),"")</f>
        <v/>
      </c>
      <c r="G282" s="13" t="str">
        <f t="array" ref="G282">iferror(xlookup(A282,'Download of SFDC Activation Rep'!B:B,'Download of SFDC Activation Rep'!L:L),"")</f>
        <v/>
      </c>
      <c r="H282" s="17" t="str">
        <f t="shared" si="1"/>
        <v>Not Active</v>
      </c>
      <c r="I282" s="17" t="str">
        <f t="array" ref="I282">XLOOKUP(A282,'Download of SFDC Activation Rep'!B:B,'Download of SFDC Activation Rep'!T:T)</f>
        <v>#N/A</v>
      </c>
      <c r="J282" s="17" t="str">
        <f t="array" ref="J282">iferror(XLOOKUP(A282,'Download of SFDC Activation Rep'!B:B,'Download of SFDC Activation Rep'!C:C),"")</f>
        <v/>
      </c>
      <c r="K282" s="17" t="str">
        <f t="array" ref="K282">XLOOKUP(A282,'Download of SFDC Activation Rep'!B:B,'Download of SFDC Activation Rep'!X:X)</f>
        <v>#N/A</v>
      </c>
      <c r="L282" s="32" t="str">
        <f t="array" ref="L282">xlookup(A282,'Download of SFDC Activation Rep'!B:B,'Download of SFDC Activation Rep'!Z:Z)</f>
        <v>#N/A</v>
      </c>
    </row>
    <row r="283">
      <c r="B283" s="14"/>
      <c r="C283" s="14"/>
      <c r="D283" s="14"/>
      <c r="E283" s="14"/>
      <c r="F283" s="13" t="str">
        <f t="array" ref="F283">iferror(XLOOKUP(A283,'Download of SFDC Activation Rep'!B:B,'Download of SFDC Activation Rep'!H:H),"")</f>
        <v/>
      </c>
      <c r="G283" s="13" t="str">
        <f t="array" ref="G283">iferror(xlookup(A283,'Download of SFDC Activation Rep'!B:B,'Download of SFDC Activation Rep'!L:L),"")</f>
        <v/>
      </c>
      <c r="H283" s="17" t="str">
        <f t="shared" si="1"/>
        <v>Not Active</v>
      </c>
      <c r="I283" s="17" t="str">
        <f t="array" ref="I283">XLOOKUP(A283,'Download of SFDC Activation Rep'!B:B,'Download of SFDC Activation Rep'!T:T)</f>
        <v>#N/A</v>
      </c>
      <c r="J283" s="17" t="str">
        <f t="array" ref="J283">iferror(XLOOKUP(A283,'Download of SFDC Activation Rep'!B:B,'Download of SFDC Activation Rep'!C:C),"")</f>
        <v/>
      </c>
      <c r="K283" s="17" t="str">
        <f t="array" ref="K283">XLOOKUP(A283,'Download of SFDC Activation Rep'!B:B,'Download of SFDC Activation Rep'!X:X)</f>
        <v>#N/A</v>
      </c>
      <c r="L283" s="32" t="str">
        <f t="array" ref="L283">xlookup(A283,'Download of SFDC Activation Rep'!B:B,'Download of SFDC Activation Rep'!Z:Z)</f>
        <v>#N/A</v>
      </c>
    </row>
    <row r="284">
      <c r="B284" s="14"/>
      <c r="C284" s="14"/>
      <c r="D284" s="14"/>
      <c r="E284" s="14"/>
      <c r="F284" s="13" t="str">
        <f t="array" ref="F284">iferror(XLOOKUP(A284,'Download of SFDC Activation Rep'!B:B,'Download of SFDC Activation Rep'!H:H),"")</f>
        <v/>
      </c>
      <c r="G284" s="13" t="str">
        <f t="array" ref="G284">iferror(xlookup(A284,'Download of SFDC Activation Rep'!B:B,'Download of SFDC Activation Rep'!L:L),"")</f>
        <v/>
      </c>
      <c r="H284" s="17" t="str">
        <f t="shared" si="1"/>
        <v>Not Active</v>
      </c>
      <c r="I284" s="17" t="str">
        <f t="array" ref="I284">XLOOKUP(A284,'Download of SFDC Activation Rep'!B:B,'Download of SFDC Activation Rep'!T:T)</f>
        <v>#N/A</v>
      </c>
      <c r="J284" s="17" t="str">
        <f t="array" ref="J284">iferror(XLOOKUP(A284,'Download of SFDC Activation Rep'!B:B,'Download of SFDC Activation Rep'!C:C),"")</f>
        <v/>
      </c>
      <c r="K284" s="17" t="str">
        <f t="array" ref="K284">XLOOKUP(A284,'Download of SFDC Activation Rep'!B:B,'Download of SFDC Activation Rep'!X:X)</f>
        <v>#N/A</v>
      </c>
      <c r="L284" s="32" t="str">
        <f t="array" ref="L284">xlookup(A284,'Download of SFDC Activation Rep'!B:B,'Download of SFDC Activation Rep'!Z:Z)</f>
        <v>#N/A</v>
      </c>
    </row>
    <row r="285">
      <c r="B285" s="14"/>
      <c r="C285" s="14"/>
      <c r="D285" s="14"/>
      <c r="E285" s="14"/>
      <c r="F285" s="13" t="str">
        <f t="array" ref="F285">iferror(XLOOKUP(A285,'Download of SFDC Activation Rep'!B:B,'Download of SFDC Activation Rep'!H:H),"")</f>
        <v/>
      </c>
      <c r="G285" s="13" t="str">
        <f t="array" ref="G285">iferror(xlookup(A285,'Download of SFDC Activation Rep'!B:B,'Download of SFDC Activation Rep'!L:L),"")</f>
        <v/>
      </c>
      <c r="H285" s="17" t="str">
        <f t="shared" si="1"/>
        <v>Not Active</v>
      </c>
      <c r="I285" s="17" t="str">
        <f t="array" ref="I285">XLOOKUP(A285,'Download of SFDC Activation Rep'!B:B,'Download of SFDC Activation Rep'!T:T)</f>
        <v>#N/A</v>
      </c>
      <c r="J285" s="17" t="str">
        <f t="array" ref="J285">iferror(XLOOKUP(A285,'Download of SFDC Activation Rep'!B:B,'Download of SFDC Activation Rep'!C:C),"")</f>
        <v/>
      </c>
      <c r="K285" s="17" t="str">
        <f t="array" ref="K285">XLOOKUP(A285,'Download of SFDC Activation Rep'!B:B,'Download of SFDC Activation Rep'!X:X)</f>
        <v>#N/A</v>
      </c>
      <c r="L285" s="32" t="str">
        <f t="array" ref="L285">xlookup(A285,'Download of SFDC Activation Rep'!B:B,'Download of SFDC Activation Rep'!Z:Z)</f>
        <v>#N/A</v>
      </c>
    </row>
    <row r="286">
      <c r="B286" s="14"/>
      <c r="C286" s="14"/>
      <c r="D286" s="14"/>
      <c r="E286" s="14"/>
      <c r="F286" s="13" t="str">
        <f t="array" ref="F286">iferror(XLOOKUP(A286,'Download of SFDC Activation Rep'!B:B,'Download of SFDC Activation Rep'!H:H),"")</f>
        <v/>
      </c>
      <c r="G286" s="13" t="str">
        <f t="array" ref="G286">iferror(xlookup(A286,'Download of SFDC Activation Rep'!B:B,'Download of SFDC Activation Rep'!L:L),"")</f>
        <v/>
      </c>
      <c r="H286" s="17" t="str">
        <f t="shared" si="1"/>
        <v>Not Active</v>
      </c>
      <c r="I286" s="17" t="str">
        <f t="array" ref="I286">XLOOKUP(A286,'Download of SFDC Activation Rep'!B:B,'Download of SFDC Activation Rep'!T:T)</f>
        <v>#N/A</v>
      </c>
      <c r="J286" s="17" t="str">
        <f t="array" ref="J286">iferror(XLOOKUP(A286,'Download of SFDC Activation Rep'!B:B,'Download of SFDC Activation Rep'!C:C),"")</f>
        <v/>
      </c>
      <c r="K286" s="17" t="str">
        <f t="array" ref="K286">XLOOKUP(A286,'Download of SFDC Activation Rep'!B:B,'Download of SFDC Activation Rep'!X:X)</f>
        <v>#N/A</v>
      </c>
      <c r="L286" s="32" t="str">
        <f t="array" ref="L286">xlookup(A286,'Download of SFDC Activation Rep'!B:B,'Download of SFDC Activation Rep'!Z:Z)</f>
        <v>#N/A</v>
      </c>
    </row>
    <row r="287">
      <c r="B287" s="14"/>
      <c r="C287" s="14"/>
      <c r="D287" s="14"/>
      <c r="E287" s="14"/>
      <c r="F287" s="13" t="str">
        <f t="array" ref="F287">iferror(XLOOKUP(A287,'Download of SFDC Activation Rep'!B:B,'Download of SFDC Activation Rep'!H:H),"")</f>
        <v/>
      </c>
      <c r="G287" s="13" t="str">
        <f t="array" ref="G287">iferror(xlookup(A287,'Download of SFDC Activation Rep'!B:B,'Download of SFDC Activation Rep'!L:L),"")</f>
        <v/>
      </c>
      <c r="H287" s="17" t="str">
        <f t="shared" si="1"/>
        <v>Not Active</v>
      </c>
      <c r="I287" s="17" t="str">
        <f t="array" ref="I287">XLOOKUP(A287,'Download of SFDC Activation Rep'!B:B,'Download of SFDC Activation Rep'!T:T)</f>
        <v>#N/A</v>
      </c>
      <c r="J287" s="17" t="str">
        <f t="array" ref="J287">iferror(XLOOKUP(A287,'Download of SFDC Activation Rep'!B:B,'Download of SFDC Activation Rep'!C:C),"")</f>
        <v/>
      </c>
      <c r="K287" s="17" t="str">
        <f t="array" ref="K287">XLOOKUP(A287,'Download of SFDC Activation Rep'!B:B,'Download of SFDC Activation Rep'!X:X)</f>
        <v>#N/A</v>
      </c>
      <c r="L287" s="32" t="str">
        <f t="array" ref="L287">xlookup(A287,'Download of SFDC Activation Rep'!B:B,'Download of SFDC Activation Rep'!Z:Z)</f>
        <v>#N/A</v>
      </c>
    </row>
    <row r="288">
      <c r="B288" s="14"/>
      <c r="C288" s="14"/>
      <c r="D288" s="14"/>
      <c r="E288" s="14"/>
      <c r="F288" s="13" t="str">
        <f t="array" ref="F288">iferror(XLOOKUP(A288,'Download of SFDC Activation Rep'!B:B,'Download of SFDC Activation Rep'!H:H),"")</f>
        <v/>
      </c>
      <c r="G288" s="13" t="str">
        <f t="array" ref="G288">iferror(xlookup(A288,'Download of SFDC Activation Rep'!B:B,'Download of SFDC Activation Rep'!L:L),"")</f>
        <v/>
      </c>
      <c r="H288" s="17" t="str">
        <f t="shared" si="1"/>
        <v>Not Active</v>
      </c>
      <c r="I288" s="17" t="str">
        <f t="array" ref="I288">XLOOKUP(A288,'Download of SFDC Activation Rep'!B:B,'Download of SFDC Activation Rep'!T:T)</f>
        <v>#N/A</v>
      </c>
      <c r="J288" s="17" t="str">
        <f t="array" ref="J288">iferror(XLOOKUP(A288,'Download of SFDC Activation Rep'!B:B,'Download of SFDC Activation Rep'!C:C),"")</f>
        <v/>
      </c>
      <c r="K288" s="17" t="str">
        <f t="array" ref="K288">XLOOKUP(A288,'Download of SFDC Activation Rep'!B:B,'Download of SFDC Activation Rep'!X:X)</f>
        <v>#N/A</v>
      </c>
      <c r="L288" s="32" t="str">
        <f t="array" ref="L288">xlookup(A288,'Download of SFDC Activation Rep'!B:B,'Download of SFDC Activation Rep'!Z:Z)</f>
        <v>#N/A</v>
      </c>
    </row>
    <row r="289">
      <c r="B289" s="14"/>
      <c r="C289" s="14"/>
      <c r="D289" s="14"/>
      <c r="E289" s="14"/>
      <c r="F289" s="13" t="str">
        <f t="array" ref="F289">iferror(XLOOKUP(A289,'Download of SFDC Activation Rep'!B:B,'Download of SFDC Activation Rep'!H:H),"")</f>
        <v/>
      </c>
      <c r="G289" s="13" t="str">
        <f t="array" ref="G289">iferror(xlookup(A289,'Download of SFDC Activation Rep'!B:B,'Download of SFDC Activation Rep'!L:L),"")</f>
        <v/>
      </c>
      <c r="H289" s="17" t="str">
        <f t="shared" si="1"/>
        <v>Not Active</v>
      </c>
      <c r="I289" s="17" t="str">
        <f t="array" ref="I289">XLOOKUP(A289,'Download of SFDC Activation Rep'!B:B,'Download of SFDC Activation Rep'!T:T)</f>
        <v>#N/A</v>
      </c>
      <c r="J289" s="17" t="str">
        <f t="array" ref="J289">iferror(XLOOKUP(A289,'Download of SFDC Activation Rep'!B:B,'Download of SFDC Activation Rep'!C:C),"")</f>
        <v/>
      </c>
      <c r="K289" s="17" t="str">
        <f t="array" ref="K289">XLOOKUP(A289,'Download of SFDC Activation Rep'!B:B,'Download of SFDC Activation Rep'!X:X)</f>
        <v>#N/A</v>
      </c>
      <c r="L289" s="32" t="str">
        <f t="array" ref="L289">xlookup(A289,'Download of SFDC Activation Rep'!B:B,'Download of SFDC Activation Rep'!Z:Z)</f>
        <v>#N/A</v>
      </c>
    </row>
    <row r="290">
      <c r="B290" s="14"/>
      <c r="C290" s="14"/>
      <c r="D290" s="14"/>
      <c r="E290" s="14"/>
      <c r="F290" s="13" t="str">
        <f t="array" ref="F290">iferror(XLOOKUP(A290,'Download of SFDC Activation Rep'!B:B,'Download of SFDC Activation Rep'!H:H),"")</f>
        <v/>
      </c>
      <c r="G290" s="13" t="str">
        <f t="array" ref="G290">iferror(xlookup(A290,'Download of SFDC Activation Rep'!B:B,'Download of SFDC Activation Rep'!L:L),"")</f>
        <v/>
      </c>
      <c r="H290" s="17" t="str">
        <f t="shared" si="1"/>
        <v>Not Active</v>
      </c>
      <c r="I290" s="17" t="str">
        <f t="array" ref="I290">XLOOKUP(A290,'Download of SFDC Activation Rep'!B:B,'Download of SFDC Activation Rep'!T:T)</f>
        <v>#N/A</v>
      </c>
      <c r="J290" s="17" t="str">
        <f t="array" ref="J290">iferror(XLOOKUP(A290,'Download of SFDC Activation Rep'!B:B,'Download of SFDC Activation Rep'!C:C),"")</f>
        <v/>
      </c>
      <c r="K290" s="17" t="str">
        <f t="array" ref="K290">XLOOKUP(A290,'Download of SFDC Activation Rep'!B:B,'Download of SFDC Activation Rep'!X:X)</f>
        <v>#N/A</v>
      </c>
      <c r="L290" s="32" t="str">
        <f t="array" ref="L290">xlookup(A290,'Download of SFDC Activation Rep'!B:B,'Download of SFDC Activation Rep'!Z:Z)</f>
        <v>#N/A</v>
      </c>
    </row>
    <row r="291">
      <c r="B291" s="14"/>
      <c r="C291" s="14"/>
      <c r="D291" s="14"/>
      <c r="E291" s="14"/>
      <c r="F291" s="13" t="str">
        <f t="array" ref="F291">iferror(XLOOKUP(A291,'Download of SFDC Activation Rep'!B:B,'Download of SFDC Activation Rep'!H:H),"")</f>
        <v/>
      </c>
      <c r="G291" s="13" t="str">
        <f t="array" ref="G291">iferror(xlookup(A291,'Download of SFDC Activation Rep'!B:B,'Download of SFDC Activation Rep'!L:L),"")</f>
        <v/>
      </c>
      <c r="H291" s="17" t="str">
        <f t="shared" si="1"/>
        <v>Not Active</v>
      </c>
      <c r="I291" s="17" t="str">
        <f t="array" ref="I291">XLOOKUP(A291,'Download of SFDC Activation Rep'!B:B,'Download of SFDC Activation Rep'!T:T)</f>
        <v>#N/A</v>
      </c>
      <c r="J291" s="17" t="str">
        <f t="array" ref="J291">iferror(XLOOKUP(A291,'Download of SFDC Activation Rep'!B:B,'Download of SFDC Activation Rep'!C:C),"")</f>
        <v/>
      </c>
      <c r="K291" s="17" t="str">
        <f t="array" ref="K291">XLOOKUP(A291,'Download of SFDC Activation Rep'!B:B,'Download of SFDC Activation Rep'!X:X)</f>
        <v>#N/A</v>
      </c>
      <c r="L291" s="32" t="str">
        <f t="array" ref="L291">xlookup(A291,'Download of SFDC Activation Rep'!B:B,'Download of SFDC Activation Rep'!Z:Z)</f>
        <v>#N/A</v>
      </c>
    </row>
    <row r="292">
      <c r="B292" s="14"/>
      <c r="C292" s="14"/>
      <c r="D292" s="14"/>
      <c r="E292" s="14"/>
      <c r="F292" s="13" t="str">
        <f t="array" ref="F292">iferror(XLOOKUP(A292,'Download of SFDC Activation Rep'!B:B,'Download of SFDC Activation Rep'!H:H),"")</f>
        <v/>
      </c>
      <c r="G292" s="13" t="str">
        <f t="array" ref="G292">iferror(xlookup(A292,'Download of SFDC Activation Rep'!B:B,'Download of SFDC Activation Rep'!L:L),"")</f>
        <v/>
      </c>
      <c r="H292" s="17" t="str">
        <f t="shared" si="1"/>
        <v>Not Active</v>
      </c>
      <c r="I292" s="17" t="str">
        <f t="array" ref="I292">XLOOKUP(A292,'Download of SFDC Activation Rep'!B:B,'Download of SFDC Activation Rep'!T:T)</f>
        <v>#N/A</v>
      </c>
      <c r="J292" s="17" t="str">
        <f t="array" ref="J292">iferror(XLOOKUP(A292,'Download of SFDC Activation Rep'!B:B,'Download of SFDC Activation Rep'!C:C),"")</f>
        <v/>
      </c>
      <c r="K292" s="17" t="str">
        <f t="array" ref="K292">XLOOKUP(A292,'Download of SFDC Activation Rep'!B:B,'Download of SFDC Activation Rep'!X:X)</f>
        <v>#N/A</v>
      </c>
      <c r="L292" s="32" t="str">
        <f t="array" ref="L292">xlookup(A292,'Download of SFDC Activation Rep'!B:B,'Download of SFDC Activation Rep'!Z:Z)</f>
        <v>#N/A</v>
      </c>
    </row>
    <row r="293">
      <c r="B293" s="14"/>
      <c r="C293" s="14"/>
      <c r="D293" s="14"/>
      <c r="E293" s="14"/>
      <c r="F293" s="13" t="str">
        <f t="array" ref="F293">iferror(XLOOKUP(A293,'Download of SFDC Activation Rep'!B:B,'Download of SFDC Activation Rep'!H:H),"")</f>
        <v/>
      </c>
      <c r="G293" s="13" t="str">
        <f t="array" ref="G293">iferror(xlookup(A293,'Download of SFDC Activation Rep'!B:B,'Download of SFDC Activation Rep'!L:L),"")</f>
        <v/>
      </c>
      <c r="H293" s="17" t="str">
        <f t="shared" si="1"/>
        <v>Not Active</v>
      </c>
      <c r="I293" s="17" t="str">
        <f t="array" ref="I293">XLOOKUP(A293,'Download of SFDC Activation Rep'!B:B,'Download of SFDC Activation Rep'!T:T)</f>
        <v>#N/A</v>
      </c>
      <c r="J293" s="17" t="str">
        <f t="array" ref="J293">iferror(XLOOKUP(A293,'Download of SFDC Activation Rep'!B:B,'Download of SFDC Activation Rep'!C:C),"")</f>
        <v/>
      </c>
      <c r="K293" s="17" t="str">
        <f t="array" ref="K293">XLOOKUP(A293,'Download of SFDC Activation Rep'!B:B,'Download of SFDC Activation Rep'!X:X)</f>
        <v>#N/A</v>
      </c>
      <c r="L293" s="32" t="str">
        <f t="array" ref="L293">xlookup(A293,'Download of SFDC Activation Rep'!B:B,'Download of SFDC Activation Rep'!Z:Z)</f>
        <v>#N/A</v>
      </c>
    </row>
    <row r="294">
      <c r="B294" s="14"/>
      <c r="C294" s="14"/>
      <c r="D294" s="14"/>
      <c r="E294" s="14"/>
      <c r="F294" s="13" t="str">
        <f t="array" ref="F294">iferror(XLOOKUP(A294,'Download of SFDC Activation Rep'!B:B,'Download of SFDC Activation Rep'!H:H),"")</f>
        <v/>
      </c>
      <c r="G294" s="13" t="str">
        <f t="array" ref="G294">iferror(xlookup(A294,'Download of SFDC Activation Rep'!B:B,'Download of SFDC Activation Rep'!L:L),"")</f>
        <v/>
      </c>
      <c r="H294" s="17" t="str">
        <f t="shared" si="1"/>
        <v>Not Active</v>
      </c>
      <c r="I294" s="17" t="str">
        <f t="array" ref="I294">XLOOKUP(A294,'Download of SFDC Activation Rep'!B:B,'Download of SFDC Activation Rep'!T:T)</f>
        <v>#N/A</v>
      </c>
      <c r="J294" s="17" t="str">
        <f t="array" ref="J294">iferror(XLOOKUP(A294,'Download of SFDC Activation Rep'!B:B,'Download of SFDC Activation Rep'!C:C),"")</f>
        <v/>
      </c>
      <c r="K294" s="17" t="str">
        <f t="array" ref="K294">XLOOKUP(A294,'Download of SFDC Activation Rep'!B:B,'Download of SFDC Activation Rep'!X:X)</f>
        <v>#N/A</v>
      </c>
      <c r="L294" s="32" t="str">
        <f t="array" ref="L294">xlookup(A294,'Download of SFDC Activation Rep'!B:B,'Download of SFDC Activation Rep'!Z:Z)</f>
        <v>#N/A</v>
      </c>
    </row>
    <row r="295">
      <c r="B295" s="14"/>
      <c r="C295" s="14"/>
      <c r="D295" s="14"/>
      <c r="E295" s="14"/>
      <c r="F295" s="13" t="str">
        <f t="array" ref="F295">iferror(XLOOKUP(A295,'Download of SFDC Activation Rep'!B:B,'Download of SFDC Activation Rep'!H:H),"")</f>
        <v/>
      </c>
      <c r="G295" s="13" t="str">
        <f t="array" ref="G295">iferror(xlookup(A295,'Download of SFDC Activation Rep'!B:B,'Download of SFDC Activation Rep'!L:L),"")</f>
        <v/>
      </c>
      <c r="H295" s="17" t="str">
        <f t="shared" si="1"/>
        <v>Not Active</v>
      </c>
      <c r="I295" s="17" t="str">
        <f t="array" ref="I295">XLOOKUP(A295,'Download of SFDC Activation Rep'!B:B,'Download of SFDC Activation Rep'!T:T)</f>
        <v>#N/A</v>
      </c>
      <c r="J295" s="17" t="str">
        <f t="array" ref="J295">iferror(XLOOKUP(A295,'Download of SFDC Activation Rep'!B:B,'Download of SFDC Activation Rep'!C:C),"")</f>
        <v/>
      </c>
      <c r="K295" s="17" t="str">
        <f t="array" ref="K295">XLOOKUP(A295,'Download of SFDC Activation Rep'!B:B,'Download of SFDC Activation Rep'!X:X)</f>
        <v>#N/A</v>
      </c>
      <c r="L295" s="32" t="str">
        <f t="array" ref="L295">xlookup(A295,'Download of SFDC Activation Rep'!B:B,'Download of SFDC Activation Rep'!Z:Z)</f>
        <v>#N/A</v>
      </c>
    </row>
    <row r="296">
      <c r="B296" s="14"/>
      <c r="C296" s="14"/>
      <c r="D296" s="14"/>
      <c r="E296" s="14"/>
      <c r="F296" s="13" t="str">
        <f t="array" ref="F296">iferror(XLOOKUP(A296,'Download of SFDC Activation Rep'!B:B,'Download of SFDC Activation Rep'!H:H),"")</f>
        <v/>
      </c>
      <c r="G296" s="13" t="str">
        <f t="array" ref="G296">iferror(xlookup(A296,'Download of SFDC Activation Rep'!B:B,'Download of SFDC Activation Rep'!L:L),"")</f>
        <v/>
      </c>
      <c r="H296" s="17" t="str">
        <f t="shared" si="1"/>
        <v>Not Active</v>
      </c>
      <c r="I296" s="17" t="str">
        <f t="array" ref="I296">XLOOKUP(A296,'Download of SFDC Activation Rep'!B:B,'Download of SFDC Activation Rep'!T:T)</f>
        <v>#N/A</v>
      </c>
      <c r="J296" s="17" t="str">
        <f t="array" ref="J296">iferror(XLOOKUP(A296,'Download of SFDC Activation Rep'!B:B,'Download of SFDC Activation Rep'!C:C),"")</f>
        <v/>
      </c>
      <c r="K296" s="17" t="str">
        <f t="array" ref="K296">XLOOKUP(A296,'Download of SFDC Activation Rep'!B:B,'Download of SFDC Activation Rep'!X:X)</f>
        <v>#N/A</v>
      </c>
      <c r="L296" s="32" t="str">
        <f t="array" ref="L296">xlookup(A296,'Download of SFDC Activation Rep'!B:B,'Download of SFDC Activation Rep'!Z:Z)</f>
        <v>#N/A</v>
      </c>
    </row>
    <row r="297">
      <c r="B297" s="14"/>
      <c r="C297" s="14"/>
      <c r="D297" s="14"/>
      <c r="E297" s="14"/>
      <c r="F297" s="13" t="str">
        <f t="array" ref="F297">iferror(XLOOKUP(A297,'Download of SFDC Activation Rep'!B:B,'Download of SFDC Activation Rep'!H:H),"")</f>
        <v/>
      </c>
      <c r="G297" s="13" t="str">
        <f t="array" ref="G297">iferror(xlookup(A297,'Download of SFDC Activation Rep'!B:B,'Download of SFDC Activation Rep'!L:L),"")</f>
        <v/>
      </c>
      <c r="H297" s="17" t="str">
        <f t="shared" si="1"/>
        <v>Not Active</v>
      </c>
      <c r="I297" s="17" t="str">
        <f t="array" ref="I297">XLOOKUP(A297,'Download of SFDC Activation Rep'!B:B,'Download of SFDC Activation Rep'!T:T)</f>
        <v>#N/A</v>
      </c>
      <c r="J297" s="17" t="str">
        <f t="array" ref="J297">iferror(XLOOKUP(A297,'Download of SFDC Activation Rep'!B:B,'Download of SFDC Activation Rep'!C:C),"")</f>
        <v/>
      </c>
      <c r="K297" s="17" t="str">
        <f t="array" ref="K297">XLOOKUP(A297,'Download of SFDC Activation Rep'!B:B,'Download of SFDC Activation Rep'!X:X)</f>
        <v>#N/A</v>
      </c>
      <c r="L297" s="32" t="str">
        <f t="array" ref="L297">xlookup(A297,'Download of SFDC Activation Rep'!B:B,'Download of SFDC Activation Rep'!Z:Z)</f>
        <v>#N/A</v>
      </c>
    </row>
    <row r="298">
      <c r="B298" s="14"/>
      <c r="C298" s="14"/>
      <c r="D298" s="14"/>
      <c r="E298" s="14"/>
      <c r="F298" s="13" t="str">
        <f t="array" ref="F298">iferror(XLOOKUP(A298,'Download of SFDC Activation Rep'!B:B,'Download of SFDC Activation Rep'!H:H),"")</f>
        <v/>
      </c>
      <c r="G298" s="13" t="str">
        <f t="array" ref="G298">iferror(xlookup(A298,'Download of SFDC Activation Rep'!B:B,'Download of SFDC Activation Rep'!L:L),"")</f>
        <v/>
      </c>
      <c r="H298" s="17" t="str">
        <f t="shared" si="1"/>
        <v>Not Active</v>
      </c>
      <c r="I298" s="17" t="str">
        <f t="array" ref="I298">XLOOKUP(A298,'Download of SFDC Activation Rep'!B:B,'Download of SFDC Activation Rep'!T:T)</f>
        <v>#N/A</v>
      </c>
      <c r="J298" s="17" t="str">
        <f t="array" ref="J298">iferror(XLOOKUP(A298,'Download of SFDC Activation Rep'!B:B,'Download of SFDC Activation Rep'!C:C),"")</f>
        <v/>
      </c>
      <c r="K298" s="17" t="str">
        <f t="array" ref="K298">XLOOKUP(A298,'Download of SFDC Activation Rep'!B:B,'Download of SFDC Activation Rep'!X:X)</f>
        <v>#N/A</v>
      </c>
      <c r="L298" s="32" t="str">
        <f t="array" ref="L298">xlookup(A298,'Download of SFDC Activation Rep'!B:B,'Download of SFDC Activation Rep'!Z:Z)</f>
        <v>#N/A</v>
      </c>
    </row>
    <row r="299">
      <c r="B299" s="14"/>
      <c r="C299" s="14"/>
      <c r="D299" s="14"/>
      <c r="E299" s="14"/>
      <c r="F299" s="13" t="str">
        <f t="array" ref="F299">iferror(XLOOKUP(A299,'Download of SFDC Activation Rep'!B:B,'Download of SFDC Activation Rep'!H:H),"")</f>
        <v/>
      </c>
      <c r="G299" s="13" t="str">
        <f t="array" ref="G299">iferror(xlookup(A299,'Download of SFDC Activation Rep'!B:B,'Download of SFDC Activation Rep'!L:L),"")</f>
        <v/>
      </c>
      <c r="H299" s="17" t="str">
        <f t="shared" si="1"/>
        <v>Not Active</v>
      </c>
      <c r="I299" s="17" t="str">
        <f t="array" ref="I299">XLOOKUP(A299,'Download of SFDC Activation Rep'!B:B,'Download of SFDC Activation Rep'!T:T)</f>
        <v>#N/A</v>
      </c>
      <c r="J299" s="17" t="str">
        <f t="array" ref="J299">iferror(XLOOKUP(A299,'Download of SFDC Activation Rep'!B:B,'Download of SFDC Activation Rep'!C:C),"")</f>
        <v/>
      </c>
      <c r="K299" s="17" t="str">
        <f t="array" ref="K299">XLOOKUP(A299,'Download of SFDC Activation Rep'!B:B,'Download of SFDC Activation Rep'!X:X)</f>
        <v>#N/A</v>
      </c>
      <c r="L299" s="32" t="str">
        <f t="array" ref="L299">xlookup(A299,'Download of SFDC Activation Rep'!B:B,'Download of SFDC Activation Rep'!Z:Z)</f>
        <v>#N/A</v>
      </c>
    </row>
    <row r="300">
      <c r="B300" s="14"/>
      <c r="C300" s="14"/>
      <c r="D300" s="14"/>
      <c r="E300" s="14"/>
      <c r="F300" s="13" t="str">
        <f t="array" ref="F300">iferror(XLOOKUP(A300,'Download of SFDC Activation Rep'!B:B,'Download of SFDC Activation Rep'!H:H),"")</f>
        <v/>
      </c>
      <c r="G300" s="13" t="str">
        <f t="array" ref="G300">iferror(xlookup(A300,'Download of SFDC Activation Rep'!B:B,'Download of SFDC Activation Rep'!L:L),"")</f>
        <v/>
      </c>
      <c r="H300" s="17" t="str">
        <f t="shared" si="1"/>
        <v>Not Active</v>
      </c>
      <c r="I300" s="17" t="str">
        <f t="array" ref="I300">XLOOKUP(A300,'Download of SFDC Activation Rep'!B:B,'Download of SFDC Activation Rep'!T:T)</f>
        <v>#N/A</v>
      </c>
      <c r="J300" s="17" t="str">
        <f t="array" ref="J300">iferror(XLOOKUP(A300,'Download of SFDC Activation Rep'!B:B,'Download of SFDC Activation Rep'!C:C),"")</f>
        <v/>
      </c>
      <c r="K300" s="17" t="str">
        <f t="array" ref="K300">XLOOKUP(A300,'Download of SFDC Activation Rep'!B:B,'Download of SFDC Activation Rep'!X:X)</f>
        <v>#N/A</v>
      </c>
      <c r="L300" s="32" t="str">
        <f t="array" ref="L300">xlookup(A300,'Download of SFDC Activation Rep'!B:B,'Download of SFDC Activation Rep'!Z:Z)</f>
        <v>#N/A</v>
      </c>
    </row>
    <row r="301">
      <c r="B301" s="14"/>
      <c r="C301" s="14"/>
      <c r="D301" s="14"/>
      <c r="E301" s="14"/>
      <c r="F301" s="13" t="str">
        <f t="array" ref="F301">iferror(XLOOKUP(A301,'Download of SFDC Activation Rep'!B:B,'Download of SFDC Activation Rep'!H:H),"")</f>
        <v/>
      </c>
      <c r="G301" s="13" t="str">
        <f t="array" ref="G301">iferror(xlookup(A301,'Download of SFDC Activation Rep'!B:B,'Download of SFDC Activation Rep'!L:L),"")</f>
        <v/>
      </c>
      <c r="H301" s="17" t="str">
        <f t="shared" si="1"/>
        <v>Not Active</v>
      </c>
      <c r="I301" s="17" t="str">
        <f t="array" ref="I301">XLOOKUP(A301,'Download of SFDC Activation Rep'!B:B,'Download of SFDC Activation Rep'!T:T)</f>
        <v>#N/A</v>
      </c>
      <c r="J301" s="17" t="str">
        <f t="array" ref="J301">iferror(XLOOKUP(A301,'Download of SFDC Activation Rep'!B:B,'Download of SFDC Activation Rep'!C:C),"")</f>
        <v/>
      </c>
      <c r="K301" s="17" t="str">
        <f t="array" ref="K301">XLOOKUP(A301,'Download of SFDC Activation Rep'!B:B,'Download of SFDC Activation Rep'!X:X)</f>
        <v>#N/A</v>
      </c>
      <c r="L301" s="32" t="str">
        <f t="array" ref="L301">xlookup(A301,'Download of SFDC Activation Rep'!B:B,'Download of SFDC Activation Rep'!Z:Z)</f>
        <v>#N/A</v>
      </c>
    </row>
    <row r="302">
      <c r="B302" s="14"/>
      <c r="C302" s="14"/>
      <c r="D302" s="14"/>
      <c r="E302" s="14"/>
      <c r="F302" s="13" t="str">
        <f t="array" ref="F302">iferror(XLOOKUP(A302,'Download of SFDC Activation Rep'!B:B,'Download of SFDC Activation Rep'!H:H),"")</f>
        <v/>
      </c>
      <c r="G302" s="13" t="str">
        <f t="array" ref="G302">iferror(xlookup(A302,'Download of SFDC Activation Rep'!B:B,'Download of SFDC Activation Rep'!L:L),"")</f>
        <v/>
      </c>
      <c r="H302" s="17" t="str">
        <f t="shared" si="1"/>
        <v>Not Active</v>
      </c>
      <c r="I302" s="17" t="str">
        <f t="array" ref="I302">XLOOKUP(A302,'Download of SFDC Activation Rep'!B:B,'Download of SFDC Activation Rep'!T:T)</f>
        <v>#N/A</v>
      </c>
      <c r="J302" s="17" t="str">
        <f t="array" ref="J302">iferror(XLOOKUP(A302,'Download of SFDC Activation Rep'!B:B,'Download of SFDC Activation Rep'!C:C),"")</f>
        <v/>
      </c>
      <c r="K302" s="17" t="str">
        <f t="array" ref="K302">XLOOKUP(A302,'Download of SFDC Activation Rep'!B:B,'Download of SFDC Activation Rep'!X:X)</f>
        <v>#N/A</v>
      </c>
      <c r="L302" s="32" t="str">
        <f t="array" ref="L302">xlookup(A302,'Download of SFDC Activation Rep'!B:B,'Download of SFDC Activation Rep'!Z:Z)</f>
        <v>#N/A</v>
      </c>
    </row>
    <row r="303">
      <c r="B303" s="14"/>
      <c r="C303" s="14"/>
      <c r="D303" s="14"/>
      <c r="E303" s="14"/>
      <c r="F303" s="13" t="str">
        <f t="array" ref="F303">iferror(XLOOKUP(A303,'Download of SFDC Activation Rep'!B:B,'Download of SFDC Activation Rep'!H:H),"")</f>
        <v/>
      </c>
      <c r="G303" s="13" t="str">
        <f t="array" ref="G303">iferror(xlookup(A303,'Download of SFDC Activation Rep'!B:B,'Download of SFDC Activation Rep'!L:L),"")</f>
        <v/>
      </c>
      <c r="H303" s="17" t="str">
        <f t="shared" si="1"/>
        <v>Not Active</v>
      </c>
      <c r="I303" s="17" t="str">
        <f t="array" ref="I303">XLOOKUP(A303,'Download of SFDC Activation Rep'!B:B,'Download of SFDC Activation Rep'!T:T)</f>
        <v>#N/A</v>
      </c>
      <c r="J303" s="17" t="str">
        <f t="array" ref="J303">iferror(XLOOKUP(A303,'Download of SFDC Activation Rep'!B:B,'Download of SFDC Activation Rep'!C:C),"")</f>
        <v/>
      </c>
      <c r="K303" s="17" t="str">
        <f t="array" ref="K303">XLOOKUP(A303,'Download of SFDC Activation Rep'!B:B,'Download of SFDC Activation Rep'!X:X)</f>
        <v>#N/A</v>
      </c>
      <c r="L303" s="32" t="str">
        <f t="array" ref="L303">xlookup(A303,'Download of SFDC Activation Rep'!B:B,'Download of SFDC Activation Rep'!Z:Z)</f>
        <v>#N/A</v>
      </c>
    </row>
    <row r="304">
      <c r="B304" s="14"/>
      <c r="C304" s="14"/>
      <c r="D304" s="14"/>
      <c r="E304" s="14"/>
      <c r="F304" s="13" t="str">
        <f t="array" ref="F304">iferror(XLOOKUP(A304,'Download of SFDC Activation Rep'!B:B,'Download of SFDC Activation Rep'!H:H),"")</f>
        <v/>
      </c>
      <c r="G304" s="13" t="str">
        <f t="array" ref="G304">iferror(xlookup(A304,'Download of SFDC Activation Rep'!B:B,'Download of SFDC Activation Rep'!L:L),"")</f>
        <v/>
      </c>
      <c r="H304" s="17" t="str">
        <f t="shared" si="1"/>
        <v>Not Active</v>
      </c>
      <c r="I304" s="17" t="str">
        <f t="array" ref="I304">XLOOKUP(A304,'Download of SFDC Activation Rep'!B:B,'Download of SFDC Activation Rep'!T:T)</f>
        <v>#N/A</v>
      </c>
      <c r="J304" s="17" t="str">
        <f t="array" ref="J304">iferror(XLOOKUP(A304,'Download of SFDC Activation Rep'!B:B,'Download of SFDC Activation Rep'!C:C),"")</f>
        <v/>
      </c>
      <c r="K304" s="17" t="str">
        <f t="array" ref="K304">XLOOKUP(A304,'Download of SFDC Activation Rep'!B:B,'Download of SFDC Activation Rep'!X:X)</f>
        <v>#N/A</v>
      </c>
      <c r="L304" s="32" t="str">
        <f t="array" ref="L304">xlookup(A304,'Download of SFDC Activation Rep'!B:B,'Download of SFDC Activation Rep'!Z:Z)</f>
        <v>#N/A</v>
      </c>
    </row>
    <row r="305">
      <c r="B305" s="14"/>
      <c r="C305" s="14"/>
      <c r="D305" s="14"/>
      <c r="E305" s="14"/>
      <c r="F305" s="13" t="str">
        <f t="array" ref="F305">iferror(XLOOKUP(A305,'Download of SFDC Activation Rep'!B:B,'Download of SFDC Activation Rep'!H:H),"")</f>
        <v/>
      </c>
      <c r="G305" s="13" t="str">
        <f t="array" ref="G305">iferror(xlookup(A305,'Download of SFDC Activation Rep'!B:B,'Download of SFDC Activation Rep'!L:L),"")</f>
        <v/>
      </c>
      <c r="H305" s="17" t="str">
        <f t="shared" si="1"/>
        <v>Not Active</v>
      </c>
      <c r="I305" s="17" t="str">
        <f t="array" ref="I305">XLOOKUP(A305,'Download of SFDC Activation Rep'!B:B,'Download of SFDC Activation Rep'!T:T)</f>
        <v>#N/A</v>
      </c>
      <c r="J305" s="17" t="str">
        <f t="array" ref="J305">iferror(XLOOKUP(A305,'Download of SFDC Activation Rep'!B:B,'Download of SFDC Activation Rep'!C:C),"")</f>
        <v/>
      </c>
      <c r="K305" s="17" t="str">
        <f t="array" ref="K305">XLOOKUP(A305,'Download of SFDC Activation Rep'!B:B,'Download of SFDC Activation Rep'!X:X)</f>
        <v>#N/A</v>
      </c>
      <c r="L305" s="32" t="str">
        <f t="array" ref="L305">xlookup(A305,'Download of SFDC Activation Rep'!B:B,'Download of SFDC Activation Rep'!Z:Z)</f>
        <v>#N/A</v>
      </c>
    </row>
    <row r="306">
      <c r="B306" s="14"/>
      <c r="C306" s="14"/>
      <c r="D306" s="14"/>
      <c r="E306" s="14"/>
      <c r="F306" s="13" t="str">
        <f t="array" ref="F306">iferror(XLOOKUP(A306,'Download of SFDC Activation Rep'!B:B,'Download of SFDC Activation Rep'!H:H),"")</f>
        <v/>
      </c>
      <c r="G306" s="13" t="str">
        <f t="array" ref="G306">iferror(xlookup(A306,'Download of SFDC Activation Rep'!B:B,'Download of SFDC Activation Rep'!L:L),"")</f>
        <v/>
      </c>
      <c r="H306" s="17" t="str">
        <f t="shared" si="1"/>
        <v>Not Active</v>
      </c>
      <c r="I306" s="17" t="str">
        <f t="array" ref="I306">XLOOKUP(A306,'Download of SFDC Activation Rep'!B:B,'Download of SFDC Activation Rep'!T:T)</f>
        <v>#N/A</v>
      </c>
      <c r="J306" s="17" t="str">
        <f t="array" ref="J306">iferror(XLOOKUP(A306,'Download of SFDC Activation Rep'!B:B,'Download of SFDC Activation Rep'!C:C),"")</f>
        <v/>
      </c>
      <c r="K306" s="17" t="str">
        <f t="array" ref="K306">XLOOKUP(A306,'Download of SFDC Activation Rep'!B:B,'Download of SFDC Activation Rep'!X:X)</f>
        <v>#N/A</v>
      </c>
      <c r="L306" s="32" t="str">
        <f t="array" ref="L306">xlookup(A306,'Download of SFDC Activation Rep'!B:B,'Download of SFDC Activation Rep'!Z:Z)</f>
        <v>#N/A</v>
      </c>
    </row>
    <row r="307">
      <c r="B307" s="14"/>
      <c r="C307" s="14"/>
      <c r="D307" s="14"/>
      <c r="E307" s="14"/>
      <c r="F307" s="13" t="str">
        <f t="array" ref="F307">iferror(XLOOKUP(A307,'Download of SFDC Activation Rep'!B:B,'Download of SFDC Activation Rep'!H:H),"")</f>
        <v/>
      </c>
      <c r="G307" s="13" t="str">
        <f t="array" ref="G307">iferror(xlookup(A307,'Download of SFDC Activation Rep'!B:B,'Download of SFDC Activation Rep'!L:L),"")</f>
        <v/>
      </c>
      <c r="H307" s="17" t="str">
        <f t="shared" si="1"/>
        <v>Not Active</v>
      </c>
      <c r="I307" s="17" t="str">
        <f t="array" ref="I307">XLOOKUP(A307,'Download of SFDC Activation Rep'!B:B,'Download of SFDC Activation Rep'!T:T)</f>
        <v>#N/A</v>
      </c>
      <c r="J307" s="17" t="str">
        <f t="array" ref="J307">iferror(XLOOKUP(A307,'Download of SFDC Activation Rep'!B:B,'Download of SFDC Activation Rep'!C:C),"")</f>
        <v/>
      </c>
      <c r="K307" s="17" t="str">
        <f t="array" ref="K307">XLOOKUP(A307,'Download of SFDC Activation Rep'!B:B,'Download of SFDC Activation Rep'!X:X)</f>
        <v>#N/A</v>
      </c>
      <c r="L307" s="32" t="str">
        <f t="array" ref="L307">xlookup(A307,'Download of SFDC Activation Rep'!B:B,'Download of SFDC Activation Rep'!Z:Z)</f>
        <v>#N/A</v>
      </c>
    </row>
    <row r="308">
      <c r="B308" s="14"/>
      <c r="C308" s="14"/>
      <c r="D308" s="14"/>
      <c r="E308" s="14"/>
      <c r="F308" s="13" t="str">
        <f t="array" ref="F308">iferror(XLOOKUP(A308,'Download of SFDC Activation Rep'!B:B,'Download of SFDC Activation Rep'!H:H),"")</f>
        <v/>
      </c>
      <c r="G308" s="13" t="str">
        <f t="array" ref="G308">iferror(xlookup(A308,'Download of SFDC Activation Rep'!B:B,'Download of SFDC Activation Rep'!L:L),"")</f>
        <v/>
      </c>
      <c r="H308" s="17" t="str">
        <f t="shared" si="1"/>
        <v>Not Active</v>
      </c>
      <c r="I308" s="17" t="str">
        <f t="array" ref="I308">XLOOKUP(A308,'Download of SFDC Activation Rep'!B:B,'Download of SFDC Activation Rep'!T:T)</f>
        <v>#N/A</v>
      </c>
      <c r="J308" s="17" t="str">
        <f t="array" ref="J308">iferror(XLOOKUP(A308,'Download of SFDC Activation Rep'!B:B,'Download of SFDC Activation Rep'!C:C),"")</f>
        <v/>
      </c>
      <c r="K308" s="17" t="str">
        <f t="array" ref="K308">XLOOKUP(A308,'Download of SFDC Activation Rep'!B:B,'Download of SFDC Activation Rep'!X:X)</f>
        <v>#N/A</v>
      </c>
      <c r="L308" s="32" t="str">
        <f t="array" ref="L308">xlookup(A308,'Download of SFDC Activation Rep'!B:B,'Download of SFDC Activation Rep'!Z:Z)</f>
        <v>#N/A</v>
      </c>
    </row>
    <row r="309">
      <c r="B309" s="14"/>
      <c r="C309" s="14"/>
      <c r="D309" s="14"/>
      <c r="E309" s="14"/>
      <c r="F309" s="13" t="str">
        <f t="array" ref="F309">iferror(XLOOKUP(A309,'Download of SFDC Activation Rep'!B:B,'Download of SFDC Activation Rep'!H:H),"")</f>
        <v/>
      </c>
      <c r="G309" s="13" t="str">
        <f t="array" ref="G309">iferror(xlookup(A309,'Download of SFDC Activation Rep'!B:B,'Download of SFDC Activation Rep'!L:L),"")</f>
        <v/>
      </c>
      <c r="H309" s="17" t="str">
        <f t="shared" si="1"/>
        <v>Not Active</v>
      </c>
      <c r="I309" s="17" t="str">
        <f t="array" ref="I309">XLOOKUP(A309,'Download of SFDC Activation Rep'!B:B,'Download of SFDC Activation Rep'!T:T)</f>
        <v>#N/A</v>
      </c>
      <c r="J309" s="17" t="str">
        <f t="array" ref="J309">iferror(XLOOKUP(A309,'Download of SFDC Activation Rep'!B:B,'Download of SFDC Activation Rep'!C:C),"")</f>
        <v/>
      </c>
      <c r="K309" s="17" t="str">
        <f t="array" ref="K309">XLOOKUP(A309,'Download of SFDC Activation Rep'!B:B,'Download of SFDC Activation Rep'!X:X)</f>
        <v>#N/A</v>
      </c>
      <c r="L309" s="32" t="str">
        <f t="array" ref="L309">xlookup(A309,'Download of SFDC Activation Rep'!B:B,'Download of SFDC Activation Rep'!Z:Z)</f>
        <v>#N/A</v>
      </c>
    </row>
    <row r="310">
      <c r="B310" s="14"/>
      <c r="C310" s="14"/>
      <c r="D310" s="14"/>
      <c r="E310" s="14"/>
      <c r="F310" s="13" t="str">
        <f t="array" ref="F310">iferror(XLOOKUP(A310,'Download of SFDC Activation Rep'!B:B,'Download of SFDC Activation Rep'!H:H),"")</f>
        <v/>
      </c>
      <c r="G310" s="13" t="str">
        <f t="array" ref="G310">iferror(xlookup(A310,'Download of SFDC Activation Rep'!B:B,'Download of SFDC Activation Rep'!L:L),"")</f>
        <v/>
      </c>
      <c r="H310" s="17" t="str">
        <f t="shared" si="1"/>
        <v>Not Active</v>
      </c>
      <c r="I310" s="17" t="str">
        <f t="array" ref="I310">XLOOKUP(A310,'Download of SFDC Activation Rep'!B:B,'Download of SFDC Activation Rep'!T:T)</f>
        <v>#N/A</v>
      </c>
      <c r="J310" s="17" t="str">
        <f t="array" ref="J310">iferror(XLOOKUP(A310,'Download of SFDC Activation Rep'!B:B,'Download of SFDC Activation Rep'!C:C),"")</f>
        <v/>
      </c>
      <c r="K310" s="17" t="str">
        <f t="array" ref="K310">XLOOKUP(A310,'Download of SFDC Activation Rep'!B:B,'Download of SFDC Activation Rep'!X:X)</f>
        <v>#N/A</v>
      </c>
      <c r="L310" s="32" t="str">
        <f t="array" ref="L310">xlookup(A310,'Download of SFDC Activation Rep'!B:B,'Download of SFDC Activation Rep'!Z:Z)</f>
        <v>#N/A</v>
      </c>
    </row>
    <row r="311">
      <c r="B311" s="14"/>
      <c r="C311" s="14"/>
      <c r="D311" s="14"/>
      <c r="E311" s="14"/>
      <c r="F311" s="13" t="str">
        <f t="array" ref="F311">iferror(XLOOKUP(A311,'Download of SFDC Activation Rep'!B:B,'Download of SFDC Activation Rep'!H:H),"")</f>
        <v/>
      </c>
      <c r="G311" s="13" t="str">
        <f t="array" ref="G311">iferror(xlookup(A311,'Download of SFDC Activation Rep'!B:B,'Download of SFDC Activation Rep'!L:L),"")</f>
        <v/>
      </c>
      <c r="H311" s="17" t="str">
        <f t="shared" si="1"/>
        <v>Not Active</v>
      </c>
      <c r="I311" s="17" t="str">
        <f t="array" ref="I311">XLOOKUP(A311,'Download of SFDC Activation Rep'!B:B,'Download of SFDC Activation Rep'!T:T)</f>
        <v>#N/A</v>
      </c>
      <c r="J311" s="17" t="str">
        <f t="array" ref="J311">iferror(XLOOKUP(A311,'Download of SFDC Activation Rep'!B:B,'Download of SFDC Activation Rep'!C:C),"")</f>
        <v/>
      </c>
      <c r="K311" s="17" t="str">
        <f t="array" ref="K311">XLOOKUP(A311,'Download of SFDC Activation Rep'!B:B,'Download of SFDC Activation Rep'!X:X)</f>
        <v>#N/A</v>
      </c>
      <c r="L311" s="32" t="str">
        <f t="array" ref="L311">xlookup(A311,'Download of SFDC Activation Rep'!B:B,'Download of SFDC Activation Rep'!Z:Z)</f>
        <v>#N/A</v>
      </c>
    </row>
    <row r="312">
      <c r="B312" s="14"/>
      <c r="C312" s="14"/>
      <c r="D312" s="14"/>
      <c r="E312" s="14"/>
      <c r="F312" s="13" t="str">
        <f t="array" ref="F312">iferror(XLOOKUP(A312,'Download of SFDC Activation Rep'!B:B,'Download of SFDC Activation Rep'!H:H),"")</f>
        <v/>
      </c>
      <c r="G312" s="13" t="str">
        <f t="array" ref="G312">iferror(xlookup(A312,'Download of SFDC Activation Rep'!B:B,'Download of SFDC Activation Rep'!L:L),"")</f>
        <v/>
      </c>
      <c r="H312" s="17" t="str">
        <f t="shared" si="1"/>
        <v>Not Active</v>
      </c>
      <c r="I312" s="17" t="str">
        <f t="array" ref="I312">XLOOKUP(A312,'Download of SFDC Activation Rep'!B:B,'Download of SFDC Activation Rep'!T:T)</f>
        <v>#N/A</v>
      </c>
      <c r="J312" s="17" t="str">
        <f t="array" ref="J312">iferror(XLOOKUP(A312,'Download of SFDC Activation Rep'!B:B,'Download of SFDC Activation Rep'!C:C),"")</f>
        <v/>
      </c>
      <c r="K312" s="17" t="str">
        <f t="array" ref="K312">XLOOKUP(A312,'Download of SFDC Activation Rep'!B:B,'Download of SFDC Activation Rep'!X:X)</f>
        <v>#N/A</v>
      </c>
      <c r="L312" s="32" t="str">
        <f t="array" ref="L312">xlookup(A312,'Download of SFDC Activation Rep'!B:B,'Download of SFDC Activation Rep'!Z:Z)</f>
        <v>#N/A</v>
      </c>
    </row>
    <row r="313">
      <c r="B313" s="14"/>
      <c r="C313" s="14"/>
      <c r="D313" s="14"/>
      <c r="E313" s="14"/>
      <c r="F313" s="13" t="str">
        <f t="array" ref="F313">iferror(XLOOKUP(A313,'Download of SFDC Activation Rep'!B:B,'Download of SFDC Activation Rep'!H:H),"")</f>
        <v/>
      </c>
      <c r="G313" s="13" t="str">
        <f t="array" ref="G313">iferror(xlookup(A313,'Download of SFDC Activation Rep'!B:B,'Download of SFDC Activation Rep'!L:L),"")</f>
        <v/>
      </c>
      <c r="H313" s="17" t="str">
        <f t="shared" si="1"/>
        <v>Not Active</v>
      </c>
      <c r="I313" s="17" t="str">
        <f t="array" ref="I313">XLOOKUP(A313,'Download of SFDC Activation Rep'!B:B,'Download of SFDC Activation Rep'!T:T)</f>
        <v>#N/A</v>
      </c>
      <c r="J313" s="17" t="str">
        <f t="array" ref="J313">iferror(XLOOKUP(A313,'Download of SFDC Activation Rep'!B:B,'Download of SFDC Activation Rep'!C:C),"")</f>
        <v/>
      </c>
      <c r="K313" s="17" t="str">
        <f t="array" ref="K313">XLOOKUP(A313,'Download of SFDC Activation Rep'!B:B,'Download of SFDC Activation Rep'!X:X)</f>
        <v>#N/A</v>
      </c>
      <c r="L313" s="32" t="str">
        <f t="array" ref="L313">xlookup(A313,'Download of SFDC Activation Rep'!B:B,'Download of SFDC Activation Rep'!Z:Z)</f>
        <v>#N/A</v>
      </c>
    </row>
    <row r="314">
      <c r="B314" s="14"/>
      <c r="C314" s="14"/>
      <c r="D314" s="14"/>
      <c r="E314" s="14"/>
      <c r="F314" s="13" t="str">
        <f t="array" ref="F314">iferror(XLOOKUP(A314,'Download of SFDC Activation Rep'!B:B,'Download of SFDC Activation Rep'!H:H),"")</f>
        <v/>
      </c>
      <c r="G314" s="13" t="str">
        <f t="array" ref="G314">iferror(xlookup(A314,'Download of SFDC Activation Rep'!B:B,'Download of SFDC Activation Rep'!L:L),"")</f>
        <v/>
      </c>
      <c r="H314" s="17" t="str">
        <f t="shared" si="1"/>
        <v>Not Active</v>
      </c>
      <c r="I314" s="17" t="str">
        <f t="array" ref="I314">XLOOKUP(A314,'Download of SFDC Activation Rep'!B:B,'Download of SFDC Activation Rep'!T:T)</f>
        <v>#N/A</v>
      </c>
      <c r="J314" s="17" t="str">
        <f t="array" ref="J314">iferror(XLOOKUP(A314,'Download of SFDC Activation Rep'!B:B,'Download of SFDC Activation Rep'!C:C),"")</f>
        <v/>
      </c>
      <c r="K314" s="17" t="str">
        <f t="array" ref="K314">XLOOKUP(A314,'Download of SFDC Activation Rep'!B:B,'Download of SFDC Activation Rep'!X:X)</f>
        <v>#N/A</v>
      </c>
      <c r="L314" s="32" t="str">
        <f t="array" ref="L314">xlookup(A314,'Download of SFDC Activation Rep'!B:B,'Download of SFDC Activation Rep'!Z:Z)</f>
        <v>#N/A</v>
      </c>
    </row>
    <row r="315">
      <c r="B315" s="14"/>
      <c r="C315" s="14"/>
      <c r="D315" s="14"/>
      <c r="E315" s="14"/>
      <c r="F315" s="13" t="str">
        <f t="array" ref="F315">iferror(XLOOKUP(A315,'Download of SFDC Activation Rep'!B:B,'Download of SFDC Activation Rep'!H:H),"")</f>
        <v/>
      </c>
      <c r="G315" s="13" t="str">
        <f t="array" ref="G315">iferror(xlookup(A315,'Download of SFDC Activation Rep'!B:B,'Download of SFDC Activation Rep'!L:L),"")</f>
        <v/>
      </c>
      <c r="H315" s="17" t="str">
        <f t="shared" si="1"/>
        <v>Not Active</v>
      </c>
      <c r="I315" s="17" t="str">
        <f t="array" ref="I315">XLOOKUP(A315,'Download of SFDC Activation Rep'!B:B,'Download of SFDC Activation Rep'!T:T)</f>
        <v>#N/A</v>
      </c>
      <c r="J315" s="17" t="str">
        <f t="array" ref="J315">iferror(XLOOKUP(A315,'Download of SFDC Activation Rep'!B:B,'Download of SFDC Activation Rep'!C:C),"")</f>
        <v/>
      </c>
      <c r="K315" s="17" t="str">
        <f t="array" ref="K315">XLOOKUP(A315,'Download of SFDC Activation Rep'!B:B,'Download of SFDC Activation Rep'!X:X)</f>
        <v>#N/A</v>
      </c>
      <c r="L315" s="32" t="str">
        <f t="array" ref="L315">xlookup(A315,'Download of SFDC Activation Rep'!B:B,'Download of SFDC Activation Rep'!Z:Z)</f>
        <v>#N/A</v>
      </c>
    </row>
    <row r="316">
      <c r="B316" s="14"/>
      <c r="C316" s="14"/>
      <c r="D316" s="14"/>
      <c r="E316" s="14"/>
      <c r="F316" s="13" t="str">
        <f t="array" ref="F316">iferror(XLOOKUP(A316,'Download of SFDC Activation Rep'!B:B,'Download of SFDC Activation Rep'!H:H),"")</f>
        <v/>
      </c>
      <c r="G316" s="13" t="str">
        <f t="array" ref="G316">iferror(xlookup(A316,'Download of SFDC Activation Rep'!B:B,'Download of SFDC Activation Rep'!L:L),"")</f>
        <v/>
      </c>
      <c r="H316" s="17" t="str">
        <f t="shared" si="1"/>
        <v>Not Active</v>
      </c>
      <c r="I316" s="17" t="str">
        <f t="array" ref="I316">XLOOKUP(A316,'Download of SFDC Activation Rep'!B:B,'Download of SFDC Activation Rep'!T:T)</f>
        <v>#N/A</v>
      </c>
      <c r="J316" s="17" t="str">
        <f t="array" ref="J316">iferror(XLOOKUP(A316,'Download of SFDC Activation Rep'!B:B,'Download of SFDC Activation Rep'!C:C),"")</f>
        <v/>
      </c>
      <c r="K316" s="17" t="str">
        <f t="array" ref="K316">XLOOKUP(A316,'Download of SFDC Activation Rep'!B:B,'Download of SFDC Activation Rep'!X:X)</f>
        <v>#N/A</v>
      </c>
      <c r="L316" s="32" t="str">
        <f t="array" ref="L316">xlookup(A316,'Download of SFDC Activation Rep'!B:B,'Download of SFDC Activation Rep'!Z:Z)</f>
        <v>#N/A</v>
      </c>
    </row>
    <row r="317">
      <c r="B317" s="14"/>
      <c r="C317" s="14"/>
      <c r="D317" s="14"/>
      <c r="E317" s="14"/>
      <c r="F317" s="13" t="str">
        <f t="array" ref="F317">iferror(XLOOKUP(A317,'Download of SFDC Activation Rep'!B:B,'Download of SFDC Activation Rep'!H:H),"")</f>
        <v/>
      </c>
      <c r="G317" s="13" t="str">
        <f t="array" ref="G317">iferror(xlookup(A317,'Download of SFDC Activation Rep'!B:B,'Download of SFDC Activation Rep'!L:L),"")</f>
        <v/>
      </c>
      <c r="H317" s="17" t="str">
        <f t="shared" si="1"/>
        <v>Not Active</v>
      </c>
      <c r="I317" s="17" t="str">
        <f t="array" ref="I317">XLOOKUP(A317,'Download of SFDC Activation Rep'!B:B,'Download of SFDC Activation Rep'!T:T)</f>
        <v>#N/A</v>
      </c>
      <c r="J317" s="17" t="str">
        <f t="array" ref="J317">iferror(XLOOKUP(A317,'Download of SFDC Activation Rep'!B:B,'Download of SFDC Activation Rep'!C:C),"")</f>
        <v/>
      </c>
      <c r="K317" s="17" t="str">
        <f t="array" ref="K317">XLOOKUP(A317,'Download of SFDC Activation Rep'!B:B,'Download of SFDC Activation Rep'!X:X)</f>
        <v>#N/A</v>
      </c>
      <c r="L317" s="32" t="str">
        <f t="array" ref="L317">xlookup(A317,'Download of SFDC Activation Rep'!B:B,'Download of SFDC Activation Rep'!Z:Z)</f>
        <v>#N/A</v>
      </c>
    </row>
    <row r="318">
      <c r="B318" s="14"/>
      <c r="C318" s="14"/>
      <c r="D318" s="14"/>
      <c r="E318" s="14"/>
      <c r="F318" s="13" t="str">
        <f t="array" ref="F318">iferror(XLOOKUP(A318,'Download of SFDC Activation Rep'!B:B,'Download of SFDC Activation Rep'!H:H),"")</f>
        <v/>
      </c>
      <c r="G318" s="13" t="str">
        <f t="array" ref="G318">iferror(xlookup(A318,'Download of SFDC Activation Rep'!B:B,'Download of SFDC Activation Rep'!L:L),"")</f>
        <v/>
      </c>
      <c r="H318" s="17" t="str">
        <f t="shared" si="1"/>
        <v>Not Active</v>
      </c>
      <c r="I318" s="17" t="str">
        <f t="array" ref="I318">XLOOKUP(A318,'Download of SFDC Activation Rep'!B:B,'Download of SFDC Activation Rep'!T:T)</f>
        <v>#N/A</v>
      </c>
      <c r="J318" s="17" t="str">
        <f t="array" ref="J318">iferror(XLOOKUP(A318,'Download of SFDC Activation Rep'!B:B,'Download of SFDC Activation Rep'!C:C),"")</f>
        <v/>
      </c>
      <c r="K318" s="17" t="str">
        <f t="array" ref="K318">XLOOKUP(A318,'Download of SFDC Activation Rep'!B:B,'Download of SFDC Activation Rep'!X:X)</f>
        <v>#N/A</v>
      </c>
      <c r="L318" s="32" t="str">
        <f t="array" ref="L318">xlookup(A318,'Download of SFDC Activation Rep'!B:B,'Download of SFDC Activation Rep'!Z:Z)</f>
        <v>#N/A</v>
      </c>
    </row>
    <row r="319">
      <c r="B319" s="14"/>
      <c r="C319" s="14"/>
      <c r="D319" s="14"/>
      <c r="E319" s="14"/>
      <c r="F319" s="13" t="str">
        <f t="array" ref="F319">iferror(XLOOKUP(A319,'Download of SFDC Activation Rep'!B:B,'Download of SFDC Activation Rep'!H:H),"")</f>
        <v/>
      </c>
      <c r="G319" s="13" t="str">
        <f t="array" ref="G319">iferror(xlookup(A319,'Download of SFDC Activation Rep'!B:B,'Download of SFDC Activation Rep'!L:L),"")</f>
        <v/>
      </c>
      <c r="H319" s="17" t="str">
        <f t="shared" si="1"/>
        <v>Not Active</v>
      </c>
      <c r="I319" s="17" t="str">
        <f t="array" ref="I319">XLOOKUP(A319,'Download of SFDC Activation Rep'!B:B,'Download of SFDC Activation Rep'!T:T)</f>
        <v>#N/A</v>
      </c>
      <c r="J319" s="17" t="str">
        <f t="array" ref="J319">iferror(XLOOKUP(A319,'Download of SFDC Activation Rep'!B:B,'Download of SFDC Activation Rep'!C:C),"")</f>
        <v/>
      </c>
      <c r="K319" s="17" t="str">
        <f t="array" ref="K319">XLOOKUP(A319,'Download of SFDC Activation Rep'!B:B,'Download of SFDC Activation Rep'!X:X)</f>
        <v>#N/A</v>
      </c>
      <c r="L319" s="32" t="str">
        <f t="array" ref="L319">xlookup(A319,'Download of SFDC Activation Rep'!B:B,'Download of SFDC Activation Rep'!Z:Z)</f>
        <v>#N/A</v>
      </c>
    </row>
    <row r="320">
      <c r="B320" s="14"/>
      <c r="C320" s="14"/>
      <c r="D320" s="14"/>
      <c r="E320" s="14"/>
      <c r="F320" s="13" t="str">
        <f t="array" ref="F320">iferror(XLOOKUP(A320,'Download of SFDC Activation Rep'!B:B,'Download of SFDC Activation Rep'!H:H),"")</f>
        <v/>
      </c>
      <c r="G320" s="13" t="str">
        <f t="array" ref="G320">iferror(xlookup(A320,'Download of SFDC Activation Rep'!B:B,'Download of SFDC Activation Rep'!L:L),"")</f>
        <v/>
      </c>
      <c r="H320" s="17" t="str">
        <f t="shared" si="1"/>
        <v>Not Active</v>
      </c>
      <c r="I320" s="17" t="str">
        <f t="array" ref="I320">XLOOKUP(A320,'Download of SFDC Activation Rep'!B:B,'Download of SFDC Activation Rep'!T:T)</f>
        <v>#N/A</v>
      </c>
      <c r="J320" s="17" t="str">
        <f t="array" ref="J320">iferror(XLOOKUP(A320,'Download of SFDC Activation Rep'!B:B,'Download of SFDC Activation Rep'!C:C),"")</f>
        <v/>
      </c>
      <c r="K320" s="17" t="str">
        <f t="array" ref="K320">XLOOKUP(A320,'Download of SFDC Activation Rep'!B:B,'Download of SFDC Activation Rep'!X:X)</f>
        <v>#N/A</v>
      </c>
      <c r="L320" s="32" t="str">
        <f t="array" ref="L320">xlookup(A320,'Download of SFDC Activation Rep'!B:B,'Download of SFDC Activation Rep'!Z:Z)</f>
        <v>#N/A</v>
      </c>
    </row>
    <row r="321">
      <c r="B321" s="14"/>
      <c r="C321" s="14"/>
      <c r="D321" s="14"/>
      <c r="E321" s="14"/>
      <c r="F321" s="13" t="str">
        <f t="array" ref="F321">iferror(XLOOKUP(A321,'Download of SFDC Activation Rep'!B:B,'Download of SFDC Activation Rep'!H:H),"")</f>
        <v/>
      </c>
      <c r="G321" s="13" t="str">
        <f t="array" ref="G321">iferror(xlookup(A321,'Download of SFDC Activation Rep'!B:B,'Download of SFDC Activation Rep'!L:L),"")</f>
        <v/>
      </c>
      <c r="H321" s="17" t="str">
        <f t="shared" si="1"/>
        <v>Not Active</v>
      </c>
      <c r="I321" s="17" t="str">
        <f t="array" ref="I321">XLOOKUP(A321,'Download of SFDC Activation Rep'!B:B,'Download of SFDC Activation Rep'!T:T)</f>
        <v>#N/A</v>
      </c>
      <c r="J321" s="17" t="str">
        <f t="array" ref="J321">iferror(XLOOKUP(A321,'Download of SFDC Activation Rep'!B:B,'Download of SFDC Activation Rep'!C:C),"")</f>
        <v/>
      </c>
      <c r="K321" s="17" t="str">
        <f t="array" ref="K321">XLOOKUP(A321,'Download of SFDC Activation Rep'!B:B,'Download of SFDC Activation Rep'!X:X)</f>
        <v>#N/A</v>
      </c>
      <c r="L321" s="32" t="str">
        <f t="array" ref="L321">xlookup(A321,'Download of SFDC Activation Rep'!B:B,'Download of SFDC Activation Rep'!Z:Z)</f>
        <v>#N/A</v>
      </c>
    </row>
    <row r="322">
      <c r="B322" s="14"/>
      <c r="C322" s="14"/>
      <c r="D322" s="14"/>
      <c r="E322" s="14"/>
      <c r="F322" s="13" t="str">
        <f t="array" ref="F322">iferror(XLOOKUP(A322,'Download of SFDC Activation Rep'!B:B,'Download of SFDC Activation Rep'!H:H),"")</f>
        <v/>
      </c>
      <c r="G322" s="13" t="str">
        <f t="array" ref="G322">iferror(xlookup(A322,'Download of SFDC Activation Rep'!B:B,'Download of SFDC Activation Rep'!L:L),"")</f>
        <v/>
      </c>
      <c r="H322" s="17" t="str">
        <f t="shared" si="1"/>
        <v>Not Active</v>
      </c>
      <c r="I322" s="17" t="str">
        <f t="array" ref="I322">XLOOKUP(A322,'Download of SFDC Activation Rep'!B:B,'Download of SFDC Activation Rep'!T:T)</f>
        <v>#N/A</v>
      </c>
      <c r="J322" s="17" t="str">
        <f t="array" ref="J322">iferror(XLOOKUP(A322,'Download of SFDC Activation Rep'!B:B,'Download of SFDC Activation Rep'!C:C),"")</f>
        <v/>
      </c>
      <c r="K322" s="17" t="str">
        <f t="array" ref="K322">XLOOKUP(A322,'Download of SFDC Activation Rep'!B:B,'Download of SFDC Activation Rep'!X:X)</f>
        <v>#N/A</v>
      </c>
      <c r="L322" s="32" t="str">
        <f t="array" ref="L322">xlookup(A322,'Download of SFDC Activation Rep'!B:B,'Download of SFDC Activation Rep'!Z:Z)</f>
        <v>#N/A</v>
      </c>
    </row>
    <row r="323">
      <c r="B323" s="14"/>
      <c r="C323" s="14"/>
      <c r="D323" s="14"/>
      <c r="E323" s="14"/>
      <c r="F323" s="13" t="str">
        <f t="array" ref="F323">iferror(XLOOKUP(A323,'Download of SFDC Activation Rep'!B:B,'Download of SFDC Activation Rep'!H:H),"")</f>
        <v/>
      </c>
      <c r="G323" s="13" t="str">
        <f t="array" ref="G323">iferror(xlookup(A323,'Download of SFDC Activation Rep'!B:B,'Download of SFDC Activation Rep'!L:L),"")</f>
        <v/>
      </c>
      <c r="H323" s="17" t="str">
        <f t="shared" si="1"/>
        <v>Not Active</v>
      </c>
      <c r="I323" s="17" t="str">
        <f t="array" ref="I323">XLOOKUP(A323,'Download of SFDC Activation Rep'!B:B,'Download of SFDC Activation Rep'!T:T)</f>
        <v>#N/A</v>
      </c>
      <c r="J323" s="17" t="str">
        <f t="array" ref="J323">iferror(XLOOKUP(A323,'Download of SFDC Activation Rep'!B:B,'Download of SFDC Activation Rep'!C:C),"")</f>
        <v/>
      </c>
      <c r="K323" s="17" t="str">
        <f t="array" ref="K323">XLOOKUP(A323,'Download of SFDC Activation Rep'!B:B,'Download of SFDC Activation Rep'!X:X)</f>
        <v>#N/A</v>
      </c>
      <c r="L323" s="32" t="str">
        <f t="array" ref="L323">xlookup(A323,'Download of SFDC Activation Rep'!B:B,'Download of SFDC Activation Rep'!Z:Z)</f>
        <v>#N/A</v>
      </c>
    </row>
    <row r="324">
      <c r="B324" s="14"/>
      <c r="C324" s="14"/>
      <c r="D324" s="14"/>
      <c r="E324" s="14"/>
      <c r="F324" s="13" t="str">
        <f t="array" ref="F324">iferror(XLOOKUP(A324,'Download of SFDC Activation Rep'!B:B,'Download of SFDC Activation Rep'!H:H),"")</f>
        <v/>
      </c>
      <c r="G324" s="13" t="str">
        <f t="array" ref="G324">iferror(xlookup(A324,'Download of SFDC Activation Rep'!B:B,'Download of SFDC Activation Rep'!L:L),"")</f>
        <v/>
      </c>
      <c r="H324" s="17" t="str">
        <f t="shared" si="1"/>
        <v>Not Active</v>
      </c>
      <c r="I324" s="17" t="str">
        <f t="array" ref="I324">XLOOKUP(A324,'Download of SFDC Activation Rep'!B:B,'Download of SFDC Activation Rep'!T:T)</f>
        <v>#N/A</v>
      </c>
      <c r="J324" s="17" t="str">
        <f t="array" ref="J324">iferror(XLOOKUP(A324,'Download of SFDC Activation Rep'!B:B,'Download of SFDC Activation Rep'!C:C),"")</f>
        <v/>
      </c>
      <c r="K324" s="17" t="str">
        <f t="array" ref="K324">XLOOKUP(A324,'Download of SFDC Activation Rep'!B:B,'Download of SFDC Activation Rep'!X:X)</f>
        <v>#N/A</v>
      </c>
      <c r="L324" s="32" t="str">
        <f t="array" ref="L324">xlookup(A324,'Download of SFDC Activation Rep'!B:B,'Download of SFDC Activation Rep'!Z:Z)</f>
        <v>#N/A</v>
      </c>
    </row>
    <row r="325">
      <c r="B325" s="14"/>
      <c r="C325" s="14"/>
      <c r="D325" s="14"/>
      <c r="E325" s="14"/>
      <c r="F325" s="13" t="str">
        <f t="array" ref="F325">iferror(XLOOKUP(A325,'Download of SFDC Activation Rep'!B:B,'Download of SFDC Activation Rep'!H:H),"")</f>
        <v/>
      </c>
      <c r="G325" s="13" t="str">
        <f t="array" ref="G325">iferror(xlookup(A325,'Download of SFDC Activation Rep'!B:B,'Download of SFDC Activation Rep'!L:L),"")</f>
        <v/>
      </c>
      <c r="H325" s="17" t="str">
        <f t="shared" si="1"/>
        <v>Not Active</v>
      </c>
      <c r="I325" s="17" t="str">
        <f t="array" ref="I325">XLOOKUP(A325,'Download of SFDC Activation Rep'!B:B,'Download of SFDC Activation Rep'!T:T)</f>
        <v>#N/A</v>
      </c>
      <c r="J325" s="17" t="str">
        <f t="array" ref="J325">iferror(XLOOKUP(A325,'Download of SFDC Activation Rep'!B:B,'Download of SFDC Activation Rep'!C:C),"")</f>
        <v/>
      </c>
      <c r="K325" s="17" t="str">
        <f t="array" ref="K325">XLOOKUP(A325,'Download of SFDC Activation Rep'!B:B,'Download of SFDC Activation Rep'!X:X)</f>
        <v>#N/A</v>
      </c>
      <c r="L325" s="32" t="str">
        <f t="array" ref="L325">xlookup(A325,'Download of SFDC Activation Rep'!B:B,'Download of SFDC Activation Rep'!Z:Z)</f>
        <v>#N/A</v>
      </c>
    </row>
    <row r="326">
      <c r="B326" s="14"/>
      <c r="C326" s="14"/>
      <c r="D326" s="14"/>
      <c r="E326" s="14"/>
      <c r="F326" s="13" t="str">
        <f t="array" ref="F326">iferror(XLOOKUP(A326,'Download of SFDC Activation Rep'!B:B,'Download of SFDC Activation Rep'!H:H),"")</f>
        <v/>
      </c>
      <c r="G326" s="13" t="str">
        <f t="array" ref="G326">iferror(xlookup(A326,'Download of SFDC Activation Rep'!B:B,'Download of SFDC Activation Rep'!L:L),"")</f>
        <v/>
      </c>
      <c r="H326" s="17" t="str">
        <f t="shared" si="1"/>
        <v>Not Active</v>
      </c>
      <c r="I326" s="17" t="str">
        <f t="array" ref="I326">XLOOKUP(A326,'Download of SFDC Activation Rep'!B:B,'Download of SFDC Activation Rep'!T:T)</f>
        <v>#N/A</v>
      </c>
      <c r="J326" s="17" t="str">
        <f t="array" ref="J326">iferror(XLOOKUP(A326,'Download of SFDC Activation Rep'!B:B,'Download of SFDC Activation Rep'!C:C),"")</f>
        <v/>
      </c>
      <c r="K326" s="17" t="str">
        <f t="array" ref="K326">XLOOKUP(A326,'Download of SFDC Activation Rep'!B:B,'Download of SFDC Activation Rep'!X:X)</f>
        <v>#N/A</v>
      </c>
      <c r="L326" s="32" t="str">
        <f t="array" ref="L326">xlookup(A326,'Download of SFDC Activation Rep'!B:B,'Download of SFDC Activation Rep'!Z:Z)</f>
        <v>#N/A</v>
      </c>
    </row>
    <row r="327">
      <c r="B327" s="14"/>
      <c r="C327" s="14"/>
      <c r="D327" s="14"/>
      <c r="E327" s="14"/>
      <c r="F327" s="13" t="str">
        <f t="array" ref="F327">iferror(XLOOKUP(A327,'Download of SFDC Activation Rep'!B:B,'Download of SFDC Activation Rep'!H:H),"")</f>
        <v/>
      </c>
      <c r="G327" s="13" t="str">
        <f t="array" ref="G327">iferror(xlookup(A327,'Download of SFDC Activation Rep'!B:B,'Download of SFDC Activation Rep'!L:L),"")</f>
        <v/>
      </c>
      <c r="H327" s="17" t="str">
        <f t="shared" si="1"/>
        <v>Not Active</v>
      </c>
      <c r="I327" s="17" t="str">
        <f t="array" ref="I327">XLOOKUP(A327,'Download of SFDC Activation Rep'!B:B,'Download of SFDC Activation Rep'!T:T)</f>
        <v>#N/A</v>
      </c>
      <c r="J327" s="17" t="str">
        <f t="array" ref="J327">iferror(XLOOKUP(A327,'Download of SFDC Activation Rep'!B:B,'Download of SFDC Activation Rep'!C:C),"")</f>
        <v/>
      </c>
      <c r="K327" s="17" t="str">
        <f t="array" ref="K327">XLOOKUP(A327,'Download of SFDC Activation Rep'!B:B,'Download of SFDC Activation Rep'!X:X)</f>
        <v>#N/A</v>
      </c>
      <c r="L327" s="32" t="str">
        <f t="array" ref="L327">xlookup(A327,'Download of SFDC Activation Rep'!B:B,'Download of SFDC Activation Rep'!Z:Z)</f>
        <v>#N/A</v>
      </c>
    </row>
    <row r="328">
      <c r="B328" s="14"/>
      <c r="C328" s="14"/>
      <c r="D328" s="14"/>
      <c r="E328" s="14"/>
      <c r="F328" s="13" t="str">
        <f t="array" ref="F328">iferror(XLOOKUP(A328,'Download of SFDC Activation Rep'!B:B,'Download of SFDC Activation Rep'!H:H),"")</f>
        <v/>
      </c>
      <c r="G328" s="13" t="str">
        <f t="array" ref="G328">iferror(xlookup(A328,'Download of SFDC Activation Rep'!B:B,'Download of SFDC Activation Rep'!L:L),"")</f>
        <v/>
      </c>
      <c r="H328" s="17" t="str">
        <f t="shared" si="1"/>
        <v>Not Active</v>
      </c>
      <c r="I328" s="17" t="str">
        <f t="array" ref="I328">XLOOKUP(A328,'Download of SFDC Activation Rep'!B:B,'Download of SFDC Activation Rep'!T:T)</f>
        <v>#N/A</v>
      </c>
      <c r="J328" s="17" t="str">
        <f t="array" ref="J328">iferror(XLOOKUP(A328,'Download of SFDC Activation Rep'!B:B,'Download of SFDC Activation Rep'!C:C),"")</f>
        <v/>
      </c>
      <c r="K328" s="17" t="str">
        <f t="array" ref="K328">XLOOKUP(A328,'Download of SFDC Activation Rep'!B:B,'Download of SFDC Activation Rep'!X:X)</f>
        <v>#N/A</v>
      </c>
      <c r="L328" s="32" t="str">
        <f t="array" ref="L328">xlookup(A328,'Download of SFDC Activation Rep'!B:B,'Download of SFDC Activation Rep'!Z:Z)</f>
        <v>#N/A</v>
      </c>
    </row>
    <row r="329">
      <c r="B329" s="14"/>
      <c r="C329" s="14"/>
      <c r="D329" s="14"/>
      <c r="E329" s="14"/>
      <c r="F329" s="13" t="str">
        <f t="array" ref="F329">iferror(XLOOKUP(A329,'Download of SFDC Activation Rep'!B:B,'Download of SFDC Activation Rep'!H:H),"")</f>
        <v/>
      </c>
      <c r="G329" s="13" t="str">
        <f t="array" ref="G329">iferror(xlookup(A329,'Download of SFDC Activation Rep'!B:B,'Download of SFDC Activation Rep'!L:L),"")</f>
        <v/>
      </c>
      <c r="H329" s="17" t="str">
        <f t="shared" si="1"/>
        <v>Not Active</v>
      </c>
      <c r="I329" s="17" t="str">
        <f t="array" ref="I329">XLOOKUP(A329,'Download of SFDC Activation Rep'!B:B,'Download of SFDC Activation Rep'!T:T)</f>
        <v>#N/A</v>
      </c>
      <c r="J329" s="17" t="str">
        <f t="array" ref="J329">iferror(XLOOKUP(A329,'Download of SFDC Activation Rep'!B:B,'Download of SFDC Activation Rep'!C:C),"")</f>
        <v/>
      </c>
      <c r="K329" s="17" t="str">
        <f t="array" ref="K329">XLOOKUP(A329,'Download of SFDC Activation Rep'!B:B,'Download of SFDC Activation Rep'!X:X)</f>
        <v>#N/A</v>
      </c>
      <c r="L329" s="32" t="str">
        <f t="array" ref="L329">xlookup(A329,'Download of SFDC Activation Rep'!B:B,'Download of SFDC Activation Rep'!Z:Z)</f>
        <v>#N/A</v>
      </c>
    </row>
    <row r="330">
      <c r="B330" s="14"/>
      <c r="C330" s="14"/>
      <c r="D330" s="14"/>
      <c r="E330" s="14"/>
      <c r="F330" s="13" t="str">
        <f t="array" ref="F330">iferror(XLOOKUP(A330,'Download of SFDC Activation Rep'!B:B,'Download of SFDC Activation Rep'!H:H),"")</f>
        <v/>
      </c>
      <c r="G330" s="13" t="str">
        <f t="array" ref="G330">iferror(xlookup(A330,'Download of SFDC Activation Rep'!B:B,'Download of SFDC Activation Rep'!L:L),"")</f>
        <v/>
      </c>
      <c r="H330" s="17" t="str">
        <f t="shared" si="1"/>
        <v>Not Active</v>
      </c>
      <c r="I330" s="17" t="str">
        <f t="array" ref="I330">XLOOKUP(A330,'Download of SFDC Activation Rep'!B:B,'Download of SFDC Activation Rep'!T:T)</f>
        <v>#N/A</v>
      </c>
      <c r="J330" s="17" t="str">
        <f t="array" ref="J330">iferror(XLOOKUP(A330,'Download of SFDC Activation Rep'!B:B,'Download of SFDC Activation Rep'!C:C),"")</f>
        <v/>
      </c>
      <c r="K330" s="17" t="str">
        <f t="array" ref="K330">XLOOKUP(A330,'Download of SFDC Activation Rep'!B:B,'Download of SFDC Activation Rep'!X:X)</f>
        <v>#N/A</v>
      </c>
      <c r="L330" s="32" t="str">
        <f t="array" ref="L330">xlookup(A330,'Download of SFDC Activation Rep'!B:B,'Download of SFDC Activation Rep'!Z:Z)</f>
        <v>#N/A</v>
      </c>
    </row>
    <row r="331">
      <c r="B331" s="14"/>
      <c r="C331" s="14"/>
      <c r="D331" s="14"/>
      <c r="E331" s="14"/>
      <c r="F331" s="13" t="str">
        <f t="array" ref="F331">iferror(XLOOKUP(A331,'Download of SFDC Activation Rep'!B:B,'Download of SFDC Activation Rep'!H:H),"")</f>
        <v/>
      </c>
      <c r="G331" s="13" t="str">
        <f t="array" ref="G331">iferror(xlookup(A331,'Download of SFDC Activation Rep'!B:B,'Download of SFDC Activation Rep'!L:L),"")</f>
        <v/>
      </c>
      <c r="H331" s="17" t="str">
        <f t="shared" si="1"/>
        <v>Not Active</v>
      </c>
      <c r="I331" s="17" t="str">
        <f t="array" ref="I331">XLOOKUP(A331,'Download of SFDC Activation Rep'!B:B,'Download of SFDC Activation Rep'!T:T)</f>
        <v>#N/A</v>
      </c>
      <c r="J331" s="17" t="str">
        <f t="array" ref="J331">iferror(XLOOKUP(A331,'Download of SFDC Activation Rep'!B:B,'Download of SFDC Activation Rep'!C:C),"")</f>
        <v/>
      </c>
      <c r="K331" s="17" t="str">
        <f t="array" ref="K331">XLOOKUP(A331,'Download of SFDC Activation Rep'!B:B,'Download of SFDC Activation Rep'!X:X)</f>
        <v>#N/A</v>
      </c>
      <c r="L331" s="32" t="str">
        <f t="array" ref="L331">xlookup(A331,'Download of SFDC Activation Rep'!B:B,'Download of SFDC Activation Rep'!Z:Z)</f>
        <v>#N/A</v>
      </c>
    </row>
    <row r="332">
      <c r="B332" s="14"/>
      <c r="C332" s="14"/>
      <c r="D332" s="14"/>
      <c r="E332" s="14"/>
      <c r="F332" s="13" t="str">
        <f t="array" ref="F332">iferror(XLOOKUP(A332,'Download of SFDC Activation Rep'!B:B,'Download of SFDC Activation Rep'!H:H),"")</f>
        <v/>
      </c>
      <c r="G332" s="13" t="str">
        <f t="array" ref="G332">iferror(xlookup(A332,'Download of SFDC Activation Rep'!B:B,'Download of SFDC Activation Rep'!L:L),"")</f>
        <v/>
      </c>
      <c r="H332" s="17" t="str">
        <f t="shared" si="1"/>
        <v>Not Active</v>
      </c>
      <c r="I332" s="17" t="str">
        <f t="array" ref="I332">XLOOKUP(A332,'Download of SFDC Activation Rep'!B:B,'Download of SFDC Activation Rep'!T:T)</f>
        <v>#N/A</v>
      </c>
      <c r="J332" s="17" t="str">
        <f t="array" ref="J332">iferror(XLOOKUP(A332,'Download of SFDC Activation Rep'!B:B,'Download of SFDC Activation Rep'!C:C),"")</f>
        <v/>
      </c>
      <c r="K332" s="17" t="str">
        <f t="array" ref="K332">XLOOKUP(A332,'Download of SFDC Activation Rep'!B:B,'Download of SFDC Activation Rep'!X:X)</f>
        <v>#N/A</v>
      </c>
      <c r="L332" s="32" t="str">
        <f t="array" ref="L332">xlookup(A332,'Download of SFDC Activation Rep'!B:B,'Download of SFDC Activation Rep'!Z:Z)</f>
        <v>#N/A</v>
      </c>
    </row>
    <row r="333">
      <c r="B333" s="14"/>
      <c r="C333" s="14"/>
      <c r="D333" s="14"/>
      <c r="E333" s="14"/>
      <c r="F333" s="13" t="str">
        <f t="array" ref="F333">iferror(XLOOKUP(A333,'Download of SFDC Activation Rep'!B:B,'Download of SFDC Activation Rep'!H:H),"")</f>
        <v/>
      </c>
      <c r="G333" s="13" t="str">
        <f t="array" ref="G333">iferror(xlookup(A333,'Download of SFDC Activation Rep'!B:B,'Download of SFDC Activation Rep'!L:L),"")</f>
        <v/>
      </c>
      <c r="H333" s="17" t="str">
        <f t="shared" si="1"/>
        <v>Not Active</v>
      </c>
      <c r="I333" s="17" t="str">
        <f t="array" ref="I333">XLOOKUP(A333,'Download of SFDC Activation Rep'!B:B,'Download of SFDC Activation Rep'!T:T)</f>
        <v>#N/A</v>
      </c>
      <c r="J333" s="17" t="str">
        <f t="array" ref="J333">iferror(XLOOKUP(A333,'Download of SFDC Activation Rep'!B:B,'Download of SFDC Activation Rep'!C:C),"")</f>
        <v/>
      </c>
      <c r="K333" s="17" t="str">
        <f t="array" ref="K333">XLOOKUP(A333,'Download of SFDC Activation Rep'!B:B,'Download of SFDC Activation Rep'!X:X)</f>
        <v>#N/A</v>
      </c>
      <c r="L333" s="32" t="str">
        <f t="array" ref="L333">xlookup(A333,'Download of SFDC Activation Rep'!B:B,'Download of SFDC Activation Rep'!Z:Z)</f>
        <v>#N/A</v>
      </c>
    </row>
    <row r="334">
      <c r="B334" s="14"/>
      <c r="C334" s="14"/>
      <c r="D334" s="14"/>
      <c r="E334" s="14"/>
      <c r="F334" s="13" t="str">
        <f t="array" ref="F334">iferror(XLOOKUP(A334,'Download of SFDC Activation Rep'!B:B,'Download of SFDC Activation Rep'!H:H),"")</f>
        <v/>
      </c>
      <c r="G334" s="13" t="str">
        <f t="array" ref="G334">iferror(xlookup(A334,'Download of SFDC Activation Rep'!B:B,'Download of SFDC Activation Rep'!L:L),"")</f>
        <v/>
      </c>
      <c r="H334" s="17" t="str">
        <f t="shared" si="1"/>
        <v>Not Active</v>
      </c>
      <c r="I334" s="17" t="str">
        <f t="array" ref="I334">XLOOKUP(A334,'Download of SFDC Activation Rep'!B:B,'Download of SFDC Activation Rep'!T:T)</f>
        <v>#N/A</v>
      </c>
      <c r="J334" s="17" t="str">
        <f t="array" ref="J334">iferror(XLOOKUP(A334,'Download of SFDC Activation Rep'!B:B,'Download of SFDC Activation Rep'!C:C),"")</f>
        <v/>
      </c>
      <c r="K334" s="17" t="str">
        <f t="array" ref="K334">XLOOKUP(A334,'Download of SFDC Activation Rep'!B:B,'Download of SFDC Activation Rep'!X:X)</f>
        <v>#N/A</v>
      </c>
      <c r="L334" s="32" t="str">
        <f t="array" ref="L334">xlookup(A334,'Download of SFDC Activation Rep'!B:B,'Download of SFDC Activation Rep'!Z:Z)</f>
        <v>#N/A</v>
      </c>
    </row>
    <row r="335">
      <c r="B335" s="14"/>
      <c r="C335" s="14"/>
      <c r="D335" s="14"/>
      <c r="E335" s="14"/>
      <c r="F335" s="13" t="str">
        <f t="array" ref="F335">iferror(XLOOKUP(A335,'Download of SFDC Activation Rep'!B:B,'Download of SFDC Activation Rep'!H:H),"")</f>
        <v/>
      </c>
      <c r="G335" s="13" t="str">
        <f t="array" ref="G335">iferror(xlookup(A335,'Download of SFDC Activation Rep'!B:B,'Download of SFDC Activation Rep'!L:L),"")</f>
        <v/>
      </c>
      <c r="H335" s="17" t="str">
        <f t="shared" si="1"/>
        <v>Not Active</v>
      </c>
      <c r="I335" s="17" t="str">
        <f t="array" ref="I335">XLOOKUP(A335,'Download of SFDC Activation Rep'!B:B,'Download of SFDC Activation Rep'!T:T)</f>
        <v>#N/A</v>
      </c>
      <c r="J335" s="17" t="str">
        <f t="array" ref="J335">iferror(XLOOKUP(A335,'Download of SFDC Activation Rep'!B:B,'Download of SFDC Activation Rep'!C:C),"")</f>
        <v/>
      </c>
      <c r="K335" s="17" t="str">
        <f t="array" ref="K335">XLOOKUP(A335,'Download of SFDC Activation Rep'!B:B,'Download of SFDC Activation Rep'!X:X)</f>
        <v>#N/A</v>
      </c>
      <c r="L335" s="32" t="str">
        <f t="array" ref="L335">xlookup(A335,'Download of SFDC Activation Rep'!B:B,'Download of SFDC Activation Rep'!Z:Z)</f>
        <v>#N/A</v>
      </c>
    </row>
    <row r="336">
      <c r="B336" s="14"/>
      <c r="C336" s="14"/>
      <c r="D336" s="14"/>
      <c r="E336" s="14"/>
      <c r="F336" s="13" t="str">
        <f t="array" ref="F336">iferror(XLOOKUP(A336,'Download of SFDC Activation Rep'!B:B,'Download of SFDC Activation Rep'!H:H),"")</f>
        <v/>
      </c>
      <c r="G336" s="13" t="str">
        <f t="array" ref="G336">iferror(xlookup(A336,'Download of SFDC Activation Rep'!B:B,'Download of SFDC Activation Rep'!L:L),"")</f>
        <v/>
      </c>
      <c r="H336" s="17" t="str">
        <f t="shared" si="1"/>
        <v>Not Active</v>
      </c>
      <c r="I336" s="17" t="str">
        <f t="array" ref="I336">XLOOKUP(A336,'Download of SFDC Activation Rep'!B:B,'Download of SFDC Activation Rep'!T:T)</f>
        <v>#N/A</v>
      </c>
      <c r="J336" s="17" t="str">
        <f t="array" ref="J336">iferror(XLOOKUP(A336,'Download of SFDC Activation Rep'!B:B,'Download of SFDC Activation Rep'!C:C),"")</f>
        <v/>
      </c>
      <c r="K336" s="17" t="str">
        <f t="array" ref="K336">XLOOKUP(A336,'Download of SFDC Activation Rep'!B:B,'Download of SFDC Activation Rep'!X:X)</f>
        <v>#N/A</v>
      </c>
      <c r="L336" s="32" t="str">
        <f t="array" ref="L336">xlookup(A336,'Download of SFDC Activation Rep'!B:B,'Download of SFDC Activation Rep'!Z:Z)</f>
        <v>#N/A</v>
      </c>
    </row>
    <row r="337">
      <c r="B337" s="14"/>
      <c r="C337" s="14"/>
      <c r="D337" s="14"/>
      <c r="E337" s="14"/>
      <c r="F337" s="13" t="str">
        <f t="array" ref="F337">iferror(XLOOKUP(A337,'Download of SFDC Activation Rep'!B:B,'Download of SFDC Activation Rep'!H:H),"")</f>
        <v/>
      </c>
      <c r="G337" s="13" t="str">
        <f t="array" ref="G337">iferror(xlookup(A337,'Download of SFDC Activation Rep'!B:B,'Download of SFDC Activation Rep'!L:L),"")</f>
        <v/>
      </c>
      <c r="H337" s="17" t="str">
        <f t="shared" si="1"/>
        <v>Not Active</v>
      </c>
      <c r="I337" s="17" t="str">
        <f t="array" ref="I337">XLOOKUP(A337,'Download of SFDC Activation Rep'!B:B,'Download of SFDC Activation Rep'!T:T)</f>
        <v>#N/A</v>
      </c>
      <c r="J337" s="17" t="str">
        <f t="array" ref="J337">iferror(XLOOKUP(A337,'Download of SFDC Activation Rep'!B:B,'Download of SFDC Activation Rep'!C:C),"")</f>
        <v/>
      </c>
      <c r="K337" s="17" t="str">
        <f t="array" ref="K337">XLOOKUP(A337,'Download of SFDC Activation Rep'!B:B,'Download of SFDC Activation Rep'!X:X)</f>
        <v>#N/A</v>
      </c>
      <c r="L337" s="32" t="str">
        <f t="array" ref="L337">xlookup(A337,'Download of SFDC Activation Rep'!B:B,'Download of SFDC Activation Rep'!Z:Z)</f>
        <v>#N/A</v>
      </c>
    </row>
    <row r="338">
      <c r="B338" s="14"/>
      <c r="C338" s="14"/>
      <c r="D338" s="14"/>
      <c r="E338" s="14"/>
      <c r="F338" s="13" t="str">
        <f t="array" ref="F338">iferror(XLOOKUP(A338,'Download of SFDC Activation Rep'!B:B,'Download of SFDC Activation Rep'!H:H),"")</f>
        <v/>
      </c>
      <c r="G338" s="13" t="str">
        <f t="array" ref="G338">iferror(xlookup(A338,'Download of SFDC Activation Rep'!B:B,'Download of SFDC Activation Rep'!L:L),"")</f>
        <v/>
      </c>
      <c r="H338" s="17" t="str">
        <f t="shared" si="1"/>
        <v>Not Active</v>
      </c>
      <c r="I338" s="17" t="str">
        <f t="array" ref="I338">XLOOKUP(A338,'Download of SFDC Activation Rep'!B:B,'Download of SFDC Activation Rep'!T:T)</f>
        <v>#N/A</v>
      </c>
      <c r="J338" s="17" t="str">
        <f t="array" ref="J338">iferror(XLOOKUP(A338,'Download of SFDC Activation Rep'!B:B,'Download of SFDC Activation Rep'!C:C),"")</f>
        <v/>
      </c>
      <c r="K338" s="17" t="str">
        <f t="array" ref="K338">XLOOKUP(A338,'Download of SFDC Activation Rep'!B:B,'Download of SFDC Activation Rep'!X:X)</f>
        <v>#N/A</v>
      </c>
      <c r="L338" s="32" t="str">
        <f t="array" ref="L338">xlookup(A338,'Download of SFDC Activation Rep'!B:B,'Download of SFDC Activation Rep'!Z:Z)</f>
        <v>#N/A</v>
      </c>
    </row>
    <row r="339">
      <c r="B339" s="14"/>
      <c r="C339" s="14"/>
      <c r="D339" s="14"/>
      <c r="E339" s="14"/>
      <c r="F339" s="13" t="str">
        <f t="array" ref="F339">iferror(XLOOKUP(A339,'Download of SFDC Activation Rep'!B:B,'Download of SFDC Activation Rep'!H:H),"")</f>
        <v/>
      </c>
      <c r="G339" s="13" t="str">
        <f t="array" ref="G339">iferror(xlookup(A339,'Download of SFDC Activation Rep'!B:B,'Download of SFDC Activation Rep'!L:L),"")</f>
        <v/>
      </c>
      <c r="H339" s="17" t="str">
        <f t="shared" si="1"/>
        <v>Not Active</v>
      </c>
      <c r="I339" s="17" t="str">
        <f t="array" ref="I339">XLOOKUP(A339,'Download of SFDC Activation Rep'!B:B,'Download of SFDC Activation Rep'!T:T)</f>
        <v>#N/A</v>
      </c>
      <c r="J339" s="17" t="str">
        <f t="array" ref="J339">iferror(XLOOKUP(A339,'Download of SFDC Activation Rep'!B:B,'Download of SFDC Activation Rep'!C:C),"")</f>
        <v/>
      </c>
      <c r="K339" s="17" t="str">
        <f t="array" ref="K339">XLOOKUP(A339,'Download of SFDC Activation Rep'!B:B,'Download of SFDC Activation Rep'!X:X)</f>
        <v>#N/A</v>
      </c>
      <c r="L339" s="32" t="str">
        <f t="array" ref="L339">xlookup(A339,'Download of SFDC Activation Rep'!B:B,'Download of SFDC Activation Rep'!Z:Z)</f>
        <v>#N/A</v>
      </c>
    </row>
    <row r="340">
      <c r="B340" s="14"/>
      <c r="C340" s="14"/>
      <c r="D340" s="14"/>
      <c r="E340" s="14"/>
      <c r="F340" s="13" t="str">
        <f t="array" ref="F340">iferror(XLOOKUP(A340,'Download of SFDC Activation Rep'!B:B,'Download of SFDC Activation Rep'!H:H),"")</f>
        <v/>
      </c>
      <c r="G340" s="13" t="str">
        <f t="array" ref="G340">iferror(xlookup(A340,'Download of SFDC Activation Rep'!B:B,'Download of SFDC Activation Rep'!L:L),"")</f>
        <v/>
      </c>
      <c r="H340" s="17" t="str">
        <f t="shared" si="1"/>
        <v>Not Active</v>
      </c>
      <c r="I340" s="17" t="str">
        <f t="array" ref="I340">XLOOKUP(A340,'Download of SFDC Activation Rep'!B:B,'Download of SFDC Activation Rep'!T:T)</f>
        <v>#N/A</v>
      </c>
      <c r="J340" s="17" t="str">
        <f t="array" ref="J340">iferror(XLOOKUP(A340,'Download of SFDC Activation Rep'!B:B,'Download of SFDC Activation Rep'!C:C),"")</f>
        <v/>
      </c>
      <c r="K340" s="17" t="str">
        <f t="array" ref="K340">XLOOKUP(A340,'Download of SFDC Activation Rep'!B:B,'Download of SFDC Activation Rep'!X:X)</f>
        <v>#N/A</v>
      </c>
      <c r="L340" s="32" t="str">
        <f t="array" ref="L340">xlookup(A340,'Download of SFDC Activation Rep'!B:B,'Download of SFDC Activation Rep'!Z:Z)</f>
        <v>#N/A</v>
      </c>
    </row>
    <row r="341">
      <c r="B341" s="14"/>
      <c r="C341" s="14"/>
      <c r="D341" s="14"/>
      <c r="E341" s="14"/>
      <c r="F341" s="13" t="str">
        <f t="array" ref="F341">iferror(XLOOKUP(A341,'Download of SFDC Activation Rep'!B:B,'Download of SFDC Activation Rep'!H:H),"")</f>
        <v/>
      </c>
      <c r="G341" s="13" t="str">
        <f t="array" ref="G341">iferror(xlookup(A341,'Download of SFDC Activation Rep'!B:B,'Download of SFDC Activation Rep'!L:L),"")</f>
        <v/>
      </c>
      <c r="H341" s="17" t="str">
        <f t="shared" si="1"/>
        <v>Not Active</v>
      </c>
      <c r="I341" s="17" t="str">
        <f t="array" ref="I341">XLOOKUP(A341,'Download of SFDC Activation Rep'!B:B,'Download of SFDC Activation Rep'!T:T)</f>
        <v>#N/A</v>
      </c>
      <c r="J341" s="17" t="str">
        <f t="array" ref="J341">iferror(XLOOKUP(A341,'Download of SFDC Activation Rep'!B:B,'Download of SFDC Activation Rep'!C:C),"")</f>
        <v/>
      </c>
      <c r="K341" s="17" t="str">
        <f t="array" ref="K341">XLOOKUP(A341,'Download of SFDC Activation Rep'!B:B,'Download of SFDC Activation Rep'!X:X)</f>
        <v>#N/A</v>
      </c>
      <c r="L341" s="32" t="str">
        <f t="array" ref="L341">xlookup(A341,'Download of SFDC Activation Rep'!B:B,'Download of SFDC Activation Rep'!Z:Z)</f>
        <v>#N/A</v>
      </c>
    </row>
    <row r="342">
      <c r="B342" s="14"/>
      <c r="C342" s="14"/>
      <c r="D342" s="14"/>
      <c r="E342" s="14"/>
      <c r="F342" s="13" t="str">
        <f t="array" ref="F342">iferror(XLOOKUP(A342,'Download of SFDC Activation Rep'!B:B,'Download of SFDC Activation Rep'!H:H),"")</f>
        <v/>
      </c>
      <c r="G342" s="13" t="str">
        <f t="array" ref="G342">iferror(xlookup(A342,'Download of SFDC Activation Rep'!B:B,'Download of SFDC Activation Rep'!L:L),"")</f>
        <v/>
      </c>
      <c r="H342" s="17" t="str">
        <f t="shared" si="1"/>
        <v>Not Active</v>
      </c>
      <c r="I342" s="17" t="str">
        <f t="array" ref="I342">XLOOKUP(A342,'Download of SFDC Activation Rep'!B:B,'Download of SFDC Activation Rep'!T:T)</f>
        <v>#N/A</v>
      </c>
      <c r="J342" s="17" t="str">
        <f t="array" ref="J342">iferror(XLOOKUP(A342,'Download of SFDC Activation Rep'!B:B,'Download of SFDC Activation Rep'!C:C),"")</f>
        <v/>
      </c>
      <c r="K342" s="17" t="str">
        <f t="array" ref="K342">XLOOKUP(A342,'Download of SFDC Activation Rep'!B:B,'Download of SFDC Activation Rep'!X:X)</f>
        <v>#N/A</v>
      </c>
      <c r="L342" s="32" t="str">
        <f t="array" ref="L342">xlookup(A342,'Download of SFDC Activation Rep'!B:B,'Download of SFDC Activation Rep'!Z:Z)</f>
        <v>#N/A</v>
      </c>
    </row>
    <row r="343">
      <c r="B343" s="14"/>
      <c r="C343" s="14"/>
      <c r="D343" s="14"/>
      <c r="E343" s="14"/>
      <c r="F343" s="13" t="str">
        <f t="array" ref="F343">iferror(XLOOKUP(A343,'Download of SFDC Activation Rep'!B:B,'Download of SFDC Activation Rep'!H:H),"")</f>
        <v/>
      </c>
      <c r="G343" s="13" t="str">
        <f t="array" ref="G343">iferror(xlookup(A343,'Download of SFDC Activation Rep'!B:B,'Download of SFDC Activation Rep'!L:L),"")</f>
        <v/>
      </c>
      <c r="H343" s="17" t="str">
        <f t="shared" si="1"/>
        <v>Not Active</v>
      </c>
      <c r="I343" s="17" t="str">
        <f t="array" ref="I343">XLOOKUP(A343,'Download of SFDC Activation Rep'!B:B,'Download of SFDC Activation Rep'!T:T)</f>
        <v>#N/A</v>
      </c>
      <c r="J343" s="17" t="str">
        <f t="array" ref="J343">iferror(XLOOKUP(A343,'Download of SFDC Activation Rep'!B:B,'Download of SFDC Activation Rep'!C:C),"")</f>
        <v/>
      </c>
      <c r="K343" s="17" t="str">
        <f t="array" ref="K343">XLOOKUP(A343,'Download of SFDC Activation Rep'!B:B,'Download of SFDC Activation Rep'!X:X)</f>
        <v>#N/A</v>
      </c>
      <c r="L343" s="32" t="str">
        <f t="array" ref="L343">xlookup(A343,'Download of SFDC Activation Rep'!B:B,'Download of SFDC Activation Rep'!Z:Z)</f>
        <v>#N/A</v>
      </c>
    </row>
    <row r="344">
      <c r="B344" s="14"/>
      <c r="C344" s="14"/>
      <c r="D344" s="14"/>
      <c r="E344" s="14"/>
      <c r="F344" s="13" t="str">
        <f t="array" ref="F344">iferror(XLOOKUP(A344,'Download of SFDC Activation Rep'!B:B,'Download of SFDC Activation Rep'!H:H),"")</f>
        <v/>
      </c>
      <c r="G344" s="13" t="str">
        <f t="array" ref="G344">iferror(xlookup(A344,'Download of SFDC Activation Rep'!B:B,'Download of SFDC Activation Rep'!L:L),"")</f>
        <v/>
      </c>
      <c r="H344" s="17" t="str">
        <f t="shared" si="1"/>
        <v>Not Active</v>
      </c>
      <c r="I344" s="17" t="str">
        <f t="array" ref="I344">XLOOKUP(A344,'Download of SFDC Activation Rep'!B:B,'Download of SFDC Activation Rep'!T:T)</f>
        <v>#N/A</v>
      </c>
      <c r="J344" s="17" t="str">
        <f t="array" ref="J344">iferror(XLOOKUP(A344,'Download of SFDC Activation Rep'!B:B,'Download of SFDC Activation Rep'!C:C),"")</f>
        <v/>
      </c>
      <c r="K344" s="17" t="str">
        <f t="array" ref="K344">XLOOKUP(A344,'Download of SFDC Activation Rep'!B:B,'Download of SFDC Activation Rep'!X:X)</f>
        <v>#N/A</v>
      </c>
      <c r="L344" s="32" t="str">
        <f t="array" ref="L344">xlookup(A344,'Download of SFDC Activation Rep'!B:B,'Download of SFDC Activation Rep'!Z:Z)</f>
        <v>#N/A</v>
      </c>
    </row>
    <row r="345">
      <c r="B345" s="14"/>
      <c r="C345" s="14"/>
      <c r="D345" s="14"/>
      <c r="E345" s="14"/>
      <c r="F345" s="13" t="str">
        <f t="array" ref="F345">iferror(XLOOKUP(A345,'Download of SFDC Activation Rep'!B:B,'Download of SFDC Activation Rep'!H:H),"")</f>
        <v/>
      </c>
      <c r="G345" s="13" t="str">
        <f t="array" ref="G345">iferror(xlookup(A345,'Download of SFDC Activation Rep'!B:B,'Download of SFDC Activation Rep'!L:L),"")</f>
        <v/>
      </c>
      <c r="H345" s="17" t="str">
        <f t="shared" si="1"/>
        <v>Not Active</v>
      </c>
      <c r="I345" s="17" t="str">
        <f t="array" ref="I345">XLOOKUP(A345,'Download of SFDC Activation Rep'!B:B,'Download of SFDC Activation Rep'!T:T)</f>
        <v>#N/A</v>
      </c>
      <c r="J345" s="17" t="str">
        <f t="array" ref="J345">iferror(XLOOKUP(A345,'Download of SFDC Activation Rep'!B:B,'Download of SFDC Activation Rep'!C:C),"")</f>
        <v/>
      </c>
      <c r="K345" s="17" t="str">
        <f t="array" ref="K345">XLOOKUP(A345,'Download of SFDC Activation Rep'!B:B,'Download of SFDC Activation Rep'!X:X)</f>
        <v>#N/A</v>
      </c>
      <c r="L345" s="32" t="str">
        <f t="array" ref="L345">xlookup(A345,'Download of SFDC Activation Rep'!B:B,'Download of SFDC Activation Rep'!Z:Z)</f>
        <v>#N/A</v>
      </c>
    </row>
    <row r="346">
      <c r="B346" s="14"/>
      <c r="C346" s="14"/>
      <c r="D346" s="14"/>
      <c r="E346" s="14"/>
      <c r="F346" s="13" t="str">
        <f t="array" ref="F346">iferror(XLOOKUP(A346,'Download of SFDC Activation Rep'!B:B,'Download of SFDC Activation Rep'!H:H),"")</f>
        <v/>
      </c>
      <c r="G346" s="13" t="str">
        <f t="array" ref="G346">iferror(xlookup(A346,'Download of SFDC Activation Rep'!B:B,'Download of SFDC Activation Rep'!L:L),"")</f>
        <v/>
      </c>
      <c r="H346" s="17" t="str">
        <f t="shared" si="1"/>
        <v>Not Active</v>
      </c>
      <c r="I346" s="17" t="str">
        <f t="array" ref="I346">XLOOKUP(A346,'Download of SFDC Activation Rep'!B:B,'Download of SFDC Activation Rep'!T:T)</f>
        <v>#N/A</v>
      </c>
      <c r="J346" s="17" t="str">
        <f t="array" ref="J346">iferror(XLOOKUP(A346,'Download of SFDC Activation Rep'!B:B,'Download of SFDC Activation Rep'!C:C),"")</f>
        <v/>
      </c>
      <c r="K346" s="17" t="str">
        <f t="array" ref="K346">XLOOKUP(A346,'Download of SFDC Activation Rep'!B:B,'Download of SFDC Activation Rep'!X:X)</f>
        <v>#N/A</v>
      </c>
      <c r="L346" s="32" t="str">
        <f t="array" ref="L346">xlookup(A346,'Download of SFDC Activation Rep'!B:B,'Download of SFDC Activation Rep'!Z:Z)</f>
        <v>#N/A</v>
      </c>
    </row>
    <row r="347">
      <c r="B347" s="14"/>
      <c r="C347" s="14"/>
      <c r="D347" s="14"/>
      <c r="E347" s="14"/>
      <c r="F347" s="13" t="str">
        <f t="array" ref="F347">iferror(XLOOKUP(A347,'Download of SFDC Activation Rep'!B:B,'Download of SFDC Activation Rep'!H:H),"")</f>
        <v/>
      </c>
      <c r="G347" s="13" t="str">
        <f t="array" ref="G347">iferror(xlookup(A347,'Download of SFDC Activation Rep'!B:B,'Download of SFDC Activation Rep'!L:L),"")</f>
        <v/>
      </c>
      <c r="H347" s="17" t="str">
        <f t="shared" si="1"/>
        <v>Not Active</v>
      </c>
      <c r="I347" s="17" t="str">
        <f t="array" ref="I347">XLOOKUP(A347,'Download of SFDC Activation Rep'!B:B,'Download of SFDC Activation Rep'!T:T)</f>
        <v>#N/A</v>
      </c>
      <c r="J347" s="17" t="str">
        <f t="array" ref="J347">iferror(XLOOKUP(A347,'Download of SFDC Activation Rep'!B:B,'Download of SFDC Activation Rep'!C:C),"")</f>
        <v/>
      </c>
      <c r="K347" s="17" t="str">
        <f t="array" ref="K347">XLOOKUP(A347,'Download of SFDC Activation Rep'!B:B,'Download of SFDC Activation Rep'!X:X)</f>
        <v>#N/A</v>
      </c>
      <c r="L347" s="32" t="str">
        <f t="array" ref="L347">xlookup(A347,'Download of SFDC Activation Rep'!B:B,'Download of SFDC Activation Rep'!Z:Z)</f>
        <v>#N/A</v>
      </c>
    </row>
    <row r="348">
      <c r="B348" s="14"/>
      <c r="C348" s="14"/>
      <c r="D348" s="14"/>
      <c r="E348" s="14"/>
      <c r="F348" s="13" t="str">
        <f t="array" ref="F348">iferror(XLOOKUP(A348,'Download of SFDC Activation Rep'!B:B,'Download of SFDC Activation Rep'!H:H),"")</f>
        <v/>
      </c>
      <c r="G348" s="13" t="str">
        <f t="array" ref="G348">iferror(xlookup(A348,'Download of SFDC Activation Rep'!B:B,'Download of SFDC Activation Rep'!L:L),"")</f>
        <v/>
      </c>
      <c r="H348" s="17" t="str">
        <f t="shared" si="1"/>
        <v>Not Active</v>
      </c>
      <c r="I348" s="17" t="str">
        <f t="array" ref="I348">XLOOKUP(A348,'Download of SFDC Activation Rep'!B:B,'Download of SFDC Activation Rep'!T:T)</f>
        <v>#N/A</v>
      </c>
      <c r="J348" s="17" t="str">
        <f t="array" ref="J348">iferror(XLOOKUP(A348,'Download of SFDC Activation Rep'!B:B,'Download of SFDC Activation Rep'!C:C),"")</f>
        <v/>
      </c>
      <c r="K348" s="17" t="str">
        <f t="array" ref="K348">XLOOKUP(A348,'Download of SFDC Activation Rep'!B:B,'Download of SFDC Activation Rep'!X:X)</f>
        <v>#N/A</v>
      </c>
      <c r="L348" s="32" t="str">
        <f t="array" ref="L348">xlookup(A348,'Download of SFDC Activation Rep'!B:B,'Download of SFDC Activation Rep'!Z:Z)</f>
        <v>#N/A</v>
      </c>
    </row>
    <row r="349">
      <c r="B349" s="14"/>
      <c r="C349" s="14"/>
      <c r="D349" s="14"/>
      <c r="E349" s="14"/>
      <c r="F349" s="13" t="str">
        <f t="array" ref="F349">iferror(XLOOKUP(A349,'Download of SFDC Activation Rep'!B:B,'Download of SFDC Activation Rep'!H:H),"")</f>
        <v/>
      </c>
      <c r="G349" s="13" t="str">
        <f t="array" ref="G349">iferror(xlookup(A349,'Download of SFDC Activation Rep'!B:B,'Download of SFDC Activation Rep'!L:L),"")</f>
        <v/>
      </c>
      <c r="H349" s="17" t="str">
        <f t="shared" si="1"/>
        <v>Not Active</v>
      </c>
      <c r="I349" s="17" t="str">
        <f t="array" ref="I349">XLOOKUP(A349,'Download of SFDC Activation Rep'!B:B,'Download of SFDC Activation Rep'!T:T)</f>
        <v>#N/A</v>
      </c>
      <c r="J349" s="17" t="str">
        <f t="array" ref="J349">iferror(XLOOKUP(A349,'Download of SFDC Activation Rep'!B:B,'Download of SFDC Activation Rep'!C:C),"")</f>
        <v/>
      </c>
      <c r="K349" s="17" t="str">
        <f t="array" ref="K349">XLOOKUP(A349,'Download of SFDC Activation Rep'!B:B,'Download of SFDC Activation Rep'!X:X)</f>
        <v>#N/A</v>
      </c>
      <c r="L349" s="32" t="str">
        <f t="array" ref="L349">xlookup(A349,'Download of SFDC Activation Rep'!B:B,'Download of SFDC Activation Rep'!Z:Z)</f>
        <v>#N/A</v>
      </c>
    </row>
    <row r="350">
      <c r="B350" s="14"/>
      <c r="C350" s="14"/>
      <c r="D350" s="14"/>
      <c r="E350" s="14"/>
      <c r="F350" s="13" t="str">
        <f t="array" ref="F350">iferror(XLOOKUP(A350,'Download of SFDC Activation Rep'!B:B,'Download of SFDC Activation Rep'!H:H),"")</f>
        <v/>
      </c>
      <c r="G350" s="13" t="str">
        <f t="array" ref="G350">iferror(xlookup(A350,'Download of SFDC Activation Rep'!B:B,'Download of SFDC Activation Rep'!L:L),"")</f>
        <v/>
      </c>
      <c r="H350" s="17" t="str">
        <f t="shared" si="1"/>
        <v>Not Active</v>
      </c>
      <c r="I350" s="17" t="str">
        <f t="array" ref="I350">XLOOKUP(A350,'Download of SFDC Activation Rep'!B:B,'Download of SFDC Activation Rep'!T:T)</f>
        <v>#N/A</v>
      </c>
      <c r="J350" s="17" t="str">
        <f t="array" ref="J350">iferror(XLOOKUP(A350,'Download of SFDC Activation Rep'!B:B,'Download of SFDC Activation Rep'!C:C),"")</f>
        <v/>
      </c>
      <c r="K350" s="17" t="str">
        <f t="array" ref="K350">XLOOKUP(A350,'Download of SFDC Activation Rep'!B:B,'Download of SFDC Activation Rep'!X:X)</f>
        <v>#N/A</v>
      </c>
      <c r="L350" s="32" t="str">
        <f t="array" ref="L350">xlookup(A350,'Download of SFDC Activation Rep'!B:B,'Download of SFDC Activation Rep'!Z:Z)</f>
        <v>#N/A</v>
      </c>
    </row>
    <row r="351">
      <c r="B351" s="14"/>
      <c r="C351" s="14"/>
      <c r="D351" s="14"/>
      <c r="E351" s="14"/>
      <c r="F351" s="13" t="str">
        <f t="array" ref="F351">iferror(XLOOKUP(A351,'Download of SFDC Activation Rep'!B:B,'Download of SFDC Activation Rep'!H:H),"")</f>
        <v/>
      </c>
      <c r="G351" s="13" t="str">
        <f t="array" ref="G351">iferror(xlookup(A351,'Download of SFDC Activation Rep'!B:B,'Download of SFDC Activation Rep'!L:L),"")</f>
        <v/>
      </c>
      <c r="H351" s="17" t="str">
        <f t="shared" si="1"/>
        <v>Not Active</v>
      </c>
      <c r="I351" s="17" t="str">
        <f t="array" ref="I351">XLOOKUP(A351,'Download of SFDC Activation Rep'!B:B,'Download of SFDC Activation Rep'!T:T)</f>
        <v>#N/A</v>
      </c>
      <c r="J351" s="17" t="str">
        <f t="array" ref="J351">iferror(XLOOKUP(A351,'Download of SFDC Activation Rep'!B:B,'Download of SFDC Activation Rep'!C:C),"")</f>
        <v/>
      </c>
      <c r="K351" s="17" t="str">
        <f t="array" ref="K351">XLOOKUP(A351,'Download of SFDC Activation Rep'!B:B,'Download of SFDC Activation Rep'!X:X)</f>
        <v>#N/A</v>
      </c>
      <c r="L351" s="32" t="str">
        <f t="array" ref="L351">xlookup(A351,'Download of SFDC Activation Rep'!B:B,'Download of SFDC Activation Rep'!Z:Z)</f>
        <v>#N/A</v>
      </c>
    </row>
    <row r="352">
      <c r="B352" s="14"/>
      <c r="C352" s="14"/>
      <c r="D352" s="14"/>
      <c r="E352" s="14"/>
      <c r="F352" s="13" t="str">
        <f t="array" ref="F352">iferror(XLOOKUP(A352,'Download of SFDC Activation Rep'!B:B,'Download of SFDC Activation Rep'!H:H),"")</f>
        <v/>
      </c>
      <c r="G352" s="13" t="str">
        <f t="array" ref="G352">iferror(xlookup(A352,'Download of SFDC Activation Rep'!B:B,'Download of SFDC Activation Rep'!L:L),"")</f>
        <v/>
      </c>
      <c r="H352" s="17" t="str">
        <f t="shared" si="1"/>
        <v>Not Active</v>
      </c>
      <c r="I352" s="17" t="str">
        <f t="array" ref="I352">XLOOKUP(A352,'Download of SFDC Activation Rep'!B:B,'Download of SFDC Activation Rep'!T:T)</f>
        <v>#N/A</v>
      </c>
      <c r="J352" s="17" t="str">
        <f t="array" ref="J352">iferror(XLOOKUP(A352,'Download of SFDC Activation Rep'!B:B,'Download of SFDC Activation Rep'!C:C),"")</f>
        <v/>
      </c>
      <c r="K352" s="17" t="str">
        <f t="array" ref="K352">XLOOKUP(A352,'Download of SFDC Activation Rep'!B:B,'Download of SFDC Activation Rep'!X:X)</f>
        <v>#N/A</v>
      </c>
      <c r="L352" s="32" t="str">
        <f t="array" ref="L352">xlookup(A352,'Download of SFDC Activation Rep'!B:B,'Download of SFDC Activation Rep'!Z:Z)</f>
        <v>#N/A</v>
      </c>
    </row>
    <row r="353">
      <c r="B353" s="14"/>
      <c r="C353" s="14"/>
      <c r="D353" s="14"/>
      <c r="E353" s="14"/>
      <c r="F353" s="13" t="str">
        <f t="array" ref="F353">iferror(XLOOKUP(A353,'Download of SFDC Activation Rep'!B:B,'Download of SFDC Activation Rep'!H:H),"")</f>
        <v/>
      </c>
      <c r="G353" s="13" t="str">
        <f t="array" ref="G353">iferror(xlookup(A353,'Download of SFDC Activation Rep'!B:B,'Download of SFDC Activation Rep'!L:L),"")</f>
        <v/>
      </c>
      <c r="H353" s="17" t="str">
        <f t="shared" si="1"/>
        <v>Not Active</v>
      </c>
      <c r="I353" s="17" t="str">
        <f t="array" ref="I353">XLOOKUP(A353,'Download of SFDC Activation Rep'!B:B,'Download of SFDC Activation Rep'!T:T)</f>
        <v>#N/A</v>
      </c>
      <c r="J353" s="17" t="str">
        <f t="array" ref="J353">iferror(XLOOKUP(A353,'Download of SFDC Activation Rep'!B:B,'Download of SFDC Activation Rep'!C:C),"")</f>
        <v/>
      </c>
      <c r="K353" s="17" t="str">
        <f t="array" ref="K353">XLOOKUP(A353,'Download of SFDC Activation Rep'!B:B,'Download of SFDC Activation Rep'!X:X)</f>
        <v>#N/A</v>
      </c>
      <c r="L353" s="32" t="str">
        <f t="array" ref="L353">xlookup(A353,'Download of SFDC Activation Rep'!B:B,'Download of SFDC Activation Rep'!Z:Z)</f>
        <v>#N/A</v>
      </c>
    </row>
    <row r="354">
      <c r="B354" s="14"/>
      <c r="C354" s="14"/>
      <c r="D354" s="14"/>
      <c r="E354" s="14"/>
      <c r="F354" s="13" t="str">
        <f t="array" ref="F354">iferror(XLOOKUP(A354,'Download of SFDC Activation Rep'!B:B,'Download of SFDC Activation Rep'!H:H),"")</f>
        <v/>
      </c>
      <c r="G354" s="13" t="str">
        <f t="array" ref="G354">iferror(xlookup(A354,'Download of SFDC Activation Rep'!B:B,'Download of SFDC Activation Rep'!L:L),"")</f>
        <v/>
      </c>
      <c r="H354" s="17" t="str">
        <f t="shared" si="1"/>
        <v>Not Active</v>
      </c>
      <c r="I354" s="17" t="str">
        <f t="array" ref="I354">XLOOKUP(A354,'Download of SFDC Activation Rep'!B:B,'Download of SFDC Activation Rep'!T:T)</f>
        <v>#N/A</v>
      </c>
      <c r="J354" s="17" t="str">
        <f t="array" ref="J354">iferror(XLOOKUP(A354,'Download of SFDC Activation Rep'!B:B,'Download of SFDC Activation Rep'!C:C),"")</f>
        <v/>
      </c>
      <c r="K354" s="17" t="str">
        <f t="array" ref="K354">XLOOKUP(A354,'Download of SFDC Activation Rep'!B:B,'Download of SFDC Activation Rep'!X:X)</f>
        <v>#N/A</v>
      </c>
      <c r="L354" s="32" t="str">
        <f t="array" ref="L354">xlookup(A354,'Download of SFDC Activation Rep'!B:B,'Download of SFDC Activation Rep'!Z:Z)</f>
        <v>#N/A</v>
      </c>
    </row>
    <row r="355">
      <c r="B355" s="14"/>
      <c r="C355" s="14"/>
      <c r="D355" s="14"/>
      <c r="E355" s="14"/>
      <c r="F355" s="13" t="str">
        <f t="array" ref="F355">iferror(XLOOKUP(A355,'Download of SFDC Activation Rep'!B:B,'Download of SFDC Activation Rep'!H:H),"")</f>
        <v/>
      </c>
      <c r="G355" s="13" t="str">
        <f t="array" ref="G355">iferror(xlookup(A355,'Download of SFDC Activation Rep'!B:B,'Download of SFDC Activation Rep'!L:L),"")</f>
        <v/>
      </c>
      <c r="H355" s="17" t="str">
        <f t="shared" si="1"/>
        <v>Not Active</v>
      </c>
      <c r="I355" s="17" t="str">
        <f t="array" ref="I355">XLOOKUP(A355,'Download of SFDC Activation Rep'!B:B,'Download of SFDC Activation Rep'!T:T)</f>
        <v>#N/A</v>
      </c>
      <c r="J355" s="17" t="str">
        <f t="array" ref="J355">iferror(XLOOKUP(A355,'Download of SFDC Activation Rep'!B:B,'Download of SFDC Activation Rep'!C:C),"")</f>
        <v/>
      </c>
      <c r="K355" s="17" t="str">
        <f t="array" ref="K355">XLOOKUP(A355,'Download of SFDC Activation Rep'!B:B,'Download of SFDC Activation Rep'!X:X)</f>
        <v>#N/A</v>
      </c>
      <c r="L355" s="32" t="str">
        <f t="array" ref="L355">xlookup(A355,'Download of SFDC Activation Rep'!B:B,'Download of SFDC Activation Rep'!Z:Z)</f>
        <v>#N/A</v>
      </c>
    </row>
    <row r="356">
      <c r="B356" s="14"/>
      <c r="C356" s="14"/>
      <c r="D356" s="14"/>
      <c r="E356" s="14"/>
      <c r="F356" s="13" t="str">
        <f t="array" ref="F356">iferror(XLOOKUP(A356,'Download of SFDC Activation Rep'!B:B,'Download of SFDC Activation Rep'!H:H),"")</f>
        <v/>
      </c>
      <c r="G356" s="13" t="str">
        <f t="array" ref="G356">iferror(xlookup(A356,'Download of SFDC Activation Rep'!B:B,'Download of SFDC Activation Rep'!L:L),"")</f>
        <v/>
      </c>
      <c r="H356" s="17" t="str">
        <f t="shared" si="1"/>
        <v>Not Active</v>
      </c>
      <c r="I356" s="17" t="str">
        <f t="array" ref="I356">XLOOKUP(A356,'Download of SFDC Activation Rep'!B:B,'Download of SFDC Activation Rep'!T:T)</f>
        <v>#N/A</v>
      </c>
      <c r="J356" s="17" t="str">
        <f t="array" ref="J356">iferror(XLOOKUP(A356,'Download of SFDC Activation Rep'!B:B,'Download of SFDC Activation Rep'!C:C),"")</f>
        <v/>
      </c>
      <c r="K356" s="17" t="str">
        <f t="array" ref="K356">XLOOKUP(A356,'Download of SFDC Activation Rep'!B:B,'Download of SFDC Activation Rep'!X:X)</f>
        <v>#N/A</v>
      </c>
      <c r="L356" s="32" t="str">
        <f t="array" ref="L356">xlookup(A356,'Download of SFDC Activation Rep'!B:B,'Download of SFDC Activation Rep'!Z:Z)</f>
        <v>#N/A</v>
      </c>
    </row>
    <row r="357">
      <c r="B357" s="14"/>
      <c r="C357" s="14"/>
      <c r="D357" s="14"/>
      <c r="E357" s="14"/>
      <c r="F357" s="13" t="str">
        <f t="array" ref="F357">iferror(XLOOKUP(A357,'Download of SFDC Activation Rep'!B:B,'Download of SFDC Activation Rep'!H:H),"")</f>
        <v/>
      </c>
      <c r="G357" s="13" t="str">
        <f t="array" ref="G357">iferror(xlookup(A357,'Download of SFDC Activation Rep'!B:B,'Download of SFDC Activation Rep'!L:L),"")</f>
        <v/>
      </c>
      <c r="H357" s="17" t="str">
        <f t="shared" si="1"/>
        <v>Not Active</v>
      </c>
      <c r="I357" s="17" t="str">
        <f t="array" ref="I357">XLOOKUP(A357,'Download of SFDC Activation Rep'!B:B,'Download of SFDC Activation Rep'!T:T)</f>
        <v>#N/A</v>
      </c>
      <c r="J357" s="17" t="str">
        <f t="array" ref="J357">iferror(XLOOKUP(A357,'Download of SFDC Activation Rep'!B:B,'Download of SFDC Activation Rep'!C:C),"")</f>
        <v/>
      </c>
      <c r="K357" s="17" t="str">
        <f t="array" ref="K357">XLOOKUP(A357,'Download of SFDC Activation Rep'!B:B,'Download of SFDC Activation Rep'!X:X)</f>
        <v>#N/A</v>
      </c>
      <c r="L357" s="32" t="str">
        <f t="array" ref="L357">xlookup(A357,'Download of SFDC Activation Rep'!B:B,'Download of SFDC Activation Rep'!Z:Z)</f>
        <v>#N/A</v>
      </c>
    </row>
    <row r="358">
      <c r="B358" s="14"/>
      <c r="C358" s="14"/>
      <c r="D358" s="14"/>
      <c r="E358" s="14"/>
      <c r="F358" s="13" t="str">
        <f t="array" ref="F358">iferror(XLOOKUP(A358,'Download of SFDC Activation Rep'!B:B,'Download of SFDC Activation Rep'!H:H),"")</f>
        <v/>
      </c>
      <c r="G358" s="13" t="str">
        <f t="array" ref="G358">iferror(xlookup(A358,'Download of SFDC Activation Rep'!B:B,'Download of SFDC Activation Rep'!L:L),"")</f>
        <v/>
      </c>
      <c r="H358" s="17" t="str">
        <f t="shared" si="1"/>
        <v>Not Active</v>
      </c>
      <c r="I358" s="17" t="str">
        <f t="array" ref="I358">XLOOKUP(A358,'Download of SFDC Activation Rep'!B:B,'Download of SFDC Activation Rep'!T:T)</f>
        <v>#N/A</v>
      </c>
      <c r="J358" s="17" t="str">
        <f t="array" ref="J358">iferror(XLOOKUP(A358,'Download of SFDC Activation Rep'!B:B,'Download of SFDC Activation Rep'!C:C),"")</f>
        <v/>
      </c>
      <c r="K358" s="17" t="str">
        <f t="array" ref="K358">XLOOKUP(A358,'Download of SFDC Activation Rep'!B:B,'Download of SFDC Activation Rep'!X:X)</f>
        <v>#N/A</v>
      </c>
      <c r="L358" s="32" t="str">
        <f t="array" ref="L358">xlookup(A358,'Download of SFDC Activation Rep'!B:B,'Download of SFDC Activation Rep'!Z:Z)</f>
        <v>#N/A</v>
      </c>
    </row>
    <row r="359">
      <c r="B359" s="14"/>
      <c r="C359" s="14"/>
      <c r="D359" s="14"/>
      <c r="E359" s="14"/>
      <c r="F359" s="13" t="str">
        <f t="array" ref="F359">iferror(XLOOKUP(A359,'Download of SFDC Activation Rep'!B:B,'Download of SFDC Activation Rep'!H:H),"")</f>
        <v/>
      </c>
      <c r="G359" s="13" t="str">
        <f t="array" ref="G359">iferror(xlookup(A359,'Download of SFDC Activation Rep'!B:B,'Download of SFDC Activation Rep'!L:L),"")</f>
        <v/>
      </c>
      <c r="H359" s="17" t="str">
        <f t="shared" si="1"/>
        <v>Not Active</v>
      </c>
      <c r="I359" s="17" t="str">
        <f t="array" ref="I359">XLOOKUP(A359,'Download of SFDC Activation Rep'!B:B,'Download of SFDC Activation Rep'!T:T)</f>
        <v>#N/A</v>
      </c>
      <c r="J359" s="17" t="str">
        <f t="array" ref="J359">iferror(XLOOKUP(A359,'Download of SFDC Activation Rep'!B:B,'Download of SFDC Activation Rep'!C:C),"")</f>
        <v/>
      </c>
      <c r="K359" s="17" t="str">
        <f t="array" ref="K359">XLOOKUP(A359,'Download of SFDC Activation Rep'!B:B,'Download of SFDC Activation Rep'!X:X)</f>
        <v>#N/A</v>
      </c>
      <c r="L359" s="32" t="str">
        <f t="array" ref="L359">xlookup(A359,'Download of SFDC Activation Rep'!B:B,'Download of SFDC Activation Rep'!Z:Z)</f>
        <v>#N/A</v>
      </c>
    </row>
    <row r="360">
      <c r="B360" s="14"/>
      <c r="C360" s="14"/>
      <c r="D360" s="14"/>
      <c r="E360" s="14"/>
      <c r="F360" s="13" t="str">
        <f t="array" ref="F360">iferror(XLOOKUP(A360,'Download of SFDC Activation Rep'!B:B,'Download of SFDC Activation Rep'!H:H),"")</f>
        <v/>
      </c>
      <c r="G360" s="13" t="str">
        <f t="array" ref="G360">iferror(xlookup(A360,'Download of SFDC Activation Rep'!B:B,'Download of SFDC Activation Rep'!L:L),"")</f>
        <v/>
      </c>
      <c r="H360" s="17" t="str">
        <f t="shared" si="1"/>
        <v>Not Active</v>
      </c>
      <c r="I360" s="17" t="str">
        <f t="array" ref="I360">XLOOKUP(A360,'Download of SFDC Activation Rep'!B:B,'Download of SFDC Activation Rep'!T:T)</f>
        <v>#N/A</v>
      </c>
      <c r="J360" s="17" t="str">
        <f t="array" ref="J360">iferror(XLOOKUP(A360,'Download of SFDC Activation Rep'!B:B,'Download of SFDC Activation Rep'!C:C),"")</f>
        <v/>
      </c>
      <c r="K360" s="17" t="str">
        <f t="array" ref="K360">XLOOKUP(A360,'Download of SFDC Activation Rep'!B:B,'Download of SFDC Activation Rep'!X:X)</f>
        <v>#N/A</v>
      </c>
      <c r="L360" s="32" t="str">
        <f t="array" ref="L360">xlookup(A360,'Download of SFDC Activation Rep'!B:B,'Download of SFDC Activation Rep'!Z:Z)</f>
        <v>#N/A</v>
      </c>
    </row>
    <row r="361">
      <c r="B361" s="14"/>
      <c r="C361" s="14"/>
      <c r="D361" s="14"/>
      <c r="E361" s="14"/>
      <c r="F361" s="13" t="str">
        <f t="array" ref="F361">iferror(XLOOKUP(A361,'Download of SFDC Activation Rep'!B:B,'Download of SFDC Activation Rep'!H:H),"")</f>
        <v/>
      </c>
      <c r="G361" s="13" t="str">
        <f t="array" ref="G361">iferror(xlookup(A361,'Download of SFDC Activation Rep'!B:B,'Download of SFDC Activation Rep'!L:L),"")</f>
        <v/>
      </c>
      <c r="H361" s="17" t="str">
        <f t="shared" si="1"/>
        <v>Not Active</v>
      </c>
      <c r="I361" s="17" t="str">
        <f t="array" ref="I361">XLOOKUP(A361,'Download of SFDC Activation Rep'!B:B,'Download of SFDC Activation Rep'!T:T)</f>
        <v>#N/A</v>
      </c>
      <c r="J361" s="17" t="str">
        <f t="array" ref="J361">iferror(XLOOKUP(A361,'Download of SFDC Activation Rep'!B:B,'Download of SFDC Activation Rep'!C:C),"")</f>
        <v/>
      </c>
      <c r="K361" s="17" t="str">
        <f t="array" ref="K361">XLOOKUP(A361,'Download of SFDC Activation Rep'!B:B,'Download of SFDC Activation Rep'!X:X)</f>
        <v>#N/A</v>
      </c>
      <c r="L361" s="32" t="str">
        <f t="array" ref="L361">xlookup(A361,'Download of SFDC Activation Rep'!B:B,'Download of SFDC Activation Rep'!Z:Z)</f>
        <v>#N/A</v>
      </c>
    </row>
    <row r="362">
      <c r="B362" s="14"/>
      <c r="C362" s="14"/>
      <c r="D362" s="14"/>
      <c r="E362" s="14"/>
      <c r="F362" s="13" t="str">
        <f t="array" ref="F362">iferror(XLOOKUP(A362,'Download of SFDC Activation Rep'!B:B,'Download of SFDC Activation Rep'!H:H),"")</f>
        <v/>
      </c>
      <c r="G362" s="13" t="str">
        <f t="array" ref="G362">iferror(xlookup(A362,'Download of SFDC Activation Rep'!B:B,'Download of SFDC Activation Rep'!L:L),"")</f>
        <v/>
      </c>
      <c r="H362" s="17" t="str">
        <f t="shared" si="1"/>
        <v>Not Active</v>
      </c>
      <c r="I362" s="17" t="str">
        <f t="array" ref="I362">XLOOKUP(A362,'Download of SFDC Activation Rep'!B:B,'Download of SFDC Activation Rep'!T:T)</f>
        <v>#N/A</v>
      </c>
      <c r="J362" s="17" t="str">
        <f t="array" ref="J362">iferror(XLOOKUP(A362,'Download of SFDC Activation Rep'!B:B,'Download of SFDC Activation Rep'!C:C),"")</f>
        <v/>
      </c>
      <c r="K362" s="17" t="str">
        <f t="array" ref="K362">XLOOKUP(A362,'Download of SFDC Activation Rep'!B:B,'Download of SFDC Activation Rep'!X:X)</f>
        <v>#N/A</v>
      </c>
      <c r="L362" s="32" t="str">
        <f t="array" ref="L362">xlookup(A362,'Download of SFDC Activation Rep'!B:B,'Download of SFDC Activation Rep'!Z:Z)</f>
        <v>#N/A</v>
      </c>
    </row>
    <row r="363">
      <c r="B363" s="14"/>
      <c r="C363" s="14"/>
      <c r="D363" s="14"/>
      <c r="E363" s="14"/>
      <c r="F363" s="13" t="str">
        <f t="array" ref="F363">iferror(XLOOKUP(A363,'Download of SFDC Activation Rep'!B:B,'Download of SFDC Activation Rep'!H:H),"")</f>
        <v/>
      </c>
      <c r="G363" s="13" t="str">
        <f t="array" ref="G363">iferror(xlookup(A363,'Download of SFDC Activation Rep'!B:B,'Download of SFDC Activation Rep'!L:L),"")</f>
        <v/>
      </c>
      <c r="H363" s="17" t="str">
        <f t="shared" si="1"/>
        <v>Not Active</v>
      </c>
      <c r="I363" s="17" t="str">
        <f t="array" ref="I363">XLOOKUP(A363,'Download of SFDC Activation Rep'!B:B,'Download of SFDC Activation Rep'!T:T)</f>
        <v>#N/A</v>
      </c>
      <c r="J363" s="17" t="str">
        <f t="array" ref="J363">iferror(XLOOKUP(A363,'Download of SFDC Activation Rep'!B:B,'Download of SFDC Activation Rep'!C:C),"")</f>
        <v/>
      </c>
      <c r="K363" s="17" t="str">
        <f t="array" ref="K363">XLOOKUP(A363,'Download of SFDC Activation Rep'!B:B,'Download of SFDC Activation Rep'!X:X)</f>
        <v>#N/A</v>
      </c>
      <c r="L363" s="32" t="str">
        <f t="array" ref="L363">xlookup(A363,'Download of SFDC Activation Rep'!B:B,'Download of SFDC Activation Rep'!Z:Z)</f>
        <v>#N/A</v>
      </c>
    </row>
    <row r="364">
      <c r="B364" s="14"/>
      <c r="C364" s="14"/>
      <c r="D364" s="14"/>
      <c r="E364" s="14"/>
      <c r="F364" s="13" t="str">
        <f t="array" ref="F364">iferror(XLOOKUP(A364,'Download of SFDC Activation Rep'!B:B,'Download of SFDC Activation Rep'!H:H),"")</f>
        <v/>
      </c>
      <c r="G364" s="13" t="str">
        <f t="array" ref="G364">iferror(xlookup(A364,'Download of SFDC Activation Rep'!B:B,'Download of SFDC Activation Rep'!L:L),"")</f>
        <v/>
      </c>
      <c r="H364" s="17" t="str">
        <f t="shared" si="1"/>
        <v>Not Active</v>
      </c>
      <c r="I364" s="17" t="str">
        <f t="array" ref="I364">XLOOKUP(A364,'Download of SFDC Activation Rep'!B:B,'Download of SFDC Activation Rep'!T:T)</f>
        <v>#N/A</v>
      </c>
      <c r="J364" s="17" t="str">
        <f t="array" ref="J364">iferror(XLOOKUP(A364,'Download of SFDC Activation Rep'!B:B,'Download of SFDC Activation Rep'!C:C),"")</f>
        <v/>
      </c>
      <c r="K364" s="17" t="str">
        <f t="array" ref="K364">XLOOKUP(A364,'Download of SFDC Activation Rep'!B:B,'Download of SFDC Activation Rep'!X:X)</f>
        <v>#N/A</v>
      </c>
      <c r="L364" s="32" t="str">
        <f t="array" ref="L364">xlookup(A364,'Download of SFDC Activation Rep'!B:B,'Download of SFDC Activation Rep'!Z:Z)</f>
        <v>#N/A</v>
      </c>
    </row>
    <row r="365">
      <c r="B365" s="14"/>
      <c r="C365" s="14"/>
      <c r="D365" s="14"/>
      <c r="E365" s="14"/>
      <c r="F365" s="13" t="str">
        <f t="array" ref="F365">iferror(XLOOKUP(A365,'Download of SFDC Activation Rep'!B:B,'Download of SFDC Activation Rep'!H:H),"")</f>
        <v/>
      </c>
      <c r="G365" s="13" t="str">
        <f t="array" ref="G365">iferror(xlookup(A365,'Download of SFDC Activation Rep'!B:B,'Download of SFDC Activation Rep'!L:L),"")</f>
        <v/>
      </c>
      <c r="H365" s="17" t="str">
        <f t="shared" si="1"/>
        <v>Not Active</v>
      </c>
      <c r="I365" s="17" t="str">
        <f t="array" ref="I365">XLOOKUP(A365,'Download of SFDC Activation Rep'!B:B,'Download of SFDC Activation Rep'!T:T)</f>
        <v>#N/A</v>
      </c>
      <c r="J365" s="17" t="str">
        <f t="array" ref="J365">iferror(XLOOKUP(A365,'Download of SFDC Activation Rep'!B:B,'Download of SFDC Activation Rep'!C:C),"")</f>
        <v/>
      </c>
      <c r="K365" s="17" t="str">
        <f t="array" ref="K365">XLOOKUP(A365,'Download of SFDC Activation Rep'!B:B,'Download of SFDC Activation Rep'!X:X)</f>
        <v>#N/A</v>
      </c>
      <c r="L365" s="32" t="str">
        <f t="array" ref="L365">xlookup(A365,'Download of SFDC Activation Rep'!B:B,'Download of SFDC Activation Rep'!Z:Z)</f>
        <v>#N/A</v>
      </c>
    </row>
    <row r="366">
      <c r="B366" s="14"/>
      <c r="C366" s="14"/>
      <c r="D366" s="14"/>
      <c r="E366" s="14"/>
      <c r="F366" s="13" t="str">
        <f t="array" ref="F366">iferror(XLOOKUP(A366,'Download of SFDC Activation Rep'!B:B,'Download of SFDC Activation Rep'!H:H),"")</f>
        <v/>
      </c>
      <c r="G366" s="13" t="str">
        <f t="array" ref="G366">iferror(xlookup(A366,'Download of SFDC Activation Rep'!B:B,'Download of SFDC Activation Rep'!L:L),"")</f>
        <v/>
      </c>
      <c r="H366" s="17" t="str">
        <f t="shared" si="1"/>
        <v>Not Active</v>
      </c>
      <c r="I366" s="17" t="str">
        <f t="array" ref="I366">XLOOKUP(A366,'Download of SFDC Activation Rep'!B:B,'Download of SFDC Activation Rep'!T:T)</f>
        <v>#N/A</v>
      </c>
      <c r="J366" s="17" t="str">
        <f t="array" ref="J366">iferror(XLOOKUP(A366,'Download of SFDC Activation Rep'!B:B,'Download of SFDC Activation Rep'!C:C),"")</f>
        <v/>
      </c>
      <c r="K366" s="17" t="str">
        <f t="array" ref="K366">XLOOKUP(A366,'Download of SFDC Activation Rep'!B:B,'Download of SFDC Activation Rep'!X:X)</f>
        <v>#N/A</v>
      </c>
      <c r="L366" s="32" t="str">
        <f t="array" ref="L366">xlookup(A366,'Download of SFDC Activation Rep'!B:B,'Download of SFDC Activation Rep'!Z:Z)</f>
        <v>#N/A</v>
      </c>
    </row>
    <row r="367">
      <c r="B367" s="14"/>
      <c r="C367" s="14"/>
      <c r="D367" s="14"/>
      <c r="E367" s="14"/>
      <c r="F367" s="13" t="str">
        <f t="array" ref="F367">iferror(XLOOKUP(A367,'Download of SFDC Activation Rep'!B:B,'Download of SFDC Activation Rep'!H:H),"")</f>
        <v/>
      </c>
      <c r="G367" s="13" t="str">
        <f t="array" ref="G367">iferror(xlookup(A367,'Download of SFDC Activation Rep'!B:B,'Download of SFDC Activation Rep'!L:L),"")</f>
        <v/>
      </c>
      <c r="H367" s="17" t="str">
        <f t="shared" si="1"/>
        <v>Not Active</v>
      </c>
      <c r="I367" s="17" t="str">
        <f t="array" ref="I367">XLOOKUP(A367,'Download of SFDC Activation Rep'!B:B,'Download of SFDC Activation Rep'!T:T)</f>
        <v>#N/A</v>
      </c>
      <c r="J367" s="17" t="str">
        <f t="array" ref="J367">iferror(XLOOKUP(A367,'Download of SFDC Activation Rep'!B:B,'Download of SFDC Activation Rep'!C:C),"")</f>
        <v/>
      </c>
      <c r="K367" s="17" t="str">
        <f t="array" ref="K367">XLOOKUP(A367,'Download of SFDC Activation Rep'!B:B,'Download of SFDC Activation Rep'!X:X)</f>
        <v>#N/A</v>
      </c>
      <c r="L367" s="32" t="str">
        <f t="array" ref="L367">xlookup(A367,'Download of SFDC Activation Rep'!B:B,'Download of SFDC Activation Rep'!Z:Z)</f>
        <v>#N/A</v>
      </c>
    </row>
    <row r="368">
      <c r="B368" s="14"/>
      <c r="C368" s="14"/>
      <c r="D368" s="14"/>
      <c r="E368" s="14"/>
      <c r="F368" s="13" t="str">
        <f t="array" ref="F368">iferror(XLOOKUP(A368,'Download of SFDC Activation Rep'!B:B,'Download of SFDC Activation Rep'!H:H),"")</f>
        <v/>
      </c>
      <c r="G368" s="13" t="str">
        <f t="array" ref="G368">iferror(xlookup(A368,'Download of SFDC Activation Rep'!B:B,'Download of SFDC Activation Rep'!L:L),"")</f>
        <v/>
      </c>
      <c r="H368" s="17" t="str">
        <f t="shared" si="1"/>
        <v>Not Active</v>
      </c>
      <c r="I368" s="17" t="str">
        <f t="array" ref="I368">XLOOKUP(A368,'Download of SFDC Activation Rep'!B:B,'Download of SFDC Activation Rep'!T:T)</f>
        <v>#N/A</v>
      </c>
      <c r="J368" s="17" t="str">
        <f t="array" ref="J368">iferror(XLOOKUP(A368,'Download of SFDC Activation Rep'!B:B,'Download of SFDC Activation Rep'!C:C),"")</f>
        <v/>
      </c>
      <c r="K368" s="17" t="str">
        <f t="array" ref="K368">XLOOKUP(A368,'Download of SFDC Activation Rep'!B:B,'Download of SFDC Activation Rep'!X:X)</f>
        <v>#N/A</v>
      </c>
      <c r="L368" s="32" t="str">
        <f t="array" ref="L368">xlookup(A368,'Download of SFDC Activation Rep'!B:B,'Download of SFDC Activation Rep'!Z:Z)</f>
        <v>#N/A</v>
      </c>
    </row>
    <row r="369">
      <c r="B369" s="14"/>
      <c r="C369" s="14"/>
      <c r="D369" s="14"/>
      <c r="E369" s="14"/>
      <c r="F369" s="13" t="str">
        <f t="array" ref="F369">iferror(XLOOKUP(A369,'Download of SFDC Activation Rep'!B:B,'Download of SFDC Activation Rep'!H:H),"")</f>
        <v/>
      </c>
      <c r="G369" s="13" t="str">
        <f t="array" ref="G369">iferror(xlookup(A369,'Download of SFDC Activation Rep'!B:B,'Download of SFDC Activation Rep'!L:L),"")</f>
        <v/>
      </c>
      <c r="H369" s="17" t="str">
        <f t="shared" si="1"/>
        <v>Not Active</v>
      </c>
      <c r="I369" s="17" t="str">
        <f t="array" ref="I369">XLOOKUP(A369,'Download of SFDC Activation Rep'!B:B,'Download of SFDC Activation Rep'!T:T)</f>
        <v>#N/A</v>
      </c>
      <c r="J369" s="17" t="str">
        <f t="array" ref="J369">iferror(XLOOKUP(A369,'Download of SFDC Activation Rep'!B:B,'Download of SFDC Activation Rep'!C:C),"")</f>
        <v/>
      </c>
      <c r="K369" s="17" t="str">
        <f t="array" ref="K369">XLOOKUP(A369,'Download of SFDC Activation Rep'!B:B,'Download of SFDC Activation Rep'!X:X)</f>
        <v>#N/A</v>
      </c>
      <c r="L369" s="32" t="str">
        <f t="array" ref="L369">xlookup(A369,'Download of SFDC Activation Rep'!B:B,'Download of SFDC Activation Rep'!Z:Z)</f>
        <v>#N/A</v>
      </c>
    </row>
    <row r="370">
      <c r="B370" s="14"/>
      <c r="C370" s="14"/>
      <c r="D370" s="14"/>
      <c r="E370" s="14"/>
      <c r="F370" s="13" t="str">
        <f t="array" ref="F370">iferror(XLOOKUP(A370,'Download of SFDC Activation Rep'!B:B,'Download of SFDC Activation Rep'!H:H),"")</f>
        <v/>
      </c>
      <c r="G370" s="13" t="str">
        <f t="array" ref="G370">iferror(xlookup(A370,'Download of SFDC Activation Rep'!B:B,'Download of SFDC Activation Rep'!L:L),"")</f>
        <v/>
      </c>
      <c r="H370" s="17" t="str">
        <f t="shared" si="1"/>
        <v>Not Active</v>
      </c>
      <c r="I370" s="17" t="str">
        <f t="array" ref="I370">XLOOKUP(A370,'Download of SFDC Activation Rep'!B:B,'Download of SFDC Activation Rep'!T:T)</f>
        <v>#N/A</v>
      </c>
      <c r="J370" s="17" t="str">
        <f t="array" ref="J370">iferror(XLOOKUP(A370,'Download of SFDC Activation Rep'!B:B,'Download of SFDC Activation Rep'!C:C),"")</f>
        <v/>
      </c>
      <c r="K370" s="17" t="str">
        <f t="array" ref="K370">XLOOKUP(A370,'Download of SFDC Activation Rep'!B:B,'Download of SFDC Activation Rep'!X:X)</f>
        <v>#N/A</v>
      </c>
      <c r="L370" s="32" t="str">
        <f t="array" ref="L370">xlookup(A370,'Download of SFDC Activation Rep'!B:B,'Download of SFDC Activation Rep'!Z:Z)</f>
        <v>#N/A</v>
      </c>
    </row>
    <row r="371">
      <c r="B371" s="14"/>
      <c r="C371" s="14"/>
      <c r="D371" s="14"/>
      <c r="E371" s="14"/>
      <c r="F371" s="13" t="str">
        <f t="array" ref="F371">iferror(XLOOKUP(A371,'Download of SFDC Activation Rep'!B:B,'Download of SFDC Activation Rep'!H:H),"")</f>
        <v/>
      </c>
      <c r="G371" s="13" t="str">
        <f t="array" ref="G371">iferror(xlookup(A371,'Download of SFDC Activation Rep'!B:B,'Download of SFDC Activation Rep'!L:L),"")</f>
        <v/>
      </c>
      <c r="H371" s="17" t="str">
        <f t="shared" si="1"/>
        <v>Not Active</v>
      </c>
      <c r="I371" s="17" t="str">
        <f t="array" ref="I371">XLOOKUP(A371,'Download of SFDC Activation Rep'!B:B,'Download of SFDC Activation Rep'!T:T)</f>
        <v>#N/A</v>
      </c>
      <c r="J371" s="17" t="str">
        <f t="array" ref="J371">iferror(XLOOKUP(A371,'Download of SFDC Activation Rep'!B:B,'Download of SFDC Activation Rep'!C:C),"")</f>
        <v/>
      </c>
      <c r="K371" s="17" t="str">
        <f t="array" ref="K371">XLOOKUP(A371,'Download of SFDC Activation Rep'!B:B,'Download of SFDC Activation Rep'!X:X)</f>
        <v>#N/A</v>
      </c>
      <c r="L371" s="32" t="str">
        <f t="array" ref="L371">xlookup(A371,'Download of SFDC Activation Rep'!B:B,'Download of SFDC Activation Rep'!Z:Z)</f>
        <v>#N/A</v>
      </c>
    </row>
    <row r="372">
      <c r="B372" s="14"/>
      <c r="C372" s="14"/>
      <c r="D372" s="14"/>
      <c r="E372" s="14"/>
      <c r="F372" s="13" t="str">
        <f t="array" ref="F372">iferror(XLOOKUP(A372,'Download of SFDC Activation Rep'!B:B,'Download of SFDC Activation Rep'!H:H),"")</f>
        <v/>
      </c>
      <c r="G372" s="13" t="str">
        <f t="array" ref="G372">iferror(xlookup(A372,'Download of SFDC Activation Rep'!B:B,'Download of SFDC Activation Rep'!L:L),"")</f>
        <v/>
      </c>
      <c r="H372" s="17" t="str">
        <f t="shared" si="1"/>
        <v>Not Active</v>
      </c>
      <c r="I372" s="17" t="str">
        <f t="array" ref="I372">XLOOKUP(A372,'Download of SFDC Activation Rep'!B:B,'Download of SFDC Activation Rep'!T:T)</f>
        <v>#N/A</v>
      </c>
      <c r="J372" s="17" t="str">
        <f t="array" ref="J372">iferror(XLOOKUP(A372,'Download of SFDC Activation Rep'!B:B,'Download of SFDC Activation Rep'!C:C),"")</f>
        <v/>
      </c>
      <c r="K372" s="17" t="str">
        <f t="array" ref="K372">XLOOKUP(A372,'Download of SFDC Activation Rep'!B:B,'Download of SFDC Activation Rep'!X:X)</f>
        <v>#N/A</v>
      </c>
      <c r="L372" s="32" t="str">
        <f t="array" ref="L372">xlookup(A372,'Download of SFDC Activation Rep'!B:B,'Download of SFDC Activation Rep'!Z:Z)</f>
        <v>#N/A</v>
      </c>
    </row>
    <row r="373">
      <c r="B373" s="14"/>
      <c r="C373" s="14"/>
      <c r="D373" s="14"/>
      <c r="E373" s="14"/>
      <c r="F373" s="13" t="str">
        <f t="array" ref="F373">iferror(XLOOKUP(A373,'Download of SFDC Activation Rep'!B:B,'Download of SFDC Activation Rep'!H:H),"")</f>
        <v/>
      </c>
      <c r="G373" s="13" t="str">
        <f t="array" ref="G373">iferror(xlookup(A373,'Download of SFDC Activation Rep'!B:B,'Download of SFDC Activation Rep'!L:L),"")</f>
        <v/>
      </c>
      <c r="H373" s="17" t="str">
        <f t="shared" si="1"/>
        <v>Not Active</v>
      </c>
      <c r="I373" s="17" t="str">
        <f t="array" ref="I373">XLOOKUP(A373,'Download of SFDC Activation Rep'!B:B,'Download of SFDC Activation Rep'!T:T)</f>
        <v>#N/A</v>
      </c>
      <c r="J373" s="17" t="str">
        <f t="array" ref="J373">iferror(XLOOKUP(A373,'Download of SFDC Activation Rep'!B:B,'Download of SFDC Activation Rep'!C:C),"")</f>
        <v/>
      </c>
      <c r="K373" s="17" t="str">
        <f t="array" ref="K373">XLOOKUP(A373,'Download of SFDC Activation Rep'!B:B,'Download of SFDC Activation Rep'!X:X)</f>
        <v>#N/A</v>
      </c>
      <c r="L373" s="32" t="str">
        <f t="array" ref="L373">xlookup(A373,'Download of SFDC Activation Rep'!B:B,'Download of SFDC Activation Rep'!Z:Z)</f>
        <v>#N/A</v>
      </c>
    </row>
    <row r="374">
      <c r="B374" s="14"/>
      <c r="C374" s="14"/>
      <c r="D374" s="14"/>
      <c r="E374" s="14"/>
      <c r="F374" s="13" t="str">
        <f t="array" ref="F374">iferror(XLOOKUP(A374,'Download of SFDC Activation Rep'!B:B,'Download of SFDC Activation Rep'!H:H),"")</f>
        <v/>
      </c>
      <c r="G374" s="13" t="str">
        <f t="array" ref="G374">iferror(xlookup(A374,'Download of SFDC Activation Rep'!B:B,'Download of SFDC Activation Rep'!L:L),"")</f>
        <v/>
      </c>
      <c r="H374" s="17" t="str">
        <f t="shared" si="1"/>
        <v>Not Active</v>
      </c>
      <c r="I374" s="17" t="str">
        <f t="array" ref="I374">XLOOKUP(A374,'Download of SFDC Activation Rep'!B:B,'Download of SFDC Activation Rep'!T:T)</f>
        <v>#N/A</v>
      </c>
      <c r="J374" s="17" t="str">
        <f t="array" ref="J374">iferror(XLOOKUP(A374,'Download of SFDC Activation Rep'!B:B,'Download of SFDC Activation Rep'!C:C),"")</f>
        <v/>
      </c>
      <c r="K374" s="17" t="str">
        <f t="array" ref="K374">XLOOKUP(A374,'Download of SFDC Activation Rep'!B:B,'Download of SFDC Activation Rep'!X:X)</f>
        <v>#N/A</v>
      </c>
      <c r="L374" s="32" t="str">
        <f t="array" ref="L374">xlookup(A374,'Download of SFDC Activation Rep'!B:B,'Download of SFDC Activation Rep'!Z:Z)</f>
        <v>#N/A</v>
      </c>
    </row>
    <row r="375">
      <c r="B375" s="14"/>
      <c r="C375" s="14"/>
      <c r="D375" s="14"/>
      <c r="E375" s="14"/>
      <c r="F375" s="13" t="str">
        <f t="array" ref="F375">iferror(XLOOKUP(A375,'Download of SFDC Activation Rep'!B:B,'Download of SFDC Activation Rep'!H:H),"")</f>
        <v/>
      </c>
      <c r="G375" s="13" t="str">
        <f t="array" ref="G375">iferror(xlookup(A375,'Download of SFDC Activation Rep'!B:B,'Download of SFDC Activation Rep'!L:L),"")</f>
        <v/>
      </c>
      <c r="H375" s="17" t="str">
        <f t="shared" si="1"/>
        <v>Not Active</v>
      </c>
      <c r="I375" s="17" t="str">
        <f t="array" ref="I375">XLOOKUP(A375,'Download of SFDC Activation Rep'!B:B,'Download of SFDC Activation Rep'!T:T)</f>
        <v>#N/A</v>
      </c>
      <c r="J375" s="17" t="str">
        <f t="array" ref="J375">iferror(XLOOKUP(A375,'Download of SFDC Activation Rep'!B:B,'Download of SFDC Activation Rep'!C:C),"")</f>
        <v/>
      </c>
      <c r="K375" s="17" t="str">
        <f t="array" ref="K375">XLOOKUP(A375,'Download of SFDC Activation Rep'!B:B,'Download of SFDC Activation Rep'!X:X)</f>
        <v>#N/A</v>
      </c>
      <c r="L375" s="32" t="str">
        <f t="array" ref="L375">xlookup(A375,'Download of SFDC Activation Rep'!B:B,'Download of SFDC Activation Rep'!Z:Z)</f>
        <v>#N/A</v>
      </c>
    </row>
    <row r="376">
      <c r="B376" s="14"/>
      <c r="C376" s="14"/>
      <c r="D376" s="14"/>
      <c r="E376" s="14"/>
      <c r="F376" s="13" t="str">
        <f t="array" ref="F376">iferror(XLOOKUP(A376,'Download of SFDC Activation Rep'!B:B,'Download of SFDC Activation Rep'!H:H),"")</f>
        <v/>
      </c>
      <c r="G376" s="13" t="str">
        <f t="array" ref="G376">iferror(xlookup(A376,'Download of SFDC Activation Rep'!B:B,'Download of SFDC Activation Rep'!L:L),"")</f>
        <v/>
      </c>
      <c r="H376" s="17" t="str">
        <f t="shared" si="1"/>
        <v>Not Active</v>
      </c>
      <c r="I376" s="17" t="str">
        <f t="array" ref="I376">XLOOKUP(A376,'Download of SFDC Activation Rep'!B:B,'Download of SFDC Activation Rep'!T:T)</f>
        <v>#N/A</v>
      </c>
      <c r="J376" s="17" t="str">
        <f t="array" ref="J376">iferror(XLOOKUP(A376,'Download of SFDC Activation Rep'!B:B,'Download of SFDC Activation Rep'!C:C),"")</f>
        <v/>
      </c>
      <c r="K376" s="17" t="str">
        <f t="array" ref="K376">XLOOKUP(A376,'Download of SFDC Activation Rep'!B:B,'Download of SFDC Activation Rep'!X:X)</f>
        <v>#N/A</v>
      </c>
      <c r="L376" s="32" t="str">
        <f t="array" ref="L376">xlookup(A376,'Download of SFDC Activation Rep'!B:B,'Download of SFDC Activation Rep'!Z:Z)</f>
        <v>#N/A</v>
      </c>
    </row>
    <row r="377">
      <c r="B377" s="14"/>
      <c r="C377" s="14"/>
      <c r="D377" s="14"/>
      <c r="E377" s="14"/>
      <c r="F377" s="13" t="str">
        <f t="array" ref="F377">iferror(XLOOKUP(A377,'Download of SFDC Activation Rep'!B:B,'Download of SFDC Activation Rep'!H:H),"")</f>
        <v/>
      </c>
      <c r="G377" s="13" t="str">
        <f t="array" ref="G377">iferror(xlookup(A377,'Download of SFDC Activation Rep'!B:B,'Download of SFDC Activation Rep'!L:L),"")</f>
        <v/>
      </c>
      <c r="H377" s="17" t="str">
        <f t="shared" si="1"/>
        <v>Not Active</v>
      </c>
      <c r="I377" s="17" t="str">
        <f t="array" ref="I377">XLOOKUP(A377,'Download of SFDC Activation Rep'!B:B,'Download of SFDC Activation Rep'!T:T)</f>
        <v>#N/A</v>
      </c>
      <c r="J377" s="17" t="str">
        <f t="array" ref="J377">iferror(XLOOKUP(A377,'Download of SFDC Activation Rep'!B:B,'Download of SFDC Activation Rep'!C:C),"")</f>
        <v/>
      </c>
      <c r="K377" s="17" t="str">
        <f t="array" ref="K377">XLOOKUP(A377,'Download of SFDC Activation Rep'!B:B,'Download of SFDC Activation Rep'!X:X)</f>
        <v>#N/A</v>
      </c>
      <c r="L377" s="32" t="str">
        <f t="array" ref="L377">xlookup(A377,'Download of SFDC Activation Rep'!B:B,'Download of SFDC Activation Rep'!Z:Z)</f>
        <v>#N/A</v>
      </c>
    </row>
    <row r="378">
      <c r="B378" s="14"/>
      <c r="C378" s="14"/>
      <c r="D378" s="14"/>
      <c r="E378" s="14"/>
      <c r="F378" s="13" t="str">
        <f t="array" ref="F378">iferror(XLOOKUP(A378,'Download of SFDC Activation Rep'!B:B,'Download of SFDC Activation Rep'!H:H),"")</f>
        <v/>
      </c>
      <c r="G378" s="13" t="str">
        <f t="array" ref="G378">iferror(xlookup(A378,'Download of SFDC Activation Rep'!B:B,'Download of SFDC Activation Rep'!L:L),"")</f>
        <v/>
      </c>
      <c r="H378" s="17" t="str">
        <f t="shared" si="1"/>
        <v>Not Active</v>
      </c>
      <c r="I378" s="17" t="str">
        <f t="array" ref="I378">XLOOKUP(A378,'Download of SFDC Activation Rep'!B:B,'Download of SFDC Activation Rep'!T:T)</f>
        <v>#N/A</v>
      </c>
      <c r="J378" s="17" t="str">
        <f t="array" ref="J378">iferror(XLOOKUP(A378,'Download of SFDC Activation Rep'!B:B,'Download of SFDC Activation Rep'!C:C),"")</f>
        <v/>
      </c>
      <c r="K378" s="17" t="str">
        <f t="array" ref="K378">XLOOKUP(A378,'Download of SFDC Activation Rep'!B:B,'Download of SFDC Activation Rep'!X:X)</f>
        <v>#N/A</v>
      </c>
      <c r="L378" s="32" t="str">
        <f t="array" ref="L378">xlookup(A378,'Download of SFDC Activation Rep'!B:B,'Download of SFDC Activation Rep'!Z:Z)</f>
        <v>#N/A</v>
      </c>
    </row>
    <row r="379">
      <c r="B379" s="14"/>
      <c r="C379" s="14"/>
      <c r="D379" s="14"/>
      <c r="E379" s="14"/>
      <c r="F379" s="13" t="str">
        <f t="array" ref="F379">iferror(XLOOKUP(A379,'Download of SFDC Activation Rep'!B:B,'Download of SFDC Activation Rep'!H:H),"")</f>
        <v/>
      </c>
      <c r="G379" s="13" t="str">
        <f t="array" ref="G379">iferror(xlookup(A379,'Download of SFDC Activation Rep'!B:B,'Download of SFDC Activation Rep'!L:L),"")</f>
        <v/>
      </c>
      <c r="H379" s="17" t="str">
        <f t="shared" si="1"/>
        <v>Not Active</v>
      </c>
      <c r="I379" s="17" t="str">
        <f t="array" ref="I379">XLOOKUP(A379,'Download of SFDC Activation Rep'!B:B,'Download of SFDC Activation Rep'!T:T)</f>
        <v>#N/A</v>
      </c>
      <c r="J379" s="17" t="str">
        <f t="array" ref="J379">iferror(XLOOKUP(A379,'Download of SFDC Activation Rep'!B:B,'Download of SFDC Activation Rep'!C:C),"")</f>
        <v/>
      </c>
      <c r="K379" s="17" t="str">
        <f t="array" ref="K379">XLOOKUP(A379,'Download of SFDC Activation Rep'!B:B,'Download of SFDC Activation Rep'!X:X)</f>
        <v>#N/A</v>
      </c>
      <c r="L379" s="32" t="str">
        <f t="array" ref="L379">xlookup(A379,'Download of SFDC Activation Rep'!B:B,'Download of SFDC Activation Rep'!Z:Z)</f>
        <v>#N/A</v>
      </c>
    </row>
    <row r="380">
      <c r="B380" s="14"/>
      <c r="C380" s="14"/>
      <c r="D380" s="14"/>
      <c r="E380" s="14"/>
      <c r="F380" s="13" t="str">
        <f t="array" ref="F380">iferror(XLOOKUP(A380,'Download of SFDC Activation Rep'!B:B,'Download of SFDC Activation Rep'!H:H),"")</f>
        <v/>
      </c>
      <c r="G380" s="13" t="str">
        <f t="array" ref="G380">iferror(xlookup(A380,'Download of SFDC Activation Rep'!B:B,'Download of SFDC Activation Rep'!L:L),"")</f>
        <v/>
      </c>
      <c r="H380" s="17" t="str">
        <f t="shared" si="1"/>
        <v>Not Active</v>
      </c>
      <c r="I380" s="17" t="str">
        <f t="array" ref="I380">XLOOKUP(A380,'Download of SFDC Activation Rep'!B:B,'Download of SFDC Activation Rep'!T:T)</f>
        <v>#N/A</v>
      </c>
      <c r="J380" s="17" t="str">
        <f t="array" ref="J380">iferror(XLOOKUP(A380,'Download of SFDC Activation Rep'!B:B,'Download of SFDC Activation Rep'!C:C),"")</f>
        <v/>
      </c>
      <c r="K380" s="17" t="str">
        <f t="array" ref="K380">XLOOKUP(A380,'Download of SFDC Activation Rep'!B:B,'Download of SFDC Activation Rep'!X:X)</f>
        <v>#N/A</v>
      </c>
      <c r="L380" s="32" t="str">
        <f t="array" ref="L380">xlookup(A380,'Download of SFDC Activation Rep'!B:B,'Download of SFDC Activation Rep'!Z:Z)</f>
        <v>#N/A</v>
      </c>
    </row>
    <row r="381">
      <c r="B381" s="14"/>
      <c r="C381" s="14"/>
      <c r="D381" s="14"/>
      <c r="E381" s="14"/>
      <c r="F381" s="13" t="str">
        <f t="array" ref="F381">iferror(XLOOKUP(A381,'Download of SFDC Activation Rep'!B:B,'Download of SFDC Activation Rep'!H:H),"")</f>
        <v/>
      </c>
      <c r="G381" s="13" t="str">
        <f t="array" ref="G381">iferror(xlookup(A381,'Download of SFDC Activation Rep'!B:B,'Download of SFDC Activation Rep'!L:L),"")</f>
        <v/>
      </c>
      <c r="H381" s="17" t="str">
        <f t="shared" si="1"/>
        <v>Not Active</v>
      </c>
      <c r="I381" s="17" t="str">
        <f t="array" ref="I381">XLOOKUP(A381,'Download of SFDC Activation Rep'!B:B,'Download of SFDC Activation Rep'!T:T)</f>
        <v>#N/A</v>
      </c>
      <c r="J381" s="17" t="str">
        <f t="array" ref="J381">iferror(XLOOKUP(A381,'Download of SFDC Activation Rep'!B:B,'Download of SFDC Activation Rep'!C:C),"")</f>
        <v/>
      </c>
      <c r="K381" s="17" t="str">
        <f t="array" ref="K381">XLOOKUP(A381,'Download of SFDC Activation Rep'!B:B,'Download of SFDC Activation Rep'!X:X)</f>
        <v>#N/A</v>
      </c>
      <c r="L381" s="32" t="str">
        <f t="array" ref="L381">xlookup(A381,'Download of SFDC Activation Rep'!B:B,'Download of SFDC Activation Rep'!Z:Z)</f>
        <v>#N/A</v>
      </c>
    </row>
    <row r="382">
      <c r="B382" s="14"/>
      <c r="C382" s="14"/>
      <c r="D382" s="14"/>
      <c r="E382" s="14"/>
      <c r="F382" s="13" t="str">
        <f t="array" ref="F382">iferror(XLOOKUP(A382,'Download of SFDC Activation Rep'!B:B,'Download of SFDC Activation Rep'!H:H),"")</f>
        <v/>
      </c>
      <c r="G382" s="13" t="str">
        <f t="array" ref="G382">iferror(xlookup(A382,'Download of SFDC Activation Rep'!B:B,'Download of SFDC Activation Rep'!L:L),"")</f>
        <v/>
      </c>
      <c r="H382" s="17" t="str">
        <f t="shared" si="1"/>
        <v>Not Active</v>
      </c>
      <c r="I382" s="17" t="str">
        <f t="array" ref="I382">XLOOKUP(A382,'Download of SFDC Activation Rep'!B:B,'Download of SFDC Activation Rep'!T:T)</f>
        <v>#N/A</v>
      </c>
      <c r="J382" s="17" t="str">
        <f t="array" ref="J382">iferror(XLOOKUP(A382,'Download of SFDC Activation Rep'!B:B,'Download of SFDC Activation Rep'!C:C),"")</f>
        <v/>
      </c>
      <c r="K382" s="17" t="str">
        <f t="array" ref="K382">XLOOKUP(A382,'Download of SFDC Activation Rep'!B:B,'Download of SFDC Activation Rep'!X:X)</f>
        <v>#N/A</v>
      </c>
      <c r="L382" s="32" t="str">
        <f t="array" ref="L382">xlookup(A382,'Download of SFDC Activation Rep'!B:B,'Download of SFDC Activation Rep'!Z:Z)</f>
        <v>#N/A</v>
      </c>
    </row>
    <row r="383">
      <c r="B383" s="14"/>
      <c r="C383" s="14"/>
      <c r="D383" s="14"/>
      <c r="E383" s="14"/>
      <c r="F383" s="13" t="str">
        <f t="array" ref="F383">iferror(XLOOKUP(A383,'Download of SFDC Activation Rep'!B:B,'Download of SFDC Activation Rep'!H:H),"")</f>
        <v/>
      </c>
      <c r="G383" s="13" t="str">
        <f t="array" ref="G383">iferror(xlookup(A383,'Download of SFDC Activation Rep'!B:B,'Download of SFDC Activation Rep'!L:L),"")</f>
        <v/>
      </c>
      <c r="H383" s="17" t="str">
        <f t="shared" si="1"/>
        <v>Not Active</v>
      </c>
      <c r="I383" s="17" t="str">
        <f t="array" ref="I383">XLOOKUP(A383,'Download of SFDC Activation Rep'!B:B,'Download of SFDC Activation Rep'!T:T)</f>
        <v>#N/A</v>
      </c>
      <c r="J383" s="17" t="str">
        <f t="array" ref="J383">iferror(XLOOKUP(A383,'Download of SFDC Activation Rep'!B:B,'Download of SFDC Activation Rep'!C:C),"")</f>
        <v/>
      </c>
      <c r="K383" s="17" t="str">
        <f t="array" ref="K383">XLOOKUP(A383,'Download of SFDC Activation Rep'!B:B,'Download of SFDC Activation Rep'!X:X)</f>
        <v>#N/A</v>
      </c>
      <c r="L383" s="32" t="str">
        <f t="array" ref="L383">xlookup(A383,'Download of SFDC Activation Rep'!B:B,'Download of SFDC Activation Rep'!Z:Z)</f>
        <v>#N/A</v>
      </c>
    </row>
    <row r="384">
      <c r="B384" s="14"/>
      <c r="C384" s="14"/>
      <c r="D384" s="14"/>
      <c r="E384" s="14"/>
      <c r="F384" s="13" t="str">
        <f t="array" ref="F384">iferror(XLOOKUP(A384,'Download of SFDC Activation Rep'!B:B,'Download of SFDC Activation Rep'!H:H),"")</f>
        <v/>
      </c>
      <c r="G384" s="13" t="str">
        <f t="array" ref="G384">iferror(xlookup(A384,'Download of SFDC Activation Rep'!B:B,'Download of SFDC Activation Rep'!L:L),"")</f>
        <v/>
      </c>
      <c r="H384" s="17" t="str">
        <f t="shared" si="1"/>
        <v>Not Active</v>
      </c>
      <c r="I384" s="17" t="str">
        <f t="array" ref="I384">XLOOKUP(A384,'Download of SFDC Activation Rep'!B:B,'Download of SFDC Activation Rep'!T:T)</f>
        <v>#N/A</v>
      </c>
      <c r="J384" s="17" t="str">
        <f t="array" ref="J384">iferror(XLOOKUP(A384,'Download of SFDC Activation Rep'!B:B,'Download of SFDC Activation Rep'!C:C),"")</f>
        <v/>
      </c>
      <c r="K384" s="17" t="str">
        <f t="array" ref="K384">XLOOKUP(A384,'Download of SFDC Activation Rep'!B:B,'Download of SFDC Activation Rep'!X:X)</f>
        <v>#N/A</v>
      </c>
      <c r="L384" s="32" t="str">
        <f t="array" ref="L384">xlookup(A384,'Download of SFDC Activation Rep'!B:B,'Download of SFDC Activation Rep'!Z:Z)</f>
        <v>#N/A</v>
      </c>
    </row>
    <row r="385">
      <c r="B385" s="14"/>
      <c r="C385" s="14"/>
      <c r="D385" s="14"/>
      <c r="E385" s="14"/>
      <c r="F385" s="13" t="str">
        <f t="array" ref="F385">iferror(XLOOKUP(A385,'Download of SFDC Activation Rep'!B:B,'Download of SFDC Activation Rep'!H:H),"")</f>
        <v/>
      </c>
      <c r="G385" s="13" t="str">
        <f t="array" ref="G385">iferror(xlookup(A385,'Download of SFDC Activation Rep'!B:B,'Download of SFDC Activation Rep'!L:L),"")</f>
        <v/>
      </c>
      <c r="H385" s="17" t="str">
        <f t="shared" si="1"/>
        <v>Not Active</v>
      </c>
      <c r="I385" s="17" t="str">
        <f t="array" ref="I385">XLOOKUP(A385,'Download of SFDC Activation Rep'!B:B,'Download of SFDC Activation Rep'!T:T)</f>
        <v>#N/A</v>
      </c>
      <c r="J385" s="17" t="str">
        <f t="array" ref="J385">iferror(XLOOKUP(A385,'Download of SFDC Activation Rep'!B:B,'Download of SFDC Activation Rep'!C:C),"")</f>
        <v/>
      </c>
      <c r="K385" s="17" t="str">
        <f t="array" ref="K385">XLOOKUP(A385,'Download of SFDC Activation Rep'!B:B,'Download of SFDC Activation Rep'!X:X)</f>
        <v>#N/A</v>
      </c>
      <c r="L385" s="32" t="str">
        <f t="array" ref="L385">xlookup(A385,'Download of SFDC Activation Rep'!B:B,'Download of SFDC Activation Rep'!Z:Z)</f>
        <v>#N/A</v>
      </c>
    </row>
    <row r="386">
      <c r="B386" s="14"/>
      <c r="C386" s="14"/>
      <c r="D386" s="14"/>
      <c r="E386" s="14"/>
      <c r="F386" s="13" t="str">
        <f t="array" ref="F386">iferror(XLOOKUP(A386,'Download of SFDC Activation Rep'!B:B,'Download of SFDC Activation Rep'!H:H),"")</f>
        <v/>
      </c>
      <c r="G386" s="13" t="str">
        <f t="array" ref="G386">iferror(xlookup(A386,'Download of SFDC Activation Rep'!B:B,'Download of SFDC Activation Rep'!L:L),"")</f>
        <v/>
      </c>
      <c r="H386" s="17" t="str">
        <f t="shared" si="1"/>
        <v>Not Active</v>
      </c>
      <c r="I386" s="17" t="str">
        <f t="array" ref="I386">XLOOKUP(A386,'Download of SFDC Activation Rep'!B:B,'Download of SFDC Activation Rep'!T:T)</f>
        <v>#N/A</v>
      </c>
      <c r="J386" s="17" t="str">
        <f t="array" ref="J386">iferror(XLOOKUP(A386,'Download of SFDC Activation Rep'!B:B,'Download of SFDC Activation Rep'!C:C),"")</f>
        <v/>
      </c>
      <c r="K386" s="17" t="str">
        <f t="array" ref="K386">XLOOKUP(A386,'Download of SFDC Activation Rep'!B:B,'Download of SFDC Activation Rep'!X:X)</f>
        <v>#N/A</v>
      </c>
      <c r="L386" s="32" t="str">
        <f t="array" ref="L386">xlookup(A386,'Download of SFDC Activation Rep'!B:B,'Download of SFDC Activation Rep'!Z:Z)</f>
        <v>#N/A</v>
      </c>
    </row>
    <row r="387">
      <c r="B387" s="14"/>
      <c r="C387" s="14"/>
      <c r="D387" s="14"/>
      <c r="E387" s="14"/>
      <c r="F387" s="13" t="str">
        <f t="array" ref="F387">iferror(XLOOKUP(A387,'Download of SFDC Activation Rep'!B:B,'Download of SFDC Activation Rep'!H:H),"")</f>
        <v/>
      </c>
      <c r="G387" s="13" t="str">
        <f t="array" ref="G387">iferror(xlookup(A387,'Download of SFDC Activation Rep'!B:B,'Download of SFDC Activation Rep'!L:L),"")</f>
        <v/>
      </c>
      <c r="H387" s="17" t="str">
        <f t="shared" si="1"/>
        <v>Not Active</v>
      </c>
      <c r="I387" s="17" t="str">
        <f t="array" ref="I387">XLOOKUP(A387,'Download of SFDC Activation Rep'!B:B,'Download of SFDC Activation Rep'!T:T)</f>
        <v>#N/A</v>
      </c>
      <c r="J387" s="17" t="str">
        <f t="array" ref="J387">iferror(XLOOKUP(A387,'Download of SFDC Activation Rep'!B:B,'Download of SFDC Activation Rep'!C:C),"")</f>
        <v/>
      </c>
      <c r="K387" s="17" t="str">
        <f t="array" ref="K387">XLOOKUP(A387,'Download of SFDC Activation Rep'!B:B,'Download of SFDC Activation Rep'!X:X)</f>
        <v>#N/A</v>
      </c>
      <c r="L387" s="32" t="str">
        <f t="array" ref="L387">xlookup(A387,'Download of SFDC Activation Rep'!B:B,'Download of SFDC Activation Rep'!Z:Z)</f>
        <v>#N/A</v>
      </c>
    </row>
    <row r="388">
      <c r="B388" s="14"/>
      <c r="C388" s="14"/>
      <c r="D388" s="14"/>
      <c r="E388" s="14"/>
      <c r="F388" s="13" t="str">
        <f t="array" ref="F388">iferror(XLOOKUP(A388,'Download of SFDC Activation Rep'!B:B,'Download of SFDC Activation Rep'!H:H),"")</f>
        <v/>
      </c>
      <c r="G388" s="13" t="str">
        <f t="array" ref="G388">iferror(xlookup(A388,'Download of SFDC Activation Rep'!B:B,'Download of SFDC Activation Rep'!L:L),"")</f>
        <v/>
      </c>
      <c r="H388" s="17" t="str">
        <f t="shared" si="1"/>
        <v>Not Active</v>
      </c>
      <c r="I388" s="17" t="str">
        <f t="array" ref="I388">XLOOKUP(A388,'Download of SFDC Activation Rep'!B:B,'Download of SFDC Activation Rep'!T:T)</f>
        <v>#N/A</v>
      </c>
      <c r="J388" s="17" t="str">
        <f t="array" ref="J388">iferror(XLOOKUP(A388,'Download of SFDC Activation Rep'!B:B,'Download of SFDC Activation Rep'!C:C),"")</f>
        <v/>
      </c>
      <c r="K388" s="17" t="str">
        <f t="array" ref="K388">XLOOKUP(A388,'Download of SFDC Activation Rep'!B:B,'Download of SFDC Activation Rep'!X:X)</f>
        <v>#N/A</v>
      </c>
      <c r="L388" s="32" t="str">
        <f t="array" ref="L388">xlookup(A388,'Download of SFDC Activation Rep'!B:B,'Download of SFDC Activation Rep'!Z:Z)</f>
        <v>#N/A</v>
      </c>
    </row>
    <row r="389">
      <c r="B389" s="14"/>
      <c r="C389" s="14"/>
      <c r="D389" s="14"/>
      <c r="E389" s="14"/>
      <c r="F389" s="13" t="str">
        <f t="array" ref="F389">iferror(XLOOKUP(A389,'Download of SFDC Activation Rep'!B:B,'Download of SFDC Activation Rep'!H:H),"")</f>
        <v/>
      </c>
      <c r="G389" s="13" t="str">
        <f t="array" ref="G389">iferror(xlookup(A389,'Download of SFDC Activation Rep'!B:B,'Download of SFDC Activation Rep'!L:L),"")</f>
        <v/>
      </c>
      <c r="H389" s="17" t="str">
        <f t="shared" si="1"/>
        <v>Not Active</v>
      </c>
      <c r="I389" s="17" t="str">
        <f t="array" ref="I389">XLOOKUP(A389,'Download of SFDC Activation Rep'!B:B,'Download of SFDC Activation Rep'!T:T)</f>
        <v>#N/A</v>
      </c>
      <c r="J389" s="17" t="str">
        <f t="array" ref="J389">iferror(XLOOKUP(A389,'Download of SFDC Activation Rep'!B:B,'Download of SFDC Activation Rep'!C:C),"")</f>
        <v/>
      </c>
      <c r="K389" s="17" t="str">
        <f t="array" ref="K389">XLOOKUP(A389,'Download of SFDC Activation Rep'!B:B,'Download of SFDC Activation Rep'!X:X)</f>
        <v>#N/A</v>
      </c>
      <c r="L389" s="32" t="str">
        <f t="array" ref="L389">xlookup(A389,'Download of SFDC Activation Rep'!B:B,'Download of SFDC Activation Rep'!Z:Z)</f>
        <v>#N/A</v>
      </c>
    </row>
    <row r="390">
      <c r="B390" s="14"/>
      <c r="C390" s="14"/>
      <c r="D390" s="14"/>
      <c r="E390" s="14"/>
      <c r="F390" s="13" t="str">
        <f t="array" ref="F390">iferror(XLOOKUP(A390,'Download of SFDC Activation Rep'!B:B,'Download of SFDC Activation Rep'!H:H),"")</f>
        <v/>
      </c>
      <c r="G390" s="13" t="str">
        <f t="array" ref="G390">iferror(xlookup(A390,'Download of SFDC Activation Rep'!B:B,'Download of SFDC Activation Rep'!L:L),"")</f>
        <v/>
      </c>
      <c r="H390" s="17" t="str">
        <f t="shared" si="1"/>
        <v>Not Active</v>
      </c>
      <c r="I390" s="17" t="str">
        <f t="array" ref="I390">XLOOKUP(A390,'Download of SFDC Activation Rep'!B:B,'Download of SFDC Activation Rep'!T:T)</f>
        <v>#N/A</v>
      </c>
      <c r="J390" s="17" t="str">
        <f t="array" ref="J390">iferror(XLOOKUP(A390,'Download of SFDC Activation Rep'!B:B,'Download of SFDC Activation Rep'!C:C),"")</f>
        <v/>
      </c>
      <c r="K390" s="17" t="str">
        <f t="array" ref="K390">XLOOKUP(A390,'Download of SFDC Activation Rep'!B:B,'Download of SFDC Activation Rep'!X:X)</f>
        <v>#N/A</v>
      </c>
      <c r="L390" s="32" t="str">
        <f t="array" ref="L390">xlookup(A390,'Download of SFDC Activation Rep'!B:B,'Download of SFDC Activation Rep'!Z:Z)</f>
        <v>#N/A</v>
      </c>
    </row>
    <row r="391">
      <c r="B391" s="14"/>
      <c r="C391" s="14"/>
      <c r="D391" s="14"/>
      <c r="E391" s="14"/>
      <c r="F391" s="13" t="str">
        <f t="array" ref="F391">iferror(XLOOKUP(A391,'Download of SFDC Activation Rep'!B:B,'Download of SFDC Activation Rep'!H:H),"")</f>
        <v/>
      </c>
      <c r="G391" s="13" t="str">
        <f t="array" ref="G391">iferror(xlookup(A391,'Download of SFDC Activation Rep'!B:B,'Download of SFDC Activation Rep'!L:L),"")</f>
        <v/>
      </c>
      <c r="H391" s="17" t="str">
        <f t="shared" si="1"/>
        <v>Not Active</v>
      </c>
      <c r="I391" s="17" t="str">
        <f t="array" ref="I391">XLOOKUP(A391,'Download of SFDC Activation Rep'!B:B,'Download of SFDC Activation Rep'!T:T)</f>
        <v>#N/A</v>
      </c>
      <c r="J391" s="17" t="str">
        <f t="array" ref="J391">iferror(XLOOKUP(A391,'Download of SFDC Activation Rep'!B:B,'Download of SFDC Activation Rep'!C:C),"")</f>
        <v/>
      </c>
      <c r="K391" s="17" t="str">
        <f t="array" ref="K391">XLOOKUP(A391,'Download of SFDC Activation Rep'!B:B,'Download of SFDC Activation Rep'!X:X)</f>
        <v>#N/A</v>
      </c>
      <c r="L391" s="32" t="str">
        <f t="array" ref="L391">xlookup(A391,'Download of SFDC Activation Rep'!B:B,'Download of SFDC Activation Rep'!Z:Z)</f>
        <v>#N/A</v>
      </c>
    </row>
    <row r="392">
      <c r="B392" s="14"/>
      <c r="C392" s="14"/>
      <c r="D392" s="14"/>
      <c r="E392" s="14"/>
      <c r="F392" s="13" t="str">
        <f t="array" ref="F392">iferror(XLOOKUP(A392,'Download of SFDC Activation Rep'!B:B,'Download of SFDC Activation Rep'!H:H),"")</f>
        <v/>
      </c>
      <c r="G392" s="13" t="str">
        <f t="array" ref="G392">iferror(xlookup(A392,'Download of SFDC Activation Rep'!B:B,'Download of SFDC Activation Rep'!L:L),"")</f>
        <v/>
      </c>
      <c r="H392" s="17" t="str">
        <f t="shared" si="1"/>
        <v>Not Active</v>
      </c>
      <c r="I392" s="17" t="str">
        <f t="array" ref="I392">XLOOKUP(A392,'Download of SFDC Activation Rep'!B:B,'Download of SFDC Activation Rep'!T:T)</f>
        <v>#N/A</v>
      </c>
      <c r="J392" s="17" t="str">
        <f t="array" ref="J392">iferror(XLOOKUP(A392,'Download of SFDC Activation Rep'!B:B,'Download of SFDC Activation Rep'!C:C),"")</f>
        <v/>
      </c>
      <c r="K392" s="17" t="str">
        <f t="array" ref="K392">XLOOKUP(A392,'Download of SFDC Activation Rep'!B:B,'Download of SFDC Activation Rep'!X:X)</f>
        <v>#N/A</v>
      </c>
      <c r="L392" s="32" t="str">
        <f t="array" ref="L392">xlookup(A392,'Download of SFDC Activation Rep'!B:B,'Download of SFDC Activation Rep'!Z:Z)</f>
        <v>#N/A</v>
      </c>
    </row>
    <row r="393">
      <c r="B393" s="14"/>
      <c r="C393" s="14"/>
      <c r="D393" s="14"/>
      <c r="E393" s="14"/>
      <c r="F393" s="13" t="str">
        <f t="array" ref="F393">iferror(XLOOKUP(A393,'Download of SFDC Activation Rep'!B:B,'Download of SFDC Activation Rep'!H:H),"")</f>
        <v/>
      </c>
      <c r="G393" s="13" t="str">
        <f t="array" ref="G393">iferror(xlookup(A393,'Download of SFDC Activation Rep'!B:B,'Download of SFDC Activation Rep'!L:L),"")</f>
        <v/>
      </c>
      <c r="H393" s="17" t="str">
        <f t="shared" si="1"/>
        <v>Not Active</v>
      </c>
      <c r="I393" s="17" t="str">
        <f t="array" ref="I393">XLOOKUP(A393,'Download of SFDC Activation Rep'!B:B,'Download of SFDC Activation Rep'!T:T)</f>
        <v>#N/A</v>
      </c>
      <c r="J393" s="17" t="str">
        <f t="array" ref="J393">iferror(XLOOKUP(A393,'Download of SFDC Activation Rep'!B:B,'Download of SFDC Activation Rep'!C:C),"")</f>
        <v/>
      </c>
      <c r="K393" s="17" t="str">
        <f t="array" ref="K393">XLOOKUP(A393,'Download of SFDC Activation Rep'!B:B,'Download of SFDC Activation Rep'!X:X)</f>
        <v>#N/A</v>
      </c>
      <c r="L393" s="32" t="str">
        <f t="array" ref="L393">xlookup(A393,'Download of SFDC Activation Rep'!B:B,'Download of SFDC Activation Rep'!Z:Z)</f>
        <v>#N/A</v>
      </c>
    </row>
    <row r="394">
      <c r="B394" s="14"/>
      <c r="C394" s="14"/>
      <c r="D394" s="14"/>
      <c r="E394" s="14"/>
      <c r="F394" s="13" t="str">
        <f t="array" ref="F394">iferror(XLOOKUP(A394,'Download of SFDC Activation Rep'!B:B,'Download of SFDC Activation Rep'!H:H),"")</f>
        <v/>
      </c>
      <c r="G394" s="13" t="str">
        <f t="array" ref="G394">iferror(xlookup(A394,'Download of SFDC Activation Rep'!B:B,'Download of SFDC Activation Rep'!L:L),"")</f>
        <v/>
      </c>
      <c r="H394" s="17" t="str">
        <f t="shared" si="1"/>
        <v>Not Active</v>
      </c>
      <c r="I394" s="17" t="str">
        <f t="array" ref="I394">XLOOKUP(A394,'Download of SFDC Activation Rep'!B:B,'Download of SFDC Activation Rep'!T:T)</f>
        <v>#N/A</v>
      </c>
      <c r="J394" s="17" t="str">
        <f t="array" ref="J394">iferror(XLOOKUP(A394,'Download of SFDC Activation Rep'!B:B,'Download of SFDC Activation Rep'!C:C),"")</f>
        <v/>
      </c>
      <c r="K394" s="17" t="str">
        <f t="array" ref="K394">XLOOKUP(A394,'Download of SFDC Activation Rep'!B:B,'Download of SFDC Activation Rep'!X:X)</f>
        <v>#N/A</v>
      </c>
      <c r="L394" s="32" t="str">
        <f t="array" ref="L394">xlookup(A394,'Download of SFDC Activation Rep'!B:B,'Download of SFDC Activation Rep'!Z:Z)</f>
        <v>#N/A</v>
      </c>
    </row>
    <row r="395">
      <c r="B395" s="14"/>
      <c r="C395" s="14"/>
      <c r="D395" s="14"/>
      <c r="E395" s="14"/>
      <c r="F395" s="13" t="str">
        <f t="array" ref="F395">iferror(XLOOKUP(A395,'Download of SFDC Activation Rep'!B:B,'Download of SFDC Activation Rep'!H:H),"")</f>
        <v/>
      </c>
      <c r="G395" s="13" t="str">
        <f t="array" ref="G395">iferror(xlookup(A395,'Download of SFDC Activation Rep'!B:B,'Download of SFDC Activation Rep'!L:L),"")</f>
        <v/>
      </c>
      <c r="H395" s="17" t="str">
        <f t="shared" si="1"/>
        <v>Not Active</v>
      </c>
      <c r="I395" s="17" t="str">
        <f t="array" ref="I395">XLOOKUP(A395,'Download of SFDC Activation Rep'!B:B,'Download of SFDC Activation Rep'!T:T)</f>
        <v>#N/A</v>
      </c>
      <c r="J395" s="17" t="str">
        <f t="array" ref="J395">iferror(XLOOKUP(A395,'Download of SFDC Activation Rep'!B:B,'Download of SFDC Activation Rep'!C:C),"")</f>
        <v/>
      </c>
      <c r="K395" s="17" t="str">
        <f t="array" ref="K395">XLOOKUP(A395,'Download of SFDC Activation Rep'!B:B,'Download of SFDC Activation Rep'!X:X)</f>
        <v>#N/A</v>
      </c>
      <c r="L395" s="32" t="str">
        <f t="array" ref="L395">xlookup(A395,'Download of SFDC Activation Rep'!B:B,'Download of SFDC Activation Rep'!Z:Z)</f>
        <v>#N/A</v>
      </c>
    </row>
    <row r="396">
      <c r="B396" s="14"/>
      <c r="C396" s="14"/>
      <c r="D396" s="14"/>
      <c r="E396" s="14"/>
      <c r="F396" s="13" t="str">
        <f t="array" ref="F396">iferror(XLOOKUP(A396,'Download of SFDC Activation Rep'!B:B,'Download of SFDC Activation Rep'!H:H),"")</f>
        <v/>
      </c>
      <c r="G396" s="13" t="str">
        <f t="array" ref="G396">iferror(xlookup(A396,'Download of SFDC Activation Rep'!B:B,'Download of SFDC Activation Rep'!L:L),"")</f>
        <v/>
      </c>
      <c r="H396" s="17" t="str">
        <f t="shared" si="1"/>
        <v>Not Active</v>
      </c>
      <c r="I396" s="17" t="str">
        <f t="array" ref="I396">XLOOKUP(A396,'Download of SFDC Activation Rep'!B:B,'Download of SFDC Activation Rep'!T:T)</f>
        <v>#N/A</v>
      </c>
      <c r="J396" s="17" t="str">
        <f t="array" ref="J396">iferror(XLOOKUP(A396,'Download of SFDC Activation Rep'!B:B,'Download of SFDC Activation Rep'!C:C),"")</f>
        <v/>
      </c>
      <c r="K396" s="17" t="str">
        <f t="array" ref="K396">XLOOKUP(A396,'Download of SFDC Activation Rep'!B:B,'Download of SFDC Activation Rep'!X:X)</f>
        <v>#N/A</v>
      </c>
      <c r="L396" s="32" t="str">
        <f t="array" ref="L396">xlookup(A396,'Download of SFDC Activation Rep'!B:B,'Download of SFDC Activation Rep'!Z:Z)</f>
        <v>#N/A</v>
      </c>
    </row>
    <row r="397">
      <c r="B397" s="14"/>
      <c r="C397" s="14"/>
      <c r="D397" s="14"/>
      <c r="E397" s="14"/>
      <c r="F397" s="13" t="str">
        <f t="array" ref="F397">iferror(XLOOKUP(A397,'Download of SFDC Activation Rep'!B:B,'Download of SFDC Activation Rep'!H:H),"")</f>
        <v/>
      </c>
      <c r="G397" s="13" t="str">
        <f t="array" ref="G397">iferror(xlookup(A397,'Download of SFDC Activation Rep'!B:B,'Download of SFDC Activation Rep'!L:L),"")</f>
        <v/>
      </c>
      <c r="H397" s="17" t="str">
        <f t="shared" si="1"/>
        <v>Not Active</v>
      </c>
      <c r="I397" s="17" t="str">
        <f t="array" ref="I397">XLOOKUP(A397,'Download of SFDC Activation Rep'!B:B,'Download of SFDC Activation Rep'!T:T)</f>
        <v>#N/A</v>
      </c>
      <c r="J397" s="17" t="str">
        <f t="array" ref="J397">iferror(XLOOKUP(A397,'Download of SFDC Activation Rep'!B:B,'Download of SFDC Activation Rep'!C:C),"")</f>
        <v/>
      </c>
      <c r="K397" s="17" t="str">
        <f t="array" ref="K397">XLOOKUP(A397,'Download of SFDC Activation Rep'!B:B,'Download of SFDC Activation Rep'!X:X)</f>
        <v>#N/A</v>
      </c>
      <c r="L397" s="32" t="str">
        <f t="array" ref="L397">xlookup(A397,'Download of SFDC Activation Rep'!B:B,'Download of SFDC Activation Rep'!Z:Z)</f>
        <v>#N/A</v>
      </c>
    </row>
    <row r="398">
      <c r="B398" s="14"/>
      <c r="C398" s="14"/>
      <c r="D398" s="14"/>
      <c r="E398" s="14"/>
      <c r="F398" s="13" t="str">
        <f t="array" ref="F398">iferror(XLOOKUP(A398,'Download of SFDC Activation Rep'!B:B,'Download of SFDC Activation Rep'!H:H),"")</f>
        <v/>
      </c>
      <c r="G398" s="13" t="str">
        <f t="array" ref="G398">iferror(xlookup(A398,'Download of SFDC Activation Rep'!B:B,'Download of SFDC Activation Rep'!L:L),"")</f>
        <v/>
      </c>
      <c r="H398" s="17" t="str">
        <f t="shared" si="1"/>
        <v>Not Active</v>
      </c>
      <c r="I398" s="17" t="str">
        <f t="array" ref="I398">XLOOKUP(A398,'Download of SFDC Activation Rep'!B:B,'Download of SFDC Activation Rep'!T:T)</f>
        <v>#N/A</v>
      </c>
      <c r="J398" s="17" t="str">
        <f t="array" ref="J398">iferror(XLOOKUP(A398,'Download of SFDC Activation Rep'!B:B,'Download of SFDC Activation Rep'!C:C),"")</f>
        <v/>
      </c>
      <c r="K398" s="17" t="str">
        <f t="array" ref="K398">XLOOKUP(A398,'Download of SFDC Activation Rep'!B:B,'Download of SFDC Activation Rep'!X:X)</f>
        <v>#N/A</v>
      </c>
      <c r="L398" s="32" t="str">
        <f t="array" ref="L398">xlookup(A398,'Download of SFDC Activation Rep'!B:B,'Download of SFDC Activation Rep'!Z:Z)</f>
        <v>#N/A</v>
      </c>
    </row>
    <row r="399">
      <c r="B399" s="14"/>
      <c r="C399" s="14"/>
      <c r="D399" s="14"/>
      <c r="E399" s="14"/>
      <c r="F399" s="13" t="str">
        <f t="array" ref="F399">iferror(XLOOKUP(A399,'Download of SFDC Activation Rep'!B:B,'Download of SFDC Activation Rep'!H:H),"")</f>
        <v/>
      </c>
      <c r="G399" s="13" t="str">
        <f t="array" ref="G399">iferror(xlookup(A399,'Download of SFDC Activation Rep'!B:B,'Download of SFDC Activation Rep'!L:L),"")</f>
        <v/>
      </c>
      <c r="H399" s="17" t="str">
        <f t="shared" si="1"/>
        <v>Not Active</v>
      </c>
      <c r="I399" s="17" t="str">
        <f t="array" ref="I399">XLOOKUP(A399,'Download of SFDC Activation Rep'!B:B,'Download of SFDC Activation Rep'!T:T)</f>
        <v>#N/A</v>
      </c>
      <c r="J399" s="17" t="str">
        <f t="array" ref="J399">iferror(XLOOKUP(A399,'Download of SFDC Activation Rep'!B:B,'Download of SFDC Activation Rep'!C:C),"")</f>
        <v/>
      </c>
      <c r="K399" s="17" t="str">
        <f t="array" ref="K399">XLOOKUP(A399,'Download of SFDC Activation Rep'!B:B,'Download of SFDC Activation Rep'!X:X)</f>
        <v>#N/A</v>
      </c>
      <c r="L399" s="32" t="str">
        <f t="array" ref="L399">xlookup(A399,'Download of SFDC Activation Rep'!B:B,'Download of SFDC Activation Rep'!Z:Z)</f>
        <v>#N/A</v>
      </c>
    </row>
    <row r="400">
      <c r="B400" s="14"/>
      <c r="C400" s="14"/>
      <c r="D400" s="14"/>
      <c r="E400" s="14"/>
      <c r="F400" s="13" t="str">
        <f t="array" ref="F400">iferror(XLOOKUP(A400,'Download of SFDC Activation Rep'!B:B,'Download of SFDC Activation Rep'!H:H),"")</f>
        <v/>
      </c>
      <c r="G400" s="13" t="str">
        <f t="array" ref="G400">iferror(xlookup(A400,'Download of SFDC Activation Rep'!B:B,'Download of SFDC Activation Rep'!L:L),"")</f>
        <v/>
      </c>
      <c r="H400" s="17" t="str">
        <f t="shared" si="1"/>
        <v>Not Active</v>
      </c>
      <c r="I400" s="17" t="str">
        <f t="array" ref="I400">XLOOKUP(A400,'Download of SFDC Activation Rep'!B:B,'Download of SFDC Activation Rep'!T:T)</f>
        <v>#N/A</v>
      </c>
      <c r="J400" s="17" t="str">
        <f t="array" ref="J400">iferror(XLOOKUP(A400,'Download of SFDC Activation Rep'!B:B,'Download of SFDC Activation Rep'!C:C),"")</f>
        <v/>
      </c>
      <c r="K400" s="17" t="str">
        <f t="array" ref="K400">XLOOKUP(A400,'Download of SFDC Activation Rep'!B:B,'Download of SFDC Activation Rep'!X:X)</f>
        <v>#N/A</v>
      </c>
      <c r="L400" s="32" t="str">
        <f t="array" ref="L400">xlookup(A400,'Download of SFDC Activation Rep'!B:B,'Download of SFDC Activation Rep'!Z:Z)</f>
        <v>#N/A</v>
      </c>
    </row>
    <row r="401">
      <c r="B401" s="14"/>
      <c r="C401" s="14"/>
      <c r="D401" s="14"/>
      <c r="E401" s="14"/>
      <c r="F401" s="13" t="str">
        <f t="array" ref="F401">iferror(XLOOKUP(A401,'Download of SFDC Activation Rep'!B:B,'Download of SFDC Activation Rep'!H:H),"")</f>
        <v/>
      </c>
      <c r="G401" s="13" t="str">
        <f t="array" ref="G401">iferror(xlookup(A401,'Download of SFDC Activation Rep'!B:B,'Download of SFDC Activation Rep'!L:L),"")</f>
        <v/>
      </c>
      <c r="H401" s="17" t="str">
        <f t="shared" si="1"/>
        <v>Not Active</v>
      </c>
      <c r="I401" s="17" t="str">
        <f t="array" ref="I401">XLOOKUP(A401,'Download of SFDC Activation Rep'!B:B,'Download of SFDC Activation Rep'!T:T)</f>
        <v>#N/A</v>
      </c>
      <c r="J401" s="17" t="str">
        <f t="array" ref="J401">iferror(XLOOKUP(A401,'Download of SFDC Activation Rep'!B:B,'Download of SFDC Activation Rep'!C:C),"")</f>
        <v/>
      </c>
      <c r="K401" s="17" t="str">
        <f t="array" ref="K401">XLOOKUP(A401,'Download of SFDC Activation Rep'!B:B,'Download of SFDC Activation Rep'!X:X)</f>
        <v>#N/A</v>
      </c>
      <c r="L401" s="32" t="str">
        <f t="array" ref="L401">xlookup(A401,'Download of SFDC Activation Rep'!B:B,'Download of SFDC Activation Rep'!Z:Z)</f>
        <v>#N/A</v>
      </c>
    </row>
    <row r="402">
      <c r="B402" s="14"/>
      <c r="C402" s="14"/>
      <c r="D402" s="14"/>
      <c r="E402" s="14"/>
      <c r="F402" s="13" t="str">
        <f t="array" ref="F402">iferror(XLOOKUP(A402,'Download of SFDC Activation Rep'!B:B,'Download of SFDC Activation Rep'!H:H),"")</f>
        <v/>
      </c>
      <c r="G402" s="13" t="str">
        <f t="array" ref="G402">iferror(xlookup(A402,'Download of SFDC Activation Rep'!B:B,'Download of SFDC Activation Rep'!L:L),"")</f>
        <v/>
      </c>
      <c r="H402" s="17" t="str">
        <f t="shared" si="1"/>
        <v>Not Active</v>
      </c>
      <c r="I402" s="17" t="str">
        <f t="array" ref="I402">XLOOKUP(A402,'Download of SFDC Activation Rep'!B:B,'Download of SFDC Activation Rep'!T:T)</f>
        <v>#N/A</v>
      </c>
      <c r="J402" s="17" t="str">
        <f t="array" ref="J402">iferror(XLOOKUP(A402,'Download of SFDC Activation Rep'!B:B,'Download of SFDC Activation Rep'!C:C),"")</f>
        <v/>
      </c>
      <c r="K402" s="17" t="str">
        <f t="array" ref="K402">XLOOKUP(A402,'Download of SFDC Activation Rep'!B:B,'Download of SFDC Activation Rep'!X:X)</f>
        <v>#N/A</v>
      </c>
      <c r="L402" s="32" t="str">
        <f t="array" ref="L402">xlookup(A402,'Download of SFDC Activation Rep'!B:B,'Download of SFDC Activation Rep'!Z:Z)</f>
        <v>#N/A</v>
      </c>
    </row>
    <row r="403">
      <c r="B403" s="14"/>
      <c r="C403" s="14"/>
      <c r="D403" s="14"/>
      <c r="E403" s="14"/>
      <c r="F403" s="13" t="str">
        <f t="array" ref="F403">iferror(XLOOKUP(A403,'Download of SFDC Activation Rep'!B:B,'Download of SFDC Activation Rep'!H:H),"")</f>
        <v/>
      </c>
      <c r="G403" s="13" t="str">
        <f t="array" ref="G403">iferror(xlookup(A403,'Download of SFDC Activation Rep'!B:B,'Download of SFDC Activation Rep'!L:L),"")</f>
        <v/>
      </c>
      <c r="H403" s="17" t="str">
        <f t="shared" si="1"/>
        <v>Not Active</v>
      </c>
      <c r="I403" s="17" t="str">
        <f t="array" ref="I403">XLOOKUP(A403,'Download of SFDC Activation Rep'!B:B,'Download of SFDC Activation Rep'!T:T)</f>
        <v>#N/A</v>
      </c>
      <c r="J403" s="17" t="str">
        <f t="array" ref="J403">iferror(XLOOKUP(A403,'Download of SFDC Activation Rep'!B:B,'Download of SFDC Activation Rep'!C:C),"")</f>
        <v/>
      </c>
      <c r="K403" s="17" t="str">
        <f t="array" ref="K403">XLOOKUP(A403,'Download of SFDC Activation Rep'!B:B,'Download of SFDC Activation Rep'!X:X)</f>
        <v>#N/A</v>
      </c>
      <c r="L403" s="32" t="str">
        <f t="array" ref="L403">xlookup(A403,'Download of SFDC Activation Rep'!B:B,'Download of SFDC Activation Rep'!Z:Z)</f>
        <v>#N/A</v>
      </c>
    </row>
    <row r="404">
      <c r="B404" s="14"/>
      <c r="C404" s="14"/>
      <c r="D404" s="14"/>
      <c r="E404" s="14"/>
      <c r="F404" s="13" t="str">
        <f t="array" ref="F404">iferror(XLOOKUP(A404,'Download of SFDC Activation Rep'!B:B,'Download of SFDC Activation Rep'!H:H),"")</f>
        <v/>
      </c>
      <c r="G404" s="13" t="str">
        <f t="array" ref="G404">iferror(xlookup(A404,'Download of SFDC Activation Rep'!B:B,'Download of SFDC Activation Rep'!L:L),"")</f>
        <v/>
      </c>
      <c r="H404" s="17" t="str">
        <f t="shared" si="1"/>
        <v>Not Active</v>
      </c>
      <c r="I404" s="17" t="str">
        <f t="array" ref="I404">XLOOKUP(A404,'Download of SFDC Activation Rep'!B:B,'Download of SFDC Activation Rep'!T:T)</f>
        <v>#N/A</v>
      </c>
      <c r="J404" s="17" t="str">
        <f t="array" ref="J404">iferror(XLOOKUP(A404,'Download of SFDC Activation Rep'!B:B,'Download of SFDC Activation Rep'!C:C),"")</f>
        <v/>
      </c>
      <c r="K404" s="17" t="str">
        <f t="array" ref="K404">XLOOKUP(A404,'Download of SFDC Activation Rep'!B:B,'Download of SFDC Activation Rep'!X:X)</f>
        <v>#N/A</v>
      </c>
      <c r="L404" s="32" t="str">
        <f t="array" ref="L404">xlookup(A404,'Download of SFDC Activation Rep'!B:B,'Download of SFDC Activation Rep'!Z:Z)</f>
        <v>#N/A</v>
      </c>
    </row>
    <row r="405">
      <c r="B405" s="14"/>
      <c r="C405" s="14"/>
      <c r="D405" s="14"/>
      <c r="E405" s="14"/>
      <c r="F405" s="13" t="str">
        <f t="array" ref="F405">iferror(XLOOKUP(A405,'Download of SFDC Activation Rep'!B:B,'Download of SFDC Activation Rep'!H:H),"")</f>
        <v/>
      </c>
      <c r="G405" s="13" t="str">
        <f t="array" ref="G405">iferror(xlookup(A405,'Download of SFDC Activation Rep'!B:B,'Download of SFDC Activation Rep'!L:L),"")</f>
        <v/>
      </c>
      <c r="H405" s="17" t="str">
        <f t="shared" si="1"/>
        <v>Not Active</v>
      </c>
      <c r="I405" s="17" t="str">
        <f t="array" ref="I405">XLOOKUP(A405,'Download of SFDC Activation Rep'!B:B,'Download of SFDC Activation Rep'!T:T)</f>
        <v>#N/A</v>
      </c>
      <c r="J405" s="17" t="str">
        <f t="array" ref="J405">iferror(XLOOKUP(A405,'Download of SFDC Activation Rep'!B:B,'Download of SFDC Activation Rep'!C:C),"")</f>
        <v/>
      </c>
      <c r="K405" s="17" t="str">
        <f t="array" ref="K405">XLOOKUP(A405,'Download of SFDC Activation Rep'!B:B,'Download of SFDC Activation Rep'!X:X)</f>
        <v>#N/A</v>
      </c>
      <c r="L405" s="32" t="str">
        <f t="array" ref="L405">xlookup(A405,'Download of SFDC Activation Rep'!B:B,'Download of SFDC Activation Rep'!Z:Z)</f>
        <v>#N/A</v>
      </c>
    </row>
    <row r="406">
      <c r="B406" s="14"/>
      <c r="C406" s="14"/>
      <c r="D406" s="14"/>
      <c r="E406" s="14"/>
      <c r="F406" s="13" t="str">
        <f t="array" ref="F406">iferror(XLOOKUP(A406,'Download of SFDC Activation Rep'!B:B,'Download of SFDC Activation Rep'!H:H),"")</f>
        <v/>
      </c>
      <c r="G406" s="13" t="str">
        <f t="array" ref="G406">iferror(xlookup(A406,'Download of SFDC Activation Rep'!B:B,'Download of SFDC Activation Rep'!L:L),"")</f>
        <v/>
      </c>
      <c r="H406" s="17" t="str">
        <f t="shared" si="1"/>
        <v>Not Active</v>
      </c>
      <c r="I406" s="17" t="str">
        <f t="array" ref="I406">XLOOKUP(A406,'Download of SFDC Activation Rep'!B:B,'Download of SFDC Activation Rep'!T:T)</f>
        <v>#N/A</v>
      </c>
      <c r="J406" s="17" t="str">
        <f t="array" ref="J406">iferror(XLOOKUP(A406,'Download of SFDC Activation Rep'!B:B,'Download of SFDC Activation Rep'!C:C),"")</f>
        <v/>
      </c>
      <c r="K406" s="17" t="str">
        <f t="array" ref="K406">XLOOKUP(A406,'Download of SFDC Activation Rep'!B:B,'Download of SFDC Activation Rep'!X:X)</f>
        <v>#N/A</v>
      </c>
      <c r="L406" s="32" t="str">
        <f t="array" ref="L406">xlookup(A406,'Download of SFDC Activation Rep'!B:B,'Download of SFDC Activation Rep'!Z:Z)</f>
        <v>#N/A</v>
      </c>
    </row>
    <row r="407">
      <c r="B407" s="14"/>
      <c r="C407" s="14"/>
      <c r="D407" s="14"/>
      <c r="E407" s="14"/>
      <c r="F407" s="13" t="str">
        <f t="array" ref="F407">iferror(XLOOKUP(A407,'Download of SFDC Activation Rep'!B:B,'Download of SFDC Activation Rep'!H:H),"")</f>
        <v/>
      </c>
      <c r="G407" s="13" t="str">
        <f t="array" ref="G407">iferror(xlookup(A407,'Download of SFDC Activation Rep'!B:B,'Download of SFDC Activation Rep'!L:L),"")</f>
        <v/>
      </c>
      <c r="H407" s="17" t="str">
        <f t="shared" si="1"/>
        <v>Not Active</v>
      </c>
      <c r="I407" s="17" t="str">
        <f t="array" ref="I407">XLOOKUP(A407,'Download of SFDC Activation Rep'!B:B,'Download of SFDC Activation Rep'!T:T)</f>
        <v>#N/A</v>
      </c>
      <c r="J407" s="17" t="str">
        <f t="array" ref="J407">iferror(XLOOKUP(A407,'Download of SFDC Activation Rep'!B:B,'Download of SFDC Activation Rep'!C:C),"")</f>
        <v/>
      </c>
      <c r="K407" s="17" t="str">
        <f t="array" ref="K407">XLOOKUP(A407,'Download of SFDC Activation Rep'!B:B,'Download of SFDC Activation Rep'!X:X)</f>
        <v>#N/A</v>
      </c>
      <c r="L407" s="32" t="str">
        <f t="array" ref="L407">xlookup(A407,'Download of SFDC Activation Rep'!B:B,'Download of SFDC Activation Rep'!Z:Z)</f>
        <v>#N/A</v>
      </c>
    </row>
    <row r="408">
      <c r="B408" s="14"/>
      <c r="C408" s="14"/>
      <c r="D408" s="14"/>
      <c r="E408" s="14"/>
      <c r="F408" s="13" t="str">
        <f t="array" ref="F408">iferror(XLOOKUP(A408,'Download of SFDC Activation Rep'!B:B,'Download of SFDC Activation Rep'!H:H),"")</f>
        <v/>
      </c>
      <c r="G408" s="13" t="str">
        <f t="array" ref="G408">iferror(xlookup(A408,'Download of SFDC Activation Rep'!B:B,'Download of SFDC Activation Rep'!L:L),"")</f>
        <v/>
      </c>
      <c r="H408" s="17" t="str">
        <f t="shared" si="1"/>
        <v>Not Active</v>
      </c>
      <c r="I408" s="17" t="str">
        <f t="array" ref="I408">XLOOKUP(A408,'Download of SFDC Activation Rep'!B:B,'Download of SFDC Activation Rep'!T:T)</f>
        <v>#N/A</v>
      </c>
      <c r="J408" s="17" t="str">
        <f t="array" ref="J408">iferror(XLOOKUP(A408,'Download of SFDC Activation Rep'!B:B,'Download of SFDC Activation Rep'!C:C),"")</f>
        <v/>
      </c>
      <c r="K408" s="17" t="str">
        <f t="array" ref="K408">XLOOKUP(A408,'Download of SFDC Activation Rep'!B:B,'Download of SFDC Activation Rep'!X:X)</f>
        <v>#N/A</v>
      </c>
      <c r="L408" s="32" t="str">
        <f t="array" ref="L408">xlookup(A408,'Download of SFDC Activation Rep'!B:B,'Download of SFDC Activation Rep'!Z:Z)</f>
        <v>#N/A</v>
      </c>
    </row>
    <row r="409">
      <c r="B409" s="14"/>
      <c r="C409" s="14"/>
      <c r="D409" s="14"/>
      <c r="E409" s="14"/>
      <c r="F409" s="13" t="str">
        <f t="array" ref="F409">iferror(XLOOKUP(A409,'Download of SFDC Activation Rep'!B:B,'Download of SFDC Activation Rep'!H:H),"")</f>
        <v/>
      </c>
      <c r="G409" s="13" t="str">
        <f t="array" ref="G409">iferror(xlookup(A409,'Download of SFDC Activation Rep'!B:B,'Download of SFDC Activation Rep'!L:L),"")</f>
        <v/>
      </c>
      <c r="H409" s="17" t="str">
        <f t="shared" si="1"/>
        <v>Not Active</v>
      </c>
      <c r="I409" s="17" t="str">
        <f t="array" ref="I409">XLOOKUP(A409,'Download of SFDC Activation Rep'!B:B,'Download of SFDC Activation Rep'!T:T)</f>
        <v>#N/A</v>
      </c>
      <c r="J409" s="17" t="str">
        <f t="array" ref="J409">iferror(XLOOKUP(A409,'Download of SFDC Activation Rep'!B:B,'Download of SFDC Activation Rep'!C:C),"")</f>
        <v/>
      </c>
      <c r="K409" s="17" t="str">
        <f t="array" ref="K409">XLOOKUP(A409,'Download of SFDC Activation Rep'!B:B,'Download of SFDC Activation Rep'!X:X)</f>
        <v>#N/A</v>
      </c>
      <c r="L409" s="32" t="str">
        <f t="array" ref="L409">xlookup(A409,'Download of SFDC Activation Rep'!B:B,'Download of SFDC Activation Rep'!Z:Z)</f>
        <v>#N/A</v>
      </c>
    </row>
    <row r="410">
      <c r="B410" s="14"/>
      <c r="C410" s="14"/>
      <c r="D410" s="14"/>
      <c r="E410" s="14"/>
      <c r="F410" s="13" t="str">
        <f t="array" ref="F410">iferror(XLOOKUP(A410,'Download of SFDC Activation Rep'!B:B,'Download of SFDC Activation Rep'!H:H),"")</f>
        <v/>
      </c>
      <c r="G410" s="13" t="str">
        <f t="array" ref="G410">iferror(xlookup(A410,'Download of SFDC Activation Rep'!B:B,'Download of SFDC Activation Rep'!L:L),"")</f>
        <v/>
      </c>
      <c r="H410" s="17" t="str">
        <f t="shared" si="1"/>
        <v>Not Active</v>
      </c>
      <c r="I410" s="17" t="str">
        <f t="array" ref="I410">XLOOKUP(A410,'Download of SFDC Activation Rep'!B:B,'Download of SFDC Activation Rep'!T:T)</f>
        <v>#N/A</v>
      </c>
      <c r="J410" s="17" t="str">
        <f t="array" ref="J410">iferror(XLOOKUP(A410,'Download of SFDC Activation Rep'!B:B,'Download of SFDC Activation Rep'!C:C),"")</f>
        <v/>
      </c>
      <c r="K410" s="17" t="str">
        <f t="array" ref="K410">XLOOKUP(A410,'Download of SFDC Activation Rep'!B:B,'Download of SFDC Activation Rep'!X:X)</f>
        <v>#N/A</v>
      </c>
      <c r="L410" s="32" t="str">
        <f t="array" ref="L410">xlookup(A410,'Download of SFDC Activation Rep'!B:B,'Download of SFDC Activation Rep'!Z:Z)</f>
        <v>#N/A</v>
      </c>
    </row>
    <row r="411">
      <c r="B411" s="14"/>
      <c r="C411" s="14"/>
      <c r="D411" s="14"/>
      <c r="E411" s="14"/>
      <c r="F411" s="13" t="str">
        <f t="array" ref="F411">iferror(XLOOKUP(A411,'Download of SFDC Activation Rep'!B:B,'Download of SFDC Activation Rep'!H:H),"")</f>
        <v/>
      </c>
      <c r="G411" s="13" t="str">
        <f t="array" ref="G411">iferror(xlookup(A411,'Download of SFDC Activation Rep'!B:B,'Download of SFDC Activation Rep'!L:L),"")</f>
        <v/>
      </c>
      <c r="H411" s="17" t="str">
        <f t="shared" si="1"/>
        <v>Not Active</v>
      </c>
      <c r="I411" s="17" t="str">
        <f t="array" ref="I411">XLOOKUP(A411,'Download of SFDC Activation Rep'!B:B,'Download of SFDC Activation Rep'!T:T)</f>
        <v>#N/A</v>
      </c>
      <c r="J411" s="17" t="str">
        <f t="array" ref="J411">iferror(XLOOKUP(A411,'Download of SFDC Activation Rep'!B:B,'Download of SFDC Activation Rep'!C:C),"")</f>
        <v/>
      </c>
      <c r="K411" s="17" t="str">
        <f t="array" ref="K411">XLOOKUP(A411,'Download of SFDC Activation Rep'!B:B,'Download of SFDC Activation Rep'!X:X)</f>
        <v>#N/A</v>
      </c>
      <c r="L411" s="32" t="str">
        <f t="array" ref="L411">xlookup(A411,'Download of SFDC Activation Rep'!B:B,'Download of SFDC Activation Rep'!Z:Z)</f>
        <v>#N/A</v>
      </c>
    </row>
    <row r="412">
      <c r="B412" s="14"/>
      <c r="C412" s="14"/>
      <c r="D412" s="14"/>
      <c r="E412" s="14"/>
      <c r="F412" s="13" t="str">
        <f t="array" ref="F412">iferror(XLOOKUP(A412,'Download of SFDC Activation Rep'!B:B,'Download of SFDC Activation Rep'!H:H),"")</f>
        <v/>
      </c>
      <c r="G412" s="13" t="str">
        <f t="array" ref="G412">iferror(xlookup(A412,'Download of SFDC Activation Rep'!B:B,'Download of SFDC Activation Rep'!L:L),"")</f>
        <v/>
      </c>
      <c r="H412" s="17" t="str">
        <f t="shared" si="1"/>
        <v>Not Active</v>
      </c>
      <c r="I412" s="17" t="str">
        <f t="array" ref="I412">XLOOKUP(A412,'Download of SFDC Activation Rep'!B:B,'Download of SFDC Activation Rep'!T:T)</f>
        <v>#N/A</v>
      </c>
      <c r="J412" s="17" t="str">
        <f t="array" ref="J412">iferror(XLOOKUP(A412,'Download of SFDC Activation Rep'!B:B,'Download of SFDC Activation Rep'!C:C),"")</f>
        <v/>
      </c>
      <c r="K412" s="17" t="str">
        <f t="array" ref="K412">XLOOKUP(A412,'Download of SFDC Activation Rep'!B:B,'Download of SFDC Activation Rep'!X:X)</f>
        <v>#N/A</v>
      </c>
      <c r="L412" s="32" t="str">
        <f t="array" ref="L412">xlookup(A412,'Download of SFDC Activation Rep'!B:B,'Download of SFDC Activation Rep'!Z:Z)</f>
        <v>#N/A</v>
      </c>
    </row>
    <row r="413">
      <c r="B413" s="14"/>
      <c r="C413" s="14"/>
      <c r="D413" s="14"/>
      <c r="E413" s="14"/>
      <c r="F413" s="13" t="str">
        <f t="array" ref="F413">iferror(XLOOKUP(A413,'Download of SFDC Activation Rep'!B:B,'Download of SFDC Activation Rep'!H:H),"")</f>
        <v/>
      </c>
      <c r="G413" s="13" t="str">
        <f t="array" ref="G413">iferror(xlookup(A413,'Download of SFDC Activation Rep'!B:B,'Download of SFDC Activation Rep'!L:L),"")</f>
        <v/>
      </c>
      <c r="H413" s="17" t="str">
        <f t="shared" si="1"/>
        <v>Not Active</v>
      </c>
      <c r="I413" s="17" t="str">
        <f t="array" ref="I413">XLOOKUP(A413,'Download of SFDC Activation Rep'!B:B,'Download of SFDC Activation Rep'!T:T)</f>
        <v>#N/A</v>
      </c>
      <c r="J413" s="17" t="str">
        <f t="array" ref="J413">iferror(XLOOKUP(A413,'Download of SFDC Activation Rep'!B:B,'Download of SFDC Activation Rep'!C:C),"")</f>
        <v/>
      </c>
      <c r="K413" s="17" t="str">
        <f t="array" ref="K413">XLOOKUP(A413,'Download of SFDC Activation Rep'!B:B,'Download of SFDC Activation Rep'!X:X)</f>
        <v>#N/A</v>
      </c>
      <c r="L413" s="32" t="str">
        <f t="array" ref="L413">xlookup(A413,'Download of SFDC Activation Rep'!B:B,'Download of SFDC Activation Rep'!Z:Z)</f>
        <v>#N/A</v>
      </c>
    </row>
    <row r="414">
      <c r="B414" s="14"/>
      <c r="C414" s="14"/>
      <c r="D414" s="14"/>
      <c r="E414" s="14"/>
      <c r="F414" s="13" t="str">
        <f t="array" ref="F414">iferror(XLOOKUP(A414,'Download of SFDC Activation Rep'!B:B,'Download of SFDC Activation Rep'!H:H),"")</f>
        <v/>
      </c>
      <c r="G414" s="13" t="str">
        <f t="array" ref="G414">iferror(xlookup(A414,'Download of SFDC Activation Rep'!B:B,'Download of SFDC Activation Rep'!L:L),"")</f>
        <v/>
      </c>
      <c r="H414" s="17" t="str">
        <f t="shared" si="1"/>
        <v>Not Active</v>
      </c>
      <c r="I414" s="17" t="str">
        <f t="array" ref="I414">XLOOKUP(A414,'Download of SFDC Activation Rep'!B:B,'Download of SFDC Activation Rep'!T:T)</f>
        <v>#N/A</v>
      </c>
      <c r="J414" s="17" t="str">
        <f t="array" ref="J414">iferror(XLOOKUP(A414,'Download of SFDC Activation Rep'!B:B,'Download of SFDC Activation Rep'!C:C),"")</f>
        <v/>
      </c>
      <c r="K414" s="17" t="str">
        <f t="array" ref="K414">XLOOKUP(A414,'Download of SFDC Activation Rep'!B:B,'Download of SFDC Activation Rep'!X:X)</f>
        <v>#N/A</v>
      </c>
      <c r="L414" s="32" t="str">
        <f t="array" ref="L414">xlookup(A414,'Download of SFDC Activation Rep'!B:B,'Download of SFDC Activation Rep'!Z:Z)</f>
        <v>#N/A</v>
      </c>
    </row>
    <row r="415">
      <c r="B415" s="14"/>
      <c r="C415" s="14"/>
      <c r="D415" s="14"/>
      <c r="E415" s="14"/>
      <c r="F415" s="13" t="str">
        <f t="array" ref="F415">iferror(XLOOKUP(A415,'Download of SFDC Activation Rep'!B:B,'Download of SFDC Activation Rep'!H:H),"")</f>
        <v/>
      </c>
      <c r="G415" s="13" t="str">
        <f t="array" ref="G415">iferror(xlookup(A415,'Download of SFDC Activation Rep'!B:B,'Download of SFDC Activation Rep'!L:L),"")</f>
        <v/>
      </c>
      <c r="H415" s="17" t="str">
        <f t="shared" si="1"/>
        <v>Not Active</v>
      </c>
      <c r="I415" s="17" t="str">
        <f t="array" ref="I415">XLOOKUP(A415,'Download of SFDC Activation Rep'!B:B,'Download of SFDC Activation Rep'!T:T)</f>
        <v>#N/A</v>
      </c>
      <c r="J415" s="17" t="str">
        <f t="array" ref="J415">iferror(XLOOKUP(A415,'Download of SFDC Activation Rep'!B:B,'Download of SFDC Activation Rep'!C:C),"")</f>
        <v/>
      </c>
      <c r="K415" s="17" t="str">
        <f t="array" ref="K415">XLOOKUP(A415,'Download of SFDC Activation Rep'!B:B,'Download of SFDC Activation Rep'!X:X)</f>
        <v>#N/A</v>
      </c>
      <c r="L415" s="32" t="str">
        <f t="array" ref="L415">xlookup(A415,'Download of SFDC Activation Rep'!B:B,'Download of SFDC Activation Rep'!Z:Z)</f>
        <v>#N/A</v>
      </c>
    </row>
    <row r="416">
      <c r="B416" s="14"/>
      <c r="C416" s="14"/>
      <c r="D416" s="14"/>
      <c r="E416" s="14"/>
      <c r="F416" s="13" t="str">
        <f t="array" ref="F416">iferror(XLOOKUP(A416,'Download of SFDC Activation Rep'!B:B,'Download of SFDC Activation Rep'!H:H),"")</f>
        <v/>
      </c>
      <c r="G416" s="13" t="str">
        <f t="array" ref="G416">iferror(xlookup(A416,'Download of SFDC Activation Rep'!B:B,'Download of SFDC Activation Rep'!L:L),"")</f>
        <v/>
      </c>
      <c r="H416" s="17" t="str">
        <f t="shared" si="1"/>
        <v>Not Active</v>
      </c>
      <c r="I416" s="17" t="str">
        <f t="array" ref="I416">XLOOKUP(A416,'Download of SFDC Activation Rep'!B:B,'Download of SFDC Activation Rep'!T:T)</f>
        <v>#N/A</v>
      </c>
      <c r="J416" s="17" t="str">
        <f t="array" ref="J416">iferror(XLOOKUP(A416,'Download of SFDC Activation Rep'!B:B,'Download of SFDC Activation Rep'!C:C),"")</f>
        <v/>
      </c>
      <c r="K416" s="17" t="str">
        <f t="array" ref="K416">XLOOKUP(A416,'Download of SFDC Activation Rep'!B:B,'Download of SFDC Activation Rep'!X:X)</f>
        <v>#N/A</v>
      </c>
      <c r="L416" s="32" t="str">
        <f t="array" ref="L416">xlookup(A416,'Download of SFDC Activation Rep'!B:B,'Download of SFDC Activation Rep'!Z:Z)</f>
        <v>#N/A</v>
      </c>
    </row>
    <row r="417">
      <c r="B417" s="14"/>
      <c r="C417" s="14"/>
      <c r="D417" s="14"/>
      <c r="E417" s="14"/>
      <c r="F417" s="13" t="str">
        <f t="array" ref="F417">iferror(XLOOKUP(A417,'Download of SFDC Activation Rep'!B:B,'Download of SFDC Activation Rep'!H:H),"")</f>
        <v/>
      </c>
      <c r="G417" s="13" t="str">
        <f t="array" ref="G417">iferror(xlookup(A417,'Download of SFDC Activation Rep'!B:B,'Download of SFDC Activation Rep'!L:L),"")</f>
        <v/>
      </c>
      <c r="H417" s="17" t="str">
        <f t="shared" si="1"/>
        <v>Not Active</v>
      </c>
      <c r="I417" s="17" t="str">
        <f t="array" ref="I417">XLOOKUP(A417,'Download of SFDC Activation Rep'!B:B,'Download of SFDC Activation Rep'!T:T)</f>
        <v>#N/A</v>
      </c>
      <c r="J417" s="17" t="str">
        <f t="array" ref="J417">iferror(XLOOKUP(A417,'Download of SFDC Activation Rep'!B:B,'Download of SFDC Activation Rep'!C:C),"")</f>
        <v/>
      </c>
      <c r="K417" s="17" t="str">
        <f t="array" ref="K417">XLOOKUP(A417,'Download of SFDC Activation Rep'!B:B,'Download of SFDC Activation Rep'!X:X)</f>
        <v>#N/A</v>
      </c>
      <c r="L417" s="32" t="str">
        <f t="array" ref="L417">xlookup(A417,'Download of SFDC Activation Rep'!B:B,'Download of SFDC Activation Rep'!Z:Z)</f>
        <v>#N/A</v>
      </c>
    </row>
    <row r="418">
      <c r="B418" s="14"/>
      <c r="C418" s="14"/>
      <c r="D418" s="14"/>
      <c r="E418" s="14"/>
      <c r="F418" s="13" t="str">
        <f t="array" ref="F418">iferror(XLOOKUP(A418,'Download of SFDC Activation Rep'!B:B,'Download of SFDC Activation Rep'!H:H),"")</f>
        <v/>
      </c>
      <c r="G418" s="13" t="str">
        <f t="array" ref="G418">iferror(xlookup(A418,'Download of SFDC Activation Rep'!B:B,'Download of SFDC Activation Rep'!L:L),"")</f>
        <v/>
      </c>
      <c r="H418" s="17" t="str">
        <f t="shared" si="1"/>
        <v>Not Active</v>
      </c>
      <c r="I418" s="17" t="str">
        <f t="array" ref="I418">XLOOKUP(A418,'Download of SFDC Activation Rep'!B:B,'Download of SFDC Activation Rep'!T:T)</f>
        <v>#N/A</v>
      </c>
      <c r="J418" s="17" t="str">
        <f t="array" ref="J418">iferror(XLOOKUP(A418,'Download of SFDC Activation Rep'!B:B,'Download of SFDC Activation Rep'!C:C),"")</f>
        <v/>
      </c>
      <c r="K418" s="17" t="str">
        <f t="array" ref="K418">XLOOKUP(A418,'Download of SFDC Activation Rep'!B:B,'Download of SFDC Activation Rep'!X:X)</f>
        <v>#N/A</v>
      </c>
      <c r="L418" s="32" t="str">
        <f t="array" ref="L418">xlookup(A418,'Download of SFDC Activation Rep'!B:B,'Download of SFDC Activation Rep'!Z:Z)</f>
        <v>#N/A</v>
      </c>
    </row>
    <row r="419">
      <c r="B419" s="14"/>
      <c r="C419" s="14"/>
      <c r="D419" s="14"/>
      <c r="E419" s="14"/>
      <c r="F419" s="13" t="str">
        <f t="array" ref="F419">iferror(XLOOKUP(A419,'Download of SFDC Activation Rep'!B:B,'Download of SFDC Activation Rep'!H:H),"")</f>
        <v/>
      </c>
      <c r="G419" s="13" t="str">
        <f t="array" ref="G419">iferror(xlookup(A419,'Download of SFDC Activation Rep'!B:B,'Download of SFDC Activation Rep'!L:L),"")</f>
        <v/>
      </c>
      <c r="H419" s="17" t="str">
        <f t="shared" si="1"/>
        <v>Not Active</v>
      </c>
      <c r="I419" s="17" t="str">
        <f t="array" ref="I419">XLOOKUP(A419,'Download of SFDC Activation Rep'!B:B,'Download of SFDC Activation Rep'!T:T)</f>
        <v>#N/A</v>
      </c>
      <c r="J419" s="17" t="str">
        <f t="array" ref="J419">iferror(XLOOKUP(A419,'Download of SFDC Activation Rep'!B:B,'Download of SFDC Activation Rep'!C:C),"")</f>
        <v/>
      </c>
      <c r="K419" s="17" t="str">
        <f t="array" ref="K419">XLOOKUP(A419,'Download of SFDC Activation Rep'!B:B,'Download of SFDC Activation Rep'!X:X)</f>
        <v>#N/A</v>
      </c>
      <c r="L419" s="32" t="str">
        <f t="array" ref="L419">xlookup(A419,'Download of SFDC Activation Rep'!B:B,'Download of SFDC Activation Rep'!Z:Z)</f>
        <v>#N/A</v>
      </c>
    </row>
    <row r="420">
      <c r="B420" s="14"/>
      <c r="C420" s="14"/>
      <c r="D420" s="14"/>
      <c r="E420" s="14"/>
      <c r="F420" s="13" t="str">
        <f t="array" ref="F420">iferror(XLOOKUP(A420,'Download of SFDC Activation Rep'!B:B,'Download of SFDC Activation Rep'!H:H),"")</f>
        <v/>
      </c>
      <c r="G420" s="13" t="str">
        <f t="array" ref="G420">iferror(xlookup(A420,'Download of SFDC Activation Rep'!B:B,'Download of SFDC Activation Rep'!L:L),"")</f>
        <v/>
      </c>
      <c r="H420" s="17" t="str">
        <f t="shared" si="1"/>
        <v>Not Active</v>
      </c>
      <c r="I420" s="17" t="str">
        <f t="array" ref="I420">XLOOKUP(A420,'Download of SFDC Activation Rep'!B:B,'Download of SFDC Activation Rep'!T:T)</f>
        <v>#N/A</v>
      </c>
      <c r="J420" s="17" t="str">
        <f t="array" ref="J420">iferror(XLOOKUP(A420,'Download of SFDC Activation Rep'!B:B,'Download of SFDC Activation Rep'!C:C),"")</f>
        <v/>
      </c>
      <c r="K420" s="17" t="str">
        <f t="array" ref="K420">XLOOKUP(A420,'Download of SFDC Activation Rep'!B:B,'Download of SFDC Activation Rep'!X:X)</f>
        <v>#N/A</v>
      </c>
      <c r="L420" s="32" t="str">
        <f t="array" ref="L420">xlookup(A420,'Download of SFDC Activation Rep'!B:B,'Download of SFDC Activation Rep'!Z:Z)</f>
        <v>#N/A</v>
      </c>
    </row>
    <row r="421">
      <c r="B421" s="14"/>
      <c r="C421" s="14"/>
      <c r="D421" s="14"/>
      <c r="E421" s="14"/>
      <c r="F421" s="13" t="str">
        <f t="array" ref="F421">iferror(XLOOKUP(A421,'Download of SFDC Activation Rep'!B:B,'Download of SFDC Activation Rep'!H:H),"")</f>
        <v/>
      </c>
      <c r="G421" s="13" t="str">
        <f t="array" ref="G421">iferror(xlookup(A421,'Download of SFDC Activation Rep'!B:B,'Download of SFDC Activation Rep'!L:L),"")</f>
        <v/>
      </c>
      <c r="H421" s="17" t="str">
        <f t="shared" si="1"/>
        <v>Not Active</v>
      </c>
      <c r="I421" s="17" t="str">
        <f t="array" ref="I421">XLOOKUP(A421,'Download of SFDC Activation Rep'!B:B,'Download of SFDC Activation Rep'!T:T)</f>
        <v>#N/A</v>
      </c>
      <c r="J421" s="17" t="str">
        <f t="array" ref="J421">iferror(XLOOKUP(A421,'Download of SFDC Activation Rep'!B:B,'Download of SFDC Activation Rep'!C:C),"")</f>
        <v/>
      </c>
      <c r="K421" s="17" t="str">
        <f t="array" ref="K421">XLOOKUP(A421,'Download of SFDC Activation Rep'!B:B,'Download of SFDC Activation Rep'!X:X)</f>
        <v>#N/A</v>
      </c>
      <c r="L421" s="32" t="str">
        <f t="array" ref="L421">xlookup(A421,'Download of SFDC Activation Rep'!B:B,'Download of SFDC Activation Rep'!Z:Z)</f>
        <v>#N/A</v>
      </c>
    </row>
    <row r="422">
      <c r="B422" s="14"/>
      <c r="C422" s="14"/>
      <c r="D422" s="14"/>
      <c r="E422" s="14"/>
      <c r="F422" s="13" t="str">
        <f t="array" ref="F422">iferror(XLOOKUP(A422,'Download of SFDC Activation Rep'!B:B,'Download of SFDC Activation Rep'!H:H),"")</f>
        <v/>
      </c>
      <c r="G422" s="13" t="str">
        <f t="array" ref="G422">iferror(xlookup(A422,'Download of SFDC Activation Rep'!B:B,'Download of SFDC Activation Rep'!L:L),"")</f>
        <v/>
      </c>
      <c r="H422" s="17" t="str">
        <f t="shared" si="1"/>
        <v>Not Active</v>
      </c>
      <c r="I422" s="17" t="str">
        <f t="array" ref="I422">XLOOKUP(A422,'Download of SFDC Activation Rep'!B:B,'Download of SFDC Activation Rep'!T:T)</f>
        <v>#N/A</v>
      </c>
      <c r="J422" s="17" t="str">
        <f t="array" ref="J422">iferror(XLOOKUP(A422,'Download of SFDC Activation Rep'!B:B,'Download of SFDC Activation Rep'!C:C),"")</f>
        <v/>
      </c>
      <c r="K422" s="17" t="str">
        <f t="array" ref="K422">XLOOKUP(A422,'Download of SFDC Activation Rep'!B:B,'Download of SFDC Activation Rep'!X:X)</f>
        <v>#N/A</v>
      </c>
      <c r="L422" s="32" t="str">
        <f t="array" ref="L422">xlookup(A422,'Download of SFDC Activation Rep'!B:B,'Download of SFDC Activation Rep'!Z:Z)</f>
        <v>#N/A</v>
      </c>
    </row>
    <row r="423">
      <c r="B423" s="14"/>
      <c r="C423" s="14"/>
      <c r="D423" s="14"/>
      <c r="E423" s="14"/>
      <c r="F423" s="13" t="str">
        <f t="array" ref="F423">iferror(XLOOKUP(A423,'Download of SFDC Activation Rep'!B:B,'Download of SFDC Activation Rep'!H:H),"")</f>
        <v/>
      </c>
      <c r="G423" s="13" t="str">
        <f t="array" ref="G423">iferror(xlookup(A423,'Download of SFDC Activation Rep'!B:B,'Download of SFDC Activation Rep'!L:L),"")</f>
        <v/>
      </c>
      <c r="H423" s="17" t="str">
        <f t="shared" si="1"/>
        <v>Not Active</v>
      </c>
      <c r="I423" s="17" t="str">
        <f t="array" ref="I423">XLOOKUP(A423,'Download of SFDC Activation Rep'!B:B,'Download of SFDC Activation Rep'!T:T)</f>
        <v>#N/A</v>
      </c>
      <c r="J423" s="17" t="str">
        <f t="array" ref="J423">iferror(XLOOKUP(A423,'Download of SFDC Activation Rep'!B:B,'Download of SFDC Activation Rep'!C:C),"")</f>
        <v/>
      </c>
      <c r="K423" s="17" t="str">
        <f t="array" ref="K423">XLOOKUP(A423,'Download of SFDC Activation Rep'!B:B,'Download of SFDC Activation Rep'!X:X)</f>
        <v>#N/A</v>
      </c>
      <c r="L423" s="32" t="str">
        <f t="array" ref="L423">xlookup(A423,'Download of SFDC Activation Rep'!B:B,'Download of SFDC Activation Rep'!Z:Z)</f>
        <v>#N/A</v>
      </c>
    </row>
    <row r="424">
      <c r="B424" s="14"/>
      <c r="C424" s="14"/>
      <c r="D424" s="14"/>
      <c r="E424" s="14"/>
      <c r="F424" s="13" t="str">
        <f t="array" ref="F424">iferror(XLOOKUP(A424,'Download of SFDC Activation Rep'!B:B,'Download of SFDC Activation Rep'!H:H),"")</f>
        <v/>
      </c>
      <c r="G424" s="13" t="str">
        <f t="array" ref="G424">iferror(xlookup(A424,'Download of SFDC Activation Rep'!B:B,'Download of SFDC Activation Rep'!L:L),"")</f>
        <v/>
      </c>
      <c r="H424" s="17" t="str">
        <f t="shared" si="1"/>
        <v>Not Active</v>
      </c>
      <c r="I424" s="17" t="str">
        <f t="array" ref="I424">XLOOKUP(A424,'Download of SFDC Activation Rep'!B:B,'Download of SFDC Activation Rep'!T:T)</f>
        <v>#N/A</v>
      </c>
      <c r="J424" s="17" t="str">
        <f t="array" ref="J424">iferror(XLOOKUP(A424,'Download of SFDC Activation Rep'!B:B,'Download of SFDC Activation Rep'!C:C),"")</f>
        <v/>
      </c>
      <c r="K424" s="17" t="str">
        <f t="array" ref="K424">XLOOKUP(A424,'Download of SFDC Activation Rep'!B:B,'Download of SFDC Activation Rep'!X:X)</f>
        <v>#N/A</v>
      </c>
      <c r="L424" s="32" t="str">
        <f t="array" ref="L424">xlookup(A424,'Download of SFDC Activation Rep'!B:B,'Download of SFDC Activation Rep'!Z:Z)</f>
        <v>#N/A</v>
      </c>
    </row>
    <row r="425">
      <c r="B425" s="14"/>
      <c r="C425" s="14"/>
      <c r="D425" s="14"/>
      <c r="E425" s="14"/>
      <c r="F425" s="13" t="str">
        <f t="array" ref="F425">iferror(XLOOKUP(A425,'Download of SFDC Activation Rep'!B:B,'Download of SFDC Activation Rep'!H:H),"")</f>
        <v/>
      </c>
      <c r="G425" s="13" t="str">
        <f t="array" ref="G425">iferror(xlookup(A425,'Download of SFDC Activation Rep'!B:B,'Download of SFDC Activation Rep'!L:L),"")</f>
        <v/>
      </c>
      <c r="H425" s="17" t="str">
        <f t="shared" si="1"/>
        <v>Not Active</v>
      </c>
      <c r="I425" s="17" t="str">
        <f t="array" ref="I425">XLOOKUP(A425,'Download of SFDC Activation Rep'!B:B,'Download of SFDC Activation Rep'!T:T)</f>
        <v>#N/A</v>
      </c>
      <c r="J425" s="17" t="str">
        <f t="array" ref="J425">iferror(XLOOKUP(A425,'Download of SFDC Activation Rep'!B:B,'Download of SFDC Activation Rep'!C:C),"")</f>
        <v/>
      </c>
      <c r="K425" s="17" t="str">
        <f t="array" ref="K425">XLOOKUP(A425,'Download of SFDC Activation Rep'!B:B,'Download of SFDC Activation Rep'!X:X)</f>
        <v>#N/A</v>
      </c>
      <c r="L425" s="32" t="str">
        <f t="array" ref="L425">xlookup(A425,'Download of SFDC Activation Rep'!B:B,'Download of SFDC Activation Rep'!Z:Z)</f>
        <v>#N/A</v>
      </c>
    </row>
    <row r="426">
      <c r="B426" s="14"/>
      <c r="C426" s="14"/>
      <c r="D426" s="14"/>
      <c r="E426" s="14"/>
      <c r="F426" s="13" t="str">
        <f t="array" ref="F426">iferror(XLOOKUP(A426,'Download of SFDC Activation Rep'!B:B,'Download of SFDC Activation Rep'!H:H),"")</f>
        <v/>
      </c>
      <c r="G426" s="13" t="str">
        <f t="array" ref="G426">iferror(xlookup(A426,'Download of SFDC Activation Rep'!B:B,'Download of SFDC Activation Rep'!L:L),"")</f>
        <v/>
      </c>
      <c r="H426" s="17" t="str">
        <f t="shared" si="1"/>
        <v>Not Active</v>
      </c>
      <c r="I426" s="17" t="str">
        <f t="array" ref="I426">XLOOKUP(A426,'Download of SFDC Activation Rep'!B:B,'Download of SFDC Activation Rep'!T:T)</f>
        <v>#N/A</v>
      </c>
      <c r="J426" s="17" t="str">
        <f t="array" ref="J426">iferror(XLOOKUP(A426,'Download of SFDC Activation Rep'!B:B,'Download of SFDC Activation Rep'!C:C),"")</f>
        <v/>
      </c>
      <c r="K426" s="17" t="str">
        <f t="array" ref="K426">XLOOKUP(A426,'Download of SFDC Activation Rep'!B:B,'Download of SFDC Activation Rep'!X:X)</f>
        <v>#N/A</v>
      </c>
      <c r="L426" s="32" t="str">
        <f t="array" ref="L426">xlookup(A426,'Download of SFDC Activation Rep'!B:B,'Download of SFDC Activation Rep'!Z:Z)</f>
        <v>#N/A</v>
      </c>
    </row>
    <row r="427">
      <c r="B427" s="14"/>
      <c r="C427" s="14"/>
      <c r="D427" s="14"/>
      <c r="E427" s="14"/>
      <c r="F427" s="13" t="str">
        <f t="array" ref="F427">iferror(XLOOKUP(A427,'Download of SFDC Activation Rep'!B:B,'Download of SFDC Activation Rep'!H:H),"")</f>
        <v/>
      </c>
      <c r="G427" s="13" t="str">
        <f t="array" ref="G427">iferror(xlookup(A427,'Download of SFDC Activation Rep'!B:B,'Download of SFDC Activation Rep'!L:L),"")</f>
        <v/>
      </c>
      <c r="H427" s="17" t="str">
        <f t="shared" si="1"/>
        <v>Not Active</v>
      </c>
      <c r="I427" s="17" t="str">
        <f t="array" ref="I427">XLOOKUP(A427,'Download of SFDC Activation Rep'!B:B,'Download of SFDC Activation Rep'!T:T)</f>
        <v>#N/A</v>
      </c>
      <c r="J427" s="17" t="str">
        <f t="array" ref="J427">iferror(XLOOKUP(A427,'Download of SFDC Activation Rep'!B:B,'Download of SFDC Activation Rep'!C:C),"")</f>
        <v/>
      </c>
      <c r="K427" s="17" t="str">
        <f t="array" ref="K427">XLOOKUP(A427,'Download of SFDC Activation Rep'!B:B,'Download of SFDC Activation Rep'!X:X)</f>
        <v>#N/A</v>
      </c>
      <c r="L427" s="32" t="str">
        <f t="array" ref="L427">xlookup(A427,'Download of SFDC Activation Rep'!B:B,'Download of SFDC Activation Rep'!Z:Z)</f>
        <v>#N/A</v>
      </c>
    </row>
    <row r="428">
      <c r="B428" s="14"/>
      <c r="C428" s="14"/>
      <c r="D428" s="14"/>
      <c r="E428" s="14"/>
      <c r="F428" s="13" t="str">
        <f t="array" ref="F428">iferror(XLOOKUP(A428,'Download of SFDC Activation Rep'!B:B,'Download of SFDC Activation Rep'!H:H),"")</f>
        <v/>
      </c>
      <c r="G428" s="13" t="str">
        <f t="array" ref="G428">iferror(xlookup(A428,'Download of SFDC Activation Rep'!B:B,'Download of SFDC Activation Rep'!L:L),"")</f>
        <v/>
      </c>
      <c r="H428" s="17" t="str">
        <f t="shared" si="1"/>
        <v>Not Active</v>
      </c>
      <c r="I428" s="17" t="str">
        <f t="array" ref="I428">XLOOKUP(A428,'Download of SFDC Activation Rep'!B:B,'Download of SFDC Activation Rep'!T:T)</f>
        <v>#N/A</v>
      </c>
      <c r="J428" s="17" t="str">
        <f t="array" ref="J428">iferror(XLOOKUP(A428,'Download of SFDC Activation Rep'!B:B,'Download of SFDC Activation Rep'!C:C),"")</f>
        <v/>
      </c>
      <c r="K428" s="17" t="str">
        <f t="array" ref="K428">XLOOKUP(A428,'Download of SFDC Activation Rep'!B:B,'Download of SFDC Activation Rep'!X:X)</f>
        <v>#N/A</v>
      </c>
      <c r="L428" s="32" t="str">
        <f t="array" ref="L428">xlookup(A428,'Download of SFDC Activation Rep'!B:B,'Download of SFDC Activation Rep'!Z:Z)</f>
        <v>#N/A</v>
      </c>
    </row>
    <row r="429">
      <c r="B429" s="14"/>
      <c r="C429" s="14"/>
      <c r="D429" s="14"/>
      <c r="E429" s="14"/>
      <c r="F429" s="13" t="str">
        <f t="array" ref="F429">iferror(XLOOKUP(A429,'Download of SFDC Activation Rep'!B:B,'Download of SFDC Activation Rep'!H:H),"")</f>
        <v/>
      </c>
      <c r="G429" s="13" t="str">
        <f t="array" ref="G429">iferror(xlookup(A429,'Download of SFDC Activation Rep'!B:B,'Download of SFDC Activation Rep'!L:L),"")</f>
        <v/>
      </c>
      <c r="H429" s="17" t="str">
        <f t="shared" si="1"/>
        <v>Not Active</v>
      </c>
      <c r="I429" s="17" t="str">
        <f t="array" ref="I429">XLOOKUP(A429,'Download of SFDC Activation Rep'!B:B,'Download of SFDC Activation Rep'!T:T)</f>
        <v>#N/A</v>
      </c>
      <c r="J429" s="17" t="str">
        <f t="array" ref="J429">iferror(XLOOKUP(A429,'Download of SFDC Activation Rep'!B:B,'Download of SFDC Activation Rep'!C:C),"")</f>
        <v/>
      </c>
      <c r="K429" s="17" t="str">
        <f t="array" ref="K429">XLOOKUP(A429,'Download of SFDC Activation Rep'!B:B,'Download of SFDC Activation Rep'!X:X)</f>
        <v>#N/A</v>
      </c>
      <c r="L429" s="32" t="str">
        <f t="array" ref="L429">xlookup(A429,'Download of SFDC Activation Rep'!B:B,'Download of SFDC Activation Rep'!Z:Z)</f>
        <v>#N/A</v>
      </c>
    </row>
    <row r="430">
      <c r="B430" s="14"/>
      <c r="C430" s="14"/>
      <c r="D430" s="14"/>
      <c r="E430" s="14"/>
      <c r="F430" s="13" t="str">
        <f t="array" ref="F430">iferror(XLOOKUP(A430,'Download of SFDC Activation Rep'!B:B,'Download of SFDC Activation Rep'!H:H),"")</f>
        <v/>
      </c>
      <c r="G430" s="13" t="str">
        <f t="array" ref="G430">iferror(xlookup(A430,'Download of SFDC Activation Rep'!B:B,'Download of SFDC Activation Rep'!L:L),"")</f>
        <v/>
      </c>
      <c r="H430" s="17" t="str">
        <f t="shared" si="1"/>
        <v>Not Active</v>
      </c>
      <c r="I430" s="17" t="str">
        <f t="array" ref="I430">XLOOKUP(A430,'Download of SFDC Activation Rep'!B:B,'Download of SFDC Activation Rep'!T:T)</f>
        <v>#N/A</v>
      </c>
      <c r="J430" s="17" t="str">
        <f t="array" ref="J430">iferror(XLOOKUP(A430,'Download of SFDC Activation Rep'!B:B,'Download of SFDC Activation Rep'!C:C),"")</f>
        <v/>
      </c>
      <c r="K430" s="17" t="str">
        <f t="array" ref="K430">XLOOKUP(A430,'Download of SFDC Activation Rep'!B:B,'Download of SFDC Activation Rep'!X:X)</f>
        <v>#N/A</v>
      </c>
      <c r="L430" s="32" t="str">
        <f t="array" ref="L430">xlookup(A430,'Download of SFDC Activation Rep'!B:B,'Download of SFDC Activation Rep'!Z:Z)</f>
        <v>#N/A</v>
      </c>
    </row>
    <row r="431">
      <c r="B431" s="14"/>
      <c r="C431" s="14"/>
      <c r="D431" s="14"/>
      <c r="E431" s="14"/>
      <c r="F431" s="13" t="str">
        <f t="array" ref="F431">iferror(XLOOKUP(A431,'Download of SFDC Activation Rep'!B:B,'Download of SFDC Activation Rep'!H:H),"")</f>
        <v/>
      </c>
      <c r="G431" s="13" t="str">
        <f t="array" ref="G431">iferror(xlookup(A431,'Download of SFDC Activation Rep'!B:B,'Download of SFDC Activation Rep'!L:L),"")</f>
        <v/>
      </c>
      <c r="H431" s="17" t="str">
        <f t="shared" si="1"/>
        <v>Not Active</v>
      </c>
      <c r="I431" s="17" t="str">
        <f t="array" ref="I431">XLOOKUP(A431,'Download of SFDC Activation Rep'!B:B,'Download of SFDC Activation Rep'!T:T)</f>
        <v>#N/A</v>
      </c>
      <c r="J431" s="17" t="str">
        <f t="array" ref="J431">iferror(XLOOKUP(A431,'Download of SFDC Activation Rep'!B:B,'Download of SFDC Activation Rep'!C:C),"")</f>
        <v/>
      </c>
      <c r="K431" s="17" t="str">
        <f t="array" ref="K431">XLOOKUP(A431,'Download of SFDC Activation Rep'!B:B,'Download of SFDC Activation Rep'!X:X)</f>
        <v>#N/A</v>
      </c>
      <c r="L431" s="32" t="str">
        <f t="array" ref="L431">xlookup(A431,'Download of SFDC Activation Rep'!B:B,'Download of SFDC Activation Rep'!Z:Z)</f>
        <v>#N/A</v>
      </c>
    </row>
    <row r="432">
      <c r="B432" s="14"/>
      <c r="C432" s="14"/>
      <c r="D432" s="14"/>
      <c r="E432" s="14"/>
      <c r="F432" s="13" t="str">
        <f t="array" ref="F432">iferror(XLOOKUP(A432,'Download of SFDC Activation Rep'!B:B,'Download of SFDC Activation Rep'!H:H),"")</f>
        <v/>
      </c>
      <c r="G432" s="13" t="str">
        <f t="array" ref="G432">iferror(xlookup(A432,'Download of SFDC Activation Rep'!B:B,'Download of SFDC Activation Rep'!L:L),"")</f>
        <v/>
      </c>
      <c r="H432" s="17" t="str">
        <f t="shared" si="1"/>
        <v>Not Active</v>
      </c>
      <c r="I432" s="17" t="str">
        <f t="array" ref="I432">XLOOKUP(A432,'Download of SFDC Activation Rep'!B:B,'Download of SFDC Activation Rep'!T:T)</f>
        <v>#N/A</v>
      </c>
      <c r="J432" s="17" t="str">
        <f t="array" ref="J432">iferror(XLOOKUP(A432,'Download of SFDC Activation Rep'!B:B,'Download of SFDC Activation Rep'!C:C),"")</f>
        <v/>
      </c>
      <c r="K432" s="17" t="str">
        <f t="array" ref="K432">XLOOKUP(A432,'Download of SFDC Activation Rep'!B:B,'Download of SFDC Activation Rep'!X:X)</f>
        <v>#N/A</v>
      </c>
      <c r="L432" s="32" t="str">
        <f t="array" ref="L432">xlookup(A432,'Download of SFDC Activation Rep'!B:B,'Download of SFDC Activation Rep'!Z:Z)</f>
        <v>#N/A</v>
      </c>
    </row>
    <row r="433">
      <c r="B433" s="14"/>
      <c r="C433" s="14"/>
      <c r="D433" s="14"/>
      <c r="E433" s="14"/>
      <c r="F433" s="13" t="str">
        <f t="array" ref="F433">iferror(XLOOKUP(A433,'Download of SFDC Activation Rep'!B:B,'Download of SFDC Activation Rep'!H:H),"")</f>
        <v/>
      </c>
      <c r="G433" s="13" t="str">
        <f t="array" ref="G433">iferror(xlookup(A433,'Download of SFDC Activation Rep'!B:B,'Download of SFDC Activation Rep'!L:L),"")</f>
        <v/>
      </c>
      <c r="H433" s="17" t="str">
        <f t="shared" si="1"/>
        <v>Not Active</v>
      </c>
      <c r="I433" s="17" t="str">
        <f t="array" ref="I433">XLOOKUP(A433,'Download of SFDC Activation Rep'!B:B,'Download of SFDC Activation Rep'!T:T)</f>
        <v>#N/A</v>
      </c>
      <c r="J433" s="17" t="str">
        <f t="array" ref="J433">iferror(XLOOKUP(A433,'Download of SFDC Activation Rep'!B:B,'Download of SFDC Activation Rep'!C:C),"")</f>
        <v/>
      </c>
      <c r="K433" s="17" t="str">
        <f t="array" ref="K433">XLOOKUP(A433,'Download of SFDC Activation Rep'!B:B,'Download of SFDC Activation Rep'!X:X)</f>
        <v>#N/A</v>
      </c>
      <c r="L433" s="32" t="str">
        <f t="array" ref="L433">xlookup(A433,'Download of SFDC Activation Rep'!B:B,'Download of SFDC Activation Rep'!Z:Z)</f>
        <v>#N/A</v>
      </c>
    </row>
    <row r="434">
      <c r="B434" s="14"/>
      <c r="C434" s="14"/>
      <c r="D434" s="14"/>
      <c r="E434" s="14"/>
      <c r="F434" s="13" t="str">
        <f t="array" ref="F434">iferror(XLOOKUP(A434,'Download of SFDC Activation Rep'!B:B,'Download of SFDC Activation Rep'!H:H),"")</f>
        <v/>
      </c>
      <c r="G434" s="13" t="str">
        <f t="array" ref="G434">iferror(xlookup(A434,'Download of SFDC Activation Rep'!B:B,'Download of SFDC Activation Rep'!L:L),"")</f>
        <v/>
      </c>
      <c r="H434" s="17" t="str">
        <f t="shared" si="1"/>
        <v>Not Active</v>
      </c>
      <c r="I434" s="17" t="str">
        <f t="array" ref="I434">XLOOKUP(A434,'Download of SFDC Activation Rep'!B:B,'Download of SFDC Activation Rep'!T:T)</f>
        <v>#N/A</v>
      </c>
      <c r="J434" s="17" t="str">
        <f t="array" ref="J434">iferror(XLOOKUP(A434,'Download of SFDC Activation Rep'!B:B,'Download of SFDC Activation Rep'!C:C),"")</f>
        <v/>
      </c>
      <c r="K434" s="17" t="str">
        <f t="array" ref="K434">XLOOKUP(A434,'Download of SFDC Activation Rep'!B:B,'Download of SFDC Activation Rep'!X:X)</f>
        <v>#N/A</v>
      </c>
      <c r="L434" s="32" t="str">
        <f t="array" ref="L434">xlookup(A434,'Download of SFDC Activation Rep'!B:B,'Download of SFDC Activation Rep'!Z:Z)</f>
        <v>#N/A</v>
      </c>
    </row>
    <row r="435">
      <c r="B435" s="14"/>
      <c r="C435" s="14"/>
      <c r="D435" s="14"/>
      <c r="E435" s="14"/>
      <c r="F435" s="13" t="str">
        <f t="array" ref="F435">iferror(XLOOKUP(A435,'Download of SFDC Activation Rep'!B:B,'Download of SFDC Activation Rep'!H:H),"")</f>
        <v/>
      </c>
      <c r="G435" s="13" t="str">
        <f t="array" ref="G435">iferror(xlookup(A435,'Download of SFDC Activation Rep'!B:B,'Download of SFDC Activation Rep'!L:L),"")</f>
        <v/>
      </c>
      <c r="H435" s="17" t="str">
        <f t="shared" si="1"/>
        <v>Not Active</v>
      </c>
      <c r="I435" s="17" t="str">
        <f t="array" ref="I435">XLOOKUP(A435,'Download of SFDC Activation Rep'!B:B,'Download of SFDC Activation Rep'!T:T)</f>
        <v>#N/A</v>
      </c>
      <c r="J435" s="17" t="str">
        <f t="array" ref="J435">iferror(XLOOKUP(A435,'Download of SFDC Activation Rep'!B:B,'Download of SFDC Activation Rep'!C:C),"")</f>
        <v/>
      </c>
      <c r="K435" s="17" t="str">
        <f t="array" ref="K435">XLOOKUP(A435,'Download of SFDC Activation Rep'!B:B,'Download of SFDC Activation Rep'!X:X)</f>
        <v>#N/A</v>
      </c>
      <c r="L435" s="32" t="str">
        <f t="array" ref="L435">xlookup(A435,'Download of SFDC Activation Rep'!B:B,'Download of SFDC Activation Rep'!Z:Z)</f>
        <v>#N/A</v>
      </c>
    </row>
    <row r="436">
      <c r="B436" s="14"/>
      <c r="C436" s="14"/>
      <c r="D436" s="14"/>
      <c r="E436" s="14"/>
      <c r="F436" s="13" t="str">
        <f t="array" ref="F436">iferror(XLOOKUP(A436,'Download of SFDC Activation Rep'!B:B,'Download of SFDC Activation Rep'!H:H),"")</f>
        <v/>
      </c>
      <c r="G436" s="13" t="str">
        <f t="array" ref="G436">iferror(xlookup(A436,'Download of SFDC Activation Rep'!B:B,'Download of SFDC Activation Rep'!L:L),"")</f>
        <v/>
      </c>
      <c r="H436" s="17" t="str">
        <f t="shared" si="1"/>
        <v>Not Active</v>
      </c>
      <c r="I436" s="17" t="str">
        <f t="array" ref="I436">XLOOKUP(A436,'Download of SFDC Activation Rep'!B:B,'Download of SFDC Activation Rep'!T:T)</f>
        <v>#N/A</v>
      </c>
      <c r="J436" s="17" t="str">
        <f t="array" ref="J436">iferror(XLOOKUP(A436,'Download of SFDC Activation Rep'!B:B,'Download of SFDC Activation Rep'!C:C),"")</f>
        <v/>
      </c>
      <c r="K436" s="17" t="str">
        <f t="array" ref="K436">XLOOKUP(A436,'Download of SFDC Activation Rep'!B:B,'Download of SFDC Activation Rep'!X:X)</f>
        <v>#N/A</v>
      </c>
      <c r="L436" s="32" t="str">
        <f t="array" ref="L436">xlookup(A436,'Download of SFDC Activation Rep'!B:B,'Download of SFDC Activation Rep'!Z:Z)</f>
        <v>#N/A</v>
      </c>
    </row>
    <row r="437">
      <c r="B437" s="14"/>
      <c r="C437" s="14"/>
      <c r="D437" s="14"/>
      <c r="E437" s="14"/>
      <c r="F437" s="13" t="str">
        <f t="array" ref="F437">iferror(XLOOKUP(A437,'Download of SFDC Activation Rep'!B:B,'Download of SFDC Activation Rep'!H:H),"")</f>
        <v/>
      </c>
      <c r="G437" s="13" t="str">
        <f t="array" ref="G437">iferror(xlookup(A437,'Download of SFDC Activation Rep'!B:B,'Download of SFDC Activation Rep'!L:L),"")</f>
        <v/>
      </c>
      <c r="H437" s="17" t="str">
        <f t="shared" si="1"/>
        <v>Not Active</v>
      </c>
      <c r="I437" s="17" t="str">
        <f t="array" ref="I437">XLOOKUP(A437,'Download of SFDC Activation Rep'!B:B,'Download of SFDC Activation Rep'!T:T)</f>
        <v>#N/A</v>
      </c>
      <c r="J437" s="17" t="str">
        <f t="array" ref="J437">iferror(XLOOKUP(A437,'Download of SFDC Activation Rep'!B:B,'Download of SFDC Activation Rep'!C:C),"")</f>
        <v/>
      </c>
      <c r="K437" s="17" t="str">
        <f t="array" ref="K437">XLOOKUP(A437,'Download of SFDC Activation Rep'!B:B,'Download of SFDC Activation Rep'!X:X)</f>
        <v>#N/A</v>
      </c>
      <c r="L437" s="32" t="str">
        <f t="array" ref="L437">xlookup(A437,'Download of SFDC Activation Rep'!B:B,'Download of SFDC Activation Rep'!Z:Z)</f>
        <v>#N/A</v>
      </c>
    </row>
    <row r="438">
      <c r="B438" s="14"/>
      <c r="C438" s="14"/>
      <c r="D438" s="14"/>
      <c r="E438" s="14"/>
      <c r="F438" s="13" t="str">
        <f t="array" ref="F438">iferror(XLOOKUP(A438,'Download of SFDC Activation Rep'!B:B,'Download of SFDC Activation Rep'!H:H),"")</f>
        <v/>
      </c>
      <c r="G438" s="13" t="str">
        <f t="array" ref="G438">iferror(xlookup(A438,'Download of SFDC Activation Rep'!B:B,'Download of SFDC Activation Rep'!L:L),"")</f>
        <v/>
      </c>
      <c r="H438" s="17" t="str">
        <f t="shared" si="1"/>
        <v>Not Active</v>
      </c>
      <c r="I438" s="17" t="str">
        <f t="array" ref="I438">XLOOKUP(A438,'Download of SFDC Activation Rep'!B:B,'Download of SFDC Activation Rep'!T:T)</f>
        <v>#N/A</v>
      </c>
      <c r="J438" s="17" t="str">
        <f t="array" ref="J438">iferror(XLOOKUP(A438,'Download of SFDC Activation Rep'!B:B,'Download of SFDC Activation Rep'!C:C),"")</f>
        <v/>
      </c>
      <c r="K438" s="17" t="str">
        <f t="array" ref="K438">XLOOKUP(A438,'Download of SFDC Activation Rep'!B:B,'Download of SFDC Activation Rep'!X:X)</f>
        <v>#N/A</v>
      </c>
      <c r="L438" s="32" t="str">
        <f t="array" ref="L438">xlookup(A438,'Download of SFDC Activation Rep'!B:B,'Download of SFDC Activation Rep'!Z:Z)</f>
        <v>#N/A</v>
      </c>
    </row>
    <row r="439">
      <c r="B439" s="14"/>
      <c r="C439" s="14"/>
      <c r="D439" s="14"/>
      <c r="E439" s="14"/>
      <c r="F439" s="13" t="str">
        <f t="array" ref="F439">iferror(XLOOKUP(A439,'Download of SFDC Activation Rep'!B:B,'Download of SFDC Activation Rep'!H:H),"")</f>
        <v/>
      </c>
      <c r="G439" s="13" t="str">
        <f t="array" ref="G439">iferror(xlookup(A439,'Download of SFDC Activation Rep'!B:B,'Download of SFDC Activation Rep'!L:L),"")</f>
        <v/>
      </c>
      <c r="H439" s="17" t="str">
        <f t="shared" si="1"/>
        <v>Not Active</v>
      </c>
      <c r="I439" s="17" t="str">
        <f t="array" ref="I439">XLOOKUP(A439,'Download of SFDC Activation Rep'!B:B,'Download of SFDC Activation Rep'!T:T)</f>
        <v>#N/A</v>
      </c>
      <c r="J439" s="17" t="str">
        <f t="array" ref="J439">iferror(XLOOKUP(A439,'Download of SFDC Activation Rep'!B:B,'Download of SFDC Activation Rep'!C:C),"")</f>
        <v/>
      </c>
      <c r="K439" s="17" t="str">
        <f t="array" ref="K439">XLOOKUP(A439,'Download of SFDC Activation Rep'!B:B,'Download of SFDC Activation Rep'!X:X)</f>
        <v>#N/A</v>
      </c>
      <c r="L439" s="32" t="str">
        <f t="array" ref="L439">xlookup(A439,'Download of SFDC Activation Rep'!B:B,'Download of SFDC Activation Rep'!Z:Z)</f>
        <v>#N/A</v>
      </c>
    </row>
    <row r="440">
      <c r="B440" s="14"/>
      <c r="C440" s="14"/>
      <c r="D440" s="14"/>
      <c r="E440" s="14"/>
      <c r="F440" s="13" t="str">
        <f t="array" ref="F440">iferror(XLOOKUP(A440,'Download of SFDC Activation Rep'!B:B,'Download of SFDC Activation Rep'!H:H),"")</f>
        <v/>
      </c>
      <c r="G440" s="13" t="str">
        <f t="array" ref="G440">iferror(xlookup(A440,'Download of SFDC Activation Rep'!B:B,'Download of SFDC Activation Rep'!L:L),"")</f>
        <v/>
      </c>
      <c r="H440" s="17" t="str">
        <f t="shared" si="1"/>
        <v>Not Active</v>
      </c>
      <c r="I440" s="17" t="str">
        <f t="array" ref="I440">XLOOKUP(A440,'Download of SFDC Activation Rep'!B:B,'Download of SFDC Activation Rep'!T:T)</f>
        <v>#N/A</v>
      </c>
      <c r="J440" s="17" t="str">
        <f t="array" ref="J440">iferror(XLOOKUP(A440,'Download of SFDC Activation Rep'!B:B,'Download of SFDC Activation Rep'!C:C),"")</f>
        <v/>
      </c>
      <c r="K440" s="17" t="str">
        <f t="array" ref="K440">XLOOKUP(A440,'Download of SFDC Activation Rep'!B:B,'Download of SFDC Activation Rep'!X:X)</f>
        <v>#N/A</v>
      </c>
      <c r="L440" s="32" t="str">
        <f t="array" ref="L440">xlookup(A440,'Download of SFDC Activation Rep'!B:B,'Download of SFDC Activation Rep'!Z:Z)</f>
        <v>#N/A</v>
      </c>
    </row>
    <row r="441">
      <c r="B441" s="14"/>
      <c r="C441" s="14"/>
      <c r="D441" s="14"/>
      <c r="E441" s="14"/>
      <c r="F441" s="13" t="str">
        <f t="array" ref="F441">iferror(XLOOKUP(A441,'Download of SFDC Activation Rep'!B:B,'Download of SFDC Activation Rep'!H:H),"")</f>
        <v/>
      </c>
      <c r="G441" s="13" t="str">
        <f t="array" ref="G441">iferror(xlookup(A441,'Download of SFDC Activation Rep'!B:B,'Download of SFDC Activation Rep'!L:L),"")</f>
        <v/>
      </c>
      <c r="H441" s="17" t="str">
        <f t="shared" si="1"/>
        <v>Not Active</v>
      </c>
      <c r="I441" s="17" t="str">
        <f t="array" ref="I441">XLOOKUP(A441,'Download of SFDC Activation Rep'!B:B,'Download of SFDC Activation Rep'!T:T)</f>
        <v>#N/A</v>
      </c>
      <c r="J441" s="17" t="str">
        <f t="array" ref="J441">iferror(XLOOKUP(A441,'Download of SFDC Activation Rep'!B:B,'Download of SFDC Activation Rep'!C:C),"")</f>
        <v/>
      </c>
      <c r="K441" s="17" t="str">
        <f t="array" ref="K441">XLOOKUP(A441,'Download of SFDC Activation Rep'!B:B,'Download of SFDC Activation Rep'!X:X)</f>
        <v>#N/A</v>
      </c>
      <c r="L441" s="32" t="str">
        <f t="array" ref="L441">xlookup(A441,'Download of SFDC Activation Rep'!B:B,'Download of SFDC Activation Rep'!Z:Z)</f>
        <v>#N/A</v>
      </c>
    </row>
    <row r="442">
      <c r="B442" s="14"/>
      <c r="C442" s="14"/>
      <c r="D442" s="14"/>
      <c r="E442" s="14"/>
      <c r="F442" s="13" t="str">
        <f t="array" ref="F442">iferror(XLOOKUP(A442,'Download of SFDC Activation Rep'!B:B,'Download of SFDC Activation Rep'!H:H),"")</f>
        <v/>
      </c>
      <c r="G442" s="13" t="str">
        <f t="array" ref="G442">iferror(xlookup(A442,'Download of SFDC Activation Rep'!B:B,'Download of SFDC Activation Rep'!L:L),"")</f>
        <v/>
      </c>
      <c r="H442" s="17" t="str">
        <f t="shared" si="1"/>
        <v>Not Active</v>
      </c>
      <c r="I442" s="17" t="str">
        <f t="array" ref="I442">XLOOKUP(A442,'Download of SFDC Activation Rep'!B:B,'Download of SFDC Activation Rep'!T:T)</f>
        <v>#N/A</v>
      </c>
      <c r="J442" s="17" t="str">
        <f t="array" ref="J442">iferror(XLOOKUP(A442,'Download of SFDC Activation Rep'!B:B,'Download of SFDC Activation Rep'!C:C),"")</f>
        <v/>
      </c>
      <c r="K442" s="17" t="str">
        <f t="array" ref="K442">XLOOKUP(A442,'Download of SFDC Activation Rep'!B:B,'Download of SFDC Activation Rep'!X:X)</f>
        <v>#N/A</v>
      </c>
      <c r="L442" s="32" t="str">
        <f t="array" ref="L442">xlookup(A442,'Download of SFDC Activation Rep'!B:B,'Download of SFDC Activation Rep'!Z:Z)</f>
        <v>#N/A</v>
      </c>
    </row>
    <row r="443">
      <c r="B443" s="14"/>
      <c r="C443" s="14"/>
      <c r="D443" s="14"/>
      <c r="E443" s="14"/>
      <c r="F443" s="13" t="str">
        <f t="array" ref="F443">iferror(XLOOKUP(A443,'Download of SFDC Activation Rep'!B:B,'Download of SFDC Activation Rep'!H:H),"")</f>
        <v/>
      </c>
      <c r="G443" s="13" t="str">
        <f t="array" ref="G443">iferror(xlookup(A443,'Download of SFDC Activation Rep'!B:B,'Download of SFDC Activation Rep'!L:L),"")</f>
        <v/>
      </c>
      <c r="H443" s="17" t="str">
        <f t="shared" si="1"/>
        <v>Not Active</v>
      </c>
      <c r="I443" s="17" t="str">
        <f t="array" ref="I443">XLOOKUP(A443,'Download of SFDC Activation Rep'!B:B,'Download of SFDC Activation Rep'!T:T)</f>
        <v>#N/A</v>
      </c>
      <c r="J443" s="17" t="str">
        <f t="array" ref="J443">iferror(XLOOKUP(A443,'Download of SFDC Activation Rep'!B:B,'Download of SFDC Activation Rep'!C:C),"")</f>
        <v/>
      </c>
      <c r="K443" s="17" t="str">
        <f t="array" ref="K443">XLOOKUP(A443,'Download of SFDC Activation Rep'!B:B,'Download of SFDC Activation Rep'!X:X)</f>
        <v>#N/A</v>
      </c>
      <c r="L443" s="32" t="str">
        <f t="array" ref="L443">xlookup(A443,'Download of SFDC Activation Rep'!B:B,'Download of SFDC Activation Rep'!Z:Z)</f>
        <v>#N/A</v>
      </c>
    </row>
    <row r="444">
      <c r="B444" s="14"/>
      <c r="C444" s="14"/>
      <c r="D444" s="14"/>
      <c r="E444" s="14"/>
      <c r="F444" s="13" t="str">
        <f t="array" ref="F444">iferror(XLOOKUP(A444,'Download of SFDC Activation Rep'!B:B,'Download of SFDC Activation Rep'!H:H),"")</f>
        <v/>
      </c>
      <c r="G444" s="13" t="str">
        <f t="array" ref="G444">iferror(xlookup(A444,'Download of SFDC Activation Rep'!B:B,'Download of SFDC Activation Rep'!L:L),"")</f>
        <v/>
      </c>
      <c r="H444" s="17" t="str">
        <f t="shared" si="1"/>
        <v>Not Active</v>
      </c>
      <c r="I444" s="17" t="str">
        <f t="array" ref="I444">XLOOKUP(A444,'Download of SFDC Activation Rep'!B:B,'Download of SFDC Activation Rep'!T:T)</f>
        <v>#N/A</v>
      </c>
      <c r="J444" s="17" t="str">
        <f t="array" ref="J444">iferror(XLOOKUP(A444,'Download of SFDC Activation Rep'!B:B,'Download of SFDC Activation Rep'!C:C),"")</f>
        <v/>
      </c>
      <c r="K444" s="17" t="str">
        <f t="array" ref="K444">XLOOKUP(A444,'Download of SFDC Activation Rep'!B:B,'Download of SFDC Activation Rep'!X:X)</f>
        <v>#N/A</v>
      </c>
      <c r="L444" s="32" t="str">
        <f t="array" ref="L444">xlookup(A444,'Download of SFDC Activation Rep'!B:B,'Download of SFDC Activation Rep'!Z:Z)</f>
        <v>#N/A</v>
      </c>
    </row>
    <row r="445">
      <c r="B445" s="14"/>
      <c r="C445" s="14"/>
      <c r="D445" s="14"/>
      <c r="E445" s="14"/>
      <c r="F445" s="13" t="str">
        <f t="array" ref="F445">iferror(XLOOKUP(A445,'Download of SFDC Activation Rep'!B:B,'Download of SFDC Activation Rep'!H:H),"")</f>
        <v/>
      </c>
      <c r="G445" s="13" t="str">
        <f t="array" ref="G445">iferror(xlookup(A445,'Download of SFDC Activation Rep'!B:B,'Download of SFDC Activation Rep'!L:L),"")</f>
        <v/>
      </c>
      <c r="H445" s="17" t="str">
        <f t="shared" si="1"/>
        <v>Not Active</v>
      </c>
      <c r="I445" s="17" t="str">
        <f t="array" ref="I445">XLOOKUP(A445,'Download of SFDC Activation Rep'!B:B,'Download of SFDC Activation Rep'!T:T)</f>
        <v>#N/A</v>
      </c>
      <c r="J445" s="17" t="str">
        <f t="array" ref="J445">iferror(XLOOKUP(A445,'Download of SFDC Activation Rep'!B:B,'Download of SFDC Activation Rep'!C:C),"")</f>
        <v/>
      </c>
      <c r="K445" s="17" t="str">
        <f t="array" ref="K445">XLOOKUP(A445,'Download of SFDC Activation Rep'!B:B,'Download of SFDC Activation Rep'!X:X)</f>
        <v>#N/A</v>
      </c>
      <c r="L445" s="32" t="str">
        <f t="array" ref="L445">xlookup(A445,'Download of SFDC Activation Rep'!B:B,'Download of SFDC Activation Rep'!Z:Z)</f>
        <v>#N/A</v>
      </c>
    </row>
    <row r="446">
      <c r="B446" s="14"/>
      <c r="C446" s="14"/>
      <c r="D446" s="14"/>
      <c r="E446" s="14"/>
      <c r="F446" s="13" t="str">
        <f t="array" ref="F446">iferror(XLOOKUP(A446,'Download of SFDC Activation Rep'!B:B,'Download of SFDC Activation Rep'!H:H),"")</f>
        <v/>
      </c>
      <c r="G446" s="13" t="str">
        <f t="array" ref="G446">iferror(xlookup(A446,'Download of SFDC Activation Rep'!B:B,'Download of SFDC Activation Rep'!L:L),"")</f>
        <v/>
      </c>
      <c r="H446" s="17" t="str">
        <f t="shared" si="1"/>
        <v>Not Active</v>
      </c>
      <c r="I446" s="17" t="str">
        <f t="array" ref="I446">XLOOKUP(A446,'Download of SFDC Activation Rep'!B:B,'Download of SFDC Activation Rep'!T:T)</f>
        <v>#N/A</v>
      </c>
      <c r="J446" s="17" t="str">
        <f t="array" ref="J446">iferror(XLOOKUP(A446,'Download of SFDC Activation Rep'!B:B,'Download of SFDC Activation Rep'!C:C),"")</f>
        <v/>
      </c>
      <c r="K446" s="17" t="str">
        <f t="array" ref="K446">XLOOKUP(A446,'Download of SFDC Activation Rep'!B:B,'Download of SFDC Activation Rep'!X:X)</f>
        <v>#N/A</v>
      </c>
      <c r="L446" s="32" t="str">
        <f t="array" ref="L446">xlookup(A446,'Download of SFDC Activation Rep'!B:B,'Download of SFDC Activation Rep'!Z:Z)</f>
        <v>#N/A</v>
      </c>
    </row>
    <row r="447">
      <c r="B447" s="14"/>
      <c r="C447" s="14"/>
      <c r="D447" s="14"/>
      <c r="E447" s="14"/>
      <c r="F447" s="13" t="str">
        <f t="array" ref="F447">iferror(XLOOKUP(A447,'Download of SFDC Activation Rep'!B:B,'Download of SFDC Activation Rep'!H:H),"")</f>
        <v/>
      </c>
      <c r="G447" s="13" t="str">
        <f t="array" ref="G447">iferror(xlookup(A447,'Download of SFDC Activation Rep'!B:B,'Download of SFDC Activation Rep'!L:L),"")</f>
        <v/>
      </c>
      <c r="H447" s="17" t="str">
        <f t="shared" si="1"/>
        <v>Not Active</v>
      </c>
      <c r="I447" s="17" t="str">
        <f t="array" ref="I447">XLOOKUP(A447,'Download of SFDC Activation Rep'!B:B,'Download of SFDC Activation Rep'!T:T)</f>
        <v>#N/A</v>
      </c>
      <c r="J447" s="17" t="str">
        <f t="array" ref="J447">iferror(XLOOKUP(A447,'Download of SFDC Activation Rep'!B:B,'Download of SFDC Activation Rep'!C:C),"")</f>
        <v/>
      </c>
      <c r="K447" s="17" t="str">
        <f t="array" ref="K447">XLOOKUP(A447,'Download of SFDC Activation Rep'!B:B,'Download of SFDC Activation Rep'!X:X)</f>
        <v>#N/A</v>
      </c>
      <c r="L447" s="32" t="str">
        <f t="array" ref="L447">xlookup(A447,'Download of SFDC Activation Rep'!B:B,'Download of SFDC Activation Rep'!Z:Z)</f>
        <v>#N/A</v>
      </c>
    </row>
    <row r="448">
      <c r="B448" s="14"/>
      <c r="C448" s="14"/>
      <c r="D448" s="14"/>
      <c r="E448" s="14"/>
      <c r="F448" s="13" t="str">
        <f t="array" ref="F448">iferror(XLOOKUP(A448,'Download of SFDC Activation Rep'!B:B,'Download of SFDC Activation Rep'!H:H),"")</f>
        <v/>
      </c>
      <c r="G448" s="13" t="str">
        <f t="array" ref="G448">iferror(xlookup(A448,'Download of SFDC Activation Rep'!B:B,'Download of SFDC Activation Rep'!L:L),"")</f>
        <v/>
      </c>
      <c r="H448" s="17" t="str">
        <f t="shared" si="1"/>
        <v>Not Active</v>
      </c>
      <c r="I448" s="17" t="str">
        <f t="array" ref="I448">XLOOKUP(A448,'Download of SFDC Activation Rep'!B:B,'Download of SFDC Activation Rep'!T:T)</f>
        <v>#N/A</v>
      </c>
      <c r="J448" s="17" t="str">
        <f t="array" ref="J448">iferror(XLOOKUP(A448,'Download of SFDC Activation Rep'!B:B,'Download of SFDC Activation Rep'!C:C),"")</f>
        <v/>
      </c>
      <c r="K448" s="17" t="str">
        <f t="array" ref="K448">XLOOKUP(A448,'Download of SFDC Activation Rep'!B:B,'Download of SFDC Activation Rep'!X:X)</f>
        <v>#N/A</v>
      </c>
      <c r="L448" s="32" t="str">
        <f t="array" ref="L448">xlookup(A448,'Download of SFDC Activation Rep'!B:B,'Download of SFDC Activation Rep'!Z:Z)</f>
        <v>#N/A</v>
      </c>
    </row>
    <row r="449">
      <c r="B449" s="14"/>
      <c r="C449" s="14"/>
      <c r="D449" s="14"/>
      <c r="E449" s="14"/>
      <c r="F449" s="13" t="str">
        <f t="array" ref="F449">iferror(XLOOKUP(A449,'Download of SFDC Activation Rep'!B:B,'Download of SFDC Activation Rep'!H:H),"")</f>
        <v/>
      </c>
      <c r="G449" s="13" t="str">
        <f t="array" ref="G449">iferror(xlookup(A449,'Download of SFDC Activation Rep'!B:B,'Download of SFDC Activation Rep'!L:L),"")</f>
        <v/>
      </c>
      <c r="H449" s="17" t="str">
        <f t="shared" si="1"/>
        <v>Not Active</v>
      </c>
      <c r="I449" s="17" t="str">
        <f t="array" ref="I449">XLOOKUP(A449,'Download of SFDC Activation Rep'!B:B,'Download of SFDC Activation Rep'!T:T)</f>
        <v>#N/A</v>
      </c>
      <c r="J449" s="17" t="str">
        <f t="array" ref="J449">iferror(XLOOKUP(A449,'Download of SFDC Activation Rep'!B:B,'Download of SFDC Activation Rep'!C:C),"")</f>
        <v/>
      </c>
      <c r="K449" s="17" t="str">
        <f t="array" ref="K449">XLOOKUP(A449,'Download of SFDC Activation Rep'!B:B,'Download of SFDC Activation Rep'!X:X)</f>
        <v>#N/A</v>
      </c>
      <c r="L449" s="32" t="str">
        <f t="array" ref="L449">xlookup(A449,'Download of SFDC Activation Rep'!B:B,'Download of SFDC Activation Rep'!Z:Z)</f>
        <v>#N/A</v>
      </c>
    </row>
    <row r="450">
      <c r="B450" s="14"/>
      <c r="C450" s="14"/>
      <c r="D450" s="14"/>
      <c r="E450" s="14"/>
      <c r="F450" s="13" t="str">
        <f t="array" ref="F450">iferror(XLOOKUP(A450,'Download of SFDC Activation Rep'!B:B,'Download of SFDC Activation Rep'!H:H),"")</f>
        <v/>
      </c>
      <c r="G450" s="13" t="str">
        <f t="array" ref="G450">iferror(xlookup(A450,'Download of SFDC Activation Rep'!B:B,'Download of SFDC Activation Rep'!L:L),"")</f>
        <v/>
      </c>
      <c r="H450" s="17" t="str">
        <f t="shared" si="1"/>
        <v>Not Active</v>
      </c>
      <c r="I450" s="17" t="str">
        <f t="array" ref="I450">XLOOKUP(A450,'Download of SFDC Activation Rep'!B:B,'Download of SFDC Activation Rep'!T:T)</f>
        <v>#N/A</v>
      </c>
      <c r="J450" s="17" t="str">
        <f t="array" ref="J450">iferror(XLOOKUP(A450,'Download of SFDC Activation Rep'!B:B,'Download of SFDC Activation Rep'!C:C),"")</f>
        <v/>
      </c>
      <c r="K450" s="17" t="str">
        <f t="array" ref="K450">XLOOKUP(A450,'Download of SFDC Activation Rep'!B:B,'Download of SFDC Activation Rep'!X:X)</f>
        <v>#N/A</v>
      </c>
      <c r="L450" s="32" t="str">
        <f t="array" ref="L450">xlookup(A450,'Download of SFDC Activation Rep'!B:B,'Download of SFDC Activation Rep'!Z:Z)</f>
        <v>#N/A</v>
      </c>
    </row>
    <row r="451">
      <c r="B451" s="14"/>
      <c r="C451" s="14"/>
      <c r="D451" s="14"/>
      <c r="E451" s="14"/>
      <c r="F451" s="13" t="str">
        <f t="array" ref="F451">iferror(XLOOKUP(A451,'Download of SFDC Activation Rep'!B:B,'Download of SFDC Activation Rep'!H:H),"")</f>
        <v/>
      </c>
      <c r="G451" s="13" t="str">
        <f t="array" ref="G451">iferror(xlookup(A451,'Download of SFDC Activation Rep'!B:B,'Download of SFDC Activation Rep'!L:L),"")</f>
        <v/>
      </c>
      <c r="H451" s="17" t="str">
        <f t="shared" si="1"/>
        <v>Not Active</v>
      </c>
      <c r="I451" s="17" t="str">
        <f t="array" ref="I451">XLOOKUP(A451,'Download of SFDC Activation Rep'!B:B,'Download of SFDC Activation Rep'!T:T)</f>
        <v>#N/A</v>
      </c>
      <c r="J451" s="17" t="str">
        <f t="array" ref="J451">iferror(XLOOKUP(A451,'Download of SFDC Activation Rep'!B:B,'Download of SFDC Activation Rep'!C:C),"")</f>
        <v/>
      </c>
      <c r="K451" s="17" t="str">
        <f t="array" ref="K451">XLOOKUP(A451,'Download of SFDC Activation Rep'!B:B,'Download of SFDC Activation Rep'!X:X)</f>
        <v>#N/A</v>
      </c>
      <c r="L451" s="32" t="str">
        <f t="array" ref="L451">xlookup(A451,'Download of SFDC Activation Rep'!B:B,'Download of SFDC Activation Rep'!Z:Z)</f>
        <v>#N/A</v>
      </c>
    </row>
    <row r="452">
      <c r="B452" s="14"/>
      <c r="C452" s="14"/>
      <c r="D452" s="14"/>
      <c r="E452" s="14"/>
      <c r="F452" s="13" t="str">
        <f t="array" ref="F452">iferror(XLOOKUP(A452,'Download of SFDC Activation Rep'!B:B,'Download of SFDC Activation Rep'!H:H),"")</f>
        <v/>
      </c>
      <c r="G452" s="13" t="str">
        <f t="array" ref="G452">iferror(xlookup(A452,'Download of SFDC Activation Rep'!B:B,'Download of SFDC Activation Rep'!L:L),"")</f>
        <v/>
      </c>
      <c r="H452" s="17" t="str">
        <f t="shared" si="1"/>
        <v>Not Active</v>
      </c>
      <c r="I452" s="17" t="str">
        <f t="array" ref="I452">XLOOKUP(A452,'Download of SFDC Activation Rep'!B:B,'Download of SFDC Activation Rep'!T:T)</f>
        <v>#N/A</v>
      </c>
      <c r="J452" s="17" t="str">
        <f t="array" ref="J452">iferror(XLOOKUP(A452,'Download of SFDC Activation Rep'!B:B,'Download of SFDC Activation Rep'!C:C),"")</f>
        <v/>
      </c>
      <c r="K452" s="17" t="str">
        <f t="array" ref="K452">XLOOKUP(A452,'Download of SFDC Activation Rep'!B:B,'Download of SFDC Activation Rep'!X:X)</f>
        <v>#N/A</v>
      </c>
      <c r="L452" s="32" t="str">
        <f t="array" ref="L452">xlookup(A452,'Download of SFDC Activation Rep'!B:B,'Download of SFDC Activation Rep'!Z:Z)</f>
        <v>#N/A</v>
      </c>
    </row>
    <row r="453">
      <c r="B453" s="14"/>
      <c r="C453" s="14"/>
      <c r="D453" s="14"/>
      <c r="E453" s="14"/>
      <c r="F453" s="13" t="str">
        <f t="array" ref="F453">iferror(XLOOKUP(A453,'Download of SFDC Activation Rep'!B:B,'Download of SFDC Activation Rep'!H:H),"")</f>
        <v/>
      </c>
      <c r="G453" s="13" t="str">
        <f t="array" ref="G453">iferror(xlookup(A453,'Download of SFDC Activation Rep'!B:B,'Download of SFDC Activation Rep'!L:L),"")</f>
        <v/>
      </c>
      <c r="H453" s="17" t="str">
        <f t="shared" si="1"/>
        <v>Not Active</v>
      </c>
      <c r="I453" s="17" t="str">
        <f t="array" ref="I453">XLOOKUP(A453,'Download of SFDC Activation Rep'!B:B,'Download of SFDC Activation Rep'!T:T)</f>
        <v>#N/A</v>
      </c>
      <c r="J453" s="17" t="str">
        <f t="array" ref="J453">iferror(XLOOKUP(A453,'Download of SFDC Activation Rep'!B:B,'Download of SFDC Activation Rep'!C:C),"")</f>
        <v/>
      </c>
      <c r="K453" s="17" t="str">
        <f t="array" ref="K453">XLOOKUP(A453,'Download of SFDC Activation Rep'!B:B,'Download of SFDC Activation Rep'!X:X)</f>
        <v>#N/A</v>
      </c>
      <c r="L453" s="32" t="str">
        <f t="array" ref="L453">xlookup(A453,'Download of SFDC Activation Rep'!B:B,'Download of SFDC Activation Rep'!Z:Z)</f>
        <v>#N/A</v>
      </c>
    </row>
    <row r="454">
      <c r="B454" s="14"/>
      <c r="C454" s="14"/>
      <c r="D454" s="14"/>
      <c r="E454" s="14"/>
      <c r="F454" s="13" t="str">
        <f t="array" ref="F454">iferror(XLOOKUP(A454,'Download of SFDC Activation Rep'!B:B,'Download of SFDC Activation Rep'!H:H),"")</f>
        <v/>
      </c>
      <c r="G454" s="13" t="str">
        <f t="array" ref="G454">iferror(xlookup(A454,'Download of SFDC Activation Rep'!B:B,'Download of SFDC Activation Rep'!L:L),"")</f>
        <v/>
      </c>
      <c r="H454" s="17" t="str">
        <f t="shared" si="1"/>
        <v>Not Active</v>
      </c>
      <c r="I454" s="17" t="str">
        <f t="array" ref="I454">XLOOKUP(A454,'Download of SFDC Activation Rep'!B:B,'Download of SFDC Activation Rep'!T:T)</f>
        <v>#N/A</v>
      </c>
      <c r="J454" s="17" t="str">
        <f t="array" ref="J454">iferror(XLOOKUP(A454,'Download of SFDC Activation Rep'!B:B,'Download of SFDC Activation Rep'!C:C),"")</f>
        <v/>
      </c>
      <c r="K454" s="17" t="str">
        <f t="array" ref="K454">XLOOKUP(A454,'Download of SFDC Activation Rep'!B:B,'Download of SFDC Activation Rep'!X:X)</f>
        <v>#N/A</v>
      </c>
      <c r="L454" s="32" t="str">
        <f t="array" ref="L454">xlookup(A454,'Download of SFDC Activation Rep'!B:B,'Download of SFDC Activation Rep'!Z:Z)</f>
        <v>#N/A</v>
      </c>
    </row>
    <row r="455">
      <c r="B455" s="14"/>
      <c r="C455" s="14"/>
      <c r="D455" s="14"/>
      <c r="E455" s="14"/>
      <c r="F455" s="13" t="str">
        <f t="array" ref="F455">iferror(XLOOKUP(A455,'Download of SFDC Activation Rep'!B:B,'Download of SFDC Activation Rep'!H:H),"")</f>
        <v/>
      </c>
      <c r="G455" s="13" t="str">
        <f t="array" ref="G455">iferror(xlookup(A455,'Download of SFDC Activation Rep'!B:B,'Download of SFDC Activation Rep'!L:L),"")</f>
        <v/>
      </c>
      <c r="H455" s="17" t="str">
        <f t="shared" si="1"/>
        <v>Not Active</v>
      </c>
      <c r="I455" s="17" t="str">
        <f t="array" ref="I455">XLOOKUP(A455,'Download of SFDC Activation Rep'!B:B,'Download of SFDC Activation Rep'!T:T)</f>
        <v>#N/A</v>
      </c>
      <c r="J455" s="17" t="str">
        <f t="array" ref="J455">iferror(XLOOKUP(A455,'Download of SFDC Activation Rep'!B:B,'Download of SFDC Activation Rep'!C:C),"")</f>
        <v/>
      </c>
      <c r="K455" s="17" t="str">
        <f t="array" ref="K455">XLOOKUP(A455,'Download of SFDC Activation Rep'!B:B,'Download of SFDC Activation Rep'!X:X)</f>
        <v>#N/A</v>
      </c>
      <c r="L455" s="32" t="str">
        <f t="array" ref="L455">xlookup(A455,'Download of SFDC Activation Rep'!B:B,'Download of SFDC Activation Rep'!Z:Z)</f>
        <v>#N/A</v>
      </c>
    </row>
    <row r="456">
      <c r="B456" s="14"/>
      <c r="C456" s="14"/>
      <c r="D456" s="14"/>
      <c r="E456" s="14"/>
      <c r="F456" s="13" t="str">
        <f t="array" ref="F456">iferror(XLOOKUP(A456,'Download of SFDC Activation Rep'!B:B,'Download of SFDC Activation Rep'!H:H),"")</f>
        <v/>
      </c>
      <c r="G456" s="13" t="str">
        <f t="array" ref="G456">iferror(xlookup(A456,'Download of SFDC Activation Rep'!B:B,'Download of SFDC Activation Rep'!L:L),"")</f>
        <v/>
      </c>
      <c r="H456" s="17" t="str">
        <f t="shared" si="1"/>
        <v>Not Active</v>
      </c>
      <c r="I456" s="17" t="str">
        <f t="array" ref="I456">XLOOKUP(A456,'Download of SFDC Activation Rep'!B:B,'Download of SFDC Activation Rep'!T:T)</f>
        <v>#N/A</v>
      </c>
      <c r="J456" s="17" t="str">
        <f t="array" ref="J456">iferror(XLOOKUP(A456,'Download of SFDC Activation Rep'!B:B,'Download of SFDC Activation Rep'!C:C),"")</f>
        <v/>
      </c>
      <c r="K456" s="17" t="str">
        <f t="array" ref="K456">XLOOKUP(A456,'Download of SFDC Activation Rep'!B:B,'Download of SFDC Activation Rep'!X:X)</f>
        <v>#N/A</v>
      </c>
      <c r="L456" s="32" t="str">
        <f t="array" ref="L456">xlookup(A456,'Download of SFDC Activation Rep'!B:B,'Download of SFDC Activation Rep'!Z:Z)</f>
        <v>#N/A</v>
      </c>
    </row>
    <row r="457">
      <c r="B457" s="14"/>
      <c r="C457" s="14"/>
      <c r="D457" s="14"/>
      <c r="E457" s="14"/>
      <c r="F457" s="13" t="str">
        <f t="array" ref="F457">iferror(XLOOKUP(A457,'Download of SFDC Activation Rep'!B:B,'Download of SFDC Activation Rep'!H:H),"")</f>
        <v/>
      </c>
      <c r="G457" s="13" t="str">
        <f t="array" ref="G457">iferror(xlookup(A457,'Download of SFDC Activation Rep'!B:B,'Download of SFDC Activation Rep'!L:L),"")</f>
        <v/>
      </c>
      <c r="H457" s="17" t="str">
        <f t="shared" si="1"/>
        <v>Not Active</v>
      </c>
      <c r="I457" s="17" t="str">
        <f t="array" ref="I457">XLOOKUP(A457,'Download of SFDC Activation Rep'!B:B,'Download of SFDC Activation Rep'!T:T)</f>
        <v>#N/A</v>
      </c>
      <c r="J457" s="17" t="str">
        <f t="array" ref="J457">iferror(XLOOKUP(A457,'Download of SFDC Activation Rep'!B:B,'Download of SFDC Activation Rep'!C:C),"")</f>
        <v/>
      </c>
      <c r="K457" s="17" t="str">
        <f t="array" ref="K457">XLOOKUP(A457,'Download of SFDC Activation Rep'!B:B,'Download of SFDC Activation Rep'!X:X)</f>
        <v>#N/A</v>
      </c>
      <c r="L457" s="32" t="str">
        <f t="array" ref="L457">xlookup(A457,'Download of SFDC Activation Rep'!B:B,'Download of SFDC Activation Rep'!Z:Z)</f>
        <v>#N/A</v>
      </c>
    </row>
    <row r="458">
      <c r="B458" s="14"/>
      <c r="C458" s="14"/>
      <c r="D458" s="14"/>
      <c r="E458" s="14"/>
      <c r="F458" s="13" t="str">
        <f t="array" ref="F458">iferror(XLOOKUP(A458,'Download of SFDC Activation Rep'!B:B,'Download of SFDC Activation Rep'!H:H),"")</f>
        <v/>
      </c>
      <c r="G458" s="13" t="str">
        <f t="array" ref="G458">iferror(xlookup(A458,'Download of SFDC Activation Rep'!B:B,'Download of SFDC Activation Rep'!L:L),"")</f>
        <v/>
      </c>
      <c r="H458" s="17" t="str">
        <f t="shared" si="1"/>
        <v>Not Active</v>
      </c>
      <c r="I458" s="17" t="str">
        <f t="array" ref="I458">XLOOKUP(A458,'Download of SFDC Activation Rep'!B:B,'Download of SFDC Activation Rep'!T:T)</f>
        <v>#N/A</v>
      </c>
      <c r="J458" s="17" t="str">
        <f t="array" ref="J458">iferror(XLOOKUP(A458,'Download of SFDC Activation Rep'!B:B,'Download of SFDC Activation Rep'!C:C),"")</f>
        <v/>
      </c>
      <c r="K458" s="17" t="str">
        <f t="array" ref="K458">XLOOKUP(A458,'Download of SFDC Activation Rep'!B:B,'Download of SFDC Activation Rep'!X:X)</f>
        <v>#N/A</v>
      </c>
      <c r="L458" s="32" t="str">
        <f t="array" ref="L458">xlookup(A458,'Download of SFDC Activation Rep'!B:B,'Download of SFDC Activation Rep'!Z:Z)</f>
        <v>#N/A</v>
      </c>
    </row>
    <row r="459">
      <c r="B459" s="14"/>
      <c r="C459" s="14"/>
      <c r="D459" s="14"/>
      <c r="E459" s="14"/>
      <c r="F459" s="13" t="str">
        <f t="array" ref="F459">iferror(XLOOKUP(A459,'Download of SFDC Activation Rep'!B:B,'Download of SFDC Activation Rep'!H:H),"")</f>
        <v/>
      </c>
      <c r="G459" s="13" t="str">
        <f t="array" ref="G459">iferror(xlookup(A459,'Download of SFDC Activation Rep'!B:B,'Download of SFDC Activation Rep'!L:L),"")</f>
        <v/>
      </c>
      <c r="H459" s="17" t="str">
        <f t="shared" si="1"/>
        <v>Not Active</v>
      </c>
      <c r="I459" s="17" t="str">
        <f t="array" ref="I459">XLOOKUP(A459,'Download of SFDC Activation Rep'!B:B,'Download of SFDC Activation Rep'!T:T)</f>
        <v>#N/A</v>
      </c>
      <c r="J459" s="17" t="str">
        <f t="array" ref="J459">iferror(XLOOKUP(A459,'Download of SFDC Activation Rep'!B:B,'Download of SFDC Activation Rep'!C:C),"")</f>
        <v/>
      </c>
      <c r="K459" s="17" t="str">
        <f t="array" ref="K459">XLOOKUP(A459,'Download of SFDC Activation Rep'!B:B,'Download of SFDC Activation Rep'!X:X)</f>
        <v>#N/A</v>
      </c>
      <c r="L459" s="32" t="str">
        <f t="array" ref="L459">xlookup(A459,'Download of SFDC Activation Rep'!B:B,'Download of SFDC Activation Rep'!Z:Z)</f>
        <v>#N/A</v>
      </c>
    </row>
    <row r="460">
      <c r="B460" s="14"/>
      <c r="C460" s="14"/>
      <c r="D460" s="14"/>
      <c r="E460" s="14"/>
      <c r="F460" s="13" t="str">
        <f t="array" ref="F460">iferror(XLOOKUP(A460,'Download of SFDC Activation Rep'!B:B,'Download of SFDC Activation Rep'!H:H),"")</f>
        <v/>
      </c>
      <c r="G460" s="13" t="str">
        <f t="array" ref="G460">iferror(xlookup(A460,'Download of SFDC Activation Rep'!B:B,'Download of SFDC Activation Rep'!L:L),"")</f>
        <v/>
      </c>
      <c r="H460" s="17" t="str">
        <f t="shared" si="1"/>
        <v>Not Active</v>
      </c>
      <c r="I460" s="17" t="str">
        <f t="array" ref="I460">XLOOKUP(A460,'Download of SFDC Activation Rep'!B:B,'Download of SFDC Activation Rep'!T:T)</f>
        <v>#N/A</v>
      </c>
      <c r="J460" s="17" t="str">
        <f t="array" ref="J460">iferror(XLOOKUP(A460,'Download of SFDC Activation Rep'!B:B,'Download of SFDC Activation Rep'!C:C),"")</f>
        <v/>
      </c>
      <c r="K460" s="17" t="str">
        <f t="array" ref="K460">XLOOKUP(A460,'Download of SFDC Activation Rep'!B:B,'Download of SFDC Activation Rep'!X:X)</f>
        <v>#N/A</v>
      </c>
      <c r="L460" s="32" t="str">
        <f t="array" ref="L460">xlookup(A460,'Download of SFDC Activation Rep'!B:B,'Download of SFDC Activation Rep'!Z:Z)</f>
        <v>#N/A</v>
      </c>
    </row>
    <row r="461">
      <c r="B461" s="14"/>
      <c r="C461" s="14"/>
      <c r="D461" s="14"/>
      <c r="E461" s="14"/>
      <c r="F461" s="13" t="str">
        <f t="array" ref="F461">iferror(XLOOKUP(A461,'Download of SFDC Activation Rep'!B:B,'Download of SFDC Activation Rep'!H:H),"")</f>
        <v/>
      </c>
      <c r="G461" s="13" t="str">
        <f t="array" ref="G461">iferror(xlookup(A461,'Download of SFDC Activation Rep'!B:B,'Download of SFDC Activation Rep'!L:L),"")</f>
        <v/>
      </c>
      <c r="H461" s="17" t="str">
        <f t="shared" si="1"/>
        <v>Not Active</v>
      </c>
      <c r="I461" s="17" t="str">
        <f t="array" ref="I461">XLOOKUP(A461,'Download of SFDC Activation Rep'!B:B,'Download of SFDC Activation Rep'!T:T)</f>
        <v>#N/A</v>
      </c>
      <c r="J461" s="17" t="str">
        <f t="array" ref="J461">iferror(XLOOKUP(A461,'Download of SFDC Activation Rep'!B:B,'Download of SFDC Activation Rep'!C:C),"")</f>
        <v/>
      </c>
      <c r="K461" s="17" t="str">
        <f t="array" ref="K461">XLOOKUP(A461,'Download of SFDC Activation Rep'!B:B,'Download of SFDC Activation Rep'!X:X)</f>
        <v>#N/A</v>
      </c>
      <c r="L461" s="32" t="str">
        <f t="array" ref="L461">xlookup(A461,'Download of SFDC Activation Rep'!B:B,'Download of SFDC Activation Rep'!Z:Z)</f>
        <v>#N/A</v>
      </c>
    </row>
    <row r="462">
      <c r="B462" s="14"/>
      <c r="C462" s="14"/>
      <c r="D462" s="14"/>
      <c r="E462" s="14"/>
      <c r="F462" s="13" t="str">
        <f t="array" ref="F462">iferror(XLOOKUP(A462,'Download of SFDC Activation Rep'!B:B,'Download of SFDC Activation Rep'!H:H),"")</f>
        <v/>
      </c>
      <c r="G462" s="13" t="str">
        <f t="array" ref="G462">iferror(xlookup(A462,'Download of SFDC Activation Rep'!B:B,'Download of SFDC Activation Rep'!L:L),"")</f>
        <v/>
      </c>
      <c r="H462" s="17" t="str">
        <f t="shared" si="1"/>
        <v>Not Active</v>
      </c>
      <c r="I462" s="17" t="str">
        <f t="array" ref="I462">XLOOKUP(A462,'Download of SFDC Activation Rep'!B:B,'Download of SFDC Activation Rep'!T:T)</f>
        <v>#N/A</v>
      </c>
      <c r="J462" s="17" t="str">
        <f t="array" ref="J462">iferror(XLOOKUP(A462,'Download of SFDC Activation Rep'!B:B,'Download of SFDC Activation Rep'!C:C),"")</f>
        <v/>
      </c>
      <c r="K462" s="17" t="str">
        <f t="array" ref="K462">XLOOKUP(A462,'Download of SFDC Activation Rep'!B:B,'Download of SFDC Activation Rep'!X:X)</f>
        <v>#N/A</v>
      </c>
      <c r="L462" s="32" t="str">
        <f t="array" ref="L462">xlookup(A462,'Download of SFDC Activation Rep'!B:B,'Download of SFDC Activation Rep'!Z:Z)</f>
        <v>#N/A</v>
      </c>
    </row>
    <row r="463">
      <c r="B463" s="14"/>
      <c r="C463" s="14"/>
      <c r="D463" s="14"/>
      <c r="E463" s="14"/>
      <c r="F463" s="13" t="str">
        <f t="array" ref="F463">iferror(XLOOKUP(A463,'Download of SFDC Activation Rep'!B:B,'Download of SFDC Activation Rep'!H:H),"")</f>
        <v/>
      </c>
      <c r="G463" s="13" t="str">
        <f t="array" ref="G463">iferror(xlookup(A463,'Download of SFDC Activation Rep'!B:B,'Download of SFDC Activation Rep'!L:L),"")</f>
        <v/>
      </c>
      <c r="H463" s="17" t="str">
        <f t="shared" si="1"/>
        <v>Not Active</v>
      </c>
      <c r="I463" s="17" t="str">
        <f t="array" ref="I463">XLOOKUP(A463,'Download of SFDC Activation Rep'!B:B,'Download of SFDC Activation Rep'!T:T)</f>
        <v>#N/A</v>
      </c>
      <c r="J463" s="17" t="str">
        <f t="array" ref="J463">iferror(XLOOKUP(A463,'Download of SFDC Activation Rep'!B:B,'Download of SFDC Activation Rep'!C:C),"")</f>
        <v/>
      </c>
      <c r="K463" s="17" t="str">
        <f t="array" ref="K463">XLOOKUP(A463,'Download of SFDC Activation Rep'!B:B,'Download of SFDC Activation Rep'!X:X)</f>
        <v>#N/A</v>
      </c>
      <c r="L463" s="32" t="str">
        <f t="array" ref="L463">xlookup(A463,'Download of SFDC Activation Rep'!B:B,'Download of SFDC Activation Rep'!Z:Z)</f>
        <v>#N/A</v>
      </c>
    </row>
    <row r="464">
      <c r="B464" s="14"/>
      <c r="C464" s="14"/>
      <c r="D464" s="14"/>
      <c r="E464" s="14"/>
      <c r="F464" s="13" t="str">
        <f t="array" ref="F464">iferror(XLOOKUP(A464,'Download of SFDC Activation Rep'!B:B,'Download of SFDC Activation Rep'!H:H),"")</f>
        <v/>
      </c>
      <c r="G464" s="13" t="str">
        <f t="array" ref="G464">iferror(xlookup(A464,'Download of SFDC Activation Rep'!B:B,'Download of SFDC Activation Rep'!L:L),"")</f>
        <v/>
      </c>
      <c r="H464" s="17" t="str">
        <f t="shared" si="1"/>
        <v>Not Active</v>
      </c>
      <c r="I464" s="17" t="str">
        <f t="array" ref="I464">XLOOKUP(A464,'Download of SFDC Activation Rep'!B:B,'Download of SFDC Activation Rep'!T:T)</f>
        <v>#N/A</v>
      </c>
      <c r="J464" s="17" t="str">
        <f t="array" ref="J464">iferror(XLOOKUP(A464,'Download of SFDC Activation Rep'!B:B,'Download of SFDC Activation Rep'!C:C),"")</f>
        <v/>
      </c>
      <c r="K464" s="17" t="str">
        <f t="array" ref="K464">XLOOKUP(A464,'Download of SFDC Activation Rep'!B:B,'Download of SFDC Activation Rep'!X:X)</f>
        <v>#N/A</v>
      </c>
      <c r="L464" s="32" t="str">
        <f t="array" ref="L464">xlookup(A464,'Download of SFDC Activation Rep'!B:B,'Download of SFDC Activation Rep'!Z:Z)</f>
        <v>#N/A</v>
      </c>
    </row>
    <row r="465">
      <c r="B465" s="14"/>
      <c r="C465" s="14"/>
      <c r="D465" s="14"/>
      <c r="E465" s="14"/>
      <c r="F465" s="13" t="str">
        <f t="array" ref="F465">iferror(XLOOKUP(A465,'Download of SFDC Activation Rep'!B:B,'Download of SFDC Activation Rep'!H:H),"")</f>
        <v/>
      </c>
      <c r="G465" s="13" t="str">
        <f t="array" ref="G465">iferror(xlookup(A465,'Download of SFDC Activation Rep'!B:B,'Download of SFDC Activation Rep'!L:L),"")</f>
        <v/>
      </c>
      <c r="H465" s="17" t="str">
        <f t="shared" si="1"/>
        <v>Not Active</v>
      </c>
      <c r="I465" s="17" t="str">
        <f t="array" ref="I465">XLOOKUP(A465,'Download of SFDC Activation Rep'!B:B,'Download of SFDC Activation Rep'!T:T)</f>
        <v>#N/A</v>
      </c>
      <c r="J465" s="17" t="str">
        <f t="array" ref="J465">iferror(XLOOKUP(A465,'Download of SFDC Activation Rep'!B:B,'Download of SFDC Activation Rep'!C:C),"")</f>
        <v/>
      </c>
      <c r="K465" s="17" t="str">
        <f t="array" ref="K465">XLOOKUP(A465,'Download of SFDC Activation Rep'!B:B,'Download of SFDC Activation Rep'!X:X)</f>
        <v>#N/A</v>
      </c>
      <c r="L465" s="32" t="str">
        <f t="array" ref="L465">xlookup(A465,'Download of SFDC Activation Rep'!B:B,'Download of SFDC Activation Rep'!Z:Z)</f>
        <v>#N/A</v>
      </c>
    </row>
    <row r="466">
      <c r="B466" s="14"/>
      <c r="C466" s="14"/>
      <c r="D466" s="14"/>
      <c r="E466" s="14"/>
      <c r="F466" s="13" t="str">
        <f t="array" ref="F466">iferror(XLOOKUP(A466,'Download of SFDC Activation Rep'!B:B,'Download of SFDC Activation Rep'!H:H),"")</f>
        <v/>
      </c>
      <c r="G466" s="13" t="str">
        <f t="array" ref="G466">iferror(xlookup(A466,'Download of SFDC Activation Rep'!B:B,'Download of SFDC Activation Rep'!L:L),"")</f>
        <v/>
      </c>
      <c r="H466" s="17" t="str">
        <f t="shared" si="1"/>
        <v>Not Active</v>
      </c>
      <c r="I466" s="17" t="str">
        <f t="array" ref="I466">XLOOKUP(A466,'Download of SFDC Activation Rep'!B:B,'Download of SFDC Activation Rep'!T:T)</f>
        <v>#N/A</v>
      </c>
      <c r="J466" s="17" t="str">
        <f t="array" ref="J466">iferror(XLOOKUP(A466,'Download of SFDC Activation Rep'!B:B,'Download of SFDC Activation Rep'!C:C),"")</f>
        <v/>
      </c>
      <c r="K466" s="17" t="str">
        <f t="array" ref="K466">XLOOKUP(A466,'Download of SFDC Activation Rep'!B:B,'Download of SFDC Activation Rep'!X:X)</f>
        <v>#N/A</v>
      </c>
      <c r="L466" s="32" t="str">
        <f t="array" ref="L466">xlookup(A466,'Download of SFDC Activation Rep'!B:B,'Download of SFDC Activation Rep'!Z:Z)</f>
        <v>#N/A</v>
      </c>
    </row>
    <row r="467">
      <c r="B467" s="14"/>
      <c r="C467" s="14"/>
      <c r="D467" s="14"/>
      <c r="E467" s="14"/>
      <c r="F467" s="13" t="str">
        <f t="array" ref="F467">iferror(XLOOKUP(A467,'Download of SFDC Activation Rep'!B:B,'Download of SFDC Activation Rep'!H:H),"")</f>
        <v/>
      </c>
      <c r="G467" s="13" t="str">
        <f t="array" ref="G467">iferror(xlookup(A467,'Download of SFDC Activation Rep'!B:B,'Download of SFDC Activation Rep'!L:L),"")</f>
        <v/>
      </c>
      <c r="H467" s="17" t="str">
        <f t="shared" si="1"/>
        <v>Not Active</v>
      </c>
      <c r="I467" s="17" t="str">
        <f t="array" ref="I467">XLOOKUP(A467,'Download of SFDC Activation Rep'!B:B,'Download of SFDC Activation Rep'!T:T)</f>
        <v>#N/A</v>
      </c>
      <c r="J467" s="17" t="str">
        <f t="array" ref="J467">iferror(XLOOKUP(A467,'Download of SFDC Activation Rep'!B:B,'Download of SFDC Activation Rep'!C:C),"")</f>
        <v/>
      </c>
      <c r="K467" s="17" t="str">
        <f t="array" ref="K467">XLOOKUP(A467,'Download of SFDC Activation Rep'!B:B,'Download of SFDC Activation Rep'!X:X)</f>
        <v>#N/A</v>
      </c>
      <c r="L467" s="32" t="str">
        <f t="array" ref="L467">xlookup(A467,'Download of SFDC Activation Rep'!B:B,'Download of SFDC Activation Rep'!Z:Z)</f>
        <v>#N/A</v>
      </c>
    </row>
    <row r="468">
      <c r="B468" s="14"/>
      <c r="C468" s="14"/>
      <c r="D468" s="14"/>
      <c r="E468" s="14"/>
      <c r="F468" s="13" t="str">
        <f t="array" ref="F468">iferror(XLOOKUP(A468,'Download of SFDC Activation Rep'!B:B,'Download of SFDC Activation Rep'!H:H),"")</f>
        <v/>
      </c>
      <c r="G468" s="13" t="str">
        <f t="array" ref="G468">iferror(xlookup(A468,'Download of SFDC Activation Rep'!B:B,'Download of SFDC Activation Rep'!L:L),"")</f>
        <v/>
      </c>
      <c r="H468" s="17" t="str">
        <f t="shared" si="1"/>
        <v>Not Active</v>
      </c>
      <c r="I468" s="17" t="str">
        <f t="array" ref="I468">XLOOKUP(A468,'Download of SFDC Activation Rep'!B:B,'Download of SFDC Activation Rep'!T:T)</f>
        <v>#N/A</v>
      </c>
      <c r="J468" s="17" t="str">
        <f t="array" ref="J468">iferror(XLOOKUP(A468,'Download of SFDC Activation Rep'!B:B,'Download of SFDC Activation Rep'!C:C),"")</f>
        <v/>
      </c>
      <c r="K468" s="17" t="str">
        <f t="array" ref="K468">XLOOKUP(A468,'Download of SFDC Activation Rep'!B:B,'Download of SFDC Activation Rep'!X:X)</f>
        <v>#N/A</v>
      </c>
      <c r="L468" s="32" t="str">
        <f t="array" ref="L468">xlookup(A468,'Download of SFDC Activation Rep'!B:B,'Download of SFDC Activation Rep'!Z:Z)</f>
        <v>#N/A</v>
      </c>
    </row>
    <row r="469">
      <c r="B469" s="14"/>
      <c r="C469" s="14"/>
      <c r="D469" s="14"/>
      <c r="E469" s="14"/>
      <c r="F469" s="13" t="str">
        <f t="array" ref="F469">iferror(XLOOKUP(A469,'Download of SFDC Activation Rep'!B:B,'Download of SFDC Activation Rep'!H:H),"")</f>
        <v/>
      </c>
      <c r="G469" s="13" t="str">
        <f t="array" ref="G469">iferror(xlookup(A469,'Download of SFDC Activation Rep'!B:B,'Download of SFDC Activation Rep'!L:L),"")</f>
        <v/>
      </c>
      <c r="H469" s="17" t="str">
        <f t="shared" si="1"/>
        <v>Not Active</v>
      </c>
      <c r="I469" s="17" t="str">
        <f t="array" ref="I469">XLOOKUP(A469,'Download of SFDC Activation Rep'!B:B,'Download of SFDC Activation Rep'!T:T)</f>
        <v>#N/A</v>
      </c>
      <c r="J469" s="17" t="str">
        <f t="array" ref="J469">iferror(XLOOKUP(A469,'Download of SFDC Activation Rep'!B:B,'Download of SFDC Activation Rep'!C:C),"")</f>
        <v/>
      </c>
      <c r="K469" s="17" t="str">
        <f t="array" ref="K469">XLOOKUP(A469,'Download of SFDC Activation Rep'!B:B,'Download of SFDC Activation Rep'!X:X)</f>
        <v>#N/A</v>
      </c>
      <c r="L469" s="32" t="str">
        <f t="array" ref="L469">xlookup(A469,'Download of SFDC Activation Rep'!B:B,'Download of SFDC Activation Rep'!Z:Z)</f>
        <v>#N/A</v>
      </c>
    </row>
    <row r="470">
      <c r="B470" s="14"/>
      <c r="C470" s="14"/>
      <c r="D470" s="14"/>
      <c r="E470" s="14"/>
      <c r="F470" s="13" t="str">
        <f t="array" ref="F470">iferror(XLOOKUP(A470,'Download of SFDC Activation Rep'!B:B,'Download of SFDC Activation Rep'!H:H),"")</f>
        <v/>
      </c>
      <c r="G470" s="13" t="str">
        <f t="array" ref="G470">iferror(xlookup(A470,'Download of SFDC Activation Rep'!B:B,'Download of SFDC Activation Rep'!L:L),"")</f>
        <v/>
      </c>
      <c r="H470" s="17" t="str">
        <f t="shared" si="1"/>
        <v>Not Active</v>
      </c>
      <c r="I470" s="17" t="str">
        <f t="array" ref="I470">XLOOKUP(A470,'Download of SFDC Activation Rep'!B:B,'Download of SFDC Activation Rep'!T:T)</f>
        <v>#N/A</v>
      </c>
      <c r="J470" s="17" t="str">
        <f t="array" ref="J470">iferror(XLOOKUP(A470,'Download of SFDC Activation Rep'!B:B,'Download of SFDC Activation Rep'!C:C),"")</f>
        <v/>
      </c>
      <c r="K470" s="17" t="str">
        <f t="array" ref="K470">XLOOKUP(A470,'Download of SFDC Activation Rep'!B:B,'Download of SFDC Activation Rep'!X:X)</f>
        <v>#N/A</v>
      </c>
      <c r="L470" s="32" t="str">
        <f t="array" ref="L470">xlookup(A470,'Download of SFDC Activation Rep'!B:B,'Download of SFDC Activation Rep'!Z:Z)</f>
        <v>#N/A</v>
      </c>
    </row>
    <row r="471">
      <c r="B471" s="14"/>
      <c r="C471" s="14"/>
      <c r="D471" s="14"/>
      <c r="E471" s="14"/>
      <c r="F471" s="13" t="str">
        <f t="array" ref="F471">iferror(XLOOKUP(A471,'Download of SFDC Activation Rep'!B:B,'Download of SFDC Activation Rep'!H:H),"")</f>
        <v/>
      </c>
      <c r="G471" s="13" t="str">
        <f t="array" ref="G471">iferror(xlookup(A471,'Download of SFDC Activation Rep'!B:B,'Download of SFDC Activation Rep'!L:L),"")</f>
        <v/>
      </c>
      <c r="H471" s="17" t="str">
        <f t="shared" si="1"/>
        <v>Not Active</v>
      </c>
      <c r="I471" s="17" t="str">
        <f t="array" ref="I471">XLOOKUP(A471,'Download of SFDC Activation Rep'!B:B,'Download of SFDC Activation Rep'!T:T)</f>
        <v>#N/A</v>
      </c>
      <c r="J471" s="17" t="str">
        <f t="array" ref="J471">iferror(XLOOKUP(A471,'Download of SFDC Activation Rep'!B:B,'Download of SFDC Activation Rep'!C:C),"")</f>
        <v/>
      </c>
      <c r="K471" s="17" t="str">
        <f t="array" ref="K471">XLOOKUP(A471,'Download of SFDC Activation Rep'!B:B,'Download of SFDC Activation Rep'!X:X)</f>
        <v>#N/A</v>
      </c>
      <c r="L471" s="32" t="str">
        <f t="array" ref="L471">xlookup(A471,'Download of SFDC Activation Rep'!B:B,'Download of SFDC Activation Rep'!Z:Z)</f>
        <v>#N/A</v>
      </c>
    </row>
    <row r="472">
      <c r="B472" s="14"/>
      <c r="C472" s="14"/>
      <c r="D472" s="14"/>
      <c r="E472" s="14"/>
      <c r="F472" s="13" t="str">
        <f t="array" ref="F472">iferror(XLOOKUP(A472,'Download of SFDC Activation Rep'!B:B,'Download of SFDC Activation Rep'!H:H),"")</f>
        <v/>
      </c>
      <c r="G472" s="13" t="str">
        <f t="array" ref="G472">iferror(xlookup(A472,'Download of SFDC Activation Rep'!B:B,'Download of SFDC Activation Rep'!L:L),"")</f>
        <v/>
      </c>
      <c r="H472" s="17" t="str">
        <f t="shared" si="1"/>
        <v>Not Active</v>
      </c>
      <c r="I472" s="17" t="str">
        <f t="array" ref="I472">XLOOKUP(A472,'Download of SFDC Activation Rep'!B:B,'Download of SFDC Activation Rep'!T:T)</f>
        <v>#N/A</v>
      </c>
      <c r="J472" s="17" t="str">
        <f t="array" ref="J472">iferror(XLOOKUP(A472,'Download of SFDC Activation Rep'!B:B,'Download of SFDC Activation Rep'!C:C),"")</f>
        <v/>
      </c>
      <c r="K472" s="17" t="str">
        <f t="array" ref="K472">XLOOKUP(A472,'Download of SFDC Activation Rep'!B:B,'Download of SFDC Activation Rep'!X:X)</f>
        <v>#N/A</v>
      </c>
      <c r="L472" s="32" t="str">
        <f t="array" ref="L472">xlookup(A472,'Download of SFDC Activation Rep'!B:B,'Download of SFDC Activation Rep'!Z:Z)</f>
        <v>#N/A</v>
      </c>
    </row>
    <row r="473">
      <c r="B473" s="14"/>
      <c r="C473" s="14"/>
      <c r="D473" s="14"/>
      <c r="E473" s="14"/>
      <c r="F473" s="13" t="str">
        <f t="array" ref="F473">iferror(XLOOKUP(A473,'Download of SFDC Activation Rep'!B:B,'Download of SFDC Activation Rep'!H:H),"")</f>
        <v/>
      </c>
      <c r="G473" s="13" t="str">
        <f t="array" ref="G473">iferror(xlookup(A473,'Download of SFDC Activation Rep'!B:B,'Download of SFDC Activation Rep'!L:L),"")</f>
        <v/>
      </c>
      <c r="H473" s="17" t="str">
        <f t="shared" si="1"/>
        <v>Not Active</v>
      </c>
      <c r="I473" s="17" t="str">
        <f t="array" ref="I473">XLOOKUP(A473,'Download of SFDC Activation Rep'!B:B,'Download of SFDC Activation Rep'!T:T)</f>
        <v>#N/A</v>
      </c>
      <c r="J473" s="17" t="str">
        <f t="array" ref="J473">iferror(XLOOKUP(A473,'Download of SFDC Activation Rep'!B:B,'Download of SFDC Activation Rep'!C:C),"")</f>
        <v/>
      </c>
      <c r="K473" s="17" t="str">
        <f t="array" ref="K473">XLOOKUP(A473,'Download of SFDC Activation Rep'!B:B,'Download of SFDC Activation Rep'!X:X)</f>
        <v>#N/A</v>
      </c>
      <c r="L473" s="32" t="str">
        <f t="array" ref="L473">xlookup(A473,'Download of SFDC Activation Rep'!B:B,'Download of SFDC Activation Rep'!Z:Z)</f>
        <v>#N/A</v>
      </c>
    </row>
    <row r="474">
      <c r="B474" s="14"/>
      <c r="C474" s="14"/>
      <c r="D474" s="14"/>
      <c r="E474" s="14"/>
      <c r="F474" s="13" t="str">
        <f t="array" ref="F474">iferror(XLOOKUP(A474,'Download of SFDC Activation Rep'!B:B,'Download of SFDC Activation Rep'!H:H),"")</f>
        <v/>
      </c>
      <c r="G474" s="13" t="str">
        <f t="array" ref="G474">iferror(xlookup(A474,'Download of SFDC Activation Rep'!B:B,'Download of SFDC Activation Rep'!L:L),"")</f>
        <v/>
      </c>
      <c r="H474" s="17" t="str">
        <f t="shared" si="1"/>
        <v>Not Active</v>
      </c>
      <c r="I474" s="17" t="str">
        <f t="array" ref="I474">XLOOKUP(A474,'Download of SFDC Activation Rep'!B:B,'Download of SFDC Activation Rep'!T:T)</f>
        <v>#N/A</v>
      </c>
      <c r="J474" s="17" t="str">
        <f t="array" ref="J474">iferror(XLOOKUP(A474,'Download of SFDC Activation Rep'!B:B,'Download of SFDC Activation Rep'!C:C),"")</f>
        <v/>
      </c>
      <c r="K474" s="17" t="str">
        <f t="array" ref="K474">XLOOKUP(A474,'Download of SFDC Activation Rep'!B:B,'Download of SFDC Activation Rep'!X:X)</f>
        <v>#N/A</v>
      </c>
      <c r="L474" s="32" t="str">
        <f t="array" ref="L474">xlookup(A474,'Download of SFDC Activation Rep'!B:B,'Download of SFDC Activation Rep'!Z:Z)</f>
        <v>#N/A</v>
      </c>
    </row>
    <row r="475">
      <c r="B475" s="14"/>
      <c r="C475" s="14"/>
      <c r="D475" s="14"/>
      <c r="E475" s="14"/>
      <c r="F475" s="13" t="str">
        <f t="array" ref="F475">iferror(XLOOKUP(A475,'Download of SFDC Activation Rep'!B:B,'Download of SFDC Activation Rep'!H:H),"")</f>
        <v/>
      </c>
      <c r="G475" s="13" t="str">
        <f t="array" ref="G475">iferror(xlookup(A475,'Download of SFDC Activation Rep'!B:B,'Download of SFDC Activation Rep'!L:L),"")</f>
        <v/>
      </c>
      <c r="H475" s="17" t="str">
        <f t="shared" si="1"/>
        <v>Not Active</v>
      </c>
      <c r="I475" s="17" t="str">
        <f t="array" ref="I475">XLOOKUP(A475,'Download of SFDC Activation Rep'!B:B,'Download of SFDC Activation Rep'!T:T)</f>
        <v>#N/A</v>
      </c>
      <c r="J475" s="17" t="str">
        <f t="array" ref="J475">iferror(XLOOKUP(A475,'Download of SFDC Activation Rep'!B:B,'Download of SFDC Activation Rep'!C:C),"")</f>
        <v/>
      </c>
      <c r="K475" s="17" t="str">
        <f t="array" ref="K475">XLOOKUP(A475,'Download of SFDC Activation Rep'!B:B,'Download of SFDC Activation Rep'!X:X)</f>
        <v>#N/A</v>
      </c>
      <c r="L475" s="32" t="str">
        <f t="array" ref="L475">xlookup(A475,'Download of SFDC Activation Rep'!B:B,'Download of SFDC Activation Rep'!Z:Z)</f>
        <v>#N/A</v>
      </c>
    </row>
    <row r="476">
      <c r="B476" s="14"/>
      <c r="C476" s="14"/>
      <c r="D476" s="14"/>
      <c r="E476" s="14"/>
      <c r="F476" s="13" t="str">
        <f t="array" ref="F476">iferror(XLOOKUP(A476,'Download of SFDC Activation Rep'!B:B,'Download of SFDC Activation Rep'!H:H),"")</f>
        <v/>
      </c>
      <c r="G476" s="13" t="str">
        <f t="array" ref="G476">iferror(xlookup(A476,'Download of SFDC Activation Rep'!B:B,'Download of SFDC Activation Rep'!L:L),"")</f>
        <v/>
      </c>
      <c r="H476" s="17" t="str">
        <f t="shared" si="1"/>
        <v>Not Active</v>
      </c>
      <c r="I476" s="17" t="str">
        <f t="array" ref="I476">XLOOKUP(A476,'Download of SFDC Activation Rep'!B:B,'Download of SFDC Activation Rep'!T:T)</f>
        <v>#N/A</v>
      </c>
      <c r="J476" s="17" t="str">
        <f t="array" ref="J476">iferror(XLOOKUP(A476,'Download of SFDC Activation Rep'!B:B,'Download of SFDC Activation Rep'!C:C),"")</f>
        <v/>
      </c>
      <c r="K476" s="17" t="str">
        <f t="array" ref="K476">XLOOKUP(A476,'Download of SFDC Activation Rep'!B:B,'Download of SFDC Activation Rep'!X:X)</f>
        <v>#N/A</v>
      </c>
      <c r="L476" s="32" t="str">
        <f t="array" ref="L476">xlookup(A476,'Download of SFDC Activation Rep'!B:B,'Download of SFDC Activation Rep'!Z:Z)</f>
        <v>#N/A</v>
      </c>
    </row>
    <row r="477">
      <c r="B477" s="14"/>
      <c r="C477" s="14"/>
      <c r="D477" s="14"/>
      <c r="E477" s="14"/>
      <c r="F477" s="13" t="str">
        <f t="array" ref="F477">iferror(XLOOKUP(A477,'Download of SFDC Activation Rep'!B:B,'Download of SFDC Activation Rep'!H:H),"")</f>
        <v/>
      </c>
      <c r="G477" s="13" t="str">
        <f t="array" ref="G477">iferror(xlookup(A477,'Download of SFDC Activation Rep'!B:B,'Download of SFDC Activation Rep'!L:L),"")</f>
        <v/>
      </c>
      <c r="H477" s="17" t="str">
        <f t="shared" si="1"/>
        <v>Not Active</v>
      </c>
      <c r="I477" s="17" t="str">
        <f t="array" ref="I477">XLOOKUP(A477,'Download of SFDC Activation Rep'!B:B,'Download of SFDC Activation Rep'!T:T)</f>
        <v>#N/A</v>
      </c>
      <c r="J477" s="17" t="str">
        <f t="array" ref="J477">iferror(XLOOKUP(A477,'Download of SFDC Activation Rep'!B:B,'Download of SFDC Activation Rep'!C:C),"")</f>
        <v/>
      </c>
      <c r="K477" s="17" t="str">
        <f t="array" ref="K477">XLOOKUP(A477,'Download of SFDC Activation Rep'!B:B,'Download of SFDC Activation Rep'!X:X)</f>
        <v>#N/A</v>
      </c>
      <c r="L477" s="32" t="str">
        <f t="array" ref="L477">xlookup(A477,'Download of SFDC Activation Rep'!B:B,'Download of SFDC Activation Rep'!Z:Z)</f>
        <v>#N/A</v>
      </c>
    </row>
    <row r="478">
      <c r="B478" s="14"/>
      <c r="C478" s="14"/>
      <c r="D478" s="14"/>
      <c r="E478" s="14"/>
      <c r="F478" s="13" t="str">
        <f t="array" ref="F478">iferror(XLOOKUP(A478,'Download of SFDC Activation Rep'!B:B,'Download of SFDC Activation Rep'!H:H),"")</f>
        <v/>
      </c>
      <c r="G478" s="13" t="str">
        <f t="array" ref="G478">iferror(xlookup(A478,'Download of SFDC Activation Rep'!B:B,'Download of SFDC Activation Rep'!L:L),"")</f>
        <v/>
      </c>
      <c r="H478" s="17" t="str">
        <f t="shared" si="1"/>
        <v>Not Active</v>
      </c>
      <c r="I478" s="17" t="str">
        <f t="array" ref="I478">XLOOKUP(A478,'Download of SFDC Activation Rep'!B:B,'Download of SFDC Activation Rep'!T:T)</f>
        <v>#N/A</v>
      </c>
      <c r="J478" s="17" t="str">
        <f t="array" ref="J478">iferror(XLOOKUP(A478,'Download of SFDC Activation Rep'!B:B,'Download of SFDC Activation Rep'!C:C),"")</f>
        <v/>
      </c>
      <c r="K478" s="17" t="str">
        <f t="array" ref="K478">XLOOKUP(A478,'Download of SFDC Activation Rep'!B:B,'Download of SFDC Activation Rep'!X:X)</f>
        <v>#N/A</v>
      </c>
      <c r="L478" s="32" t="str">
        <f t="array" ref="L478">xlookup(A478,'Download of SFDC Activation Rep'!B:B,'Download of SFDC Activation Rep'!Z:Z)</f>
        <v>#N/A</v>
      </c>
    </row>
    <row r="479">
      <c r="B479" s="14"/>
      <c r="C479" s="14"/>
      <c r="D479" s="14"/>
      <c r="E479" s="14"/>
      <c r="F479" s="13" t="str">
        <f t="array" ref="F479">iferror(XLOOKUP(A479,'Download of SFDC Activation Rep'!B:B,'Download of SFDC Activation Rep'!H:H),"")</f>
        <v/>
      </c>
      <c r="G479" s="13" t="str">
        <f t="array" ref="G479">iferror(xlookup(A479,'Download of SFDC Activation Rep'!B:B,'Download of SFDC Activation Rep'!L:L),"")</f>
        <v/>
      </c>
      <c r="H479" s="17" t="str">
        <f t="shared" si="1"/>
        <v>Not Active</v>
      </c>
      <c r="I479" s="17" t="str">
        <f t="array" ref="I479">XLOOKUP(A479,'Download of SFDC Activation Rep'!B:B,'Download of SFDC Activation Rep'!T:T)</f>
        <v>#N/A</v>
      </c>
      <c r="J479" s="17" t="str">
        <f t="array" ref="J479">iferror(XLOOKUP(A479,'Download of SFDC Activation Rep'!B:B,'Download of SFDC Activation Rep'!C:C),"")</f>
        <v/>
      </c>
      <c r="K479" s="17" t="str">
        <f t="array" ref="K479">XLOOKUP(A479,'Download of SFDC Activation Rep'!B:B,'Download of SFDC Activation Rep'!X:X)</f>
        <v>#N/A</v>
      </c>
      <c r="L479" s="32" t="str">
        <f t="array" ref="L479">xlookup(A479,'Download of SFDC Activation Rep'!B:B,'Download of SFDC Activation Rep'!Z:Z)</f>
        <v>#N/A</v>
      </c>
    </row>
    <row r="480">
      <c r="B480" s="14"/>
      <c r="C480" s="14"/>
      <c r="D480" s="14"/>
      <c r="E480" s="14"/>
      <c r="F480" s="13" t="str">
        <f t="array" ref="F480">iferror(XLOOKUP(A480,'Download of SFDC Activation Rep'!B:B,'Download of SFDC Activation Rep'!H:H),"")</f>
        <v/>
      </c>
      <c r="G480" s="13" t="str">
        <f t="array" ref="G480">iferror(xlookup(A480,'Download of SFDC Activation Rep'!B:B,'Download of SFDC Activation Rep'!L:L),"")</f>
        <v/>
      </c>
      <c r="H480" s="17" t="str">
        <f t="shared" si="1"/>
        <v>Not Active</v>
      </c>
      <c r="I480" s="17" t="str">
        <f t="array" ref="I480">XLOOKUP(A480,'Download of SFDC Activation Rep'!B:B,'Download of SFDC Activation Rep'!T:T)</f>
        <v>#N/A</v>
      </c>
      <c r="J480" s="17" t="str">
        <f t="array" ref="J480">iferror(XLOOKUP(A480,'Download of SFDC Activation Rep'!B:B,'Download of SFDC Activation Rep'!C:C),"")</f>
        <v/>
      </c>
      <c r="K480" s="17" t="str">
        <f t="array" ref="K480">XLOOKUP(A480,'Download of SFDC Activation Rep'!B:B,'Download of SFDC Activation Rep'!X:X)</f>
        <v>#N/A</v>
      </c>
      <c r="L480" s="32" t="str">
        <f t="array" ref="L480">xlookup(A480,'Download of SFDC Activation Rep'!B:B,'Download of SFDC Activation Rep'!Z:Z)</f>
        <v>#N/A</v>
      </c>
    </row>
    <row r="481">
      <c r="B481" s="14"/>
      <c r="C481" s="14"/>
      <c r="D481" s="14"/>
      <c r="E481" s="14"/>
      <c r="F481" s="13" t="str">
        <f t="array" ref="F481">iferror(XLOOKUP(A481,'Download of SFDC Activation Rep'!B:B,'Download of SFDC Activation Rep'!H:H),"")</f>
        <v/>
      </c>
      <c r="G481" s="13" t="str">
        <f t="array" ref="G481">iferror(xlookup(A481,'Download of SFDC Activation Rep'!B:B,'Download of SFDC Activation Rep'!L:L),"")</f>
        <v/>
      </c>
      <c r="H481" s="17" t="str">
        <f t="shared" si="1"/>
        <v>Not Active</v>
      </c>
      <c r="I481" s="17" t="str">
        <f t="array" ref="I481">XLOOKUP(A481,'Download of SFDC Activation Rep'!B:B,'Download of SFDC Activation Rep'!T:T)</f>
        <v>#N/A</v>
      </c>
      <c r="J481" s="17" t="str">
        <f t="array" ref="J481">iferror(XLOOKUP(A481,'Download of SFDC Activation Rep'!B:B,'Download of SFDC Activation Rep'!C:C),"")</f>
        <v/>
      </c>
      <c r="K481" s="17" t="str">
        <f t="array" ref="K481">XLOOKUP(A481,'Download of SFDC Activation Rep'!B:B,'Download of SFDC Activation Rep'!X:X)</f>
        <v>#N/A</v>
      </c>
      <c r="L481" s="32" t="str">
        <f t="array" ref="L481">xlookup(A481,'Download of SFDC Activation Rep'!B:B,'Download of SFDC Activation Rep'!Z:Z)</f>
        <v>#N/A</v>
      </c>
    </row>
    <row r="482">
      <c r="B482" s="14"/>
      <c r="C482" s="14"/>
      <c r="D482" s="14"/>
      <c r="E482" s="14"/>
      <c r="F482" s="13" t="str">
        <f t="array" ref="F482">iferror(XLOOKUP(A482,'Download of SFDC Activation Rep'!B:B,'Download of SFDC Activation Rep'!H:H),"")</f>
        <v/>
      </c>
      <c r="G482" s="13" t="str">
        <f t="array" ref="G482">iferror(xlookup(A482,'Download of SFDC Activation Rep'!B:B,'Download of SFDC Activation Rep'!L:L),"")</f>
        <v/>
      </c>
      <c r="H482" s="17" t="str">
        <f t="shared" si="1"/>
        <v>Not Active</v>
      </c>
      <c r="I482" s="17" t="str">
        <f t="array" ref="I482">XLOOKUP(A482,'Download of SFDC Activation Rep'!B:B,'Download of SFDC Activation Rep'!T:T)</f>
        <v>#N/A</v>
      </c>
      <c r="J482" s="17" t="str">
        <f t="array" ref="J482">iferror(XLOOKUP(A482,'Download of SFDC Activation Rep'!B:B,'Download of SFDC Activation Rep'!C:C),"")</f>
        <v/>
      </c>
      <c r="K482" s="17" t="str">
        <f t="array" ref="K482">XLOOKUP(A482,'Download of SFDC Activation Rep'!B:B,'Download of SFDC Activation Rep'!X:X)</f>
        <v>#N/A</v>
      </c>
      <c r="L482" s="32" t="str">
        <f t="array" ref="L482">xlookup(A482,'Download of SFDC Activation Rep'!B:B,'Download of SFDC Activation Rep'!Z:Z)</f>
        <v>#N/A</v>
      </c>
    </row>
    <row r="483">
      <c r="B483" s="14"/>
      <c r="C483" s="14"/>
      <c r="D483" s="14"/>
      <c r="E483" s="14"/>
      <c r="F483" s="13" t="str">
        <f t="array" ref="F483">iferror(XLOOKUP(A483,'Download of SFDC Activation Rep'!B:B,'Download of SFDC Activation Rep'!H:H),"")</f>
        <v/>
      </c>
      <c r="G483" s="13" t="str">
        <f t="array" ref="G483">iferror(xlookup(A483,'Download of SFDC Activation Rep'!B:B,'Download of SFDC Activation Rep'!L:L),"")</f>
        <v/>
      </c>
      <c r="H483" s="17" t="str">
        <f t="shared" si="1"/>
        <v>Not Active</v>
      </c>
      <c r="I483" s="17" t="str">
        <f t="array" ref="I483">XLOOKUP(A483,'Download of SFDC Activation Rep'!B:B,'Download of SFDC Activation Rep'!T:T)</f>
        <v>#N/A</v>
      </c>
      <c r="J483" s="17" t="str">
        <f t="array" ref="J483">iferror(XLOOKUP(A483,'Download of SFDC Activation Rep'!B:B,'Download of SFDC Activation Rep'!C:C),"")</f>
        <v/>
      </c>
      <c r="K483" s="17" t="str">
        <f t="array" ref="K483">XLOOKUP(A483,'Download of SFDC Activation Rep'!B:B,'Download of SFDC Activation Rep'!X:X)</f>
        <v>#N/A</v>
      </c>
      <c r="L483" s="32" t="str">
        <f t="array" ref="L483">xlookup(A483,'Download of SFDC Activation Rep'!B:B,'Download of SFDC Activation Rep'!Z:Z)</f>
        <v>#N/A</v>
      </c>
    </row>
    <row r="484">
      <c r="B484" s="14"/>
      <c r="C484" s="14"/>
      <c r="D484" s="14"/>
      <c r="E484" s="14"/>
      <c r="F484" s="13" t="str">
        <f t="array" ref="F484">iferror(XLOOKUP(A484,'Download of SFDC Activation Rep'!B:B,'Download of SFDC Activation Rep'!H:H),"")</f>
        <v/>
      </c>
      <c r="G484" s="13" t="str">
        <f t="array" ref="G484">iferror(xlookup(A484,'Download of SFDC Activation Rep'!B:B,'Download of SFDC Activation Rep'!L:L),"")</f>
        <v/>
      </c>
      <c r="H484" s="17" t="str">
        <f t="shared" si="1"/>
        <v>Not Active</v>
      </c>
      <c r="I484" s="17" t="str">
        <f t="array" ref="I484">XLOOKUP(A484,'Download of SFDC Activation Rep'!B:B,'Download of SFDC Activation Rep'!T:T)</f>
        <v>#N/A</v>
      </c>
      <c r="J484" s="17" t="str">
        <f t="array" ref="J484">iferror(XLOOKUP(A484,'Download of SFDC Activation Rep'!B:B,'Download of SFDC Activation Rep'!C:C),"")</f>
        <v/>
      </c>
      <c r="K484" s="17" t="str">
        <f t="array" ref="K484">XLOOKUP(A484,'Download of SFDC Activation Rep'!B:B,'Download of SFDC Activation Rep'!X:X)</f>
        <v>#N/A</v>
      </c>
      <c r="L484" s="32" t="str">
        <f t="array" ref="L484">xlookup(A484,'Download of SFDC Activation Rep'!B:B,'Download of SFDC Activation Rep'!Z:Z)</f>
        <v>#N/A</v>
      </c>
    </row>
    <row r="485">
      <c r="B485" s="14"/>
      <c r="C485" s="14"/>
      <c r="D485" s="14"/>
      <c r="E485" s="14"/>
      <c r="F485" s="13" t="str">
        <f t="array" ref="F485">iferror(XLOOKUP(A485,'Download of SFDC Activation Rep'!B:B,'Download of SFDC Activation Rep'!H:H),"")</f>
        <v/>
      </c>
      <c r="G485" s="13" t="str">
        <f t="array" ref="G485">iferror(xlookup(A485,'Download of SFDC Activation Rep'!B:B,'Download of SFDC Activation Rep'!L:L),"")</f>
        <v/>
      </c>
      <c r="H485" s="17" t="str">
        <f t="shared" si="1"/>
        <v>Not Active</v>
      </c>
      <c r="I485" s="17" t="str">
        <f t="array" ref="I485">XLOOKUP(A485,'Download of SFDC Activation Rep'!B:B,'Download of SFDC Activation Rep'!T:T)</f>
        <v>#N/A</v>
      </c>
      <c r="J485" s="17" t="str">
        <f t="array" ref="J485">iferror(XLOOKUP(A485,'Download of SFDC Activation Rep'!B:B,'Download of SFDC Activation Rep'!C:C),"")</f>
        <v/>
      </c>
      <c r="K485" s="17" t="str">
        <f t="array" ref="K485">XLOOKUP(A485,'Download of SFDC Activation Rep'!B:B,'Download of SFDC Activation Rep'!X:X)</f>
        <v>#N/A</v>
      </c>
      <c r="L485" s="32" t="str">
        <f t="array" ref="L485">xlookup(A485,'Download of SFDC Activation Rep'!B:B,'Download of SFDC Activation Rep'!Z:Z)</f>
        <v>#N/A</v>
      </c>
    </row>
    <row r="486">
      <c r="B486" s="14"/>
      <c r="C486" s="14"/>
      <c r="D486" s="14"/>
      <c r="E486" s="14"/>
      <c r="F486" s="13" t="str">
        <f t="array" ref="F486">iferror(XLOOKUP(A486,'Download of SFDC Activation Rep'!B:B,'Download of SFDC Activation Rep'!H:H),"")</f>
        <v/>
      </c>
      <c r="G486" s="13" t="str">
        <f t="array" ref="G486">iferror(xlookup(A486,'Download of SFDC Activation Rep'!B:B,'Download of SFDC Activation Rep'!L:L),"")</f>
        <v/>
      </c>
      <c r="H486" s="17" t="str">
        <f t="shared" si="1"/>
        <v>Not Active</v>
      </c>
      <c r="I486" s="17" t="str">
        <f t="array" ref="I486">XLOOKUP(A486,'Download of SFDC Activation Rep'!B:B,'Download of SFDC Activation Rep'!T:T)</f>
        <v>#N/A</v>
      </c>
      <c r="J486" s="17" t="str">
        <f t="array" ref="J486">iferror(XLOOKUP(A486,'Download of SFDC Activation Rep'!B:B,'Download of SFDC Activation Rep'!C:C),"")</f>
        <v/>
      </c>
      <c r="K486" s="17" t="str">
        <f t="array" ref="K486">XLOOKUP(A486,'Download of SFDC Activation Rep'!B:B,'Download of SFDC Activation Rep'!X:X)</f>
        <v>#N/A</v>
      </c>
      <c r="L486" s="32" t="str">
        <f t="array" ref="L486">xlookup(A486,'Download of SFDC Activation Rep'!B:B,'Download of SFDC Activation Rep'!Z:Z)</f>
        <v>#N/A</v>
      </c>
    </row>
    <row r="487">
      <c r="B487" s="14"/>
      <c r="C487" s="14"/>
      <c r="D487" s="14"/>
      <c r="E487" s="14"/>
      <c r="F487" s="13" t="str">
        <f t="array" ref="F487">iferror(XLOOKUP(A487,'Download of SFDC Activation Rep'!B:B,'Download of SFDC Activation Rep'!H:H),"")</f>
        <v/>
      </c>
      <c r="G487" s="13" t="str">
        <f t="array" ref="G487">iferror(xlookup(A487,'Download of SFDC Activation Rep'!B:B,'Download of SFDC Activation Rep'!L:L),"")</f>
        <v/>
      </c>
      <c r="H487" s="17" t="str">
        <f t="shared" si="1"/>
        <v>Not Active</v>
      </c>
      <c r="I487" s="17" t="str">
        <f t="array" ref="I487">XLOOKUP(A487,'Download of SFDC Activation Rep'!B:B,'Download of SFDC Activation Rep'!T:T)</f>
        <v>#N/A</v>
      </c>
      <c r="J487" s="17" t="str">
        <f t="array" ref="J487">iferror(XLOOKUP(A487,'Download of SFDC Activation Rep'!B:B,'Download of SFDC Activation Rep'!C:C),"")</f>
        <v/>
      </c>
      <c r="K487" s="17" t="str">
        <f t="array" ref="K487">XLOOKUP(A487,'Download of SFDC Activation Rep'!B:B,'Download of SFDC Activation Rep'!X:X)</f>
        <v>#N/A</v>
      </c>
      <c r="L487" s="32" t="str">
        <f t="array" ref="L487">xlookup(A487,'Download of SFDC Activation Rep'!B:B,'Download of SFDC Activation Rep'!Z:Z)</f>
        <v>#N/A</v>
      </c>
    </row>
    <row r="488">
      <c r="B488" s="14"/>
      <c r="C488" s="14"/>
      <c r="D488" s="14"/>
      <c r="E488" s="14"/>
      <c r="F488" s="13" t="str">
        <f t="array" ref="F488">iferror(XLOOKUP(A488,'Download of SFDC Activation Rep'!B:B,'Download of SFDC Activation Rep'!H:H),"")</f>
        <v/>
      </c>
      <c r="G488" s="13" t="str">
        <f t="array" ref="G488">iferror(xlookup(A488,'Download of SFDC Activation Rep'!B:B,'Download of SFDC Activation Rep'!L:L),"")</f>
        <v/>
      </c>
      <c r="H488" s="17" t="str">
        <f t="shared" si="1"/>
        <v>Not Active</v>
      </c>
      <c r="I488" s="17" t="str">
        <f t="array" ref="I488">XLOOKUP(A488,'Download of SFDC Activation Rep'!B:B,'Download of SFDC Activation Rep'!T:T)</f>
        <v>#N/A</v>
      </c>
      <c r="J488" s="17" t="str">
        <f t="array" ref="J488">iferror(XLOOKUP(A488,'Download of SFDC Activation Rep'!B:B,'Download of SFDC Activation Rep'!C:C),"")</f>
        <v/>
      </c>
      <c r="K488" s="17" t="str">
        <f t="array" ref="K488">XLOOKUP(A488,'Download of SFDC Activation Rep'!B:B,'Download of SFDC Activation Rep'!X:X)</f>
        <v>#N/A</v>
      </c>
      <c r="L488" s="32" t="str">
        <f t="array" ref="L488">xlookup(A488,'Download of SFDC Activation Rep'!B:B,'Download of SFDC Activation Rep'!Z:Z)</f>
        <v>#N/A</v>
      </c>
    </row>
    <row r="489">
      <c r="B489" s="14"/>
      <c r="C489" s="14"/>
      <c r="D489" s="14"/>
      <c r="E489" s="14"/>
      <c r="F489" s="13" t="str">
        <f t="array" ref="F489">iferror(XLOOKUP(A489,'Download of SFDC Activation Rep'!B:B,'Download of SFDC Activation Rep'!H:H),"")</f>
        <v/>
      </c>
      <c r="G489" s="13" t="str">
        <f t="array" ref="G489">iferror(xlookup(A489,'Download of SFDC Activation Rep'!B:B,'Download of SFDC Activation Rep'!L:L),"")</f>
        <v/>
      </c>
      <c r="H489" s="17" t="str">
        <f t="shared" si="1"/>
        <v>Not Active</v>
      </c>
      <c r="I489" s="17" t="str">
        <f t="array" ref="I489">XLOOKUP(A489,'Download of SFDC Activation Rep'!B:B,'Download of SFDC Activation Rep'!T:T)</f>
        <v>#N/A</v>
      </c>
      <c r="J489" s="17" t="str">
        <f t="array" ref="J489">iferror(XLOOKUP(A489,'Download of SFDC Activation Rep'!B:B,'Download of SFDC Activation Rep'!C:C),"")</f>
        <v/>
      </c>
      <c r="K489" s="17" t="str">
        <f t="array" ref="K489">XLOOKUP(A489,'Download of SFDC Activation Rep'!B:B,'Download of SFDC Activation Rep'!X:X)</f>
        <v>#N/A</v>
      </c>
      <c r="L489" s="32" t="str">
        <f t="array" ref="L489">xlookup(A489,'Download of SFDC Activation Rep'!B:B,'Download of SFDC Activation Rep'!Z:Z)</f>
        <v>#N/A</v>
      </c>
    </row>
    <row r="490">
      <c r="B490" s="14"/>
      <c r="C490" s="14"/>
      <c r="D490" s="14"/>
      <c r="E490" s="14"/>
      <c r="F490" s="13" t="str">
        <f t="array" ref="F490">iferror(XLOOKUP(A490,'Download of SFDC Activation Rep'!B:B,'Download of SFDC Activation Rep'!H:H),"")</f>
        <v/>
      </c>
      <c r="G490" s="13" t="str">
        <f t="array" ref="G490">iferror(xlookup(A490,'Download of SFDC Activation Rep'!B:B,'Download of SFDC Activation Rep'!L:L),"")</f>
        <v/>
      </c>
      <c r="H490" s="17" t="str">
        <f t="shared" si="1"/>
        <v>Not Active</v>
      </c>
      <c r="I490" s="17" t="str">
        <f t="array" ref="I490">XLOOKUP(A490,'Download of SFDC Activation Rep'!B:B,'Download of SFDC Activation Rep'!T:T)</f>
        <v>#N/A</v>
      </c>
      <c r="J490" s="17" t="str">
        <f t="array" ref="J490">iferror(XLOOKUP(A490,'Download of SFDC Activation Rep'!B:B,'Download of SFDC Activation Rep'!C:C),"")</f>
        <v/>
      </c>
      <c r="K490" s="17" t="str">
        <f t="array" ref="K490">XLOOKUP(A490,'Download of SFDC Activation Rep'!B:B,'Download of SFDC Activation Rep'!X:X)</f>
        <v>#N/A</v>
      </c>
      <c r="L490" s="32" t="str">
        <f t="array" ref="L490">xlookup(A490,'Download of SFDC Activation Rep'!B:B,'Download of SFDC Activation Rep'!Z:Z)</f>
        <v>#N/A</v>
      </c>
    </row>
    <row r="491">
      <c r="B491" s="14"/>
      <c r="C491" s="14"/>
      <c r="D491" s="14"/>
      <c r="E491" s="14"/>
      <c r="F491" s="13" t="str">
        <f t="array" ref="F491">iferror(XLOOKUP(A491,'Download of SFDC Activation Rep'!B:B,'Download of SFDC Activation Rep'!H:H),"")</f>
        <v/>
      </c>
      <c r="G491" s="13" t="str">
        <f t="array" ref="G491">iferror(xlookup(A491,'Download of SFDC Activation Rep'!B:B,'Download of SFDC Activation Rep'!L:L),"")</f>
        <v/>
      </c>
      <c r="H491" s="17" t="str">
        <f t="shared" si="1"/>
        <v>Not Active</v>
      </c>
      <c r="I491" s="17" t="str">
        <f t="array" ref="I491">XLOOKUP(A491,'Download of SFDC Activation Rep'!B:B,'Download of SFDC Activation Rep'!T:T)</f>
        <v>#N/A</v>
      </c>
      <c r="J491" s="17" t="str">
        <f t="array" ref="J491">iferror(XLOOKUP(A491,'Download of SFDC Activation Rep'!B:B,'Download of SFDC Activation Rep'!C:C),"")</f>
        <v/>
      </c>
      <c r="K491" s="17" t="str">
        <f t="array" ref="K491">XLOOKUP(A491,'Download of SFDC Activation Rep'!B:B,'Download of SFDC Activation Rep'!X:X)</f>
        <v>#N/A</v>
      </c>
      <c r="L491" s="32" t="str">
        <f t="array" ref="L491">xlookup(A491,'Download of SFDC Activation Rep'!B:B,'Download of SFDC Activation Rep'!Z:Z)</f>
        <v>#N/A</v>
      </c>
    </row>
    <row r="492">
      <c r="B492" s="14"/>
      <c r="C492" s="14"/>
      <c r="D492" s="14"/>
      <c r="E492" s="14"/>
      <c r="F492" s="13" t="str">
        <f t="array" ref="F492">iferror(XLOOKUP(A492,'Download of SFDC Activation Rep'!B:B,'Download of SFDC Activation Rep'!H:H),"")</f>
        <v/>
      </c>
      <c r="G492" s="13" t="str">
        <f t="array" ref="G492">iferror(xlookup(A492,'Download of SFDC Activation Rep'!B:B,'Download of SFDC Activation Rep'!L:L),"")</f>
        <v/>
      </c>
      <c r="H492" s="17" t="str">
        <f t="shared" si="1"/>
        <v>Not Active</v>
      </c>
      <c r="I492" s="17" t="str">
        <f t="array" ref="I492">XLOOKUP(A492,'Download of SFDC Activation Rep'!B:B,'Download of SFDC Activation Rep'!T:T)</f>
        <v>#N/A</v>
      </c>
      <c r="J492" s="17" t="str">
        <f t="array" ref="J492">iferror(XLOOKUP(A492,'Download of SFDC Activation Rep'!B:B,'Download of SFDC Activation Rep'!C:C),"")</f>
        <v/>
      </c>
      <c r="K492" s="17" t="str">
        <f t="array" ref="K492">XLOOKUP(A492,'Download of SFDC Activation Rep'!B:B,'Download of SFDC Activation Rep'!X:X)</f>
        <v>#N/A</v>
      </c>
      <c r="L492" s="32" t="str">
        <f t="array" ref="L492">xlookup(A492,'Download of SFDC Activation Rep'!B:B,'Download of SFDC Activation Rep'!Z:Z)</f>
        <v>#N/A</v>
      </c>
    </row>
    <row r="493">
      <c r="B493" s="14"/>
      <c r="C493" s="14"/>
      <c r="D493" s="14"/>
      <c r="E493" s="14"/>
      <c r="F493" s="13" t="str">
        <f t="array" ref="F493">iferror(XLOOKUP(A493,'Download of SFDC Activation Rep'!B:B,'Download of SFDC Activation Rep'!H:H),"")</f>
        <v/>
      </c>
      <c r="G493" s="13" t="str">
        <f t="array" ref="G493">iferror(xlookup(A493,'Download of SFDC Activation Rep'!B:B,'Download of SFDC Activation Rep'!L:L),"")</f>
        <v/>
      </c>
      <c r="H493" s="17" t="str">
        <f t="shared" si="1"/>
        <v>Not Active</v>
      </c>
      <c r="I493" s="17" t="str">
        <f t="array" ref="I493">XLOOKUP(A493,'Download of SFDC Activation Rep'!B:B,'Download of SFDC Activation Rep'!T:T)</f>
        <v>#N/A</v>
      </c>
      <c r="J493" s="17" t="str">
        <f t="array" ref="J493">iferror(XLOOKUP(A493,'Download of SFDC Activation Rep'!B:B,'Download of SFDC Activation Rep'!C:C),"")</f>
        <v/>
      </c>
      <c r="K493" s="17" t="str">
        <f t="array" ref="K493">XLOOKUP(A493,'Download of SFDC Activation Rep'!B:B,'Download of SFDC Activation Rep'!X:X)</f>
        <v>#N/A</v>
      </c>
      <c r="L493" s="32" t="str">
        <f t="array" ref="L493">xlookup(A493,'Download of SFDC Activation Rep'!B:B,'Download of SFDC Activation Rep'!Z:Z)</f>
        <v>#N/A</v>
      </c>
    </row>
    <row r="494">
      <c r="B494" s="14"/>
      <c r="C494" s="14"/>
      <c r="D494" s="14"/>
      <c r="E494" s="14"/>
      <c r="F494" s="13" t="str">
        <f t="array" ref="F494">iferror(XLOOKUP(A494,'Download of SFDC Activation Rep'!B:B,'Download of SFDC Activation Rep'!H:H),"")</f>
        <v/>
      </c>
      <c r="G494" s="13" t="str">
        <f t="array" ref="G494">iferror(xlookup(A494,'Download of SFDC Activation Rep'!B:B,'Download of SFDC Activation Rep'!L:L),"")</f>
        <v/>
      </c>
      <c r="H494" s="17" t="str">
        <f t="shared" si="1"/>
        <v>Not Active</v>
      </c>
      <c r="I494" s="17" t="str">
        <f t="array" ref="I494">XLOOKUP(A494,'Download of SFDC Activation Rep'!B:B,'Download of SFDC Activation Rep'!T:T)</f>
        <v>#N/A</v>
      </c>
      <c r="J494" s="17" t="str">
        <f t="array" ref="J494">iferror(XLOOKUP(A494,'Download of SFDC Activation Rep'!B:B,'Download of SFDC Activation Rep'!C:C),"")</f>
        <v/>
      </c>
      <c r="K494" s="17" t="str">
        <f t="array" ref="K494">XLOOKUP(A494,'Download of SFDC Activation Rep'!B:B,'Download of SFDC Activation Rep'!X:X)</f>
        <v>#N/A</v>
      </c>
      <c r="L494" s="32" t="str">
        <f t="array" ref="L494">xlookup(A494,'Download of SFDC Activation Rep'!B:B,'Download of SFDC Activation Rep'!Z:Z)</f>
        <v>#N/A</v>
      </c>
    </row>
    <row r="495">
      <c r="B495" s="14"/>
      <c r="C495" s="14"/>
      <c r="D495" s="14"/>
      <c r="E495" s="14"/>
      <c r="F495" s="13" t="str">
        <f t="array" ref="F495">iferror(XLOOKUP(A495,'Download of SFDC Activation Rep'!B:B,'Download of SFDC Activation Rep'!H:H),"")</f>
        <v/>
      </c>
      <c r="G495" s="13" t="str">
        <f t="array" ref="G495">iferror(xlookup(A495,'Download of SFDC Activation Rep'!B:B,'Download of SFDC Activation Rep'!L:L),"")</f>
        <v/>
      </c>
      <c r="H495" s="17" t="str">
        <f t="shared" si="1"/>
        <v>Not Active</v>
      </c>
      <c r="I495" s="17" t="str">
        <f t="array" ref="I495">XLOOKUP(A495,'Download of SFDC Activation Rep'!B:B,'Download of SFDC Activation Rep'!T:T)</f>
        <v>#N/A</v>
      </c>
      <c r="J495" s="17" t="str">
        <f t="array" ref="J495">iferror(XLOOKUP(A495,'Download of SFDC Activation Rep'!B:B,'Download of SFDC Activation Rep'!C:C),"")</f>
        <v/>
      </c>
      <c r="K495" s="17" t="str">
        <f t="array" ref="K495">XLOOKUP(A495,'Download of SFDC Activation Rep'!B:B,'Download of SFDC Activation Rep'!X:X)</f>
        <v>#N/A</v>
      </c>
      <c r="L495" s="32" t="str">
        <f t="array" ref="L495">xlookup(A495,'Download of SFDC Activation Rep'!B:B,'Download of SFDC Activation Rep'!Z:Z)</f>
        <v>#N/A</v>
      </c>
    </row>
    <row r="496">
      <c r="B496" s="14"/>
      <c r="C496" s="14"/>
      <c r="D496" s="14"/>
      <c r="E496" s="14"/>
      <c r="F496" s="13" t="str">
        <f t="array" ref="F496">iferror(XLOOKUP(A496,'Download of SFDC Activation Rep'!B:B,'Download of SFDC Activation Rep'!H:H),"")</f>
        <v/>
      </c>
      <c r="G496" s="13" t="str">
        <f t="array" ref="G496">iferror(xlookup(A496,'Download of SFDC Activation Rep'!B:B,'Download of SFDC Activation Rep'!L:L),"")</f>
        <v/>
      </c>
      <c r="H496" s="17" t="str">
        <f t="shared" si="1"/>
        <v>Not Active</v>
      </c>
      <c r="I496" s="17" t="str">
        <f t="array" ref="I496">XLOOKUP(A496,'Download of SFDC Activation Rep'!B:B,'Download of SFDC Activation Rep'!T:T)</f>
        <v>#N/A</v>
      </c>
      <c r="J496" s="17" t="str">
        <f t="array" ref="J496">iferror(XLOOKUP(A496,'Download of SFDC Activation Rep'!B:B,'Download of SFDC Activation Rep'!C:C),"")</f>
        <v/>
      </c>
      <c r="K496" s="17" t="str">
        <f t="array" ref="K496">XLOOKUP(A496,'Download of SFDC Activation Rep'!B:B,'Download of SFDC Activation Rep'!X:X)</f>
        <v>#N/A</v>
      </c>
      <c r="L496" s="32" t="str">
        <f t="array" ref="L496">xlookup(A496,'Download of SFDC Activation Rep'!B:B,'Download of SFDC Activation Rep'!Z:Z)</f>
        <v>#N/A</v>
      </c>
    </row>
    <row r="497">
      <c r="B497" s="14"/>
      <c r="C497" s="14"/>
      <c r="D497" s="14"/>
      <c r="E497" s="14"/>
      <c r="F497" s="13" t="str">
        <f t="array" ref="F497">iferror(XLOOKUP(A497,'Download of SFDC Activation Rep'!B:B,'Download of SFDC Activation Rep'!H:H),"")</f>
        <v/>
      </c>
      <c r="G497" s="13" t="str">
        <f t="array" ref="G497">iferror(xlookup(A497,'Download of SFDC Activation Rep'!B:B,'Download of SFDC Activation Rep'!L:L),"")</f>
        <v/>
      </c>
      <c r="H497" s="17" t="str">
        <f t="shared" si="1"/>
        <v>Not Active</v>
      </c>
      <c r="I497" s="17" t="str">
        <f t="array" ref="I497">XLOOKUP(A497,'Download of SFDC Activation Rep'!B:B,'Download of SFDC Activation Rep'!T:T)</f>
        <v>#N/A</v>
      </c>
      <c r="J497" s="17" t="str">
        <f t="array" ref="J497">iferror(XLOOKUP(A497,'Download of SFDC Activation Rep'!B:B,'Download of SFDC Activation Rep'!C:C),"")</f>
        <v/>
      </c>
      <c r="K497" s="17" t="str">
        <f t="array" ref="K497">XLOOKUP(A497,'Download of SFDC Activation Rep'!B:B,'Download of SFDC Activation Rep'!X:X)</f>
        <v>#N/A</v>
      </c>
      <c r="L497" s="32" t="str">
        <f t="array" ref="L497">xlookup(A497,'Download of SFDC Activation Rep'!B:B,'Download of SFDC Activation Rep'!Z:Z)</f>
        <v>#N/A</v>
      </c>
    </row>
    <row r="498">
      <c r="B498" s="14"/>
      <c r="C498" s="14"/>
      <c r="D498" s="14"/>
      <c r="E498" s="14"/>
      <c r="F498" s="13" t="str">
        <f t="array" ref="F498">iferror(XLOOKUP(A498,'Download of SFDC Activation Rep'!B:B,'Download of SFDC Activation Rep'!H:H),"")</f>
        <v/>
      </c>
      <c r="G498" s="13" t="str">
        <f t="array" ref="G498">iferror(xlookup(A498,'Download of SFDC Activation Rep'!B:B,'Download of SFDC Activation Rep'!L:L),"")</f>
        <v/>
      </c>
      <c r="H498" s="17" t="str">
        <f t="shared" si="1"/>
        <v>Not Active</v>
      </c>
      <c r="I498" s="17" t="str">
        <f t="array" ref="I498">XLOOKUP(A498,'Download of SFDC Activation Rep'!B:B,'Download of SFDC Activation Rep'!T:T)</f>
        <v>#N/A</v>
      </c>
      <c r="J498" s="17" t="str">
        <f t="array" ref="J498">iferror(XLOOKUP(A498,'Download of SFDC Activation Rep'!B:B,'Download of SFDC Activation Rep'!C:C),"")</f>
        <v/>
      </c>
      <c r="K498" s="17" t="str">
        <f t="array" ref="K498">XLOOKUP(A498,'Download of SFDC Activation Rep'!B:B,'Download of SFDC Activation Rep'!X:X)</f>
        <v>#N/A</v>
      </c>
      <c r="L498" s="32" t="str">
        <f t="array" ref="L498">xlookup(A498,'Download of SFDC Activation Rep'!B:B,'Download of SFDC Activation Rep'!Z:Z)</f>
        <v>#N/A</v>
      </c>
    </row>
    <row r="499">
      <c r="B499" s="14"/>
      <c r="C499" s="14"/>
      <c r="D499" s="14"/>
      <c r="E499" s="14"/>
      <c r="F499" s="13" t="str">
        <f t="array" ref="F499">iferror(XLOOKUP(A499,'Download of SFDC Activation Rep'!B:B,'Download of SFDC Activation Rep'!H:H),"")</f>
        <v/>
      </c>
      <c r="G499" s="13" t="str">
        <f t="array" ref="G499">iferror(xlookup(A499,'Download of SFDC Activation Rep'!B:B,'Download of SFDC Activation Rep'!L:L),"")</f>
        <v/>
      </c>
      <c r="H499" s="17" t="str">
        <f t="shared" si="1"/>
        <v>Not Active</v>
      </c>
      <c r="I499" s="17" t="str">
        <f t="array" ref="I499">XLOOKUP(A499,'Download of SFDC Activation Rep'!B:B,'Download of SFDC Activation Rep'!T:T)</f>
        <v>#N/A</v>
      </c>
      <c r="J499" s="17" t="str">
        <f t="array" ref="J499">iferror(XLOOKUP(A499,'Download of SFDC Activation Rep'!B:B,'Download of SFDC Activation Rep'!C:C),"")</f>
        <v/>
      </c>
      <c r="K499" s="17" t="str">
        <f t="array" ref="K499">XLOOKUP(A499,'Download of SFDC Activation Rep'!B:B,'Download of SFDC Activation Rep'!X:X)</f>
        <v>#N/A</v>
      </c>
      <c r="L499" s="32" t="str">
        <f t="array" ref="L499">xlookup(A499,'Download of SFDC Activation Rep'!B:B,'Download of SFDC Activation Rep'!Z:Z)</f>
        <v>#N/A</v>
      </c>
    </row>
    <row r="500">
      <c r="B500" s="14"/>
      <c r="C500" s="14"/>
      <c r="D500" s="14"/>
      <c r="E500" s="14"/>
      <c r="F500" s="13" t="str">
        <f t="array" ref="F500">iferror(XLOOKUP(A500,'Download of SFDC Activation Rep'!B:B,'Download of SFDC Activation Rep'!H:H),"")</f>
        <v/>
      </c>
      <c r="G500" s="13" t="str">
        <f t="array" ref="G500">iferror(xlookup(A500,'Download of SFDC Activation Rep'!B:B,'Download of SFDC Activation Rep'!L:L),"")</f>
        <v/>
      </c>
      <c r="H500" s="17" t="str">
        <f t="shared" si="1"/>
        <v>Not Active</v>
      </c>
      <c r="I500" s="17" t="str">
        <f t="array" ref="I500">XLOOKUP(A500,'Download of SFDC Activation Rep'!B:B,'Download of SFDC Activation Rep'!T:T)</f>
        <v>#N/A</v>
      </c>
      <c r="J500" s="17" t="str">
        <f t="array" ref="J500">iferror(XLOOKUP(A500,'Download of SFDC Activation Rep'!B:B,'Download of SFDC Activation Rep'!C:C),"")</f>
        <v/>
      </c>
      <c r="K500" s="17" t="str">
        <f t="array" ref="K500">XLOOKUP(A500,'Download of SFDC Activation Rep'!B:B,'Download of SFDC Activation Rep'!X:X)</f>
        <v>#N/A</v>
      </c>
      <c r="L500" s="32" t="str">
        <f t="array" ref="L500">xlookup(A500,'Download of SFDC Activation Rep'!B:B,'Download of SFDC Activation Rep'!Z:Z)</f>
        <v>#N/A</v>
      </c>
    </row>
    <row r="501">
      <c r="B501" s="14"/>
      <c r="C501" s="14"/>
      <c r="D501" s="14"/>
      <c r="E501" s="14"/>
      <c r="F501" s="13" t="str">
        <f t="array" ref="F501">iferror(XLOOKUP(A501,'Download of SFDC Activation Rep'!B:B,'Download of SFDC Activation Rep'!H:H),"")</f>
        <v/>
      </c>
      <c r="G501" s="13" t="str">
        <f t="array" ref="G501">iferror(xlookup(A501,'Download of SFDC Activation Rep'!B:B,'Download of SFDC Activation Rep'!L:L),"")</f>
        <v/>
      </c>
      <c r="H501" s="17" t="str">
        <f t="shared" si="1"/>
        <v>Not Active</v>
      </c>
      <c r="I501" s="17" t="str">
        <f t="array" ref="I501">XLOOKUP(A501,'Download of SFDC Activation Rep'!B:B,'Download of SFDC Activation Rep'!T:T)</f>
        <v>#N/A</v>
      </c>
      <c r="J501" s="17" t="str">
        <f t="array" ref="J501">iferror(XLOOKUP(A501,'Download of SFDC Activation Rep'!B:B,'Download of SFDC Activation Rep'!C:C),"")</f>
        <v/>
      </c>
      <c r="K501" s="17" t="str">
        <f t="array" ref="K501">XLOOKUP(A501,'Download of SFDC Activation Rep'!B:B,'Download of SFDC Activation Rep'!X:X)</f>
        <v>#N/A</v>
      </c>
      <c r="L501" s="32" t="str">
        <f t="array" ref="L501">xlookup(A501,'Download of SFDC Activation Rep'!B:B,'Download of SFDC Activation Rep'!Z:Z)</f>
        <v>#N/A</v>
      </c>
    </row>
    <row r="502">
      <c r="B502" s="14"/>
      <c r="C502" s="14"/>
      <c r="D502" s="14"/>
      <c r="E502" s="14"/>
      <c r="F502" s="13" t="str">
        <f t="array" ref="F502">iferror(XLOOKUP(A502,'Download of SFDC Activation Rep'!B:B,'Download of SFDC Activation Rep'!H:H),"")</f>
        <v/>
      </c>
      <c r="G502" s="13" t="str">
        <f t="array" ref="G502">iferror(xlookup(A502,'Download of SFDC Activation Rep'!B:B,'Download of SFDC Activation Rep'!L:L),"")</f>
        <v/>
      </c>
      <c r="H502" s="17" t="str">
        <f t="shared" si="1"/>
        <v>Not Active</v>
      </c>
      <c r="I502" s="17" t="str">
        <f t="array" ref="I502">XLOOKUP(A502,'Download of SFDC Activation Rep'!B:B,'Download of SFDC Activation Rep'!T:T)</f>
        <v>#N/A</v>
      </c>
      <c r="J502" s="17" t="str">
        <f t="array" ref="J502">iferror(XLOOKUP(A502,'Download of SFDC Activation Rep'!B:B,'Download of SFDC Activation Rep'!C:C),"")</f>
        <v/>
      </c>
      <c r="K502" s="17" t="str">
        <f t="array" ref="K502">XLOOKUP(A502,'Download of SFDC Activation Rep'!B:B,'Download of SFDC Activation Rep'!X:X)</f>
        <v>#N/A</v>
      </c>
      <c r="L502" s="32" t="str">
        <f t="array" ref="L502">xlookup(A502,'Download of SFDC Activation Rep'!B:B,'Download of SFDC Activation Rep'!Z:Z)</f>
        <v>#N/A</v>
      </c>
    </row>
    <row r="503">
      <c r="B503" s="14"/>
      <c r="C503" s="14"/>
      <c r="D503" s="14"/>
      <c r="E503" s="14"/>
      <c r="F503" s="13" t="str">
        <f t="array" ref="F503">iferror(XLOOKUP(A503,'Download of SFDC Activation Rep'!B:B,'Download of SFDC Activation Rep'!H:H),"")</f>
        <v/>
      </c>
      <c r="G503" s="13" t="str">
        <f t="array" ref="G503">iferror(xlookup(A503,'Download of SFDC Activation Rep'!B:B,'Download of SFDC Activation Rep'!L:L),"")</f>
        <v/>
      </c>
      <c r="H503" s="17" t="str">
        <f t="shared" si="1"/>
        <v>Not Active</v>
      </c>
      <c r="I503" s="17" t="str">
        <f t="array" ref="I503">XLOOKUP(A503,'Download of SFDC Activation Rep'!B:B,'Download of SFDC Activation Rep'!T:T)</f>
        <v>#N/A</v>
      </c>
      <c r="J503" s="17" t="str">
        <f t="array" ref="J503">iferror(XLOOKUP(A503,'Download of SFDC Activation Rep'!B:B,'Download of SFDC Activation Rep'!C:C),"")</f>
        <v/>
      </c>
      <c r="K503" s="17" t="str">
        <f t="array" ref="K503">XLOOKUP(A503,'Download of SFDC Activation Rep'!B:B,'Download of SFDC Activation Rep'!X:X)</f>
        <v>#N/A</v>
      </c>
      <c r="L503" s="32" t="str">
        <f t="array" ref="L503">xlookup(A503,'Download of SFDC Activation Rep'!B:B,'Download of SFDC Activation Rep'!Z:Z)</f>
        <v>#N/A</v>
      </c>
    </row>
    <row r="504">
      <c r="B504" s="14"/>
      <c r="C504" s="14"/>
      <c r="D504" s="14"/>
      <c r="E504" s="14"/>
      <c r="F504" s="13" t="str">
        <f t="array" ref="F504">iferror(XLOOKUP(A504,'Download of SFDC Activation Rep'!B:B,'Download of SFDC Activation Rep'!H:H),"")</f>
        <v/>
      </c>
      <c r="G504" s="13" t="str">
        <f t="array" ref="G504">iferror(xlookup(A504,'Download of SFDC Activation Rep'!B:B,'Download of SFDC Activation Rep'!L:L),"")</f>
        <v/>
      </c>
      <c r="H504" s="17" t="str">
        <f t="shared" si="1"/>
        <v>Not Active</v>
      </c>
      <c r="I504" s="17" t="str">
        <f t="array" ref="I504">XLOOKUP(A504,'Download of SFDC Activation Rep'!B:B,'Download of SFDC Activation Rep'!T:T)</f>
        <v>#N/A</v>
      </c>
      <c r="J504" s="17" t="str">
        <f t="array" ref="J504">iferror(XLOOKUP(A504,'Download of SFDC Activation Rep'!B:B,'Download of SFDC Activation Rep'!C:C),"")</f>
        <v/>
      </c>
      <c r="K504" s="17" t="str">
        <f t="array" ref="K504">XLOOKUP(A504,'Download of SFDC Activation Rep'!B:B,'Download of SFDC Activation Rep'!X:X)</f>
        <v>#N/A</v>
      </c>
      <c r="L504" s="32" t="str">
        <f t="array" ref="L504">xlookup(A504,'Download of SFDC Activation Rep'!B:B,'Download of SFDC Activation Rep'!Z:Z)</f>
        <v>#N/A</v>
      </c>
    </row>
    <row r="505">
      <c r="B505" s="14"/>
      <c r="C505" s="14"/>
      <c r="D505" s="14"/>
      <c r="E505" s="14"/>
      <c r="F505" s="13" t="str">
        <f t="array" ref="F505">iferror(XLOOKUP(A505,'Download of SFDC Activation Rep'!B:B,'Download of SFDC Activation Rep'!H:H),"")</f>
        <v/>
      </c>
      <c r="G505" s="13" t="str">
        <f t="array" ref="G505">iferror(xlookup(A505,'Download of SFDC Activation Rep'!B:B,'Download of SFDC Activation Rep'!L:L),"")</f>
        <v/>
      </c>
      <c r="H505" s="17" t="str">
        <f t="shared" si="1"/>
        <v>Not Active</v>
      </c>
      <c r="I505" s="17" t="str">
        <f t="array" ref="I505">XLOOKUP(A505,'Download of SFDC Activation Rep'!B:B,'Download of SFDC Activation Rep'!T:T)</f>
        <v>#N/A</v>
      </c>
      <c r="J505" s="17" t="str">
        <f t="array" ref="J505">iferror(XLOOKUP(A505,'Download of SFDC Activation Rep'!B:B,'Download of SFDC Activation Rep'!C:C),"")</f>
        <v/>
      </c>
      <c r="K505" s="17" t="str">
        <f t="array" ref="K505">XLOOKUP(A505,'Download of SFDC Activation Rep'!B:B,'Download of SFDC Activation Rep'!X:X)</f>
        <v>#N/A</v>
      </c>
      <c r="L505" s="32" t="str">
        <f t="array" ref="L505">xlookup(A505,'Download of SFDC Activation Rep'!B:B,'Download of SFDC Activation Rep'!Z:Z)</f>
        <v>#N/A</v>
      </c>
    </row>
    <row r="506">
      <c r="B506" s="14"/>
      <c r="C506" s="14"/>
      <c r="D506" s="14"/>
      <c r="E506" s="14"/>
      <c r="F506" s="13" t="str">
        <f t="array" ref="F506">iferror(XLOOKUP(A506,'Download of SFDC Activation Rep'!B:B,'Download of SFDC Activation Rep'!H:H),"")</f>
        <v/>
      </c>
      <c r="G506" s="13" t="str">
        <f t="array" ref="G506">iferror(xlookup(A506,'Download of SFDC Activation Rep'!B:B,'Download of SFDC Activation Rep'!L:L),"")</f>
        <v/>
      </c>
      <c r="H506" s="17" t="str">
        <f t="shared" si="1"/>
        <v>Not Active</v>
      </c>
      <c r="I506" s="17" t="str">
        <f t="array" ref="I506">XLOOKUP(A506,'Download of SFDC Activation Rep'!B:B,'Download of SFDC Activation Rep'!T:T)</f>
        <v>#N/A</v>
      </c>
      <c r="J506" s="17" t="str">
        <f t="array" ref="J506">iferror(XLOOKUP(A506,'Download of SFDC Activation Rep'!B:B,'Download of SFDC Activation Rep'!C:C),"")</f>
        <v/>
      </c>
      <c r="K506" s="17" t="str">
        <f t="array" ref="K506">XLOOKUP(A506,'Download of SFDC Activation Rep'!B:B,'Download of SFDC Activation Rep'!X:X)</f>
        <v>#N/A</v>
      </c>
      <c r="L506" s="32" t="str">
        <f t="array" ref="L506">xlookup(A506,'Download of SFDC Activation Rep'!B:B,'Download of SFDC Activation Rep'!Z:Z)</f>
        <v>#N/A</v>
      </c>
    </row>
    <row r="507">
      <c r="B507" s="14"/>
      <c r="C507" s="14"/>
      <c r="D507" s="14"/>
      <c r="E507" s="14"/>
      <c r="F507" s="13" t="str">
        <f t="array" ref="F507">iferror(XLOOKUP(A507,'Download of SFDC Activation Rep'!B:B,'Download of SFDC Activation Rep'!H:H),"")</f>
        <v/>
      </c>
      <c r="G507" s="13" t="str">
        <f t="array" ref="G507">iferror(xlookup(A507,'Download of SFDC Activation Rep'!B:B,'Download of SFDC Activation Rep'!L:L),"")</f>
        <v/>
      </c>
      <c r="H507" s="17" t="str">
        <f t="shared" si="1"/>
        <v>Not Active</v>
      </c>
      <c r="I507" s="17" t="str">
        <f t="array" ref="I507">XLOOKUP(A507,'Download of SFDC Activation Rep'!B:B,'Download of SFDC Activation Rep'!T:T)</f>
        <v>#N/A</v>
      </c>
      <c r="J507" s="17" t="str">
        <f t="array" ref="J507">iferror(XLOOKUP(A507,'Download of SFDC Activation Rep'!B:B,'Download of SFDC Activation Rep'!C:C),"")</f>
        <v/>
      </c>
      <c r="K507" s="17" t="str">
        <f t="array" ref="K507">XLOOKUP(A507,'Download of SFDC Activation Rep'!B:B,'Download of SFDC Activation Rep'!X:X)</f>
        <v>#N/A</v>
      </c>
      <c r="L507" s="32" t="str">
        <f t="array" ref="L507">xlookup(A507,'Download of SFDC Activation Rep'!B:B,'Download of SFDC Activation Rep'!Z:Z)</f>
        <v>#N/A</v>
      </c>
    </row>
    <row r="508">
      <c r="B508" s="14"/>
      <c r="C508" s="14"/>
      <c r="D508" s="14"/>
      <c r="E508" s="14"/>
      <c r="F508" s="13" t="str">
        <f t="array" ref="F508">iferror(XLOOKUP(A508,'Download of SFDC Activation Rep'!B:B,'Download of SFDC Activation Rep'!H:H),"")</f>
        <v/>
      </c>
      <c r="G508" s="13" t="str">
        <f t="array" ref="G508">iferror(xlookup(A508,'Download of SFDC Activation Rep'!B:B,'Download of SFDC Activation Rep'!L:L),"")</f>
        <v/>
      </c>
      <c r="H508" s="17" t="str">
        <f t="shared" si="1"/>
        <v>Not Active</v>
      </c>
      <c r="I508" s="17" t="str">
        <f t="array" ref="I508">XLOOKUP(A508,'Download of SFDC Activation Rep'!B:B,'Download of SFDC Activation Rep'!T:T)</f>
        <v>#N/A</v>
      </c>
      <c r="J508" s="17" t="str">
        <f t="array" ref="J508">iferror(XLOOKUP(A508,'Download of SFDC Activation Rep'!B:B,'Download of SFDC Activation Rep'!C:C),"")</f>
        <v/>
      </c>
      <c r="K508" s="17" t="str">
        <f t="array" ref="K508">XLOOKUP(A508,'Download of SFDC Activation Rep'!B:B,'Download of SFDC Activation Rep'!X:X)</f>
        <v>#N/A</v>
      </c>
      <c r="L508" s="32" t="str">
        <f t="array" ref="L508">xlookup(A508,'Download of SFDC Activation Rep'!B:B,'Download of SFDC Activation Rep'!Z:Z)</f>
        <v>#N/A</v>
      </c>
    </row>
    <row r="509">
      <c r="B509" s="14"/>
      <c r="C509" s="14"/>
      <c r="D509" s="14"/>
      <c r="E509" s="14"/>
      <c r="F509" s="13" t="str">
        <f t="array" ref="F509">iferror(XLOOKUP(A509,'Download of SFDC Activation Rep'!B:B,'Download of SFDC Activation Rep'!H:H),"")</f>
        <v/>
      </c>
      <c r="G509" s="13" t="str">
        <f t="array" ref="G509">iferror(xlookup(A509,'Download of SFDC Activation Rep'!B:B,'Download of SFDC Activation Rep'!L:L),"")</f>
        <v/>
      </c>
      <c r="H509" s="17" t="str">
        <f t="shared" si="1"/>
        <v>Not Active</v>
      </c>
      <c r="I509" s="17" t="str">
        <f t="array" ref="I509">XLOOKUP(A509,'Download of SFDC Activation Rep'!B:B,'Download of SFDC Activation Rep'!T:T)</f>
        <v>#N/A</v>
      </c>
      <c r="J509" s="17" t="str">
        <f t="array" ref="J509">iferror(XLOOKUP(A509,'Download of SFDC Activation Rep'!B:B,'Download of SFDC Activation Rep'!C:C),"")</f>
        <v/>
      </c>
      <c r="K509" s="17" t="str">
        <f t="array" ref="K509">XLOOKUP(A509,'Download of SFDC Activation Rep'!B:B,'Download of SFDC Activation Rep'!X:X)</f>
        <v>#N/A</v>
      </c>
      <c r="L509" s="32" t="str">
        <f t="array" ref="L509">xlookup(A509,'Download of SFDC Activation Rep'!B:B,'Download of SFDC Activation Rep'!Z:Z)</f>
        <v>#N/A</v>
      </c>
    </row>
    <row r="510">
      <c r="B510" s="14"/>
      <c r="C510" s="14"/>
      <c r="D510" s="14"/>
      <c r="E510" s="14"/>
      <c r="F510" s="13" t="str">
        <f t="array" ref="F510">iferror(XLOOKUP(A510,'Download of SFDC Activation Rep'!B:B,'Download of SFDC Activation Rep'!H:H),"")</f>
        <v/>
      </c>
      <c r="G510" s="13" t="str">
        <f t="array" ref="G510">iferror(xlookup(A510,'Download of SFDC Activation Rep'!B:B,'Download of SFDC Activation Rep'!L:L),"")</f>
        <v/>
      </c>
      <c r="H510" s="17" t="str">
        <f t="shared" si="1"/>
        <v>Not Active</v>
      </c>
      <c r="I510" s="17" t="str">
        <f t="array" ref="I510">XLOOKUP(A510,'Download of SFDC Activation Rep'!B:B,'Download of SFDC Activation Rep'!T:T)</f>
        <v>#N/A</v>
      </c>
      <c r="J510" s="17" t="str">
        <f t="array" ref="J510">iferror(XLOOKUP(A510,'Download of SFDC Activation Rep'!B:B,'Download of SFDC Activation Rep'!C:C),"")</f>
        <v/>
      </c>
      <c r="K510" s="17" t="str">
        <f t="array" ref="K510">XLOOKUP(A510,'Download of SFDC Activation Rep'!B:B,'Download of SFDC Activation Rep'!X:X)</f>
        <v>#N/A</v>
      </c>
      <c r="L510" s="32" t="str">
        <f t="array" ref="L510">xlookup(A510,'Download of SFDC Activation Rep'!B:B,'Download of SFDC Activation Rep'!Z:Z)</f>
        <v>#N/A</v>
      </c>
    </row>
    <row r="511">
      <c r="B511" s="14"/>
      <c r="C511" s="14"/>
      <c r="D511" s="14"/>
      <c r="E511" s="14"/>
      <c r="F511" s="13" t="str">
        <f t="array" ref="F511">iferror(XLOOKUP(A511,'Download of SFDC Activation Rep'!B:B,'Download of SFDC Activation Rep'!H:H),"")</f>
        <v/>
      </c>
      <c r="G511" s="13" t="str">
        <f t="array" ref="G511">iferror(xlookup(A511,'Download of SFDC Activation Rep'!B:B,'Download of SFDC Activation Rep'!L:L),"")</f>
        <v/>
      </c>
      <c r="H511" s="17" t="str">
        <f t="shared" si="1"/>
        <v>Not Active</v>
      </c>
      <c r="I511" s="17" t="str">
        <f t="array" ref="I511">XLOOKUP(A511,'Download of SFDC Activation Rep'!B:B,'Download of SFDC Activation Rep'!T:T)</f>
        <v>#N/A</v>
      </c>
      <c r="J511" s="17" t="str">
        <f t="array" ref="J511">iferror(XLOOKUP(A511,'Download of SFDC Activation Rep'!B:B,'Download of SFDC Activation Rep'!C:C),"")</f>
        <v/>
      </c>
      <c r="K511" s="17" t="str">
        <f t="array" ref="K511">XLOOKUP(A511,'Download of SFDC Activation Rep'!B:B,'Download of SFDC Activation Rep'!X:X)</f>
        <v>#N/A</v>
      </c>
      <c r="L511" s="32" t="str">
        <f t="array" ref="L511">xlookup(A511,'Download of SFDC Activation Rep'!B:B,'Download of SFDC Activation Rep'!Z:Z)</f>
        <v>#N/A</v>
      </c>
    </row>
    <row r="512">
      <c r="B512" s="14"/>
      <c r="C512" s="14"/>
      <c r="D512" s="14"/>
      <c r="E512" s="14"/>
      <c r="F512" s="13" t="str">
        <f t="array" ref="F512">iferror(XLOOKUP(A512,'Download of SFDC Activation Rep'!B:B,'Download of SFDC Activation Rep'!H:H),"")</f>
        <v/>
      </c>
      <c r="G512" s="13" t="str">
        <f t="array" ref="G512">iferror(xlookup(A512,'Download of SFDC Activation Rep'!B:B,'Download of SFDC Activation Rep'!L:L),"")</f>
        <v/>
      </c>
      <c r="H512" s="17" t="str">
        <f t="shared" si="1"/>
        <v>Not Active</v>
      </c>
      <c r="I512" s="17" t="str">
        <f t="array" ref="I512">XLOOKUP(A512,'Download of SFDC Activation Rep'!B:B,'Download of SFDC Activation Rep'!T:T)</f>
        <v>#N/A</v>
      </c>
      <c r="J512" s="17" t="str">
        <f t="array" ref="J512">iferror(XLOOKUP(A512,'Download of SFDC Activation Rep'!B:B,'Download of SFDC Activation Rep'!C:C),"")</f>
        <v/>
      </c>
      <c r="K512" s="17" t="str">
        <f t="array" ref="K512">XLOOKUP(A512,'Download of SFDC Activation Rep'!B:B,'Download of SFDC Activation Rep'!X:X)</f>
        <v>#N/A</v>
      </c>
      <c r="L512" s="32" t="str">
        <f t="array" ref="L512">xlookup(A512,'Download of SFDC Activation Rep'!B:B,'Download of SFDC Activation Rep'!Z:Z)</f>
        <v>#N/A</v>
      </c>
    </row>
    <row r="513">
      <c r="B513" s="14"/>
      <c r="C513" s="14"/>
      <c r="D513" s="14"/>
      <c r="E513" s="14"/>
      <c r="F513" s="13" t="str">
        <f t="array" ref="F513">iferror(XLOOKUP(A513,'Download of SFDC Activation Rep'!B:B,'Download of SFDC Activation Rep'!H:H),"")</f>
        <v/>
      </c>
      <c r="G513" s="13" t="str">
        <f t="array" ref="G513">iferror(xlookup(A513,'Download of SFDC Activation Rep'!B:B,'Download of SFDC Activation Rep'!L:L),"")</f>
        <v/>
      </c>
      <c r="H513" s="17" t="str">
        <f t="shared" si="1"/>
        <v>Not Active</v>
      </c>
      <c r="I513" s="17" t="str">
        <f t="array" ref="I513">XLOOKUP(A513,'Download of SFDC Activation Rep'!B:B,'Download of SFDC Activation Rep'!T:T)</f>
        <v>#N/A</v>
      </c>
      <c r="J513" s="17" t="str">
        <f t="array" ref="J513">iferror(XLOOKUP(A513,'Download of SFDC Activation Rep'!B:B,'Download of SFDC Activation Rep'!C:C),"")</f>
        <v/>
      </c>
      <c r="K513" s="17" t="str">
        <f t="array" ref="K513">XLOOKUP(A513,'Download of SFDC Activation Rep'!B:B,'Download of SFDC Activation Rep'!X:X)</f>
        <v>#N/A</v>
      </c>
      <c r="L513" s="32" t="str">
        <f t="array" ref="L513">xlookup(A513,'Download of SFDC Activation Rep'!B:B,'Download of SFDC Activation Rep'!Z:Z)</f>
        <v>#N/A</v>
      </c>
    </row>
    <row r="514">
      <c r="B514" s="14"/>
      <c r="C514" s="14"/>
      <c r="D514" s="14"/>
      <c r="E514" s="14"/>
      <c r="F514" s="13" t="str">
        <f t="array" ref="F514">iferror(XLOOKUP(A514,'Download of SFDC Activation Rep'!B:B,'Download of SFDC Activation Rep'!H:H),"")</f>
        <v/>
      </c>
      <c r="G514" s="13" t="str">
        <f t="array" ref="G514">iferror(xlookup(A514,'Download of SFDC Activation Rep'!B:B,'Download of SFDC Activation Rep'!L:L),"")</f>
        <v/>
      </c>
      <c r="H514" s="17" t="str">
        <f t="shared" si="1"/>
        <v>Not Active</v>
      </c>
      <c r="I514" s="17" t="str">
        <f t="array" ref="I514">XLOOKUP(A514,'Download of SFDC Activation Rep'!B:B,'Download of SFDC Activation Rep'!T:T)</f>
        <v>#N/A</v>
      </c>
      <c r="J514" s="17" t="str">
        <f t="array" ref="J514">iferror(XLOOKUP(A514,'Download of SFDC Activation Rep'!B:B,'Download of SFDC Activation Rep'!C:C),"")</f>
        <v/>
      </c>
      <c r="K514" s="17" t="str">
        <f t="array" ref="K514">XLOOKUP(A514,'Download of SFDC Activation Rep'!B:B,'Download of SFDC Activation Rep'!X:X)</f>
        <v>#N/A</v>
      </c>
      <c r="L514" s="32" t="str">
        <f t="array" ref="L514">xlookup(A514,'Download of SFDC Activation Rep'!B:B,'Download of SFDC Activation Rep'!Z:Z)</f>
        <v>#N/A</v>
      </c>
    </row>
    <row r="515">
      <c r="B515" s="14"/>
      <c r="C515" s="14"/>
      <c r="D515" s="14"/>
      <c r="E515" s="14"/>
      <c r="F515" s="13" t="str">
        <f t="array" ref="F515">iferror(XLOOKUP(A515,'Download of SFDC Activation Rep'!B:B,'Download of SFDC Activation Rep'!H:H),"")</f>
        <v/>
      </c>
      <c r="G515" s="13" t="str">
        <f t="array" ref="G515">iferror(xlookup(A515,'Download of SFDC Activation Rep'!B:B,'Download of SFDC Activation Rep'!L:L),"")</f>
        <v/>
      </c>
      <c r="H515" s="17" t="str">
        <f t="shared" si="1"/>
        <v>Not Active</v>
      </c>
      <c r="I515" s="17" t="str">
        <f t="array" ref="I515">XLOOKUP(A515,'Download of SFDC Activation Rep'!B:B,'Download of SFDC Activation Rep'!T:T)</f>
        <v>#N/A</v>
      </c>
      <c r="J515" s="17" t="str">
        <f t="array" ref="J515">iferror(XLOOKUP(A515,'Download of SFDC Activation Rep'!B:B,'Download of SFDC Activation Rep'!C:C),"")</f>
        <v/>
      </c>
      <c r="K515" s="17" t="str">
        <f t="array" ref="K515">XLOOKUP(A515,'Download of SFDC Activation Rep'!B:B,'Download of SFDC Activation Rep'!X:X)</f>
        <v>#N/A</v>
      </c>
      <c r="L515" s="32" t="str">
        <f t="array" ref="L515">xlookup(A515,'Download of SFDC Activation Rep'!B:B,'Download of SFDC Activation Rep'!Z:Z)</f>
        <v>#N/A</v>
      </c>
    </row>
    <row r="516">
      <c r="B516" s="14"/>
      <c r="C516" s="14"/>
      <c r="D516" s="14"/>
      <c r="E516" s="14"/>
      <c r="F516" s="13" t="str">
        <f t="array" ref="F516">iferror(XLOOKUP(A516,'Download of SFDC Activation Rep'!B:B,'Download of SFDC Activation Rep'!H:H),"")</f>
        <v/>
      </c>
      <c r="G516" s="13" t="str">
        <f t="array" ref="G516">iferror(xlookup(A516,'Download of SFDC Activation Rep'!B:B,'Download of SFDC Activation Rep'!L:L),"")</f>
        <v/>
      </c>
      <c r="H516" s="17" t="str">
        <f t="shared" si="1"/>
        <v>Not Active</v>
      </c>
      <c r="I516" s="17" t="str">
        <f t="array" ref="I516">XLOOKUP(A516,'Download of SFDC Activation Rep'!B:B,'Download of SFDC Activation Rep'!T:T)</f>
        <v>#N/A</v>
      </c>
      <c r="J516" s="17" t="str">
        <f t="array" ref="J516">iferror(XLOOKUP(A516,'Download of SFDC Activation Rep'!B:B,'Download of SFDC Activation Rep'!C:C),"")</f>
        <v/>
      </c>
      <c r="K516" s="17" t="str">
        <f t="array" ref="K516">XLOOKUP(A516,'Download of SFDC Activation Rep'!B:B,'Download of SFDC Activation Rep'!X:X)</f>
        <v>#N/A</v>
      </c>
      <c r="L516" s="32" t="str">
        <f t="array" ref="L516">xlookup(A516,'Download of SFDC Activation Rep'!B:B,'Download of SFDC Activation Rep'!Z:Z)</f>
        <v>#N/A</v>
      </c>
    </row>
    <row r="517">
      <c r="B517" s="14"/>
      <c r="C517" s="14"/>
      <c r="D517" s="14"/>
      <c r="E517" s="14"/>
      <c r="F517" s="13" t="str">
        <f t="array" ref="F517">iferror(XLOOKUP(A517,'Download of SFDC Activation Rep'!B:B,'Download of SFDC Activation Rep'!H:H),"")</f>
        <v/>
      </c>
      <c r="G517" s="13" t="str">
        <f t="array" ref="G517">iferror(xlookup(A517,'Download of SFDC Activation Rep'!B:B,'Download of SFDC Activation Rep'!L:L),"")</f>
        <v/>
      </c>
      <c r="H517" s="17" t="str">
        <f t="shared" si="1"/>
        <v>Not Active</v>
      </c>
      <c r="I517" s="17" t="str">
        <f t="array" ref="I517">XLOOKUP(A517,'Download of SFDC Activation Rep'!B:B,'Download of SFDC Activation Rep'!T:T)</f>
        <v>#N/A</v>
      </c>
      <c r="J517" s="17" t="str">
        <f t="array" ref="J517">iferror(XLOOKUP(A517,'Download of SFDC Activation Rep'!B:B,'Download of SFDC Activation Rep'!C:C),"")</f>
        <v/>
      </c>
      <c r="K517" s="17" t="str">
        <f t="array" ref="K517">XLOOKUP(A517,'Download of SFDC Activation Rep'!B:B,'Download of SFDC Activation Rep'!X:X)</f>
        <v>#N/A</v>
      </c>
      <c r="L517" s="32" t="str">
        <f t="array" ref="L517">xlookup(A517,'Download of SFDC Activation Rep'!B:B,'Download of SFDC Activation Rep'!Z:Z)</f>
        <v>#N/A</v>
      </c>
    </row>
    <row r="518">
      <c r="B518" s="14"/>
      <c r="C518" s="14"/>
      <c r="D518" s="14"/>
      <c r="E518" s="14"/>
      <c r="F518" s="13" t="str">
        <f t="array" ref="F518">iferror(XLOOKUP(A518,'Download of SFDC Activation Rep'!B:B,'Download of SFDC Activation Rep'!H:H),"")</f>
        <v/>
      </c>
      <c r="G518" s="13" t="str">
        <f t="array" ref="G518">iferror(xlookup(A518,'Download of SFDC Activation Rep'!B:B,'Download of SFDC Activation Rep'!L:L),"")</f>
        <v/>
      </c>
      <c r="H518" s="17" t="str">
        <f t="shared" si="1"/>
        <v>Not Active</v>
      </c>
      <c r="I518" s="17" t="str">
        <f t="array" ref="I518">XLOOKUP(A518,'Download of SFDC Activation Rep'!B:B,'Download of SFDC Activation Rep'!T:T)</f>
        <v>#N/A</v>
      </c>
      <c r="J518" s="17" t="str">
        <f t="array" ref="J518">iferror(XLOOKUP(A518,'Download of SFDC Activation Rep'!B:B,'Download of SFDC Activation Rep'!C:C),"")</f>
        <v/>
      </c>
      <c r="K518" s="17" t="str">
        <f t="array" ref="K518">XLOOKUP(A518,'Download of SFDC Activation Rep'!B:B,'Download of SFDC Activation Rep'!X:X)</f>
        <v>#N/A</v>
      </c>
      <c r="L518" s="32" t="str">
        <f t="array" ref="L518">xlookup(A518,'Download of SFDC Activation Rep'!B:B,'Download of SFDC Activation Rep'!Z:Z)</f>
        <v>#N/A</v>
      </c>
    </row>
    <row r="519">
      <c r="B519" s="14"/>
      <c r="C519" s="14"/>
      <c r="D519" s="14"/>
      <c r="E519" s="14"/>
      <c r="F519" s="13" t="str">
        <f t="array" ref="F519">iferror(XLOOKUP(A519,'Download of SFDC Activation Rep'!B:B,'Download of SFDC Activation Rep'!H:H),"")</f>
        <v/>
      </c>
      <c r="G519" s="13" t="str">
        <f t="array" ref="G519">iferror(xlookup(A519,'Download of SFDC Activation Rep'!B:B,'Download of SFDC Activation Rep'!L:L),"")</f>
        <v/>
      </c>
      <c r="H519" s="17" t="str">
        <f t="shared" si="1"/>
        <v>Not Active</v>
      </c>
      <c r="I519" s="17" t="str">
        <f t="array" ref="I519">XLOOKUP(A519,'Download of SFDC Activation Rep'!B:B,'Download of SFDC Activation Rep'!T:T)</f>
        <v>#N/A</v>
      </c>
      <c r="J519" s="17" t="str">
        <f t="array" ref="J519">iferror(XLOOKUP(A519,'Download of SFDC Activation Rep'!B:B,'Download of SFDC Activation Rep'!C:C),"")</f>
        <v/>
      </c>
      <c r="K519" s="17" t="str">
        <f t="array" ref="K519">XLOOKUP(A519,'Download of SFDC Activation Rep'!B:B,'Download of SFDC Activation Rep'!X:X)</f>
        <v>#N/A</v>
      </c>
      <c r="L519" s="32" t="str">
        <f t="array" ref="L519">xlookup(A519,'Download of SFDC Activation Rep'!B:B,'Download of SFDC Activation Rep'!Z:Z)</f>
        <v>#N/A</v>
      </c>
    </row>
    <row r="520">
      <c r="B520" s="14"/>
      <c r="C520" s="14"/>
      <c r="D520" s="14"/>
      <c r="E520" s="14"/>
      <c r="F520" s="13" t="str">
        <f t="array" ref="F520">iferror(XLOOKUP(A520,'Download of SFDC Activation Rep'!B:B,'Download of SFDC Activation Rep'!H:H),"")</f>
        <v/>
      </c>
      <c r="G520" s="13" t="str">
        <f t="array" ref="G520">iferror(xlookup(A520,'Download of SFDC Activation Rep'!B:B,'Download of SFDC Activation Rep'!L:L),"")</f>
        <v/>
      </c>
      <c r="H520" s="17" t="str">
        <f t="shared" si="1"/>
        <v>Not Active</v>
      </c>
      <c r="I520" s="17" t="str">
        <f t="array" ref="I520">XLOOKUP(A520,'Download of SFDC Activation Rep'!B:B,'Download of SFDC Activation Rep'!T:T)</f>
        <v>#N/A</v>
      </c>
      <c r="J520" s="17" t="str">
        <f t="array" ref="J520">iferror(XLOOKUP(A520,'Download of SFDC Activation Rep'!B:B,'Download of SFDC Activation Rep'!C:C),"")</f>
        <v/>
      </c>
      <c r="K520" s="17" t="str">
        <f t="array" ref="K520">XLOOKUP(A520,'Download of SFDC Activation Rep'!B:B,'Download of SFDC Activation Rep'!X:X)</f>
        <v>#N/A</v>
      </c>
      <c r="L520" s="32" t="str">
        <f t="array" ref="L520">xlookup(A520,'Download of SFDC Activation Rep'!B:B,'Download of SFDC Activation Rep'!Z:Z)</f>
        <v>#N/A</v>
      </c>
    </row>
    <row r="521">
      <c r="B521" s="14"/>
      <c r="C521" s="14"/>
      <c r="D521" s="14"/>
      <c r="E521" s="14"/>
      <c r="F521" s="13" t="str">
        <f t="array" ref="F521">iferror(XLOOKUP(A521,'Download of SFDC Activation Rep'!B:B,'Download of SFDC Activation Rep'!H:H),"")</f>
        <v/>
      </c>
      <c r="G521" s="13" t="str">
        <f t="array" ref="G521">iferror(xlookup(A521,'Download of SFDC Activation Rep'!B:B,'Download of SFDC Activation Rep'!L:L),"")</f>
        <v/>
      </c>
      <c r="H521" s="17" t="str">
        <f t="shared" si="1"/>
        <v>Not Active</v>
      </c>
      <c r="I521" s="17" t="str">
        <f t="array" ref="I521">XLOOKUP(A521,'Download of SFDC Activation Rep'!B:B,'Download of SFDC Activation Rep'!T:T)</f>
        <v>#N/A</v>
      </c>
      <c r="J521" s="17" t="str">
        <f t="array" ref="J521">iferror(XLOOKUP(A521,'Download of SFDC Activation Rep'!B:B,'Download of SFDC Activation Rep'!C:C),"")</f>
        <v/>
      </c>
      <c r="K521" s="17" t="str">
        <f t="array" ref="K521">XLOOKUP(A521,'Download of SFDC Activation Rep'!B:B,'Download of SFDC Activation Rep'!X:X)</f>
        <v>#N/A</v>
      </c>
      <c r="L521" s="32" t="str">
        <f t="array" ref="L521">xlookup(A521,'Download of SFDC Activation Rep'!B:B,'Download of SFDC Activation Rep'!Z:Z)</f>
        <v>#N/A</v>
      </c>
    </row>
    <row r="522">
      <c r="B522" s="14"/>
      <c r="C522" s="14"/>
      <c r="D522" s="14"/>
      <c r="E522" s="14"/>
      <c r="F522" s="13" t="str">
        <f t="array" ref="F522">iferror(XLOOKUP(A522,'Download of SFDC Activation Rep'!B:B,'Download of SFDC Activation Rep'!H:H),"")</f>
        <v/>
      </c>
      <c r="G522" s="13" t="str">
        <f t="array" ref="G522">iferror(xlookup(A522,'Download of SFDC Activation Rep'!B:B,'Download of SFDC Activation Rep'!L:L),"")</f>
        <v/>
      </c>
      <c r="H522" s="17" t="str">
        <f t="shared" si="1"/>
        <v>Not Active</v>
      </c>
      <c r="I522" s="17" t="str">
        <f t="array" ref="I522">XLOOKUP(A522,'Download of SFDC Activation Rep'!B:B,'Download of SFDC Activation Rep'!T:T)</f>
        <v>#N/A</v>
      </c>
      <c r="J522" s="17" t="str">
        <f t="array" ref="J522">iferror(XLOOKUP(A522,'Download of SFDC Activation Rep'!B:B,'Download of SFDC Activation Rep'!C:C),"")</f>
        <v/>
      </c>
      <c r="K522" s="17" t="str">
        <f t="array" ref="K522">XLOOKUP(A522,'Download of SFDC Activation Rep'!B:B,'Download of SFDC Activation Rep'!X:X)</f>
        <v>#N/A</v>
      </c>
      <c r="L522" s="32" t="str">
        <f t="array" ref="L522">xlookup(A522,'Download of SFDC Activation Rep'!B:B,'Download of SFDC Activation Rep'!Z:Z)</f>
        <v>#N/A</v>
      </c>
    </row>
    <row r="523">
      <c r="B523" s="14"/>
      <c r="C523" s="14"/>
      <c r="D523" s="14"/>
      <c r="E523" s="14"/>
      <c r="F523" s="13" t="str">
        <f t="array" ref="F523">iferror(XLOOKUP(A523,'Download of SFDC Activation Rep'!B:B,'Download of SFDC Activation Rep'!H:H),"")</f>
        <v/>
      </c>
      <c r="G523" s="13" t="str">
        <f t="array" ref="G523">iferror(xlookup(A523,'Download of SFDC Activation Rep'!B:B,'Download of SFDC Activation Rep'!L:L),"")</f>
        <v/>
      </c>
      <c r="H523" s="17" t="str">
        <f t="shared" si="1"/>
        <v>Not Active</v>
      </c>
      <c r="I523" s="17" t="str">
        <f t="array" ref="I523">XLOOKUP(A523,'Download of SFDC Activation Rep'!B:B,'Download of SFDC Activation Rep'!T:T)</f>
        <v>#N/A</v>
      </c>
      <c r="J523" s="17" t="str">
        <f t="array" ref="J523">iferror(XLOOKUP(A523,'Download of SFDC Activation Rep'!B:B,'Download of SFDC Activation Rep'!C:C),"")</f>
        <v/>
      </c>
      <c r="K523" s="17" t="str">
        <f t="array" ref="K523">XLOOKUP(A523,'Download of SFDC Activation Rep'!B:B,'Download of SFDC Activation Rep'!X:X)</f>
        <v>#N/A</v>
      </c>
      <c r="L523" s="32" t="str">
        <f t="array" ref="L523">xlookup(A523,'Download of SFDC Activation Rep'!B:B,'Download of SFDC Activation Rep'!Z:Z)</f>
        <v>#N/A</v>
      </c>
    </row>
    <row r="524">
      <c r="B524" s="14"/>
      <c r="C524" s="14"/>
      <c r="D524" s="14"/>
      <c r="E524" s="14"/>
      <c r="F524" s="13" t="str">
        <f t="array" ref="F524">iferror(XLOOKUP(A524,'Download of SFDC Activation Rep'!B:B,'Download of SFDC Activation Rep'!H:H),"")</f>
        <v/>
      </c>
      <c r="G524" s="13" t="str">
        <f t="array" ref="G524">iferror(xlookup(A524,'Download of SFDC Activation Rep'!B:B,'Download of SFDC Activation Rep'!L:L),"")</f>
        <v/>
      </c>
      <c r="H524" s="17" t="str">
        <f t="shared" si="1"/>
        <v>Not Active</v>
      </c>
      <c r="I524" s="17" t="str">
        <f t="array" ref="I524">XLOOKUP(A524,'Download of SFDC Activation Rep'!B:B,'Download of SFDC Activation Rep'!T:T)</f>
        <v>#N/A</v>
      </c>
      <c r="J524" s="17" t="str">
        <f t="array" ref="J524">iferror(XLOOKUP(A524,'Download of SFDC Activation Rep'!B:B,'Download of SFDC Activation Rep'!C:C),"")</f>
        <v/>
      </c>
      <c r="K524" s="17" t="str">
        <f t="array" ref="K524">XLOOKUP(A524,'Download of SFDC Activation Rep'!B:B,'Download of SFDC Activation Rep'!X:X)</f>
        <v>#N/A</v>
      </c>
      <c r="L524" s="32" t="str">
        <f t="array" ref="L524">xlookup(A524,'Download of SFDC Activation Rep'!B:B,'Download of SFDC Activation Rep'!Z:Z)</f>
        <v>#N/A</v>
      </c>
    </row>
    <row r="525">
      <c r="B525" s="14"/>
      <c r="C525" s="14"/>
      <c r="D525" s="14"/>
      <c r="E525" s="14"/>
      <c r="F525" s="13" t="str">
        <f t="array" ref="F525">iferror(XLOOKUP(A525,'Download of SFDC Activation Rep'!B:B,'Download of SFDC Activation Rep'!H:H),"")</f>
        <v/>
      </c>
      <c r="G525" s="13" t="str">
        <f t="array" ref="G525">iferror(xlookup(A525,'Download of SFDC Activation Rep'!B:B,'Download of SFDC Activation Rep'!L:L),"")</f>
        <v/>
      </c>
      <c r="H525" s="17" t="str">
        <f t="shared" si="1"/>
        <v>Not Active</v>
      </c>
      <c r="I525" s="17" t="str">
        <f t="array" ref="I525">XLOOKUP(A525,'Download of SFDC Activation Rep'!B:B,'Download of SFDC Activation Rep'!T:T)</f>
        <v>#N/A</v>
      </c>
      <c r="J525" s="17" t="str">
        <f t="array" ref="J525">iferror(XLOOKUP(A525,'Download of SFDC Activation Rep'!B:B,'Download of SFDC Activation Rep'!C:C),"")</f>
        <v/>
      </c>
      <c r="K525" s="17" t="str">
        <f t="array" ref="K525">XLOOKUP(A525,'Download of SFDC Activation Rep'!B:B,'Download of SFDC Activation Rep'!X:X)</f>
        <v>#N/A</v>
      </c>
      <c r="L525" s="32" t="str">
        <f t="array" ref="L525">xlookup(A525,'Download of SFDC Activation Rep'!B:B,'Download of SFDC Activation Rep'!Z:Z)</f>
        <v>#N/A</v>
      </c>
    </row>
    <row r="526">
      <c r="B526" s="14"/>
      <c r="C526" s="14"/>
      <c r="D526" s="14"/>
      <c r="E526" s="14"/>
      <c r="F526" s="13" t="str">
        <f t="array" ref="F526">iferror(XLOOKUP(A526,'Download of SFDC Activation Rep'!B:B,'Download of SFDC Activation Rep'!H:H),"")</f>
        <v/>
      </c>
      <c r="G526" s="13" t="str">
        <f t="array" ref="G526">iferror(xlookup(A526,'Download of SFDC Activation Rep'!B:B,'Download of SFDC Activation Rep'!L:L),"")</f>
        <v/>
      </c>
      <c r="H526" s="17" t="str">
        <f t="shared" si="1"/>
        <v>Not Active</v>
      </c>
      <c r="I526" s="17" t="str">
        <f t="array" ref="I526">XLOOKUP(A526,'Download of SFDC Activation Rep'!B:B,'Download of SFDC Activation Rep'!T:T)</f>
        <v>#N/A</v>
      </c>
      <c r="J526" s="17" t="str">
        <f t="array" ref="J526">iferror(XLOOKUP(A526,'Download of SFDC Activation Rep'!B:B,'Download of SFDC Activation Rep'!C:C),"")</f>
        <v/>
      </c>
      <c r="K526" s="17" t="str">
        <f t="array" ref="K526">XLOOKUP(A526,'Download of SFDC Activation Rep'!B:B,'Download of SFDC Activation Rep'!X:X)</f>
        <v>#N/A</v>
      </c>
      <c r="L526" s="32" t="str">
        <f t="array" ref="L526">xlookup(A526,'Download of SFDC Activation Rep'!B:B,'Download of SFDC Activation Rep'!Z:Z)</f>
        <v>#N/A</v>
      </c>
    </row>
    <row r="527">
      <c r="B527" s="14"/>
      <c r="C527" s="14"/>
      <c r="D527" s="14"/>
      <c r="E527" s="14"/>
      <c r="F527" s="13" t="str">
        <f t="array" ref="F527">iferror(XLOOKUP(A527,'Download of SFDC Activation Rep'!B:B,'Download of SFDC Activation Rep'!H:H),"")</f>
        <v/>
      </c>
      <c r="G527" s="13" t="str">
        <f t="array" ref="G527">iferror(xlookup(A527,'Download of SFDC Activation Rep'!B:B,'Download of SFDC Activation Rep'!L:L),"")</f>
        <v/>
      </c>
      <c r="H527" s="17" t="str">
        <f t="shared" si="1"/>
        <v>Not Active</v>
      </c>
      <c r="I527" s="17" t="str">
        <f t="array" ref="I527">XLOOKUP(A527,'Download of SFDC Activation Rep'!B:B,'Download of SFDC Activation Rep'!T:T)</f>
        <v>#N/A</v>
      </c>
      <c r="J527" s="17" t="str">
        <f t="array" ref="J527">iferror(XLOOKUP(A527,'Download of SFDC Activation Rep'!B:B,'Download of SFDC Activation Rep'!C:C),"")</f>
        <v/>
      </c>
      <c r="K527" s="17" t="str">
        <f t="array" ref="K527">XLOOKUP(A527,'Download of SFDC Activation Rep'!B:B,'Download of SFDC Activation Rep'!X:X)</f>
        <v>#N/A</v>
      </c>
      <c r="L527" s="32" t="str">
        <f t="array" ref="L527">xlookup(A527,'Download of SFDC Activation Rep'!B:B,'Download of SFDC Activation Rep'!Z:Z)</f>
        <v>#N/A</v>
      </c>
    </row>
    <row r="528">
      <c r="B528" s="14"/>
      <c r="C528" s="14"/>
      <c r="D528" s="14"/>
      <c r="E528" s="14"/>
      <c r="F528" s="13" t="str">
        <f t="array" ref="F528">iferror(XLOOKUP(A528,'Download of SFDC Activation Rep'!B:B,'Download of SFDC Activation Rep'!H:H),"")</f>
        <v/>
      </c>
      <c r="G528" s="13" t="str">
        <f t="array" ref="G528">iferror(xlookup(A528,'Download of SFDC Activation Rep'!B:B,'Download of SFDC Activation Rep'!L:L),"")</f>
        <v/>
      </c>
      <c r="H528" s="17" t="str">
        <f t="shared" si="1"/>
        <v>Not Active</v>
      </c>
      <c r="I528" s="17" t="str">
        <f t="array" ref="I528">XLOOKUP(A528,'Download of SFDC Activation Rep'!B:B,'Download of SFDC Activation Rep'!T:T)</f>
        <v>#N/A</v>
      </c>
      <c r="J528" s="17" t="str">
        <f t="array" ref="J528">iferror(XLOOKUP(A528,'Download of SFDC Activation Rep'!B:B,'Download of SFDC Activation Rep'!C:C),"")</f>
        <v/>
      </c>
      <c r="K528" s="17" t="str">
        <f t="array" ref="K528">XLOOKUP(A528,'Download of SFDC Activation Rep'!B:B,'Download of SFDC Activation Rep'!X:X)</f>
        <v>#N/A</v>
      </c>
      <c r="L528" s="32" t="str">
        <f t="array" ref="L528">xlookup(A528,'Download of SFDC Activation Rep'!B:B,'Download of SFDC Activation Rep'!Z:Z)</f>
        <v>#N/A</v>
      </c>
    </row>
    <row r="529">
      <c r="B529" s="14"/>
      <c r="C529" s="14"/>
      <c r="D529" s="14"/>
      <c r="E529" s="14"/>
      <c r="F529" s="13" t="str">
        <f t="array" ref="F529">iferror(XLOOKUP(A529,'Download of SFDC Activation Rep'!B:B,'Download of SFDC Activation Rep'!H:H),"")</f>
        <v/>
      </c>
      <c r="G529" s="13" t="str">
        <f t="array" ref="G529">iferror(xlookup(A529,'Download of SFDC Activation Rep'!B:B,'Download of SFDC Activation Rep'!L:L),"")</f>
        <v/>
      </c>
      <c r="H529" s="17" t="str">
        <f t="shared" si="1"/>
        <v>Not Active</v>
      </c>
      <c r="I529" s="17" t="str">
        <f t="array" ref="I529">XLOOKUP(A529,'Download of SFDC Activation Rep'!B:B,'Download of SFDC Activation Rep'!T:T)</f>
        <v>#N/A</v>
      </c>
      <c r="J529" s="17" t="str">
        <f t="array" ref="J529">iferror(XLOOKUP(A529,'Download of SFDC Activation Rep'!B:B,'Download of SFDC Activation Rep'!C:C),"")</f>
        <v/>
      </c>
      <c r="K529" s="17" t="str">
        <f t="array" ref="K529">XLOOKUP(A529,'Download of SFDC Activation Rep'!B:B,'Download of SFDC Activation Rep'!X:X)</f>
        <v>#N/A</v>
      </c>
      <c r="L529" s="32" t="str">
        <f t="array" ref="L529">xlookup(A529,'Download of SFDC Activation Rep'!B:B,'Download of SFDC Activation Rep'!Z:Z)</f>
        <v>#N/A</v>
      </c>
    </row>
    <row r="530">
      <c r="B530" s="14"/>
      <c r="C530" s="14"/>
      <c r="D530" s="14"/>
      <c r="E530" s="14"/>
      <c r="F530" s="13" t="str">
        <f t="array" ref="F530">iferror(XLOOKUP(A530,'Download of SFDC Activation Rep'!B:B,'Download of SFDC Activation Rep'!H:H),"")</f>
        <v/>
      </c>
      <c r="G530" s="13" t="str">
        <f t="array" ref="G530">iferror(xlookup(A530,'Download of SFDC Activation Rep'!B:B,'Download of SFDC Activation Rep'!L:L),"")</f>
        <v/>
      </c>
      <c r="H530" s="17" t="str">
        <f t="shared" si="1"/>
        <v>Not Active</v>
      </c>
      <c r="I530" s="17" t="str">
        <f t="array" ref="I530">XLOOKUP(A530,'Download of SFDC Activation Rep'!B:B,'Download of SFDC Activation Rep'!T:T)</f>
        <v>#N/A</v>
      </c>
      <c r="J530" s="17" t="str">
        <f t="array" ref="J530">iferror(XLOOKUP(A530,'Download of SFDC Activation Rep'!B:B,'Download of SFDC Activation Rep'!C:C),"")</f>
        <v/>
      </c>
      <c r="K530" s="17" t="str">
        <f t="array" ref="K530">XLOOKUP(A530,'Download of SFDC Activation Rep'!B:B,'Download of SFDC Activation Rep'!X:X)</f>
        <v>#N/A</v>
      </c>
      <c r="L530" s="32" t="str">
        <f t="array" ref="L530">xlookup(A530,'Download of SFDC Activation Rep'!B:B,'Download of SFDC Activation Rep'!Z:Z)</f>
        <v>#N/A</v>
      </c>
    </row>
    <row r="531">
      <c r="B531" s="14"/>
      <c r="C531" s="14"/>
      <c r="D531" s="14"/>
      <c r="E531" s="14"/>
      <c r="F531" s="13" t="str">
        <f t="array" ref="F531">iferror(XLOOKUP(A531,'Download of SFDC Activation Rep'!B:B,'Download of SFDC Activation Rep'!H:H),"")</f>
        <v/>
      </c>
      <c r="G531" s="13" t="str">
        <f t="array" ref="G531">iferror(xlookup(A531,'Download of SFDC Activation Rep'!B:B,'Download of SFDC Activation Rep'!L:L),"")</f>
        <v/>
      </c>
      <c r="H531" s="17" t="str">
        <f t="shared" si="1"/>
        <v>Not Active</v>
      </c>
      <c r="I531" s="17" t="str">
        <f t="array" ref="I531">XLOOKUP(A531,'Download of SFDC Activation Rep'!B:B,'Download of SFDC Activation Rep'!T:T)</f>
        <v>#N/A</v>
      </c>
      <c r="J531" s="17" t="str">
        <f t="array" ref="J531">iferror(XLOOKUP(A531,'Download of SFDC Activation Rep'!B:B,'Download of SFDC Activation Rep'!C:C),"")</f>
        <v/>
      </c>
      <c r="K531" s="17" t="str">
        <f t="array" ref="K531">XLOOKUP(A531,'Download of SFDC Activation Rep'!B:B,'Download of SFDC Activation Rep'!X:X)</f>
        <v>#N/A</v>
      </c>
      <c r="L531" s="32" t="str">
        <f t="array" ref="L531">xlookup(A531,'Download of SFDC Activation Rep'!B:B,'Download of SFDC Activation Rep'!Z:Z)</f>
        <v>#N/A</v>
      </c>
    </row>
    <row r="532">
      <c r="B532" s="14"/>
      <c r="C532" s="14"/>
      <c r="D532" s="14"/>
      <c r="E532" s="14"/>
      <c r="F532" s="13" t="str">
        <f t="array" ref="F532">iferror(XLOOKUP(A532,'Download of SFDC Activation Rep'!B:B,'Download of SFDC Activation Rep'!H:H),"")</f>
        <v/>
      </c>
      <c r="G532" s="13" t="str">
        <f t="array" ref="G532">iferror(xlookup(A532,'Download of SFDC Activation Rep'!B:B,'Download of SFDC Activation Rep'!L:L),"")</f>
        <v/>
      </c>
      <c r="H532" s="17" t="str">
        <f t="shared" si="1"/>
        <v>Not Active</v>
      </c>
      <c r="I532" s="17" t="str">
        <f t="array" ref="I532">XLOOKUP(A532,'Download of SFDC Activation Rep'!B:B,'Download of SFDC Activation Rep'!T:T)</f>
        <v>#N/A</v>
      </c>
      <c r="J532" s="17" t="str">
        <f t="array" ref="J532">iferror(XLOOKUP(A532,'Download of SFDC Activation Rep'!B:B,'Download of SFDC Activation Rep'!C:C),"")</f>
        <v/>
      </c>
      <c r="K532" s="17" t="str">
        <f t="array" ref="K532">XLOOKUP(A532,'Download of SFDC Activation Rep'!B:B,'Download of SFDC Activation Rep'!X:X)</f>
        <v>#N/A</v>
      </c>
      <c r="L532" s="32" t="str">
        <f t="array" ref="L532">xlookup(A532,'Download of SFDC Activation Rep'!B:B,'Download of SFDC Activation Rep'!Z:Z)</f>
        <v>#N/A</v>
      </c>
    </row>
    <row r="533">
      <c r="B533" s="14"/>
      <c r="C533" s="14"/>
      <c r="D533" s="14"/>
      <c r="E533" s="14"/>
      <c r="F533" s="13" t="str">
        <f t="array" ref="F533">iferror(XLOOKUP(A533,'Download of SFDC Activation Rep'!B:B,'Download of SFDC Activation Rep'!H:H),"")</f>
        <v/>
      </c>
      <c r="G533" s="13" t="str">
        <f t="array" ref="G533">iferror(xlookup(A533,'Download of SFDC Activation Rep'!B:B,'Download of SFDC Activation Rep'!L:L),"")</f>
        <v/>
      </c>
      <c r="H533" s="17" t="str">
        <f t="shared" si="1"/>
        <v>Not Active</v>
      </c>
      <c r="I533" s="17" t="str">
        <f t="array" ref="I533">XLOOKUP(A533,'Download of SFDC Activation Rep'!B:B,'Download of SFDC Activation Rep'!T:T)</f>
        <v>#N/A</v>
      </c>
      <c r="J533" s="17" t="str">
        <f t="array" ref="J533">iferror(XLOOKUP(A533,'Download of SFDC Activation Rep'!B:B,'Download of SFDC Activation Rep'!C:C),"")</f>
        <v/>
      </c>
      <c r="K533" s="17" t="str">
        <f t="array" ref="K533">XLOOKUP(A533,'Download of SFDC Activation Rep'!B:B,'Download of SFDC Activation Rep'!X:X)</f>
        <v>#N/A</v>
      </c>
      <c r="L533" s="32" t="str">
        <f t="array" ref="L533">xlookup(A533,'Download of SFDC Activation Rep'!B:B,'Download of SFDC Activation Rep'!Z:Z)</f>
        <v>#N/A</v>
      </c>
    </row>
    <row r="534">
      <c r="B534" s="14"/>
      <c r="C534" s="14"/>
      <c r="D534" s="14"/>
      <c r="E534" s="14"/>
      <c r="F534" s="13" t="str">
        <f t="array" ref="F534">iferror(XLOOKUP(A534,'Download of SFDC Activation Rep'!B:B,'Download of SFDC Activation Rep'!H:H),"")</f>
        <v/>
      </c>
      <c r="G534" s="13" t="str">
        <f t="array" ref="G534">iferror(xlookup(A534,'Download of SFDC Activation Rep'!B:B,'Download of SFDC Activation Rep'!L:L),"")</f>
        <v/>
      </c>
      <c r="H534" s="17" t="str">
        <f t="shared" si="1"/>
        <v>Not Active</v>
      </c>
      <c r="I534" s="17" t="str">
        <f t="array" ref="I534">XLOOKUP(A534,'Download of SFDC Activation Rep'!B:B,'Download of SFDC Activation Rep'!T:T)</f>
        <v>#N/A</v>
      </c>
      <c r="J534" s="17" t="str">
        <f t="array" ref="J534">iferror(XLOOKUP(A534,'Download of SFDC Activation Rep'!B:B,'Download of SFDC Activation Rep'!C:C),"")</f>
        <v/>
      </c>
      <c r="K534" s="17" t="str">
        <f t="array" ref="K534">XLOOKUP(A534,'Download of SFDC Activation Rep'!B:B,'Download of SFDC Activation Rep'!X:X)</f>
        <v>#N/A</v>
      </c>
      <c r="L534" s="32" t="str">
        <f t="array" ref="L534">xlookup(A534,'Download of SFDC Activation Rep'!B:B,'Download of SFDC Activation Rep'!Z:Z)</f>
        <v>#N/A</v>
      </c>
    </row>
    <row r="535">
      <c r="B535" s="14"/>
      <c r="C535" s="14"/>
      <c r="D535" s="14"/>
      <c r="E535" s="14"/>
      <c r="F535" s="13" t="str">
        <f t="array" ref="F535">iferror(XLOOKUP(A535,'Download of SFDC Activation Rep'!B:B,'Download of SFDC Activation Rep'!H:H),"")</f>
        <v/>
      </c>
      <c r="G535" s="13" t="str">
        <f t="array" ref="G535">iferror(xlookup(A535,'Download of SFDC Activation Rep'!B:B,'Download of SFDC Activation Rep'!L:L),"")</f>
        <v/>
      </c>
      <c r="H535" s="17" t="str">
        <f t="shared" si="1"/>
        <v>Not Active</v>
      </c>
      <c r="I535" s="17" t="str">
        <f t="array" ref="I535">XLOOKUP(A535,'Download of SFDC Activation Rep'!B:B,'Download of SFDC Activation Rep'!T:T)</f>
        <v>#N/A</v>
      </c>
      <c r="J535" s="17" t="str">
        <f t="array" ref="J535">iferror(XLOOKUP(A535,'Download of SFDC Activation Rep'!B:B,'Download of SFDC Activation Rep'!C:C),"")</f>
        <v/>
      </c>
      <c r="K535" s="17" t="str">
        <f t="array" ref="K535">XLOOKUP(A535,'Download of SFDC Activation Rep'!B:B,'Download of SFDC Activation Rep'!X:X)</f>
        <v>#N/A</v>
      </c>
      <c r="L535" s="32" t="str">
        <f t="array" ref="L535">xlookup(A535,'Download of SFDC Activation Rep'!B:B,'Download of SFDC Activation Rep'!Z:Z)</f>
        <v>#N/A</v>
      </c>
    </row>
    <row r="536">
      <c r="B536" s="14"/>
      <c r="C536" s="14"/>
      <c r="D536" s="14"/>
      <c r="E536" s="14"/>
      <c r="F536" s="13" t="str">
        <f t="array" ref="F536">iferror(XLOOKUP(A536,'Download of SFDC Activation Rep'!B:B,'Download of SFDC Activation Rep'!H:H),"")</f>
        <v/>
      </c>
      <c r="G536" s="13" t="str">
        <f t="array" ref="G536">iferror(xlookup(A536,'Download of SFDC Activation Rep'!B:B,'Download of SFDC Activation Rep'!L:L),"")</f>
        <v/>
      </c>
      <c r="H536" s="17" t="str">
        <f t="shared" si="1"/>
        <v>Not Active</v>
      </c>
      <c r="I536" s="17" t="str">
        <f t="array" ref="I536">XLOOKUP(A536,'Download of SFDC Activation Rep'!B:B,'Download of SFDC Activation Rep'!T:T)</f>
        <v>#N/A</v>
      </c>
      <c r="J536" s="17" t="str">
        <f t="array" ref="J536">iferror(XLOOKUP(A536,'Download of SFDC Activation Rep'!B:B,'Download of SFDC Activation Rep'!C:C),"")</f>
        <v/>
      </c>
      <c r="K536" s="17" t="str">
        <f t="array" ref="K536">XLOOKUP(A536,'Download of SFDC Activation Rep'!B:B,'Download of SFDC Activation Rep'!X:X)</f>
        <v>#N/A</v>
      </c>
      <c r="L536" s="32" t="str">
        <f t="array" ref="L536">xlookup(A536,'Download of SFDC Activation Rep'!B:B,'Download of SFDC Activation Rep'!Z:Z)</f>
        <v>#N/A</v>
      </c>
    </row>
    <row r="537">
      <c r="B537" s="14"/>
      <c r="C537" s="14"/>
      <c r="D537" s="14"/>
      <c r="E537" s="14"/>
      <c r="F537" s="13" t="str">
        <f t="array" ref="F537">iferror(XLOOKUP(A537,'Download of SFDC Activation Rep'!B:B,'Download of SFDC Activation Rep'!H:H),"")</f>
        <v/>
      </c>
      <c r="G537" s="13" t="str">
        <f t="array" ref="G537">iferror(xlookup(A537,'Download of SFDC Activation Rep'!B:B,'Download of SFDC Activation Rep'!L:L),"")</f>
        <v/>
      </c>
      <c r="H537" s="17" t="str">
        <f t="shared" si="1"/>
        <v>Not Active</v>
      </c>
      <c r="I537" s="17" t="str">
        <f t="array" ref="I537">XLOOKUP(A537,'Download of SFDC Activation Rep'!B:B,'Download of SFDC Activation Rep'!T:T)</f>
        <v>#N/A</v>
      </c>
      <c r="J537" s="17" t="str">
        <f t="array" ref="J537">iferror(XLOOKUP(A537,'Download of SFDC Activation Rep'!B:B,'Download of SFDC Activation Rep'!C:C),"")</f>
        <v/>
      </c>
      <c r="K537" s="17" t="str">
        <f t="array" ref="K537">XLOOKUP(A537,'Download of SFDC Activation Rep'!B:B,'Download of SFDC Activation Rep'!X:X)</f>
        <v>#N/A</v>
      </c>
      <c r="L537" s="32" t="str">
        <f t="array" ref="L537">xlookup(A537,'Download of SFDC Activation Rep'!B:B,'Download of SFDC Activation Rep'!Z:Z)</f>
        <v>#N/A</v>
      </c>
    </row>
    <row r="538">
      <c r="B538" s="14"/>
      <c r="C538" s="14"/>
      <c r="D538" s="14"/>
      <c r="E538" s="14"/>
      <c r="F538" s="13" t="str">
        <f t="array" ref="F538">iferror(XLOOKUP(A538,'Download of SFDC Activation Rep'!B:B,'Download of SFDC Activation Rep'!H:H),"")</f>
        <v/>
      </c>
      <c r="G538" s="13" t="str">
        <f t="array" ref="G538">iferror(xlookup(A538,'Download of SFDC Activation Rep'!B:B,'Download of SFDC Activation Rep'!L:L),"")</f>
        <v/>
      </c>
      <c r="H538" s="17" t="str">
        <f t="shared" si="1"/>
        <v>Not Active</v>
      </c>
      <c r="I538" s="17" t="str">
        <f t="array" ref="I538">XLOOKUP(A538,'Download of SFDC Activation Rep'!B:B,'Download of SFDC Activation Rep'!T:T)</f>
        <v>#N/A</v>
      </c>
      <c r="J538" s="17" t="str">
        <f t="array" ref="J538">iferror(XLOOKUP(A538,'Download of SFDC Activation Rep'!B:B,'Download of SFDC Activation Rep'!C:C),"")</f>
        <v/>
      </c>
      <c r="K538" s="17" t="str">
        <f t="array" ref="K538">XLOOKUP(A538,'Download of SFDC Activation Rep'!B:B,'Download of SFDC Activation Rep'!X:X)</f>
        <v>#N/A</v>
      </c>
      <c r="L538" s="32" t="str">
        <f t="array" ref="L538">xlookup(A538,'Download of SFDC Activation Rep'!B:B,'Download of SFDC Activation Rep'!Z:Z)</f>
        <v>#N/A</v>
      </c>
    </row>
    <row r="539">
      <c r="B539" s="14"/>
      <c r="C539" s="14"/>
      <c r="D539" s="14"/>
      <c r="E539" s="14"/>
      <c r="F539" s="13" t="str">
        <f t="array" ref="F539">iferror(XLOOKUP(A539,'Download of SFDC Activation Rep'!B:B,'Download of SFDC Activation Rep'!H:H),"")</f>
        <v/>
      </c>
      <c r="G539" s="13" t="str">
        <f t="array" ref="G539">iferror(xlookup(A539,'Download of SFDC Activation Rep'!B:B,'Download of SFDC Activation Rep'!L:L),"")</f>
        <v/>
      </c>
      <c r="H539" s="17" t="str">
        <f t="shared" si="1"/>
        <v>Not Active</v>
      </c>
      <c r="I539" s="17" t="str">
        <f t="array" ref="I539">XLOOKUP(A539,'Download of SFDC Activation Rep'!B:B,'Download of SFDC Activation Rep'!T:T)</f>
        <v>#N/A</v>
      </c>
      <c r="J539" s="17" t="str">
        <f t="array" ref="J539">iferror(XLOOKUP(A539,'Download of SFDC Activation Rep'!B:B,'Download of SFDC Activation Rep'!C:C),"")</f>
        <v/>
      </c>
      <c r="K539" s="17" t="str">
        <f t="array" ref="K539">XLOOKUP(A539,'Download of SFDC Activation Rep'!B:B,'Download of SFDC Activation Rep'!X:X)</f>
        <v>#N/A</v>
      </c>
      <c r="L539" s="32" t="str">
        <f t="array" ref="L539">xlookup(A539,'Download of SFDC Activation Rep'!B:B,'Download of SFDC Activation Rep'!Z:Z)</f>
        <v>#N/A</v>
      </c>
    </row>
    <row r="540">
      <c r="B540" s="14"/>
      <c r="C540" s="14"/>
      <c r="D540" s="14"/>
      <c r="E540" s="14"/>
      <c r="F540" s="13" t="str">
        <f t="array" ref="F540">iferror(XLOOKUP(A540,'Download of SFDC Activation Rep'!B:B,'Download of SFDC Activation Rep'!H:H),"")</f>
        <v/>
      </c>
      <c r="G540" s="13" t="str">
        <f t="array" ref="G540">iferror(xlookup(A540,'Download of SFDC Activation Rep'!B:B,'Download of SFDC Activation Rep'!L:L),"")</f>
        <v/>
      </c>
      <c r="H540" s="17" t="str">
        <f t="shared" si="1"/>
        <v>Not Active</v>
      </c>
      <c r="I540" s="17" t="str">
        <f t="array" ref="I540">XLOOKUP(A540,'Download of SFDC Activation Rep'!B:B,'Download of SFDC Activation Rep'!T:T)</f>
        <v>#N/A</v>
      </c>
      <c r="J540" s="17" t="str">
        <f t="array" ref="J540">iferror(XLOOKUP(A540,'Download of SFDC Activation Rep'!B:B,'Download of SFDC Activation Rep'!C:C),"")</f>
        <v/>
      </c>
      <c r="K540" s="17" t="str">
        <f t="array" ref="K540">XLOOKUP(A540,'Download of SFDC Activation Rep'!B:B,'Download of SFDC Activation Rep'!X:X)</f>
        <v>#N/A</v>
      </c>
      <c r="L540" s="32" t="str">
        <f t="array" ref="L540">xlookup(A540,'Download of SFDC Activation Rep'!B:B,'Download of SFDC Activation Rep'!Z:Z)</f>
        <v>#N/A</v>
      </c>
    </row>
    <row r="541">
      <c r="B541" s="14"/>
      <c r="C541" s="14"/>
      <c r="D541" s="14"/>
      <c r="E541" s="14"/>
      <c r="F541" s="13" t="str">
        <f t="array" ref="F541">iferror(XLOOKUP(A541,'Download of SFDC Activation Rep'!B:B,'Download of SFDC Activation Rep'!H:H),"")</f>
        <v/>
      </c>
      <c r="G541" s="13" t="str">
        <f t="array" ref="G541">iferror(xlookup(A541,'Download of SFDC Activation Rep'!B:B,'Download of SFDC Activation Rep'!L:L),"")</f>
        <v/>
      </c>
      <c r="H541" s="17" t="str">
        <f t="shared" si="1"/>
        <v>Not Active</v>
      </c>
      <c r="I541" s="17" t="str">
        <f t="array" ref="I541">XLOOKUP(A541,'Download of SFDC Activation Rep'!B:B,'Download of SFDC Activation Rep'!T:T)</f>
        <v>#N/A</v>
      </c>
      <c r="J541" s="17" t="str">
        <f t="array" ref="J541">iferror(XLOOKUP(A541,'Download of SFDC Activation Rep'!B:B,'Download of SFDC Activation Rep'!C:C),"")</f>
        <v/>
      </c>
      <c r="K541" s="17" t="str">
        <f t="array" ref="K541">XLOOKUP(A541,'Download of SFDC Activation Rep'!B:B,'Download of SFDC Activation Rep'!X:X)</f>
        <v>#N/A</v>
      </c>
      <c r="L541" s="32" t="str">
        <f t="array" ref="L541">xlookup(A541,'Download of SFDC Activation Rep'!B:B,'Download of SFDC Activation Rep'!Z:Z)</f>
        <v>#N/A</v>
      </c>
    </row>
    <row r="542">
      <c r="B542" s="14"/>
      <c r="C542" s="14"/>
      <c r="D542" s="14"/>
      <c r="E542" s="14"/>
      <c r="F542" s="13" t="str">
        <f t="array" ref="F542">iferror(XLOOKUP(A542,'Download of SFDC Activation Rep'!B:B,'Download of SFDC Activation Rep'!H:H),"")</f>
        <v/>
      </c>
      <c r="G542" s="13" t="str">
        <f t="array" ref="G542">iferror(xlookup(A542,'Download of SFDC Activation Rep'!B:B,'Download of SFDC Activation Rep'!L:L),"")</f>
        <v/>
      </c>
      <c r="H542" s="17" t="str">
        <f t="shared" si="1"/>
        <v>Not Active</v>
      </c>
      <c r="I542" s="17" t="str">
        <f t="array" ref="I542">XLOOKUP(A542,'Download of SFDC Activation Rep'!B:B,'Download of SFDC Activation Rep'!T:T)</f>
        <v>#N/A</v>
      </c>
      <c r="J542" s="17" t="str">
        <f t="array" ref="J542">iferror(XLOOKUP(A542,'Download of SFDC Activation Rep'!B:B,'Download of SFDC Activation Rep'!C:C),"")</f>
        <v/>
      </c>
      <c r="K542" s="17" t="str">
        <f t="array" ref="K542">XLOOKUP(A542,'Download of SFDC Activation Rep'!B:B,'Download of SFDC Activation Rep'!X:X)</f>
        <v>#N/A</v>
      </c>
      <c r="L542" s="32" t="str">
        <f t="array" ref="L542">xlookup(A542,'Download of SFDC Activation Rep'!B:B,'Download of SFDC Activation Rep'!Z:Z)</f>
        <v>#N/A</v>
      </c>
    </row>
    <row r="543">
      <c r="B543" s="14"/>
      <c r="C543" s="14"/>
      <c r="D543" s="14"/>
      <c r="E543" s="14"/>
      <c r="F543" s="13" t="str">
        <f t="array" ref="F543">iferror(XLOOKUP(A543,'Download of SFDC Activation Rep'!B:B,'Download of SFDC Activation Rep'!H:H),"")</f>
        <v/>
      </c>
      <c r="G543" s="13" t="str">
        <f t="array" ref="G543">iferror(xlookup(A543,'Download of SFDC Activation Rep'!B:B,'Download of SFDC Activation Rep'!L:L),"")</f>
        <v/>
      </c>
      <c r="H543" s="17" t="str">
        <f t="shared" si="1"/>
        <v>Not Active</v>
      </c>
      <c r="I543" s="17" t="str">
        <f t="array" ref="I543">XLOOKUP(A543,'Download of SFDC Activation Rep'!B:B,'Download of SFDC Activation Rep'!T:T)</f>
        <v>#N/A</v>
      </c>
      <c r="J543" s="17" t="str">
        <f t="array" ref="J543">iferror(XLOOKUP(A543,'Download of SFDC Activation Rep'!B:B,'Download of SFDC Activation Rep'!C:C),"")</f>
        <v/>
      </c>
      <c r="K543" s="17" t="str">
        <f t="array" ref="K543">XLOOKUP(A543,'Download of SFDC Activation Rep'!B:B,'Download of SFDC Activation Rep'!X:X)</f>
        <v>#N/A</v>
      </c>
      <c r="L543" s="32" t="str">
        <f t="array" ref="L543">xlookup(A543,'Download of SFDC Activation Rep'!B:B,'Download of SFDC Activation Rep'!Z:Z)</f>
        <v>#N/A</v>
      </c>
    </row>
    <row r="544">
      <c r="B544" s="14"/>
      <c r="C544" s="14"/>
      <c r="D544" s="14"/>
      <c r="E544" s="14"/>
      <c r="F544" s="13" t="str">
        <f t="array" ref="F544">iferror(XLOOKUP(A544,'Download of SFDC Activation Rep'!B:B,'Download of SFDC Activation Rep'!H:H),"")</f>
        <v/>
      </c>
      <c r="G544" s="13" t="str">
        <f t="array" ref="G544">iferror(xlookup(A544,'Download of SFDC Activation Rep'!B:B,'Download of SFDC Activation Rep'!L:L),"")</f>
        <v/>
      </c>
      <c r="H544" s="17" t="str">
        <f t="shared" si="1"/>
        <v>Not Active</v>
      </c>
      <c r="I544" s="17" t="str">
        <f t="array" ref="I544">XLOOKUP(A544,'Download of SFDC Activation Rep'!B:B,'Download of SFDC Activation Rep'!T:T)</f>
        <v>#N/A</v>
      </c>
      <c r="J544" s="17" t="str">
        <f t="array" ref="J544">iferror(XLOOKUP(A544,'Download of SFDC Activation Rep'!B:B,'Download of SFDC Activation Rep'!C:C),"")</f>
        <v/>
      </c>
      <c r="K544" s="17" t="str">
        <f t="array" ref="K544">XLOOKUP(A544,'Download of SFDC Activation Rep'!B:B,'Download of SFDC Activation Rep'!X:X)</f>
        <v>#N/A</v>
      </c>
      <c r="L544" s="32" t="str">
        <f t="array" ref="L544">xlookup(A544,'Download of SFDC Activation Rep'!B:B,'Download of SFDC Activation Rep'!Z:Z)</f>
        <v>#N/A</v>
      </c>
    </row>
    <row r="545">
      <c r="B545" s="14"/>
      <c r="C545" s="14"/>
      <c r="D545" s="14"/>
      <c r="E545" s="14"/>
      <c r="F545" s="13" t="str">
        <f t="array" ref="F545">iferror(XLOOKUP(A545,'Download of SFDC Activation Rep'!B:B,'Download of SFDC Activation Rep'!H:H),"")</f>
        <v/>
      </c>
      <c r="G545" s="13" t="str">
        <f t="array" ref="G545">iferror(xlookup(A545,'Download of SFDC Activation Rep'!B:B,'Download of SFDC Activation Rep'!L:L),"")</f>
        <v/>
      </c>
      <c r="H545" s="17" t="str">
        <f t="shared" si="1"/>
        <v>Not Active</v>
      </c>
      <c r="I545" s="17" t="str">
        <f t="array" ref="I545">XLOOKUP(A545,'Download of SFDC Activation Rep'!B:B,'Download of SFDC Activation Rep'!T:T)</f>
        <v>#N/A</v>
      </c>
      <c r="J545" s="17" t="str">
        <f t="array" ref="J545">iferror(XLOOKUP(A545,'Download of SFDC Activation Rep'!B:B,'Download of SFDC Activation Rep'!C:C),"")</f>
        <v/>
      </c>
      <c r="K545" s="17" t="str">
        <f t="array" ref="K545">XLOOKUP(A545,'Download of SFDC Activation Rep'!B:B,'Download of SFDC Activation Rep'!X:X)</f>
        <v>#N/A</v>
      </c>
      <c r="L545" s="32" t="str">
        <f t="array" ref="L545">xlookup(A545,'Download of SFDC Activation Rep'!B:B,'Download of SFDC Activation Rep'!Z:Z)</f>
        <v>#N/A</v>
      </c>
    </row>
    <row r="546">
      <c r="B546" s="14"/>
      <c r="C546" s="14"/>
      <c r="D546" s="14"/>
      <c r="E546" s="14"/>
      <c r="F546" s="13" t="str">
        <f t="array" ref="F546">iferror(XLOOKUP(A546,'Download of SFDC Activation Rep'!B:B,'Download of SFDC Activation Rep'!H:H),"")</f>
        <v/>
      </c>
      <c r="G546" s="13" t="str">
        <f t="array" ref="G546">iferror(xlookup(A546,'Download of SFDC Activation Rep'!B:B,'Download of SFDC Activation Rep'!L:L),"")</f>
        <v/>
      </c>
      <c r="H546" s="17" t="str">
        <f t="shared" si="1"/>
        <v>Not Active</v>
      </c>
      <c r="I546" s="17" t="str">
        <f t="array" ref="I546">XLOOKUP(A546,'Download of SFDC Activation Rep'!B:B,'Download of SFDC Activation Rep'!T:T)</f>
        <v>#N/A</v>
      </c>
      <c r="J546" s="17" t="str">
        <f t="array" ref="J546">iferror(XLOOKUP(A546,'Download of SFDC Activation Rep'!B:B,'Download of SFDC Activation Rep'!C:C),"")</f>
        <v/>
      </c>
      <c r="K546" s="17" t="str">
        <f t="array" ref="K546">XLOOKUP(A546,'Download of SFDC Activation Rep'!B:B,'Download of SFDC Activation Rep'!X:X)</f>
        <v>#N/A</v>
      </c>
      <c r="L546" s="32" t="str">
        <f t="array" ref="L546">xlookup(A546,'Download of SFDC Activation Rep'!B:B,'Download of SFDC Activation Rep'!Z:Z)</f>
        <v>#N/A</v>
      </c>
    </row>
    <row r="547">
      <c r="B547" s="14"/>
      <c r="C547" s="14"/>
      <c r="D547" s="14"/>
      <c r="E547" s="14"/>
      <c r="F547" s="13" t="str">
        <f t="array" ref="F547">iferror(XLOOKUP(A547,'Download of SFDC Activation Rep'!B:B,'Download of SFDC Activation Rep'!H:H),"")</f>
        <v/>
      </c>
      <c r="G547" s="13" t="str">
        <f t="array" ref="G547">iferror(xlookup(A547,'Download of SFDC Activation Rep'!B:B,'Download of SFDC Activation Rep'!L:L),"")</f>
        <v/>
      </c>
      <c r="H547" s="17" t="str">
        <f t="shared" si="1"/>
        <v>Not Active</v>
      </c>
      <c r="I547" s="17" t="str">
        <f t="array" ref="I547">XLOOKUP(A547,'Download of SFDC Activation Rep'!B:B,'Download of SFDC Activation Rep'!T:T)</f>
        <v>#N/A</v>
      </c>
      <c r="J547" s="17" t="str">
        <f t="array" ref="J547">iferror(XLOOKUP(A547,'Download of SFDC Activation Rep'!B:B,'Download of SFDC Activation Rep'!C:C),"")</f>
        <v/>
      </c>
      <c r="K547" s="17" t="str">
        <f t="array" ref="K547">XLOOKUP(A547,'Download of SFDC Activation Rep'!B:B,'Download of SFDC Activation Rep'!X:X)</f>
        <v>#N/A</v>
      </c>
      <c r="L547" s="32" t="str">
        <f t="array" ref="L547">xlookup(A547,'Download of SFDC Activation Rep'!B:B,'Download of SFDC Activation Rep'!Z:Z)</f>
        <v>#N/A</v>
      </c>
    </row>
    <row r="548">
      <c r="B548" s="14"/>
      <c r="C548" s="14"/>
      <c r="D548" s="14"/>
      <c r="E548" s="14"/>
      <c r="F548" s="13" t="str">
        <f t="array" ref="F548">iferror(XLOOKUP(A548,'Download of SFDC Activation Rep'!B:B,'Download of SFDC Activation Rep'!H:H),"")</f>
        <v/>
      </c>
      <c r="G548" s="13" t="str">
        <f t="array" ref="G548">iferror(xlookup(A548,'Download of SFDC Activation Rep'!B:B,'Download of SFDC Activation Rep'!L:L),"")</f>
        <v/>
      </c>
      <c r="H548" s="17" t="str">
        <f t="shared" si="1"/>
        <v>Not Active</v>
      </c>
      <c r="I548" s="17" t="str">
        <f t="array" ref="I548">XLOOKUP(A548,'Download of SFDC Activation Rep'!B:B,'Download of SFDC Activation Rep'!T:T)</f>
        <v>#N/A</v>
      </c>
      <c r="J548" s="17" t="str">
        <f t="array" ref="J548">iferror(XLOOKUP(A548,'Download of SFDC Activation Rep'!B:B,'Download of SFDC Activation Rep'!C:C),"")</f>
        <v/>
      </c>
      <c r="K548" s="17" t="str">
        <f t="array" ref="K548">XLOOKUP(A548,'Download of SFDC Activation Rep'!B:B,'Download of SFDC Activation Rep'!X:X)</f>
        <v>#N/A</v>
      </c>
      <c r="L548" s="32" t="str">
        <f t="array" ref="L548">xlookup(A548,'Download of SFDC Activation Rep'!B:B,'Download of SFDC Activation Rep'!Z:Z)</f>
        <v>#N/A</v>
      </c>
    </row>
    <row r="549">
      <c r="B549" s="14"/>
      <c r="C549" s="14"/>
      <c r="D549" s="14"/>
      <c r="E549" s="14"/>
      <c r="F549" s="13" t="str">
        <f t="array" ref="F549">iferror(XLOOKUP(A549,'Download of SFDC Activation Rep'!B:B,'Download of SFDC Activation Rep'!H:H),"")</f>
        <v/>
      </c>
      <c r="G549" s="13" t="str">
        <f t="array" ref="G549">iferror(xlookup(A549,'Download of SFDC Activation Rep'!B:B,'Download of SFDC Activation Rep'!L:L),"")</f>
        <v/>
      </c>
      <c r="H549" s="17" t="str">
        <f t="shared" si="1"/>
        <v>Not Active</v>
      </c>
      <c r="I549" s="17" t="str">
        <f t="array" ref="I549">XLOOKUP(A549,'Download of SFDC Activation Rep'!B:B,'Download of SFDC Activation Rep'!T:T)</f>
        <v>#N/A</v>
      </c>
      <c r="J549" s="17" t="str">
        <f t="array" ref="J549">iferror(XLOOKUP(A549,'Download of SFDC Activation Rep'!B:B,'Download of SFDC Activation Rep'!C:C),"")</f>
        <v/>
      </c>
      <c r="K549" s="17" t="str">
        <f t="array" ref="K549">XLOOKUP(A549,'Download of SFDC Activation Rep'!B:B,'Download of SFDC Activation Rep'!X:X)</f>
        <v>#N/A</v>
      </c>
      <c r="L549" s="32" t="str">
        <f t="array" ref="L549">xlookup(A549,'Download of SFDC Activation Rep'!B:B,'Download of SFDC Activation Rep'!Z:Z)</f>
        <v>#N/A</v>
      </c>
    </row>
    <row r="550">
      <c r="B550" s="14"/>
      <c r="C550" s="14"/>
      <c r="D550" s="14"/>
      <c r="E550" s="14"/>
      <c r="F550" s="13" t="str">
        <f t="array" ref="F550">iferror(XLOOKUP(A550,'Download of SFDC Activation Rep'!B:B,'Download of SFDC Activation Rep'!H:H),"")</f>
        <v/>
      </c>
      <c r="G550" s="13" t="str">
        <f t="array" ref="G550">iferror(xlookup(A550,'Download of SFDC Activation Rep'!B:B,'Download of SFDC Activation Rep'!L:L),"")</f>
        <v/>
      </c>
      <c r="H550" s="17" t="str">
        <f t="shared" si="1"/>
        <v>Not Active</v>
      </c>
      <c r="I550" s="17" t="str">
        <f t="array" ref="I550">XLOOKUP(A550,'Download of SFDC Activation Rep'!B:B,'Download of SFDC Activation Rep'!T:T)</f>
        <v>#N/A</v>
      </c>
      <c r="J550" s="17" t="str">
        <f t="array" ref="J550">iferror(XLOOKUP(A550,'Download of SFDC Activation Rep'!B:B,'Download of SFDC Activation Rep'!C:C),"")</f>
        <v/>
      </c>
      <c r="K550" s="17" t="str">
        <f t="array" ref="K550">XLOOKUP(A550,'Download of SFDC Activation Rep'!B:B,'Download of SFDC Activation Rep'!X:X)</f>
        <v>#N/A</v>
      </c>
      <c r="L550" s="32" t="str">
        <f t="array" ref="L550">xlookup(A550,'Download of SFDC Activation Rep'!B:B,'Download of SFDC Activation Rep'!Z:Z)</f>
        <v>#N/A</v>
      </c>
    </row>
    <row r="551">
      <c r="B551" s="14"/>
      <c r="C551" s="14"/>
      <c r="D551" s="14"/>
      <c r="E551" s="14"/>
      <c r="F551" s="13" t="str">
        <f t="array" ref="F551">iferror(XLOOKUP(A551,'Download of SFDC Activation Rep'!B:B,'Download of SFDC Activation Rep'!H:H),"")</f>
        <v/>
      </c>
      <c r="G551" s="13" t="str">
        <f t="array" ref="G551">iferror(xlookup(A551,'Download of SFDC Activation Rep'!B:B,'Download of SFDC Activation Rep'!L:L),"")</f>
        <v/>
      </c>
      <c r="H551" s="17" t="str">
        <f t="shared" si="1"/>
        <v>Not Active</v>
      </c>
      <c r="I551" s="17" t="str">
        <f t="array" ref="I551">XLOOKUP(A551,'Download of SFDC Activation Rep'!B:B,'Download of SFDC Activation Rep'!T:T)</f>
        <v>#N/A</v>
      </c>
      <c r="J551" s="17" t="str">
        <f t="array" ref="J551">iferror(XLOOKUP(A551,'Download of SFDC Activation Rep'!B:B,'Download of SFDC Activation Rep'!C:C),"")</f>
        <v/>
      </c>
      <c r="K551" s="17" t="str">
        <f t="array" ref="K551">XLOOKUP(A551,'Download of SFDC Activation Rep'!B:B,'Download of SFDC Activation Rep'!X:X)</f>
        <v>#N/A</v>
      </c>
      <c r="L551" s="32" t="str">
        <f t="array" ref="L551">xlookup(A551,'Download of SFDC Activation Rep'!B:B,'Download of SFDC Activation Rep'!Z:Z)</f>
        <v>#N/A</v>
      </c>
    </row>
    <row r="552">
      <c r="B552" s="14"/>
      <c r="C552" s="14"/>
      <c r="D552" s="14"/>
      <c r="E552" s="14"/>
      <c r="F552" s="13" t="str">
        <f t="array" ref="F552">iferror(XLOOKUP(A552,'Download of SFDC Activation Rep'!B:B,'Download of SFDC Activation Rep'!H:H),"")</f>
        <v/>
      </c>
      <c r="G552" s="13" t="str">
        <f t="array" ref="G552">iferror(xlookup(A552,'Download of SFDC Activation Rep'!B:B,'Download of SFDC Activation Rep'!L:L),"")</f>
        <v/>
      </c>
      <c r="H552" s="17" t="str">
        <f t="shared" si="1"/>
        <v>Not Active</v>
      </c>
      <c r="I552" s="17" t="str">
        <f t="array" ref="I552">XLOOKUP(A552,'Download of SFDC Activation Rep'!B:B,'Download of SFDC Activation Rep'!T:T)</f>
        <v>#N/A</v>
      </c>
      <c r="J552" s="17" t="str">
        <f t="array" ref="J552">iferror(XLOOKUP(A552,'Download of SFDC Activation Rep'!B:B,'Download of SFDC Activation Rep'!C:C),"")</f>
        <v/>
      </c>
      <c r="K552" s="17" t="str">
        <f t="array" ref="K552">XLOOKUP(A552,'Download of SFDC Activation Rep'!B:B,'Download of SFDC Activation Rep'!X:X)</f>
        <v>#N/A</v>
      </c>
      <c r="L552" s="32" t="str">
        <f t="array" ref="L552">xlookup(A552,'Download of SFDC Activation Rep'!B:B,'Download of SFDC Activation Rep'!Z:Z)</f>
        <v>#N/A</v>
      </c>
    </row>
    <row r="553">
      <c r="B553" s="14"/>
      <c r="C553" s="14"/>
      <c r="D553" s="14"/>
      <c r="E553" s="14"/>
      <c r="F553" s="13" t="str">
        <f t="array" ref="F553">iferror(XLOOKUP(A553,'Download of SFDC Activation Rep'!B:B,'Download of SFDC Activation Rep'!H:H),"")</f>
        <v/>
      </c>
      <c r="G553" s="13" t="str">
        <f t="array" ref="G553">iferror(xlookup(A553,'Download of SFDC Activation Rep'!B:B,'Download of SFDC Activation Rep'!L:L),"")</f>
        <v/>
      </c>
      <c r="H553" s="17" t="str">
        <f t="shared" si="1"/>
        <v>Not Active</v>
      </c>
      <c r="I553" s="17" t="str">
        <f t="array" ref="I553">XLOOKUP(A553,'Download of SFDC Activation Rep'!B:B,'Download of SFDC Activation Rep'!T:T)</f>
        <v>#N/A</v>
      </c>
      <c r="J553" s="17" t="str">
        <f t="array" ref="J553">iferror(XLOOKUP(A553,'Download of SFDC Activation Rep'!B:B,'Download of SFDC Activation Rep'!C:C),"")</f>
        <v/>
      </c>
      <c r="K553" s="17" t="str">
        <f t="array" ref="K553">XLOOKUP(A553,'Download of SFDC Activation Rep'!B:B,'Download of SFDC Activation Rep'!X:X)</f>
        <v>#N/A</v>
      </c>
      <c r="L553" s="32" t="str">
        <f t="array" ref="L553">xlookup(A553,'Download of SFDC Activation Rep'!B:B,'Download of SFDC Activation Rep'!Z:Z)</f>
        <v>#N/A</v>
      </c>
    </row>
    <row r="554">
      <c r="B554" s="14"/>
      <c r="C554" s="14"/>
      <c r="D554" s="14"/>
      <c r="E554" s="14"/>
      <c r="F554" s="13" t="str">
        <f t="array" ref="F554">iferror(XLOOKUP(A554,'Download of SFDC Activation Rep'!B:B,'Download of SFDC Activation Rep'!H:H),"")</f>
        <v/>
      </c>
      <c r="G554" s="13" t="str">
        <f t="array" ref="G554">iferror(xlookup(A554,'Download of SFDC Activation Rep'!B:B,'Download of SFDC Activation Rep'!L:L),"")</f>
        <v/>
      </c>
      <c r="H554" s="17" t="str">
        <f t="shared" si="1"/>
        <v>Not Active</v>
      </c>
      <c r="I554" s="17" t="str">
        <f t="array" ref="I554">XLOOKUP(A554,'Download of SFDC Activation Rep'!B:B,'Download of SFDC Activation Rep'!T:T)</f>
        <v>#N/A</v>
      </c>
      <c r="J554" s="17" t="str">
        <f t="array" ref="J554">iferror(XLOOKUP(A554,'Download of SFDC Activation Rep'!B:B,'Download of SFDC Activation Rep'!C:C),"")</f>
        <v/>
      </c>
      <c r="K554" s="17" t="str">
        <f t="array" ref="K554">XLOOKUP(A554,'Download of SFDC Activation Rep'!B:B,'Download of SFDC Activation Rep'!X:X)</f>
        <v>#N/A</v>
      </c>
      <c r="L554" s="32" t="str">
        <f t="array" ref="L554">xlookup(A554,'Download of SFDC Activation Rep'!B:B,'Download of SFDC Activation Rep'!Z:Z)</f>
        <v>#N/A</v>
      </c>
    </row>
    <row r="555">
      <c r="B555" s="14"/>
      <c r="C555" s="14"/>
      <c r="D555" s="14"/>
      <c r="E555" s="14"/>
      <c r="F555" s="13" t="str">
        <f t="array" ref="F555">iferror(XLOOKUP(A555,'Download of SFDC Activation Rep'!B:B,'Download of SFDC Activation Rep'!H:H),"")</f>
        <v/>
      </c>
      <c r="G555" s="13" t="str">
        <f t="array" ref="G555">iferror(xlookup(A555,'Download of SFDC Activation Rep'!B:B,'Download of SFDC Activation Rep'!L:L),"")</f>
        <v/>
      </c>
      <c r="H555" s="17" t="str">
        <f t="shared" si="1"/>
        <v>Not Active</v>
      </c>
      <c r="I555" s="17" t="str">
        <f t="array" ref="I555">XLOOKUP(A555,'Download of SFDC Activation Rep'!B:B,'Download of SFDC Activation Rep'!T:T)</f>
        <v>#N/A</v>
      </c>
      <c r="J555" s="17" t="str">
        <f t="array" ref="J555">iferror(XLOOKUP(A555,'Download of SFDC Activation Rep'!B:B,'Download of SFDC Activation Rep'!C:C),"")</f>
        <v/>
      </c>
      <c r="K555" s="17" t="str">
        <f t="array" ref="K555">XLOOKUP(A555,'Download of SFDC Activation Rep'!B:B,'Download of SFDC Activation Rep'!X:X)</f>
        <v>#N/A</v>
      </c>
      <c r="L555" s="32" t="str">
        <f t="array" ref="L555">xlookup(A555,'Download of SFDC Activation Rep'!B:B,'Download of SFDC Activation Rep'!Z:Z)</f>
        <v>#N/A</v>
      </c>
    </row>
    <row r="556">
      <c r="B556" s="14"/>
      <c r="C556" s="14"/>
      <c r="D556" s="14"/>
      <c r="E556" s="14"/>
      <c r="F556" s="13" t="str">
        <f t="array" ref="F556">iferror(XLOOKUP(A556,'Download of SFDC Activation Rep'!B:B,'Download of SFDC Activation Rep'!H:H),"")</f>
        <v/>
      </c>
      <c r="G556" s="13" t="str">
        <f t="array" ref="G556">iferror(xlookup(A556,'Download of SFDC Activation Rep'!B:B,'Download of SFDC Activation Rep'!L:L),"")</f>
        <v/>
      </c>
      <c r="H556" s="17" t="str">
        <f t="shared" si="1"/>
        <v>Not Active</v>
      </c>
      <c r="I556" s="17" t="str">
        <f t="array" ref="I556">XLOOKUP(A556,'Download of SFDC Activation Rep'!B:B,'Download of SFDC Activation Rep'!T:T)</f>
        <v>#N/A</v>
      </c>
      <c r="J556" s="17" t="str">
        <f t="array" ref="J556">iferror(XLOOKUP(A556,'Download of SFDC Activation Rep'!B:B,'Download of SFDC Activation Rep'!C:C),"")</f>
        <v/>
      </c>
      <c r="K556" s="17" t="str">
        <f t="array" ref="K556">XLOOKUP(A556,'Download of SFDC Activation Rep'!B:B,'Download of SFDC Activation Rep'!X:X)</f>
        <v>#N/A</v>
      </c>
      <c r="L556" s="32" t="str">
        <f t="array" ref="L556">xlookup(A556,'Download of SFDC Activation Rep'!B:B,'Download of SFDC Activation Rep'!Z:Z)</f>
        <v>#N/A</v>
      </c>
    </row>
    <row r="557">
      <c r="B557" s="14"/>
      <c r="C557" s="14"/>
      <c r="D557" s="14"/>
      <c r="E557" s="14"/>
      <c r="F557" s="13" t="str">
        <f t="array" ref="F557">iferror(XLOOKUP(A557,'Download of SFDC Activation Rep'!B:B,'Download of SFDC Activation Rep'!H:H),"")</f>
        <v/>
      </c>
      <c r="G557" s="13" t="str">
        <f t="array" ref="G557">iferror(xlookup(A557,'Download of SFDC Activation Rep'!B:B,'Download of SFDC Activation Rep'!L:L),"")</f>
        <v/>
      </c>
      <c r="H557" s="17" t="str">
        <f t="shared" si="1"/>
        <v>Not Active</v>
      </c>
      <c r="I557" s="17" t="str">
        <f t="array" ref="I557">XLOOKUP(A557,'Download of SFDC Activation Rep'!B:B,'Download of SFDC Activation Rep'!T:T)</f>
        <v>#N/A</v>
      </c>
      <c r="J557" s="17" t="str">
        <f t="array" ref="J557">iferror(XLOOKUP(A557,'Download of SFDC Activation Rep'!B:B,'Download of SFDC Activation Rep'!C:C),"")</f>
        <v/>
      </c>
      <c r="K557" s="17" t="str">
        <f t="array" ref="K557">XLOOKUP(A557,'Download of SFDC Activation Rep'!B:B,'Download of SFDC Activation Rep'!X:X)</f>
        <v>#N/A</v>
      </c>
      <c r="L557" s="32" t="str">
        <f t="array" ref="L557">xlookup(A557,'Download of SFDC Activation Rep'!B:B,'Download of SFDC Activation Rep'!Z:Z)</f>
        <v>#N/A</v>
      </c>
    </row>
    <row r="558">
      <c r="B558" s="14"/>
      <c r="C558" s="14"/>
      <c r="D558" s="14"/>
      <c r="E558" s="14"/>
      <c r="F558" s="13" t="str">
        <f t="array" ref="F558">iferror(XLOOKUP(A558,'Download of SFDC Activation Rep'!B:B,'Download of SFDC Activation Rep'!H:H),"")</f>
        <v/>
      </c>
      <c r="G558" s="13" t="str">
        <f t="array" ref="G558">iferror(xlookup(A558,'Download of SFDC Activation Rep'!B:B,'Download of SFDC Activation Rep'!L:L),"")</f>
        <v/>
      </c>
      <c r="H558" s="17" t="str">
        <f t="shared" si="1"/>
        <v>Not Active</v>
      </c>
      <c r="I558" s="17" t="str">
        <f t="array" ref="I558">XLOOKUP(A558,'Download of SFDC Activation Rep'!B:B,'Download of SFDC Activation Rep'!T:T)</f>
        <v>#N/A</v>
      </c>
      <c r="J558" s="17" t="str">
        <f t="array" ref="J558">iferror(XLOOKUP(A558,'Download of SFDC Activation Rep'!B:B,'Download of SFDC Activation Rep'!C:C),"")</f>
        <v/>
      </c>
      <c r="K558" s="17" t="str">
        <f t="array" ref="K558">XLOOKUP(A558,'Download of SFDC Activation Rep'!B:B,'Download of SFDC Activation Rep'!X:X)</f>
        <v>#N/A</v>
      </c>
      <c r="L558" s="32" t="str">
        <f t="array" ref="L558">xlookup(A558,'Download of SFDC Activation Rep'!B:B,'Download of SFDC Activation Rep'!Z:Z)</f>
        <v>#N/A</v>
      </c>
    </row>
    <row r="559">
      <c r="B559" s="14"/>
      <c r="C559" s="14"/>
      <c r="D559" s="14"/>
      <c r="E559" s="14"/>
      <c r="F559" s="13" t="str">
        <f t="array" ref="F559">iferror(XLOOKUP(A559,'Download of SFDC Activation Rep'!B:B,'Download of SFDC Activation Rep'!H:H),"")</f>
        <v/>
      </c>
      <c r="G559" s="13" t="str">
        <f t="array" ref="G559">iferror(xlookup(A559,'Download of SFDC Activation Rep'!B:B,'Download of SFDC Activation Rep'!L:L),"")</f>
        <v/>
      </c>
      <c r="H559" s="17" t="str">
        <f t="shared" si="1"/>
        <v>Not Active</v>
      </c>
      <c r="I559" s="17" t="str">
        <f t="array" ref="I559">XLOOKUP(A559,'Download of SFDC Activation Rep'!B:B,'Download of SFDC Activation Rep'!T:T)</f>
        <v>#N/A</v>
      </c>
      <c r="J559" s="17" t="str">
        <f t="array" ref="J559">iferror(XLOOKUP(A559,'Download of SFDC Activation Rep'!B:B,'Download of SFDC Activation Rep'!C:C),"")</f>
        <v/>
      </c>
      <c r="K559" s="17" t="str">
        <f t="array" ref="K559">XLOOKUP(A559,'Download of SFDC Activation Rep'!B:B,'Download of SFDC Activation Rep'!X:X)</f>
        <v>#N/A</v>
      </c>
      <c r="L559" s="32" t="str">
        <f t="array" ref="L559">xlookup(A559,'Download of SFDC Activation Rep'!B:B,'Download of SFDC Activation Rep'!Z:Z)</f>
        <v>#N/A</v>
      </c>
    </row>
    <row r="560">
      <c r="B560" s="14"/>
      <c r="C560" s="14"/>
      <c r="D560" s="14"/>
      <c r="E560" s="14"/>
      <c r="F560" s="13" t="str">
        <f t="array" ref="F560">iferror(XLOOKUP(A560,'Download of SFDC Activation Rep'!B:B,'Download of SFDC Activation Rep'!H:H),"")</f>
        <v/>
      </c>
      <c r="G560" s="13" t="str">
        <f t="array" ref="G560">iferror(xlookup(A560,'Download of SFDC Activation Rep'!B:B,'Download of SFDC Activation Rep'!L:L),"")</f>
        <v/>
      </c>
      <c r="H560" s="17" t="str">
        <f t="shared" si="1"/>
        <v>Not Active</v>
      </c>
      <c r="I560" s="17" t="str">
        <f t="array" ref="I560">XLOOKUP(A560,'Download of SFDC Activation Rep'!B:B,'Download of SFDC Activation Rep'!T:T)</f>
        <v>#N/A</v>
      </c>
      <c r="J560" s="17" t="str">
        <f t="array" ref="J560">iferror(XLOOKUP(A560,'Download of SFDC Activation Rep'!B:B,'Download of SFDC Activation Rep'!C:C),"")</f>
        <v/>
      </c>
      <c r="K560" s="17" t="str">
        <f t="array" ref="K560">XLOOKUP(A560,'Download of SFDC Activation Rep'!B:B,'Download of SFDC Activation Rep'!X:X)</f>
        <v>#N/A</v>
      </c>
      <c r="L560" s="32" t="str">
        <f t="array" ref="L560">xlookup(A560,'Download of SFDC Activation Rep'!B:B,'Download of SFDC Activation Rep'!Z:Z)</f>
        <v>#N/A</v>
      </c>
    </row>
    <row r="561">
      <c r="B561" s="14"/>
      <c r="C561" s="14"/>
      <c r="D561" s="14"/>
      <c r="E561" s="14"/>
      <c r="F561" s="13" t="str">
        <f t="array" ref="F561">iferror(XLOOKUP(A561,'Download of SFDC Activation Rep'!B:B,'Download of SFDC Activation Rep'!H:H),"")</f>
        <v/>
      </c>
      <c r="G561" s="13" t="str">
        <f t="array" ref="G561">iferror(xlookup(A561,'Download of SFDC Activation Rep'!B:B,'Download of SFDC Activation Rep'!L:L),"")</f>
        <v/>
      </c>
      <c r="H561" s="17" t="str">
        <f t="shared" si="1"/>
        <v>Not Active</v>
      </c>
      <c r="I561" s="17" t="str">
        <f t="array" ref="I561">XLOOKUP(A561,'Download of SFDC Activation Rep'!B:B,'Download of SFDC Activation Rep'!T:T)</f>
        <v>#N/A</v>
      </c>
      <c r="J561" s="17" t="str">
        <f t="array" ref="J561">iferror(XLOOKUP(A561,'Download of SFDC Activation Rep'!B:B,'Download of SFDC Activation Rep'!C:C),"")</f>
        <v/>
      </c>
      <c r="K561" s="17" t="str">
        <f t="array" ref="K561">XLOOKUP(A561,'Download of SFDC Activation Rep'!B:B,'Download of SFDC Activation Rep'!X:X)</f>
        <v>#N/A</v>
      </c>
      <c r="L561" s="32" t="str">
        <f t="array" ref="L561">xlookup(A561,'Download of SFDC Activation Rep'!B:B,'Download of SFDC Activation Rep'!Z:Z)</f>
        <v>#N/A</v>
      </c>
    </row>
    <row r="562">
      <c r="B562" s="14"/>
      <c r="C562" s="14"/>
      <c r="D562" s="14"/>
      <c r="E562" s="14"/>
      <c r="F562" s="13" t="str">
        <f t="array" ref="F562">iferror(XLOOKUP(A562,'Download of SFDC Activation Rep'!B:B,'Download of SFDC Activation Rep'!H:H),"")</f>
        <v/>
      </c>
      <c r="G562" s="13" t="str">
        <f t="array" ref="G562">iferror(xlookup(A562,'Download of SFDC Activation Rep'!B:B,'Download of SFDC Activation Rep'!L:L),"")</f>
        <v/>
      </c>
      <c r="H562" s="17" t="str">
        <f t="shared" si="1"/>
        <v>Not Active</v>
      </c>
      <c r="I562" s="17" t="str">
        <f t="array" ref="I562">XLOOKUP(A562,'Download of SFDC Activation Rep'!B:B,'Download of SFDC Activation Rep'!T:T)</f>
        <v>#N/A</v>
      </c>
      <c r="J562" s="17" t="str">
        <f t="array" ref="J562">iferror(XLOOKUP(A562,'Download of SFDC Activation Rep'!B:B,'Download of SFDC Activation Rep'!C:C),"")</f>
        <v/>
      </c>
      <c r="K562" s="17" t="str">
        <f t="array" ref="K562">XLOOKUP(A562,'Download of SFDC Activation Rep'!B:B,'Download of SFDC Activation Rep'!X:X)</f>
        <v>#N/A</v>
      </c>
      <c r="L562" s="32" t="str">
        <f t="array" ref="L562">xlookup(A562,'Download of SFDC Activation Rep'!B:B,'Download of SFDC Activation Rep'!Z:Z)</f>
        <v>#N/A</v>
      </c>
    </row>
    <row r="563">
      <c r="B563" s="14"/>
      <c r="C563" s="14"/>
      <c r="D563" s="14"/>
      <c r="E563" s="14"/>
      <c r="F563" s="13" t="str">
        <f t="array" ref="F563">iferror(XLOOKUP(A563,'Download of SFDC Activation Rep'!B:B,'Download of SFDC Activation Rep'!H:H),"")</f>
        <v/>
      </c>
      <c r="G563" s="13" t="str">
        <f t="array" ref="G563">iferror(xlookup(A563,'Download of SFDC Activation Rep'!B:B,'Download of SFDC Activation Rep'!L:L),"")</f>
        <v/>
      </c>
      <c r="H563" s="17" t="str">
        <f t="shared" si="1"/>
        <v>Not Active</v>
      </c>
      <c r="I563" s="17" t="str">
        <f t="array" ref="I563">XLOOKUP(A563,'Download of SFDC Activation Rep'!B:B,'Download of SFDC Activation Rep'!T:T)</f>
        <v>#N/A</v>
      </c>
      <c r="J563" s="17" t="str">
        <f t="array" ref="J563">iferror(XLOOKUP(A563,'Download of SFDC Activation Rep'!B:B,'Download of SFDC Activation Rep'!C:C),"")</f>
        <v/>
      </c>
      <c r="K563" s="17" t="str">
        <f t="array" ref="K563">XLOOKUP(A563,'Download of SFDC Activation Rep'!B:B,'Download of SFDC Activation Rep'!X:X)</f>
        <v>#N/A</v>
      </c>
      <c r="L563" s="32" t="str">
        <f t="array" ref="L563">xlookup(A563,'Download of SFDC Activation Rep'!B:B,'Download of SFDC Activation Rep'!Z:Z)</f>
        <v>#N/A</v>
      </c>
    </row>
    <row r="564">
      <c r="B564" s="14"/>
      <c r="C564" s="14"/>
      <c r="D564" s="14"/>
      <c r="E564" s="14"/>
      <c r="F564" s="13" t="str">
        <f t="array" ref="F564">iferror(XLOOKUP(A564,'Download of SFDC Activation Rep'!B:B,'Download of SFDC Activation Rep'!H:H),"")</f>
        <v/>
      </c>
      <c r="G564" s="13" t="str">
        <f t="array" ref="G564">iferror(xlookup(A564,'Download of SFDC Activation Rep'!B:B,'Download of SFDC Activation Rep'!L:L),"")</f>
        <v/>
      </c>
      <c r="H564" s="17" t="str">
        <f t="shared" si="1"/>
        <v>Not Active</v>
      </c>
      <c r="I564" s="17" t="str">
        <f t="array" ref="I564">XLOOKUP(A564,'Download of SFDC Activation Rep'!B:B,'Download of SFDC Activation Rep'!T:T)</f>
        <v>#N/A</v>
      </c>
      <c r="J564" s="17" t="str">
        <f t="array" ref="J564">iferror(XLOOKUP(A564,'Download of SFDC Activation Rep'!B:B,'Download of SFDC Activation Rep'!C:C),"")</f>
        <v/>
      </c>
      <c r="K564" s="17" t="str">
        <f t="array" ref="K564">XLOOKUP(A564,'Download of SFDC Activation Rep'!B:B,'Download of SFDC Activation Rep'!X:X)</f>
        <v>#N/A</v>
      </c>
      <c r="L564" s="32" t="str">
        <f t="array" ref="L564">xlookup(A564,'Download of SFDC Activation Rep'!B:B,'Download of SFDC Activation Rep'!Z:Z)</f>
        <v>#N/A</v>
      </c>
    </row>
    <row r="565">
      <c r="B565" s="14"/>
      <c r="C565" s="14"/>
      <c r="D565" s="14"/>
      <c r="E565" s="14"/>
      <c r="F565" s="13" t="str">
        <f t="array" ref="F565">iferror(XLOOKUP(A565,'Download of SFDC Activation Rep'!B:B,'Download of SFDC Activation Rep'!H:H),"")</f>
        <v/>
      </c>
      <c r="G565" s="13" t="str">
        <f t="array" ref="G565">iferror(xlookup(A565,'Download of SFDC Activation Rep'!B:B,'Download of SFDC Activation Rep'!L:L),"")</f>
        <v/>
      </c>
      <c r="H565" s="17" t="str">
        <f t="shared" si="1"/>
        <v>Not Active</v>
      </c>
      <c r="I565" s="17" t="str">
        <f t="array" ref="I565">XLOOKUP(A565,'Download of SFDC Activation Rep'!B:B,'Download of SFDC Activation Rep'!T:T)</f>
        <v>#N/A</v>
      </c>
      <c r="J565" s="17" t="str">
        <f t="array" ref="J565">iferror(XLOOKUP(A565,'Download of SFDC Activation Rep'!B:B,'Download of SFDC Activation Rep'!C:C),"")</f>
        <v/>
      </c>
      <c r="K565" s="17" t="str">
        <f t="array" ref="K565">XLOOKUP(A565,'Download of SFDC Activation Rep'!B:B,'Download of SFDC Activation Rep'!X:X)</f>
        <v>#N/A</v>
      </c>
      <c r="L565" s="32" t="str">
        <f t="array" ref="L565">xlookup(A565,'Download of SFDC Activation Rep'!B:B,'Download of SFDC Activation Rep'!Z:Z)</f>
        <v>#N/A</v>
      </c>
    </row>
    <row r="566">
      <c r="B566" s="14"/>
      <c r="C566" s="14"/>
      <c r="D566" s="14"/>
      <c r="E566" s="14"/>
      <c r="F566" s="13" t="str">
        <f t="array" ref="F566">iferror(XLOOKUP(A566,'Download of SFDC Activation Rep'!B:B,'Download of SFDC Activation Rep'!H:H),"")</f>
        <v/>
      </c>
      <c r="G566" s="13" t="str">
        <f t="array" ref="G566">iferror(xlookup(A566,'Download of SFDC Activation Rep'!B:B,'Download of SFDC Activation Rep'!L:L),"")</f>
        <v/>
      </c>
      <c r="H566" s="17" t="str">
        <f t="shared" si="1"/>
        <v>Not Active</v>
      </c>
      <c r="I566" s="17" t="str">
        <f t="array" ref="I566">XLOOKUP(A566,'Download of SFDC Activation Rep'!B:B,'Download of SFDC Activation Rep'!T:T)</f>
        <v>#N/A</v>
      </c>
      <c r="J566" s="17" t="str">
        <f t="array" ref="J566">iferror(XLOOKUP(A566,'Download of SFDC Activation Rep'!B:B,'Download of SFDC Activation Rep'!C:C),"")</f>
        <v/>
      </c>
      <c r="K566" s="17" t="str">
        <f t="array" ref="K566">XLOOKUP(A566,'Download of SFDC Activation Rep'!B:B,'Download of SFDC Activation Rep'!X:X)</f>
        <v>#N/A</v>
      </c>
      <c r="L566" s="32" t="str">
        <f t="array" ref="L566">xlookup(A566,'Download of SFDC Activation Rep'!B:B,'Download of SFDC Activation Rep'!Z:Z)</f>
        <v>#N/A</v>
      </c>
    </row>
    <row r="567">
      <c r="B567" s="14"/>
      <c r="C567" s="14"/>
      <c r="D567" s="14"/>
      <c r="E567" s="14"/>
      <c r="F567" s="13" t="str">
        <f t="array" ref="F567">iferror(XLOOKUP(A567,'Download of SFDC Activation Rep'!B:B,'Download of SFDC Activation Rep'!H:H),"")</f>
        <v/>
      </c>
      <c r="G567" s="13" t="str">
        <f t="array" ref="G567">iferror(xlookup(A567,'Download of SFDC Activation Rep'!B:B,'Download of SFDC Activation Rep'!L:L),"")</f>
        <v/>
      </c>
      <c r="H567" s="17" t="str">
        <f t="shared" si="1"/>
        <v>Not Active</v>
      </c>
      <c r="I567" s="17" t="str">
        <f t="array" ref="I567">XLOOKUP(A567,'Download of SFDC Activation Rep'!B:B,'Download of SFDC Activation Rep'!T:T)</f>
        <v>#N/A</v>
      </c>
      <c r="J567" s="17" t="str">
        <f t="array" ref="J567">iferror(XLOOKUP(A567,'Download of SFDC Activation Rep'!B:B,'Download of SFDC Activation Rep'!C:C),"")</f>
        <v/>
      </c>
      <c r="K567" s="17" t="str">
        <f t="array" ref="K567">XLOOKUP(A567,'Download of SFDC Activation Rep'!B:B,'Download of SFDC Activation Rep'!X:X)</f>
        <v>#N/A</v>
      </c>
      <c r="L567" s="32" t="str">
        <f t="array" ref="L567">xlookup(A567,'Download of SFDC Activation Rep'!B:B,'Download of SFDC Activation Rep'!Z:Z)</f>
        <v>#N/A</v>
      </c>
    </row>
    <row r="568">
      <c r="B568" s="14"/>
      <c r="C568" s="14"/>
      <c r="D568" s="14"/>
      <c r="E568" s="14"/>
      <c r="F568" s="13" t="str">
        <f t="array" ref="F568">iferror(XLOOKUP(A568,'Download of SFDC Activation Rep'!B:B,'Download of SFDC Activation Rep'!H:H),"")</f>
        <v/>
      </c>
      <c r="G568" s="13" t="str">
        <f t="array" ref="G568">iferror(xlookup(A568,'Download of SFDC Activation Rep'!B:B,'Download of SFDC Activation Rep'!L:L),"")</f>
        <v/>
      </c>
      <c r="H568" s="17" t="str">
        <f t="shared" si="1"/>
        <v>Not Active</v>
      </c>
      <c r="I568" s="17" t="str">
        <f t="array" ref="I568">XLOOKUP(A568,'Download of SFDC Activation Rep'!B:B,'Download of SFDC Activation Rep'!T:T)</f>
        <v>#N/A</v>
      </c>
      <c r="J568" s="17" t="str">
        <f t="array" ref="J568">iferror(XLOOKUP(A568,'Download of SFDC Activation Rep'!B:B,'Download of SFDC Activation Rep'!C:C),"")</f>
        <v/>
      </c>
      <c r="K568" s="17" t="str">
        <f t="array" ref="K568">XLOOKUP(A568,'Download of SFDC Activation Rep'!B:B,'Download of SFDC Activation Rep'!X:X)</f>
        <v>#N/A</v>
      </c>
      <c r="L568" s="32" t="str">
        <f t="array" ref="L568">xlookup(A568,'Download of SFDC Activation Rep'!B:B,'Download of SFDC Activation Rep'!Z:Z)</f>
        <v>#N/A</v>
      </c>
    </row>
    <row r="569">
      <c r="B569" s="14"/>
      <c r="C569" s="14"/>
      <c r="D569" s="14"/>
      <c r="E569" s="14"/>
      <c r="F569" s="13" t="str">
        <f t="array" ref="F569">iferror(XLOOKUP(A569,'Download of SFDC Activation Rep'!B:B,'Download of SFDC Activation Rep'!H:H),"")</f>
        <v/>
      </c>
      <c r="G569" s="13" t="str">
        <f t="array" ref="G569">iferror(xlookup(A569,'Download of SFDC Activation Rep'!B:B,'Download of SFDC Activation Rep'!L:L),"")</f>
        <v/>
      </c>
      <c r="H569" s="17" t="str">
        <f t="shared" si="1"/>
        <v>Not Active</v>
      </c>
      <c r="I569" s="17" t="str">
        <f t="array" ref="I569">XLOOKUP(A569,'Download of SFDC Activation Rep'!B:B,'Download of SFDC Activation Rep'!T:T)</f>
        <v>#N/A</v>
      </c>
      <c r="J569" s="17" t="str">
        <f t="array" ref="J569">iferror(XLOOKUP(A569,'Download of SFDC Activation Rep'!B:B,'Download of SFDC Activation Rep'!C:C),"")</f>
        <v/>
      </c>
      <c r="K569" s="17" t="str">
        <f t="array" ref="K569">XLOOKUP(A569,'Download of SFDC Activation Rep'!B:B,'Download of SFDC Activation Rep'!X:X)</f>
        <v>#N/A</v>
      </c>
      <c r="L569" s="32" t="str">
        <f t="array" ref="L569">xlookup(A569,'Download of SFDC Activation Rep'!B:B,'Download of SFDC Activation Rep'!Z:Z)</f>
        <v>#N/A</v>
      </c>
    </row>
    <row r="570">
      <c r="B570" s="14"/>
      <c r="C570" s="14"/>
      <c r="D570" s="14"/>
      <c r="E570" s="14"/>
      <c r="F570" s="13" t="str">
        <f t="array" ref="F570">iferror(XLOOKUP(A570,'Download of SFDC Activation Rep'!B:B,'Download of SFDC Activation Rep'!H:H),"")</f>
        <v/>
      </c>
      <c r="G570" s="13" t="str">
        <f t="array" ref="G570">iferror(xlookup(A570,'Download of SFDC Activation Rep'!B:B,'Download of SFDC Activation Rep'!L:L),"")</f>
        <v/>
      </c>
      <c r="H570" s="17" t="str">
        <f t="shared" si="1"/>
        <v>Not Active</v>
      </c>
      <c r="I570" s="17" t="str">
        <f t="array" ref="I570">XLOOKUP(A570,'Download of SFDC Activation Rep'!B:B,'Download of SFDC Activation Rep'!T:T)</f>
        <v>#N/A</v>
      </c>
      <c r="J570" s="17" t="str">
        <f t="array" ref="J570">iferror(XLOOKUP(A570,'Download of SFDC Activation Rep'!B:B,'Download of SFDC Activation Rep'!C:C),"")</f>
        <v/>
      </c>
      <c r="K570" s="17" t="str">
        <f t="array" ref="K570">XLOOKUP(A570,'Download of SFDC Activation Rep'!B:B,'Download of SFDC Activation Rep'!X:X)</f>
        <v>#N/A</v>
      </c>
      <c r="L570" s="32" t="str">
        <f t="array" ref="L570">xlookup(A570,'Download of SFDC Activation Rep'!B:B,'Download of SFDC Activation Rep'!Z:Z)</f>
        <v>#N/A</v>
      </c>
    </row>
    <row r="571">
      <c r="B571" s="14"/>
      <c r="C571" s="14"/>
      <c r="D571" s="14"/>
      <c r="E571" s="14"/>
      <c r="F571" s="13" t="str">
        <f t="array" ref="F571">iferror(XLOOKUP(A571,'Download of SFDC Activation Rep'!B:B,'Download of SFDC Activation Rep'!H:H),"")</f>
        <v/>
      </c>
      <c r="G571" s="13" t="str">
        <f t="array" ref="G571">iferror(xlookup(A571,'Download of SFDC Activation Rep'!B:B,'Download of SFDC Activation Rep'!L:L),"")</f>
        <v/>
      </c>
      <c r="H571" s="17" t="str">
        <f t="shared" si="1"/>
        <v>Not Active</v>
      </c>
      <c r="I571" s="17" t="str">
        <f t="array" ref="I571">XLOOKUP(A571,'Download of SFDC Activation Rep'!B:B,'Download of SFDC Activation Rep'!T:T)</f>
        <v>#N/A</v>
      </c>
      <c r="J571" s="17" t="str">
        <f t="array" ref="J571">iferror(XLOOKUP(A571,'Download of SFDC Activation Rep'!B:B,'Download of SFDC Activation Rep'!C:C),"")</f>
        <v/>
      </c>
      <c r="K571" s="17" t="str">
        <f t="array" ref="K571">XLOOKUP(A571,'Download of SFDC Activation Rep'!B:B,'Download of SFDC Activation Rep'!X:X)</f>
        <v>#N/A</v>
      </c>
      <c r="L571" s="32" t="str">
        <f t="array" ref="L571">xlookup(A571,'Download of SFDC Activation Rep'!B:B,'Download of SFDC Activation Rep'!Z:Z)</f>
        <v>#N/A</v>
      </c>
    </row>
    <row r="572">
      <c r="B572" s="14"/>
      <c r="C572" s="14"/>
      <c r="D572" s="14"/>
      <c r="E572" s="14"/>
      <c r="F572" s="13" t="str">
        <f t="array" ref="F572">iferror(XLOOKUP(A572,'Download of SFDC Activation Rep'!B:B,'Download of SFDC Activation Rep'!H:H),"")</f>
        <v/>
      </c>
      <c r="G572" s="13" t="str">
        <f t="array" ref="G572">iferror(xlookup(A572,'Download of SFDC Activation Rep'!B:B,'Download of SFDC Activation Rep'!L:L),"")</f>
        <v/>
      </c>
      <c r="H572" s="17" t="str">
        <f t="shared" si="1"/>
        <v>Not Active</v>
      </c>
      <c r="I572" s="17" t="str">
        <f t="array" ref="I572">XLOOKUP(A572,'Download of SFDC Activation Rep'!B:B,'Download of SFDC Activation Rep'!T:T)</f>
        <v>#N/A</v>
      </c>
      <c r="J572" s="17" t="str">
        <f t="array" ref="J572">iferror(XLOOKUP(A572,'Download of SFDC Activation Rep'!B:B,'Download of SFDC Activation Rep'!C:C),"")</f>
        <v/>
      </c>
      <c r="K572" s="17" t="str">
        <f t="array" ref="K572">XLOOKUP(A572,'Download of SFDC Activation Rep'!B:B,'Download of SFDC Activation Rep'!X:X)</f>
        <v>#N/A</v>
      </c>
      <c r="L572" s="32" t="str">
        <f t="array" ref="L572">xlookup(A572,'Download of SFDC Activation Rep'!B:B,'Download of SFDC Activation Rep'!Z:Z)</f>
        <v>#N/A</v>
      </c>
    </row>
    <row r="573">
      <c r="B573" s="14"/>
      <c r="C573" s="14"/>
      <c r="D573" s="14"/>
      <c r="E573" s="14"/>
      <c r="F573" s="13" t="str">
        <f t="array" ref="F573">iferror(XLOOKUP(A573,'Download of SFDC Activation Rep'!B:B,'Download of SFDC Activation Rep'!H:H),"")</f>
        <v/>
      </c>
      <c r="G573" s="13" t="str">
        <f t="array" ref="G573">iferror(xlookup(A573,'Download of SFDC Activation Rep'!B:B,'Download of SFDC Activation Rep'!L:L),"")</f>
        <v/>
      </c>
      <c r="H573" s="17" t="str">
        <f t="shared" si="1"/>
        <v>Not Active</v>
      </c>
      <c r="I573" s="17" t="str">
        <f t="array" ref="I573">XLOOKUP(A573,'Download of SFDC Activation Rep'!B:B,'Download of SFDC Activation Rep'!T:T)</f>
        <v>#N/A</v>
      </c>
      <c r="J573" s="17" t="str">
        <f t="array" ref="J573">iferror(XLOOKUP(A573,'Download of SFDC Activation Rep'!B:B,'Download of SFDC Activation Rep'!C:C),"")</f>
        <v/>
      </c>
      <c r="K573" s="17" t="str">
        <f t="array" ref="K573">XLOOKUP(A573,'Download of SFDC Activation Rep'!B:B,'Download of SFDC Activation Rep'!X:X)</f>
        <v>#N/A</v>
      </c>
      <c r="L573" s="32" t="str">
        <f t="array" ref="L573">xlookup(A573,'Download of SFDC Activation Rep'!B:B,'Download of SFDC Activation Rep'!Z:Z)</f>
        <v>#N/A</v>
      </c>
    </row>
    <row r="574">
      <c r="B574" s="14"/>
      <c r="C574" s="14"/>
      <c r="D574" s="14"/>
      <c r="E574" s="14"/>
      <c r="F574" s="13" t="str">
        <f t="array" ref="F574">iferror(XLOOKUP(A574,'Download of SFDC Activation Rep'!B:B,'Download of SFDC Activation Rep'!H:H),"")</f>
        <v/>
      </c>
      <c r="G574" s="13" t="str">
        <f t="array" ref="G574">iferror(xlookup(A574,'Download of SFDC Activation Rep'!B:B,'Download of SFDC Activation Rep'!L:L),"")</f>
        <v/>
      </c>
      <c r="H574" s="17" t="str">
        <f t="shared" si="1"/>
        <v>Not Active</v>
      </c>
      <c r="I574" s="17" t="str">
        <f t="array" ref="I574">XLOOKUP(A574,'Download of SFDC Activation Rep'!B:B,'Download of SFDC Activation Rep'!T:T)</f>
        <v>#N/A</v>
      </c>
      <c r="J574" s="17" t="str">
        <f t="array" ref="J574">iferror(XLOOKUP(A574,'Download of SFDC Activation Rep'!B:B,'Download of SFDC Activation Rep'!C:C),"")</f>
        <v/>
      </c>
      <c r="K574" s="17" t="str">
        <f t="array" ref="K574">XLOOKUP(A574,'Download of SFDC Activation Rep'!B:B,'Download of SFDC Activation Rep'!X:X)</f>
        <v>#N/A</v>
      </c>
      <c r="L574" s="32" t="str">
        <f t="array" ref="L574">xlookup(A574,'Download of SFDC Activation Rep'!B:B,'Download of SFDC Activation Rep'!Z:Z)</f>
        <v>#N/A</v>
      </c>
    </row>
    <row r="575">
      <c r="B575" s="14"/>
      <c r="C575" s="14"/>
      <c r="D575" s="14"/>
      <c r="E575" s="14"/>
      <c r="F575" s="13" t="str">
        <f t="array" ref="F575">iferror(XLOOKUP(A575,'Download of SFDC Activation Rep'!B:B,'Download of SFDC Activation Rep'!H:H),"")</f>
        <v/>
      </c>
      <c r="G575" s="13" t="str">
        <f t="array" ref="G575">iferror(xlookup(A575,'Download of SFDC Activation Rep'!B:B,'Download of SFDC Activation Rep'!L:L),"")</f>
        <v/>
      </c>
      <c r="H575" s="17" t="str">
        <f t="shared" si="1"/>
        <v>Not Active</v>
      </c>
      <c r="I575" s="17" t="str">
        <f t="array" ref="I575">XLOOKUP(A575,'Download of SFDC Activation Rep'!B:B,'Download of SFDC Activation Rep'!T:T)</f>
        <v>#N/A</v>
      </c>
      <c r="J575" s="17" t="str">
        <f t="array" ref="J575">iferror(XLOOKUP(A575,'Download of SFDC Activation Rep'!B:B,'Download of SFDC Activation Rep'!C:C),"")</f>
        <v/>
      </c>
      <c r="K575" s="17" t="str">
        <f t="array" ref="K575">XLOOKUP(A575,'Download of SFDC Activation Rep'!B:B,'Download of SFDC Activation Rep'!X:X)</f>
        <v>#N/A</v>
      </c>
      <c r="L575" s="32" t="str">
        <f t="array" ref="L575">xlookup(A575,'Download of SFDC Activation Rep'!B:B,'Download of SFDC Activation Rep'!Z:Z)</f>
        <v>#N/A</v>
      </c>
    </row>
    <row r="576">
      <c r="B576" s="14"/>
      <c r="C576" s="14"/>
      <c r="D576" s="14"/>
      <c r="E576" s="14"/>
      <c r="F576" s="13" t="str">
        <f t="array" ref="F576">iferror(XLOOKUP(A576,'Download of SFDC Activation Rep'!B:B,'Download of SFDC Activation Rep'!H:H),"")</f>
        <v/>
      </c>
      <c r="G576" s="13" t="str">
        <f t="array" ref="G576">iferror(xlookup(A576,'Download of SFDC Activation Rep'!B:B,'Download of SFDC Activation Rep'!L:L),"")</f>
        <v/>
      </c>
      <c r="H576" s="17" t="str">
        <f t="shared" si="1"/>
        <v>Not Active</v>
      </c>
      <c r="I576" s="17" t="str">
        <f t="array" ref="I576">XLOOKUP(A576,'Download of SFDC Activation Rep'!B:B,'Download of SFDC Activation Rep'!T:T)</f>
        <v>#N/A</v>
      </c>
      <c r="J576" s="17" t="str">
        <f t="array" ref="J576">iferror(XLOOKUP(A576,'Download of SFDC Activation Rep'!B:B,'Download of SFDC Activation Rep'!C:C),"")</f>
        <v/>
      </c>
      <c r="K576" s="17" t="str">
        <f t="array" ref="K576">XLOOKUP(A576,'Download of SFDC Activation Rep'!B:B,'Download of SFDC Activation Rep'!X:X)</f>
        <v>#N/A</v>
      </c>
      <c r="L576" s="32" t="str">
        <f t="array" ref="L576">xlookup(A576,'Download of SFDC Activation Rep'!B:B,'Download of SFDC Activation Rep'!Z:Z)</f>
        <v>#N/A</v>
      </c>
    </row>
    <row r="577">
      <c r="B577" s="14"/>
      <c r="C577" s="14"/>
      <c r="D577" s="14"/>
      <c r="E577" s="14"/>
      <c r="F577" s="13" t="str">
        <f t="array" ref="F577">iferror(XLOOKUP(A577,'Download of SFDC Activation Rep'!B:B,'Download of SFDC Activation Rep'!H:H),"")</f>
        <v/>
      </c>
      <c r="G577" s="13" t="str">
        <f t="array" ref="G577">iferror(xlookup(A577,'Download of SFDC Activation Rep'!B:B,'Download of SFDC Activation Rep'!L:L),"")</f>
        <v/>
      </c>
      <c r="H577" s="17" t="str">
        <f t="shared" si="1"/>
        <v>Not Active</v>
      </c>
      <c r="I577" s="17" t="str">
        <f t="array" ref="I577">XLOOKUP(A577,'Download of SFDC Activation Rep'!B:B,'Download of SFDC Activation Rep'!T:T)</f>
        <v>#N/A</v>
      </c>
      <c r="J577" s="17" t="str">
        <f t="array" ref="J577">iferror(XLOOKUP(A577,'Download of SFDC Activation Rep'!B:B,'Download of SFDC Activation Rep'!C:C),"")</f>
        <v/>
      </c>
      <c r="K577" s="17" t="str">
        <f t="array" ref="K577">XLOOKUP(A577,'Download of SFDC Activation Rep'!B:B,'Download of SFDC Activation Rep'!X:X)</f>
        <v>#N/A</v>
      </c>
      <c r="L577" s="32" t="str">
        <f t="array" ref="L577">xlookup(A577,'Download of SFDC Activation Rep'!B:B,'Download of SFDC Activation Rep'!Z:Z)</f>
        <v>#N/A</v>
      </c>
    </row>
    <row r="578">
      <c r="B578" s="14"/>
      <c r="C578" s="14"/>
      <c r="D578" s="14"/>
      <c r="E578" s="14"/>
      <c r="F578" s="13" t="str">
        <f t="array" ref="F578">iferror(XLOOKUP(A578,'Download of SFDC Activation Rep'!B:B,'Download of SFDC Activation Rep'!H:H),"")</f>
        <v/>
      </c>
      <c r="G578" s="13" t="str">
        <f t="array" ref="G578">iferror(xlookup(A578,'Download of SFDC Activation Rep'!B:B,'Download of SFDC Activation Rep'!L:L),"")</f>
        <v/>
      </c>
      <c r="H578" s="17" t="str">
        <f t="shared" si="1"/>
        <v>Not Active</v>
      </c>
      <c r="I578" s="17" t="str">
        <f t="array" ref="I578">XLOOKUP(A578,'Download of SFDC Activation Rep'!B:B,'Download of SFDC Activation Rep'!T:T)</f>
        <v>#N/A</v>
      </c>
      <c r="J578" s="17" t="str">
        <f t="array" ref="J578">iferror(XLOOKUP(A578,'Download of SFDC Activation Rep'!B:B,'Download of SFDC Activation Rep'!C:C),"")</f>
        <v/>
      </c>
      <c r="K578" s="17" t="str">
        <f t="array" ref="K578">XLOOKUP(A578,'Download of SFDC Activation Rep'!B:B,'Download of SFDC Activation Rep'!X:X)</f>
        <v>#N/A</v>
      </c>
      <c r="L578" s="32" t="str">
        <f t="array" ref="L578">xlookup(A578,'Download of SFDC Activation Rep'!B:B,'Download of SFDC Activation Rep'!Z:Z)</f>
        <v>#N/A</v>
      </c>
    </row>
    <row r="579">
      <c r="B579" s="14"/>
      <c r="C579" s="14"/>
      <c r="D579" s="14"/>
      <c r="E579" s="14"/>
      <c r="F579" s="13" t="str">
        <f t="array" ref="F579">iferror(XLOOKUP(A579,'Download of SFDC Activation Rep'!B:B,'Download of SFDC Activation Rep'!H:H),"")</f>
        <v/>
      </c>
      <c r="G579" s="13" t="str">
        <f t="array" ref="G579">iferror(xlookup(A579,'Download of SFDC Activation Rep'!B:B,'Download of SFDC Activation Rep'!L:L),"")</f>
        <v/>
      </c>
      <c r="H579" s="17" t="str">
        <f t="shared" si="1"/>
        <v>Not Active</v>
      </c>
      <c r="I579" s="17" t="str">
        <f t="array" ref="I579">XLOOKUP(A579,'Download of SFDC Activation Rep'!B:B,'Download of SFDC Activation Rep'!T:T)</f>
        <v>#N/A</v>
      </c>
      <c r="J579" s="17" t="str">
        <f t="array" ref="J579">iferror(XLOOKUP(A579,'Download of SFDC Activation Rep'!B:B,'Download of SFDC Activation Rep'!C:C),"")</f>
        <v/>
      </c>
      <c r="K579" s="17" t="str">
        <f t="array" ref="K579">XLOOKUP(A579,'Download of SFDC Activation Rep'!B:B,'Download of SFDC Activation Rep'!X:X)</f>
        <v>#N/A</v>
      </c>
      <c r="L579" s="32" t="str">
        <f t="array" ref="L579">xlookup(A579,'Download of SFDC Activation Rep'!B:B,'Download of SFDC Activation Rep'!Z:Z)</f>
        <v>#N/A</v>
      </c>
    </row>
    <row r="580">
      <c r="B580" s="14"/>
      <c r="C580" s="14"/>
      <c r="D580" s="14"/>
      <c r="E580" s="14"/>
      <c r="F580" s="13" t="str">
        <f t="array" ref="F580">iferror(XLOOKUP(A580,'Download of SFDC Activation Rep'!B:B,'Download of SFDC Activation Rep'!H:H),"")</f>
        <v/>
      </c>
      <c r="G580" s="13" t="str">
        <f t="array" ref="G580">iferror(xlookup(A580,'Download of SFDC Activation Rep'!B:B,'Download of SFDC Activation Rep'!L:L),"")</f>
        <v/>
      </c>
      <c r="H580" s="17" t="str">
        <f t="shared" si="1"/>
        <v>Not Active</v>
      </c>
      <c r="I580" s="17" t="str">
        <f t="array" ref="I580">XLOOKUP(A580,'Download of SFDC Activation Rep'!B:B,'Download of SFDC Activation Rep'!T:T)</f>
        <v>#N/A</v>
      </c>
      <c r="J580" s="17" t="str">
        <f t="array" ref="J580">iferror(XLOOKUP(A580,'Download of SFDC Activation Rep'!B:B,'Download of SFDC Activation Rep'!C:C),"")</f>
        <v/>
      </c>
      <c r="K580" s="17" t="str">
        <f t="array" ref="K580">XLOOKUP(A580,'Download of SFDC Activation Rep'!B:B,'Download of SFDC Activation Rep'!X:X)</f>
        <v>#N/A</v>
      </c>
      <c r="L580" s="32" t="str">
        <f t="array" ref="L580">xlookup(A580,'Download of SFDC Activation Rep'!B:B,'Download of SFDC Activation Rep'!Z:Z)</f>
        <v>#N/A</v>
      </c>
    </row>
    <row r="581">
      <c r="B581" s="14"/>
      <c r="C581" s="14"/>
      <c r="D581" s="14"/>
      <c r="E581" s="14"/>
      <c r="F581" s="13" t="str">
        <f t="array" ref="F581">iferror(XLOOKUP(A581,'Download of SFDC Activation Rep'!B:B,'Download of SFDC Activation Rep'!H:H),"")</f>
        <v/>
      </c>
      <c r="G581" s="13" t="str">
        <f t="array" ref="G581">iferror(xlookup(A581,'Download of SFDC Activation Rep'!B:B,'Download of SFDC Activation Rep'!L:L),"")</f>
        <v/>
      </c>
      <c r="H581" s="17" t="str">
        <f t="shared" si="1"/>
        <v>Not Active</v>
      </c>
      <c r="I581" s="17" t="str">
        <f t="array" ref="I581">XLOOKUP(A581,'Download of SFDC Activation Rep'!B:B,'Download of SFDC Activation Rep'!T:T)</f>
        <v>#N/A</v>
      </c>
      <c r="J581" s="17" t="str">
        <f t="array" ref="J581">iferror(XLOOKUP(A581,'Download of SFDC Activation Rep'!B:B,'Download of SFDC Activation Rep'!C:C),"")</f>
        <v/>
      </c>
      <c r="K581" s="17" t="str">
        <f t="array" ref="K581">XLOOKUP(A581,'Download of SFDC Activation Rep'!B:B,'Download of SFDC Activation Rep'!X:X)</f>
        <v>#N/A</v>
      </c>
      <c r="L581" s="32" t="str">
        <f t="array" ref="L581">xlookup(A581,'Download of SFDC Activation Rep'!B:B,'Download of SFDC Activation Rep'!Z:Z)</f>
        <v>#N/A</v>
      </c>
    </row>
    <row r="582">
      <c r="B582" s="14"/>
      <c r="C582" s="14"/>
      <c r="D582" s="14"/>
      <c r="E582" s="14"/>
      <c r="F582" s="13" t="str">
        <f t="array" ref="F582">iferror(XLOOKUP(A582,'Download of SFDC Activation Rep'!B:B,'Download of SFDC Activation Rep'!H:H),"")</f>
        <v/>
      </c>
      <c r="G582" s="13" t="str">
        <f t="array" ref="G582">iferror(xlookup(A582,'Download of SFDC Activation Rep'!B:B,'Download of SFDC Activation Rep'!L:L),"")</f>
        <v/>
      </c>
      <c r="H582" s="17" t="str">
        <f t="shared" si="1"/>
        <v>Not Active</v>
      </c>
      <c r="I582" s="17" t="str">
        <f t="array" ref="I582">XLOOKUP(A582,'Download of SFDC Activation Rep'!B:B,'Download of SFDC Activation Rep'!T:T)</f>
        <v>#N/A</v>
      </c>
      <c r="J582" s="17" t="str">
        <f t="array" ref="J582">iferror(XLOOKUP(A582,'Download of SFDC Activation Rep'!B:B,'Download of SFDC Activation Rep'!C:C),"")</f>
        <v/>
      </c>
      <c r="K582" s="17" t="str">
        <f t="array" ref="K582">XLOOKUP(A582,'Download of SFDC Activation Rep'!B:B,'Download of SFDC Activation Rep'!X:X)</f>
        <v>#N/A</v>
      </c>
      <c r="L582" s="32" t="str">
        <f t="array" ref="L582">xlookup(A582,'Download of SFDC Activation Rep'!B:B,'Download of SFDC Activation Rep'!Z:Z)</f>
        <v>#N/A</v>
      </c>
    </row>
    <row r="583">
      <c r="B583" s="14"/>
      <c r="C583" s="14"/>
      <c r="D583" s="14"/>
      <c r="E583" s="14"/>
      <c r="F583" s="13" t="str">
        <f t="array" ref="F583">iferror(XLOOKUP(A583,'Download of SFDC Activation Rep'!B:B,'Download of SFDC Activation Rep'!H:H),"")</f>
        <v/>
      </c>
      <c r="G583" s="13" t="str">
        <f t="array" ref="G583">iferror(xlookup(A583,'Download of SFDC Activation Rep'!B:B,'Download of SFDC Activation Rep'!L:L),"")</f>
        <v/>
      </c>
      <c r="H583" s="17" t="str">
        <f t="shared" si="1"/>
        <v>Not Active</v>
      </c>
      <c r="I583" s="17" t="str">
        <f t="array" ref="I583">XLOOKUP(A583,'Download of SFDC Activation Rep'!B:B,'Download of SFDC Activation Rep'!T:T)</f>
        <v>#N/A</v>
      </c>
      <c r="J583" s="17" t="str">
        <f t="array" ref="J583">iferror(XLOOKUP(A583,'Download of SFDC Activation Rep'!B:B,'Download of SFDC Activation Rep'!C:C),"")</f>
        <v/>
      </c>
      <c r="K583" s="17" t="str">
        <f t="array" ref="K583">XLOOKUP(A583,'Download of SFDC Activation Rep'!B:B,'Download of SFDC Activation Rep'!X:X)</f>
        <v>#N/A</v>
      </c>
      <c r="L583" s="32" t="str">
        <f t="array" ref="L583">xlookup(A583,'Download of SFDC Activation Rep'!B:B,'Download of SFDC Activation Rep'!Z:Z)</f>
        <v>#N/A</v>
      </c>
    </row>
    <row r="584">
      <c r="B584" s="14"/>
      <c r="C584" s="14"/>
      <c r="D584" s="14"/>
      <c r="E584" s="14"/>
      <c r="F584" s="13" t="str">
        <f t="array" ref="F584">iferror(XLOOKUP(A584,'Download of SFDC Activation Rep'!B:B,'Download of SFDC Activation Rep'!H:H),"")</f>
        <v/>
      </c>
      <c r="G584" s="13" t="str">
        <f t="array" ref="G584">iferror(xlookup(A584,'Download of SFDC Activation Rep'!B:B,'Download of SFDC Activation Rep'!L:L),"")</f>
        <v/>
      </c>
      <c r="H584" s="17" t="str">
        <f t="shared" si="1"/>
        <v>Not Active</v>
      </c>
      <c r="I584" s="17" t="str">
        <f t="array" ref="I584">XLOOKUP(A584,'Download of SFDC Activation Rep'!B:B,'Download of SFDC Activation Rep'!T:T)</f>
        <v>#N/A</v>
      </c>
      <c r="J584" s="17" t="str">
        <f t="array" ref="J584">iferror(XLOOKUP(A584,'Download of SFDC Activation Rep'!B:B,'Download of SFDC Activation Rep'!C:C),"")</f>
        <v/>
      </c>
      <c r="K584" s="17" t="str">
        <f t="array" ref="K584">XLOOKUP(A584,'Download of SFDC Activation Rep'!B:B,'Download of SFDC Activation Rep'!X:X)</f>
        <v>#N/A</v>
      </c>
      <c r="L584" s="32" t="str">
        <f t="array" ref="L584">xlookup(A584,'Download of SFDC Activation Rep'!B:B,'Download of SFDC Activation Rep'!Z:Z)</f>
        <v>#N/A</v>
      </c>
    </row>
    <row r="585">
      <c r="B585" s="14"/>
      <c r="C585" s="14"/>
      <c r="D585" s="14"/>
      <c r="E585" s="14"/>
      <c r="F585" s="13" t="str">
        <f t="array" ref="F585">iferror(XLOOKUP(A585,'Download of SFDC Activation Rep'!B:B,'Download of SFDC Activation Rep'!H:H),"")</f>
        <v/>
      </c>
      <c r="G585" s="13" t="str">
        <f t="array" ref="G585">iferror(xlookup(A585,'Download of SFDC Activation Rep'!B:B,'Download of SFDC Activation Rep'!L:L),"")</f>
        <v/>
      </c>
      <c r="H585" s="17" t="str">
        <f t="shared" si="1"/>
        <v>Not Active</v>
      </c>
      <c r="I585" s="17" t="str">
        <f t="array" ref="I585">XLOOKUP(A585,'Download of SFDC Activation Rep'!B:B,'Download of SFDC Activation Rep'!T:T)</f>
        <v>#N/A</v>
      </c>
      <c r="J585" s="17" t="str">
        <f t="array" ref="J585">iferror(XLOOKUP(A585,'Download of SFDC Activation Rep'!B:B,'Download of SFDC Activation Rep'!C:C),"")</f>
        <v/>
      </c>
      <c r="K585" s="17" t="str">
        <f t="array" ref="K585">XLOOKUP(A585,'Download of SFDC Activation Rep'!B:B,'Download of SFDC Activation Rep'!X:X)</f>
        <v>#N/A</v>
      </c>
      <c r="L585" s="32" t="str">
        <f t="array" ref="L585">xlookup(A585,'Download of SFDC Activation Rep'!B:B,'Download of SFDC Activation Rep'!Z:Z)</f>
        <v>#N/A</v>
      </c>
    </row>
    <row r="586">
      <c r="B586" s="14"/>
      <c r="C586" s="14"/>
      <c r="D586" s="14"/>
      <c r="E586" s="14"/>
      <c r="F586" s="13" t="str">
        <f t="array" ref="F586">iferror(XLOOKUP(A586,'Download of SFDC Activation Rep'!B:B,'Download of SFDC Activation Rep'!H:H),"")</f>
        <v/>
      </c>
      <c r="G586" s="13" t="str">
        <f t="array" ref="G586">iferror(xlookup(A586,'Download of SFDC Activation Rep'!B:B,'Download of SFDC Activation Rep'!L:L),"")</f>
        <v/>
      </c>
      <c r="H586" s="17" t="str">
        <f t="shared" si="1"/>
        <v>Not Active</v>
      </c>
      <c r="I586" s="17" t="str">
        <f t="array" ref="I586">XLOOKUP(A586,'Download of SFDC Activation Rep'!B:B,'Download of SFDC Activation Rep'!T:T)</f>
        <v>#N/A</v>
      </c>
      <c r="J586" s="17" t="str">
        <f t="array" ref="J586">iferror(XLOOKUP(A586,'Download of SFDC Activation Rep'!B:B,'Download of SFDC Activation Rep'!C:C),"")</f>
        <v/>
      </c>
      <c r="K586" s="17" t="str">
        <f t="array" ref="K586">XLOOKUP(A586,'Download of SFDC Activation Rep'!B:B,'Download of SFDC Activation Rep'!X:X)</f>
        <v>#N/A</v>
      </c>
      <c r="L586" s="32" t="str">
        <f t="array" ref="L586">xlookup(A586,'Download of SFDC Activation Rep'!B:B,'Download of SFDC Activation Rep'!Z:Z)</f>
        <v>#N/A</v>
      </c>
    </row>
    <row r="587">
      <c r="B587" s="14"/>
      <c r="C587" s="14"/>
      <c r="D587" s="14"/>
      <c r="E587" s="14"/>
      <c r="F587" s="13" t="str">
        <f t="array" ref="F587">iferror(XLOOKUP(A587,'Download of SFDC Activation Rep'!B:B,'Download of SFDC Activation Rep'!H:H),"")</f>
        <v/>
      </c>
      <c r="G587" s="13" t="str">
        <f t="array" ref="G587">iferror(xlookup(A587,'Download of SFDC Activation Rep'!B:B,'Download of SFDC Activation Rep'!L:L),"")</f>
        <v/>
      </c>
      <c r="H587" s="17" t="str">
        <f t="shared" si="1"/>
        <v>Not Active</v>
      </c>
      <c r="I587" s="17" t="str">
        <f t="array" ref="I587">XLOOKUP(A587,'Download of SFDC Activation Rep'!B:B,'Download of SFDC Activation Rep'!T:T)</f>
        <v>#N/A</v>
      </c>
      <c r="J587" s="17" t="str">
        <f t="array" ref="J587">iferror(XLOOKUP(A587,'Download of SFDC Activation Rep'!B:B,'Download of SFDC Activation Rep'!C:C),"")</f>
        <v/>
      </c>
      <c r="K587" s="17" t="str">
        <f t="array" ref="K587">XLOOKUP(A587,'Download of SFDC Activation Rep'!B:B,'Download of SFDC Activation Rep'!X:X)</f>
        <v>#N/A</v>
      </c>
      <c r="L587" s="32" t="str">
        <f t="array" ref="L587">xlookup(A587,'Download of SFDC Activation Rep'!B:B,'Download of SFDC Activation Rep'!Z:Z)</f>
        <v>#N/A</v>
      </c>
    </row>
    <row r="588">
      <c r="B588" s="14"/>
      <c r="C588" s="14"/>
      <c r="D588" s="14"/>
      <c r="E588" s="14"/>
      <c r="F588" s="13" t="str">
        <f t="array" ref="F588">iferror(XLOOKUP(A588,'Download of SFDC Activation Rep'!B:B,'Download of SFDC Activation Rep'!H:H),"")</f>
        <v/>
      </c>
      <c r="G588" s="13" t="str">
        <f t="array" ref="G588">iferror(xlookup(A588,'Download of SFDC Activation Rep'!B:B,'Download of SFDC Activation Rep'!L:L),"")</f>
        <v/>
      </c>
      <c r="H588" s="17" t="str">
        <f t="shared" si="1"/>
        <v>Not Active</v>
      </c>
      <c r="I588" s="17" t="str">
        <f t="array" ref="I588">XLOOKUP(A588,'Download of SFDC Activation Rep'!B:B,'Download of SFDC Activation Rep'!T:T)</f>
        <v>#N/A</v>
      </c>
      <c r="J588" s="17" t="str">
        <f t="array" ref="J588">iferror(XLOOKUP(A588,'Download of SFDC Activation Rep'!B:B,'Download of SFDC Activation Rep'!C:C),"")</f>
        <v/>
      </c>
      <c r="K588" s="17" t="str">
        <f t="array" ref="K588">XLOOKUP(A588,'Download of SFDC Activation Rep'!B:B,'Download of SFDC Activation Rep'!X:X)</f>
        <v>#N/A</v>
      </c>
      <c r="L588" s="32" t="str">
        <f t="array" ref="L588">xlookup(A588,'Download of SFDC Activation Rep'!B:B,'Download of SFDC Activation Rep'!Z:Z)</f>
        <v>#N/A</v>
      </c>
    </row>
    <row r="589">
      <c r="B589" s="14"/>
      <c r="C589" s="14"/>
      <c r="D589" s="14"/>
      <c r="E589" s="14"/>
      <c r="F589" s="13" t="str">
        <f t="array" ref="F589">iferror(XLOOKUP(A589,'Download of SFDC Activation Rep'!B:B,'Download of SFDC Activation Rep'!H:H),"")</f>
        <v/>
      </c>
      <c r="G589" s="13" t="str">
        <f t="array" ref="G589">iferror(xlookup(A589,'Download of SFDC Activation Rep'!B:B,'Download of SFDC Activation Rep'!L:L),"")</f>
        <v/>
      </c>
      <c r="H589" s="17" t="str">
        <f t="shared" si="1"/>
        <v>Not Active</v>
      </c>
      <c r="I589" s="17" t="str">
        <f t="array" ref="I589">XLOOKUP(A589,'Download of SFDC Activation Rep'!B:B,'Download of SFDC Activation Rep'!T:T)</f>
        <v>#N/A</v>
      </c>
      <c r="J589" s="17" t="str">
        <f t="array" ref="J589">iferror(XLOOKUP(A589,'Download of SFDC Activation Rep'!B:B,'Download of SFDC Activation Rep'!C:C),"")</f>
        <v/>
      </c>
      <c r="K589" s="17" t="str">
        <f t="array" ref="K589">XLOOKUP(A589,'Download of SFDC Activation Rep'!B:B,'Download of SFDC Activation Rep'!X:X)</f>
        <v>#N/A</v>
      </c>
      <c r="L589" s="32" t="str">
        <f t="array" ref="L589">xlookup(A589,'Download of SFDC Activation Rep'!B:B,'Download of SFDC Activation Rep'!Z:Z)</f>
        <v>#N/A</v>
      </c>
    </row>
    <row r="590">
      <c r="B590" s="14"/>
      <c r="C590" s="14"/>
      <c r="D590" s="14"/>
      <c r="E590" s="14"/>
      <c r="F590" s="13" t="str">
        <f t="array" ref="F590">iferror(XLOOKUP(A590,'Download of SFDC Activation Rep'!B:B,'Download of SFDC Activation Rep'!H:H),"")</f>
        <v/>
      </c>
      <c r="G590" s="13" t="str">
        <f t="array" ref="G590">iferror(xlookup(A590,'Download of SFDC Activation Rep'!B:B,'Download of SFDC Activation Rep'!L:L),"")</f>
        <v/>
      </c>
      <c r="H590" s="17" t="str">
        <f t="shared" si="1"/>
        <v>Not Active</v>
      </c>
      <c r="I590" s="17" t="str">
        <f t="array" ref="I590">XLOOKUP(A590,'Download of SFDC Activation Rep'!B:B,'Download of SFDC Activation Rep'!T:T)</f>
        <v>#N/A</v>
      </c>
      <c r="J590" s="17" t="str">
        <f t="array" ref="J590">iferror(XLOOKUP(A590,'Download of SFDC Activation Rep'!B:B,'Download of SFDC Activation Rep'!C:C),"")</f>
        <v/>
      </c>
      <c r="K590" s="17" t="str">
        <f t="array" ref="K590">XLOOKUP(A590,'Download of SFDC Activation Rep'!B:B,'Download of SFDC Activation Rep'!X:X)</f>
        <v>#N/A</v>
      </c>
      <c r="L590" s="32" t="str">
        <f t="array" ref="L590">xlookup(A590,'Download of SFDC Activation Rep'!B:B,'Download of SFDC Activation Rep'!Z:Z)</f>
        <v>#N/A</v>
      </c>
    </row>
    <row r="591">
      <c r="B591" s="14"/>
      <c r="C591" s="14"/>
      <c r="D591" s="14"/>
      <c r="E591" s="14"/>
      <c r="F591" s="13" t="str">
        <f t="array" ref="F591">iferror(XLOOKUP(A591,'Download of SFDC Activation Rep'!B:B,'Download of SFDC Activation Rep'!H:H),"")</f>
        <v/>
      </c>
      <c r="G591" s="13" t="str">
        <f t="array" ref="G591">iferror(xlookup(A591,'Download of SFDC Activation Rep'!B:B,'Download of SFDC Activation Rep'!L:L),"")</f>
        <v/>
      </c>
      <c r="H591" s="17" t="str">
        <f t="shared" si="1"/>
        <v>Not Active</v>
      </c>
      <c r="I591" s="17" t="str">
        <f t="array" ref="I591">XLOOKUP(A591,'Download of SFDC Activation Rep'!B:B,'Download of SFDC Activation Rep'!T:T)</f>
        <v>#N/A</v>
      </c>
      <c r="J591" s="17" t="str">
        <f t="array" ref="J591">iferror(XLOOKUP(A591,'Download of SFDC Activation Rep'!B:B,'Download of SFDC Activation Rep'!C:C),"")</f>
        <v/>
      </c>
      <c r="K591" s="17" t="str">
        <f t="array" ref="K591">XLOOKUP(A591,'Download of SFDC Activation Rep'!B:B,'Download of SFDC Activation Rep'!X:X)</f>
        <v>#N/A</v>
      </c>
      <c r="L591" s="32" t="str">
        <f t="array" ref="L591">xlookup(A591,'Download of SFDC Activation Rep'!B:B,'Download of SFDC Activation Rep'!Z:Z)</f>
        <v>#N/A</v>
      </c>
    </row>
    <row r="592">
      <c r="B592" s="14"/>
      <c r="C592" s="14"/>
      <c r="D592" s="14"/>
      <c r="E592" s="14"/>
      <c r="F592" s="13" t="str">
        <f t="array" ref="F592">iferror(XLOOKUP(A592,'Download of SFDC Activation Rep'!B:B,'Download of SFDC Activation Rep'!H:H),"")</f>
        <v/>
      </c>
      <c r="G592" s="13" t="str">
        <f t="array" ref="G592">iferror(xlookup(A592,'Download of SFDC Activation Rep'!B:B,'Download of SFDC Activation Rep'!L:L),"")</f>
        <v/>
      </c>
      <c r="H592" s="17" t="str">
        <f t="shared" si="1"/>
        <v>Not Active</v>
      </c>
      <c r="I592" s="17" t="str">
        <f t="array" ref="I592">XLOOKUP(A592,'Download of SFDC Activation Rep'!B:B,'Download of SFDC Activation Rep'!T:T)</f>
        <v>#N/A</v>
      </c>
      <c r="J592" s="17" t="str">
        <f t="array" ref="J592">iferror(XLOOKUP(A592,'Download of SFDC Activation Rep'!B:B,'Download of SFDC Activation Rep'!C:C),"")</f>
        <v/>
      </c>
      <c r="K592" s="17" t="str">
        <f t="array" ref="K592">XLOOKUP(A592,'Download of SFDC Activation Rep'!B:B,'Download of SFDC Activation Rep'!X:X)</f>
        <v>#N/A</v>
      </c>
      <c r="L592" s="32" t="str">
        <f t="array" ref="L592">xlookup(A592,'Download of SFDC Activation Rep'!B:B,'Download of SFDC Activation Rep'!Z:Z)</f>
        <v>#N/A</v>
      </c>
    </row>
    <row r="593">
      <c r="B593" s="14"/>
      <c r="C593" s="14"/>
      <c r="D593" s="14"/>
      <c r="E593" s="14"/>
      <c r="F593" s="13" t="str">
        <f t="array" ref="F593">iferror(XLOOKUP(A593,'Download of SFDC Activation Rep'!B:B,'Download of SFDC Activation Rep'!H:H),"")</f>
        <v/>
      </c>
      <c r="G593" s="13" t="str">
        <f t="array" ref="G593">iferror(xlookup(A593,'Download of SFDC Activation Rep'!B:B,'Download of SFDC Activation Rep'!L:L),"")</f>
        <v/>
      </c>
      <c r="H593" s="17" t="str">
        <f t="shared" si="1"/>
        <v>Not Active</v>
      </c>
      <c r="I593" s="17" t="str">
        <f t="array" ref="I593">XLOOKUP(A593,'Download of SFDC Activation Rep'!B:B,'Download of SFDC Activation Rep'!T:T)</f>
        <v>#N/A</v>
      </c>
      <c r="J593" s="17" t="str">
        <f t="array" ref="J593">iferror(XLOOKUP(A593,'Download of SFDC Activation Rep'!B:B,'Download of SFDC Activation Rep'!C:C),"")</f>
        <v/>
      </c>
      <c r="K593" s="17" t="str">
        <f t="array" ref="K593">XLOOKUP(A593,'Download of SFDC Activation Rep'!B:B,'Download of SFDC Activation Rep'!X:X)</f>
        <v>#N/A</v>
      </c>
      <c r="L593" s="32" t="str">
        <f t="array" ref="L593">xlookup(A593,'Download of SFDC Activation Rep'!B:B,'Download of SFDC Activation Rep'!Z:Z)</f>
        <v>#N/A</v>
      </c>
    </row>
    <row r="594">
      <c r="B594" s="14"/>
      <c r="C594" s="14"/>
      <c r="D594" s="14"/>
      <c r="E594" s="14"/>
      <c r="F594" s="13" t="str">
        <f t="array" ref="F594">iferror(XLOOKUP(A594,'Download of SFDC Activation Rep'!B:B,'Download of SFDC Activation Rep'!H:H),"")</f>
        <v/>
      </c>
      <c r="G594" s="13" t="str">
        <f t="array" ref="G594">iferror(xlookup(A594,'Download of SFDC Activation Rep'!B:B,'Download of SFDC Activation Rep'!L:L),"")</f>
        <v/>
      </c>
      <c r="H594" s="17" t="str">
        <f t="shared" si="1"/>
        <v>Not Active</v>
      </c>
      <c r="I594" s="17" t="str">
        <f t="array" ref="I594">XLOOKUP(A594,'Download of SFDC Activation Rep'!B:B,'Download of SFDC Activation Rep'!T:T)</f>
        <v>#N/A</v>
      </c>
      <c r="J594" s="17" t="str">
        <f t="array" ref="J594">iferror(XLOOKUP(A594,'Download of SFDC Activation Rep'!B:B,'Download of SFDC Activation Rep'!C:C),"")</f>
        <v/>
      </c>
      <c r="K594" s="17" t="str">
        <f t="array" ref="K594">XLOOKUP(A594,'Download of SFDC Activation Rep'!B:B,'Download of SFDC Activation Rep'!X:X)</f>
        <v>#N/A</v>
      </c>
      <c r="L594" s="32" t="str">
        <f t="array" ref="L594">xlookup(A594,'Download of SFDC Activation Rep'!B:B,'Download of SFDC Activation Rep'!Z:Z)</f>
        <v>#N/A</v>
      </c>
    </row>
    <row r="595">
      <c r="B595" s="14"/>
      <c r="C595" s="14"/>
      <c r="D595" s="14"/>
      <c r="E595" s="14"/>
      <c r="F595" s="13" t="str">
        <f t="array" ref="F595">iferror(XLOOKUP(A595,'Download of SFDC Activation Rep'!B:B,'Download of SFDC Activation Rep'!H:H),"")</f>
        <v/>
      </c>
      <c r="G595" s="13" t="str">
        <f t="array" ref="G595">iferror(xlookup(A595,'Download of SFDC Activation Rep'!B:B,'Download of SFDC Activation Rep'!L:L),"")</f>
        <v/>
      </c>
      <c r="H595" s="17" t="str">
        <f t="shared" si="1"/>
        <v>Not Active</v>
      </c>
      <c r="I595" s="17" t="str">
        <f t="array" ref="I595">XLOOKUP(A595,'Download of SFDC Activation Rep'!B:B,'Download of SFDC Activation Rep'!T:T)</f>
        <v>#N/A</v>
      </c>
      <c r="J595" s="17" t="str">
        <f t="array" ref="J595">iferror(XLOOKUP(A595,'Download of SFDC Activation Rep'!B:B,'Download of SFDC Activation Rep'!C:C),"")</f>
        <v/>
      </c>
      <c r="K595" s="17" t="str">
        <f t="array" ref="K595">XLOOKUP(A595,'Download of SFDC Activation Rep'!B:B,'Download of SFDC Activation Rep'!X:X)</f>
        <v>#N/A</v>
      </c>
      <c r="L595" s="32" t="str">
        <f t="array" ref="L595">xlookup(A595,'Download of SFDC Activation Rep'!B:B,'Download of SFDC Activation Rep'!Z:Z)</f>
        <v>#N/A</v>
      </c>
    </row>
    <row r="596">
      <c r="B596" s="14"/>
      <c r="C596" s="14"/>
      <c r="D596" s="14"/>
      <c r="E596" s="14"/>
      <c r="F596" s="13" t="str">
        <f t="array" ref="F596">iferror(XLOOKUP(A596,'Download of SFDC Activation Rep'!B:B,'Download of SFDC Activation Rep'!H:H),"")</f>
        <v/>
      </c>
      <c r="G596" s="13" t="str">
        <f t="array" ref="G596">iferror(xlookup(A596,'Download of SFDC Activation Rep'!B:B,'Download of SFDC Activation Rep'!L:L),"")</f>
        <v/>
      </c>
      <c r="H596" s="17" t="str">
        <f t="shared" si="1"/>
        <v>Not Active</v>
      </c>
      <c r="I596" s="17" t="str">
        <f t="array" ref="I596">XLOOKUP(A596,'Download of SFDC Activation Rep'!B:B,'Download of SFDC Activation Rep'!T:T)</f>
        <v>#N/A</v>
      </c>
      <c r="J596" s="17" t="str">
        <f t="array" ref="J596">iferror(XLOOKUP(A596,'Download of SFDC Activation Rep'!B:B,'Download of SFDC Activation Rep'!C:C),"")</f>
        <v/>
      </c>
      <c r="K596" s="17" t="str">
        <f t="array" ref="K596">XLOOKUP(A596,'Download of SFDC Activation Rep'!B:B,'Download of SFDC Activation Rep'!X:X)</f>
        <v>#N/A</v>
      </c>
      <c r="L596" s="32" t="str">
        <f t="array" ref="L596">xlookup(A596,'Download of SFDC Activation Rep'!B:B,'Download of SFDC Activation Rep'!Z:Z)</f>
        <v>#N/A</v>
      </c>
    </row>
    <row r="597">
      <c r="B597" s="14"/>
      <c r="C597" s="14"/>
      <c r="D597" s="14"/>
      <c r="E597" s="14"/>
      <c r="F597" s="13" t="str">
        <f t="array" ref="F597">iferror(XLOOKUP(A597,'Download of SFDC Activation Rep'!B:B,'Download of SFDC Activation Rep'!H:H),"")</f>
        <v/>
      </c>
      <c r="G597" s="13" t="str">
        <f t="array" ref="G597">iferror(xlookup(A597,'Download of SFDC Activation Rep'!B:B,'Download of SFDC Activation Rep'!L:L),"")</f>
        <v/>
      </c>
      <c r="H597" s="17" t="str">
        <f t="shared" si="1"/>
        <v>Not Active</v>
      </c>
      <c r="I597" s="17" t="str">
        <f t="array" ref="I597">XLOOKUP(A597,'Download of SFDC Activation Rep'!B:B,'Download of SFDC Activation Rep'!T:T)</f>
        <v>#N/A</v>
      </c>
      <c r="J597" s="17" t="str">
        <f t="array" ref="J597">iferror(XLOOKUP(A597,'Download of SFDC Activation Rep'!B:B,'Download of SFDC Activation Rep'!C:C),"")</f>
        <v/>
      </c>
      <c r="K597" s="17" t="str">
        <f t="array" ref="K597">XLOOKUP(A597,'Download of SFDC Activation Rep'!B:B,'Download of SFDC Activation Rep'!X:X)</f>
        <v>#N/A</v>
      </c>
      <c r="L597" s="32" t="str">
        <f t="array" ref="L597">xlookup(A597,'Download of SFDC Activation Rep'!B:B,'Download of SFDC Activation Rep'!Z:Z)</f>
        <v>#N/A</v>
      </c>
    </row>
    <row r="598">
      <c r="B598" s="14"/>
      <c r="C598" s="14"/>
      <c r="D598" s="14"/>
      <c r="E598" s="14"/>
      <c r="F598" s="13" t="str">
        <f t="array" ref="F598">iferror(XLOOKUP(A598,'Download of SFDC Activation Rep'!B:B,'Download of SFDC Activation Rep'!H:H),"")</f>
        <v/>
      </c>
      <c r="G598" s="13" t="str">
        <f t="array" ref="G598">iferror(xlookup(A598,'Download of SFDC Activation Rep'!B:B,'Download of SFDC Activation Rep'!L:L),"")</f>
        <v/>
      </c>
      <c r="H598" s="17" t="str">
        <f t="shared" si="1"/>
        <v>Not Active</v>
      </c>
      <c r="I598" s="17" t="str">
        <f t="array" ref="I598">XLOOKUP(A598,'Download of SFDC Activation Rep'!B:B,'Download of SFDC Activation Rep'!T:T)</f>
        <v>#N/A</v>
      </c>
      <c r="J598" s="17" t="str">
        <f t="array" ref="J598">iferror(XLOOKUP(A598,'Download of SFDC Activation Rep'!B:B,'Download of SFDC Activation Rep'!C:C),"")</f>
        <v/>
      </c>
      <c r="K598" s="17" t="str">
        <f t="array" ref="K598">XLOOKUP(A598,'Download of SFDC Activation Rep'!B:B,'Download of SFDC Activation Rep'!X:X)</f>
        <v>#N/A</v>
      </c>
      <c r="L598" s="32" t="str">
        <f t="array" ref="L598">xlookup(A598,'Download of SFDC Activation Rep'!B:B,'Download of SFDC Activation Rep'!Z:Z)</f>
        <v>#N/A</v>
      </c>
    </row>
    <row r="599">
      <c r="B599" s="14"/>
      <c r="C599" s="14"/>
      <c r="D599" s="14"/>
      <c r="E599" s="14"/>
      <c r="F599" s="13" t="str">
        <f t="array" ref="F599">iferror(XLOOKUP(A599,'Download of SFDC Activation Rep'!B:B,'Download of SFDC Activation Rep'!H:H),"")</f>
        <v/>
      </c>
      <c r="G599" s="13" t="str">
        <f t="array" ref="G599">iferror(xlookup(A599,'Download of SFDC Activation Rep'!B:B,'Download of SFDC Activation Rep'!L:L),"")</f>
        <v/>
      </c>
      <c r="H599" s="17" t="str">
        <f t="shared" si="1"/>
        <v>Not Active</v>
      </c>
      <c r="I599" s="17" t="str">
        <f t="array" ref="I599">XLOOKUP(A599,'Download of SFDC Activation Rep'!B:B,'Download of SFDC Activation Rep'!T:T)</f>
        <v>#N/A</v>
      </c>
      <c r="J599" s="17" t="str">
        <f t="array" ref="J599">iferror(XLOOKUP(A599,'Download of SFDC Activation Rep'!B:B,'Download of SFDC Activation Rep'!C:C),"")</f>
        <v/>
      </c>
      <c r="K599" s="17" t="str">
        <f t="array" ref="K599">XLOOKUP(A599,'Download of SFDC Activation Rep'!B:B,'Download of SFDC Activation Rep'!X:X)</f>
        <v>#N/A</v>
      </c>
      <c r="L599" s="32" t="str">
        <f t="array" ref="L599">xlookup(A599,'Download of SFDC Activation Rep'!B:B,'Download of SFDC Activation Rep'!Z:Z)</f>
        <v>#N/A</v>
      </c>
    </row>
    <row r="600">
      <c r="B600" s="14"/>
      <c r="C600" s="14"/>
      <c r="D600" s="14"/>
      <c r="E600" s="14"/>
      <c r="F600" s="13" t="str">
        <f t="array" ref="F600">iferror(XLOOKUP(A600,'Download of SFDC Activation Rep'!B:B,'Download of SFDC Activation Rep'!H:H),"")</f>
        <v/>
      </c>
      <c r="G600" s="13" t="str">
        <f t="array" ref="G600">iferror(xlookup(A600,'Download of SFDC Activation Rep'!B:B,'Download of SFDC Activation Rep'!L:L),"")</f>
        <v/>
      </c>
      <c r="H600" s="17" t="str">
        <f t="shared" si="1"/>
        <v>Not Active</v>
      </c>
      <c r="I600" s="17" t="str">
        <f t="array" ref="I600">XLOOKUP(A600,'Download of SFDC Activation Rep'!B:B,'Download of SFDC Activation Rep'!T:T)</f>
        <v>#N/A</v>
      </c>
      <c r="J600" s="17" t="str">
        <f t="array" ref="J600">iferror(XLOOKUP(A600,'Download of SFDC Activation Rep'!B:B,'Download of SFDC Activation Rep'!C:C),"")</f>
        <v/>
      </c>
      <c r="K600" s="17" t="str">
        <f t="array" ref="K600">XLOOKUP(A600,'Download of SFDC Activation Rep'!B:B,'Download of SFDC Activation Rep'!X:X)</f>
        <v>#N/A</v>
      </c>
      <c r="L600" s="32" t="str">
        <f t="array" ref="L600">xlookup(A600,'Download of SFDC Activation Rep'!B:B,'Download of SFDC Activation Rep'!Z:Z)</f>
        <v>#N/A</v>
      </c>
    </row>
    <row r="601">
      <c r="B601" s="14"/>
      <c r="C601" s="14"/>
      <c r="D601" s="14"/>
      <c r="E601" s="14"/>
      <c r="F601" s="13" t="str">
        <f t="array" ref="F601">iferror(XLOOKUP(A601,'Download of SFDC Activation Rep'!B:B,'Download of SFDC Activation Rep'!H:H),"")</f>
        <v/>
      </c>
      <c r="G601" s="13" t="str">
        <f t="array" ref="G601">iferror(xlookup(A601,'Download of SFDC Activation Rep'!B:B,'Download of SFDC Activation Rep'!L:L),"")</f>
        <v/>
      </c>
      <c r="H601" s="17" t="str">
        <f t="shared" si="1"/>
        <v>Not Active</v>
      </c>
      <c r="I601" s="17" t="str">
        <f t="array" ref="I601">XLOOKUP(A601,'Download of SFDC Activation Rep'!B:B,'Download of SFDC Activation Rep'!T:T)</f>
        <v>#N/A</v>
      </c>
      <c r="J601" s="17" t="str">
        <f t="array" ref="J601">iferror(XLOOKUP(A601,'Download of SFDC Activation Rep'!B:B,'Download of SFDC Activation Rep'!C:C),"")</f>
        <v/>
      </c>
      <c r="K601" s="17" t="str">
        <f t="array" ref="K601">XLOOKUP(A601,'Download of SFDC Activation Rep'!B:B,'Download of SFDC Activation Rep'!X:X)</f>
        <v>#N/A</v>
      </c>
      <c r="L601" s="32" t="str">
        <f t="array" ref="L601">xlookup(A601,'Download of SFDC Activation Rep'!B:B,'Download of SFDC Activation Rep'!Z:Z)</f>
        <v>#N/A</v>
      </c>
    </row>
    <row r="602">
      <c r="B602" s="14"/>
      <c r="C602" s="14"/>
      <c r="D602" s="14"/>
      <c r="E602" s="14"/>
      <c r="F602" s="13" t="str">
        <f t="array" ref="F602">iferror(XLOOKUP(A602,'Download of SFDC Activation Rep'!B:B,'Download of SFDC Activation Rep'!H:H),"")</f>
        <v/>
      </c>
      <c r="G602" s="13" t="str">
        <f t="array" ref="G602">iferror(xlookup(A602,'Download of SFDC Activation Rep'!B:B,'Download of SFDC Activation Rep'!L:L),"")</f>
        <v/>
      </c>
      <c r="H602" s="17" t="str">
        <f t="shared" si="1"/>
        <v>Not Active</v>
      </c>
      <c r="I602" s="17" t="str">
        <f t="array" ref="I602">XLOOKUP(A602,'Download of SFDC Activation Rep'!B:B,'Download of SFDC Activation Rep'!T:T)</f>
        <v>#N/A</v>
      </c>
      <c r="J602" s="17" t="str">
        <f t="array" ref="J602">iferror(XLOOKUP(A602,'Download of SFDC Activation Rep'!B:B,'Download of SFDC Activation Rep'!C:C),"")</f>
        <v/>
      </c>
      <c r="K602" s="17" t="str">
        <f t="array" ref="K602">XLOOKUP(A602,'Download of SFDC Activation Rep'!B:B,'Download of SFDC Activation Rep'!X:X)</f>
        <v>#N/A</v>
      </c>
      <c r="L602" s="32" t="str">
        <f t="array" ref="L602">xlookup(A602,'Download of SFDC Activation Rep'!B:B,'Download of SFDC Activation Rep'!Z:Z)</f>
        <v>#N/A</v>
      </c>
    </row>
    <row r="603">
      <c r="B603" s="14"/>
      <c r="C603" s="14"/>
      <c r="D603" s="14"/>
      <c r="E603" s="14"/>
      <c r="F603" s="13" t="str">
        <f t="array" ref="F603">iferror(XLOOKUP(A603,'Download of SFDC Activation Rep'!B:B,'Download of SFDC Activation Rep'!H:H),"")</f>
        <v/>
      </c>
      <c r="G603" s="13" t="str">
        <f t="array" ref="G603">iferror(xlookup(A603,'Download of SFDC Activation Rep'!B:B,'Download of SFDC Activation Rep'!L:L),"")</f>
        <v/>
      </c>
      <c r="H603" s="17" t="str">
        <f t="shared" si="1"/>
        <v>Not Active</v>
      </c>
      <c r="I603" s="17" t="str">
        <f t="array" ref="I603">XLOOKUP(A603,'Download of SFDC Activation Rep'!B:B,'Download of SFDC Activation Rep'!T:T)</f>
        <v>#N/A</v>
      </c>
      <c r="J603" s="17" t="str">
        <f t="array" ref="J603">iferror(XLOOKUP(A603,'Download of SFDC Activation Rep'!B:B,'Download of SFDC Activation Rep'!C:C),"")</f>
        <v/>
      </c>
      <c r="K603" s="17" t="str">
        <f t="array" ref="K603">XLOOKUP(A603,'Download of SFDC Activation Rep'!B:B,'Download of SFDC Activation Rep'!X:X)</f>
        <v>#N/A</v>
      </c>
      <c r="L603" s="32" t="str">
        <f t="array" ref="L603">xlookup(A603,'Download of SFDC Activation Rep'!B:B,'Download of SFDC Activation Rep'!Z:Z)</f>
        <v>#N/A</v>
      </c>
    </row>
    <row r="604">
      <c r="B604" s="14"/>
      <c r="C604" s="14"/>
      <c r="D604" s="14"/>
      <c r="E604" s="14"/>
      <c r="F604" s="13" t="str">
        <f t="array" ref="F604">iferror(XLOOKUP(A604,'Download of SFDC Activation Rep'!B:B,'Download of SFDC Activation Rep'!H:H),"")</f>
        <v/>
      </c>
      <c r="G604" s="13" t="str">
        <f t="array" ref="G604">iferror(xlookup(A604,'Download of SFDC Activation Rep'!B:B,'Download of SFDC Activation Rep'!L:L),"")</f>
        <v/>
      </c>
      <c r="H604" s="17" t="str">
        <f t="shared" si="1"/>
        <v>Not Active</v>
      </c>
      <c r="I604" s="17" t="str">
        <f t="array" ref="I604">XLOOKUP(A604,'Download of SFDC Activation Rep'!B:B,'Download of SFDC Activation Rep'!T:T)</f>
        <v>#N/A</v>
      </c>
      <c r="J604" s="17" t="str">
        <f t="array" ref="J604">iferror(XLOOKUP(A604,'Download of SFDC Activation Rep'!B:B,'Download of SFDC Activation Rep'!C:C),"")</f>
        <v/>
      </c>
      <c r="K604" s="17" t="str">
        <f t="array" ref="K604">XLOOKUP(A604,'Download of SFDC Activation Rep'!B:B,'Download of SFDC Activation Rep'!X:X)</f>
        <v>#N/A</v>
      </c>
      <c r="L604" s="32" t="str">
        <f t="array" ref="L604">xlookup(A604,'Download of SFDC Activation Rep'!B:B,'Download of SFDC Activation Rep'!Z:Z)</f>
        <v>#N/A</v>
      </c>
    </row>
    <row r="605">
      <c r="B605" s="14"/>
      <c r="C605" s="14"/>
      <c r="D605" s="14"/>
      <c r="E605" s="14"/>
      <c r="F605" s="13" t="str">
        <f t="array" ref="F605">iferror(XLOOKUP(A605,'Download of SFDC Activation Rep'!B:B,'Download of SFDC Activation Rep'!H:H),"")</f>
        <v/>
      </c>
      <c r="G605" s="13" t="str">
        <f t="array" ref="G605">iferror(xlookup(A605,'Download of SFDC Activation Rep'!B:B,'Download of SFDC Activation Rep'!L:L),"")</f>
        <v/>
      </c>
      <c r="H605" s="17" t="str">
        <f t="shared" si="1"/>
        <v>Not Active</v>
      </c>
      <c r="I605" s="17" t="str">
        <f t="array" ref="I605">XLOOKUP(A605,'Download of SFDC Activation Rep'!B:B,'Download of SFDC Activation Rep'!T:T)</f>
        <v>#N/A</v>
      </c>
      <c r="J605" s="17" t="str">
        <f t="array" ref="J605">iferror(XLOOKUP(A605,'Download of SFDC Activation Rep'!B:B,'Download of SFDC Activation Rep'!C:C),"")</f>
        <v/>
      </c>
      <c r="K605" s="17" t="str">
        <f t="array" ref="K605">XLOOKUP(A605,'Download of SFDC Activation Rep'!B:B,'Download of SFDC Activation Rep'!X:X)</f>
        <v>#N/A</v>
      </c>
      <c r="L605" s="32" t="str">
        <f t="array" ref="L605">xlookup(A605,'Download of SFDC Activation Rep'!B:B,'Download of SFDC Activation Rep'!Z:Z)</f>
        <v>#N/A</v>
      </c>
    </row>
    <row r="606">
      <c r="B606" s="14"/>
      <c r="C606" s="14"/>
      <c r="D606" s="14"/>
      <c r="E606" s="14"/>
      <c r="F606" s="13" t="str">
        <f t="array" ref="F606">iferror(XLOOKUP(A606,'Download of SFDC Activation Rep'!B:B,'Download of SFDC Activation Rep'!H:H),"")</f>
        <v/>
      </c>
      <c r="G606" s="13" t="str">
        <f t="array" ref="G606">iferror(xlookup(A606,'Download of SFDC Activation Rep'!B:B,'Download of SFDC Activation Rep'!L:L),"")</f>
        <v/>
      </c>
      <c r="H606" s="17" t="str">
        <f t="shared" si="1"/>
        <v>Not Active</v>
      </c>
      <c r="I606" s="17" t="str">
        <f t="array" ref="I606">XLOOKUP(A606,'Download of SFDC Activation Rep'!B:B,'Download of SFDC Activation Rep'!T:T)</f>
        <v>#N/A</v>
      </c>
      <c r="J606" s="17" t="str">
        <f t="array" ref="J606">iferror(XLOOKUP(A606,'Download of SFDC Activation Rep'!B:B,'Download of SFDC Activation Rep'!C:C),"")</f>
        <v/>
      </c>
      <c r="K606" s="17" t="str">
        <f t="array" ref="K606">XLOOKUP(A606,'Download of SFDC Activation Rep'!B:B,'Download of SFDC Activation Rep'!X:X)</f>
        <v>#N/A</v>
      </c>
      <c r="L606" s="32" t="str">
        <f t="array" ref="L606">xlookup(A606,'Download of SFDC Activation Rep'!B:B,'Download of SFDC Activation Rep'!Z:Z)</f>
        <v>#N/A</v>
      </c>
    </row>
    <row r="607">
      <c r="B607" s="14"/>
      <c r="C607" s="14"/>
      <c r="D607" s="14"/>
      <c r="E607" s="14"/>
      <c r="F607" s="13" t="str">
        <f t="array" ref="F607">iferror(XLOOKUP(A607,'Download of SFDC Activation Rep'!B:B,'Download of SFDC Activation Rep'!H:H),"")</f>
        <v/>
      </c>
      <c r="G607" s="13" t="str">
        <f t="array" ref="G607">iferror(xlookup(A607,'Download of SFDC Activation Rep'!B:B,'Download of SFDC Activation Rep'!L:L),"")</f>
        <v/>
      </c>
      <c r="H607" s="17" t="str">
        <f t="shared" si="1"/>
        <v>Not Active</v>
      </c>
      <c r="I607" s="17" t="str">
        <f t="array" ref="I607">XLOOKUP(A607,'Download of SFDC Activation Rep'!B:B,'Download of SFDC Activation Rep'!T:T)</f>
        <v>#N/A</v>
      </c>
      <c r="J607" s="17" t="str">
        <f t="array" ref="J607">iferror(XLOOKUP(A607,'Download of SFDC Activation Rep'!B:B,'Download of SFDC Activation Rep'!C:C),"")</f>
        <v/>
      </c>
      <c r="K607" s="17" t="str">
        <f t="array" ref="K607">XLOOKUP(A607,'Download of SFDC Activation Rep'!B:B,'Download of SFDC Activation Rep'!X:X)</f>
        <v>#N/A</v>
      </c>
      <c r="L607" s="32" t="str">
        <f t="array" ref="L607">xlookup(A607,'Download of SFDC Activation Rep'!B:B,'Download of SFDC Activation Rep'!Z:Z)</f>
        <v>#N/A</v>
      </c>
    </row>
    <row r="608">
      <c r="B608" s="14"/>
      <c r="C608" s="14"/>
      <c r="D608" s="14"/>
      <c r="E608" s="14"/>
      <c r="F608" s="13" t="str">
        <f t="array" ref="F608">iferror(XLOOKUP(A608,'Download of SFDC Activation Rep'!B:B,'Download of SFDC Activation Rep'!H:H),"")</f>
        <v/>
      </c>
      <c r="G608" s="13" t="str">
        <f t="array" ref="G608">iferror(xlookup(A608,'Download of SFDC Activation Rep'!B:B,'Download of SFDC Activation Rep'!L:L),"")</f>
        <v/>
      </c>
      <c r="H608" s="17" t="str">
        <f t="shared" si="1"/>
        <v>Not Active</v>
      </c>
      <c r="I608" s="17" t="str">
        <f t="array" ref="I608">XLOOKUP(A608,'Download of SFDC Activation Rep'!B:B,'Download of SFDC Activation Rep'!T:T)</f>
        <v>#N/A</v>
      </c>
      <c r="J608" s="17" t="str">
        <f t="array" ref="J608">iferror(XLOOKUP(A608,'Download of SFDC Activation Rep'!B:B,'Download of SFDC Activation Rep'!C:C),"")</f>
        <v/>
      </c>
      <c r="K608" s="17" t="str">
        <f t="array" ref="K608">XLOOKUP(A608,'Download of SFDC Activation Rep'!B:B,'Download of SFDC Activation Rep'!X:X)</f>
        <v>#N/A</v>
      </c>
      <c r="L608" s="32" t="str">
        <f t="array" ref="L608">xlookup(A608,'Download of SFDC Activation Rep'!B:B,'Download of SFDC Activation Rep'!Z:Z)</f>
        <v>#N/A</v>
      </c>
    </row>
    <row r="609">
      <c r="B609" s="14"/>
      <c r="C609" s="14"/>
      <c r="D609" s="14"/>
      <c r="E609" s="14"/>
      <c r="F609" s="13" t="str">
        <f t="array" ref="F609">iferror(XLOOKUP(A609,'Download of SFDC Activation Rep'!B:B,'Download of SFDC Activation Rep'!H:H),"")</f>
        <v/>
      </c>
      <c r="G609" s="13" t="str">
        <f t="array" ref="G609">iferror(xlookup(A609,'Download of SFDC Activation Rep'!B:B,'Download of SFDC Activation Rep'!L:L),"")</f>
        <v/>
      </c>
      <c r="H609" s="17" t="str">
        <f t="shared" si="1"/>
        <v>Not Active</v>
      </c>
      <c r="I609" s="17" t="str">
        <f t="array" ref="I609">XLOOKUP(A609,'Download of SFDC Activation Rep'!B:B,'Download of SFDC Activation Rep'!T:T)</f>
        <v>#N/A</v>
      </c>
      <c r="J609" s="17" t="str">
        <f t="array" ref="J609">iferror(XLOOKUP(A609,'Download of SFDC Activation Rep'!B:B,'Download of SFDC Activation Rep'!C:C),"")</f>
        <v/>
      </c>
      <c r="K609" s="17" t="str">
        <f t="array" ref="K609">XLOOKUP(A609,'Download of SFDC Activation Rep'!B:B,'Download of SFDC Activation Rep'!X:X)</f>
        <v>#N/A</v>
      </c>
      <c r="L609" s="32" t="str">
        <f t="array" ref="L609">xlookup(A609,'Download of SFDC Activation Rep'!B:B,'Download of SFDC Activation Rep'!Z:Z)</f>
        <v>#N/A</v>
      </c>
    </row>
    <row r="610">
      <c r="B610" s="14"/>
      <c r="C610" s="14"/>
      <c r="D610" s="14"/>
      <c r="E610" s="14"/>
      <c r="F610" s="13" t="str">
        <f t="array" ref="F610">iferror(XLOOKUP(A610,'Download of SFDC Activation Rep'!B:B,'Download of SFDC Activation Rep'!H:H),"")</f>
        <v/>
      </c>
      <c r="G610" s="13" t="str">
        <f t="array" ref="G610">iferror(xlookup(A610,'Download of SFDC Activation Rep'!B:B,'Download of SFDC Activation Rep'!L:L),"")</f>
        <v/>
      </c>
      <c r="H610" s="17" t="str">
        <f t="shared" si="1"/>
        <v>Not Active</v>
      </c>
      <c r="I610" s="17" t="str">
        <f t="array" ref="I610">XLOOKUP(A610,'Download of SFDC Activation Rep'!B:B,'Download of SFDC Activation Rep'!T:T)</f>
        <v>#N/A</v>
      </c>
      <c r="J610" s="17" t="str">
        <f t="array" ref="J610">iferror(XLOOKUP(A610,'Download of SFDC Activation Rep'!B:B,'Download of SFDC Activation Rep'!C:C),"")</f>
        <v/>
      </c>
      <c r="K610" s="17" t="str">
        <f t="array" ref="K610">XLOOKUP(A610,'Download of SFDC Activation Rep'!B:B,'Download of SFDC Activation Rep'!X:X)</f>
        <v>#N/A</v>
      </c>
      <c r="L610" s="32" t="str">
        <f t="array" ref="L610">xlookup(A610,'Download of SFDC Activation Rep'!B:B,'Download of SFDC Activation Rep'!Z:Z)</f>
        <v>#N/A</v>
      </c>
    </row>
    <row r="611">
      <c r="B611" s="14"/>
      <c r="C611" s="14"/>
      <c r="D611" s="14"/>
      <c r="E611" s="14"/>
      <c r="F611" s="13" t="str">
        <f t="array" ref="F611">iferror(XLOOKUP(A611,'Download of SFDC Activation Rep'!B:B,'Download of SFDC Activation Rep'!H:H),"")</f>
        <v/>
      </c>
      <c r="G611" s="13" t="str">
        <f t="array" ref="G611">iferror(xlookup(A611,'Download of SFDC Activation Rep'!B:B,'Download of SFDC Activation Rep'!L:L),"")</f>
        <v/>
      </c>
      <c r="H611" s="17" t="str">
        <f t="shared" si="1"/>
        <v>Not Active</v>
      </c>
      <c r="I611" s="17" t="str">
        <f t="array" ref="I611">XLOOKUP(A611,'Download of SFDC Activation Rep'!B:B,'Download of SFDC Activation Rep'!T:T)</f>
        <v>#N/A</v>
      </c>
      <c r="J611" s="17" t="str">
        <f t="array" ref="J611">iferror(XLOOKUP(A611,'Download of SFDC Activation Rep'!B:B,'Download of SFDC Activation Rep'!C:C),"")</f>
        <v/>
      </c>
      <c r="K611" s="17" t="str">
        <f t="array" ref="K611">XLOOKUP(A611,'Download of SFDC Activation Rep'!B:B,'Download of SFDC Activation Rep'!X:X)</f>
        <v>#N/A</v>
      </c>
      <c r="L611" s="32" t="str">
        <f t="array" ref="L611">xlookup(A611,'Download of SFDC Activation Rep'!B:B,'Download of SFDC Activation Rep'!Z:Z)</f>
        <v>#N/A</v>
      </c>
    </row>
    <row r="612">
      <c r="B612" s="14"/>
      <c r="C612" s="14"/>
      <c r="D612" s="14"/>
      <c r="E612" s="14"/>
      <c r="F612" s="13" t="str">
        <f t="array" ref="F612">iferror(XLOOKUP(A612,'Download of SFDC Activation Rep'!B:B,'Download of SFDC Activation Rep'!H:H),"")</f>
        <v/>
      </c>
      <c r="G612" s="13" t="str">
        <f t="array" ref="G612">iferror(xlookup(A612,'Download of SFDC Activation Rep'!B:B,'Download of SFDC Activation Rep'!L:L),"")</f>
        <v/>
      </c>
      <c r="H612" s="17" t="str">
        <f t="shared" si="1"/>
        <v>Not Active</v>
      </c>
      <c r="I612" s="17" t="str">
        <f t="array" ref="I612">XLOOKUP(A612,'Download of SFDC Activation Rep'!B:B,'Download of SFDC Activation Rep'!T:T)</f>
        <v>#N/A</v>
      </c>
      <c r="J612" s="17" t="str">
        <f t="array" ref="J612">iferror(XLOOKUP(A612,'Download of SFDC Activation Rep'!B:B,'Download of SFDC Activation Rep'!C:C),"")</f>
        <v/>
      </c>
      <c r="K612" s="17" t="str">
        <f t="array" ref="K612">XLOOKUP(A612,'Download of SFDC Activation Rep'!B:B,'Download of SFDC Activation Rep'!X:X)</f>
        <v>#N/A</v>
      </c>
      <c r="L612" s="32" t="str">
        <f t="array" ref="L612">xlookup(A612,'Download of SFDC Activation Rep'!B:B,'Download of SFDC Activation Rep'!Z:Z)</f>
        <v>#N/A</v>
      </c>
    </row>
    <row r="613">
      <c r="B613" s="14"/>
      <c r="C613" s="14"/>
      <c r="D613" s="14"/>
      <c r="E613" s="14"/>
      <c r="F613" s="13" t="str">
        <f t="array" ref="F613">iferror(XLOOKUP(A613,'Download of SFDC Activation Rep'!B:B,'Download of SFDC Activation Rep'!H:H),"")</f>
        <v/>
      </c>
      <c r="G613" s="13" t="str">
        <f t="array" ref="G613">iferror(xlookup(A613,'Download of SFDC Activation Rep'!B:B,'Download of SFDC Activation Rep'!L:L),"")</f>
        <v/>
      </c>
      <c r="H613" s="17" t="str">
        <f t="shared" si="1"/>
        <v>Not Active</v>
      </c>
      <c r="I613" s="17" t="str">
        <f t="array" ref="I613">XLOOKUP(A613,'Download of SFDC Activation Rep'!B:B,'Download of SFDC Activation Rep'!T:T)</f>
        <v>#N/A</v>
      </c>
      <c r="J613" s="17" t="str">
        <f t="array" ref="J613">iferror(XLOOKUP(A613,'Download of SFDC Activation Rep'!B:B,'Download of SFDC Activation Rep'!C:C),"")</f>
        <v/>
      </c>
      <c r="K613" s="17" t="str">
        <f t="array" ref="K613">XLOOKUP(A613,'Download of SFDC Activation Rep'!B:B,'Download of SFDC Activation Rep'!X:X)</f>
        <v>#N/A</v>
      </c>
      <c r="L613" s="32" t="str">
        <f t="array" ref="L613">xlookup(A613,'Download of SFDC Activation Rep'!B:B,'Download of SFDC Activation Rep'!Z:Z)</f>
        <v>#N/A</v>
      </c>
    </row>
    <row r="614">
      <c r="B614" s="14"/>
      <c r="C614" s="14"/>
      <c r="D614" s="14"/>
      <c r="E614" s="14"/>
      <c r="F614" s="13" t="str">
        <f t="array" ref="F614">iferror(XLOOKUP(A614,'Download of SFDC Activation Rep'!B:B,'Download of SFDC Activation Rep'!H:H),"")</f>
        <v/>
      </c>
      <c r="G614" s="13" t="str">
        <f t="array" ref="G614">iferror(xlookup(A614,'Download of SFDC Activation Rep'!B:B,'Download of SFDC Activation Rep'!L:L),"")</f>
        <v/>
      </c>
      <c r="H614" s="17" t="str">
        <f t="shared" si="1"/>
        <v>Not Active</v>
      </c>
      <c r="I614" s="17" t="str">
        <f t="array" ref="I614">XLOOKUP(A614,'Download of SFDC Activation Rep'!B:B,'Download of SFDC Activation Rep'!T:T)</f>
        <v>#N/A</v>
      </c>
      <c r="J614" s="17" t="str">
        <f t="array" ref="J614">iferror(XLOOKUP(A614,'Download of SFDC Activation Rep'!B:B,'Download of SFDC Activation Rep'!C:C),"")</f>
        <v/>
      </c>
      <c r="K614" s="17" t="str">
        <f t="array" ref="K614">XLOOKUP(A614,'Download of SFDC Activation Rep'!B:B,'Download of SFDC Activation Rep'!X:X)</f>
        <v>#N/A</v>
      </c>
      <c r="L614" s="32" t="str">
        <f t="array" ref="L614">xlookup(A614,'Download of SFDC Activation Rep'!B:B,'Download of SFDC Activation Rep'!Z:Z)</f>
        <v>#N/A</v>
      </c>
    </row>
    <row r="615">
      <c r="B615" s="14"/>
      <c r="C615" s="14"/>
      <c r="D615" s="14"/>
      <c r="E615" s="14"/>
      <c r="F615" s="13" t="str">
        <f t="array" ref="F615">iferror(XLOOKUP(A615,'Download of SFDC Activation Rep'!B:B,'Download of SFDC Activation Rep'!H:H),"")</f>
        <v/>
      </c>
      <c r="G615" s="13" t="str">
        <f t="array" ref="G615">iferror(xlookup(A615,'Download of SFDC Activation Rep'!B:B,'Download of SFDC Activation Rep'!L:L),"")</f>
        <v/>
      </c>
      <c r="H615" s="17" t="str">
        <f t="shared" si="1"/>
        <v>Not Active</v>
      </c>
      <c r="I615" s="17" t="str">
        <f t="array" ref="I615">XLOOKUP(A615,'Download of SFDC Activation Rep'!B:B,'Download of SFDC Activation Rep'!T:T)</f>
        <v>#N/A</v>
      </c>
      <c r="J615" s="17" t="str">
        <f t="array" ref="J615">iferror(XLOOKUP(A615,'Download of SFDC Activation Rep'!B:B,'Download of SFDC Activation Rep'!C:C),"")</f>
        <v/>
      </c>
      <c r="K615" s="17" t="str">
        <f t="array" ref="K615">XLOOKUP(A615,'Download of SFDC Activation Rep'!B:B,'Download of SFDC Activation Rep'!X:X)</f>
        <v>#N/A</v>
      </c>
      <c r="L615" s="32" t="str">
        <f t="array" ref="L615">xlookup(A615,'Download of SFDC Activation Rep'!B:B,'Download of SFDC Activation Rep'!Z:Z)</f>
        <v>#N/A</v>
      </c>
    </row>
    <row r="616">
      <c r="B616" s="14"/>
      <c r="C616" s="14"/>
      <c r="D616" s="14"/>
      <c r="E616" s="14"/>
      <c r="F616" s="13" t="str">
        <f t="array" ref="F616">iferror(XLOOKUP(A616,'Download of SFDC Activation Rep'!B:B,'Download of SFDC Activation Rep'!H:H),"")</f>
        <v/>
      </c>
      <c r="G616" s="13" t="str">
        <f t="array" ref="G616">iferror(xlookup(A616,'Download of SFDC Activation Rep'!B:B,'Download of SFDC Activation Rep'!L:L),"")</f>
        <v/>
      </c>
      <c r="H616" s="17" t="str">
        <f t="shared" si="1"/>
        <v>Not Active</v>
      </c>
      <c r="I616" s="17" t="str">
        <f t="array" ref="I616">XLOOKUP(A616,'Download of SFDC Activation Rep'!B:B,'Download of SFDC Activation Rep'!T:T)</f>
        <v>#N/A</v>
      </c>
      <c r="J616" s="17" t="str">
        <f t="array" ref="J616">iferror(XLOOKUP(A616,'Download of SFDC Activation Rep'!B:B,'Download of SFDC Activation Rep'!C:C),"")</f>
        <v/>
      </c>
      <c r="K616" s="17" t="str">
        <f t="array" ref="K616">XLOOKUP(A616,'Download of SFDC Activation Rep'!B:B,'Download of SFDC Activation Rep'!X:X)</f>
        <v>#N/A</v>
      </c>
      <c r="L616" s="32" t="str">
        <f t="array" ref="L616">xlookup(A616,'Download of SFDC Activation Rep'!B:B,'Download of SFDC Activation Rep'!Z:Z)</f>
        <v>#N/A</v>
      </c>
    </row>
    <row r="617">
      <c r="B617" s="14"/>
      <c r="C617" s="14"/>
      <c r="D617" s="14"/>
      <c r="E617" s="14"/>
      <c r="F617" s="13" t="str">
        <f t="array" ref="F617">iferror(XLOOKUP(A617,'Download of SFDC Activation Rep'!B:B,'Download of SFDC Activation Rep'!H:H),"")</f>
        <v/>
      </c>
      <c r="G617" s="13" t="str">
        <f t="array" ref="G617">iferror(xlookup(A617,'Download of SFDC Activation Rep'!B:B,'Download of SFDC Activation Rep'!L:L),"")</f>
        <v/>
      </c>
      <c r="H617" s="17" t="str">
        <f t="shared" si="1"/>
        <v>Not Active</v>
      </c>
      <c r="I617" s="17" t="str">
        <f t="array" ref="I617">XLOOKUP(A617,'Download of SFDC Activation Rep'!B:B,'Download of SFDC Activation Rep'!T:T)</f>
        <v>#N/A</v>
      </c>
      <c r="J617" s="17" t="str">
        <f t="array" ref="J617">iferror(XLOOKUP(A617,'Download of SFDC Activation Rep'!B:B,'Download of SFDC Activation Rep'!C:C),"")</f>
        <v/>
      </c>
      <c r="K617" s="17" t="str">
        <f t="array" ref="K617">XLOOKUP(A617,'Download of SFDC Activation Rep'!B:B,'Download of SFDC Activation Rep'!X:X)</f>
        <v>#N/A</v>
      </c>
      <c r="L617" s="32" t="str">
        <f t="array" ref="L617">xlookup(A617,'Download of SFDC Activation Rep'!B:B,'Download of SFDC Activation Rep'!Z:Z)</f>
        <v>#N/A</v>
      </c>
    </row>
    <row r="618">
      <c r="B618" s="14"/>
      <c r="C618" s="14"/>
      <c r="D618" s="14"/>
      <c r="E618" s="14"/>
      <c r="F618" s="13" t="str">
        <f t="array" ref="F618">iferror(XLOOKUP(A618,'Download of SFDC Activation Rep'!B:B,'Download of SFDC Activation Rep'!H:H),"")</f>
        <v/>
      </c>
      <c r="G618" s="13" t="str">
        <f t="array" ref="G618">iferror(xlookup(A618,'Download of SFDC Activation Rep'!B:B,'Download of SFDC Activation Rep'!L:L),"")</f>
        <v/>
      </c>
      <c r="H618" s="17" t="str">
        <f t="shared" si="1"/>
        <v>Not Active</v>
      </c>
      <c r="I618" s="17" t="str">
        <f t="array" ref="I618">XLOOKUP(A618,'Download of SFDC Activation Rep'!B:B,'Download of SFDC Activation Rep'!T:T)</f>
        <v>#N/A</v>
      </c>
      <c r="J618" s="17" t="str">
        <f t="array" ref="J618">iferror(XLOOKUP(A618,'Download of SFDC Activation Rep'!B:B,'Download of SFDC Activation Rep'!C:C),"")</f>
        <v/>
      </c>
      <c r="K618" s="17" t="str">
        <f t="array" ref="K618">XLOOKUP(A618,'Download of SFDC Activation Rep'!B:B,'Download of SFDC Activation Rep'!X:X)</f>
        <v>#N/A</v>
      </c>
      <c r="L618" s="32" t="str">
        <f t="array" ref="L618">xlookup(A618,'Download of SFDC Activation Rep'!B:B,'Download of SFDC Activation Rep'!Z:Z)</f>
        <v>#N/A</v>
      </c>
    </row>
    <row r="619">
      <c r="B619" s="14"/>
      <c r="C619" s="14"/>
      <c r="D619" s="14"/>
      <c r="E619" s="14"/>
      <c r="F619" s="13" t="str">
        <f t="array" ref="F619">iferror(XLOOKUP(A619,'Download of SFDC Activation Rep'!B:B,'Download of SFDC Activation Rep'!H:H),"")</f>
        <v/>
      </c>
      <c r="G619" s="13" t="str">
        <f t="array" ref="G619">iferror(xlookup(A619,'Download of SFDC Activation Rep'!B:B,'Download of SFDC Activation Rep'!L:L),"")</f>
        <v/>
      </c>
      <c r="H619" s="17" t="str">
        <f t="shared" si="1"/>
        <v>Not Active</v>
      </c>
      <c r="I619" s="17" t="str">
        <f t="array" ref="I619">XLOOKUP(A619,'Download of SFDC Activation Rep'!B:B,'Download of SFDC Activation Rep'!T:T)</f>
        <v>#N/A</v>
      </c>
      <c r="J619" s="17" t="str">
        <f t="array" ref="J619">iferror(XLOOKUP(A619,'Download of SFDC Activation Rep'!B:B,'Download of SFDC Activation Rep'!C:C),"")</f>
        <v/>
      </c>
      <c r="K619" s="17" t="str">
        <f t="array" ref="K619">XLOOKUP(A619,'Download of SFDC Activation Rep'!B:B,'Download of SFDC Activation Rep'!X:X)</f>
        <v>#N/A</v>
      </c>
      <c r="L619" s="32" t="str">
        <f t="array" ref="L619">xlookup(A619,'Download of SFDC Activation Rep'!B:B,'Download of SFDC Activation Rep'!Z:Z)</f>
        <v>#N/A</v>
      </c>
    </row>
    <row r="620">
      <c r="B620" s="14"/>
      <c r="C620" s="14"/>
      <c r="D620" s="14"/>
      <c r="E620" s="14"/>
      <c r="F620" s="13" t="str">
        <f t="array" ref="F620">iferror(XLOOKUP(A620,'Download of SFDC Activation Rep'!B:B,'Download of SFDC Activation Rep'!H:H),"")</f>
        <v/>
      </c>
      <c r="G620" s="13" t="str">
        <f t="array" ref="G620">iferror(xlookup(A620,'Download of SFDC Activation Rep'!B:B,'Download of SFDC Activation Rep'!L:L),"")</f>
        <v/>
      </c>
      <c r="H620" s="17" t="str">
        <f t="shared" si="1"/>
        <v>Not Active</v>
      </c>
      <c r="I620" s="17" t="str">
        <f t="array" ref="I620">XLOOKUP(A620,'Download of SFDC Activation Rep'!B:B,'Download of SFDC Activation Rep'!T:T)</f>
        <v>#N/A</v>
      </c>
      <c r="J620" s="17" t="str">
        <f t="array" ref="J620">iferror(XLOOKUP(A620,'Download of SFDC Activation Rep'!B:B,'Download of SFDC Activation Rep'!C:C),"")</f>
        <v/>
      </c>
      <c r="K620" s="17" t="str">
        <f t="array" ref="K620">XLOOKUP(A620,'Download of SFDC Activation Rep'!B:B,'Download of SFDC Activation Rep'!X:X)</f>
        <v>#N/A</v>
      </c>
      <c r="L620" s="32" t="str">
        <f t="array" ref="L620">xlookup(A620,'Download of SFDC Activation Rep'!B:B,'Download of SFDC Activation Rep'!Z:Z)</f>
        <v>#N/A</v>
      </c>
    </row>
    <row r="621">
      <c r="B621" s="14"/>
      <c r="C621" s="14"/>
      <c r="D621" s="14"/>
      <c r="E621" s="14"/>
      <c r="F621" s="13" t="str">
        <f t="array" ref="F621">iferror(XLOOKUP(A621,'Download of SFDC Activation Rep'!B:B,'Download of SFDC Activation Rep'!H:H),"")</f>
        <v/>
      </c>
      <c r="G621" s="13" t="str">
        <f t="array" ref="G621">iferror(xlookup(A621,'Download of SFDC Activation Rep'!B:B,'Download of SFDC Activation Rep'!L:L),"")</f>
        <v/>
      </c>
      <c r="H621" s="17" t="str">
        <f t="shared" si="1"/>
        <v>Not Active</v>
      </c>
      <c r="I621" s="17" t="str">
        <f t="array" ref="I621">XLOOKUP(A621,'Download of SFDC Activation Rep'!B:B,'Download of SFDC Activation Rep'!T:T)</f>
        <v>#N/A</v>
      </c>
      <c r="J621" s="17" t="str">
        <f t="array" ref="J621">iferror(XLOOKUP(A621,'Download of SFDC Activation Rep'!B:B,'Download of SFDC Activation Rep'!C:C),"")</f>
        <v/>
      </c>
      <c r="K621" s="17" t="str">
        <f t="array" ref="K621">XLOOKUP(A621,'Download of SFDC Activation Rep'!B:B,'Download of SFDC Activation Rep'!X:X)</f>
        <v>#N/A</v>
      </c>
      <c r="L621" s="32" t="str">
        <f t="array" ref="L621">xlookup(A621,'Download of SFDC Activation Rep'!B:B,'Download of SFDC Activation Rep'!Z:Z)</f>
        <v>#N/A</v>
      </c>
    </row>
    <row r="622">
      <c r="B622" s="14"/>
      <c r="C622" s="14"/>
      <c r="D622" s="14"/>
      <c r="E622" s="14"/>
      <c r="F622" s="13" t="str">
        <f t="array" ref="F622">iferror(XLOOKUP(A622,'Download of SFDC Activation Rep'!B:B,'Download of SFDC Activation Rep'!H:H),"")</f>
        <v/>
      </c>
      <c r="G622" s="13" t="str">
        <f t="array" ref="G622">iferror(xlookup(A622,'Download of SFDC Activation Rep'!B:B,'Download of SFDC Activation Rep'!L:L),"")</f>
        <v/>
      </c>
      <c r="H622" s="17" t="str">
        <f t="shared" si="1"/>
        <v>Not Active</v>
      </c>
      <c r="I622" s="17" t="str">
        <f t="array" ref="I622">XLOOKUP(A622,'Download of SFDC Activation Rep'!B:B,'Download of SFDC Activation Rep'!T:T)</f>
        <v>#N/A</v>
      </c>
      <c r="J622" s="17" t="str">
        <f t="array" ref="J622">iferror(XLOOKUP(A622,'Download of SFDC Activation Rep'!B:B,'Download of SFDC Activation Rep'!C:C),"")</f>
        <v/>
      </c>
      <c r="K622" s="17" t="str">
        <f t="array" ref="K622">XLOOKUP(A622,'Download of SFDC Activation Rep'!B:B,'Download of SFDC Activation Rep'!X:X)</f>
        <v>#N/A</v>
      </c>
      <c r="L622" s="32" t="str">
        <f t="array" ref="L622">xlookup(A622,'Download of SFDC Activation Rep'!B:B,'Download of SFDC Activation Rep'!Z:Z)</f>
        <v>#N/A</v>
      </c>
    </row>
    <row r="623">
      <c r="B623" s="14"/>
      <c r="C623" s="14"/>
      <c r="D623" s="14"/>
      <c r="E623" s="14"/>
      <c r="F623" s="13" t="str">
        <f t="array" ref="F623">iferror(XLOOKUP(A623,'Download of SFDC Activation Rep'!B:B,'Download of SFDC Activation Rep'!H:H),"")</f>
        <v/>
      </c>
      <c r="G623" s="13" t="str">
        <f t="array" ref="G623">iferror(xlookup(A623,'Download of SFDC Activation Rep'!B:B,'Download of SFDC Activation Rep'!L:L),"")</f>
        <v/>
      </c>
      <c r="H623" s="17" t="str">
        <f t="shared" si="1"/>
        <v>Not Active</v>
      </c>
      <c r="I623" s="17" t="str">
        <f t="array" ref="I623">XLOOKUP(A623,'Download of SFDC Activation Rep'!B:B,'Download of SFDC Activation Rep'!T:T)</f>
        <v>#N/A</v>
      </c>
      <c r="J623" s="17" t="str">
        <f t="array" ref="J623">iferror(XLOOKUP(A623,'Download of SFDC Activation Rep'!B:B,'Download of SFDC Activation Rep'!C:C),"")</f>
        <v/>
      </c>
      <c r="K623" s="17" t="str">
        <f t="array" ref="K623">XLOOKUP(A623,'Download of SFDC Activation Rep'!B:B,'Download of SFDC Activation Rep'!X:X)</f>
        <v>#N/A</v>
      </c>
      <c r="L623" s="32" t="str">
        <f t="array" ref="L623">xlookup(A623,'Download of SFDC Activation Rep'!B:B,'Download of SFDC Activation Rep'!Z:Z)</f>
        <v>#N/A</v>
      </c>
    </row>
    <row r="624">
      <c r="B624" s="14"/>
      <c r="C624" s="14"/>
      <c r="D624" s="14"/>
      <c r="E624" s="14"/>
      <c r="F624" s="13" t="str">
        <f t="array" ref="F624">iferror(XLOOKUP(A624,'Download of SFDC Activation Rep'!B:B,'Download of SFDC Activation Rep'!H:H),"")</f>
        <v/>
      </c>
      <c r="G624" s="13" t="str">
        <f t="array" ref="G624">iferror(xlookup(A624,'Download of SFDC Activation Rep'!B:B,'Download of SFDC Activation Rep'!L:L),"")</f>
        <v/>
      </c>
      <c r="H624" s="17" t="str">
        <f t="shared" si="1"/>
        <v>Not Active</v>
      </c>
      <c r="I624" s="17" t="str">
        <f t="array" ref="I624">XLOOKUP(A624,'Download of SFDC Activation Rep'!B:B,'Download of SFDC Activation Rep'!T:T)</f>
        <v>#N/A</v>
      </c>
      <c r="J624" s="17" t="str">
        <f t="array" ref="J624">iferror(XLOOKUP(A624,'Download of SFDC Activation Rep'!B:B,'Download of SFDC Activation Rep'!C:C),"")</f>
        <v/>
      </c>
      <c r="K624" s="17" t="str">
        <f t="array" ref="K624">XLOOKUP(A624,'Download of SFDC Activation Rep'!B:B,'Download of SFDC Activation Rep'!X:X)</f>
        <v>#N/A</v>
      </c>
      <c r="L624" s="32" t="str">
        <f t="array" ref="L624">xlookup(A624,'Download of SFDC Activation Rep'!B:B,'Download of SFDC Activation Rep'!Z:Z)</f>
        <v>#N/A</v>
      </c>
    </row>
    <row r="625">
      <c r="B625" s="14"/>
      <c r="C625" s="14"/>
      <c r="D625" s="14"/>
      <c r="E625" s="14"/>
      <c r="F625" s="13" t="str">
        <f t="array" ref="F625">iferror(XLOOKUP(A625,'Download of SFDC Activation Rep'!B:B,'Download of SFDC Activation Rep'!H:H),"")</f>
        <v/>
      </c>
      <c r="G625" s="13" t="str">
        <f t="array" ref="G625">iferror(xlookup(A625,'Download of SFDC Activation Rep'!B:B,'Download of SFDC Activation Rep'!L:L),"")</f>
        <v/>
      </c>
      <c r="H625" s="17" t="str">
        <f t="shared" si="1"/>
        <v>Not Active</v>
      </c>
      <c r="I625" s="17" t="str">
        <f t="array" ref="I625">XLOOKUP(A625,'Download of SFDC Activation Rep'!B:B,'Download of SFDC Activation Rep'!T:T)</f>
        <v>#N/A</v>
      </c>
      <c r="J625" s="17" t="str">
        <f t="array" ref="J625">iferror(XLOOKUP(A625,'Download of SFDC Activation Rep'!B:B,'Download of SFDC Activation Rep'!C:C),"")</f>
        <v/>
      </c>
      <c r="K625" s="17" t="str">
        <f t="array" ref="K625">XLOOKUP(A625,'Download of SFDC Activation Rep'!B:B,'Download of SFDC Activation Rep'!X:X)</f>
        <v>#N/A</v>
      </c>
      <c r="L625" s="32" t="str">
        <f t="array" ref="L625">xlookup(A625,'Download of SFDC Activation Rep'!B:B,'Download of SFDC Activation Rep'!Z:Z)</f>
        <v>#N/A</v>
      </c>
    </row>
    <row r="626">
      <c r="B626" s="14"/>
      <c r="C626" s="14"/>
      <c r="D626" s="14"/>
      <c r="E626" s="14"/>
      <c r="F626" s="13" t="str">
        <f t="array" ref="F626">iferror(XLOOKUP(A626,'Download of SFDC Activation Rep'!B:B,'Download of SFDC Activation Rep'!H:H),"")</f>
        <v/>
      </c>
      <c r="G626" s="13" t="str">
        <f t="array" ref="G626">iferror(xlookup(A626,'Download of SFDC Activation Rep'!B:B,'Download of SFDC Activation Rep'!L:L),"")</f>
        <v/>
      </c>
      <c r="H626" s="17" t="str">
        <f t="shared" si="1"/>
        <v>Not Active</v>
      </c>
      <c r="I626" s="17" t="str">
        <f t="array" ref="I626">XLOOKUP(A626,'Download of SFDC Activation Rep'!B:B,'Download of SFDC Activation Rep'!T:T)</f>
        <v>#N/A</v>
      </c>
      <c r="J626" s="17" t="str">
        <f t="array" ref="J626">iferror(XLOOKUP(A626,'Download of SFDC Activation Rep'!B:B,'Download of SFDC Activation Rep'!C:C),"")</f>
        <v/>
      </c>
      <c r="K626" s="17" t="str">
        <f t="array" ref="K626">XLOOKUP(A626,'Download of SFDC Activation Rep'!B:B,'Download of SFDC Activation Rep'!X:X)</f>
        <v>#N/A</v>
      </c>
      <c r="L626" s="32" t="str">
        <f t="array" ref="L626">xlookup(A626,'Download of SFDC Activation Rep'!B:B,'Download of SFDC Activation Rep'!Z:Z)</f>
        <v>#N/A</v>
      </c>
    </row>
    <row r="627">
      <c r="B627" s="14"/>
      <c r="C627" s="14"/>
      <c r="D627" s="14"/>
      <c r="E627" s="14"/>
      <c r="F627" s="13" t="str">
        <f t="array" ref="F627">iferror(XLOOKUP(A627,'Download of SFDC Activation Rep'!B:B,'Download of SFDC Activation Rep'!H:H),"")</f>
        <v/>
      </c>
      <c r="G627" s="13" t="str">
        <f t="array" ref="G627">iferror(xlookup(A627,'Download of SFDC Activation Rep'!B:B,'Download of SFDC Activation Rep'!L:L),"")</f>
        <v/>
      </c>
      <c r="H627" s="17" t="str">
        <f t="shared" si="1"/>
        <v>Not Active</v>
      </c>
      <c r="I627" s="17" t="str">
        <f t="array" ref="I627">XLOOKUP(A627,'Download of SFDC Activation Rep'!B:B,'Download of SFDC Activation Rep'!T:T)</f>
        <v>#N/A</v>
      </c>
      <c r="J627" s="17" t="str">
        <f t="array" ref="J627">iferror(XLOOKUP(A627,'Download of SFDC Activation Rep'!B:B,'Download of SFDC Activation Rep'!C:C),"")</f>
        <v/>
      </c>
      <c r="K627" s="17" t="str">
        <f t="array" ref="K627">XLOOKUP(A627,'Download of SFDC Activation Rep'!B:B,'Download of SFDC Activation Rep'!X:X)</f>
        <v>#N/A</v>
      </c>
      <c r="L627" s="32" t="str">
        <f t="array" ref="L627">xlookup(A627,'Download of SFDC Activation Rep'!B:B,'Download of SFDC Activation Rep'!Z:Z)</f>
        <v>#N/A</v>
      </c>
    </row>
    <row r="628">
      <c r="B628" s="14"/>
      <c r="C628" s="14"/>
      <c r="D628" s="14"/>
      <c r="E628" s="14"/>
      <c r="F628" s="13" t="str">
        <f t="array" ref="F628">iferror(XLOOKUP(A628,'Download of SFDC Activation Rep'!B:B,'Download of SFDC Activation Rep'!H:H),"")</f>
        <v/>
      </c>
      <c r="G628" s="13" t="str">
        <f t="array" ref="G628">iferror(xlookup(A628,'Download of SFDC Activation Rep'!B:B,'Download of SFDC Activation Rep'!L:L),"")</f>
        <v/>
      </c>
      <c r="H628" s="17" t="str">
        <f t="shared" si="1"/>
        <v>Not Active</v>
      </c>
      <c r="I628" s="17" t="str">
        <f t="array" ref="I628">XLOOKUP(A628,'Download of SFDC Activation Rep'!B:B,'Download of SFDC Activation Rep'!T:T)</f>
        <v>#N/A</v>
      </c>
      <c r="J628" s="17" t="str">
        <f t="array" ref="J628">iferror(XLOOKUP(A628,'Download of SFDC Activation Rep'!B:B,'Download of SFDC Activation Rep'!C:C),"")</f>
        <v/>
      </c>
      <c r="K628" s="17" t="str">
        <f t="array" ref="K628">XLOOKUP(A628,'Download of SFDC Activation Rep'!B:B,'Download of SFDC Activation Rep'!X:X)</f>
        <v>#N/A</v>
      </c>
      <c r="L628" s="32" t="str">
        <f t="array" ref="L628">xlookup(A628,'Download of SFDC Activation Rep'!B:B,'Download of SFDC Activation Rep'!Z:Z)</f>
        <v>#N/A</v>
      </c>
    </row>
    <row r="629">
      <c r="B629" s="14"/>
      <c r="C629" s="14"/>
      <c r="D629" s="14"/>
      <c r="E629" s="14"/>
      <c r="F629" s="13" t="str">
        <f t="array" ref="F629">iferror(XLOOKUP(A629,'Download of SFDC Activation Rep'!B:B,'Download of SFDC Activation Rep'!H:H),"")</f>
        <v/>
      </c>
      <c r="G629" s="13" t="str">
        <f t="array" ref="G629">iferror(xlookup(A629,'Download of SFDC Activation Rep'!B:B,'Download of SFDC Activation Rep'!L:L),"")</f>
        <v/>
      </c>
      <c r="H629" s="17" t="str">
        <f t="shared" si="1"/>
        <v>Not Active</v>
      </c>
      <c r="I629" s="17" t="str">
        <f t="array" ref="I629">XLOOKUP(A629,'Download of SFDC Activation Rep'!B:B,'Download of SFDC Activation Rep'!T:T)</f>
        <v>#N/A</v>
      </c>
      <c r="J629" s="17" t="str">
        <f t="array" ref="J629">iferror(XLOOKUP(A629,'Download of SFDC Activation Rep'!B:B,'Download of SFDC Activation Rep'!C:C),"")</f>
        <v/>
      </c>
      <c r="K629" s="17" t="str">
        <f t="array" ref="K629">XLOOKUP(A629,'Download of SFDC Activation Rep'!B:B,'Download of SFDC Activation Rep'!X:X)</f>
        <v>#N/A</v>
      </c>
      <c r="L629" s="32" t="str">
        <f t="array" ref="L629">xlookup(A629,'Download of SFDC Activation Rep'!B:B,'Download of SFDC Activation Rep'!Z:Z)</f>
        <v>#N/A</v>
      </c>
    </row>
    <row r="630">
      <c r="B630" s="14"/>
      <c r="C630" s="14"/>
      <c r="D630" s="14"/>
      <c r="E630" s="14"/>
      <c r="F630" s="13" t="str">
        <f t="array" ref="F630">iferror(XLOOKUP(A630,'Download of SFDC Activation Rep'!B:B,'Download of SFDC Activation Rep'!H:H),"")</f>
        <v/>
      </c>
      <c r="G630" s="13" t="str">
        <f t="array" ref="G630">iferror(xlookup(A630,'Download of SFDC Activation Rep'!B:B,'Download of SFDC Activation Rep'!L:L),"")</f>
        <v/>
      </c>
      <c r="H630" s="17" t="str">
        <f t="shared" si="1"/>
        <v>Not Active</v>
      </c>
      <c r="I630" s="17" t="str">
        <f t="array" ref="I630">XLOOKUP(A630,'Download of SFDC Activation Rep'!B:B,'Download of SFDC Activation Rep'!T:T)</f>
        <v>#N/A</v>
      </c>
      <c r="J630" s="17" t="str">
        <f t="array" ref="J630">iferror(XLOOKUP(A630,'Download of SFDC Activation Rep'!B:B,'Download of SFDC Activation Rep'!C:C),"")</f>
        <v/>
      </c>
      <c r="K630" s="17" t="str">
        <f t="array" ref="K630">XLOOKUP(A630,'Download of SFDC Activation Rep'!B:B,'Download of SFDC Activation Rep'!X:X)</f>
        <v>#N/A</v>
      </c>
      <c r="L630" s="32" t="str">
        <f t="array" ref="L630">xlookup(A630,'Download of SFDC Activation Rep'!B:B,'Download of SFDC Activation Rep'!Z:Z)</f>
        <v>#N/A</v>
      </c>
    </row>
    <row r="631">
      <c r="B631" s="14"/>
      <c r="C631" s="14"/>
      <c r="D631" s="14"/>
      <c r="E631" s="14"/>
      <c r="F631" s="13" t="str">
        <f t="array" ref="F631">iferror(XLOOKUP(A631,'Download of SFDC Activation Rep'!B:B,'Download of SFDC Activation Rep'!H:H),"")</f>
        <v/>
      </c>
      <c r="G631" s="13" t="str">
        <f t="array" ref="G631">iferror(xlookup(A631,'Download of SFDC Activation Rep'!B:B,'Download of SFDC Activation Rep'!L:L),"")</f>
        <v/>
      </c>
      <c r="H631" s="17" t="str">
        <f t="shared" si="1"/>
        <v>Not Active</v>
      </c>
      <c r="I631" s="17" t="str">
        <f t="array" ref="I631">XLOOKUP(A631,'Download of SFDC Activation Rep'!B:B,'Download of SFDC Activation Rep'!T:T)</f>
        <v>#N/A</v>
      </c>
      <c r="J631" s="17" t="str">
        <f t="array" ref="J631">iferror(XLOOKUP(A631,'Download of SFDC Activation Rep'!B:B,'Download of SFDC Activation Rep'!C:C),"")</f>
        <v/>
      </c>
      <c r="K631" s="17" t="str">
        <f t="array" ref="K631">XLOOKUP(A631,'Download of SFDC Activation Rep'!B:B,'Download of SFDC Activation Rep'!X:X)</f>
        <v>#N/A</v>
      </c>
      <c r="L631" s="32" t="str">
        <f t="array" ref="L631">xlookup(A631,'Download of SFDC Activation Rep'!B:B,'Download of SFDC Activation Rep'!Z:Z)</f>
        <v>#N/A</v>
      </c>
    </row>
    <row r="632">
      <c r="B632" s="14"/>
      <c r="C632" s="14"/>
      <c r="D632" s="14"/>
      <c r="E632" s="14"/>
      <c r="F632" s="13" t="str">
        <f t="array" ref="F632">iferror(XLOOKUP(A632,'Download of SFDC Activation Rep'!B:B,'Download of SFDC Activation Rep'!H:H),"")</f>
        <v/>
      </c>
      <c r="G632" s="13" t="str">
        <f t="array" ref="G632">iferror(xlookup(A632,'Download of SFDC Activation Rep'!B:B,'Download of SFDC Activation Rep'!L:L),"")</f>
        <v/>
      </c>
      <c r="H632" s="17" t="str">
        <f t="shared" si="1"/>
        <v>Not Active</v>
      </c>
      <c r="I632" s="17" t="str">
        <f t="array" ref="I632">XLOOKUP(A632,'Download of SFDC Activation Rep'!B:B,'Download of SFDC Activation Rep'!T:T)</f>
        <v>#N/A</v>
      </c>
      <c r="J632" s="17" t="str">
        <f t="array" ref="J632">iferror(XLOOKUP(A632,'Download of SFDC Activation Rep'!B:B,'Download of SFDC Activation Rep'!C:C),"")</f>
        <v/>
      </c>
      <c r="K632" s="17" t="str">
        <f t="array" ref="K632">XLOOKUP(A632,'Download of SFDC Activation Rep'!B:B,'Download of SFDC Activation Rep'!X:X)</f>
        <v>#N/A</v>
      </c>
      <c r="L632" s="32" t="str">
        <f t="array" ref="L632">xlookup(A632,'Download of SFDC Activation Rep'!B:B,'Download of SFDC Activation Rep'!Z:Z)</f>
        <v>#N/A</v>
      </c>
    </row>
    <row r="633">
      <c r="B633" s="14"/>
      <c r="C633" s="14"/>
      <c r="D633" s="14"/>
      <c r="E633" s="14"/>
      <c r="F633" s="13" t="str">
        <f t="array" ref="F633">iferror(XLOOKUP(A633,'Download of SFDC Activation Rep'!B:B,'Download of SFDC Activation Rep'!H:H),"")</f>
        <v/>
      </c>
      <c r="G633" s="13" t="str">
        <f t="array" ref="G633">iferror(xlookup(A633,'Download of SFDC Activation Rep'!B:B,'Download of SFDC Activation Rep'!L:L),"")</f>
        <v/>
      </c>
      <c r="H633" s="17" t="str">
        <f t="shared" si="1"/>
        <v>Not Active</v>
      </c>
      <c r="I633" s="17" t="str">
        <f t="array" ref="I633">XLOOKUP(A633,'Download of SFDC Activation Rep'!B:B,'Download of SFDC Activation Rep'!T:T)</f>
        <v>#N/A</v>
      </c>
      <c r="J633" s="17" t="str">
        <f t="array" ref="J633">iferror(XLOOKUP(A633,'Download of SFDC Activation Rep'!B:B,'Download of SFDC Activation Rep'!C:C),"")</f>
        <v/>
      </c>
      <c r="K633" s="17" t="str">
        <f t="array" ref="K633">XLOOKUP(A633,'Download of SFDC Activation Rep'!B:B,'Download of SFDC Activation Rep'!X:X)</f>
        <v>#N/A</v>
      </c>
      <c r="L633" s="32" t="str">
        <f t="array" ref="L633">xlookup(A633,'Download of SFDC Activation Rep'!B:B,'Download of SFDC Activation Rep'!Z:Z)</f>
        <v>#N/A</v>
      </c>
    </row>
    <row r="634">
      <c r="B634" s="14"/>
      <c r="C634" s="14"/>
      <c r="D634" s="14"/>
      <c r="E634" s="14"/>
      <c r="F634" s="13" t="str">
        <f t="array" ref="F634">iferror(XLOOKUP(A634,'Download of SFDC Activation Rep'!B:B,'Download of SFDC Activation Rep'!H:H),"")</f>
        <v/>
      </c>
      <c r="G634" s="13" t="str">
        <f t="array" ref="G634">iferror(xlookup(A634,'Download of SFDC Activation Rep'!B:B,'Download of SFDC Activation Rep'!L:L),"")</f>
        <v/>
      </c>
      <c r="H634" s="17" t="str">
        <f t="shared" si="1"/>
        <v>Not Active</v>
      </c>
      <c r="I634" s="17" t="str">
        <f t="array" ref="I634">XLOOKUP(A634,'Download of SFDC Activation Rep'!B:B,'Download of SFDC Activation Rep'!T:T)</f>
        <v>#N/A</v>
      </c>
      <c r="J634" s="17" t="str">
        <f t="array" ref="J634">iferror(XLOOKUP(A634,'Download of SFDC Activation Rep'!B:B,'Download of SFDC Activation Rep'!C:C),"")</f>
        <v/>
      </c>
      <c r="K634" s="17" t="str">
        <f t="array" ref="K634">XLOOKUP(A634,'Download of SFDC Activation Rep'!B:B,'Download of SFDC Activation Rep'!X:X)</f>
        <v>#N/A</v>
      </c>
      <c r="L634" s="32" t="str">
        <f t="array" ref="L634">xlookup(A634,'Download of SFDC Activation Rep'!B:B,'Download of SFDC Activation Rep'!Z:Z)</f>
        <v>#N/A</v>
      </c>
    </row>
    <row r="635">
      <c r="B635" s="14"/>
      <c r="C635" s="14"/>
      <c r="D635" s="14"/>
      <c r="E635" s="14"/>
      <c r="F635" s="13" t="str">
        <f t="array" ref="F635">iferror(XLOOKUP(A635,'Download of SFDC Activation Rep'!B:B,'Download of SFDC Activation Rep'!H:H),"")</f>
        <v/>
      </c>
      <c r="G635" s="13" t="str">
        <f t="array" ref="G635">iferror(xlookup(A635,'Download of SFDC Activation Rep'!B:B,'Download of SFDC Activation Rep'!L:L),"")</f>
        <v/>
      </c>
      <c r="H635" s="17" t="str">
        <f t="shared" si="1"/>
        <v>Not Active</v>
      </c>
      <c r="I635" s="17" t="str">
        <f t="array" ref="I635">XLOOKUP(A635,'Download of SFDC Activation Rep'!B:B,'Download of SFDC Activation Rep'!T:T)</f>
        <v>#N/A</v>
      </c>
      <c r="J635" s="17" t="str">
        <f t="array" ref="J635">iferror(XLOOKUP(A635,'Download of SFDC Activation Rep'!B:B,'Download of SFDC Activation Rep'!C:C),"")</f>
        <v/>
      </c>
      <c r="K635" s="17" t="str">
        <f t="array" ref="K635">XLOOKUP(A635,'Download of SFDC Activation Rep'!B:B,'Download of SFDC Activation Rep'!X:X)</f>
        <v>#N/A</v>
      </c>
      <c r="L635" s="32" t="str">
        <f t="array" ref="L635">xlookup(A635,'Download of SFDC Activation Rep'!B:B,'Download of SFDC Activation Rep'!Z:Z)</f>
        <v>#N/A</v>
      </c>
    </row>
    <row r="636">
      <c r="B636" s="14"/>
      <c r="C636" s="14"/>
      <c r="D636" s="14"/>
      <c r="E636" s="14"/>
      <c r="F636" s="13" t="str">
        <f t="array" ref="F636">iferror(XLOOKUP(A636,'Download of SFDC Activation Rep'!B:B,'Download of SFDC Activation Rep'!H:H),"")</f>
        <v/>
      </c>
      <c r="G636" s="13" t="str">
        <f t="array" ref="G636">iferror(xlookup(A636,'Download of SFDC Activation Rep'!B:B,'Download of SFDC Activation Rep'!L:L),"")</f>
        <v/>
      </c>
      <c r="H636" s="17" t="str">
        <f t="shared" si="1"/>
        <v>Not Active</v>
      </c>
      <c r="I636" s="17" t="str">
        <f t="array" ref="I636">XLOOKUP(A636,'Download of SFDC Activation Rep'!B:B,'Download of SFDC Activation Rep'!T:T)</f>
        <v>#N/A</v>
      </c>
      <c r="J636" s="17" t="str">
        <f t="array" ref="J636">iferror(XLOOKUP(A636,'Download of SFDC Activation Rep'!B:B,'Download of SFDC Activation Rep'!C:C),"")</f>
        <v/>
      </c>
      <c r="K636" s="17" t="str">
        <f t="array" ref="K636">XLOOKUP(A636,'Download of SFDC Activation Rep'!B:B,'Download of SFDC Activation Rep'!X:X)</f>
        <v>#N/A</v>
      </c>
      <c r="L636" s="32" t="str">
        <f t="array" ref="L636">xlookup(A636,'Download of SFDC Activation Rep'!B:B,'Download of SFDC Activation Rep'!Z:Z)</f>
        <v>#N/A</v>
      </c>
    </row>
    <row r="637">
      <c r="B637" s="14"/>
      <c r="C637" s="14"/>
      <c r="D637" s="14"/>
      <c r="E637" s="14"/>
      <c r="F637" s="13" t="str">
        <f t="array" ref="F637">iferror(XLOOKUP(A637,'Download of SFDC Activation Rep'!B:B,'Download of SFDC Activation Rep'!H:H),"")</f>
        <v/>
      </c>
      <c r="G637" s="13" t="str">
        <f t="array" ref="G637">iferror(xlookup(A637,'Download of SFDC Activation Rep'!B:B,'Download of SFDC Activation Rep'!L:L),"")</f>
        <v/>
      </c>
      <c r="H637" s="17" t="str">
        <f t="shared" si="1"/>
        <v>Not Active</v>
      </c>
      <c r="I637" s="17" t="str">
        <f t="array" ref="I637">XLOOKUP(A637,'Download of SFDC Activation Rep'!B:B,'Download of SFDC Activation Rep'!T:T)</f>
        <v>#N/A</v>
      </c>
      <c r="J637" s="17" t="str">
        <f t="array" ref="J637">iferror(XLOOKUP(A637,'Download of SFDC Activation Rep'!B:B,'Download of SFDC Activation Rep'!C:C),"")</f>
        <v/>
      </c>
      <c r="K637" s="17" t="str">
        <f t="array" ref="K637">XLOOKUP(A637,'Download of SFDC Activation Rep'!B:B,'Download of SFDC Activation Rep'!X:X)</f>
        <v>#N/A</v>
      </c>
      <c r="L637" s="32" t="str">
        <f t="array" ref="L637">xlookup(A637,'Download of SFDC Activation Rep'!B:B,'Download of SFDC Activation Rep'!Z:Z)</f>
        <v>#N/A</v>
      </c>
    </row>
    <row r="638">
      <c r="B638" s="14"/>
      <c r="C638" s="14"/>
      <c r="D638" s="14"/>
      <c r="E638" s="14"/>
      <c r="F638" s="13" t="str">
        <f t="array" ref="F638">iferror(XLOOKUP(A638,'Download of SFDC Activation Rep'!B:B,'Download of SFDC Activation Rep'!H:H),"")</f>
        <v/>
      </c>
      <c r="G638" s="13" t="str">
        <f t="array" ref="G638">iferror(xlookup(A638,'Download of SFDC Activation Rep'!B:B,'Download of SFDC Activation Rep'!L:L),"")</f>
        <v/>
      </c>
      <c r="H638" s="17" t="str">
        <f t="shared" si="1"/>
        <v>Not Active</v>
      </c>
      <c r="I638" s="17" t="str">
        <f t="array" ref="I638">XLOOKUP(A638,'Download of SFDC Activation Rep'!B:B,'Download of SFDC Activation Rep'!T:T)</f>
        <v>#N/A</v>
      </c>
      <c r="J638" s="17" t="str">
        <f t="array" ref="J638">iferror(XLOOKUP(A638,'Download of SFDC Activation Rep'!B:B,'Download of SFDC Activation Rep'!C:C),"")</f>
        <v/>
      </c>
      <c r="K638" s="17" t="str">
        <f t="array" ref="K638">XLOOKUP(A638,'Download of SFDC Activation Rep'!B:B,'Download of SFDC Activation Rep'!X:X)</f>
        <v>#N/A</v>
      </c>
      <c r="L638" s="32" t="str">
        <f t="array" ref="L638">xlookup(A638,'Download of SFDC Activation Rep'!B:B,'Download of SFDC Activation Rep'!Z:Z)</f>
        <v>#N/A</v>
      </c>
    </row>
    <row r="639">
      <c r="B639" s="14"/>
      <c r="C639" s="14"/>
      <c r="D639" s="14"/>
      <c r="E639" s="14"/>
      <c r="F639" s="13" t="str">
        <f t="array" ref="F639">iferror(XLOOKUP(A639,'Download of SFDC Activation Rep'!B:B,'Download of SFDC Activation Rep'!H:H),"")</f>
        <v/>
      </c>
      <c r="G639" s="13" t="str">
        <f t="array" ref="G639">iferror(xlookup(A639,'Download of SFDC Activation Rep'!B:B,'Download of SFDC Activation Rep'!L:L),"")</f>
        <v/>
      </c>
      <c r="H639" s="17" t="str">
        <f t="shared" si="1"/>
        <v>Not Active</v>
      </c>
      <c r="I639" s="17" t="str">
        <f t="array" ref="I639">XLOOKUP(A639,'Download of SFDC Activation Rep'!B:B,'Download of SFDC Activation Rep'!T:T)</f>
        <v>#N/A</v>
      </c>
      <c r="J639" s="17" t="str">
        <f t="array" ref="J639">iferror(XLOOKUP(A639,'Download of SFDC Activation Rep'!B:B,'Download of SFDC Activation Rep'!C:C),"")</f>
        <v/>
      </c>
      <c r="K639" s="17" t="str">
        <f t="array" ref="K639">XLOOKUP(A639,'Download of SFDC Activation Rep'!B:B,'Download of SFDC Activation Rep'!X:X)</f>
        <v>#N/A</v>
      </c>
      <c r="L639" s="32" t="str">
        <f t="array" ref="L639">xlookup(A639,'Download of SFDC Activation Rep'!B:B,'Download of SFDC Activation Rep'!Z:Z)</f>
        <v>#N/A</v>
      </c>
    </row>
    <row r="640">
      <c r="B640" s="14"/>
      <c r="C640" s="14"/>
      <c r="D640" s="14"/>
      <c r="E640" s="14"/>
      <c r="F640" s="13" t="str">
        <f t="array" ref="F640">iferror(XLOOKUP(A640,'Download of SFDC Activation Rep'!B:B,'Download of SFDC Activation Rep'!H:H),"")</f>
        <v/>
      </c>
      <c r="G640" s="13" t="str">
        <f t="array" ref="G640">iferror(xlookup(A640,'Download of SFDC Activation Rep'!B:B,'Download of SFDC Activation Rep'!L:L),"")</f>
        <v/>
      </c>
      <c r="H640" s="17" t="str">
        <f t="shared" si="1"/>
        <v>Not Active</v>
      </c>
      <c r="I640" s="17" t="str">
        <f t="array" ref="I640">XLOOKUP(A640,'Download of SFDC Activation Rep'!B:B,'Download of SFDC Activation Rep'!T:T)</f>
        <v>#N/A</v>
      </c>
      <c r="J640" s="17" t="str">
        <f t="array" ref="J640">iferror(XLOOKUP(A640,'Download of SFDC Activation Rep'!B:B,'Download of SFDC Activation Rep'!C:C),"")</f>
        <v/>
      </c>
      <c r="K640" s="17" t="str">
        <f t="array" ref="K640">XLOOKUP(A640,'Download of SFDC Activation Rep'!B:B,'Download of SFDC Activation Rep'!X:X)</f>
        <v>#N/A</v>
      </c>
      <c r="L640" s="32" t="str">
        <f t="array" ref="L640">xlookup(A640,'Download of SFDC Activation Rep'!B:B,'Download of SFDC Activation Rep'!Z:Z)</f>
        <v>#N/A</v>
      </c>
    </row>
    <row r="641">
      <c r="B641" s="14"/>
      <c r="C641" s="14"/>
      <c r="D641" s="14"/>
      <c r="E641" s="14"/>
      <c r="F641" s="13" t="str">
        <f t="array" ref="F641">iferror(XLOOKUP(A641,'Download of SFDC Activation Rep'!B:B,'Download of SFDC Activation Rep'!H:H),"")</f>
        <v/>
      </c>
      <c r="G641" s="13" t="str">
        <f t="array" ref="G641">iferror(xlookup(A641,'Download of SFDC Activation Rep'!B:B,'Download of SFDC Activation Rep'!L:L),"")</f>
        <v/>
      </c>
      <c r="H641" s="17" t="str">
        <f t="shared" si="1"/>
        <v>Not Active</v>
      </c>
      <c r="I641" s="17" t="str">
        <f t="array" ref="I641">XLOOKUP(A641,'Download of SFDC Activation Rep'!B:B,'Download of SFDC Activation Rep'!T:T)</f>
        <v>#N/A</v>
      </c>
      <c r="J641" s="17" t="str">
        <f t="array" ref="J641">iferror(XLOOKUP(A641,'Download of SFDC Activation Rep'!B:B,'Download of SFDC Activation Rep'!C:C),"")</f>
        <v/>
      </c>
      <c r="K641" s="17" t="str">
        <f t="array" ref="K641">XLOOKUP(A641,'Download of SFDC Activation Rep'!B:B,'Download of SFDC Activation Rep'!X:X)</f>
        <v>#N/A</v>
      </c>
      <c r="L641" s="32" t="str">
        <f t="array" ref="L641">xlookup(A641,'Download of SFDC Activation Rep'!B:B,'Download of SFDC Activation Rep'!Z:Z)</f>
        <v>#N/A</v>
      </c>
    </row>
    <row r="642">
      <c r="B642" s="14"/>
      <c r="C642" s="14"/>
      <c r="D642" s="14"/>
      <c r="E642" s="14"/>
      <c r="F642" s="13" t="str">
        <f t="array" ref="F642">iferror(XLOOKUP(A642,'Download of SFDC Activation Rep'!B:B,'Download of SFDC Activation Rep'!H:H),"")</f>
        <v/>
      </c>
      <c r="G642" s="13" t="str">
        <f t="array" ref="G642">iferror(xlookup(A642,'Download of SFDC Activation Rep'!B:B,'Download of SFDC Activation Rep'!L:L),"")</f>
        <v/>
      </c>
      <c r="H642" s="17" t="str">
        <f t="shared" si="1"/>
        <v>Not Active</v>
      </c>
      <c r="I642" s="17" t="str">
        <f t="array" ref="I642">XLOOKUP(A642,'Download of SFDC Activation Rep'!B:B,'Download of SFDC Activation Rep'!T:T)</f>
        <v>#N/A</v>
      </c>
      <c r="J642" s="17" t="str">
        <f t="array" ref="J642">iferror(XLOOKUP(A642,'Download of SFDC Activation Rep'!B:B,'Download of SFDC Activation Rep'!C:C),"")</f>
        <v/>
      </c>
      <c r="K642" s="17" t="str">
        <f t="array" ref="K642">XLOOKUP(A642,'Download of SFDC Activation Rep'!B:B,'Download of SFDC Activation Rep'!X:X)</f>
        <v>#N/A</v>
      </c>
      <c r="L642" s="32" t="str">
        <f t="array" ref="L642">xlookup(A642,'Download of SFDC Activation Rep'!B:B,'Download of SFDC Activation Rep'!Z:Z)</f>
        <v>#N/A</v>
      </c>
    </row>
    <row r="643">
      <c r="B643" s="14"/>
      <c r="C643" s="14"/>
      <c r="D643" s="14"/>
      <c r="E643" s="14"/>
      <c r="F643" s="13" t="str">
        <f t="array" ref="F643">iferror(XLOOKUP(A643,'Download of SFDC Activation Rep'!B:B,'Download of SFDC Activation Rep'!H:H),"")</f>
        <v/>
      </c>
      <c r="G643" s="13" t="str">
        <f t="array" ref="G643">iferror(xlookup(A643,'Download of SFDC Activation Rep'!B:B,'Download of SFDC Activation Rep'!L:L),"")</f>
        <v/>
      </c>
      <c r="H643" s="17" t="str">
        <f t="shared" si="1"/>
        <v>Not Active</v>
      </c>
      <c r="I643" s="17" t="str">
        <f t="array" ref="I643">XLOOKUP(A643,'Download of SFDC Activation Rep'!B:B,'Download of SFDC Activation Rep'!T:T)</f>
        <v>#N/A</v>
      </c>
      <c r="J643" s="17" t="str">
        <f t="array" ref="J643">iferror(XLOOKUP(A643,'Download of SFDC Activation Rep'!B:B,'Download of SFDC Activation Rep'!C:C),"")</f>
        <v/>
      </c>
      <c r="K643" s="17" t="str">
        <f t="array" ref="K643">XLOOKUP(A643,'Download of SFDC Activation Rep'!B:B,'Download of SFDC Activation Rep'!X:X)</f>
        <v>#N/A</v>
      </c>
      <c r="L643" s="32" t="str">
        <f t="array" ref="L643">xlookup(A643,'Download of SFDC Activation Rep'!B:B,'Download of SFDC Activation Rep'!Z:Z)</f>
        <v>#N/A</v>
      </c>
    </row>
    <row r="644">
      <c r="B644" s="14"/>
      <c r="C644" s="14"/>
      <c r="D644" s="14"/>
      <c r="E644" s="14"/>
      <c r="F644" s="13" t="str">
        <f t="array" ref="F644">iferror(XLOOKUP(A644,'Download of SFDC Activation Rep'!B:B,'Download of SFDC Activation Rep'!H:H),"")</f>
        <v/>
      </c>
      <c r="G644" s="13" t="str">
        <f t="array" ref="G644">iferror(xlookup(A644,'Download of SFDC Activation Rep'!B:B,'Download of SFDC Activation Rep'!L:L),"")</f>
        <v/>
      </c>
      <c r="H644" s="17" t="str">
        <f t="shared" si="1"/>
        <v>Not Active</v>
      </c>
      <c r="I644" s="17" t="str">
        <f t="array" ref="I644">XLOOKUP(A644,'Download of SFDC Activation Rep'!B:B,'Download of SFDC Activation Rep'!T:T)</f>
        <v>#N/A</v>
      </c>
      <c r="J644" s="17" t="str">
        <f t="array" ref="J644">iferror(XLOOKUP(A644,'Download of SFDC Activation Rep'!B:B,'Download of SFDC Activation Rep'!C:C),"")</f>
        <v/>
      </c>
      <c r="K644" s="17" t="str">
        <f t="array" ref="K644">XLOOKUP(A644,'Download of SFDC Activation Rep'!B:B,'Download of SFDC Activation Rep'!X:X)</f>
        <v>#N/A</v>
      </c>
      <c r="L644" s="32" t="str">
        <f t="array" ref="L644">xlookup(A644,'Download of SFDC Activation Rep'!B:B,'Download of SFDC Activation Rep'!Z:Z)</f>
        <v>#N/A</v>
      </c>
    </row>
    <row r="645">
      <c r="B645" s="14"/>
      <c r="C645" s="14"/>
      <c r="D645" s="14"/>
      <c r="E645" s="14"/>
      <c r="F645" s="13" t="str">
        <f t="array" ref="F645">iferror(XLOOKUP(A645,'Download of SFDC Activation Rep'!B:B,'Download of SFDC Activation Rep'!H:H),"")</f>
        <v/>
      </c>
      <c r="G645" s="13" t="str">
        <f t="array" ref="G645">iferror(xlookup(A645,'Download of SFDC Activation Rep'!B:B,'Download of SFDC Activation Rep'!L:L),"")</f>
        <v/>
      </c>
      <c r="H645" s="17" t="str">
        <f t="shared" si="1"/>
        <v>Not Active</v>
      </c>
      <c r="I645" s="17" t="str">
        <f t="array" ref="I645">XLOOKUP(A645,'Download of SFDC Activation Rep'!B:B,'Download of SFDC Activation Rep'!T:T)</f>
        <v>#N/A</v>
      </c>
      <c r="J645" s="17" t="str">
        <f t="array" ref="J645">iferror(XLOOKUP(A645,'Download of SFDC Activation Rep'!B:B,'Download of SFDC Activation Rep'!C:C),"")</f>
        <v/>
      </c>
      <c r="K645" s="17" t="str">
        <f t="array" ref="K645">XLOOKUP(A645,'Download of SFDC Activation Rep'!B:B,'Download of SFDC Activation Rep'!X:X)</f>
        <v>#N/A</v>
      </c>
      <c r="L645" s="32" t="str">
        <f t="array" ref="L645">xlookup(A645,'Download of SFDC Activation Rep'!B:B,'Download of SFDC Activation Rep'!Z:Z)</f>
        <v>#N/A</v>
      </c>
    </row>
    <row r="646">
      <c r="B646" s="14"/>
      <c r="C646" s="14"/>
      <c r="D646" s="14"/>
      <c r="E646" s="14"/>
      <c r="F646" s="13" t="str">
        <f t="array" ref="F646">iferror(XLOOKUP(A646,'Download of SFDC Activation Rep'!B:B,'Download of SFDC Activation Rep'!H:H),"")</f>
        <v/>
      </c>
      <c r="G646" s="13" t="str">
        <f t="array" ref="G646">iferror(xlookup(A646,'Download of SFDC Activation Rep'!B:B,'Download of SFDC Activation Rep'!L:L),"")</f>
        <v/>
      </c>
      <c r="H646" s="17" t="str">
        <f t="shared" si="1"/>
        <v>Not Active</v>
      </c>
      <c r="I646" s="17" t="str">
        <f t="array" ref="I646">XLOOKUP(A646,'Download of SFDC Activation Rep'!B:B,'Download of SFDC Activation Rep'!T:T)</f>
        <v>#N/A</v>
      </c>
      <c r="J646" s="17" t="str">
        <f t="array" ref="J646">iferror(XLOOKUP(A646,'Download of SFDC Activation Rep'!B:B,'Download of SFDC Activation Rep'!C:C),"")</f>
        <v/>
      </c>
      <c r="K646" s="17" t="str">
        <f t="array" ref="K646">XLOOKUP(A646,'Download of SFDC Activation Rep'!B:B,'Download of SFDC Activation Rep'!X:X)</f>
        <v>#N/A</v>
      </c>
      <c r="L646" s="32" t="str">
        <f t="array" ref="L646">xlookup(A646,'Download of SFDC Activation Rep'!B:B,'Download of SFDC Activation Rep'!Z:Z)</f>
        <v>#N/A</v>
      </c>
    </row>
    <row r="647">
      <c r="B647" s="14"/>
      <c r="C647" s="14"/>
      <c r="D647" s="14"/>
      <c r="E647" s="14"/>
      <c r="F647" s="13" t="str">
        <f t="array" ref="F647">iferror(XLOOKUP(A647,'Download of SFDC Activation Rep'!B:B,'Download of SFDC Activation Rep'!H:H),"")</f>
        <v/>
      </c>
      <c r="G647" s="13" t="str">
        <f t="array" ref="G647">iferror(xlookup(A647,'Download of SFDC Activation Rep'!B:B,'Download of SFDC Activation Rep'!L:L),"")</f>
        <v/>
      </c>
      <c r="H647" s="17" t="str">
        <f t="shared" si="1"/>
        <v>Not Active</v>
      </c>
      <c r="I647" s="17" t="str">
        <f t="array" ref="I647">XLOOKUP(A647,'Download of SFDC Activation Rep'!B:B,'Download of SFDC Activation Rep'!T:T)</f>
        <v>#N/A</v>
      </c>
      <c r="J647" s="17" t="str">
        <f t="array" ref="J647">iferror(XLOOKUP(A647,'Download of SFDC Activation Rep'!B:B,'Download of SFDC Activation Rep'!C:C),"")</f>
        <v/>
      </c>
      <c r="K647" s="17" t="str">
        <f t="array" ref="K647">XLOOKUP(A647,'Download of SFDC Activation Rep'!B:B,'Download of SFDC Activation Rep'!X:X)</f>
        <v>#N/A</v>
      </c>
      <c r="L647" s="32" t="str">
        <f t="array" ref="L647">xlookup(A647,'Download of SFDC Activation Rep'!B:B,'Download of SFDC Activation Rep'!Z:Z)</f>
        <v>#N/A</v>
      </c>
    </row>
    <row r="648">
      <c r="B648" s="14"/>
      <c r="C648" s="14"/>
      <c r="D648" s="14"/>
      <c r="E648" s="14"/>
      <c r="F648" s="13" t="str">
        <f t="array" ref="F648">iferror(XLOOKUP(A648,'Download of SFDC Activation Rep'!B:B,'Download of SFDC Activation Rep'!H:H),"")</f>
        <v/>
      </c>
      <c r="G648" s="13" t="str">
        <f t="array" ref="G648">iferror(xlookup(A648,'Download of SFDC Activation Rep'!B:B,'Download of SFDC Activation Rep'!L:L),"")</f>
        <v/>
      </c>
      <c r="H648" s="17" t="str">
        <f t="shared" si="1"/>
        <v>Not Active</v>
      </c>
      <c r="I648" s="17" t="str">
        <f t="array" ref="I648">XLOOKUP(A648,'Download of SFDC Activation Rep'!B:B,'Download of SFDC Activation Rep'!T:T)</f>
        <v>#N/A</v>
      </c>
      <c r="J648" s="17" t="str">
        <f t="array" ref="J648">iferror(XLOOKUP(A648,'Download of SFDC Activation Rep'!B:B,'Download of SFDC Activation Rep'!C:C),"")</f>
        <v/>
      </c>
      <c r="K648" s="17" t="str">
        <f t="array" ref="K648">XLOOKUP(A648,'Download of SFDC Activation Rep'!B:B,'Download of SFDC Activation Rep'!X:X)</f>
        <v>#N/A</v>
      </c>
      <c r="L648" s="32" t="str">
        <f t="array" ref="L648">xlookup(A648,'Download of SFDC Activation Rep'!B:B,'Download of SFDC Activation Rep'!Z:Z)</f>
        <v>#N/A</v>
      </c>
    </row>
    <row r="649">
      <c r="B649" s="14"/>
      <c r="C649" s="14"/>
      <c r="D649" s="14"/>
      <c r="E649" s="14"/>
      <c r="F649" s="13" t="str">
        <f t="array" ref="F649">iferror(XLOOKUP(A649,'Download of SFDC Activation Rep'!B:B,'Download of SFDC Activation Rep'!H:H),"")</f>
        <v/>
      </c>
      <c r="G649" s="13" t="str">
        <f t="array" ref="G649">iferror(xlookup(A649,'Download of SFDC Activation Rep'!B:B,'Download of SFDC Activation Rep'!L:L),"")</f>
        <v/>
      </c>
      <c r="H649" s="17" t="str">
        <f t="shared" si="1"/>
        <v>Not Active</v>
      </c>
      <c r="I649" s="17" t="str">
        <f t="array" ref="I649">XLOOKUP(A649,'Download of SFDC Activation Rep'!B:B,'Download of SFDC Activation Rep'!T:T)</f>
        <v>#N/A</v>
      </c>
      <c r="J649" s="17" t="str">
        <f t="array" ref="J649">iferror(XLOOKUP(A649,'Download of SFDC Activation Rep'!B:B,'Download of SFDC Activation Rep'!C:C),"")</f>
        <v/>
      </c>
      <c r="K649" s="17" t="str">
        <f t="array" ref="K649">XLOOKUP(A649,'Download of SFDC Activation Rep'!B:B,'Download of SFDC Activation Rep'!X:X)</f>
        <v>#N/A</v>
      </c>
      <c r="L649" s="32" t="str">
        <f t="array" ref="L649">xlookup(A649,'Download of SFDC Activation Rep'!B:B,'Download of SFDC Activation Rep'!Z:Z)</f>
        <v>#N/A</v>
      </c>
    </row>
    <row r="650">
      <c r="B650" s="14"/>
      <c r="C650" s="14"/>
      <c r="D650" s="14"/>
      <c r="E650" s="14"/>
      <c r="F650" s="13" t="str">
        <f t="array" ref="F650">iferror(XLOOKUP(A650,'Download of SFDC Activation Rep'!B:B,'Download of SFDC Activation Rep'!H:H),"")</f>
        <v/>
      </c>
      <c r="G650" s="13" t="str">
        <f t="array" ref="G650">iferror(xlookup(A650,'Download of SFDC Activation Rep'!B:B,'Download of SFDC Activation Rep'!L:L),"")</f>
        <v/>
      </c>
      <c r="H650" s="17" t="str">
        <f t="shared" si="1"/>
        <v>Not Active</v>
      </c>
      <c r="I650" s="17" t="str">
        <f t="array" ref="I650">XLOOKUP(A650,'Download of SFDC Activation Rep'!B:B,'Download of SFDC Activation Rep'!T:T)</f>
        <v>#N/A</v>
      </c>
      <c r="J650" s="17" t="str">
        <f t="array" ref="J650">iferror(XLOOKUP(A650,'Download of SFDC Activation Rep'!B:B,'Download of SFDC Activation Rep'!C:C),"")</f>
        <v/>
      </c>
      <c r="K650" s="17" t="str">
        <f t="array" ref="K650">XLOOKUP(A650,'Download of SFDC Activation Rep'!B:B,'Download of SFDC Activation Rep'!X:X)</f>
        <v>#N/A</v>
      </c>
      <c r="L650" s="32" t="str">
        <f t="array" ref="L650">xlookup(A650,'Download of SFDC Activation Rep'!B:B,'Download of SFDC Activation Rep'!Z:Z)</f>
        <v>#N/A</v>
      </c>
    </row>
    <row r="651">
      <c r="B651" s="14"/>
      <c r="C651" s="14"/>
      <c r="D651" s="14"/>
      <c r="E651" s="14"/>
      <c r="F651" s="13" t="str">
        <f t="array" ref="F651">iferror(XLOOKUP(A651,'Download of SFDC Activation Rep'!B:B,'Download of SFDC Activation Rep'!H:H),"")</f>
        <v/>
      </c>
      <c r="G651" s="13" t="str">
        <f t="array" ref="G651">iferror(xlookup(A651,'Download of SFDC Activation Rep'!B:B,'Download of SFDC Activation Rep'!L:L),"")</f>
        <v/>
      </c>
      <c r="H651" s="17" t="str">
        <f t="shared" si="1"/>
        <v>Not Active</v>
      </c>
      <c r="I651" s="17" t="str">
        <f t="array" ref="I651">XLOOKUP(A651,'Download of SFDC Activation Rep'!B:B,'Download of SFDC Activation Rep'!T:T)</f>
        <v>#N/A</v>
      </c>
      <c r="J651" s="17" t="str">
        <f t="array" ref="J651">iferror(XLOOKUP(A651,'Download of SFDC Activation Rep'!B:B,'Download of SFDC Activation Rep'!C:C),"")</f>
        <v/>
      </c>
      <c r="K651" s="17" t="str">
        <f t="array" ref="K651">XLOOKUP(A651,'Download of SFDC Activation Rep'!B:B,'Download of SFDC Activation Rep'!X:X)</f>
        <v>#N/A</v>
      </c>
      <c r="L651" s="32" t="str">
        <f t="array" ref="L651">xlookup(A651,'Download of SFDC Activation Rep'!B:B,'Download of SFDC Activation Rep'!Z:Z)</f>
        <v>#N/A</v>
      </c>
    </row>
    <row r="652">
      <c r="B652" s="14"/>
      <c r="C652" s="14"/>
      <c r="D652" s="14"/>
      <c r="E652" s="14"/>
      <c r="F652" s="13" t="str">
        <f t="array" ref="F652">iferror(XLOOKUP(A652,'Download of SFDC Activation Rep'!B:B,'Download of SFDC Activation Rep'!H:H),"")</f>
        <v/>
      </c>
      <c r="G652" s="13" t="str">
        <f t="array" ref="G652">iferror(xlookup(A652,'Download of SFDC Activation Rep'!B:B,'Download of SFDC Activation Rep'!L:L),"")</f>
        <v/>
      </c>
      <c r="H652" s="17" t="str">
        <f t="shared" si="1"/>
        <v>Not Active</v>
      </c>
      <c r="I652" s="17" t="str">
        <f t="array" ref="I652">XLOOKUP(A652,'Download of SFDC Activation Rep'!B:B,'Download of SFDC Activation Rep'!T:T)</f>
        <v>#N/A</v>
      </c>
      <c r="J652" s="17" t="str">
        <f t="array" ref="J652">iferror(XLOOKUP(A652,'Download of SFDC Activation Rep'!B:B,'Download of SFDC Activation Rep'!C:C),"")</f>
        <v/>
      </c>
      <c r="K652" s="17" t="str">
        <f t="array" ref="K652">XLOOKUP(A652,'Download of SFDC Activation Rep'!B:B,'Download of SFDC Activation Rep'!X:X)</f>
        <v>#N/A</v>
      </c>
      <c r="L652" s="32" t="str">
        <f t="array" ref="L652">xlookup(A652,'Download of SFDC Activation Rep'!B:B,'Download of SFDC Activation Rep'!Z:Z)</f>
        <v>#N/A</v>
      </c>
    </row>
    <row r="653">
      <c r="B653" s="14"/>
      <c r="C653" s="14"/>
      <c r="D653" s="14"/>
      <c r="E653" s="14"/>
      <c r="F653" s="13" t="str">
        <f t="array" ref="F653">iferror(XLOOKUP(A653,'Download of SFDC Activation Rep'!B:B,'Download of SFDC Activation Rep'!H:H),"")</f>
        <v/>
      </c>
      <c r="G653" s="13" t="str">
        <f t="array" ref="G653">iferror(xlookup(A653,'Download of SFDC Activation Rep'!B:B,'Download of SFDC Activation Rep'!L:L),"")</f>
        <v/>
      </c>
      <c r="H653" s="17" t="str">
        <f t="shared" si="1"/>
        <v>Not Active</v>
      </c>
      <c r="I653" s="17" t="str">
        <f t="array" ref="I653">XLOOKUP(A653,'Download of SFDC Activation Rep'!B:B,'Download of SFDC Activation Rep'!T:T)</f>
        <v>#N/A</v>
      </c>
      <c r="J653" s="17" t="str">
        <f t="array" ref="J653">iferror(XLOOKUP(A653,'Download of SFDC Activation Rep'!B:B,'Download of SFDC Activation Rep'!C:C),"")</f>
        <v/>
      </c>
      <c r="K653" s="17" t="str">
        <f t="array" ref="K653">XLOOKUP(A653,'Download of SFDC Activation Rep'!B:B,'Download of SFDC Activation Rep'!X:X)</f>
        <v>#N/A</v>
      </c>
      <c r="L653" s="32" t="str">
        <f t="array" ref="L653">xlookup(A653,'Download of SFDC Activation Rep'!B:B,'Download of SFDC Activation Rep'!Z:Z)</f>
        <v>#N/A</v>
      </c>
    </row>
    <row r="654">
      <c r="B654" s="14"/>
      <c r="C654" s="14"/>
      <c r="D654" s="14"/>
      <c r="E654" s="14"/>
      <c r="F654" s="13" t="str">
        <f t="array" ref="F654">iferror(XLOOKUP(A654,'Download of SFDC Activation Rep'!B:B,'Download of SFDC Activation Rep'!H:H),"")</f>
        <v/>
      </c>
      <c r="G654" s="13" t="str">
        <f t="array" ref="G654">iferror(xlookup(A654,'Download of SFDC Activation Rep'!B:B,'Download of SFDC Activation Rep'!L:L),"")</f>
        <v/>
      </c>
      <c r="H654" s="17" t="str">
        <f t="shared" si="1"/>
        <v>Not Active</v>
      </c>
      <c r="I654" s="17" t="str">
        <f t="array" ref="I654">XLOOKUP(A654,'Download of SFDC Activation Rep'!B:B,'Download of SFDC Activation Rep'!T:T)</f>
        <v>#N/A</v>
      </c>
      <c r="J654" s="17" t="str">
        <f t="array" ref="J654">iferror(XLOOKUP(A654,'Download of SFDC Activation Rep'!B:B,'Download of SFDC Activation Rep'!C:C),"")</f>
        <v/>
      </c>
      <c r="K654" s="17" t="str">
        <f t="array" ref="K654">XLOOKUP(A654,'Download of SFDC Activation Rep'!B:B,'Download of SFDC Activation Rep'!X:X)</f>
        <v>#N/A</v>
      </c>
      <c r="L654" s="32" t="str">
        <f t="array" ref="L654">xlookup(A654,'Download of SFDC Activation Rep'!B:B,'Download of SFDC Activation Rep'!Z:Z)</f>
        <v>#N/A</v>
      </c>
    </row>
    <row r="655">
      <c r="B655" s="14"/>
      <c r="C655" s="14"/>
      <c r="D655" s="14"/>
      <c r="E655" s="14"/>
      <c r="F655" s="13" t="str">
        <f t="array" ref="F655">iferror(XLOOKUP(A655,'Download of SFDC Activation Rep'!B:B,'Download of SFDC Activation Rep'!H:H),"")</f>
        <v/>
      </c>
      <c r="G655" s="13" t="str">
        <f t="array" ref="G655">iferror(xlookup(A655,'Download of SFDC Activation Rep'!B:B,'Download of SFDC Activation Rep'!L:L),"")</f>
        <v/>
      </c>
      <c r="H655" s="17" t="str">
        <f t="shared" si="1"/>
        <v>Not Active</v>
      </c>
      <c r="I655" s="17" t="str">
        <f t="array" ref="I655">XLOOKUP(A655,'Download of SFDC Activation Rep'!B:B,'Download of SFDC Activation Rep'!T:T)</f>
        <v>#N/A</v>
      </c>
      <c r="J655" s="17" t="str">
        <f t="array" ref="J655">iferror(XLOOKUP(A655,'Download of SFDC Activation Rep'!B:B,'Download of SFDC Activation Rep'!C:C),"")</f>
        <v/>
      </c>
      <c r="K655" s="17" t="str">
        <f t="array" ref="K655">XLOOKUP(A655,'Download of SFDC Activation Rep'!B:B,'Download of SFDC Activation Rep'!X:X)</f>
        <v>#N/A</v>
      </c>
      <c r="L655" s="32" t="str">
        <f t="array" ref="L655">xlookup(A655,'Download of SFDC Activation Rep'!B:B,'Download of SFDC Activation Rep'!Z:Z)</f>
        <v>#N/A</v>
      </c>
    </row>
    <row r="656">
      <c r="B656" s="14"/>
      <c r="C656" s="14"/>
      <c r="D656" s="14"/>
      <c r="E656" s="14"/>
      <c r="F656" s="13" t="str">
        <f t="array" ref="F656">iferror(XLOOKUP(A656,'Download of SFDC Activation Rep'!B:B,'Download of SFDC Activation Rep'!H:H),"")</f>
        <v/>
      </c>
      <c r="G656" s="13" t="str">
        <f t="array" ref="G656">iferror(xlookup(A656,'Download of SFDC Activation Rep'!B:B,'Download of SFDC Activation Rep'!L:L),"")</f>
        <v/>
      </c>
      <c r="H656" s="17" t="str">
        <f t="shared" si="1"/>
        <v>Not Active</v>
      </c>
      <c r="I656" s="17" t="str">
        <f t="array" ref="I656">XLOOKUP(A656,'Download of SFDC Activation Rep'!B:B,'Download of SFDC Activation Rep'!T:T)</f>
        <v>#N/A</v>
      </c>
      <c r="J656" s="17" t="str">
        <f t="array" ref="J656">iferror(XLOOKUP(A656,'Download of SFDC Activation Rep'!B:B,'Download of SFDC Activation Rep'!C:C),"")</f>
        <v/>
      </c>
      <c r="K656" s="17" t="str">
        <f t="array" ref="K656">XLOOKUP(A656,'Download of SFDC Activation Rep'!B:B,'Download of SFDC Activation Rep'!X:X)</f>
        <v>#N/A</v>
      </c>
      <c r="L656" s="32" t="str">
        <f t="array" ref="L656">xlookup(A656,'Download of SFDC Activation Rep'!B:B,'Download of SFDC Activation Rep'!Z:Z)</f>
        <v>#N/A</v>
      </c>
    </row>
    <row r="657">
      <c r="B657" s="14"/>
      <c r="C657" s="14"/>
      <c r="D657" s="14"/>
      <c r="E657" s="14"/>
      <c r="F657" s="13" t="str">
        <f t="array" ref="F657">iferror(XLOOKUP(A657,'Download of SFDC Activation Rep'!B:B,'Download of SFDC Activation Rep'!H:H),"")</f>
        <v/>
      </c>
      <c r="G657" s="13" t="str">
        <f t="array" ref="G657">iferror(xlookup(A657,'Download of SFDC Activation Rep'!B:B,'Download of SFDC Activation Rep'!L:L),"")</f>
        <v/>
      </c>
      <c r="H657" s="17" t="str">
        <f t="shared" si="1"/>
        <v>Not Active</v>
      </c>
      <c r="I657" s="17" t="str">
        <f t="array" ref="I657">XLOOKUP(A657,'Download of SFDC Activation Rep'!B:B,'Download of SFDC Activation Rep'!T:T)</f>
        <v>#N/A</v>
      </c>
      <c r="J657" s="17" t="str">
        <f t="array" ref="J657">iferror(XLOOKUP(A657,'Download of SFDC Activation Rep'!B:B,'Download of SFDC Activation Rep'!C:C),"")</f>
        <v/>
      </c>
      <c r="K657" s="17" t="str">
        <f t="array" ref="K657">XLOOKUP(A657,'Download of SFDC Activation Rep'!B:B,'Download of SFDC Activation Rep'!X:X)</f>
        <v>#N/A</v>
      </c>
      <c r="L657" s="32" t="str">
        <f t="array" ref="L657">xlookup(A657,'Download of SFDC Activation Rep'!B:B,'Download of SFDC Activation Rep'!Z:Z)</f>
        <v>#N/A</v>
      </c>
    </row>
    <row r="658">
      <c r="B658" s="14"/>
      <c r="C658" s="14"/>
      <c r="D658" s="14"/>
      <c r="E658" s="14"/>
      <c r="F658" s="13" t="str">
        <f t="array" ref="F658">iferror(XLOOKUP(A658,'Download of SFDC Activation Rep'!B:B,'Download of SFDC Activation Rep'!H:H),"")</f>
        <v/>
      </c>
      <c r="G658" s="13" t="str">
        <f t="array" ref="G658">iferror(xlookup(A658,'Download of SFDC Activation Rep'!B:B,'Download of SFDC Activation Rep'!L:L),"")</f>
        <v/>
      </c>
      <c r="H658" s="17" t="str">
        <f t="shared" si="1"/>
        <v>Not Active</v>
      </c>
      <c r="I658" s="17" t="str">
        <f t="array" ref="I658">XLOOKUP(A658,'Download of SFDC Activation Rep'!B:B,'Download of SFDC Activation Rep'!T:T)</f>
        <v>#N/A</v>
      </c>
      <c r="J658" s="17" t="str">
        <f t="array" ref="J658">iferror(XLOOKUP(A658,'Download of SFDC Activation Rep'!B:B,'Download of SFDC Activation Rep'!C:C),"")</f>
        <v/>
      </c>
      <c r="K658" s="17" t="str">
        <f t="array" ref="K658">XLOOKUP(A658,'Download of SFDC Activation Rep'!B:B,'Download of SFDC Activation Rep'!X:X)</f>
        <v>#N/A</v>
      </c>
      <c r="L658" s="32" t="str">
        <f t="array" ref="L658">xlookup(A658,'Download of SFDC Activation Rep'!B:B,'Download of SFDC Activation Rep'!Z:Z)</f>
        <v>#N/A</v>
      </c>
    </row>
    <row r="659">
      <c r="B659" s="14"/>
      <c r="C659" s="14"/>
      <c r="D659" s="14"/>
      <c r="E659" s="14"/>
      <c r="F659" s="13" t="str">
        <f t="array" ref="F659">iferror(XLOOKUP(A659,'Download of SFDC Activation Rep'!B:B,'Download of SFDC Activation Rep'!H:H),"")</f>
        <v/>
      </c>
      <c r="G659" s="13" t="str">
        <f t="array" ref="G659">iferror(xlookup(A659,'Download of SFDC Activation Rep'!B:B,'Download of SFDC Activation Rep'!L:L),"")</f>
        <v/>
      </c>
      <c r="H659" s="17" t="str">
        <f t="shared" si="1"/>
        <v>Not Active</v>
      </c>
      <c r="I659" s="17" t="str">
        <f t="array" ref="I659">XLOOKUP(A659,'Download of SFDC Activation Rep'!B:B,'Download of SFDC Activation Rep'!T:T)</f>
        <v>#N/A</v>
      </c>
      <c r="J659" s="17" t="str">
        <f t="array" ref="J659">iferror(XLOOKUP(A659,'Download of SFDC Activation Rep'!B:B,'Download of SFDC Activation Rep'!C:C),"")</f>
        <v/>
      </c>
      <c r="K659" s="17" t="str">
        <f t="array" ref="K659">XLOOKUP(A659,'Download of SFDC Activation Rep'!B:B,'Download of SFDC Activation Rep'!X:X)</f>
        <v>#N/A</v>
      </c>
      <c r="L659" s="32" t="str">
        <f t="array" ref="L659">xlookup(A659,'Download of SFDC Activation Rep'!B:B,'Download of SFDC Activation Rep'!Z:Z)</f>
        <v>#N/A</v>
      </c>
    </row>
    <row r="660">
      <c r="B660" s="14"/>
      <c r="C660" s="14"/>
      <c r="D660" s="14"/>
      <c r="E660" s="14"/>
      <c r="F660" s="13" t="str">
        <f t="array" ref="F660">iferror(XLOOKUP(A660,'Download of SFDC Activation Rep'!B:B,'Download of SFDC Activation Rep'!H:H),"")</f>
        <v/>
      </c>
      <c r="G660" s="13" t="str">
        <f t="array" ref="G660">iferror(xlookup(A660,'Download of SFDC Activation Rep'!B:B,'Download of SFDC Activation Rep'!L:L),"")</f>
        <v/>
      </c>
      <c r="H660" s="17" t="str">
        <f t="shared" si="1"/>
        <v>Not Active</v>
      </c>
      <c r="I660" s="17" t="str">
        <f t="array" ref="I660">XLOOKUP(A660,'Download of SFDC Activation Rep'!B:B,'Download of SFDC Activation Rep'!T:T)</f>
        <v>#N/A</v>
      </c>
      <c r="J660" s="17" t="str">
        <f t="array" ref="J660">iferror(XLOOKUP(A660,'Download of SFDC Activation Rep'!B:B,'Download of SFDC Activation Rep'!C:C),"")</f>
        <v/>
      </c>
      <c r="K660" s="17" t="str">
        <f t="array" ref="K660">XLOOKUP(A660,'Download of SFDC Activation Rep'!B:B,'Download of SFDC Activation Rep'!X:X)</f>
        <v>#N/A</v>
      </c>
      <c r="L660" s="32" t="str">
        <f t="array" ref="L660">xlookup(A660,'Download of SFDC Activation Rep'!B:B,'Download of SFDC Activation Rep'!Z:Z)</f>
        <v>#N/A</v>
      </c>
    </row>
    <row r="661">
      <c r="B661" s="14"/>
      <c r="C661" s="14"/>
      <c r="D661" s="14"/>
      <c r="E661" s="14"/>
      <c r="F661" s="13" t="str">
        <f t="array" ref="F661">iferror(XLOOKUP(A661,'Download of SFDC Activation Rep'!B:B,'Download of SFDC Activation Rep'!H:H),"")</f>
        <v/>
      </c>
      <c r="G661" s="13" t="str">
        <f t="array" ref="G661">iferror(xlookup(A661,'Download of SFDC Activation Rep'!B:B,'Download of SFDC Activation Rep'!L:L),"")</f>
        <v/>
      </c>
      <c r="H661" s="17" t="str">
        <f t="shared" si="1"/>
        <v>Not Active</v>
      </c>
      <c r="I661" s="17" t="str">
        <f t="array" ref="I661">XLOOKUP(A661,'Download of SFDC Activation Rep'!B:B,'Download of SFDC Activation Rep'!T:T)</f>
        <v>#N/A</v>
      </c>
      <c r="J661" s="17" t="str">
        <f t="array" ref="J661">iferror(XLOOKUP(A661,'Download of SFDC Activation Rep'!B:B,'Download of SFDC Activation Rep'!C:C),"")</f>
        <v/>
      </c>
      <c r="K661" s="17" t="str">
        <f t="array" ref="K661">XLOOKUP(A661,'Download of SFDC Activation Rep'!B:B,'Download of SFDC Activation Rep'!X:X)</f>
        <v>#N/A</v>
      </c>
      <c r="L661" s="32" t="str">
        <f t="array" ref="L661">xlookup(A661,'Download of SFDC Activation Rep'!B:B,'Download of SFDC Activation Rep'!Z:Z)</f>
        <v>#N/A</v>
      </c>
    </row>
    <row r="662">
      <c r="B662" s="14"/>
      <c r="C662" s="14"/>
      <c r="D662" s="14"/>
      <c r="E662" s="14"/>
      <c r="F662" s="13" t="str">
        <f t="array" ref="F662">iferror(XLOOKUP(A662,'Download of SFDC Activation Rep'!B:B,'Download of SFDC Activation Rep'!H:H),"")</f>
        <v/>
      </c>
      <c r="G662" s="13" t="str">
        <f t="array" ref="G662">iferror(xlookup(A662,'Download of SFDC Activation Rep'!B:B,'Download of SFDC Activation Rep'!L:L),"")</f>
        <v/>
      </c>
      <c r="H662" s="17" t="str">
        <f t="shared" si="1"/>
        <v>Not Active</v>
      </c>
      <c r="I662" s="17" t="str">
        <f t="array" ref="I662">XLOOKUP(A662,'Download of SFDC Activation Rep'!B:B,'Download of SFDC Activation Rep'!T:T)</f>
        <v>#N/A</v>
      </c>
      <c r="J662" s="17" t="str">
        <f t="array" ref="J662">iferror(XLOOKUP(A662,'Download of SFDC Activation Rep'!B:B,'Download of SFDC Activation Rep'!C:C),"")</f>
        <v/>
      </c>
      <c r="K662" s="17" t="str">
        <f t="array" ref="K662">XLOOKUP(A662,'Download of SFDC Activation Rep'!B:B,'Download of SFDC Activation Rep'!X:X)</f>
        <v>#N/A</v>
      </c>
      <c r="L662" s="32" t="str">
        <f t="array" ref="L662">xlookup(A662,'Download of SFDC Activation Rep'!B:B,'Download of SFDC Activation Rep'!Z:Z)</f>
        <v>#N/A</v>
      </c>
    </row>
    <row r="663">
      <c r="B663" s="14"/>
      <c r="C663" s="14"/>
      <c r="D663" s="14"/>
      <c r="E663" s="14"/>
      <c r="F663" s="13" t="str">
        <f t="array" ref="F663">iferror(XLOOKUP(A663,'Download of SFDC Activation Rep'!B:B,'Download of SFDC Activation Rep'!H:H),"")</f>
        <v/>
      </c>
      <c r="G663" s="13" t="str">
        <f t="array" ref="G663">iferror(xlookup(A663,'Download of SFDC Activation Rep'!B:B,'Download of SFDC Activation Rep'!L:L),"")</f>
        <v/>
      </c>
      <c r="H663" s="17" t="str">
        <f t="shared" si="1"/>
        <v>Not Active</v>
      </c>
      <c r="I663" s="17" t="str">
        <f t="array" ref="I663">XLOOKUP(A663,'Download of SFDC Activation Rep'!B:B,'Download of SFDC Activation Rep'!T:T)</f>
        <v>#N/A</v>
      </c>
      <c r="J663" s="17" t="str">
        <f t="array" ref="J663">iferror(XLOOKUP(A663,'Download of SFDC Activation Rep'!B:B,'Download of SFDC Activation Rep'!C:C),"")</f>
        <v/>
      </c>
      <c r="K663" s="17" t="str">
        <f t="array" ref="K663">XLOOKUP(A663,'Download of SFDC Activation Rep'!B:B,'Download of SFDC Activation Rep'!X:X)</f>
        <v>#N/A</v>
      </c>
      <c r="L663" s="32" t="str">
        <f t="array" ref="L663">xlookup(A663,'Download of SFDC Activation Rep'!B:B,'Download of SFDC Activation Rep'!Z:Z)</f>
        <v>#N/A</v>
      </c>
    </row>
    <row r="664">
      <c r="B664" s="14"/>
      <c r="C664" s="14"/>
      <c r="D664" s="14"/>
      <c r="E664" s="14"/>
      <c r="F664" s="13" t="str">
        <f t="array" ref="F664">iferror(XLOOKUP(A664,'Download of SFDC Activation Rep'!B:B,'Download of SFDC Activation Rep'!H:H),"")</f>
        <v/>
      </c>
      <c r="G664" s="13" t="str">
        <f t="array" ref="G664">iferror(xlookup(A664,'Download of SFDC Activation Rep'!B:B,'Download of SFDC Activation Rep'!L:L),"")</f>
        <v/>
      </c>
      <c r="H664" s="17" t="str">
        <f t="shared" si="1"/>
        <v>Not Active</v>
      </c>
      <c r="I664" s="17" t="str">
        <f t="array" ref="I664">XLOOKUP(A664,'Download of SFDC Activation Rep'!B:B,'Download of SFDC Activation Rep'!T:T)</f>
        <v>#N/A</v>
      </c>
      <c r="J664" s="17" t="str">
        <f t="array" ref="J664">iferror(XLOOKUP(A664,'Download of SFDC Activation Rep'!B:B,'Download of SFDC Activation Rep'!C:C),"")</f>
        <v/>
      </c>
      <c r="K664" s="17" t="str">
        <f t="array" ref="K664">XLOOKUP(A664,'Download of SFDC Activation Rep'!B:B,'Download of SFDC Activation Rep'!X:X)</f>
        <v>#N/A</v>
      </c>
      <c r="L664" s="32" t="str">
        <f t="array" ref="L664">xlookup(A664,'Download of SFDC Activation Rep'!B:B,'Download of SFDC Activation Rep'!Z:Z)</f>
        <v>#N/A</v>
      </c>
    </row>
    <row r="665">
      <c r="B665" s="14"/>
      <c r="C665" s="14"/>
      <c r="D665" s="14"/>
      <c r="E665" s="14"/>
      <c r="F665" s="13" t="str">
        <f t="array" ref="F665">iferror(XLOOKUP(A665,'Download of SFDC Activation Rep'!B:B,'Download of SFDC Activation Rep'!H:H),"")</f>
        <v/>
      </c>
      <c r="G665" s="13" t="str">
        <f t="array" ref="G665">iferror(xlookup(A665,'Download of SFDC Activation Rep'!B:B,'Download of SFDC Activation Rep'!L:L),"")</f>
        <v/>
      </c>
      <c r="H665" s="17" t="str">
        <f t="shared" si="1"/>
        <v>Not Active</v>
      </c>
      <c r="I665" s="17" t="str">
        <f t="array" ref="I665">XLOOKUP(A665,'Download of SFDC Activation Rep'!B:B,'Download of SFDC Activation Rep'!T:T)</f>
        <v>#N/A</v>
      </c>
      <c r="J665" s="17" t="str">
        <f t="array" ref="J665">iferror(XLOOKUP(A665,'Download of SFDC Activation Rep'!B:B,'Download of SFDC Activation Rep'!C:C),"")</f>
        <v/>
      </c>
      <c r="K665" s="17" t="str">
        <f t="array" ref="K665">XLOOKUP(A665,'Download of SFDC Activation Rep'!B:B,'Download of SFDC Activation Rep'!X:X)</f>
        <v>#N/A</v>
      </c>
      <c r="L665" s="32" t="str">
        <f t="array" ref="L665">xlookup(A665,'Download of SFDC Activation Rep'!B:B,'Download of SFDC Activation Rep'!Z:Z)</f>
        <v>#N/A</v>
      </c>
    </row>
    <row r="666">
      <c r="B666" s="14"/>
      <c r="C666" s="14"/>
      <c r="D666" s="14"/>
      <c r="E666" s="14"/>
      <c r="F666" s="13" t="str">
        <f t="array" ref="F666">iferror(XLOOKUP(A666,'Download of SFDC Activation Rep'!B:B,'Download of SFDC Activation Rep'!H:H),"")</f>
        <v/>
      </c>
      <c r="G666" s="13" t="str">
        <f t="array" ref="G666">iferror(xlookup(A666,'Download of SFDC Activation Rep'!B:B,'Download of SFDC Activation Rep'!L:L),"")</f>
        <v/>
      </c>
      <c r="H666" s="17" t="str">
        <f t="shared" si="1"/>
        <v>Not Active</v>
      </c>
      <c r="I666" s="17" t="str">
        <f t="array" ref="I666">XLOOKUP(A666,'Download of SFDC Activation Rep'!B:B,'Download of SFDC Activation Rep'!T:T)</f>
        <v>#N/A</v>
      </c>
      <c r="J666" s="17" t="str">
        <f t="array" ref="J666">iferror(XLOOKUP(A666,'Download of SFDC Activation Rep'!B:B,'Download of SFDC Activation Rep'!C:C),"")</f>
        <v/>
      </c>
      <c r="K666" s="17" t="str">
        <f t="array" ref="K666">XLOOKUP(A666,'Download of SFDC Activation Rep'!B:B,'Download of SFDC Activation Rep'!X:X)</f>
        <v>#N/A</v>
      </c>
      <c r="L666" s="32" t="str">
        <f t="array" ref="L666">xlookup(A666,'Download of SFDC Activation Rep'!B:B,'Download of SFDC Activation Rep'!Z:Z)</f>
        <v>#N/A</v>
      </c>
    </row>
    <row r="667">
      <c r="B667" s="14"/>
      <c r="C667" s="14"/>
      <c r="D667" s="14"/>
      <c r="E667" s="14"/>
      <c r="F667" s="13" t="str">
        <f t="array" ref="F667">iferror(XLOOKUP(A667,'Download of SFDC Activation Rep'!B:B,'Download of SFDC Activation Rep'!H:H),"")</f>
        <v/>
      </c>
      <c r="G667" s="13" t="str">
        <f t="array" ref="G667">iferror(xlookup(A667,'Download of SFDC Activation Rep'!B:B,'Download of SFDC Activation Rep'!L:L),"")</f>
        <v/>
      </c>
      <c r="H667" s="17" t="str">
        <f t="shared" si="1"/>
        <v>Not Active</v>
      </c>
      <c r="I667" s="17" t="str">
        <f t="array" ref="I667">XLOOKUP(A667,'Download of SFDC Activation Rep'!B:B,'Download of SFDC Activation Rep'!T:T)</f>
        <v>#N/A</v>
      </c>
      <c r="J667" s="17" t="str">
        <f t="array" ref="J667">iferror(XLOOKUP(A667,'Download of SFDC Activation Rep'!B:B,'Download of SFDC Activation Rep'!C:C),"")</f>
        <v/>
      </c>
      <c r="K667" s="17" t="str">
        <f t="array" ref="K667">XLOOKUP(A667,'Download of SFDC Activation Rep'!B:B,'Download of SFDC Activation Rep'!X:X)</f>
        <v>#N/A</v>
      </c>
      <c r="L667" s="32" t="str">
        <f t="array" ref="L667">xlookup(A667,'Download of SFDC Activation Rep'!B:B,'Download of SFDC Activation Rep'!Z:Z)</f>
        <v>#N/A</v>
      </c>
    </row>
    <row r="668">
      <c r="B668" s="14"/>
      <c r="C668" s="14"/>
      <c r="D668" s="14"/>
      <c r="E668" s="14"/>
      <c r="F668" s="13" t="str">
        <f t="array" ref="F668">iferror(XLOOKUP(A668,'Download of SFDC Activation Rep'!B:B,'Download of SFDC Activation Rep'!H:H),"")</f>
        <v/>
      </c>
      <c r="G668" s="13" t="str">
        <f t="array" ref="G668">iferror(xlookup(A668,'Download of SFDC Activation Rep'!B:B,'Download of SFDC Activation Rep'!L:L),"")</f>
        <v/>
      </c>
      <c r="H668" s="17" t="str">
        <f t="shared" si="1"/>
        <v>Not Active</v>
      </c>
      <c r="I668" s="17" t="str">
        <f t="array" ref="I668">XLOOKUP(A668,'Download of SFDC Activation Rep'!B:B,'Download of SFDC Activation Rep'!T:T)</f>
        <v>#N/A</v>
      </c>
      <c r="J668" s="17" t="str">
        <f t="array" ref="J668">iferror(XLOOKUP(A668,'Download of SFDC Activation Rep'!B:B,'Download of SFDC Activation Rep'!C:C),"")</f>
        <v/>
      </c>
      <c r="K668" s="17" t="str">
        <f t="array" ref="K668">XLOOKUP(A668,'Download of SFDC Activation Rep'!B:B,'Download of SFDC Activation Rep'!X:X)</f>
        <v>#N/A</v>
      </c>
      <c r="L668" s="32" t="str">
        <f t="array" ref="L668">xlookup(A668,'Download of SFDC Activation Rep'!B:B,'Download of SFDC Activation Rep'!Z:Z)</f>
        <v>#N/A</v>
      </c>
    </row>
    <row r="669">
      <c r="B669" s="14"/>
      <c r="C669" s="14"/>
      <c r="D669" s="14"/>
      <c r="E669" s="14"/>
      <c r="F669" s="13" t="str">
        <f t="array" ref="F669">iferror(XLOOKUP(A669,'Download of SFDC Activation Rep'!B:B,'Download of SFDC Activation Rep'!H:H),"")</f>
        <v/>
      </c>
      <c r="G669" s="13" t="str">
        <f t="array" ref="G669">iferror(xlookup(A669,'Download of SFDC Activation Rep'!B:B,'Download of SFDC Activation Rep'!L:L),"")</f>
        <v/>
      </c>
      <c r="H669" s="17" t="str">
        <f t="shared" si="1"/>
        <v>Not Active</v>
      </c>
      <c r="I669" s="17" t="str">
        <f t="array" ref="I669">XLOOKUP(A669,'Download of SFDC Activation Rep'!B:B,'Download of SFDC Activation Rep'!T:T)</f>
        <v>#N/A</v>
      </c>
      <c r="J669" s="17" t="str">
        <f t="array" ref="J669">iferror(XLOOKUP(A669,'Download of SFDC Activation Rep'!B:B,'Download of SFDC Activation Rep'!C:C),"")</f>
        <v/>
      </c>
      <c r="K669" s="17" t="str">
        <f t="array" ref="K669">XLOOKUP(A669,'Download of SFDC Activation Rep'!B:B,'Download of SFDC Activation Rep'!X:X)</f>
        <v>#N/A</v>
      </c>
      <c r="L669" s="32" t="str">
        <f t="array" ref="L669">xlookup(A669,'Download of SFDC Activation Rep'!B:B,'Download of SFDC Activation Rep'!Z:Z)</f>
        <v>#N/A</v>
      </c>
    </row>
    <row r="670">
      <c r="B670" s="14"/>
      <c r="C670" s="14"/>
      <c r="D670" s="14"/>
      <c r="E670" s="14"/>
      <c r="F670" s="13" t="str">
        <f t="array" ref="F670">iferror(XLOOKUP(A670,'Download of SFDC Activation Rep'!B:B,'Download of SFDC Activation Rep'!H:H),"")</f>
        <v/>
      </c>
      <c r="G670" s="13" t="str">
        <f t="array" ref="G670">iferror(xlookup(A670,'Download of SFDC Activation Rep'!B:B,'Download of SFDC Activation Rep'!L:L),"")</f>
        <v/>
      </c>
      <c r="H670" s="17" t="str">
        <f t="shared" si="1"/>
        <v>Not Active</v>
      </c>
      <c r="I670" s="17" t="str">
        <f t="array" ref="I670">XLOOKUP(A670,'Download of SFDC Activation Rep'!B:B,'Download of SFDC Activation Rep'!T:T)</f>
        <v>#N/A</v>
      </c>
      <c r="J670" s="17" t="str">
        <f t="array" ref="J670">iferror(XLOOKUP(A670,'Download of SFDC Activation Rep'!B:B,'Download of SFDC Activation Rep'!C:C),"")</f>
        <v/>
      </c>
      <c r="K670" s="17" t="str">
        <f t="array" ref="K670">XLOOKUP(A670,'Download of SFDC Activation Rep'!B:B,'Download of SFDC Activation Rep'!X:X)</f>
        <v>#N/A</v>
      </c>
      <c r="L670" s="32" t="str">
        <f t="array" ref="L670">xlookup(A670,'Download of SFDC Activation Rep'!B:B,'Download of SFDC Activation Rep'!Z:Z)</f>
        <v>#N/A</v>
      </c>
    </row>
    <row r="671">
      <c r="B671" s="14"/>
      <c r="C671" s="14"/>
      <c r="D671" s="14"/>
      <c r="E671" s="14"/>
      <c r="F671" s="13" t="str">
        <f t="array" ref="F671">iferror(XLOOKUP(A671,'Download of SFDC Activation Rep'!B:B,'Download of SFDC Activation Rep'!H:H),"")</f>
        <v/>
      </c>
      <c r="G671" s="13" t="str">
        <f t="array" ref="G671">iferror(xlookup(A671,'Download of SFDC Activation Rep'!B:B,'Download of SFDC Activation Rep'!L:L),"")</f>
        <v/>
      </c>
      <c r="H671" s="17" t="str">
        <f t="shared" si="1"/>
        <v>Not Active</v>
      </c>
      <c r="I671" s="17" t="str">
        <f t="array" ref="I671">XLOOKUP(A671,'Download of SFDC Activation Rep'!B:B,'Download of SFDC Activation Rep'!T:T)</f>
        <v>#N/A</v>
      </c>
      <c r="J671" s="17" t="str">
        <f t="array" ref="J671">iferror(XLOOKUP(A671,'Download of SFDC Activation Rep'!B:B,'Download of SFDC Activation Rep'!C:C),"")</f>
        <v/>
      </c>
      <c r="K671" s="17" t="str">
        <f t="array" ref="K671">XLOOKUP(A671,'Download of SFDC Activation Rep'!B:B,'Download of SFDC Activation Rep'!X:X)</f>
        <v>#N/A</v>
      </c>
      <c r="L671" s="32" t="str">
        <f t="array" ref="L671">xlookup(A671,'Download of SFDC Activation Rep'!B:B,'Download of SFDC Activation Rep'!Z:Z)</f>
        <v>#N/A</v>
      </c>
    </row>
    <row r="672">
      <c r="B672" s="14"/>
      <c r="C672" s="14"/>
      <c r="D672" s="14"/>
      <c r="E672" s="14"/>
      <c r="F672" s="13" t="str">
        <f t="array" ref="F672">iferror(XLOOKUP(A672,'Download of SFDC Activation Rep'!B:B,'Download of SFDC Activation Rep'!H:H),"")</f>
        <v/>
      </c>
      <c r="G672" s="13" t="str">
        <f t="array" ref="G672">iferror(xlookup(A672,'Download of SFDC Activation Rep'!B:B,'Download of SFDC Activation Rep'!L:L),"")</f>
        <v/>
      </c>
      <c r="H672" s="17" t="str">
        <f t="shared" si="1"/>
        <v>Not Active</v>
      </c>
      <c r="I672" s="17" t="str">
        <f t="array" ref="I672">XLOOKUP(A672,'Download of SFDC Activation Rep'!B:B,'Download of SFDC Activation Rep'!T:T)</f>
        <v>#N/A</v>
      </c>
      <c r="J672" s="17" t="str">
        <f t="array" ref="J672">iferror(XLOOKUP(A672,'Download of SFDC Activation Rep'!B:B,'Download of SFDC Activation Rep'!C:C),"")</f>
        <v/>
      </c>
      <c r="K672" s="17" t="str">
        <f t="array" ref="K672">XLOOKUP(A672,'Download of SFDC Activation Rep'!B:B,'Download of SFDC Activation Rep'!X:X)</f>
        <v>#N/A</v>
      </c>
      <c r="L672" s="32" t="str">
        <f t="array" ref="L672">xlookup(A672,'Download of SFDC Activation Rep'!B:B,'Download of SFDC Activation Rep'!Z:Z)</f>
        <v>#N/A</v>
      </c>
    </row>
    <row r="673">
      <c r="B673" s="14"/>
      <c r="C673" s="14"/>
      <c r="D673" s="14"/>
      <c r="E673" s="14"/>
      <c r="F673" s="13" t="str">
        <f t="array" ref="F673">iferror(XLOOKUP(A673,'Download of SFDC Activation Rep'!B:B,'Download of SFDC Activation Rep'!H:H),"")</f>
        <v/>
      </c>
      <c r="G673" s="13" t="str">
        <f t="array" ref="G673">iferror(xlookup(A673,'Download of SFDC Activation Rep'!B:B,'Download of SFDC Activation Rep'!L:L),"")</f>
        <v/>
      </c>
      <c r="H673" s="17" t="str">
        <f t="shared" si="1"/>
        <v>Not Active</v>
      </c>
      <c r="I673" s="17" t="str">
        <f t="array" ref="I673">XLOOKUP(A673,'Download of SFDC Activation Rep'!B:B,'Download of SFDC Activation Rep'!T:T)</f>
        <v>#N/A</v>
      </c>
      <c r="J673" s="17" t="str">
        <f t="array" ref="J673">iferror(XLOOKUP(A673,'Download of SFDC Activation Rep'!B:B,'Download of SFDC Activation Rep'!C:C),"")</f>
        <v/>
      </c>
      <c r="K673" s="17" t="str">
        <f t="array" ref="K673">XLOOKUP(A673,'Download of SFDC Activation Rep'!B:B,'Download of SFDC Activation Rep'!X:X)</f>
        <v>#N/A</v>
      </c>
      <c r="L673" s="32" t="str">
        <f t="array" ref="L673">xlookup(A673,'Download of SFDC Activation Rep'!B:B,'Download of SFDC Activation Rep'!Z:Z)</f>
        <v>#N/A</v>
      </c>
    </row>
    <row r="674">
      <c r="B674" s="14"/>
      <c r="C674" s="14"/>
      <c r="D674" s="14"/>
      <c r="E674" s="14"/>
      <c r="F674" s="13" t="str">
        <f t="array" ref="F674">iferror(XLOOKUP(A674,'Download of SFDC Activation Rep'!B:B,'Download of SFDC Activation Rep'!H:H),"")</f>
        <v/>
      </c>
      <c r="G674" s="13" t="str">
        <f t="array" ref="G674">iferror(xlookup(A674,'Download of SFDC Activation Rep'!B:B,'Download of SFDC Activation Rep'!L:L),"")</f>
        <v/>
      </c>
      <c r="H674" s="17" t="str">
        <f t="shared" si="1"/>
        <v>Not Active</v>
      </c>
      <c r="I674" s="17" t="str">
        <f t="array" ref="I674">XLOOKUP(A674,'Download of SFDC Activation Rep'!B:B,'Download of SFDC Activation Rep'!T:T)</f>
        <v>#N/A</v>
      </c>
      <c r="J674" s="17" t="str">
        <f t="array" ref="J674">iferror(XLOOKUP(A674,'Download of SFDC Activation Rep'!B:B,'Download of SFDC Activation Rep'!C:C),"")</f>
        <v/>
      </c>
      <c r="K674" s="17" t="str">
        <f t="array" ref="K674">XLOOKUP(A674,'Download of SFDC Activation Rep'!B:B,'Download of SFDC Activation Rep'!X:X)</f>
        <v>#N/A</v>
      </c>
      <c r="L674" s="32" t="str">
        <f t="array" ref="L674">xlookup(A674,'Download of SFDC Activation Rep'!B:B,'Download of SFDC Activation Rep'!Z:Z)</f>
        <v>#N/A</v>
      </c>
    </row>
    <row r="675">
      <c r="B675" s="14"/>
      <c r="C675" s="14"/>
      <c r="D675" s="14"/>
      <c r="E675" s="14"/>
      <c r="F675" s="13" t="str">
        <f t="array" ref="F675">iferror(XLOOKUP(A675,'Download of SFDC Activation Rep'!B:B,'Download of SFDC Activation Rep'!H:H),"")</f>
        <v/>
      </c>
      <c r="G675" s="13" t="str">
        <f t="array" ref="G675">iferror(xlookup(A675,'Download of SFDC Activation Rep'!B:B,'Download of SFDC Activation Rep'!L:L),"")</f>
        <v/>
      </c>
      <c r="H675" s="17" t="str">
        <f t="shared" si="1"/>
        <v>Not Active</v>
      </c>
      <c r="I675" s="17" t="str">
        <f t="array" ref="I675">XLOOKUP(A675,'Download of SFDC Activation Rep'!B:B,'Download of SFDC Activation Rep'!T:T)</f>
        <v>#N/A</v>
      </c>
      <c r="J675" s="17" t="str">
        <f t="array" ref="J675">iferror(XLOOKUP(A675,'Download of SFDC Activation Rep'!B:B,'Download of SFDC Activation Rep'!C:C),"")</f>
        <v/>
      </c>
      <c r="K675" s="17" t="str">
        <f t="array" ref="K675">XLOOKUP(A675,'Download of SFDC Activation Rep'!B:B,'Download of SFDC Activation Rep'!X:X)</f>
        <v>#N/A</v>
      </c>
      <c r="L675" s="32" t="str">
        <f t="array" ref="L675">xlookup(A675,'Download of SFDC Activation Rep'!B:B,'Download of SFDC Activation Rep'!Z:Z)</f>
        <v>#N/A</v>
      </c>
    </row>
    <row r="676">
      <c r="B676" s="14"/>
      <c r="C676" s="14"/>
      <c r="D676" s="14"/>
      <c r="E676" s="14"/>
      <c r="F676" s="13" t="str">
        <f t="array" ref="F676">iferror(XLOOKUP(A676,'Download of SFDC Activation Rep'!B:B,'Download of SFDC Activation Rep'!H:H),"")</f>
        <v/>
      </c>
      <c r="G676" s="13" t="str">
        <f t="array" ref="G676">iferror(xlookup(A676,'Download of SFDC Activation Rep'!B:B,'Download of SFDC Activation Rep'!L:L),"")</f>
        <v/>
      </c>
      <c r="H676" s="17" t="str">
        <f t="shared" si="1"/>
        <v>Not Active</v>
      </c>
      <c r="I676" s="17" t="str">
        <f t="array" ref="I676">XLOOKUP(A676,'Download of SFDC Activation Rep'!B:B,'Download of SFDC Activation Rep'!T:T)</f>
        <v>#N/A</v>
      </c>
      <c r="J676" s="17" t="str">
        <f t="array" ref="J676">iferror(XLOOKUP(A676,'Download of SFDC Activation Rep'!B:B,'Download of SFDC Activation Rep'!C:C),"")</f>
        <v/>
      </c>
      <c r="K676" s="17" t="str">
        <f t="array" ref="K676">XLOOKUP(A676,'Download of SFDC Activation Rep'!B:B,'Download of SFDC Activation Rep'!X:X)</f>
        <v>#N/A</v>
      </c>
      <c r="L676" s="32" t="str">
        <f t="array" ref="L676">xlookup(A676,'Download of SFDC Activation Rep'!B:B,'Download of SFDC Activation Rep'!Z:Z)</f>
        <v>#N/A</v>
      </c>
    </row>
    <row r="677">
      <c r="B677" s="14"/>
      <c r="C677" s="14"/>
      <c r="D677" s="14"/>
      <c r="E677" s="14"/>
      <c r="F677" s="13" t="str">
        <f t="array" ref="F677">iferror(XLOOKUP(A677,'Download of SFDC Activation Rep'!B:B,'Download of SFDC Activation Rep'!H:H),"")</f>
        <v/>
      </c>
      <c r="G677" s="13" t="str">
        <f t="array" ref="G677">iferror(xlookup(A677,'Download of SFDC Activation Rep'!B:B,'Download of SFDC Activation Rep'!L:L),"")</f>
        <v/>
      </c>
      <c r="H677" s="17" t="str">
        <f t="shared" si="1"/>
        <v>Not Active</v>
      </c>
      <c r="I677" s="17" t="str">
        <f t="array" ref="I677">XLOOKUP(A677,'Download of SFDC Activation Rep'!B:B,'Download of SFDC Activation Rep'!T:T)</f>
        <v>#N/A</v>
      </c>
      <c r="J677" s="17" t="str">
        <f t="array" ref="J677">iferror(XLOOKUP(A677,'Download of SFDC Activation Rep'!B:B,'Download of SFDC Activation Rep'!C:C),"")</f>
        <v/>
      </c>
      <c r="K677" s="17" t="str">
        <f t="array" ref="K677">XLOOKUP(A677,'Download of SFDC Activation Rep'!B:B,'Download of SFDC Activation Rep'!X:X)</f>
        <v>#N/A</v>
      </c>
      <c r="L677" s="32" t="str">
        <f t="array" ref="L677">xlookup(A677,'Download of SFDC Activation Rep'!B:B,'Download of SFDC Activation Rep'!Z:Z)</f>
        <v>#N/A</v>
      </c>
    </row>
    <row r="678">
      <c r="B678" s="14"/>
      <c r="C678" s="14"/>
      <c r="D678" s="14"/>
      <c r="E678" s="14"/>
      <c r="F678" s="13" t="str">
        <f t="array" ref="F678">iferror(XLOOKUP(A678,'Download of SFDC Activation Rep'!B:B,'Download of SFDC Activation Rep'!H:H),"")</f>
        <v/>
      </c>
      <c r="G678" s="13" t="str">
        <f t="array" ref="G678">iferror(xlookup(A678,'Download of SFDC Activation Rep'!B:B,'Download of SFDC Activation Rep'!L:L),"")</f>
        <v/>
      </c>
      <c r="H678" s="17" t="str">
        <f t="shared" si="1"/>
        <v>Not Active</v>
      </c>
      <c r="I678" s="17" t="str">
        <f t="array" ref="I678">XLOOKUP(A678,'Download of SFDC Activation Rep'!B:B,'Download of SFDC Activation Rep'!T:T)</f>
        <v>#N/A</v>
      </c>
      <c r="J678" s="17" t="str">
        <f t="array" ref="J678">iferror(XLOOKUP(A678,'Download of SFDC Activation Rep'!B:B,'Download of SFDC Activation Rep'!C:C),"")</f>
        <v/>
      </c>
      <c r="K678" s="17" t="str">
        <f t="array" ref="K678">XLOOKUP(A678,'Download of SFDC Activation Rep'!B:B,'Download of SFDC Activation Rep'!X:X)</f>
        <v>#N/A</v>
      </c>
      <c r="L678" s="32" t="str">
        <f t="array" ref="L678">xlookup(A678,'Download of SFDC Activation Rep'!B:B,'Download of SFDC Activation Rep'!Z:Z)</f>
        <v>#N/A</v>
      </c>
    </row>
    <row r="679">
      <c r="B679" s="14"/>
      <c r="C679" s="14"/>
      <c r="D679" s="14"/>
      <c r="E679" s="14"/>
      <c r="F679" s="13" t="str">
        <f t="array" ref="F679">iferror(XLOOKUP(A679,'Download of SFDC Activation Rep'!B:B,'Download of SFDC Activation Rep'!H:H),"")</f>
        <v/>
      </c>
      <c r="G679" s="13" t="str">
        <f t="array" ref="G679">iferror(xlookup(A679,'Download of SFDC Activation Rep'!B:B,'Download of SFDC Activation Rep'!L:L),"")</f>
        <v/>
      </c>
      <c r="H679" s="17" t="str">
        <f t="shared" si="1"/>
        <v>Not Active</v>
      </c>
      <c r="I679" s="17" t="str">
        <f t="array" ref="I679">XLOOKUP(A679,'Download of SFDC Activation Rep'!B:B,'Download of SFDC Activation Rep'!T:T)</f>
        <v>#N/A</v>
      </c>
      <c r="J679" s="17" t="str">
        <f t="array" ref="J679">iferror(XLOOKUP(A679,'Download of SFDC Activation Rep'!B:B,'Download of SFDC Activation Rep'!C:C),"")</f>
        <v/>
      </c>
      <c r="K679" s="17" t="str">
        <f t="array" ref="K679">XLOOKUP(A679,'Download of SFDC Activation Rep'!B:B,'Download of SFDC Activation Rep'!X:X)</f>
        <v>#N/A</v>
      </c>
      <c r="L679" s="32" t="str">
        <f t="array" ref="L679">xlookup(A679,'Download of SFDC Activation Rep'!B:B,'Download of SFDC Activation Rep'!Z:Z)</f>
        <v>#N/A</v>
      </c>
    </row>
    <row r="680">
      <c r="B680" s="14"/>
      <c r="C680" s="14"/>
      <c r="D680" s="14"/>
      <c r="E680" s="14"/>
      <c r="F680" s="13" t="str">
        <f t="array" ref="F680">iferror(XLOOKUP(A680,'Download of SFDC Activation Rep'!B:B,'Download of SFDC Activation Rep'!H:H),"")</f>
        <v/>
      </c>
      <c r="G680" s="13" t="str">
        <f t="array" ref="G680">iferror(xlookup(A680,'Download of SFDC Activation Rep'!B:B,'Download of SFDC Activation Rep'!L:L),"")</f>
        <v/>
      </c>
      <c r="H680" s="17" t="str">
        <f t="shared" si="1"/>
        <v>Not Active</v>
      </c>
      <c r="I680" s="17" t="str">
        <f t="array" ref="I680">XLOOKUP(A680,'Download of SFDC Activation Rep'!B:B,'Download of SFDC Activation Rep'!T:T)</f>
        <v>#N/A</v>
      </c>
      <c r="J680" s="17" t="str">
        <f t="array" ref="J680">iferror(XLOOKUP(A680,'Download of SFDC Activation Rep'!B:B,'Download of SFDC Activation Rep'!C:C),"")</f>
        <v/>
      </c>
      <c r="K680" s="17" t="str">
        <f t="array" ref="K680">XLOOKUP(A680,'Download of SFDC Activation Rep'!B:B,'Download of SFDC Activation Rep'!X:X)</f>
        <v>#N/A</v>
      </c>
      <c r="L680" s="32" t="str">
        <f t="array" ref="L680">xlookup(A680,'Download of SFDC Activation Rep'!B:B,'Download of SFDC Activation Rep'!Z:Z)</f>
        <v>#N/A</v>
      </c>
    </row>
    <row r="681">
      <c r="B681" s="14"/>
      <c r="C681" s="14"/>
      <c r="D681" s="14"/>
      <c r="E681" s="14"/>
      <c r="F681" s="13" t="str">
        <f t="array" ref="F681">iferror(XLOOKUP(A681,'Download of SFDC Activation Rep'!B:B,'Download of SFDC Activation Rep'!H:H),"")</f>
        <v/>
      </c>
      <c r="G681" s="13" t="str">
        <f t="array" ref="G681">iferror(xlookup(A681,'Download of SFDC Activation Rep'!B:B,'Download of SFDC Activation Rep'!L:L),"")</f>
        <v/>
      </c>
      <c r="H681" s="17" t="str">
        <f t="shared" si="1"/>
        <v>Not Active</v>
      </c>
      <c r="I681" s="17" t="str">
        <f t="array" ref="I681">XLOOKUP(A681,'Download of SFDC Activation Rep'!B:B,'Download of SFDC Activation Rep'!T:T)</f>
        <v>#N/A</v>
      </c>
      <c r="J681" s="17" t="str">
        <f t="array" ref="J681">iferror(XLOOKUP(A681,'Download of SFDC Activation Rep'!B:B,'Download of SFDC Activation Rep'!C:C),"")</f>
        <v/>
      </c>
      <c r="K681" s="17" t="str">
        <f t="array" ref="K681">XLOOKUP(A681,'Download of SFDC Activation Rep'!B:B,'Download of SFDC Activation Rep'!X:X)</f>
        <v>#N/A</v>
      </c>
      <c r="L681" s="32" t="str">
        <f t="array" ref="L681">xlookup(A681,'Download of SFDC Activation Rep'!B:B,'Download of SFDC Activation Rep'!Z:Z)</f>
        <v>#N/A</v>
      </c>
    </row>
    <row r="682">
      <c r="B682" s="14"/>
      <c r="C682" s="14"/>
      <c r="D682" s="14"/>
      <c r="E682" s="14"/>
      <c r="F682" s="13" t="str">
        <f t="array" ref="F682">iferror(XLOOKUP(A682,'Download of SFDC Activation Rep'!B:B,'Download of SFDC Activation Rep'!H:H),"")</f>
        <v/>
      </c>
      <c r="G682" s="13" t="str">
        <f t="array" ref="G682">iferror(xlookup(A682,'Download of SFDC Activation Rep'!B:B,'Download of SFDC Activation Rep'!L:L),"")</f>
        <v/>
      </c>
      <c r="H682" s="17" t="str">
        <f t="shared" si="1"/>
        <v>Not Active</v>
      </c>
      <c r="I682" s="17" t="str">
        <f t="array" ref="I682">XLOOKUP(A682,'Download of SFDC Activation Rep'!B:B,'Download of SFDC Activation Rep'!T:T)</f>
        <v>#N/A</v>
      </c>
      <c r="J682" s="17" t="str">
        <f t="array" ref="J682">iferror(XLOOKUP(A682,'Download of SFDC Activation Rep'!B:B,'Download of SFDC Activation Rep'!C:C),"")</f>
        <v/>
      </c>
      <c r="K682" s="17" t="str">
        <f t="array" ref="K682">XLOOKUP(A682,'Download of SFDC Activation Rep'!B:B,'Download of SFDC Activation Rep'!X:X)</f>
        <v>#N/A</v>
      </c>
      <c r="L682" s="32" t="str">
        <f t="array" ref="L682">xlookup(A682,'Download of SFDC Activation Rep'!B:B,'Download of SFDC Activation Rep'!Z:Z)</f>
        <v>#N/A</v>
      </c>
    </row>
    <row r="683">
      <c r="B683" s="14"/>
      <c r="C683" s="14"/>
      <c r="D683" s="14"/>
      <c r="E683" s="14"/>
      <c r="F683" s="13" t="str">
        <f t="array" ref="F683">iferror(XLOOKUP(A683,'Download of SFDC Activation Rep'!B:B,'Download of SFDC Activation Rep'!H:H),"")</f>
        <v/>
      </c>
      <c r="G683" s="13" t="str">
        <f t="array" ref="G683">iferror(xlookup(A683,'Download of SFDC Activation Rep'!B:B,'Download of SFDC Activation Rep'!L:L),"")</f>
        <v/>
      </c>
      <c r="H683" s="17" t="str">
        <f t="shared" si="1"/>
        <v>Not Active</v>
      </c>
      <c r="I683" s="17" t="str">
        <f t="array" ref="I683">XLOOKUP(A683,'Download of SFDC Activation Rep'!B:B,'Download of SFDC Activation Rep'!T:T)</f>
        <v>#N/A</v>
      </c>
      <c r="J683" s="17" t="str">
        <f t="array" ref="J683">iferror(XLOOKUP(A683,'Download of SFDC Activation Rep'!B:B,'Download of SFDC Activation Rep'!C:C),"")</f>
        <v/>
      </c>
      <c r="K683" s="17" t="str">
        <f t="array" ref="K683">XLOOKUP(A683,'Download of SFDC Activation Rep'!B:B,'Download of SFDC Activation Rep'!X:X)</f>
        <v>#N/A</v>
      </c>
      <c r="L683" s="32" t="str">
        <f t="array" ref="L683">xlookup(A683,'Download of SFDC Activation Rep'!B:B,'Download of SFDC Activation Rep'!Z:Z)</f>
        <v>#N/A</v>
      </c>
    </row>
    <row r="684">
      <c r="B684" s="14"/>
      <c r="C684" s="14"/>
      <c r="D684" s="14"/>
      <c r="E684" s="14"/>
      <c r="F684" s="13" t="str">
        <f t="array" ref="F684">iferror(XLOOKUP(A684,'Download of SFDC Activation Rep'!B:B,'Download of SFDC Activation Rep'!H:H),"")</f>
        <v/>
      </c>
      <c r="G684" s="13" t="str">
        <f t="array" ref="G684">iferror(xlookup(A684,'Download of SFDC Activation Rep'!B:B,'Download of SFDC Activation Rep'!L:L),"")</f>
        <v/>
      </c>
      <c r="H684" s="17" t="str">
        <f t="shared" si="1"/>
        <v>Not Active</v>
      </c>
      <c r="I684" s="17" t="str">
        <f t="array" ref="I684">XLOOKUP(A684,'Download of SFDC Activation Rep'!B:B,'Download of SFDC Activation Rep'!T:T)</f>
        <v>#N/A</v>
      </c>
      <c r="J684" s="17" t="str">
        <f t="array" ref="J684">iferror(XLOOKUP(A684,'Download of SFDC Activation Rep'!B:B,'Download of SFDC Activation Rep'!C:C),"")</f>
        <v/>
      </c>
      <c r="K684" s="17" t="str">
        <f t="array" ref="K684">XLOOKUP(A684,'Download of SFDC Activation Rep'!B:B,'Download of SFDC Activation Rep'!X:X)</f>
        <v>#N/A</v>
      </c>
      <c r="L684" s="32" t="str">
        <f t="array" ref="L684">xlookup(A684,'Download of SFDC Activation Rep'!B:B,'Download of SFDC Activation Rep'!Z:Z)</f>
        <v>#N/A</v>
      </c>
    </row>
    <row r="685">
      <c r="B685" s="14"/>
      <c r="C685" s="14"/>
      <c r="D685" s="14"/>
      <c r="E685" s="14"/>
      <c r="F685" s="13" t="str">
        <f t="array" ref="F685">iferror(XLOOKUP(A685,'Download of SFDC Activation Rep'!B:B,'Download of SFDC Activation Rep'!H:H),"")</f>
        <v/>
      </c>
      <c r="G685" s="13" t="str">
        <f t="array" ref="G685">iferror(xlookup(A685,'Download of SFDC Activation Rep'!B:B,'Download of SFDC Activation Rep'!L:L),"")</f>
        <v/>
      </c>
      <c r="H685" s="17" t="str">
        <f t="shared" si="1"/>
        <v>Not Active</v>
      </c>
      <c r="I685" s="17" t="str">
        <f t="array" ref="I685">XLOOKUP(A685,'Download of SFDC Activation Rep'!B:B,'Download of SFDC Activation Rep'!T:T)</f>
        <v>#N/A</v>
      </c>
      <c r="J685" s="17" t="str">
        <f t="array" ref="J685">iferror(XLOOKUP(A685,'Download of SFDC Activation Rep'!B:B,'Download of SFDC Activation Rep'!C:C),"")</f>
        <v/>
      </c>
      <c r="K685" s="17" t="str">
        <f t="array" ref="K685">XLOOKUP(A685,'Download of SFDC Activation Rep'!B:B,'Download of SFDC Activation Rep'!X:X)</f>
        <v>#N/A</v>
      </c>
      <c r="L685" s="32" t="str">
        <f t="array" ref="L685">xlookup(A685,'Download of SFDC Activation Rep'!B:B,'Download of SFDC Activation Rep'!Z:Z)</f>
        <v>#N/A</v>
      </c>
    </row>
    <row r="686">
      <c r="B686" s="14"/>
      <c r="C686" s="14"/>
      <c r="D686" s="14"/>
      <c r="E686" s="14"/>
      <c r="F686" s="13" t="str">
        <f t="array" ref="F686">iferror(XLOOKUP(A686,'Download of SFDC Activation Rep'!B:B,'Download of SFDC Activation Rep'!H:H),"")</f>
        <v/>
      </c>
      <c r="G686" s="13" t="str">
        <f t="array" ref="G686">iferror(xlookup(A686,'Download of SFDC Activation Rep'!B:B,'Download of SFDC Activation Rep'!L:L),"")</f>
        <v/>
      </c>
      <c r="H686" s="17" t="str">
        <f t="shared" si="1"/>
        <v>Not Active</v>
      </c>
      <c r="I686" s="17" t="str">
        <f t="array" ref="I686">XLOOKUP(A686,'Download of SFDC Activation Rep'!B:B,'Download of SFDC Activation Rep'!T:T)</f>
        <v>#N/A</v>
      </c>
      <c r="J686" s="17" t="str">
        <f t="array" ref="J686">iferror(XLOOKUP(A686,'Download of SFDC Activation Rep'!B:B,'Download of SFDC Activation Rep'!C:C),"")</f>
        <v/>
      </c>
      <c r="K686" s="17" t="str">
        <f t="array" ref="K686">XLOOKUP(A686,'Download of SFDC Activation Rep'!B:B,'Download of SFDC Activation Rep'!X:X)</f>
        <v>#N/A</v>
      </c>
      <c r="L686" s="32" t="str">
        <f t="array" ref="L686">xlookup(A686,'Download of SFDC Activation Rep'!B:B,'Download of SFDC Activation Rep'!Z:Z)</f>
        <v>#N/A</v>
      </c>
    </row>
    <row r="687">
      <c r="B687" s="14"/>
      <c r="C687" s="14"/>
      <c r="D687" s="14"/>
      <c r="E687" s="14"/>
      <c r="F687" s="13" t="str">
        <f t="array" ref="F687">iferror(XLOOKUP(A687,'Download of SFDC Activation Rep'!B:B,'Download of SFDC Activation Rep'!H:H),"")</f>
        <v/>
      </c>
      <c r="G687" s="13" t="str">
        <f t="array" ref="G687">iferror(xlookup(A687,'Download of SFDC Activation Rep'!B:B,'Download of SFDC Activation Rep'!L:L),"")</f>
        <v/>
      </c>
      <c r="H687" s="17" t="str">
        <f t="shared" si="1"/>
        <v>Not Active</v>
      </c>
      <c r="I687" s="17" t="str">
        <f t="array" ref="I687">XLOOKUP(A687,'Download of SFDC Activation Rep'!B:B,'Download of SFDC Activation Rep'!T:T)</f>
        <v>#N/A</v>
      </c>
      <c r="J687" s="17" t="str">
        <f t="array" ref="J687">iferror(XLOOKUP(A687,'Download of SFDC Activation Rep'!B:B,'Download of SFDC Activation Rep'!C:C),"")</f>
        <v/>
      </c>
      <c r="K687" s="17" t="str">
        <f t="array" ref="K687">XLOOKUP(A687,'Download of SFDC Activation Rep'!B:B,'Download of SFDC Activation Rep'!X:X)</f>
        <v>#N/A</v>
      </c>
      <c r="L687" s="32" t="str">
        <f t="array" ref="L687">xlookup(A687,'Download of SFDC Activation Rep'!B:B,'Download of SFDC Activation Rep'!Z:Z)</f>
        <v>#N/A</v>
      </c>
    </row>
    <row r="688">
      <c r="B688" s="14"/>
      <c r="C688" s="14"/>
      <c r="D688" s="14"/>
      <c r="E688" s="14"/>
      <c r="F688" s="13" t="str">
        <f t="array" ref="F688">iferror(XLOOKUP(A688,'Download of SFDC Activation Rep'!B:B,'Download of SFDC Activation Rep'!H:H),"")</f>
        <v/>
      </c>
      <c r="G688" s="13" t="str">
        <f t="array" ref="G688">iferror(xlookup(A688,'Download of SFDC Activation Rep'!B:B,'Download of SFDC Activation Rep'!L:L),"")</f>
        <v/>
      </c>
      <c r="H688" s="17" t="str">
        <f t="shared" si="1"/>
        <v>Not Active</v>
      </c>
      <c r="I688" s="17" t="str">
        <f t="array" ref="I688">XLOOKUP(A688,'Download of SFDC Activation Rep'!B:B,'Download of SFDC Activation Rep'!T:T)</f>
        <v>#N/A</v>
      </c>
      <c r="J688" s="17" t="str">
        <f t="array" ref="J688">iferror(XLOOKUP(A688,'Download of SFDC Activation Rep'!B:B,'Download of SFDC Activation Rep'!C:C),"")</f>
        <v/>
      </c>
      <c r="K688" s="17" t="str">
        <f t="array" ref="K688">XLOOKUP(A688,'Download of SFDC Activation Rep'!B:B,'Download of SFDC Activation Rep'!X:X)</f>
        <v>#N/A</v>
      </c>
      <c r="L688" s="32" t="str">
        <f t="array" ref="L688">xlookup(A688,'Download of SFDC Activation Rep'!B:B,'Download of SFDC Activation Rep'!Z:Z)</f>
        <v>#N/A</v>
      </c>
    </row>
    <row r="689">
      <c r="B689" s="14"/>
      <c r="C689" s="14"/>
      <c r="D689" s="14"/>
      <c r="E689" s="14"/>
      <c r="F689" s="13" t="str">
        <f t="array" ref="F689">iferror(XLOOKUP(A689,'Download of SFDC Activation Rep'!B:B,'Download of SFDC Activation Rep'!H:H),"")</f>
        <v/>
      </c>
      <c r="G689" s="13" t="str">
        <f t="array" ref="G689">iferror(xlookup(A689,'Download of SFDC Activation Rep'!B:B,'Download of SFDC Activation Rep'!L:L),"")</f>
        <v/>
      </c>
      <c r="H689" s="17" t="str">
        <f t="shared" si="1"/>
        <v>Not Active</v>
      </c>
      <c r="I689" s="17" t="str">
        <f t="array" ref="I689">XLOOKUP(A689,'Download of SFDC Activation Rep'!B:B,'Download of SFDC Activation Rep'!T:T)</f>
        <v>#N/A</v>
      </c>
      <c r="J689" s="17" t="str">
        <f t="array" ref="J689">iferror(XLOOKUP(A689,'Download of SFDC Activation Rep'!B:B,'Download of SFDC Activation Rep'!C:C),"")</f>
        <v/>
      </c>
      <c r="K689" s="17" t="str">
        <f t="array" ref="K689">XLOOKUP(A689,'Download of SFDC Activation Rep'!B:B,'Download of SFDC Activation Rep'!X:X)</f>
        <v>#N/A</v>
      </c>
      <c r="L689" s="32" t="str">
        <f t="array" ref="L689">xlookup(A689,'Download of SFDC Activation Rep'!B:B,'Download of SFDC Activation Rep'!Z:Z)</f>
        <v>#N/A</v>
      </c>
    </row>
    <row r="690">
      <c r="B690" s="14"/>
      <c r="C690" s="14"/>
      <c r="D690" s="14"/>
      <c r="E690" s="14"/>
      <c r="F690" s="13" t="str">
        <f t="array" ref="F690">iferror(XLOOKUP(A690,'Download of SFDC Activation Rep'!B:B,'Download of SFDC Activation Rep'!H:H),"")</f>
        <v/>
      </c>
      <c r="G690" s="13" t="str">
        <f t="array" ref="G690">iferror(xlookup(A690,'Download of SFDC Activation Rep'!B:B,'Download of SFDC Activation Rep'!L:L),"")</f>
        <v/>
      </c>
      <c r="H690" s="17" t="str">
        <f t="shared" si="1"/>
        <v>Not Active</v>
      </c>
      <c r="I690" s="17" t="str">
        <f t="array" ref="I690">XLOOKUP(A690,'Download of SFDC Activation Rep'!B:B,'Download of SFDC Activation Rep'!T:T)</f>
        <v>#N/A</v>
      </c>
      <c r="J690" s="17" t="str">
        <f t="array" ref="J690">iferror(XLOOKUP(A690,'Download of SFDC Activation Rep'!B:B,'Download of SFDC Activation Rep'!C:C),"")</f>
        <v/>
      </c>
      <c r="K690" s="17" t="str">
        <f t="array" ref="K690">XLOOKUP(A690,'Download of SFDC Activation Rep'!B:B,'Download of SFDC Activation Rep'!X:X)</f>
        <v>#N/A</v>
      </c>
      <c r="L690" s="32" t="str">
        <f t="array" ref="L690">xlookup(A690,'Download of SFDC Activation Rep'!B:B,'Download of SFDC Activation Rep'!Z:Z)</f>
        <v>#N/A</v>
      </c>
    </row>
    <row r="691">
      <c r="B691" s="14"/>
      <c r="C691" s="14"/>
      <c r="D691" s="14"/>
      <c r="E691" s="14"/>
      <c r="F691" s="13" t="str">
        <f t="array" ref="F691">iferror(XLOOKUP(A691,'Download of SFDC Activation Rep'!B:B,'Download of SFDC Activation Rep'!H:H),"")</f>
        <v/>
      </c>
      <c r="G691" s="13" t="str">
        <f t="array" ref="G691">iferror(xlookup(A691,'Download of SFDC Activation Rep'!B:B,'Download of SFDC Activation Rep'!L:L),"")</f>
        <v/>
      </c>
      <c r="H691" s="17" t="str">
        <f t="shared" si="1"/>
        <v>Not Active</v>
      </c>
      <c r="I691" s="17" t="str">
        <f t="array" ref="I691">XLOOKUP(A691,'Download of SFDC Activation Rep'!B:B,'Download of SFDC Activation Rep'!T:T)</f>
        <v>#N/A</v>
      </c>
      <c r="J691" s="17" t="str">
        <f t="array" ref="J691">iferror(XLOOKUP(A691,'Download of SFDC Activation Rep'!B:B,'Download of SFDC Activation Rep'!C:C),"")</f>
        <v/>
      </c>
      <c r="K691" s="17" t="str">
        <f t="array" ref="K691">XLOOKUP(A691,'Download of SFDC Activation Rep'!B:B,'Download of SFDC Activation Rep'!X:X)</f>
        <v>#N/A</v>
      </c>
      <c r="L691" s="32" t="str">
        <f t="array" ref="L691">xlookup(A691,'Download of SFDC Activation Rep'!B:B,'Download of SFDC Activation Rep'!Z:Z)</f>
        <v>#N/A</v>
      </c>
    </row>
    <row r="692">
      <c r="B692" s="14"/>
      <c r="C692" s="14"/>
      <c r="D692" s="14"/>
      <c r="E692" s="14"/>
      <c r="F692" s="13" t="str">
        <f t="array" ref="F692">iferror(XLOOKUP(A692,'Download of SFDC Activation Rep'!B:B,'Download of SFDC Activation Rep'!H:H),"")</f>
        <v/>
      </c>
      <c r="G692" s="13" t="str">
        <f t="array" ref="G692">iferror(xlookup(A692,'Download of SFDC Activation Rep'!B:B,'Download of SFDC Activation Rep'!L:L),"")</f>
        <v/>
      </c>
      <c r="H692" s="17" t="str">
        <f t="shared" si="1"/>
        <v>Not Active</v>
      </c>
      <c r="I692" s="17" t="str">
        <f t="array" ref="I692">XLOOKUP(A692,'Download of SFDC Activation Rep'!B:B,'Download of SFDC Activation Rep'!T:T)</f>
        <v>#N/A</v>
      </c>
      <c r="J692" s="17" t="str">
        <f t="array" ref="J692">iferror(XLOOKUP(A692,'Download of SFDC Activation Rep'!B:B,'Download of SFDC Activation Rep'!C:C),"")</f>
        <v/>
      </c>
      <c r="K692" s="17" t="str">
        <f t="array" ref="K692">XLOOKUP(A692,'Download of SFDC Activation Rep'!B:B,'Download of SFDC Activation Rep'!X:X)</f>
        <v>#N/A</v>
      </c>
      <c r="L692" s="32" t="str">
        <f t="array" ref="L692">xlookup(A692,'Download of SFDC Activation Rep'!B:B,'Download of SFDC Activation Rep'!Z:Z)</f>
        <v>#N/A</v>
      </c>
    </row>
    <row r="693">
      <c r="B693" s="14"/>
      <c r="C693" s="14"/>
      <c r="D693" s="14"/>
      <c r="E693" s="14"/>
      <c r="F693" s="13" t="str">
        <f t="array" ref="F693">iferror(XLOOKUP(A693,'Download of SFDC Activation Rep'!B:B,'Download of SFDC Activation Rep'!H:H),"")</f>
        <v/>
      </c>
      <c r="G693" s="13" t="str">
        <f t="array" ref="G693">iferror(xlookup(A693,'Download of SFDC Activation Rep'!B:B,'Download of SFDC Activation Rep'!L:L),"")</f>
        <v/>
      </c>
      <c r="H693" s="17" t="str">
        <f t="shared" si="1"/>
        <v>Not Active</v>
      </c>
      <c r="I693" s="17" t="str">
        <f t="array" ref="I693">XLOOKUP(A693,'Download of SFDC Activation Rep'!B:B,'Download of SFDC Activation Rep'!T:T)</f>
        <v>#N/A</v>
      </c>
      <c r="J693" s="17" t="str">
        <f t="array" ref="J693">iferror(XLOOKUP(A693,'Download of SFDC Activation Rep'!B:B,'Download of SFDC Activation Rep'!C:C),"")</f>
        <v/>
      </c>
      <c r="K693" s="17" t="str">
        <f t="array" ref="K693">XLOOKUP(A693,'Download of SFDC Activation Rep'!B:B,'Download of SFDC Activation Rep'!X:X)</f>
        <v>#N/A</v>
      </c>
      <c r="L693" s="32" t="str">
        <f t="array" ref="L693">xlookup(A693,'Download of SFDC Activation Rep'!B:B,'Download of SFDC Activation Rep'!Z:Z)</f>
        <v>#N/A</v>
      </c>
    </row>
    <row r="694">
      <c r="B694" s="14"/>
      <c r="C694" s="14"/>
      <c r="D694" s="14"/>
      <c r="E694" s="14"/>
      <c r="F694" s="13" t="str">
        <f t="array" ref="F694">iferror(XLOOKUP(A694,'Download of SFDC Activation Rep'!B:B,'Download of SFDC Activation Rep'!H:H),"")</f>
        <v/>
      </c>
      <c r="G694" s="13" t="str">
        <f t="array" ref="G694">iferror(xlookup(A694,'Download of SFDC Activation Rep'!B:B,'Download of SFDC Activation Rep'!L:L),"")</f>
        <v/>
      </c>
      <c r="H694" s="17" t="str">
        <f t="shared" si="1"/>
        <v>Not Active</v>
      </c>
      <c r="I694" s="17" t="str">
        <f t="array" ref="I694">XLOOKUP(A694,'Download of SFDC Activation Rep'!B:B,'Download of SFDC Activation Rep'!T:T)</f>
        <v>#N/A</v>
      </c>
      <c r="J694" s="17" t="str">
        <f t="array" ref="J694">iferror(XLOOKUP(A694,'Download of SFDC Activation Rep'!B:B,'Download of SFDC Activation Rep'!C:C),"")</f>
        <v/>
      </c>
      <c r="K694" s="17" t="str">
        <f t="array" ref="K694">XLOOKUP(A694,'Download of SFDC Activation Rep'!B:B,'Download of SFDC Activation Rep'!X:X)</f>
        <v>#N/A</v>
      </c>
      <c r="L694" s="32" t="str">
        <f t="array" ref="L694">xlookup(A694,'Download of SFDC Activation Rep'!B:B,'Download of SFDC Activation Rep'!Z:Z)</f>
        <v>#N/A</v>
      </c>
    </row>
    <row r="695">
      <c r="B695" s="14"/>
      <c r="C695" s="14"/>
      <c r="D695" s="14"/>
      <c r="E695" s="14"/>
      <c r="F695" s="13" t="str">
        <f t="array" ref="F695">iferror(XLOOKUP(A695,'Download of SFDC Activation Rep'!B:B,'Download of SFDC Activation Rep'!H:H),"")</f>
        <v/>
      </c>
      <c r="G695" s="13" t="str">
        <f t="array" ref="G695">iferror(xlookup(A695,'Download of SFDC Activation Rep'!B:B,'Download of SFDC Activation Rep'!L:L),"")</f>
        <v/>
      </c>
      <c r="H695" s="17" t="str">
        <f t="shared" si="1"/>
        <v>Not Active</v>
      </c>
      <c r="I695" s="17" t="str">
        <f t="array" ref="I695">XLOOKUP(A695,'Download of SFDC Activation Rep'!B:B,'Download of SFDC Activation Rep'!T:T)</f>
        <v>#N/A</v>
      </c>
      <c r="J695" s="17" t="str">
        <f t="array" ref="J695">iferror(XLOOKUP(A695,'Download of SFDC Activation Rep'!B:B,'Download of SFDC Activation Rep'!C:C),"")</f>
        <v/>
      </c>
      <c r="K695" s="17" t="str">
        <f t="array" ref="K695">XLOOKUP(A695,'Download of SFDC Activation Rep'!B:B,'Download of SFDC Activation Rep'!X:X)</f>
        <v>#N/A</v>
      </c>
      <c r="L695" s="32" t="str">
        <f t="array" ref="L695">xlookup(A695,'Download of SFDC Activation Rep'!B:B,'Download of SFDC Activation Rep'!Z:Z)</f>
        <v>#N/A</v>
      </c>
    </row>
    <row r="696">
      <c r="B696" s="14"/>
      <c r="C696" s="14"/>
      <c r="D696" s="14"/>
      <c r="E696" s="14"/>
      <c r="F696" s="13" t="str">
        <f t="array" ref="F696">iferror(XLOOKUP(A696,'Download of SFDC Activation Rep'!B:B,'Download of SFDC Activation Rep'!H:H),"")</f>
        <v/>
      </c>
      <c r="G696" s="13" t="str">
        <f t="array" ref="G696">iferror(xlookup(A696,'Download of SFDC Activation Rep'!B:B,'Download of SFDC Activation Rep'!L:L),"")</f>
        <v/>
      </c>
      <c r="H696" s="17" t="str">
        <f t="shared" si="1"/>
        <v>Not Active</v>
      </c>
      <c r="I696" s="17" t="str">
        <f t="array" ref="I696">XLOOKUP(A696,'Download of SFDC Activation Rep'!B:B,'Download of SFDC Activation Rep'!T:T)</f>
        <v>#N/A</v>
      </c>
      <c r="J696" s="17" t="str">
        <f t="array" ref="J696">iferror(XLOOKUP(A696,'Download of SFDC Activation Rep'!B:B,'Download of SFDC Activation Rep'!C:C),"")</f>
        <v/>
      </c>
      <c r="K696" s="17" t="str">
        <f t="array" ref="K696">XLOOKUP(A696,'Download of SFDC Activation Rep'!B:B,'Download of SFDC Activation Rep'!X:X)</f>
        <v>#N/A</v>
      </c>
      <c r="L696" s="32" t="str">
        <f t="array" ref="L696">xlookup(A696,'Download of SFDC Activation Rep'!B:B,'Download of SFDC Activation Rep'!Z:Z)</f>
        <v>#N/A</v>
      </c>
    </row>
    <row r="697">
      <c r="B697" s="14"/>
      <c r="C697" s="14"/>
      <c r="D697" s="14"/>
      <c r="E697" s="14"/>
      <c r="F697" s="13" t="str">
        <f t="array" ref="F697">iferror(XLOOKUP(A697,'Download of SFDC Activation Rep'!B:B,'Download of SFDC Activation Rep'!H:H),"")</f>
        <v/>
      </c>
      <c r="G697" s="13" t="str">
        <f t="array" ref="G697">iferror(xlookup(A697,'Download of SFDC Activation Rep'!B:B,'Download of SFDC Activation Rep'!L:L),"")</f>
        <v/>
      </c>
      <c r="H697" s="17" t="str">
        <f t="shared" si="1"/>
        <v>Not Active</v>
      </c>
      <c r="I697" s="17" t="str">
        <f t="array" ref="I697">XLOOKUP(A697,'Download of SFDC Activation Rep'!B:B,'Download of SFDC Activation Rep'!T:T)</f>
        <v>#N/A</v>
      </c>
      <c r="J697" s="17" t="str">
        <f t="array" ref="J697">iferror(XLOOKUP(A697,'Download of SFDC Activation Rep'!B:B,'Download of SFDC Activation Rep'!C:C),"")</f>
        <v/>
      </c>
      <c r="K697" s="17" t="str">
        <f t="array" ref="K697">XLOOKUP(A697,'Download of SFDC Activation Rep'!B:B,'Download of SFDC Activation Rep'!X:X)</f>
        <v>#N/A</v>
      </c>
      <c r="L697" s="32" t="str">
        <f t="array" ref="L697">xlookup(A697,'Download of SFDC Activation Rep'!B:B,'Download of SFDC Activation Rep'!Z:Z)</f>
        <v>#N/A</v>
      </c>
    </row>
    <row r="698">
      <c r="B698" s="14"/>
      <c r="C698" s="14"/>
      <c r="D698" s="14"/>
      <c r="E698" s="14"/>
      <c r="F698" s="13" t="str">
        <f t="array" ref="F698">iferror(XLOOKUP(A698,'Download of SFDC Activation Rep'!B:B,'Download of SFDC Activation Rep'!H:H),"")</f>
        <v/>
      </c>
      <c r="G698" s="13" t="str">
        <f t="array" ref="G698">iferror(xlookup(A698,'Download of SFDC Activation Rep'!B:B,'Download of SFDC Activation Rep'!L:L),"")</f>
        <v/>
      </c>
      <c r="H698" s="17" t="str">
        <f t="shared" si="1"/>
        <v>Not Active</v>
      </c>
      <c r="I698" s="17" t="str">
        <f t="array" ref="I698">XLOOKUP(A698,'Download of SFDC Activation Rep'!B:B,'Download of SFDC Activation Rep'!T:T)</f>
        <v>#N/A</v>
      </c>
      <c r="J698" s="17" t="str">
        <f t="array" ref="J698">iferror(XLOOKUP(A698,'Download of SFDC Activation Rep'!B:B,'Download of SFDC Activation Rep'!C:C),"")</f>
        <v/>
      </c>
      <c r="K698" s="17" t="str">
        <f t="array" ref="K698">XLOOKUP(A698,'Download of SFDC Activation Rep'!B:B,'Download of SFDC Activation Rep'!X:X)</f>
        <v>#N/A</v>
      </c>
      <c r="L698" s="32" t="str">
        <f t="array" ref="L698">xlookup(A698,'Download of SFDC Activation Rep'!B:B,'Download of SFDC Activation Rep'!Z:Z)</f>
        <v>#N/A</v>
      </c>
    </row>
    <row r="699">
      <c r="B699" s="14"/>
      <c r="C699" s="14"/>
      <c r="D699" s="14"/>
      <c r="E699" s="14"/>
      <c r="F699" s="13" t="str">
        <f t="array" ref="F699">iferror(XLOOKUP(A699,'Download of SFDC Activation Rep'!B:B,'Download of SFDC Activation Rep'!H:H),"")</f>
        <v/>
      </c>
      <c r="G699" s="13" t="str">
        <f t="array" ref="G699">iferror(xlookup(A699,'Download of SFDC Activation Rep'!B:B,'Download of SFDC Activation Rep'!L:L),"")</f>
        <v/>
      </c>
      <c r="H699" s="17" t="str">
        <f t="shared" si="1"/>
        <v>Not Active</v>
      </c>
      <c r="I699" s="17" t="str">
        <f t="array" ref="I699">XLOOKUP(A699,'Download of SFDC Activation Rep'!B:B,'Download of SFDC Activation Rep'!T:T)</f>
        <v>#N/A</v>
      </c>
      <c r="J699" s="17" t="str">
        <f t="array" ref="J699">iferror(XLOOKUP(A699,'Download of SFDC Activation Rep'!B:B,'Download of SFDC Activation Rep'!C:C),"")</f>
        <v/>
      </c>
      <c r="K699" s="17" t="str">
        <f t="array" ref="K699">XLOOKUP(A699,'Download of SFDC Activation Rep'!B:B,'Download of SFDC Activation Rep'!X:X)</f>
        <v>#N/A</v>
      </c>
      <c r="L699" s="32" t="str">
        <f t="array" ref="L699">xlookup(A699,'Download of SFDC Activation Rep'!B:B,'Download of SFDC Activation Rep'!Z:Z)</f>
        <v>#N/A</v>
      </c>
    </row>
    <row r="700">
      <c r="B700" s="14"/>
      <c r="C700" s="14"/>
      <c r="D700" s="14"/>
      <c r="E700" s="14"/>
      <c r="F700" s="13" t="str">
        <f t="array" ref="F700">iferror(XLOOKUP(A700,'Download of SFDC Activation Rep'!B:B,'Download of SFDC Activation Rep'!H:H),"")</f>
        <v/>
      </c>
      <c r="G700" s="13" t="str">
        <f t="array" ref="G700">iferror(xlookup(A700,'Download of SFDC Activation Rep'!B:B,'Download of SFDC Activation Rep'!L:L),"")</f>
        <v/>
      </c>
      <c r="H700" s="17" t="str">
        <f t="shared" si="1"/>
        <v>Not Active</v>
      </c>
      <c r="I700" s="17" t="str">
        <f t="array" ref="I700">XLOOKUP(A700,'Download of SFDC Activation Rep'!B:B,'Download of SFDC Activation Rep'!T:T)</f>
        <v>#N/A</v>
      </c>
      <c r="J700" s="17" t="str">
        <f t="array" ref="J700">iferror(XLOOKUP(A700,'Download of SFDC Activation Rep'!B:B,'Download of SFDC Activation Rep'!C:C),"")</f>
        <v/>
      </c>
      <c r="K700" s="17" t="str">
        <f t="array" ref="K700">XLOOKUP(A700,'Download of SFDC Activation Rep'!B:B,'Download of SFDC Activation Rep'!X:X)</f>
        <v>#N/A</v>
      </c>
      <c r="L700" s="32" t="str">
        <f t="array" ref="L700">xlookup(A700,'Download of SFDC Activation Rep'!B:B,'Download of SFDC Activation Rep'!Z:Z)</f>
        <v>#N/A</v>
      </c>
    </row>
    <row r="701">
      <c r="B701" s="14"/>
      <c r="C701" s="14"/>
      <c r="D701" s="14"/>
      <c r="E701" s="14"/>
      <c r="F701" s="13" t="str">
        <f t="array" ref="F701">iferror(XLOOKUP(A701,'Download of SFDC Activation Rep'!B:B,'Download of SFDC Activation Rep'!H:H),"")</f>
        <v/>
      </c>
      <c r="G701" s="13" t="str">
        <f t="array" ref="G701">iferror(xlookup(A701,'Download of SFDC Activation Rep'!B:B,'Download of SFDC Activation Rep'!L:L),"")</f>
        <v/>
      </c>
      <c r="H701" s="17" t="str">
        <f t="shared" si="1"/>
        <v>Not Active</v>
      </c>
      <c r="I701" s="17" t="str">
        <f t="array" ref="I701">XLOOKUP(A701,'Download of SFDC Activation Rep'!B:B,'Download of SFDC Activation Rep'!T:T)</f>
        <v>#N/A</v>
      </c>
      <c r="J701" s="17" t="str">
        <f t="array" ref="J701">iferror(XLOOKUP(A701,'Download of SFDC Activation Rep'!B:B,'Download of SFDC Activation Rep'!C:C),"")</f>
        <v/>
      </c>
      <c r="K701" s="17" t="str">
        <f t="array" ref="K701">XLOOKUP(A701,'Download of SFDC Activation Rep'!B:B,'Download of SFDC Activation Rep'!X:X)</f>
        <v>#N/A</v>
      </c>
      <c r="L701" s="32" t="str">
        <f t="array" ref="L701">xlookup(A701,'Download of SFDC Activation Rep'!B:B,'Download of SFDC Activation Rep'!Z:Z)</f>
        <v>#N/A</v>
      </c>
    </row>
    <row r="702">
      <c r="B702" s="14"/>
      <c r="C702" s="14"/>
      <c r="D702" s="14"/>
      <c r="E702" s="14"/>
      <c r="F702" s="13" t="str">
        <f t="array" ref="F702">iferror(XLOOKUP(A702,'Download of SFDC Activation Rep'!B:B,'Download of SFDC Activation Rep'!H:H),"")</f>
        <v/>
      </c>
      <c r="G702" s="13" t="str">
        <f t="array" ref="G702">iferror(xlookup(A702,'Download of SFDC Activation Rep'!B:B,'Download of SFDC Activation Rep'!L:L),"")</f>
        <v/>
      </c>
      <c r="H702" s="17" t="str">
        <f t="shared" si="1"/>
        <v>Not Active</v>
      </c>
      <c r="I702" s="17" t="str">
        <f t="array" ref="I702">XLOOKUP(A702,'Download of SFDC Activation Rep'!B:B,'Download of SFDC Activation Rep'!T:T)</f>
        <v>#N/A</v>
      </c>
      <c r="J702" s="17" t="str">
        <f t="array" ref="J702">iferror(XLOOKUP(A702,'Download of SFDC Activation Rep'!B:B,'Download of SFDC Activation Rep'!C:C),"")</f>
        <v/>
      </c>
      <c r="K702" s="17" t="str">
        <f t="array" ref="K702">XLOOKUP(A702,'Download of SFDC Activation Rep'!B:B,'Download of SFDC Activation Rep'!X:X)</f>
        <v>#N/A</v>
      </c>
      <c r="L702" s="32" t="str">
        <f t="array" ref="L702">xlookup(A702,'Download of SFDC Activation Rep'!B:B,'Download of SFDC Activation Rep'!Z:Z)</f>
        <v>#N/A</v>
      </c>
    </row>
    <row r="703">
      <c r="B703" s="14"/>
      <c r="C703" s="14"/>
      <c r="D703" s="14"/>
      <c r="E703" s="14"/>
      <c r="F703" s="13" t="str">
        <f t="array" ref="F703">iferror(XLOOKUP(A703,'Download of SFDC Activation Rep'!B:B,'Download of SFDC Activation Rep'!H:H),"")</f>
        <v/>
      </c>
      <c r="G703" s="13" t="str">
        <f t="array" ref="G703">iferror(xlookup(A703,'Download of SFDC Activation Rep'!B:B,'Download of SFDC Activation Rep'!L:L),"")</f>
        <v/>
      </c>
      <c r="H703" s="17" t="str">
        <f t="shared" si="1"/>
        <v>Not Active</v>
      </c>
      <c r="I703" s="17" t="str">
        <f t="array" ref="I703">XLOOKUP(A703,'Download of SFDC Activation Rep'!B:B,'Download of SFDC Activation Rep'!T:T)</f>
        <v>#N/A</v>
      </c>
      <c r="J703" s="17" t="str">
        <f t="array" ref="J703">iferror(XLOOKUP(A703,'Download of SFDC Activation Rep'!B:B,'Download of SFDC Activation Rep'!C:C),"")</f>
        <v/>
      </c>
      <c r="K703" s="17" t="str">
        <f t="array" ref="K703">XLOOKUP(A703,'Download of SFDC Activation Rep'!B:B,'Download of SFDC Activation Rep'!X:X)</f>
        <v>#N/A</v>
      </c>
      <c r="L703" s="32" t="str">
        <f t="array" ref="L703">xlookup(A703,'Download of SFDC Activation Rep'!B:B,'Download of SFDC Activation Rep'!Z:Z)</f>
        <v>#N/A</v>
      </c>
    </row>
    <row r="704">
      <c r="B704" s="14"/>
      <c r="C704" s="14"/>
      <c r="D704" s="14"/>
      <c r="E704" s="14"/>
      <c r="F704" s="13" t="str">
        <f t="array" ref="F704">iferror(XLOOKUP(A704,'Download of SFDC Activation Rep'!B:B,'Download of SFDC Activation Rep'!H:H),"")</f>
        <v/>
      </c>
      <c r="G704" s="13" t="str">
        <f t="array" ref="G704">iferror(xlookup(A704,'Download of SFDC Activation Rep'!B:B,'Download of SFDC Activation Rep'!L:L),"")</f>
        <v/>
      </c>
      <c r="H704" s="17" t="str">
        <f t="shared" si="1"/>
        <v>Not Active</v>
      </c>
      <c r="I704" s="17" t="str">
        <f t="array" ref="I704">XLOOKUP(A704,'Download of SFDC Activation Rep'!B:B,'Download of SFDC Activation Rep'!T:T)</f>
        <v>#N/A</v>
      </c>
      <c r="J704" s="17" t="str">
        <f t="array" ref="J704">iferror(XLOOKUP(A704,'Download of SFDC Activation Rep'!B:B,'Download of SFDC Activation Rep'!C:C),"")</f>
        <v/>
      </c>
      <c r="K704" s="17" t="str">
        <f t="array" ref="K704">XLOOKUP(A704,'Download of SFDC Activation Rep'!B:B,'Download of SFDC Activation Rep'!X:X)</f>
        <v>#N/A</v>
      </c>
      <c r="L704" s="32" t="str">
        <f t="array" ref="L704">xlookup(A704,'Download of SFDC Activation Rep'!B:B,'Download of SFDC Activation Rep'!Z:Z)</f>
        <v>#N/A</v>
      </c>
    </row>
    <row r="705">
      <c r="B705" s="14"/>
      <c r="C705" s="14"/>
      <c r="D705" s="14"/>
      <c r="E705" s="14"/>
      <c r="F705" s="13" t="str">
        <f t="array" ref="F705">iferror(XLOOKUP(A705,'Download of SFDC Activation Rep'!B:B,'Download of SFDC Activation Rep'!H:H),"")</f>
        <v/>
      </c>
      <c r="G705" s="13" t="str">
        <f t="array" ref="G705">iferror(xlookup(A705,'Download of SFDC Activation Rep'!B:B,'Download of SFDC Activation Rep'!L:L),"")</f>
        <v/>
      </c>
      <c r="H705" s="17" t="str">
        <f t="shared" si="1"/>
        <v>Not Active</v>
      </c>
      <c r="I705" s="17" t="str">
        <f t="array" ref="I705">XLOOKUP(A705,'Download of SFDC Activation Rep'!B:B,'Download of SFDC Activation Rep'!T:T)</f>
        <v>#N/A</v>
      </c>
      <c r="J705" s="17" t="str">
        <f t="array" ref="J705">iferror(XLOOKUP(A705,'Download of SFDC Activation Rep'!B:B,'Download of SFDC Activation Rep'!C:C),"")</f>
        <v/>
      </c>
      <c r="K705" s="17" t="str">
        <f t="array" ref="K705">XLOOKUP(A705,'Download of SFDC Activation Rep'!B:B,'Download of SFDC Activation Rep'!X:X)</f>
        <v>#N/A</v>
      </c>
      <c r="L705" s="32" t="str">
        <f t="array" ref="L705">xlookup(A705,'Download of SFDC Activation Rep'!B:B,'Download of SFDC Activation Rep'!Z:Z)</f>
        <v>#N/A</v>
      </c>
    </row>
    <row r="706">
      <c r="B706" s="14"/>
      <c r="C706" s="14"/>
      <c r="D706" s="14"/>
      <c r="E706" s="14"/>
      <c r="F706" s="13" t="str">
        <f t="array" ref="F706">iferror(XLOOKUP(A706,'Download of SFDC Activation Rep'!B:B,'Download of SFDC Activation Rep'!H:H),"")</f>
        <v/>
      </c>
      <c r="G706" s="13" t="str">
        <f t="array" ref="G706">iferror(xlookup(A706,'Download of SFDC Activation Rep'!B:B,'Download of SFDC Activation Rep'!L:L),"")</f>
        <v/>
      </c>
      <c r="H706" s="17" t="str">
        <f t="shared" si="1"/>
        <v>Not Active</v>
      </c>
      <c r="I706" s="17" t="str">
        <f t="array" ref="I706">XLOOKUP(A706,'Download of SFDC Activation Rep'!B:B,'Download of SFDC Activation Rep'!T:T)</f>
        <v>#N/A</v>
      </c>
      <c r="J706" s="17" t="str">
        <f t="array" ref="J706">iferror(XLOOKUP(A706,'Download of SFDC Activation Rep'!B:B,'Download of SFDC Activation Rep'!C:C),"")</f>
        <v/>
      </c>
      <c r="K706" s="17" t="str">
        <f t="array" ref="K706">XLOOKUP(A706,'Download of SFDC Activation Rep'!B:B,'Download of SFDC Activation Rep'!X:X)</f>
        <v>#N/A</v>
      </c>
      <c r="L706" s="32" t="str">
        <f t="array" ref="L706">xlookup(A706,'Download of SFDC Activation Rep'!B:B,'Download of SFDC Activation Rep'!Z:Z)</f>
        <v>#N/A</v>
      </c>
    </row>
    <row r="707">
      <c r="B707" s="14"/>
      <c r="C707" s="14"/>
      <c r="D707" s="14"/>
      <c r="E707" s="14"/>
      <c r="F707" s="13" t="str">
        <f t="array" ref="F707">iferror(XLOOKUP(A707,'Download of SFDC Activation Rep'!B:B,'Download of SFDC Activation Rep'!H:H),"")</f>
        <v/>
      </c>
      <c r="G707" s="13" t="str">
        <f t="array" ref="G707">iferror(xlookup(A707,'Download of SFDC Activation Rep'!B:B,'Download of SFDC Activation Rep'!L:L),"")</f>
        <v/>
      </c>
      <c r="H707" s="17" t="str">
        <f t="shared" si="1"/>
        <v>Not Active</v>
      </c>
      <c r="I707" s="17" t="str">
        <f t="array" ref="I707">XLOOKUP(A707,'Download of SFDC Activation Rep'!B:B,'Download of SFDC Activation Rep'!T:T)</f>
        <v>#N/A</v>
      </c>
      <c r="J707" s="17" t="str">
        <f t="array" ref="J707">iferror(XLOOKUP(A707,'Download of SFDC Activation Rep'!B:B,'Download of SFDC Activation Rep'!C:C),"")</f>
        <v/>
      </c>
      <c r="K707" s="17" t="str">
        <f t="array" ref="K707">XLOOKUP(A707,'Download of SFDC Activation Rep'!B:B,'Download of SFDC Activation Rep'!X:X)</f>
        <v>#N/A</v>
      </c>
      <c r="L707" s="32" t="str">
        <f t="array" ref="L707">xlookup(A707,'Download of SFDC Activation Rep'!B:B,'Download of SFDC Activation Rep'!Z:Z)</f>
        <v>#N/A</v>
      </c>
    </row>
    <row r="708">
      <c r="B708" s="14"/>
      <c r="C708" s="14"/>
      <c r="D708" s="14"/>
      <c r="E708" s="14"/>
      <c r="F708" s="13" t="str">
        <f t="array" ref="F708">iferror(XLOOKUP(A708,'Download of SFDC Activation Rep'!B:B,'Download of SFDC Activation Rep'!H:H),"")</f>
        <v/>
      </c>
      <c r="G708" s="13" t="str">
        <f t="array" ref="G708">iferror(xlookup(A708,'Download of SFDC Activation Rep'!B:B,'Download of SFDC Activation Rep'!L:L),"")</f>
        <v/>
      </c>
      <c r="H708" s="17" t="str">
        <f t="shared" si="1"/>
        <v>Not Active</v>
      </c>
      <c r="I708" s="17" t="str">
        <f t="array" ref="I708">XLOOKUP(A708,'Download of SFDC Activation Rep'!B:B,'Download of SFDC Activation Rep'!T:T)</f>
        <v>#N/A</v>
      </c>
      <c r="J708" s="17" t="str">
        <f t="array" ref="J708">iferror(XLOOKUP(A708,'Download of SFDC Activation Rep'!B:B,'Download of SFDC Activation Rep'!C:C),"")</f>
        <v/>
      </c>
      <c r="K708" s="17" t="str">
        <f t="array" ref="K708">XLOOKUP(A708,'Download of SFDC Activation Rep'!B:B,'Download of SFDC Activation Rep'!X:X)</f>
        <v>#N/A</v>
      </c>
      <c r="L708" s="32" t="str">
        <f t="array" ref="L708">xlookup(A708,'Download of SFDC Activation Rep'!B:B,'Download of SFDC Activation Rep'!Z:Z)</f>
        <v>#N/A</v>
      </c>
    </row>
    <row r="709">
      <c r="B709" s="14"/>
      <c r="C709" s="14"/>
      <c r="D709" s="14"/>
      <c r="E709" s="14"/>
      <c r="F709" s="13" t="str">
        <f t="array" ref="F709">iferror(XLOOKUP(A709,'Download of SFDC Activation Rep'!B:B,'Download of SFDC Activation Rep'!H:H),"")</f>
        <v/>
      </c>
      <c r="G709" s="13" t="str">
        <f t="array" ref="G709">iferror(xlookup(A709,'Download of SFDC Activation Rep'!B:B,'Download of SFDC Activation Rep'!L:L),"")</f>
        <v/>
      </c>
      <c r="H709" s="17" t="str">
        <f t="shared" si="1"/>
        <v>Not Active</v>
      </c>
      <c r="I709" s="17" t="str">
        <f t="array" ref="I709">XLOOKUP(A709,'Download of SFDC Activation Rep'!B:B,'Download of SFDC Activation Rep'!T:T)</f>
        <v>#N/A</v>
      </c>
      <c r="J709" s="17" t="str">
        <f t="array" ref="J709">iferror(XLOOKUP(A709,'Download of SFDC Activation Rep'!B:B,'Download of SFDC Activation Rep'!C:C),"")</f>
        <v/>
      </c>
      <c r="K709" s="17" t="str">
        <f t="array" ref="K709">XLOOKUP(A709,'Download of SFDC Activation Rep'!B:B,'Download of SFDC Activation Rep'!X:X)</f>
        <v>#N/A</v>
      </c>
      <c r="L709" s="32" t="str">
        <f t="array" ref="L709">xlookup(A709,'Download of SFDC Activation Rep'!B:B,'Download of SFDC Activation Rep'!Z:Z)</f>
        <v>#N/A</v>
      </c>
    </row>
    <row r="710">
      <c r="B710" s="14"/>
      <c r="C710" s="14"/>
      <c r="D710" s="14"/>
      <c r="E710" s="14"/>
      <c r="F710" s="13" t="str">
        <f t="array" ref="F710">iferror(XLOOKUP(A710,'Download of SFDC Activation Rep'!B:B,'Download of SFDC Activation Rep'!H:H),"")</f>
        <v/>
      </c>
      <c r="G710" s="13" t="str">
        <f t="array" ref="G710">iferror(xlookup(A710,'Download of SFDC Activation Rep'!B:B,'Download of SFDC Activation Rep'!L:L),"")</f>
        <v/>
      </c>
      <c r="H710" s="17" t="str">
        <f t="shared" si="1"/>
        <v>Not Active</v>
      </c>
      <c r="I710" s="17" t="str">
        <f t="array" ref="I710">XLOOKUP(A710,'Download of SFDC Activation Rep'!B:B,'Download of SFDC Activation Rep'!T:T)</f>
        <v>#N/A</v>
      </c>
      <c r="J710" s="17" t="str">
        <f t="array" ref="J710">iferror(XLOOKUP(A710,'Download of SFDC Activation Rep'!B:B,'Download of SFDC Activation Rep'!C:C),"")</f>
        <v/>
      </c>
      <c r="K710" s="17" t="str">
        <f t="array" ref="K710">XLOOKUP(A710,'Download of SFDC Activation Rep'!B:B,'Download of SFDC Activation Rep'!X:X)</f>
        <v>#N/A</v>
      </c>
      <c r="L710" s="32" t="str">
        <f t="array" ref="L710">xlookup(A710,'Download of SFDC Activation Rep'!B:B,'Download of SFDC Activation Rep'!Z:Z)</f>
        <v>#N/A</v>
      </c>
    </row>
    <row r="711">
      <c r="B711" s="14"/>
      <c r="C711" s="14"/>
      <c r="D711" s="14"/>
      <c r="E711" s="14"/>
      <c r="F711" s="13" t="str">
        <f t="array" ref="F711">iferror(XLOOKUP(A711,'Download of SFDC Activation Rep'!B:B,'Download of SFDC Activation Rep'!H:H),"")</f>
        <v/>
      </c>
      <c r="G711" s="13" t="str">
        <f t="array" ref="G711">iferror(xlookup(A711,'Download of SFDC Activation Rep'!B:B,'Download of SFDC Activation Rep'!L:L),"")</f>
        <v/>
      </c>
      <c r="H711" s="17" t="str">
        <f t="shared" si="1"/>
        <v>Not Active</v>
      </c>
      <c r="I711" s="17" t="str">
        <f t="array" ref="I711">XLOOKUP(A711,'Download of SFDC Activation Rep'!B:B,'Download of SFDC Activation Rep'!T:T)</f>
        <v>#N/A</v>
      </c>
      <c r="J711" s="17" t="str">
        <f t="array" ref="J711">iferror(XLOOKUP(A711,'Download of SFDC Activation Rep'!B:B,'Download of SFDC Activation Rep'!C:C),"")</f>
        <v/>
      </c>
      <c r="K711" s="17" t="str">
        <f t="array" ref="K711">XLOOKUP(A711,'Download of SFDC Activation Rep'!B:B,'Download of SFDC Activation Rep'!X:X)</f>
        <v>#N/A</v>
      </c>
      <c r="L711" s="32" t="str">
        <f t="array" ref="L711">xlookup(A711,'Download of SFDC Activation Rep'!B:B,'Download of SFDC Activation Rep'!Z:Z)</f>
        <v>#N/A</v>
      </c>
    </row>
    <row r="712">
      <c r="B712" s="14"/>
      <c r="C712" s="14"/>
      <c r="D712" s="14"/>
      <c r="E712" s="14"/>
      <c r="F712" s="13" t="str">
        <f t="array" ref="F712">iferror(XLOOKUP(A712,'Download of SFDC Activation Rep'!B:B,'Download of SFDC Activation Rep'!H:H),"")</f>
        <v/>
      </c>
      <c r="G712" s="13" t="str">
        <f t="array" ref="G712">iferror(xlookup(A712,'Download of SFDC Activation Rep'!B:B,'Download of SFDC Activation Rep'!L:L),"")</f>
        <v/>
      </c>
      <c r="H712" s="17" t="str">
        <f t="shared" si="1"/>
        <v>Not Active</v>
      </c>
      <c r="I712" s="17" t="str">
        <f t="array" ref="I712">XLOOKUP(A712,'Download of SFDC Activation Rep'!B:B,'Download of SFDC Activation Rep'!T:T)</f>
        <v>#N/A</v>
      </c>
      <c r="J712" s="17" t="str">
        <f t="array" ref="J712">iferror(XLOOKUP(A712,'Download of SFDC Activation Rep'!B:B,'Download of SFDC Activation Rep'!C:C),"")</f>
        <v/>
      </c>
      <c r="K712" s="17" t="str">
        <f t="array" ref="K712">XLOOKUP(A712,'Download of SFDC Activation Rep'!B:B,'Download of SFDC Activation Rep'!X:X)</f>
        <v>#N/A</v>
      </c>
      <c r="L712" s="32" t="str">
        <f t="array" ref="L712">xlookup(A712,'Download of SFDC Activation Rep'!B:B,'Download of SFDC Activation Rep'!Z:Z)</f>
        <v>#N/A</v>
      </c>
    </row>
    <row r="713">
      <c r="B713" s="14"/>
      <c r="C713" s="14"/>
      <c r="D713" s="14"/>
      <c r="E713" s="14"/>
      <c r="F713" s="13" t="str">
        <f t="array" ref="F713">iferror(XLOOKUP(A713,'Download of SFDC Activation Rep'!B:B,'Download of SFDC Activation Rep'!H:H),"")</f>
        <v/>
      </c>
      <c r="G713" s="13" t="str">
        <f t="array" ref="G713">iferror(xlookup(A713,'Download of SFDC Activation Rep'!B:B,'Download of SFDC Activation Rep'!L:L),"")</f>
        <v/>
      </c>
      <c r="H713" s="17" t="str">
        <f t="shared" si="1"/>
        <v>Not Active</v>
      </c>
      <c r="I713" s="17" t="str">
        <f t="array" ref="I713">XLOOKUP(A713,'Download of SFDC Activation Rep'!B:B,'Download of SFDC Activation Rep'!T:T)</f>
        <v>#N/A</v>
      </c>
      <c r="J713" s="17" t="str">
        <f t="array" ref="J713">iferror(XLOOKUP(A713,'Download of SFDC Activation Rep'!B:B,'Download of SFDC Activation Rep'!C:C),"")</f>
        <v/>
      </c>
      <c r="K713" s="17" t="str">
        <f t="array" ref="K713">XLOOKUP(A713,'Download of SFDC Activation Rep'!B:B,'Download of SFDC Activation Rep'!X:X)</f>
        <v>#N/A</v>
      </c>
      <c r="L713" s="32" t="str">
        <f t="array" ref="L713">xlookup(A713,'Download of SFDC Activation Rep'!B:B,'Download of SFDC Activation Rep'!Z:Z)</f>
        <v>#N/A</v>
      </c>
    </row>
    <row r="714">
      <c r="B714" s="14"/>
      <c r="C714" s="14"/>
      <c r="D714" s="14"/>
      <c r="E714" s="14"/>
      <c r="F714" s="13" t="str">
        <f t="array" ref="F714">iferror(XLOOKUP(A714,'Download of SFDC Activation Rep'!B:B,'Download of SFDC Activation Rep'!H:H),"")</f>
        <v/>
      </c>
      <c r="G714" s="13" t="str">
        <f t="array" ref="G714">iferror(xlookup(A714,'Download of SFDC Activation Rep'!B:B,'Download of SFDC Activation Rep'!L:L),"")</f>
        <v/>
      </c>
      <c r="H714" s="17" t="str">
        <f t="shared" si="1"/>
        <v>Not Active</v>
      </c>
      <c r="I714" s="17" t="str">
        <f t="array" ref="I714">XLOOKUP(A714,'Download of SFDC Activation Rep'!B:B,'Download of SFDC Activation Rep'!T:T)</f>
        <v>#N/A</v>
      </c>
      <c r="J714" s="17" t="str">
        <f t="array" ref="J714">iferror(XLOOKUP(A714,'Download of SFDC Activation Rep'!B:B,'Download of SFDC Activation Rep'!C:C),"")</f>
        <v/>
      </c>
      <c r="K714" s="17" t="str">
        <f t="array" ref="K714">XLOOKUP(A714,'Download of SFDC Activation Rep'!B:B,'Download of SFDC Activation Rep'!X:X)</f>
        <v>#N/A</v>
      </c>
      <c r="L714" s="32" t="str">
        <f t="array" ref="L714">xlookup(A714,'Download of SFDC Activation Rep'!B:B,'Download of SFDC Activation Rep'!Z:Z)</f>
        <v>#N/A</v>
      </c>
    </row>
    <row r="715">
      <c r="B715" s="14"/>
      <c r="C715" s="14"/>
      <c r="D715" s="14"/>
      <c r="E715" s="14"/>
      <c r="F715" s="13" t="str">
        <f t="array" ref="F715">iferror(XLOOKUP(A715,'Download of SFDC Activation Rep'!B:B,'Download of SFDC Activation Rep'!H:H),"")</f>
        <v/>
      </c>
      <c r="G715" s="13" t="str">
        <f t="array" ref="G715">iferror(xlookup(A715,'Download of SFDC Activation Rep'!B:B,'Download of SFDC Activation Rep'!L:L),"")</f>
        <v/>
      </c>
      <c r="H715" s="17" t="str">
        <f t="shared" si="1"/>
        <v>Not Active</v>
      </c>
      <c r="I715" s="17" t="str">
        <f t="array" ref="I715">XLOOKUP(A715,'Download of SFDC Activation Rep'!B:B,'Download of SFDC Activation Rep'!T:T)</f>
        <v>#N/A</v>
      </c>
      <c r="J715" s="17" t="str">
        <f t="array" ref="J715">iferror(XLOOKUP(A715,'Download of SFDC Activation Rep'!B:B,'Download of SFDC Activation Rep'!C:C),"")</f>
        <v/>
      </c>
      <c r="K715" s="17" t="str">
        <f t="array" ref="K715">XLOOKUP(A715,'Download of SFDC Activation Rep'!B:B,'Download of SFDC Activation Rep'!X:X)</f>
        <v>#N/A</v>
      </c>
      <c r="L715" s="32" t="str">
        <f t="array" ref="L715">xlookup(A715,'Download of SFDC Activation Rep'!B:B,'Download of SFDC Activation Rep'!Z:Z)</f>
        <v>#N/A</v>
      </c>
    </row>
    <row r="716">
      <c r="B716" s="14"/>
      <c r="C716" s="14"/>
      <c r="D716" s="14"/>
      <c r="E716" s="14"/>
      <c r="F716" s="13" t="str">
        <f t="array" ref="F716">iferror(XLOOKUP(A716,'Download of SFDC Activation Rep'!B:B,'Download of SFDC Activation Rep'!H:H),"")</f>
        <v/>
      </c>
      <c r="G716" s="13" t="str">
        <f t="array" ref="G716">iferror(xlookup(A716,'Download of SFDC Activation Rep'!B:B,'Download of SFDC Activation Rep'!L:L),"")</f>
        <v/>
      </c>
      <c r="H716" s="17" t="str">
        <f t="shared" si="1"/>
        <v>Not Active</v>
      </c>
      <c r="I716" s="17" t="str">
        <f t="array" ref="I716">XLOOKUP(A716,'Download of SFDC Activation Rep'!B:B,'Download of SFDC Activation Rep'!T:T)</f>
        <v>#N/A</v>
      </c>
      <c r="J716" s="17" t="str">
        <f t="array" ref="J716">iferror(XLOOKUP(A716,'Download of SFDC Activation Rep'!B:B,'Download of SFDC Activation Rep'!C:C),"")</f>
        <v/>
      </c>
      <c r="K716" s="17" t="str">
        <f t="array" ref="K716">XLOOKUP(A716,'Download of SFDC Activation Rep'!B:B,'Download of SFDC Activation Rep'!X:X)</f>
        <v>#N/A</v>
      </c>
      <c r="L716" s="32" t="str">
        <f t="array" ref="L716">xlookup(A716,'Download of SFDC Activation Rep'!B:B,'Download of SFDC Activation Rep'!Z:Z)</f>
        <v>#N/A</v>
      </c>
    </row>
    <row r="717">
      <c r="B717" s="14"/>
      <c r="C717" s="14"/>
      <c r="D717" s="14"/>
      <c r="E717" s="14"/>
      <c r="F717" s="13" t="str">
        <f t="array" ref="F717">iferror(XLOOKUP(A717,'Download of SFDC Activation Rep'!B:B,'Download of SFDC Activation Rep'!H:H),"")</f>
        <v/>
      </c>
      <c r="G717" s="13" t="str">
        <f t="array" ref="G717">iferror(xlookup(A717,'Download of SFDC Activation Rep'!B:B,'Download of SFDC Activation Rep'!L:L),"")</f>
        <v/>
      </c>
      <c r="H717" s="17" t="str">
        <f t="shared" si="1"/>
        <v>Not Active</v>
      </c>
      <c r="I717" s="17" t="str">
        <f t="array" ref="I717">XLOOKUP(A717,'Download of SFDC Activation Rep'!B:B,'Download of SFDC Activation Rep'!T:T)</f>
        <v>#N/A</v>
      </c>
      <c r="J717" s="17" t="str">
        <f t="array" ref="J717">iferror(XLOOKUP(A717,'Download of SFDC Activation Rep'!B:B,'Download of SFDC Activation Rep'!C:C),"")</f>
        <v/>
      </c>
      <c r="K717" s="17" t="str">
        <f t="array" ref="K717">XLOOKUP(A717,'Download of SFDC Activation Rep'!B:B,'Download of SFDC Activation Rep'!X:X)</f>
        <v>#N/A</v>
      </c>
      <c r="L717" s="32" t="str">
        <f t="array" ref="L717">xlookup(A717,'Download of SFDC Activation Rep'!B:B,'Download of SFDC Activation Rep'!Z:Z)</f>
        <v>#N/A</v>
      </c>
    </row>
    <row r="718">
      <c r="B718" s="14"/>
      <c r="C718" s="14"/>
      <c r="D718" s="14"/>
      <c r="E718" s="14"/>
      <c r="F718" s="13" t="str">
        <f t="array" ref="F718">iferror(XLOOKUP(A718,'Download of SFDC Activation Rep'!B:B,'Download of SFDC Activation Rep'!H:H),"")</f>
        <v/>
      </c>
      <c r="G718" s="13" t="str">
        <f t="array" ref="G718">iferror(xlookup(A718,'Download of SFDC Activation Rep'!B:B,'Download of SFDC Activation Rep'!L:L),"")</f>
        <v/>
      </c>
      <c r="H718" s="17" t="str">
        <f t="shared" si="1"/>
        <v>Not Active</v>
      </c>
      <c r="I718" s="17" t="str">
        <f t="array" ref="I718">XLOOKUP(A718,'Download of SFDC Activation Rep'!B:B,'Download of SFDC Activation Rep'!T:T)</f>
        <v>#N/A</v>
      </c>
      <c r="J718" s="17" t="str">
        <f t="array" ref="J718">iferror(XLOOKUP(A718,'Download of SFDC Activation Rep'!B:B,'Download of SFDC Activation Rep'!C:C),"")</f>
        <v/>
      </c>
      <c r="K718" s="17" t="str">
        <f t="array" ref="K718">XLOOKUP(A718,'Download of SFDC Activation Rep'!B:B,'Download of SFDC Activation Rep'!X:X)</f>
        <v>#N/A</v>
      </c>
      <c r="L718" s="32" t="str">
        <f t="array" ref="L718">xlookup(A718,'Download of SFDC Activation Rep'!B:B,'Download of SFDC Activation Rep'!Z:Z)</f>
        <v>#N/A</v>
      </c>
    </row>
    <row r="719">
      <c r="B719" s="14"/>
      <c r="C719" s="14"/>
      <c r="D719" s="14"/>
      <c r="E719" s="14"/>
      <c r="F719" s="13" t="str">
        <f t="array" ref="F719">iferror(XLOOKUP(A719,'Download of SFDC Activation Rep'!B:B,'Download of SFDC Activation Rep'!H:H),"")</f>
        <v/>
      </c>
      <c r="G719" s="13" t="str">
        <f t="array" ref="G719">iferror(xlookup(A719,'Download of SFDC Activation Rep'!B:B,'Download of SFDC Activation Rep'!L:L),"")</f>
        <v/>
      </c>
      <c r="H719" s="17" t="str">
        <f t="shared" si="1"/>
        <v>Not Active</v>
      </c>
      <c r="I719" s="17" t="str">
        <f t="array" ref="I719">XLOOKUP(A719,'Download of SFDC Activation Rep'!B:B,'Download of SFDC Activation Rep'!T:T)</f>
        <v>#N/A</v>
      </c>
      <c r="J719" s="17" t="str">
        <f t="array" ref="J719">iferror(XLOOKUP(A719,'Download of SFDC Activation Rep'!B:B,'Download of SFDC Activation Rep'!C:C),"")</f>
        <v/>
      </c>
      <c r="K719" s="17" t="str">
        <f t="array" ref="K719">XLOOKUP(A719,'Download of SFDC Activation Rep'!B:B,'Download of SFDC Activation Rep'!X:X)</f>
        <v>#N/A</v>
      </c>
      <c r="L719" s="32" t="str">
        <f t="array" ref="L719">xlookup(A719,'Download of SFDC Activation Rep'!B:B,'Download of SFDC Activation Rep'!Z:Z)</f>
        <v>#N/A</v>
      </c>
    </row>
    <row r="720">
      <c r="B720" s="14"/>
      <c r="C720" s="14"/>
      <c r="D720" s="14"/>
      <c r="E720" s="14"/>
      <c r="F720" s="13" t="str">
        <f t="array" ref="F720">iferror(XLOOKUP(A720,'Download of SFDC Activation Rep'!B:B,'Download of SFDC Activation Rep'!H:H),"")</f>
        <v/>
      </c>
      <c r="G720" s="13" t="str">
        <f t="array" ref="G720">iferror(xlookup(A720,'Download of SFDC Activation Rep'!B:B,'Download of SFDC Activation Rep'!L:L),"")</f>
        <v/>
      </c>
      <c r="H720" s="17" t="str">
        <f t="shared" si="1"/>
        <v>Not Active</v>
      </c>
      <c r="I720" s="17" t="str">
        <f t="array" ref="I720">XLOOKUP(A720,'Download of SFDC Activation Rep'!B:B,'Download of SFDC Activation Rep'!T:T)</f>
        <v>#N/A</v>
      </c>
      <c r="J720" s="17" t="str">
        <f t="array" ref="J720">iferror(XLOOKUP(A720,'Download of SFDC Activation Rep'!B:B,'Download of SFDC Activation Rep'!C:C),"")</f>
        <v/>
      </c>
      <c r="K720" s="17" t="str">
        <f t="array" ref="K720">XLOOKUP(A720,'Download of SFDC Activation Rep'!B:B,'Download of SFDC Activation Rep'!X:X)</f>
        <v>#N/A</v>
      </c>
      <c r="L720" s="32" t="str">
        <f t="array" ref="L720">xlookup(A720,'Download of SFDC Activation Rep'!B:B,'Download of SFDC Activation Rep'!Z:Z)</f>
        <v>#N/A</v>
      </c>
    </row>
    <row r="721">
      <c r="B721" s="14"/>
      <c r="C721" s="14"/>
      <c r="D721" s="14"/>
      <c r="E721" s="14"/>
      <c r="F721" s="13" t="str">
        <f t="array" ref="F721">iferror(XLOOKUP(A721,'Download of SFDC Activation Rep'!B:B,'Download of SFDC Activation Rep'!H:H),"")</f>
        <v/>
      </c>
      <c r="G721" s="13" t="str">
        <f t="array" ref="G721">iferror(xlookup(A721,'Download of SFDC Activation Rep'!B:B,'Download of SFDC Activation Rep'!L:L),"")</f>
        <v/>
      </c>
      <c r="H721" s="17" t="str">
        <f t="shared" si="1"/>
        <v>Not Active</v>
      </c>
      <c r="I721" s="17" t="str">
        <f t="array" ref="I721">XLOOKUP(A721,'Download of SFDC Activation Rep'!B:B,'Download of SFDC Activation Rep'!T:T)</f>
        <v>#N/A</v>
      </c>
      <c r="J721" s="17" t="str">
        <f t="array" ref="J721">iferror(XLOOKUP(A721,'Download of SFDC Activation Rep'!B:B,'Download of SFDC Activation Rep'!C:C),"")</f>
        <v/>
      </c>
      <c r="K721" s="17" t="str">
        <f t="array" ref="K721">XLOOKUP(A721,'Download of SFDC Activation Rep'!B:B,'Download of SFDC Activation Rep'!X:X)</f>
        <v>#N/A</v>
      </c>
      <c r="L721" s="32" t="str">
        <f t="array" ref="L721">xlookup(A721,'Download of SFDC Activation Rep'!B:B,'Download of SFDC Activation Rep'!Z:Z)</f>
        <v>#N/A</v>
      </c>
    </row>
    <row r="722">
      <c r="B722" s="14"/>
      <c r="C722" s="14"/>
      <c r="D722" s="14"/>
      <c r="E722" s="14"/>
      <c r="F722" s="13" t="str">
        <f t="array" ref="F722">iferror(XLOOKUP(A722,'Download of SFDC Activation Rep'!B:B,'Download of SFDC Activation Rep'!H:H),"")</f>
        <v/>
      </c>
      <c r="G722" s="13" t="str">
        <f t="array" ref="G722">iferror(xlookup(A722,'Download of SFDC Activation Rep'!B:B,'Download of SFDC Activation Rep'!L:L),"")</f>
        <v/>
      </c>
      <c r="H722" s="17" t="str">
        <f t="shared" si="1"/>
        <v>Not Active</v>
      </c>
      <c r="I722" s="17" t="str">
        <f t="array" ref="I722">XLOOKUP(A722,'Download of SFDC Activation Rep'!B:B,'Download of SFDC Activation Rep'!T:T)</f>
        <v>#N/A</v>
      </c>
      <c r="J722" s="17" t="str">
        <f t="array" ref="J722">iferror(XLOOKUP(A722,'Download of SFDC Activation Rep'!B:B,'Download of SFDC Activation Rep'!C:C),"")</f>
        <v/>
      </c>
      <c r="K722" s="17" t="str">
        <f t="array" ref="K722">XLOOKUP(A722,'Download of SFDC Activation Rep'!B:B,'Download of SFDC Activation Rep'!X:X)</f>
        <v>#N/A</v>
      </c>
      <c r="L722" s="32" t="str">
        <f t="array" ref="L722">xlookup(A722,'Download of SFDC Activation Rep'!B:B,'Download of SFDC Activation Rep'!Z:Z)</f>
        <v>#N/A</v>
      </c>
    </row>
    <row r="723">
      <c r="B723" s="14"/>
      <c r="C723" s="14"/>
      <c r="D723" s="14"/>
      <c r="E723" s="14"/>
      <c r="F723" s="13" t="str">
        <f t="array" ref="F723">iferror(XLOOKUP(A723,'Download of SFDC Activation Rep'!B:B,'Download of SFDC Activation Rep'!H:H),"")</f>
        <v/>
      </c>
      <c r="G723" s="13" t="str">
        <f t="array" ref="G723">iferror(xlookup(A723,'Download of SFDC Activation Rep'!B:B,'Download of SFDC Activation Rep'!L:L),"")</f>
        <v/>
      </c>
      <c r="H723" s="17" t="str">
        <f t="shared" si="1"/>
        <v>Not Active</v>
      </c>
      <c r="I723" s="17" t="str">
        <f t="array" ref="I723">XLOOKUP(A723,'Download of SFDC Activation Rep'!B:B,'Download of SFDC Activation Rep'!T:T)</f>
        <v>#N/A</v>
      </c>
      <c r="J723" s="17" t="str">
        <f t="array" ref="J723">iferror(XLOOKUP(A723,'Download of SFDC Activation Rep'!B:B,'Download of SFDC Activation Rep'!C:C),"")</f>
        <v/>
      </c>
      <c r="K723" s="17" t="str">
        <f t="array" ref="K723">XLOOKUP(A723,'Download of SFDC Activation Rep'!B:B,'Download of SFDC Activation Rep'!X:X)</f>
        <v>#N/A</v>
      </c>
      <c r="L723" s="32" t="str">
        <f t="array" ref="L723">xlookup(A723,'Download of SFDC Activation Rep'!B:B,'Download of SFDC Activation Rep'!Z:Z)</f>
        <v>#N/A</v>
      </c>
    </row>
    <row r="724">
      <c r="B724" s="14"/>
      <c r="C724" s="14"/>
      <c r="D724" s="14"/>
      <c r="E724" s="14"/>
      <c r="F724" s="13" t="str">
        <f t="array" ref="F724">iferror(XLOOKUP(A724,'Download of SFDC Activation Rep'!B:B,'Download of SFDC Activation Rep'!H:H),"")</f>
        <v/>
      </c>
      <c r="G724" s="13" t="str">
        <f t="array" ref="G724">iferror(xlookup(A724,'Download of SFDC Activation Rep'!B:B,'Download of SFDC Activation Rep'!L:L),"")</f>
        <v/>
      </c>
      <c r="H724" s="17" t="str">
        <f t="shared" si="1"/>
        <v>Not Active</v>
      </c>
      <c r="I724" s="17" t="str">
        <f t="array" ref="I724">XLOOKUP(A724,'Download of SFDC Activation Rep'!B:B,'Download of SFDC Activation Rep'!T:T)</f>
        <v>#N/A</v>
      </c>
      <c r="J724" s="17" t="str">
        <f t="array" ref="J724">iferror(XLOOKUP(A724,'Download of SFDC Activation Rep'!B:B,'Download of SFDC Activation Rep'!C:C),"")</f>
        <v/>
      </c>
      <c r="K724" s="17" t="str">
        <f t="array" ref="K724">XLOOKUP(A724,'Download of SFDC Activation Rep'!B:B,'Download of SFDC Activation Rep'!X:X)</f>
        <v>#N/A</v>
      </c>
      <c r="L724" s="32" t="str">
        <f t="array" ref="L724">xlookup(A724,'Download of SFDC Activation Rep'!B:B,'Download of SFDC Activation Rep'!Z:Z)</f>
        <v>#N/A</v>
      </c>
    </row>
    <row r="725">
      <c r="B725" s="14"/>
      <c r="C725" s="14"/>
      <c r="D725" s="14"/>
      <c r="E725" s="14"/>
      <c r="F725" s="13" t="str">
        <f t="array" ref="F725">iferror(XLOOKUP(A725,'Download of SFDC Activation Rep'!B:B,'Download of SFDC Activation Rep'!H:H),"")</f>
        <v/>
      </c>
      <c r="G725" s="13" t="str">
        <f t="array" ref="G725">iferror(xlookup(A725,'Download of SFDC Activation Rep'!B:B,'Download of SFDC Activation Rep'!L:L),"")</f>
        <v/>
      </c>
      <c r="H725" s="17" t="str">
        <f t="shared" si="1"/>
        <v>Not Active</v>
      </c>
      <c r="I725" s="17" t="str">
        <f t="array" ref="I725">XLOOKUP(A725,'Download of SFDC Activation Rep'!B:B,'Download of SFDC Activation Rep'!T:T)</f>
        <v>#N/A</v>
      </c>
      <c r="J725" s="17" t="str">
        <f t="array" ref="J725">iferror(XLOOKUP(A725,'Download of SFDC Activation Rep'!B:B,'Download of SFDC Activation Rep'!C:C),"")</f>
        <v/>
      </c>
      <c r="K725" s="17" t="str">
        <f t="array" ref="K725">XLOOKUP(A725,'Download of SFDC Activation Rep'!B:B,'Download of SFDC Activation Rep'!X:X)</f>
        <v>#N/A</v>
      </c>
      <c r="L725" s="32" t="str">
        <f t="array" ref="L725">xlookup(A725,'Download of SFDC Activation Rep'!B:B,'Download of SFDC Activation Rep'!Z:Z)</f>
        <v>#N/A</v>
      </c>
    </row>
    <row r="726">
      <c r="B726" s="14"/>
      <c r="C726" s="14"/>
      <c r="D726" s="14"/>
      <c r="E726" s="14"/>
      <c r="F726" s="13" t="str">
        <f t="array" ref="F726">iferror(XLOOKUP(A726,'Download of SFDC Activation Rep'!B:B,'Download of SFDC Activation Rep'!H:H),"")</f>
        <v/>
      </c>
      <c r="G726" s="13" t="str">
        <f t="array" ref="G726">iferror(xlookup(A726,'Download of SFDC Activation Rep'!B:B,'Download of SFDC Activation Rep'!L:L),"")</f>
        <v/>
      </c>
      <c r="H726" s="17" t="str">
        <f t="shared" si="1"/>
        <v>Not Active</v>
      </c>
      <c r="I726" s="17" t="str">
        <f t="array" ref="I726">XLOOKUP(A726,'Download of SFDC Activation Rep'!B:B,'Download of SFDC Activation Rep'!T:T)</f>
        <v>#N/A</v>
      </c>
      <c r="J726" s="17" t="str">
        <f t="array" ref="J726">iferror(XLOOKUP(A726,'Download of SFDC Activation Rep'!B:B,'Download of SFDC Activation Rep'!C:C),"")</f>
        <v/>
      </c>
      <c r="K726" s="17" t="str">
        <f t="array" ref="K726">XLOOKUP(A726,'Download of SFDC Activation Rep'!B:B,'Download of SFDC Activation Rep'!X:X)</f>
        <v>#N/A</v>
      </c>
      <c r="L726" s="32" t="str">
        <f t="array" ref="L726">xlookup(A726,'Download of SFDC Activation Rep'!B:B,'Download of SFDC Activation Rep'!Z:Z)</f>
        <v>#N/A</v>
      </c>
    </row>
    <row r="727">
      <c r="B727" s="14"/>
      <c r="C727" s="14"/>
      <c r="D727" s="14"/>
      <c r="E727" s="14"/>
      <c r="F727" s="13" t="str">
        <f t="array" ref="F727">iferror(XLOOKUP(A727,'Download of SFDC Activation Rep'!B:B,'Download of SFDC Activation Rep'!H:H),"")</f>
        <v/>
      </c>
      <c r="G727" s="13" t="str">
        <f t="array" ref="G727">iferror(xlookup(A727,'Download of SFDC Activation Rep'!B:B,'Download of SFDC Activation Rep'!L:L),"")</f>
        <v/>
      </c>
      <c r="H727" s="17" t="str">
        <f t="shared" si="1"/>
        <v>Not Active</v>
      </c>
      <c r="I727" s="17" t="str">
        <f t="array" ref="I727">XLOOKUP(A727,'Download of SFDC Activation Rep'!B:B,'Download of SFDC Activation Rep'!T:T)</f>
        <v>#N/A</v>
      </c>
      <c r="J727" s="17" t="str">
        <f t="array" ref="J727">iferror(XLOOKUP(A727,'Download of SFDC Activation Rep'!B:B,'Download of SFDC Activation Rep'!C:C),"")</f>
        <v/>
      </c>
      <c r="K727" s="17" t="str">
        <f t="array" ref="K727">XLOOKUP(A727,'Download of SFDC Activation Rep'!B:B,'Download of SFDC Activation Rep'!X:X)</f>
        <v>#N/A</v>
      </c>
      <c r="L727" s="32" t="str">
        <f t="array" ref="L727">xlookup(A727,'Download of SFDC Activation Rep'!B:B,'Download of SFDC Activation Rep'!Z:Z)</f>
        <v>#N/A</v>
      </c>
    </row>
    <row r="728">
      <c r="B728" s="14"/>
      <c r="C728" s="14"/>
      <c r="D728" s="14"/>
      <c r="E728" s="14"/>
      <c r="F728" s="13" t="str">
        <f t="array" ref="F728">iferror(XLOOKUP(A728,'Download of SFDC Activation Rep'!B:B,'Download of SFDC Activation Rep'!H:H),"")</f>
        <v/>
      </c>
      <c r="G728" s="13" t="str">
        <f t="array" ref="G728">iferror(xlookup(A728,'Download of SFDC Activation Rep'!B:B,'Download of SFDC Activation Rep'!L:L),"")</f>
        <v/>
      </c>
      <c r="H728" s="17" t="str">
        <f t="shared" si="1"/>
        <v>Not Active</v>
      </c>
      <c r="I728" s="17" t="str">
        <f t="array" ref="I728">XLOOKUP(A728,'Download of SFDC Activation Rep'!B:B,'Download of SFDC Activation Rep'!T:T)</f>
        <v>#N/A</v>
      </c>
      <c r="J728" s="17" t="str">
        <f t="array" ref="J728">iferror(XLOOKUP(A728,'Download of SFDC Activation Rep'!B:B,'Download of SFDC Activation Rep'!C:C),"")</f>
        <v/>
      </c>
      <c r="K728" s="17" t="str">
        <f t="array" ref="K728">XLOOKUP(A728,'Download of SFDC Activation Rep'!B:B,'Download of SFDC Activation Rep'!X:X)</f>
        <v>#N/A</v>
      </c>
      <c r="L728" s="32" t="str">
        <f t="array" ref="L728">xlookup(A728,'Download of SFDC Activation Rep'!B:B,'Download of SFDC Activation Rep'!Z:Z)</f>
        <v>#N/A</v>
      </c>
    </row>
    <row r="729">
      <c r="B729" s="14"/>
      <c r="C729" s="14"/>
      <c r="D729" s="14"/>
      <c r="E729" s="14"/>
      <c r="F729" s="13" t="str">
        <f t="array" ref="F729">iferror(XLOOKUP(A729,'Download of SFDC Activation Rep'!B:B,'Download of SFDC Activation Rep'!H:H),"")</f>
        <v/>
      </c>
      <c r="G729" s="13" t="str">
        <f t="array" ref="G729">iferror(xlookup(A729,'Download of SFDC Activation Rep'!B:B,'Download of SFDC Activation Rep'!L:L),"")</f>
        <v/>
      </c>
      <c r="H729" s="17" t="str">
        <f t="shared" si="1"/>
        <v>Not Active</v>
      </c>
      <c r="I729" s="17" t="str">
        <f t="array" ref="I729">XLOOKUP(A729,'Download of SFDC Activation Rep'!B:B,'Download of SFDC Activation Rep'!T:T)</f>
        <v>#N/A</v>
      </c>
      <c r="J729" s="17" t="str">
        <f t="array" ref="J729">iferror(XLOOKUP(A729,'Download of SFDC Activation Rep'!B:B,'Download of SFDC Activation Rep'!C:C),"")</f>
        <v/>
      </c>
      <c r="K729" s="17" t="str">
        <f t="array" ref="K729">XLOOKUP(A729,'Download of SFDC Activation Rep'!B:B,'Download of SFDC Activation Rep'!X:X)</f>
        <v>#N/A</v>
      </c>
      <c r="L729" s="32" t="str">
        <f t="array" ref="L729">xlookup(A729,'Download of SFDC Activation Rep'!B:B,'Download of SFDC Activation Rep'!Z:Z)</f>
        <v>#N/A</v>
      </c>
    </row>
    <row r="730">
      <c r="B730" s="14"/>
      <c r="C730" s="14"/>
      <c r="D730" s="14"/>
      <c r="E730" s="14"/>
      <c r="F730" s="13" t="str">
        <f t="array" ref="F730">iferror(XLOOKUP(A730,'Download of SFDC Activation Rep'!B:B,'Download of SFDC Activation Rep'!H:H),"")</f>
        <v/>
      </c>
      <c r="G730" s="13" t="str">
        <f t="array" ref="G730">iferror(xlookup(A730,'Download of SFDC Activation Rep'!B:B,'Download of SFDC Activation Rep'!L:L),"")</f>
        <v/>
      </c>
      <c r="H730" s="17" t="str">
        <f t="shared" si="1"/>
        <v>Not Active</v>
      </c>
      <c r="I730" s="17" t="str">
        <f t="array" ref="I730">XLOOKUP(A730,'Download of SFDC Activation Rep'!B:B,'Download of SFDC Activation Rep'!T:T)</f>
        <v>#N/A</v>
      </c>
      <c r="J730" s="17" t="str">
        <f t="array" ref="J730">iferror(XLOOKUP(A730,'Download of SFDC Activation Rep'!B:B,'Download of SFDC Activation Rep'!C:C),"")</f>
        <v/>
      </c>
      <c r="K730" s="17" t="str">
        <f t="array" ref="K730">XLOOKUP(A730,'Download of SFDC Activation Rep'!B:B,'Download of SFDC Activation Rep'!X:X)</f>
        <v>#N/A</v>
      </c>
      <c r="L730" s="32" t="str">
        <f t="array" ref="L730">xlookup(A730,'Download of SFDC Activation Rep'!B:B,'Download of SFDC Activation Rep'!Z:Z)</f>
        <v>#N/A</v>
      </c>
    </row>
    <row r="731">
      <c r="B731" s="14"/>
      <c r="C731" s="14"/>
      <c r="D731" s="14"/>
      <c r="E731" s="14"/>
      <c r="F731" s="13" t="str">
        <f t="array" ref="F731">iferror(XLOOKUP(A731,'Download of SFDC Activation Rep'!B:B,'Download of SFDC Activation Rep'!H:H),"")</f>
        <v/>
      </c>
      <c r="G731" s="13" t="str">
        <f t="array" ref="G731">iferror(xlookup(A731,'Download of SFDC Activation Rep'!B:B,'Download of SFDC Activation Rep'!L:L),"")</f>
        <v/>
      </c>
      <c r="H731" s="17" t="str">
        <f t="shared" si="1"/>
        <v>Not Active</v>
      </c>
      <c r="I731" s="17" t="str">
        <f t="array" ref="I731">XLOOKUP(A731,'Download of SFDC Activation Rep'!B:B,'Download of SFDC Activation Rep'!T:T)</f>
        <v>#N/A</v>
      </c>
      <c r="J731" s="17" t="str">
        <f t="array" ref="J731">iferror(XLOOKUP(A731,'Download of SFDC Activation Rep'!B:B,'Download of SFDC Activation Rep'!C:C),"")</f>
        <v/>
      </c>
      <c r="K731" s="17" t="str">
        <f t="array" ref="K731">XLOOKUP(A731,'Download of SFDC Activation Rep'!B:B,'Download of SFDC Activation Rep'!X:X)</f>
        <v>#N/A</v>
      </c>
      <c r="L731" s="32" t="str">
        <f t="array" ref="L731">xlookup(A731,'Download of SFDC Activation Rep'!B:B,'Download of SFDC Activation Rep'!Z:Z)</f>
        <v>#N/A</v>
      </c>
    </row>
    <row r="732">
      <c r="B732" s="14"/>
      <c r="C732" s="14"/>
      <c r="D732" s="14"/>
      <c r="E732" s="14"/>
      <c r="F732" s="13" t="str">
        <f t="array" ref="F732">iferror(XLOOKUP(A732,'Download of SFDC Activation Rep'!B:B,'Download of SFDC Activation Rep'!H:H),"")</f>
        <v/>
      </c>
      <c r="G732" s="13" t="str">
        <f t="array" ref="G732">iferror(xlookup(A732,'Download of SFDC Activation Rep'!B:B,'Download of SFDC Activation Rep'!L:L),"")</f>
        <v/>
      </c>
      <c r="H732" s="17" t="str">
        <f t="shared" si="1"/>
        <v>Not Active</v>
      </c>
      <c r="I732" s="17" t="str">
        <f t="array" ref="I732">XLOOKUP(A732,'Download of SFDC Activation Rep'!B:B,'Download of SFDC Activation Rep'!T:T)</f>
        <v>#N/A</v>
      </c>
      <c r="J732" s="17" t="str">
        <f t="array" ref="J732">iferror(XLOOKUP(A732,'Download of SFDC Activation Rep'!B:B,'Download of SFDC Activation Rep'!C:C),"")</f>
        <v/>
      </c>
      <c r="K732" s="17" t="str">
        <f t="array" ref="K732">XLOOKUP(A732,'Download of SFDC Activation Rep'!B:B,'Download of SFDC Activation Rep'!X:X)</f>
        <v>#N/A</v>
      </c>
      <c r="L732" s="32" t="str">
        <f t="array" ref="L732">xlookup(A732,'Download of SFDC Activation Rep'!B:B,'Download of SFDC Activation Rep'!Z:Z)</f>
        <v>#N/A</v>
      </c>
    </row>
    <row r="733">
      <c r="B733" s="14"/>
      <c r="C733" s="14"/>
      <c r="D733" s="14"/>
      <c r="E733" s="14"/>
      <c r="F733" s="13" t="str">
        <f t="array" ref="F733">iferror(XLOOKUP(A733,'Download of SFDC Activation Rep'!B:B,'Download of SFDC Activation Rep'!H:H),"")</f>
        <v/>
      </c>
      <c r="G733" s="13" t="str">
        <f t="array" ref="G733">iferror(xlookup(A733,'Download of SFDC Activation Rep'!B:B,'Download of SFDC Activation Rep'!L:L),"")</f>
        <v/>
      </c>
      <c r="H733" s="17" t="str">
        <f t="shared" si="1"/>
        <v>Not Active</v>
      </c>
      <c r="I733" s="17" t="str">
        <f t="array" ref="I733">XLOOKUP(A733,'Download of SFDC Activation Rep'!B:B,'Download of SFDC Activation Rep'!T:T)</f>
        <v>#N/A</v>
      </c>
      <c r="J733" s="17" t="str">
        <f t="array" ref="J733">iferror(XLOOKUP(A733,'Download of SFDC Activation Rep'!B:B,'Download of SFDC Activation Rep'!C:C),"")</f>
        <v/>
      </c>
      <c r="K733" s="17" t="str">
        <f t="array" ref="K733">XLOOKUP(A733,'Download of SFDC Activation Rep'!B:B,'Download of SFDC Activation Rep'!X:X)</f>
        <v>#N/A</v>
      </c>
      <c r="L733" s="32" t="str">
        <f t="array" ref="L733">xlookup(A733,'Download of SFDC Activation Rep'!B:B,'Download of SFDC Activation Rep'!Z:Z)</f>
        <v>#N/A</v>
      </c>
    </row>
    <row r="734">
      <c r="B734" s="14"/>
      <c r="C734" s="14"/>
      <c r="D734" s="14"/>
      <c r="E734" s="14"/>
      <c r="F734" s="13" t="str">
        <f t="array" ref="F734">iferror(XLOOKUP(A734,'Download of SFDC Activation Rep'!B:B,'Download of SFDC Activation Rep'!H:H),"")</f>
        <v/>
      </c>
      <c r="G734" s="13" t="str">
        <f t="array" ref="G734">iferror(xlookup(A734,'Download of SFDC Activation Rep'!B:B,'Download of SFDC Activation Rep'!L:L),"")</f>
        <v/>
      </c>
      <c r="H734" s="17" t="str">
        <f t="shared" si="1"/>
        <v>Not Active</v>
      </c>
      <c r="I734" s="17" t="str">
        <f t="array" ref="I734">XLOOKUP(A734,'Download of SFDC Activation Rep'!B:B,'Download of SFDC Activation Rep'!T:T)</f>
        <v>#N/A</v>
      </c>
      <c r="J734" s="17" t="str">
        <f t="array" ref="J734">iferror(XLOOKUP(A734,'Download of SFDC Activation Rep'!B:B,'Download of SFDC Activation Rep'!C:C),"")</f>
        <v/>
      </c>
      <c r="K734" s="17" t="str">
        <f t="array" ref="K734">XLOOKUP(A734,'Download of SFDC Activation Rep'!B:B,'Download of SFDC Activation Rep'!X:X)</f>
        <v>#N/A</v>
      </c>
      <c r="L734" s="32" t="str">
        <f t="array" ref="L734">xlookup(A734,'Download of SFDC Activation Rep'!B:B,'Download of SFDC Activation Rep'!Z:Z)</f>
        <v>#N/A</v>
      </c>
    </row>
    <row r="735">
      <c r="B735" s="14"/>
      <c r="C735" s="14"/>
      <c r="D735" s="14"/>
      <c r="E735" s="14"/>
      <c r="F735" s="13" t="str">
        <f t="array" ref="F735">iferror(XLOOKUP(A735,'Download of SFDC Activation Rep'!B:B,'Download of SFDC Activation Rep'!H:H),"")</f>
        <v/>
      </c>
      <c r="G735" s="13" t="str">
        <f t="array" ref="G735">iferror(xlookup(A735,'Download of SFDC Activation Rep'!B:B,'Download of SFDC Activation Rep'!L:L),"")</f>
        <v/>
      </c>
      <c r="H735" s="17" t="str">
        <f t="shared" si="1"/>
        <v>Not Active</v>
      </c>
      <c r="I735" s="17" t="str">
        <f t="array" ref="I735">XLOOKUP(A735,'Download of SFDC Activation Rep'!B:B,'Download of SFDC Activation Rep'!T:T)</f>
        <v>#N/A</v>
      </c>
      <c r="J735" s="17" t="str">
        <f t="array" ref="J735">iferror(XLOOKUP(A735,'Download of SFDC Activation Rep'!B:B,'Download of SFDC Activation Rep'!C:C),"")</f>
        <v/>
      </c>
      <c r="K735" s="17" t="str">
        <f t="array" ref="K735">XLOOKUP(A735,'Download of SFDC Activation Rep'!B:B,'Download of SFDC Activation Rep'!X:X)</f>
        <v>#N/A</v>
      </c>
      <c r="L735" s="32" t="str">
        <f t="array" ref="L735">xlookup(A735,'Download of SFDC Activation Rep'!B:B,'Download of SFDC Activation Rep'!Z:Z)</f>
        <v>#N/A</v>
      </c>
    </row>
    <row r="736">
      <c r="B736" s="14"/>
      <c r="C736" s="14"/>
      <c r="D736" s="14"/>
      <c r="E736" s="14"/>
      <c r="F736" s="13" t="str">
        <f t="array" ref="F736">iferror(XLOOKUP(A736,'Download of SFDC Activation Rep'!B:B,'Download of SFDC Activation Rep'!H:H),"")</f>
        <v/>
      </c>
      <c r="G736" s="13" t="str">
        <f t="array" ref="G736">iferror(xlookup(A736,'Download of SFDC Activation Rep'!B:B,'Download of SFDC Activation Rep'!L:L),"")</f>
        <v/>
      </c>
      <c r="H736" s="17" t="str">
        <f t="shared" si="1"/>
        <v>Not Active</v>
      </c>
      <c r="I736" s="17" t="str">
        <f t="array" ref="I736">XLOOKUP(A736,'Download of SFDC Activation Rep'!B:B,'Download of SFDC Activation Rep'!T:T)</f>
        <v>#N/A</v>
      </c>
      <c r="J736" s="17" t="str">
        <f t="array" ref="J736">iferror(XLOOKUP(A736,'Download of SFDC Activation Rep'!B:B,'Download of SFDC Activation Rep'!C:C),"")</f>
        <v/>
      </c>
      <c r="K736" s="17" t="str">
        <f t="array" ref="K736">XLOOKUP(A736,'Download of SFDC Activation Rep'!B:B,'Download of SFDC Activation Rep'!X:X)</f>
        <v>#N/A</v>
      </c>
      <c r="L736" s="32" t="str">
        <f t="array" ref="L736">xlookup(A736,'Download of SFDC Activation Rep'!B:B,'Download of SFDC Activation Rep'!Z:Z)</f>
        <v>#N/A</v>
      </c>
    </row>
    <row r="737">
      <c r="B737" s="14"/>
      <c r="C737" s="14"/>
      <c r="D737" s="14"/>
      <c r="E737" s="14"/>
      <c r="F737" s="13" t="str">
        <f t="array" ref="F737">iferror(XLOOKUP(A737,'Download of SFDC Activation Rep'!B:B,'Download of SFDC Activation Rep'!H:H),"")</f>
        <v/>
      </c>
      <c r="G737" s="13" t="str">
        <f t="array" ref="G737">iferror(xlookup(A737,'Download of SFDC Activation Rep'!B:B,'Download of SFDC Activation Rep'!L:L),"")</f>
        <v/>
      </c>
      <c r="H737" s="17" t="str">
        <f t="shared" si="1"/>
        <v>Not Active</v>
      </c>
      <c r="I737" s="17" t="str">
        <f t="array" ref="I737">XLOOKUP(A737,'Download of SFDC Activation Rep'!B:B,'Download of SFDC Activation Rep'!T:T)</f>
        <v>#N/A</v>
      </c>
      <c r="J737" s="17" t="str">
        <f t="array" ref="J737">iferror(XLOOKUP(A737,'Download of SFDC Activation Rep'!B:B,'Download of SFDC Activation Rep'!C:C),"")</f>
        <v/>
      </c>
      <c r="K737" s="17" t="str">
        <f t="array" ref="K737">XLOOKUP(A737,'Download of SFDC Activation Rep'!B:B,'Download of SFDC Activation Rep'!X:X)</f>
        <v>#N/A</v>
      </c>
      <c r="L737" s="32" t="str">
        <f t="array" ref="L737">xlookup(A737,'Download of SFDC Activation Rep'!B:B,'Download of SFDC Activation Rep'!Z:Z)</f>
        <v>#N/A</v>
      </c>
    </row>
    <row r="738">
      <c r="B738" s="14"/>
      <c r="C738" s="14"/>
      <c r="D738" s="14"/>
      <c r="E738" s="14"/>
      <c r="F738" s="13" t="str">
        <f t="array" ref="F738">iferror(XLOOKUP(A738,'Download of SFDC Activation Rep'!B:B,'Download of SFDC Activation Rep'!H:H),"")</f>
        <v/>
      </c>
      <c r="G738" s="13" t="str">
        <f t="array" ref="G738">iferror(xlookup(A738,'Download of SFDC Activation Rep'!B:B,'Download of SFDC Activation Rep'!L:L),"")</f>
        <v/>
      </c>
      <c r="H738" s="17" t="str">
        <f t="shared" si="1"/>
        <v>Not Active</v>
      </c>
      <c r="I738" s="17" t="str">
        <f t="array" ref="I738">XLOOKUP(A738,'Download of SFDC Activation Rep'!B:B,'Download of SFDC Activation Rep'!T:T)</f>
        <v>#N/A</v>
      </c>
      <c r="J738" s="17" t="str">
        <f t="array" ref="J738">iferror(XLOOKUP(A738,'Download of SFDC Activation Rep'!B:B,'Download of SFDC Activation Rep'!C:C),"")</f>
        <v/>
      </c>
      <c r="K738" s="17" t="str">
        <f t="array" ref="K738">XLOOKUP(A738,'Download of SFDC Activation Rep'!B:B,'Download of SFDC Activation Rep'!X:X)</f>
        <v>#N/A</v>
      </c>
      <c r="L738" s="32" t="str">
        <f t="array" ref="L738">xlookup(A738,'Download of SFDC Activation Rep'!B:B,'Download of SFDC Activation Rep'!Z:Z)</f>
        <v>#N/A</v>
      </c>
    </row>
    <row r="739">
      <c r="B739" s="14"/>
      <c r="C739" s="14"/>
      <c r="D739" s="14"/>
      <c r="E739" s="14"/>
      <c r="F739" s="13" t="str">
        <f t="array" ref="F739">iferror(XLOOKUP(A739,'Download of SFDC Activation Rep'!B:B,'Download of SFDC Activation Rep'!H:H),"")</f>
        <v/>
      </c>
      <c r="G739" s="13" t="str">
        <f t="array" ref="G739">iferror(xlookup(A739,'Download of SFDC Activation Rep'!B:B,'Download of SFDC Activation Rep'!L:L),"")</f>
        <v/>
      </c>
      <c r="H739" s="17" t="str">
        <f t="shared" si="1"/>
        <v>Not Active</v>
      </c>
      <c r="I739" s="17" t="str">
        <f t="array" ref="I739">XLOOKUP(A739,'Download of SFDC Activation Rep'!B:B,'Download of SFDC Activation Rep'!T:T)</f>
        <v>#N/A</v>
      </c>
      <c r="J739" s="17" t="str">
        <f t="array" ref="J739">iferror(XLOOKUP(A739,'Download of SFDC Activation Rep'!B:B,'Download of SFDC Activation Rep'!C:C),"")</f>
        <v/>
      </c>
      <c r="K739" s="17" t="str">
        <f t="array" ref="K739">XLOOKUP(A739,'Download of SFDC Activation Rep'!B:B,'Download of SFDC Activation Rep'!X:X)</f>
        <v>#N/A</v>
      </c>
      <c r="L739" s="32" t="str">
        <f t="array" ref="L739">xlookup(A739,'Download of SFDC Activation Rep'!B:B,'Download of SFDC Activation Rep'!Z:Z)</f>
        <v>#N/A</v>
      </c>
    </row>
    <row r="740">
      <c r="B740" s="14"/>
      <c r="C740" s="14"/>
      <c r="D740" s="14"/>
      <c r="E740" s="14"/>
      <c r="F740" s="13" t="str">
        <f t="array" ref="F740">iferror(XLOOKUP(A740,'Download of SFDC Activation Rep'!B:B,'Download of SFDC Activation Rep'!H:H),"")</f>
        <v/>
      </c>
      <c r="G740" s="13" t="str">
        <f t="array" ref="G740">iferror(xlookup(A740,'Download of SFDC Activation Rep'!B:B,'Download of SFDC Activation Rep'!L:L),"")</f>
        <v/>
      </c>
      <c r="H740" s="17" t="str">
        <f t="shared" si="1"/>
        <v>Not Active</v>
      </c>
      <c r="I740" s="17" t="str">
        <f t="array" ref="I740">XLOOKUP(A740,'Download of SFDC Activation Rep'!B:B,'Download of SFDC Activation Rep'!T:T)</f>
        <v>#N/A</v>
      </c>
      <c r="J740" s="17" t="str">
        <f t="array" ref="J740">iferror(XLOOKUP(A740,'Download of SFDC Activation Rep'!B:B,'Download of SFDC Activation Rep'!C:C),"")</f>
        <v/>
      </c>
      <c r="K740" s="17" t="str">
        <f t="array" ref="K740">XLOOKUP(A740,'Download of SFDC Activation Rep'!B:B,'Download of SFDC Activation Rep'!X:X)</f>
        <v>#N/A</v>
      </c>
      <c r="L740" s="32" t="str">
        <f t="array" ref="L740">xlookup(A740,'Download of SFDC Activation Rep'!B:B,'Download of SFDC Activation Rep'!Z:Z)</f>
        <v>#N/A</v>
      </c>
    </row>
    <row r="741">
      <c r="B741" s="14"/>
      <c r="C741" s="14"/>
      <c r="D741" s="14"/>
      <c r="E741" s="14"/>
      <c r="F741" s="13" t="str">
        <f t="array" ref="F741">iferror(XLOOKUP(A741,'Download of SFDC Activation Rep'!B:B,'Download of SFDC Activation Rep'!H:H),"")</f>
        <v/>
      </c>
      <c r="G741" s="13" t="str">
        <f t="array" ref="G741">iferror(xlookup(A741,'Download of SFDC Activation Rep'!B:B,'Download of SFDC Activation Rep'!L:L),"")</f>
        <v/>
      </c>
      <c r="H741" s="17" t="str">
        <f t="shared" si="1"/>
        <v>Not Active</v>
      </c>
      <c r="I741" s="17" t="str">
        <f t="array" ref="I741">XLOOKUP(A741,'Download of SFDC Activation Rep'!B:B,'Download of SFDC Activation Rep'!T:T)</f>
        <v>#N/A</v>
      </c>
      <c r="J741" s="17" t="str">
        <f t="array" ref="J741">iferror(XLOOKUP(A741,'Download of SFDC Activation Rep'!B:B,'Download of SFDC Activation Rep'!C:C),"")</f>
        <v/>
      </c>
      <c r="K741" s="17" t="str">
        <f t="array" ref="K741">XLOOKUP(A741,'Download of SFDC Activation Rep'!B:B,'Download of SFDC Activation Rep'!X:X)</f>
        <v>#N/A</v>
      </c>
      <c r="L741" s="32" t="str">
        <f t="array" ref="L741">xlookup(A741,'Download of SFDC Activation Rep'!B:B,'Download of SFDC Activation Rep'!Z:Z)</f>
        <v>#N/A</v>
      </c>
    </row>
    <row r="742">
      <c r="B742" s="14"/>
      <c r="C742" s="14"/>
      <c r="D742" s="14"/>
      <c r="E742" s="14"/>
      <c r="F742" s="13" t="str">
        <f t="array" ref="F742">iferror(XLOOKUP(A742,'Download of SFDC Activation Rep'!B:B,'Download of SFDC Activation Rep'!H:H),"")</f>
        <v/>
      </c>
      <c r="G742" s="13" t="str">
        <f t="array" ref="G742">iferror(xlookup(A742,'Download of SFDC Activation Rep'!B:B,'Download of SFDC Activation Rep'!L:L),"")</f>
        <v/>
      </c>
      <c r="H742" s="17" t="str">
        <f t="shared" si="1"/>
        <v>Not Active</v>
      </c>
      <c r="I742" s="17" t="str">
        <f t="array" ref="I742">XLOOKUP(A742,'Download of SFDC Activation Rep'!B:B,'Download of SFDC Activation Rep'!T:T)</f>
        <v>#N/A</v>
      </c>
      <c r="J742" s="17" t="str">
        <f t="array" ref="J742">iferror(XLOOKUP(A742,'Download of SFDC Activation Rep'!B:B,'Download of SFDC Activation Rep'!C:C),"")</f>
        <v/>
      </c>
      <c r="K742" s="17" t="str">
        <f t="array" ref="K742">XLOOKUP(A742,'Download of SFDC Activation Rep'!B:B,'Download of SFDC Activation Rep'!X:X)</f>
        <v>#N/A</v>
      </c>
      <c r="L742" s="32" t="str">
        <f t="array" ref="L742">xlookup(A742,'Download of SFDC Activation Rep'!B:B,'Download of SFDC Activation Rep'!Z:Z)</f>
        <v>#N/A</v>
      </c>
    </row>
    <row r="743">
      <c r="B743" s="14"/>
      <c r="C743" s="14"/>
      <c r="D743" s="14"/>
      <c r="E743" s="14"/>
      <c r="F743" s="13" t="str">
        <f t="array" ref="F743">iferror(XLOOKUP(A743,'Download of SFDC Activation Rep'!B:B,'Download of SFDC Activation Rep'!H:H),"")</f>
        <v/>
      </c>
      <c r="G743" s="13" t="str">
        <f t="array" ref="G743">iferror(xlookup(A743,'Download of SFDC Activation Rep'!B:B,'Download of SFDC Activation Rep'!L:L),"")</f>
        <v/>
      </c>
      <c r="H743" s="17" t="str">
        <f t="shared" si="1"/>
        <v>Not Active</v>
      </c>
      <c r="I743" s="17" t="str">
        <f t="array" ref="I743">XLOOKUP(A743,'Download of SFDC Activation Rep'!B:B,'Download of SFDC Activation Rep'!T:T)</f>
        <v>#N/A</v>
      </c>
      <c r="J743" s="17" t="str">
        <f t="array" ref="J743">iferror(XLOOKUP(A743,'Download of SFDC Activation Rep'!B:B,'Download of SFDC Activation Rep'!C:C),"")</f>
        <v/>
      </c>
      <c r="K743" s="17" t="str">
        <f t="array" ref="K743">XLOOKUP(A743,'Download of SFDC Activation Rep'!B:B,'Download of SFDC Activation Rep'!X:X)</f>
        <v>#N/A</v>
      </c>
      <c r="L743" s="32" t="str">
        <f t="array" ref="L743">xlookup(A743,'Download of SFDC Activation Rep'!B:B,'Download of SFDC Activation Rep'!Z:Z)</f>
        <v>#N/A</v>
      </c>
    </row>
    <row r="744">
      <c r="B744" s="14"/>
      <c r="C744" s="14"/>
      <c r="D744" s="14"/>
      <c r="E744" s="14"/>
      <c r="F744" s="13" t="str">
        <f t="array" ref="F744">iferror(XLOOKUP(A744,'Download of SFDC Activation Rep'!B:B,'Download of SFDC Activation Rep'!H:H),"")</f>
        <v/>
      </c>
      <c r="G744" s="13" t="str">
        <f t="array" ref="G744">iferror(xlookup(A744,'Download of SFDC Activation Rep'!B:B,'Download of SFDC Activation Rep'!L:L),"")</f>
        <v/>
      </c>
      <c r="H744" s="17" t="str">
        <f t="shared" si="1"/>
        <v>Not Active</v>
      </c>
      <c r="I744" s="17" t="str">
        <f t="array" ref="I744">XLOOKUP(A744,'Download of SFDC Activation Rep'!B:B,'Download of SFDC Activation Rep'!T:T)</f>
        <v>#N/A</v>
      </c>
      <c r="J744" s="17" t="str">
        <f t="array" ref="J744">iferror(XLOOKUP(A744,'Download of SFDC Activation Rep'!B:B,'Download of SFDC Activation Rep'!C:C),"")</f>
        <v/>
      </c>
      <c r="K744" s="17" t="str">
        <f t="array" ref="K744">XLOOKUP(A744,'Download of SFDC Activation Rep'!B:B,'Download of SFDC Activation Rep'!X:X)</f>
        <v>#N/A</v>
      </c>
      <c r="L744" s="32" t="str">
        <f t="array" ref="L744">xlookup(A744,'Download of SFDC Activation Rep'!B:B,'Download of SFDC Activation Rep'!Z:Z)</f>
        <v>#N/A</v>
      </c>
    </row>
    <row r="745">
      <c r="B745" s="14"/>
      <c r="C745" s="14"/>
      <c r="D745" s="14"/>
      <c r="E745" s="14"/>
      <c r="F745" s="13" t="str">
        <f t="array" ref="F745">iferror(XLOOKUP(A745,'Download of SFDC Activation Rep'!B:B,'Download of SFDC Activation Rep'!H:H),"")</f>
        <v/>
      </c>
      <c r="G745" s="13" t="str">
        <f t="array" ref="G745">iferror(xlookup(A745,'Download of SFDC Activation Rep'!B:B,'Download of SFDC Activation Rep'!L:L),"")</f>
        <v/>
      </c>
      <c r="H745" s="17" t="str">
        <f t="shared" si="1"/>
        <v>Not Active</v>
      </c>
      <c r="I745" s="17" t="str">
        <f t="array" ref="I745">XLOOKUP(A745,'Download of SFDC Activation Rep'!B:B,'Download of SFDC Activation Rep'!T:T)</f>
        <v>#N/A</v>
      </c>
      <c r="J745" s="17" t="str">
        <f t="array" ref="J745">iferror(XLOOKUP(A745,'Download of SFDC Activation Rep'!B:B,'Download of SFDC Activation Rep'!C:C),"")</f>
        <v/>
      </c>
      <c r="K745" s="17" t="str">
        <f t="array" ref="K745">XLOOKUP(A745,'Download of SFDC Activation Rep'!B:B,'Download of SFDC Activation Rep'!X:X)</f>
        <v>#N/A</v>
      </c>
      <c r="L745" s="32" t="str">
        <f t="array" ref="L745">xlookup(A745,'Download of SFDC Activation Rep'!B:B,'Download of SFDC Activation Rep'!Z:Z)</f>
        <v>#N/A</v>
      </c>
    </row>
    <row r="746">
      <c r="B746" s="14"/>
      <c r="C746" s="14"/>
      <c r="D746" s="14"/>
      <c r="E746" s="14"/>
      <c r="F746" s="13" t="str">
        <f t="array" ref="F746">iferror(XLOOKUP(A746,'Download of SFDC Activation Rep'!B:B,'Download of SFDC Activation Rep'!H:H),"")</f>
        <v/>
      </c>
      <c r="G746" s="13" t="str">
        <f t="array" ref="G746">iferror(xlookup(A746,'Download of SFDC Activation Rep'!B:B,'Download of SFDC Activation Rep'!L:L),"")</f>
        <v/>
      </c>
      <c r="H746" s="17" t="str">
        <f t="shared" si="1"/>
        <v>Not Active</v>
      </c>
      <c r="I746" s="17" t="str">
        <f t="array" ref="I746">XLOOKUP(A746,'Download of SFDC Activation Rep'!B:B,'Download of SFDC Activation Rep'!T:T)</f>
        <v>#N/A</v>
      </c>
      <c r="J746" s="17" t="str">
        <f t="array" ref="J746">iferror(XLOOKUP(A746,'Download of SFDC Activation Rep'!B:B,'Download of SFDC Activation Rep'!C:C),"")</f>
        <v/>
      </c>
      <c r="K746" s="17" t="str">
        <f t="array" ref="K746">XLOOKUP(A746,'Download of SFDC Activation Rep'!B:B,'Download of SFDC Activation Rep'!X:X)</f>
        <v>#N/A</v>
      </c>
      <c r="L746" s="32" t="str">
        <f t="array" ref="L746">xlookup(A746,'Download of SFDC Activation Rep'!B:B,'Download of SFDC Activation Rep'!Z:Z)</f>
        <v>#N/A</v>
      </c>
    </row>
    <row r="747">
      <c r="B747" s="14"/>
      <c r="C747" s="14"/>
      <c r="D747" s="14"/>
      <c r="E747" s="14"/>
      <c r="F747" s="13" t="str">
        <f t="array" ref="F747">iferror(XLOOKUP(A747,'Download of SFDC Activation Rep'!B:B,'Download of SFDC Activation Rep'!H:H),"")</f>
        <v/>
      </c>
      <c r="G747" s="13" t="str">
        <f t="array" ref="G747">iferror(xlookup(A747,'Download of SFDC Activation Rep'!B:B,'Download of SFDC Activation Rep'!L:L),"")</f>
        <v/>
      </c>
      <c r="H747" s="17" t="str">
        <f t="shared" si="1"/>
        <v>Not Active</v>
      </c>
      <c r="I747" s="17" t="str">
        <f t="array" ref="I747">XLOOKUP(A747,'Download of SFDC Activation Rep'!B:B,'Download of SFDC Activation Rep'!T:T)</f>
        <v>#N/A</v>
      </c>
      <c r="J747" s="17" t="str">
        <f t="array" ref="J747">iferror(XLOOKUP(A747,'Download of SFDC Activation Rep'!B:B,'Download of SFDC Activation Rep'!C:C),"")</f>
        <v/>
      </c>
      <c r="K747" s="17" t="str">
        <f t="array" ref="K747">XLOOKUP(A747,'Download of SFDC Activation Rep'!B:B,'Download of SFDC Activation Rep'!X:X)</f>
        <v>#N/A</v>
      </c>
      <c r="L747" s="32" t="str">
        <f t="array" ref="L747">xlookup(A747,'Download of SFDC Activation Rep'!B:B,'Download of SFDC Activation Rep'!Z:Z)</f>
        <v>#N/A</v>
      </c>
    </row>
    <row r="748">
      <c r="B748" s="14"/>
      <c r="C748" s="14"/>
      <c r="D748" s="14"/>
      <c r="E748" s="14"/>
      <c r="F748" s="13" t="str">
        <f t="array" ref="F748">iferror(XLOOKUP(A748,'Download of SFDC Activation Rep'!B:B,'Download of SFDC Activation Rep'!H:H),"")</f>
        <v/>
      </c>
      <c r="G748" s="13" t="str">
        <f t="array" ref="G748">iferror(xlookup(A748,'Download of SFDC Activation Rep'!B:B,'Download of SFDC Activation Rep'!L:L),"")</f>
        <v/>
      </c>
      <c r="H748" s="17" t="str">
        <f t="shared" si="1"/>
        <v>Not Active</v>
      </c>
      <c r="I748" s="17" t="str">
        <f t="array" ref="I748">XLOOKUP(A748,'Download of SFDC Activation Rep'!B:B,'Download of SFDC Activation Rep'!T:T)</f>
        <v>#N/A</v>
      </c>
      <c r="J748" s="17" t="str">
        <f t="array" ref="J748">iferror(XLOOKUP(A748,'Download of SFDC Activation Rep'!B:B,'Download of SFDC Activation Rep'!C:C),"")</f>
        <v/>
      </c>
      <c r="K748" s="17" t="str">
        <f t="array" ref="K748">XLOOKUP(A748,'Download of SFDC Activation Rep'!B:B,'Download of SFDC Activation Rep'!X:X)</f>
        <v>#N/A</v>
      </c>
      <c r="L748" s="32" t="str">
        <f t="array" ref="L748">xlookup(A748,'Download of SFDC Activation Rep'!B:B,'Download of SFDC Activation Rep'!Z:Z)</f>
        <v>#N/A</v>
      </c>
    </row>
    <row r="749">
      <c r="B749" s="14"/>
      <c r="C749" s="14"/>
      <c r="D749" s="14"/>
      <c r="E749" s="14"/>
      <c r="F749" s="13" t="str">
        <f t="array" ref="F749">iferror(XLOOKUP(A749,'Download of SFDC Activation Rep'!B:B,'Download of SFDC Activation Rep'!H:H),"")</f>
        <v/>
      </c>
      <c r="G749" s="13" t="str">
        <f t="array" ref="G749">iferror(xlookup(A749,'Download of SFDC Activation Rep'!B:B,'Download of SFDC Activation Rep'!L:L),"")</f>
        <v/>
      </c>
      <c r="H749" s="17" t="str">
        <f t="shared" si="1"/>
        <v>Not Active</v>
      </c>
      <c r="I749" s="17" t="str">
        <f t="array" ref="I749">XLOOKUP(A749,'Download of SFDC Activation Rep'!B:B,'Download of SFDC Activation Rep'!T:T)</f>
        <v>#N/A</v>
      </c>
      <c r="J749" s="17" t="str">
        <f t="array" ref="J749">iferror(XLOOKUP(A749,'Download of SFDC Activation Rep'!B:B,'Download of SFDC Activation Rep'!C:C),"")</f>
        <v/>
      </c>
      <c r="K749" s="17" t="str">
        <f t="array" ref="K749">XLOOKUP(A749,'Download of SFDC Activation Rep'!B:B,'Download of SFDC Activation Rep'!X:X)</f>
        <v>#N/A</v>
      </c>
      <c r="L749" s="32" t="str">
        <f t="array" ref="L749">xlookup(A749,'Download of SFDC Activation Rep'!B:B,'Download of SFDC Activation Rep'!Z:Z)</f>
        <v>#N/A</v>
      </c>
    </row>
    <row r="750">
      <c r="B750" s="14"/>
      <c r="C750" s="14"/>
      <c r="D750" s="14"/>
      <c r="E750" s="14"/>
      <c r="F750" s="13" t="str">
        <f t="array" ref="F750">iferror(XLOOKUP(A750,'Download of SFDC Activation Rep'!B:B,'Download of SFDC Activation Rep'!H:H),"")</f>
        <v/>
      </c>
      <c r="G750" s="13" t="str">
        <f t="array" ref="G750">iferror(xlookup(A750,'Download of SFDC Activation Rep'!B:B,'Download of SFDC Activation Rep'!L:L),"")</f>
        <v/>
      </c>
      <c r="H750" s="17" t="str">
        <f t="shared" si="1"/>
        <v>Not Active</v>
      </c>
      <c r="I750" s="17" t="str">
        <f t="array" ref="I750">XLOOKUP(A750,'Download of SFDC Activation Rep'!B:B,'Download of SFDC Activation Rep'!T:T)</f>
        <v>#N/A</v>
      </c>
      <c r="J750" s="17" t="str">
        <f t="array" ref="J750">iferror(XLOOKUP(A750,'Download of SFDC Activation Rep'!B:B,'Download of SFDC Activation Rep'!C:C),"")</f>
        <v/>
      </c>
      <c r="K750" s="17" t="str">
        <f t="array" ref="K750">XLOOKUP(A750,'Download of SFDC Activation Rep'!B:B,'Download of SFDC Activation Rep'!X:X)</f>
        <v>#N/A</v>
      </c>
      <c r="L750" s="32" t="str">
        <f t="array" ref="L750">xlookup(A750,'Download of SFDC Activation Rep'!B:B,'Download of SFDC Activation Rep'!Z:Z)</f>
        <v>#N/A</v>
      </c>
    </row>
    <row r="751">
      <c r="B751" s="14"/>
      <c r="C751" s="14"/>
      <c r="D751" s="14"/>
      <c r="E751" s="14"/>
      <c r="F751" s="13" t="str">
        <f t="array" ref="F751">iferror(XLOOKUP(A751,'Download of SFDC Activation Rep'!B:B,'Download of SFDC Activation Rep'!H:H),"")</f>
        <v/>
      </c>
      <c r="G751" s="13" t="str">
        <f t="array" ref="G751">iferror(xlookup(A751,'Download of SFDC Activation Rep'!B:B,'Download of SFDC Activation Rep'!L:L),"")</f>
        <v/>
      </c>
      <c r="H751" s="17" t="str">
        <f t="shared" si="1"/>
        <v>Not Active</v>
      </c>
      <c r="I751" s="17" t="str">
        <f t="array" ref="I751">XLOOKUP(A751,'Download of SFDC Activation Rep'!B:B,'Download of SFDC Activation Rep'!T:T)</f>
        <v>#N/A</v>
      </c>
      <c r="J751" s="17" t="str">
        <f t="array" ref="J751">iferror(XLOOKUP(A751,'Download of SFDC Activation Rep'!B:B,'Download of SFDC Activation Rep'!C:C),"")</f>
        <v/>
      </c>
      <c r="K751" s="17" t="str">
        <f t="array" ref="K751">XLOOKUP(A751,'Download of SFDC Activation Rep'!B:B,'Download of SFDC Activation Rep'!X:X)</f>
        <v>#N/A</v>
      </c>
      <c r="L751" s="32" t="str">
        <f t="array" ref="L751">xlookup(A751,'Download of SFDC Activation Rep'!B:B,'Download of SFDC Activation Rep'!Z:Z)</f>
        <v>#N/A</v>
      </c>
    </row>
    <row r="752">
      <c r="B752" s="14"/>
      <c r="C752" s="14"/>
      <c r="D752" s="14"/>
      <c r="E752" s="14"/>
      <c r="F752" s="13" t="str">
        <f t="array" ref="F752">iferror(XLOOKUP(A752,'Download of SFDC Activation Rep'!B:B,'Download of SFDC Activation Rep'!H:H),"")</f>
        <v/>
      </c>
      <c r="G752" s="13" t="str">
        <f t="array" ref="G752">iferror(xlookup(A752,'Download of SFDC Activation Rep'!B:B,'Download of SFDC Activation Rep'!L:L),"")</f>
        <v/>
      </c>
      <c r="H752" s="17" t="str">
        <f t="shared" si="1"/>
        <v>Not Active</v>
      </c>
      <c r="I752" s="17" t="str">
        <f t="array" ref="I752">XLOOKUP(A752,'Download of SFDC Activation Rep'!B:B,'Download of SFDC Activation Rep'!T:T)</f>
        <v>#N/A</v>
      </c>
      <c r="J752" s="17" t="str">
        <f t="array" ref="J752">iferror(XLOOKUP(A752,'Download of SFDC Activation Rep'!B:B,'Download of SFDC Activation Rep'!C:C),"")</f>
        <v/>
      </c>
      <c r="K752" s="17" t="str">
        <f t="array" ref="K752">XLOOKUP(A752,'Download of SFDC Activation Rep'!B:B,'Download of SFDC Activation Rep'!X:X)</f>
        <v>#N/A</v>
      </c>
      <c r="L752" s="32" t="str">
        <f t="array" ref="L752">xlookup(A752,'Download of SFDC Activation Rep'!B:B,'Download of SFDC Activation Rep'!Z:Z)</f>
        <v>#N/A</v>
      </c>
    </row>
    <row r="753">
      <c r="B753" s="14"/>
      <c r="C753" s="14"/>
      <c r="D753" s="14"/>
      <c r="E753" s="14"/>
      <c r="F753" s="13" t="str">
        <f t="array" ref="F753">iferror(XLOOKUP(A753,'Download of SFDC Activation Rep'!B:B,'Download of SFDC Activation Rep'!H:H),"")</f>
        <v/>
      </c>
      <c r="G753" s="13" t="str">
        <f t="array" ref="G753">iferror(xlookup(A753,'Download of SFDC Activation Rep'!B:B,'Download of SFDC Activation Rep'!L:L),"")</f>
        <v/>
      </c>
      <c r="H753" s="17" t="str">
        <f t="shared" si="1"/>
        <v>Not Active</v>
      </c>
      <c r="I753" s="17" t="str">
        <f t="array" ref="I753">XLOOKUP(A753,'Download of SFDC Activation Rep'!B:B,'Download of SFDC Activation Rep'!T:T)</f>
        <v>#N/A</v>
      </c>
      <c r="J753" s="17" t="str">
        <f t="array" ref="J753">iferror(XLOOKUP(A753,'Download of SFDC Activation Rep'!B:B,'Download of SFDC Activation Rep'!C:C),"")</f>
        <v/>
      </c>
      <c r="K753" s="17" t="str">
        <f t="array" ref="K753">XLOOKUP(A753,'Download of SFDC Activation Rep'!B:B,'Download of SFDC Activation Rep'!X:X)</f>
        <v>#N/A</v>
      </c>
      <c r="L753" s="32" t="str">
        <f t="array" ref="L753">xlookup(A753,'Download of SFDC Activation Rep'!B:B,'Download of SFDC Activation Rep'!Z:Z)</f>
        <v>#N/A</v>
      </c>
    </row>
    <row r="754">
      <c r="B754" s="14"/>
      <c r="C754" s="14"/>
      <c r="D754" s="14"/>
      <c r="E754" s="14"/>
      <c r="F754" s="13" t="str">
        <f t="array" ref="F754">iferror(XLOOKUP(A754,'Download of SFDC Activation Rep'!B:B,'Download of SFDC Activation Rep'!H:H),"")</f>
        <v/>
      </c>
      <c r="G754" s="13" t="str">
        <f t="array" ref="G754">iferror(xlookup(A754,'Download of SFDC Activation Rep'!B:B,'Download of SFDC Activation Rep'!L:L),"")</f>
        <v/>
      </c>
      <c r="H754" s="17" t="str">
        <f t="shared" si="1"/>
        <v>Not Active</v>
      </c>
      <c r="I754" s="17" t="str">
        <f t="array" ref="I754">XLOOKUP(A754,'Download of SFDC Activation Rep'!B:B,'Download of SFDC Activation Rep'!T:T)</f>
        <v>#N/A</v>
      </c>
      <c r="J754" s="17" t="str">
        <f t="array" ref="J754">iferror(XLOOKUP(A754,'Download of SFDC Activation Rep'!B:B,'Download of SFDC Activation Rep'!C:C),"")</f>
        <v/>
      </c>
      <c r="K754" s="17" t="str">
        <f t="array" ref="K754">XLOOKUP(A754,'Download of SFDC Activation Rep'!B:B,'Download of SFDC Activation Rep'!X:X)</f>
        <v>#N/A</v>
      </c>
      <c r="L754" s="32" t="str">
        <f t="array" ref="L754">xlookup(A754,'Download of SFDC Activation Rep'!B:B,'Download of SFDC Activation Rep'!Z:Z)</f>
        <v>#N/A</v>
      </c>
    </row>
    <row r="755">
      <c r="B755" s="14"/>
      <c r="C755" s="14"/>
      <c r="D755" s="14"/>
      <c r="E755" s="14"/>
      <c r="F755" s="13" t="str">
        <f t="array" ref="F755">iferror(XLOOKUP(A755,'Download of SFDC Activation Rep'!B:B,'Download of SFDC Activation Rep'!H:H),"")</f>
        <v/>
      </c>
      <c r="G755" s="13" t="str">
        <f t="array" ref="G755">iferror(xlookup(A755,'Download of SFDC Activation Rep'!B:B,'Download of SFDC Activation Rep'!L:L),"")</f>
        <v/>
      </c>
      <c r="H755" s="17" t="str">
        <f t="shared" si="1"/>
        <v>Not Active</v>
      </c>
      <c r="I755" s="17" t="str">
        <f t="array" ref="I755">XLOOKUP(A755,'Download of SFDC Activation Rep'!B:B,'Download of SFDC Activation Rep'!T:T)</f>
        <v>#N/A</v>
      </c>
      <c r="J755" s="17" t="str">
        <f t="array" ref="J755">iferror(XLOOKUP(A755,'Download of SFDC Activation Rep'!B:B,'Download of SFDC Activation Rep'!C:C),"")</f>
        <v/>
      </c>
      <c r="K755" s="17" t="str">
        <f t="array" ref="K755">XLOOKUP(A755,'Download of SFDC Activation Rep'!B:B,'Download of SFDC Activation Rep'!X:X)</f>
        <v>#N/A</v>
      </c>
      <c r="L755" s="32" t="str">
        <f t="array" ref="L755">xlookup(A755,'Download of SFDC Activation Rep'!B:B,'Download of SFDC Activation Rep'!Z:Z)</f>
        <v>#N/A</v>
      </c>
    </row>
    <row r="756">
      <c r="B756" s="14"/>
      <c r="C756" s="14"/>
      <c r="D756" s="14"/>
      <c r="E756" s="14"/>
      <c r="F756" s="13" t="str">
        <f t="array" ref="F756">iferror(XLOOKUP(A756,'Download of SFDC Activation Rep'!B:B,'Download of SFDC Activation Rep'!H:H),"")</f>
        <v/>
      </c>
      <c r="G756" s="13" t="str">
        <f t="array" ref="G756">iferror(xlookup(A756,'Download of SFDC Activation Rep'!B:B,'Download of SFDC Activation Rep'!L:L),"")</f>
        <v/>
      </c>
      <c r="H756" s="17" t="str">
        <f t="shared" si="1"/>
        <v>Not Active</v>
      </c>
      <c r="I756" s="17" t="str">
        <f t="array" ref="I756">XLOOKUP(A756,'Download of SFDC Activation Rep'!B:B,'Download of SFDC Activation Rep'!T:T)</f>
        <v>#N/A</v>
      </c>
      <c r="J756" s="17" t="str">
        <f t="array" ref="J756">iferror(XLOOKUP(A756,'Download of SFDC Activation Rep'!B:B,'Download of SFDC Activation Rep'!C:C),"")</f>
        <v/>
      </c>
      <c r="K756" s="17" t="str">
        <f t="array" ref="K756">XLOOKUP(A756,'Download of SFDC Activation Rep'!B:B,'Download of SFDC Activation Rep'!X:X)</f>
        <v>#N/A</v>
      </c>
      <c r="L756" s="32" t="str">
        <f t="array" ref="L756">xlookup(A756,'Download of SFDC Activation Rep'!B:B,'Download of SFDC Activation Rep'!Z:Z)</f>
        <v>#N/A</v>
      </c>
    </row>
    <row r="757">
      <c r="B757" s="14"/>
      <c r="C757" s="14"/>
      <c r="D757" s="14"/>
      <c r="E757" s="14"/>
      <c r="F757" s="13" t="str">
        <f t="array" ref="F757">iferror(XLOOKUP(A757,'Download of SFDC Activation Rep'!B:B,'Download of SFDC Activation Rep'!H:H),"")</f>
        <v/>
      </c>
      <c r="G757" s="13" t="str">
        <f t="array" ref="G757">iferror(xlookup(A757,'Download of SFDC Activation Rep'!B:B,'Download of SFDC Activation Rep'!L:L),"")</f>
        <v/>
      </c>
      <c r="H757" s="17" t="str">
        <f t="shared" si="1"/>
        <v>Not Active</v>
      </c>
      <c r="I757" s="17" t="str">
        <f t="array" ref="I757">XLOOKUP(A757,'Download of SFDC Activation Rep'!B:B,'Download of SFDC Activation Rep'!T:T)</f>
        <v>#N/A</v>
      </c>
      <c r="J757" s="17" t="str">
        <f t="array" ref="J757">iferror(XLOOKUP(A757,'Download of SFDC Activation Rep'!B:B,'Download of SFDC Activation Rep'!C:C),"")</f>
        <v/>
      </c>
      <c r="K757" s="17" t="str">
        <f t="array" ref="K757">XLOOKUP(A757,'Download of SFDC Activation Rep'!B:B,'Download of SFDC Activation Rep'!X:X)</f>
        <v>#N/A</v>
      </c>
      <c r="L757" s="32" t="str">
        <f t="array" ref="L757">xlookup(A757,'Download of SFDC Activation Rep'!B:B,'Download of SFDC Activation Rep'!Z:Z)</f>
        <v>#N/A</v>
      </c>
    </row>
    <row r="758">
      <c r="B758" s="14"/>
      <c r="C758" s="14"/>
      <c r="D758" s="14"/>
      <c r="E758" s="14"/>
      <c r="F758" s="13" t="str">
        <f t="array" ref="F758">iferror(XLOOKUP(A758,'Download of SFDC Activation Rep'!B:B,'Download of SFDC Activation Rep'!H:H),"")</f>
        <v/>
      </c>
      <c r="G758" s="13" t="str">
        <f t="array" ref="G758">iferror(xlookup(A758,'Download of SFDC Activation Rep'!B:B,'Download of SFDC Activation Rep'!L:L),"")</f>
        <v/>
      </c>
      <c r="H758" s="17" t="str">
        <f t="shared" si="1"/>
        <v>Not Active</v>
      </c>
      <c r="I758" s="17" t="str">
        <f t="array" ref="I758">XLOOKUP(A758,'Download of SFDC Activation Rep'!B:B,'Download of SFDC Activation Rep'!T:T)</f>
        <v>#N/A</v>
      </c>
      <c r="J758" s="17" t="str">
        <f t="array" ref="J758">iferror(XLOOKUP(A758,'Download of SFDC Activation Rep'!B:B,'Download of SFDC Activation Rep'!C:C),"")</f>
        <v/>
      </c>
      <c r="K758" s="17" t="str">
        <f t="array" ref="K758">XLOOKUP(A758,'Download of SFDC Activation Rep'!B:B,'Download of SFDC Activation Rep'!X:X)</f>
        <v>#N/A</v>
      </c>
      <c r="L758" s="32" t="str">
        <f t="array" ref="L758">xlookup(A758,'Download of SFDC Activation Rep'!B:B,'Download of SFDC Activation Rep'!Z:Z)</f>
        <v>#N/A</v>
      </c>
    </row>
    <row r="759">
      <c r="B759" s="14"/>
      <c r="C759" s="14"/>
      <c r="D759" s="14"/>
      <c r="E759" s="14"/>
      <c r="F759" s="13" t="str">
        <f t="array" ref="F759">iferror(XLOOKUP(A759,'Download of SFDC Activation Rep'!B:B,'Download of SFDC Activation Rep'!H:H),"")</f>
        <v/>
      </c>
      <c r="G759" s="13" t="str">
        <f t="array" ref="G759">iferror(xlookup(A759,'Download of SFDC Activation Rep'!B:B,'Download of SFDC Activation Rep'!L:L),"")</f>
        <v/>
      </c>
      <c r="H759" s="17" t="str">
        <f t="shared" si="1"/>
        <v>Not Active</v>
      </c>
      <c r="I759" s="17" t="str">
        <f t="array" ref="I759">XLOOKUP(A759,'Download of SFDC Activation Rep'!B:B,'Download of SFDC Activation Rep'!T:T)</f>
        <v>#N/A</v>
      </c>
      <c r="J759" s="17" t="str">
        <f t="array" ref="J759">iferror(XLOOKUP(A759,'Download of SFDC Activation Rep'!B:B,'Download of SFDC Activation Rep'!C:C),"")</f>
        <v/>
      </c>
      <c r="K759" s="17" t="str">
        <f t="array" ref="K759">XLOOKUP(A759,'Download of SFDC Activation Rep'!B:B,'Download of SFDC Activation Rep'!X:X)</f>
        <v>#N/A</v>
      </c>
      <c r="L759" s="32" t="str">
        <f t="array" ref="L759">xlookup(A759,'Download of SFDC Activation Rep'!B:B,'Download of SFDC Activation Rep'!Z:Z)</f>
        <v>#N/A</v>
      </c>
    </row>
    <row r="760">
      <c r="B760" s="14"/>
      <c r="C760" s="14"/>
      <c r="D760" s="14"/>
      <c r="E760" s="14"/>
      <c r="F760" s="13" t="str">
        <f t="array" ref="F760">iferror(XLOOKUP(A760,'Download of SFDC Activation Rep'!B:B,'Download of SFDC Activation Rep'!H:H),"")</f>
        <v/>
      </c>
      <c r="G760" s="13" t="str">
        <f t="array" ref="G760">iferror(xlookup(A760,'Download of SFDC Activation Rep'!B:B,'Download of SFDC Activation Rep'!L:L),"")</f>
        <v/>
      </c>
      <c r="H760" s="17" t="str">
        <f t="shared" si="1"/>
        <v>Not Active</v>
      </c>
      <c r="I760" s="17" t="str">
        <f t="array" ref="I760">XLOOKUP(A760,'Download of SFDC Activation Rep'!B:B,'Download of SFDC Activation Rep'!T:T)</f>
        <v>#N/A</v>
      </c>
      <c r="J760" s="17" t="str">
        <f t="array" ref="J760">iferror(XLOOKUP(A760,'Download of SFDC Activation Rep'!B:B,'Download of SFDC Activation Rep'!C:C),"")</f>
        <v/>
      </c>
      <c r="K760" s="17" t="str">
        <f t="array" ref="K760">XLOOKUP(A760,'Download of SFDC Activation Rep'!B:B,'Download of SFDC Activation Rep'!X:X)</f>
        <v>#N/A</v>
      </c>
      <c r="L760" s="32" t="str">
        <f t="array" ref="L760">xlookup(A760,'Download of SFDC Activation Rep'!B:B,'Download of SFDC Activation Rep'!Z:Z)</f>
        <v>#N/A</v>
      </c>
    </row>
    <row r="761">
      <c r="B761" s="14"/>
      <c r="C761" s="14"/>
      <c r="D761" s="14"/>
      <c r="E761" s="14"/>
      <c r="F761" s="13" t="str">
        <f t="array" ref="F761">iferror(XLOOKUP(A761,'Download of SFDC Activation Rep'!B:B,'Download of SFDC Activation Rep'!H:H),"")</f>
        <v/>
      </c>
      <c r="G761" s="13" t="str">
        <f t="array" ref="G761">iferror(xlookup(A761,'Download of SFDC Activation Rep'!B:B,'Download of SFDC Activation Rep'!L:L),"")</f>
        <v/>
      </c>
      <c r="H761" s="17" t="str">
        <f t="shared" si="1"/>
        <v>Not Active</v>
      </c>
      <c r="I761" s="17" t="str">
        <f t="array" ref="I761">XLOOKUP(A761,'Download of SFDC Activation Rep'!B:B,'Download of SFDC Activation Rep'!T:T)</f>
        <v>#N/A</v>
      </c>
      <c r="J761" s="17" t="str">
        <f t="array" ref="J761">iferror(XLOOKUP(A761,'Download of SFDC Activation Rep'!B:B,'Download of SFDC Activation Rep'!C:C),"")</f>
        <v/>
      </c>
      <c r="K761" s="17" t="str">
        <f t="array" ref="K761">XLOOKUP(A761,'Download of SFDC Activation Rep'!B:B,'Download of SFDC Activation Rep'!X:X)</f>
        <v>#N/A</v>
      </c>
      <c r="L761" s="32" t="str">
        <f t="array" ref="L761">xlookup(A761,'Download of SFDC Activation Rep'!B:B,'Download of SFDC Activation Rep'!Z:Z)</f>
        <v>#N/A</v>
      </c>
    </row>
    <row r="762">
      <c r="B762" s="14"/>
      <c r="C762" s="14"/>
      <c r="D762" s="14"/>
      <c r="E762" s="14"/>
      <c r="F762" s="13" t="str">
        <f t="array" ref="F762">iferror(XLOOKUP(A762,'Download of SFDC Activation Rep'!B:B,'Download of SFDC Activation Rep'!H:H),"")</f>
        <v/>
      </c>
      <c r="G762" s="13" t="str">
        <f t="array" ref="G762">iferror(xlookup(A762,'Download of SFDC Activation Rep'!B:B,'Download of SFDC Activation Rep'!L:L),"")</f>
        <v/>
      </c>
      <c r="H762" s="17" t="str">
        <f t="shared" si="1"/>
        <v>Not Active</v>
      </c>
      <c r="I762" s="17" t="str">
        <f t="array" ref="I762">XLOOKUP(A762,'Download of SFDC Activation Rep'!B:B,'Download of SFDC Activation Rep'!T:T)</f>
        <v>#N/A</v>
      </c>
      <c r="J762" s="17" t="str">
        <f t="array" ref="J762">iferror(XLOOKUP(A762,'Download of SFDC Activation Rep'!B:B,'Download of SFDC Activation Rep'!C:C),"")</f>
        <v/>
      </c>
      <c r="K762" s="17" t="str">
        <f t="array" ref="K762">XLOOKUP(A762,'Download of SFDC Activation Rep'!B:B,'Download of SFDC Activation Rep'!X:X)</f>
        <v>#N/A</v>
      </c>
      <c r="L762" s="32" t="str">
        <f t="array" ref="L762">xlookup(A762,'Download of SFDC Activation Rep'!B:B,'Download of SFDC Activation Rep'!Z:Z)</f>
        <v>#N/A</v>
      </c>
    </row>
    <row r="763">
      <c r="B763" s="14"/>
      <c r="C763" s="14"/>
      <c r="D763" s="14"/>
      <c r="E763" s="14"/>
      <c r="F763" s="13" t="str">
        <f t="array" ref="F763">iferror(XLOOKUP(A763,'Download of SFDC Activation Rep'!B:B,'Download of SFDC Activation Rep'!H:H),"")</f>
        <v/>
      </c>
      <c r="G763" s="13" t="str">
        <f t="array" ref="G763">iferror(xlookup(A763,'Download of SFDC Activation Rep'!B:B,'Download of SFDC Activation Rep'!L:L),"")</f>
        <v/>
      </c>
      <c r="H763" s="17" t="str">
        <f t="shared" si="1"/>
        <v>Not Active</v>
      </c>
      <c r="I763" s="17" t="str">
        <f t="array" ref="I763">XLOOKUP(A763,'Download of SFDC Activation Rep'!B:B,'Download of SFDC Activation Rep'!T:T)</f>
        <v>#N/A</v>
      </c>
      <c r="J763" s="17" t="str">
        <f t="array" ref="J763">iferror(XLOOKUP(A763,'Download of SFDC Activation Rep'!B:B,'Download of SFDC Activation Rep'!C:C),"")</f>
        <v/>
      </c>
      <c r="K763" s="17" t="str">
        <f t="array" ref="K763">XLOOKUP(A763,'Download of SFDC Activation Rep'!B:B,'Download of SFDC Activation Rep'!X:X)</f>
        <v>#N/A</v>
      </c>
      <c r="L763" s="32" t="str">
        <f t="array" ref="L763">xlookup(A763,'Download of SFDC Activation Rep'!B:B,'Download of SFDC Activation Rep'!Z:Z)</f>
        <v>#N/A</v>
      </c>
    </row>
    <row r="764">
      <c r="B764" s="14"/>
      <c r="C764" s="14"/>
      <c r="D764" s="14"/>
      <c r="E764" s="14"/>
      <c r="F764" s="13" t="str">
        <f t="array" ref="F764">iferror(XLOOKUP(A764,'Download of SFDC Activation Rep'!B:B,'Download of SFDC Activation Rep'!H:H),"")</f>
        <v/>
      </c>
      <c r="G764" s="13" t="str">
        <f t="array" ref="G764">iferror(xlookup(A764,'Download of SFDC Activation Rep'!B:B,'Download of SFDC Activation Rep'!L:L),"")</f>
        <v/>
      </c>
      <c r="H764" s="17" t="str">
        <f t="shared" si="1"/>
        <v>Not Active</v>
      </c>
      <c r="I764" s="17" t="str">
        <f t="array" ref="I764">XLOOKUP(A764,'Download of SFDC Activation Rep'!B:B,'Download of SFDC Activation Rep'!T:T)</f>
        <v>#N/A</v>
      </c>
      <c r="J764" s="17" t="str">
        <f t="array" ref="J764">iferror(XLOOKUP(A764,'Download of SFDC Activation Rep'!B:B,'Download of SFDC Activation Rep'!C:C),"")</f>
        <v/>
      </c>
      <c r="K764" s="17" t="str">
        <f t="array" ref="K764">XLOOKUP(A764,'Download of SFDC Activation Rep'!B:B,'Download of SFDC Activation Rep'!X:X)</f>
        <v>#N/A</v>
      </c>
      <c r="L764" s="32" t="str">
        <f t="array" ref="L764">xlookup(A764,'Download of SFDC Activation Rep'!B:B,'Download of SFDC Activation Rep'!Z:Z)</f>
        <v>#N/A</v>
      </c>
    </row>
    <row r="765">
      <c r="B765" s="14"/>
      <c r="C765" s="14"/>
      <c r="D765" s="14"/>
      <c r="E765" s="14"/>
      <c r="F765" s="13" t="str">
        <f t="array" ref="F765">iferror(XLOOKUP(A765,'Download of SFDC Activation Rep'!B:B,'Download of SFDC Activation Rep'!H:H),"")</f>
        <v/>
      </c>
      <c r="G765" s="13" t="str">
        <f t="array" ref="G765">iferror(xlookup(A765,'Download of SFDC Activation Rep'!B:B,'Download of SFDC Activation Rep'!L:L),"")</f>
        <v/>
      </c>
      <c r="H765" s="17" t="str">
        <f t="shared" si="1"/>
        <v>Not Active</v>
      </c>
      <c r="I765" s="17" t="str">
        <f t="array" ref="I765">XLOOKUP(A765,'Download of SFDC Activation Rep'!B:B,'Download of SFDC Activation Rep'!T:T)</f>
        <v>#N/A</v>
      </c>
      <c r="J765" s="17" t="str">
        <f t="array" ref="J765">iferror(XLOOKUP(A765,'Download of SFDC Activation Rep'!B:B,'Download of SFDC Activation Rep'!C:C),"")</f>
        <v/>
      </c>
      <c r="K765" s="17" t="str">
        <f t="array" ref="K765">XLOOKUP(A765,'Download of SFDC Activation Rep'!B:B,'Download of SFDC Activation Rep'!X:X)</f>
        <v>#N/A</v>
      </c>
      <c r="L765" s="32" t="str">
        <f t="array" ref="L765">xlookup(A765,'Download of SFDC Activation Rep'!B:B,'Download of SFDC Activation Rep'!Z:Z)</f>
        <v>#N/A</v>
      </c>
    </row>
    <row r="766">
      <c r="B766" s="14"/>
      <c r="C766" s="14"/>
      <c r="D766" s="14"/>
      <c r="E766" s="14"/>
      <c r="F766" s="13" t="str">
        <f t="array" ref="F766">iferror(XLOOKUP(A766,'Download of SFDC Activation Rep'!B:B,'Download of SFDC Activation Rep'!H:H),"")</f>
        <v/>
      </c>
      <c r="G766" s="13" t="str">
        <f t="array" ref="G766">iferror(xlookup(A766,'Download of SFDC Activation Rep'!B:B,'Download of SFDC Activation Rep'!L:L),"")</f>
        <v/>
      </c>
      <c r="H766" s="17" t="str">
        <f t="shared" si="1"/>
        <v>Not Active</v>
      </c>
      <c r="I766" s="17" t="str">
        <f t="array" ref="I766">XLOOKUP(A766,'Download of SFDC Activation Rep'!B:B,'Download of SFDC Activation Rep'!T:T)</f>
        <v>#N/A</v>
      </c>
      <c r="J766" s="17" t="str">
        <f t="array" ref="J766">iferror(XLOOKUP(A766,'Download of SFDC Activation Rep'!B:B,'Download of SFDC Activation Rep'!C:C),"")</f>
        <v/>
      </c>
      <c r="K766" s="17" t="str">
        <f t="array" ref="K766">XLOOKUP(A766,'Download of SFDC Activation Rep'!B:B,'Download of SFDC Activation Rep'!X:X)</f>
        <v>#N/A</v>
      </c>
      <c r="L766" s="32" t="str">
        <f t="array" ref="L766">xlookup(A766,'Download of SFDC Activation Rep'!B:B,'Download of SFDC Activation Rep'!Z:Z)</f>
        <v>#N/A</v>
      </c>
    </row>
    <row r="767">
      <c r="B767" s="14"/>
      <c r="C767" s="14"/>
      <c r="D767" s="14"/>
      <c r="E767" s="14"/>
      <c r="F767" s="13" t="str">
        <f t="array" ref="F767">iferror(XLOOKUP(A767,'Download of SFDC Activation Rep'!B:B,'Download of SFDC Activation Rep'!H:H),"")</f>
        <v/>
      </c>
      <c r="G767" s="13" t="str">
        <f t="array" ref="G767">iferror(xlookup(A767,'Download of SFDC Activation Rep'!B:B,'Download of SFDC Activation Rep'!L:L),"")</f>
        <v/>
      </c>
      <c r="H767" s="17" t="str">
        <f t="shared" si="1"/>
        <v>Not Active</v>
      </c>
      <c r="I767" s="17" t="str">
        <f t="array" ref="I767">XLOOKUP(A767,'Download of SFDC Activation Rep'!B:B,'Download of SFDC Activation Rep'!T:T)</f>
        <v>#N/A</v>
      </c>
      <c r="J767" s="17" t="str">
        <f t="array" ref="J767">iferror(XLOOKUP(A767,'Download of SFDC Activation Rep'!B:B,'Download of SFDC Activation Rep'!C:C),"")</f>
        <v/>
      </c>
      <c r="K767" s="17" t="str">
        <f t="array" ref="K767">XLOOKUP(A767,'Download of SFDC Activation Rep'!B:B,'Download of SFDC Activation Rep'!X:X)</f>
        <v>#N/A</v>
      </c>
      <c r="L767" s="32" t="str">
        <f t="array" ref="L767">xlookup(A767,'Download of SFDC Activation Rep'!B:B,'Download of SFDC Activation Rep'!Z:Z)</f>
        <v>#N/A</v>
      </c>
    </row>
    <row r="768">
      <c r="B768" s="14"/>
      <c r="C768" s="14"/>
      <c r="D768" s="14"/>
      <c r="E768" s="14"/>
      <c r="F768" s="13" t="str">
        <f t="array" ref="F768">iferror(XLOOKUP(A768,'Download of SFDC Activation Rep'!B:B,'Download of SFDC Activation Rep'!H:H),"")</f>
        <v/>
      </c>
      <c r="G768" s="13" t="str">
        <f t="array" ref="G768">iferror(xlookup(A768,'Download of SFDC Activation Rep'!B:B,'Download of SFDC Activation Rep'!L:L),"")</f>
        <v/>
      </c>
      <c r="H768" s="17" t="str">
        <f t="shared" si="1"/>
        <v>Not Active</v>
      </c>
      <c r="I768" s="17" t="str">
        <f t="array" ref="I768">XLOOKUP(A768,'Download of SFDC Activation Rep'!B:B,'Download of SFDC Activation Rep'!T:T)</f>
        <v>#N/A</v>
      </c>
      <c r="J768" s="17" t="str">
        <f t="array" ref="J768">iferror(XLOOKUP(A768,'Download of SFDC Activation Rep'!B:B,'Download of SFDC Activation Rep'!C:C),"")</f>
        <v/>
      </c>
      <c r="K768" s="17" t="str">
        <f t="array" ref="K768">XLOOKUP(A768,'Download of SFDC Activation Rep'!B:B,'Download of SFDC Activation Rep'!X:X)</f>
        <v>#N/A</v>
      </c>
      <c r="L768" s="32" t="str">
        <f t="array" ref="L768">xlookup(A768,'Download of SFDC Activation Rep'!B:B,'Download of SFDC Activation Rep'!Z:Z)</f>
        <v>#N/A</v>
      </c>
    </row>
    <row r="769">
      <c r="B769" s="14"/>
      <c r="C769" s="14"/>
      <c r="D769" s="14"/>
      <c r="E769" s="14"/>
      <c r="F769" s="13" t="str">
        <f t="array" ref="F769">iferror(XLOOKUP(A769,'Download of SFDC Activation Rep'!B:B,'Download of SFDC Activation Rep'!H:H),"")</f>
        <v/>
      </c>
      <c r="G769" s="13" t="str">
        <f t="array" ref="G769">iferror(xlookup(A769,'Download of SFDC Activation Rep'!B:B,'Download of SFDC Activation Rep'!L:L),"")</f>
        <v/>
      </c>
      <c r="H769" s="17" t="str">
        <f t="shared" si="1"/>
        <v>Not Active</v>
      </c>
      <c r="I769" s="17" t="str">
        <f t="array" ref="I769">XLOOKUP(A769,'Download of SFDC Activation Rep'!B:B,'Download of SFDC Activation Rep'!T:T)</f>
        <v>#N/A</v>
      </c>
      <c r="J769" s="17" t="str">
        <f t="array" ref="J769">iferror(XLOOKUP(A769,'Download of SFDC Activation Rep'!B:B,'Download of SFDC Activation Rep'!C:C),"")</f>
        <v/>
      </c>
      <c r="K769" s="17" t="str">
        <f t="array" ref="K769">XLOOKUP(A769,'Download of SFDC Activation Rep'!B:B,'Download of SFDC Activation Rep'!X:X)</f>
        <v>#N/A</v>
      </c>
      <c r="L769" s="32" t="str">
        <f t="array" ref="L769">xlookup(A769,'Download of SFDC Activation Rep'!B:B,'Download of SFDC Activation Rep'!Z:Z)</f>
        <v>#N/A</v>
      </c>
    </row>
    <row r="770">
      <c r="B770" s="14"/>
      <c r="C770" s="14"/>
      <c r="D770" s="14"/>
      <c r="E770" s="14"/>
      <c r="F770" s="13" t="str">
        <f t="array" ref="F770">iferror(XLOOKUP(A770,'Download of SFDC Activation Rep'!B:B,'Download of SFDC Activation Rep'!H:H),"")</f>
        <v/>
      </c>
      <c r="G770" s="13" t="str">
        <f t="array" ref="G770">iferror(xlookup(A770,'Download of SFDC Activation Rep'!B:B,'Download of SFDC Activation Rep'!L:L),"")</f>
        <v/>
      </c>
      <c r="H770" s="17" t="str">
        <f t="shared" si="1"/>
        <v>Not Active</v>
      </c>
      <c r="I770" s="17" t="str">
        <f t="array" ref="I770">XLOOKUP(A770,'Download of SFDC Activation Rep'!B:B,'Download of SFDC Activation Rep'!T:T)</f>
        <v>#N/A</v>
      </c>
      <c r="J770" s="17" t="str">
        <f t="array" ref="J770">iferror(XLOOKUP(A770,'Download of SFDC Activation Rep'!B:B,'Download of SFDC Activation Rep'!C:C),"")</f>
        <v/>
      </c>
      <c r="K770" s="17" t="str">
        <f t="array" ref="K770">XLOOKUP(A770,'Download of SFDC Activation Rep'!B:B,'Download of SFDC Activation Rep'!X:X)</f>
        <v>#N/A</v>
      </c>
      <c r="L770" s="32" t="str">
        <f t="array" ref="L770">xlookup(A770,'Download of SFDC Activation Rep'!B:B,'Download of SFDC Activation Rep'!Z:Z)</f>
        <v>#N/A</v>
      </c>
    </row>
    <row r="771">
      <c r="B771" s="14"/>
      <c r="C771" s="14"/>
      <c r="D771" s="14"/>
      <c r="E771" s="14"/>
      <c r="F771" s="13" t="str">
        <f t="array" ref="F771">iferror(XLOOKUP(A771,'Download of SFDC Activation Rep'!B:B,'Download of SFDC Activation Rep'!H:H),"")</f>
        <v/>
      </c>
      <c r="G771" s="13" t="str">
        <f t="array" ref="G771">iferror(xlookup(A771,'Download of SFDC Activation Rep'!B:B,'Download of SFDC Activation Rep'!L:L),"")</f>
        <v/>
      </c>
      <c r="H771" s="17" t="str">
        <f t="shared" si="1"/>
        <v>Not Active</v>
      </c>
      <c r="I771" s="17" t="str">
        <f t="array" ref="I771">XLOOKUP(A771,'Download of SFDC Activation Rep'!B:B,'Download of SFDC Activation Rep'!T:T)</f>
        <v>#N/A</v>
      </c>
      <c r="J771" s="17" t="str">
        <f t="array" ref="J771">iferror(XLOOKUP(A771,'Download of SFDC Activation Rep'!B:B,'Download of SFDC Activation Rep'!C:C),"")</f>
        <v/>
      </c>
      <c r="K771" s="17" t="str">
        <f t="array" ref="K771">XLOOKUP(A771,'Download of SFDC Activation Rep'!B:B,'Download of SFDC Activation Rep'!X:X)</f>
        <v>#N/A</v>
      </c>
      <c r="L771" s="32" t="str">
        <f t="array" ref="L771">xlookup(A771,'Download of SFDC Activation Rep'!B:B,'Download of SFDC Activation Rep'!Z:Z)</f>
        <v>#N/A</v>
      </c>
    </row>
    <row r="772">
      <c r="B772" s="14"/>
      <c r="C772" s="14"/>
      <c r="D772" s="14"/>
      <c r="E772" s="14"/>
      <c r="F772" s="13" t="str">
        <f t="array" ref="F772">iferror(XLOOKUP(A772,'Download of SFDC Activation Rep'!B:B,'Download of SFDC Activation Rep'!H:H),"")</f>
        <v/>
      </c>
      <c r="G772" s="13" t="str">
        <f t="array" ref="G772">iferror(xlookup(A772,'Download of SFDC Activation Rep'!B:B,'Download of SFDC Activation Rep'!L:L),"")</f>
        <v/>
      </c>
      <c r="H772" s="17" t="str">
        <f t="shared" si="1"/>
        <v>Not Active</v>
      </c>
      <c r="I772" s="17" t="str">
        <f t="array" ref="I772">XLOOKUP(A772,'Download of SFDC Activation Rep'!B:B,'Download of SFDC Activation Rep'!T:T)</f>
        <v>#N/A</v>
      </c>
      <c r="J772" s="17" t="str">
        <f t="array" ref="J772">iferror(XLOOKUP(A772,'Download of SFDC Activation Rep'!B:B,'Download of SFDC Activation Rep'!C:C),"")</f>
        <v/>
      </c>
      <c r="K772" s="17" t="str">
        <f t="array" ref="K772">XLOOKUP(A772,'Download of SFDC Activation Rep'!B:B,'Download of SFDC Activation Rep'!X:X)</f>
        <v>#N/A</v>
      </c>
      <c r="L772" s="32" t="str">
        <f t="array" ref="L772">xlookup(A772,'Download of SFDC Activation Rep'!B:B,'Download of SFDC Activation Rep'!Z:Z)</f>
        <v>#N/A</v>
      </c>
    </row>
    <row r="773">
      <c r="B773" s="14"/>
      <c r="C773" s="14"/>
      <c r="D773" s="14"/>
      <c r="E773" s="14"/>
      <c r="F773" s="13" t="str">
        <f t="array" ref="F773">iferror(XLOOKUP(A773,'Download of SFDC Activation Rep'!B:B,'Download of SFDC Activation Rep'!H:H),"")</f>
        <v/>
      </c>
      <c r="G773" s="13" t="str">
        <f t="array" ref="G773">iferror(xlookup(A773,'Download of SFDC Activation Rep'!B:B,'Download of SFDC Activation Rep'!L:L),"")</f>
        <v/>
      </c>
      <c r="H773" s="17" t="str">
        <f t="shared" si="1"/>
        <v>Not Active</v>
      </c>
      <c r="I773" s="17" t="str">
        <f t="array" ref="I773">XLOOKUP(A773,'Download of SFDC Activation Rep'!B:B,'Download of SFDC Activation Rep'!T:T)</f>
        <v>#N/A</v>
      </c>
      <c r="J773" s="17" t="str">
        <f t="array" ref="J773">iferror(XLOOKUP(A773,'Download of SFDC Activation Rep'!B:B,'Download of SFDC Activation Rep'!C:C),"")</f>
        <v/>
      </c>
      <c r="K773" s="17" t="str">
        <f t="array" ref="K773">XLOOKUP(A773,'Download of SFDC Activation Rep'!B:B,'Download of SFDC Activation Rep'!X:X)</f>
        <v>#N/A</v>
      </c>
      <c r="L773" s="32" t="str">
        <f t="array" ref="L773">xlookup(A773,'Download of SFDC Activation Rep'!B:B,'Download of SFDC Activation Rep'!Z:Z)</f>
        <v>#N/A</v>
      </c>
    </row>
    <row r="774">
      <c r="B774" s="14"/>
      <c r="C774" s="14"/>
      <c r="D774" s="14"/>
      <c r="E774" s="14"/>
      <c r="F774" s="13" t="str">
        <f t="array" ref="F774">iferror(XLOOKUP(A774,'Download of SFDC Activation Rep'!B:B,'Download of SFDC Activation Rep'!H:H),"")</f>
        <v/>
      </c>
      <c r="G774" s="13" t="str">
        <f t="array" ref="G774">iferror(xlookup(A774,'Download of SFDC Activation Rep'!B:B,'Download of SFDC Activation Rep'!L:L),"")</f>
        <v/>
      </c>
      <c r="H774" s="17" t="str">
        <f t="shared" si="1"/>
        <v>Not Active</v>
      </c>
      <c r="I774" s="17" t="str">
        <f t="array" ref="I774">XLOOKUP(A774,'Download of SFDC Activation Rep'!B:B,'Download of SFDC Activation Rep'!T:T)</f>
        <v>#N/A</v>
      </c>
      <c r="J774" s="17" t="str">
        <f t="array" ref="J774">iferror(XLOOKUP(A774,'Download of SFDC Activation Rep'!B:B,'Download of SFDC Activation Rep'!C:C),"")</f>
        <v/>
      </c>
      <c r="K774" s="17" t="str">
        <f t="array" ref="K774">XLOOKUP(A774,'Download of SFDC Activation Rep'!B:B,'Download of SFDC Activation Rep'!X:X)</f>
        <v>#N/A</v>
      </c>
      <c r="L774" s="32" t="str">
        <f t="array" ref="L774">xlookup(A774,'Download of SFDC Activation Rep'!B:B,'Download of SFDC Activation Rep'!Z:Z)</f>
        <v>#N/A</v>
      </c>
    </row>
    <row r="775">
      <c r="B775" s="14"/>
      <c r="C775" s="14"/>
      <c r="D775" s="14"/>
      <c r="E775" s="14"/>
      <c r="F775" s="13" t="str">
        <f t="array" ref="F775">iferror(XLOOKUP(A775,'Download of SFDC Activation Rep'!B:B,'Download of SFDC Activation Rep'!H:H),"")</f>
        <v/>
      </c>
      <c r="G775" s="13" t="str">
        <f t="array" ref="G775">iferror(xlookup(A775,'Download of SFDC Activation Rep'!B:B,'Download of SFDC Activation Rep'!L:L),"")</f>
        <v/>
      </c>
      <c r="H775" s="17" t="str">
        <f t="shared" si="1"/>
        <v>Not Active</v>
      </c>
      <c r="I775" s="17" t="str">
        <f t="array" ref="I775">XLOOKUP(A775,'Download of SFDC Activation Rep'!B:B,'Download of SFDC Activation Rep'!T:T)</f>
        <v>#N/A</v>
      </c>
      <c r="J775" s="17" t="str">
        <f t="array" ref="J775">iferror(XLOOKUP(A775,'Download of SFDC Activation Rep'!B:B,'Download of SFDC Activation Rep'!C:C),"")</f>
        <v/>
      </c>
      <c r="K775" s="17" t="str">
        <f t="array" ref="K775">XLOOKUP(A775,'Download of SFDC Activation Rep'!B:B,'Download of SFDC Activation Rep'!X:X)</f>
        <v>#N/A</v>
      </c>
      <c r="L775" s="32" t="str">
        <f t="array" ref="L775">xlookup(A775,'Download of SFDC Activation Rep'!B:B,'Download of SFDC Activation Rep'!Z:Z)</f>
        <v>#N/A</v>
      </c>
    </row>
    <row r="776">
      <c r="B776" s="14"/>
      <c r="C776" s="14"/>
      <c r="D776" s="14"/>
      <c r="E776" s="14"/>
      <c r="F776" s="13" t="str">
        <f t="array" ref="F776">iferror(XLOOKUP(A776,'Download of SFDC Activation Rep'!B:B,'Download of SFDC Activation Rep'!H:H),"")</f>
        <v/>
      </c>
      <c r="G776" s="13" t="str">
        <f t="array" ref="G776">iferror(xlookup(A776,'Download of SFDC Activation Rep'!B:B,'Download of SFDC Activation Rep'!L:L),"")</f>
        <v/>
      </c>
      <c r="H776" s="17" t="str">
        <f t="shared" si="1"/>
        <v>Not Active</v>
      </c>
      <c r="I776" s="17" t="str">
        <f t="array" ref="I776">XLOOKUP(A776,'Download of SFDC Activation Rep'!B:B,'Download of SFDC Activation Rep'!T:T)</f>
        <v>#N/A</v>
      </c>
      <c r="J776" s="17" t="str">
        <f t="array" ref="J776">iferror(XLOOKUP(A776,'Download of SFDC Activation Rep'!B:B,'Download of SFDC Activation Rep'!C:C),"")</f>
        <v/>
      </c>
      <c r="K776" s="17" t="str">
        <f t="array" ref="K776">XLOOKUP(A776,'Download of SFDC Activation Rep'!B:B,'Download of SFDC Activation Rep'!X:X)</f>
        <v>#N/A</v>
      </c>
      <c r="L776" s="32" t="str">
        <f t="array" ref="L776">xlookup(A776,'Download of SFDC Activation Rep'!B:B,'Download of SFDC Activation Rep'!Z:Z)</f>
        <v>#N/A</v>
      </c>
    </row>
    <row r="777">
      <c r="B777" s="14"/>
      <c r="C777" s="14"/>
      <c r="D777" s="14"/>
      <c r="E777" s="14"/>
      <c r="F777" s="13" t="str">
        <f t="array" ref="F777">iferror(XLOOKUP(A777,'Download of SFDC Activation Rep'!B:B,'Download of SFDC Activation Rep'!H:H),"")</f>
        <v/>
      </c>
      <c r="G777" s="13" t="str">
        <f t="array" ref="G777">iferror(xlookup(A777,'Download of SFDC Activation Rep'!B:B,'Download of SFDC Activation Rep'!L:L),"")</f>
        <v/>
      </c>
      <c r="H777" s="17" t="str">
        <f t="shared" si="1"/>
        <v>Not Active</v>
      </c>
      <c r="I777" s="17" t="str">
        <f t="array" ref="I777">XLOOKUP(A777,'Download of SFDC Activation Rep'!B:B,'Download of SFDC Activation Rep'!T:T)</f>
        <v>#N/A</v>
      </c>
      <c r="J777" s="17" t="str">
        <f t="array" ref="J777">iferror(XLOOKUP(A777,'Download of SFDC Activation Rep'!B:B,'Download of SFDC Activation Rep'!C:C),"")</f>
        <v/>
      </c>
      <c r="K777" s="17" t="str">
        <f t="array" ref="K777">XLOOKUP(A777,'Download of SFDC Activation Rep'!B:B,'Download of SFDC Activation Rep'!X:X)</f>
        <v>#N/A</v>
      </c>
      <c r="L777" s="32" t="str">
        <f t="array" ref="L777">xlookup(A777,'Download of SFDC Activation Rep'!B:B,'Download of SFDC Activation Rep'!Z:Z)</f>
        <v>#N/A</v>
      </c>
    </row>
    <row r="778">
      <c r="B778" s="14"/>
      <c r="C778" s="14"/>
      <c r="D778" s="14"/>
      <c r="E778" s="14"/>
      <c r="F778" s="13" t="str">
        <f t="array" ref="F778">iferror(XLOOKUP(A778,'Download of SFDC Activation Rep'!B:B,'Download of SFDC Activation Rep'!H:H),"")</f>
        <v/>
      </c>
      <c r="G778" s="13" t="str">
        <f t="array" ref="G778">iferror(xlookup(A778,'Download of SFDC Activation Rep'!B:B,'Download of SFDC Activation Rep'!L:L),"")</f>
        <v/>
      </c>
      <c r="H778" s="17" t="str">
        <f t="shared" si="1"/>
        <v>Not Active</v>
      </c>
      <c r="I778" s="17" t="str">
        <f t="array" ref="I778">XLOOKUP(A778,'Download of SFDC Activation Rep'!B:B,'Download of SFDC Activation Rep'!T:T)</f>
        <v>#N/A</v>
      </c>
      <c r="J778" s="17" t="str">
        <f t="array" ref="J778">iferror(XLOOKUP(A778,'Download of SFDC Activation Rep'!B:B,'Download of SFDC Activation Rep'!C:C),"")</f>
        <v/>
      </c>
      <c r="K778" s="17" t="str">
        <f t="array" ref="K778">XLOOKUP(A778,'Download of SFDC Activation Rep'!B:B,'Download of SFDC Activation Rep'!X:X)</f>
        <v>#N/A</v>
      </c>
      <c r="L778" s="32" t="str">
        <f t="array" ref="L778">xlookup(A778,'Download of SFDC Activation Rep'!B:B,'Download of SFDC Activation Rep'!Z:Z)</f>
        <v>#N/A</v>
      </c>
    </row>
    <row r="779">
      <c r="B779" s="14"/>
      <c r="C779" s="14"/>
      <c r="D779" s="14"/>
      <c r="E779" s="14"/>
      <c r="F779" s="13" t="str">
        <f t="array" ref="F779">iferror(XLOOKUP(A779,'Download of SFDC Activation Rep'!B:B,'Download of SFDC Activation Rep'!H:H),"")</f>
        <v/>
      </c>
      <c r="G779" s="13" t="str">
        <f t="array" ref="G779">iferror(xlookup(A779,'Download of SFDC Activation Rep'!B:B,'Download of SFDC Activation Rep'!L:L),"")</f>
        <v/>
      </c>
      <c r="H779" s="17" t="str">
        <f t="shared" si="1"/>
        <v>Not Active</v>
      </c>
      <c r="I779" s="17" t="str">
        <f t="array" ref="I779">XLOOKUP(A779,'Download of SFDC Activation Rep'!B:B,'Download of SFDC Activation Rep'!T:T)</f>
        <v>#N/A</v>
      </c>
      <c r="J779" s="17" t="str">
        <f t="array" ref="J779">iferror(XLOOKUP(A779,'Download of SFDC Activation Rep'!B:B,'Download of SFDC Activation Rep'!C:C),"")</f>
        <v/>
      </c>
      <c r="K779" s="17" t="str">
        <f t="array" ref="K779">XLOOKUP(A779,'Download of SFDC Activation Rep'!B:B,'Download of SFDC Activation Rep'!X:X)</f>
        <v>#N/A</v>
      </c>
      <c r="L779" s="32" t="str">
        <f t="array" ref="L779">xlookup(A779,'Download of SFDC Activation Rep'!B:B,'Download of SFDC Activation Rep'!Z:Z)</f>
        <v>#N/A</v>
      </c>
    </row>
    <row r="780">
      <c r="B780" s="14"/>
      <c r="C780" s="14"/>
      <c r="D780" s="14"/>
      <c r="E780" s="14"/>
      <c r="F780" s="13" t="str">
        <f t="array" ref="F780">iferror(XLOOKUP(A780,'Download of SFDC Activation Rep'!B:B,'Download of SFDC Activation Rep'!H:H),"")</f>
        <v/>
      </c>
      <c r="G780" s="13" t="str">
        <f t="array" ref="G780">iferror(xlookup(A780,'Download of SFDC Activation Rep'!B:B,'Download of SFDC Activation Rep'!L:L),"")</f>
        <v/>
      </c>
      <c r="H780" s="17" t="str">
        <f t="shared" si="1"/>
        <v>Not Active</v>
      </c>
      <c r="I780" s="17" t="str">
        <f t="array" ref="I780">XLOOKUP(A780,'Download of SFDC Activation Rep'!B:B,'Download of SFDC Activation Rep'!T:T)</f>
        <v>#N/A</v>
      </c>
      <c r="J780" s="17" t="str">
        <f t="array" ref="J780">iferror(XLOOKUP(A780,'Download of SFDC Activation Rep'!B:B,'Download of SFDC Activation Rep'!C:C),"")</f>
        <v/>
      </c>
      <c r="K780" s="17" t="str">
        <f t="array" ref="K780">XLOOKUP(A780,'Download of SFDC Activation Rep'!B:B,'Download of SFDC Activation Rep'!X:X)</f>
        <v>#N/A</v>
      </c>
      <c r="L780" s="32" t="str">
        <f t="array" ref="L780">xlookup(A780,'Download of SFDC Activation Rep'!B:B,'Download of SFDC Activation Rep'!Z:Z)</f>
        <v>#N/A</v>
      </c>
    </row>
    <row r="781">
      <c r="B781" s="14"/>
      <c r="C781" s="14"/>
      <c r="D781" s="14"/>
      <c r="E781" s="14"/>
      <c r="F781" s="13" t="str">
        <f t="array" ref="F781">iferror(XLOOKUP(A781,'Download of SFDC Activation Rep'!B:B,'Download of SFDC Activation Rep'!H:H),"")</f>
        <v/>
      </c>
      <c r="G781" s="13" t="str">
        <f t="array" ref="G781">iferror(xlookup(A781,'Download of SFDC Activation Rep'!B:B,'Download of SFDC Activation Rep'!L:L),"")</f>
        <v/>
      </c>
      <c r="H781" s="17" t="str">
        <f t="shared" si="1"/>
        <v>Not Active</v>
      </c>
      <c r="I781" s="17" t="str">
        <f t="array" ref="I781">XLOOKUP(A781,'Download of SFDC Activation Rep'!B:B,'Download of SFDC Activation Rep'!T:T)</f>
        <v>#N/A</v>
      </c>
      <c r="J781" s="17" t="str">
        <f t="array" ref="J781">iferror(XLOOKUP(A781,'Download of SFDC Activation Rep'!B:B,'Download of SFDC Activation Rep'!C:C),"")</f>
        <v/>
      </c>
      <c r="K781" s="17" t="str">
        <f t="array" ref="K781">XLOOKUP(A781,'Download of SFDC Activation Rep'!B:B,'Download of SFDC Activation Rep'!X:X)</f>
        <v>#N/A</v>
      </c>
      <c r="L781" s="32" t="str">
        <f t="array" ref="L781">xlookup(A781,'Download of SFDC Activation Rep'!B:B,'Download of SFDC Activation Rep'!Z:Z)</f>
        <v>#N/A</v>
      </c>
    </row>
    <row r="782">
      <c r="B782" s="14"/>
      <c r="C782" s="14"/>
      <c r="D782" s="14"/>
      <c r="E782" s="14"/>
      <c r="F782" s="13" t="str">
        <f t="array" ref="F782">iferror(XLOOKUP(A782,'Download of SFDC Activation Rep'!B:B,'Download of SFDC Activation Rep'!H:H),"")</f>
        <v/>
      </c>
      <c r="G782" s="13" t="str">
        <f t="array" ref="G782">iferror(xlookup(A782,'Download of SFDC Activation Rep'!B:B,'Download of SFDC Activation Rep'!L:L),"")</f>
        <v/>
      </c>
      <c r="H782" s="17" t="str">
        <f t="shared" si="1"/>
        <v>Not Active</v>
      </c>
      <c r="I782" s="17" t="str">
        <f t="array" ref="I782">XLOOKUP(A782,'Download of SFDC Activation Rep'!B:B,'Download of SFDC Activation Rep'!T:T)</f>
        <v>#N/A</v>
      </c>
      <c r="J782" s="17" t="str">
        <f t="array" ref="J782">iferror(XLOOKUP(A782,'Download of SFDC Activation Rep'!B:B,'Download of SFDC Activation Rep'!C:C),"")</f>
        <v/>
      </c>
      <c r="K782" s="17" t="str">
        <f t="array" ref="K782">XLOOKUP(A782,'Download of SFDC Activation Rep'!B:B,'Download of SFDC Activation Rep'!X:X)</f>
        <v>#N/A</v>
      </c>
      <c r="L782" s="32" t="str">
        <f t="array" ref="L782">xlookup(A782,'Download of SFDC Activation Rep'!B:B,'Download of SFDC Activation Rep'!Z:Z)</f>
        <v>#N/A</v>
      </c>
    </row>
    <row r="783">
      <c r="B783" s="14"/>
      <c r="C783" s="14"/>
      <c r="D783" s="14"/>
      <c r="E783" s="14"/>
      <c r="F783" s="13" t="str">
        <f t="array" ref="F783">iferror(XLOOKUP(A783,'Download of SFDC Activation Rep'!B:B,'Download of SFDC Activation Rep'!H:H),"")</f>
        <v/>
      </c>
      <c r="G783" s="13" t="str">
        <f t="array" ref="G783">iferror(xlookup(A783,'Download of SFDC Activation Rep'!B:B,'Download of SFDC Activation Rep'!L:L),"")</f>
        <v/>
      </c>
      <c r="H783" s="17" t="str">
        <f t="shared" si="1"/>
        <v>Not Active</v>
      </c>
      <c r="I783" s="17" t="str">
        <f t="array" ref="I783">XLOOKUP(A783,'Download of SFDC Activation Rep'!B:B,'Download of SFDC Activation Rep'!T:T)</f>
        <v>#N/A</v>
      </c>
      <c r="J783" s="17" t="str">
        <f t="array" ref="J783">iferror(XLOOKUP(A783,'Download of SFDC Activation Rep'!B:B,'Download of SFDC Activation Rep'!C:C),"")</f>
        <v/>
      </c>
      <c r="K783" s="17" t="str">
        <f t="array" ref="K783">XLOOKUP(A783,'Download of SFDC Activation Rep'!B:B,'Download of SFDC Activation Rep'!X:X)</f>
        <v>#N/A</v>
      </c>
      <c r="L783" s="32" t="str">
        <f t="array" ref="L783">xlookup(A783,'Download of SFDC Activation Rep'!B:B,'Download of SFDC Activation Rep'!Z:Z)</f>
        <v>#N/A</v>
      </c>
    </row>
    <row r="784">
      <c r="B784" s="14"/>
      <c r="C784" s="14"/>
      <c r="D784" s="14"/>
      <c r="E784" s="14"/>
      <c r="F784" s="13" t="str">
        <f t="array" ref="F784">iferror(XLOOKUP(A784,'Download of SFDC Activation Rep'!B:B,'Download of SFDC Activation Rep'!H:H),"")</f>
        <v/>
      </c>
      <c r="G784" s="13" t="str">
        <f t="array" ref="G784">iferror(xlookup(A784,'Download of SFDC Activation Rep'!B:B,'Download of SFDC Activation Rep'!L:L),"")</f>
        <v/>
      </c>
      <c r="H784" s="17" t="str">
        <f t="shared" si="1"/>
        <v>Not Active</v>
      </c>
      <c r="I784" s="17" t="str">
        <f t="array" ref="I784">XLOOKUP(A784,'Download of SFDC Activation Rep'!B:B,'Download of SFDC Activation Rep'!T:T)</f>
        <v>#N/A</v>
      </c>
      <c r="J784" s="17" t="str">
        <f t="array" ref="J784">iferror(XLOOKUP(A784,'Download of SFDC Activation Rep'!B:B,'Download of SFDC Activation Rep'!C:C),"")</f>
        <v/>
      </c>
      <c r="K784" s="17" t="str">
        <f t="array" ref="K784">XLOOKUP(A784,'Download of SFDC Activation Rep'!B:B,'Download of SFDC Activation Rep'!X:X)</f>
        <v>#N/A</v>
      </c>
      <c r="L784" s="32" t="str">
        <f t="array" ref="L784">xlookup(A784,'Download of SFDC Activation Rep'!B:B,'Download of SFDC Activation Rep'!Z:Z)</f>
        <v>#N/A</v>
      </c>
    </row>
    <row r="785">
      <c r="B785" s="14"/>
      <c r="C785" s="14"/>
      <c r="D785" s="14"/>
      <c r="E785" s="14"/>
      <c r="F785" s="13" t="str">
        <f t="array" ref="F785">iferror(XLOOKUP(A785,'Download of SFDC Activation Rep'!B:B,'Download of SFDC Activation Rep'!H:H),"")</f>
        <v/>
      </c>
      <c r="G785" s="13" t="str">
        <f t="array" ref="G785">iferror(xlookup(A785,'Download of SFDC Activation Rep'!B:B,'Download of SFDC Activation Rep'!L:L),"")</f>
        <v/>
      </c>
      <c r="H785" s="17" t="str">
        <f t="shared" si="1"/>
        <v>Not Active</v>
      </c>
      <c r="I785" s="17" t="str">
        <f t="array" ref="I785">XLOOKUP(A785,'Download of SFDC Activation Rep'!B:B,'Download of SFDC Activation Rep'!T:T)</f>
        <v>#N/A</v>
      </c>
      <c r="J785" s="17" t="str">
        <f t="array" ref="J785">iferror(XLOOKUP(A785,'Download of SFDC Activation Rep'!B:B,'Download of SFDC Activation Rep'!C:C),"")</f>
        <v/>
      </c>
      <c r="K785" s="17" t="str">
        <f t="array" ref="K785">XLOOKUP(A785,'Download of SFDC Activation Rep'!B:B,'Download of SFDC Activation Rep'!X:X)</f>
        <v>#N/A</v>
      </c>
      <c r="L785" s="32" t="str">
        <f t="array" ref="L785">xlookup(A785,'Download of SFDC Activation Rep'!B:B,'Download of SFDC Activation Rep'!Z:Z)</f>
        <v>#N/A</v>
      </c>
    </row>
    <row r="786">
      <c r="B786" s="14"/>
      <c r="C786" s="14"/>
      <c r="D786" s="14"/>
      <c r="E786" s="14"/>
      <c r="F786" s="13" t="str">
        <f t="array" ref="F786">iferror(XLOOKUP(A786,'Download of SFDC Activation Rep'!B:B,'Download of SFDC Activation Rep'!H:H),"")</f>
        <v/>
      </c>
      <c r="G786" s="13" t="str">
        <f t="array" ref="G786">iferror(xlookup(A786,'Download of SFDC Activation Rep'!B:B,'Download of SFDC Activation Rep'!L:L),"")</f>
        <v/>
      </c>
      <c r="H786" s="17" t="str">
        <f t="shared" si="1"/>
        <v>Not Active</v>
      </c>
      <c r="I786" s="17" t="str">
        <f t="array" ref="I786">XLOOKUP(A786,'Download of SFDC Activation Rep'!B:B,'Download of SFDC Activation Rep'!T:T)</f>
        <v>#N/A</v>
      </c>
      <c r="J786" s="17" t="str">
        <f t="array" ref="J786">iferror(XLOOKUP(A786,'Download of SFDC Activation Rep'!B:B,'Download of SFDC Activation Rep'!C:C),"")</f>
        <v/>
      </c>
      <c r="K786" s="17" t="str">
        <f t="array" ref="K786">XLOOKUP(A786,'Download of SFDC Activation Rep'!B:B,'Download of SFDC Activation Rep'!X:X)</f>
        <v>#N/A</v>
      </c>
      <c r="L786" s="32" t="str">
        <f t="array" ref="L786">xlookup(A786,'Download of SFDC Activation Rep'!B:B,'Download of SFDC Activation Rep'!Z:Z)</f>
        <v>#N/A</v>
      </c>
    </row>
    <row r="787">
      <c r="B787" s="14"/>
      <c r="C787" s="14"/>
      <c r="D787" s="14"/>
      <c r="E787" s="14"/>
      <c r="F787" s="13" t="str">
        <f t="array" ref="F787">iferror(XLOOKUP(A787,'Download of SFDC Activation Rep'!B:B,'Download of SFDC Activation Rep'!H:H),"")</f>
        <v/>
      </c>
      <c r="G787" s="13" t="str">
        <f t="array" ref="G787">iferror(xlookup(A787,'Download of SFDC Activation Rep'!B:B,'Download of SFDC Activation Rep'!L:L),"")</f>
        <v/>
      </c>
      <c r="H787" s="17" t="str">
        <f t="shared" si="1"/>
        <v>Not Active</v>
      </c>
      <c r="I787" s="17" t="str">
        <f t="array" ref="I787">XLOOKUP(A787,'Download of SFDC Activation Rep'!B:B,'Download of SFDC Activation Rep'!T:T)</f>
        <v>#N/A</v>
      </c>
      <c r="J787" s="17" t="str">
        <f t="array" ref="J787">iferror(XLOOKUP(A787,'Download of SFDC Activation Rep'!B:B,'Download of SFDC Activation Rep'!C:C),"")</f>
        <v/>
      </c>
      <c r="K787" s="17" t="str">
        <f t="array" ref="K787">XLOOKUP(A787,'Download of SFDC Activation Rep'!B:B,'Download of SFDC Activation Rep'!X:X)</f>
        <v>#N/A</v>
      </c>
      <c r="L787" s="32" t="str">
        <f t="array" ref="L787">xlookup(A787,'Download of SFDC Activation Rep'!B:B,'Download of SFDC Activation Rep'!Z:Z)</f>
        <v>#N/A</v>
      </c>
    </row>
    <row r="788">
      <c r="B788" s="14"/>
      <c r="C788" s="14"/>
      <c r="D788" s="14"/>
      <c r="E788" s="14"/>
      <c r="F788" s="13" t="str">
        <f t="array" ref="F788">iferror(XLOOKUP(A788,'Download of SFDC Activation Rep'!B:B,'Download of SFDC Activation Rep'!H:H),"")</f>
        <v/>
      </c>
      <c r="G788" s="13" t="str">
        <f t="array" ref="G788">iferror(xlookup(A788,'Download of SFDC Activation Rep'!B:B,'Download of SFDC Activation Rep'!L:L),"")</f>
        <v/>
      </c>
      <c r="H788" s="17" t="str">
        <f t="shared" si="1"/>
        <v>Not Active</v>
      </c>
      <c r="I788" s="17" t="str">
        <f t="array" ref="I788">XLOOKUP(A788,'Download of SFDC Activation Rep'!B:B,'Download of SFDC Activation Rep'!T:T)</f>
        <v>#N/A</v>
      </c>
      <c r="J788" s="17" t="str">
        <f t="array" ref="J788">iferror(XLOOKUP(A788,'Download of SFDC Activation Rep'!B:B,'Download of SFDC Activation Rep'!C:C),"")</f>
        <v/>
      </c>
      <c r="K788" s="17" t="str">
        <f t="array" ref="K788">XLOOKUP(A788,'Download of SFDC Activation Rep'!B:B,'Download of SFDC Activation Rep'!X:X)</f>
        <v>#N/A</v>
      </c>
      <c r="L788" s="32" t="str">
        <f t="array" ref="L788">xlookup(A788,'Download of SFDC Activation Rep'!B:B,'Download of SFDC Activation Rep'!Z:Z)</f>
        <v>#N/A</v>
      </c>
    </row>
    <row r="789">
      <c r="B789" s="14"/>
      <c r="C789" s="14"/>
      <c r="D789" s="14"/>
      <c r="E789" s="14"/>
      <c r="F789" s="13" t="str">
        <f t="array" ref="F789">iferror(XLOOKUP(A789,'Download of SFDC Activation Rep'!B:B,'Download of SFDC Activation Rep'!H:H),"")</f>
        <v/>
      </c>
      <c r="G789" s="13" t="str">
        <f t="array" ref="G789">iferror(xlookup(A789,'Download of SFDC Activation Rep'!B:B,'Download of SFDC Activation Rep'!L:L),"")</f>
        <v/>
      </c>
      <c r="H789" s="17" t="str">
        <f t="shared" si="1"/>
        <v>Not Active</v>
      </c>
      <c r="I789" s="17" t="str">
        <f t="array" ref="I789">XLOOKUP(A789,'Download of SFDC Activation Rep'!B:B,'Download of SFDC Activation Rep'!T:T)</f>
        <v>#N/A</v>
      </c>
      <c r="J789" s="17" t="str">
        <f t="array" ref="J789">iferror(XLOOKUP(A789,'Download of SFDC Activation Rep'!B:B,'Download of SFDC Activation Rep'!C:C),"")</f>
        <v/>
      </c>
      <c r="K789" s="17" t="str">
        <f t="array" ref="K789">XLOOKUP(A789,'Download of SFDC Activation Rep'!B:B,'Download of SFDC Activation Rep'!X:X)</f>
        <v>#N/A</v>
      </c>
      <c r="L789" s="32" t="str">
        <f t="array" ref="L789">xlookup(A789,'Download of SFDC Activation Rep'!B:B,'Download of SFDC Activation Rep'!Z:Z)</f>
        <v>#N/A</v>
      </c>
    </row>
    <row r="790">
      <c r="B790" s="14"/>
      <c r="C790" s="14"/>
      <c r="D790" s="14"/>
      <c r="E790" s="14"/>
      <c r="F790" s="13" t="str">
        <f t="array" ref="F790">iferror(XLOOKUP(A790,'Download of SFDC Activation Rep'!B:B,'Download of SFDC Activation Rep'!H:H),"")</f>
        <v/>
      </c>
      <c r="G790" s="13" t="str">
        <f t="array" ref="G790">iferror(xlookup(A790,'Download of SFDC Activation Rep'!B:B,'Download of SFDC Activation Rep'!L:L),"")</f>
        <v/>
      </c>
      <c r="H790" s="17" t="str">
        <f t="shared" si="1"/>
        <v>Not Active</v>
      </c>
      <c r="I790" s="17" t="str">
        <f t="array" ref="I790">XLOOKUP(A790,'Download of SFDC Activation Rep'!B:B,'Download of SFDC Activation Rep'!T:T)</f>
        <v>#N/A</v>
      </c>
      <c r="J790" s="17" t="str">
        <f t="array" ref="J790">iferror(XLOOKUP(A790,'Download of SFDC Activation Rep'!B:B,'Download of SFDC Activation Rep'!C:C),"")</f>
        <v/>
      </c>
      <c r="K790" s="17" t="str">
        <f t="array" ref="K790">XLOOKUP(A790,'Download of SFDC Activation Rep'!B:B,'Download of SFDC Activation Rep'!X:X)</f>
        <v>#N/A</v>
      </c>
      <c r="L790" s="32" t="str">
        <f t="array" ref="L790">xlookup(A790,'Download of SFDC Activation Rep'!B:B,'Download of SFDC Activation Rep'!Z:Z)</f>
        <v>#N/A</v>
      </c>
    </row>
    <row r="791">
      <c r="B791" s="14"/>
      <c r="C791" s="14"/>
      <c r="D791" s="14"/>
      <c r="E791" s="14"/>
      <c r="F791" s="13" t="str">
        <f t="array" ref="F791">iferror(XLOOKUP(A791,'Download of SFDC Activation Rep'!B:B,'Download of SFDC Activation Rep'!H:H),"")</f>
        <v/>
      </c>
      <c r="G791" s="13" t="str">
        <f t="array" ref="G791">iferror(xlookup(A791,'Download of SFDC Activation Rep'!B:B,'Download of SFDC Activation Rep'!L:L),"")</f>
        <v/>
      </c>
      <c r="H791" s="17" t="str">
        <f t="shared" si="1"/>
        <v>Not Active</v>
      </c>
      <c r="I791" s="17" t="str">
        <f t="array" ref="I791">XLOOKUP(A791,'Download of SFDC Activation Rep'!B:B,'Download of SFDC Activation Rep'!T:T)</f>
        <v>#N/A</v>
      </c>
      <c r="J791" s="17" t="str">
        <f t="array" ref="J791">iferror(XLOOKUP(A791,'Download of SFDC Activation Rep'!B:B,'Download of SFDC Activation Rep'!C:C),"")</f>
        <v/>
      </c>
      <c r="K791" s="17" t="str">
        <f t="array" ref="K791">XLOOKUP(A791,'Download of SFDC Activation Rep'!B:B,'Download of SFDC Activation Rep'!X:X)</f>
        <v>#N/A</v>
      </c>
      <c r="L791" s="32" t="str">
        <f t="array" ref="L791">xlookup(A791,'Download of SFDC Activation Rep'!B:B,'Download of SFDC Activation Rep'!Z:Z)</f>
        <v>#N/A</v>
      </c>
    </row>
    <row r="792">
      <c r="B792" s="14"/>
      <c r="C792" s="14"/>
      <c r="D792" s="14"/>
      <c r="E792" s="14"/>
      <c r="F792" s="13" t="str">
        <f t="array" ref="F792">iferror(XLOOKUP(A792,'Download of SFDC Activation Rep'!B:B,'Download of SFDC Activation Rep'!H:H),"")</f>
        <v/>
      </c>
      <c r="G792" s="13" t="str">
        <f t="array" ref="G792">iferror(xlookup(A792,'Download of SFDC Activation Rep'!B:B,'Download of SFDC Activation Rep'!L:L),"")</f>
        <v/>
      </c>
      <c r="H792" s="17" t="str">
        <f t="shared" si="1"/>
        <v>Not Active</v>
      </c>
      <c r="I792" s="17" t="str">
        <f t="array" ref="I792">XLOOKUP(A792,'Download of SFDC Activation Rep'!B:B,'Download of SFDC Activation Rep'!T:T)</f>
        <v>#N/A</v>
      </c>
      <c r="J792" s="17" t="str">
        <f t="array" ref="J792">iferror(XLOOKUP(A792,'Download of SFDC Activation Rep'!B:B,'Download of SFDC Activation Rep'!C:C),"")</f>
        <v/>
      </c>
      <c r="K792" s="17" t="str">
        <f t="array" ref="K792">XLOOKUP(A792,'Download of SFDC Activation Rep'!B:B,'Download of SFDC Activation Rep'!X:X)</f>
        <v>#N/A</v>
      </c>
      <c r="L792" s="32" t="str">
        <f t="array" ref="L792">xlookup(A792,'Download of SFDC Activation Rep'!B:B,'Download of SFDC Activation Rep'!Z:Z)</f>
        <v>#N/A</v>
      </c>
    </row>
    <row r="793">
      <c r="B793" s="14"/>
      <c r="C793" s="14"/>
      <c r="D793" s="14"/>
      <c r="E793" s="14"/>
      <c r="F793" s="13" t="str">
        <f t="array" ref="F793">iferror(XLOOKUP(A793,'Download of SFDC Activation Rep'!B:B,'Download of SFDC Activation Rep'!H:H),"")</f>
        <v/>
      </c>
      <c r="G793" s="13" t="str">
        <f t="array" ref="G793">iferror(xlookup(A793,'Download of SFDC Activation Rep'!B:B,'Download of SFDC Activation Rep'!L:L),"")</f>
        <v/>
      </c>
      <c r="H793" s="17" t="str">
        <f t="shared" si="1"/>
        <v>Not Active</v>
      </c>
      <c r="I793" s="17" t="str">
        <f t="array" ref="I793">XLOOKUP(A793,'Download of SFDC Activation Rep'!B:B,'Download of SFDC Activation Rep'!T:T)</f>
        <v>#N/A</v>
      </c>
      <c r="J793" s="17" t="str">
        <f t="array" ref="J793">iferror(XLOOKUP(A793,'Download of SFDC Activation Rep'!B:B,'Download of SFDC Activation Rep'!C:C),"")</f>
        <v/>
      </c>
      <c r="K793" s="17" t="str">
        <f t="array" ref="K793">XLOOKUP(A793,'Download of SFDC Activation Rep'!B:B,'Download of SFDC Activation Rep'!X:X)</f>
        <v>#N/A</v>
      </c>
      <c r="L793" s="32" t="str">
        <f t="array" ref="L793">xlookup(A793,'Download of SFDC Activation Rep'!B:B,'Download of SFDC Activation Rep'!Z:Z)</f>
        <v>#N/A</v>
      </c>
    </row>
    <row r="794">
      <c r="B794" s="14"/>
      <c r="C794" s="14"/>
      <c r="D794" s="14"/>
      <c r="E794" s="14"/>
      <c r="F794" s="13" t="str">
        <f t="array" ref="F794">iferror(XLOOKUP(A794,'Download of SFDC Activation Rep'!B:B,'Download of SFDC Activation Rep'!H:H),"")</f>
        <v/>
      </c>
      <c r="G794" s="13" t="str">
        <f t="array" ref="G794">iferror(xlookup(A794,'Download of SFDC Activation Rep'!B:B,'Download of SFDC Activation Rep'!L:L),"")</f>
        <v/>
      </c>
      <c r="H794" s="17" t="str">
        <f t="shared" si="1"/>
        <v>Not Active</v>
      </c>
      <c r="I794" s="17" t="str">
        <f t="array" ref="I794">XLOOKUP(A794,'Download of SFDC Activation Rep'!B:B,'Download of SFDC Activation Rep'!T:T)</f>
        <v>#N/A</v>
      </c>
      <c r="J794" s="17" t="str">
        <f t="array" ref="J794">iferror(XLOOKUP(A794,'Download of SFDC Activation Rep'!B:B,'Download of SFDC Activation Rep'!C:C),"")</f>
        <v/>
      </c>
      <c r="K794" s="17" t="str">
        <f t="array" ref="K794">XLOOKUP(A794,'Download of SFDC Activation Rep'!B:B,'Download of SFDC Activation Rep'!X:X)</f>
        <v>#N/A</v>
      </c>
      <c r="L794" s="32" t="str">
        <f t="array" ref="L794">xlookup(A794,'Download of SFDC Activation Rep'!B:B,'Download of SFDC Activation Rep'!Z:Z)</f>
        <v>#N/A</v>
      </c>
    </row>
    <row r="795">
      <c r="B795" s="14"/>
      <c r="C795" s="14"/>
      <c r="D795" s="14"/>
      <c r="E795" s="14"/>
      <c r="F795" s="13" t="str">
        <f t="array" ref="F795">iferror(XLOOKUP(A795,'Download of SFDC Activation Rep'!B:B,'Download of SFDC Activation Rep'!H:H),"")</f>
        <v/>
      </c>
      <c r="G795" s="13" t="str">
        <f t="array" ref="G795">iferror(xlookup(A795,'Download of SFDC Activation Rep'!B:B,'Download of SFDC Activation Rep'!L:L),"")</f>
        <v/>
      </c>
      <c r="H795" s="17" t="str">
        <f t="shared" si="1"/>
        <v>Not Active</v>
      </c>
      <c r="I795" s="17" t="str">
        <f t="array" ref="I795">XLOOKUP(A795,'Download of SFDC Activation Rep'!B:B,'Download of SFDC Activation Rep'!T:T)</f>
        <v>#N/A</v>
      </c>
      <c r="J795" s="17" t="str">
        <f t="array" ref="J795">iferror(XLOOKUP(A795,'Download of SFDC Activation Rep'!B:B,'Download of SFDC Activation Rep'!C:C),"")</f>
        <v/>
      </c>
      <c r="K795" s="17" t="str">
        <f t="array" ref="K795">XLOOKUP(A795,'Download of SFDC Activation Rep'!B:B,'Download of SFDC Activation Rep'!X:X)</f>
        <v>#N/A</v>
      </c>
      <c r="L795" s="32" t="str">
        <f t="array" ref="L795">xlookup(A795,'Download of SFDC Activation Rep'!B:B,'Download of SFDC Activation Rep'!Z:Z)</f>
        <v>#N/A</v>
      </c>
    </row>
    <row r="796">
      <c r="B796" s="14"/>
      <c r="C796" s="14"/>
      <c r="D796" s="14"/>
      <c r="E796" s="14"/>
      <c r="F796" s="13" t="str">
        <f t="array" ref="F796">iferror(XLOOKUP(A796,'Download of SFDC Activation Rep'!B:B,'Download of SFDC Activation Rep'!H:H),"")</f>
        <v/>
      </c>
      <c r="G796" s="13" t="str">
        <f t="array" ref="G796">iferror(xlookup(A796,'Download of SFDC Activation Rep'!B:B,'Download of SFDC Activation Rep'!L:L),"")</f>
        <v/>
      </c>
      <c r="H796" s="17" t="str">
        <f t="shared" si="1"/>
        <v>Not Active</v>
      </c>
      <c r="I796" s="17" t="str">
        <f t="array" ref="I796">XLOOKUP(A796,'Download of SFDC Activation Rep'!B:B,'Download of SFDC Activation Rep'!T:T)</f>
        <v>#N/A</v>
      </c>
      <c r="J796" s="17" t="str">
        <f t="array" ref="J796">iferror(XLOOKUP(A796,'Download of SFDC Activation Rep'!B:B,'Download of SFDC Activation Rep'!C:C),"")</f>
        <v/>
      </c>
      <c r="K796" s="17" t="str">
        <f t="array" ref="K796">XLOOKUP(A796,'Download of SFDC Activation Rep'!B:B,'Download of SFDC Activation Rep'!X:X)</f>
        <v>#N/A</v>
      </c>
      <c r="L796" s="32" t="str">
        <f t="array" ref="L796">xlookup(A796,'Download of SFDC Activation Rep'!B:B,'Download of SFDC Activation Rep'!Z:Z)</f>
        <v>#N/A</v>
      </c>
    </row>
    <row r="797">
      <c r="B797" s="14"/>
      <c r="C797" s="14"/>
      <c r="D797" s="14"/>
      <c r="E797" s="14"/>
      <c r="F797" s="13" t="str">
        <f t="array" ref="F797">iferror(XLOOKUP(A797,'Download of SFDC Activation Rep'!B:B,'Download of SFDC Activation Rep'!H:H),"")</f>
        <v/>
      </c>
      <c r="G797" s="13" t="str">
        <f t="array" ref="G797">iferror(xlookup(A797,'Download of SFDC Activation Rep'!B:B,'Download of SFDC Activation Rep'!L:L),"")</f>
        <v/>
      </c>
      <c r="H797" s="17" t="str">
        <f t="shared" si="1"/>
        <v>Not Active</v>
      </c>
      <c r="I797" s="17" t="str">
        <f t="array" ref="I797">XLOOKUP(A797,'Download of SFDC Activation Rep'!B:B,'Download of SFDC Activation Rep'!T:T)</f>
        <v>#N/A</v>
      </c>
      <c r="J797" s="17" t="str">
        <f t="array" ref="J797">iferror(XLOOKUP(A797,'Download of SFDC Activation Rep'!B:B,'Download of SFDC Activation Rep'!C:C),"")</f>
        <v/>
      </c>
      <c r="K797" s="17" t="str">
        <f t="array" ref="K797">XLOOKUP(A797,'Download of SFDC Activation Rep'!B:B,'Download of SFDC Activation Rep'!X:X)</f>
        <v>#N/A</v>
      </c>
      <c r="L797" s="32" t="str">
        <f t="array" ref="L797">xlookup(A797,'Download of SFDC Activation Rep'!B:B,'Download of SFDC Activation Rep'!Z:Z)</f>
        <v>#N/A</v>
      </c>
    </row>
    <row r="798">
      <c r="B798" s="14"/>
      <c r="C798" s="14"/>
      <c r="D798" s="14"/>
      <c r="E798" s="14"/>
      <c r="F798" s="13" t="str">
        <f t="array" ref="F798">iferror(XLOOKUP(A798,'Download of SFDC Activation Rep'!B:B,'Download of SFDC Activation Rep'!H:H),"")</f>
        <v/>
      </c>
      <c r="G798" s="13" t="str">
        <f t="array" ref="G798">iferror(xlookup(A798,'Download of SFDC Activation Rep'!B:B,'Download of SFDC Activation Rep'!L:L),"")</f>
        <v/>
      </c>
      <c r="H798" s="17" t="str">
        <f t="shared" si="1"/>
        <v>Not Active</v>
      </c>
      <c r="I798" s="17" t="str">
        <f t="array" ref="I798">XLOOKUP(A798,'Download of SFDC Activation Rep'!B:B,'Download of SFDC Activation Rep'!T:T)</f>
        <v>#N/A</v>
      </c>
      <c r="J798" s="17" t="str">
        <f t="array" ref="J798">iferror(XLOOKUP(A798,'Download of SFDC Activation Rep'!B:B,'Download of SFDC Activation Rep'!C:C),"")</f>
        <v/>
      </c>
      <c r="K798" s="17" t="str">
        <f t="array" ref="K798">XLOOKUP(A798,'Download of SFDC Activation Rep'!B:B,'Download of SFDC Activation Rep'!X:X)</f>
        <v>#N/A</v>
      </c>
      <c r="L798" s="32" t="str">
        <f t="array" ref="L798">xlookup(A798,'Download of SFDC Activation Rep'!B:B,'Download of SFDC Activation Rep'!Z:Z)</f>
        <v>#N/A</v>
      </c>
    </row>
    <row r="799">
      <c r="B799" s="14"/>
      <c r="C799" s="14"/>
      <c r="D799" s="14"/>
      <c r="E799" s="14"/>
      <c r="F799" s="13" t="str">
        <f t="array" ref="F799">iferror(XLOOKUP(A799,'Download of SFDC Activation Rep'!B:B,'Download of SFDC Activation Rep'!H:H),"")</f>
        <v/>
      </c>
      <c r="G799" s="13" t="str">
        <f t="array" ref="G799">iferror(xlookup(A799,'Download of SFDC Activation Rep'!B:B,'Download of SFDC Activation Rep'!L:L),"")</f>
        <v/>
      </c>
      <c r="H799" s="17" t="str">
        <f t="shared" si="1"/>
        <v>Not Active</v>
      </c>
      <c r="I799" s="17" t="str">
        <f t="array" ref="I799">XLOOKUP(A799,'Download of SFDC Activation Rep'!B:B,'Download of SFDC Activation Rep'!T:T)</f>
        <v>#N/A</v>
      </c>
      <c r="J799" s="17" t="str">
        <f t="array" ref="J799">iferror(XLOOKUP(A799,'Download of SFDC Activation Rep'!B:B,'Download of SFDC Activation Rep'!C:C),"")</f>
        <v/>
      </c>
      <c r="K799" s="17" t="str">
        <f t="array" ref="K799">XLOOKUP(A799,'Download of SFDC Activation Rep'!B:B,'Download of SFDC Activation Rep'!X:X)</f>
        <v>#N/A</v>
      </c>
      <c r="L799" s="32" t="str">
        <f t="array" ref="L799">xlookup(A799,'Download of SFDC Activation Rep'!B:B,'Download of SFDC Activation Rep'!Z:Z)</f>
        <v>#N/A</v>
      </c>
    </row>
    <row r="800">
      <c r="B800" s="14"/>
      <c r="C800" s="14"/>
      <c r="D800" s="14"/>
      <c r="E800" s="14"/>
      <c r="F800" s="13" t="str">
        <f t="array" ref="F800">iferror(XLOOKUP(A800,'Download of SFDC Activation Rep'!B:B,'Download of SFDC Activation Rep'!H:H),"")</f>
        <v/>
      </c>
      <c r="G800" s="13" t="str">
        <f t="array" ref="G800">iferror(xlookup(A800,'Download of SFDC Activation Rep'!B:B,'Download of SFDC Activation Rep'!L:L),"")</f>
        <v/>
      </c>
      <c r="H800" s="17" t="str">
        <f t="shared" si="1"/>
        <v>Not Active</v>
      </c>
      <c r="I800" s="17" t="str">
        <f t="array" ref="I800">XLOOKUP(A800,'Download of SFDC Activation Rep'!B:B,'Download of SFDC Activation Rep'!T:T)</f>
        <v>#N/A</v>
      </c>
      <c r="J800" s="17" t="str">
        <f t="array" ref="J800">iferror(XLOOKUP(A800,'Download of SFDC Activation Rep'!B:B,'Download of SFDC Activation Rep'!C:C),"")</f>
        <v/>
      </c>
      <c r="K800" s="17" t="str">
        <f t="array" ref="K800">XLOOKUP(A800,'Download of SFDC Activation Rep'!B:B,'Download of SFDC Activation Rep'!X:X)</f>
        <v>#N/A</v>
      </c>
      <c r="L800" s="32" t="str">
        <f t="array" ref="L800">xlookup(A800,'Download of SFDC Activation Rep'!B:B,'Download of SFDC Activation Rep'!Z:Z)</f>
        <v>#N/A</v>
      </c>
    </row>
    <row r="801">
      <c r="B801" s="14"/>
      <c r="C801" s="14"/>
      <c r="D801" s="14"/>
      <c r="E801" s="14"/>
      <c r="F801" s="13" t="str">
        <f t="array" ref="F801">iferror(XLOOKUP(A801,'Download of SFDC Activation Rep'!B:B,'Download of SFDC Activation Rep'!H:H),"")</f>
        <v/>
      </c>
      <c r="G801" s="13" t="str">
        <f t="array" ref="G801">iferror(xlookup(A801,'Download of SFDC Activation Rep'!B:B,'Download of SFDC Activation Rep'!L:L),"")</f>
        <v/>
      </c>
      <c r="H801" s="17" t="str">
        <f t="shared" si="1"/>
        <v>Not Active</v>
      </c>
      <c r="I801" s="17" t="str">
        <f t="array" ref="I801">XLOOKUP(A801,'Download of SFDC Activation Rep'!B:B,'Download of SFDC Activation Rep'!T:T)</f>
        <v>#N/A</v>
      </c>
      <c r="J801" s="17" t="str">
        <f t="array" ref="J801">iferror(XLOOKUP(A801,'Download of SFDC Activation Rep'!B:B,'Download of SFDC Activation Rep'!C:C),"")</f>
        <v/>
      </c>
      <c r="K801" s="17" t="str">
        <f t="array" ref="K801">XLOOKUP(A801,'Download of SFDC Activation Rep'!B:B,'Download of SFDC Activation Rep'!X:X)</f>
        <v>#N/A</v>
      </c>
      <c r="L801" s="32" t="str">
        <f t="array" ref="L801">xlookup(A801,'Download of SFDC Activation Rep'!B:B,'Download of SFDC Activation Rep'!Z:Z)</f>
        <v>#N/A</v>
      </c>
    </row>
    <row r="802">
      <c r="B802" s="14"/>
      <c r="C802" s="14"/>
      <c r="D802" s="14"/>
      <c r="E802" s="14"/>
      <c r="F802" s="13" t="str">
        <f t="array" ref="F802">iferror(XLOOKUP(A802,'Download of SFDC Activation Rep'!B:B,'Download of SFDC Activation Rep'!H:H),"")</f>
        <v/>
      </c>
      <c r="G802" s="13" t="str">
        <f t="array" ref="G802">iferror(xlookup(A802,'Download of SFDC Activation Rep'!B:B,'Download of SFDC Activation Rep'!L:L),"")</f>
        <v/>
      </c>
      <c r="H802" s="17" t="str">
        <f t="shared" si="1"/>
        <v>Not Active</v>
      </c>
      <c r="I802" s="17" t="str">
        <f t="array" ref="I802">XLOOKUP(A802,'Download of SFDC Activation Rep'!B:B,'Download of SFDC Activation Rep'!T:T)</f>
        <v>#N/A</v>
      </c>
      <c r="J802" s="17" t="str">
        <f t="array" ref="J802">iferror(XLOOKUP(A802,'Download of SFDC Activation Rep'!B:B,'Download of SFDC Activation Rep'!C:C),"")</f>
        <v/>
      </c>
      <c r="K802" s="17" t="str">
        <f t="array" ref="K802">XLOOKUP(A802,'Download of SFDC Activation Rep'!B:B,'Download of SFDC Activation Rep'!X:X)</f>
        <v>#N/A</v>
      </c>
      <c r="L802" s="32" t="str">
        <f t="array" ref="L802">xlookup(A802,'Download of SFDC Activation Rep'!B:B,'Download of SFDC Activation Rep'!Z:Z)</f>
        <v>#N/A</v>
      </c>
    </row>
    <row r="803">
      <c r="B803" s="14"/>
      <c r="C803" s="14"/>
      <c r="D803" s="14"/>
      <c r="E803" s="14"/>
      <c r="F803" s="13" t="str">
        <f t="array" ref="F803">iferror(XLOOKUP(A803,'Download of SFDC Activation Rep'!B:B,'Download of SFDC Activation Rep'!H:H),"")</f>
        <v/>
      </c>
      <c r="G803" s="13" t="str">
        <f t="array" ref="G803">iferror(xlookup(A803,'Download of SFDC Activation Rep'!B:B,'Download of SFDC Activation Rep'!L:L),"")</f>
        <v/>
      </c>
      <c r="H803" s="17" t="str">
        <f t="shared" si="1"/>
        <v>Not Active</v>
      </c>
      <c r="I803" s="17" t="str">
        <f t="array" ref="I803">XLOOKUP(A803,'Download of SFDC Activation Rep'!B:B,'Download of SFDC Activation Rep'!T:T)</f>
        <v>#N/A</v>
      </c>
      <c r="J803" s="17" t="str">
        <f t="array" ref="J803">iferror(XLOOKUP(A803,'Download of SFDC Activation Rep'!B:B,'Download of SFDC Activation Rep'!C:C),"")</f>
        <v/>
      </c>
      <c r="K803" s="17" t="str">
        <f t="array" ref="K803">XLOOKUP(A803,'Download of SFDC Activation Rep'!B:B,'Download of SFDC Activation Rep'!X:X)</f>
        <v>#N/A</v>
      </c>
      <c r="L803" s="32" t="str">
        <f t="array" ref="L803">xlookup(A803,'Download of SFDC Activation Rep'!B:B,'Download of SFDC Activation Rep'!Z:Z)</f>
        <v>#N/A</v>
      </c>
    </row>
    <row r="804">
      <c r="B804" s="14"/>
      <c r="C804" s="14"/>
      <c r="D804" s="14"/>
      <c r="E804" s="14"/>
      <c r="F804" s="13" t="str">
        <f t="array" ref="F804">iferror(XLOOKUP(A804,'Download of SFDC Activation Rep'!B:B,'Download of SFDC Activation Rep'!H:H),"")</f>
        <v/>
      </c>
      <c r="G804" s="13" t="str">
        <f t="array" ref="G804">iferror(xlookup(A804,'Download of SFDC Activation Rep'!B:B,'Download of SFDC Activation Rep'!L:L),"")</f>
        <v/>
      </c>
      <c r="H804" s="17" t="str">
        <f t="shared" si="1"/>
        <v>Not Active</v>
      </c>
      <c r="I804" s="17" t="str">
        <f t="array" ref="I804">XLOOKUP(A804,'Download of SFDC Activation Rep'!B:B,'Download of SFDC Activation Rep'!T:T)</f>
        <v>#N/A</v>
      </c>
      <c r="J804" s="17" t="str">
        <f t="array" ref="J804">iferror(XLOOKUP(A804,'Download of SFDC Activation Rep'!B:B,'Download of SFDC Activation Rep'!C:C),"")</f>
        <v/>
      </c>
      <c r="K804" s="17" t="str">
        <f t="array" ref="K804">XLOOKUP(A804,'Download of SFDC Activation Rep'!B:B,'Download of SFDC Activation Rep'!X:X)</f>
        <v>#N/A</v>
      </c>
      <c r="L804" s="32" t="str">
        <f t="array" ref="L804">xlookup(A804,'Download of SFDC Activation Rep'!B:B,'Download of SFDC Activation Rep'!Z:Z)</f>
        <v>#N/A</v>
      </c>
    </row>
    <row r="805">
      <c r="B805" s="14"/>
      <c r="C805" s="14"/>
      <c r="D805" s="14"/>
      <c r="E805" s="14"/>
      <c r="F805" s="13" t="str">
        <f t="array" ref="F805">iferror(XLOOKUP(A805,'Download of SFDC Activation Rep'!B:B,'Download of SFDC Activation Rep'!H:H),"")</f>
        <v/>
      </c>
      <c r="G805" s="13" t="str">
        <f t="array" ref="G805">iferror(xlookup(A805,'Download of SFDC Activation Rep'!B:B,'Download of SFDC Activation Rep'!L:L),"")</f>
        <v/>
      </c>
      <c r="H805" s="17" t="str">
        <f t="shared" si="1"/>
        <v>Not Active</v>
      </c>
      <c r="I805" s="17" t="str">
        <f t="array" ref="I805">XLOOKUP(A805,'Download of SFDC Activation Rep'!B:B,'Download of SFDC Activation Rep'!T:T)</f>
        <v>#N/A</v>
      </c>
      <c r="J805" s="17" t="str">
        <f t="array" ref="J805">iferror(XLOOKUP(A805,'Download of SFDC Activation Rep'!B:B,'Download of SFDC Activation Rep'!C:C),"")</f>
        <v/>
      </c>
      <c r="K805" s="17" t="str">
        <f t="array" ref="K805">XLOOKUP(A805,'Download of SFDC Activation Rep'!B:B,'Download of SFDC Activation Rep'!X:X)</f>
        <v>#N/A</v>
      </c>
      <c r="L805" s="32" t="str">
        <f t="array" ref="L805">xlookup(A805,'Download of SFDC Activation Rep'!B:B,'Download of SFDC Activation Rep'!Z:Z)</f>
        <v>#N/A</v>
      </c>
    </row>
    <row r="806">
      <c r="B806" s="14"/>
      <c r="C806" s="14"/>
      <c r="D806" s="14"/>
      <c r="E806" s="14"/>
      <c r="F806" s="13" t="str">
        <f t="array" ref="F806">iferror(XLOOKUP(A806,'Download of SFDC Activation Rep'!B:B,'Download of SFDC Activation Rep'!H:H),"")</f>
        <v/>
      </c>
      <c r="G806" s="13" t="str">
        <f t="array" ref="G806">iferror(xlookup(A806,'Download of SFDC Activation Rep'!B:B,'Download of SFDC Activation Rep'!L:L),"")</f>
        <v/>
      </c>
      <c r="H806" s="17" t="str">
        <f t="shared" si="1"/>
        <v>Not Active</v>
      </c>
      <c r="I806" s="17" t="str">
        <f t="array" ref="I806">XLOOKUP(A806,'Download of SFDC Activation Rep'!B:B,'Download of SFDC Activation Rep'!T:T)</f>
        <v>#N/A</v>
      </c>
      <c r="J806" s="17" t="str">
        <f t="array" ref="J806">iferror(XLOOKUP(A806,'Download of SFDC Activation Rep'!B:B,'Download of SFDC Activation Rep'!C:C),"")</f>
        <v/>
      </c>
      <c r="K806" s="17" t="str">
        <f t="array" ref="K806">XLOOKUP(A806,'Download of SFDC Activation Rep'!B:B,'Download of SFDC Activation Rep'!X:X)</f>
        <v>#N/A</v>
      </c>
      <c r="L806" s="32" t="str">
        <f t="array" ref="L806">xlookup(A806,'Download of SFDC Activation Rep'!B:B,'Download of SFDC Activation Rep'!Z:Z)</f>
        <v>#N/A</v>
      </c>
    </row>
    <row r="807">
      <c r="B807" s="14"/>
      <c r="C807" s="14"/>
      <c r="D807" s="14"/>
      <c r="E807" s="14"/>
      <c r="F807" s="13" t="str">
        <f t="array" ref="F807">iferror(XLOOKUP(A807,'Download of SFDC Activation Rep'!B:B,'Download of SFDC Activation Rep'!H:H),"")</f>
        <v/>
      </c>
      <c r="G807" s="13" t="str">
        <f t="array" ref="G807">iferror(xlookup(A807,'Download of SFDC Activation Rep'!B:B,'Download of SFDC Activation Rep'!L:L),"")</f>
        <v/>
      </c>
      <c r="H807" s="17" t="str">
        <f t="shared" si="1"/>
        <v>Not Active</v>
      </c>
      <c r="I807" s="17" t="str">
        <f t="array" ref="I807">XLOOKUP(A807,'Download of SFDC Activation Rep'!B:B,'Download of SFDC Activation Rep'!T:T)</f>
        <v>#N/A</v>
      </c>
      <c r="J807" s="17" t="str">
        <f t="array" ref="J807">iferror(XLOOKUP(A807,'Download of SFDC Activation Rep'!B:B,'Download of SFDC Activation Rep'!C:C),"")</f>
        <v/>
      </c>
      <c r="K807" s="17" t="str">
        <f t="array" ref="K807">XLOOKUP(A807,'Download of SFDC Activation Rep'!B:B,'Download of SFDC Activation Rep'!X:X)</f>
        <v>#N/A</v>
      </c>
      <c r="L807" s="32" t="str">
        <f t="array" ref="L807">xlookup(A807,'Download of SFDC Activation Rep'!B:B,'Download of SFDC Activation Rep'!Z:Z)</f>
        <v>#N/A</v>
      </c>
    </row>
    <row r="808">
      <c r="B808" s="14"/>
      <c r="C808" s="14"/>
      <c r="D808" s="14"/>
      <c r="E808" s="14"/>
      <c r="F808" s="13" t="str">
        <f t="array" ref="F808">iferror(XLOOKUP(A808,'Download of SFDC Activation Rep'!B:B,'Download of SFDC Activation Rep'!H:H),"")</f>
        <v/>
      </c>
      <c r="G808" s="13" t="str">
        <f t="array" ref="G808">iferror(xlookup(A808,'Download of SFDC Activation Rep'!B:B,'Download of SFDC Activation Rep'!L:L),"")</f>
        <v/>
      </c>
      <c r="H808" s="17" t="str">
        <f t="shared" si="1"/>
        <v>Not Active</v>
      </c>
      <c r="I808" s="17" t="str">
        <f t="array" ref="I808">XLOOKUP(A808,'Download of SFDC Activation Rep'!B:B,'Download of SFDC Activation Rep'!T:T)</f>
        <v>#N/A</v>
      </c>
      <c r="J808" s="17" t="str">
        <f t="array" ref="J808">iferror(XLOOKUP(A808,'Download of SFDC Activation Rep'!B:B,'Download of SFDC Activation Rep'!C:C),"")</f>
        <v/>
      </c>
      <c r="K808" s="17" t="str">
        <f t="array" ref="K808">XLOOKUP(A808,'Download of SFDC Activation Rep'!B:B,'Download of SFDC Activation Rep'!X:X)</f>
        <v>#N/A</v>
      </c>
      <c r="L808" s="32" t="str">
        <f t="array" ref="L808">xlookup(A808,'Download of SFDC Activation Rep'!B:B,'Download of SFDC Activation Rep'!Z:Z)</f>
        <v>#N/A</v>
      </c>
    </row>
    <row r="809">
      <c r="B809" s="14"/>
      <c r="C809" s="14"/>
      <c r="D809" s="14"/>
      <c r="E809" s="14"/>
      <c r="F809" s="13" t="str">
        <f t="array" ref="F809">iferror(XLOOKUP(A809,'Download of SFDC Activation Rep'!B:B,'Download of SFDC Activation Rep'!H:H),"")</f>
        <v/>
      </c>
      <c r="G809" s="13" t="str">
        <f t="array" ref="G809">iferror(xlookup(A809,'Download of SFDC Activation Rep'!B:B,'Download of SFDC Activation Rep'!L:L),"")</f>
        <v/>
      </c>
      <c r="H809" s="17" t="str">
        <f t="shared" si="1"/>
        <v>Not Active</v>
      </c>
      <c r="I809" s="17" t="str">
        <f t="array" ref="I809">XLOOKUP(A809,'Download of SFDC Activation Rep'!B:B,'Download of SFDC Activation Rep'!T:T)</f>
        <v>#N/A</v>
      </c>
      <c r="J809" s="17" t="str">
        <f t="array" ref="J809">iferror(XLOOKUP(A809,'Download of SFDC Activation Rep'!B:B,'Download of SFDC Activation Rep'!C:C),"")</f>
        <v/>
      </c>
      <c r="K809" s="17" t="str">
        <f t="array" ref="K809">XLOOKUP(A809,'Download of SFDC Activation Rep'!B:B,'Download of SFDC Activation Rep'!X:X)</f>
        <v>#N/A</v>
      </c>
      <c r="L809" s="32" t="str">
        <f t="array" ref="L809">xlookup(A809,'Download of SFDC Activation Rep'!B:B,'Download of SFDC Activation Rep'!Z:Z)</f>
        <v>#N/A</v>
      </c>
    </row>
    <row r="810">
      <c r="B810" s="14"/>
      <c r="C810" s="14"/>
      <c r="D810" s="14"/>
      <c r="E810" s="14"/>
      <c r="F810" s="13" t="str">
        <f t="array" ref="F810">iferror(XLOOKUP(A810,'Download of SFDC Activation Rep'!B:B,'Download of SFDC Activation Rep'!H:H),"")</f>
        <v/>
      </c>
      <c r="G810" s="13" t="str">
        <f t="array" ref="G810">iferror(xlookup(A810,'Download of SFDC Activation Rep'!B:B,'Download of SFDC Activation Rep'!L:L),"")</f>
        <v/>
      </c>
      <c r="H810" s="17" t="str">
        <f t="shared" si="1"/>
        <v>Not Active</v>
      </c>
      <c r="I810" s="17" t="str">
        <f t="array" ref="I810">XLOOKUP(A810,'Download of SFDC Activation Rep'!B:B,'Download of SFDC Activation Rep'!T:T)</f>
        <v>#N/A</v>
      </c>
      <c r="J810" s="17" t="str">
        <f t="array" ref="J810">iferror(XLOOKUP(A810,'Download of SFDC Activation Rep'!B:B,'Download of SFDC Activation Rep'!C:C),"")</f>
        <v/>
      </c>
      <c r="K810" s="17" t="str">
        <f t="array" ref="K810">XLOOKUP(A810,'Download of SFDC Activation Rep'!B:B,'Download of SFDC Activation Rep'!X:X)</f>
        <v>#N/A</v>
      </c>
      <c r="L810" s="32" t="str">
        <f t="array" ref="L810">xlookup(A810,'Download of SFDC Activation Rep'!B:B,'Download of SFDC Activation Rep'!Z:Z)</f>
        <v>#N/A</v>
      </c>
    </row>
    <row r="811">
      <c r="B811" s="14"/>
      <c r="C811" s="14"/>
      <c r="D811" s="14"/>
      <c r="E811" s="14"/>
      <c r="F811" s="13" t="str">
        <f t="array" ref="F811">iferror(XLOOKUP(A811,'Download of SFDC Activation Rep'!B:B,'Download of SFDC Activation Rep'!H:H),"")</f>
        <v/>
      </c>
      <c r="G811" s="13" t="str">
        <f t="array" ref="G811">iferror(xlookup(A811,'Download of SFDC Activation Rep'!B:B,'Download of SFDC Activation Rep'!L:L),"")</f>
        <v/>
      </c>
      <c r="H811" s="17" t="str">
        <f t="shared" si="1"/>
        <v>Not Active</v>
      </c>
      <c r="I811" s="17" t="str">
        <f t="array" ref="I811">XLOOKUP(A811,'Download of SFDC Activation Rep'!B:B,'Download of SFDC Activation Rep'!T:T)</f>
        <v>#N/A</v>
      </c>
      <c r="J811" s="17" t="str">
        <f t="array" ref="J811">iferror(XLOOKUP(A811,'Download of SFDC Activation Rep'!B:B,'Download of SFDC Activation Rep'!C:C),"")</f>
        <v/>
      </c>
      <c r="K811" s="17" t="str">
        <f t="array" ref="K811">XLOOKUP(A811,'Download of SFDC Activation Rep'!B:B,'Download of SFDC Activation Rep'!X:X)</f>
        <v>#N/A</v>
      </c>
      <c r="L811" s="32" t="str">
        <f t="array" ref="L811">xlookup(A811,'Download of SFDC Activation Rep'!B:B,'Download of SFDC Activation Rep'!Z:Z)</f>
        <v>#N/A</v>
      </c>
    </row>
    <row r="812">
      <c r="B812" s="14"/>
      <c r="C812" s="14"/>
      <c r="D812" s="14"/>
      <c r="E812" s="14"/>
      <c r="F812" s="13" t="str">
        <f t="array" ref="F812">iferror(XLOOKUP(A812,'Download of SFDC Activation Rep'!B:B,'Download of SFDC Activation Rep'!H:H),"")</f>
        <v/>
      </c>
      <c r="G812" s="13" t="str">
        <f t="array" ref="G812">iferror(xlookup(A812,'Download of SFDC Activation Rep'!B:B,'Download of SFDC Activation Rep'!L:L),"")</f>
        <v/>
      </c>
      <c r="H812" s="17" t="str">
        <f t="shared" si="1"/>
        <v>Not Active</v>
      </c>
      <c r="I812" s="17" t="str">
        <f t="array" ref="I812">XLOOKUP(A812,'Download of SFDC Activation Rep'!B:B,'Download of SFDC Activation Rep'!T:T)</f>
        <v>#N/A</v>
      </c>
      <c r="J812" s="17" t="str">
        <f t="array" ref="J812">iferror(XLOOKUP(A812,'Download of SFDC Activation Rep'!B:B,'Download of SFDC Activation Rep'!C:C),"")</f>
        <v/>
      </c>
      <c r="K812" s="17" t="str">
        <f t="array" ref="K812">XLOOKUP(A812,'Download of SFDC Activation Rep'!B:B,'Download of SFDC Activation Rep'!X:X)</f>
        <v>#N/A</v>
      </c>
      <c r="L812" s="32" t="str">
        <f t="array" ref="L812">xlookup(A812,'Download of SFDC Activation Rep'!B:B,'Download of SFDC Activation Rep'!Z:Z)</f>
        <v>#N/A</v>
      </c>
    </row>
    <row r="813">
      <c r="B813" s="14"/>
      <c r="C813" s="14"/>
      <c r="D813" s="14"/>
      <c r="E813" s="14"/>
      <c r="F813" s="13" t="str">
        <f t="array" ref="F813">iferror(XLOOKUP(A813,'Download of SFDC Activation Rep'!B:B,'Download of SFDC Activation Rep'!H:H),"")</f>
        <v/>
      </c>
      <c r="G813" s="13" t="str">
        <f t="array" ref="G813">iferror(xlookup(A813,'Download of SFDC Activation Rep'!B:B,'Download of SFDC Activation Rep'!L:L),"")</f>
        <v/>
      </c>
      <c r="H813" s="17" t="str">
        <f t="shared" si="1"/>
        <v>Not Active</v>
      </c>
      <c r="I813" s="17" t="str">
        <f t="array" ref="I813">XLOOKUP(A813,'Download of SFDC Activation Rep'!B:B,'Download of SFDC Activation Rep'!T:T)</f>
        <v>#N/A</v>
      </c>
      <c r="J813" s="17" t="str">
        <f t="array" ref="J813">iferror(XLOOKUP(A813,'Download of SFDC Activation Rep'!B:B,'Download of SFDC Activation Rep'!C:C),"")</f>
        <v/>
      </c>
      <c r="K813" s="17" t="str">
        <f t="array" ref="K813">XLOOKUP(A813,'Download of SFDC Activation Rep'!B:B,'Download of SFDC Activation Rep'!X:X)</f>
        <v>#N/A</v>
      </c>
      <c r="L813" s="32" t="str">
        <f t="array" ref="L813">xlookup(A813,'Download of SFDC Activation Rep'!B:B,'Download of SFDC Activation Rep'!Z:Z)</f>
        <v>#N/A</v>
      </c>
    </row>
    <row r="814">
      <c r="B814" s="14"/>
      <c r="C814" s="14"/>
      <c r="D814" s="14"/>
      <c r="E814" s="14"/>
      <c r="F814" s="13" t="str">
        <f t="array" ref="F814">iferror(XLOOKUP(A814,'Download of SFDC Activation Rep'!B:B,'Download of SFDC Activation Rep'!H:H),"")</f>
        <v/>
      </c>
      <c r="G814" s="13" t="str">
        <f t="array" ref="G814">iferror(xlookup(A814,'Download of SFDC Activation Rep'!B:B,'Download of SFDC Activation Rep'!L:L),"")</f>
        <v/>
      </c>
      <c r="H814" s="17" t="str">
        <f t="shared" si="1"/>
        <v>Not Active</v>
      </c>
      <c r="I814" s="17" t="str">
        <f t="array" ref="I814">XLOOKUP(A814,'Download of SFDC Activation Rep'!B:B,'Download of SFDC Activation Rep'!T:T)</f>
        <v>#N/A</v>
      </c>
      <c r="J814" s="17" t="str">
        <f t="array" ref="J814">iferror(XLOOKUP(A814,'Download of SFDC Activation Rep'!B:B,'Download of SFDC Activation Rep'!C:C),"")</f>
        <v/>
      </c>
      <c r="K814" s="17" t="str">
        <f t="array" ref="K814">XLOOKUP(A814,'Download of SFDC Activation Rep'!B:B,'Download of SFDC Activation Rep'!X:X)</f>
        <v>#N/A</v>
      </c>
      <c r="L814" s="32" t="str">
        <f t="array" ref="L814">xlookup(A814,'Download of SFDC Activation Rep'!B:B,'Download of SFDC Activation Rep'!Z:Z)</f>
        <v>#N/A</v>
      </c>
    </row>
    <row r="815">
      <c r="B815" s="14"/>
      <c r="C815" s="14"/>
      <c r="D815" s="14"/>
      <c r="E815" s="14"/>
      <c r="F815" s="13" t="str">
        <f t="array" ref="F815">iferror(XLOOKUP(A815,'Download of SFDC Activation Rep'!B:B,'Download of SFDC Activation Rep'!H:H),"")</f>
        <v/>
      </c>
      <c r="G815" s="13" t="str">
        <f t="array" ref="G815">iferror(xlookup(A815,'Download of SFDC Activation Rep'!B:B,'Download of SFDC Activation Rep'!L:L),"")</f>
        <v/>
      </c>
      <c r="H815" s="17" t="str">
        <f t="shared" si="1"/>
        <v>Not Active</v>
      </c>
      <c r="I815" s="17" t="str">
        <f t="array" ref="I815">XLOOKUP(A815,'Download of SFDC Activation Rep'!B:B,'Download of SFDC Activation Rep'!T:T)</f>
        <v>#N/A</v>
      </c>
      <c r="J815" s="17" t="str">
        <f t="array" ref="J815">iferror(XLOOKUP(A815,'Download of SFDC Activation Rep'!B:B,'Download of SFDC Activation Rep'!C:C),"")</f>
        <v/>
      </c>
      <c r="K815" s="17" t="str">
        <f t="array" ref="K815">XLOOKUP(A815,'Download of SFDC Activation Rep'!B:B,'Download of SFDC Activation Rep'!X:X)</f>
        <v>#N/A</v>
      </c>
      <c r="L815" s="32" t="str">
        <f t="array" ref="L815">xlookup(A815,'Download of SFDC Activation Rep'!B:B,'Download of SFDC Activation Rep'!Z:Z)</f>
        <v>#N/A</v>
      </c>
    </row>
    <row r="816">
      <c r="B816" s="14"/>
      <c r="C816" s="14"/>
      <c r="D816" s="14"/>
      <c r="E816" s="14"/>
      <c r="F816" s="13" t="str">
        <f t="array" ref="F816">iferror(XLOOKUP(A816,'Download of SFDC Activation Rep'!B:B,'Download of SFDC Activation Rep'!H:H),"")</f>
        <v/>
      </c>
      <c r="G816" s="13" t="str">
        <f t="array" ref="G816">iferror(xlookup(A816,'Download of SFDC Activation Rep'!B:B,'Download of SFDC Activation Rep'!L:L),"")</f>
        <v/>
      </c>
      <c r="H816" s="17" t="str">
        <f t="shared" si="1"/>
        <v>Not Active</v>
      </c>
      <c r="I816" s="17" t="str">
        <f t="array" ref="I816">XLOOKUP(A816,'Download of SFDC Activation Rep'!B:B,'Download of SFDC Activation Rep'!T:T)</f>
        <v>#N/A</v>
      </c>
      <c r="J816" s="17" t="str">
        <f t="array" ref="J816">iferror(XLOOKUP(A816,'Download of SFDC Activation Rep'!B:B,'Download of SFDC Activation Rep'!C:C),"")</f>
        <v/>
      </c>
      <c r="K816" s="17" t="str">
        <f t="array" ref="K816">XLOOKUP(A816,'Download of SFDC Activation Rep'!B:B,'Download of SFDC Activation Rep'!X:X)</f>
        <v>#N/A</v>
      </c>
      <c r="L816" s="32" t="str">
        <f t="array" ref="L816">xlookup(A816,'Download of SFDC Activation Rep'!B:B,'Download of SFDC Activation Rep'!Z:Z)</f>
        <v>#N/A</v>
      </c>
    </row>
    <row r="817">
      <c r="B817" s="14"/>
      <c r="C817" s="14"/>
      <c r="D817" s="14"/>
      <c r="E817" s="14"/>
      <c r="F817" s="13" t="str">
        <f t="array" ref="F817">iferror(XLOOKUP(A817,'Download of SFDC Activation Rep'!B:B,'Download of SFDC Activation Rep'!H:H),"")</f>
        <v/>
      </c>
      <c r="G817" s="13" t="str">
        <f t="array" ref="G817">iferror(xlookup(A817,'Download of SFDC Activation Rep'!B:B,'Download of SFDC Activation Rep'!L:L),"")</f>
        <v/>
      </c>
      <c r="H817" s="17" t="str">
        <f t="shared" si="1"/>
        <v>Not Active</v>
      </c>
      <c r="I817" s="17" t="str">
        <f t="array" ref="I817">XLOOKUP(A817,'Download of SFDC Activation Rep'!B:B,'Download of SFDC Activation Rep'!T:T)</f>
        <v>#N/A</v>
      </c>
      <c r="J817" s="17" t="str">
        <f t="array" ref="J817">iferror(XLOOKUP(A817,'Download of SFDC Activation Rep'!B:B,'Download of SFDC Activation Rep'!C:C),"")</f>
        <v/>
      </c>
      <c r="K817" s="17" t="str">
        <f t="array" ref="K817">XLOOKUP(A817,'Download of SFDC Activation Rep'!B:B,'Download of SFDC Activation Rep'!X:X)</f>
        <v>#N/A</v>
      </c>
      <c r="L817" s="32" t="str">
        <f t="array" ref="L817">xlookup(A817,'Download of SFDC Activation Rep'!B:B,'Download of SFDC Activation Rep'!Z:Z)</f>
        <v>#N/A</v>
      </c>
    </row>
    <row r="818">
      <c r="B818" s="14"/>
      <c r="C818" s="14"/>
      <c r="D818" s="14"/>
      <c r="E818" s="14"/>
      <c r="F818" s="13" t="str">
        <f t="array" ref="F818">iferror(XLOOKUP(A818,'Download of SFDC Activation Rep'!B:B,'Download of SFDC Activation Rep'!H:H),"")</f>
        <v/>
      </c>
      <c r="G818" s="13" t="str">
        <f t="array" ref="G818">iferror(xlookup(A818,'Download of SFDC Activation Rep'!B:B,'Download of SFDC Activation Rep'!L:L),"")</f>
        <v/>
      </c>
      <c r="H818" s="17" t="str">
        <f t="shared" si="1"/>
        <v>Not Active</v>
      </c>
      <c r="I818" s="17" t="str">
        <f t="array" ref="I818">XLOOKUP(A818,'Download of SFDC Activation Rep'!B:B,'Download of SFDC Activation Rep'!T:T)</f>
        <v>#N/A</v>
      </c>
      <c r="J818" s="17" t="str">
        <f t="array" ref="J818">iferror(XLOOKUP(A818,'Download of SFDC Activation Rep'!B:B,'Download of SFDC Activation Rep'!C:C),"")</f>
        <v/>
      </c>
      <c r="K818" s="17" t="str">
        <f t="array" ref="K818">XLOOKUP(A818,'Download of SFDC Activation Rep'!B:B,'Download of SFDC Activation Rep'!X:X)</f>
        <v>#N/A</v>
      </c>
      <c r="L818" s="32" t="str">
        <f t="array" ref="L818">xlookup(A818,'Download of SFDC Activation Rep'!B:B,'Download of SFDC Activation Rep'!Z:Z)</f>
        <v>#N/A</v>
      </c>
    </row>
    <row r="819">
      <c r="B819" s="14"/>
      <c r="C819" s="14"/>
      <c r="D819" s="14"/>
      <c r="E819" s="14"/>
      <c r="F819" s="13" t="str">
        <f t="array" ref="F819">iferror(XLOOKUP(A819,'Download of SFDC Activation Rep'!B:B,'Download of SFDC Activation Rep'!H:H),"")</f>
        <v/>
      </c>
      <c r="G819" s="13" t="str">
        <f t="array" ref="G819">iferror(xlookup(A819,'Download of SFDC Activation Rep'!B:B,'Download of SFDC Activation Rep'!L:L),"")</f>
        <v/>
      </c>
      <c r="H819" s="17" t="str">
        <f t="shared" si="1"/>
        <v>Not Active</v>
      </c>
      <c r="I819" s="17" t="str">
        <f t="array" ref="I819">XLOOKUP(A819,'Download of SFDC Activation Rep'!B:B,'Download of SFDC Activation Rep'!T:T)</f>
        <v>#N/A</v>
      </c>
      <c r="J819" s="17" t="str">
        <f t="array" ref="J819">iferror(XLOOKUP(A819,'Download of SFDC Activation Rep'!B:B,'Download of SFDC Activation Rep'!C:C),"")</f>
        <v/>
      </c>
      <c r="K819" s="17" t="str">
        <f t="array" ref="K819">XLOOKUP(A819,'Download of SFDC Activation Rep'!B:B,'Download of SFDC Activation Rep'!X:X)</f>
        <v>#N/A</v>
      </c>
      <c r="L819" s="32" t="str">
        <f t="array" ref="L819">xlookup(A819,'Download of SFDC Activation Rep'!B:B,'Download of SFDC Activation Rep'!Z:Z)</f>
        <v>#N/A</v>
      </c>
    </row>
    <row r="820">
      <c r="B820" s="14"/>
      <c r="C820" s="14"/>
      <c r="D820" s="14"/>
      <c r="E820" s="14"/>
      <c r="F820" s="13" t="str">
        <f t="array" ref="F820">iferror(XLOOKUP(A820,'Download of SFDC Activation Rep'!B:B,'Download of SFDC Activation Rep'!H:H),"")</f>
        <v/>
      </c>
      <c r="G820" s="13" t="str">
        <f t="array" ref="G820">iferror(xlookup(A820,'Download of SFDC Activation Rep'!B:B,'Download of SFDC Activation Rep'!L:L),"")</f>
        <v/>
      </c>
      <c r="H820" s="17" t="str">
        <f t="shared" si="1"/>
        <v>Not Active</v>
      </c>
      <c r="I820" s="17" t="str">
        <f t="array" ref="I820">XLOOKUP(A820,'Download of SFDC Activation Rep'!B:B,'Download of SFDC Activation Rep'!T:T)</f>
        <v>#N/A</v>
      </c>
      <c r="J820" s="17" t="str">
        <f t="array" ref="J820">iferror(XLOOKUP(A820,'Download of SFDC Activation Rep'!B:B,'Download of SFDC Activation Rep'!C:C),"")</f>
        <v/>
      </c>
      <c r="K820" s="17" t="str">
        <f t="array" ref="K820">XLOOKUP(A820,'Download of SFDC Activation Rep'!B:B,'Download of SFDC Activation Rep'!X:X)</f>
        <v>#N/A</v>
      </c>
      <c r="L820" s="32" t="str">
        <f t="array" ref="L820">xlookup(A820,'Download of SFDC Activation Rep'!B:B,'Download of SFDC Activation Rep'!Z:Z)</f>
        <v>#N/A</v>
      </c>
    </row>
    <row r="821">
      <c r="B821" s="14"/>
      <c r="C821" s="14"/>
      <c r="D821" s="14"/>
      <c r="E821" s="14"/>
      <c r="F821" s="13" t="str">
        <f t="array" ref="F821">iferror(XLOOKUP(A821,'Download of SFDC Activation Rep'!B:B,'Download of SFDC Activation Rep'!H:H),"")</f>
        <v/>
      </c>
      <c r="G821" s="13" t="str">
        <f t="array" ref="G821">iferror(xlookup(A821,'Download of SFDC Activation Rep'!B:B,'Download of SFDC Activation Rep'!L:L),"")</f>
        <v/>
      </c>
      <c r="H821" s="17" t="str">
        <f t="shared" si="1"/>
        <v>Not Active</v>
      </c>
      <c r="I821" s="17" t="str">
        <f t="array" ref="I821">XLOOKUP(A821,'Download of SFDC Activation Rep'!B:B,'Download of SFDC Activation Rep'!T:T)</f>
        <v>#N/A</v>
      </c>
      <c r="J821" s="17" t="str">
        <f t="array" ref="J821">iferror(XLOOKUP(A821,'Download of SFDC Activation Rep'!B:B,'Download of SFDC Activation Rep'!C:C),"")</f>
        <v/>
      </c>
      <c r="K821" s="17" t="str">
        <f t="array" ref="K821">XLOOKUP(A821,'Download of SFDC Activation Rep'!B:B,'Download of SFDC Activation Rep'!X:X)</f>
        <v>#N/A</v>
      </c>
      <c r="L821" s="32" t="str">
        <f t="array" ref="L821">xlookup(A821,'Download of SFDC Activation Rep'!B:B,'Download of SFDC Activation Rep'!Z:Z)</f>
        <v>#N/A</v>
      </c>
    </row>
    <row r="822">
      <c r="B822" s="14"/>
      <c r="C822" s="14"/>
      <c r="D822" s="14"/>
      <c r="E822" s="14"/>
      <c r="F822" s="13" t="str">
        <f t="array" ref="F822">iferror(XLOOKUP(A822,'Download of SFDC Activation Rep'!B:B,'Download of SFDC Activation Rep'!H:H),"")</f>
        <v/>
      </c>
      <c r="G822" s="13" t="str">
        <f t="array" ref="G822">iferror(xlookup(A822,'Download of SFDC Activation Rep'!B:B,'Download of SFDC Activation Rep'!L:L),"")</f>
        <v/>
      </c>
      <c r="H822" s="17" t="str">
        <f t="shared" si="1"/>
        <v>Not Active</v>
      </c>
      <c r="I822" s="17" t="str">
        <f t="array" ref="I822">XLOOKUP(A822,'Download of SFDC Activation Rep'!B:B,'Download of SFDC Activation Rep'!T:T)</f>
        <v>#N/A</v>
      </c>
      <c r="J822" s="17" t="str">
        <f t="array" ref="J822">iferror(XLOOKUP(A822,'Download of SFDC Activation Rep'!B:B,'Download of SFDC Activation Rep'!C:C),"")</f>
        <v/>
      </c>
      <c r="K822" s="17" t="str">
        <f t="array" ref="K822">XLOOKUP(A822,'Download of SFDC Activation Rep'!B:B,'Download of SFDC Activation Rep'!X:X)</f>
        <v>#N/A</v>
      </c>
      <c r="L822" s="32" t="str">
        <f t="array" ref="L822">xlookup(A822,'Download of SFDC Activation Rep'!B:B,'Download of SFDC Activation Rep'!Z:Z)</f>
        <v>#N/A</v>
      </c>
    </row>
    <row r="823">
      <c r="B823" s="14"/>
      <c r="C823" s="14"/>
      <c r="D823" s="14"/>
      <c r="E823" s="14"/>
      <c r="F823" s="13" t="str">
        <f t="array" ref="F823">iferror(XLOOKUP(A823,'Download of SFDC Activation Rep'!B:B,'Download of SFDC Activation Rep'!H:H),"")</f>
        <v/>
      </c>
      <c r="G823" s="13" t="str">
        <f t="array" ref="G823">iferror(xlookup(A823,'Download of SFDC Activation Rep'!B:B,'Download of SFDC Activation Rep'!L:L),"")</f>
        <v/>
      </c>
      <c r="H823" s="17" t="str">
        <f t="shared" si="1"/>
        <v>Not Active</v>
      </c>
      <c r="I823" s="17" t="str">
        <f t="array" ref="I823">XLOOKUP(A823,'Download of SFDC Activation Rep'!B:B,'Download of SFDC Activation Rep'!T:T)</f>
        <v>#N/A</v>
      </c>
      <c r="J823" s="17" t="str">
        <f t="array" ref="J823">iferror(XLOOKUP(A823,'Download of SFDC Activation Rep'!B:B,'Download of SFDC Activation Rep'!C:C),"")</f>
        <v/>
      </c>
      <c r="K823" s="17" t="str">
        <f t="array" ref="K823">XLOOKUP(A823,'Download of SFDC Activation Rep'!B:B,'Download of SFDC Activation Rep'!X:X)</f>
        <v>#N/A</v>
      </c>
      <c r="L823" s="32" t="str">
        <f t="array" ref="L823">xlookup(A823,'Download of SFDC Activation Rep'!B:B,'Download of SFDC Activation Rep'!Z:Z)</f>
        <v>#N/A</v>
      </c>
    </row>
    <row r="824">
      <c r="B824" s="14"/>
      <c r="C824" s="14"/>
      <c r="D824" s="14"/>
      <c r="E824" s="14"/>
      <c r="F824" s="13" t="str">
        <f t="array" ref="F824">iferror(XLOOKUP(A824,'Download of SFDC Activation Rep'!B:B,'Download of SFDC Activation Rep'!H:H),"")</f>
        <v/>
      </c>
      <c r="G824" s="13" t="str">
        <f t="array" ref="G824">iferror(xlookup(A824,'Download of SFDC Activation Rep'!B:B,'Download of SFDC Activation Rep'!L:L),"")</f>
        <v/>
      </c>
      <c r="H824" s="17" t="str">
        <f t="shared" si="1"/>
        <v>Not Active</v>
      </c>
      <c r="I824" s="17" t="str">
        <f t="array" ref="I824">XLOOKUP(A824,'Download of SFDC Activation Rep'!B:B,'Download of SFDC Activation Rep'!T:T)</f>
        <v>#N/A</v>
      </c>
      <c r="J824" s="17" t="str">
        <f t="array" ref="J824">iferror(XLOOKUP(A824,'Download of SFDC Activation Rep'!B:B,'Download of SFDC Activation Rep'!C:C),"")</f>
        <v/>
      </c>
      <c r="K824" s="17" t="str">
        <f t="array" ref="K824">XLOOKUP(A824,'Download of SFDC Activation Rep'!B:B,'Download of SFDC Activation Rep'!X:X)</f>
        <v>#N/A</v>
      </c>
      <c r="L824" s="32" t="str">
        <f t="array" ref="L824">xlookup(A824,'Download of SFDC Activation Rep'!B:B,'Download of SFDC Activation Rep'!Z:Z)</f>
        <v>#N/A</v>
      </c>
    </row>
    <row r="825">
      <c r="B825" s="14"/>
      <c r="C825" s="14"/>
      <c r="D825" s="14"/>
      <c r="E825" s="14"/>
      <c r="F825" s="13" t="str">
        <f t="array" ref="F825">iferror(XLOOKUP(A825,'Download of SFDC Activation Rep'!B:B,'Download of SFDC Activation Rep'!H:H),"")</f>
        <v/>
      </c>
      <c r="G825" s="13" t="str">
        <f t="array" ref="G825">iferror(xlookup(A825,'Download of SFDC Activation Rep'!B:B,'Download of SFDC Activation Rep'!L:L),"")</f>
        <v/>
      </c>
      <c r="H825" s="17" t="str">
        <f t="shared" si="1"/>
        <v>Not Active</v>
      </c>
      <c r="I825" s="17" t="str">
        <f t="array" ref="I825">XLOOKUP(A825,'Download of SFDC Activation Rep'!B:B,'Download of SFDC Activation Rep'!T:T)</f>
        <v>#N/A</v>
      </c>
      <c r="J825" s="17" t="str">
        <f t="array" ref="J825">iferror(XLOOKUP(A825,'Download of SFDC Activation Rep'!B:B,'Download of SFDC Activation Rep'!C:C),"")</f>
        <v/>
      </c>
      <c r="K825" s="17" t="str">
        <f t="array" ref="K825">XLOOKUP(A825,'Download of SFDC Activation Rep'!B:B,'Download of SFDC Activation Rep'!X:X)</f>
        <v>#N/A</v>
      </c>
      <c r="L825" s="32" t="str">
        <f t="array" ref="L825">xlookup(A825,'Download of SFDC Activation Rep'!B:B,'Download of SFDC Activation Rep'!Z:Z)</f>
        <v>#N/A</v>
      </c>
    </row>
    <row r="826">
      <c r="B826" s="14"/>
      <c r="C826" s="14"/>
      <c r="D826" s="14"/>
      <c r="E826" s="14"/>
      <c r="F826" s="13" t="str">
        <f t="array" ref="F826">iferror(XLOOKUP(A826,'Download of SFDC Activation Rep'!B:B,'Download of SFDC Activation Rep'!H:H),"")</f>
        <v/>
      </c>
      <c r="G826" s="13" t="str">
        <f t="array" ref="G826">iferror(xlookup(A826,'Download of SFDC Activation Rep'!B:B,'Download of SFDC Activation Rep'!L:L),"")</f>
        <v/>
      </c>
      <c r="H826" s="17" t="str">
        <f t="shared" si="1"/>
        <v>Not Active</v>
      </c>
      <c r="I826" s="17" t="str">
        <f t="array" ref="I826">XLOOKUP(A826,'Download of SFDC Activation Rep'!B:B,'Download of SFDC Activation Rep'!T:T)</f>
        <v>#N/A</v>
      </c>
      <c r="J826" s="17" t="str">
        <f t="array" ref="J826">iferror(XLOOKUP(A826,'Download of SFDC Activation Rep'!B:B,'Download of SFDC Activation Rep'!C:C),"")</f>
        <v/>
      </c>
      <c r="K826" s="17" t="str">
        <f t="array" ref="K826">XLOOKUP(A826,'Download of SFDC Activation Rep'!B:B,'Download of SFDC Activation Rep'!X:X)</f>
        <v>#N/A</v>
      </c>
      <c r="L826" s="32" t="str">
        <f t="array" ref="L826">xlookup(A826,'Download of SFDC Activation Rep'!B:B,'Download of SFDC Activation Rep'!Z:Z)</f>
        <v>#N/A</v>
      </c>
    </row>
    <row r="827">
      <c r="B827" s="14"/>
      <c r="C827" s="14"/>
      <c r="D827" s="14"/>
      <c r="E827" s="14"/>
      <c r="F827" s="13" t="str">
        <f t="array" ref="F827">iferror(XLOOKUP(A827,'Download of SFDC Activation Rep'!B:B,'Download of SFDC Activation Rep'!H:H),"")</f>
        <v/>
      </c>
      <c r="G827" s="13" t="str">
        <f t="array" ref="G827">iferror(xlookup(A827,'Download of SFDC Activation Rep'!B:B,'Download of SFDC Activation Rep'!L:L),"")</f>
        <v/>
      </c>
      <c r="H827" s="17" t="str">
        <f t="shared" si="1"/>
        <v>Not Active</v>
      </c>
      <c r="I827" s="17" t="str">
        <f t="array" ref="I827">XLOOKUP(A827,'Download of SFDC Activation Rep'!B:B,'Download of SFDC Activation Rep'!T:T)</f>
        <v>#N/A</v>
      </c>
      <c r="J827" s="17" t="str">
        <f t="array" ref="J827">iferror(XLOOKUP(A827,'Download of SFDC Activation Rep'!B:B,'Download of SFDC Activation Rep'!C:C),"")</f>
        <v/>
      </c>
      <c r="K827" s="17" t="str">
        <f t="array" ref="K827">XLOOKUP(A827,'Download of SFDC Activation Rep'!B:B,'Download of SFDC Activation Rep'!X:X)</f>
        <v>#N/A</v>
      </c>
      <c r="L827" s="32" t="str">
        <f t="array" ref="L827">xlookup(A827,'Download of SFDC Activation Rep'!B:B,'Download of SFDC Activation Rep'!Z:Z)</f>
        <v>#N/A</v>
      </c>
    </row>
    <row r="828">
      <c r="B828" s="14"/>
      <c r="C828" s="14"/>
      <c r="D828" s="14"/>
      <c r="E828" s="14"/>
      <c r="F828" s="13" t="str">
        <f t="array" ref="F828">iferror(XLOOKUP(A828,'Download of SFDC Activation Rep'!B:B,'Download of SFDC Activation Rep'!H:H),"")</f>
        <v/>
      </c>
      <c r="G828" s="13" t="str">
        <f t="array" ref="G828">iferror(xlookup(A828,'Download of SFDC Activation Rep'!B:B,'Download of SFDC Activation Rep'!L:L),"")</f>
        <v/>
      </c>
      <c r="H828" s="17" t="str">
        <f t="shared" si="1"/>
        <v>Not Active</v>
      </c>
      <c r="I828" s="17" t="str">
        <f t="array" ref="I828">XLOOKUP(A828,'Download of SFDC Activation Rep'!B:B,'Download of SFDC Activation Rep'!T:T)</f>
        <v>#N/A</v>
      </c>
      <c r="J828" s="17" t="str">
        <f t="array" ref="J828">iferror(XLOOKUP(A828,'Download of SFDC Activation Rep'!B:B,'Download of SFDC Activation Rep'!C:C),"")</f>
        <v/>
      </c>
      <c r="K828" s="17" t="str">
        <f t="array" ref="K828">XLOOKUP(A828,'Download of SFDC Activation Rep'!B:B,'Download of SFDC Activation Rep'!X:X)</f>
        <v>#N/A</v>
      </c>
      <c r="L828" s="32" t="str">
        <f t="array" ref="L828">xlookup(A828,'Download of SFDC Activation Rep'!B:B,'Download of SFDC Activation Rep'!Z:Z)</f>
        <v>#N/A</v>
      </c>
    </row>
    <row r="829">
      <c r="B829" s="14"/>
      <c r="C829" s="14"/>
      <c r="D829" s="14"/>
      <c r="E829" s="14"/>
      <c r="F829" s="13" t="str">
        <f t="array" ref="F829">iferror(XLOOKUP(A829,'Download of SFDC Activation Rep'!B:B,'Download of SFDC Activation Rep'!H:H),"")</f>
        <v/>
      </c>
      <c r="G829" s="13" t="str">
        <f t="array" ref="G829">iferror(xlookup(A829,'Download of SFDC Activation Rep'!B:B,'Download of SFDC Activation Rep'!L:L),"")</f>
        <v/>
      </c>
      <c r="H829" s="17" t="str">
        <f t="shared" si="1"/>
        <v>Not Active</v>
      </c>
      <c r="I829" s="17" t="str">
        <f t="array" ref="I829">XLOOKUP(A829,'Download of SFDC Activation Rep'!B:B,'Download of SFDC Activation Rep'!T:T)</f>
        <v>#N/A</v>
      </c>
      <c r="J829" s="17" t="str">
        <f t="array" ref="J829">iferror(XLOOKUP(A829,'Download of SFDC Activation Rep'!B:B,'Download of SFDC Activation Rep'!C:C),"")</f>
        <v/>
      </c>
      <c r="K829" s="17" t="str">
        <f t="array" ref="K829">XLOOKUP(A829,'Download of SFDC Activation Rep'!B:B,'Download of SFDC Activation Rep'!X:X)</f>
        <v>#N/A</v>
      </c>
      <c r="L829" s="32" t="str">
        <f t="array" ref="L829">xlookup(A829,'Download of SFDC Activation Rep'!B:B,'Download of SFDC Activation Rep'!Z:Z)</f>
        <v>#N/A</v>
      </c>
    </row>
    <row r="830">
      <c r="B830" s="14"/>
      <c r="C830" s="14"/>
      <c r="D830" s="14"/>
      <c r="E830" s="14"/>
      <c r="F830" s="13" t="str">
        <f t="array" ref="F830">iferror(XLOOKUP(A830,'Download of SFDC Activation Rep'!B:B,'Download of SFDC Activation Rep'!H:H),"")</f>
        <v/>
      </c>
      <c r="G830" s="13" t="str">
        <f t="array" ref="G830">iferror(xlookup(A830,'Download of SFDC Activation Rep'!B:B,'Download of SFDC Activation Rep'!L:L),"")</f>
        <v/>
      </c>
      <c r="H830" s="17" t="str">
        <f t="shared" si="1"/>
        <v>Not Active</v>
      </c>
      <c r="I830" s="17" t="str">
        <f t="array" ref="I830">XLOOKUP(A830,'Download of SFDC Activation Rep'!B:B,'Download of SFDC Activation Rep'!T:T)</f>
        <v>#N/A</v>
      </c>
      <c r="J830" s="17" t="str">
        <f t="array" ref="J830">iferror(XLOOKUP(A830,'Download of SFDC Activation Rep'!B:B,'Download of SFDC Activation Rep'!C:C),"")</f>
        <v/>
      </c>
      <c r="K830" s="17" t="str">
        <f t="array" ref="K830">XLOOKUP(A830,'Download of SFDC Activation Rep'!B:B,'Download of SFDC Activation Rep'!X:X)</f>
        <v>#N/A</v>
      </c>
      <c r="L830" s="32" t="str">
        <f t="array" ref="L830">xlookup(A830,'Download of SFDC Activation Rep'!B:B,'Download of SFDC Activation Rep'!Z:Z)</f>
        <v>#N/A</v>
      </c>
    </row>
    <row r="831">
      <c r="B831" s="14"/>
      <c r="C831" s="14"/>
      <c r="D831" s="14"/>
      <c r="E831" s="14"/>
      <c r="F831" s="13" t="str">
        <f t="array" ref="F831">iferror(XLOOKUP(A831,'Download of SFDC Activation Rep'!B:B,'Download of SFDC Activation Rep'!H:H),"")</f>
        <v/>
      </c>
      <c r="G831" s="13" t="str">
        <f t="array" ref="G831">iferror(xlookup(A831,'Download of SFDC Activation Rep'!B:B,'Download of SFDC Activation Rep'!L:L),"")</f>
        <v/>
      </c>
      <c r="H831" s="17" t="str">
        <f t="shared" si="1"/>
        <v>Not Active</v>
      </c>
      <c r="I831" s="17" t="str">
        <f t="array" ref="I831">XLOOKUP(A831,'Download of SFDC Activation Rep'!B:B,'Download of SFDC Activation Rep'!T:T)</f>
        <v>#N/A</v>
      </c>
      <c r="J831" s="17" t="str">
        <f t="array" ref="J831">iferror(XLOOKUP(A831,'Download of SFDC Activation Rep'!B:B,'Download of SFDC Activation Rep'!C:C),"")</f>
        <v/>
      </c>
      <c r="K831" s="17" t="str">
        <f t="array" ref="K831">XLOOKUP(A831,'Download of SFDC Activation Rep'!B:B,'Download of SFDC Activation Rep'!X:X)</f>
        <v>#N/A</v>
      </c>
      <c r="L831" s="32" t="str">
        <f t="array" ref="L831">xlookup(A831,'Download of SFDC Activation Rep'!B:B,'Download of SFDC Activation Rep'!Z:Z)</f>
        <v>#N/A</v>
      </c>
    </row>
    <row r="832">
      <c r="B832" s="14"/>
      <c r="C832" s="14"/>
      <c r="D832" s="14"/>
      <c r="E832" s="14"/>
      <c r="F832" s="13" t="str">
        <f t="array" ref="F832">iferror(XLOOKUP(A832,'Download of SFDC Activation Rep'!B:B,'Download of SFDC Activation Rep'!H:H),"")</f>
        <v/>
      </c>
      <c r="G832" s="13" t="str">
        <f t="array" ref="G832">iferror(xlookup(A832,'Download of SFDC Activation Rep'!B:B,'Download of SFDC Activation Rep'!L:L),"")</f>
        <v/>
      </c>
      <c r="H832" s="17" t="str">
        <f t="shared" si="1"/>
        <v>Not Active</v>
      </c>
      <c r="I832" s="17" t="str">
        <f t="array" ref="I832">XLOOKUP(A832,'Download of SFDC Activation Rep'!B:B,'Download of SFDC Activation Rep'!T:T)</f>
        <v>#N/A</v>
      </c>
      <c r="J832" s="17" t="str">
        <f t="array" ref="J832">iferror(XLOOKUP(A832,'Download of SFDC Activation Rep'!B:B,'Download of SFDC Activation Rep'!C:C),"")</f>
        <v/>
      </c>
      <c r="K832" s="17" t="str">
        <f t="array" ref="K832">XLOOKUP(A832,'Download of SFDC Activation Rep'!B:B,'Download of SFDC Activation Rep'!X:X)</f>
        <v>#N/A</v>
      </c>
      <c r="L832" s="32" t="str">
        <f t="array" ref="L832">xlookup(A832,'Download of SFDC Activation Rep'!B:B,'Download of SFDC Activation Rep'!Z:Z)</f>
        <v>#N/A</v>
      </c>
    </row>
    <row r="833">
      <c r="B833" s="14"/>
      <c r="C833" s="14"/>
      <c r="D833" s="14"/>
      <c r="E833" s="14"/>
      <c r="F833" s="13" t="str">
        <f t="array" ref="F833">iferror(XLOOKUP(A833,'Download of SFDC Activation Rep'!B:B,'Download of SFDC Activation Rep'!H:H),"")</f>
        <v/>
      </c>
      <c r="G833" s="13" t="str">
        <f t="array" ref="G833">iferror(xlookup(A833,'Download of SFDC Activation Rep'!B:B,'Download of SFDC Activation Rep'!L:L),"")</f>
        <v/>
      </c>
      <c r="H833" s="17" t="str">
        <f t="shared" si="1"/>
        <v>Not Active</v>
      </c>
      <c r="I833" s="17" t="str">
        <f t="array" ref="I833">XLOOKUP(A833,'Download of SFDC Activation Rep'!B:B,'Download of SFDC Activation Rep'!T:T)</f>
        <v>#N/A</v>
      </c>
      <c r="J833" s="17" t="str">
        <f t="array" ref="J833">iferror(XLOOKUP(A833,'Download of SFDC Activation Rep'!B:B,'Download of SFDC Activation Rep'!C:C),"")</f>
        <v/>
      </c>
      <c r="K833" s="17" t="str">
        <f t="array" ref="K833">XLOOKUP(A833,'Download of SFDC Activation Rep'!B:B,'Download of SFDC Activation Rep'!X:X)</f>
        <v>#N/A</v>
      </c>
      <c r="L833" s="32" t="str">
        <f t="array" ref="L833">xlookup(A833,'Download of SFDC Activation Rep'!B:B,'Download of SFDC Activation Rep'!Z:Z)</f>
        <v>#N/A</v>
      </c>
    </row>
    <row r="834">
      <c r="B834" s="14"/>
      <c r="C834" s="14"/>
      <c r="D834" s="14"/>
      <c r="E834" s="14"/>
      <c r="F834" s="13" t="str">
        <f t="array" ref="F834">iferror(XLOOKUP(A834,'Download of SFDC Activation Rep'!B:B,'Download of SFDC Activation Rep'!H:H),"")</f>
        <v/>
      </c>
      <c r="G834" s="13" t="str">
        <f t="array" ref="G834">iferror(xlookup(A834,'Download of SFDC Activation Rep'!B:B,'Download of SFDC Activation Rep'!L:L),"")</f>
        <v/>
      </c>
      <c r="H834" s="17" t="str">
        <f t="shared" si="1"/>
        <v>Not Active</v>
      </c>
      <c r="I834" s="17" t="str">
        <f t="array" ref="I834">XLOOKUP(A834,'Download of SFDC Activation Rep'!B:B,'Download of SFDC Activation Rep'!T:T)</f>
        <v>#N/A</v>
      </c>
      <c r="J834" s="17" t="str">
        <f t="array" ref="J834">iferror(XLOOKUP(A834,'Download of SFDC Activation Rep'!B:B,'Download of SFDC Activation Rep'!C:C),"")</f>
        <v/>
      </c>
      <c r="K834" s="17" t="str">
        <f t="array" ref="K834">XLOOKUP(A834,'Download of SFDC Activation Rep'!B:B,'Download of SFDC Activation Rep'!X:X)</f>
        <v>#N/A</v>
      </c>
      <c r="L834" s="32" t="str">
        <f t="array" ref="L834">xlookup(A834,'Download of SFDC Activation Rep'!B:B,'Download of SFDC Activation Rep'!Z:Z)</f>
        <v>#N/A</v>
      </c>
    </row>
    <row r="835">
      <c r="B835" s="14"/>
      <c r="C835" s="14"/>
      <c r="D835" s="14"/>
      <c r="E835" s="14"/>
      <c r="F835" s="13" t="str">
        <f t="array" ref="F835">iferror(XLOOKUP(A835,'Download of SFDC Activation Rep'!B:B,'Download of SFDC Activation Rep'!H:H),"")</f>
        <v/>
      </c>
      <c r="G835" s="13" t="str">
        <f t="array" ref="G835">iferror(xlookup(A835,'Download of SFDC Activation Rep'!B:B,'Download of SFDC Activation Rep'!L:L),"")</f>
        <v/>
      </c>
      <c r="H835" s="17" t="str">
        <f t="shared" si="1"/>
        <v>Not Active</v>
      </c>
      <c r="I835" s="17" t="str">
        <f t="array" ref="I835">XLOOKUP(A835,'Download of SFDC Activation Rep'!B:B,'Download of SFDC Activation Rep'!T:T)</f>
        <v>#N/A</v>
      </c>
      <c r="J835" s="17" t="str">
        <f t="array" ref="J835">iferror(XLOOKUP(A835,'Download of SFDC Activation Rep'!B:B,'Download of SFDC Activation Rep'!C:C),"")</f>
        <v/>
      </c>
      <c r="K835" s="17" t="str">
        <f t="array" ref="K835">XLOOKUP(A835,'Download of SFDC Activation Rep'!B:B,'Download of SFDC Activation Rep'!X:X)</f>
        <v>#N/A</v>
      </c>
      <c r="L835" s="32" t="str">
        <f t="array" ref="L835">xlookup(A835,'Download of SFDC Activation Rep'!B:B,'Download of SFDC Activation Rep'!Z:Z)</f>
        <v>#N/A</v>
      </c>
    </row>
    <row r="836">
      <c r="B836" s="14"/>
      <c r="C836" s="14"/>
      <c r="D836" s="14"/>
      <c r="E836" s="14"/>
      <c r="F836" s="13" t="str">
        <f t="array" ref="F836">iferror(XLOOKUP(A836,'Download of SFDC Activation Rep'!B:B,'Download of SFDC Activation Rep'!H:H),"")</f>
        <v/>
      </c>
      <c r="G836" s="13" t="str">
        <f t="array" ref="G836">iferror(xlookup(A836,'Download of SFDC Activation Rep'!B:B,'Download of SFDC Activation Rep'!L:L),"")</f>
        <v/>
      </c>
      <c r="H836" s="17" t="str">
        <f t="shared" si="1"/>
        <v>Not Active</v>
      </c>
      <c r="I836" s="17" t="str">
        <f t="array" ref="I836">XLOOKUP(A836,'Download of SFDC Activation Rep'!B:B,'Download of SFDC Activation Rep'!T:T)</f>
        <v>#N/A</v>
      </c>
      <c r="J836" s="17" t="str">
        <f t="array" ref="J836">iferror(XLOOKUP(A836,'Download of SFDC Activation Rep'!B:B,'Download of SFDC Activation Rep'!C:C),"")</f>
        <v/>
      </c>
      <c r="K836" s="17" t="str">
        <f t="array" ref="K836">XLOOKUP(A836,'Download of SFDC Activation Rep'!B:B,'Download of SFDC Activation Rep'!X:X)</f>
        <v>#N/A</v>
      </c>
      <c r="L836" s="32" t="str">
        <f t="array" ref="L836">xlookup(A836,'Download of SFDC Activation Rep'!B:B,'Download of SFDC Activation Rep'!Z:Z)</f>
        <v>#N/A</v>
      </c>
    </row>
    <row r="837">
      <c r="B837" s="14"/>
      <c r="C837" s="14"/>
      <c r="D837" s="14"/>
      <c r="E837" s="14"/>
      <c r="F837" s="13" t="str">
        <f t="array" ref="F837">iferror(XLOOKUP(A837,'Download of SFDC Activation Rep'!B:B,'Download of SFDC Activation Rep'!H:H),"")</f>
        <v/>
      </c>
      <c r="G837" s="13" t="str">
        <f t="array" ref="G837">iferror(xlookup(A837,'Download of SFDC Activation Rep'!B:B,'Download of SFDC Activation Rep'!L:L),"")</f>
        <v/>
      </c>
      <c r="H837" s="17" t="str">
        <f t="shared" si="1"/>
        <v>Not Active</v>
      </c>
      <c r="I837" s="17" t="str">
        <f t="array" ref="I837">XLOOKUP(A837,'Download of SFDC Activation Rep'!B:B,'Download of SFDC Activation Rep'!T:T)</f>
        <v>#N/A</v>
      </c>
      <c r="J837" s="17" t="str">
        <f t="array" ref="J837">iferror(XLOOKUP(A837,'Download of SFDC Activation Rep'!B:B,'Download of SFDC Activation Rep'!C:C),"")</f>
        <v/>
      </c>
      <c r="K837" s="17" t="str">
        <f t="array" ref="K837">XLOOKUP(A837,'Download of SFDC Activation Rep'!B:B,'Download of SFDC Activation Rep'!X:X)</f>
        <v>#N/A</v>
      </c>
      <c r="L837" s="32" t="str">
        <f t="array" ref="L837">xlookup(A837,'Download of SFDC Activation Rep'!B:B,'Download of SFDC Activation Rep'!Z:Z)</f>
        <v>#N/A</v>
      </c>
    </row>
    <row r="838">
      <c r="B838" s="14"/>
      <c r="C838" s="14"/>
      <c r="D838" s="14"/>
      <c r="E838" s="14"/>
      <c r="F838" s="13" t="str">
        <f t="array" ref="F838">iferror(XLOOKUP(A838,'Download of SFDC Activation Rep'!B:B,'Download of SFDC Activation Rep'!H:H),"")</f>
        <v/>
      </c>
      <c r="G838" s="13" t="str">
        <f t="array" ref="G838">iferror(xlookup(A838,'Download of SFDC Activation Rep'!B:B,'Download of SFDC Activation Rep'!L:L),"")</f>
        <v/>
      </c>
      <c r="H838" s="17" t="str">
        <f t="shared" si="1"/>
        <v>Not Active</v>
      </c>
      <c r="I838" s="17" t="str">
        <f t="array" ref="I838">XLOOKUP(A838,'Download of SFDC Activation Rep'!B:B,'Download of SFDC Activation Rep'!T:T)</f>
        <v>#N/A</v>
      </c>
      <c r="J838" s="17" t="str">
        <f t="array" ref="J838">iferror(XLOOKUP(A838,'Download of SFDC Activation Rep'!B:B,'Download of SFDC Activation Rep'!C:C),"")</f>
        <v/>
      </c>
      <c r="K838" s="17" t="str">
        <f t="array" ref="K838">XLOOKUP(A838,'Download of SFDC Activation Rep'!B:B,'Download of SFDC Activation Rep'!X:X)</f>
        <v>#N/A</v>
      </c>
      <c r="L838" s="32" t="str">
        <f t="array" ref="L838">xlookup(A838,'Download of SFDC Activation Rep'!B:B,'Download of SFDC Activation Rep'!Z:Z)</f>
        <v>#N/A</v>
      </c>
    </row>
    <row r="839">
      <c r="B839" s="14"/>
      <c r="C839" s="14"/>
      <c r="D839" s="14"/>
      <c r="E839" s="14"/>
      <c r="F839" s="13" t="str">
        <f t="array" ref="F839">iferror(XLOOKUP(A839,'Download of SFDC Activation Rep'!B:B,'Download of SFDC Activation Rep'!H:H),"")</f>
        <v/>
      </c>
      <c r="G839" s="13" t="str">
        <f t="array" ref="G839">iferror(xlookup(A839,'Download of SFDC Activation Rep'!B:B,'Download of SFDC Activation Rep'!L:L),"")</f>
        <v/>
      </c>
      <c r="H839" s="17" t="str">
        <f t="shared" si="1"/>
        <v>Not Active</v>
      </c>
      <c r="I839" s="17" t="str">
        <f t="array" ref="I839">XLOOKUP(A839,'Download of SFDC Activation Rep'!B:B,'Download of SFDC Activation Rep'!T:T)</f>
        <v>#N/A</v>
      </c>
      <c r="J839" s="17" t="str">
        <f t="array" ref="J839">iferror(XLOOKUP(A839,'Download of SFDC Activation Rep'!B:B,'Download of SFDC Activation Rep'!C:C),"")</f>
        <v/>
      </c>
      <c r="K839" s="17" t="str">
        <f t="array" ref="K839">XLOOKUP(A839,'Download of SFDC Activation Rep'!B:B,'Download of SFDC Activation Rep'!X:X)</f>
        <v>#N/A</v>
      </c>
      <c r="L839" s="32" t="str">
        <f t="array" ref="L839">xlookup(A839,'Download of SFDC Activation Rep'!B:B,'Download of SFDC Activation Rep'!Z:Z)</f>
        <v>#N/A</v>
      </c>
    </row>
    <row r="840">
      <c r="B840" s="14"/>
      <c r="C840" s="14"/>
      <c r="D840" s="14"/>
      <c r="E840" s="14"/>
      <c r="F840" s="13" t="str">
        <f t="array" ref="F840">iferror(XLOOKUP(A840,'Download of SFDC Activation Rep'!B:B,'Download of SFDC Activation Rep'!H:H),"")</f>
        <v/>
      </c>
      <c r="G840" s="13" t="str">
        <f t="array" ref="G840">iferror(xlookup(A840,'Download of SFDC Activation Rep'!B:B,'Download of SFDC Activation Rep'!L:L),"")</f>
        <v/>
      </c>
      <c r="H840" s="17" t="str">
        <f t="shared" si="1"/>
        <v>Not Active</v>
      </c>
      <c r="I840" s="17" t="str">
        <f t="array" ref="I840">XLOOKUP(A840,'Download of SFDC Activation Rep'!B:B,'Download of SFDC Activation Rep'!T:T)</f>
        <v>#N/A</v>
      </c>
      <c r="J840" s="17" t="str">
        <f t="array" ref="J840">iferror(XLOOKUP(A840,'Download of SFDC Activation Rep'!B:B,'Download of SFDC Activation Rep'!C:C),"")</f>
        <v/>
      </c>
      <c r="K840" s="17" t="str">
        <f t="array" ref="K840">XLOOKUP(A840,'Download of SFDC Activation Rep'!B:B,'Download of SFDC Activation Rep'!X:X)</f>
        <v>#N/A</v>
      </c>
      <c r="L840" s="32" t="str">
        <f t="array" ref="L840">xlookup(A840,'Download of SFDC Activation Rep'!B:B,'Download of SFDC Activation Rep'!Z:Z)</f>
        <v>#N/A</v>
      </c>
    </row>
    <row r="841">
      <c r="B841" s="14"/>
      <c r="C841" s="14"/>
      <c r="D841" s="14"/>
      <c r="E841" s="14"/>
      <c r="F841" s="13" t="str">
        <f t="array" ref="F841">iferror(XLOOKUP(A841,'Download of SFDC Activation Rep'!B:B,'Download of SFDC Activation Rep'!H:H),"")</f>
        <v/>
      </c>
      <c r="G841" s="13" t="str">
        <f t="array" ref="G841">iferror(xlookup(A841,'Download of SFDC Activation Rep'!B:B,'Download of SFDC Activation Rep'!L:L),"")</f>
        <v/>
      </c>
      <c r="H841" s="17" t="str">
        <f t="shared" si="1"/>
        <v>Not Active</v>
      </c>
      <c r="I841" s="17" t="str">
        <f t="array" ref="I841">XLOOKUP(A841,'Download of SFDC Activation Rep'!B:B,'Download of SFDC Activation Rep'!T:T)</f>
        <v>#N/A</v>
      </c>
      <c r="J841" s="17" t="str">
        <f t="array" ref="J841">iferror(XLOOKUP(A841,'Download of SFDC Activation Rep'!B:B,'Download of SFDC Activation Rep'!C:C),"")</f>
        <v/>
      </c>
      <c r="K841" s="17" t="str">
        <f t="array" ref="K841">XLOOKUP(A841,'Download of SFDC Activation Rep'!B:B,'Download of SFDC Activation Rep'!X:X)</f>
        <v>#N/A</v>
      </c>
      <c r="L841" s="32" t="str">
        <f t="array" ref="L841">xlookup(A841,'Download of SFDC Activation Rep'!B:B,'Download of SFDC Activation Rep'!Z:Z)</f>
        <v>#N/A</v>
      </c>
    </row>
    <row r="842">
      <c r="B842" s="14"/>
      <c r="C842" s="14"/>
      <c r="D842" s="14"/>
      <c r="E842" s="14"/>
      <c r="F842" s="13" t="str">
        <f t="array" ref="F842">iferror(XLOOKUP(A842,'Download of SFDC Activation Rep'!B:B,'Download of SFDC Activation Rep'!H:H),"")</f>
        <v/>
      </c>
      <c r="G842" s="13" t="str">
        <f t="array" ref="G842">iferror(xlookup(A842,'Download of SFDC Activation Rep'!B:B,'Download of SFDC Activation Rep'!L:L),"")</f>
        <v/>
      </c>
      <c r="H842" s="17" t="str">
        <f t="shared" si="1"/>
        <v>Not Active</v>
      </c>
      <c r="I842" s="17" t="str">
        <f t="array" ref="I842">XLOOKUP(A842,'Download of SFDC Activation Rep'!B:B,'Download of SFDC Activation Rep'!T:T)</f>
        <v>#N/A</v>
      </c>
      <c r="J842" s="17" t="str">
        <f t="array" ref="J842">iferror(XLOOKUP(A842,'Download of SFDC Activation Rep'!B:B,'Download of SFDC Activation Rep'!C:C),"")</f>
        <v/>
      </c>
      <c r="K842" s="17" t="str">
        <f t="array" ref="K842">XLOOKUP(A842,'Download of SFDC Activation Rep'!B:B,'Download of SFDC Activation Rep'!X:X)</f>
        <v>#N/A</v>
      </c>
      <c r="L842" s="32" t="str">
        <f t="array" ref="L842">xlookup(A842,'Download of SFDC Activation Rep'!B:B,'Download of SFDC Activation Rep'!Z:Z)</f>
        <v>#N/A</v>
      </c>
    </row>
    <row r="843">
      <c r="B843" s="14"/>
      <c r="C843" s="14"/>
      <c r="D843" s="14"/>
      <c r="E843" s="14"/>
      <c r="F843" s="13" t="str">
        <f t="array" ref="F843">iferror(XLOOKUP(A843,'Download of SFDC Activation Rep'!B:B,'Download of SFDC Activation Rep'!H:H),"")</f>
        <v/>
      </c>
      <c r="G843" s="13" t="str">
        <f t="array" ref="G843">iferror(xlookup(A843,'Download of SFDC Activation Rep'!B:B,'Download of SFDC Activation Rep'!L:L),"")</f>
        <v/>
      </c>
      <c r="H843" s="17" t="str">
        <f t="shared" si="1"/>
        <v>Not Active</v>
      </c>
      <c r="I843" s="17" t="str">
        <f t="array" ref="I843">XLOOKUP(A843,'Download of SFDC Activation Rep'!B:B,'Download of SFDC Activation Rep'!T:T)</f>
        <v>#N/A</v>
      </c>
      <c r="J843" s="17" t="str">
        <f t="array" ref="J843">iferror(XLOOKUP(A843,'Download of SFDC Activation Rep'!B:B,'Download of SFDC Activation Rep'!C:C),"")</f>
        <v/>
      </c>
      <c r="K843" s="17" t="str">
        <f t="array" ref="K843">XLOOKUP(A843,'Download of SFDC Activation Rep'!B:B,'Download of SFDC Activation Rep'!X:X)</f>
        <v>#N/A</v>
      </c>
      <c r="L843" s="32" t="str">
        <f t="array" ref="L843">xlookup(A843,'Download of SFDC Activation Rep'!B:B,'Download of SFDC Activation Rep'!Z:Z)</f>
        <v>#N/A</v>
      </c>
    </row>
    <row r="844">
      <c r="B844" s="14"/>
      <c r="C844" s="14"/>
      <c r="D844" s="14"/>
      <c r="E844" s="14"/>
      <c r="F844" s="13" t="str">
        <f t="array" ref="F844">iferror(XLOOKUP(A844,'Download of SFDC Activation Rep'!B:B,'Download of SFDC Activation Rep'!H:H),"")</f>
        <v/>
      </c>
      <c r="G844" s="13" t="str">
        <f t="array" ref="G844">iferror(xlookup(A844,'Download of SFDC Activation Rep'!B:B,'Download of SFDC Activation Rep'!L:L),"")</f>
        <v/>
      </c>
      <c r="H844" s="17" t="str">
        <f t="shared" si="1"/>
        <v>Not Active</v>
      </c>
      <c r="I844" s="17" t="str">
        <f t="array" ref="I844">XLOOKUP(A844,'Download of SFDC Activation Rep'!B:B,'Download of SFDC Activation Rep'!T:T)</f>
        <v>#N/A</v>
      </c>
      <c r="J844" s="17" t="str">
        <f t="array" ref="J844">iferror(XLOOKUP(A844,'Download of SFDC Activation Rep'!B:B,'Download of SFDC Activation Rep'!C:C),"")</f>
        <v/>
      </c>
      <c r="K844" s="17" t="str">
        <f t="array" ref="K844">XLOOKUP(A844,'Download of SFDC Activation Rep'!B:B,'Download of SFDC Activation Rep'!X:X)</f>
        <v>#N/A</v>
      </c>
      <c r="L844" s="32" t="str">
        <f t="array" ref="L844">xlookup(A844,'Download of SFDC Activation Rep'!B:B,'Download of SFDC Activation Rep'!Z:Z)</f>
        <v>#N/A</v>
      </c>
    </row>
    <row r="845">
      <c r="B845" s="14"/>
      <c r="C845" s="14"/>
      <c r="D845" s="14"/>
      <c r="E845" s="14"/>
      <c r="F845" s="13" t="str">
        <f t="array" ref="F845">iferror(XLOOKUP(A845,'Download of SFDC Activation Rep'!B:B,'Download of SFDC Activation Rep'!H:H),"")</f>
        <v/>
      </c>
      <c r="G845" s="13" t="str">
        <f t="array" ref="G845">iferror(xlookup(A845,'Download of SFDC Activation Rep'!B:B,'Download of SFDC Activation Rep'!L:L),"")</f>
        <v/>
      </c>
      <c r="H845" s="17" t="str">
        <f t="shared" si="1"/>
        <v>Not Active</v>
      </c>
      <c r="I845" s="17" t="str">
        <f t="array" ref="I845">XLOOKUP(A845,'Download of SFDC Activation Rep'!B:B,'Download of SFDC Activation Rep'!T:T)</f>
        <v>#N/A</v>
      </c>
      <c r="J845" s="17" t="str">
        <f t="array" ref="J845">iferror(XLOOKUP(A845,'Download of SFDC Activation Rep'!B:B,'Download of SFDC Activation Rep'!C:C),"")</f>
        <v/>
      </c>
      <c r="K845" s="17" t="str">
        <f t="array" ref="K845">XLOOKUP(A845,'Download of SFDC Activation Rep'!B:B,'Download of SFDC Activation Rep'!X:X)</f>
        <v>#N/A</v>
      </c>
      <c r="L845" s="32" t="str">
        <f t="array" ref="L845">xlookup(A845,'Download of SFDC Activation Rep'!B:B,'Download of SFDC Activation Rep'!Z:Z)</f>
        <v>#N/A</v>
      </c>
    </row>
    <row r="846">
      <c r="B846" s="14"/>
      <c r="C846" s="14"/>
      <c r="D846" s="14"/>
      <c r="E846" s="14"/>
      <c r="F846" s="13" t="str">
        <f t="array" ref="F846">iferror(XLOOKUP(A846,'Download of SFDC Activation Rep'!B:B,'Download of SFDC Activation Rep'!H:H),"")</f>
        <v/>
      </c>
      <c r="G846" s="13" t="str">
        <f t="array" ref="G846">iferror(xlookup(A846,'Download of SFDC Activation Rep'!B:B,'Download of SFDC Activation Rep'!L:L),"")</f>
        <v/>
      </c>
      <c r="H846" s="17" t="str">
        <f t="shared" si="1"/>
        <v>Not Active</v>
      </c>
      <c r="I846" s="17" t="str">
        <f t="array" ref="I846">XLOOKUP(A846,'Download of SFDC Activation Rep'!B:B,'Download of SFDC Activation Rep'!T:T)</f>
        <v>#N/A</v>
      </c>
      <c r="J846" s="17" t="str">
        <f t="array" ref="J846">iferror(XLOOKUP(A846,'Download of SFDC Activation Rep'!B:B,'Download of SFDC Activation Rep'!C:C),"")</f>
        <v/>
      </c>
      <c r="K846" s="17" t="str">
        <f t="array" ref="K846">XLOOKUP(A846,'Download of SFDC Activation Rep'!B:B,'Download of SFDC Activation Rep'!X:X)</f>
        <v>#N/A</v>
      </c>
      <c r="L846" s="32" t="str">
        <f t="array" ref="L846">xlookup(A846,'Download of SFDC Activation Rep'!B:B,'Download of SFDC Activation Rep'!Z:Z)</f>
        <v>#N/A</v>
      </c>
    </row>
    <row r="847">
      <c r="B847" s="14"/>
      <c r="C847" s="14"/>
      <c r="D847" s="14"/>
      <c r="E847" s="14"/>
      <c r="F847" s="13" t="str">
        <f t="array" ref="F847">iferror(XLOOKUP(A847,'Download of SFDC Activation Rep'!B:B,'Download of SFDC Activation Rep'!H:H),"")</f>
        <v/>
      </c>
      <c r="G847" s="13" t="str">
        <f t="array" ref="G847">iferror(xlookup(A847,'Download of SFDC Activation Rep'!B:B,'Download of SFDC Activation Rep'!L:L),"")</f>
        <v/>
      </c>
      <c r="H847" s="17" t="str">
        <f t="shared" si="1"/>
        <v>Not Active</v>
      </c>
      <c r="I847" s="17" t="str">
        <f t="array" ref="I847">XLOOKUP(A847,'Download of SFDC Activation Rep'!B:B,'Download of SFDC Activation Rep'!T:T)</f>
        <v>#N/A</v>
      </c>
      <c r="J847" s="17" t="str">
        <f t="array" ref="J847">iferror(XLOOKUP(A847,'Download of SFDC Activation Rep'!B:B,'Download of SFDC Activation Rep'!C:C),"")</f>
        <v/>
      </c>
      <c r="K847" s="17" t="str">
        <f t="array" ref="K847">XLOOKUP(A847,'Download of SFDC Activation Rep'!B:B,'Download of SFDC Activation Rep'!X:X)</f>
        <v>#N/A</v>
      </c>
      <c r="L847" s="32" t="str">
        <f t="array" ref="L847">xlookup(A847,'Download of SFDC Activation Rep'!B:B,'Download of SFDC Activation Rep'!Z:Z)</f>
        <v>#N/A</v>
      </c>
    </row>
    <row r="848">
      <c r="B848" s="14"/>
      <c r="C848" s="14"/>
      <c r="D848" s="14"/>
      <c r="E848" s="14"/>
      <c r="F848" s="13" t="str">
        <f t="array" ref="F848">iferror(XLOOKUP(A848,'Download of SFDC Activation Rep'!B:B,'Download of SFDC Activation Rep'!H:H),"")</f>
        <v/>
      </c>
      <c r="G848" s="13" t="str">
        <f t="array" ref="G848">iferror(xlookup(A848,'Download of SFDC Activation Rep'!B:B,'Download of SFDC Activation Rep'!L:L),"")</f>
        <v/>
      </c>
      <c r="H848" s="17" t="str">
        <f t="shared" si="1"/>
        <v>Not Active</v>
      </c>
      <c r="I848" s="17" t="str">
        <f t="array" ref="I848">XLOOKUP(A848,'Download of SFDC Activation Rep'!B:B,'Download of SFDC Activation Rep'!T:T)</f>
        <v>#N/A</v>
      </c>
      <c r="J848" s="17" t="str">
        <f t="array" ref="J848">iferror(XLOOKUP(A848,'Download of SFDC Activation Rep'!B:B,'Download of SFDC Activation Rep'!C:C),"")</f>
        <v/>
      </c>
      <c r="K848" s="17" t="str">
        <f t="array" ref="K848">XLOOKUP(A848,'Download of SFDC Activation Rep'!B:B,'Download of SFDC Activation Rep'!X:X)</f>
        <v>#N/A</v>
      </c>
      <c r="L848" s="32" t="str">
        <f t="array" ref="L848">xlookup(A848,'Download of SFDC Activation Rep'!B:B,'Download of SFDC Activation Rep'!Z:Z)</f>
        <v>#N/A</v>
      </c>
    </row>
    <row r="849">
      <c r="B849" s="14"/>
      <c r="C849" s="14"/>
      <c r="D849" s="14"/>
      <c r="E849" s="14"/>
      <c r="F849" s="13" t="str">
        <f t="array" ref="F849">iferror(XLOOKUP(A849,'Download of SFDC Activation Rep'!B:B,'Download of SFDC Activation Rep'!H:H),"")</f>
        <v/>
      </c>
      <c r="G849" s="13" t="str">
        <f t="array" ref="G849">iferror(xlookup(A849,'Download of SFDC Activation Rep'!B:B,'Download of SFDC Activation Rep'!L:L),"")</f>
        <v/>
      </c>
      <c r="H849" s="17" t="str">
        <f t="shared" si="1"/>
        <v>Not Active</v>
      </c>
      <c r="I849" s="17" t="str">
        <f t="array" ref="I849">XLOOKUP(A849,'Download of SFDC Activation Rep'!B:B,'Download of SFDC Activation Rep'!T:T)</f>
        <v>#N/A</v>
      </c>
      <c r="J849" s="17" t="str">
        <f t="array" ref="J849">iferror(XLOOKUP(A849,'Download of SFDC Activation Rep'!B:B,'Download of SFDC Activation Rep'!C:C),"")</f>
        <v/>
      </c>
      <c r="K849" s="17" t="str">
        <f t="array" ref="K849">XLOOKUP(A849,'Download of SFDC Activation Rep'!B:B,'Download of SFDC Activation Rep'!X:X)</f>
        <v>#N/A</v>
      </c>
      <c r="L849" s="32" t="str">
        <f t="array" ref="L849">xlookup(A849,'Download of SFDC Activation Rep'!B:B,'Download of SFDC Activation Rep'!Z:Z)</f>
        <v>#N/A</v>
      </c>
    </row>
    <row r="850">
      <c r="B850" s="14"/>
      <c r="C850" s="14"/>
      <c r="D850" s="14"/>
      <c r="E850" s="14"/>
      <c r="F850" s="13" t="str">
        <f t="array" ref="F850">iferror(XLOOKUP(A850,'Download of SFDC Activation Rep'!B:B,'Download of SFDC Activation Rep'!H:H),"")</f>
        <v/>
      </c>
      <c r="G850" s="13" t="str">
        <f t="array" ref="G850">iferror(xlookup(A850,'Download of SFDC Activation Rep'!B:B,'Download of SFDC Activation Rep'!L:L),"")</f>
        <v/>
      </c>
      <c r="H850" s="17" t="str">
        <f t="shared" si="1"/>
        <v>Not Active</v>
      </c>
      <c r="I850" s="17" t="str">
        <f t="array" ref="I850">XLOOKUP(A850,'Download of SFDC Activation Rep'!B:B,'Download of SFDC Activation Rep'!T:T)</f>
        <v>#N/A</v>
      </c>
      <c r="J850" s="17" t="str">
        <f t="array" ref="J850">iferror(XLOOKUP(A850,'Download of SFDC Activation Rep'!B:B,'Download of SFDC Activation Rep'!C:C),"")</f>
        <v/>
      </c>
      <c r="K850" s="17" t="str">
        <f t="array" ref="K850">XLOOKUP(A850,'Download of SFDC Activation Rep'!B:B,'Download of SFDC Activation Rep'!X:X)</f>
        <v>#N/A</v>
      </c>
      <c r="L850" s="32" t="str">
        <f t="array" ref="L850">xlookup(A850,'Download of SFDC Activation Rep'!B:B,'Download of SFDC Activation Rep'!Z:Z)</f>
        <v>#N/A</v>
      </c>
    </row>
    <row r="851">
      <c r="B851" s="14"/>
      <c r="C851" s="14"/>
      <c r="D851" s="14"/>
      <c r="E851" s="14"/>
      <c r="F851" s="13" t="str">
        <f t="array" ref="F851">iferror(XLOOKUP(A851,'Download of SFDC Activation Rep'!B:B,'Download of SFDC Activation Rep'!H:H),"")</f>
        <v/>
      </c>
      <c r="G851" s="13" t="str">
        <f t="array" ref="G851">iferror(xlookup(A851,'Download of SFDC Activation Rep'!B:B,'Download of SFDC Activation Rep'!L:L),"")</f>
        <v/>
      </c>
      <c r="H851" s="17" t="str">
        <f t="shared" si="1"/>
        <v>Not Active</v>
      </c>
      <c r="I851" s="17" t="str">
        <f t="array" ref="I851">XLOOKUP(A851,'Download of SFDC Activation Rep'!B:B,'Download of SFDC Activation Rep'!T:T)</f>
        <v>#N/A</v>
      </c>
      <c r="J851" s="17" t="str">
        <f t="array" ref="J851">iferror(XLOOKUP(A851,'Download of SFDC Activation Rep'!B:B,'Download of SFDC Activation Rep'!C:C),"")</f>
        <v/>
      </c>
      <c r="K851" s="17" t="str">
        <f t="array" ref="K851">XLOOKUP(A851,'Download of SFDC Activation Rep'!B:B,'Download of SFDC Activation Rep'!X:X)</f>
        <v>#N/A</v>
      </c>
      <c r="L851" s="32" t="str">
        <f t="array" ref="L851">xlookup(A851,'Download of SFDC Activation Rep'!B:B,'Download of SFDC Activation Rep'!Z:Z)</f>
        <v>#N/A</v>
      </c>
    </row>
    <row r="852">
      <c r="B852" s="14"/>
      <c r="C852" s="14"/>
      <c r="D852" s="14"/>
      <c r="E852" s="14"/>
      <c r="F852" s="13" t="str">
        <f t="array" ref="F852">iferror(XLOOKUP(A852,'Download of SFDC Activation Rep'!B:B,'Download of SFDC Activation Rep'!H:H),"")</f>
        <v/>
      </c>
      <c r="G852" s="13" t="str">
        <f t="array" ref="G852">iferror(xlookup(A852,'Download of SFDC Activation Rep'!B:B,'Download of SFDC Activation Rep'!L:L),"")</f>
        <v/>
      </c>
      <c r="H852" s="17" t="str">
        <f t="shared" si="1"/>
        <v>Not Active</v>
      </c>
      <c r="I852" s="17" t="str">
        <f t="array" ref="I852">XLOOKUP(A852,'Download of SFDC Activation Rep'!B:B,'Download of SFDC Activation Rep'!T:T)</f>
        <v>#N/A</v>
      </c>
      <c r="J852" s="17" t="str">
        <f t="array" ref="J852">iferror(XLOOKUP(A852,'Download of SFDC Activation Rep'!B:B,'Download of SFDC Activation Rep'!C:C),"")</f>
        <v/>
      </c>
      <c r="K852" s="17" t="str">
        <f t="array" ref="K852">XLOOKUP(A852,'Download of SFDC Activation Rep'!B:B,'Download of SFDC Activation Rep'!X:X)</f>
        <v>#N/A</v>
      </c>
      <c r="L852" s="32" t="str">
        <f t="array" ref="L852">xlookup(A852,'Download of SFDC Activation Rep'!B:B,'Download of SFDC Activation Rep'!Z:Z)</f>
        <v>#N/A</v>
      </c>
    </row>
    <row r="853">
      <c r="B853" s="14"/>
      <c r="C853" s="14"/>
      <c r="D853" s="14"/>
      <c r="E853" s="14"/>
      <c r="F853" s="13" t="str">
        <f t="array" ref="F853">iferror(XLOOKUP(A853,'Download of SFDC Activation Rep'!B:B,'Download of SFDC Activation Rep'!H:H),"")</f>
        <v/>
      </c>
      <c r="G853" s="13" t="str">
        <f t="array" ref="G853">iferror(xlookup(A853,'Download of SFDC Activation Rep'!B:B,'Download of SFDC Activation Rep'!L:L),"")</f>
        <v/>
      </c>
      <c r="H853" s="17" t="str">
        <f t="shared" si="1"/>
        <v>Not Active</v>
      </c>
      <c r="I853" s="17" t="str">
        <f t="array" ref="I853">XLOOKUP(A853,'Download of SFDC Activation Rep'!B:B,'Download of SFDC Activation Rep'!T:T)</f>
        <v>#N/A</v>
      </c>
      <c r="J853" s="17" t="str">
        <f t="array" ref="J853">iferror(XLOOKUP(A853,'Download of SFDC Activation Rep'!B:B,'Download of SFDC Activation Rep'!C:C),"")</f>
        <v/>
      </c>
      <c r="K853" s="17" t="str">
        <f t="array" ref="K853">XLOOKUP(A853,'Download of SFDC Activation Rep'!B:B,'Download of SFDC Activation Rep'!X:X)</f>
        <v>#N/A</v>
      </c>
      <c r="L853" s="32" t="str">
        <f t="array" ref="L853">xlookup(A853,'Download of SFDC Activation Rep'!B:B,'Download of SFDC Activation Rep'!Z:Z)</f>
        <v>#N/A</v>
      </c>
    </row>
    <row r="854">
      <c r="B854" s="14"/>
      <c r="C854" s="14"/>
      <c r="D854" s="14"/>
      <c r="E854" s="14"/>
      <c r="F854" s="13" t="str">
        <f t="array" ref="F854">iferror(XLOOKUP(A854,'Download of SFDC Activation Rep'!B:B,'Download of SFDC Activation Rep'!H:H),"")</f>
        <v/>
      </c>
      <c r="G854" s="13" t="str">
        <f t="array" ref="G854">iferror(xlookup(A854,'Download of SFDC Activation Rep'!B:B,'Download of SFDC Activation Rep'!L:L),"")</f>
        <v/>
      </c>
      <c r="H854" s="17" t="str">
        <f t="shared" si="1"/>
        <v>Not Active</v>
      </c>
      <c r="I854" s="17" t="str">
        <f t="array" ref="I854">XLOOKUP(A854,'Download of SFDC Activation Rep'!B:B,'Download of SFDC Activation Rep'!T:T)</f>
        <v>#N/A</v>
      </c>
      <c r="J854" s="17" t="str">
        <f t="array" ref="J854">iferror(XLOOKUP(A854,'Download of SFDC Activation Rep'!B:B,'Download of SFDC Activation Rep'!C:C),"")</f>
        <v/>
      </c>
      <c r="K854" s="17" t="str">
        <f t="array" ref="K854">XLOOKUP(A854,'Download of SFDC Activation Rep'!B:B,'Download of SFDC Activation Rep'!X:X)</f>
        <v>#N/A</v>
      </c>
      <c r="L854" s="32" t="str">
        <f t="array" ref="L854">xlookup(A854,'Download of SFDC Activation Rep'!B:B,'Download of SFDC Activation Rep'!Z:Z)</f>
        <v>#N/A</v>
      </c>
    </row>
    <row r="855">
      <c r="B855" s="14"/>
      <c r="C855" s="14"/>
      <c r="D855" s="14"/>
      <c r="E855" s="14"/>
      <c r="F855" s="13" t="str">
        <f t="array" ref="F855">iferror(XLOOKUP(A855,'Download of SFDC Activation Rep'!B:B,'Download of SFDC Activation Rep'!H:H),"")</f>
        <v/>
      </c>
      <c r="G855" s="13" t="str">
        <f t="array" ref="G855">iferror(xlookup(A855,'Download of SFDC Activation Rep'!B:B,'Download of SFDC Activation Rep'!L:L),"")</f>
        <v/>
      </c>
      <c r="H855" s="17" t="str">
        <f t="shared" si="1"/>
        <v>Not Active</v>
      </c>
      <c r="I855" s="17" t="str">
        <f t="array" ref="I855">XLOOKUP(A855,'Download of SFDC Activation Rep'!B:B,'Download of SFDC Activation Rep'!T:T)</f>
        <v>#N/A</v>
      </c>
      <c r="J855" s="17" t="str">
        <f t="array" ref="J855">iferror(XLOOKUP(A855,'Download of SFDC Activation Rep'!B:B,'Download of SFDC Activation Rep'!C:C),"")</f>
        <v/>
      </c>
      <c r="K855" s="17" t="str">
        <f t="array" ref="K855">XLOOKUP(A855,'Download of SFDC Activation Rep'!B:B,'Download of SFDC Activation Rep'!X:X)</f>
        <v>#N/A</v>
      </c>
      <c r="L855" s="32" t="str">
        <f t="array" ref="L855">xlookup(A855,'Download of SFDC Activation Rep'!B:B,'Download of SFDC Activation Rep'!Z:Z)</f>
        <v>#N/A</v>
      </c>
    </row>
    <row r="856">
      <c r="B856" s="14"/>
      <c r="C856" s="14"/>
      <c r="D856" s="14"/>
      <c r="E856" s="14"/>
      <c r="F856" s="13" t="str">
        <f t="array" ref="F856">iferror(XLOOKUP(A856,'Download of SFDC Activation Rep'!B:B,'Download of SFDC Activation Rep'!H:H),"")</f>
        <v/>
      </c>
      <c r="G856" s="13" t="str">
        <f t="array" ref="G856">iferror(xlookup(A856,'Download of SFDC Activation Rep'!B:B,'Download of SFDC Activation Rep'!L:L),"")</f>
        <v/>
      </c>
      <c r="H856" s="17" t="str">
        <f t="shared" si="1"/>
        <v>Not Active</v>
      </c>
      <c r="I856" s="17" t="str">
        <f t="array" ref="I856">XLOOKUP(A856,'Download of SFDC Activation Rep'!B:B,'Download of SFDC Activation Rep'!T:T)</f>
        <v>#N/A</v>
      </c>
      <c r="J856" s="17" t="str">
        <f t="array" ref="J856">iferror(XLOOKUP(A856,'Download of SFDC Activation Rep'!B:B,'Download of SFDC Activation Rep'!C:C),"")</f>
        <v/>
      </c>
      <c r="K856" s="17" t="str">
        <f t="array" ref="K856">XLOOKUP(A856,'Download of SFDC Activation Rep'!B:B,'Download of SFDC Activation Rep'!X:X)</f>
        <v>#N/A</v>
      </c>
      <c r="L856" s="32" t="str">
        <f t="array" ref="L856">xlookup(A856,'Download of SFDC Activation Rep'!B:B,'Download of SFDC Activation Rep'!Z:Z)</f>
        <v>#N/A</v>
      </c>
    </row>
    <row r="857">
      <c r="B857" s="14"/>
      <c r="C857" s="14"/>
      <c r="D857" s="14"/>
      <c r="E857" s="14"/>
      <c r="F857" s="13" t="str">
        <f t="array" ref="F857">iferror(XLOOKUP(A857,'Download of SFDC Activation Rep'!B:B,'Download of SFDC Activation Rep'!H:H),"")</f>
        <v/>
      </c>
      <c r="G857" s="13" t="str">
        <f t="array" ref="G857">iferror(xlookup(A857,'Download of SFDC Activation Rep'!B:B,'Download of SFDC Activation Rep'!L:L),"")</f>
        <v/>
      </c>
      <c r="H857" s="17" t="str">
        <f t="shared" si="1"/>
        <v>Not Active</v>
      </c>
      <c r="I857" s="17" t="str">
        <f t="array" ref="I857">XLOOKUP(A857,'Download of SFDC Activation Rep'!B:B,'Download of SFDC Activation Rep'!T:T)</f>
        <v>#N/A</v>
      </c>
      <c r="J857" s="17" t="str">
        <f t="array" ref="J857">iferror(XLOOKUP(A857,'Download of SFDC Activation Rep'!B:B,'Download of SFDC Activation Rep'!C:C),"")</f>
        <v/>
      </c>
      <c r="K857" s="17" t="str">
        <f t="array" ref="K857">XLOOKUP(A857,'Download of SFDC Activation Rep'!B:B,'Download of SFDC Activation Rep'!X:X)</f>
        <v>#N/A</v>
      </c>
      <c r="L857" s="32" t="str">
        <f t="array" ref="L857">xlookup(A857,'Download of SFDC Activation Rep'!B:B,'Download of SFDC Activation Rep'!Z:Z)</f>
        <v>#N/A</v>
      </c>
    </row>
    <row r="858">
      <c r="B858" s="14"/>
      <c r="C858" s="14"/>
      <c r="D858" s="14"/>
      <c r="E858" s="14"/>
      <c r="F858" s="13" t="str">
        <f t="array" ref="F858">iferror(XLOOKUP(A858,'Download of SFDC Activation Rep'!B:B,'Download of SFDC Activation Rep'!H:H),"")</f>
        <v/>
      </c>
      <c r="G858" s="13" t="str">
        <f t="array" ref="G858">iferror(xlookup(A858,'Download of SFDC Activation Rep'!B:B,'Download of SFDC Activation Rep'!L:L),"")</f>
        <v/>
      </c>
      <c r="H858" s="17" t="str">
        <f t="shared" si="1"/>
        <v>Not Active</v>
      </c>
      <c r="I858" s="17" t="str">
        <f t="array" ref="I858">XLOOKUP(A858,'Download of SFDC Activation Rep'!B:B,'Download of SFDC Activation Rep'!T:T)</f>
        <v>#N/A</v>
      </c>
      <c r="J858" s="17" t="str">
        <f t="array" ref="J858">iferror(XLOOKUP(A858,'Download of SFDC Activation Rep'!B:B,'Download of SFDC Activation Rep'!C:C),"")</f>
        <v/>
      </c>
      <c r="K858" s="17" t="str">
        <f t="array" ref="K858">XLOOKUP(A858,'Download of SFDC Activation Rep'!B:B,'Download of SFDC Activation Rep'!X:X)</f>
        <v>#N/A</v>
      </c>
      <c r="L858" s="32" t="str">
        <f t="array" ref="L858">xlookup(A858,'Download of SFDC Activation Rep'!B:B,'Download of SFDC Activation Rep'!Z:Z)</f>
        <v>#N/A</v>
      </c>
    </row>
    <row r="859">
      <c r="B859" s="14"/>
      <c r="C859" s="14"/>
      <c r="D859" s="14"/>
      <c r="E859" s="14"/>
      <c r="F859" s="13" t="str">
        <f t="array" ref="F859">iferror(XLOOKUP(A859,'Download of SFDC Activation Rep'!B:B,'Download of SFDC Activation Rep'!H:H),"")</f>
        <v/>
      </c>
      <c r="G859" s="13" t="str">
        <f t="array" ref="G859">iferror(xlookup(A859,'Download of SFDC Activation Rep'!B:B,'Download of SFDC Activation Rep'!L:L),"")</f>
        <v/>
      </c>
      <c r="H859" s="17" t="str">
        <f t="shared" si="1"/>
        <v>Not Active</v>
      </c>
      <c r="I859" s="17" t="str">
        <f t="array" ref="I859">XLOOKUP(A859,'Download of SFDC Activation Rep'!B:B,'Download of SFDC Activation Rep'!T:T)</f>
        <v>#N/A</v>
      </c>
      <c r="J859" s="17" t="str">
        <f t="array" ref="J859">iferror(XLOOKUP(A859,'Download of SFDC Activation Rep'!B:B,'Download of SFDC Activation Rep'!C:C),"")</f>
        <v/>
      </c>
      <c r="K859" s="17" t="str">
        <f t="array" ref="K859">XLOOKUP(A859,'Download of SFDC Activation Rep'!B:B,'Download of SFDC Activation Rep'!X:X)</f>
        <v>#N/A</v>
      </c>
      <c r="L859" s="32" t="str">
        <f t="array" ref="L859">xlookup(A859,'Download of SFDC Activation Rep'!B:B,'Download of SFDC Activation Rep'!Z:Z)</f>
        <v>#N/A</v>
      </c>
    </row>
    <row r="860">
      <c r="B860" s="14"/>
      <c r="C860" s="14"/>
      <c r="D860" s="14"/>
      <c r="E860" s="14"/>
      <c r="F860" s="13" t="str">
        <f t="array" ref="F860">iferror(XLOOKUP(A860,'Download of SFDC Activation Rep'!B:B,'Download of SFDC Activation Rep'!H:H),"")</f>
        <v/>
      </c>
      <c r="G860" s="13" t="str">
        <f t="array" ref="G860">iferror(xlookup(A860,'Download of SFDC Activation Rep'!B:B,'Download of SFDC Activation Rep'!L:L),"")</f>
        <v/>
      </c>
      <c r="H860" s="17" t="str">
        <f t="shared" si="1"/>
        <v>Not Active</v>
      </c>
      <c r="I860" s="17" t="str">
        <f t="array" ref="I860">XLOOKUP(A860,'Download of SFDC Activation Rep'!B:B,'Download of SFDC Activation Rep'!T:T)</f>
        <v>#N/A</v>
      </c>
      <c r="J860" s="17" t="str">
        <f t="array" ref="J860">iferror(XLOOKUP(A860,'Download of SFDC Activation Rep'!B:B,'Download of SFDC Activation Rep'!C:C),"")</f>
        <v/>
      </c>
      <c r="K860" s="17" t="str">
        <f t="array" ref="K860">XLOOKUP(A860,'Download of SFDC Activation Rep'!B:B,'Download of SFDC Activation Rep'!X:X)</f>
        <v>#N/A</v>
      </c>
      <c r="L860" s="32" t="str">
        <f t="array" ref="L860">xlookup(A860,'Download of SFDC Activation Rep'!B:B,'Download of SFDC Activation Rep'!Z:Z)</f>
        <v>#N/A</v>
      </c>
    </row>
    <row r="861">
      <c r="B861" s="14"/>
      <c r="C861" s="14"/>
      <c r="D861" s="14"/>
      <c r="E861" s="14"/>
      <c r="F861" s="13" t="str">
        <f t="array" ref="F861">iferror(XLOOKUP(A861,'Download of SFDC Activation Rep'!B:B,'Download of SFDC Activation Rep'!H:H),"")</f>
        <v/>
      </c>
      <c r="G861" s="13" t="str">
        <f t="array" ref="G861">iferror(xlookup(A861,'Download of SFDC Activation Rep'!B:B,'Download of SFDC Activation Rep'!L:L),"")</f>
        <v/>
      </c>
      <c r="H861" s="17" t="str">
        <f t="shared" si="1"/>
        <v>Not Active</v>
      </c>
      <c r="I861" s="17" t="str">
        <f t="array" ref="I861">XLOOKUP(A861,'Download of SFDC Activation Rep'!B:B,'Download of SFDC Activation Rep'!T:T)</f>
        <v>#N/A</v>
      </c>
      <c r="J861" s="17" t="str">
        <f t="array" ref="J861">iferror(XLOOKUP(A861,'Download of SFDC Activation Rep'!B:B,'Download of SFDC Activation Rep'!C:C),"")</f>
        <v/>
      </c>
      <c r="K861" s="17" t="str">
        <f t="array" ref="K861">XLOOKUP(A861,'Download of SFDC Activation Rep'!B:B,'Download of SFDC Activation Rep'!X:X)</f>
        <v>#N/A</v>
      </c>
      <c r="L861" s="32" t="str">
        <f t="array" ref="L861">xlookup(A861,'Download of SFDC Activation Rep'!B:B,'Download of SFDC Activation Rep'!Z:Z)</f>
        <v>#N/A</v>
      </c>
    </row>
    <row r="862">
      <c r="B862" s="14"/>
      <c r="C862" s="14"/>
      <c r="D862" s="14"/>
      <c r="E862" s="14"/>
      <c r="F862" s="13" t="str">
        <f t="array" ref="F862">iferror(XLOOKUP(A862,'Download of SFDC Activation Rep'!B:B,'Download of SFDC Activation Rep'!H:H),"")</f>
        <v/>
      </c>
      <c r="G862" s="13" t="str">
        <f t="array" ref="G862">iferror(xlookup(A862,'Download of SFDC Activation Rep'!B:B,'Download of SFDC Activation Rep'!L:L),"")</f>
        <v/>
      </c>
      <c r="H862" s="17" t="str">
        <f t="shared" si="1"/>
        <v>Not Active</v>
      </c>
      <c r="I862" s="17" t="str">
        <f t="array" ref="I862">XLOOKUP(A862,'Download of SFDC Activation Rep'!B:B,'Download of SFDC Activation Rep'!T:T)</f>
        <v>#N/A</v>
      </c>
      <c r="J862" s="17" t="str">
        <f t="array" ref="J862">iferror(XLOOKUP(A862,'Download of SFDC Activation Rep'!B:B,'Download of SFDC Activation Rep'!C:C),"")</f>
        <v/>
      </c>
      <c r="K862" s="17" t="str">
        <f t="array" ref="K862">XLOOKUP(A862,'Download of SFDC Activation Rep'!B:B,'Download of SFDC Activation Rep'!X:X)</f>
        <v>#N/A</v>
      </c>
      <c r="L862" s="32" t="str">
        <f t="array" ref="L862">xlookup(A862,'Download of SFDC Activation Rep'!B:B,'Download of SFDC Activation Rep'!Z:Z)</f>
        <v>#N/A</v>
      </c>
    </row>
    <row r="863">
      <c r="B863" s="14"/>
      <c r="C863" s="14"/>
      <c r="D863" s="14"/>
      <c r="E863" s="14"/>
      <c r="F863" s="13" t="str">
        <f t="array" ref="F863">iferror(XLOOKUP(A863,'Download of SFDC Activation Rep'!B:B,'Download of SFDC Activation Rep'!H:H),"")</f>
        <v/>
      </c>
      <c r="G863" s="13" t="str">
        <f t="array" ref="G863">iferror(xlookup(A863,'Download of SFDC Activation Rep'!B:B,'Download of SFDC Activation Rep'!L:L),"")</f>
        <v/>
      </c>
      <c r="H863" s="17" t="str">
        <f t="shared" si="1"/>
        <v>Not Active</v>
      </c>
      <c r="I863" s="17" t="str">
        <f t="array" ref="I863">XLOOKUP(A863,'Download of SFDC Activation Rep'!B:B,'Download of SFDC Activation Rep'!T:T)</f>
        <v>#N/A</v>
      </c>
      <c r="J863" s="17" t="str">
        <f t="array" ref="J863">iferror(XLOOKUP(A863,'Download of SFDC Activation Rep'!B:B,'Download of SFDC Activation Rep'!C:C),"")</f>
        <v/>
      </c>
      <c r="K863" s="17" t="str">
        <f t="array" ref="K863">XLOOKUP(A863,'Download of SFDC Activation Rep'!B:B,'Download of SFDC Activation Rep'!X:X)</f>
        <v>#N/A</v>
      </c>
      <c r="L863" s="32" t="str">
        <f t="array" ref="L863">xlookup(A863,'Download of SFDC Activation Rep'!B:B,'Download of SFDC Activation Rep'!Z:Z)</f>
        <v>#N/A</v>
      </c>
    </row>
    <row r="864">
      <c r="B864" s="14"/>
      <c r="C864" s="14"/>
      <c r="D864" s="14"/>
      <c r="E864" s="14"/>
      <c r="F864" s="13" t="str">
        <f t="array" ref="F864">iferror(XLOOKUP(A864,'Download of SFDC Activation Rep'!B:B,'Download of SFDC Activation Rep'!H:H),"")</f>
        <v/>
      </c>
      <c r="G864" s="13" t="str">
        <f t="array" ref="G864">iferror(xlookup(A864,'Download of SFDC Activation Rep'!B:B,'Download of SFDC Activation Rep'!L:L),"")</f>
        <v/>
      </c>
      <c r="H864" s="17" t="str">
        <f t="shared" si="1"/>
        <v>Not Active</v>
      </c>
      <c r="I864" s="17" t="str">
        <f t="array" ref="I864">XLOOKUP(A864,'Download of SFDC Activation Rep'!B:B,'Download of SFDC Activation Rep'!T:T)</f>
        <v>#N/A</v>
      </c>
      <c r="J864" s="17" t="str">
        <f t="array" ref="J864">iferror(XLOOKUP(A864,'Download of SFDC Activation Rep'!B:B,'Download of SFDC Activation Rep'!C:C),"")</f>
        <v/>
      </c>
      <c r="K864" s="17" t="str">
        <f t="array" ref="K864">XLOOKUP(A864,'Download of SFDC Activation Rep'!B:B,'Download of SFDC Activation Rep'!X:X)</f>
        <v>#N/A</v>
      </c>
      <c r="L864" s="32" t="str">
        <f t="array" ref="L864">xlookup(A864,'Download of SFDC Activation Rep'!B:B,'Download of SFDC Activation Rep'!Z:Z)</f>
        <v>#N/A</v>
      </c>
    </row>
    <row r="865">
      <c r="B865" s="14"/>
      <c r="C865" s="14"/>
      <c r="D865" s="14"/>
      <c r="E865" s="14"/>
      <c r="F865" s="13" t="str">
        <f t="array" ref="F865">iferror(XLOOKUP(A865,'Download of SFDC Activation Rep'!B:B,'Download of SFDC Activation Rep'!H:H),"")</f>
        <v/>
      </c>
      <c r="G865" s="13" t="str">
        <f t="array" ref="G865">iferror(xlookup(A865,'Download of SFDC Activation Rep'!B:B,'Download of SFDC Activation Rep'!L:L),"")</f>
        <v/>
      </c>
      <c r="H865" s="17" t="str">
        <f t="shared" si="1"/>
        <v>Not Active</v>
      </c>
      <c r="I865" s="17" t="str">
        <f t="array" ref="I865">XLOOKUP(A865,'Download of SFDC Activation Rep'!B:B,'Download of SFDC Activation Rep'!T:T)</f>
        <v>#N/A</v>
      </c>
      <c r="J865" s="17" t="str">
        <f t="array" ref="J865">iferror(XLOOKUP(A865,'Download of SFDC Activation Rep'!B:B,'Download of SFDC Activation Rep'!C:C),"")</f>
        <v/>
      </c>
      <c r="K865" s="17" t="str">
        <f t="array" ref="K865">XLOOKUP(A865,'Download of SFDC Activation Rep'!B:B,'Download of SFDC Activation Rep'!X:X)</f>
        <v>#N/A</v>
      </c>
      <c r="L865" s="32" t="str">
        <f t="array" ref="L865">xlookup(A865,'Download of SFDC Activation Rep'!B:B,'Download of SFDC Activation Rep'!Z:Z)</f>
        <v>#N/A</v>
      </c>
    </row>
    <row r="866">
      <c r="B866" s="14"/>
      <c r="C866" s="14"/>
      <c r="D866" s="14"/>
      <c r="E866" s="14"/>
      <c r="F866" s="13" t="str">
        <f t="array" ref="F866">iferror(XLOOKUP(A866,'Download of SFDC Activation Rep'!B:B,'Download of SFDC Activation Rep'!H:H),"")</f>
        <v/>
      </c>
      <c r="G866" s="13" t="str">
        <f t="array" ref="G866">iferror(xlookup(A866,'Download of SFDC Activation Rep'!B:B,'Download of SFDC Activation Rep'!L:L),"")</f>
        <v/>
      </c>
      <c r="H866" s="17" t="str">
        <f t="shared" si="1"/>
        <v>Not Active</v>
      </c>
      <c r="I866" s="17" t="str">
        <f t="array" ref="I866">XLOOKUP(A866,'Download of SFDC Activation Rep'!B:B,'Download of SFDC Activation Rep'!T:T)</f>
        <v>#N/A</v>
      </c>
      <c r="J866" s="17" t="str">
        <f t="array" ref="J866">iferror(XLOOKUP(A866,'Download of SFDC Activation Rep'!B:B,'Download of SFDC Activation Rep'!C:C),"")</f>
        <v/>
      </c>
      <c r="K866" s="17" t="str">
        <f t="array" ref="K866">XLOOKUP(A866,'Download of SFDC Activation Rep'!B:B,'Download of SFDC Activation Rep'!X:X)</f>
        <v>#N/A</v>
      </c>
      <c r="L866" s="32" t="str">
        <f t="array" ref="L866">xlookup(A866,'Download of SFDC Activation Rep'!B:B,'Download of SFDC Activation Rep'!Z:Z)</f>
        <v>#N/A</v>
      </c>
    </row>
    <row r="867">
      <c r="B867" s="14"/>
      <c r="C867" s="14"/>
      <c r="D867" s="14"/>
      <c r="E867" s="14"/>
      <c r="F867" s="13" t="str">
        <f t="array" ref="F867">iferror(XLOOKUP(A867,'Download of SFDC Activation Rep'!B:B,'Download of SFDC Activation Rep'!H:H),"")</f>
        <v/>
      </c>
      <c r="G867" s="13" t="str">
        <f t="array" ref="G867">iferror(xlookup(A867,'Download of SFDC Activation Rep'!B:B,'Download of SFDC Activation Rep'!L:L),"")</f>
        <v/>
      </c>
      <c r="H867" s="17" t="str">
        <f t="shared" si="1"/>
        <v>Not Active</v>
      </c>
      <c r="I867" s="17" t="str">
        <f t="array" ref="I867">XLOOKUP(A867,'Download of SFDC Activation Rep'!B:B,'Download of SFDC Activation Rep'!T:T)</f>
        <v>#N/A</v>
      </c>
      <c r="J867" s="17" t="str">
        <f t="array" ref="J867">iferror(XLOOKUP(A867,'Download of SFDC Activation Rep'!B:B,'Download of SFDC Activation Rep'!C:C),"")</f>
        <v/>
      </c>
      <c r="K867" s="17" t="str">
        <f t="array" ref="K867">XLOOKUP(A867,'Download of SFDC Activation Rep'!B:B,'Download of SFDC Activation Rep'!X:X)</f>
        <v>#N/A</v>
      </c>
      <c r="L867" s="32" t="str">
        <f t="array" ref="L867">xlookup(A867,'Download of SFDC Activation Rep'!B:B,'Download of SFDC Activation Rep'!Z:Z)</f>
        <v>#N/A</v>
      </c>
    </row>
    <row r="868">
      <c r="B868" s="14"/>
      <c r="C868" s="14"/>
      <c r="D868" s="14"/>
      <c r="E868" s="14"/>
      <c r="F868" s="13" t="str">
        <f t="array" ref="F868">iferror(XLOOKUP(A868,'Download of SFDC Activation Rep'!B:B,'Download of SFDC Activation Rep'!H:H),"")</f>
        <v/>
      </c>
      <c r="G868" s="13" t="str">
        <f t="array" ref="G868">iferror(xlookup(A868,'Download of SFDC Activation Rep'!B:B,'Download of SFDC Activation Rep'!L:L),"")</f>
        <v/>
      </c>
      <c r="H868" s="17" t="str">
        <f t="shared" si="1"/>
        <v>Not Active</v>
      </c>
      <c r="I868" s="17" t="str">
        <f t="array" ref="I868">XLOOKUP(A868,'Download of SFDC Activation Rep'!B:B,'Download of SFDC Activation Rep'!T:T)</f>
        <v>#N/A</v>
      </c>
      <c r="J868" s="17" t="str">
        <f t="array" ref="J868">iferror(XLOOKUP(A868,'Download of SFDC Activation Rep'!B:B,'Download of SFDC Activation Rep'!C:C),"")</f>
        <v/>
      </c>
      <c r="K868" s="17" t="str">
        <f t="array" ref="K868">XLOOKUP(A868,'Download of SFDC Activation Rep'!B:B,'Download of SFDC Activation Rep'!X:X)</f>
        <v>#N/A</v>
      </c>
      <c r="L868" s="32" t="str">
        <f t="array" ref="L868">xlookup(A868,'Download of SFDC Activation Rep'!B:B,'Download of SFDC Activation Rep'!Z:Z)</f>
        <v>#N/A</v>
      </c>
    </row>
    <row r="869">
      <c r="B869" s="14"/>
      <c r="C869" s="14"/>
      <c r="D869" s="14"/>
      <c r="E869" s="14"/>
      <c r="F869" s="13" t="str">
        <f t="array" ref="F869">iferror(XLOOKUP(A869,'Download of SFDC Activation Rep'!B:B,'Download of SFDC Activation Rep'!H:H),"")</f>
        <v/>
      </c>
      <c r="G869" s="13" t="str">
        <f t="array" ref="G869">iferror(xlookup(A869,'Download of SFDC Activation Rep'!B:B,'Download of SFDC Activation Rep'!L:L),"")</f>
        <v/>
      </c>
      <c r="H869" s="17" t="str">
        <f t="shared" si="1"/>
        <v>Not Active</v>
      </c>
      <c r="I869" s="17" t="str">
        <f t="array" ref="I869">XLOOKUP(A869,'Download of SFDC Activation Rep'!B:B,'Download of SFDC Activation Rep'!T:T)</f>
        <v>#N/A</v>
      </c>
      <c r="J869" s="17" t="str">
        <f t="array" ref="J869">iferror(XLOOKUP(A869,'Download of SFDC Activation Rep'!B:B,'Download of SFDC Activation Rep'!C:C),"")</f>
        <v/>
      </c>
      <c r="K869" s="17" t="str">
        <f t="array" ref="K869">XLOOKUP(A869,'Download of SFDC Activation Rep'!B:B,'Download of SFDC Activation Rep'!X:X)</f>
        <v>#N/A</v>
      </c>
      <c r="L869" s="32" t="str">
        <f t="array" ref="L869">xlookup(A869,'Download of SFDC Activation Rep'!B:B,'Download of SFDC Activation Rep'!Z:Z)</f>
        <v>#N/A</v>
      </c>
    </row>
    <row r="870">
      <c r="B870" s="14"/>
      <c r="C870" s="14"/>
      <c r="D870" s="14"/>
      <c r="E870" s="14"/>
      <c r="F870" s="13" t="str">
        <f t="array" ref="F870">iferror(XLOOKUP(A870,'Download of SFDC Activation Rep'!B:B,'Download of SFDC Activation Rep'!H:H),"")</f>
        <v/>
      </c>
      <c r="G870" s="13" t="str">
        <f t="array" ref="G870">iferror(xlookup(A870,'Download of SFDC Activation Rep'!B:B,'Download of SFDC Activation Rep'!L:L),"")</f>
        <v/>
      </c>
      <c r="H870" s="17" t="str">
        <f t="shared" si="1"/>
        <v>Not Active</v>
      </c>
      <c r="I870" s="17" t="str">
        <f t="array" ref="I870">XLOOKUP(A870,'Download of SFDC Activation Rep'!B:B,'Download of SFDC Activation Rep'!T:T)</f>
        <v>#N/A</v>
      </c>
      <c r="J870" s="17" t="str">
        <f t="array" ref="J870">iferror(XLOOKUP(A870,'Download of SFDC Activation Rep'!B:B,'Download of SFDC Activation Rep'!C:C),"")</f>
        <v/>
      </c>
      <c r="K870" s="17" t="str">
        <f t="array" ref="K870">XLOOKUP(A870,'Download of SFDC Activation Rep'!B:B,'Download of SFDC Activation Rep'!X:X)</f>
        <v>#N/A</v>
      </c>
      <c r="L870" s="32" t="str">
        <f t="array" ref="L870">xlookup(A870,'Download of SFDC Activation Rep'!B:B,'Download of SFDC Activation Rep'!Z:Z)</f>
        <v>#N/A</v>
      </c>
    </row>
    <row r="871">
      <c r="B871" s="14"/>
      <c r="C871" s="14"/>
      <c r="D871" s="14"/>
      <c r="E871" s="14"/>
      <c r="F871" s="13" t="str">
        <f t="array" ref="F871">iferror(XLOOKUP(A871,'Download of SFDC Activation Rep'!B:B,'Download of SFDC Activation Rep'!H:H),"")</f>
        <v/>
      </c>
      <c r="G871" s="13" t="str">
        <f t="array" ref="G871">iferror(xlookup(A871,'Download of SFDC Activation Rep'!B:B,'Download of SFDC Activation Rep'!L:L),"")</f>
        <v/>
      </c>
      <c r="H871" s="17" t="str">
        <f t="shared" si="1"/>
        <v>Not Active</v>
      </c>
      <c r="I871" s="17" t="str">
        <f t="array" ref="I871">XLOOKUP(A871,'Download of SFDC Activation Rep'!B:B,'Download of SFDC Activation Rep'!T:T)</f>
        <v>#N/A</v>
      </c>
      <c r="J871" s="17" t="str">
        <f t="array" ref="J871">iferror(XLOOKUP(A871,'Download of SFDC Activation Rep'!B:B,'Download of SFDC Activation Rep'!C:C),"")</f>
        <v/>
      </c>
      <c r="K871" s="17" t="str">
        <f t="array" ref="K871">XLOOKUP(A871,'Download of SFDC Activation Rep'!B:B,'Download of SFDC Activation Rep'!X:X)</f>
        <v>#N/A</v>
      </c>
      <c r="L871" s="32" t="str">
        <f t="array" ref="L871">xlookup(A871,'Download of SFDC Activation Rep'!B:B,'Download of SFDC Activation Rep'!Z:Z)</f>
        <v>#N/A</v>
      </c>
    </row>
    <row r="872">
      <c r="B872" s="14"/>
      <c r="C872" s="14"/>
      <c r="D872" s="14"/>
      <c r="E872" s="14"/>
      <c r="F872" s="13" t="str">
        <f t="array" ref="F872">iferror(XLOOKUP(A872,'Download of SFDC Activation Rep'!B:B,'Download of SFDC Activation Rep'!H:H),"")</f>
        <v/>
      </c>
      <c r="G872" s="13" t="str">
        <f t="array" ref="G872">iferror(xlookup(A872,'Download of SFDC Activation Rep'!B:B,'Download of SFDC Activation Rep'!L:L),"")</f>
        <v/>
      </c>
      <c r="H872" s="17" t="str">
        <f t="shared" si="1"/>
        <v>Not Active</v>
      </c>
      <c r="I872" s="17" t="str">
        <f t="array" ref="I872">XLOOKUP(A872,'Download of SFDC Activation Rep'!B:B,'Download of SFDC Activation Rep'!T:T)</f>
        <v>#N/A</v>
      </c>
      <c r="J872" s="17" t="str">
        <f t="array" ref="J872">iferror(XLOOKUP(A872,'Download of SFDC Activation Rep'!B:B,'Download of SFDC Activation Rep'!C:C),"")</f>
        <v/>
      </c>
      <c r="K872" s="17" t="str">
        <f t="array" ref="K872">XLOOKUP(A872,'Download of SFDC Activation Rep'!B:B,'Download of SFDC Activation Rep'!X:X)</f>
        <v>#N/A</v>
      </c>
      <c r="L872" s="32" t="str">
        <f t="array" ref="L872">xlookup(A872,'Download of SFDC Activation Rep'!B:B,'Download of SFDC Activation Rep'!Z:Z)</f>
        <v>#N/A</v>
      </c>
    </row>
    <row r="873">
      <c r="B873" s="14"/>
      <c r="C873" s="14"/>
      <c r="D873" s="14"/>
      <c r="E873" s="14"/>
      <c r="F873" s="13" t="str">
        <f t="array" ref="F873">iferror(XLOOKUP(A873,'Download of SFDC Activation Rep'!B:B,'Download of SFDC Activation Rep'!H:H),"")</f>
        <v/>
      </c>
      <c r="G873" s="13" t="str">
        <f t="array" ref="G873">iferror(xlookup(A873,'Download of SFDC Activation Rep'!B:B,'Download of SFDC Activation Rep'!L:L),"")</f>
        <v/>
      </c>
      <c r="H873" s="17" t="str">
        <f t="shared" si="1"/>
        <v>Not Active</v>
      </c>
      <c r="I873" s="17" t="str">
        <f t="array" ref="I873">XLOOKUP(A873,'Download of SFDC Activation Rep'!B:B,'Download of SFDC Activation Rep'!T:T)</f>
        <v>#N/A</v>
      </c>
      <c r="J873" s="17" t="str">
        <f t="array" ref="J873">iferror(XLOOKUP(A873,'Download of SFDC Activation Rep'!B:B,'Download of SFDC Activation Rep'!C:C),"")</f>
        <v/>
      </c>
      <c r="K873" s="17" t="str">
        <f t="array" ref="K873">XLOOKUP(A873,'Download of SFDC Activation Rep'!B:B,'Download of SFDC Activation Rep'!X:X)</f>
        <v>#N/A</v>
      </c>
      <c r="L873" s="32" t="str">
        <f t="array" ref="L873">xlookup(A873,'Download of SFDC Activation Rep'!B:B,'Download of SFDC Activation Rep'!Z:Z)</f>
        <v>#N/A</v>
      </c>
    </row>
    <row r="874">
      <c r="B874" s="14"/>
      <c r="C874" s="14"/>
      <c r="D874" s="14"/>
      <c r="E874" s="14"/>
      <c r="F874" s="13" t="str">
        <f t="array" ref="F874">iferror(XLOOKUP(A874,'Download of SFDC Activation Rep'!B:B,'Download of SFDC Activation Rep'!H:H),"")</f>
        <v/>
      </c>
      <c r="G874" s="13" t="str">
        <f t="array" ref="G874">iferror(xlookup(A874,'Download of SFDC Activation Rep'!B:B,'Download of SFDC Activation Rep'!L:L),"")</f>
        <v/>
      </c>
      <c r="H874" s="17" t="str">
        <f t="shared" si="1"/>
        <v>Not Active</v>
      </c>
      <c r="I874" s="17" t="str">
        <f t="array" ref="I874">XLOOKUP(A874,'Download of SFDC Activation Rep'!B:B,'Download of SFDC Activation Rep'!T:T)</f>
        <v>#N/A</v>
      </c>
      <c r="J874" s="17" t="str">
        <f t="array" ref="J874">iferror(XLOOKUP(A874,'Download of SFDC Activation Rep'!B:B,'Download of SFDC Activation Rep'!C:C),"")</f>
        <v/>
      </c>
      <c r="K874" s="17" t="str">
        <f t="array" ref="K874">XLOOKUP(A874,'Download of SFDC Activation Rep'!B:B,'Download of SFDC Activation Rep'!X:X)</f>
        <v>#N/A</v>
      </c>
      <c r="L874" s="32" t="str">
        <f t="array" ref="L874">xlookup(A874,'Download of SFDC Activation Rep'!B:B,'Download of SFDC Activation Rep'!Z:Z)</f>
        <v>#N/A</v>
      </c>
    </row>
    <row r="875">
      <c r="B875" s="14"/>
      <c r="C875" s="14"/>
      <c r="D875" s="14"/>
      <c r="E875" s="14"/>
      <c r="F875" s="13" t="str">
        <f t="array" ref="F875">iferror(XLOOKUP(A875,'Download of SFDC Activation Rep'!B:B,'Download of SFDC Activation Rep'!H:H),"")</f>
        <v/>
      </c>
      <c r="G875" s="13" t="str">
        <f t="array" ref="G875">iferror(xlookup(A875,'Download of SFDC Activation Rep'!B:B,'Download of SFDC Activation Rep'!L:L),"")</f>
        <v/>
      </c>
      <c r="H875" s="17" t="str">
        <f t="shared" si="1"/>
        <v>Not Active</v>
      </c>
      <c r="I875" s="17" t="str">
        <f t="array" ref="I875">XLOOKUP(A875,'Download of SFDC Activation Rep'!B:B,'Download of SFDC Activation Rep'!T:T)</f>
        <v>#N/A</v>
      </c>
      <c r="J875" s="17" t="str">
        <f t="array" ref="J875">iferror(XLOOKUP(A875,'Download of SFDC Activation Rep'!B:B,'Download of SFDC Activation Rep'!C:C),"")</f>
        <v/>
      </c>
      <c r="K875" s="17" t="str">
        <f t="array" ref="K875">XLOOKUP(A875,'Download of SFDC Activation Rep'!B:B,'Download of SFDC Activation Rep'!X:X)</f>
        <v>#N/A</v>
      </c>
      <c r="L875" s="32" t="str">
        <f t="array" ref="L875">xlookup(A875,'Download of SFDC Activation Rep'!B:B,'Download of SFDC Activation Rep'!Z:Z)</f>
        <v>#N/A</v>
      </c>
    </row>
    <row r="876">
      <c r="B876" s="14"/>
      <c r="C876" s="14"/>
      <c r="D876" s="14"/>
      <c r="E876" s="14"/>
      <c r="F876" s="13" t="str">
        <f t="array" ref="F876">iferror(XLOOKUP(A876,'Download of SFDC Activation Rep'!B:B,'Download of SFDC Activation Rep'!H:H),"")</f>
        <v/>
      </c>
      <c r="G876" s="13" t="str">
        <f t="array" ref="G876">iferror(xlookup(A876,'Download of SFDC Activation Rep'!B:B,'Download of SFDC Activation Rep'!L:L),"")</f>
        <v/>
      </c>
      <c r="H876" s="17" t="str">
        <f t="shared" si="1"/>
        <v>Not Active</v>
      </c>
      <c r="I876" s="17" t="str">
        <f t="array" ref="I876">XLOOKUP(A876,'Download of SFDC Activation Rep'!B:B,'Download of SFDC Activation Rep'!T:T)</f>
        <v>#N/A</v>
      </c>
      <c r="J876" s="17" t="str">
        <f t="array" ref="J876">iferror(XLOOKUP(A876,'Download of SFDC Activation Rep'!B:B,'Download of SFDC Activation Rep'!C:C),"")</f>
        <v/>
      </c>
      <c r="K876" s="17" t="str">
        <f t="array" ref="K876">XLOOKUP(A876,'Download of SFDC Activation Rep'!B:B,'Download of SFDC Activation Rep'!X:X)</f>
        <v>#N/A</v>
      </c>
      <c r="L876" s="32" t="str">
        <f t="array" ref="L876">xlookup(A876,'Download of SFDC Activation Rep'!B:B,'Download of SFDC Activation Rep'!Z:Z)</f>
        <v>#N/A</v>
      </c>
    </row>
    <row r="877">
      <c r="B877" s="14"/>
      <c r="C877" s="14"/>
      <c r="D877" s="14"/>
      <c r="E877" s="14"/>
      <c r="F877" s="13" t="str">
        <f t="array" ref="F877">iferror(XLOOKUP(A877,'Download of SFDC Activation Rep'!B:B,'Download of SFDC Activation Rep'!H:H),"")</f>
        <v/>
      </c>
      <c r="G877" s="13" t="str">
        <f t="array" ref="G877">iferror(xlookup(A877,'Download of SFDC Activation Rep'!B:B,'Download of SFDC Activation Rep'!L:L),"")</f>
        <v/>
      </c>
      <c r="H877" s="17" t="str">
        <f t="shared" si="1"/>
        <v>Not Active</v>
      </c>
      <c r="I877" s="17" t="str">
        <f t="array" ref="I877">XLOOKUP(A877,'Download of SFDC Activation Rep'!B:B,'Download of SFDC Activation Rep'!T:T)</f>
        <v>#N/A</v>
      </c>
      <c r="J877" s="17" t="str">
        <f t="array" ref="J877">iferror(XLOOKUP(A877,'Download of SFDC Activation Rep'!B:B,'Download of SFDC Activation Rep'!C:C),"")</f>
        <v/>
      </c>
      <c r="K877" s="17" t="str">
        <f t="array" ref="K877">XLOOKUP(A877,'Download of SFDC Activation Rep'!B:B,'Download of SFDC Activation Rep'!X:X)</f>
        <v>#N/A</v>
      </c>
      <c r="L877" s="32" t="str">
        <f t="array" ref="L877">xlookup(A877,'Download of SFDC Activation Rep'!B:B,'Download of SFDC Activation Rep'!Z:Z)</f>
        <v>#N/A</v>
      </c>
    </row>
    <row r="878">
      <c r="B878" s="14"/>
      <c r="C878" s="14"/>
      <c r="D878" s="14"/>
      <c r="E878" s="14"/>
      <c r="F878" s="13" t="str">
        <f t="array" ref="F878">iferror(XLOOKUP(A878,'Download of SFDC Activation Rep'!B:B,'Download of SFDC Activation Rep'!H:H),"")</f>
        <v/>
      </c>
      <c r="G878" s="13" t="str">
        <f t="array" ref="G878">iferror(xlookup(A878,'Download of SFDC Activation Rep'!B:B,'Download of SFDC Activation Rep'!L:L),"")</f>
        <v/>
      </c>
      <c r="H878" s="17" t="str">
        <f t="shared" si="1"/>
        <v>Not Active</v>
      </c>
      <c r="I878" s="17" t="str">
        <f t="array" ref="I878">XLOOKUP(A878,'Download of SFDC Activation Rep'!B:B,'Download of SFDC Activation Rep'!T:T)</f>
        <v>#N/A</v>
      </c>
      <c r="J878" s="17" t="str">
        <f t="array" ref="J878">iferror(XLOOKUP(A878,'Download of SFDC Activation Rep'!B:B,'Download of SFDC Activation Rep'!C:C),"")</f>
        <v/>
      </c>
      <c r="K878" s="17" t="str">
        <f t="array" ref="K878">XLOOKUP(A878,'Download of SFDC Activation Rep'!B:B,'Download of SFDC Activation Rep'!X:X)</f>
        <v>#N/A</v>
      </c>
      <c r="L878" s="32" t="str">
        <f t="array" ref="L878">xlookup(A878,'Download of SFDC Activation Rep'!B:B,'Download of SFDC Activation Rep'!Z:Z)</f>
        <v>#N/A</v>
      </c>
    </row>
    <row r="879">
      <c r="B879" s="14"/>
      <c r="C879" s="14"/>
      <c r="D879" s="14"/>
      <c r="E879" s="14"/>
      <c r="F879" s="13" t="str">
        <f t="array" ref="F879">iferror(XLOOKUP(A879,'Download of SFDC Activation Rep'!B:B,'Download of SFDC Activation Rep'!H:H),"")</f>
        <v/>
      </c>
      <c r="G879" s="13" t="str">
        <f t="array" ref="G879">iferror(xlookup(A879,'Download of SFDC Activation Rep'!B:B,'Download of SFDC Activation Rep'!L:L),"")</f>
        <v/>
      </c>
      <c r="H879" s="17" t="str">
        <f t="shared" si="1"/>
        <v>Not Active</v>
      </c>
      <c r="I879" s="17" t="str">
        <f t="array" ref="I879">XLOOKUP(A879,'Download of SFDC Activation Rep'!B:B,'Download of SFDC Activation Rep'!T:T)</f>
        <v>#N/A</v>
      </c>
      <c r="J879" s="17" t="str">
        <f t="array" ref="J879">iferror(XLOOKUP(A879,'Download of SFDC Activation Rep'!B:B,'Download of SFDC Activation Rep'!C:C),"")</f>
        <v/>
      </c>
      <c r="K879" s="17" t="str">
        <f t="array" ref="K879">XLOOKUP(A879,'Download of SFDC Activation Rep'!B:B,'Download of SFDC Activation Rep'!X:X)</f>
        <v>#N/A</v>
      </c>
      <c r="L879" s="32" t="str">
        <f t="array" ref="L879">xlookup(A879,'Download of SFDC Activation Rep'!B:B,'Download of SFDC Activation Rep'!Z:Z)</f>
        <v>#N/A</v>
      </c>
    </row>
    <row r="880">
      <c r="B880" s="14"/>
      <c r="C880" s="14"/>
      <c r="D880" s="14"/>
      <c r="E880" s="14"/>
      <c r="F880" s="13" t="str">
        <f t="array" ref="F880">iferror(XLOOKUP(A880,'Download of SFDC Activation Rep'!B:B,'Download of SFDC Activation Rep'!H:H),"")</f>
        <v/>
      </c>
      <c r="G880" s="13" t="str">
        <f t="array" ref="G880">iferror(xlookup(A880,'Download of SFDC Activation Rep'!B:B,'Download of SFDC Activation Rep'!L:L),"")</f>
        <v/>
      </c>
      <c r="H880" s="17" t="str">
        <f t="shared" si="1"/>
        <v>Not Active</v>
      </c>
      <c r="I880" s="17" t="str">
        <f t="array" ref="I880">XLOOKUP(A880,'Download of SFDC Activation Rep'!B:B,'Download of SFDC Activation Rep'!T:T)</f>
        <v>#N/A</v>
      </c>
      <c r="J880" s="17" t="str">
        <f t="array" ref="J880">iferror(XLOOKUP(A880,'Download of SFDC Activation Rep'!B:B,'Download of SFDC Activation Rep'!C:C),"")</f>
        <v/>
      </c>
      <c r="K880" s="17" t="str">
        <f t="array" ref="K880">XLOOKUP(A880,'Download of SFDC Activation Rep'!B:B,'Download of SFDC Activation Rep'!X:X)</f>
        <v>#N/A</v>
      </c>
      <c r="L880" s="32" t="str">
        <f t="array" ref="L880">xlookup(A880,'Download of SFDC Activation Rep'!B:B,'Download of SFDC Activation Rep'!Z:Z)</f>
        <v>#N/A</v>
      </c>
    </row>
    <row r="881">
      <c r="B881" s="14"/>
      <c r="C881" s="14"/>
      <c r="D881" s="14"/>
      <c r="E881" s="14"/>
      <c r="F881" s="13" t="str">
        <f t="array" ref="F881">iferror(XLOOKUP(A881,'Download of SFDC Activation Rep'!B:B,'Download of SFDC Activation Rep'!H:H),"")</f>
        <v/>
      </c>
      <c r="G881" s="13" t="str">
        <f t="array" ref="G881">iferror(xlookup(A881,'Download of SFDC Activation Rep'!B:B,'Download of SFDC Activation Rep'!L:L),"")</f>
        <v/>
      </c>
      <c r="H881" s="17" t="str">
        <f t="shared" si="1"/>
        <v>Not Active</v>
      </c>
      <c r="I881" s="17" t="str">
        <f t="array" ref="I881">XLOOKUP(A881,'Download of SFDC Activation Rep'!B:B,'Download of SFDC Activation Rep'!T:T)</f>
        <v>#N/A</v>
      </c>
      <c r="J881" s="17" t="str">
        <f t="array" ref="J881">iferror(XLOOKUP(A881,'Download of SFDC Activation Rep'!B:B,'Download of SFDC Activation Rep'!C:C),"")</f>
        <v/>
      </c>
      <c r="K881" s="17" t="str">
        <f t="array" ref="K881">XLOOKUP(A881,'Download of SFDC Activation Rep'!B:B,'Download of SFDC Activation Rep'!X:X)</f>
        <v>#N/A</v>
      </c>
      <c r="L881" s="32" t="str">
        <f t="array" ref="L881">xlookup(A881,'Download of SFDC Activation Rep'!B:B,'Download of SFDC Activation Rep'!Z:Z)</f>
        <v>#N/A</v>
      </c>
    </row>
    <row r="882">
      <c r="B882" s="14"/>
      <c r="C882" s="14"/>
      <c r="D882" s="14"/>
      <c r="E882" s="14"/>
      <c r="F882" s="13" t="str">
        <f t="array" ref="F882">iferror(XLOOKUP(A882,'Download of SFDC Activation Rep'!B:B,'Download of SFDC Activation Rep'!H:H),"")</f>
        <v/>
      </c>
      <c r="G882" s="13" t="str">
        <f t="array" ref="G882">iferror(xlookup(A882,'Download of SFDC Activation Rep'!B:B,'Download of SFDC Activation Rep'!L:L),"")</f>
        <v/>
      </c>
      <c r="H882" s="17" t="str">
        <f t="shared" si="1"/>
        <v>Not Active</v>
      </c>
      <c r="I882" s="17" t="str">
        <f t="array" ref="I882">XLOOKUP(A882,'Download of SFDC Activation Rep'!B:B,'Download of SFDC Activation Rep'!T:T)</f>
        <v>#N/A</v>
      </c>
      <c r="J882" s="17" t="str">
        <f t="array" ref="J882">iferror(XLOOKUP(A882,'Download of SFDC Activation Rep'!B:B,'Download of SFDC Activation Rep'!C:C),"")</f>
        <v/>
      </c>
      <c r="K882" s="17" t="str">
        <f t="array" ref="K882">XLOOKUP(A882,'Download of SFDC Activation Rep'!B:B,'Download of SFDC Activation Rep'!X:X)</f>
        <v>#N/A</v>
      </c>
      <c r="L882" s="32" t="str">
        <f t="array" ref="L882">xlookup(A882,'Download of SFDC Activation Rep'!B:B,'Download of SFDC Activation Rep'!Z:Z)</f>
        <v>#N/A</v>
      </c>
    </row>
    <row r="883">
      <c r="B883" s="14"/>
      <c r="C883" s="14"/>
      <c r="D883" s="14"/>
      <c r="E883" s="14"/>
      <c r="F883" s="13" t="str">
        <f t="array" ref="F883">iferror(XLOOKUP(A883,'Download of SFDC Activation Rep'!B:B,'Download of SFDC Activation Rep'!H:H),"")</f>
        <v/>
      </c>
      <c r="G883" s="13" t="str">
        <f t="array" ref="G883">iferror(xlookup(A883,'Download of SFDC Activation Rep'!B:B,'Download of SFDC Activation Rep'!L:L),"")</f>
        <v/>
      </c>
      <c r="H883" s="17" t="str">
        <f t="shared" si="1"/>
        <v>Not Active</v>
      </c>
      <c r="I883" s="17" t="str">
        <f t="array" ref="I883">XLOOKUP(A883,'Download of SFDC Activation Rep'!B:B,'Download of SFDC Activation Rep'!T:T)</f>
        <v>#N/A</v>
      </c>
      <c r="J883" s="17" t="str">
        <f t="array" ref="J883">iferror(XLOOKUP(A883,'Download of SFDC Activation Rep'!B:B,'Download of SFDC Activation Rep'!C:C),"")</f>
        <v/>
      </c>
      <c r="K883" s="17" t="str">
        <f t="array" ref="K883">XLOOKUP(A883,'Download of SFDC Activation Rep'!B:B,'Download of SFDC Activation Rep'!X:X)</f>
        <v>#N/A</v>
      </c>
      <c r="L883" s="32" t="str">
        <f t="array" ref="L883">xlookup(A883,'Download of SFDC Activation Rep'!B:B,'Download of SFDC Activation Rep'!Z:Z)</f>
        <v>#N/A</v>
      </c>
    </row>
    <row r="884">
      <c r="B884" s="14"/>
      <c r="C884" s="14"/>
      <c r="D884" s="14"/>
      <c r="E884" s="14"/>
      <c r="F884" s="13" t="str">
        <f t="array" ref="F884">iferror(XLOOKUP(A884,'Download of SFDC Activation Rep'!B:B,'Download of SFDC Activation Rep'!H:H),"")</f>
        <v/>
      </c>
      <c r="G884" s="13" t="str">
        <f t="array" ref="G884">iferror(xlookup(A884,'Download of SFDC Activation Rep'!B:B,'Download of SFDC Activation Rep'!L:L),"")</f>
        <v/>
      </c>
      <c r="H884" s="17" t="str">
        <f t="shared" si="1"/>
        <v>Not Active</v>
      </c>
      <c r="I884" s="17" t="str">
        <f t="array" ref="I884">XLOOKUP(A884,'Download of SFDC Activation Rep'!B:B,'Download of SFDC Activation Rep'!T:T)</f>
        <v>#N/A</v>
      </c>
      <c r="J884" s="17" t="str">
        <f t="array" ref="J884">iferror(XLOOKUP(A884,'Download of SFDC Activation Rep'!B:B,'Download of SFDC Activation Rep'!C:C),"")</f>
        <v/>
      </c>
      <c r="K884" s="17" t="str">
        <f t="array" ref="K884">XLOOKUP(A884,'Download of SFDC Activation Rep'!B:B,'Download of SFDC Activation Rep'!X:X)</f>
        <v>#N/A</v>
      </c>
      <c r="L884" s="32" t="str">
        <f t="array" ref="L884">xlookup(A884,'Download of SFDC Activation Rep'!B:B,'Download of SFDC Activation Rep'!Z:Z)</f>
        <v>#N/A</v>
      </c>
    </row>
    <row r="885">
      <c r="B885" s="14"/>
      <c r="C885" s="14"/>
      <c r="D885" s="14"/>
      <c r="E885" s="14"/>
      <c r="F885" s="13" t="str">
        <f t="array" ref="F885">iferror(XLOOKUP(A885,'Download of SFDC Activation Rep'!B:B,'Download of SFDC Activation Rep'!H:H),"")</f>
        <v/>
      </c>
      <c r="G885" s="13" t="str">
        <f t="array" ref="G885">iferror(xlookup(A885,'Download of SFDC Activation Rep'!B:B,'Download of SFDC Activation Rep'!L:L),"")</f>
        <v/>
      </c>
      <c r="H885" s="17" t="str">
        <f t="shared" si="1"/>
        <v>Not Active</v>
      </c>
      <c r="I885" s="17" t="str">
        <f t="array" ref="I885">XLOOKUP(A885,'Download of SFDC Activation Rep'!B:B,'Download of SFDC Activation Rep'!T:T)</f>
        <v>#N/A</v>
      </c>
      <c r="J885" s="17" t="str">
        <f t="array" ref="J885">iferror(XLOOKUP(A885,'Download of SFDC Activation Rep'!B:B,'Download of SFDC Activation Rep'!C:C),"")</f>
        <v/>
      </c>
      <c r="K885" s="17" t="str">
        <f t="array" ref="K885">XLOOKUP(A885,'Download of SFDC Activation Rep'!B:B,'Download of SFDC Activation Rep'!X:X)</f>
        <v>#N/A</v>
      </c>
      <c r="L885" s="32" t="str">
        <f t="array" ref="L885">xlookup(A885,'Download of SFDC Activation Rep'!B:B,'Download of SFDC Activation Rep'!Z:Z)</f>
        <v>#N/A</v>
      </c>
    </row>
    <row r="886">
      <c r="B886" s="14"/>
      <c r="C886" s="14"/>
      <c r="D886" s="14"/>
      <c r="E886" s="14"/>
      <c r="F886" s="13" t="str">
        <f t="array" ref="F886">iferror(XLOOKUP(A886,'Download of SFDC Activation Rep'!B:B,'Download of SFDC Activation Rep'!H:H),"")</f>
        <v/>
      </c>
      <c r="G886" s="13" t="str">
        <f t="array" ref="G886">iferror(xlookup(A886,'Download of SFDC Activation Rep'!B:B,'Download of SFDC Activation Rep'!L:L),"")</f>
        <v/>
      </c>
      <c r="H886" s="17" t="str">
        <f t="shared" si="1"/>
        <v>Not Active</v>
      </c>
      <c r="I886" s="17" t="str">
        <f t="array" ref="I886">XLOOKUP(A886,'Download of SFDC Activation Rep'!B:B,'Download of SFDC Activation Rep'!T:T)</f>
        <v>#N/A</v>
      </c>
      <c r="J886" s="17" t="str">
        <f t="array" ref="J886">iferror(XLOOKUP(A886,'Download of SFDC Activation Rep'!B:B,'Download of SFDC Activation Rep'!C:C),"")</f>
        <v/>
      </c>
      <c r="K886" s="17" t="str">
        <f t="array" ref="K886">XLOOKUP(A886,'Download of SFDC Activation Rep'!B:B,'Download of SFDC Activation Rep'!X:X)</f>
        <v>#N/A</v>
      </c>
      <c r="L886" s="32" t="str">
        <f t="array" ref="L886">xlookup(A886,'Download of SFDC Activation Rep'!B:B,'Download of SFDC Activation Rep'!Z:Z)</f>
        <v>#N/A</v>
      </c>
    </row>
    <row r="887">
      <c r="B887" s="14"/>
      <c r="C887" s="14"/>
      <c r="D887" s="14"/>
      <c r="E887" s="14"/>
      <c r="F887" s="13" t="str">
        <f t="array" ref="F887">iferror(XLOOKUP(A887,'Download of SFDC Activation Rep'!B:B,'Download of SFDC Activation Rep'!H:H),"")</f>
        <v/>
      </c>
      <c r="G887" s="13" t="str">
        <f t="array" ref="G887">iferror(xlookup(A887,'Download of SFDC Activation Rep'!B:B,'Download of SFDC Activation Rep'!L:L),"")</f>
        <v/>
      </c>
      <c r="H887" s="17" t="str">
        <f t="shared" si="1"/>
        <v>Not Active</v>
      </c>
      <c r="I887" s="17" t="str">
        <f t="array" ref="I887">XLOOKUP(A887,'Download of SFDC Activation Rep'!B:B,'Download of SFDC Activation Rep'!T:T)</f>
        <v>#N/A</v>
      </c>
      <c r="J887" s="17" t="str">
        <f t="array" ref="J887">iferror(XLOOKUP(A887,'Download of SFDC Activation Rep'!B:B,'Download of SFDC Activation Rep'!C:C),"")</f>
        <v/>
      </c>
      <c r="K887" s="17" t="str">
        <f t="array" ref="K887">XLOOKUP(A887,'Download of SFDC Activation Rep'!B:B,'Download of SFDC Activation Rep'!X:X)</f>
        <v>#N/A</v>
      </c>
      <c r="L887" s="32" t="str">
        <f t="array" ref="L887">xlookup(A887,'Download of SFDC Activation Rep'!B:B,'Download of SFDC Activation Rep'!Z:Z)</f>
        <v>#N/A</v>
      </c>
    </row>
    <row r="888">
      <c r="B888" s="14"/>
      <c r="C888" s="14"/>
      <c r="D888" s="14"/>
      <c r="E888" s="14"/>
      <c r="F888" s="13" t="str">
        <f t="array" ref="F888">iferror(XLOOKUP(A888,'Download of SFDC Activation Rep'!B:B,'Download of SFDC Activation Rep'!H:H),"")</f>
        <v/>
      </c>
      <c r="G888" s="13" t="str">
        <f t="array" ref="G888">iferror(xlookup(A888,'Download of SFDC Activation Rep'!B:B,'Download of SFDC Activation Rep'!L:L),"")</f>
        <v/>
      </c>
      <c r="H888" s="17" t="str">
        <f t="shared" si="1"/>
        <v>Not Active</v>
      </c>
      <c r="I888" s="17" t="str">
        <f t="array" ref="I888">XLOOKUP(A888,'Download of SFDC Activation Rep'!B:B,'Download of SFDC Activation Rep'!T:T)</f>
        <v>#N/A</v>
      </c>
      <c r="J888" s="17" t="str">
        <f t="array" ref="J888">iferror(XLOOKUP(A888,'Download of SFDC Activation Rep'!B:B,'Download of SFDC Activation Rep'!C:C),"")</f>
        <v/>
      </c>
      <c r="K888" s="17" t="str">
        <f t="array" ref="K888">XLOOKUP(A888,'Download of SFDC Activation Rep'!B:B,'Download of SFDC Activation Rep'!X:X)</f>
        <v>#N/A</v>
      </c>
      <c r="L888" s="32" t="str">
        <f t="array" ref="L888">xlookup(A888,'Download of SFDC Activation Rep'!B:B,'Download of SFDC Activation Rep'!Z:Z)</f>
        <v>#N/A</v>
      </c>
    </row>
    <row r="889">
      <c r="B889" s="14"/>
      <c r="C889" s="14"/>
      <c r="D889" s="14"/>
      <c r="E889" s="14"/>
      <c r="F889" s="13" t="str">
        <f t="array" ref="F889">iferror(XLOOKUP(A889,'Download of SFDC Activation Rep'!B:B,'Download of SFDC Activation Rep'!H:H),"")</f>
        <v/>
      </c>
      <c r="G889" s="13" t="str">
        <f t="array" ref="G889">iferror(xlookup(A889,'Download of SFDC Activation Rep'!B:B,'Download of SFDC Activation Rep'!L:L),"")</f>
        <v/>
      </c>
      <c r="H889" s="17" t="str">
        <f t="shared" si="1"/>
        <v>Not Active</v>
      </c>
      <c r="I889" s="17" t="str">
        <f t="array" ref="I889">XLOOKUP(A889,'Download of SFDC Activation Rep'!B:B,'Download of SFDC Activation Rep'!T:T)</f>
        <v>#N/A</v>
      </c>
      <c r="J889" s="17" t="str">
        <f t="array" ref="J889">iferror(XLOOKUP(A889,'Download of SFDC Activation Rep'!B:B,'Download of SFDC Activation Rep'!C:C),"")</f>
        <v/>
      </c>
      <c r="K889" s="17" t="str">
        <f t="array" ref="K889">XLOOKUP(A889,'Download of SFDC Activation Rep'!B:B,'Download of SFDC Activation Rep'!X:X)</f>
        <v>#N/A</v>
      </c>
      <c r="L889" s="32" t="str">
        <f t="array" ref="L889">xlookup(A889,'Download of SFDC Activation Rep'!B:B,'Download of SFDC Activation Rep'!Z:Z)</f>
        <v>#N/A</v>
      </c>
    </row>
    <row r="890">
      <c r="B890" s="14"/>
      <c r="C890" s="14"/>
      <c r="D890" s="14"/>
      <c r="E890" s="14"/>
      <c r="F890" s="13" t="str">
        <f t="array" ref="F890">iferror(XLOOKUP(A890,'Download of SFDC Activation Rep'!B:B,'Download of SFDC Activation Rep'!H:H),"")</f>
        <v/>
      </c>
      <c r="G890" s="13" t="str">
        <f t="array" ref="G890">iferror(xlookup(A890,'Download of SFDC Activation Rep'!B:B,'Download of SFDC Activation Rep'!L:L),"")</f>
        <v/>
      </c>
      <c r="H890" s="17" t="str">
        <f t="shared" si="1"/>
        <v>Not Active</v>
      </c>
      <c r="I890" s="17" t="str">
        <f t="array" ref="I890">XLOOKUP(A890,'Download of SFDC Activation Rep'!B:B,'Download of SFDC Activation Rep'!T:T)</f>
        <v>#N/A</v>
      </c>
      <c r="J890" s="17" t="str">
        <f t="array" ref="J890">iferror(XLOOKUP(A890,'Download of SFDC Activation Rep'!B:B,'Download of SFDC Activation Rep'!C:C),"")</f>
        <v/>
      </c>
      <c r="K890" s="17" t="str">
        <f t="array" ref="K890">XLOOKUP(A890,'Download of SFDC Activation Rep'!B:B,'Download of SFDC Activation Rep'!X:X)</f>
        <v>#N/A</v>
      </c>
      <c r="L890" s="32" t="str">
        <f t="array" ref="L890">xlookup(A890,'Download of SFDC Activation Rep'!B:B,'Download of SFDC Activation Rep'!Z:Z)</f>
        <v>#N/A</v>
      </c>
    </row>
    <row r="891">
      <c r="B891" s="14"/>
      <c r="C891" s="14"/>
      <c r="D891" s="14"/>
      <c r="E891" s="14"/>
      <c r="F891" s="13" t="str">
        <f t="array" ref="F891">iferror(XLOOKUP(A891,'Download of SFDC Activation Rep'!B:B,'Download of SFDC Activation Rep'!H:H),"")</f>
        <v/>
      </c>
      <c r="G891" s="13" t="str">
        <f t="array" ref="G891">iferror(xlookup(A891,'Download of SFDC Activation Rep'!B:B,'Download of SFDC Activation Rep'!L:L),"")</f>
        <v/>
      </c>
      <c r="H891" s="17" t="str">
        <f t="shared" si="1"/>
        <v>Not Active</v>
      </c>
      <c r="I891" s="17" t="str">
        <f t="array" ref="I891">XLOOKUP(A891,'Download of SFDC Activation Rep'!B:B,'Download of SFDC Activation Rep'!T:T)</f>
        <v>#N/A</v>
      </c>
      <c r="J891" s="17" t="str">
        <f t="array" ref="J891">iferror(XLOOKUP(A891,'Download of SFDC Activation Rep'!B:B,'Download of SFDC Activation Rep'!C:C),"")</f>
        <v/>
      </c>
      <c r="K891" s="17" t="str">
        <f t="array" ref="K891">XLOOKUP(A891,'Download of SFDC Activation Rep'!B:B,'Download of SFDC Activation Rep'!X:X)</f>
        <v>#N/A</v>
      </c>
      <c r="L891" s="32" t="str">
        <f t="array" ref="L891">xlookup(A891,'Download of SFDC Activation Rep'!B:B,'Download of SFDC Activation Rep'!Z:Z)</f>
        <v>#N/A</v>
      </c>
    </row>
    <row r="892">
      <c r="B892" s="14"/>
      <c r="C892" s="14"/>
      <c r="D892" s="14"/>
      <c r="E892" s="14"/>
      <c r="F892" s="13" t="str">
        <f t="array" ref="F892">iferror(XLOOKUP(A892,'Download of SFDC Activation Rep'!B:B,'Download of SFDC Activation Rep'!H:H),"")</f>
        <v/>
      </c>
      <c r="G892" s="13" t="str">
        <f t="array" ref="G892">iferror(xlookup(A892,'Download of SFDC Activation Rep'!B:B,'Download of SFDC Activation Rep'!L:L),"")</f>
        <v/>
      </c>
      <c r="H892" s="17" t="str">
        <f t="shared" si="1"/>
        <v>Not Active</v>
      </c>
      <c r="I892" s="17" t="str">
        <f t="array" ref="I892">XLOOKUP(A892,'Download of SFDC Activation Rep'!B:B,'Download of SFDC Activation Rep'!T:T)</f>
        <v>#N/A</v>
      </c>
      <c r="J892" s="17" t="str">
        <f t="array" ref="J892">iferror(XLOOKUP(A892,'Download of SFDC Activation Rep'!B:B,'Download of SFDC Activation Rep'!C:C),"")</f>
        <v/>
      </c>
      <c r="K892" s="17" t="str">
        <f t="array" ref="K892">XLOOKUP(A892,'Download of SFDC Activation Rep'!B:B,'Download of SFDC Activation Rep'!X:X)</f>
        <v>#N/A</v>
      </c>
      <c r="L892" s="32" t="str">
        <f t="array" ref="L892">xlookup(A892,'Download of SFDC Activation Rep'!B:B,'Download of SFDC Activation Rep'!Z:Z)</f>
        <v>#N/A</v>
      </c>
    </row>
    <row r="893">
      <c r="B893" s="14"/>
      <c r="C893" s="14"/>
      <c r="D893" s="14"/>
      <c r="E893" s="14"/>
      <c r="F893" s="13" t="str">
        <f t="array" ref="F893">iferror(XLOOKUP(A893,'Download of SFDC Activation Rep'!B:B,'Download of SFDC Activation Rep'!H:H),"")</f>
        <v/>
      </c>
      <c r="G893" s="13" t="str">
        <f t="array" ref="G893">iferror(xlookup(A893,'Download of SFDC Activation Rep'!B:B,'Download of SFDC Activation Rep'!L:L),"")</f>
        <v/>
      </c>
      <c r="H893" s="17" t="str">
        <f t="shared" si="1"/>
        <v>Not Active</v>
      </c>
      <c r="I893" s="17" t="str">
        <f t="array" ref="I893">XLOOKUP(A893,'Download of SFDC Activation Rep'!B:B,'Download of SFDC Activation Rep'!T:T)</f>
        <v>#N/A</v>
      </c>
      <c r="J893" s="17" t="str">
        <f t="array" ref="J893">iferror(XLOOKUP(A893,'Download of SFDC Activation Rep'!B:B,'Download of SFDC Activation Rep'!C:C),"")</f>
        <v/>
      </c>
      <c r="K893" s="17" t="str">
        <f t="array" ref="K893">XLOOKUP(A893,'Download of SFDC Activation Rep'!B:B,'Download of SFDC Activation Rep'!X:X)</f>
        <v>#N/A</v>
      </c>
      <c r="L893" s="32" t="str">
        <f t="array" ref="L893">xlookup(A893,'Download of SFDC Activation Rep'!B:B,'Download of SFDC Activation Rep'!Z:Z)</f>
        <v>#N/A</v>
      </c>
    </row>
    <row r="894">
      <c r="B894" s="14"/>
      <c r="C894" s="14"/>
      <c r="D894" s="14"/>
      <c r="E894" s="14"/>
      <c r="F894" s="13" t="str">
        <f t="array" ref="F894">iferror(XLOOKUP(A894,'Download of SFDC Activation Rep'!B:B,'Download of SFDC Activation Rep'!H:H),"")</f>
        <v/>
      </c>
      <c r="G894" s="13" t="str">
        <f t="array" ref="G894">iferror(xlookup(A894,'Download of SFDC Activation Rep'!B:B,'Download of SFDC Activation Rep'!L:L),"")</f>
        <v/>
      </c>
      <c r="H894" s="17" t="str">
        <f t="shared" si="1"/>
        <v>Not Active</v>
      </c>
      <c r="I894" s="17" t="str">
        <f t="array" ref="I894">XLOOKUP(A894,'Download of SFDC Activation Rep'!B:B,'Download of SFDC Activation Rep'!T:T)</f>
        <v>#N/A</v>
      </c>
      <c r="J894" s="17" t="str">
        <f t="array" ref="J894">iferror(XLOOKUP(A894,'Download of SFDC Activation Rep'!B:B,'Download of SFDC Activation Rep'!C:C),"")</f>
        <v/>
      </c>
      <c r="K894" s="17" t="str">
        <f t="array" ref="K894">XLOOKUP(A894,'Download of SFDC Activation Rep'!B:B,'Download of SFDC Activation Rep'!X:X)</f>
        <v>#N/A</v>
      </c>
      <c r="L894" s="32" t="str">
        <f t="array" ref="L894">xlookup(A894,'Download of SFDC Activation Rep'!B:B,'Download of SFDC Activation Rep'!Z:Z)</f>
        <v>#N/A</v>
      </c>
    </row>
    <row r="895">
      <c r="B895" s="14"/>
      <c r="C895" s="14"/>
      <c r="D895" s="14"/>
      <c r="E895" s="14"/>
      <c r="F895" s="13" t="str">
        <f t="array" ref="F895">iferror(XLOOKUP(A895,'Download of SFDC Activation Rep'!B:B,'Download of SFDC Activation Rep'!H:H),"")</f>
        <v/>
      </c>
      <c r="G895" s="13" t="str">
        <f t="array" ref="G895">iferror(xlookup(A895,'Download of SFDC Activation Rep'!B:B,'Download of SFDC Activation Rep'!L:L),"")</f>
        <v/>
      </c>
      <c r="H895" s="17" t="str">
        <f t="shared" si="1"/>
        <v>Not Active</v>
      </c>
      <c r="I895" s="17" t="str">
        <f t="array" ref="I895">XLOOKUP(A895,'Download of SFDC Activation Rep'!B:B,'Download of SFDC Activation Rep'!T:T)</f>
        <v>#N/A</v>
      </c>
      <c r="J895" s="17" t="str">
        <f t="array" ref="J895">iferror(XLOOKUP(A895,'Download of SFDC Activation Rep'!B:B,'Download of SFDC Activation Rep'!C:C),"")</f>
        <v/>
      </c>
      <c r="K895" s="17" t="str">
        <f t="array" ref="K895">XLOOKUP(A895,'Download of SFDC Activation Rep'!B:B,'Download of SFDC Activation Rep'!X:X)</f>
        <v>#N/A</v>
      </c>
      <c r="L895" s="32" t="str">
        <f t="array" ref="L895">xlookup(A895,'Download of SFDC Activation Rep'!B:B,'Download of SFDC Activation Rep'!Z:Z)</f>
        <v>#N/A</v>
      </c>
    </row>
    <row r="896">
      <c r="B896" s="14"/>
      <c r="C896" s="14"/>
      <c r="D896" s="14"/>
      <c r="E896" s="14"/>
      <c r="F896" s="13" t="str">
        <f t="array" ref="F896">iferror(XLOOKUP(A896,'Download of SFDC Activation Rep'!B:B,'Download of SFDC Activation Rep'!H:H),"")</f>
        <v/>
      </c>
      <c r="G896" s="13" t="str">
        <f t="array" ref="G896">iferror(xlookup(A896,'Download of SFDC Activation Rep'!B:B,'Download of SFDC Activation Rep'!L:L),"")</f>
        <v/>
      </c>
      <c r="H896" s="17" t="str">
        <f t="shared" si="1"/>
        <v>Not Active</v>
      </c>
      <c r="I896" s="17" t="str">
        <f t="array" ref="I896">XLOOKUP(A896,'Download of SFDC Activation Rep'!B:B,'Download of SFDC Activation Rep'!T:T)</f>
        <v>#N/A</v>
      </c>
      <c r="J896" s="17" t="str">
        <f t="array" ref="J896">iferror(XLOOKUP(A896,'Download of SFDC Activation Rep'!B:B,'Download of SFDC Activation Rep'!C:C),"")</f>
        <v/>
      </c>
      <c r="K896" s="17" t="str">
        <f t="array" ref="K896">XLOOKUP(A896,'Download of SFDC Activation Rep'!B:B,'Download of SFDC Activation Rep'!X:X)</f>
        <v>#N/A</v>
      </c>
      <c r="L896" s="32" t="str">
        <f t="array" ref="L896">xlookup(A896,'Download of SFDC Activation Rep'!B:B,'Download of SFDC Activation Rep'!Z:Z)</f>
        <v>#N/A</v>
      </c>
    </row>
    <row r="897">
      <c r="B897" s="14"/>
      <c r="C897" s="14"/>
      <c r="D897" s="14"/>
      <c r="E897" s="14"/>
      <c r="F897" s="13" t="str">
        <f t="array" ref="F897">iferror(XLOOKUP(A897,'Download of SFDC Activation Rep'!B:B,'Download of SFDC Activation Rep'!H:H),"")</f>
        <v/>
      </c>
      <c r="G897" s="13" t="str">
        <f t="array" ref="G897">iferror(xlookup(A897,'Download of SFDC Activation Rep'!B:B,'Download of SFDC Activation Rep'!L:L),"")</f>
        <v/>
      </c>
      <c r="H897" s="17" t="str">
        <f t="shared" si="1"/>
        <v>Not Active</v>
      </c>
      <c r="I897" s="17" t="str">
        <f t="array" ref="I897">XLOOKUP(A897,'Download of SFDC Activation Rep'!B:B,'Download of SFDC Activation Rep'!T:T)</f>
        <v>#N/A</v>
      </c>
      <c r="J897" s="17" t="str">
        <f t="array" ref="J897">iferror(XLOOKUP(A897,'Download of SFDC Activation Rep'!B:B,'Download of SFDC Activation Rep'!C:C),"")</f>
        <v/>
      </c>
      <c r="K897" s="17" t="str">
        <f t="array" ref="K897">XLOOKUP(A897,'Download of SFDC Activation Rep'!B:B,'Download of SFDC Activation Rep'!X:X)</f>
        <v>#N/A</v>
      </c>
      <c r="L897" s="32" t="str">
        <f t="array" ref="L897">xlookup(A897,'Download of SFDC Activation Rep'!B:B,'Download of SFDC Activation Rep'!Z:Z)</f>
        <v>#N/A</v>
      </c>
    </row>
    <row r="898">
      <c r="B898" s="14"/>
      <c r="C898" s="14"/>
      <c r="D898" s="14"/>
      <c r="E898" s="14"/>
      <c r="F898" s="13" t="str">
        <f t="array" ref="F898">iferror(XLOOKUP(A898,'Download of SFDC Activation Rep'!B:B,'Download of SFDC Activation Rep'!H:H),"")</f>
        <v/>
      </c>
      <c r="G898" s="13" t="str">
        <f t="array" ref="G898">iferror(xlookup(A898,'Download of SFDC Activation Rep'!B:B,'Download of SFDC Activation Rep'!L:L),"")</f>
        <v/>
      </c>
      <c r="H898" s="17" t="str">
        <f t="shared" si="1"/>
        <v>Not Active</v>
      </c>
      <c r="I898" s="17" t="str">
        <f t="array" ref="I898">XLOOKUP(A898,'Download of SFDC Activation Rep'!B:B,'Download of SFDC Activation Rep'!T:T)</f>
        <v>#N/A</v>
      </c>
      <c r="J898" s="17" t="str">
        <f t="array" ref="J898">iferror(XLOOKUP(A898,'Download of SFDC Activation Rep'!B:B,'Download of SFDC Activation Rep'!C:C),"")</f>
        <v/>
      </c>
      <c r="K898" s="17" t="str">
        <f t="array" ref="K898">XLOOKUP(A898,'Download of SFDC Activation Rep'!B:B,'Download of SFDC Activation Rep'!X:X)</f>
        <v>#N/A</v>
      </c>
      <c r="L898" s="32" t="str">
        <f t="array" ref="L898">xlookup(A898,'Download of SFDC Activation Rep'!B:B,'Download of SFDC Activation Rep'!Z:Z)</f>
        <v>#N/A</v>
      </c>
    </row>
    <row r="899">
      <c r="B899" s="14"/>
      <c r="C899" s="14"/>
      <c r="D899" s="14"/>
      <c r="E899" s="14"/>
      <c r="F899" s="13" t="str">
        <f t="array" ref="F899">iferror(XLOOKUP(A899,'Download of SFDC Activation Rep'!B:B,'Download of SFDC Activation Rep'!H:H),"")</f>
        <v/>
      </c>
      <c r="G899" s="13" t="str">
        <f t="array" ref="G899">iferror(xlookup(A899,'Download of SFDC Activation Rep'!B:B,'Download of SFDC Activation Rep'!L:L),"")</f>
        <v/>
      </c>
      <c r="H899" s="17" t="str">
        <f t="shared" si="1"/>
        <v>Not Active</v>
      </c>
      <c r="I899" s="17" t="str">
        <f t="array" ref="I899">XLOOKUP(A899,'Download of SFDC Activation Rep'!B:B,'Download of SFDC Activation Rep'!T:T)</f>
        <v>#N/A</v>
      </c>
      <c r="J899" s="17" t="str">
        <f t="array" ref="J899">iferror(XLOOKUP(A899,'Download of SFDC Activation Rep'!B:B,'Download of SFDC Activation Rep'!C:C),"")</f>
        <v/>
      </c>
      <c r="K899" s="17" t="str">
        <f t="array" ref="K899">XLOOKUP(A899,'Download of SFDC Activation Rep'!B:B,'Download of SFDC Activation Rep'!X:X)</f>
        <v>#N/A</v>
      </c>
      <c r="L899" s="32" t="str">
        <f t="array" ref="L899">xlookup(A899,'Download of SFDC Activation Rep'!B:B,'Download of SFDC Activation Rep'!Z:Z)</f>
        <v>#N/A</v>
      </c>
    </row>
    <row r="900">
      <c r="B900" s="14"/>
      <c r="C900" s="14"/>
      <c r="D900" s="14"/>
      <c r="E900" s="14"/>
      <c r="F900" s="13" t="str">
        <f t="array" ref="F900">iferror(XLOOKUP(A900,'Download of SFDC Activation Rep'!B:B,'Download of SFDC Activation Rep'!H:H),"")</f>
        <v/>
      </c>
      <c r="G900" s="13" t="str">
        <f t="array" ref="G900">iferror(xlookup(A900,'Download of SFDC Activation Rep'!B:B,'Download of SFDC Activation Rep'!L:L),"")</f>
        <v/>
      </c>
      <c r="H900" s="17" t="str">
        <f t="shared" si="1"/>
        <v>Not Active</v>
      </c>
      <c r="I900" s="17" t="str">
        <f t="array" ref="I900">XLOOKUP(A900,'Download of SFDC Activation Rep'!B:B,'Download of SFDC Activation Rep'!T:T)</f>
        <v>#N/A</v>
      </c>
      <c r="J900" s="17" t="str">
        <f t="array" ref="J900">iferror(XLOOKUP(A900,'Download of SFDC Activation Rep'!B:B,'Download of SFDC Activation Rep'!C:C),"")</f>
        <v/>
      </c>
      <c r="K900" s="17" t="str">
        <f t="array" ref="K900">XLOOKUP(A900,'Download of SFDC Activation Rep'!B:B,'Download of SFDC Activation Rep'!X:X)</f>
        <v>#N/A</v>
      </c>
      <c r="L900" s="32" t="str">
        <f t="array" ref="L900">xlookup(A900,'Download of SFDC Activation Rep'!B:B,'Download of SFDC Activation Rep'!Z:Z)</f>
        <v>#N/A</v>
      </c>
    </row>
    <row r="901">
      <c r="B901" s="14"/>
      <c r="C901" s="14"/>
      <c r="D901" s="14"/>
      <c r="E901" s="14"/>
      <c r="F901" s="13" t="str">
        <f t="array" ref="F901">iferror(XLOOKUP(A901,'Download of SFDC Activation Rep'!B:B,'Download of SFDC Activation Rep'!H:H),"")</f>
        <v/>
      </c>
      <c r="G901" s="13" t="str">
        <f t="array" ref="G901">iferror(xlookup(A901,'Download of SFDC Activation Rep'!B:B,'Download of SFDC Activation Rep'!L:L),"")</f>
        <v/>
      </c>
      <c r="H901" s="17" t="str">
        <f t="shared" si="1"/>
        <v>Not Active</v>
      </c>
      <c r="I901" s="17" t="str">
        <f t="array" ref="I901">XLOOKUP(A901,'Download of SFDC Activation Rep'!B:B,'Download of SFDC Activation Rep'!T:T)</f>
        <v>#N/A</v>
      </c>
      <c r="J901" s="17" t="str">
        <f t="array" ref="J901">iferror(XLOOKUP(A901,'Download of SFDC Activation Rep'!B:B,'Download of SFDC Activation Rep'!C:C),"")</f>
        <v/>
      </c>
      <c r="K901" s="17" t="str">
        <f t="array" ref="K901">XLOOKUP(A901,'Download of SFDC Activation Rep'!B:B,'Download of SFDC Activation Rep'!X:X)</f>
        <v>#N/A</v>
      </c>
      <c r="L901" s="32" t="str">
        <f t="array" ref="L901">xlookup(A901,'Download of SFDC Activation Rep'!B:B,'Download of SFDC Activation Rep'!Z:Z)</f>
        <v>#N/A</v>
      </c>
    </row>
    <row r="902">
      <c r="B902" s="14"/>
      <c r="C902" s="14"/>
      <c r="D902" s="14"/>
      <c r="E902" s="14"/>
      <c r="F902" s="13" t="str">
        <f t="array" ref="F902">iferror(XLOOKUP(A902,'Download of SFDC Activation Rep'!B:B,'Download of SFDC Activation Rep'!H:H),"")</f>
        <v/>
      </c>
      <c r="G902" s="13" t="str">
        <f t="array" ref="G902">iferror(xlookup(A902,'Download of SFDC Activation Rep'!B:B,'Download of SFDC Activation Rep'!L:L),"")</f>
        <v/>
      </c>
      <c r="H902" s="17" t="str">
        <f t="shared" si="1"/>
        <v>Not Active</v>
      </c>
      <c r="I902" s="17" t="str">
        <f t="array" ref="I902">XLOOKUP(A902,'Download of SFDC Activation Rep'!B:B,'Download of SFDC Activation Rep'!T:T)</f>
        <v>#N/A</v>
      </c>
      <c r="J902" s="17" t="str">
        <f t="array" ref="J902">iferror(XLOOKUP(A902,'Download of SFDC Activation Rep'!B:B,'Download of SFDC Activation Rep'!C:C),"")</f>
        <v/>
      </c>
      <c r="K902" s="17" t="str">
        <f t="array" ref="K902">XLOOKUP(A902,'Download of SFDC Activation Rep'!B:B,'Download of SFDC Activation Rep'!X:X)</f>
        <v>#N/A</v>
      </c>
      <c r="L902" s="32" t="str">
        <f t="array" ref="L902">xlookup(A902,'Download of SFDC Activation Rep'!B:B,'Download of SFDC Activation Rep'!Z:Z)</f>
        <v>#N/A</v>
      </c>
    </row>
    <row r="903">
      <c r="B903" s="14"/>
      <c r="C903" s="14"/>
      <c r="D903" s="14"/>
      <c r="E903" s="14"/>
      <c r="F903" s="13" t="str">
        <f t="array" ref="F903">iferror(XLOOKUP(A903,'Download of SFDC Activation Rep'!B:B,'Download of SFDC Activation Rep'!H:H),"")</f>
        <v/>
      </c>
      <c r="G903" s="13" t="str">
        <f t="array" ref="G903">iferror(xlookup(A903,'Download of SFDC Activation Rep'!B:B,'Download of SFDC Activation Rep'!L:L),"")</f>
        <v/>
      </c>
      <c r="H903" s="17" t="str">
        <f t="shared" si="1"/>
        <v>Not Active</v>
      </c>
      <c r="I903" s="17" t="str">
        <f t="array" ref="I903">XLOOKUP(A903,'Download of SFDC Activation Rep'!B:B,'Download of SFDC Activation Rep'!T:T)</f>
        <v>#N/A</v>
      </c>
      <c r="J903" s="17" t="str">
        <f t="array" ref="J903">iferror(XLOOKUP(A903,'Download of SFDC Activation Rep'!B:B,'Download of SFDC Activation Rep'!C:C),"")</f>
        <v/>
      </c>
      <c r="K903" s="17" t="str">
        <f t="array" ref="K903">XLOOKUP(A903,'Download of SFDC Activation Rep'!B:B,'Download of SFDC Activation Rep'!X:X)</f>
        <v>#N/A</v>
      </c>
      <c r="L903" s="32" t="str">
        <f t="array" ref="L903">xlookup(A903,'Download of SFDC Activation Rep'!B:B,'Download of SFDC Activation Rep'!Z:Z)</f>
        <v>#N/A</v>
      </c>
    </row>
    <row r="904">
      <c r="B904" s="14"/>
      <c r="C904" s="14"/>
      <c r="D904" s="14"/>
      <c r="E904" s="14"/>
      <c r="F904" s="13" t="str">
        <f t="array" ref="F904">iferror(XLOOKUP(A904,'Download of SFDC Activation Rep'!B:B,'Download of SFDC Activation Rep'!H:H),"")</f>
        <v/>
      </c>
      <c r="G904" s="13" t="str">
        <f t="array" ref="G904">iferror(xlookup(A904,'Download of SFDC Activation Rep'!B:B,'Download of SFDC Activation Rep'!L:L),"")</f>
        <v/>
      </c>
      <c r="H904" s="17" t="str">
        <f t="shared" si="1"/>
        <v>Not Active</v>
      </c>
      <c r="I904" s="17" t="str">
        <f t="array" ref="I904">XLOOKUP(A904,'Download of SFDC Activation Rep'!B:B,'Download of SFDC Activation Rep'!T:T)</f>
        <v>#N/A</v>
      </c>
      <c r="J904" s="17" t="str">
        <f t="array" ref="J904">iferror(XLOOKUP(A904,'Download of SFDC Activation Rep'!B:B,'Download of SFDC Activation Rep'!C:C),"")</f>
        <v/>
      </c>
      <c r="K904" s="17" t="str">
        <f t="array" ref="K904">XLOOKUP(A904,'Download of SFDC Activation Rep'!B:B,'Download of SFDC Activation Rep'!X:X)</f>
        <v>#N/A</v>
      </c>
      <c r="L904" s="32" t="str">
        <f t="array" ref="L904">xlookup(A904,'Download of SFDC Activation Rep'!B:B,'Download of SFDC Activation Rep'!Z:Z)</f>
        <v>#N/A</v>
      </c>
    </row>
    <row r="905">
      <c r="B905" s="14"/>
      <c r="C905" s="14"/>
      <c r="D905" s="14"/>
      <c r="E905" s="14"/>
      <c r="F905" s="13" t="str">
        <f t="array" ref="F905">iferror(XLOOKUP(A905,'Download of SFDC Activation Rep'!B:B,'Download of SFDC Activation Rep'!H:H),"")</f>
        <v/>
      </c>
      <c r="G905" s="13" t="str">
        <f t="array" ref="G905">iferror(xlookup(A905,'Download of SFDC Activation Rep'!B:B,'Download of SFDC Activation Rep'!L:L),"")</f>
        <v/>
      </c>
      <c r="H905" s="17" t="str">
        <f t="shared" si="1"/>
        <v>Not Active</v>
      </c>
      <c r="I905" s="17" t="str">
        <f t="array" ref="I905">XLOOKUP(A905,'Download of SFDC Activation Rep'!B:B,'Download of SFDC Activation Rep'!T:T)</f>
        <v>#N/A</v>
      </c>
      <c r="J905" s="17" t="str">
        <f t="array" ref="J905">iferror(XLOOKUP(A905,'Download of SFDC Activation Rep'!B:B,'Download of SFDC Activation Rep'!C:C),"")</f>
        <v/>
      </c>
      <c r="K905" s="17" t="str">
        <f t="array" ref="K905">XLOOKUP(A905,'Download of SFDC Activation Rep'!B:B,'Download of SFDC Activation Rep'!X:X)</f>
        <v>#N/A</v>
      </c>
      <c r="L905" s="32" t="str">
        <f t="array" ref="L905">xlookup(A905,'Download of SFDC Activation Rep'!B:B,'Download of SFDC Activation Rep'!Z:Z)</f>
        <v>#N/A</v>
      </c>
    </row>
    <row r="906">
      <c r="B906" s="14"/>
      <c r="C906" s="14"/>
      <c r="D906" s="14"/>
      <c r="E906" s="14"/>
      <c r="F906" s="13" t="str">
        <f t="array" ref="F906">iferror(XLOOKUP(A906,'Download of SFDC Activation Rep'!B:B,'Download of SFDC Activation Rep'!H:H),"")</f>
        <v/>
      </c>
      <c r="G906" s="13" t="str">
        <f t="array" ref="G906">iferror(xlookup(A906,'Download of SFDC Activation Rep'!B:B,'Download of SFDC Activation Rep'!L:L),"")</f>
        <v/>
      </c>
      <c r="H906" s="17" t="str">
        <f t="shared" si="1"/>
        <v>Not Active</v>
      </c>
      <c r="I906" s="17" t="str">
        <f t="array" ref="I906">XLOOKUP(A906,'Download of SFDC Activation Rep'!B:B,'Download of SFDC Activation Rep'!T:T)</f>
        <v>#N/A</v>
      </c>
      <c r="J906" s="17" t="str">
        <f t="array" ref="J906">iferror(XLOOKUP(A906,'Download of SFDC Activation Rep'!B:B,'Download of SFDC Activation Rep'!C:C),"")</f>
        <v/>
      </c>
      <c r="K906" s="17" t="str">
        <f t="array" ref="K906">XLOOKUP(A906,'Download of SFDC Activation Rep'!B:B,'Download of SFDC Activation Rep'!X:X)</f>
        <v>#N/A</v>
      </c>
      <c r="L906" s="32" t="str">
        <f t="array" ref="L906">xlookup(A906,'Download of SFDC Activation Rep'!B:B,'Download of SFDC Activation Rep'!Z:Z)</f>
        <v>#N/A</v>
      </c>
    </row>
    <row r="907">
      <c r="B907" s="14"/>
      <c r="C907" s="14"/>
      <c r="D907" s="14"/>
      <c r="E907" s="14"/>
      <c r="F907" s="13" t="str">
        <f t="array" ref="F907">iferror(XLOOKUP(A907,'Download of SFDC Activation Rep'!B:B,'Download of SFDC Activation Rep'!H:H),"")</f>
        <v/>
      </c>
      <c r="G907" s="13" t="str">
        <f t="array" ref="G907">iferror(xlookup(A907,'Download of SFDC Activation Rep'!B:B,'Download of SFDC Activation Rep'!L:L),"")</f>
        <v/>
      </c>
      <c r="H907" s="17" t="str">
        <f t="shared" si="1"/>
        <v>Not Active</v>
      </c>
      <c r="I907" s="17" t="str">
        <f t="array" ref="I907">XLOOKUP(A907,'Download of SFDC Activation Rep'!B:B,'Download of SFDC Activation Rep'!T:T)</f>
        <v>#N/A</v>
      </c>
      <c r="J907" s="17" t="str">
        <f t="array" ref="J907">iferror(XLOOKUP(A907,'Download of SFDC Activation Rep'!B:B,'Download of SFDC Activation Rep'!C:C),"")</f>
        <v/>
      </c>
      <c r="K907" s="17" t="str">
        <f t="array" ref="K907">XLOOKUP(A907,'Download of SFDC Activation Rep'!B:B,'Download of SFDC Activation Rep'!X:X)</f>
        <v>#N/A</v>
      </c>
      <c r="L907" s="32" t="str">
        <f t="array" ref="L907">xlookup(A907,'Download of SFDC Activation Rep'!B:B,'Download of SFDC Activation Rep'!Z:Z)</f>
        <v>#N/A</v>
      </c>
    </row>
    <row r="908">
      <c r="B908" s="14"/>
      <c r="C908" s="14"/>
      <c r="D908" s="14"/>
      <c r="E908" s="14"/>
      <c r="F908" s="13" t="str">
        <f t="array" ref="F908">iferror(XLOOKUP(A908,'Download of SFDC Activation Rep'!B:B,'Download of SFDC Activation Rep'!H:H),"")</f>
        <v/>
      </c>
      <c r="G908" s="13" t="str">
        <f t="array" ref="G908">iferror(xlookup(A908,'Download of SFDC Activation Rep'!B:B,'Download of SFDC Activation Rep'!L:L),"")</f>
        <v/>
      </c>
      <c r="H908" s="17" t="str">
        <f t="shared" si="1"/>
        <v>Not Active</v>
      </c>
      <c r="I908" s="17" t="str">
        <f t="array" ref="I908">XLOOKUP(A908,'Download of SFDC Activation Rep'!B:B,'Download of SFDC Activation Rep'!T:T)</f>
        <v>#N/A</v>
      </c>
      <c r="J908" s="17" t="str">
        <f t="array" ref="J908">iferror(XLOOKUP(A908,'Download of SFDC Activation Rep'!B:B,'Download of SFDC Activation Rep'!C:C),"")</f>
        <v/>
      </c>
      <c r="K908" s="17" t="str">
        <f t="array" ref="K908">XLOOKUP(A908,'Download of SFDC Activation Rep'!B:B,'Download of SFDC Activation Rep'!X:X)</f>
        <v>#N/A</v>
      </c>
      <c r="L908" s="32" t="str">
        <f t="array" ref="L908">xlookup(A908,'Download of SFDC Activation Rep'!B:B,'Download of SFDC Activation Rep'!Z:Z)</f>
        <v>#N/A</v>
      </c>
    </row>
    <row r="909">
      <c r="B909" s="14"/>
      <c r="C909" s="14"/>
      <c r="D909" s="14"/>
      <c r="E909" s="14"/>
      <c r="F909" s="13" t="str">
        <f t="array" ref="F909">iferror(XLOOKUP(A909,'Download of SFDC Activation Rep'!B:B,'Download of SFDC Activation Rep'!H:H),"")</f>
        <v/>
      </c>
      <c r="G909" s="13" t="str">
        <f t="array" ref="G909">iferror(xlookup(A909,'Download of SFDC Activation Rep'!B:B,'Download of SFDC Activation Rep'!L:L),"")</f>
        <v/>
      </c>
      <c r="H909" s="17" t="str">
        <f t="shared" si="1"/>
        <v>Not Active</v>
      </c>
      <c r="I909" s="17" t="str">
        <f t="array" ref="I909">XLOOKUP(A909,'Download of SFDC Activation Rep'!B:B,'Download of SFDC Activation Rep'!T:T)</f>
        <v>#N/A</v>
      </c>
      <c r="J909" s="17" t="str">
        <f t="array" ref="J909">iferror(XLOOKUP(A909,'Download of SFDC Activation Rep'!B:B,'Download of SFDC Activation Rep'!C:C),"")</f>
        <v/>
      </c>
      <c r="K909" s="17" t="str">
        <f t="array" ref="K909">XLOOKUP(A909,'Download of SFDC Activation Rep'!B:B,'Download of SFDC Activation Rep'!X:X)</f>
        <v>#N/A</v>
      </c>
      <c r="L909" s="32" t="str">
        <f t="array" ref="L909">xlookup(A909,'Download of SFDC Activation Rep'!B:B,'Download of SFDC Activation Rep'!Z:Z)</f>
        <v>#N/A</v>
      </c>
    </row>
    <row r="910">
      <c r="B910" s="14"/>
      <c r="C910" s="14"/>
      <c r="D910" s="14"/>
      <c r="E910" s="14"/>
      <c r="F910" s="13" t="str">
        <f t="array" ref="F910">iferror(XLOOKUP(A910,'Download of SFDC Activation Rep'!B:B,'Download of SFDC Activation Rep'!H:H),"")</f>
        <v/>
      </c>
      <c r="G910" s="13" t="str">
        <f t="array" ref="G910">iferror(xlookup(A910,'Download of SFDC Activation Rep'!B:B,'Download of SFDC Activation Rep'!L:L),"")</f>
        <v/>
      </c>
      <c r="H910" s="17" t="str">
        <f t="shared" si="1"/>
        <v>Not Active</v>
      </c>
      <c r="I910" s="17" t="str">
        <f t="array" ref="I910">XLOOKUP(A910,'Download of SFDC Activation Rep'!B:B,'Download of SFDC Activation Rep'!T:T)</f>
        <v>#N/A</v>
      </c>
      <c r="J910" s="17" t="str">
        <f t="array" ref="J910">iferror(XLOOKUP(A910,'Download of SFDC Activation Rep'!B:B,'Download of SFDC Activation Rep'!C:C),"")</f>
        <v/>
      </c>
      <c r="K910" s="17" t="str">
        <f t="array" ref="K910">XLOOKUP(A910,'Download of SFDC Activation Rep'!B:B,'Download of SFDC Activation Rep'!X:X)</f>
        <v>#N/A</v>
      </c>
      <c r="L910" s="32" t="str">
        <f t="array" ref="L910">xlookup(A910,'Download of SFDC Activation Rep'!B:B,'Download of SFDC Activation Rep'!Z:Z)</f>
        <v>#N/A</v>
      </c>
    </row>
    <row r="911">
      <c r="B911" s="14"/>
      <c r="C911" s="14"/>
      <c r="D911" s="14"/>
      <c r="E911" s="14"/>
      <c r="F911" s="13" t="str">
        <f t="array" ref="F911">iferror(XLOOKUP(A911,'Download of SFDC Activation Rep'!B:B,'Download of SFDC Activation Rep'!H:H),"")</f>
        <v/>
      </c>
      <c r="G911" s="13" t="str">
        <f t="array" ref="G911">iferror(xlookup(A911,'Download of SFDC Activation Rep'!B:B,'Download of SFDC Activation Rep'!L:L),"")</f>
        <v/>
      </c>
      <c r="H911" s="17" t="str">
        <f t="shared" si="1"/>
        <v>Not Active</v>
      </c>
      <c r="I911" s="17" t="str">
        <f t="array" ref="I911">XLOOKUP(A911,'Download of SFDC Activation Rep'!B:B,'Download of SFDC Activation Rep'!T:T)</f>
        <v>#N/A</v>
      </c>
      <c r="J911" s="17" t="str">
        <f t="array" ref="J911">iferror(XLOOKUP(A911,'Download of SFDC Activation Rep'!B:B,'Download of SFDC Activation Rep'!C:C),"")</f>
        <v/>
      </c>
      <c r="K911" s="17" t="str">
        <f t="array" ref="K911">XLOOKUP(A911,'Download of SFDC Activation Rep'!B:B,'Download of SFDC Activation Rep'!X:X)</f>
        <v>#N/A</v>
      </c>
      <c r="L911" s="32" t="str">
        <f t="array" ref="L911">xlookup(A911,'Download of SFDC Activation Rep'!B:B,'Download of SFDC Activation Rep'!Z:Z)</f>
        <v>#N/A</v>
      </c>
    </row>
    <row r="912">
      <c r="B912" s="14"/>
      <c r="C912" s="14"/>
      <c r="D912" s="14"/>
      <c r="E912" s="14"/>
      <c r="F912" s="13" t="str">
        <f t="array" ref="F912">iferror(XLOOKUP(A912,'Download of SFDC Activation Rep'!B:B,'Download of SFDC Activation Rep'!H:H),"")</f>
        <v/>
      </c>
      <c r="G912" s="13" t="str">
        <f t="array" ref="G912">iferror(xlookup(A912,'Download of SFDC Activation Rep'!B:B,'Download of SFDC Activation Rep'!L:L),"")</f>
        <v/>
      </c>
      <c r="H912" s="17" t="str">
        <f t="shared" si="1"/>
        <v>Not Active</v>
      </c>
      <c r="I912" s="17" t="str">
        <f t="array" ref="I912">XLOOKUP(A912,'Download of SFDC Activation Rep'!B:B,'Download of SFDC Activation Rep'!T:T)</f>
        <v>#N/A</v>
      </c>
      <c r="J912" s="17" t="str">
        <f t="array" ref="J912">iferror(XLOOKUP(A912,'Download of SFDC Activation Rep'!B:B,'Download of SFDC Activation Rep'!C:C),"")</f>
        <v/>
      </c>
      <c r="K912" s="17" t="str">
        <f t="array" ref="K912">XLOOKUP(A912,'Download of SFDC Activation Rep'!B:B,'Download of SFDC Activation Rep'!X:X)</f>
        <v>#N/A</v>
      </c>
      <c r="L912" s="32" t="str">
        <f t="array" ref="L912">xlookup(A912,'Download of SFDC Activation Rep'!B:B,'Download of SFDC Activation Rep'!Z:Z)</f>
        <v>#N/A</v>
      </c>
    </row>
    <row r="913">
      <c r="B913" s="14"/>
      <c r="C913" s="14"/>
      <c r="D913" s="14"/>
      <c r="E913" s="14"/>
      <c r="F913" s="13" t="str">
        <f t="array" ref="F913">iferror(XLOOKUP(A913,'Download of SFDC Activation Rep'!B:B,'Download of SFDC Activation Rep'!H:H),"")</f>
        <v/>
      </c>
      <c r="G913" s="13" t="str">
        <f t="array" ref="G913">iferror(xlookup(A913,'Download of SFDC Activation Rep'!B:B,'Download of SFDC Activation Rep'!L:L),"")</f>
        <v/>
      </c>
      <c r="H913" s="17" t="str">
        <f t="shared" si="1"/>
        <v>Not Active</v>
      </c>
      <c r="I913" s="17" t="str">
        <f t="array" ref="I913">XLOOKUP(A913,'Download of SFDC Activation Rep'!B:B,'Download of SFDC Activation Rep'!T:T)</f>
        <v>#N/A</v>
      </c>
      <c r="J913" s="17" t="str">
        <f t="array" ref="J913">iferror(XLOOKUP(A913,'Download of SFDC Activation Rep'!B:B,'Download of SFDC Activation Rep'!C:C),"")</f>
        <v/>
      </c>
      <c r="K913" s="17" t="str">
        <f t="array" ref="K913">XLOOKUP(A913,'Download of SFDC Activation Rep'!B:B,'Download of SFDC Activation Rep'!X:X)</f>
        <v>#N/A</v>
      </c>
      <c r="L913" s="32" t="str">
        <f t="array" ref="L913">xlookup(A913,'Download of SFDC Activation Rep'!B:B,'Download of SFDC Activation Rep'!Z:Z)</f>
        <v>#N/A</v>
      </c>
    </row>
    <row r="914">
      <c r="B914" s="14"/>
      <c r="C914" s="14"/>
      <c r="D914" s="14"/>
      <c r="E914" s="14"/>
      <c r="F914" s="13" t="str">
        <f t="array" ref="F914">iferror(XLOOKUP(A914,'Download of SFDC Activation Rep'!B:B,'Download of SFDC Activation Rep'!H:H),"")</f>
        <v/>
      </c>
      <c r="G914" s="13" t="str">
        <f t="array" ref="G914">iferror(xlookup(A914,'Download of SFDC Activation Rep'!B:B,'Download of SFDC Activation Rep'!L:L),"")</f>
        <v/>
      </c>
      <c r="H914" s="17" t="str">
        <f t="shared" si="1"/>
        <v>Not Active</v>
      </c>
      <c r="I914" s="17" t="str">
        <f t="array" ref="I914">XLOOKUP(A914,'Download of SFDC Activation Rep'!B:B,'Download of SFDC Activation Rep'!T:T)</f>
        <v>#N/A</v>
      </c>
      <c r="J914" s="17" t="str">
        <f t="array" ref="J914">iferror(XLOOKUP(A914,'Download of SFDC Activation Rep'!B:B,'Download of SFDC Activation Rep'!C:C),"")</f>
        <v/>
      </c>
      <c r="K914" s="17" t="str">
        <f t="array" ref="K914">XLOOKUP(A914,'Download of SFDC Activation Rep'!B:B,'Download of SFDC Activation Rep'!X:X)</f>
        <v>#N/A</v>
      </c>
      <c r="L914" s="32" t="str">
        <f t="array" ref="L914">xlookup(A914,'Download of SFDC Activation Rep'!B:B,'Download of SFDC Activation Rep'!Z:Z)</f>
        <v>#N/A</v>
      </c>
    </row>
    <row r="915">
      <c r="B915" s="14"/>
      <c r="C915" s="14"/>
      <c r="D915" s="14"/>
      <c r="E915" s="14"/>
      <c r="F915" s="13" t="str">
        <f t="array" ref="F915">iferror(XLOOKUP(A915,'Download of SFDC Activation Rep'!B:B,'Download of SFDC Activation Rep'!H:H),"")</f>
        <v/>
      </c>
      <c r="G915" s="13" t="str">
        <f t="array" ref="G915">iferror(xlookup(A915,'Download of SFDC Activation Rep'!B:B,'Download of SFDC Activation Rep'!L:L),"")</f>
        <v/>
      </c>
      <c r="H915" s="17" t="str">
        <f t="shared" si="1"/>
        <v>Not Active</v>
      </c>
      <c r="I915" s="17" t="str">
        <f t="array" ref="I915">XLOOKUP(A915,'Download of SFDC Activation Rep'!B:B,'Download of SFDC Activation Rep'!T:T)</f>
        <v>#N/A</v>
      </c>
      <c r="J915" s="17" t="str">
        <f t="array" ref="J915">iferror(XLOOKUP(A915,'Download of SFDC Activation Rep'!B:B,'Download of SFDC Activation Rep'!C:C),"")</f>
        <v/>
      </c>
      <c r="K915" s="17" t="str">
        <f t="array" ref="K915">XLOOKUP(A915,'Download of SFDC Activation Rep'!B:B,'Download of SFDC Activation Rep'!X:X)</f>
        <v>#N/A</v>
      </c>
      <c r="L915" s="32" t="str">
        <f t="array" ref="L915">xlookup(A915,'Download of SFDC Activation Rep'!B:B,'Download of SFDC Activation Rep'!Z:Z)</f>
        <v>#N/A</v>
      </c>
    </row>
    <row r="916">
      <c r="B916" s="14"/>
      <c r="C916" s="14"/>
      <c r="D916" s="14"/>
      <c r="E916" s="14"/>
      <c r="F916" s="13" t="str">
        <f t="array" ref="F916">iferror(XLOOKUP(A916,'Download of SFDC Activation Rep'!B:B,'Download of SFDC Activation Rep'!H:H),"")</f>
        <v/>
      </c>
      <c r="G916" s="13" t="str">
        <f t="array" ref="G916">iferror(xlookup(A916,'Download of SFDC Activation Rep'!B:B,'Download of SFDC Activation Rep'!L:L),"")</f>
        <v/>
      </c>
      <c r="H916" s="17" t="str">
        <f t="shared" si="1"/>
        <v>Not Active</v>
      </c>
      <c r="I916" s="17" t="str">
        <f t="array" ref="I916">XLOOKUP(A916,'Download of SFDC Activation Rep'!B:B,'Download of SFDC Activation Rep'!T:T)</f>
        <v>#N/A</v>
      </c>
      <c r="J916" s="17" t="str">
        <f t="array" ref="J916">iferror(XLOOKUP(A916,'Download of SFDC Activation Rep'!B:B,'Download of SFDC Activation Rep'!C:C),"")</f>
        <v/>
      </c>
      <c r="K916" s="17" t="str">
        <f t="array" ref="K916">XLOOKUP(A916,'Download of SFDC Activation Rep'!B:B,'Download of SFDC Activation Rep'!X:X)</f>
        <v>#N/A</v>
      </c>
      <c r="L916" s="32" t="str">
        <f t="array" ref="L916">xlookup(A916,'Download of SFDC Activation Rep'!B:B,'Download of SFDC Activation Rep'!Z:Z)</f>
        <v>#N/A</v>
      </c>
    </row>
    <row r="917">
      <c r="B917" s="14"/>
      <c r="C917" s="14"/>
      <c r="D917" s="14"/>
      <c r="E917" s="14"/>
      <c r="F917" s="13" t="str">
        <f t="array" ref="F917">iferror(XLOOKUP(A917,'Download of SFDC Activation Rep'!B:B,'Download of SFDC Activation Rep'!H:H),"")</f>
        <v/>
      </c>
      <c r="G917" s="13" t="str">
        <f t="array" ref="G917">iferror(xlookup(A917,'Download of SFDC Activation Rep'!B:B,'Download of SFDC Activation Rep'!L:L),"")</f>
        <v/>
      </c>
      <c r="H917" s="17" t="str">
        <f t="shared" si="1"/>
        <v>Not Active</v>
      </c>
      <c r="I917" s="17" t="str">
        <f t="array" ref="I917">XLOOKUP(A917,'Download of SFDC Activation Rep'!B:B,'Download of SFDC Activation Rep'!T:T)</f>
        <v>#N/A</v>
      </c>
      <c r="J917" s="17" t="str">
        <f t="array" ref="J917">iferror(XLOOKUP(A917,'Download of SFDC Activation Rep'!B:B,'Download of SFDC Activation Rep'!C:C),"")</f>
        <v/>
      </c>
      <c r="K917" s="17" t="str">
        <f t="array" ref="K917">XLOOKUP(A917,'Download of SFDC Activation Rep'!B:B,'Download of SFDC Activation Rep'!X:X)</f>
        <v>#N/A</v>
      </c>
      <c r="L917" s="32" t="str">
        <f t="array" ref="L917">xlookup(A917,'Download of SFDC Activation Rep'!B:B,'Download of SFDC Activation Rep'!Z:Z)</f>
        <v>#N/A</v>
      </c>
    </row>
    <row r="918">
      <c r="B918" s="14"/>
      <c r="C918" s="14"/>
      <c r="D918" s="14"/>
      <c r="E918" s="14"/>
      <c r="F918" s="13" t="str">
        <f t="array" ref="F918">iferror(XLOOKUP(A918,'Download of SFDC Activation Rep'!B:B,'Download of SFDC Activation Rep'!H:H),"")</f>
        <v/>
      </c>
      <c r="G918" s="13" t="str">
        <f t="array" ref="G918">iferror(xlookup(A918,'Download of SFDC Activation Rep'!B:B,'Download of SFDC Activation Rep'!L:L),"")</f>
        <v/>
      </c>
      <c r="H918" s="17" t="str">
        <f t="shared" si="1"/>
        <v>Not Active</v>
      </c>
      <c r="I918" s="17" t="str">
        <f t="array" ref="I918">XLOOKUP(A918,'Download of SFDC Activation Rep'!B:B,'Download of SFDC Activation Rep'!T:T)</f>
        <v>#N/A</v>
      </c>
      <c r="J918" s="17" t="str">
        <f t="array" ref="J918">iferror(XLOOKUP(A918,'Download of SFDC Activation Rep'!B:B,'Download of SFDC Activation Rep'!C:C),"")</f>
        <v/>
      </c>
      <c r="K918" s="17" t="str">
        <f t="array" ref="K918">XLOOKUP(A918,'Download of SFDC Activation Rep'!B:B,'Download of SFDC Activation Rep'!X:X)</f>
        <v>#N/A</v>
      </c>
      <c r="L918" s="32" t="str">
        <f t="array" ref="L918">xlookup(A918,'Download of SFDC Activation Rep'!B:B,'Download of SFDC Activation Rep'!Z:Z)</f>
        <v>#N/A</v>
      </c>
    </row>
    <row r="919">
      <c r="B919" s="14"/>
      <c r="C919" s="14"/>
      <c r="D919" s="14"/>
      <c r="E919" s="14"/>
      <c r="F919" s="13" t="str">
        <f t="array" ref="F919">iferror(XLOOKUP(A919,'Download of SFDC Activation Rep'!B:B,'Download of SFDC Activation Rep'!H:H),"")</f>
        <v/>
      </c>
      <c r="G919" s="13" t="str">
        <f t="array" ref="G919">iferror(xlookup(A919,'Download of SFDC Activation Rep'!B:B,'Download of SFDC Activation Rep'!L:L),"")</f>
        <v/>
      </c>
      <c r="H919" s="17" t="str">
        <f t="shared" si="1"/>
        <v>Not Active</v>
      </c>
      <c r="I919" s="17" t="str">
        <f t="array" ref="I919">XLOOKUP(A919,'Download of SFDC Activation Rep'!B:B,'Download of SFDC Activation Rep'!T:T)</f>
        <v>#N/A</v>
      </c>
      <c r="J919" s="17" t="str">
        <f t="array" ref="J919">iferror(XLOOKUP(A919,'Download of SFDC Activation Rep'!B:B,'Download of SFDC Activation Rep'!C:C),"")</f>
        <v/>
      </c>
      <c r="K919" s="17" t="str">
        <f t="array" ref="K919">XLOOKUP(A919,'Download of SFDC Activation Rep'!B:B,'Download of SFDC Activation Rep'!X:X)</f>
        <v>#N/A</v>
      </c>
      <c r="L919" s="32" t="str">
        <f t="array" ref="L919">xlookup(A919,'Download of SFDC Activation Rep'!B:B,'Download of SFDC Activation Rep'!Z:Z)</f>
        <v>#N/A</v>
      </c>
    </row>
    <row r="920">
      <c r="B920" s="14"/>
      <c r="C920" s="14"/>
      <c r="D920" s="14"/>
      <c r="E920" s="14"/>
      <c r="F920" s="13" t="str">
        <f t="array" ref="F920">iferror(XLOOKUP(A920,'Download of SFDC Activation Rep'!B:B,'Download of SFDC Activation Rep'!H:H),"")</f>
        <v/>
      </c>
      <c r="G920" s="13" t="str">
        <f t="array" ref="G920">iferror(xlookup(A920,'Download of SFDC Activation Rep'!B:B,'Download of SFDC Activation Rep'!L:L),"")</f>
        <v/>
      </c>
      <c r="H920" s="17" t="str">
        <f t="shared" si="1"/>
        <v>Not Active</v>
      </c>
      <c r="I920" s="17" t="str">
        <f t="array" ref="I920">XLOOKUP(A920,'Download of SFDC Activation Rep'!B:B,'Download of SFDC Activation Rep'!T:T)</f>
        <v>#N/A</v>
      </c>
      <c r="J920" s="17" t="str">
        <f t="array" ref="J920">iferror(XLOOKUP(A920,'Download of SFDC Activation Rep'!B:B,'Download of SFDC Activation Rep'!C:C),"")</f>
        <v/>
      </c>
      <c r="K920" s="17" t="str">
        <f t="array" ref="K920">XLOOKUP(A920,'Download of SFDC Activation Rep'!B:B,'Download of SFDC Activation Rep'!X:X)</f>
        <v>#N/A</v>
      </c>
      <c r="L920" s="32" t="str">
        <f t="array" ref="L920">xlookup(A920,'Download of SFDC Activation Rep'!B:B,'Download of SFDC Activation Rep'!Z:Z)</f>
        <v>#N/A</v>
      </c>
    </row>
    <row r="921">
      <c r="B921" s="14"/>
      <c r="C921" s="14"/>
      <c r="D921" s="14"/>
      <c r="E921" s="14"/>
      <c r="F921" s="13" t="str">
        <f t="array" ref="F921">iferror(XLOOKUP(A921,'Download of SFDC Activation Rep'!B:B,'Download of SFDC Activation Rep'!H:H),"")</f>
        <v/>
      </c>
      <c r="G921" s="13" t="str">
        <f t="array" ref="G921">iferror(xlookup(A921,'Download of SFDC Activation Rep'!B:B,'Download of SFDC Activation Rep'!L:L),"")</f>
        <v/>
      </c>
      <c r="H921" s="17" t="str">
        <f t="shared" si="1"/>
        <v>Not Active</v>
      </c>
      <c r="I921" s="17" t="str">
        <f t="array" ref="I921">XLOOKUP(A921,'Download of SFDC Activation Rep'!B:B,'Download of SFDC Activation Rep'!T:T)</f>
        <v>#N/A</v>
      </c>
      <c r="J921" s="17" t="str">
        <f t="array" ref="J921">iferror(XLOOKUP(A921,'Download of SFDC Activation Rep'!B:B,'Download of SFDC Activation Rep'!C:C),"")</f>
        <v/>
      </c>
      <c r="K921" s="17" t="str">
        <f t="array" ref="K921">XLOOKUP(A921,'Download of SFDC Activation Rep'!B:B,'Download of SFDC Activation Rep'!X:X)</f>
        <v>#N/A</v>
      </c>
      <c r="L921" s="32" t="str">
        <f t="array" ref="L921">xlookup(A921,'Download of SFDC Activation Rep'!B:B,'Download of SFDC Activation Rep'!Z:Z)</f>
        <v>#N/A</v>
      </c>
    </row>
    <row r="922">
      <c r="B922" s="14"/>
      <c r="C922" s="14"/>
      <c r="D922" s="14"/>
      <c r="E922" s="14"/>
      <c r="F922" s="13" t="str">
        <f t="array" ref="F922">iferror(XLOOKUP(A922,'Download of SFDC Activation Rep'!B:B,'Download of SFDC Activation Rep'!H:H),"")</f>
        <v/>
      </c>
      <c r="G922" s="13" t="str">
        <f t="array" ref="G922">iferror(xlookup(A922,'Download of SFDC Activation Rep'!B:B,'Download of SFDC Activation Rep'!L:L),"")</f>
        <v/>
      </c>
      <c r="H922" s="17" t="str">
        <f t="shared" si="1"/>
        <v>Not Active</v>
      </c>
      <c r="I922" s="17" t="str">
        <f t="array" ref="I922">XLOOKUP(A922,'Download of SFDC Activation Rep'!B:B,'Download of SFDC Activation Rep'!T:T)</f>
        <v>#N/A</v>
      </c>
      <c r="J922" s="17" t="str">
        <f t="array" ref="J922">iferror(XLOOKUP(A922,'Download of SFDC Activation Rep'!B:B,'Download of SFDC Activation Rep'!C:C),"")</f>
        <v/>
      </c>
      <c r="K922" s="17" t="str">
        <f t="array" ref="K922">XLOOKUP(A922,'Download of SFDC Activation Rep'!B:B,'Download of SFDC Activation Rep'!X:X)</f>
        <v>#N/A</v>
      </c>
      <c r="L922" s="32" t="str">
        <f t="array" ref="L922">xlookup(A922,'Download of SFDC Activation Rep'!B:B,'Download of SFDC Activation Rep'!Z:Z)</f>
        <v>#N/A</v>
      </c>
    </row>
    <row r="923">
      <c r="B923" s="14"/>
      <c r="C923" s="14"/>
      <c r="D923" s="14"/>
      <c r="E923" s="14"/>
      <c r="F923" s="13" t="str">
        <f t="array" ref="F923">iferror(XLOOKUP(A923,'Download of SFDC Activation Rep'!B:B,'Download of SFDC Activation Rep'!H:H),"")</f>
        <v/>
      </c>
      <c r="G923" s="13" t="str">
        <f t="array" ref="G923">iferror(xlookup(A923,'Download of SFDC Activation Rep'!B:B,'Download of SFDC Activation Rep'!L:L),"")</f>
        <v/>
      </c>
      <c r="H923" s="17" t="str">
        <f t="shared" si="1"/>
        <v>Not Active</v>
      </c>
      <c r="I923" s="17" t="str">
        <f t="array" ref="I923">XLOOKUP(A923,'Download of SFDC Activation Rep'!B:B,'Download of SFDC Activation Rep'!T:T)</f>
        <v>#N/A</v>
      </c>
      <c r="J923" s="17" t="str">
        <f t="array" ref="J923">iferror(XLOOKUP(A923,'Download of SFDC Activation Rep'!B:B,'Download of SFDC Activation Rep'!C:C),"")</f>
        <v/>
      </c>
      <c r="K923" s="17" t="str">
        <f t="array" ref="K923">XLOOKUP(A923,'Download of SFDC Activation Rep'!B:B,'Download of SFDC Activation Rep'!X:X)</f>
        <v>#N/A</v>
      </c>
      <c r="L923" s="32" t="str">
        <f t="array" ref="L923">xlookup(A923,'Download of SFDC Activation Rep'!B:B,'Download of SFDC Activation Rep'!Z:Z)</f>
        <v>#N/A</v>
      </c>
    </row>
    <row r="924">
      <c r="B924" s="14"/>
      <c r="C924" s="14"/>
      <c r="D924" s="14"/>
      <c r="E924" s="14"/>
      <c r="F924" s="13" t="str">
        <f t="array" ref="F924">iferror(XLOOKUP(A924,'Download of SFDC Activation Rep'!B:B,'Download of SFDC Activation Rep'!H:H),"")</f>
        <v/>
      </c>
      <c r="G924" s="13" t="str">
        <f t="array" ref="G924">iferror(xlookup(A924,'Download of SFDC Activation Rep'!B:B,'Download of SFDC Activation Rep'!L:L),"")</f>
        <v/>
      </c>
      <c r="H924" s="17" t="str">
        <f t="shared" si="1"/>
        <v>Not Active</v>
      </c>
      <c r="I924" s="17" t="str">
        <f t="array" ref="I924">XLOOKUP(A924,'Download of SFDC Activation Rep'!B:B,'Download of SFDC Activation Rep'!T:T)</f>
        <v>#N/A</v>
      </c>
      <c r="J924" s="17" t="str">
        <f t="array" ref="J924">iferror(XLOOKUP(A924,'Download of SFDC Activation Rep'!B:B,'Download of SFDC Activation Rep'!C:C),"")</f>
        <v/>
      </c>
      <c r="K924" s="17" t="str">
        <f t="array" ref="K924">XLOOKUP(A924,'Download of SFDC Activation Rep'!B:B,'Download of SFDC Activation Rep'!X:X)</f>
        <v>#N/A</v>
      </c>
      <c r="L924" s="32" t="str">
        <f t="array" ref="L924">xlookup(A924,'Download of SFDC Activation Rep'!B:B,'Download of SFDC Activation Rep'!Z:Z)</f>
        <v>#N/A</v>
      </c>
    </row>
    <row r="925">
      <c r="B925" s="14"/>
      <c r="C925" s="14"/>
      <c r="D925" s="14"/>
      <c r="E925" s="14"/>
      <c r="F925" s="13" t="str">
        <f t="array" ref="F925">iferror(XLOOKUP(A925,'Download of SFDC Activation Rep'!B:B,'Download of SFDC Activation Rep'!H:H),"")</f>
        <v/>
      </c>
      <c r="G925" s="13" t="str">
        <f t="array" ref="G925">iferror(xlookup(A925,'Download of SFDC Activation Rep'!B:B,'Download of SFDC Activation Rep'!L:L),"")</f>
        <v/>
      </c>
      <c r="H925" s="17" t="str">
        <f t="shared" si="1"/>
        <v>Not Active</v>
      </c>
      <c r="I925" s="17" t="str">
        <f t="array" ref="I925">XLOOKUP(A925,'Download of SFDC Activation Rep'!B:B,'Download of SFDC Activation Rep'!T:T)</f>
        <v>#N/A</v>
      </c>
      <c r="J925" s="17" t="str">
        <f t="array" ref="J925">iferror(XLOOKUP(A925,'Download of SFDC Activation Rep'!B:B,'Download of SFDC Activation Rep'!C:C),"")</f>
        <v/>
      </c>
      <c r="K925" s="17" t="str">
        <f t="array" ref="K925">XLOOKUP(A925,'Download of SFDC Activation Rep'!B:B,'Download of SFDC Activation Rep'!X:X)</f>
        <v>#N/A</v>
      </c>
      <c r="L925" s="32" t="str">
        <f t="array" ref="L925">xlookup(A925,'Download of SFDC Activation Rep'!B:B,'Download of SFDC Activation Rep'!Z:Z)</f>
        <v>#N/A</v>
      </c>
    </row>
    <row r="926">
      <c r="B926" s="14"/>
      <c r="C926" s="14"/>
      <c r="D926" s="14"/>
      <c r="E926" s="14"/>
      <c r="F926" s="13" t="str">
        <f t="array" ref="F926">iferror(XLOOKUP(A926,'Download of SFDC Activation Rep'!B:B,'Download of SFDC Activation Rep'!H:H),"")</f>
        <v/>
      </c>
      <c r="G926" s="13" t="str">
        <f t="array" ref="G926">iferror(xlookup(A926,'Download of SFDC Activation Rep'!B:B,'Download of SFDC Activation Rep'!L:L),"")</f>
        <v/>
      </c>
      <c r="H926" s="17" t="str">
        <f t="shared" si="1"/>
        <v>Not Active</v>
      </c>
      <c r="I926" s="17" t="str">
        <f t="array" ref="I926">XLOOKUP(A926,'Download of SFDC Activation Rep'!B:B,'Download of SFDC Activation Rep'!T:T)</f>
        <v>#N/A</v>
      </c>
      <c r="J926" s="17" t="str">
        <f t="array" ref="J926">iferror(XLOOKUP(A926,'Download of SFDC Activation Rep'!B:B,'Download of SFDC Activation Rep'!C:C),"")</f>
        <v/>
      </c>
      <c r="K926" s="17" t="str">
        <f t="array" ref="K926">XLOOKUP(A926,'Download of SFDC Activation Rep'!B:B,'Download of SFDC Activation Rep'!X:X)</f>
        <v>#N/A</v>
      </c>
      <c r="L926" s="32" t="str">
        <f t="array" ref="L926">xlookup(A926,'Download of SFDC Activation Rep'!B:B,'Download of SFDC Activation Rep'!Z:Z)</f>
        <v>#N/A</v>
      </c>
    </row>
    <row r="927">
      <c r="B927" s="14"/>
      <c r="C927" s="14"/>
      <c r="D927" s="14"/>
      <c r="E927" s="14"/>
      <c r="F927" s="13" t="str">
        <f t="array" ref="F927">iferror(XLOOKUP(A927,'Download of SFDC Activation Rep'!B:B,'Download of SFDC Activation Rep'!H:H),"")</f>
        <v/>
      </c>
      <c r="G927" s="13" t="str">
        <f t="array" ref="G927">iferror(xlookup(A927,'Download of SFDC Activation Rep'!B:B,'Download of SFDC Activation Rep'!L:L),"")</f>
        <v/>
      </c>
      <c r="H927" s="17" t="str">
        <f t="shared" si="1"/>
        <v>Not Active</v>
      </c>
      <c r="I927" s="17" t="str">
        <f t="array" ref="I927">XLOOKUP(A927,'Download of SFDC Activation Rep'!B:B,'Download of SFDC Activation Rep'!T:T)</f>
        <v>#N/A</v>
      </c>
      <c r="J927" s="17" t="str">
        <f t="array" ref="J927">iferror(XLOOKUP(A927,'Download of SFDC Activation Rep'!B:B,'Download of SFDC Activation Rep'!C:C),"")</f>
        <v/>
      </c>
      <c r="K927" s="17" t="str">
        <f t="array" ref="K927">XLOOKUP(A927,'Download of SFDC Activation Rep'!B:B,'Download of SFDC Activation Rep'!X:X)</f>
        <v>#N/A</v>
      </c>
      <c r="L927" s="32" t="str">
        <f t="array" ref="L927">xlookup(A927,'Download of SFDC Activation Rep'!B:B,'Download of SFDC Activation Rep'!Z:Z)</f>
        <v>#N/A</v>
      </c>
    </row>
    <row r="928">
      <c r="B928" s="14"/>
      <c r="C928" s="14"/>
      <c r="D928" s="14"/>
      <c r="E928" s="14"/>
      <c r="F928" s="13" t="str">
        <f t="array" ref="F928">iferror(XLOOKUP(A928,'Download of SFDC Activation Rep'!B:B,'Download of SFDC Activation Rep'!H:H),"")</f>
        <v/>
      </c>
      <c r="G928" s="13" t="str">
        <f t="array" ref="G928">iferror(xlookup(A928,'Download of SFDC Activation Rep'!B:B,'Download of SFDC Activation Rep'!L:L),"")</f>
        <v/>
      </c>
      <c r="H928" s="17" t="str">
        <f t="shared" si="1"/>
        <v>Not Active</v>
      </c>
      <c r="I928" s="17" t="str">
        <f t="array" ref="I928">XLOOKUP(A928,'Download of SFDC Activation Rep'!B:B,'Download of SFDC Activation Rep'!T:T)</f>
        <v>#N/A</v>
      </c>
      <c r="J928" s="17" t="str">
        <f t="array" ref="J928">iferror(XLOOKUP(A928,'Download of SFDC Activation Rep'!B:B,'Download of SFDC Activation Rep'!C:C),"")</f>
        <v/>
      </c>
      <c r="K928" s="17" t="str">
        <f t="array" ref="K928">XLOOKUP(A928,'Download of SFDC Activation Rep'!B:B,'Download of SFDC Activation Rep'!X:X)</f>
        <v>#N/A</v>
      </c>
      <c r="L928" s="32" t="str">
        <f t="array" ref="L928">xlookup(A928,'Download of SFDC Activation Rep'!B:B,'Download of SFDC Activation Rep'!Z:Z)</f>
        <v>#N/A</v>
      </c>
    </row>
    <row r="929">
      <c r="B929" s="14"/>
      <c r="C929" s="14"/>
      <c r="D929" s="14"/>
      <c r="E929" s="14"/>
      <c r="F929" s="13" t="str">
        <f t="array" ref="F929">iferror(XLOOKUP(A929,'Download of SFDC Activation Rep'!B:B,'Download of SFDC Activation Rep'!H:H),"")</f>
        <v/>
      </c>
      <c r="G929" s="13" t="str">
        <f t="array" ref="G929">iferror(xlookup(A929,'Download of SFDC Activation Rep'!B:B,'Download of SFDC Activation Rep'!L:L),"")</f>
        <v/>
      </c>
      <c r="H929" s="17" t="str">
        <f t="shared" si="1"/>
        <v>Not Active</v>
      </c>
      <c r="I929" s="17" t="str">
        <f t="array" ref="I929">XLOOKUP(A929,'Download of SFDC Activation Rep'!B:B,'Download of SFDC Activation Rep'!T:T)</f>
        <v>#N/A</v>
      </c>
      <c r="J929" s="17" t="str">
        <f t="array" ref="J929">iferror(XLOOKUP(A929,'Download of SFDC Activation Rep'!B:B,'Download of SFDC Activation Rep'!C:C),"")</f>
        <v/>
      </c>
      <c r="K929" s="17" t="str">
        <f t="array" ref="K929">XLOOKUP(A929,'Download of SFDC Activation Rep'!B:B,'Download of SFDC Activation Rep'!X:X)</f>
        <v>#N/A</v>
      </c>
      <c r="L929" s="32" t="str">
        <f t="array" ref="L929">xlookup(A929,'Download of SFDC Activation Rep'!B:B,'Download of SFDC Activation Rep'!Z:Z)</f>
        <v>#N/A</v>
      </c>
    </row>
    <row r="930">
      <c r="B930" s="14"/>
      <c r="C930" s="14"/>
      <c r="D930" s="14"/>
      <c r="E930" s="14"/>
      <c r="F930" s="13" t="str">
        <f t="array" ref="F930">iferror(XLOOKUP(A930,'Download of SFDC Activation Rep'!B:B,'Download of SFDC Activation Rep'!H:H),"")</f>
        <v/>
      </c>
      <c r="G930" s="13" t="str">
        <f t="array" ref="G930">iferror(xlookup(A930,'Download of SFDC Activation Rep'!B:B,'Download of SFDC Activation Rep'!L:L),"")</f>
        <v/>
      </c>
      <c r="H930" s="17" t="str">
        <f t="shared" si="1"/>
        <v>Not Active</v>
      </c>
      <c r="I930" s="17" t="str">
        <f t="array" ref="I930">XLOOKUP(A930,'Download of SFDC Activation Rep'!B:B,'Download of SFDC Activation Rep'!T:T)</f>
        <v>#N/A</v>
      </c>
      <c r="J930" s="17" t="str">
        <f t="array" ref="J930">iferror(XLOOKUP(A930,'Download of SFDC Activation Rep'!B:B,'Download of SFDC Activation Rep'!C:C),"")</f>
        <v/>
      </c>
      <c r="K930" s="17" t="str">
        <f t="array" ref="K930">XLOOKUP(A930,'Download of SFDC Activation Rep'!B:B,'Download of SFDC Activation Rep'!X:X)</f>
        <v>#N/A</v>
      </c>
      <c r="L930" s="32" t="str">
        <f t="array" ref="L930">xlookup(A930,'Download of SFDC Activation Rep'!B:B,'Download of SFDC Activation Rep'!Z:Z)</f>
        <v>#N/A</v>
      </c>
    </row>
    <row r="931">
      <c r="B931" s="14"/>
      <c r="C931" s="14"/>
      <c r="D931" s="14"/>
      <c r="E931" s="14"/>
      <c r="F931" s="13" t="str">
        <f t="array" ref="F931">iferror(XLOOKUP(A931,'Download of SFDC Activation Rep'!B:B,'Download of SFDC Activation Rep'!H:H),"")</f>
        <v/>
      </c>
      <c r="G931" s="13" t="str">
        <f t="array" ref="G931">iferror(xlookup(A931,'Download of SFDC Activation Rep'!B:B,'Download of SFDC Activation Rep'!L:L),"")</f>
        <v/>
      </c>
      <c r="H931" s="17" t="str">
        <f t="shared" si="1"/>
        <v>Not Active</v>
      </c>
      <c r="I931" s="17" t="str">
        <f t="array" ref="I931">XLOOKUP(A931,'Download of SFDC Activation Rep'!B:B,'Download of SFDC Activation Rep'!T:T)</f>
        <v>#N/A</v>
      </c>
      <c r="J931" s="17" t="str">
        <f t="array" ref="J931">iferror(XLOOKUP(A931,'Download of SFDC Activation Rep'!B:B,'Download of SFDC Activation Rep'!C:C),"")</f>
        <v/>
      </c>
      <c r="K931" s="17" t="str">
        <f t="array" ref="K931">XLOOKUP(A931,'Download of SFDC Activation Rep'!B:B,'Download of SFDC Activation Rep'!X:X)</f>
        <v>#N/A</v>
      </c>
      <c r="L931" s="32" t="str">
        <f t="array" ref="L931">xlookup(A931,'Download of SFDC Activation Rep'!B:B,'Download of SFDC Activation Rep'!Z:Z)</f>
        <v>#N/A</v>
      </c>
    </row>
    <row r="932">
      <c r="B932" s="14"/>
      <c r="C932" s="14"/>
      <c r="D932" s="14"/>
      <c r="E932" s="14"/>
      <c r="F932" s="13" t="str">
        <f t="array" ref="F932">iferror(XLOOKUP(A932,'Download of SFDC Activation Rep'!B:B,'Download of SFDC Activation Rep'!H:H),"")</f>
        <v/>
      </c>
      <c r="G932" s="13" t="str">
        <f t="array" ref="G932">iferror(xlookup(A932,'Download of SFDC Activation Rep'!B:B,'Download of SFDC Activation Rep'!L:L),"")</f>
        <v/>
      </c>
      <c r="H932" s="17" t="str">
        <f t="shared" si="1"/>
        <v>Not Active</v>
      </c>
      <c r="I932" s="17" t="str">
        <f t="array" ref="I932">XLOOKUP(A932,'Download of SFDC Activation Rep'!B:B,'Download of SFDC Activation Rep'!T:T)</f>
        <v>#N/A</v>
      </c>
      <c r="J932" s="17" t="str">
        <f t="array" ref="J932">iferror(XLOOKUP(A932,'Download of SFDC Activation Rep'!B:B,'Download of SFDC Activation Rep'!C:C),"")</f>
        <v/>
      </c>
      <c r="K932" s="17" t="str">
        <f t="array" ref="K932">XLOOKUP(A932,'Download of SFDC Activation Rep'!B:B,'Download of SFDC Activation Rep'!X:X)</f>
        <v>#N/A</v>
      </c>
      <c r="L932" s="32" t="str">
        <f t="array" ref="L932">xlookup(A932,'Download of SFDC Activation Rep'!B:B,'Download of SFDC Activation Rep'!Z:Z)</f>
        <v>#N/A</v>
      </c>
    </row>
    <row r="933">
      <c r="B933" s="14"/>
      <c r="C933" s="14"/>
      <c r="D933" s="14"/>
      <c r="E933" s="14"/>
      <c r="F933" s="13" t="str">
        <f t="array" ref="F933">iferror(XLOOKUP(A933,'Download of SFDC Activation Rep'!B:B,'Download of SFDC Activation Rep'!H:H),"")</f>
        <v/>
      </c>
      <c r="G933" s="13" t="str">
        <f t="array" ref="G933">iferror(xlookup(A933,'Download of SFDC Activation Rep'!B:B,'Download of SFDC Activation Rep'!L:L),"")</f>
        <v/>
      </c>
      <c r="H933" s="17" t="str">
        <f t="shared" si="1"/>
        <v>Not Active</v>
      </c>
      <c r="I933" s="17" t="str">
        <f t="array" ref="I933">XLOOKUP(A933,'Download of SFDC Activation Rep'!B:B,'Download of SFDC Activation Rep'!T:T)</f>
        <v>#N/A</v>
      </c>
      <c r="J933" s="17" t="str">
        <f t="array" ref="J933">iferror(XLOOKUP(A933,'Download of SFDC Activation Rep'!B:B,'Download of SFDC Activation Rep'!C:C),"")</f>
        <v/>
      </c>
      <c r="K933" s="17" t="str">
        <f t="array" ref="K933">XLOOKUP(A933,'Download of SFDC Activation Rep'!B:B,'Download of SFDC Activation Rep'!X:X)</f>
        <v>#N/A</v>
      </c>
      <c r="L933" s="32" t="str">
        <f t="array" ref="L933">xlookup(A933,'Download of SFDC Activation Rep'!B:B,'Download of SFDC Activation Rep'!Z:Z)</f>
        <v>#N/A</v>
      </c>
    </row>
    <row r="934">
      <c r="B934" s="14"/>
      <c r="C934" s="14"/>
      <c r="D934" s="14"/>
      <c r="E934" s="14"/>
      <c r="F934" s="13" t="str">
        <f t="array" ref="F934">iferror(XLOOKUP(A934,'Download of SFDC Activation Rep'!B:B,'Download of SFDC Activation Rep'!H:H),"")</f>
        <v/>
      </c>
      <c r="G934" s="13" t="str">
        <f t="array" ref="G934">iferror(xlookup(A934,'Download of SFDC Activation Rep'!B:B,'Download of SFDC Activation Rep'!L:L),"")</f>
        <v/>
      </c>
      <c r="H934" s="17" t="str">
        <f t="shared" si="1"/>
        <v>Not Active</v>
      </c>
      <c r="I934" s="17" t="str">
        <f t="array" ref="I934">XLOOKUP(A934,'Download of SFDC Activation Rep'!B:B,'Download of SFDC Activation Rep'!T:T)</f>
        <v>#N/A</v>
      </c>
      <c r="J934" s="17" t="str">
        <f t="array" ref="J934">iferror(XLOOKUP(A934,'Download of SFDC Activation Rep'!B:B,'Download of SFDC Activation Rep'!C:C),"")</f>
        <v/>
      </c>
      <c r="K934" s="17" t="str">
        <f t="array" ref="K934">XLOOKUP(A934,'Download of SFDC Activation Rep'!B:B,'Download of SFDC Activation Rep'!X:X)</f>
        <v>#N/A</v>
      </c>
      <c r="L934" s="32" t="str">
        <f t="array" ref="L934">xlookup(A934,'Download of SFDC Activation Rep'!B:B,'Download of SFDC Activation Rep'!Z:Z)</f>
        <v>#N/A</v>
      </c>
    </row>
    <row r="935">
      <c r="B935" s="14"/>
      <c r="C935" s="14"/>
      <c r="D935" s="14"/>
      <c r="E935" s="14"/>
      <c r="F935" s="13" t="str">
        <f t="array" ref="F935">iferror(XLOOKUP(A935,'Download of SFDC Activation Rep'!B:B,'Download of SFDC Activation Rep'!H:H),"")</f>
        <v/>
      </c>
      <c r="G935" s="13" t="str">
        <f t="array" ref="G935">iferror(xlookup(A935,'Download of SFDC Activation Rep'!B:B,'Download of SFDC Activation Rep'!L:L),"")</f>
        <v/>
      </c>
      <c r="H935" s="17" t="str">
        <f t="shared" si="1"/>
        <v>Not Active</v>
      </c>
      <c r="I935" s="17" t="str">
        <f t="array" ref="I935">XLOOKUP(A935,'Download of SFDC Activation Rep'!B:B,'Download of SFDC Activation Rep'!T:T)</f>
        <v>#N/A</v>
      </c>
      <c r="J935" s="17" t="str">
        <f t="array" ref="J935">iferror(XLOOKUP(A935,'Download of SFDC Activation Rep'!B:B,'Download of SFDC Activation Rep'!C:C),"")</f>
        <v/>
      </c>
      <c r="K935" s="17" t="str">
        <f t="array" ref="K935">XLOOKUP(A935,'Download of SFDC Activation Rep'!B:B,'Download of SFDC Activation Rep'!X:X)</f>
        <v>#N/A</v>
      </c>
      <c r="L935" s="32" t="str">
        <f t="array" ref="L935">xlookup(A935,'Download of SFDC Activation Rep'!B:B,'Download of SFDC Activation Rep'!Z:Z)</f>
        <v>#N/A</v>
      </c>
    </row>
    <row r="936">
      <c r="B936" s="14"/>
      <c r="C936" s="14"/>
      <c r="D936" s="14"/>
      <c r="E936" s="14"/>
      <c r="F936" s="13" t="str">
        <f t="array" ref="F936">iferror(XLOOKUP(A936,'Download of SFDC Activation Rep'!B:B,'Download of SFDC Activation Rep'!H:H),"")</f>
        <v/>
      </c>
      <c r="G936" s="13" t="str">
        <f t="array" ref="G936">iferror(xlookup(A936,'Download of SFDC Activation Rep'!B:B,'Download of SFDC Activation Rep'!L:L),"")</f>
        <v/>
      </c>
      <c r="H936" s="17" t="str">
        <f t="shared" si="1"/>
        <v>Not Active</v>
      </c>
      <c r="I936" s="17" t="str">
        <f t="array" ref="I936">XLOOKUP(A936,'Download of SFDC Activation Rep'!B:B,'Download of SFDC Activation Rep'!T:T)</f>
        <v>#N/A</v>
      </c>
      <c r="J936" s="17" t="str">
        <f t="array" ref="J936">iferror(XLOOKUP(A936,'Download of SFDC Activation Rep'!B:B,'Download of SFDC Activation Rep'!C:C),"")</f>
        <v/>
      </c>
      <c r="K936" s="17" t="str">
        <f t="array" ref="K936">XLOOKUP(A936,'Download of SFDC Activation Rep'!B:B,'Download of SFDC Activation Rep'!X:X)</f>
        <v>#N/A</v>
      </c>
      <c r="L936" s="32" t="str">
        <f t="array" ref="L936">xlookup(A936,'Download of SFDC Activation Rep'!B:B,'Download of SFDC Activation Rep'!Z:Z)</f>
        <v>#N/A</v>
      </c>
    </row>
    <row r="937">
      <c r="B937" s="14"/>
      <c r="C937" s="14"/>
      <c r="D937" s="14"/>
      <c r="E937" s="14"/>
      <c r="F937" s="13" t="str">
        <f t="array" ref="F937">iferror(XLOOKUP(A937,'Download of SFDC Activation Rep'!B:B,'Download of SFDC Activation Rep'!H:H),"")</f>
        <v/>
      </c>
      <c r="G937" s="13" t="str">
        <f t="array" ref="G937">iferror(xlookup(A937,'Download of SFDC Activation Rep'!B:B,'Download of SFDC Activation Rep'!L:L),"")</f>
        <v/>
      </c>
      <c r="H937" s="17" t="str">
        <f t="shared" si="1"/>
        <v>Not Active</v>
      </c>
      <c r="I937" s="17" t="str">
        <f t="array" ref="I937">XLOOKUP(A937,'Download of SFDC Activation Rep'!B:B,'Download of SFDC Activation Rep'!T:T)</f>
        <v>#N/A</v>
      </c>
      <c r="J937" s="17" t="str">
        <f t="array" ref="J937">iferror(XLOOKUP(A937,'Download of SFDC Activation Rep'!B:B,'Download of SFDC Activation Rep'!C:C),"")</f>
        <v/>
      </c>
      <c r="K937" s="17" t="str">
        <f t="array" ref="K937">XLOOKUP(A937,'Download of SFDC Activation Rep'!B:B,'Download of SFDC Activation Rep'!X:X)</f>
        <v>#N/A</v>
      </c>
      <c r="L937" s="32" t="str">
        <f t="array" ref="L937">xlookup(A937,'Download of SFDC Activation Rep'!B:B,'Download of SFDC Activation Rep'!Z:Z)</f>
        <v>#N/A</v>
      </c>
    </row>
    <row r="938">
      <c r="B938" s="14"/>
      <c r="C938" s="14"/>
      <c r="D938" s="14"/>
      <c r="E938" s="14"/>
      <c r="F938" s="13" t="str">
        <f t="array" ref="F938">iferror(XLOOKUP(A938,'Download of SFDC Activation Rep'!B:B,'Download of SFDC Activation Rep'!H:H),"")</f>
        <v/>
      </c>
      <c r="G938" s="13" t="str">
        <f t="array" ref="G938">iferror(xlookup(A938,'Download of SFDC Activation Rep'!B:B,'Download of SFDC Activation Rep'!L:L),"")</f>
        <v/>
      </c>
      <c r="H938" s="17" t="str">
        <f t="shared" si="1"/>
        <v>Not Active</v>
      </c>
      <c r="I938" s="17" t="str">
        <f t="array" ref="I938">XLOOKUP(A938,'Download of SFDC Activation Rep'!B:B,'Download of SFDC Activation Rep'!T:T)</f>
        <v>#N/A</v>
      </c>
      <c r="J938" s="17" t="str">
        <f t="array" ref="J938">iferror(XLOOKUP(A938,'Download of SFDC Activation Rep'!B:B,'Download of SFDC Activation Rep'!C:C),"")</f>
        <v/>
      </c>
      <c r="K938" s="17" t="str">
        <f t="array" ref="K938">XLOOKUP(A938,'Download of SFDC Activation Rep'!B:B,'Download of SFDC Activation Rep'!X:X)</f>
        <v>#N/A</v>
      </c>
      <c r="L938" s="32" t="str">
        <f t="array" ref="L938">xlookup(A938,'Download of SFDC Activation Rep'!B:B,'Download of SFDC Activation Rep'!Z:Z)</f>
        <v>#N/A</v>
      </c>
    </row>
    <row r="939">
      <c r="B939" s="14"/>
      <c r="C939" s="14"/>
      <c r="D939" s="14"/>
      <c r="E939" s="14"/>
      <c r="F939" s="13" t="str">
        <f t="array" ref="F939">iferror(XLOOKUP(A939,'Download of SFDC Activation Rep'!B:B,'Download of SFDC Activation Rep'!H:H),"")</f>
        <v/>
      </c>
      <c r="G939" s="13" t="str">
        <f t="array" ref="G939">iferror(xlookup(A939,'Download of SFDC Activation Rep'!B:B,'Download of SFDC Activation Rep'!L:L),"")</f>
        <v/>
      </c>
      <c r="H939" s="17" t="str">
        <f t="shared" si="1"/>
        <v>Not Active</v>
      </c>
      <c r="I939" s="17" t="str">
        <f t="array" ref="I939">XLOOKUP(A939,'Download of SFDC Activation Rep'!B:B,'Download of SFDC Activation Rep'!T:T)</f>
        <v>#N/A</v>
      </c>
      <c r="J939" s="17" t="str">
        <f t="array" ref="J939">iferror(XLOOKUP(A939,'Download of SFDC Activation Rep'!B:B,'Download of SFDC Activation Rep'!C:C),"")</f>
        <v/>
      </c>
      <c r="K939" s="17" t="str">
        <f t="array" ref="K939">XLOOKUP(A939,'Download of SFDC Activation Rep'!B:B,'Download of SFDC Activation Rep'!X:X)</f>
        <v>#N/A</v>
      </c>
      <c r="L939" s="32" t="str">
        <f t="array" ref="L939">xlookup(A939,'Download of SFDC Activation Rep'!B:B,'Download of SFDC Activation Rep'!Z:Z)</f>
        <v>#N/A</v>
      </c>
    </row>
    <row r="940">
      <c r="B940" s="14"/>
      <c r="C940" s="14"/>
      <c r="D940" s="14"/>
      <c r="E940" s="14"/>
      <c r="F940" s="13" t="str">
        <f t="array" ref="F940">iferror(XLOOKUP(A940,'Download of SFDC Activation Rep'!B:B,'Download of SFDC Activation Rep'!H:H),"")</f>
        <v/>
      </c>
      <c r="G940" s="13" t="str">
        <f t="array" ref="G940">iferror(xlookup(A940,'Download of SFDC Activation Rep'!B:B,'Download of SFDC Activation Rep'!L:L),"")</f>
        <v/>
      </c>
      <c r="H940" s="17" t="str">
        <f t="shared" si="1"/>
        <v>Not Active</v>
      </c>
      <c r="I940" s="17" t="str">
        <f t="array" ref="I940">XLOOKUP(A940,'Download of SFDC Activation Rep'!B:B,'Download of SFDC Activation Rep'!T:T)</f>
        <v>#N/A</v>
      </c>
      <c r="J940" s="17" t="str">
        <f t="array" ref="J940">iferror(XLOOKUP(A940,'Download of SFDC Activation Rep'!B:B,'Download of SFDC Activation Rep'!C:C),"")</f>
        <v/>
      </c>
      <c r="K940" s="17" t="str">
        <f t="array" ref="K940">XLOOKUP(A940,'Download of SFDC Activation Rep'!B:B,'Download of SFDC Activation Rep'!X:X)</f>
        <v>#N/A</v>
      </c>
      <c r="L940" s="32" t="str">
        <f t="array" ref="L940">xlookup(A940,'Download of SFDC Activation Rep'!B:B,'Download of SFDC Activation Rep'!Z:Z)</f>
        <v>#N/A</v>
      </c>
    </row>
    <row r="941">
      <c r="B941" s="14"/>
      <c r="C941" s="14"/>
      <c r="D941" s="14"/>
      <c r="E941" s="14"/>
      <c r="F941" s="13" t="str">
        <f t="array" ref="F941">iferror(XLOOKUP(A941,'Download of SFDC Activation Rep'!B:B,'Download of SFDC Activation Rep'!H:H),"")</f>
        <v/>
      </c>
      <c r="G941" s="13" t="str">
        <f t="array" ref="G941">iferror(xlookup(A941,'Download of SFDC Activation Rep'!B:B,'Download of SFDC Activation Rep'!L:L),"")</f>
        <v/>
      </c>
      <c r="H941" s="17" t="str">
        <f t="shared" si="1"/>
        <v>Not Active</v>
      </c>
      <c r="I941" s="17" t="str">
        <f t="array" ref="I941">XLOOKUP(A941,'Download of SFDC Activation Rep'!B:B,'Download of SFDC Activation Rep'!T:T)</f>
        <v>#N/A</v>
      </c>
      <c r="J941" s="17" t="str">
        <f t="array" ref="J941">iferror(XLOOKUP(A941,'Download of SFDC Activation Rep'!B:B,'Download of SFDC Activation Rep'!C:C),"")</f>
        <v/>
      </c>
      <c r="K941" s="17" t="str">
        <f t="array" ref="K941">XLOOKUP(A941,'Download of SFDC Activation Rep'!B:B,'Download of SFDC Activation Rep'!X:X)</f>
        <v>#N/A</v>
      </c>
      <c r="L941" s="32" t="str">
        <f t="array" ref="L941">xlookup(A941,'Download of SFDC Activation Rep'!B:B,'Download of SFDC Activation Rep'!Z:Z)</f>
        <v>#N/A</v>
      </c>
    </row>
    <row r="942">
      <c r="B942" s="14"/>
      <c r="C942" s="14"/>
      <c r="D942" s="14"/>
      <c r="E942" s="14"/>
      <c r="F942" s="13" t="str">
        <f t="array" ref="F942">iferror(XLOOKUP(A942,'Download of SFDC Activation Rep'!B:B,'Download of SFDC Activation Rep'!H:H),"")</f>
        <v/>
      </c>
      <c r="G942" s="13" t="str">
        <f t="array" ref="G942">iferror(xlookup(A942,'Download of SFDC Activation Rep'!B:B,'Download of SFDC Activation Rep'!L:L),"")</f>
        <v/>
      </c>
      <c r="H942" s="17" t="str">
        <f t="shared" si="1"/>
        <v>Not Active</v>
      </c>
      <c r="I942" s="17" t="str">
        <f t="array" ref="I942">XLOOKUP(A942,'Download of SFDC Activation Rep'!B:B,'Download of SFDC Activation Rep'!T:T)</f>
        <v>#N/A</v>
      </c>
      <c r="J942" s="17" t="str">
        <f t="array" ref="J942">iferror(XLOOKUP(A942,'Download of SFDC Activation Rep'!B:B,'Download of SFDC Activation Rep'!C:C),"")</f>
        <v/>
      </c>
      <c r="K942" s="17" t="str">
        <f t="array" ref="K942">XLOOKUP(A942,'Download of SFDC Activation Rep'!B:B,'Download of SFDC Activation Rep'!X:X)</f>
        <v>#N/A</v>
      </c>
      <c r="L942" s="32" t="str">
        <f t="array" ref="L942">xlookup(A942,'Download of SFDC Activation Rep'!B:B,'Download of SFDC Activation Rep'!Z:Z)</f>
        <v>#N/A</v>
      </c>
    </row>
    <row r="943">
      <c r="B943" s="14"/>
      <c r="C943" s="14"/>
      <c r="D943" s="14"/>
      <c r="E943" s="14"/>
      <c r="F943" s="13" t="str">
        <f t="array" ref="F943">iferror(XLOOKUP(A943,'Download of SFDC Activation Rep'!B:B,'Download of SFDC Activation Rep'!H:H),"")</f>
        <v/>
      </c>
      <c r="G943" s="13" t="str">
        <f t="array" ref="G943">iferror(xlookup(A943,'Download of SFDC Activation Rep'!B:B,'Download of SFDC Activation Rep'!L:L),"")</f>
        <v/>
      </c>
      <c r="H943" s="17" t="str">
        <f t="shared" si="1"/>
        <v>Not Active</v>
      </c>
      <c r="I943" s="17" t="str">
        <f t="array" ref="I943">XLOOKUP(A943,'Download of SFDC Activation Rep'!B:B,'Download of SFDC Activation Rep'!T:T)</f>
        <v>#N/A</v>
      </c>
      <c r="J943" s="17" t="str">
        <f t="array" ref="J943">iferror(XLOOKUP(A943,'Download of SFDC Activation Rep'!B:B,'Download of SFDC Activation Rep'!C:C),"")</f>
        <v/>
      </c>
      <c r="K943" s="17" t="str">
        <f t="array" ref="K943">XLOOKUP(A943,'Download of SFDC Activation Rep'!B:B,'Download of SFDC Activation Rep'!X:X)</f>
        <v>#N/A</v>
      </c>
      <c r="L943" s="32" t="str">
        <f t="array" ref="L943">xlookup(A943,'Download of SFDC Activation Rep'!B:B,'Download of SFDC Activation Rep'!Z:Z)</f>
        <v>#N/A</v>
      </c>
    </row>
    <row r="944">
      <c r="B944" s="14"/>
      <c r="C944" s="14"/>
      <c r="D944" s="14"/>
      <c r="E944" s="14"/>
      <c r="F944" s="13" t="str">
        <f t="array" ref="F944">iferror(XLOOKUP(A944,'Download of SFDC Activation Rep'!B:B,'Download of SFDC Activation Rep'!H:H),"")</f>
        <v/>
      </c>
      <c r="G944" s="13" t="str">
        <f t="array" ref="G944">iferror(xlookup(A944,'Download of SFDC Activation Rep'!B:B,'Download of SFDC Activation Rep'!L:L),"")</f>
        <v/>
      </c>
      <c r="H944" s="17" t="str">
        <f t="shared" si="1"/>
        <v>Not Active</v>
      </c>
      <c r="I944" s="17" t="str">
        <f t="array" ref="I944">XLOOKUP(A944,'Download of SFDC Activation Rep'!B:B,'Download of SFDC Activation Rep'!T:T)</f>
        <v>#N/A</v>
      </c>
      <c r="J944" s="17" t="str">
        <f t="array" ref="J944">iferror(XLOOKUP(A944,'Download of SFDC Activation Rep'!B:B,'Download of SFDC Activation Rep'!C:C),"")</f>
        <v/>
      </c>
      <c r="K944" s="17" t="str">
        <f t="array" ref="K944">XLOOKUP(A944,'Download of SFDC Activation Rep'!B:B,'Download of SFDC Activation Rep'!X:X)</f>
        <v>#N/A</v>
      </c>
      <c r="L944" s="32" t="str">
        <f t="array" ref="L944">xlookup(A944,'Download of SFDC Activation Rep'!B:B,'Download of SFDC Activation Rep'!Z:Z)</f>
        <v>#N/A</v>
      </c>
    </row>
    <row r="945">
      <c r="B945" s="14"/>
      <c r="C945" s="14"/>
      <c r="D945" s="14"/>
      <c r="E945" s="14"/>
      <c r="F945" s="13" t="str">
        <f t="array" ref="F945">iferror(XLOOKUP(A945,'Download of SFDC Activation Rep'!B:B,'Download of SFDC Activation Rep'!H:H),"")</f>
        <v/>
      </c>
      <c r="G945" s="13" t="str">
        <f t="array" ref="G945">iferror(xlookup(A945,'Download of SFDC Activation Rep'!B:B,'Download of SFDC Activation Rep'!L:L),"")</f>
        <v/>
      </c>
      <c r="H945" s="17" t="str">
        <f t="shared" si="1"/>
        <v>Not Active</v>
      </c>
      <c r="I945" s="17" t="str">
        <f t="array" ref="I945">XLOOKUP(A945,'Download of SFDC Activation Rep'!B:B,'Download of SFDC Activation Rep'!T:T)</f>
        <v>#N/A</v>
      </c>
      <c r="J945" s="17" t="str">
        <f t="array" ref="J945">iferror(XLOOKUP(A945,'Download of SFDC Activation Rep'!B:B,'Download of SFDC Activation Rep'!C:C),"")</f>
        <v/>
      </c>
      <c r="K945" s="17" t="str">
        <f t="array" ref="K945">XLOOKUP(A945,'Download of SFDC Activation Rep'!B:B,'Download of SFDC Activation Rep'!X:X)</f>
        <v>#N/A</v>
      </c>
      <c r="L945" s="32" t="str">
        <f t="array" ref="L945">xlookup(A945,'Download of SFDC Activation Rep'!B:B,'Download of SFDC Activation Rep'!Z:Z)</f>
        <v>#N/A</v>
      </c>
    </row>
    <row r="946">
      <c r="B946" s="14"/>
      <c r="C946" s="14"/>
      <c r="D946" s="14"/>
      <c r="E946" s="14"/>
      <c r="F946" s="13" t="str">
        <f t="array" ref="F946">iferror(XLOOKUP(A946,'Download of SFDC Activation Rep'!B:B,'Download of SFDC Activation Rep'!H:H),"")</f>
        <v/>
      </c>
      <c r="G946" s="13" t="str">
        <f t="array" ref="G946">iferror(xlookup(A946,'Download of SFDC Activation Rep'!B:B,'Download of SFDC Activation Rep'!L:L),"")</f>
        <v/>
      </c>
      <c r="H946" s="17" t="str">
        <f t="shared" si="1"/>
        <v>Not Active</v>
      </c>
      <c r="I946" s="17" t="str">
        <f t="array" ref="I946">XLOOKUP(A946,'Download of SFDC Activation Rep'!B:B,'Download of SFDC Activation Rep'!T:T)</f>
        <v>#N/A</v>
      </c>
      <c r="J946" s="17" t="str">
        <f t="array" ref="J946">iferror(XLOOKUP(A946,'Download of SFDC Activation Rep'!B:B,'Download of SFDC Activation Rep'!C:C),"")</f>
        <v/>
      </c>
      <c r="K946" s="17" t="str">
        <f t="array" ref="K946">XLOOKUP(A946,'Download of SFDC Activation Rep'!B:B,'Download of SFDC Activation Rep'!X:X)</f>
        <v>#N/A</v>
      </c>
      <c r="L946" s="32" t="str">
        <f t="array" ref="L946">xlookup(A946,'Download of SFDC Activation Rep'!B:B,'Download of SFDC Activation Rep'!Z:Z)</f>
        <v>#N/A</v>
      </c>
    </row>
    <row r="947">
      <c r="B947" s="14"/>
      <c r="C947" s="14"/>
      <c r="D947" s="14"/>
      <c r="E947" s="14"/>
      <c r="F947" s="13" t="str">
        <f t="array" ref="F947">iferror(XLOOKUP(A947,'Download of SFDC Activation Rep'!B:B,'Download of SFDC Activation Rep'!H:H),"")</f>
        <v/>
      </c>
      <c r="G947" s="13" t="str">
        <f t="array" ref="G947">iferror(xlookup(A947,'Download of SFDC Activation Rep'!B:B,'Download of SFDC Activation Rep'!L:L),"")</f>
        <v/>
      </c>
      <c r="H947" s="17" t="str">
        <f t="shared" si="1"/>
        <v>Not Active</v>
      </c>
      <c r="I947" s="17" t="str">
        <f t="array" ref="I947">XLOOKUP(A947,'Download of SFDC Activation Rep'!B:B,'Download of SFDC Activation Rep'!T:T)</f>
        <v>#N/A</v>
      </c>
      <c r="J947" s="17" t="str">
        <f t="array" ref="J947">iferror(XLOOKUP(A947,'Download of SFDC Activation Rep'!B:B,'Download of SFDC Activation Rep'!C:C),"")</f>
        <v/>
      </c>
      <c r="K947" s="17" t="str">
        <f t="array" ref="K947">XLOOKUP(A947,'Download of SFDC Activation Rep'!B:B,'Download of SFDC Activation Rep'!X:X)</f>
        <v>#N/A</v>
      </c>
      <c r="L947" s="32" t="str">
        <f t="array" ref="L947">xlookup(A947,'Download of SFDC Activation Rep'!B:B,'Download of SFDC Activation Rep'!Z:Z)</f>
        <v>#N/A</v>
      </c>
    </row>
    <row r="948">
      <c r="B948" s="14"/>
      <c r="C948" s="14"/>
      <c r="D948" s="14"/>
      <c r="E948" s="14"/>
      <c r="F948" s="13" t="str">
        <f t="array" ref="F948">iferror(XLOOKUP(A948,'Download of SFDC Activation Rep'!B:B,'Download of SFDC Activation Rep'!H:H),"")</f>
        <v/>
      </c>
      <c r="G948" s="13" t="str">
        <f t="array" ref="G948">iferror(xlookup(A948,'Download of SFDC Activation Rep'!B:B,'Download of SFDC Activation Rep'!L:L),"")</f>
        <v/>
      </c>
      <c r="H948" s="17" t="str">
        <f t="shared" si="1"/>
        <v>Not Active</v>
      </c>
      <c r="I948" s="17" t="str">
        <f t="array" ref="I948">XLOOKUP(A948,'Download of SFDC Activation Rep'!B:B,'Download of SFDC Activation Rep'!T:T)</f>
        <v>#N/A</v>
      </c>
      <c r="J948" s="17" t="str">
        <f t="array" ref="J948">iferror(XLOOKUP(A948,'Download of SFDC Activation Rep'!B:B,'Download of SFDC Activation Rep'!C:C),"")</f>
        <v/>
      </c>
      <c r="K948" s="17" t="str">
        <f t="array" ref="K948">XLOOKUP(A948,'Download of SFDC Activation Rep'!B:B,'Download of SFDC Activation Rep'!X:X)</f>
        <v>#N/A</v>
      </c>
      <c r="L948" s="32" t="str">
        <f t="array" ref="L948">xlookup(A948,'Download of SFDC Activation Rep'!B:B,'Download of SFDC Activation Rep'!Z:Z)</f>
        <v>#N/A</v>
      </c>
    </row>
    <row r="949">
      <c r="B949" s="14"/>
      <c r="C949" s="14"/>
      <c r="D949" s="14"/>
      <c r="E949" s="14"/>
      <c r="F949" s="13" t="str">
        <f t="array" ref="F949">iferror(XLOOKUP(A949,'Download of SFDC Activation Rep'!B:B,'Download of SFDC Activation Rep'!H:H),"")</f>
        <v/>
      </c>
      <c r="G949" s="13" t="str">
        <f t="array" ref="G949">iferror(xlookup(A949,'Download of SFDC Activation Rep'!B:B,'Download of SFDC Activation Rep'!L:L),"")</f>
        <v/>
      </c>
      <c r="H949" s="17" t="str">
        <f t="shared" si="1"/>
        <v>Not Active</v>
      </c>
      <c r="I949" s="17" t="str">
        <f t="array" ref="I949">XLOOKUP(A949,'Download of SFDC Activation Rep'!B:B,'Download of SFDC Activation Rep'!T:T)</f>
        <v>#N/A</v>
      </c>
      <c r="J949" s="17" t="str">
        <f t="array" ref="J949">iferror(XLOOKUP(A949,'Download of SFDC Activation Rep'!B:B,'Download of SFDC Activation Rep'!C:C),"")</f>
        <v/>
      </c>
      <c r="K949" s="17" t="str">
        <f t="array" ref="K949">XLOOKUP(A949,'Download of SFDC Activation Rep'!B:B,'Download of SFDC Activation Rep'!X:X)</f>
        <v>#N/A</v>
      </c>
      <c r="L949" s="32" t="str">
        <f t="array" ref="L949">xlookup(A949,'Download of SFDC Activation Rep'!B:B,'Download of SFDC Activation Rep'!Z:Z)</f>
        <v>#N/A</v>
      </c>
    </row>
    <row r="950">
      <c r="B950" s="14"/>
      <c r="C950" s="14"/>
      <c r="D950" s="14"/>
      <c r="E950" s="14"/>
      <c r="F950" s="13" t="str">
        <f t="array" ref="F950">iferror(XLOOKUP(A950,'Download of SFDC Activation Rep'!B:B,'Download of SFDC Activation Rep'!H:H),"")</f>
        <v/>
      </c>
      <c r="G950" s="13" t="str">
        <f t="array" ref="G950">iferror(xlookup(A950,'Download of SFDC Activation Rep'!B:B,'Download of SFDC Activation Rep'!L:L),"")</f>
        <v/>
      </c>
      <c r="H950" s="17" t="str">
        <f t="shared" si="1"/>
        <v>Not Active</v>
      </c>
      <c r="I950" s="17" t="str">
        <f t="array" ref="I950">XLOOKUP(A950,'Download of SFDC Activation Rep'!B:B,'Download of SFDC Activation Rep'!T:T)</f>
        <v>#N/A</v>
      </c>
      <c r="J950" s="17" t="str">
        <f t="array" ref="J950">iferror(XLOOKUP(A950,'Download of SFDC Activation Rep'!B:B,'Download of SFDC Activation Rep'!C:C),"")</f>
        <v/>
      </c>
      <c r="K950" s="17" t="str">
        <f t="array" ref="K950">XLOOKUP(A950,'Download of SFDC Activation Rep'!B:B,'Download of SFDC Activation Rep'!X:X)</f>
        <v>#N/A</v>
      </c>
      <c r="L950" s="32" t="str">
        <f t="array" ref="L950">xlookup(A950,'Download of SFDC Activation Rep'!B:B,'Download of SFDC Activation Rep'!Z:Z)</f>
        <v>#N/A</v>
      </c>
    </row>
    <row r="951">
      <c r="B951" s="14"/>
      <c r="C951" s="14"/>
      <c r="D951" s="14"/>
      <c r="E951" s="14"/>
      <c r="F951" s="13" t="str">
        <f t="array" ref="F951">iferror(XLOOKUP(A951,'Download of SFDC Activation Rep'!B:B,'Download of SFDC Activation Rep'!H:H),"")</f>
        <v/>
      </c>
      <c r="G951" s="13" t="str">
        <f t="array" ref="G951">iferror(xlookup(A951,'Download of SFDC Activation Rep'!B:B,'Download of SFDC Activation Rep'!L:L),"")</f>
        <v/>
      </c>
      <c r="H951" s="17" t="str">
        <f t="shared" si="1"/>
        <v>Not Active</v>
      </c>
      <c r="I951" s="17" t="str">
        <f t="array" ref="I951">XLOOKUP(A951,'Download of SFDC Activation Rep'!B:B,'Download of SFDC Activation Rep'!T:T)</f>
        <v>#N/A</v>
      </c>
      <c r="J951" s="17" t="str">
        <f t="array" ref="J951">iferror(XLOOKUP(A951,'Download of SFDC Activation Rep'!B:B,'Download of SFDC Activation Rep'!C:C),"")</f>
        <v/>
      </c>
      <c r="K951" s="17" t="str">
        <f t="array" ref="K951">XLOOKUP(A951,'Download of SFDC Activation Rep'!B:B,'Download of SFDC Activation Rep'!X:X)</f>
        <v>#N/A</v>
      </c>
      <c r="L951" s="32" t="str">
        <f t="array" ref="L951">xlookup(A951,'Download of SFDC Activation Rep'!B:B,'Download of SFDC Activation Rep'!Z:Z)</f>
        <v>#N/A</v>
      </c>
    </row>
    <row r="952">
      <c r="B952" s="14"/>
      <c r="C952" s="14"/>
      <c r="D952" s="14"/>
      <c r="E952" s="14"/>
      <c r="F952" s="13" t="str">
        <f t="array" ref="F952">iferror(XLOOKUP(A952,'Download of SFDC Activation Rep'!B:B,'Download of SFDC Activation Rep'!H:H),"")</f>
        <v/>
      </c>
      <c r="G952" s="13" t="str">
        <f t="array" ref="G952">iferror(xlookup(A952,'Download of SFDC Activation Rep'!B:B,'Download of SFDC Activation Rep'!L:L),"")</f>
        <v/>
      </c>
      <c r="H952" s="17" t="str">
        <f t="shared" si="1"/>
        <v>Not Active</v>
      </c>
      <c r="I952" s="17" t="str">
        <f t="array" ref="I952">XLOOKUP(A952,'Download of SFDC Activation Rep'!B:B,'Download of SFDC Activation Rep'!T:T)</f>
        <v>#N/A</v>
      </c>
      <c r="J952" s="17" t="str">
        <f t="array" ref="J952">iferror(XLOOKUP(A952,'Download of SFDC Activation Rep'!B:B,'Download of SFDC Activation Rep'!C:C),"")</f>
        <v/>
      </c>
      <c r="K952" s="17" t="str">
        <f t="array" ref="K952">XLOOKUP(A952,'Download of SFDC Activation Rep'!B:B,'Download of SFDC Activation Rep'!X:X)</f>
        <v>#N/A</v>
      </c>
      <c r="L952" s="32" t="str">
        <f t="array" ref="L952">xlookup(A952,'Download of SFDC Activation Rep'!B:B,'Download of SFDC Activation Rep'!Z:Z)</f>
        <v>#N/A</v>
      </c>
    </row>
    <row r="953">
      <c r="B953" s="14"/>
      <c r="C953" s="14"/>
      <c r="D953" s="14"/>
      <c r="E953" s="14"/>
      <c r="F953" s="13" t="str">
        <f t="array" ref="F953">iferror(XLOOKUP(A953,'Download of SFDC Activation Rep'!B:B,'Download of SFDC Activation Rep'!H:H),"")</f>
        <v/>
      </c>
      <c r="G953" s="13" t="str">
        <f t="array" ref="G953">iferror(xlookup(A953,'Download of SFDC Activation Rep'!B:B,'Download of SFDC Activation Rep'!L:L),"")</f>
        <v/>
      </c>
      <c r="H953" s="17" t="str">
        <f t="shared" si="1"/>
        <v>Not Active</v>
      </c>
      <c r="I953" s="17" t="str">
        <f t="array" ref="I953">XLOOKUP(A953,'Download of SFDC Activation Rep'!B:B,'Download of SFDC Activation Rep'!T:T)</f>
        <v>#N/A</v>
      </c>
      <c r="J953" s="17" t="str">
        <f t="array" ref="J953">iferror(XLOOKUP(A953,'Download of SFDC Activation Rep'!B:B,'Download of SFDC Activation Rep'!C:C),"")</f>
        <v/>
      </c>
      <c r="K953" s="17" t="str">
        <f t="array" ref="K953">XLOOKUP(A953,'Download of SFDC Activation Rep'!B:B,'Download of SFDC Activation Rep'!X:X)</f>
        <v>#N/A</v>
      </c>
      <c r="L953" s="32" t="str">
        <f t="array" ref="L953">xlookup(A953,'Download of SFDC Activation Rep'!B:B,'Download of SFDC Activation Rep'!Z:Z)</f>
        <v>#N/A</v>
      </c>
    </row>
    <row r="954">
      <c r="B954" s="14"/>
      <c r="C954" s="14"/>
      <c r="D954" s="14"/>
      <c r="E954" s="14"/>
      <c r="F954" s="13" t="str">
        <f t="array" ref="F954">iferror(XLOOKUP(A954,'Download of SFDC Activation Rep'!B:B,'Download of SFDC Activation Rep'!H:H),"")</f>
        <v/>
      </c>
      <c r="G954" s="13" t="str">
        <f t="array" ref="G954">iferror(xlookup(A954,'Download of SFDC Activation Rep'!B:B,'Download of SFDC Activation Rep'!L:L),"")</f>
        <v/>
      </c>
      <c r="H954" s="17" t="str">
        <f t="shared" si="1"/>
        <v>Not Active</v>
      </c>
      <c r="I954" s="17" t="str">
        <f t="array" ref="I954">XLOOKUP(A954,'Download of SFDC Activation Rep'!B:B,'Download of SFDC Activation Rep'!T:T)</f>
        <v>#N/A</v>
      </c>
      <c r="J954" s="17" t="str">
        <f t="array" ref="J954">iferror(XLOOKUP(A954,'Download of SFDC Activation Rep'!B:B,'Download of SFDC Activation Rep'!C:C),"")</f>
        <v/>
      </c>
      <c r="K954" s="17" t="str">
        <f t="array" ref="K954">XLOOKUP(A954,'Download of SFDC Activation Rep'!B:B,'Download of SFDC Activation Rep'!X:X)</f>
        <v>#N/A</v>
      </c>
      <c r="L954" s="32" t="str">
        <f t="array" ref="L954">xlookup(A954,'Download of SFDC Activation Rep'!B:B,'Download of SFDC Activation Rep'!Z:Z)</f>
        <v>#N/A</v>
      </c>
    </row>
    <row r="955">
      <c r="B955" s="14"/>
      <c r="C955" s="14"/>
      <c r="D955" s="14"/>
      <c r="E955" s="14"/>
      <c r="F955" s="13" t="str">
        <f t="array" ref="F955">iferror(XLOOKUP(A955,'Download of SFDC Activation Rep'!B:B,'Download of SFDC Activation Rep'!H:H),"")</f>
        <v/>
      </c>
      <c r="G955" s="13" t="str">
        <f t="array" ref="G955">iferror(xlookup(A955,'Download of SFDC Activation Rep'!B:B,'Download of SFDC Activation Rep'!L:L),"")</f>
        <v/>
      </c>
      <c r="H955" s="17" t="str">
        <f t="shared" si="1"/>
        <v>Not Active</v>
      </c>
      <c r="I955" s="17" t="str">
        <f t="array" ref="I955">XLOOKUP(A955,'Download of SFDC Activation Rep'!B:B,'Download of SFDC Activation Rep'!T:T)</f>
        <v>#N/A</v>
      </c>
      <c r="J955" s="17" t="str">
        <f t="array" ref="J955">iferror(XLOOKUP(A955,'Download of SFDC Activation Rep'!B:B,'Download of SFDC Activation Rep'!C:C),"")</f>
        <v/>
      </c>
      <c r="K955" s="17" t="str">
        <f t="array" ref="K955">XLOOKUP(A955,'Download of SFDC Activation Rep'!B:B,'Download of SFDC Activation Rep'!X:X)</f>
        <v>#N/A</v>
      </c>
      <c r="L955" s="32" t="str">
        <f t="array" ref="L955">xlookup(A955,'Download of SFDC Activation Rep'!B:B,'Download of SFDC Activation Rep'!Z:Z)</f>
        <v>#N/A</v>
      </c>
    </row>
    <row r="956">
      <c r="B956" s="14"/>
      <c r="C956" s="14"/>
      <c r="D956" s="14"/>
      <c r="E956" s="14"/>
      <c r="F956" s="13" t="str">
        <f t="array" ref="F956">iferror(XLOOKUP(A956,'Download of SFDC Activation Rep'!B:B,'Download of SFDC Activation Rep'!H:H),"")</f>
        <v/>
      </c>
      <c r="G956" s="13" t="str">
        <f t="array" ref="G956">iferror(xlookup(A956,'Download of SFDC Activation Rep'!B:B,'Download of SFDC Activation Rep'!L:L),"")</f>
        <v/>
      </c>
      <c r="H956" s="17" t="str">
        <f t="shared" si="1"/>
        <v>Not Active</v>
      </c>
      <c r="I956" s="17" t="str">
        <f t="array" ref="I956">XLOOKUP(A956,'Download of SFDC Activation Rep'!B:B,'Download of SFDC Activation Rep'!T:T)</f>
        <v>#N/A</v>
      </c>
      <c r="J956" s="17" t="str">
        <f t="array" ref="J956">iferror(XLOOKUP(A956,'Download of SFDC Activation Rep'!B:B,'Download of SFDC Activation Rep'!C:C),"")</f>
        <v/>
      </c>
      <c r="K956" s="17" t="str">
        <f t="array" ref="K956">XLOOKUP(A956,'Download of SFDC Activation Rep'!B:B,'Download of SFDC Activation Rep'!X:X)</f>
        <v>#N/A</v>
      </c>
      <c r="L956" s="32" t="str">
        <f t="array" ref="L956">xlookup(A956,'Download of SFDC Activation Rep'!B:B,'Download of SFDC Activation Rep'!Z:Z)</f>
        <v>#N/A</v>
      </c>
    </row>
    <row r="957">
      <c r="B957" s="14"/>
      <c r="C957" s="14"/>
      <c r="D957" s="14"/>
      <c r="E957" s="14"/>
      <c r="F957" s="13" t="str">
        <f t="array" ref="F957">iferror(XLOOKUP(A957,'Download of SFDC Activation Rep'!B:B,'Download of SFDC Activation Rep'!H:H),"")</f>
        <v/>
      </c>
      <c r="G957" s="13" t="str">
        <f t="array" ref="G957">iferror(xlookup(A957,'Download of SFDC Activation Rep'!B:B,'Download of SFDC Activation Rep'!L:L),"")</f>
        <v/>
      </c>
      <c r="H957" s="17" t="str">
        <f t="shared" si="1"/>
        <v>Not Active</v>
      </c>
      <c r="I957" s="17" t="str">
        <f t="array" ref="I957">XLOOKUP(A957,'Download of SFDC Activation Rep'!B:B,'Download of SFDC Activation Rep'!T:T)</f>
        <v>#N/A</v>
      </c>
      <c r="J957" s="17" t="str">
        <f t="array" ref="J957">iferror(XLOOKUP(A957,'Download of SFDC Activation Rep'!B:B,'Download of SFDC Activation Rep'!C:C),"")</f>
        <v/>
      </c>
      <c r="K957" s="17" t="str">
        <f t="array" ref="K957">XLOOKUP(A957,'Download of SFDC Activation Rep'!B:B,'Download of SFDC Activation Rep'!X:X)</f>
        <v>#N/A</v>
      </c>
      <c r="L957" s="32" t="str">
        <f t="array" ref="L957">xlookup(A957,'Download of SFDC Activation Rep'!B:B,'Download of SFDC Activation Rep'!Z:Z)</f>
        <v>#N/A</v>
      </c>
    </row>
    <row r="958">
      <c r="B958" s="14"/>
      <c r="C958" s="14"/>
      <c r="D958" s="14"/>
      <c r="E958" s="14"/>
      <c r="F958" s="13" t="str">
        <f t="array" ref="F958">iferror(XLOOKUP(A958,'Download of SFDC Activation Rep'!B:B,'Download of SFDC Activation Rep'!H:H),"")</f>
        <v/>
      </c>
      <c r="G958" s="13" t="str">
        <f t="array" ref="G958">iferror(xlookup(A958,'Download of SFDC Activation Rep'!B:B,'Download of SFDC Activation Rep'!L:L),"")</f>
        <v/>
      </c>
      <c r="H958" s="17" t="str">
        <f t="shared" si="1"/>
        <v>Not Active</v>
      </c>
      <c r="I958" s="17" t="str">
        <f t="array" ref="I958">XLOOKUP(A958,'Download of SFDC Activation Rep'!B:B,'Download of SFDC Activation Rep'!T:T)</f>
        <v>#N/A</v>
      </c>
      <c r="J958" s="17" t="str">
        <f t="array" ref="J958">iferror(XLOOKUP(A958,'Download of SFDC Activation Rep'!B:B,'Download of SFDC Activation Rep'!C:C),"")</f>
        <v/>
      </c>
      <c r="K958" s="17" t="str">
        <f t="array" ref="K958">XLOOKUP(A958,'Download of SFDC Activation Rep'!B:B,'Download of SFDC Activation Rep'!X:X)</f>
        <v>#N/A</v>
      </c>
      <c r="L958" s="32" t="str">
        <f t="array" ref="L958">xlookup(A958,'Download of SFDC Activation Rep'!B:B,'Download of SFDC Activation Rep'!Z:Z)</f>
        <v>#N/A</v>
      </c>
    </row>
    <row r="959">
      <c r="B959" s="14"/>
      <c r="C959" s="14"/>
      <c r="D959" s="14"/>
      <c r="E959" s="14"/>
      <c r="F959" s="13" t="str">
        <f t="array" ref="F959">iferror(XLOOKUP(A959,'Download of SFDC Activation Rep'!B:B,'Download of SFDC Activation Rep'!H:H),"")</f>
        <v/>
      </c>
      <c r="G959" s="13" t="str">
        <f t="array" ref="G959">iferror(xlookup(A959,'Download of SFDC Activation Rep'!B:B,'Download of SFDC Activation Rep'!L:L),"")</f>
        <v/>
      </c>
      <c r="H959" s="17" t="str">
        <f t="shared" si="1"/>
        <v>Not Active</v>
      </c>
      <c r="I959" s="17" t="str">
        <f t="array" ref="I959">XLOOKUP(A959,'Download of SFDC Activation Rep'!B:B,'Download of SFDC Activation Rep'!T:T)</f>
        <v>#N/A</v>
      </c>
      <c r="J959" s="17" t="str">
        <f t="array" ref="J959">iferror(XLOOKUP(A959,'Download of SFDC Activation Rep'!B:B,'Download of SFDC Activation Rep'!C:C),"")</f>
        <v/>
      </c>
      <c r="K959" s="17" t="str">
        <f t="array" ref="K959">XLOOKUP(A959,'Download of SFDC Activation Rep'!B:B,'Download of SFDC Activation Rep'!X:X)</f>
        <v>#N/A</v>
      </c>
      <c r="L959" s="32" t="str">
        <f t="array" ref="L959">xlookup(A959,'Download of SFDC Activation Rep'!B:B,'Download of SFDC Activation Rep'!Z:Z)</f>
        <v>#N/A</v>
      </c>
    </row>
    <row r="960">
      <c r="B960" s="14"/>
      <c r="C960" s="14"/>
      <c r="D960" s="14"/>
      <c r="E960" s="14"/>
      <c r="F960" s="13" t="str">
        <f t="array" ref="F960">iferror(XLOOKUP(A960,'Download of SFDC Activation Rep'!B:B,'Download of SFDC Activation Rep'!H:H),"")</f>
        <v/>
      </c>
      <c r="G960" s="13" t="str">
        <f t="array" ref="G960">iferror(xlookup(A960,'Download of SFDC Activation Rep'!B:B,'Download of SFDC Activation Rep'!L:L),"")</f>
        <v/>
      </c>
      <c r="H960" s="17" t="str">
        <f t="shared" si="1"/>
        <v>Not Active</v>
      </c>
      <c r="I960" s="17" t="str">
        <f t="array" ref="I960">XLOOKUP(A960,'Download of SFDC Activation Rep'!B:B,'Download of SFDC Activation Rep'!T:T)</f>
        <v>#N/A</v>
      </c>
      <c r="J960" s="17" t="str">
        <f t="array" ref="J960">iferror(XLOOKUP(A960,'Download of SFDC Activation Rep'!B:B,'Download of SFDC Activation Rep'!C:C),"")</f>
        <v/>
      </c>
      <c r="K960" s="17" t="str">
        <f t="array" ref="K960">XLOOKUP(A960,'Download of SFDC Activation Rep'!B:B,'Download of SFDC Activation Rep'!X:X)</f>
        <v>#N/A</v>
      </c>
      <c r="L960" s="32" t="str">
        <f t="array" ref="L960">xlookup(A960,'Download of SFDC Activation Rep'!B:B,'Download of SFDC Activation Rep'!Z:Z)</f>
        <v>#N/A</v>
      </c>
    </row>
    <row r="961">
      <c r="B961" s="14"/>
      <c r="C961" s="14"/>
      <c r="D961" s="14"/>
      <c r="E961" s="14"/>
      <c r="F961" s="13" t="str">
        <f t="array" ref="F961">iferror(XLOOKUP(A961,'Download of SFDC Activation Rep'!B:B,'Download of SFDC Activation Rep'!H:H),"")</f>
        <v/>
      </c>
      <c r="G961" s="13" t="str">
        <f t="array" ref="G961">iferror(xlookup(A961,'Download of SFDC Activation Rep'!B:B,'Download of SFDC Activation Rep'!L:L),"")</f>
        <v/>
      </c>
      <c r="H961" s="17" t="str">
        <f t="shared" si="1"/>
        <v>Not Active</v>
      </c>
      <c r="I961" s="17" t="str">
        <f t="array" ref="I961">XLOOKUP(A961,'Download of SFDC Activation Rep'!B:B,'Download of SFDC Activation Rep'!T:T)</f>
        <v>#N/A</v>
      </c>
      <c r="J961" s="17" t="str">
        <f t="array" ref="J961">iferror(XLOOKUP(A961,'Download of SFDC Activation Rep'!B:B,'Download of SFDC Activation Rep'!C:C),"")</f>
        <v/>
      </c>
      <c r="K961" s="17" t="str">
        <f t="array" ref="K961">XLOOKUP(A961,'Download of SFDC Activation Rep'!B:B,'Download of SFDC Activation Rep'!X:X)</f>
        <v>#N/A</v>
      </c>
      <c r="L961" s="32" t="str">
        <f t="array" ref="L961">xlookup(A961,'Download of SFDC Activation Rep'!B:B,'Download of SFDC Activation Rep'!Z:Z)</f>
        <v>#N/A</v>
      </c>
    </row>
    <row r="962">
      <c r="B962" s="14"/>
      <c r="C962" s="14"/>
      <c r="D962" s="14"/>
      <c r="E962" s="14"/>
      <c r="F962" s="13" t="str">
        <f t="array" ref="F962">iferror(XLOOKUP(A962,'Download of SFDC Activation Rep'!B:B,'Download of SFDC Activation Rep'!H:H),"")</f>
        <v/>
      </c>
      <c r="G962" s="13" t="str">
        <f t="array" ref="G962">iferror(xlookup(A962,'Download of SFDC Activation Rep'!B:B,'Download of SFDC Activation Rep'!L:L),"")</f>
        <v/>
      </c>
      <c r="H962" s="17" t="str">
        <f t="shared" si="1"/>
        <v>Not Active</v>
      </c>
      <c r="I962" s="17" t="str">
        <f t="array" ref="I962">XLOOKUP(A962,'Download of SFDC Activation Rep'!B:B,'Download of SFDC Activation Rep'!T:T)</f>
        <v>#N/A</v>
      </c>
      <c r="J962" s="17" t="str">
        <f t="array" ref="J962">iferror(XLOOKUP(A962,'Download of SFDC Activation Rep'!B:B,'Download of SFDC Activation Rep'!C:C),"")</f>
        <v/>
      </c>
      <c r="K962" s="17" t="str">
        <f t="array" ref="K962">XLOOKUP(A962,'Download of SFDC Activation Rep'!B:B,'Download of SFDC Activation Rep'!X:X)</f>
        <v>#N/A</v>
      </c>
      <c r="L962" s="32" t="str">
        <f t="array" ref="L962">xlookup(A962,'Download of SFDC Activation Rep'!B:B,'Download of SFDC Activation Rep'!Z:Z)</f>
        <v>#N/A</v>
      </c>
    </row>
    <row r="963">
      <c r="B963" s="14"/>
      <c r="C963" s="14"/>
      <c r="D963" s="14"/>
      <c r="E963" s="14"/>
      <c r="F963" s="13" t="str">
        <f t="array" ref="F963">iferror(XLOOKUP(A963,'Download of SFDC Activation Rep'!B:B,'Download of SFDC Activation Rep'!H:H),"")</f>
        <v/>
      </c>
      <c r="G963" s="13" t="str">
        <f t="array" ref="G963">iferror(xlookup(A963,'Download of SFDC Activation Rep'!B:B,'Download of SFDC Activation Rep'!L:L),"")</f>
        <v/>
      </c>
      <c r="H963" s="17" t="str">
        <f t="shared" si="1"/>
        <v>Not Active</v>
      </c>
      <c r="I963" s="17" t="str">
        <f t="array" ref="I963">XLOOKUP(A963,'Download of SFDC Activation Rep'!B:B,'Download of SFDC Activation Rep'!T:T)</f>
        <v>#N/A</v>
      </c>
      <c r="J963" s="17" t="str">
        <f t="array" ref="J963">iferror(XLOOKUP(A963,'Download of SFDC Activation Rep'!B:B,'Download of SFDC Activation Rep'!C:C),"")</f>
        <v/>
      </c>
      <c r="K963" s="17" t="str">
        <f t="array" ref="K963">XLOOKUP(A963,'Download of SFDC Activation Rep'!B:B,'Download of SFDC Activation Rep'!X:X)</f>
        <v>#N/A</v>
      </c>
      <c r="L963" s="32" t="str">
        <f t="array" ref="L963">xlookup(A963,'Download of SFDC Activation Rep'!B:B,'Download of SFDC Activation Rep'!Z:Z)</f>
        <v>#N/A</v>
      </c>
    </row>
    <row r="964">
      <c r="B964" s="14"/>
      <c r="C964" s="14"/>
      <c r="D964" s="14"/>
      <c r="E964" s="14"/>
      <c r="F964" s="13" t="str">
        <f t="array" ref="F964">iferror(XLOOKUP(A964,'Download of SFDC Activation Rep'!B:B,'Download of SFDC Activation Rep'!H:H),"")</f>
        <v/>
      </c>
      <c r="G964" s="13" t="str">
        <f t="array" ref="G964">iferror(xlookup(A964,'Download of SFDC Activation Rep'!B:B,'Download of SFDC Activation Rep'!L:L),"")</f>
        <v/>
      </c>
      <c r="H964" s="17" t="str">
        <f t="shared" si="1"/>
        <v>Not Active</v>
      </c>
      <c r="I964" s="17" t="str">
        <f t="array" ref="I964">XLOOKUP(A964,'Download of SFDC Activation Rep'!B:B,'Download of SFDC Activation Rep'!T:T)</f>
        <v>#N/A</v>
      </c>
      <c r="J964" s="17" t="str">
        <f t="array" ref="J964">iferror(XLOOKUP(A964,'Download of SFDC Activation Rep'!B:B,'Download of SFDC Activation Rep'!C:C),"")</f>
        <v/>
      </c>
      <c r="K964" s="17" t="str">
        <f t="array" ref="K964">XLOOKUP(A964,'Download of SFDC Activation Rep'!B:B,'Download of SFDC Activation Rep'!X:X)</f>
        <v>#N/A</v>
      </c>
      <c r="L964" s="32" t="str">
        <f t="array" ref="L964">xlookup(A964,'Download of SFDC Activation Rep'!B:B,'Download of SFDC Activation Rep'!Z:Z)</f>
        <v>#N/A</v>
      </c>
    </row>
    <row r="965">
      <c r="B965" s="14"/>
      <c r="C965" s="14"/>
      <c r="D965" s="14"/>
      <c r="E965" s="14"/>
      <c r="F965" s="13" t="str">
        <f t="array" ref="F965">iferror(XLOOKUP(A965,'Download of SFDC Activation Rep'!B:B,'Download of SFDC Activation Rep'!H:H),"")</f>
        <v/>
      </c>
      <c r="G965" s="13" t="str">
        <f t="array" ref="G965">iferror(xlookup(A965,'Download of SFDC Activation Rep'!B:B,'Download of SFDC Activation Rep'!L:L),"")</f>
        <v/>
      </c>
      <c r="H965" s="17" t="str">
        <f t="shared" si="1"/>
        <v>Not Active</v>
      </c>
      <c r="I965" s="17" t="str">
        <f t="array" ref="I965">XLOOKUP(A965,'Download of SFDC Activation Rep'!B:B,'Download of SFDC Activation Rep'!T:T)</f>
        <v>#N/A</v>
      </c>
      <c r="J965" s="17" t="str">
        <f t="array" ref="J965">iferror(XLOOKUP(A965,'Download of SFDC Activation Rep'!B:B,'Download of SFDC Activation Rep'!C:C),"")</f>
        <v/>
      </c>
      <c r="K965" s="17" t="str">
        <f t="array" ref="K965">XLOOKUP(A965,'Download of SFDC Activation Rep'!B:B,'Download of SFDC Activation Rep'!X:X)</f>
        <v>#N/A</v>
      </c>
      <c r="L965" s="32" t="str">
        <f t="array" ref="L965">xlookup(A965,'Download of SFDC Activation Rep'!B:B,'Download of SFDC Activation Rep'!Z:Z)</f>
        <v>#N/A</v>
      </c>
    </row>
    <row r="966">
      <c r="B966" s="14"/>
      <c r="C966" s="14"/>
      <c r="D966" s="14"/>
      <c r="E966" s="14"/>
      <c r="F966" s="13" t="str">
        <f t="array" ref="F966">iferror(XLOOKUP(A966,'Download of SFDC Activation Rep'!B:B,'Download of SFDC Activation Rep'!H:H),"")</f>
        <v/>
      </c>
      <c r="G966" s="13" t="str">
        <f t="array" ref="G966">iferror(xlookup(A966,'Download of SFDC Activation Rep'!B:B,'Download of SFDC Activation Rep'!L:L),"")</f>
        <v/>
      </c>
      <c r="H966" s="17" t="str">
        <f t="shared" si="1"/>
        <v>Not Active</v>
      </c>
      <c r="I966" s="17" t="str">
        <f t="array" ref="I966">XLOOKUP(A966,'Download of SFDC Activation Rep'!B:B,'Download of SFDC Activation Rep'!T:T)</f>
        <v>#N/A</v>
      </c>
      <c r="J966" s="17" t="str">
        <f t="array" ref="J966">iferror(XLOOKUP(A966,'Download of SFDC Activation Rep'!B:B,'Download of SFDC Activation Rep'!C:C),"")</f>
        <v/>
      </c>
      <c r="K966" s="17" t="str">
        <f t="array" ref="K966">XLOOKUP(A966,'Download of SFDC Activation Rep'!B:B,'Download of SFDC Activation Rep'!X:X)</f>
        <v>#N/A</v>
      </c>
      <c r="L966" s="32" t="str">
        <f t="array" ref="L966">xlookup(A966,'Download of SFDC Activation Rep'!B:B,'Download of SFDC Activation Rep'!Z:Z)</f>
        <v>#N/A</v>
      </c>
    </row>
    <row r="967">
      <c r="B967" s="14"/>
      <c r="C967" s="14"/>
      <c r="D967" s="14"/>
      <c r="E967" s="14"/>
      <c r="F967" s="13" t="str">
        <f t="array" ref="F967">iferror(XLOOKUP(A967,'Download of SFDC Activation Rep'!B:B,'Download of SFDC Activation Rep'!H:H),"")</f>
        <v/>
      </c>
      <c r="G967" s="13" t="str">
        <f t="array" ref="G967">iferror(xlookup(A967,'Download of SFDC Activation Rep'!B:B,'Download of SFDC Activation Rep'!L:L),"")</f>
        <v/>
      </c>
      <c r="H967" s="17" t="str">
        <f t="shared" si="1"/>
        <v>Not Active</v>
      </c>
      <c r="I967" s="17" t="str">
        <f t="array" ref="I967">XLOOKUP(A967,'Download of SFDC Activation Rep'!B:B,'Download of SFDC Activation Rep'!T:T)</f>
        <v>#N/A</v>
      </c>
      <c r="J967" s="17" t="str">
        <f t="array" ref="J967">iferror(XLOOKUP(A967,'Download of SFDC Activation Rep'!B:B,'Download of SFDC Activation Rep'!C:C),"")</f>
        <v/>
      </c>
      <c r="K967" s="17" t="str">
        <f t="array" ref="K967">XLOOKUP(A967,'Download of SFDC Activation Rep'!B:B,'Download of SFDC Activation Rep'!X:X)</f>
        <v>#N/A</v>
      </c>
      <c r="L967" s="32" t="str">
        <f t="array" ref="L967">xlookup(A967,'Download of SFDC Activation Rep'!B:B,'Download of SFDC Activation Rep'!Z:Z)</f>
        <v>#N/A</v>
      </c>
    </row>
    <row r="968">
      <c r="B968" s="14"/>
      <c r="C968" s="14"/>
      <c r="D968" s="14"/>
      <c r="E968" s="14"/>
      <c r="F968" s="13" t="str">
        <f t="array" ref="F968">iferror(XLOOKUP(A968,'Download of SFDC Activation Rep'!B:B,'Download of SFDC Activation Rep'!H:H),"")</f>
        <v/>
      </c>
      <c r="G968" s="13" t="str">
        <f t="array" ref="G968">iferror(xlookup(A968,'Download of SFDC Activation Rep'!B:B,'Download of SFDC Activation Rep'!L:L),"")</f>
        <v/>
      </c>
      <c r="H968" s="17" t="str">
        <f t="shared" si="1"/>
        <v>Not Active</v>
      </c>
      <c r="I968" s="17" t="str">
        <f t="array" ref="I968">XLOOKUP(A968,'Download of SFDC Activation Rep'!B:B,'Download of SFDC Activation Rep'!T:T)</f>
        <v>#N/A</v>
      </c>
      <c r="J968" s="17" t="str">
        <f t="array" ref="J968">iferror(XLOOKUP(A968,'Download of SFDC Activation Rep'!B:B,'Download of SFDC Activation Rep'!C:C),"")</f>
        <v/>
      </c>
      <c r="K968" s="17" t="str">
        <f t="array" ref="K968">XLOOKUP(A968,'Download of SFDC Activation Rep'!B:B,'Download of SFDC Activation Rep'!X:X)</f>
        <v>#N/A</v>
      </c>
      <c r="L968" s="32" t="str">
        <f t="array" ref="L968">xlookup(A968,'Download of SFDC Activation Rep'!B:B,'Download of SFDC Activation Rep'!Z:Z)</f>
        <v>#N/A</v>
      </c>
    </row>
    <row r="969">
      <c r="B969" s="14"/>
      <c r="C969" s="14"/>
      <c r="D969" s="14"/>
      <c r="E969" s="14"/>
      <c r="F969" s="13" t="str">
        <f t="array" ref="F969">iferror(XLOOKUP(A969,'Download of SFDC Activation Rep'!B:B,'Download of SFDC Activation Rep'!H:H),"")</f>
        <v/>
      </c>
      <c r="G969" s="13" t="str">
        <f t="array" ref="G969">iferror(xlookup(A969,'Download of SFDC Activation Rep'!B:B,'Download of SFDC Activation Rep'!L:L),"")</f>
        <v/>
      </c>
      <c r="H969" s="17" t="str">
        <f t="shared" si="1"/>
        <v>Not Active</v>
      </c>
      <c r="I969" s="17" t="str">
        <f t="array" ref="I969">XLOOKUP(A969,'Download of SFDC Activation Rep'!B:B,'Download of SFDC Activation Rep'!T:T)</f>
        <v>#N/A</v>
      </c>
      <c r="J969" s="17" t="str">
        <f t="array" ref="J969">iferror(XLOOKUP(A969,'Download of SFDC Activation Rep'!B:B,'Download of SFDC Activation Rep'!C:C),"")</f>
        <v/>
      </c>
      <c r="K969" s="17" t="str">
        <f t="array" ref="K969">XLOOKUP(A969,'Download of SFDC Activation Rep'!B:B,'Download of SFDC Activation Rep'!X:X)</f>
        <v>#N/A</v>
      </c>
      <c r="L969" s="32" t="str">
        <f t="array" ref="L969">xlookup(A969,'Download of SFDC Activation Rep'!B:B,'Download of SFDC Activation Rep'!Z:Z)</f>
        <v>#N/A</v>
      </c>
    </row>
    <row r="970">
      <c r="B970" s="14"/>
      <c r="C970" s="14"/>
      <c r="D970" s="14"/>
      <c r="E970" s="14"/>
      <c r="F970" s="13" t="str">
        <f t="array" ref="F970">iferror(XLOOKUP(A970,'Download of SFDC Activation Rep'!B:B,'Download of SFDC Activation Rep'!H:H),"")</f>
        <v/>
      </c>
      <c r="G970" s="13" t="str">
        <f t="array" ref="G970">iferror(xlookup(A970,'Download of SFDC Activation Rep'!B:B,'Download of SFDC Activation Rep'!L:L),"")</f>
        <v/>
      </c>
      <c r="H970" s="17" t="str">
        <f t="shared" si="1"/>
        <v>Not Active</v>
      </c>
      <c r="I970" s="17" t="str">
        <f t="array" ref="I970">XLOOKUP(A970,'Download of SFDC Activation Rep'!B:B,'Download of SFDC Activation Rep'!T:T)</f>
        <v>#N/A</v>
      </c>
      <c r="J970" s="17" t="str">
        <f t="array" ref="J970">iferror(XLOOKUP(A970,'Download of SFDC Activation Rep'!B:B,'Download of SFDC Activation Rep'!C:C),"")</f>
        <v/>
      </c>
      <c r="K970" s="17" t="str">
        <f t="array" ref="K970">XLOOKUP(A970,'Download of SFDC Activation Rep'!B:B,'Download of SFDC Activation Rep'!X:X)</f>
        <v>#N/A</v>
      </c>
      <c r="L970" s="32" t="str">
        <f t="array" ref="L970">xlookup(A970,'Download of SFDC Activation Rep'!B:B,'Download of SFDC Activation Rep'!Z:Z)</f>
        <v>#N/A</v>
      </c>
    </row>
    <row r="971">
      <c r="B971" s="14"/>
      <c r="C971" s="14"/>
      <c r="D971" s="14"/>
      <c r="E971" s="14"/>
      <c r="F971" s="13" t="str">
        <f t="array" ref="F971">iferror(XLOOKUP(A971,'Download of SFDC Activation Rep'!B:B,'Download of SFDC Activation Rep'!H:H),"")</f>
        <v/>
      </c>
      <c r="G971" s="13" t="str">
        <f t="array" ref="G971">iferror(xlookup(A971,'Download of SFDC Activation Rep'!B:B,'Download of SFDC Activation Rep'!L:L),"")</f>
        <v/>
      </c>
      <c r="H971" s="17" t="str">
        <f t="shared" si="1"/>
        <v>Not Active</v>
      </c>
      <c r="I971" s="17" t="str">
        <f t="array" ref="I971">XLOOKUP(A971,'Download of SFDC Activation Rep'!B:B,'Download of SFDC Activation Rep'!T:T)</f>
        <v>#N/A</v>
      </c>
      <c r="J971" s="17" t="str">
        <f t="array" ref="J971">iferror(XLOOKUP(A971,'Download of SFDC Activation Rep'!B:B,'Download of SFDC Activation Rep'!C:C),"")</f>
        <v/>
      </c>
      <c r="K971" s="17" t="str">
        <f t="array" ref="K971">XLOOKUP(A971,'Download of SFDC Activation Rep'!B:B,'Download of SFDC Activation Rep'!X:X)</f>
        <v>#N/A</v>
      </c>
      <c r="L971" s="32" t="str">
        <f t="array" ref="L971">xlookup(A971,'Download of SFDC Activation Rep'!B:B,'Download of SFDC Activation Rep'!Z:Z)</f>
        <v>#N/A</v>
      </c>
    </row>
    <row r="972">
      <c r="B972" s="14"/>
      <c r="C972" s="14"/>
      <c r="D972" s="14"/>
      <c r="E972" s="14"/>
      <c r="F972" s="13" t="str">
        <f t="array" ref="F972">iferror(XLOOKUP(A972,'Download of SFDC Activation Rep'!B:B,'Download of SFDC Activation Rep'!H:H),"")</f>
        <v/>
      </c>
      <c r="G972" s="13" t="str">
        <f t="array" ref="G972">iferror(xlookup(A972,'Download of SFDC Activation Rep'!B:B,'Download of SFDC Activation Rep'!L:L),"")</f>
        <v/>
      </c>
      <c r="H972" s="17" t="str">
        <f t="shared" si="1"/>
        <v>Not Active</v>
      </c>
      <c r="I972" s="17" t="str">
        <f t="array" ref="I972">XLOOKUP(A972,'Download of SFDC Activation Rep'!B:B,'Download of SFDC Activation Rep'!T:T)</f>
        <v>#N/A</v>
      </c>
      <c r="J972" s="17" t="str">
        <f t="array" ref="J972">iferror(XLOOKUP(A972,'Download of SFDC Activation Rep'!B:B,'Download of SFDC Activation Rep'!C:C),"")</f>
        <v/>
      </c>
      <c r="K972" s="17" t="str">
        <f t="array" ref="K972">XLOOKUP(A972,'Download of SFDC Activation Rep'!B:B,'Download of SFDC Activation Rep'!X:X)</f>
        <v>#N/A</v>
      </c>
      <c r="L972" s="32" t="str">
        <f t="array" ref="L972">xlookup(A972,'Download of SFDC Activation Rep'!B:B,'Download of SFDC Activation Rep'!Z:Z)</f>
        <v>#N/A</v>
      </c>
    </row>
    <row r="973">
      <c r="B973" s="14"/>
      <c r="C973" s="14"/>
      <c r="D973" s="14"/>
      <c r="E973" s="14"/>
      <c r="F973" s="13" t="str">
        <f t="array" ref="F973">iferror(XLOOKUP(A973,'Download of SFDC Activation Rep'!B:B,'Download of SFDC Activation Rep'!H:H),"")</f>
        <v/>
      </c>
      <c r="G973" s="13" t="str">
        <f t="array" ref="G973">iferror(xlookup(A973,'Download of SFDC Activation Rep'!B:B,'Download of SFDC Activation Rep'!L:L),"")</f>
        <v/>
      </c>
      <c r="H973" s="17" t="str">
        <f t="shared" si="1"/>
        <v>Not Active</v>
      </c>
      <c r="I973" s="17" t="str">
        <f t="array" ref="I973">XLOOKUP(A973,'Download of SFDC Activation Rep'!B:B,'Download of SFDC Activation Rep'!T:T)</f>
        <v>#N/A</v>
      </c>
      <c r="J973" s="17" t="str">
        <f t="array" ref="J973">iferror(XLOOKUP(A973,'Download of SFDC Activation Rep'!B:B,'Download of SFDC Activation Rep'!C:C),"")</f>
        <v/>
      </c>
      <c r="K973" s="17" t="str">
        <f t="array" ref="K973">XLOOKUP(A973,'Download of SFDC Activation Rep'!B:B,'Download of SFDC Activation Rep'!X:X)</f>
        <v>#N/A</v>
      </c>
      <c r="L973" s="32" t="str">
        <f t="array" ref="L973">xlookup(A973,'Download of SFDC Activation Rep'!B:B,'Download of SFDC Activation Rep'!Z:Z)</f>
        <v>#N/A</v>
      </c>
    </row>
    <row r="974">
      <c r="B974" s="14"/>
      <c r="C974" s="14"/>
      <c r="D974" s="14"/>
      <c r="E974" s="14"/>
      <c r="F974" s="13" t="str">
        <f t="array" ref="F974">iferror(XLOOKUP(A974,'Download of SFDC Activation Rep'!B:B,'Download of SFDC Activation Rep'!H:H),"")</f>
        <v/>
      </c>
      <c r="G974" s="13" t="str">
        <f t="array" ref="G974">iferror(xlookup(A974,'Download of SFDC Activation Rep'!B:B,'Download of SFDC Activation Rep'!L:L),"")</f>
        <v/>
      </c>
      <c r="H974" s="17" t="str">
        <f t="shared" si="1"/>
        <v>Not Active</v>
      </c>
      <c r="I974" s="17" t="str">
        <f t="array" ref="I974">XLOOKUP(A974,'Download of SFDC Activation Rep'!B:B,'Download of SFDC Activation Rep'!T:T)</f>
        <v>#N/A</v>
      </c>
      <c r="J974" s="17" t="str">
        <f t="array" ref="J974">iferror(XLOOKUP(A974,'Download of SFDC Activation Rep'!B:B,'Download of SFDC Activation Rep'!C:C),"")</f>
        <v/>
      </c>
      <c r="K974" s="17" t="str">
        <f t="array" ref="K974">XLOOKUP(A974,'Download of SFDC Activation Rep'!B:B,'Download of SFDC Activation Rep'!X:X)</f>
        <v>#N/A</v>
      </c>
      <c r="L974" s="32" t="str">
        <f t="array" ref="L974">xlookup(A974,'Download of SFDC Activation Rep'!B:B,'Download of SFDC Activation Rep'!Z:Z)</f>
        <v>#N/A</v>
      </c>
    </row>
    <row r="975">
      <c r="B975" s="14"/>
      <c r="C975" s="14"/>
      <c r="D975" s="14"/>
      <c r="E975" s="14"/>
      <c r="F975" s="13" t="str">
        <f t="array" ref="F975">iferror(XLOOKUP(A975,'Download of SFDC Activation Rep'!B:B,'Download of SFDC Activation Rep'!H:H),"")</f>
        <v/>
      </c>
      <c r="G975" s="13" t="str">
        <f t="array" ref="G975">iferror(xlookup(A975,'Download of SFDC Activation Rep'!B:B,'Download of SFDC Activation Rep'!L:L),"")</f>
        <v/>
      </c>
      <c r="H975" s="17" t="str">
        <f t="shared" si="1"/>
        <v>Not Active</v>
      </c>
      <c r="I975" s="17" t="str">
        <f t="array" ref="I975">XLOOKUP(A975,'Download of SFDC Activation Rep'!B:B,'Download of SFDC Activation Rep'!T:T)</f>
        <v>#N/A</v>
      </c>
      <c r="J975" s="17" t="str">
        <f t="array" ref="J975">iferror(XLOOKUP(A975,'Download of SFDC Activation Rep'!B:B,'Download of SFDC Activation Rep'!C:C),"")</f>
        <v/>
      </c>
      <c r="K975" s="17" t="str">
        <f t="array" ref="K975">XLOOKUP(A975,'Download of SFDC Activation Rep'!B:B,'Download of SFDC Activation Rep'!X:X)</f>
        <v>#N/A</v>
      </c>
      <c r="L975" s="32" t="str">
        <f t="array" ref="L975">xlookup(A975,'Download of SFDC Activation Rep'!B:B,'Download of SFDC Activation Rep'!Z:Z)</f>
        <v>#N/A</v>
      </c>
    </row>
    <row r="976">
      <c r="B976" s="14"/>
      <c r="C976" s="14"/>
      <c r="D976" s="14"/>
      <c r="E976" s="14"/>
      <c r="F976" s="13" t="str">
        <f t="array" ref="F976">iferror(XLOOKUP(A976,'Download of SFDC Activation Rep'!B:B,'Download of SFDC Activation Rep'!H:H),"")</f>
        <v/>
      </c>
      <c r="G976" s="13" t="str">
        <f t="array" ref="G976">iferror(xlookup(A976,'Download of SFDC Activation Rep'!B:B,'Download of SFDC Activation Rep'!L:L),"")</f>
        <v/>
      </c>
      <c r="H976" s="17" t="str">
        <f t="shared" si="1"/>
        <v>Not Active</v>
      </c>
      <c r="I976" s="17" t="str">
        <f t="array" ref="I976">XLOOKUP(A976,'Download of SFDC Activation Rep'!B:B,'Download of SFDC Activation Rep'!T:T)</f>
        <v>#N/A</v>
      </c>
      <c r="J976" s="17" t="str">
        <f t="array" ref="J976">iferror(XLOOKUP(A976,'Download of SFDC Activation Rep'!B:B,'Download of SFDC Activation Rep'!C:C),"")</f>
        <v/>
      </c>
      <c r="K976" s="17" t="str">
        <f t="array" ref="K976">XLOOKUP(A976,'Download of SFDC Activation Rep'!B:B,'Download of SFDC Activation Rep'!X:X)</f>
        <v>#N/A</v>
      </c>
      <c r="L976" s="32" t="str">
        <f t="array" ref="L976">xlookup(A976,'Download of SFDC Activation Rep'!B:B,'Download of SFDC Activation Rep'!Z:Z)</f>
        <v>#N/A</v>
      </c>
    </row>
    <row r="977">
      <c r="B977" s="14"/>
      <c r="C977" s="14"/>
      <c r="D977" s="14"/>
      <c r="E977" s="14"/>
      <c r="F977" s="13" t="str">
        <f t="array" ref="F977">iferror(XLOOKUP(A977,'Download of SFDC Activation Rep'!B:B,'Download of SFDC Activation Rep'!H:H),"")</f>
        <v/>
      </c>
      <c r="G977" s="13" t="str">
        <f t="array" ref="G977">iferror(xlookup(A977,'Download of SFDC Activation Rep'!B:B,'Download of SFDC Activation Rep'!L:L),"")</f>
        <v/>
      </c>
      <c r="H977" s="17" t="str">
        <f t="shared" si="1"/>
        <v>Not Active</v>
      </c>
      <c r="I977" s="17" t="str">
        <f t="array" ref="I977">XLOOKUP(A977,'Download of SFDC Activation Rep'!B:B,'Download of SFDC Activation Rep'!T:T)</f>
        <v>#N/A</v>
      </c>
      <c r="J977" s="17" t="str">
        <f t="array" ref="J977">iferror(XLOOKUP(A977,'Download of SFDC Activation Rep'!B:B,'Download of SFDC Activation Rep'!C:C),"")</f>
        <v/>
      </c>
      <c r="K977" s="17" t="str">
        <f t="array" ref="K977">XLOOKUP(A977,'Download of SFDC Activation Rep'!B:B,'Download of SFDC Activation Rep'!X:X)</f>
        <v>#N/A</v>
      </c>
      <c r="L977" s="32" t="str">
        <f t="array" ref="L977">xlookup(A977,'Download of SFDC Activation Rep'!B:B,'Download of SFDC Activation Rep'!Z:Z)</f>
        <v>#N/A</v>
      </c>
    </row>
    <row r="978">
      <c r="B978" s="14"/>
      <c r="C978" s="14"/>
      <c r="D978" s="14"/>
      <c r="E978" s="14"/>
      <c r="F978" s="13" t="str">
        <f t="array" ref="F978">iferror(XLOOKUP(A978,'Download of SFDC Activation Rep'!B:B,'Download of SFDC Activation Rep'!H:H),"")</f>
        <v/>
      </c>
      <c r="G978" s="13" t="str">
        <f t="array" ref="G978">iferror(xlookup(A978,'Download of SFDC Activation Rep'!B:B,'Download of SFDC Activation Rep'!L:L),"")</f>
        <v/>
      </c>
      <c r="H978" s="17" t="str">
        <f t="shared" si="1"/>
        <v>Not Active</v>
      </c>
      <c r="I978" s="17" t="str">
        <f t="array" ref="I978">XLOOKUP(A978,'Download of SFDC Activation Rep'!B:B,'Download of SFDC Activation Rep'!T:T)</f>
        <v>#N/A</v>
      </c>
      <c r="J978" s="17" t="str">
        <f t="array" ref="J978">iferror(XLOOKUP(A978,'Download of SFDC Activation Rep'!B:B,'Download of SFDC Activation Rep'!C:C),"")</f>
        <v/>
      </c>
      <c r="K978" s="17" t="str">
        <f t="array" ref="K978">XLOOKUP(A978,'Download of SFDC Activation Rep'!B:B,'Download of SFDC Activation Rep'!X:X)</f>
        <v>#N/A</v>
      </c>
      <c r="L978" s="32" t="str">
        <f t="array" ref="L978">xlookup(A978,'Download of SFDC Activation Rep'!B:B,'Download of SFDC Activation Rep'!Z:Z)</f>
        <v>#N/A</v>
      </c>
    </row>
    <row r="979">
      <c r="B979" s="14"/>
      <c r="C979" s="14"/>
      <c r="D979" s="14"/>
      <c r="E979" s="14"/>
      <c r="F979" s="13" t="str">
        <f t="array" ref="F979">iferror(XLOOKUP(A979,'Download of SFDC Activation Rep'!B:B,'Download of SFDC Activation Rep'!H:H),"")</f>
        <v/>
      </c>
      <c r="G979" s="13" t="str">
        <f t="array" ref="G979">iferror(xlookup(A979,'Download of SFDC Activation Rep'!B:B,'Download of SFDC Activation Rep'!L:L),"")</f>
        <v/>
      </c>
      <c r="H979" s="17" t="str">
        <f t="shared" si="1"/>
        <v>Not Active</v>
      </c>
      <c r="I979" s="17" t="str">
        <f t="array" ref="I979">XLOOKUP(A979,'Download of SFDC Activation Rep'!B:B,'Download of SFDC Activation Rep'!T:T)</f>
        <v>#N/A</v>
      </c>
      <c r="J979" s="17" t="str">
        <f t="array" ref="J979">iferror(XLOOKUP(A979,'Download of SFDC Activation Rep'!B:B,'Download of SFDC Activation Rep'!C:C),"")</f>
        <v/>
      </c>
      <c r="K979" s="17" t="str">
        <f t="array" ref="K979">XLOOKUP(A979,'Download of SFDC Activation Rep'!B:B,'Download of SFDC Activation Rep'!X:X)</f>
        <v>#N/A</v>
      </c>
      <c r="L979" s="32" t="str">
        <f t="array" ref="L979">xlookup(A979,'Download of SFDC Activation Rep'!B:B,'Download of SFDC Activation Rep'!Z:Z)</f>
        <v>#N/A</v>
      </c>
    </row>
    <row r="980">
      <c r="B980" s="14"/>
      <c r="C980" s="14"/>
      <c r="D980" s="14"/>
      <c r="E980" s="14"/>
      <c r="F980" s="13" t="str">
        <f t="array" ref="F980">iferror(XLOOKUP(A980,'Download of SFDC Activation Rep'!B:B,'Download of SFDC Activation Rep'!H:H),"")</f>
        <v/>
      </c>
      <c r="G980" s="13" t="str">
        <f t="array" ref="G980">iferror(xlookup(A980,'Download of SFDC Activation Rep'!B:B,'Download of SFDC Activation Rep'!L:L),"")</f>
        <v/>
      </c>
      <c r="H980" s="17" t="str">
        <f t="shared" si="1"/>
        <v>Not Active</v>
      </c>
      <c r="I980" s="17" t="str">
        <f t="array" ref="I980">XLOOKUP(A980,'Download of SFDC Activation Rep'!B:B,'Download of SFDC Activation Rep'!T:T)</f>
        <v>#N/A</v>
      </c>
      <c r="J980" s="17" t="str">
        <f t="array" ref="J980">iferror(XLOOKUP(A980,'Download of SFDC Activation Rep'!B:B,'Download of SFDC Activation Rep'!C:C),"")</f>
        <v/>
      </c>
      <c r="K980" s="17" t="str">
        <f t="array" ref="K980">XLOOKUP(A980,'Download of SFDC Activation Rep'!B:B,'Download of SFDC Activation Rep'!X:X)</f>
        <v>#N/A</v>
      </c>
      <c r="L980" s="32" t="str">
        <f t="array" ref="L980">xlookup(A980,'Download of SFDC Activation Rep'!B:B,'Download of SFDC Activation Rep'!Z:Z)</f>
        <v>#N/A</v>
      </c>
    </row>
    <row r="981">
      <c r="B981" s="14"/>
      <c r="C981" s="14"/>
      <c r="D981" s="14"/>
      <c r="E981" s="14"/>
      <c r="F981" s="13" t="str">
        <f t="array" ref="F981">iferror(XLOOKUP(A981,'Download of SFDC Activation Rep'!B:B,'Download of SFDC Activation Rep'!H:H),"")</f>
        <v/>
      </c>
      <c r="G981" s="13" t="str">
        <f t="array" ref="G981">iferror(xlookup(A981,'Download of SFDC Activation Rep'!B:B,'Download of SFDC Activation Rep'!L:L),"")</f>
        <v/>
      </c>
      <c r="H981" s="17" t="str">
        <f t="shared" si="1"/>
        <v>Not Active</v>
      </c>
      <c r="I981" s="17" t="str">
        <f t="array" ref="I981">XLOOKUP(A981,'Download of SFDC Activation Rep'!B:B,'Download of SFDC Activation Rep'!T:T)</f>
        <v>#N/A</v>
      </c>
      <c r="J981" s="17" t="str">
        <f t="array" ref="J981">iferror(XLOOKUP(A981,'Download of SFDC Activation Rep'!B:B,'Download of SFDC Activation Rep'!C:C),"")</f>
        <v/>
      </c>
      <c r="K981" s="17" t="str">
        <f t="array" ref="K981">XLOOKUP(A981,'Download of SFDC Activation Rep'!B:B,'Download of SFDC Activation Rep'!X:X)</f>
        <v>#N/A</v>
      </c>
      <c r="L981" s="32" t="str">
        <f t="array" ref="L981">xlookup(A981,'Download of SFDC Activation Rep'!B:B,'Download of SFDC Activation Rep'!Z:Z)</f>
        <v>#N/A</v>
      </c>
    </row>
    <row r="982">
      <c r="B982" s="14"/>
      <c r="C982" s="14"/>
      <c r="D982" s="14"/>
      <c r="E982" s="14"/>
      <c r="F982" s="13" t="str">
        <f t="array" ref="F982">iferror(XLOOKUP(A982,'Download of SFDC Activation Rep'!B:B,'Download of SFDC Activation Rep'!H:H),"")</f>
        <v/>
      </c>
      <c r="G982" s="13" t="str">
        <f t="array" ref="G982">iferror(xlookup(A982,'Download of SFDC Activation Rep'!B:B,'Download of SFDC Activation Rep'!L:L),"")</f>
        <v/>
      </c>
      <c r="H982" s="17" t="str">
        <f t="shared" si="1"/>
        <v>Not Active</v>
      </c>
      <c r="I982" s="17" t="str">
        <f t="array" ref="I982">XLOOKUP(A982,'Download of SFDC Activation Rep'!B:B,'Download of SFDC Activation Rep'!T:T)</f>
        <v>#N/A</v>
      </c>
      <c r="J982" s="17" t="str">
        <f t="array" ref="J982">iferror(XLOOKUP(A982,'Download of SFDC Activation Rep'!B:B,'Download of SFDC Activation Rep'!C:C),"")</f>
        <v/>
      </c>
      <c r="K982" s="17" t="str">
        <f t="array" ref="K982">XLOOKUP(A982,'Download of SFDC Activation Rep'!B:B,'Download of SFDC Activation Rep'!X:X)</f>
        <v>#N/A</v>
      </c>
      <c r="L982" s="32" t="str">
        <f t="array" ref="L982">xlookup(A982,'Download of SFDC Activation Rep'!B:B,'Download of SFDC Activation Rep'!Z:Z)</f>
        <v>#N/A</v>
      </c>
    </row>
    <row r="983">
      <c r="B983" s="14"/>
      <c r="C983" s="14"/>
      <c r="D983" s="14"/>
      <c r="E983" s="14"/>
      <c r="F983" s="13" t="str">
        <f t="array" ref="F983">iferror(XLOOKUP(A983,'Download of SFDC Activation Rep'!B:B,'Download of SFDC Activation Rep'!H:H),"")</f>
        <v/>
      </c>
      <c r="G983" s="13" t="str">
        <f t="array" ref="G983">iferror(xlookup(A983,'Download of SFDC Activation Rep'!B:B,'Download of SFDC Activation Rep'!L:L),"")</f>
        <v/>
      </c>
      <c r="H983" s="17" t="str">
        <f t="shared" si="1"/>
        <v>Not Active</v>
      </c>
      <c r="I983" s="17" t="str">
        <f t="array" ref="I983">XLOOKUP(A983,'Download of SFDC Activation Rep'!B:B,'Download of SFDC Activation Rep'!T:T)</f>
        <v>#N/A</v>
      </c>
      <c r="J983" s="17" t="str">
        <f t="array" ref="J983">iferror(XLOOKUP(A983,'Download of SFDC Activation Rep'!B:B,'Download of SFDC Activation Rep'!C:C),"")</f>
        <v/>
      </c>
      <c r="K983" s="17" t="str">
        <f t="array" ref="K983">XLOOKUP(A983,'Download of SFDC Activation Rep'!B:B,'Download of SFDC Activation Rep'!X:X)</f>
        <v>#N/A</v>
      </c>
      <c r="L983" s="32" t="str">
        <f t="array" ref="L983">xlookup(A983,'Download of SFDC Activation Rep'!B:B,'Download of SFDC Activation Rep'!Z:Z)</f>
        <v>#N/A</v>
      </c>
    </row>
    <row r="984">
      <c r="B984" s="14"/>
      <c r="C984" s="14"/>
      <c r="D984" s="14"/>
      <c r="E984" s="14"/>
      <c r="F984" s="13" t="str">
        <f t="array" ref="F984">iferror(XLOOKUP(A984,'Download of SFDC Activation Rep'!B:B,'Download of SFDC Activation Rep'!H:H),"")</f>
        <v/>
      </c>
      <c r="G984" s="13" t="str">
        <f t="array" ref="G984">iferror(xlookup(A984,'Download of SFDC Activation Rep'!B:B,'Download of SFDC Activation Rep'!L:L),"")</f>
        <v/>
      </c>
      <c r="H984" s="17" t="str">
        <f t="shared" si="1"/>
        <v>Not Active</v>
      </c>
      <c r="I984" s="17" t="str">
        <f t="array" ref="I984">XLOOKUP(A984,'Download of SFDC Activation Rep'!B:B,'Download of SFDC Activation Rep'!T:T)</f>
        <v>#N/A</v>
      </c>
      <c r="J984" s="17" t="str">
        <f t="array" ref="J984">iferror(XLOOKUP(A984,'Download of SFDC Activation Rep'!B:B,'Download of SFDC Activation Rep'!C:C),"")</f>
        <v/>
      </c>
      <c r="K984" s="17" t="str">
        <f t="array" ref="K984">XLOOKUP(A984,'Download of SFDC Activation Rep'!B:B,'Download of SFDC Activation Rep'!X:X)</f>
        <v>#N/A</v>
      </c>
      <c r="L984" s="32" t="str">
        <f t="array" ref="L984">xlookup(A984,'Download of SFDC Activation Rep'!B:B,'Download of SFDC Activation Rep'!Z:Z)</f>
        <v>#N/A</v>
      </c>
    </row>
    <row r="985">
      <c r="B985" s="14"/>
      <c r="C985" s="14"/>
      <c r="D985" s="14"/>
      <c r="E985" s="14"/>
      <c r="F985" s="13" t="str">
        <f t="array" ref="F985">iferror(XLOOKUP(A985,'Download of SFDC Activation Rep'!B:B,'Download of SFDC Activation Rep'!H:H),"")</f>
        <v/>
      </c>
      <c r="G985" s="13" t="str">
        <f t="array" ref="G985">iferror(xlookup(A985,'Download of SFDC Activation Rep'!B:B,'Download of SFDC Activation Rep'!L:L),"")</f>
        <v/>
      </c>
      <c r="H985" s="17" t="str">
        <f t="shared" si="1"/>
        <v>Not Active</v>
      </c>
      <c r="I985" s="17" t="str">
        <f t="array" ref="I985">XLOOKUP(A985,'Download of SFDC Activation Rep'!B:B,'Download of SFDC Activation Rep'!T:T)</f>
        <v>#N/A</v>
      </c>
      <c r="J985" s="17" t="str">
        <f t="array" ref="J985">iferror(XLOOKUP(A985,'Download of SFDC Activation Rep'!B:B,'Download of SFDC Activation Rep'!C:C),"")</f>
        <v/>
      </c>
      <c r="K985" s="17" t="str">
        <f t="array" ref="K985">XLOOKUP(A985,'Download of SFDC Activation Rep'!B:B,'Download of SFDC Activation Rep'!X:X)</f>
        <v>#N/A</v>
      </c>
      <c r="L985" s="32" t="str">
        <f t="array" ref="L985">xlookup(A985,'Download of SFDC Activation Rep'!B:B,'Download of SFDC Activation Rep'!Z:Z)</f>
        <v>#N/A</v>
      </c>
    </row>
    <row r="986">
      <c r="B986" s="14"/>
      <c r="C986" s="14"/>
      <c r="D986" s="14"/>
      <c r="E986" s="14"/>
      <c r="F986" s="13" t="str">
        <f t="array" ref="F986">iferror(XLOOKUP(A986,'Download of SFDC Activation Rep'!B:B,'Download of SFDC Activation Rep'!H:H),"")</f>
        <v/>
      </c>
      <c r="G986" s="13" t="str">
        <f t="array" ref="G986">iferror(xlookup(A986,'Download of SFDC Activation Rep'!B:B,'Download of SFDC Activation Rep'!L:L),"")</f>
        <v/>
      </c>
      <c r="H986" s="17" t="str">
        <f t="shared" si="1"/>
        <v>Not Active</v>
      </c>
      <c r="I986" s="17" t="str">
        <f t="array" ref="I986">XLOOKUP(A986,'Download of SFDC Activation Rep'!B:B,'Download of SFDC Activation Rep'!T:T)</f>
        <v>#N/A</v>
      </c>
      <c r="J986" s="17" t="str">
        <f t="array" ref="J986">iferror(XLOOKUP(A986,'Download of SFDC Activation Rep'!B:B,'Download of SFDC Activation Rep'!C:C),"")</f>
        <v/>
      </c>
      <c r="K986" s="17" t="str">
        <f t="array" ref="K986">XLOOKUP(A986,'Download of SFDC Activation Rep'!B:B,'Download of SFDC Activation Rep'!X:X)</f>
        <v>#N/A</v>
      </c>
      <c r="L986" s="32" t="str">
        <f t="array" ref="L986">xlookup(A986,'Download of SFDC Activation Rep'!B:B,'Download of SFDC Activation Rep'!Z:Z)</f>
        <v>#N/A</v>
      </c>
    </row>
    <row r="987">
      <c r="B987" s="14"/>
      <c r="C987" s="14"/>
      <c r="D987" s="14"/>
      <c r="E987" s="14"/>
      <c r="F987" s="13" t="str">
        <f t="array" ref="F987">iferror(XLOOKUP(A987,'Download of SFDC Activation Rep'!B:B,'Download of SFDC Activation Rep'!H:H),"")</f>
        <v/>
      </c>
      <c r="G987" s="13" t="str">
        <f t="array" ref="G987">iferror(xlookup(A987,'Download of SFDC Activation Rep'!B:B,'Download of SFDC Activation Rep'!L:L),"")</f>
        <v/>
      </c>
      <c r="H987" s="17" t="str">
        <f t="shared" si="1"/>
        <v>Not Active</v>
      </c>
      <c r="I987" s="17" t="str">
        <f t="array" ref="I987">XLOOKUP(A987,'Download of SFDC Activation Rep'!B:B,'Download of SFDC Activation Rep'!T:T)</f>
        <v>#N/A</v>
      </c>
      <c r="J987" s="17" t="str">
        <f t="array" ref="J987">iferror(XLOOKUP(A987,'Download of SFDC Activation Rep'!B:B,'Download of SFDC Activation Rep'!C:C),"")</f>
        <v/>
      </c>
      <c r="K987" s="17" t="str">
        <f t="array" ref="K987">XLOOKUP(A987,'Download of SFDC Activation Rep'!B:B,'Download of SFDC Activation Rep'!X:X)</f>
        <v>#N/A</v>
      </c>
      <c r="L987" s="32" t="str">
        <f t="array" ref="L987">xlookup(A987,'Download of SFDC Activation Rep'!B:B,'Download of SFDC Activation Rep'!Z:Z)</f>
        <v>#N/A</v>
      </c>
    </row>
    <row r="988">
      <c r="B988" s="14"/>
      <c r="C988" s="14"/>
      <c r="D988" s="14"/>
      <c r="E988" s="14"/>
      <c r="F988" s="13" t="str">
        <f t="array" ref="F988">iferror(XLOOKUP(A988,'Download of SFDC Activation Rep'!B:B,'Download of SFDC Activation Rep'!H:H),"")</f>
        <v/>
      </c>
      <c r="G988" s="13" t="str">
        <f t="array" ref="G988">iferror(xlookup(A988,'Download of SFDC Activation Rep'!B:B,'Download of SFDC Activation Rep'!L:L),"")</f>
        <v/>
      </c>
      <c r="H988" s="17" t="str">
        <f t="shared" si="1"/>
        <v>Not Active</v>
      </c>
      <c r="I988" s="17" t="str">
        <f t="array" ref="I988">XLOOKUP(A988,'Download of SFDC Activation Rep'!B:B,'Download of SFDC Activation Rep'!T:T)</f>
        <v>#N/A</v>
      </c>
      <c r="J988" s="17" t="str">
        <f t="array" ref="J988">iferror(XLOOKUP(A988,'Download of SFDC Activation Rep'!B:B,'Download of SFDC Activation Rep'!C:C),"")</f>
        <v/>
      </c>
      <c r="K988" s="17" t="str">
        <f t="array" ref="K988">XLOOKUP(A988,'Download of SFDC Activation Rep'!B:B,'Download of SFDC Activation Rep'!X:X)</f>
        <v>#N/A</v>
      </c>
      <c r="L988" s="32" t="str">
        <f t="array" ref="L988">xlookup(A988,'Download of SFDC Activation Rep'!B:B,'Download of SFDC Activation Rep'!Z:Z)</f>
        <v>#N/A</v>
      </c>
    </row>
    <row r="989">
      <c r="B989" s="14"/>
      <c r="C989" s="14"/>
      <c r="D989" s="14"/>
      <c r="E989" s="14"/>
      <c r="F989" s="13" t="str">
        <f t="array" ref="F989">iferror(XLOOKUP(A989,'Download of SFDC Activation Rep'!B:B,'Download of SFDC Activation Rep'!H:H),"")</f>
        <v/>
      </c>
      <c r="G989" s="13" t="str">
        <f t="array" ref="G989">iferror(xlookup(A989,'Download of SFDC Activation Rep'!B:B,'Download of SFDC Activation Rep'!L:L),"")</f>
        <v/>
      </c>
      <c r="H989" s="17" t="str">
        <f t="shared" si="1"/>
        <v>Not Active</v>
      </c>
      <c r="I989" s="17" t="str">
        <f t="array" ref="I989">XLOOKUP(A989,'Download of SFDC Activation Rep'!B:B,'Download of SFDC Activation Rep'!T:T)</f>
        <v>#N/A</v>
      </c>
      <c r="J989" s="17" t="str">
        <f t="array" ref="J989">iferror(XLOOKUP(A989,'Download of SFDC Activation Rep'!B:B,'Download of SFDC Activation Rep'!C:C),"")</f>
        <v/>
      </c>
      <c r="K989" s="17" t="str">
        <f t="array" ref="K989">XLOOKUP(A989,'Download of SFDC Activation Rep'!B:B,'Download of SFDC Activation Rep'!X:X)</f>
        <v>#N/A</v>
      </c>
      <c r="L989" s="32" t="str">
        <f t="array" ref="L989">xlookup(A989,'Download of SFDC Activation Rep'!B:B,'Download of SFDC Activation Rep'!Z:Z)</f>
        <v>#N/A</v>
      </c>
    </row>
    <row r="990">
      <c r="B990" s="14"/>
      <c r="C990" s="14"/>
      <c r="D990" s="14"/>
      <c r="E990" s="14"/>
      <c r="F990" s="13" t="str">
        <f t="array" ref="F990">iferror(XLOOKUP(A990,'Download of SFDC Activation Rep'!B:B,'Download of SFDC Activation Rep'!H:H),"")</f>
        <v/>
      </c>
      <c r="G990" s="13" t="str">
        <f t="array" ref="G990">iferror(xlookup(A990,'Download of SFDC Activation Rep'!B:B,'Download of SFDC Activation Rep'!L:L),"")</f>
        <v/>
      </c>
      <c r="H990" s="17" t="str">
        <f t="shared" si="1"/>
        <v>Not Active</v>
      </c>
      <c r="I990" s="17" t="str">
        <f t="array" ref="I990">XLOOKUP(A990,'Download of SFDC Activation Rep'!B:B,'Download of SFDC Activation Rep'!T:T)</f>
        <v>#N/A</v>
      </c>
      <c r="J990" s="17" t="str">
        <f t="array" ref="J990">iferror(XLOOKUP(A990,'Download of SFDC Activation Rep'!B:B,'Download of SFDC Activation Rep'!C:C),"")</f>
        <v/>
      </c>
      <c r="K990" s="17" t="str">
        <f t="array" ref="K990">XLOOKUP(A990,'Download of SFDC Activation Rep'!B:B,'Download of SFDC Activation Rep'!X:X)</f>
        <v>#N/A</v>
      </c>
      <c r="L990" s="32" t="str">
        <f t="array" ref="L990">xlookup(A990,'Download of SFDC Activation Rep'!B:B,'Download of SFDC Activation Rep'!Z:Z)</f>
        <v>#N/A</v>
      </c>
    </row>
    <row r="991">
      <c r="B991" s="14"/>
      <c r="C991" s="14"/>
      <c r="D991" s="14"/>
      <c r="E991" s="14"/>
      <c r="F991" s="13" t="str">
        <f t="array" ref="F991">iferror(XLOOKUP(A991,'Download of SFDC Activation Rep'!B:B,'Download of SFDC Activation Rep'!H:H),"")</f>
        <v/>
      </c>
      <c r="G991" s="13" t="str">
        <f t="array" ref="G991">iferror(xlookup(A991,'Download of SFDC Activation Rep'!B:B,'Download of SFDC Activation Rep'!L:L),"")</f>
        <v/>
      </c>
      <c r="H991" s="17" t="str">
        <f t="shared" si="1"/>
        <v>Not Active</v>
      </c>
      <c r="I991" s="17" t="str">
        <f t="array" ref="I991">XLOOKUP(A991,'Download of SFDC Activation Rep'!B:B,'Download of SFDC Activation Rep'!T:T)</f>
        <v>#N/A</v>
      </c>
      <c r="J991" s="17" t="str">
        <f t="array" ref="J991">iferror(XLOOKUP(A991,'Download of SFDC Activation Rep'!B:B,'Download of SFDC Activation Rep'!C:C),"")</f>
        <v/>
      </c>
      <c r="K991" s="17" t="str">
        <f t="array" ref="K991">XLOOKUP(A991,'Download of SFDC Activation Rep'!B:B,'Download of SFDC Activation Rep'!X:X)</f>
        <v>#N/A</v>
      </c>
      <c r="L991" s="32" t="str">
        <f t="array" ref="L991">xlookup(A991,'Download of SFDC Activation Rep'!B:B,'Download of SFDC Activation Rep'!Z:Z)</f>
        <v>#N/A</v>
      </c>
    </row>
    <row r="992">
      <c r="B992" s="14"/>
      <c r="C992" s="14"/>
      <c r="D992" s="14"/>
      <c r="E992" s="14"/>
      <c r="F992" s="13" t="str">
        <f t="array" ref="F992">iferror(XLOOKUP(A992,'Download of SFDC Activation Rep'!B:B,'Download of SFDC Activation Rep'!H:H),"")</f>
        <v/>
      </c>
      <c r="G992" s="13" t="str">
        <f t="array" ref="G992">iferror(xlookup(A992,'Download of SFDC Activation Rep'!B:B,'Download of SFDC Activation Rep'!L:L),"")</f>
        <v/>
      </c>
      <c r="H992" s="17" t="str">
        <f t="shared" si="1"/>
        <v>Not Active</v>
      </c>
      <c r="I992" s="17" t="str">
        <f t="array" ref="I992">XLOOKUP(A992,'Download of SFDC Activation Rep'!B:B,'Download of SFDC Activation Rep'!T:T)</f>
        <v>#N/A</v>
      </c>
      <c r="J992" s="17" t="str">
        <f t="array" ref="J992">iferror(XLOOKUP(A992,'Download of SFDC Activation Rep'!B:B,'Download of SFDC Activation Rep'!C:C),"")</f>
        <v/>
      </c>
      <c r="K992" s="17" t="str">
        <f t="array" ref="K992">XLOOKUP(A992,'Download of SFDC Activation Rep'!B:B,'Download of SFDC Activation Rep'!X:X)</f>
        <v>#N/A</v>
      </c>
      <c r="L992" s="32" t="str">
        <f t="array" ref="L992">xlookup(A992,'Download of SFDC Activation Rep'!B:B,'Download of SFDC Activation Rep'!Z:Z)</f>
        <v>#N/A</v>
      </c>
    </row>
    <row r="993">
      <c r="B993" s="14"/>
      <c r="C993" s="14"/>
      <c r="D993" s="14"/>
      <c r="E993" s="14"/>
      <c r="F993" s="13" t="str">
        <f t="array" ref="F993">iferror(XLOOKUP(A993,'Download of SFDC Activation Rep'!B:B,'Download of SFDC Activation Rep'!H:H),"")</f>
        <v/>
      </c>
      <c r="G993" s="13" t="str">
        <f t="array" ref="G993">iferror(xlookup(A993,'Download of SFDC Activation Rep'!B:B,'Download of SFDC Activation Rep'!L:L),"")</f>
        <v/>
      </c>
      <c r="H993" s="17" t="str">
        <f t="shared" si="1"/>
        <v>Not Active</v>
      </c>
      <c r="I993" s="17" t="str">
        <f t="array" ref="I993">XLOOKUP(A993,'Download of SFDC Activation Rep'!B:B,'Download of SFDC Activation Rep'!T:T)</f>
        <v>#N/A</v>
      </c>
      <c r="J993" s="17" t="str">
        <f t="array" ref="J993">iferror(XLOOKUP(A993,'Download of SFDC Activation Rep'!B:B,'Download of SFDC Activation Rep'!C:C),"")</f>
        <v/>
      </c>
      <c r="K993" s="17" t="str">
        <f t="array" ref="K993">XLOOKUP(A993,'Download of SFDC Activation Rep'!B:B,'Download of SFDC Activation Rep'!X:X)</f>
        <v>#N/A</v>
      </c>
      <c r="L993" s="32" t="str">
        <f t="array" ref="L993">xlookup(A993,'Download of SFDC Activation Rep'!B:B,'Download of SFDC Activation Rep'!Z:Z)</f>
        <v>#N/A</v>
      </c>
    </row>
    <row r="994">
      <c r="B994" s="14"/>
      <c r="C994" s="14"/>
      <c r="D994" s="14"/>
      <c r="E994" s="14"/>
      <c r="F994" s="13" t="str">
        <f t="array" ref="F994">iferror(XLOOKUP(A994,'Download of SFDC Activation Rep'!B:B,'Download of SFDC Activation Rep'!H:H),"")</f>
        <v/>
      </c>
      <c r="G994" s="13" t="str">
        <f t="array" ref="G994">iferror(xlookup(A994,'Download of SFDC Activation Rep'!B:B,'Download of SFDC Activation Rep'!L:L),"")</f>
        <v/>
      </c>
      <c r="H994" s="17" t="str">
        <f t="shared" si="1"/>
        <v>Not Active</v>
      </c>
      <c r="I994" s="17" t="str">
        <f t="array" ref="I994">XLOOKUP(A994,'Download of SFDC Activation Rep'!B:B,'Download of SFDC Activation Rep'!T:T)</f>
        <v>#N/A</v>
      </c>
      <c r="J994" s="17" t="str">
        <f t="array" ref="J994">iferror(XLOOKUP(A994,'Download of SFDC Activation Rep'!B:B,'Download of SFDC Activation Rep'!C:C),"")</f>
        <v/>
      </c>
      <c r="K994" s="17" t="str">
        <f t="array" ref="K994">XLOOKUP(A994,'Download of SFDC Activation Rep'!B:B,'Download of SFDC Activation Rep'!X:X)</f>
        <v>#N/A</v>
      </c>
      <c r="L994" s="32" t="str">
        <f t="array" ref="L994">xlookup(A994,'Download of SFDC Activation Rep'!B:B,'Download of SFDC Activation Rep'!Z:Z)</f>
        <v>#N/A</v>
      </c>
    </row>
    <row r="995">
      <c r="B995" s="14"/>
      <c r="C995" s="14"/>
      <c r="D995" s="14"/>
      <c r="E995" s="14"/>
      <c r="F995" s="13" t="str">
        <f t="array" ref="F995">iferror(XLOOKUP(A995,'Download of SFDC Activation Rep'!B:B,'Download of SFDC Activation Rep'!H:H),"")</f>
        <v/>
      </c>
      <c r="G995" s="13" t="str">
        <f t="array" ref="G995">iferror(xlookup(A995,'Download of SFDC Activation Rep'!B:B,'Download of SFDC Activation Rep'!L:L),"")</f>
        <v/>
      </c>
      <c r="H995" s="17" t="str">
        <f t="shared" si="1"/>
        <v>Not Active</v>
      </c>
      <c r="I995" s="17" t="str">
        <f t="array" ref="I995">XLOOKUP(A995,'Download of SFDC Activation Rep'!B:B,'Download of SFDC Activation Rep'!T:T)</f>
        <v>#N/A</v>
      </c>
      <c r="J995" s="17" t="str">
        <f t="array" ref="J995">iferror(XLOOKUP(A995,'Download of SFDC Activation Rep'!B:B,'Download of SFDC Activation Rep'!C:C),"")</f>
        <v/>
      </c>
      <c r="K995" s="17" t="str">
        <f t="array" ref="K995">XLOOKUP(A995,'Download of SFDC Activation Rep'!B:B,'Download of SFDC Activation Rep'!X:X)</f>
        <v>#N/A</v>
      </c>
      <c r="L995" s="32" t="str">
        <f t="array" ref="L995">xlookup(A995,'Download of SFDC Activation Rep'!B:B,'Download of SFDC Activation Rep'!Z:Z)</f>
        <v>#N/A</v>
      </c>
    </row>
    <row r="996">
      <c r="B996" s="14"/>
      <c r="C996" s="14"/>
      <c r="D996" s="14"/>
      <c r="E996" s="14"/>
      <c r="F996" s="13" t="str">
        <f t="array" ref="F996">iferror(XLOOKUP(A996,'Download of SFDC Activation Rep'!B:B,'Download of SFDC Activation Rep'!H:H),"")</f>
        <v/>
      </c>
      <c r="G996" s="13" t="str">
        <f t="array" ref="G996">iferror(xlookup(A996,'Download of SFDC Activation Rep'!B:B,'Download of SFDC Activation Rep'!L:L),"")</f>
        <v/>
      </c>
      <c r="H996" s="17" t="str">
        <f t="shared" si="1"/>
        <v>Not Active</v>
      </c>
      <c r="I996" s="17" t="str">
        <f t="array" ref="I996">XLOOKUP(A996,'Download of SFDC Activation Rep'!B:B,'Download of SFDC Activation Rep'!T:T)</f>
        <v>#N/A</v>
      </c>
      <c r="J996" s="17" t="str">
        <f t="array" ref="J996">iferror(XLOOKUP(A996,'Download of SFDC Activation Rep'!B:B,'Download of SFDC Activation Rep'!C:C),"")</f>
        <v/>
      </c>
      <c r="K996" s="17" t="str">
        <f t="array" ref="K996">XLOOKUP(A996,'Download of SFDC Activation Rep'!B:B,'Download of SFDC Activation Rep'!X:X)</f>
        <v>#N/A</v>
      </c>
      <c r="L996" s="32" t="str">
        <f t="array" ref="L996">xlookup(A996,'Download of SFDC Activation Rep'!B:B,'Download of SFDC Activation Rep'!Z:Z)</f>
        <v>#N/A</v>
      </c>
    </row>
    <row r="997">
      <c r="B997" s="14"/>
      <c r="C997" s="14"/>
      <c r="D997" s="14"/>
      <c r="E997" s="14"/>
      <c r="F997" s="13" t="str">
        <f t="array" ref="F997">iferror(XLOOKUP(A997,'Download of SFDC Activation Rep'!B:B,'Download of SFDC Activation Rep'!H:H),"")</f>
        <v/>
      </c>
      <c r="G997" s="13" t="str">
        <f t="array" ref="G997">iferror(xlookup(A997,'Download of SFDC Activation Rep'!B:B,'Download of SFDC Activation Rep'!L:L),"")</f>
        <v/>
      </c>
      <c r="H997" s="17" t="str">
        <f t="shared" si="1"/>
        <v>Not Active</v>
      </c>
      <c r="I997" s="17" t="str">
        <f t="array" ref="I997">XLOOKUP(A997,'Download of SFDC Activation Rep'!B:B,'Download of SFDC Activation Rep'!T:T)</f>
        <v>#N/A</v>
      </c>
      <c r="J997" s="17" t="str">
        <f t="array" ref="J997">iferror(XLOOKUP(A997,'Download of SFDC Activation Rep'!B:B,'Download of SFDC Activation Rep'!C:C),"")</f>
        <v/>
      </c>
      <c r="K997" s="17" t="str">
        <f t="array" ref="K997">XLOOKUP(A997,'Download of SFDC Activation Rep'!B:B,'Download of SFDC Activation Rep'!X:X)</f>
        <v>#N/A</v>
      </c>
      <c r="L997" s="32" t="str">
        <f t="array" ref="L997">xlookup(A997,'Download of SFDC Activation Rep'!B:B,'Download of SFDC Activation Rep'!Z:Z)</f>
        <v>#N/A</v>
      </c>
    </row>
    <row r="998">
      <c r="B998" s="14"/>
      <c r="C998" s="14"/>
      <c r="D998" s="14"/>
      <c r="E998" s="14"/>
      <c r="F998" s="13" t="str">
        <f t="array" ref="F998">iferror(XLOOKUP(A998,'Download of SFDC Activation Rep'!B:B,'Download of SFDC Activation Rep'!H:H),"")</f>
        <v/>
      </c>
      <c r="G998" s="13" t="str">
        <f t="array" ref="G998">iferror(xlookup(A998,'Download of SFDC Activation Rep'!B:B,'Download of SFDC Activation Rep'!L:L),"")</f>
        <v/>
      </c>
      <c r="H998" s="17" t="str">
        <f t="shared" si="1"/>
        <v>Not Active</v>
      </c>
      <c r="I998" s="17" t="str">
        <f t="array" ref="I998">XLOOKUP(A998,'Download of SFDC Activation Rep'!B:B,'Download of SFDC Activation Rep'!T:T)</f>
        <v>#N/A</v>
      </c>
      <c r="J998" s="17" t="str">
        <f t="array" ref="J998">iferror(XLOOKUP(A998,'Download of SFDC Activation Rep'!B:B,'Download of SFDC Activation Rep'!C:C),"")</f>
        <v/>
      </c>
      <c r="K998" s="17" t="str">
        <f t="array" ref="K998">XLOOKUP(A998,'Download of SFDC Activation Rep'!B:B,'Download of SFDC Activation Rep'!X:X)</f>
        <v>#N/A</v>
      </c>
      <c r="L998" s="32" t="str">
        <f t="array" ref="L998">xlookup(A998,'Download of SFDC Activation Rep'!B:B,'Download of SFDC Activation Rep'!Z:Z)</f>
        <v>#N/A</v>
      </c>
    </row>
    <row r="999">
      <c r="B999" s="14"/>
      <c r="C999" s="14"/>
      <c r="D999" s="14"/>
      <c r="E999" s="14"/>
      <c r="F999" s="13" t="str">
        <f t="array" ref="F999">iferror(XLOOKUP(A999,'Download of SFDC Activation Rep'!B:B,'Download of SFDC Activation Rep'!H:H),"")</f>
        <v/>
      </c>
      <c r="G999" s="13" t="str">
        <f t="array" ref="G999">iferror(xlookup(A999,'Download of SFDC Activation Rep'!B:B,'Download of SFDC Activation Rep'!L:L),"")</f>
        <v/>
      </c>
      <c r="H999" s="17" t="str">
        <f t="shared" si="1"/>
        <v>Not Active</v>
      </c>
      <c r="I999" s="17" t="str">
        <f t="array" ref="I999">XLOOKUP(A999,'Download of SFDC Activation Rep'!B:B,'Download of SFDC Activation Rep'!T:T)</f>
        <v>#N/A</v>
      </c>
      <c r="J999" s="17" t="str">
        <f t="array" ref="J999">iferror(XLOOKUP(A999,'Download of SFDC Activation Rep'!B:B,'Download of SFDC Activation Rep'!C:C),"")</f>
        <v/>
      </c>
      <c r="K999" s="17" t="str">
        <f t="array" ref="K999">XLOOKUP(A999,'Download of SFDC Activation Rep'!B:B,'Download of SFDC Activation Rep'!X:X)</f>
        <v>#N/A</v>
      </c>
      <c r="L999" s="32" t="str">
        <f t="array" ref="L999">xlookup(A999,'Download of SFDC Activation Rep'!B:B,'Download of SFDC Activation Rep'!Z:Z)</f>
        <v>#N/A</v>
      </c>
    </row>
    <row r="1000">
      <c r="B1000" s="14"/>
      <c r="C1000" s="14"/>
      <c r="D1000" s="14"/>
      <c r="E1000" s="14"/>
      <c r="F1000" s="13" t="str">
        <f t="array" ref="F1000">iferror(XLOOKUP(A1000,'Download of SFDC Activation Rep'!B:B,'Download of SFDC Activation Rep'!H:H),"")</f>
        <v/>
      </c>
      <c r="G1000" s="13" t="str">
        <f t="array" ref="G1000">iferror(xlookup(A1000,'Download of SFDC Activation Rep'!B:B,'Download of SFDC Activation Rep'!L:L),"")</f>
        <v/>
      </c>
      <c r="H1000" s="17" t="str">
        <f t="shared" si="1"/>
        <v>Not Active</v>
      </c>
      <c r="I1000" s="17" t="str">
        <f t="array" ref="I1000">XLOOKUP(A1000,'Download of SFDC Activation Rep'!B:B,'Download of SFDC Activation Rep'!T:T)</f>
        <v>#N/A</v>
      </c>
      <c r="J1000" s="17" t="str">
        <f t="array" ref="J1000">iferror(XLOOKUP(A1000,'Download of SFDC Activation Rep'!B:B,'Download of SFDC Activation Rep'!C:C),"")</f>
        <v/>
      </c>
      <c r="K1000" s="17" t="str">
        <f t="array" ref="K1000">XLOOKUP(A1000,'Download of SFDC Activation Rep'!B:B,'Download of SFDC Activation Rep'!X:X)</f>
        <v>#N/A</v>
      </c>
      <c r="L1000" s="32" t="str">
        <f t="array" ref="L1000">xlookup(A1000,'Download of SFDC Activation Rep'!B:B,'Download of SFDC Activation Rep'!Z:Z)</f>
        <v>#N/A</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cols>
    <col customWidth="1" min="2" max="2" width="20.75"/>
    <col customWidth="1" min="3" max="3" width="20.88"/>
    <col customWidth="1" min="5" max="6" width="26.63"/>
    <col customWidth="1" min="8" max="8" width="12.88"/>
    <col customWidth="1" min="9" max="10" width="11.63"/>
    <col customWidth="1" min="11" max="11" width="32.63"/>
    <col customWidth="1" min="12" max="12" width="29.38"/>
    <col customWidth="1" min="14" max="15" width="15.5"/>
  </cols>
  <sheetData>
    <row r="1">
      <c r="F1" s="16" t="s">
        <v>52</v>
      </c>
      <c r="G1" s="17" t="s">
        <v>25</v>
      </c>
      <c r="H1" s="17" t="s">
        <v>26</v>
      </c>
      <c r="I1" s="17" t="s">
        <v>27</v>
      </c>
      <c r="J1" s="17" t="s">
        <v>47</v>
      </c>
      <c r="K1" s="17" t="s">
        <v>29</v>
      </c>
      <c r="L1" s="19" t="s">
        <v>33</v>
      </c>
      <c r="M1" s="20">
        <f>COUNTIF(A2:A1000,"&gt;=0")</f>
        <v>210</v>
      </c>
      <c r="O1" s="21" t="s">
        <v>34</v>
      </c>
      <c r="P1" s="22">
        <v>46201.0</v>
      </c>
    </row>
    <row r="2">
      <c r="F2" s="34">
        <f t="shared" ref="F2:F5" si="1">B2/D2</f>
        <v>-0.000009146547942</v>
      </c>
      <c r="G2" s="13" t="str">
        <f t="array" ref="G2">iferror(XLOOKUP(A2,'Download of SFDC Activation Rep'!B:B,'Download of SFDC Activation Rep'!H:H),"")</f>
        <v>Active</v>
      </c>
      <c r="H2" s="13" t="str">
        <f t="array" ref="H2">iferror(xlookup(A2,'Download of SFDC Activation Rep'!B:B,'Download of SFDC Activation Rep'!L:L),"")</f>
        <v/>
      </c>
      <c r="I2" s="17" t="str">
        <f t="shared" ref="I2:I1000" si="2">IF(or(G2="Active",H2="Active"),"Active","Not Active")</f>
        <v>Active</v>
      </c>
      <c r="J2" s="17" t="str">
        <f t="array" ref="J2">XLOOKUP(A2,'Download of SFDC Activation Rep'!B:B,'Download of SFDC Activation Rep'!T:T)</f>
        <v>006VT00000rcekJ</v>
      </c>
      <c r="K2" s="17" t="str">
        <f t="array" ref="K2">iferror(XLOOKUP(A2,'Download of SFDC Activation Rep'!B:B,'Download of SFDC Activation Rep'!C:C),"")</f>
        <v>Bella Notte Linens</v>
      </c>
      <c r="L2" s="19" t="s">
        <v>36</v>
      </c>
      <c r="M2" s="20">
        <f>COUNTIF(I:I,"Active")</f>
        <v>146</v>
      </c>
    </row>
    <row r="3">
      <c r="F3" s="34">
        <f t="shared" si="1"/>
        <v>0.001904522351</v>
      </c>
      <c r="G3" s="13" t="str">
        <f t="array" ref="G3">iferror(XLOOKUP(A3,'Download of SFDC Activation Rep'!B:B,'Download of SFDC Activation Rep'!H:H),"")</f>
        <v>Active</v>
      </c>
      <c r="H3" s="13" t="str">
        <f t="array" ref="H3">iferror(xlookup(A3,'Download of SFDC Activation Rep'!B:B,'Download of SFDC Activation Rep'!L:L),"")</f>
        <v/>
      </c>
      <c r="I3" s="17" t="str">
        <f t="shared" si="2"/>
        <v>Active</v>
      </c>
      <c r="J3" s="17" t="str">
        <f t="array" ref="J3">XLOOKUP(A3,'Download of SFDC Activation Rep'!B:B,'Download of SFDC Activation Rep'!T:T)</f>
        <v>006VT00000rLcgU</v>
      </c>
      <c r="K3" s="17" t="str">
        <f t="array" ref="K3">iferror(XLOOKUP(A3,'Download of SFDC Activation Rep'!B:B,'Download of SFDC Activation Rep'!C:C),"")</f>
        <v>Talcan Systems, LLC</v>
      </c>
      <c r="L3" s="26"/>
      <c r="M3" s="26"/>
    </row>
    <row r="4">
      <c r="F4" s="34">
        <f t="shared" si="1"/>
        <v>-0.006084</v>
      </c>
      <c r="G4" s="13" t="str">
        <f t="array" ref="G4">iferror(XLOOKUP(A4,'Download of SFDC Activation Rep'!B:B,'Download of SFDC Activation Rep'!H:H),"")</f>
        <v>Active</v>
      </c>
      <c r="H4" s="13" t="str">
        <f t="array" ref="H4">iferror(xlookup(A4,'Download of SFDC Activation Rep'!B:B,'Download of SFDC Activation Rep'!L:L),"")</f>
        <v/>
      </c>
      <c r="I4" s="17" t="str">
        <f t="shared" si="2"/>
        <v>Active</v>
      </c>
      <c r="J4" s="17" t="str">
        <f t="array" ref="J4">XLOOKUP(A4,'Download of SFDC Activation Rep'!B:B,'Download of SFDC Activation Rep'!T:T)</f>
        <v>006VT00000qS44N</v>
      </c>
      <c r="K4" s="17" t="str">
        <f t="array" ref="K4">iferror(XLOOKUP(A4,'Download of SFDC Activation Rep'!B:B,'Download of SFDC Activation Rep'!C:C),"")</f>
        <v>Matte Collection</v>
      </c>
      <c r="L4" s="19" t="s">
        <v>53</v>
      </c>
      <c r="M4" s="28">
        <f>AVERAGE(E:E)</f>
        <v>99061.2422</v>
      </c>
    </row>
    <row r="5">
      <c r="F5" s="34">
        <f t="shared" si="1"/>
        <v>0.00502011267</v>
      </c>
      <c r="G5" s="13" t="str">
        <f t="array" ref="G5">iferror(XLOOKUP(A5,'Download of SFDC Activation Rep'!B:B,'Download of SFDC Activation Rep'!H:H),"")</f>
        <v>Active</v>
      </c>
      <c r="H5" s="13" t="str">
        <f t="array" ref="H5">iferror(xlookup(A5,'Download of SFDC Activation Rep'!B:B,'Download of SFDC Activation Rep'!L:L),"")</f>
        <v/>
      </c>
      <c r="I5" s="17" t="str">
        <f t="shared" si="2"/>
        <v>Active</v>
      </c>
      <c r="J5" s="17" t="str">
        <f t="array" ref="J5">XLOOKUP(A5,'Download of SFDC Activation Rep'!B:B,'Download of SFDC Activation Rep'!T:T)</f>
        <v>006VT00000qfNVl</v>
      </c>
      <c r="K5" s="17" t="str">
        <f t="array" ref="K5">iferror(XLOOKUP(A5,'Download of SFDC Activation Rep'!B:B,'Download of SFDC Activation Rep'!C:C),"")</f>
        <v>GK Truckline</v>
      </c>
      <c r="L5" s="19" t="s">
        <v>54</v>
      </c>
      <c r="M5" s="28">
        <f>AVERAGE(C:C)</f>
        <v>162.5796234</v>
      </c>
    </row>
    <row r="6">
      <c r="F6" s="14"/>
      <c r="G6" s="13" t="str">
        <f t="array" ref="G6">iferror(XLOOKUP(A6,'Download of SFDC Activation Rep'!B:B,'Download of SFDC Activation Rep'!H:H),"")</f>
        <v>Active</v>
      </c>
      <c r="H6" s="13" t="str">
        <f t="array" ref="H6">iferror(xlookup(A6,'Download of SFDC Activation Rep'!B:B,'Download of SFDC Activation Rep'!L:L),"")</f>
        <v/>
      </c>
      <c r="I6" s="17" t="str">
        <f t="shared" si="2"/>
        <v>Active</v>
      </c>
      <c r="J6" s="17" t="str">
        <f t="array" ref="J6">XLOOKUP(A6,'Download of SFDC Activation Rep'!B:B,'Download of SFDC Activation Rep'!T:T)</f>
        <v>006VT00000qRtP3</v>
      </c>
      <c r="K6" s="17" t="str">
        <f t="array" ref="K6">iferror(XLOOKUP(A6,'Download of SFDC Activation Rep'!B:B,'Download of SFDC Activation Rep'!C:C),"")</f>
        <v>Nationwide Valuation Solutions, LLC</v>
      </c>
      <c r="L6" s="26"/>
      <c r="M6" s="26"/>
    </row>
    <row r="7">
      <c r="F7" s="14"/>
      <c r="G7" s="13" t="str">
        <f t="array" ref="G7">iferror(XLOOKUP(A7,'Download of SFDC Activation Rep'!B:B,'Download of SFDC Activation Rep'!H:H),"")</f>
        <v>Active</v>
      </c>
      <c r="H7" s="13" t="str">
        <f t="array" ref="H7">iferror(xlookup(A7,'Download of SFDC Activation Rep'!B:B,'Download of SFDC Activation Rep'!L:L),"")</f>
        <v/>
      </c>
      <c r="I7" s="17" t="str">
        <f t="shared" si="2"/>
        <v>Active</v>
      </c>
      <c r="J7" s="17" t="str">
        <f t="array" ref="J7">XLOOKUP(A7,'Download of SFDC Activation Rep'!B:B,'Download of SFDC Activation Rep'!T:T)</f>
        <v>006VT00000o1YIz</v>
      </c>
      <c r="K7" s="17" t="str">
        <f t="array" ref="K7">iferror(XLOOKUP(A7,'Download of SFDC Activation Rep'!B:B,'Download of SFDC Activation Rep'!C:C),"")</f>
        <v>CRNA Locum Jobs</v>
      </c>
      <c r="L7" s="19" t="s">
        <v>55</v>
      </c>
      <c r="M7" s="28">
        <f>M9/M1</f>
        <v>660.6715221</v>
      </c>
    </row>
    <row r="8">
      <c r="F8" s="34">
        <f>B8/D8</f>
        <v>0.01347682106</v>
      </c>
      <c r="G8" s="13" t="str">
        <f t="array" ref="G8">iferror(XLOOKUP(A8,'Download of SFDC Activation Rep'!B:B,'Download of SFDC Activation Rep'!H:H),"")</f>
        <v>Active</v>
      </c>
      <c r="H8" s="13" t="str">
        <f t="array" ref="H8">iferror(xlookup(A8,'Download of SFDC Activation Rep'!B:B,'Download of SFDC Activation Rep'!L:L),"")</f>
        <v/>
      </c>
      <c r="I8" s="17" t="str">
        <f t="shared" si="2"/>
        <v>Active</v>
      </c>
      <c r="J8" s="17" t="str">
        <f t="array" ref="J8">XLOOKUP(A8,'Download of SFDC Activation Rep'!B:B,'Download of SFDC Activation Rep'!T:T)</f>
        <v>006VT00000qes29</v>
      </c>
      <c r="K8" s="17" t="str">
        <f t="array" ref="K8">iferror(XLOOKUP(A8,'Download of SFDC Activation Rep'!B:B,'Download of SFDC Activation Rep'!C:C),"")</f>
        <v>Temporary Assistance Guru, Inc</v>
      </c>
      <c r="L8" s="26"/>
    </row>
    <row r="9">
      <c r="F9" s="14"/>
      <c r="G9" s="13" t="str">
        <f t="array" ref="G9">iferror(XLOOKUP(A9,'Download of SFDC Activation Rep'!B:B,'Download of SFDC Activation Rep'!H:H),"")</f>
        <v>Active</v>
      </c>
      <c r="H9" s="13" t="str">
        <f t="array" ref="H9">iferror(xlookup(A9,'Download of SFDC Activation Rep'!B:B,'Download of SFDC Activation Rep'!L:L),"")</f>
        <v/>
      </c>
      <c r="I9" s="17" t="str">
        <f t="shared" si="2"/>
        <v>Active</v>
      </c>
      <c r="J9" s="17" t="str">
        <f t="array" ref="J9">XLOOKUP(A9,'Download of SFDC Activation Rep'!B:B,'Download of SFDC Activation Rep'!T:T)</f>
        <v>006VT00000qc2Np</v>
      </c>
      <c r="K9" s="17" t="str">
        <f t="array" ref="K9">iferror(XLOOKUP(A9,'Download of SFDC Activation Rep'!B:B,'Download of SFDC Activation Rep'!C:C),"")</f>
        <v>Carismo</v>
      </c>
      <c r="L9" s="29" t="s">
        <v>42</v>
      </c>
      <c r="M9" s="28">
        <f>SUM(B:B)</f>
        <v>138741.0196</v>
      </c>
    </row>
    <row r="10">
      <c r="F10" s="34">
        <f>B10/D10</f>
        <v>0.004187638041</v>
      </c>
      <c r="G10" s="13" t="str">
        <f t="array" ref="G10">iferror(XLOOKUP(A10,'Download of SFDC Activation Rep'!B:B,'Download of SFDC Activation Rep'!H:H),"")</f>
        <v>Active</v>
      </c>
      <c r="H10" s="13" t="str">
        <f t="array" ref="H10">iferror(xlookup(A10,'Download of SFDC Activation Rep'!B:B,'Download of SFDC Activation Rep'!L:L),"")</f>
        <v/>
      </c>
      <c r="I10" s="17" t="str">
        <f t="shared" si="2"/>
        <v>Active</v>
      </c>
      <c r="J10" s="17" t="str">
        <f t="array" ref="J10">XLOOKUP(A10,'Download of SFDC Activation Rep'!B:B,'Download of SFDC Activation Rep'!T:T)</f>
        <v>006VT00000qLJJR</v>
      </c>
      <c r="K10" s="17" t="str">
        <f t="array" ref="K10">iferror(XLOOKUP(A10,'Download of SFDC Activation Rep'!B:B,'Download of SFDC Activation Rep'!C:C),"")</f>
        <v>Lyophilization Systems Inc.</v>
      </c>
    </row>
    <row r="11">
      <c r="F11" s="14"/>
      <c r="G11" s="13" t="str">
        <f t="array" ref="G11">iferror(XLOOKUP(A11,'Download of SFDC Activation Rep'!B:B,'Download of SFDC Activation Rep'!H:H),"")</f>
        <v>Active</v>
      </c>
      <c r="H11" s="13" t="str">
        <f t="array" ref="H11">iferror(xlookup(A11,'Download of SFDC Activation Rep'!B:B,'Download of SFDC Activation Rep'!L:L),"")</f>
        <v/>
      </c>
      <c r="I11" s="17" t="str">
        <f t="shared" si="2"/>
        <v>Active</v>
      </c>
      <c r="J11" s="17" t="str">
        <f t="array" ref="J11">XLOOKUP(A11,'Download of SFDC Activation Rep'!B:B,'Download of SFDC Activation Rep'!T:T)</f>
        <v>006VT00000puqcr</v>
      </c>
      <c r="K11" s="17" t="str">
        <f t="array" ref="K11">iferror(XLOOKUP(A11,'Download of SFDC Activation Rep'!B:B,'Download of SFDC Activation Rep'!C:C),"")</f>
        <v>Victory Bicycle Studio</v>
      </c>
      <c r="L11" s="29" t="s">
        <v>43</v>
      </c>
      <c r="M11" s="28">
        <f>SUM(D:D)</f>
        <v>107812011.7</v>
      </c>
    </row>
    <row r="12">
      <c r="F12" s="14"/>
      <c r="G12" s="13" t="str">
        <f t="array" ref="G12">iferror(XLOOKUP(A12,'Download of SFDC Activation Rep'!B:B,'Download of SFDC Activation Rep'!H:H),"")</f>
        <v>Active</v>
      </c>
      <c r="H12" s="13" t="str">
        <f t="array" ref="H12">iferror(xlookup(A12,'Download of SFDC Activation Rep'!B:B,'Download of SFDC Activation Rep'!L:L),"")</f>
        <v/>
      </c>
      <c r="I12" s="17" t="str">
        <f t="shared" si="2"/>
        <v>Active</v>
      </c>
      <c r="J12" s="17" t="str">
        <f t="array" ref="J12">XLOOKUP(A12,'Download of SFDC Activation Rep'!B:B,'Download of SFDC Activation Rep'!T:T)</f>
        <v>006VT00000pom8v</v>
      </c>
      <c r="K12" s="17" t="str">
        <f t="array" ref="K12">iferror(XLOOKUP(A12,'Download of SFDC Activation Rep'!B:B,'Download of SFDC Activation Rep'!C:C),"")</f>
        <v>Kloris LLC</v>
      </c>
    </row>
    <row r="13">
      <c r="F13" s="14"/>
      <c r="G13" s="13" t="str">
        <f t="array" ref="G13">iferror(XLOOKUP(A13,'Download of SFDC Activation Rep'!B:B,'Download of SFDC Activation Rep'!H:H),"")</f>
        <v>Active</v>
      </c>
      <c r="H13" s="13" t="str">
        <f t="array" ref="H13">iferror(xlookup(A13,'Download of SFDC Activation Rep'!B:B,'Download of SFDC Activation Rep'!L:L),"")</f>
        <v/>
      </c>
      <c r="I13" s="17" t="str">
        <f t="shared" si="2"/>
        <v>Active</v>
      </c>
      <c r="J13" s="17" t="str">
        <f t="array" ref="J13">XLOOKUP(A13,'Download of SFDC Activation Rep'!B:B,'Download of SFDC Activation Rep'!T:T)</f>
        <v>006VT00000phFw6</v>
      </c>
      <c r="K13" s="17" t="str">
        <f t="array" ref="K13">iferror(XLOOKUP(A13,'Download of SFDC Activation Rep'!B:B,'Download of SFDC Activation Rep'!C:C),"")</f>
        <v>Covenant Construction Group Inc</v>
      </c>
    </row>
    <row r="14">
      <c r="F14" s="14"/>
      <c r="G14" s="13" t="str">
        <f t="array" ref="G14">iferror(XLOOKUP(A14,'Download of SFDC Activation Rep'!B:B,'Download of SFDC Activation Rep'!H:H),"")</f>
        <v>Active</v>
      </c>
      <c r="H14" s="13" t="str">
        <f t="array" ref="H14">iferror(xlookup(A14,'Download of SFDC Activation Rep'!B:B,'Download of SFDC Activation Rep'!L:L),"")</f>
        <v>Active</v>
      </c>
      <c r="I14" s="17" t="str">
        <f t="shared" si="2"/>
        <v>Active</v>
      </c>
      <c r="J14" s="17" t="str">
        <f t="array" ref="J14">XLOOKUP(A14,'Download of SFDC Activation Rep'!B:B,'Download of SFDC Activation Rep'!T:T)</f>
        <v>006VT00000pude2</v>
      </c>
      <c r="K14" s="17" t="str">
        <f t="array" ref="K14">iferror(XLOOKUP(A14,'Download of SFDC Activation Rep'!B:B,'Download of SFDC Activation Rep'!C:C),"")</f>
        <v>WHITE COLLAR MEDIA</v>
      </c>
      <c r="L14" s="29" t="s">
        <v>44</v>
      </c>
      <c r="M14" s="30">
        <f>MEDIAN(E:E)</f>
        <v>20082.14</v>
      </c>
    </row>
    <row r="15">
      <c r="F15" s="14"/>
      <c r="G15" s="13" t="str">
        <f t="array" ref="G15">iferror(XLOOKUP(A15,'Download of SFDC Activation Rep'!B:B,'Download of SFDC Activation Rep'!H:H),"")</f>
        <v>Active</v>
      </c>
      <c r="H15" s="13" t="str">
        <f t="array" ref="H15">iferror(xlookup(A15,'Download of SFDC Activation Rep'!B:B,'Download of SFDC Activation Rep'!L:L),"")</f>
        <v/>
      </c>
      <c r="I15" s="17" t="str">
        <f t="shared" si="2"/>
        <v>Active</v>
      </c>
      <c r="J15" s="17" t="str">
        <f t="array" ref="J15">XLOOKUP(A15,'Download of SFDC Activation Rep'!B:B,'Download of SFDC Activation Rep'!T:T)</f>
        <v>006VT00000qMODp</v>
      </c>
      <c r="K15" s="17" t="str">
        <f t="array" ref="K15">iferror(XLOOKUP(A15,'Download of SFDC Activation Rep'!B:B,'Download of SFDC Activation Rep'!C:C),"")</f>
        <v>Willard Manufacturing</v>
      </c>
      <c r="L15" s="29" t="s">
        <v>45</v>
      </c>
      <c r="M15" s="30">
        <f>MEDIAN(C:C)</f>
        <v>49.83475</v>
      </c>
    </row>
    <row r="16">
      <c r="F16" s="34">
        <f>B16/D16</f>
        <v>0.005161287755</v>
      </c>
      <c r="G16" s="13" t="str">
        <f t="array" ref="G16">iferror(XLOOKUP(A16,'Download of SFDC Activation Rep'!B:B,'Download of SFDC Activation Rep'!H:H),"")</f>
        <v>Churned</v>
      </c>
      <c r="H16" s="13" t="str">
        <f t="array" ref="H16">iferror(xlookup(A16,'Download of SFDC Activation Rep'!B:B,'Download of SFDC Activation Rep'!L:L),"")</f>
        <v/>
      </c>
      <c r="I16" s="17" t="str">
        <f t="shared" si="2"/>
        <v>Not Active</v>
      </c>
      <c r="J16" s="17" t="str">
        <f t="array" ref="J16">XLOOKUP(A16,'Download of SFDC Activation Rep'!B:B,'Download of SFDC Activation Rep'!T:T)</f>
        <v>006VT00000ozbfN</v>
      </c>
      <c r="K16" s="17" t="str">
        <f t="array" ref="K16">iferror(XLOOKUP(A16,'Download of SFDC Activation Rep'!B:B,'Download of SFDC Activation Rep'!C:C),"")</f>
        <v>Wellness Warrior</v>
      </c>
    </row>
    <row r="17">
      <c r="F17" s="14"/>
      <c r="G17" s="13" t="str">
        <f t="array" ref="G17">iferror(XLOOKUP(A17,'Download of SFDC Activation Rep'!B:B,'Download of SFDC Activation Rep'!H:H),"")</f>
        <v>Active</v>
      </c>
      <c r="H17" s="13" t="str">
        <f t="array" ref="H17">iferror(xlookup(A17,'Download of SFDC Activation Rep'!B:B,'Download of SFDC Activation Rep'!L:L),"")</f>
        <v/>
      </c>
      <c r="I17" s="17" t="str">
        <f t="shared" si="2"/>
        <v>Active</v>
      </c>
      <c r="J17" s="17" t="str">
        <f t="array" ref="J17">XLOOKUP(A17,'Download of SFDC Activation Rep'!B:B,'Download of SFDC Activation Rep'!T:T)</f>
        <v>006VT00000owVZi</v>
      </c>
      <c r="K17" s="17" t="str">
        <f t="array" ref="K17">iferror(XLOOKUP(A17,'Download of SFDC Activation Rep'!B:B,'Download of SFDC Activation Rep'!C:C),"")</f>
        <v>Verde Recruitment LLC</v>
      </c>
    </row>
    <row r="18">
      <c r="F18" s="34">
        <f t="shared" ref="F18:F19" si="3">B18/D18</f>
        <v>0.009375018936</v>
      </c>
      <c r="G18" s="13" t="str">
        <f t="array" ref="G18">iferror(XLOOKUP(A18,'Download of SFDC Activation Rep'!B:B,'Download of SFDC Activation Rep'!H:H),"")</f>
        <v>Churned</v>
      </c>
      <c r="H18" s="13" t="str">
        <f t="array" ref="H18">iferror(xlookup(A18,'Download of SFDC Activation Rep'!B:B,'Download of SFDC Activation Rep'!L:L),"")</f>
        <v/>
      </c>
      <c r="I18" s="17" t="str">
        <f t="shared" si="2"/>
        <v>Not Active</v>
      </c>
      <c r="J18" s="17" t="str">
        <f t="array" ref="J18">XLOOKUP(A18,'Download of SFDC Activation Rep'!B:B,'Download of SFDC Activation Rep'!T:T)</f>
        <v>006VT00000p3zpZ</v>
      </c>
      <c r="K18" s="17" t="str">
        <f t="array" ref="K18">iferror(XLOOKUP(A18,'Download of SFDC Activation Rep'!B:B,'Download of SFDC Activation Rep'!C:C),"")</f>
        <v>ALM Ortho, Inc</v>
      </c>
    </row>
    <row r="19">
      <c r="F19" s="34">
        <f t="shared" si="3"/>
        <v>0.000391198605</v>
      </c>
      <c r="G19" s="13" t="str">
        <f t="array" ref="G19">iferror(XLOOKUP(A19,'Download of SFDC Activation Rep'!B:B,'Download of SFDC Activation Rep'!H:H),"")</f>
        <v>Active</v>
      </c>
      <c r="H19" s="13" t="str">
        <f t="array" ref="H19">iferror(xlookup(A19,'Download of SFDC Activation Rep'!B:B,'Download of SFDC Activation Rep'!L:L),"")</f>
        <v/>
      </c>
      <c r="I19" s="17" t="str">
        <f t="shared" si="2"/>
        <v>Active</v>
      </c>
      <c r="J19" s="17" t="str">
        <f t="array" ref="J19">XLOOKUP(A19,'Download of SFDC Activation Rep'!B:B,'Download of SFDC Activation Rep'!T:T)</f>
        <v>006VT00000owujN</v>
      </c>
      <c r="K19" s="17" t="str">
        <f t="array" ref="K19">iferror(XLOOKUP(A19,'Download of SFDC Activation Rep'!B:B,'Download of SFDC Activation Rep'!C:C),"")</f>
        <v>GATEWAY LIGHTING AND DESIGN INC</v>
      </c>
    </row>
    <row r="20">
      <c r="F20" s="14"/>
      <c r="G20" s="13" t="str">
        <f t="array" ref="G20">iferror(XLOOKUP(A20,'Download of SFDC Activation Rep'!B:B,'Download of SFDC Activation Rep'!H:H),"")</f>
        <v>Active</v>
      </c>
      <c r="H20" s="13" t="str">
        <f t="array" ref="H20">iferror(xlookup(A20,'Download of SFDC Activation Rep'!B:B,'Download of SFDC Activation Rep'!L:L),"")</f>
        <v/>
      </c>
      <c r="I20" s="17" t="str">
        <f t="shared" si="2"/>
        <v>Active</v>
      </c>
      <c r="J20" s="17" t="str">
        <f t="array" ref="J20">XLOOKUP(A20,'Download of SFDC Activation Rep'!B:B,'Download of SFDC Activation Rep'!T:T)</f>
        <v>006VT00000oiGKQ</v>
      </c>
      <c r="K20" s="17" t="str">
        <f t="array" ref="K20">iferror(XLOOKUP(A20,'Download of SFDC Activation Rep'!B:B,'Download of SFDC Activation Rep'!C:C),"")</f>
        <v>Landa Cleary Travel Co. Inc. D.B.A. Mater Dei Tours</v>
      </c>
    </row>
    <row r="21">
      <c r="F21" s="34">
        <f t="shared" ref="F21:F22" si="4">B21/D21</f>
        <v>0.0009179823924</v>
      </c>
      <c r="G21" s="13" t="str">
        <f t="array" ref="G21">iferror(XLOOKUP(A21,'Download of SFDC Activation Rep'!B:B,'Download of SFDC Activation Rep'!H:H),"")</f>
        <v>Inactive</v>
      </c>
      <c r="H21" s="13" t="str">
        <f t="array" ref="H21">iferror(xlookup(A21,'Download of SFDC Activation Rep'!B:B,'Download of SFDC Activation Rep'!L:L),"")</f>
        <v/>
      </c>
      <c r="I21" s="17" t="str">
        <f t="shared" si="2"/>
        <v>Not Active</v>
      </c>
      <c r="J21" s="17" t="str">
        <f t="array" ref="J21">XLOOKUP(A21,'Download of SFDC Activation Rep'!B:B,'Download of SFDC Activation Rep'!T:T)</f>
        <v>006VT00000oxFRG</v>
      </c>
      <c r="K21" s="17" t="str">
        <f t="array" ref="K21">iferror(XLOOKUP(A21,'Download of SFDC Activation Rep'!B:B,'Download of SFDC Activation Rep'!C:C),"")</f>
        <v>Paragon Oilfield Products</v>
      </c>
    </row>
    <row r="22">
      <c r="F22" s="34">
        <f t="shared" si="4"/>
        <v>0.005253765586</v>
      </c>
      <c r="G22" s="13" t="str">
        <f t="array" ref="G22">iferror(XLOOKUP(A22,'Download of SFDC Activation Rep'!B:B,'Download of SFDC Activation Rep'!H:H),"")</f>
        <v>Churned</v>
      </c>
      <c r="H22" s="13" t="str">
        <f t="array" ref="H22">iferror(xlookup(A22,'Download of SFDC Activation Rep'!B:B,'Download of SFDC Activation Rep'!L:L),"")</f>
        <v/>
      </c>
      <c r="I22" s="17" t="str">
        <f t="shared" si="2"/>
        <v>Not Active</v>
      </c>
      <c r="J22" s="17" t="str">
        <f t="array" ref="J22">XLOOKUP(A22,'Download of SFDC Activation Rep'!B:B,'Download of SFDC Activation Rep'!T:T)</f>
        <v>006VT00000omtTe</v>
      </c>
      <c r="K22" s="17" t="str">
        <f t="array" ref="K22">iferror(XLOOKUP(A22,'Download of SFDC Activation Rep'!B:B,'Download of SFDC Activation Rep'!C:C),"")</f>
        <v>Plat4orm</v>
      </c>
      <c r="L22" s="29"/>
      <c r="M22" s="35"/>
    </row>
    <row r="23">
      <c r="F23" s="14"/>
      <c r="G23" s="13" t="str">
        <f t="array" ref="G23">iferror(XLOOKUP(A23,'Download of SFDC Activation Rep'!B:B,'Download of SFDC Activation Rep'!H:H),"")</f>
        <v>Active</v>
      </c>
      <c r="H23" s="13" t="str">
        <f t="array" ref="H23">iferror(xlookup(A23,'Download of SFDC Activation Rep'!B:B,'Download of SFDC Activation Rep'!L:L),"")</f>
        <v>Active</v>
      </c>
      <c r="I23" s="17" t="str">
        <f t="shared" si="2"/>
        <v>Active</v>
      </c>
      <c r="J23" s="17" t="str">
        <f t="array" ref="J23">XLOOKUP(A23,'Download of SFDC Activation Rep'!B:B,'Download of SFDC Activation Rep'!T:T)</f>
        <v>006VT00000oaqEc</v>
      </c>
      <c r="K23" s="17" t="str">
        <f t="array" ref="K23">iferror(XLOOKUP(A23,'Download of SFDC Activation Rep'!B:B,'Download of SFDC Activation Rep'!C:C),"")</f>
        <v>Bauer Home Furnishings</v>
      </c>
    </row>
    <row r="24">
      <c r="F24" s="34">
        <f t="shared" ref="F24:F27" si="5">B24/D24</f>
        <v>0.007840739279</v>
      </c>
      <c r="G24" s="13" t="str">
        <f t="array" ref="G24">iferror(XLOOKUP(A24,'Download of SFDC Activation Rep'!B:B,'Download of SFDC Activation Rep'!H:H),"")</f>
        <v>Churned</v>
      </c>
      <c r="H24" s="13" t="str">
        <f t="array" ref="H24">iferror(xlookup(A24,'Download of SFDC Activation Rep'!B:B,'Download of SFDC Activation Rep'!L:L),"")</f>
        <v/>
      </c>
      <c r="I24" s="17" t="str">
        <f t="shared" si="2"/>
        <v>Not Active</v>
      </c>
      <c r="J24" s="17" t="str">
        <f t="array" ref="J24">XLOOKUP(A24,'Download of SFDC Activation Rep'!B:B,'Download of SFDC Activation Rep'!T:T)</f>
        <v>006VT00000o3k37</v>
      </c>
      <c r="K24" s="17" t="str">
        <f t="array" ref="K24">iferror(XLOOKUP(A24,'Download of SFDC Activation Rep'!B:B,'Download of SFDC Activation Rep'!C:C),"")</f>
        <v>Robert Davies  Home Improvement LLC</v>
      </c>
    </row>
    <row r="25">
      <c r="F25" s="34">
        <f t="shared" si="5"/>
        <v>0.0001281838826</v>
      </c>
      <c r="G25" s="13" t="str">
        <f t="array" ref="G25">iferror(XLOOKUP(A25,'Download of SFDC Activation Rep'!B:B,'Download of SFDC Activation Rep'!H:H),"")</f>
        <v>Active</v>
      </c>
      <c r="H25" s="13" t="str">
        <f t="array" ref="H25">iferror(xlookup(A25,'Download of SFDC Activation Rep'!B:B,'Download of SFDC Activation Rep'!L:L),"")</f>
        <v/>
      </c>
      <c r="I25" s="17" t="str">
        <f t="shared" si="2"/>
        <v>Active</v>
      </c>
      <c r="J25" s="17" t="str">
        <f t="array" ref="J25">XLOOKUP(A25,'Download of SFDC Activation Rep'!B:B,'Download of SFDC Activation Rep'!T:T)</f>
        <v>006VT00000nRBzG</v>
      </c>
      <c r="K25" s="17" t="str">
        <f t="array" ref="K25">iferror(XLOOKUP(A25,'Download of SFDC Activation Rep'!B:B,'Download of SFDC Activation Rep'!C:C),"")</f>
        <v>TAVco Holdings I LLC</v>
      </c>
    </row>
    <row r="26">
      <c r="F26" s="34">
        <f t="shared" si="5"/>
        <v>0.009095353186</v>
      </c>
      <c r="G26" s="13" t="str">
        <f t="array" ref="G26">iferror(XLOOKUP(A26,'Download of SFDC Activation Rep'!B:B,'Download of SFDC Activation Rep'!H:H),"")</f>
        <v>Active</v>
      </c>
      <c r="H26" s="13" t="str">
        <f t="array" ref="H26">iferror(xlookup(A26,'Download of SFDC Activation Rep'!B:B,'Download of SFDC Activation Rep'!L:L),"")</f>
        <v/>
      </c>
      <c r="I26" s="17" t="str">
        <f t="shared" si="2"/>
        <v>Active</v>
      </c>
      <c r="J26" s="17" t="str">
        <f t="array" ref="J26">XLOOKUP(A26,'Download of SFDC Activation Rep'!B:B,'Download of SFDC Activation Rep'!T:T)</f>
        <v>006VT00000ozlGX</v>
      </c>
      <c r="K26" s="17" t="str">
        <f t="array" ref="K26">iferror(XLOOKUP(A26,'Download of SFDC Activation Rep'!B:B,'Download of SFDC Activation Rep'!C:C),"")</f>
        <v>Shree Satya Sai LLC</v>
      </c>
    </row>
    <row r="27">
      <c r="F27" s="34">
        <f t="shared" si="5"/>
        <v>0.003351117278</v>
      </c>
      <c r="G27" s="13" t="str">
        <f t="array" ref="G27">iferror(XLOOKUP(A27,'Download of SFDC Activation Rep'!B:B,'Download of SFDC Activation Rep'!H:H),"")</f>
        <v>Active</v>
      </c>
      <c r="H27" s="13" t="str">
        <f t="array" ref="H27">iferror(xlookup(A27,'Download of SFDC Activation Rep'!B:B,'Download of SFDC Activation Rep'!L:L),"")</f>
        <v/>
      </c>
      <c r="I27" s="17" t="str">
        <f t="shared" si="2"/>
        <v>Active</v>
      </c>
      <c r="J27" s="17" t="str">
        <f t="array" ref="J27">XLOOKUP(A27,'Download of SFDC Activation Rep'!B:B,'Download of SFDC Activation Rep'!T:T)</f>
        <v>006VT00000owkyd</v>
      </c>
      <c r="K27" s="17" t="str">
        <f t="array" ref="K27">iferror(XLOOKUP(A27,'Download of SFDC Activation Rep'!B:B,'Download of SFDC Activation Rep'!C:C),"")</f>
        <v>Shri Krishna Inc</v>
      </c>
      <c r="L27" s="14"/>
    </row>
    <row r="28">
      <c r="F28" s="14"/>
      <c r="G28" s="13" t="str">
        <f t="array" ref="G28">iferror(XLOOKUP(A28,'Download of SFDC Activation Rep'!B:B,'Download of SFDC Activation Rep'!H:H),"")</f>
        <v>Active</v>
      </c>
      <c r="H28" s="13" t="str">
        <f t="array" ref="H28">iferror(xlookup(A28,'Download of SFDC Activation Rep'!B:B,'Download of SFDC Activation Rep'!L:L),"")</f>
        <v/>
      </c>
      <c r="I28" s="17" t="str">
        <f t="shared" si="2"/>
        <v>Active</v>
      </c>
      <c r="J28" s="17" t="str">
        <f t="array" ref="J28">XLOOKUP(A28,'Download of SFDC Activation Rep'!B:B,'Download of SFDC Activation Rep'!T:T)</f>
        <v>006VT00000nyDe5</v>
      </c>
      <c r="K28" s="17" t="str">
        <f t="array" ref="K28">iferror(XLOOKUP(A28,'Download of SFDC Activation Rep'!B:B,'Download of SFDC Activation Rep'!C:C),"")</f>
        <v>Abecca Grace, LLC</v>
      </c>
    </row>
    <row r="29">
      <c r="F29" s="34">
        <f t="shared" ref="F29:F30" si="6">B29/D29</f>
        <v>0.001398516532</v>
      </c>
      <c r="G29" s="13" t="str">
        <f t="array" ref="G29">iferror(XLOOKUP(A29,'Download of SFDC Activation Rep'!B:B,'Download of SFDC Activation Rep'!H:H),"")</f>
        <v>Inactive</v>
      </c>
      <c r="H29" s="13" t="str">
        <f t="array" ref="H29">iferror(xlookup(A29,'Download of SFDC Activation Rep'!B:B,'Download of SFDC Activation Rep'!L:L),"")</f>
        <v/>
      </c>
      <c r="I29" s="17" t="str">
        <f t="shared" si="2"/>
        <v>Not Active</v>
      </c>
      <c r="J29" s="17" t="str">
        <f t="array" ref="J29">XLOOKUP(A29,'Download of SFDC Activation Rep'!B:B,'Download of SFDC Activation Rep'!T:T)</f>
        <v>006VT00000oHBVJ</v>
      </c>
      <c r="K29" s="17" t="str">
        <f t="array" ref="K29">iferror(XLOOKUP(A29,'Download of SFDC Activation Rep'!B:B,'Download of SFDC Activation Rep'!C:C),"")</f>
        <v>Navi Transport Services LLC</v>
      </c>
    </row>
    <row r="30">
      <c r="F30" s="34">
        <f t="shared" si="6"/>
        <v>-0.00005555555556</v>
      </c>
      <c r="G30" s="13" t="str">
        <f t="array" ref="G30">iferror(XLOOKUP(A30,'Download of SFDC Activation Rep'!B:B,'Download of SFDC Activation Rep'!H:H),"")</f>
        <v>Churned</v>
      </c>
      <c r="H30" s="13" t="str">
        <f t="array" ref="H30">iferror(xlookup(A30,'Download of SFDC Activation Rep'!B:B,'Download of SFDC Activation Rep'!L:L),"")</f>
        <v/>
      </c>
      <c r="I30" s="17" t="str">
        <f t="shared" si="2"/>
        <v>Not Active</v>
      </c>
      <c r="J30" s="17" t="str">
        <f t="array" ref="J30">XLOOKUP(A30,'Download of SFDC Activation Rep'!B:B,'Download of SFDC Activation Rep'!T:T)</f>
        <v>006VT00000oarfO</v>
      </c>
      <c r="K30" s="17" t="str">
        <f t="array" ref="K30">iferror(XLOOKUP(A30,'Download of SFDC Activation Rep'!B:B,'Download of SFDC Activation Rep'!C:C),"")</f>
        <v>DRD Builders Inc</v>
      </c>
    </row>
    <row r="31">
      <c r="F31" s="14"/>
      <c r="G31" s="13" t="str">
        <f t="array" ref="G31">iferror(XLOOKUP(A31,'Download of SFDC Activation Rep'!B:B,'Download of SFDC Activation Rep'!H:H),"")</f>
        <v>Active</v>
      </c>
      <c r="H31" s="13" t="str">
        <f t="array" ref="H31">iferror(xlookup(A31,'Download of SFDC Activation Rep'!B:B,'Download of SFDC Activation Rep'!L:L),"")</f>
        <v/>
      </c>
      <c r="I31" s="17" t="str">
        <f t="shared" si="2"/>
        <v>Active</v>
      </c>
      <c r="J31" s="17" t="str">
        <f t="array" ref="J31">XLOOKUP(A31,'Download of SFDC Activation Rep'!B:B,'Download of SFDC Activation Rep'!T:T)</f>
        <v>006VT00000n1G3L</v>
      </c>
      <c r="K31" s="17" t="str">
        <f t="array" ref="K31">iferror(XLOOKUP(A31,'Download of SFDC Activation Rep'!B:B,'Download of SFDC Activation Rep'!C:C),"")</f>
        <v>Shree Group</v>
      </c>
    </row>
    <row r="32">
      <c r="F32" s="34">
        <f>B32/D32</f>
        <v>0.005327153203</v>
      </c>
      <c r="G32" s="13" t="str">
        <f t="array" ref="G32">iferror(XLOOKUP(A32,'Download of SFDC Activation Rep'!B:B,'Download of SFDC Activation Rep'!H:H),"")</f>
        <v>Active</v>
      </c>
      <c r="H32" s="13" t="str">
        <f t="array" ref="H32">iferror(xlookup(A32,'Download of SFDC Activation Rep'!B:B,'Download of SFDC Activation Rep'!L:L),"")</f>
        <v/>
      </c>
      <c r="I32" s="17" t="str">
        <f t="shared" si="2"/>
        <v>Active</v>
      </c>
      <c r="J32" s="17" t="str">
        <f t="array" ref="J32">XLOOKUP(A32,'Download of SFDC Activation Rep'!B:B,'Download of SFDC Activation Rep'!T:T)</f>
        <v>006VT00000o0w8t</v>
      </c>
      <c r="K32" s="17" t="str">
        <f t="array" ref="K32">iferror(XLOOKUP(A32,'Download of SFDC Activation Rep'!B:B,'Download of SFDC Activation Rep'!C:C),"")</f>
        <v>JR Prime Pro Construction, LLC</v>
      </c>
    </row>
    <row r="33">
      <c r="F33" s="14"/>
      <c r="G33" s="13" t="str">
        <f t="array" ref="G33">iferror(XLOOKUP(A33,'Download of SFDC Activation Rep'!B:B,'Download of SFDC Activation Rep'!H:H),"")</f>
        <v>Active</v>
      </c>
      <c r="H33" s="13" t="str">
        <f t="array" ref="H33">iferror(xlookup(A33,'Download of SFDC Activation Rep'!B:B,'Download of SFDC Activation Rep'!L:L),"")</f>
        <v/>
      </c>
      <c r="I33" s="17" t="str">
        <f t="shared" si="2"/>
        <v>Active</v>
      </c>
      <c r="J33" s="17" t="str">
        <f t="array" ref="J33">XLOOKUP(A33,'Download of SFDC Activation Rep'!B:B,'Download of SFDC Activation Rep'!T:T)</f>
        <v>006VT00000niYeT</v>
      </c>
      <c r="K33" s="17" t="str">
        <f t="array" ref="K33">iferror(XLOOKUP(A33,'Download of SFDC Activation Rep'!B:B,'Download of SFDC Activation Rep'!C:C),"")</f>
        <v>Brian Schmidt Builder</v>
      </c>
    </row>
    <row r="34">
      <c r="F34" s="34">
        <f>B34/D34</f>
        <v>0.002988895539</v>
      </c>
      <c r="G34" s="13" t="str">
        <f t="array" ref="G34">iferror(XLOOKUP(A34,'Download of SFDC Activation Rep'!B:B,'Download of SFDC Activation Rep'!H:H),"")</f>
        <v/>
      </c>
      <c r="H34" s="13" t="str">
        <f t="array" ref="H34">iferror(xlookup(A34,'Download of SFDC Activation Rep'!B:B,'Download of SFDC Activation Rep'!L:L),"")</f>
        <v>Active</v>
      </c>
      <c r="I34" s="17" t="str">
        <f t="shared" si="2"/>
        <v>Active</v>
      </c>
      <c r="J34" s="17" t="str">
        <f t="array" ref="J34">XLOOKUP(A34,'Download of SFDC Activation Rep'!B:B,'Download of SFDC Activation Rep'!T:T)</f>
        <v>006VT00000oHAFu</v>
      </c>
      <c r="K34" s="17" t="str">
        <f t="array" ref="K34">iferror(XLOOKUP(A34,'Download of SFDC Activation Rep'!B:B,'Download of SFDC Activation Rep'!C:C),"")</f>
        <v>NOFD Firewatch Detail</v>
      </c>
    </row>
    <row r="35">
      <c r="F35" s="14"/>
      <c r="G35" s="13" t="str">
        <f t="array" ref="G35">iferror(XLOOKUP(A35,'Download of SFDC Activation Rep'!B:B,'Download of SFDC Activation Rep'!H:H),"")</f>
        <v>Active</v>
      </c>
      <c r="H35" s="13" t="str">
        <f t="array" ref="H35">iferror(xlookup(A35,'Download of SFDC Activation Rep'!B:B,'Download of SFDC Activation Rep'!L:L),"")</f>
        <v/>
      </c>
      <c r="I35" s="17" t="str">
        <f t="shared" si="2"/>
        <v>Active</v>
      </c>
      <c r="J35" s="17" t="str">
        <f t="array" ref="J35">XLOOKUP(A35,'Download of SFDC Activation Rep'!B:B,'Download of SFDC Activation Rep'!T:T)</f>
        <v>006VT00000niEUT</v>
      </c>
      <c r="K35" s="17" t="str">
        <f t="array" ref="K35">iferror(XLOOKUP(A35,'Download of SFDC Activation Rep'!B:B,'Download of SFDC Activation Rep'!C:C),"")</f>
        <v>K2 Parts Inc</v>
      </c>
    </row>
    <row r="36">
      <c r="F36" s="14"/>
      <c r="G36" s="13" t="str">
        <f t="array" ref="G36">iferror(XLOOKUP(A36,'Download of SFDC Activation Rep'!B:B,'Download of SFDC Activation Rep'!H:H),"")</f>
        <v>Active</v>
      </c>
      <c r="H36" s="13" t="str">
        <f t="array" ref="H36">iferror(xlookup(A36,'Download of SFDC Activation Rep'!B:B,'Download of SFDC Activation Rep'!L:L),"")</f>
        <v/>
      </c>
      <c r="I36" s="17" t="str">
        <f t="shared" si="2"/>
        <v>Active</v>
      </c>
      <c r="J36" s="17" t="str">
        <f t="array" ref="J36">XLOOKUP(A36,'Download of SFDC Activation Rep'!B:B,'Download of SFDC Activation Rep'!T:T)</f>
        <v>006VT00000mhbv7</v>
      </c>
      <c r="K36" s="17" t="str">
        <f t="array" ref="K36">iferror(XLOOKUP(A36,'Download of SFDC Activation Rep'!B:B,'Download of SFDC Activation Rep'!C:C),"")</f>
        <v>YRS LLC</v>
      </c>
    </row>
    <row r="37">
      <c r="F37" s="14"/>
      <c r="G37" s="13" t="str">
        <f t="array" ref="G37">iferror(XLOOKUP(A37,'Download of SFDC Activation Rep'!B:B,'Download of SFDC Activation Rep'!H:H),"")</f>
        <v/>
      </c>
      <c r="H37" s="13" t="str">
        <f t="array" ref="H37">iferror(xlookup(A37,'Download of SFDC Activation Rep'!B:B,'Download of SFDC Activation Rep'!L:L),"")</f>
        <v>Active</v>
      </c>
      <c r="I37" s="17" t="str">
        <f t="shared" si="2"/>
        <v>Active</v>
      </c>
      <c r="J37" s="17" t="str">
        <f t="array" ref="J37">XLOOKUP(A37,'Download of SFDC Activation Rep'!B:B,'Download of SFDC Activation Rep'!T:T)</f>
        <v>006VT00000n1i61</v>
      </c>
      <c r="K37" s="17" t="str">
        <f t="array" ref="K37">iferror(XLOOKUP(A37,'Download of SFDC Activation Rep'!B:B,'Download of SFDC Activation Rep'!C:C),"")</f>
        <v>Placewise LLC</v>
      </c>
    </row>
    <row r="38">
      <c r="F38" s="14"/>
      <c r="G38" s="13" t="str">
        <f t="array" ref="G38">iferror(XLOOKUP(A38,'Download of SFDC Activation Rep'!B:B,'Download of SFDC Activation Rep'!H:H),"")</f>
        <v/>
      </c>
      <c r="H38" s="13" t="str">
        <f t="array" ref="H38">iferror(xlookup(A38,'Download of SFDC Activation Rep'!B:B,'Download of SFDC Activation Rep'!L:L),"")</f>
        <v>Churned</v>
      </c>
      <c r="I38" s="17" t="str">
        <f t="shared" si="2"/>
        <v>Not Active</v>
      </c>
      <c r="J38" s="17" t="str">
        <f t="array" ref="J38">XLOOKUP(A38,'Download of SFDC Activation Rep'!B:B,'Download of SFDC Activation Rep'!T:T)</f>
        <v>006UU00000NTaFm</v>
      </c>
      <c r="K38" s="17" t="str">
        <f t="array" ref="K38">iferror(XLOOKUP(A38,'Download of SFDC Activation Rep'!B:B,'Download of SFDC Activation Rep'!C:C),"")</f>
        <v>GUBER LLC</v>
      </c>
    </row>
    <row r="39">
      <c r="F39" s="34">
        <f t="shared" ref="F39:F40" si="7">B39/D39</f>
        <v>0.004855310078</v>
      </c>
      <c r="G39" s="13" t="str">
        <f t="array" ref="G39">iferror(XLOOKUP(A39,'Download of SFDC Activation Rep'!B:B,'Download of SFDC Activation Rep'!H:H),"")</f>
        <v/>
      </c>
      <c r="H39" s="13" t="str">
        <f t="array" ref="H39">iferror(xlookup(A39,'Download of SFDC Activation Rep'!B:B,'Download of SFDC Activation Rep'!L:L),"")</f>
        <v>Active</v>
      </c>
      <c r="I39" s="17" t="str">
        <f t="shared" si="2"/>
        <v>Active</v>
      </c>
      <c r="J39" s="17" t="str">
        <f t="array" ref="J39">XLOOKUP(A39,'Download of SFDC Activation Rep'!B:B,'Download of SFDC Activation Rep'!T:T)</f>
        <v>006VT00000o0NO1</v>
      </c>
      <c r="K39" s="17" t="str">
        <f t="array" ref="K39">iferror(XLOOKUP(A39,'Download of SFDC Activation Rep'!B:B,'Download of SFDC Activation Rep'!C:C),"")</f>
        <v>Guber Sports Llc</v>
      </c>
      <c r="L39" s="29" t="s">
        <v>43</v>
      </c>
      <c r="M39" s="35" t="str">
        <f t="array" ref="M39">XLOOKUP("Grand Total",A:A,D:D)</f>
        <v>#N/A</v>
      </c>
    </row>
    <row r="40">
      <c r="F40" s="34">
        <f t="shared" si="7"/>
        <v>0.001418883815</v>
      </c>
      <c r="G40" s="13" t="str">
        <f t="array" ref="G40">iferror(XLOOKUP(A40,'Download of SFDC Activation Rep'!B:B,'Download of SFDC Activation Rep'!H:H),"")</f>
        <v>Active</v>
      </c>
      <c r="H40" s="13" t="str">
        <f t="array" ref="H40">iferror(xlookup(A40,'Download of SFDC Activation Rep'!B:B,'Download of SFDC Activation Rep'!L:L),"")</f>
        <v/>
      </c>
      <c r="I40" s="17" t="str">
        <f t="shared" si="2"/>
        <v>Active</v>
      </c>
      <c r="J40" s="17" t="str">
        <f t="array" ref="J40">XLOOKUP(A40,'Download of SFDC Activation Rep'!B:B,'Download of SFDC Activation Rep'!T:T)</f>
        <v>006VT00000nhlvV</v>
      </c>
      <c r="K40" s="17" t="str">
        <f t="array" ref="K40">iferror(XLOOKUP(A40,'Download of SFDC Activation Rep'!B:B,'Download of SFDC Activation Rep'!C:C),"")</f>
        <v>Island Containers</v>
      </c>
    </row>
    <row r="41">
      <c r="F41" s="14"/>
      <c r="G41" s="13" t="str">
        <f t="array" ref="G41">iferror(XLOOKUP(A41,'Download of SFDC Activation Rep'!B:B,'Download of SFDC Activation Rep'!H:H),"")</f>
        <v>Active</v>
      </c>
      <c r="H41" s="13" t="str">
        <f t="array" ref="H41">iferror(xlookup(A41,'Download of SFDC Activation Rep'!B:B,'Download of SFDC Activation Rep'!L:L),"")</f>
        <v/>
      </c>
      <c r="I41" s="17" t="str">
        <f t="shared" si="2"/>
        <v>Active</v>
      </c>
      <c r="J41" s="17" t="str">
        <f t="array" ref="J41">XLOOKUP(A41,'Download of SFDC Activation Rep'!B:B,'Download of SFDC Activation Rep'!T:T)</f>
        <v>006VT00000m8uPZ</v>
      </c>
      <c r="K41" s="17" t="str">
        <f t="array" ref="K41">iferror(XLOOKUP(A41,'Download of SFDC Activation Rep'!B:B,'Download of SFDC Activation Rep'!C:C),"")</f>
        <v>St George Spirits</v>
      </c>
    </row>
    <row r="42">
      <c r="F42" s="34">
        <f>B42/D42</f>
        <v>0.00507017</v>
      </c>
      <c r="G42" s="13" t="str">
        <f t="array" ref="G42">iferror(XLOOKUP(A42,'Download of SFDC Activation Rep'!B:B,'Download of SFDC Activation Rep'!H:H),"")</f>
        <v>Active</v>
      </c>
      <c r="H42" s="13" t="str">
        <f t="array" ref="H42">iferror(xlookup(A42,'Download of SFDC Activation Rep'!B:B,'Download of SFDC Activation Rep'!L:L),"")</f>
        <v/>
      </c>
      <c r="I42" s="17" t="str">
        <f t="shared" si="2"/>
        <v>Active</v>
      </c>
      <c r="J42" s="17" t="str">
        <f t="array" ref="J42">XLOOKUP(A42,'Download of SFDC Activation Rep'!B:B,'Download of SFDC Activation Rep'!T:T)</f>
        <v>006VT00000sgdkJ</v>
      </c>
      <c r="K42" s="17" t="str">
        <f t="array" ref="K42">iferror(XLOOKUP(A42,'Download of SFDC Activation Rep'!B:B,'Download of SFDC Activation Rep'!C:C),"")</f>
        <v>Buyers Choice USA</v>
      </c>
    </row>
    <row r="43">
      <c r="F43" s="14"/>
      <c r="G43" s="13" t="str">
        <f t="array" ref="G43">iferror(XLOOKUP(A43,'Download of SFDC Activation Rep'!B:B,'Download of SFDC Activation Rep'!H:H),"")</f>
        <v/>
      </c>
      <c r="H43" s="13" t="str">
        <f t="array" ref="H43">iferror(xlookup(A43,'Download of SFDC Activation Rep'!B:B,'Download of SFDC Activation Rep'!L:L),"")</f>
        <v>Active</v>
      </c>
      <c r="I43" s="17" t="str">
        <f t="shared" si="2"/>
        <v>Active</v>
      </c>
      <c r="J43" s="17" t="str">
        <f t="array" ref="J43">XLOOKUP(A43,'Download of SFDC Activation Rep'!B:B,'Download of SFDC Activation Rep'!T:T)</f>
        <v>006VT00000moks5</v>
      </c>
      <c r="K43" s="17" t="str">
        <f t="array" ref="K43">iferror(XLOOKUP(A43,'Download of SFDC Activation Rep'!B:B,'Download of SFDC Activation Rep'!C:C),"")</f>
        <v>Cross Engineering LLC</v>
      </c>
    </row>
    <row r="44">
      <c r="F44" s="14"/>
      <c r="G44" s="13" t="str">
        <f t="array" ref="G44">iferror(XLOOKUP(A44,'Download of SFDC Activation Rep'!B:B,'Download of SFDC Activation Rep'!H:H),"")</f>
        <v/>
      </c>
      <c r="H44" s="13" t="str">
        <f t="array" ref="H44">iferror(xlookup(A44,'Download of SFDC Activation Rep'!B:B,'Download of SFDC Activation Rep'!L:L),"")</f>
        <v>Active</v>
      </c>
      <c r="I44" s="17" t="str">
        <f t="shared" si="2"/>
        <v>Active</v>
      </c>
      <c r="J44" s="17" t="str">
        <f t="array" ref="J44">XLOOKUP(A44,'Download of SFDC Activation Rep'!B:B,'Download of SFDC Activation Rep'!T:T)</f>
        <v>006VT00000mMU2D</v>
      </c>
      <c r="K44" s="17" t="str">
        <f t="array" ref="K44">iferror(XLOOKUP(A44,'Download of SFDC Activation Rep'!B:B,'Download of SFDC Activation Rep'!C:C),"")</f>
        <v>Advance Displays, Inc.</v>
      </c>
    </row>
    <row r="45">
      <c r="F45" s="34">
        <f>B45/D45</f>
        <v>0.003686005639</v>
      </c>
      <c r="G45" s="13" t="str">
        <f t="array" ref="G45">iferror(XLOOKUP(A45,'Download of SFDC Activation Rep'!B:B,'Download of SFDC Activation Rep'!H:H),"")</f>
        <v>Active</v>
      </c>
      <c r="H45" s="13" t="str">
        <f t="array" ref="H45">iferror(xlookup(A45,'Download of SFDC Activation Rep'!B:B,'Download of SFDC Activation Rep'!L:L),"")</f>
        <v/>
      </c>
      <c r="I45" s="17" t="str">
        <f t="shared" si="2"/>
        <v>Active</v>
      </c>
      <c r="J45" s="17" t="str">
        <f t="array" ref="J45">XLOOKUP(A45,'Download of SFDC Activation Rep'!B:B,'Download of SFDC Activation Rep'!T:T)</f>
        <v>006VT00000sgdkK</v>
      </c>
      <c r="K45" s="17" t="str">
        <f t="array" ref="K45">iferror(XLOOKUP(A45,'Download of SFDC Activation Rep'!B:B,'Download of SFDC Activation Rep'!C:C),"")</f>
        <v>HTT Cardmax Company</v>
      </c>
    </row>
    <row r="46">
      <c r="F46" s="14"/>
      <c r="G46" s="13" t="str">
        <f t="array" ref="G46">iferror(XLOOKUP(A46,'Download of SFDC Activation Rep'!B:B,'Download of SFDC Activation Rep'!H:H),"")</f>
        <v>Active</v>
      </c>
      <c r="H46" s="13" t="str">
        <f t="array" ref="H46">iferror(xlookup(A46,'Download of SFDC Activation Rep'!B:B,'Download of SFDC Activation Rep'!L:L),"")</f>
        <v>Active</v>
      </c>
      <c r="I46" s="17" t="str">
        <f t="shared" si="2"/>
        <v>Active</v>
      </c>
      <c r="J46" s="17" t="str">
        <f t="array" ref="J46">XLOOKUP(A46,'Download of SFDC Activation Rep'!B:B,'Download of SFDC Activation Rep'!T:T)</f>
        <v>006UU00000NKOvN</v>
      </c>
      <c r="K46" s="17" t="str">
        <f t="array" ref="K46">iferror(XLOOKUP(A46,'Download of SFDC Activation Rep'!B:B,'Download of SFDC Activation Rep'!C:C),"")</f>
        <v>Performance Supply LLC</v>
      </c>
    </row>
    <row r="47">
      <c r="F47" s="14"/>
      <c r="G47" s="13" t="str">
        <f t="array" ref="G47">iferror(XLOOKUP(A47,'Download of SFDC Activation Rep'!B:B,'Download of SFDC Activation Rep'!H:H),"")</f>
        <v>Active</v>
      </c>
      <c r="H47" s="13" t="str">
        <f t="array" ref="H47">iferror(xlookup(A47,'Download of SFDC Activation Rep'!B:B,'Download of SFDC Activation Rep'!L:L),"")</f>
        <v/>
      </c>
      <c r="I47" s="17" t="str">
        <f t="shared" si="2"/>
        <v>Active</v>
      </c>
      <c r="J47" s="17" t="str">
        <f t="array" ref="J47">XLOOKUP(A47,'Download of SFDC Activation Rep'!B:B,'Download of SFDC Activation Rep'!T:T)</f>
        <v>006VT00000lSjgf</v>
      </c>
      <c r="K47" s="17" t="str">
        <f t="array" ref="K47">iferror(XLOOKUP(A47,'Download of SFDC Activation Rep'!B:B,'Download of SFDC Activation Rep'!C:C),"")</f>
        <v>Vertex Holdings</v>
      </c>
    </row>
    <row r="48">
      <c r="F48" s="34">
        <f t="shared" ref="F48:F49" si="8">B48/D48</f>
        <v>0.01281652371</v>
      </c>
      <c r="G48" s="13" t="str">
        <f t="array" ref="G48">iferror(XLOOKUP(A48,'Download of SFDC Activation Rep'!B:B,'Download of SFDC Activation Rep'!H:H),"")</f>
        <v>Active</v>
      </c>
      <c r="H48" s="13" t="str">
        <f t="array" ref="H48">iferror(xlookup(A48,'Download of SFDC Activation Rep'!B:B,'Download of SFDC Activation Rep'!L:L),"")</f>
        <v/>
      </c>
      <c r="I48" s="17" t="str">
        <f t="shared" si="2"/>
        <v>Active</v>
      </c>
      <c r="J48" s="17" t="str">
        <f t="array" ref="J48">XLOOKUP(A48,'Download of SFDC Activation Rep'!B:B,'Download of SFDC Activation Rep'!T:T)</f>
        <v>006VT00000o0Lin</v>
      </c>
      <c r="K48" s="17" t="str">
        <f t="array" ref="K48">iferror(XLOOKUP(A48,'Download of SFDC Activation Rep'!B:B,'Download of SFDC Activation Rep'!C:C),"")</f>
        <v>Paine Group, Inc</v>
      </c>
    </row>
    <row r="49">
      <c r="F49" s="34">
        <f t="shared" si="8"/>
        <v>0.002278966703</v>
      </c>
      <c r="G49" s="13" t="str">
        <f t="array" ref="G49">iferror(XLOOKUP(A49,'Download of SFDC Activation Rep'!B:B,'Download of SFDC Activation Rep'!H:H),"")</f>
        <v>Active</v>
      </c>
      <c r="H49" s="13" t="str">
        <f t="array" ref="H49">iferror(xlookup(A49,'Download of SFDC Activation Rep'!B:B,'Download of SFDC Activation Rep'!L:L),"")</f>
        <v/>
      </c>
      <c r="I49" s="17" t="str">
        <f t="shared" si="2"/>
        <v>Active</v>
      </c>
      <c r="J49" s="17" t="str">
        <f t="array" ref="J49">XLOOKUP(A49,'Download of SFDC Activation Rep'!B:B,'Download of SFDC Activation Rep'!T:T)</f>
        <v>006VT00000mBkrt</v>
      </c>
      <c r="K49" s="17" t="str">
        <f t="array" ref="K49">iferror(XLOOKUP(A49,'Download of SFDC Activation Rep'!B:B,'Download of SFDC Activation Rep'!C:C),"")</f>
        <v>Beyond Pickleball LLC</v>
      </c>
    </row>
    <row r="50">
      <c r="F50" s="14"/>
      <c r="G50" s="13" t="str">
        <f t="array" ref="G50">iferror(XLOOKUP(A50,'Download of SFDC Activation Rep'!B:B,'Download of SFDC Activation Rep'!H:H),"")</f>
        <v>Inactive</v>
      </c>
      <c r="H50" s="13" t="str">
        <f t="array" ref="H50">iferror(xlookup(A50,'Download of SFDC Activation Rep'!B:B,'Download of SFDC Activation Rep'!L:L),"")</f>
        <v/>
      </c>
      <c r="I50" s="17" t="str">
        <f t="shared" si="2"/>
        <v>Not Active</v>
      </c>
      <c r="J50" s="17" t="str">
        <f t="array" ref="J50">XLOOKUP(A50,'Download of SFDC Activation Rep'!B:B,'Download of SFDC Activation Rep'!T:T)</f>
        <v>006VT00000mBcSy</v>
      </c>
      <c r="K50" s="17" t="str">
        <f t="array" ref="K50">iferror(XLOOKUP(A50,'Download of SFDC Activation Rep'!B:B,'Download of SFDC Activation Rep'!C:C),"")</f>
        <v>Stigall Sales Inc.</v>
      </c>
    </row>
    <row r="51">
      <c r="F51" s="34">
        <f t="shared" ref="F51:F54" si="9">B51/D51</f>
        <v>0.002018733845</v>
      </c>
      <c r="G51" s="13" t="str">
        <f t="array" ref="G51">iferror(XLOOKUP(A51,'Download of SFDC Activation Rep'!B:B,'Download of SFDC Activation Rep'!H:H),"")</f>
        <v>Active</v>
      </c>
      <c r="H51" s="13" t="str">
        <f t="array" ref="H51">iferror(xlookup(A51,'Download of SFDC Activation Rep'!B:B,'Download of SFDC Activation Rep'!L:L),"")</f>
        <v/>
      </c>
      <c r="I51" s="17" t="str">
        <f t="shared" si="2"/>
        <v>Active</v>
      </c>
      <c r="J51" s="17" t="str">
        <f t="array" ref="J51">XLOOKUP(A51,'Download of SFDC Activation Rep'!B:B,'Download of SFDC Activation Rep'!T:T)</f>
        <v>006VT00000o0IBR</v>
      </c>
      <c r="K51" s="17" t="str">
        <f t="array" ref="K51">iferror(XLOOKUP(A51,'Download of SFDC Activation Rep'!B:B,'Download of SFDC Activation Rep'!C:C),"")</f>
        <v>Cope Equities</v>
      </c>
    </row>
    <row r="52">
      <c r="F52" s="34">
        <f t="shared" si="9"/>
        <v>0.00835174305</v>
      </c>
      <c r="G52" s="13" t="str">
        <f t="array" ref="G52">iferror(XLOOKUP(A52,'Download of SFDC Activation Rep'!B:B,'Download of SFDC Activation Rep'!H:H),"")</f>
        <v>Active</v>
      </c>
      <c r="H52" s="13" t="str">
        <f t="array" ref="H52">iferror(xlookup(A52,'Download of SFDC Activation Rep'!B:B,'Download of SFDC Activation Rep'!L:L),"")</f>
        <v/>
      </c>
      <c r="I52" s="17" t="str">
        <f t="shared" si="2"/>
        <v>Active</v>
      </c>
      <c r="J52" s="17" t="str">
        <f t="array" ref="J52">XLOOKUP(A52,'Download of SFDC Activation Rep'!B:B,'Download of SFDC Activation Rep'!T:T)</f>
        <v>006VT00000lZPWj</v>
      </c>
      <c r="K52" s="17" t="str">
        <f t="array" ref="K52">iferror(XLOOKUP(A52,'Download of SFDC Activation Rep'!B:B,'Download of SFDC Activation Rep'!C:C),"")</f>
        <v>Remotees LLC</v>
      </c>
    </row>
    <row r="53">
      <c r="F53" s="34">
        <f t="shared" si="9"/>
        <v>0.004637967802</v>
      </c>
      <c r="G53" s="13" t="str">
        <f t="array" ref="G53">iferror(XLOOKUP(A53,'Download of SFDC Activation Rep'!B:B,'Download of SFDC Activation Rep'!H:H),"")</f>
        <v>Active</v>
      </c>
      <c r="H53" s="13" t="str">
        <f t="array" ref="H53">iferror(xlookup(A53,'Download of SFDC Activation Rep'!B:B,'Download of SFDC Activation Rep'!L:L),"")</f>
        <v>Churned</v>
      </c>
      <c r="I53" s="17" t="str">
        <f t="shared" si="2"/>
        <v>Active</v>
      </c>
      <c r="J53" s="17" t="str">
        <f t="array" ref="J53">XLOOKUP(A53,'Download of SFDC Activation Rep'!B:B,'Download of SFDC Activation Rep'!T:T)</f>
        <v>006VT00000m1AEc</v>
      </c>
      <c r="K53" s="17" t="str">
        <f t="array" ref="K53">iferror(XLOOKUP(A53,'Download of SFDC Activation Rep'!B:B,'Download of SFDC Activation Rep'!C:C),"")</f>
        <v>Barrel-Art LLC</v>
      </c>
    </row>
    <row r="54">
      <c r="F54" s="34">
        <f t="shared" si="9"/>
        <v>0.005616150572</v>
      </c>
      <c r="G54" s="13" t="str">
        <f t="array" ref="G54">iferror(XLOOKUP(A54,'Download of SFDC Activation Rep'!B:B,'Download of SFDC Activation Rep'!H:H),"")</f>
        <v>Churned</v>
      </c>
      <c r="H54" s="13" t="str">
        <f t="array" ref="H54">iferror(xlookup(A54,'Download of SFDC Activation Rep'!B:B,'Download of SFDC Activation Rep'!L:L),"")</f>
        <v>Active</v>
      </c>
      <c r="I54" s="17" t="str">
        <f t="shared" si="2"/>
        <v>Active</v>
      </c>
      <c r="J54" s="17" t="str">
        <f t="array" ref="J54">XLOOKUP(A54,'Download of SFDC Activation Rep'!B:B,'Download of SFDC Activation Rep'!T:T)</f>
        <v>006VT00000mBSWo</v>
      </c>
      <c r="K54" s="17" t="str">
        <f t="array" ref="K54">iferror(XLOOKUP(A54,'Download of SFDC Activation Rep'!B:B,'Download of SFDC Activation Rep'!C:C),"")</f>
        <v>Avenue 8 Group Inc</v>
      </c>
    </row>
    <row r="55">
      <c r="F55" s="14"/>
      <c r="G55" s="13" t="str">
        <f t="array" ref="G55">iferror(XLOOKUP(A55,'Download of SFDC Activation Rep'!B:B,'Download of SFDC Activation Rep'!H:H),"")</f>
        <v>Active</v>
      </c>
      <c r="H55" s="13" t="str">
        <f t="array" ref="H55">iferror(xlookup(A55,'Download of SFDC Activation Rep'!B:B,'Download of SFDC Activation Rep'!L:L),"")</f>
        <v/>
      </c>
      <c r="I55" s="17" t="str">
        <f t="shared" si="2"/>
        <v>Active</v>
      </c>
      <c r="J55" s="17" t="str">
        <f t="array" ref="J55">XLOOKUP(A55,'Download of SFDC Activation Rep'!B:B,'Download of SFDC Activation Rep'!T:T)</f>
        <v>006UU00000Og7FN</v>
      </c>
      <c r="K55" s="17" t="str">
        <f t="array" ref="K55">iferror(XLOOKUP(A55,'Download of SFDC Activation Rep'!B:B,'Download of SFDC Activation Rep'!C:C),"")</f>
        <v>Solutions Group International, Inc.</v>
      </c>
    </row>
    <row r="56">
      <c r="F56" s="34">
        <f t="shared" ref="F56:F57" si="10">B56/D56</f>
        <v>0.01341010385</v>
      </c>
      <c r="G56" s="13" t="str">
        <f t="array" ref="G56">iferror(XLOOKUP(A56,'Download of SFDC Activation Rep'!B:B,'Download of SFDC Activation Rep'!H:H),"")</f>
        <v>Active</v>
      </c>
      <c r="H56" s="13" t="str">
        <f t="array" ref="H56">iferror(xlookup(A56,'Download of SFDC Activation Rep'!B:B,'Download of SFDC Activation Rep'!L:L),"")</f>
        <v/>
      </c>
      <c r="I56" s="17" t="str">
        <f t="shared" si="2"/>
        <v>Active</v>
      </c>
      <c r="J56" s="17" t="str">
        <f t="array" ref="J56">XLOOKUP(A56,'Download of SFDC Activation Rep'!B:B,'Download of SFDC Activation Rep'!T:T)</f>
        <v>006VT00000m4O9l</v>
      </c>
      <c r="K56" s="17" t="str">
        <f t="array" ref="K56">iferror(XLOOKUP(A56,'Download of SFDC Activation Rep'!B:B,'Download of SFDC Activation Rep'!C:C),"")</f>
        <v>VetNecessity UC LLC</v>
      </c>
    </row>
    <row r="57">
      <c r="F57" s="34">
        <f t="shared" si="10"/>
        <v>0.01304409071</v>
      </c>
      <c r="G57" s="13" t="str">
        <f t="array" ref="G57">iferror(XLOOKUP(A57,'Download of SFDC Activation Rep'!B:B,'Download of SFDC Activation Rep'!H:H),"")</f>
        <v>Active</v>
      </c>
      <c r="H57" s="13" t="str">
        <f t="array" ref="H57">iferror(xlookup(A57,'Download of SFDC Activation Rep'!B:B,'Download of SFDC Activation Rep'!L:L),"")</f>
        <v/>
      </c>
      <c r="I57" s="17" t="str">
        <f t="shared" si="2"/>
        <v>Active</v>
      </c>
      <c r="J57" s="17" t="str">
        <f t="array" ref="J57">XLOOKUP(A57,'Download of SFDC Activation Rep'!B:B,'Download of SFDC Activation Rep'!T:T)</f>
        <v>006VT00000m4kgX</v>
      </c>
      <c r="K57" s="17" t="str">
        <f t="array" ref="K57">iferror(XLOOKUP(A57,'Download of SFDC Activation Rep'!B:B,'Download of SFDC Activation Rep'!C:C),"")</f>
        <v>GF Equine LLC</v>
      </c>
    </row>
    <row r="58">
      <c r="F58" s="14"/>
      <c r="G58" s="13" t="str">
        <f t="array" ref="G58">iferror(XLOOKUP(A58,'Download of SFDC Activation Rep'!B:B,'Download of SFDC Activation Rep'!H:H),"")</f>
        <v>Active</v>
      </c>
      <c r="H58" s="13" t="str">
        <f t="array" ref="H58">iferror(xlookup(A58,'Download of SFDC Activation Rep'!B:B,'Download of SFDC Activation Rep'!L:L),"")</f>
        <v>Active</v>
      </c>
      <c r="I58" s="17" t="str">
        <f t="shared" si="2"/>
        <v>Active</v>
      </c>
      <c r="J58" s="17" t="str">
        <f t="array" ref="J58">XLOOKUP(A58,'Download of SFDC Activation Rep'!B:B,'Download of SFDC Activation Rep'!T:T)</f>
        <v>006UU00000OgQGQ</v>
      </c>
      <c r="K58" s="17" t="str">
        <f t="array" ref="K58">iferror(XLOOKUP(A58,'Download of SFDC Activation Rep'!B:B,'Download of SFDC Activation Rep'!C:C),"")</f>
        <v>Scale Foundations Inc.</v>
      </c>
    </row>
    <row r="59">
      <c r="F59" s="34">
        <f t="shared" ref="F59:F61" si="11">B59/D59</f>
        <v>0.08514104516</v>
      </c>
      <c r="G59" s="13" t="str">
        <f t="array" ref="G59">iferror(XLOOKUP(A59,'Download of SFDC Activation Rep'!B:B,'Download of SFDC Activation Rep'!H:H),"")</f>
        <v/>
      </c>
      <c r="H59" s="13" t="str">
        <f t="array" ref="H59">iferror(xlookup(A59,'Download of SFDC Activation Rep'!B:B,'Download of SFDC Activation Rep'!L:L),"")</f>
        <v>Active</v>
      </c>
      <c r="I59" s="17" t="str">
        <f t="shared" si="2"/>
        <v>Active</v>
      </c>
      <c r="J59" s="17" t="str">
        <f t="array" ref="J59">XLOOKUP(A59,'Download of SFDC Activation Rep'!B:B,'Download of SFDC Activation Rep'!T:T)</f>
        <v>006UU00000MmwzV</v>
      </c>
      <c r="K59" s="17" t="str">
        <f t="array" ref="K59">iferror(XLOOKUP(A59,'Download of SFDC Activation Rep'!B:B,'Download of SFDC Activation Rep'!C:C),"")</f>
        <v>Totally Chocolate Inc</v>
      </c>
    </row>
    <row r="60">
      <c r="F60" s="34">
        <f t="shared" si="11"/>
        <v>0.00257578898</v>
      </c>
      <c r="G60" s="13" t="str">
        <f t="array" ref="G60">iferror(XLOOKUP(A60,'Download of SFDC Activation Rep'!B:B,'Download of SFDC Activation Rep'!H:H),"")</f>
        <v>Churned</v>
      </c>
      <c r="H60" s="13" t="str">
        <f t="array" ref="H60">iferror(xlookup(A60,'Download of SFDC Activation Rep'!B:B,'Download of SFDC Activation Rep'!L:L),"")</f>
        <v/>
      </c>
      <c r="I60" s="17" t="str">
        <f t="shared" si="2"/>
        <v>Not Active</v>
      </c>
      <c r="J60" s="17" t="str">
        <f t="array" ref="J60">XLOOKUP(A60,'Download of SFDC Activation Rep'!B:B,'Download of SFDC Activation Rep'!T:T)</f>
        <v>006UU00000P2TFe</v>
      </c>
      <c r="K60" s="17" t="str">
        <f t="array" ref="K60">iferror(XLOOKUP(A60,'Download of SFDC Activation Rep'!B:B,'Download of SFDC Activation Rep'!C:C),"")</f>
        <v>RLM Solutions, LLC.</v>
      </c>
    </row>
    <row r="61">
      <c r="F61" s="34">
        <f t="shared" si="11"/>
        <v>0.006669378378</v>
      </c>
      <c r="G61" s="13" t="str">
        <f t="array" ref="G61">iferror(XLOOKUP(A61,'Download of SFDC Activation Rep'!B:B,'Download of SFDC Activation Rep'!H:H),"")</f>
        <v>Churned</v>
      </c>
      <c r="H61" s="13" t="str">
        <f t="array" ref="H61">iferror(xlookup(A61,'Download of SFDC Activation Rep'!B:B,'Download of SFDC Activation Rep'!L:L),"")</f>
        <v/>
      </c>
      <c r="I61" s="17" t="str">
        <f t="shared" si="2"/>
        <v>Not Active</v>
      </c>
      <c r="J61" s="17" t="str">
        <f t="array" ref="J61">XLOOKUP(A61,'Download of SFDC Activation Rep'!B:B,'Download of SFDC Activation Rep'!T:T)</f>
        <v>006UU00000OzBdU</v>
      </c>
      <c r="K61" s="17" t="str">
        <f t="array" ref="K61">iferror(XLOOKUP(A61,'Download of SFDC Activation Rep'!B:B,'Download of SFDC Activation Rep'!C:C),"")</f>
        <v>Thistle and Amber LLC</v>
      </c>
    </row>
    <row r="62">
      <c r="F62" s="14"/>
      <c r="G62" s="13" t="str">
        <f t="array" ref="G62">iferror(XLOOKUP(A62,'Download of SFDC Activation Rep'!B:B,'Download of SFDC Activation Rep'!H:H),"")</f>
        <v>Active</v>
      </c>
      <c r="H62" s="13" t="str">
        <f t="array" ref="H62">iferror(xlookup(A62,'Download of SFDC Activation Rep'!B:B,'Download of SFDC Activation Rep'!L:L),"")</f>
        <v/>
      </c>
      <c r="I62" s="17" t="str">
        <f t="shared" si="2"/>
        <v>Active</v>
      </c>
      <c r="J62" s="17" t="str">
        <f t="array" ref="J62">XLOOKUP(A62,'Download of SFDC Activation Rep'!B:B,'Download of SFDC Activation Rep'!T:T)</f>
        <v>006UU00000P2jh1</v>
      </c>
      <c r="K62" s="17" t="str">
        <f t="array" ref="K62">iferror(XLOOKUP(A62,'Download of SFDC Activation Rep'!B:B,'Download of SFDC Activation Rep'!C:C),"")</f>
        <v>Herbert Law Group, LLC</v>
      </c>
    </row>
    <row r="63">
      <c r="F63" s="14"/>
      <c r="G63" s="13" t="str">
        <f t="array" ref="G63">iferror(XLOOKUP(A63,'Download of SFDC Activation Rep'!B:B,'Download of SFDC Activation Rep'!H:H),"")</f>
        <v>Active</v>
      </c>
      <c r="H63" s="13" t="str">
        <f t="array" ref="H63">iferror(xlookup(A63,'Download of SFDC Activation Rep'!B:B,'Download of SFDC Activation Rep'!L:L),"")</f>
        <v>Active</v>
      </c>
      <c r="I63" s="17" t="str">
        <f t="shared" si="2"/>
        <v>Active</v>
      </c>
      <c r="J63" s="17" t="str">
        <f t="array" ref="J63">XLOOKUP(A63,'Download of SFDC Activation Rep'!B:B,'Download of SFDC Activation Rep'!T:T)</f>
        <v>006UU00000O7JjF</v>
      </c>
      <c r="K63" s="17" t="str">
        <f t="array" ref="K63">iferror(XLOOKUP(A63,'Download of SFDC Activation Rep'!B:B,'Download of SFDC Activation Rep'!C:C),"")</f>
        <v>Field Sports Publishing, Inc.</v>
      </c>
    </row>
    <row r="64">
      <c r="F64" s="34">
        <f>B64/D64</f>
        <v>0.001326776515</v>
      </c>
      <c r="G64" s="13" t="str">
        <f t="array" ref="G64">iferror(XLOOKUP(A64,'Download of SFDC Activation Rep'!B:B,'Download of SFDC Activation Rep'!H:H),"")</f>
        <v>Active</v>
      </c>
      <c r="H64" s="13" t="str">
        <f t="array" ref="H64">iferror(xlookup(A64,'Download of SFDC Activation Rep'!B:B,'Download of SFDC Activation Rep'!L:L),"")</f>
        <v/>
      </c>
      <c r="I64" s="17" t="str">
        <f t="shared" si="2"/>
        <v>Active</v>
      </c>
      <c r="J64" s="17" t="str">
        <f t="array" ref="J64">XLOOKUP(A64,'Download of SFDC Activation Rep'!B:B,'Download of SFDC Activation Rep'!T:T)</f>
        <v>006VT00000sgdkH</v>
      </c>
      <c r="K64" s="17" t="str">
        <f t="array" ref="K64">iferror(XLOOKUP(A64,'Download of SFDC Activation Rep'!B:B,'Download of SFDC Activation Rep'!C:C),"")</f>
        <v>Marcus &amp; Pollack LLP</v>
      </c>
    </row>
    <row r="65">
      <c r="F65" s="34"/>
      <c r="G65" s="13" t="str">
        <f t="array" ref="G65">iferror(XLOOKUP(A65,'Download of SFDC Activation Rep'!B:B,'Download of SFDC Activation Rep'!H:H),"")</f>
        <v/>
      </c>
      <c r="H65" s="13" t="str">
        <f t="array" ref="H65">iferror(xlookup(A65,'Download of SFDC Activation Rep'!B:B,'Download of SFDC Activation Rep'!L:L),"")</f>
        <v>Active</v>
      </c>
      <c r="I65" s="17" t="str">
        <f t="shared" si="2"/>
        <v>Active</v>
      </c>
      <c r="J65" s="17" t="str">
        <f t="array" ref="J65">XLOOKUP(A65,'Download of SFDC Activation Rep'!B:B,'Download of SFDC Activation Rep'!T:T)</f>
        <v>006UU00000OSfnC</v>
      </c>
      <c r="K65" s="17" t="str">
        <f t="array" ref="K65">iferror(XLOOKUP(A65,'Download of SFDC Activation Rep'!B:B,'Download of SFDC Activation Rep'!C:C),"")</f>
        <v>Wyoming Traders</v>
      </c>
    </row>
    <row r="66">
      <c r="F66" s="34">
        <f>B66/D66</f>
        <v>0.008682814846</v>
      </c>
      <c r="G66" s="13" t="str">
        <f t="array" ref="G66">iferror(XLOOKUP(A66,'Download of SFDC Activation Rep'!B:B,'Download of SFDC Activation Rep'!H:H),"")</f>
        <v>Active</v>
      </c>
      <c r="H66" s="13" t="str">
        <f t="array" ref="H66">iferror(xlookup(A66,'Download of SFDC Activation Rep'!B:B,'Download of SFDC Activation Rep'!L:L),"")</f>
        <v>Churned</v>
      </c>
      <c r="I66" s="17" t="str">
        <f t="shared" si="2"/>
        <v>Active</v>
      </c>
      <c r="J66" s="17" t="str">
        <f t="array" ref="J66">XLOOKUP(A66,'Download of SFDC Activation Rep'!B:B,'Download of SFDC Activation Rep'!T:T)</f>
        <v>006UU00000OcYZ7</v>
      </c>
      <c r="K66" s="17" t="str">
        <f t="array" ref="K66">iferror(XLOOKUP(A66,'Download of SFDC Activation Rep'!B:B,'Download of SFDC Activation Rep'!C:C),"")</f>
        <v>Big House Group LLC</v>
      </c>
    </row>
    <row r="67">
      <c r="F67" s="14"/>
      <c r="G67" s="13" t="str">
        <f t="array" ref="G67">iferror(XLOOKUP(A67,'Download of SFDC Activation Rep'!B:B,'Download of SFDC Activation Rep'!H:H),"")</f>
        <v>Active</v>
      </c>
      <c r="H67" s="13" t="str">
        <f t="array" ref="H67">iferror(xlookup(A67,'Download of SFDC Activation Rep'!B:B,'Download of SFDC Activation Rep'!L:L),"")</f>
        <v/>
      </c>
      <c r="I67" s="17" t="str">
        <f t="shared" si="2"/>
        <v>Active</v>
      </c>
      <c r="J67" s="17" t="str">
        <f t="array" ref="J67">XLOOKUP(A67,'Download of SFDC Activation Rep'!B:B,'Download of SFDC Activation Rep'!T:T)</f>
        <v>006UU00000OcWHB</v>
      </c>
      <c r="K67" s="17" t="str">
        <f t="array" ref="K67">iferror(XLOOKUP(A67,'Download of SFDC Activation Rep'!B:B,'Download of SFDC Activation Rep'!C:C),"")</f>
        <v>Kenneth Adam Designs</v>
      </c>
    </row>
    <row r="68">
      <c r="F68" s="14"/>
      <c r="G68" s="13" t="str">
        <f t="array" ref="G68">iferror(XLOOKUP(A68,'Download of SFDC Activation Rep'!B:B,'Download of SFDC Activation Rep'!H:H),"")</f>
        <v>Active</v>
      </c>
      <c r="H68" s="13" t="str">
        <f t="array" ref="H68">iferror(xlookup(A68,'Download of SFDC Activation Rep'!B:B,'Download of SFDC Activation Rep'!L:L),"")</f>
        <v/>
      </c>
      <c r="I68" s="17" t="str">
        <f t="shared" si="2"/>
        <v>Active</v>
      </c>
      <c r="J68" s="17" t="str">
        <f t="array" ref="J68">XLOOKUP(A68,'Download of SFDC Activation Rep'!B:B,'Download of SFDC Activation Rep'!T:T)</f>
        <v>006UU00000P2Ttx</v>
      </c>
      <c r="K68" s="17" t="str">
        <f t="array" ref="K68">iferror(XLOOKUP(A68,'Download of SFDC Activation Rep'!B:B,'Download of SFDC Activation Rep'!C:C),"")</f>
        <v>Skycrest Group llc</v>
      </c>
    </row>
    <row r="69">
      <c r="F69" s="14"/>
      <c r="G69" s="13" t="str">
        <f t="array" ref="G69">iferror(XLOOKUP(A69,'Download of SFDC Activation Rep'!B:B,'Download of SFDC Activation Rep'!H:H),"")</f>
        <v/>
      </c>
      <c r="H69" s="13" t="str">
        <f t="array" ref="H69">iferror(xlookup(A69,'Download of SFDC Activation Rep'!B:B,'Download of SFDC Activation Rep'!L:L),"")</f>
        <v>Churned</v>
      </c>
      <c r="I69" s="17" t="str">
        <f t="shared" si="2"/>
        <v>Not Active</v>
      </c>
      <c r="J69" s="17" t="str">
        <f t="array" ref="J69">XLOOKUP(A69,'Download of SFDC Activation Rep'!B:B,'Download of SFDC Activation Rep'!T:T)</f>
        <v>006VT00000m1Q85</v>
      </c>
      <c r="K69" s="17" t="str">
        <f t="array" ref="K69">iferror(XLOOKUP(A69,'Download of SFDC Activation Rep'!B:B,'Download of SFDC Activation Rep'!C:C),"")</f>
        <v>Premier Computer Solutions, LLC</v>
      </c>
    </row>
    <row r="70">
      <c r="F70" s="14"/>
      <c r="G70" s="13" t="str">
        <f t="array" ref="G70">iferror(XLOOKUP(A70,'Download of SFDC Activation Rep'!B:B,'Download of SFDC Activation Rep'!H:H),"")</f>
        <v>Active</v>
      </c>
      <c r="H70" s="13" t="str">
        <f t="array" ref="H70">iferror(xlookup(A70,'Download of SFDC Activation Rep'!B:B,'Download of SFDC Activation Rep'!L:L),"")</f>
        <v/>
      </c>
      <c r="I70" s="17" t="str">
        <f t="shared" si="2"/>
        <v>Active</v>
      </c>
      <c r="J70" s="17" t="str">
        <f t="array" ref="J70">XLOOKUP(A70,'Download of SFDC Activation Rep'!B:B,'Download of SFDC Activation Rep'!T:T)</f>
        <v>006UU00000NnFru</v>
      </c>
      <c r="K70" s="17" t="str">
        <f t="array" ref="K70">iferror(XLOOKUP(A70,'Download of SFDC Activation Rep'!B:B,'Download of SFDC Activation Rep'!C:C),"")</f>
        <v>Mark S Dill DDS PLLC</v>
      </c>
    </row>
    <row r="71">
      <c r="F71" s="34">
        <f>B71/D71</f>
        <v>0.000531558351</v>
      </c>
      <c r="G71" s="13" t="str">
        <f t="array" ref="G71">iferror(XLOOKUP(A71,'Download of SFDC Activation Rep'!B:B,'Download of SFDC Activation Rep'!H:H),"")</f>
        <v/>
      </c>
      <c r="H71" s="13" t="str">
        <f t="array" ref="H71">iferror(xlookup(A71,'Download of SFDC Activation Rep'!B:B,'Download of SFDC Activation Rep'!L:L),"")</f>
        <v>Active</v>
      </c>
      <c r="I71" s="17" t="str">
        <f t="shared" si="2"/>
        <v>Active</v>
      </c>
      <c r="J71" s="17" t="str">
        <f t="array" ref="J71">XLOOKUP(A71,'Download of SFDC Activation Rep'!B:B,'Download of SFDC Activation Rep'!T:T)</f>
        <v>006UU00000LzrZq</v>
      </c>
      <c r="K71" s="17" t="str">
        <f t="array" ref="K71">iferror(XLOOKUP(A71,'Download of SFDC Activation Rep'!B:B,'Download of SFDC Activation Rep'!C:C),"")</f>
        <v>Navimow Inc</v>
      </c>
    </row>
    <row r="72">
      <c r="F72" s="14"/>
      <c r="G72" s="13" t="str">
        <f t="array" ref="G72">iferror(XLOOKUP(A72,'Download of SFDC Activation Rep'!B:B,'Download of SFDC Activation Rep'!H:H),"")</f>
        <v/>
      </c>
      <c r="H72" s="13" t="str">
        <f t="array" ref="H72">iferror(xlookup(A72,'Download of SFDC Activation Rep'!B:B,'Download of SFDC Activation Rep'!L:L),"")</f>
        <v>Active</v>
      </c>
      <c r="I72" s="17" t="str">
        <f t="shared" si="2"/>
        <v>Active</v>
      </c>
      <c r="J72" s="17" t="str">
        <f t="array" ref="J72">XLOOKUP(A72,'Download of SFDC Activation Rep'!B:B,'Download of SFDC Activation Rep'!T:T)</f>
        <v>006UU00000OHzkP</v>
      </c>
      <c r="K72" s="17" t="str">
        <f t="array" ref="K72">iferror(XLOOKUP(A72,'Download of SFDC Activation Rep'!B:B,'Download of SFDC Activation Rep'!C:C),"")</f>
        <v>Smart Launch LLC</v>
      </c>
    </row>
    <row r="73">
      <c r="F73" s="34">
        <f t="shared" ref="F73:F79" si="12">B73/D73</f>
        <v>0.005264159292</v>
      </c>
      <c r="G73" s="13" t="str">
        <f t="array" ref="G73">iferror(XLOOKUP(A73,'Download of SFDC Activation Rep'!B:B,'Download of SFDC Activation Rep'!H:H),"")</f>
        <v/>
      </c>
      <c r="H73" s="13" t="str">
        <f t="array" ref="H73">iferror(xlookup(A73,'Download of SFDC Activation Rep'!B:B,'Download of SFDC Activation Rep'!L:L),"")</f>
        <v>Inactive</v>
      </c>
      <c r="I73" s="17" t="str">
        <f t="shared" si="2"/>
        <v>Not Active</v>
      </c>
      <c r="J73" s="17" t="str">
        <f t="array" ref="J73">XLOOKUP(A73,'Download of SFDC Activation Rep'!B:B,'Download of SFDC Activation Rep'!T:T)</f>
        <v>006VT00000o0WeE</v>
      </c>
      <c r="K73" s="17" t="str">
        <f t="array" ref="K73">iferror(XLOOKUP(A73,'Download of SFDC Activation Rep'!B:B,'Download of SFDC Activation Rep'!C:C),"")</f>
        <v>Rippa Sales Oklahoma, Llc</v>
      </c>
    </row>
    <row r="74">
      <c r="F74" s="34">
        <f t="shared" si="12"/>
        <v>0.02042122883</v>
      </c>
      <c r="G74" s="13" t="str">
        <f t="array" ref="G74">iferror(XLOOKUP(A74,'Download of SFDC Activation Rep'!B:B,'Download of SFDC Activation Rep'!H:H),"")</f>
        <v/>
      </c>
      <c r="H74" s="13" t="str">
        <f t="array" ref="H74">iferror(xlookup(A74,'Download of SFDC Activation Rep'!B:B,'Download of SFDC Activation Rep'!L:L),"")</f>
        <v>Inactive</v>
      </c>
      <c r="I74" s="17" t="str">
        <f t="shared" si="2"/>
        <v>Not Active</v>
      </c>
      <c r="J74" s="17" t="str">
        <f t="array" ref="J74">XLOOKUP(A74,'Download of SFDC Activation Rep'!B:B,'Download of SFDC Activation Rep'!T:T)</f>
        <v>006UU00000OEKtv</v>
      </c>
      <c r="K74" s="17" t="str">
        <f t="array" ref="K74">iferror(XLOOKUP(A74,'Download of SFDC Activation Rep'!B:B,'Download of SFDC Activation Rep'!C:C),"")</f>
        <v>D.R. Stephens Estate Wines, LLC</v>
      </c>
    </row>
    <row r="75">
      <c r="F75" s="34">
        <f t="shared" si="12"/>
        <v>0.002793435744</v>
      </c>
      <c r="G75" s="13" t="str">
        <f t="array" ref="G75">iferror(XLOOKUP(A75,'Download of SFDC Activation Rep'!B:B,'Download of SFDC Activation Rep'!H:H),"")</f>
        <v>Active</v>
      </c>
      <c r="H75" s="13" t="str">
        <f t="array" ref="H75">iferror(xlookup(A75,'Download of SFDC Activation Rep'!B:B,'Download of SFDC Activation Rep'!L:L),"")</f>
        <v/>
      </c>
      <c r="I75" s="17" t="str">
        <f t="shared" si="2"/>
        <v>Active</v>
      </c>
      <c r="J75" s="17" t="str">
        <f t="array" ref="J75">XLOOKUP(A75,'Download of SFDC Activation Rep'!B:B,'Download of SFDC Activation Rep'!T:T)</f>
        <v>006VT00000sgdkF</v>
      </c>
      <c r="K75" s="17" t="str">
        <f t="array" ref="K75">iferror(XLOOKUP(A75,'Download of SFDC Activation Rep'!B:B,'Download of SFDC Activation Rep'!C:C),"")</f>
        <v>Naz Apparel</v>
      </c>
    </row>
    <row r="76">
      <c r="F76" s="34">
        <f t="shared" si="12"/>
        <v>0.001697708256</v>
      </c>
      <c r="G76" s="13" t="str">
        <f t="array" ref="G76">iferror(XLOOKUP(A76,'Download of SFDC Activation Rep'!B:B,'Download of SFDC Activation Rep'!H:H),"")</f>
        <v>Churned</v>
      </c>
      <c r="H76" s="13" t="str">
        <f t="array" ref="H76">iferror(xlookup(A76,'Download of SFDC Activation Rep'!B:B,'Download of SFDC Activation Rep'!L:L),"")</f>
        <v>Inactive</v>
      </c>
      <c r="I76" s="17" t="str">
        <f t="shared" si="2"/>
        <v>Not Active</v>
      </c>
      <c r="J76" s="17" t="str">
        <f t="array" ref="J76">XLOOKUP(A76,'Download of SFDC Activation Rep'!B:B,'Download of SFDC Activation Rep'!T:T)</f>
        <v>006UU00000NTZhu</v>
      </c>
      <c r="K76" s="17" t="str">
        <f t="array" ref="K76">iferror(XLOOKUP(A76,'Download of SFDC Activation Rep'!B:B,'Download of SFDC Activation Rep'!C:C),"")</f>
        <v>JSC Distribution LLC</v>
      </c>
    </row>
    <row r="77">
      <c r="F77" s="34">
        <f t="shared" si="12"/>
        <v>0.00772825045</v>
      </c>
      <c r="G77" s="13" t="str">
        <f t="array" ref="G77">iferror(XLOOKUP(A77,'Download of SFDC Activation Rep'!B:B,'Download of SFDC Activation Rep'!H:H),"")</f>
        <v>Churned</v>
      </c>
      <c r="H77" s="13" t="str">
        <f t="array" ref="H77">iferror(xlookup(A77,'Download of SFDC Activation Rep'!B:B,'Download of SFDC Activation Rep'!L:L),"")</f>
        <v/>
      </c>
      <c r="I77" s="17" t="str">
        <f t="shared" si="2"/>
        <v>Not Active</v>
      </c>
      <c r="J77" s="17" t="str">
        <f t="array" ref="J77">XLOOKUP(A77,'Download of SFDC Activation Rep'!B:B,'Download of SFDC Activation Rep'!T:T)</f>
        <v>006UU00000MzGw1</v>
      </c>
      <c r="K77" s="17" t="str">
        <f t="array" ref="K77">iferror(XLOOKUP(A77,'Download of SFDC Activation Rep'!B:B,'Download of SFDC Activation Rep'!C:C),"")</f>
        <v>Official H2O, LLC</v>
      </c>
    </row>
    <row r="78">
      <c r="F78" s="34">
        <f t="shared" si="12"/>
        <v>-0.00001009495313</v>
      </c>
      <c r="G78" s="13" t="str">
        <f t="array" ref="G78">iferror(XLOOKUP(A78,'Download of SFDC Activation Rep'!B:B,'Download of SFDC Activation Rep'!H:H),"")</f>
        <v>Churned</v>
      </c>
      <c r="H78" s="13" t="str">
        <f t="array" ref="H78">iferror(xlookup(A78,'Download of SFDC Activation Rep'!B:B,'Download of SFDC Activation Rep'!L:L),"")</f>
        <v/>
      </c>
      <c r="I78" s="17" t="str">
        <f t="shared" si="2"/>
        <v>Not Active</v>
      </c>
      <c r="J78" s="17" t="str">
        <f t="array" ref="J78">XLOOKUP(A78,'Download of SFDC Activation Rep'!B:B,'Download of SFDC Activation Rep'!T:T)</f>
        <v>006UU00000NzUFI</v>
      </c>
      <c r="K78" s="17" t="str">
        <f t="array" ref="K78">iferror(XLOOKUP(A78,'Download of SFDC Activation Rep'!B:B,'Download of SFDC Activation Rep'!C:C),"")</f>
        <v>Jet Powertrain</v>
      </c>
    </row>
    <row r="79">
      <c r="F79" s="34">
        <f t="shared" si="12"/>
        <v>-0.00002699386503</v>
      </c>
      <c r="G79" s="13" t="str">
        <f t="array" ref="G79">iferror(XLOOKUP(A79,'Download of SFDC Activation Rep'!B:B,'Download of SFDC Activation Rep'!H:H),"")</f>
        <v>Churned</v>
      </c>
      <c r="H79" s="13" t="str">
        <f t="array" ref="H79">iferror(xlookup(A79,'Download of SFDC Activation Rep'!B:B,'Download of SFDC Activation Rep'!L:L),"")</f>
        <v/>
      </c>
      <c r="I79" s="17" t="str">
        <f t="shared" si="2"/>
        <v>Not Active</v>
      </c>
      <c r="J79" s="17" t="str">
        <f t="array" ref="J79">XLOOKUP(A79,'Download of SFDC Activation Rep'!B:B,'Download of SFDC Activation Rep'!T:T)</f>
        <v>006UU00000NzZy5</v>
      </c>
      <c r="K79" s="17" t="str">
        <f t="array" ref="K79">iferror(XLOOKUP(A79,'Download of SFDC Activation Rep'!B:B,'Download of SFDC Activation Rep'!C:C),"")</f>
        <v>H&amp;H Loveland Auto Parts, LLC</v>
      </c>
    </row>
    <row r="80">
      <c r="F80" s="14"/>
      <c r="G80" s="13" t="str">
        <f t="array" ref="G80">iferror(XLOOKUP(A80,'Download of SFDC Activation Rep'!B:B,'Download of SFDC Activation Rep'!H:H),"")</f>
        <v>Churned</v>
      </c>
      <c r="H80" s="13" t="str">
        <f t="array" ref="H80">iferror(xlookup(A80,'Download of SFDC Activation Rep'!B:B,'Download of SFDC Activation Rep'!L:L),"")</f>
        <v/>
      </c>
      <c r="I80" s="17" t="str">
        <f t="shared" si="2"/>
        <v>Not Active</v>
      </c>
      <c r="J80" s="17" t="str">
        <f t="array" ref="J80">XLOOKUP(A80,'Download of SFDC Activation Rep'!B:B,'Download of SFDC Activation Rep'!T:T)</f>
        <v>006UU00000NYF95</v>
      </c>
      <c r="K80" s="17" t="str">
        <f t="array" ref="K80">iferror(XLOOKUP(A80,'Download of SFDC Activation Rep'!B:B,'Download of SFDC Activation Rep'!C:C),"")</f>
        <v>Ambassador Delivery Service</v>
      </c>
    </row>
    <row r="81">
      <c r="F81" s="34">
        <f>B81/D81</f>
        <v>0.001421310022</v>
      </c>
      <c r="G81" s="13" t="str">
        <f t="array" ref="G81">iferror(XLOOKUP(A81,'Download of SFDC Activation Rep'!B:B,'Download of SFDC Activation Rep'!H:H),"")</f>
        <v>Active</v>
      </c>
      <c r="H81" s="13" t="str">
        <f t="array" ref="H81">iferror(xlookup(A81,'Download of SFDC Activation Rep'!B:B,'Download of SFDC Activation Rep'!L:L),"")</f>
        <v/>
      </c>
      <c r="I81" s="17" t="str">
        <f t="shared" si="2"/>
        <v>Active</v>
      </c>
      <c r="J81" s="17" t="str">
        <f t="array" ref="J81">XLOOKUP(A81,'Download of SFDC Activation Rep'!B:B,'Download of SFDC Activation Rep'!T:T)</f>
        <v>006UU00000O1KbZ</v>
      </c>
      <c r="K81" s="17" t="str">
        <f t="array" ref="K81">iferror(XLOOKUP(A81,'Download of SFDC Activation Rep'!B:B,'Download of SFDC Activation Rep'!C:C),"")</f>
        <v>MJDII Architects, Inc.</v>
      </c>
      <c r="L81" s="29" t="s">
        <v>44</v>
      </c>
      <c r="M81" s="30">
        <f>MEDIAN(E65:E240)</f>
        <v>18870.71</v>
      </c>
    </row>
    <row r="82">
      <c r="F82" s="14"/>
      <c r="G82" s="13" t="str">
        <f t="array" ref="G82">iferror(XLOOKUP(A82,'Download of SFDC Activation Rep'!B:B,'Download of SFDC Activation Rep'!H:H),"")</f>
        <v>Active</v>
      </c>
      <c r="H82" s="13" t="str">
        <f t="array" ref="H82">iferror(xlookup(A82,'Download of SFDC Activation Rep'!B:B,'Download of SFDC Activation Rep'!L:L),"")</f>
        <v/>
      </c>
      <c r="I82" s="17" t="str">
        <f t="shared" si="2"/>
        <v>Active</v>
      </c>
      <c r="J82" s="17" t="str">
        <f t="array" ref="J82">XLOOKUP(A82,'Download of SFDC Activation Rep'!B:B,'Download of SFDC Activation Rep'!T:T)</f>
        <v>006UU00000MNO9q</v>
      </c>
      <c r="K82" s="17" t="str">
        <f t="array" ref="K82">iferror(XLOOKUP(A82,'Download of SFDC Activation Rep'!B:B,'Download of SFDC Activation Rep'!C:C),"")</f>
        <v>Johnston LLC</v>
      </c>
    </row>
    <row r="83">
      <c r="F83" s="14"/>
      <c r="G83" s="13" t="str">
        <f t="array" ref="G83">iferror(XLOOKUP(A83,'Download of SFDC Activation Rep'!B:B,'Download of SFDC Activation Rep'!H:H),"")</f>
        <v>Active</v>
      </c>
      <c r="H83" s="13" t="str">
        <f t="array" ref="H83">iferror(xlookup(A83,'Download of SFDC Activation Rep'!B:B,'Download of SFDC Activation Rep'!L:L),"")</f>
        <v/>
      </c>
      <c r="I83" s="17" t="str">
        <f t="shared" si="2"/>
        <v>Active</v>
      </c>
      <c r="J83" s="17" t="str">
        <f t="array" ref="J83">XLOOKUP(A83,'Download of SFDC Activation Rep'!B:B,'Download of SFDC Activation Rep'!T:T)</f>
        <v>006UU00000MIrPN</v>
      </c>
      <c r="K83" s="17" t="str">
        <f t="array" ref="K83">iferror(XLOOKUP(A83,'Download of SFDC Activation Rep'!B:B,'Download of SFDC Activation Rep'!C:C),"")</f>
        <v>National Rural Health Association</v>
      </c>
    </row>
    <row r="84">
      <c r="F84" s="14"/>
      <c r="G84" s="13" t="str">
        <f t="array" ref="G84">iferror(XLOOKUP(A84,'Download of SFDC Activation Rep'!B:B,'Download of SFDC Activation Rep'!H:H),"")</f>
        <v/>
      </c>
      <c r="H84" s="13" t="str">
        <f t="array" ref="H84">iferror(xlookup(A84,'Download of SFDC Activation Rep'!B:B,'Download of SFDC Activation Rep'!L:L),"")</f>
        <v>Active</v>
      </c>
      <c r="I84" s="17" t="str">
        <f t="shared" si="2"/>
        <v>Active</v>
      </c>
      <c r="J84" s="17" t="str">
        <f t="array" ref="J84">XLOOKUP(A84,'Download of SFDC Activation Rep'!B:B,'Download of SFDC Activation Rep'!T:T)</f>
        <v>006UU00000O1Il6</v>
      </c>
      <c r="K84" s="17" t="str">
        <f t="array" ref="K84">iferror(XLOOKUP(A84,'Download of SFDC Activation Rep'!B:B,'Download of SFDC Activation Rep'!C:C),"")</f>
        <v>Jenny and Francois Selections</v>
      </c>
    </row>
    <row r="85">
      <c r="F85" s="14"/>
      <c r="G85" s="13" t="str">
        <f t="array" ref="G85">iferror(XLOOKUP(A85,'Download of SFDC Activation Rep'!B:B,'Download of SFDC Activation Rep'!H:H),"")</f>
        <v/>
      </c>
      <c r="H85" s="13" t="str">
        <f t="array" ref="H85">iferror(xlookup(A85,'Download of SFDC Activation Rep'!B:B,'Download of SFDC Activation Rep'!L:L),"")</f>
        <v>Active</v>
      </c>
      <c r="I85" s="17" t="str">
        <f t="shared" si="2"/>
        <v>Active</v>
      </c>
      <c r="J85" s="17" t="str">
        <f t="array" ref="J85">XLOOKUP(A85,'Download of SFDC Activation Rep'!B:B,'Download of SFDC Activation Rep'!T:T)</f>
        <v>006UU00000KfrEY</v>
      </c>
      <c r="K85" s="17" t="str">
        <f t="array" ref="K85">iferror(XLOOKUP(A85,'Download of SFDC Activation Rep'!B:B,'Download of SFDC Activation Rep'!C:C),"")</f>
        <v>Paydirt Earthworks Support Services LLC</v>
      </c>
    </row>
    <row r="86">
      <c r="F86" s="14"/>
      <c r="G86" s="13" t="str">
        <f t="array" ref="G86">iferror(XLOOKUP(A86,'Download of SFDC Activation Rep'!B:B,'Download of SFDC Activation Rep'!H:H),"")</f>
        <v/>
      </c>
      <c r="H86" s="13" t="str">
        <f t="array" ref="H86">iferror(xlookup(A86,'Download of SFDC Activation Rep'!B:B,'Download of SFDC Activation Rep'!L:L),"")</f>
        <v>Active</v>
      </c>
      <c r="I86" s="17" t="str">
        <f t="shared" si="2"/>
        <v>Active</v>
      </c>
      <c r="J86" s="17" t="str">
        <f t="array" ref="J86">XLOOKUP(A86,'Download of SFDC Activation Rep'!B:B,'Download of SFDC Activation Rep'!T:T)</f>
        <v>006UU00000NTAQC</v>
      </c>
      <c r="K86" s="17" t="str">
        <f t="array" ref="K86">iferror(XLOOKUP(A86,'Download of SFDC Activation Rep'!B:B,'Download of SFDC Activation Rep'!C:C),"")</f>
        <v>ETA Signs</v>
      </c>
    </row>
    <row r="87">
      <c r="F87" s="34">
        <f>B87/D87</f>
        <v>0.008574210889</v>
      </c>
      <c r="G87" s="13" t="str">
        <f t="array" ref="G87">iferror(XLOOKUP(A87,'Download of SFDC Activation Rep'!B:B,'Download of SFDC Activation Rep'!H:H),"")</f>
        <v/>
      </c>
      <c r="H87" s="13" t="str">
        <f t="array" ref="H87">iferror(xlookup(A87,'Download of SFDC Activation Rep'!B:B,'Download of SFDC Activation Rep'!L:L),"")</f>
        <v>Active</v>
      </c>
      <c r="I87" s="17" t="str">
        <f t="shared" si="2"/>
        <v>Active</v>
      </c>
      <c r="J87" s="17" t="str">
        <f t="array" ref="J87">XLOOKUP(A87,'Download of SFDC Activation Rep'!B:B,'Download of SFDC Activation Rep'!T:T)</f>
        <v>006UU00000NKUMT</v>
      </c>
      <c r="K87" s="17" t="str">
        <f t="array" ref="K87">iferror(XLOOKUP(A87,'Download of SFDC Activation Rep'!B:B,'Download of SFDC Activation Rep'!C:C),"")</f>
        <v>365 Archery LLC</v>
      </c>
    </row>
    <row r="88">
      <c r="F88" s="14"/>
      <c r="G88" s="13" t="str">
        <f t="array" ref="G88">iferror(XLOOKUP(A88,'Download of SFDC Activation Rep'!B:B,'Download of SFDC Activation Rep'!H:H),"")</f>
        <v>Churned</v>
      </c>
      <c r="H88" s="13" t="str">
        <f t="array" ref="H88">iferror(xlookup(A88,'Download of SFDC Activation Rep'!B:B,'Download of SFDC Activation Rep'!L:L),"")</f>
        <v/>
      </c>
      <c r="I88" s="17" t="str">
        <f t="shared" si="2"/>
        <v>Not Active</v>
      </c>
      <c r="J88" s="17" t="str">
        <f t="array" ref="J88">XLOOKUP(A88,'Download of SFDC Activation Rep'!B:B,'Download of SFDC Activation Rep'!T:T)</f>
        <v>006UU00000NV1PC</v>
      </c>
      <c r="K88" s="17" t="str">
        <f t="array" ref="K88">iferror(XLOOKUP(A88,'Download of SFDC Activation Rep'!B:B,'Download of SFDC Activation Rep'!C:C),"")</f>
        <v>Four Eleven LLC</v>
      </c>
    </row>
    <row r="89">
      <c r="F89" s="34">
        <f>B89/D89</f>
        <v>0.005823322662</v>
      </c>
      <c r="G89" s="13" t="str">
        <f t="array" ref="G89">iferror(XLOOKUP(A89,'Download of SFDC Activation Rep'!B:B,'Download of SFDC Activation Rep'!H:H),"")</f>
        <v>Active</v>
      </c>
      <c r="H89" s="13" t="str">
        <f t="array" ref="H89">iferror(xlookup(A89,'Download of SFDC Activation Rep'!B:B,'Download of SFDC Activation Rep'!L:L),"")</f>
        <v/>
      </c>
      <c r="I89" s="17" t="str">
        <f t="shared" si="2"/>
        <v>Active</v>
      </c>
      <c r="J89" s="17" t="str">
        <f t="array" ref="J89">XLOOKUP(A89,'Download of SFDC Activation Rep'!B:B,'Download of SFDC Activation Rep'!T:T)</f>
        <v>006UU00000NVQyi</v>
      </c>
      <c r="K89" s="17" t="str">
        <f t="array" ref="K89">iferror(XLOOKUP(A89,'Download of SFDC Activation Rep'!B:B,'Download of SFDC Activation Rep'!C:C),"")</f>
        <v>The Makenzie House</v>
      </c>
      <c r="L89" s="29" t="s">
        <v>36</v>
      </c>
      <c r="M89" s="35">
        <f>COUNTIF(I:I,"Active")</f>
        <v>146</v>
      </c>
    </row>
    <row r="90">
      <c r="F90" s="14"/>
      <c r="G90" s="13" t="str">
        <f t="array" ref="G90">iferror(XLOOKUP(A90,'Download of SFDC Activation Rep'!B:B,'Download of SFDC Activation Rep'!H:H),"")</f>
        <v>Active</v>
      </c>
      <c r="H90" s="13" t="str">
        <f t="array" ref="H90">iferror(xlookup(A90,'Download of SFDC Activation Rep'!B:B,'Download of SFDC Activation Rep'!L:L),"")</f>
        <v/>
      </c>
      <c r="I90" s="17" t="str">
        <f t="shared" si="2"/>
        <v>Active</v>
      </c>
      <c r="J90" s="17" t="str">
        <f t="array" ref="J90">XLOOKUP(A90,'Download of SFDC Activation Rep'!B:B,'Download of SFDC Activation Rep'!T:T)</f>
        <v>006UU00000MILsX</v>
      </c>
      <c r="K90" s="17" t="str">
        <f t="array" ref="K90">iferror(XLOOKUP(A90,'Download of SFDC Activation Rep'!B:B,'Download of SFDC Activation Rep'!C:C),"")</f>
        <v>H&amp;H Auto Parts LLC</v>
      </c>
    </row>
    <row r="91">
      <c r="F91" s="14"/>
      <c r="G91" s="13" t="str">
        <f t="array" ref="G91">iferror(XLOOKUP(A91,'Download of SFDC Activation Rep'!B:B,'Download of SFDC Activation Rep'!H:H),"")</f>
        <v>Churned</v>
      </c>
      <c r="H91" s="13" t="str">
        <f t="array" ref="H91">iferror(xlookup(A91,'Download of SFDC Activation Rep'!B:B,'Download of SFDC Activation Rep'!L:L),"")</f>
        <v/>
      </c>
      <c r="I91" s="17" t="str">
        <f t="shared" si="2"/>
        <v>Not Active</v>
      </c>
      <c r="J91" s="17" t="str">
        <f t="array" ref="J91">XLOOKUP(A91,'Download of SFDC Activation Rep'!B:B,'Download of SFDC Activation Rep'!T:T)</f>
        <v>006UU00000MliAc</v>
      </c>
      <c r="K91" s="17" t="str">
        <f t="array" ref="K91">iferror(XLOOKUP(A91,'Download of SFDC Activation Rep'!B:B,'Download of SFDC Activation Rep'!C:C),"")</f>
        <v>BMP Team LLC</v>
      </c>
    </row>
    <row r="92">
      <c r="F92" s="14"/>
      <c r="G92" s="13" t="str">
        <f t="array" ref="G92">iferror(XLOOKUP(A92,'Download of SFDC Activation Rep'!B:B,'Download of SFDC Activation Rep'!H:H),"")</f>
        <v>Active</v>
      </c>
      <c r="H92" s="13" t="str">
        <f t="array" ref="H92">iferror(xlookup(A92,'Download of SFDC Activation Rep'!B:B,'Download of SFDC Activation Rep'!L:L),"")</f>
        <v/>
      </c>
      <c r="I92" s="17" t="str">
        <f t="shared" si="2"/>
        <v>Active</v>
      </c>
      <c r="J92" s="17" t="str">
        <f t="array" ref="J92">XLOOKUP(A92,'Download of SFDC Activation Rep'!B:B,'Download of SFDC Activation Rep'!T:T)</f>
        <v>006UU00000NTdIT</v>
      </c>
      <c r="K92" s="17" t="str">
        <f t="array" ref="K92">iferror(XLOOKUP(A92,'Download of SFDC Activation Rep'!B:B,'Download of SFDC Activation Rep'!C:C),"")</f>
        <v>Bespoke Creations LLC</v>
      </c>
    </row>
    <row r="93">
      <c r="F93" s="14"/>
      <c r="G93" s="13" t="str">
        <f t="array" ref="G93">iferror(XLOOKUP(A93,'Download of SFDC Activation Rep'!B:B,'Download of SFDC Activation Rep'!H:H),"")</f>
        <v>Churned</v>
      </c>
      <c r="H93" s="13" t="str">
        <f t="array" ref="H93">iferror(xlookup(A93,'Download of SFDC Activation Rep'!B:B,'Download of SFDC Activation Rep'!L:L),"")</f>
        <v/>
      </c>
      <c r="I93" s="17" t="str">
        <f t="shared" si="2"/>
        <v>Not Active</v>
      </c>
      <c r="J93" s="17" t="str">
        <f t="array" ref="J93">XLOOKUP(A93,'Download of SFDC Activation Rep'!B:B,'Download of SFDC Activation Rep'!T:T)</f>
        <v>006UU00000N0rFC</v>
      </c>
      <c r="K93" s="17" t="str">
        <f t="array" ref="K93">iferror(XLOOKUP(A93,'Download of SFDC Activation Rep'!B:B,'Download of SFDC Activation Rep'!C:C),"")</f>
        <v>Heritage Dialysis</v>
      </c>
    </row>
    <row r="94">
      <c r="F94" s="34">
        <f t="shared" ref="F94:F96" si="13">B94/D94</f>
        <v>0.0003105251773</v>
      </c>
      <c r="G94" s="13" t="str">
        <f t="array" ref="G94">iferror(XLOOKUP(A94,'Download of SFDC Activation Rep'!B:B,'Download of SFDC Activation Rep'!H:H),"")</f>
        <v>Churned</v>
      </c>
      <c r="H94" s="13" t="str">
        <f t="array" ref="H94">iferror(xlookup(A94,'Download of SFDC Activation Rep'!B:B,'Download of SFDC Activation Rep'!L:L),"")</f>
        <v/>
      </c>
      <c r="I94" s="17" t="str">
        <f t="shared" si="2"/>
        <v>Not Active</v>
      </c>
      <c r="J94" s="17" t="str">
        <f t="array" ref="J94">XLOOKUP(A94,'Download of SFDC Activation Rep'!B:B,'Download of SFDC Activation Rep'!T:T)</f>
        <v>006UU00000MqVFx</v>
      </c>
      <c r="K94" s="17" t="str">
        <f t="array" ref="K94">iferror(XLOOKUP(A94,'Download of SFDC Activation Rep'!B:B,'Download of SFDC Activation Rep'!C:C),"")</f>
        <v>HOB Industries</v>
      </c>
    </row>
    <row r="95">
      <c r="F95" s="34">
        <f t="shared" si="13"/>
        <v>-0.00004951322001</v>
      </c>
      <c r="G95" s="13" t="str">
        <f t="array" ref="G95">iferror(XLOOKUP(A95,'Download of SFDC Activation Rep'!B:B,'Download of SFDC Activation Rep'!H:H),"")</f>
        <v/>
      </c>
      <c r="H95" s="13" t="str">
        <f t="array" ref="H95">iferror(xlookup(A95,'Download of SFDC Activation Rep'!B:B,'Download of SFDC Activation Rep'!L:L),"")</f>
        <v>Active</v>
      </c>
      <c r="I95" s="17" t="str">
        <f t="shared" si="2"/>
        <v>Active</v>
      </c>
      <c r="J95" s="17" t="str">
        <f t="array" ref="J95">XLOOKUP(A95,'Download of SFDC Activation Rep'!B:B,'Download of SFDC Activation Rep'!T:T)</f>
        <v>006UU00000MbeLB</v>
      </c>
      <c r="K95" s="17" t="str">
        <f t="array" ref="K95">iferror(XLOOKUP(A95,'Download of SFDC Activation Rep'!B:B,'Download of SFDC Activation Rep'!C:C),"")</f>
        <v>DQ of New Jersey, Inc.</v>
      </c>
    </row>
    <row r="96">
      <c r="F96" s="34">
        <f t="shared" si="13"/>
        <v>0.02896803442</v>
      </c>
      <c r="G96" s="13" t="str">
        <f t="array" ref="G96">iferror(XLOOKUP(A96,'Download of SFDC Activation Rep'!B:B,'Download of SFDC Activation Rep'!H:H),"")</f>
        <v>Churned</v>
      </c>
      <c r="H96" s="13" t="str">
        <f t="array" ref="H96">iferror(xlookup(A96,'Download of SFDC Activation Rep'!B:B,'Download of SFDC Activation Rep'!L:L),"")</f>
        <v/>
      </c>
      <c r="I96" s="17" t="str">
        <f t="shared" si="2"/>
        <v>Not Active</v>
      </c>
      <c r="J96" s="17" t="str">
        <f t="array" ref="J96">XLOOKUP(A96,'Download of SFDC Activation Rep'!B:B,'Download of SFDC Activation Rep'!T:T)</f>
        <v>006UU00000MhGCw</v>
      </c>
      <c r="K96" s="17" t="str">
        <f t="array" ref="K96">iferror(XLOOKUP(A96,'Download of SFDC Activation Rep'!B:B,'Download of SFDC Activation Rep'!C:C),"")</f>
        <v>Greenleaf Hotels LLC</v>
      </c>
    </row>
    <row r="97">
      <c r="F97" s="14"/>
      <c r="G97" s="13" t="str">
        <f t="array" ref="G97">iferror(XLOOKUP(A97,'Download of SFDC Activation Rep'!B:B,'Download of SFDC Activation Rep'!H:H),"")</f>
        <v>Active</v>
      </c>
      <c r="H97" s="13" t="str">
        <f t="array" ref="H97">iferror(xlookup(A97,'Download of SFDC Activation Rep'!B:B,'Download of SFDC Activation Rep'!L:L),"")</f>
        <v/>
      </c>
      <c r="I97" s="17" t="str">
        <f t="shared" si="2"/>
        <v>Active</v>
      </c>
      <c r="J97" s="17" t="str">
        <f t="array" ref="J97">XLOOKUP(A97,'Download of SFDC Activation Rep'!B:B,'Download of SFDC Activation Rep'!T:T)</f>
        <v>006UU00000N120w</v>
      </c>
      <c r="K97" s="17" t="str">
        <f t="array" ref="K97">iferror(XLOOKUP(A97,'Download of SFDC Activation Rep'!B:B,'Download of SFDC Activation Rep'!C:C),"")</f>
        <v>Amlife Global LLC</v>
      </c>
    </row>
    <row r="98">
      <c r="F98" s="14"/>
      <c r="G98" s="13" t="str">
        <f t="array" ref="G98">iferror(XLOOKUP(A98,'Download of SFDC Activation Rep'!B:B,'Download of SFDC Activation Rep'!H:H),"")</f>
        <v>Active</v>
      </c>
      <c r="H98" s="13" t="str">
        <f t="array" ref="H98">iferror(xlookup(A98,'Download of SFDC Activation Rep'!B:B,'Download of SFDC Activation Rep'!L:L),"")</f>
        <v/>
      </c>
      <c r="I98" s="17" t="str">
        <f t="shared" si="2"/>
        <v>Active</v>
      </c>
      <c r="J98" s="17" t="str">
        <f t="array" ref="J98">XLOOKUP(A98,'Download of SFDC Activation Rep'!B:B,'Download of SFDC Activation Rep'!T:T)</f>
        <v>006UU00000N14tx</v>
      </c>
      <c r="K98" s="17" t="str">
        <f t="array" ref="K98">iferror(XLOOKUP(A98,'Download of SFDC Activation Rep'!B:B,'Download of SFDC Activation Rep'!C:C),"")</f>
        <v>Hemm Ventures LLC</v>
      </c>
    </row>
    <row r="99">
      <c r="F99" s="34">
        <f>B99/D99</f>
        <v>0.001866423776</v>
      </c>
      <c r="G99" s="13" t="str">
        <f t="array" ref="G99">iferror(XLOOKUP(A99,'Download of SFDC Activation Rep'!B:B,'Download of SFDC Activation Rep'!H:H),"")</f>
        <v>Active</v>
      </c>
      <c r="H99" s="13" t="str">
        <f t="array" ref="H99">iferror(xlookup(A99,'Download of SFDC Activation Rep'!B:B,'Download of SFDC Activation Rep'!L:L),"")</f>
        <v/>
      </c>
      <c r="I99" s="17" t="str">
        <f t="shared" si="2"/>
        <v>Active</v>
      </c>
      <c r="J99" s="17" t="str">
        <f t="array" ref="J99">XLOOKUP(A99,'Download of SFDC Activation Rep'!B:B,'Download of SFDC Activation Rep'!T:T)</f>
        <v>006UU00000N14E1</v>
      </c>
      <c r="K99" s="17" t="str">
        <f t="array" ref="K99">iferror(XLOOKUP(A99,'Download of SFDC Activation Rep'!B:B,'Download of SFDC Activation Rep'!C:C),"")</f>
        <v>Trustwell Brands LLC</v>
      </c>
      <c r="L99" s="29" t="s">
        <v>39</v>
      </c>
      <c r="M99" s="30">
        <f>SUMIF(A:A,"&lt;&gt;"&amp;"Grand Total",C:C)</f>
        <v>34141.72092</v>
      </c>
    </row>
    <row r="100">
      <c r="F100" s="14"/>
      <c r="G100" s="13" t="str">
        <f t="array" ref="G100">iferror(XLOOKUP(A100,'Download of SFDC Activation Rep'!B:B,'Download of SFDC Activation Rep'!H:H),"")</f>
        <v>Active</v>
      </c>
      <c r="H100" s="13" t="str">
        <f t="array" ref="H100">iferror(xlookup(A100,'Download of SFDC Activation Rep'!B:B,'Download of SFDC Activation Rep'!L:L),"")</f>
        <v/>
      </c>
      <c r="I100" s="17" t="str">
        <f t="shared" si="2"/>
        <v>Active</v>
      </c>
      <c r="J100" s="17" t="str">
        <f t="array" ref="J100">XLOOKUP(A100,'Download of SFDC Activation Rep'!B:B,'Download of SFDC Activation Rep'!T:T)</f>
        <v>006UU00000NTWs6</v>
      </c>
      <c r="K100" s="17" t="str">
        <f t="array" ref="K100">iferror(XLOOKUP(A100,'Download of SFDC Activation Rep'!B:B,'Download of SFDC Activation Rep'!C:C),"")</f>
        <v>Meraki Ventures LLC</v>
      </c>
    </row>
    <row r="101">
      <c r="F101" s="34">
        <f>B101/D101</f>
        <v>0.001514061653</v>
      </c>
      <c r="G101" s="13" t="str">
        <f t="array" ref="G101">iferror(XLOOKUP(A101,'Download of SFDC Activation Rep'!B:B,'Download of SFDC Activation Rep'!H:H),"")</f>
        <v>Active</v>
      </c>
      <c r="H101" s="13" t="str">
        <f t="array" ref="H101">iferror(xlookup(A101,'Download of SFDC Activation Rep'!B:B,'Download of SFDC Activation Rep'!L:L),"")</f>
        <v/>
      </c>
      <c r="I101" s="17" t="str">
        <f t="shared" si="2"/>
        <v>Active</v>
      </c>
      <c r="J101" s="17" t="str">
        <f t="array" ref="J101">XLOOKUP(A101,'Download of SFDC Activation Rep'!B:B,'Download of SFDC Activation Rep'!T:T)</f>
        <v>006UU00000N12ov</v>
      </c>
      <c r="K101" s="17" t="str">
        <f t="array" ref="K101">iferror(XLOOKUP(A101,'Download of SFDC Activation Rep'!B:B,'Download of SFDC Activation Rep'!C:C),"")</f>
        <v>Vitamin Science LLC</v>
      </c>
      <c r="L101" s="29" t="s">
        <v>38</v>
      </c>
      <c r="M101" s="30">
        <f>SUMIF(A:A,"&lt;&gt;"&amp;"Grand Total",E:E)</f>
        <v>20802860.86</v>
      </c>
    </row>
    <row r="102">
      <c r="F102" s="14"/>
      <c r="G102" s="13" t="str">
        <f t="array" ref="G102">iferror(XLOOKUP(A102,'Download of SFDC Activation Rep'!B:B,'Download of SFDC Activation Rep'!H:H),"")</f>
        <v/>
      </c>
      <c r="H102" s="13" t="str">
        <f t="array" ref="H102">iferror(xlookup(A102,'Download of SFDC Activation Rep'!B:B,'Download of SFDC Activation Rep'!L:L),"")</f>
        <v>Active</v>
      </c>
      <c r="I102" s="17" t="str">
        <f t="shared" si="2"/>
        <v>Active</v>
      </c>
      <c r="J102" s="17" t="str">
        <f t="array" ref="J102">XLOOKUP(A102,'Download of SFDC Activation Rep'!B:B,'Download of SFDC Activation Rep'!T:T)</f>
        <v>006UU00000Mq5Oj</v>
      </c>
      <c r="K102" s="17" t="str">
        <f t="array" ref="K102">iferror(XLOOKUP(A102,'Download of SFDC Activation Rep'!B:B,'Download of SFDC Activation Rep'!C:C),"")</f>
        <v>Jenny and Francois Selections</v>
      </c>
    </row>
    <row r="103">
      <c r="F103" s="14"/>
      <c r="G103" s="13" t="str">
        <f t="array" ref="G103">iferror(XLOOKUP(A103,'Download of SFDC Activation Rep'!B:B,'Download of SFDC Activation Rep'!H:H),"")</f>
        <v>Churned</v>
      </c>
      <c r="H103" s="13" t="str">
        <f t="array" ref="H103">iferror(xlookup(A103,'Download of SFDC Activation Rep'!B:B,'Download of SFDC Activation Rep'!L:L),"")</f>
        <v/>
      </c>
      <c r="I103" s="17" t="str">
        <f t="shared" si="2"/>
        <v>Not Active</v>
      </c>
      <c r="J103" s="17" t="str">
        <f t="array" ref="J103">XLOOKUP(A103,'Download of SFDC Activation Rep'!B:B,'Download of SFDC Activation Rep'!T:T)</f>
        <v>006UU00000MQ1v5</v>
      </c>
      <c r="K103" s="17" t="str">
        <f t="array" ref="K103">iferror(XLOOKUP(A103,'Download of SFDC Activation Rep'!B:B,'Download of SFDC Activation Rep'!C:C),"")</f>
        <v>Green Day Produce</v>
      </c>
    </row>
    <row r="104">
      <c r="F104" s="34">
        <f t="shared" ref="F104:F106" si="14">B104/D104</f>
        <v>0.001185804797</v>
      </c>
      <c r="G104" s="13" t="str">
        <f t="array" ref="G104">iferror(XLOOKUP(A104,'Download of SFDC Activation Rep'!B:B,'Download of SFDC Activation Rep'!H:H),"")</f>
        <v>Active</v>
      </c>
      <c r="H104" s="13" t="str">
        <f t="array" ref="H104">iferror(xlookup(A104,'Download of SFDC Activation Rep'!B:B,'Download of SFDC Activation Rep'!L:L),"")</f>
        <v/>
      </c>
      <c r="I104" s="17" t="str">
        <f t="shared" si="2"/>
        <v>Active</v>
      </c>
      <c r="J104" s="17" t="str">
        <f t="array" ref="J104">XLOOKUP(A104,'Download of SFDC Activation Rep'!B:B,'Download of SFDC Activation Rep'!T:T)</f>
        <v>006UU00000MxXJR</v>
      </c>
      <c r="K104" s="17" t="str">
        <f t="array" ref="K104">iferror(XLOOKUP(A104,'Download of SFDC Activation Rep'!B:B,'Download of SFDC Activation Rep'!C:C),"")</f>
        <v>gh Package Product Testing and Consulting, Inc.</v>
      </c>
    </row>
    <row r="105">
      <c r="F105" s="34">
        <f t="shared" si="14"/>
        <v>-0.00006473822858</v>
      </c>
      <c r="G105" s="13" t="str">
        <f t="array" ref="G105">iferror(XLOOKUP(A105,'Download of SFDC Activation Rep'!B:B,'Download of SFDC Activation Rep'!H:H),"")</f>
        <v>Churned</v>
      </c>
      <c r="H105" s="13" t="str">
        <f t="array" ref="H105">iferror(xlookup(A105,'Download of SFDC Activation Rep'!B:B,'Download of SFDC Activation Rep'!L:L),"")</f>
        <v/>
      </c>
      <c r="I105" s="17" t="str">
        <f t="shared" si="2"/>
        <v>Not Active</v>
      </c>
      <c r="J105" s="17" t="str">
        <f t="array" ref="J105">XLOOKUP(A105,'Download of SFDC Activation Rep'!B:B,'Download of SFDC Activation Rep'!T:T)</f>
        <v>006UU00000MSC81</v>
      </c>
      <c r="K105" s="17" t="str">
        <f t="array" ref="K105">iferror(XLOOKUP(A105,'Download of SFDC Activation Rep'!B:B,'Download of SFDC Activation Rep'!C:C),"")</f>
        <v>Nutritional Therapy Association</v>
      </c>
    </row>
    <row r="106">
      <c r="F106" s="34">
        <f t="shared" si="14"/>
        <v>0.004306939424</v>
      </c>
      <c r="G106" s="13" t="str">
        <f t="array" ref="G106">iferror(XLOOKUP(A106,'Download of SFDC Activation Rep'!B:B,'Download of SFDC Activation Rep'!H:H),"")</f>
        <v>Churned</v>
      </c>
      <c r="H106" s="13" t="str">
        <f t="array" ref="H106">iferror(xlookup(A106,'Download of SFDC Activation Rep'!B:B,'Download of SFDC Activation Rep'!L:L),"")</f>
        <v/>
      </c>
      <c r="I106" s="17" t="str">
        <f t="shared" si="2"/>
        <v>Not Active</v>
      </c>
      <c r="J106" s="17" t="str">
        <f t="array" ref="J106">XLOOKUP(A106,'Download of SFDC Activation Rep'!B:B,'Download of SFDC Activation Rep'!T:T)</f>
        <v>006UU00000N1qLt</v>
      </c>
      <c r="K106" s="17" t="str">
        <f t="array" ref="K106">iferror(XLOOKUP(A106,'Download of SFDC Activation Rep'!B:B,'Download of SFDC Activation Rep'!C:C),"")</f>
        <v>AI Talent Now, LLC</v>
      </c>
      <c r="L106" s="29" t="s">
        <v>45</v>
      </c>
      <c r="M106" s="30">
        <f>MEDIAN(C89:C264)</f>
        <v>43.1648</v>
      </c>
    </row>
    <row r="107">
      <c r="F107" s="14"/>
      <c r="G107" s="13" t="str">
        <f t="array" ref="G107">iferror(XLOOKUP(A107,'Download of SFDC Activation Rep'!B:B,'Download of SFDC Activation Rep'!H:H),"")</f>
        <v>Active</v>
      </c>
      <c r="H107" s="13" t="str">
        <f t="array" ref="H107">iferror(xlookup(A107,'Download of SFDC Activation Rep'!B:B,'Download of SFDC Activation Rep'!L:L),"")</f>
        <v/>
      </c>
      <c r="I107" s="17" t="str">
        <f t="shared" si="2"/>
        <v>Active</v>
      </c>
      <c r="J107" s="17" t="str">
        <f t="array" ref="J107">XLOOKUP(A107,'Download of SFDC Activation Rep'!B:B,'Download of SFDC Activation Rep'!T:T)</f>
        <v>006UU00000M3cby</v>
      </c>
      <c r="K107" s="17" t="str">
        <f t="array" ref="K107">iferror(XLOOKUP(A107,'Download of SFDC Activation Rep'!B:B,'Download of SFDC Activation Rep'!C:C),"")</f>
        <v>Empire Consulting Group, Inc.</v>
      </c>
    </row>
    <row r="108">
      <c r="F108" s="14"/>
      <c r="G108" s="13" t="str">
        <f t="array" ref="G108">iferror(XLOOKUP(A108,'Download of SFDC Activation Rep'!B:B,'Download of SFDC Activation Rep'!H:H),"")</f>
        <v>Active</v>
      </c>
      <c r="H108" s="13" t="str">
        <f t="array" ref="H108">iferror(xlookup(A108,'Download of SFDC Activation Rep'!B:B,'Download of SFDC Activation Rep'!L:L),"")</f>
        <v/>
      </c>
      <c r="I108" s="17" t="str">
        <f t="shared" si="2"/>
        <v>Active</v>
      </c>
      <c r="J108" s="17" t="str">
        <f t="array" ref="J108">XLOOKUP(A108,'Download of SFDC Activation Rep'!B:B,'Download of SFDC Activation Rep'!T:T)</f>
        <v>006UU00000MU72b</v>
      </c>
      <c r="K108" s="17" t="str">
        <f t="array" ref="K108">iferror(XLOOKUP(A108,'Download of SFDC Activation Rep'!B:B,'Download of SFDC Activation Rep'!C:C),"")</f>
        <v>Buescher Ranch</v>
      </c>
    </row>
    <row r="109">
      <c r="F109" s="14"/>
      <c r="G109" s="13" t="str">
        <f t="array" ref="G109">iferror(XLOOKUP(A109,'Download of SFDC Activation Rep'!B:B,'Download of SFDC Activation Rep'!H:H),"")</f>
        <v>Active</v>
      </c>
      <c r="H109" s="13" t="str">
        <f t="array" ref="H109">iferror(xlookup(A109,'Download of SFDC Activation Rep'!B:B,'Download of SFDC Activation Rep'!L:L),"")</f>
        <v/>
      </c>
      <c r="I109" s="17" t="str">
        <f t="shared" si="2"/>
        <v>Active</v>
      </c>
      <c r="J109" s="17" t="str">
        <f t="array" ref="J109">XLOOKUP(A109,'Download of SFDC Activation Rep'!B:B,'Download of SFDC Activation Rep'!T:T)</f>
        <v>006UU00000MGsar</v>
      </c>
      <c r="K109" s="17" t="str">
        <f t="array" ref="K109">iferror(XLOOKUP(A109,'Download of SFDC Activation Rep'!B:B,'Download of SFDC Activation Rep'!C:C),"")</f>
        <v>Protagenic Therapeutics, Inc.</v>
      </c>
    </row>
    <row r="110">
      <c r="F110" s="34">
        <f t="shared" ref="F110:F111" si="15">B110/D110</f>
        <v>-0.000009226666667</v>
      </c>
      <c r="G110" s="13" t="str">
        <f t="array" ref="G110">iferror(XLOOKUP(A110,'Download of SFDC Activation Rep'!B:B,'Download of SFDC Activation Rep'!H:H),"")</f>
        <v/>
      </c>
      <c r="H110" s="13" t="str">
        <f t="array" ref="H110">iferror(xlookup(A110,'Download of SFDC Activation Rep'!B:B,'Download of SFDC Activation Rep'!L:L),"")</f>
        <v>Churned</v>
      </c>
      <c r="I110" s="17" t="str">
        <f t="shared" si="2"/>
        <v>Not Active</v>
      </c>
      <c r="J110" s="17" t="str">
        <f t="array" ref="J110">XLOOKUP(A110,'Download of SFDC Activation Rep'!B:B,'Download of SFDC Activation Rep'!T:T)</f>
        <v>006UU00000MObwF</v>
      </c>
      <c r="K110" s="17" t="str">
        <f t="array" ref="K110">iferror(XLOOKUP(A110,'Download of SFDC Activation Rep'!B:B,'Download of SFDC Activation Rep'!C:C),"")</f>
        <v>Wildfire Labs</v>
      </c>
    </row>
    <row r="111">
      <c r="F111" s="34">
        <f t="shared" si="15"/>
        <v>0.02885024155</v>
      </c>
      <c r="G111" s="13" t="str">
        <f t="array" ref="G111">iferror(XLOOKUP(A111,'Download of SFDC Activation Rep'!B:B,'Download of SFDC Activation Rep'!H:H),"")</f>
        <v/>
      </c>
      <c r="H111" s="13" t="str">
        <f t="array" ref="H111">iferror(xlookup(A111,'Download of SFDC Activation Rep'!B:B,'Download of SFDC Activation Rep'!L:L),"")</f>
        <v>Churned</v>
      </c>
      <c r="I111" s="17" t="str">
        <f t="shared" si="2"/>
        <v>Not Active</v>
      </c>
      <c r="J111" s="17" t="str">
        <f t="array" ref="J111">XLOOKUP(A111,'Download of SFDC Activation Rep'!B:B,'Download of SFDC Activation Rep'!T:T)</f>
        <v>006UU00000MD0oj</v>
      </c>
      <c r="K111" s="17" t="str">
        <f t="array" ref="K111">iferror(XLOOKUP(A111,'Download of SFDC Activation Rep'!B:B,'Download of SFDC Activation Rep'!C:C),"")</f>
        <v>Ultra Stretch Professional inc.</v>
      </c>
    </row>
    <row r="112">
      <c r="F112" s="14"/>
      <c r="G112" s="13" t="str">
        <f t="array" ref="G112">iferror(XLOOKUP(A112,'Download of SFDC Activation Rep'!B:B,'Download of SFDC Activation Rep'!H:H),"")</f>
        <v>Churned</v>
      </c>
      <c r="H112" s="13" t="str">
        <f t="array" ref="H112">iferror(xlookup(A112,'Download of SFDC Activation Rep'!B:B,'Download of SFDC Activation Rep'!L:L),"")</f>
        <v>Active</v>
      </c>
      <c r="I112" s="17" t="str">
        <f t="shared" si="2"/>
        <v>Active</v>
      </c>
      <c r="J112" s="17" t="str">
        <f t="array" ref="J112">XLOOKUP(A112,'Download of SFDC Activation Rep'!B:B,'Download of SFDC Activation Rep'!T:T)</f>
        <v>006UU00000MmdC5</v>
      </c>
      <c r="K112" s="17" t="str">
        <f t="array" ref="K112">iferror(XLOOKUP(A112,'Download of SFDC Activation Rep'!B:B,'Download of SFDC Activation Rep'!C:C),"")</f>
        <v>International Marine Products</v>
      </c>
    </row>
    <row r="113">
      <c r="F113" s="14"/>
      <c r="G113" s="13" t="str">
        <f t="array" ref="G113">iferror(XLOOKUP(A113,'Download of SFDC Activation Rep'!B:B,'Download of SFDC Activation Rep'!H:H),"")</f>
        <v>Churned</v>
      </c>
      <c r="H113" s="13" t="str">
        <f t="array" ref="H113">iferror(xlookup(A113,'Download of SFDC Activation Rep'!B:B,'Download of SFDC Activation Rep'!L:L),"")</f>
        <v/>
      </c>
      <c r="I113" s="17" t="str">
        <f t="shared" si="2"/>
        <v>Not Active</v>
      </c>
      <c r="J113" s="17" t="str">
        <f t="array" ref="J113">XLOOKUP(A113,'Download of SFDC Activation Rep'!B:B,'Download of SFDC Activation Rep'!T:T)</f>
        <v>006UU00000MQVmf</v>
      </c>
      <c r="K113" s="17" t="str">
        <f t="array" ref="K113">iferror(XLOOKUP(A113,'Download of SFDC Activation Rep'!B:B,'Download of SFDC Activation Rep'!C:C),"")</f>
        <v>Mayfield Scientific, LLC</v>
      </c>
    </row>
    <row r="114">
      <c r="F114" s="34">
        <f>B114/D114</f>
        <v>0.004704343292</v>
      </c>
      <c r="G114" s="13" t="str">
        <f t="array" ref="G114">iferror(XLOOKUP(A114,'Download of SFDC Activation Rep'!B:B,'Download of SFDC Activation Rep'!H:H),"")</f>
        <v>Active</v>
      </c>
      <c r="H114" s="13" t="str">
        <f t="array" ref="H114">iferror(xlookup(A114,'Download of SFDC Activation Rep'!B:B,'Download of SFDC Activation Rep'!L:L),"")</f>
        <v/>
      </c>
      <c r="I114" s="17" t="str">
        <f t="shared" si="2"/>
        <v>Active</v>
      </c>
      <c r="J114" s="17" t="str">
        <f t="array" ref="J114">XLOOKUP(A114,'Download of SFDC Activation Rep'!B:B,'Download of SFDC Activation Rep'!T:T)</f>
        <v>006UU00000LlvrZ</v>
      </c>
      <c r="K114" s="17" t="str">
        <f t="array" ref="K114">iferror(XLOOKUP(A114,'Download of SFDC Activation Rep'!B:B,'Download of SFDC Activation Rep'!C:C),"")</f>
        <v>Texas Winds Musical Outreach</v>
      </c>
    </row>
    <row r="115">
      <c r="F115" s="14"/>
      <c r="G115" s="13" t="str">
        <f t="array" ref="G115">iferror(XLOOKUP(A115,'Download of SFDC Activation Rep'!B:B,'Download of SFDC Activation Rep'!H:H),"")</f>
        <v>Churned</v>
      </c>
      <c r="H115" s="13" t="str">
        <f t="array" ref="H115">iferror(xlookup(A115,'Download of SFDC Activation Rep'!B:B,'Download of SFDC Activation Rep'!L:L),"")</f>
        <v/>
      </c>
      <c r="I115" s="17" t="str">
        <f t="shared" si="2"/>
        <v>Not Active</v>
      </c>
      <c r="J115" s="17" t="str">
        <f t="array" ref="J115">XLOOKUP(A115,'Download of SFDC Activation Rep'!B:B,'Download of SFDC Activation Rep'!T:T)</f>
        <v>006UU00000Lzmja</v>
      </c>
      <c r="K115" s="17" t="str">
        <f t="array" ref="K115">iferror(XLOOKUP(A115,'Download of SFDC Activation Rep'!B:B,'Download of SFDC Activation Rep'!C:C),"")</f>
        <v>St. Anthony's High School</v>
      </c>
    </row>
    <row r="116">
      <c r="F116" s="34">
        <f t="shared" ref="F116:F119" si="16">B116/D116</f>
        <v>0.0001296592593</v>
      </c>
      <c r="G116" s="13" t="str">
        <f t="array" ref="G116">iferror(XLOOKUP(A116,'Download of SFDC Activation Rep'!B:B,'Download of SFDC Activation Rep'!H:H),"")</f>
        <v>Active</v>
      </c>
      <c r="H116" s="13" t="str">
        <f t="array" ref="H116">iferror(xlookup(A116,'Download of SFDC Activation Rep'!B:B,'Download of SFDC Activation Rep'!L:L),"")</f>
        <v/>
      </c>
      <c r="I116" s="17" t="str">
        <f t="shared" si="2"/>
        <v>Active</v>
      </c>
      <c r="J116" s="17" t="str">
        <f t="array" ref="J116">XLOOKUP(A116,'Download of SFDC Activation Rep'!B:B,'Download of SFDC Activation Rep'!T:T)</f>
        <v>006UU00000MQpn1</v>
      </c>
      <c r="K116" s="17" t="str">
        <f t="array" ref="K116">iferror(XLOOKUP(A116,'Download of SFDC Activation Rep'!B:B,'Download of SFDC Activation Rep'!C:C),"")</f>
        <v>Fort Comfort Services</v>
      </c>
    </row>
    <row r="117">
      <c r="F117" s="34">
        <f t="shared" si="16"/>
        <v>0.006027704081</v>
      </c>
      <c r="G117" s="13" t="str">
        <f t="array" ref="G117">iferror(XLOOKUP(A117,'Download of SFDC Activation Rep'!B:B,'Download of SFDC Activation Rep'!H:H),"")</f>
        <v/>
      </c>
      <c r="H117" s="13" t="str">
        <f t="array" ref="H117">iferror(xlookup(A117,'Download of SFDC Activation Rep'!B:B,'Download of SFDC Activation Rep'!L:L),"")</f>
        <v>Active</v>
      </c>
      <c r="I117" s="17" t="str">
        <f t="shared" si="2"/>
        <v>Active</v>
      </c>
      <c r="J117" s="17" t="str">
        <f t="array" ref="J117">XLOOKUP(A117,'Download of SFDC Activation Rep'!B:B,'Download of SFDC Activation Rep'!T:T)</f>
        <v>006UU00000LSvAX</v>
      </c>
      <c r="K117" s="17" t="str">
        <f t="array" ref="K117">iferror(XLOOKUP(A117,'Download of SFDC Activation Rep'!B:B,'Download of SFDC Activation Rep'!C:C),"")</f>
        <v>Rippa USA Sales LLC.</v>
      </c>
    </row>
    <row r="118">
      <c r="F118" s="34">
        <f t="shared" si="16"/>
        <v>0.005502501528</v>
      </c>
      <c r="G118" s="13" t="str">
        <f t="array" ref="G118">iferror(XLOOKUP(A118,'Download of SFDC Activation Rep'!B:B,'Download of SFDC Activation Rep'!H:H),"")</f>
        <v>Active</v>
      </c>
      <c r="H118" s="13" t="str">
        <f t="array" ref="H118">iferror(xlookup(A118,'Download of SFDC Activation Rep'!B:B,'Download of SFDC Activation Rep'!L:L),"")</f>
        <v/>
      </c>
      <c r="I118" s="17" t="str">
        <f t="shared" si="2"/>
        <v>Active</v>
      </c>
      <c r="J118" s="17" t="str">
        <f t="array" ref="J118">XLOOKUP(A118,'Download of SFDC Activation Rep'!B:B,'Download of SFDC Activation Rep'!T:T)</f>
        <v>006VT00000n13XW</v>
      </c>
      <c r="K118" s="17" t="str">
        <f t="array" ref="K118">iferror(XLOOKUP(A118,'Download of SFDC Activation Rep'!B:B,'Download of SFDC Activation Rep'!C:C),"")</f>
        <v>2Work</v>
      </c>
    </row>
    <row r="119">
      <c r="F119" s="34">
        <f t="shared" si="16"/>
        <v>0.001303255641</v>
      </c>
      <c r="G119" s="13" t="str">
        <f t="array" ref="G119">iferror(XLOOKUP(A119,'Download of SFDC Activation Rep'!B:B,'Download of SFDC Activation Rep'!H:H),"")</f>
        <v>Active</v>
      </c>
      <c r="H119" s="13" t="str">
        <f t="array" ref="H119">iferror(xlookup(A119,'Download of SFDC Activation Rep'!B:B,'Download of SFDC Activation Rep'!L:L),"")</f>
        <v/>
      </c>
      <c r="I119" s="17" t="str">
        <f t="shared" si="2"/>
        <v>Active</v>
      </c>
      <c r="J119" s="17" t="str">
        <f t="array" ref="J119">XLOOKUP(A119,'Download of SFDC Activation Rep'!B:B,'Download of SFDC Activation Rep'!T:T)</f>
        <v>006UU00000MpXyA</v>
      </c>
      <c r="K119" s="17" t="str">
        <f t="array" ref="K119">iferror(XLOOKUP(A119,'Download of SFDC Activation Rep'!B:B,'Download of SFDC Activation Rep'!C:C),"")</f>
        <v>UC Gelato llc</v>
      </c>
    </row>
    <row r="120">
      <c r="F120" s="14"/>
      <c r="G120" s="13" t="str">
        <f t="array" ref="G120">iferror(XLOOKUP(A120,'Download of SFDC Activation Rep'!B:B,'Download of SFDC Activation Rep'!H:H),"")</f>
        <v>Active</v>
      </c>
      <c r="H120" s="13" t="str">
        <f t="array" ref="H120">iferror(xlookup(A120,'Download of SFDC Activation Rep'!B:B,'Download of SFDC Activation Rep'!L:L),"")</f>
        <v/>
      </c>
      <c r="I120" s="17" t="str">
        <f t="shared" si="2"/>
        <v>Active</v>
      </c>
      <c r="J120" s="17" t="str">
        <f t="array" ref="J120">XLOOKUP(A120,'Download of SFDC Activation Rep'!B:B,'Download of SFDC Activation Rep'!T:T)</f>
        <v>006UU00000LTAki</v>
      </c>
      <c r="K120" s="17" t="str">
        <f t="array" ref="K120">iferror(XLOOKUP(A120,'Download of SFDC Activation Rep'!B:B,'Download of SFDC Activation Rep'!C:C),"")</f>
        <v>TecTeam LLC</v>
      </c>
    </row>
    <row r="121">
      <c r="F121" s="14"/>
      <c r="G121" s="13" t="str">
        <f t="array" ref="G121">iferror(XLOOKUP(A121,'Download of SFDC Activation Rep'!B:B,'Download of SFDC Activation Rep'!H:H),"")</f>
        <v>Active</v>
      </c>
      <c r="H121" s="13" t="str">
        <f t="array" ref="H121">iferror(xlookup(A121,'Download of SFDC Activation Rep'!B:B,'Download of SFDC Activation Rep'!L:L),"")</f>
        <v/>
      </c>
      <c r="I121" s="17" t="str">
        <f t="shared" si="2"/>
        <v>Active</v>
      </c>
      <c r="J121" s="17" t="str">
        <f t="array" ref="J121">XLOOKUP(A121,'Download of SFDC Activation Rep'!B:B,'Download of SFDC Activation Rep'!T:T)</f>
        <v>006UU00000MATSH</v>
      </c>
      <c r="K121" s="17" t="str">
        <f t="array" ref="K121">iferror(XLOOKUP(A121,'Download of SFDC Activation Rep'!B:B,'Download of SFDC Activation Rep'!C:C),"")</f>
        <v>ProsperaGate LLC</v>
      </c>
    </row>
    <row r="122">
      <c r="F122" s="14"/>
      <c r="G122" s="13" t="str">
        <f t="array" ref="G122">iferror(XLOOKUP(A122,'Download of SFDC Activation Rep'!B:B,'Download of SFDC Activation Rep'!H:H),"")</f>
        <v/>
      </c>
      <c r="H122" s="13" t="str">
        <f t="array" ref="H122">iferror(xlookup(A122,'Download of SFDC Activation Rep'!B:B,'Download of SFDC Activation Rep'!L:L),"")</f>
        <v>Active</v>
      </c>
      <c r="I122" s="17" t="str">
        <f t="shared" si="2"/>
        <v>Active</v>
      </c>
      <c r="J122" s="17" t="str">
        <f t="array" ref="J122">XLOOKUP(A122,'Download of SFDC Activation Rep'!B:B,'Download of SFDC Activation Rep'!T:T)</f>
        <v>006UU00000LzkrI</v>
      </c>
      <c r="K122" s="17" t="str">
        <f t="array" ref="K122">iferror(XLOOKUP(A122,'Download of SFDC Activation Rep'!B:B,'Download of SFDC Activation Rep'!C:C),"")</f>
        <v>Southside Mighty of Chicago</v>
      </c>
    </row>
    <row r="123">
      <c r="F123" s="34">
        <f>B123/D123</f>
        <v>0.009863563143</v>
      </c>
      <c r="G123" s="13" t="str">
        <f t="array" ref="G123">iferror(XLOOKUP(A123,'Download of SFDC Activation Rep'!B:B,'Download of SFDC Activation Rep'!H:H),"")</f>
        <v>Churned</v>
      </c>
      <c r="H123" s="13" t="str">
        <f t="array" ref="H123">iferror(xlookup(A123,'Download of SFDC Activation Rep'!B:B,'Download of SFDC Activation Rep'!L:L),"")</f>
        <v/>
      </c>
      <c r="I123" s="17" t="str">
        <f t="shared" si="2"/>
        <v>Not Active</v>
      </c>
      <c r="J123" s="17" t="str">
        <f t="array" ref="J123">XLOOKUP(A123,'Download of SFDC Activation Rep'!B:B,'Download of SFDC Activation Rep'!T:T)</f>
        <v>006UU00000MOpnu</v>
      </c>
      <c r="K123" s="17" t="str">
        <f t="array" ref="K123">iferror(XLOOKUP(A123,'Download of SFDC Activation Rep'!B:B,'Download of SFDC Activation Rep'!C:C),"")</f>
        <v>Shingle Creek Industries, LLC</v>
      </c>
    </row>
    <row r="124">
      <c r="F124" s="14"/>
      <c r="G124" s="13" t="str">
        <f t="array" ref="G124">iferror(XLOOKUP(A124,'Download of SFDC Activation Rep'!B:B,'Download of SFDC Activation Rep'!H:H),"")</f>
        <v>Churned</v>
      </c>
      <c r="H124" s="13" t="str">
        <f t="array" ref="H124">iferror(xlookup(A124,'Download of SFDC Activation Rep'!B:B,'Download of SFDC Activation Rep'!L:L),"")</f>
        <v/>
      </c>
      <c r="I124" s="17" t="str">
        <f t="shared" si="2"/>
        <v>Not Active</v>
      </c>
      <c r="J124" s="17" t="str">
        <f t="array" ref="J124">XLOOKUP(A124,'Download of SFDC Activation Rep'!B:B,'Download of SFDC Activation Rep'!T:T)</f>
        <v>006UU00000MDrEj</v>
      </c>
      <c r="K124" s="17" t="str">
        <f t="array" ref="K124">iferror(XLOOKUP(A124,'Download of SFDC Activation Rep'!B:B,'Download of SFDC Activation Rep'!C:C),"")</f>
        <v>COR Equipment, LLC</v>
      </c>
    </row>
    <row r="125">
      <c r="F125" s="34">
        <f t="shared" ref="F125:F127" si="17">B125/D125</f>
        <v>0.0001056862344</v>
      </c>
      <c r="G125" s="13" t="str">
        <f t="array" ref="G125">iferror(XLOOKUP(A125,'Download of SFDC Activation Rep'!B:B,'Download of SFDC Activation Rep'!H:H),"")</f>
        <v>Churned</v>
      </c>
      <c r="H125" s="13" t="str">
        <f t="array" ref="H125">iferror(xlookup(A125,'Download of SFDC Activation Rep'!B:B,'Download of SFDC Activation Rep'!L:L),"")</f>
        <v/>
      </c>
      <c r="I125" s="17" t="str">
        <f t="shared" si="2"/>
        <v>Not Active</v>
      </c>
      <c r="J125" s="17" t="str">
        <f t="array" ref="J125">XLOOKUP(A125,'Download of SFDC Activation Rep'!B:B,'Download of SFDC Activation Rep'!T:T)</f>
        <v>006UU00000L8MCA</v>
      </c>
      <c r="K125" s="17" t="str">
        <f t="array" ref="K125">iferror(XLOOKUP(A125,'Download of SFDC Activation Rep'!B:B,'Download of SFDC Activation Rep'!C:C),"")</f>
        <v>ROC Steel, LLC</v>
      </c>
    </row>
    <row r="126">
      <c r="F126" s="34">
        <f t="shared" si="17"/>
        <v>0.003532049762</v>
      </c>
      <c r="G126" s="13" t="str">
        <f t="array" ref="G126">iferror(XLOOKUP(A126,'Download of SFDC Activation Rep'!B:B,'Download of SFDC Activation Rep'!H:H),"")</f>
        <v>Active</v>
      </c>
      <c r="H126" s="13" t="str">
        <f t="array" ref="H126">iferror(xlookup(A126,'Download of SFDC Activation Rep'!B:B,'Download of SFDC Activation Rep'!L:L),"")</f>
        <v/>
      </c>
      <c r="I126" s="17" t="str">
        <f t="shared" si="2"/>
        <v>Active</v>
      </c>
      <c r="J126" s="17" t="str">
        <f t="array" ref="J126">XLOOKUP(A126,'Download of SFDC Activation Rep'!B:B,'Download of SFDC Activation Rep'!T:T)</f>
        <v>006UU00000LKXgU</v>
      </c>
      <c r="K126" s="17" t="str">
        <f t="array" ref="K126">iferror(XLOOKUP(A126,'Download of SFDC Activation Rep'!B:B,'Download of SFDC Activation Rep'!C:C),"")</f>
        <v>MJM Construction</v>
      </c>
    </row>
    <row r="127">
      <c r="F127" s="34">
        <f t="shared" si="17"/>
        <v>-0.005536333333</v>
      </c>
      <c r="G127" s="13" t="str">
        <f t="array" ref="G127">iferror(XLOOKUP(A127,'Download of SFDC Activation Rep'!B:B,'Download of SFDC Activation Rep'!H:H),"")</f>
        <v>Churned</v>
      </c>
      <c r="H127" s="13" t="str">
        <f t="array" ref="H127">iferror(xlookup(A127,'Download of SFDC Activation Rep'!B:B,'Download of SFDC Activation Rep'!L:L),"")</f>
        <v/>
      </c>
      <c r="I127" s="17" t="str">
        <f t="shared" si="2"/>
        <v>Not Active</v>
      </c>
      <c r="J127" s="17" t="str">
        <f t="array" ref="J127">XLOOKUP(A127,'Download of SFDC Activation Rep'!B:B,'Download of SFDC Activation Rep'!T:T)</f>
        <v>006UU00000MQqfq</v>
      </c>
      <c r="K127" s="17" t="str">
        <f t="array" ref="K127">iferror(XLOOKUP(A127,'Download of SFDC Activation Rep'!B:B,'Download of SFDC Activation Rep'!C:C),"")</f>
        <v>Texas Care South Wayside</v>
      </c>
    </row>
    <row r="128">
      <c r="F128" s="14"/>
      <c r="G128" s="13" t="str">
        <f t="array" ref="G128">iferror(XLOOKUP(A128,'Download of SFDC Activation Rep'!B:B,'Download of SFDC Activation Rep'!H:H),"")</f>
        <v/>
      </c>
      <c r="H128" s="13" t="str">
        <f t="array" ref="H128">iferror(xlookup(A128,'Download of SFDC Activation Rep'!B:B,'Download of SFDC Activation Rep'!L:L),"")</f>
        <v>Active</v>
      </c>
      <c r="I128" s="17" t="str">
        <f t="shared" si="2"/>
        <v>Active</v>
      </c>
      <c r="J128" s="17" t="str">
        <f t="array" ref="J128">XLOOKUP(A128,'Download of SFDC Activation Rep'!B:B,'Download of SFDC Activation Rep'!T:T)</f>
        <v>006UU00000LzkrH</v>
      </c>
      <c r="K128" s="17" t="str">
        <f t="array" ref="K128">iferror(XLOOKUP(A128,'Download of SFDC Activation Rep'!B:B,'Download of SFDC Activation Rep'!C:C),"")</f>
        <v>PC Enterprises</v>
      </c>
    </row>
    <row r="129">
      <c r="F129" s="14"/>
      <c r="G129" s="13" t="str">
        <f t="array" ref="G129">iferror(XLOOKUP(A129,'Download of SFDC Activation Rep'!B:B,'Download of SFDC Activation Rep'!H:H),"")</f>
        <v/>
      </c>
      <c r="H129" s="13" t="str">
        <f t="array" ref="H129">iferror(xlookup(A129,'Download of SFDC Activation Rep'!B:B,'Download of SFDC Activation Rep'!L:L),"")</f>
        <v>Active</v>
      </c>
      <c r="I129" s="17" t="str">
        <f t="shared" si="2"/>
        <v>Active</v>
      </c>
      <c r="J129" s="17" t="str">
        <f t="array" ref="J129">XLOOKUP(A129,'Download of SFDC Activation Rep'!B:B,'Download of SFDC Activation Rep'!T:T)</f>
        <v>006UU00000LzkrK</v>
      </c>
      <c r="K129" s="17" t="str">
        <f t="array" ref="K129">iferror(XLOOKUP(A129,'Download of SFDC Activation Rep'!B:B,'Download of SFDC Activation Rep'!C:C),"")</f>
        <v>Mighty of Arizona</v>
      </c>
    </row>
    <row r="130">
      <c r="F130" s="14"/>
      <c r="G130" s="13" t="str">
        <f t="array" ref="G130">iferror(XLOOKUP(A130,'Download of SFDC Activation Rep'!B:B,'Download of SFDC Activation Rep'!H:H),"")</f>
        <v/>
      </c>
      <c r="H130" s="13" t="str">
        <f t="array" ref="H130">iferror(xlookup(A130,'Download of SFDC Activation Rep'!B:B,'Download of SFDC Activation Rep'!L:L),"")</f>
        <v>Active</v>
      </c>
      <c r="I130" s="17" t="str">
        <f t="shared" si="2"/>
        <v>Active</v>
      </c>
      <c r="J130" s="17" t="str">
        <f t="array" ref="J130">XLOOKUP(A130,'Download of SFDC Activation Rep'!B:B,'Download of SFDC Activation Rep'!T:T)</f>
        <v>006UU00000Lzmjm</v>
      </c>
      <c r="K130" s="17" t="str">
        <f t="array" ref="K130">iferror(XLOOKUP(A130,'Download of SFDC Activation Rep'!B:B,'Download of SFDC Activation Rep'!C:C),"")</f>
        <v>Knorr Marketing</v>
      </c>
    </row>
    <row r="131">
      <c r="F131" s="14"/>
      <c r="G131" s="13" t="str">
        <f t="array" ref="G131">iferror(XLOOKUP(A131,'Download of SFDC Activation Rep'!B:B,'Download of SFDC Activation Rep'!H:H),"")</f>
        <v>Active</v>
      </c>
      <c r="H131" s="13" t="str">
        <f t="array" ref="H131">iferror(xlookup(A131,'Download of SFDC Activation Rep'!B:B,'Download of SFDC Activation Rep'!L:L),"")</f>
        <v/>
      </c>
      <c r="I131" s="17" t="str">
        <f t="shared" si="2"/>
        <v>Active</v>
      </c>
      <c r="J131" s="17" t="str">
        <f t="array" ref="J131">XLOOKUP(A131,'Download of SFDC Activation Rep'!B:B,'Download of SFDC Activation Rep'!T:T)</f>
        <v>006UU00000L4wu9</v>
      </c>
      <c r="K131" s="17" t="str">
        <f t="array" ref="K131">iferror(XLOOKUP(A131,'Download of SFDC Activation Rep'!B:B,'Download of SFDC Activation Rep'!C:C),"")</f>
        <v>Places to Age</v>
      </c>
    </row>
    <row r="132">
      <c r="F132" s="14"/>
      <c r="G132" s="13" t="str">
        <f t="array" ref="G132">iferror(XLOOKUP(A132,'Download of SFDC Activation Rep'!B:B,'Download of SFDC Activation Rep'!H:H),"")</f>
        <v>Churned</v>
      </c>
      <c r="H132" s="13" t="str">
        <f t="array" ref="H132">iferror(xlookup(A132,'Download of SFDC Activation Rep'!B:B,'Download of SFDC Activation Rep'!L:L),"")</f>
        <v/>
      </c>
      <c r="I132" s="17" t="str">
        <f t="shared" si="2"/>
        <v>Not Active</v>
      </c>
      <c r="J132" s="17" t="str">
        <f t="array" ref="J132">XLOOKUP(A132,'Download of SFDC Activation Rep'!B:B,'Download of SFDC Activation Rep'!T:T)</f>
        <v>006UU00000Lzkqt</v>
      </c>
      <c r="K132" s="17" t="str">
        <f t="array" ref="K132">iferror(XLOOKUP(A132,'Download of SFDC Activation Rep'!B:B,'Download of SFDC Activation Rep'!C:C),"")</f>
        <v>Hope Harbor Partners OKC LP</v>
      </c>
    </row>
    <row r="133">
      <c r="F133" s="14"/>
      <c r="G133" s="13" t="str">
        <f t="array" ref="G133">iferror(XLOOKUP(A133,'Download of SFDC Activation Rep'!B:B,'Download of SFDC Activation Rep'!H:H),"")</f>
        <v>Active</v>
      </c>
      <c r="H133" s="13" t="str">
        <f t="array" ref="H133">iferror(xlookup(A133,'Download of SFDC Activation Rep'!B:B,'Download of SFDC Activation Rep'!L:L),"")</f>
        <v>Inactive</v>
      </c>
      <c r="I133" s="17" t="str">
        <f t="shared" si="2"/>
        <v>Active</v>
      </c>
      <c r="J133" s="17" t="str">
        <f t="array" ref="J133">XLOOKUP(A133,'Download of SFDC Activation Rep'!B:B,'Download of SFDC Activation Rep'!T:T)</f>
        <v>006UU00000Lzmjh</v>
      </c>
      <c r="K133" s="17" t="str">
        <f t="array" ref="K133">iferror(XLOOKUP(A133,'Download of SFDC Activation Rep'!B:B,'Download of SFDC Activation Rep'!C:C),"")</f>
        <v>ClearBlu Environmental</v>
      </c>
    </row>
    <row r="134">
      <c r="F134" s="34">
        <f t="shared" ref="F134:F136" si="18">B134/D134</f>
        <v>0.005864333333</v>
      </c>
      <c r="G134" s="13" t="str">
        <f t="array" ref="G134">iferror(XLOOKUP(A134,'Download of SFDC Activation Rep'!B:B,'Download of SFDC Activation Rep'!H:H),"")</f>
        <v>Churned</v>
      </c>
      <c r="H134" s="13" t="str">
        <f t="array" ref="H134">iferror(xlookup(A134,'Download of SFDC Activation Rep'!B:B,'Download of SFDC Activation Rep'!L:L),"")</f>
        <v/>
      </c>
      <c r="I134" s="17" t="str">
        <f t="shared" si="2"/>
        <v>Not Active</v>
      </c>
      <c r="J134" s="17" t="str">
        <f t="array" ref="J134">XLOOKUP(A134,'Download of SFDC Activation Rep'!B:B,'Download of SFDC Activation Rep'!T:T)</f>
        <v>006UU00000Lzkr1</v>
      </c>
      <c r="K134" s="17" t="str">
        <f t="array" ref="K134">iferror(XLOOKUP(A134,'Download of SFDC Activation Rep'!B:B,'Download of SFDC Activation Rep'!C:C),"")</f>
        <v>Superculture LLC</v>
      </c>
    </row>
    <row r="135">
      <c r="F135" s="34">
        <f t="shared" si="18"/>
        <v>0.005582028987</v>
      </c>
      <c r="G135" s="13" t="str">
        <f t="array" ref="G135">iferror(XLOOKUP(A135,'Download of SFDC Activation Rep'!B:B,'Download of SFDC Activation Rep'!H:H),"")</f>
        <v/>
      </c>
      <c r="H135" s="13" t="str">
        <f t="array" ref="H135">iferror(xlookup(A135,'Download of SFDC Activation Rep'!B:B,'Download of SFDC Activation Rep'!L:L),"")</f>
        <v>Active</v>
      </c>
      <c r="I135" s="17" t="str">
        <f t="shared" si="2"/>
        <v>Active</v>
      </c>
      <c r="J135" s="17" t="str">
        <f t="array" ref="J135">XLOOKUP(A135,'Download of SFDC Activation Rep'!B:B,'Download of SFDC Activation Rep'!T:T)</f>
        <v>006UU00000N29OX</v>
      </c>
      <c r="K135" s="17" t="str">
        <f t="array" ref="K135">iferror(XLOOKUP(A135,'Download of SFDC Activation Rep'!B:B,'Download of SFDC Activation Rep'!C:C),"")</f>
        <v>Vivex Biologics, Inc.</v>
      </c>
    </row>
    <row r="136">
      <c r="F136" s="34">
        <f t="shared" si="18"/>
        <v>0.001650514286</v>
      </c>
      <c r="G136" s="13" t="str">
        <f t="array" ref="G136">iferror(XLOOKUP(A136,'Download of SFDC Activation Rep'!B:B,'Download of SFDC Activation Rep'!H:H),"")</f>
        <v>Churned</v>
      </c>
      <c r="H136" s="13" t="str">
        <f t="array" ref="H136">iferror(xlookup(A136,'Download of SFDC Activation Rep'!B:B,'Download of SFDC Activation Rep'!L:L),"")</f>
        <v/>
      </c>
      <c r="I136" s="17" t="str">
        <f t="shared" si="2"/>
        <v>Not Active</v>
      </c>
      <c r="J136" s="17" t="str">
        <f t="array" ref="J136">XLOOKUP(A136,'Download of SFDC Activation Rep'!B:B,'Download of SFDC Activation Rep'!T:T)</f>
        <v>006UU00000MQpmz</v>
      </c>
      <c r="K136" s="17" t="str">
        <f t="array" ref="K136">iferror(XLOOKUP(A136,'Download of SFDC Activation Rep'!B:B,'Download of SFDC Activation Rep'!C:C),"")</f>
        <v>Aespire Global LLC</v>
      </c>
    </row>
    <row r="137">
      <c r="F137" s="14"/>
      <c r="G137" s="13" t="str">
        <f t="array" ref="G137">iferror(XLOOKUP(A137,'Download of SFDC Activation Rep'!B:B,'Download of SFDC Activation Rep'!H:H),"")</f>
        <v>Active</v>
      </c>
      <c r="H137" s="13" t="str">
        <f t="array" ref="H137">iferror(xlookup(A137,'Download of SFDC Activation Rep'!B:B,'Download of SFDC Activation Rep'!L:L),"")</f>
        <v/>
      </c>
      <c r="I137" s="17" t="str">
        <f t="shared" si="2"/>
        <v>Active</v>
      </c>
      <c r="J137" s="17" t="str">
        <f t="array" ref="J137">XLOOKUP(A137,'Download of SFDC Activation Rep'!B:B,'Download of SFDC Activation Rep'!T:T)</f>
        <v>006UU00000LzrZs</v>
      </c>
      <c r="K137" s="17" t="str">
        <f t="array" ref="K137">iferror(XLOOKUP(A137,'Download of SFDC Activation Rep'!B:B,'Download of SFDC Activation Rep'!C:C),"")</f>
        <v>Net Conversion</v>
      </c>
    </row>
    <row r="138">
      <c r="F138" s="34">
        <f>B138/D138</f>
        <v>0.002799783715</v>
      </c>
      <c r="G138" s="13" t="str">
        <f t="array" ref="G138">iferror(XLOOKUP(A138,'Download of SFDC Activation Rep'!B:B,'Download of SFDC Activation Rep'!H:H),"")</f>
        <v>Churned</v>
      </c>
      <c r="H138" s="13" t="str">
        <f t="array" ref="H138">iferror(xlookup(A138,'Download of SFDC Activation Rep'!B:B,'Download of SFDC Activation Rep'!L:L),"")</f>
        <v/>
      </c>
      <c r="I138" s="17" t="str">
        <f t="shared" si="2"/>
        <v>Not Active</v>
      </c>
      <c r="J138" s="17" t="str">
        <f t="array" ref="J138">XLOOKUP(A138,'Download of SFDC Activation Rep'!B:B,'Download of SFDC Activation Rep'!T:T)</f>
        <v>006UU00000Lzkqu</v>
      </c>
      <c r="K138" s="17" t="str">
        <f t="array" ref="K138">iferror(XLOOKUP(A138,'Download of SFDC Activation Rep'!B:B,'Download of SFDC Activation Rep'!C:C),"")</f>
        <v>Clinic for Dermatology &amp; Wellness LLC</v>
      </c>
    </row>
    <row r="139">
      <c r="F139" s="14"/>
      <c r="G139" s="13" t="str">
        <f t="array" ref="G139">iferror(XLOOKUP(A139,'Download of SFDC Activation Rep'!B:B,'Download of SFDC Activation Rep'!H:H),"")</f>
        <v>Active</v>
      </c>
      <c r="H139" s="13" t="str">
        <f t="array" ref="H139">iferror(xlookup(A139,'Download of SFDC Activation Rep'!B:B,'Download of SFDC Activation Rep'!L:L),"")</f>
        <v/>
      </c>
      <c r="I139" s="17" t="str">
        <f t="shared" si="2"/>
        <v>Active</v>
      </c>
      <c r="J139" s="17" t="str">
        <f t="array" ref="J139">XLOOKUP(A139,'Download of SFDC Activation Rep'!B:B,'Download of SFDC Activation Rep'!T:T)</f>
        <v>006UU00000MIPbB</v>
      </c>
      <c r="K139" s="17" t="str">
        <f t="array" ref="K139">iferror(XLOOKUP(A139,'Download of SFDC Activation Rep'!B:B,'Download of SFDC Activation Rep'!C:C),"")</f>
        <v>Appellate Defenders, Inc.</v>
      </c>
    </row>
    <row r="140">
      <c r="F140" s="14"/>
      <c r="G140" s="13" t="str">
        <f t="array" ref="G140">iferror(XLOOKUP(A140,'Download of SFDC Activation Rep'!B:B,'Download of SFDC Activation Rep'!H:H),"")</f>
        <v>Churned</v>
      </c>
      <c r="H140" s="13" t="str">
        <f t="array" ref="H140">iferror(xlookup(A140,'Download of SFDC Activation Rep'!B:B,'Download of SFDC Activation Rep'!L:L),"")</f>
        <v/>
      </c>
      <c r="I140" s="17" t="str">
        <f t="shared" si="2"/>
        <v>Not Active</v>
      </c>
      <c r="J140" s="17" t="str">
        <f t="array" ref="J140">XLOOKUP(A140,'Download of SFDC Activation Rep'!B:B,'Download of SFDC Activation Rep'!T:T)</f>
        <v>006UU00000MQpn2</v>
      </c>
      <c r="K140" s="17" t="str">
        <f t="array" ref="K140">iferror(XLOOKUP(A140,'Download of SFDC Activation Rep'!B:B,'Download of SFDC Activation Rep'!C:C),"")</f>
        <v>Brand Label Inc</v>
      </c>
    </row>
    <row r="141">
      <c r="F141" s="34">
        <f>B141/D141</f>
        <v>0.008276606816</v>
      </c>
      <c r="G141" s="13" t="str">
        <f t="array" ref="G141">iferror(XLOOKUP(A141,'Download of SFDC Activation Rep'!B:B,'Download of SFDC Activation Rep'!H:H),"")</f>
        <v>Active</v>
      </c>
      <c r="H141" s="13" t="str">
        <f t="array" ref="H141">iferror(xlookup(A141,'Download of SFDC Activation Rep'!B:B,'Download of SFDC Activation Rep'!L:L),"")</f>
        <v/>
      </c>
      <c r="I141" s="17" t="str">
        <f t="shared" si="2"/>
        <v>Active</v>
      </c>
      <c r="J141" s="17" t="str">
        <f t="array" ref="J141">XLOOKUP(A141,'Download of SFDC Activation Rep'!B:B,'Download of SFDC Activation Rep'!T:T)</f>
        <v>006UU00000MQpn3</v>
      </c>
      <c r="K141" s="17" t="str">
        <f t="array" ref="K141">iferror(XLOOKUP(A141,'Download of SFDC Activation Rep'!B:B,'Download of SFDC Activation Rep'!C:C),"")</f>
        <v>inbanx, Inc.</v>
      </c>
    </row>
    <row r="142">
      <c r="F142" s="14"/>
      <c r="G142" s="13" t="str">
        <f t="array" ref="G142">iferror(XLOOKUP(A142,'Download of SFDC Activation Rep'!B:B,'Download of SFDC Activation Rep'!H:H),"")</f>
        <v>Active</v>
      </c>
      <c r="H142" s="13" t="str">
        <f t="array" ref="H142">iferror(xlookup(A142,'Download of SFDC Activation Rep'!B:B,'Download of SFDC Activation Rep'!L:L),"")</f>
        <v/>
      </c>
      <c r="I142" s="17" t="str">
        <f t="shared" si="2"/>
        <v>Active</v>
      </c>
      <c r="J142" s="17" t="str">
        <f t="array" ref="J142">XLOOKUP(A142,'Download of SFDC Activation Rep'!B:B,'Download of SFDC Activation Rep'!T:T)</f>
        <v>006UU00000MQpn4</v>
      </c>
      <c r="K142" s="17" t="str">
        <f t="array" ref="K142">iferror(XLOOKUP(A142,'Download of SFDC Activation Rep'!B:B,'Download of SFDC Activation Rep'!C:C),"")</f>
        <v>Columbia Paint and Wallcover, Inc.</v>
      </c>
    </row>
    <row r="143">
      <c r="F143" s="34">
        <f t="shared" ref="F143:F144" si="19">B143/D143</f>
        <v>0.007774043094</v>
      </c>
      <c r="G143" s="13" t="str">
        <f t="array" ref="G143">iferror(XLOOKUP(A143,'Download of SFDC Activation Rep'!B:B,'Download of SFDC Activation Rep'!H:H),"")</f>
        <v/>
      </c>
      <c r="H143" s="13" t="str">
        <f t="array" ref="H143">iferror(xlookup(A143,'Download of SFDC Activation Rep'!B:B,'Download of SFDC Activation Rep'!L:L),"")</f>
        <v>Active</v>
      </c>
      <c r="I143" s="17" t="str">
        <f t="shared" si="2"/>
        <v>Active</v>
      </c>
      <c r="J143" s="17" t="str">
        <f t="array" ref="J143">XLOOKUP(A143,'Download of SFDC Activation Rep'!B:B,'Download of SFDC Activation Rep'!T:T)</f>
        <v>006UU00000Lzkqw</v>
      </c>
      <c r="K143" s="17" t="str">
        <f t="array" ref="K143">iferror(XLOOKUP(A143,'Download of SFDC Activation Rep'!B:B,'Download of SFDC Activation Rep'!C:C),"")</f>
        <v>Rminvestmentsmiami LLC</v>
      </c>
    </row>
    <row r="144">
      <c r="F144" s="34">
        <f t="shared" si="19"/>
        <v>0.0005612238048</v>
      </c>
      <c r="G144" s="13" t="str">
        <f t="array" ref="G144">iferror(XLOOKUP(A144,'Download of SFDC Activation Rep'!B:B,'Download of SFDC Activation Rep'!H:H),"")</f>
        <v>Active</v>
      </c>
      <c r="H144" s="13" t="str">
        <f t="array" ref="H144">iferror(xlookup(A144,'Download of SFDC Activation Rep'!B:B,'Download of SFDC Activation Rep'!L:L),"")</f>
        <v/>
      </c>
      <c r="I144" s="17" t="str">
        <f t="shared" si="2"/>
        <v>Active</v>
      </c>
      <c r="J144" s="17" t="str">
        <f t="array" ref="J144">XLOOKUP(A144,'Download of SFDC Activation Rep'!B:B,'Download of SFDC Activation Rep'!T:T)</f>
        <v>006UU00000LzrZr</v>
      </c>
      <c r="K144" s="17" t="str">
        <f t="array" ref="K144">iferror(XLOOKUP(A144,'Download of SFDC Activation Rep'!B:B,'Download of SFDC Activation Rep'!C:C),"")</f>
        <v>Taylor Brothers Architectural Products</v>
      </c>
    </row>
    <row r="145">
      <c r="F145" s="14"/>
      <c r="G145" s="13" t="str">
        <f t="array" ref="G145">iferror(XLOOKUP(A145,'Download of SFDC Activation Rep'!B:B,'Download of SFDC Activation Rep'!H:H),"")</f>
        <v/>
      </c>
      <c r="H145" s="13" t="str">
        <f t="array" ref="H145">iferror(xlookup(A145,'Download of SFDC Activation Rep'!B:B,'Download of SFDC Activation Rep'!L:L),"")</f>
        <v>Active</v>
      </c>
      <c r="I145" s="17" t="str">
        <f t="shared" si="2"/>
        <v>Active</v>
      </c>
      <c r="J145" s="17" t="str">
        <f t="array" ref="J145">XLOOKUP(A145,'Download of SFDC Activation Rep'!B:B,'Download of SFDC Activation Rep'!T:T)</f>
        <v>006UU00000Lzkqz</v>
      </c>
      <c r="K145" s="17" t="str">
        <f t="array" ref="K145">iferror(XLOOKUP(A145,'Download of SFDC Activation Rep'!B:B,'Download of SFDC Activation Rep'!C:C),"")</f>
        <v>Advanced Medical Software Solutions, Inc.</v>
      </c>
    </row>
    <row r="146">
      <c r="F146" s="34">
        <f>B146/D146</f>
        <v>0.03941844864</v>
      </c>
      <c r="G146" s="13" t="str">
        <f t="array" ref="G146">iferror(XLOOKUP(A146,'Download of SFDC Activation Rep'!B:B,'Download of SFDC Activation Rep'!H:H),"")</f>
        <v/>
      </c>
      <c r="H146" s="13" t="str">
        <f t="array" ref="H146">iferror(xlookup(A146,'Download of SFDC Activation Rep'!B:B,'Download of SFDC Activation Rep'!L:L),"")</f>
        <v>Churned</v>
      </c>
      <c r="I146" s="17" t="str">
        <f t="shared" si="2"/>
        <v>Not Active</v>
      </c>
      <c r="J146" s="17" t="str">
        <f t="array" ref="J146">XLOOKUP(A146,'Download of SFDC Activation Rep'!B:B,'Download of SFDC Activation Rep'!T:T)</f>
        <v>006UU00000Lzmji</v>
      </c>
      <c r="K146" s="17" t="str">
        <f t="array" ref="K146">iferror(XLOOKUP(A146,'Download of SFDC Activation Rep'!B:B,'Download of SFDC Activation Rep'!C:C),"")</f>
        <v>Mindego Ridge Vineyard</v>
      </c>
    </row>
    <row r="147">
      <c r="F147" s="14"/>
      <c r="G147" s="13" t="str">
        <f t="array" ref="G147">iferror(XLOOKUP(A147,'Download of SFDC Activation Rep'!B:B,'Download of SFDC Activation Rep'!H:H),"")</f>
        <v/>
      </c>
      <c r="H147" s="13" t="str">
        <f t="array" ref="H147">iferror(xlookup(A147,'Download of SFDC Activation Rep'!B:B,'Download of SFDC Activation Rep'!L:L),"")</f>
        <v>Churned</v>
      </c>
      <c r="I147" s="17" t="str">
        <f t="shared" si="2"/>
        <v>Not Active</v>
      </c>
      <c r="J147" s="17" t="str">
        <f t="array" ref="J147">XLOOKUP(A147,'Download of SFDC Activation Rep'!B:B,'Download of SFDC Activation Rep'!T:T)</f>
        <v>006UU00000MQpn5</v>
      </c>
      <c r="K147" s="17" t="str">
        <f t="array" ref="K147">iferror(XLOOKUP(A147,'Download of SFDC Activation Rep'!B:B,'Download of SFDC Activation Rep'!C:C),"")</f>
        <v>All stars distribution INC</v>
      </c>
    </row>
    <row r="148">
      <c r="F148" s="14"/>
      <c r="G148" s="13" t="str">
        <f t="array" ref="G148">iferror(XLOOKUP(A148,'Download of SFDC Activation Rep'!B:B,'Download of SFDC Activation Rep'!H:H),"")</f>
        <v>Active</v>
      </c>
      <c r="H148" s="13" t="str">
        <f t="array" ref="H148">iferror(xlookup(A148,'Download of SFDC Activation Rep'!B:B,'Download of SFDC Activation Rep'!L:L),"")</f>
        <v/>
      </c>
      <c r="I148" s="17" t="str">
        <f t="shared" si="2"/>
        <v>Active</v>
      </c>
      <c r="J148" s="17" t="str">
        <f t="array" ref="J148">XLOOKUP(A148,'Download of SFDC Activation Rep'!B:B,'Download of SFDC Activation Rep'!T:T)</f>
        <v>006UU00000LzrZn</v>
      </c>
      <c r="K148" s="17" t="str">
        <f t="array" ref="K148">iferror(XLOOKUP(A148,'Download of SFDC Activation Rep'!B:B,'Download of SFDC Activation Rep'!C:C),"")</f>
        <v>CRUSHS</v>
      </c>
    </row>
    <row r="149">
      <c r="F149" s="34">
        <f>B149/D149</f>
        <v>0.007339955905</v>
      </c>
      <c r="G149" s="13" t="str">
        <f t="array" ref="G149">iferror(XLOOKUP(A149,'Download of SFDC Activation Rep'!B:B,'Download of SFDC Activation Rep'!H:H),"")</f>
        <v>Active</v>
      </c>
      <c r="H149" s="13" t="str">
        <f t="array" ref="H149">iferror(xlookup(A149,'Download of SFDC Activation Rep'!B:B,'Download of SFDC Activation Rep'!L:L),"")</f>
        <v>Churned</v>
      </c>
      <c r="I149" s="17" t="str">
        <f t="shared" si="2"/>
        <v>Active</v>
      </c>
      <c r="J149" s="17" t="str">
        <f t="array" ref="J149">XLOOKUP(A149,'Download of SFDC Activation Rep'!B:B,'Download of SFDC Activation Rep'!T:T)</f>
        <v>006UU00000Lzkqv</v>
      </c>
      <c r="K149" s="17" t="str">
        <f t="array" ref="K149">iferror(XLOOKUP(A149,'Download of SFDC Activation Rep'!B:B,'Download of SFDC Activation Rep'!C:C),"")</f>
        <v>American Shoring Inc</v>
      </c>
      <c r="L149" s="29" t="s">
        <v>51</v>
      </c>
      <c r="M149" s="35" t="str">
        <f>M155/M143</f>
        <v>#DIV/0!</v>
      </c>
    </row>
    <row r="150">
      <c r="F150" s="14"/>
      <c r="G150" s="13" t="str">
        <f t="array" ref="G150">iferror(XLOOKUP(A150,'Download of SFDC Activation Rep'!B:B,'Download of SFDC Activation Rep'!H:H),"")</f>
        <v>Churned</v>
      </c>
      <c r="H150" s="13" t="str">
        <f t="array" ref="H150">iferror(xlookup(A150,'Download of SFDC Activation Rep'!B:B,'Download of SFDC Activation Rep'!L:L),"")</f>
        <v/>
      </c>
      <c r="I150" s="17" t="str">
        <f t="shared" si="2"/>
        <v>Not Active</v>
      </c>
      <c r="J150" s="17" t="str">
        <f t="array" ref="J150">XLOOKUP(A150,'Download of SFDC Activation Rep'!B:B,'Download of SFDC Activation Rep'!T:T)</f>
        <v>006UU00000Lzkqx</v>
      </c>
      <c r="K150" s="17" t="str">
        <f t="array" ref="K150">iferror(XLOOKUP(A150,'Download of SFDC Activation Rep'!B:B,'Download of SFDC Activation Rep'!C:C),"")</f>
        <v>Honeysuckle House RAL &amp; Memory Care</v>
      </c>
    </row>
    <row r="151">
      <c r="F151" s="34">
        <f t="shared" ref="F151:F152" si="20">B151/D151</f>
        <v>0.002794476561</v>
      </c>
      <c r="G151" s="13" t="str">
        <f t="array" ref="G151">iferror(XLOOKUP(A151,'Download of SFDC Activation Rep'!B:B,'Download of SFDC Activation Rep'!H:H),"")</f>
        <v>Active</v>
      </c>
      <c r="H151" s="13" t="str">
        <f t="array" ref="H151">iferror(xlookup(A151,'Download of SFDC Activation Rep'!B:B,'Download of SFDC Activation Rep'!L:L),"")</f>
        <v>Active</v>
      </c>
      <c r="I151" s="17" t="str">
        <f t="shared" si="2"/>
        <v>Active</v>
      </c>
      <c r="J151" s="17" t="str">
        <f t="array" ref="J151">XLOOKUP(A151,'Download of SFDC Activation Rep'!B:B,'Download of SFDC Activation Rep'!T:T)</f>
        <v>006UU00000MQpn6</v>
      </c>
      <c r="K151" s="17" t="str">
        <f t="array" ref="K151">iferror(XLOOKUP(A151,'Download of SFDC Activation Rep'!B:B,'Download of SFDC Activation Rep'!C:C),"")</f>
        <v>L&amp;M Mail &amp; Courier</v>
      </c>
    </row>
    <row r="152">
      <c r="F152" s="34">
        <f t="shared" si="20"/>
        <v>0.004330239071</v>
      </c>
      <c r="G152" s="13" t="str">
        <f t="array" ref="G152">iferror(XLOOKUP(A152,'Download of SFDC Activation Rep'!B:B,'Download of SFDC Activation Rep'!H:H),"")</f>
        <v>Churned</v>
      </c>
      <c r="H152" s="13" t="str">
        <f t="array" ref="H152">iferror(xlookup(A152,'Download of SFDC Activation Rep'!B:B,'Download of SFDC Activation Rep'!L:L),"")</f>
        <v/>
      </c>
      <c r="I152" s="17" t="str">
        <f t="shared" si="2"/>
        <v>Not Active</v>
      </c>
      <c r="J152" s="17" t="str">
        <f t="array" ref="J152">XLOOKUP(A152,'Download of SFDC Activation Rep'!B:B,'Download of SFDC Activation Rep'!T:T)</f>
        <v>006UU00000MQpn8</v>
      </c>
      <c r="K152" s="17" t="str">
        <f t="array" ref="K152">iferror(XLOOKUP(A152,'Download of SFDC Activation Rep'!B:B,'Download of SFDC Activation Rep'!C:C),"")</f>
        <v>Falkonry Inc</v>
      </c>
    </row>
    <row r="153">
      <c r="F153" s="14"/>
      <c r="G153" s="13" t="str">
        <f t="array" ref="G153">iferror(XLOOKUP(A153,'Download of SFDC Activation Rep'!B:B,'Download of SFDC Activation Rep'!H:H),"")</f>
        <v>Active</v>
      </c>
      <c r="H153" s="13" t="str">
        <f t="array" ref="H153">iferror(xlookup(A153,'Download of SFDC Activation Rep'!B:B,'Download of SFDC Activation Rep'!L:L),"")</f>
        <v/>
      </c>
      <c r="I153" s="17" t="str">
        <f t="shared" si="2"/>
        <v>Active</v>
      </c>
      <c r="J153" s="17" t="str">
        <f t="array" ref="J153">XLOOKUP(A153,'Download of SFDC Activation Rep'!B:B,'Download of SFDC Activation Rep'!T:T)</f>
        <v>006UU00000MQpn9</v>
      </c>
      <c r="K153" s="17" t="str">
        <f t="array" ref="K153">iferror(XLOOKUP(A153,'Download of SFDC Activation Rep'!B:B,'Download of SFDC Activation Rep'!C:C),"")</f>
        <v>Star Blue Interpreting Service, LLC</v>
      </c>
    </row>
    <row r="154">
      <c r="F154" s="34">
        <f>B154/D154</f>
        <v>0.0002634924268</v>
      </c>
      <c r="G154" s="13" t="str">
        <f t="array" ref="G154">iferror(XLOOKUP(A154,'Download of SFDC Activation Rep'!B:B,'Download of SFDC Activation Rep'!H:H),"")</f>
        <v>Active</v>
      </c>
      <c r="H154" s="13" t="str">
        <f t="array" ref="H154">iferror(xlookup(A154,'Download of SFDC Activation Rep'!B:B,'Download of SFDC Activation Rep'!L:L),"")</f>
        <v/>
      </c>
      <c r="I154" s="17" t="str">
        <f t="shared" si="2"/>
        <v>Active</v>
      </c>
      <c r="J154" s="17" t="str">
        <f t="array" ref="J154">XLOOKUP(A154,'Download of SFDC Activation Rep'!B:B,'Download of SFDC Activation Rep'!T:T)</f>
        <v>006UU00000MQpnA</v>
      </c>
      <c r="K154" s="17" t="str">
        <f t="array" ref="K154">iferror(XLOOKUP(A154,'Download of SFDC Activation Rep'!B:B,'Download of SFDC Activation Rep'!C:C),"")</f>
        <v>CDT Construction</v>
      </c>
    </row>
    <row r="155">
      <c r="F155" s="14"/>
      <c r="G155" s="13" t="str">
        <f t="array" ref="G155">iferror(XLOOKUP(A155,'Download of SFDC Activation Rep'!B:B,'Download of SFDC Activation Rep'!H:H),"")</f>
        <v>Active</v>
      </c>
      <c r="H155" s="13" t="str">
        <f t="array" ref="H155">iferror(xlookup(A155,'Download of SFDC Activation Rep'!B:B,'Download of SFDC Activation Rep'!L:L),"")</f>
        <v/>
      </c>
      <c r="I155" s="17" t="str">
        <f t="shared" si="2"/>
        <v>Active</v>
      </c>
      <c r="J155" s="17" t="str">
        <f t="array" ref="J155">XLOOKUP(A155,'Download of SFDC Activation Rep'!B:B,'Download of SFDC Activation Rep'!T:T)</f>
        <v>006UU00000Lzkqr</v>
      </c>
      <c r="K155" s="17" t="str">
        <f t="array" ref="K155">iferror(XLOOKUP(A155,'Download of SFDC Activation Rep'!B:B,'Download of SFDC Activation Rep'!C:C),"")</f>
        <v>MAV Aqua LLC</v>
      </c>
    </row>
    <row r="156">
      <c r="F156" s="14"/>
      <c r="G156" s="13" t="str">
        <f t="array" ref="G156">iferror(XLOOKUP(A156,'Download of SFDC Activation Rep'!B:B,'Download of SFDC Activation Rep'!H:H),"")</f>
        <v>Active</v>
      </c>
      <c r="H156" s="13" t="str">
        <f t="array" ref="H156">iferror(xlookup(A156,'Download of SFDC Activation Rep'!B:B,'Download of SFDC Activation Rep'!L:L),"")</f>
        <v/>
      </c>
      <c r="I156" s="17" t="str">
        <f t="shared" si="2"/>
        <v>Active</v>
      </c>
      <c r="J156" s="17" t="str">
        <f t="array" ref="J156">XLOOKUP(A156,'Download of SFDC Activation Rep'!B:B,'Download of SFDC Activation Rep'!T:T)</f>
        <v>006UU00000LzrZl</v>
      </c>
      <c r="K156" s="17" t="str">
        <f t="array" ref="K156">iferror(XLOOKUP(A156,'Download of SFDC Activation Rep'!B:B,'Download of SFDC Activation Rep'!C:C),"")</f>
        <v>Toland Construction - MO</v>
      </c>
    </row>
    <row r="157">
      <c r="F157" s="34">
        <f>B157/D157</f>
        <v>0.001192742436</v>
      </c>
      <c r="G157" s="13" t="str">
        <f t="array" ref="G157">iferror(XLOOKUP(A157,'Download of SFDC Activation Rep'!B:B,'Download of SFDC Activation Rep'!H:H),"")</f>
        <v>Active</v>
      </c>
      <c r="H157" s="13" t="str">
        <f t="array" ref="H157">iferror(xlookup(A157,'Download of SFDC Activation Rep'!B:B,'Download of SFDC Activation Rep'!L:L),"")</f>
        <v>Churned</v>
      </c>
      <c r="I157" s="17" t="str">
        <f t="shared" si="2"/>
        <v>Active</v>
      </c>
      <c r="J157" s="17" t="str">
        <f t="array" ref="J157">XLOOKUP(A157,'Download of SFDC Activation Rep'!B:B,'Download of SFDC Activation Rep'!T:T)</f>
        <v>006UU00000MQpnB</v>
      </c>
      <c r="K157" s="17" t="str">
        <f t="array" ref="K157">iferror(XLOOKUP(A157,'Download of SFDC Activation Rep'!B:B,'Download of SFDC Activation Rep'!C:C),"")</f>
        <v>ANALYTICAL WATER SOLUTIONS INC.</v>
      </c>
    </row>
    <row r="158">
      <c r="F158" s="14"/>
      <c r="G158" s="13" t="str">
        <f t="array" ref="G158">iferror(XLOOKUP(A158,'Download of SFDC Activation Rep'!B:B,'Download of SFDC Activation Rep'!H:H),"")</f>
        <v>Active</v>
      </c>
      <c r="H158" s="13" t="str">
        <f t="array" ref="H158">iferror(xlookup(A158,'Download of SFDC Activation Rep'!B:B,'Download of SFDC Activation Rep'!L:L),"")</f>
        <v/>
      </c>
      <c r="I158" s="17" t="str">
        <f t="shared" si="2"/>
        <v>Active</v>
      </c>
      <c r="J158" s="17" t="str">
        <f t="array" ref="J158">XLOOKUP(A158,'Download of SFDC Activation Rep'!B:B,'Download of SFDC Activation Rep'!T:T)</f>
        <v>006VT00000rNywD</v>
      </c>
      <c r="K158" s="17" t="str">
        <f t="array" ref="K158">iferror(XLOOKUP(A158,'Download of SFDC Activation Rep'!B:B,'Download of SFDC Activation Rep'!C:C),"")</f>
        <v>DataLinks LLC</v>
      </c>
    </row>
    <row r="159">
      <c r="F159" s="34">
        <f t="shared" ref="F159:F163" si="21">B159/D159</f>
        <v>0.00123471602</v>
      </c>
      <c r="G159" s="13" t="str">
        <f t="array" ref="G159">iferror(XLOOKUP(A159,'Download of SFDC Activation Rep'!B:B,'Download of SFDC Activation Rep'!H:H),"")</f>
        <v>Active</v>
      </c>
      <c r="H159" s="13" t="str">
        <f t="array" ref="H159">iferror(xlookup(A159,'Download of SFDC Activation Rep'!B:B,'Download of SFDC Activation Rep'!L:L),"")</f>
        <v/>
      </c>
      <c r="I159" s="17" t="str">
        <f t="shared" si="2"/>
        <v>Active</v>
      </c>
      <c r="J159" s="17" t="str">
        <f t="array" ref="J159">XLOOKUP(A159,'Download of SFDC Activation Rep'!B:B,'Download of SFDC Activation Rep'!T:T)</f>
        <v>006UU00000MQpnC</v>
      </c>
      <c r="K159" s="17" t="str">
        <f t="array" ref="K159">iferror(XLOOKUP(A159,'Download of SFDC Activation Rep'!B:B,'Download of SFDC Activation Rep'!C:C),"")</f>
        <v>Lock Solid Storage</v>
      </c>
    </row>
    <row r="160">
      <c r="F160" s="34">
        <f t="shared" si="21"/>
        <v>0.0009136071823</v>
      </c>
      <c r="G160" s="13" t="str">
        <f t="array" ref="G160">iferror(XLOOKUP(A160,'Download of SFDC Activation Rep'!B:B,'Download of SFDC Activation Rep'!H:H),"")</f>
        <v>Active</v>
      </c>
      <c r="H160" s="13" t="str">
        <f t="array" ref="H160">iferror(xlookup(A160,'Download of SFDC Activation Rep'!B:B,'Download of SFDC Activation Rep'!L:L),"")</f>
        <v/>
      </c>
      <c r="I160" s="17" t="str">
        <f t="shared" si="2"/>
        <v>Active</v>
      </c>
      <c r="J160" s="17" t="str">
        <f t="array" ref="J160">XLOOKUP(A160,'Download of SFDC Activation Rep'!B:B,'Download of SFDC Activation Rep'!T:T)</f>
        <v>006VT00000q0rzF</v>
      </c>
      <c r="K160" s="17" t="str">
        <f t="array" ref="K160">iferror(XLOOKUP(A160,'Download of SFDC Activation Rep'!B:B,'Download of SFDC Activation Rep'!C:C),"")</f>
        <v>Boston Granite Exchange</v>
      </c>
    </row>
    <row r="161">
      <c r="F161" s="34">
        <f t="shared" si="21"/>
        <v>0.000863716461</v>
      </c>
      <c r="G161" s="13" t="str">
        <f t="array" ref="G161">iferror(XLOOKUP(A161,'Download of SFDC Activation Rep'!B:B,'Download of SFDC Activation Rep'!H:H),"")</f>
        <v>Active</v>
      </c>
      <c r="H161" s="13" t="str">
        <f t="array" ref="H161">iferror(xlookup(A161,'Download of SFDC Activation Rep'!B:B,'Download of SFDC Activation Rep'!L:L),"")</f>
        <v/>
      </c>
      <c r="I161" s="17" t="str">
        <f t="shared" si="2"/>
        <v>Active</v>
      </c>
      <c r="J161" s="17" t="str">
        <f t="array" ref="J161">XLOOKUP(A161,'Download of SFDC Activation Rep'!B:B,'Download of SFDC Activation Rep'!T:T)</f>
        <v>006UU00000MQpnD</v>
      </c>
      <c r="K161" s="17" t="str">
        <f t="array" ref="K161">iferror(XLOOKUP(A161,'Download of SFDC Activation Rep'!B:B,'Download of SFDC Activation Rep'!C:C),"")</f>
        <v>Expert Semiconductor Technology, inc</v>
      </c>
    </row>
    <row r="162">
      <c r="F162" s="34">
        <f t="shared" si="21"/>
        <v>0.004779605263</v>
      </c>
      <c r="G162" s="13" t="str">
        <f t="array" ref="G162">iferror(XLOOKUP(A162,'Download of SFDC Activation Rep'!B:B,'Download of SFDC Activation Rep'!H:H),"")</f>
        <v>Churned</v>
      </c>
      <c r="H162" s="13" t="str">
        <f t="array" ref="H162">iferror(xlookup(A162,'Download of SFDC Activation Rep'!B:B,'Download of SFDC Activation Rep'!L:L),"")</f>
        <v/>
      </c>
      <c r="I162" s="17" t="str">
        <f t="shared" si="2"/>
        <v>Not Active</v>
      </c>
      <c r="J162" s="17" t="str">
        <f t="array" ref="J162">XLOOKUP(A162,'Download of SFDC Activation Rep'!B:B,'Download of SFDC Activation Rep'!T:T)</f>
        <v>006UU00000Lzmje</v>
      </c>
      <c r="K162" s="17" t="str">
        <f t="array" ref="K162">iferror(XLOOKUP(A162,'Download of SFDC Activation Rep'!B:B,'Download of SFDC Activation Rep'!C:C),"")</f>
        <v>NextWave Co</v>
      </c>
    </row>
    <row r="163">
      <c r="F163" s="34">
        <f t="shared" si="21"/>
        <v>0.00774054922</v>
      </c>
      <c r="G163" s="13" t="str">
        <f t="array" ref="G163">iferror(XLOOKUP(A163,'Download of SFDC Activation Rep'!B:B,'Download of SFDC Activation Rep'!H:H),"")</f>
        <v>Churned</v>
      </c>
      <c r="H163" s="13" t="str">
        <f t="array" ref="H163">iferror(xlookup(A163,'Download of SFDC Activation Rep'!B:B,'Download of SFDC Activation Rep'!L:L),"")</f>
        <v>Churned</v>
      </c>
      <c r="I163" s="17" t="str">
        <f t="shared" si="2"/>
        <v>Not Active</v>
      </c>
      <c r="J163" s="17" t="str">
        <f t="array" ref="J163">XLOOKUP(A163,'Download of SFDC Activation Rep'!B:B,'Download of SFDC Activation Rep'!T:T)</f>
        <v>006UU00000MQpnE</v>
      </c>
      <c r="K163" s="17" t="str">
        <f t="array" ref="K163">iferror(XLOOKUP(A163,'Download of SFDC Activation Rep'!B:B,'Download of SFDC Activation Rep'!C:C),"")</f>
        <v>Wheatland Health Community Care, Inc.</v>
      </c>
    </row>
    <row r="164">
      <c r="F164" s="14"/>
      <c r="G164" s="13" t="str">
        <f t="array" ref="G164">iferror(XLOOKUP(A164,'Download of SFDC Activation Rep'!B:B,'Download of SFDC Activation Rep'!H:H),"")</f>
        <v>Churned</v>
      </c>
      <c r="H164" s="13" t="str">
        <f t="array" ref="H164">iferror(xlookup(A164,'Download of SFDC Activation Rep'!B:B,'Download of SFDC Activation Rep'!L:L),"")</f>
        <v/>
      </c>
      <c r="I164" s="17" t="str">
        <f t="shared" si="2"/>
        <v>Not Active</v>
      </c>
      <c r="J164" s="17" t="str">
        <f t="array" ref="J164">XLOOKUP(A164,'Download of SFDC Activation Rep'!B:B,'Download of SFDC Activation Rep'!T:T)</f>
        <v>006UU00000MQpnF</v>
      </c>
      <c r="K164" s="17" t="str">
        <f t="array" ref="K164">iferror(XLOOKUP(A164,'Download of SFDC Activation Rep'!B:B,'Download of SFDC Activation Rep'!C:C),"")</f>
        <v>Roomrs</v>
      </c>
    </row>
    <row r="165">
      <c r="F165" s="14"/>
      <c r="G165" s="13" t="str">
        <f t="array" ref="G165">iferror(XLOOKUP(A165,'Download of SFDC Activation Rep'!B:B,'Download of SFDC Activation Rep'!H:H),"")</f>
        <v>Churned</v>
      </c>
      <c r="H165" s="13" t="str">
        <f t="array" ref="H165">iferror(xlookup(A165,'Download of SFDC Activation Rep'!B:B,'Download of SFDC Activation Rep'!L:L),"")</f>
        <v/>
      </c>
      <c r="I165" s="17" t="str">
        <f t="shared" si="2"/>
        <v>Not Active</v>
      </c>
      <c r="J165" s="17" t="str">
        <f t="array" ref="J165">XLOOKUP(A165,'Download of SFDC Activation Rep'!B:B,'Download of SFDC Activation Rep'!T:T)</f>
        <v>006UU00000MQpnG</v>
      </c>
      <c r="K165" s="17" t="str">
        <f t="array" ref="K165">iferror(XLOOKUP(A165,'Download of SFDC Activation Rep'!B:B,'Download of SFDC Activation Rep'!C:C),"")</f>
        <v>Infinity Solar USA</v>
      </c>
    </row>
    <row r="166">
      <c r="F166" s="34">
        <f>B166/D166</f>
        <v>0.000578281359</v>
      </c>
      <c r="G166" s="13" t="str">
        <f t="array" ref="G166">iferror(XLOOKUP(A166,'Download of SFDC Activation Rep'!B:B,'Download of SFDC Activation Rep'!H:H),"")</f>
        <v>Active</v>
      </c>
      <c r="H166" s="13" t="str">
        <f t="array" ref="H166">iferror(xlookup(A166,'Download of SFDC Activation Rep'!B:B,'Download of SFDC Activation Rep'!L:L),"")</f>
        <v/>
      </c>
      <c r="I166" s="17" t="str">
        <f t="shared" si="2"/>
        <v>Active</v>
      </c>
      <c r="J166" s="17" t="str">
        <f t="array" ref="J166">XLOOKUP(A166,'Download of SFDC Activation Rep'!B:B,'Download of SFDC Activation Rep'!T:T)</f>
        <v>006UU00000MQpnH</v>
      </c>
      <c r="K166" s="17" t="str">
        <f t="array" ref="K166">iferror(XLOOKUP(A166,'Download of SFDC Activation Rep'!B:B,'Download of SFDC Activation Rep'!C:C),"")</f>
        <v>Coastal Speech Pathology, LLC.</v>
      </c>
    </row>
    <row r="167">
      <c r="F167" s="14"/>
      <c r="G167" s="13" t="str">
        <f t="array" ref="G167">iferror(XLOOKUP(A167,'Download of SFDC Activation Rep'!B:B,'Download of SFDC Activation Rep'!H:H),"")</f>
        <v/>
      </c>
      <c r="H167" s="13" t="str">
        <f t="array" ref="H167">iferror(xlookup(A167,'Download of SFDC Activation Rep'!B:B,'Download of SFDC Activation Rep'!L:L),"")</f>
        <v>Active</v>
      </c>
      <c r="I167" s="17" t="str">
        <f t="shared" si="2"/>
        <v>Active</v>
      </c>
      <c r="J167" s="17" t="str">
        <f t="array" ref="J167">XLOOKUP(A167,'Download of SFDC Activation Rep'!B:B,'Download of SFDC Activation Rep'!T:T)</f>
        <v>006UU00000MQpnI</v>
      </c>
      <c r="K167" s="17" t="str">
        <f t="array" ref="K167">iferror(XLOOKUP(A167,'Download of SFDC Activation Rep'!B:B,'Download of SFDC Activation Rep'!C:C),"")</f>
        <v>METI Dallas, LLC</v>
      </c>
    </row>
    <row r="168">
      <c r="F168" s="14"/>
      <c r="G168" s="13" t="str">
        <f t="array" ref="G168">iferror(XLOOKUP(A168,'Download of SFDC Activation Rep'!B:B,'Download of SFDC Activation Rep'!H:H),"")</f>
        <v/>
      </c>
      <c r="H168" s="13" t="str">
        <f t="array" ref="H168">iferror(xlookup(A168,'Download of SFDC Activation Rep'!B:B,'Download of SFDC Activation Rep'!L:L),"")</f>
        <v>Churned</v>
      </c>
      <c r="I168" s="17" t="str">
        <f t="shared" si="2"/>
        <v>Not Active</v>
      </c>
      <c r="J168" s="17" t="str">
        <f t="array" ref="J168">XLOOKUP(A168,'Download of SFDC Activation Rep'!B:B,'Download of SFDC Activation Rep'!T:T)</f>
        <v>006UU00000MQpnK</v>
      </c>
      <c r="K168" s="17" t="str">
        <f t="array" ref="K168">iferror(XLOOKUP(A168,'Download of SFDC Activation Rep'!B:B,'Download of SFDC Activation Rep'!C:C),"")</f>
        <v>Devents LLC</v>
      </c>
    </row>
    <row r="169">
      <c r="F169" s="14"/>
      <c r="G169" s="13" t="str">
        <f t="array" ref="G169">iferror(XLOOKUP(A169,'Download of SFDC Activation Rep'!B:B,'Download of SFDC Activation Rep'!H:H),"")</f>
        <v/>
      </c>
      <c r="H169" s="13" t="str">
        <f t="array" ref="H169">iferror(xlookup(A169,'Download of SFDC Activation Rep'!B:B,'Download of SFDC Activation Rep'!L:L),"")</f>
        <v>Churned</v>
      </c>
      <c r="I169" s="17" t="str">
        <f t="shared" si="2"/>
        <v>Not Active</v>
      </c>
      <c r="J169" s="17" t="str">
        <f t="array" ref="J169">XLOOKUP(A169,'Download of SFDC Activation Rep'!B:B,'Download of SFDC Activation Rep'!T:T)</f>
        <v>006UU00000MQpnL</v>
      </c>
      <c r="K169" s="17" t="str">
        <f t="array" ref="K169">iferror(XLOOKUP(A169,'Download of SFDC Activation Rep'!B:B,'Download of SFDC Activation Rep'!C:C),"")</f>
        <v>Developros</v>
      </c>
    </row>
    <row r="170">
      <c r="F170" s="34">
        <f t="shared" ref="F170:F178" si="22">B170/D170</f>
        <v>0.00301312052</v>
      </c>
      <c r="G170" s="13" t="str">
        <f t="array" ref="G170">iferror(XLOOKUP(A170,'Download of SFDC Activation Rep'!B:B,'Download of SFDC Activation Rep'!H:H),"")</f>
        <v>Churned</v>
      </c>
      <c r="H170" s="13" t="str">
        <f t="array" ref="H170">iferror(xlookup(A170,'Download of SFDC Activation Rep'!B:B,'Download of SFDC Activation Rep'!L:L),"")</f>
        <v/>
      </c>
      <c r="I170" s="17" t="str">
        <f t="shared" si="2"/>
        <v>Not Active</v>
      </c>
      <c r="J170" s="17" t="str">
        <f t="array" ref="J170">XLOOKUP(A170,'Download of SFDC Activation Rep'!B:B,'Download of SFDC Activation Rep'!T:T)</f>
        <v>006UU00000MQpnM</v>
      </c>
      <c r="K170" s="17" t="str">
        <f t="array" ref="K170">iferror(XLOOKUP(A170,'Download of SFDC Activation Rep'!B:B,'Download of SFDC Activation Rep'!C:C),"")</f>
        <v>Pinelands Golf Club</v>
      </c>
    </row>
    <row r="171">
      <c r="F171" s="34">
        <f t="shared" si="22"/>
        <v>0.0003728065377</v>
      </c>
      <c r="G171" s="13" t="str">
        <f t="array" ref="G171">iferror(XLOOKUP(A171,'Download of SFDC Activation Rep'!B:B,'Download of SFDC Activation Rep'!H:H),"")</f>
        <v>Active</v>
      </c>
      <c r="H171" s="13" t="str">
        <f t="array" ref="H171">iferror(xlookup(A171,'Download of SFDC Activation Rep'!B:B,'Download of SFDC Activation Rep'!L:L),"")</f>
        <v/>
      </c>
      <c r="I171" s="17" t="str">
        <f t="shared" si="2"/>
        <v>Active</v>
      </c>
      <c r="J171" s="17" t="str">
        <f t="array" ref="J171">XLOOKUP(A171,'Download of SFDC Activation Rep'!B:B,'Download of SFDC Activation Rep'!T:T)</f>
        <v>006UU00000MQpnN</v>
      </c>
      <c r="K171" s="17" t="str">
        <f t="array" ref="K171">iferror(XLOOKUP(A171,'Download of SFDC Activation Rep'!B:B,'Download of SFDC Activation Rep'!C:C),"")</f>
        <v>CLS Brands LLC</v>
      </c>
    </row>
    <row r="172">
      <c r="F172" s="34">
        <f t="shared" si="22"/>
        <v>0.01006737699</v>
      </c>
      <c r="G172" s="13" t="str">
        <f t="array" ref="G172">iferror(XLOOKUP(A172,'Download of SFDC Activation Rep'!B:B,'Download of SFDC Activation Rep'!H:H),"")</f>
        <v>Active</v>
      </c>
      <c r="H172" s="13" t="str">
        <f t="array" ref="H172">iferror(xlookup(A172,'Download of SFDC Activation Rep'!B:B,'Download of SFDC Activation Rep'!L:L),"")</f>
        <v/>
      </c>
      <c r="I172" s="17" t="str">
        <f t="shared" si="2"/>
        <v>Active</v>
      </c>
      <c r="J172" s="17" t="str">
        <f t="array" ref="J172">XLOOKUP(A172,'Download of SFDC Activation Rep'!B:B,'Download of SFDC Activation Rep'!T:T)</f>
        <v>006UU00000MQpnO</v>
      </c>
      <c r="K172" s="17" t="str">
        <f t="array" ref="K172">iferror(XLOOKUP(A172,'Download of SFDC Activation Rep'!B:B,'Download of SFDC Activation Rep'!C:C),"")</f>
        <v>Pelican Head Industries</v>
      </c>
    </row>
    <row r="173">
      <c r="F173" s="34">
        <f t="shared" si="22"/>
        <v>0.003517794004</v>
      </c>
      <c r="G173" s="13" t="str">
        <f t="array" ref="G173">iferror(XLOOKUP(A173,'Download of SFDC Activation Rep'!B:B,'Download of SFDC Activation Rep'!H:H),"")</f>
        <v>Active</v>
      </c>
      <c r="H173" s="13" t="str">
        <f t="array" ref="H173">iferror(xlookup(A173,'Download of SFDC Activation Rep'!B:B,'Download of SFDC Activation Rep'!L:L),"")</f>
        <v/>
      </c>
      <c r="I173" s="17" t="str">
        <f t="shared" si="2"/>
        <v>Active</v>
      </c>
      <c r="J173" s="17" t="str">
        <f t="array" ref="J173">XLOOKUP(A173,'Download of SFDC Activation Rep'!B:B,'Download of SFDC Activation Rep'!T:T)</f>
        <v>006UU00000MQpnP</v>
      </c>
      <c r="K173" s="17" t="str">
        <f t="array" ref="K173">iferror(XLOOKUP(A173,'Download of SFDC Activation Rep'!B:B,'Download of SFDC Activation Rep'!C:C),"")</f>
        <v>United Home Care LLC</v>
      </c>
    </row>
    <row r="174">
      <c r="F174" s="34">
        <f t="shared" si="22"/>
        <v>0.003232508902</v>
      </c>
      <c r="G174" s="13" t="str">
        <f t="array" ref="G174">iferror(XLOOKUP(A174,'Download of SFDC Activation Rep'!B:B,'Download of SFDC Activation Rep'!H:H),"")</f>
        <v/>
      </c>
      <c r="H174" s="13" t="str">
        <f t="array" ref="H174">iferror(xlookup(A174,'Download of SFDC Activation Rep'!B:B,'Download of SFDC Activation Rep'!L:L),"")</f>
        <v>Active</v>
      </c>
      <c r="I174" s="17" t="str">
        <f t="shared" si="2"/>
        <v>Active</v>
      </c>
      <c r="J174" s="17" t="str">
        <f t="array" ref="J174">XLOOKUP(A174,'Download of SFDC Activation Rep'!B:B,'Download of SFDC Activation Rep'!T:T)</f>
        <v>006UU00000MQpnQ</v>
      </c>
      <c r="K174" s="17" t="str">
        <f t="array" ref="K174">iferror(XLOOKUP(A174,'Download of SFDC Activation Rep'!B:B,'Download of SFDC Activation Rep'!C:C),"")</f>
        <v>Commercial Fire &amp; Security</v>
      </c>
    </row>
    <row r="175">
      <c r="F175" s="34">
        <f t="shared" si="22"/>
        <v>-0.0002955893189</v>
      </c>
      <c r="G175" s="13" t="str">
        <f t="array" ref="G175">iferror(XLOOKUP(A175,'Download of SFDC Activation Rep'!B:B,'Download of SFDC Activation Rep'!H:H),"")</f>
        <v>Active</v>
      </c>
      <c r="H175" s="13" t="str">
        <f t="array" ref="H175">iferror(xlookup(A175,'Download of SFDC Activation Rep'!B:B,'Download of SFDC Activation Rep'!L:L),"")</f>
        <v>Churned</v>
      </c>
      <c r="I175" s="17" t="str">
        <f t="shared" si="2"/>
        <v>Active</v>
      </c>
      <c r="J175" s="17" t="str">
        <f t="array" ref="J175">XLOOKUP(A175,'Download of SFDC Activation Rep'!B:B,'Download of SFDC Activation Rep'!T:T)</f>
        <v>006UU00000LzkrF</v>
      </c>
      <c r="K175" s="17" t="str">
        <f t="array" ref="K175">iferror(XLOOKUP(A175,'Download of SFDC Activation Rep'!B:B,'Download of SFDC Activation Rep'!C:C),"")</f>
        <v>Millbrook Distillery LLC dba Tenmile Distillery</v>
      </c>
    </row>
    <row r="176">
      <c r="F176" s="34">
        <f t="shared" si="22"/>
        <v>0.001255875597</v>
      </c>
      <c r="G176" s="13" t="str">
        <f t="array" ref="G176">iferror(XLOOKUP(A176,'Download of SFDC Activation Rep'!B:B,'Download of SFDC Activation Rep'!H:H),"")</f>
        <v>Active</v>
      </c>
      <c r="H176" s="13" t="str">
        <f t="array" ref="H176">iferror(xlookup(A176,'Download of SFDC Activation Rep'!B:B,'Download of SFDC Activation Rep'!L:L),"")</f>
        <v/>
      </c>
      <c r="I176" s="17" t="str">
        <f t="shared" si="2"/>
        <v>Active</v>
      </c>
      <c r="J176" s="17" t="str">
        <f t="array" ref="J176">XLOOKUP(A176,'Download of SFDC Activation Rep'!B:B,'Download of SFDC Activation Rep'!T:T)</f>
        <v>006UU00000Lzkqs</v>
      </c>
      <c r="K176" s="17" t="str">
        <f t="array" ref="K176">iferror(XLOOKUP(A176,'Download of SFDC Activation Rep'!B:B,'Download of SFDC Activation Rep'!C:C),"")</f>
        <v>scenic world LLC</v>
      </c>
    </row>
    <row r="177">
      <c r="F177" s="34">
        <f t="shared" si="22"/>
        <v>0.0006677176724</v>
      </c>
      <c r="G177" s="13" t="str">
        <f t="array" ref="G177">iferror(XLOOKUP(A177,'Download of SFDC Activation Rep'!B:B,'Download of SFDC Activation Rep'!H:H),"")</f>
        <v>Inactive</v>
      </c>
      <c r="H177" s="13" t="str">
        <f t="array" ref="H177">iferror(xlookup(A177,'Download of SFDC Activation Rep'!B:B,'Download of SFDC Activation Rep'!L:L),"")</f>
        <v/>
      </c>
      <c r="I177" s="17" t="str">
        <f t="shared" si="2"/>
        <v>Not Active</v>
      </c>
      <c r="J177" s="17" t="str">
        <f t="array" ref="J177">XLOOKUP(A177,'Download of SFDC Activation Rep'!B:B,'Download of SFDC Activation Rep'!T:T)</f>
        <v>006UU00000Lzkqp</v>
      </c>
      <c r="K177" s="17" t="str">
        <f t="array" ref="K177">iferror(XLOOKUP(A177,'Download of SFDC Activation Rep'!B:B,'Download of SFDC Activation Rep'!C:C),"")</f>
        <v>Weland Clinical Laboratories, P.C.</v>
      </c>
    </row>
    <row r="178">
      <c r="F178" s="34">
        <f t="shared" si="22"/>
        <v>0.0003053926671</v>
      </c>
      <c r="G178" s="13" t="str">
        <f t="array" ref="G178">iferror(XLOOKUP(A178,'Download of SFDC Activation Rep'!B:B,'Download of SFDC Activation Rep'!H:H),"")</f>
        <v>Active</v>
      </c>
      <c r="H178" s="13" t="str">
        <f t="array" ref="H178">iferror(xlookup(A178,'Download of SFDC Activation Rep'!B:B,'Download of SFDC Activation Rep'!L:L),"")</f>
        <v/>
      </c>
      <c r="I178" s="17" t="str">
        <f t="shared" si="2"/>
        <v>Active</v>
      </c>
      <c r="J178" s="17" t="str">
        <f t="array" ref="J178">XLOOKUP(A178,'Download of SFDC Activation Rep'!B:B,'Download of SFDC Activation Rep'!T:T)</f>
        <v>006UU00000Lzkqq</v>
      </c>
      <c r="K178" s="17" t="str">
        <f t="array" ref="K178">iferror(XLOOKUP(A178,'Download of SFDC Activation Rep'!B:B,'Download of SFDC Activation Rep'!C:C),"")</f>
        <v>Congdon &amp; Coleman Real Estate</v>
      </c>
    </row>
    <row r="179">
      <c r="F179" s="14"/>
      <c r="G179" s="13" t="str">
        <f t="array" ref="G179">iferror(XLOOKUP(A179,'Download of SFDC Activation Rep'!B:B,'Download of SFDC Activation Rep'!H:H),"")</f>
        <v>Churned</v>
      </c>
      <c r="H179" s="13" t="str">
        <f t="array" ref="H179">iferror(xlookup(A179,'Download of SFDC Activation Rep'!B:B,'Download of SFDC Activation Rep'!L:L),"")</f>
        <v/>
      </c>
      <c r="I179" s="17" t="str">
        <f t="shared" si="2"/>
        <v>Not Active</v>
      </c>
      <c r="J179" s="17" t="str">
        <f t="array" ref="J179">XLOOKUP(A179,'Download of SFDC Activation Rep'!B:B,'Download of SFDC Activation Rep'!T:T)</f>
        <v>006UU00000Lzkqo</v>
      </c>
      <c r="K179" s="17" t="str">
        <f t="array" ref="K179">iferror(XLOOKUP(A179,'Download of SFDC Activation Rep'!B:B,'Download of SFDC Activation Rep'!C:C),"")</f>
        <v>INSAIT SOLUTIONS LLC</v>
      </c>
    </row>
    <row r="180">
      <c r="F180" s="14"/>
      <c r="G180" s="13" t="str">
        <f t="array" ref="G180">iferror(XLOOKUP(A180,'Download of SFDC Activation Rep'!B:B,'Download of SFDC Activation Rep'!H:H),"")</f>
        <v>Churned</v>
      </c>
      <c r="H180" s="13" t="str">
        <f t="array" ref="H180">iferror(xlookup(A180,'Download of SFDC Activation Rep'!B:B,'Download of SFDC Activation Rep'!L:L),"")</f>
        <v>Inactive</v>
      </c>
      <c r="I180" s="17" t="str">
        <f t="shared" si="2"/>
        <v>Not Active</v>
      </c>
      <c r="J180" s="17" t="str">
        <f t="array" ref="J180">XLOOKUP(A180,'Download of SFDC Activation Rep'!B:B,'Download of SFDC Activation Rep'!T:T)</f>
        <v>006UU00000MQpnR</v>
      </c>
      <c r="K180" s="17" t="str">
        <f t="array" ref="K180">iferror(XLOOKUP(A180,'Download of SFDC Activation Rep'!B:B,'Download of SFDC Activation Rep'!C:C),"")</f>
        <v>K2X, Inc.</v>
      </c>
    </row>
    <row r="181">
      <c r="F181" s="14"/>
      <c r="G181" s="13" t="str">
        <f t="array" ref="G181">iferror(XLOOKUP(A181,'Download of SFDC Activation Rep'!B:B,'Download of SFDC Activation Rep'!H:H),"")</f>
        <v>Active</v>
      </c>
      <c r="H181" s="13" t="str">
        <f t="array" ref="H181">iferror(xlookup(A181,'Download of SFDC Activation Rep'!B:B,'Download of SFDC Activation Rep'!L:L),"")</f>
        <v/>
      </c>
      <c r="I181" s="17" t="str">
        <f t="shared" si="2"/>
        <v>Active</v>
      </c>
      <c r="J181" s="17" t="str">
        <f t="array" ref="J181">XLOOKUP(A181,'Download of SFDC Activation Rep'!B:B,'Download of SFDC Activation Rep'!T:T)</f>
        <v>006UU00000MQpnS</v>
      </c>
      <c r="K181" s="17" t="str">
        <f t="array" ref="K181">iferror(XLOOKUP(A181,'Download of SFDC Activation Rep'!B:B,'Download of SFDC Activation Rep'!C:C),"")</f>
        <v>Meralex Farm, Inc.</v>
      </c>
    </row>
    <row r="182">
      <c r="F182" s="14"/>
      <c r="G182" s="13" t="str">
        <f t="array" ref="G182">iferror(XLOOKUP(A182,'Download of SFDC Activation Rep'!B:B,'Download of SFDC Activation Rep'!H:H),"")</f>
        <v>Active</v>
      </c>
      <c r="H182" s="13" t="str">
        <f t="array" ref="H182">iferror(xlookup(A182,'Download of SFDC Activation Rep'!B:B,'Download of SFDC Activation Rep'!L:L),"")</f>
        <v>Active</v>
      </c>
      <c r="I182" s="17" t="str">
        <f t="shared" si="2"/>
        <v>Active</v>
      </c>
      <c r="J182" s="17" t="str">
        <f t="array" ref="J182">XLOOKUP(A182,'Download of SFDC Activation Rep'!B:B,'Download of SFDC Activation Rep'!T:T)</f>
        <v>006UU00000LzrZk</v>
      </c>
      <c r="K182" s="17" t="str">
        <f t="array" ref="K182">iferror(XLOOKUP(A182,'Download of SFDC Activation Rep'!B:B,'Download of SFDC Activation Rep'!C:C),"")</f>
        <v>Rumford Stone, Inc</v>
      </c>
    </row>
    <row r="183">
      <c r="F183" s="14"/>
      <c r="G183" s="13" t="str">
        <f t="array" ref="G183">iferror(XLOOKUP(A183,'Download of SFDC Activation Rep'!B:B,'Download of SFDC Activation Rep'!H:H),"")</f>
        <v>Active</v>
      </c>
      <c r="H183" s="13" t="str">
        <f t="array" ref="H183">iferror(xlookup(A183,'Download of SFDC Activation Rep'!B:B,'Download of SFDC Activation Rep'!L:L),"")</f>
        <v/>
      </c>
      <c r="I183" s="17" t="str">
        <f t="shared" si="2"/>
        <v>Active</v>
      </c>
      <c r="J183" s="17" t="str">
        <f t="array" ref="J183">XLOOKUP(A183,'Download of SFDC Activation Rep'!B:B,'Download of SFDC Activation Rep'!T:T)</f>
        <v>006UU00000Lzkqn</v>
      </c>
      <c r="K183" s="17" t="str">
        <f t="array" ref="K183">iferror(XLOOKUP(A183,'Download of SFDC Activation Rep'!B:B,'Download of SFDC Activation Rep'!C:C),"")</f>
        <v>Stupendous Events LLC</v>
      </c>
    </row>
    <row r="184">
      <c r="F184" s="14"/>
      <c r="G184" s="13" t="str">
        <f t="array" ref="G184">iferror(XLOOKUP(A184,'Download of SFDC Activation Rep'!B:B,'Download of SFDC Activation Rep'!H:H),"")</f>
        <v/>
      </c>
      <c r="H184" s="13" t="str">
        <f t="array" ref="H184">iferror(xlookup(A184,'Download of SFDC Activation Rep'!B:B,'Download of SFDC Activation Rep'!L:L),"")</f>
        <v>Active</v>
      </c>
      <c r="I184" s="17" t="str">
        <f t="shared" si="2"/>
        <v>Active</v>
      </c>
      <c r="J184" s="17" t="str">
        <f t="array" ref="J184">XLOOKUP(A184,'Download of SFDC Activation Rep'!B:B,'Download of SFDC Activation Rep'!T:T)</f>
        <v>006UU00000LzrZj</v>
      </c>
      <c r="K184" s="17" t="str">
        <f t="array" ref="K184">iferror(XLOOKUP(A184,'Download of SFDC Activation Rep'!B:B,'Download of SFDC Activation Rep'!C:C),"")</f>
        <v>Handled Commerce</v>
      </c>
    </row>
    <row r="185">
      <c r="F185" s="14"/>
      <c r="G185" s="13" t="str">
        <f t="array" ref="G185">iferror(XLOOKUP(A185,'Download of SFDC Activation Rep'!B:B,'Download of SFDC Activation Rep'!H:H),"")</f>
        <v>Active</v>
      </c>
      <c r="H185" s="13" t="str">
        <f t="array" ref="H185">iferror(xlookup(A185,'Download of SFDC Activation Rep'!B:B,'Download of SFDC Activation Rep'!L:L),"")</f>
        <v>Churned</v>
      </c>
      <c r="I185" s="17" t="str">
        <f t="shared" si="2"/>
        <v>Active</v>
      </c>
      <c r="J185" s="17" t="str">
        <f t="array" ref="J185">XLOOKUP(A185,'Download of SFDC Activation Rep'!B:B,'Download of SFDC Activation Rep'!T:T)</f>
        <v>006UU00000Lzm6t</v>
      </c>
      <c r="K185" s="17" t="str">
        <f t="array" ref="K185">iferror(XLOOKUP(A185,'Download of SFDC Activation Rep'!B:B,'Download of SFDC Activation Rep'!C:C),"")</f>
        <v>South Earth Property Management</v>
      </c>
    </row>
    <row r="186">
      <c r="F186" s="14"/>
      <c r="G186" s="13" t="str">
        <f t="array" ref="G186">iferror(XLOOKUP(A186,'Download of SFDC Activation Rep'!B:B,'Download of SFDC Activation Rep'!H:H),"")</f>
        <v>Churned</v>
      </c>
      <c r="H186" s="13" t="str">
        <f t="array" ref="H186">iferror(xlookup(A186,'Download of SFDC Activation Rep'!B:B,'Download of SFDC Activation Rep'!L:L),"")</f>
        <v/>
      </c>
      <c r="I186" s="17" t="str">
        <f t="shared" si="2"/>
        <v>Not Active</v>
      </c>
      <c r="J186" s="17" t="str">
        <f t="array" ref="J186">XLOOKUP(A186,'Download of SFDC Activation Rep'!B:B,'Download of SFDC Activation Rep'!T:T)</f>
        <v>006UU00000Nlj2r</v>
      </c>
      <c r="K186" s="17" t="str">
        <f t="array" ref="K186">iferror(XLOOKUP(A186,'Download of SFDC Activation Rep'!B:B,'Download of SFDC Activation Rep'!C:C),"")</f>
        <v>First Premier Project Management, LLC</v>
      </c>
    </row>
    <row r="187">
      <c r="F187" s="14"/>
      <c r="G187" s="13" t="str">
        <f t="array" ref="G187">iferror(XLOOKUP(A187,'Download of SFDC Activation Rep'!B:B,'Download of SFDC Activation Rep'!H:H),"")</f>
        <v/>
      </c>
      <c r="H187" s="13" t="str">
        <f t="array" ref="H187">iferror(xlookup(A187,'Download of SFDC Activation Rep'!B:B,'Download of SFDC Activation Rep'!L:L),"")</f>
        <v>Churned</v>
      </c>
      <c r="I187" s="17" t="str">
        <f t="shared" si="2"/>
        <v>Not Active</v>
      </c>
      <c r="J187" s="17" t="str">
        <f t="array" ref="J187">XLOOKUP(A187,'Download of SFDC Activation Rep'!B:B,'Download of SFDC Activation Rep'!T:T)</f>
        <v>006UU00000MQpnU</v>
      </c>
      <c r="K187" s="17" t="str">
        <f t="array" ref="K187">iferror(XLOOKUP(A187,'Download of SFDC Activation Rep'!B:B,'Download of SFDC Activation Rep'!C:C),"")</f>
        <v>The Hills Senior Living</v>
      </c>
    </row>
    <row r="188">
      <c r="F188" s="14"/>
      <c r="G188" s="13" t="str">
        <f t="array" ref="G188">iferror(XLOOKUP(A188,'Download of SFDC Activation Rep'!B:B,'Download of SFDC Activation Rep'!H:H),"")</f>
        <v>Active</v>
      </c>
      <c r="H188" s="13" t="str">
        <f t="array" ref="H188">iferror(xlookup(A188,'Download of SFDC Activation Rep'!B:B,'Download of SFDC Activation Rep'!L:L),"")</f>
        <v>Active</v>
      </c>
      <c r="I188" s="17" t="str">
        <f t="shared" si="2"/>
        <v>Active</v>
      </c>
      <c r="J188" s="17" t="str">
        <f t="array" ref="J188">XLOOKUP(A188,'Download of SFDC Activation Rep'!B:B,'Download of SFDC Activation Rep'!T:T)</f>
        <v>006UU00000Lzkqm</v>
      </c>
      <c r="K188" s="17" t="str">
        <f t="array" ref="K188">iferror(XLOOKUP(A188,'Download of SFDC Activation Rep'!B:B,'Download of SFDC Activation Rep'!C:C),"")</f>
        <v>ReSure Tax Tactics and Strategies LLC</v>
      </c>
    </row>
    <row r="189">
      <c r="F189" s="14"/>
      <c r="G189" s="13" t="str">
        <f t="array" ref="G189">iferror(XLOOKUP(A189,'Download of SFDC Activation Rep'!B:B,'Download of SFDC Activation Rep'!H:H),"")</f>
        <v>Churned</v>
      </c>
      <c r="H189" s="13" t="str">
        <f t="array" ref="H189">iferror(xlookup(A189,'Download of SFDC Activation Rep'!B:B,'Download of SFDC Activation Rep'!L:L),"")</f>
        <v/>
      </c>
      <c r="I189" s="17" t="str">
        <f t="shared" si="2"/>
        <v>Not Active</v>
      </c>
      <c r="J189" s="17" t="str">
        <f t="array" ref="J189">XLOOKUP(A189,'Download of SFDC Activation Rep'!B:B,'Download of SFDC Activation Rep'!T:T)</f>
        <v>006UU00000MQpnV</v>
      </c>
      <c r="K189" s="17" t="str">
        <f t="array" ref="K189">iferror(XLOOKUP(A189,'Download of SFDC Activation Rep'!B:B,'Download of SFDC Activation Rep'!C:C),"")</f>
        <v>McCandless Group Strategies LLC</v>
      </c>
    </row>
    <row r="190">
      <c r="F190" s="14"/>
      <c r="G190" s="13" t="str">
        <f t="array" ref="G190">iferror(XLOOKUP(A190,'Download of SFDC Activation Rep'!B:B,'Download of SFDC Activation Rep'!H:H),"")</f>
        <v>Active</v>
      </c>
      <c r="H190" s="13" t="str">
        <f t="array" ref="H190">iferror(xlookup(A190,'Download of SFDC Activation Rep'!B:B,'Download of SFDC Activation Rep'!L:L),"")</f>
        <v>Churned</v>
      </c>
      <c r="I190" s="17" t="str">
        <f t="shared" si="2"/>
        <v>Active</v>
      </c>
      <c r="J190" s="17" t="str">
        <f t="array" ref="J190">XLOOKUP(A190,'Download of SFDC Activation Rep'!B:B,'Download of SFDC Activation Rep'!T:T)</f>
        <v>006UU00000Lzkql</v>
      </c>
      <c r="K190" s="17" t="str">
        <f t="array" ref="K190">iferror(XLOOKUP(A190,'Download of SFDC Activation Rep'!B:B,'Download of SFDC Activation Rep'!C:C),"")</f>
        <v>ReSure LLC</v>
      </c>
    </row>
    <row r="191">
      <c r="F191" s="14"/>
      <c r="G191" s="13" t="str">
        <f t="array" ref="G191">iferror(XLOOKUP(A191,'Download of SFDC Activation Rep'!B:B,'Download of SFDC Activation Rep'!H:H),"")</f>
        <v>Inactive</v>
      </c>
      <c r="H191" s="13" t="str">
        <f t="array" ref="H191">iferror(xlookup(A191,'Download of SFDC Activation Rep'!B:B,'Download of SFDC Activation Rep'!L:L),"")</f>
        <v>Active</v>
      </c>
      <c r="I191" s="17" t="str">
        <f t="shared" si="2"/>
        <v>Active</v>
      </c>
      <c r="J191" s="17" t="str">
        <f t="array" ref="J191">XLOOKUP(A191,'Download of SFDC Activation Rep'!B:B,'Download of SFDC Activation Rep'!T:T)</f>
        <v>006VT00000sgdkD</v>
      </c>
      <c r="K191" s="17" t="str">
        <f t="array" ref="K191">iferror(XLOOKUP(A191,'Download of SFDC Activation Rep'!B:B,'Download of SFDC Activation Rep'!C:C),"")</f>
        <v>lanier welding products</v>
      </c>
    </row>
    <row r="192">
      <c r="F192" s="14"/>
      <c r="G192" s="13" t="str">
        <f t="array" ref="G192">iferror(XLOOKUP(A192,'Download of SFDC Activation Rep'!B:B,'Download of SFDC Activation Rep'!H:H),"")</f>
        <v>Active</v>
      </c>
      <c r="H192" s="13" t="str">
        <f t="array" ref="H192">iferror(xlookup(A192,'Download of SFDC Activation Rep'!B:B,'Download of SFDC Activation Rep'!L:L),"")</f>
        <v>Inactive</v>
      </c>
      <c r="I192" s="17" t="str">
        <f t="shared" si="2"/>
        <v>Active</v>
      </c>
      <c r="J192" s="17" t="str">
        <f t="array" ref="J192">XLOOKUP(A192,'Download of SFDC Activation Rep'!B:B,'Download of SFDC Activation Rep'!T:T)</f>
        <v>006UU00000Lzmjl</v>
      </c>
      <c r="K192" s="17" t="str">
        <f t="array" ref="K192">iferror(XLOOKUP(A192,'Download of SFDC Activation Rep'!B:B,'Download of SFDC Activation Rep'!C:C),"")</f>
        <v>BTK Communications Group, LTD</v>
      </c>
    </row>
    <row r="193">
      <c r="F193" s="14"/>
      <c r="G193" s="13" t="str">
        <f t="array" ref="G193">iferror(XLOOKUP(A193,'Download of SFDC Activation Rep'!B:B,'Download of SFDC Activation Rep'!H:H),"")</f>
        <v/>
      </c>
      <c r="H193" s="13" t="str">
        <f t="array" ref="H193">iferror(xlookup(A193,'Download of SFDC Activation Rep'!B:B,'Download of SFDC Activation Rep'!L:L),"")</f>
        <v>Active</v>
      </c>
      <c r="I193" s="17" t="str">
        <f t="shared" si="2"/>
        <v>Active</v>
      </c>
      <c r="J193" s="17" t="str">
        <f t="array" ref="J193">XLOOKUP(A193,'Download of SFDC Activation Rep'!B:B,'Download of SFDC Activation Rep'!T:T)</f>
        <v>006UU00000LzkrJ</v>
      </c>
      <c r="K193" s="17" t="str">
        <f t="array" ref="K193">iferror(XLOOKUP(A193,'Download of SFDC Activation Rep'!B:B,'Download of SFDC Activation Rep'!C:C),"")</f>
        <v>Super Bunny Promo</v>
      </c>
    </row>
    <row r="194">
      <c r="F194" s="14"/>
      <c r="G194" s="13" t="str">
        <f t="array" ref="G194">iferror(XLOOKUP(A194,'Download of SFDC Activation Rep'!B:B,'Download of SFDC Activation Rep'!H:H),"")</f>
        <v>Active</v>
      </c>
      <c r="H194" s="13" t="str">
        <f t="array" ref="H194">iferror(xlookup(A194,'Download of SFDC Activation Rep'!B:B,'Download of SFDC Activation Rep'!L:L),"")</f>
        <v/>
      </c>
      <c r="I194" s="17" t="str">
        <f t="shared" si="2"/>
        <v>Active</v>
      </c>
      <c r="J194" s="17" t="str">
        <f t="array" ref="J194">XLOOKUP(A194,'Download of SFDC Activation Rep'!B:B,'Download of SFDC Activation Rep'!T:T)</f>
        <v>006UU00000N8qc7</v>
      </c>
      <c r="K194" s="17" t="str">
        <f t="array" ref="K194">iferror(XLOOKUP(A194,'Download of SFDC Activation Rep'!B:B,'Download of SFDC Activation Rep'!C:C),"")</f>
        <v>Acme Fine Wines</v>
      </c>
    </row>
    <row r="195">
      <c r="F195" s="14"/>
      <c r="G195" s="13" t="str">
        <f t="array" ref="G195">iferror(XLOOKUP(A195,'Download of SFDC Activation Rep'!B:B,'Download of SFDC Activation Rep'!H:H),"")</f>
        <v>Churned</v>
      </c>
      <c r="H195" s="13" t="str">
        <f t="array" ref="H195">iferror(xlookup(A195,'Download of SFDC Activation Rep'!B:B,'Download of SFDC Activation Rep'!L:L),"")</f>
        <v/>
      </c>
      <c r="I195" s="17" t="str">
        <f t="shared" si="2"/>
        <v>Not Active</v>
      </c>
      <c r="J195" s="17" t="str">
        <f t="array" ref="J195">XLOOKUP(A195,'Download of SFDC Activation Rep'!B:B,'Download of SFDC Activation Rep'!T:T)</f>
        <v>006UU00000OSPiR</v>
      </c>
      <c r="K195" s="17" t="str">
        <f t="array" ref="K195">iferror(XLOOKUP(A195,'Download of SFDC Activation Rep'!B:B,'Download of SFDC Activation Rep'!C:C),"")</f>
        <v>Asase Yaa Cultural Arts Foundation</v>
      </c>
    </row>
    <row r="196">
      <c r="F196" s="14"/>
      <c r="G196" s="13" t="str">
        <f t="array" ref="G196">iferror(XLOOKUP(A196,'Download of SFDC Activation Rep'!B:B,'Download of SFDC Activation Rep'!H:H),"")</f>
        <v/>
      </c>
      <c r="H196" s="13" t="str">
        <f t="array" ref="H196">iferror(xlookup(A196,'Download of SFDC Activation Rep'!B:B,'Download of SFDC Activation Rep'!L:L),"")</f>
        <v>Churned</v>
      </c>
      <c r="I196" s="17" t="str">
        <f t="shared" si="2"/>
        <v>Not Active</v>
      </c>
      <c r="J196" s="17" t="str">
        <f t="array" ref="J196">XLOOKUP(A196,'Download of SFDC Activation Rep'!B:B,'Download of SFDC Activation Rep'!T:T)</f>
        <v>006UU00000MQpnW</v>
      </c>
      <c r="K196" s="17" t="str">
        <f t="array" ref="K196">iferror(XLOOKUP(A196,'Download of SFDC Activation Rep'!B:B,'Download of SFDC Activation Rep'!C:C),"")</f>
        <v>Piece of Cake</v>
      </c>
    </row>
    <row r="197">
      <c r="F197" s="14"/>
      <c r="G197" s="13" t="str">
        <f t="array" ref="G197">iferror(XLOOKUP(A197,'Download of SFDC Activation Rep'!B:B,'Download of SFDC Activation Rep'!H:H),"")</f>
        <v/>
      </c>
      <c r="H197" s="13" t="str">
        <f t="array" ref="H197">iferror(xlookup(A197,'Download of SFDC Activation Rep'!B:B,'Download of SFDC Activation Rep'!L:L),"")</f>
        <v>Churned</v>
      </c>
      <c r="I197" s="17" t="str">
        <f t="shared" si="2"/>
        <v>Not Active</v>
      </c>
      <c r="J197" s="17" t="str">
        <f t="array" ref="J197">XLOOKUP(A197,'Download of SFDC Activation Rep'!B:B,'Download of SFDC Activation Rep'!T:T)</f>
        <v>006UU00000MQpnX</v>
      </c>
      <c r="K197" s="17" t="str">
        <f t="array" ref="K197">iferror(XLOOKUP(A197,'Download of SFDC Activation Rep'!B:B,'Download of SFDC Activation Rep'!C:C),"")</f>
        <v>Leych Company</v>
      </c>
    </row>
    <row r="198">
      <c r="F198" s="14"/>
      <c r="G198" s="13" t="str">
        <f t="array" ref="G198">iferror(XLOOKUP(A198,'Download of SFDC Activation Rep'!B:B,'Download of SFDC Activation Rep'!H:H),"")</f>
        <v>Churned</v>
      </c>
      <c r="H198" s="13" t="str">
        <f t="array" ref="H198">iferror(xlookup(A198,'Download of SFDC Activation Rep'!B:B,'Download of SFDC Activation Rep'!L:L),"")</f>
        <v>Churned</v>
      </c>
      <c r="I198" s="17" t="str">
        <f t="shared" si="2"/>
        <v>Not Active</v>
      </c>
      <c r="J198" s="17" t="str">
        <f t="array" ref="J198">XLOOKUP(A198,'Download of SFDC Activation Rep'!B:B,'Download of SFDC Activation Rep'!T:T)</f>
        <v>006UU00000NlN2M</v>
      </c>
      <c r="K198" s="17" t="str">
        <f t="array" ref="K198">iferror(XLOOKUP(A198,'Download of SFDC Activation Rep'!B:B,'Download of SFDC Activation Rep'!C:C),"")</f>
        <v>PDI Chicago Ltd.</v>
      </c>
    </row>
    <row r="199">
      <c r="F199" s="14"/>
      <c r="G199" s="13" t="str">
        <f t="array" ref="G199">iferror(XLOOKUP(A199,'Download of SFDC Activation Rep'!B:B,'Download of SFDC Activation Rep'!H:H),"")</f>
        <v>Inactive</v>
      </c>
      <c r="H199" s="13" t="str">
        <f t="array" ref="H199">iferror(xlookup(A199,'Download of SFDC Activation Rep'!B:B,'Download of SFDC Activation Rep'!L:L),"")</f>
        <v/>
      </c>
      <c r="I199" s="17" t="str">
        <f t="shared" si="2"/>
        <v>Not Active</v>
      </c>
      <c r="J199" s="17" t="str">
        <f t="array" ref="J199">XLOOKUP(A199,'Download of SFDC Activation Rep'!B:B,'Download of SFDC Activation Rep'!T:T)</f>
        <v>006UU00000MI9BU</v>
      </c>
      <c r="K199" s="17" t="str">
        <f t="array" ref="K199">iferror(XLOOKUP(A199,'Download of SFDC Activation Rep'!B:B,'Download of SFDC Activation Rep'!C:C),"")</f>
        <v>Cabildo Staffing</v>
      </c>
    </row>
    <row r="200">
      <c r="F200" s="14"/>
      <c r="G200" s="13" t="str">
        <f t="array" ref="G200">iferror(XLOOKUP(A200,'Download of SFDC Activation Rep'!B:B,'Download of SFDC Activation Rep'!H:H),"")</f>
        <v>Churned</v>
      </c>
      <c r="H200" s="13" t="str">
        <f t="array" ref="H200">iferror(xlookup(A200,'Download of SFDC Activation Rep'!B:B,'Download of SFDC Activation Rep'!L:L),"")</f>
        <v>Churned</v>
      </c>
      <c r="I200" s="17" t="str">
        <f t="shared" si="2"/>
        <v>Not Active</v>
      </c>
      <c r="J200" s="17" t="str">
        <f t="array" ref="J200">XLOOKUP(A200,'Download of SFDC Activation Rep'!B:B,'Download of SFDC Activation Rep'!T:T)</f>
        <v>006UU00000Lm7r7</v>
      </c>
      <c r="K200" s="17" t="str">
        <f t="array" ref="K200">iferror(XLOOKUP(A200,'Download of SFDC Activation Rep'!B:B,'Download of SFDC Activation Rep'!C:C),"")</f>
        <v>White Mountain Construction</v>
      </c>
    </row>
    <row r="201">
      <c r="F201" s="14"/>
      <c r="G201" s="13" t="str">
        <f t="array" ref="G201">iferror(XLOOKUP(A201,'Download of SFDC Activation Rep'!B:B,'Download of SFDC Activation Rep'!H:H),"")</f>
        <v>Active</v>
      </c>
      <c r="H201" s="13" t="str">
        <f t="array" ref="H201">iferror(xlookup(A201,'Download of SFDC Activation Rep'!B:B,'Download of SFDC Activation Rep'!L:L),"")</f>
        <v/>
      </c>
      <c r="I201" s="17" t="str">
        <f t="shared" si="2"/>
        <v>Active</v>
      </c>
      <c r="J201" s="17" t="str">
        <f t="array" ref="J201">XLOOKUP(A201,'Download of SFDC Activation Rep'!B:B,'Download of SFDC Activation Rep'!T:T)</f>
        <v>006UU00000LzrZm</v>
      </c>
      <c r="K201" s="17" t="str">
        <f t="array" ref="K201">iferror(XLOOKUP(A201,'Download of SFDC Activation Rep'!B:B,'Download of SFDC Activation Rep'!C:C),"")</f>
        <v>Habitat for Humanity-Anchorage</v>
      </c>
    </row>
    <row r="202">
      <c r="F202" s="14"/>
      <c r="G202" s="13" t="str">
        <f t="array" ref="G202">iferror(XLOOKUP(A202,'Download of SFDC Activation Rep'!B:B,'Download of SFDC Activation Rep'!H:H),"")</f>
        <v>Active</v>
      </c>
      <c r="H202" s="13" t="str">
        <f t="array" ref="H202">iferror(xlookup(A202,'Download of SFDC Activation Rep'!B:B,'Download of SFDC Activation Rep'!L:L),"")</f>
        <v/>
      </c>
      <c r="I202" s="17" t="str">
        <f t="shared" si="2"/>
        <v>Active</v>
      </c>
      <c r="J202" s="17" t="str">
        <f t="array" ref="J202">XLOOKUP(A202,'Download of SFDC Activation Rep'!B:B,'Download of SFDC Activation Rep'!T:T)</f>
        <v>006UU00000KruBr</v>
      </c>
      <c r="K202" s="17" t="str">
        <f t="array" ref="K202">iferror(XLOOKUP(A202,'Download of SFDC Activation Rep'!B:B,'Download of SFDC Activation Rep'!C:C),"")</f>
        <v>megg mining llc</v>
      </c>
    </row>
    <row r="203">
      <c r="F203" s="14"/>
      <c r="G203" s="13" t="str">
        <f t="array" ref="G203">iferror(XLOOKUP(A203,'Download of SFDC Activation Rep'!B:B,'Download of SFDC Activation Rep'!H:H),"")</f>
        <v>Active</v>
      </c>
      <c r="H203" s="13" t="str">
        <f t="array" ref="H203">iferror(xlookup(A203,'Download of SFDC Activation Rep'!B:B,'Download of SFDC Activation Rep'!L:L),"")</f>
        <v/>
      </c>
      <c r="I203" s="17" t="str">
        <f t="shared" si="2"/>
        <v>Active</v>
      </c>
      <c r="J203" s="17" t="str">
        <f t="array" ref="J203">XLOOKUP(A203,'Download of SFDC Activation Rep'!B:B,'Download of SFDC Activation Rep'!T:T)</f>
        <v>006UU00000Lzkr4</v>
      </c>
      <c r="K203" s="17" t="str">
        <f t="array" ref="K203">iferror(XLOOKUP(A203,'Download of SFDC Activation Rep'!B:B,'Download of SFDC Activation Rep'!C:C),"")</f>
        <v>Berkovitch &amp; Bouskila Pllc</v>
      </c>
    </row>
    <row r="204">
      <c r="F204" s="14"/>
      <c r="G204" s="13" t="str">
        <f t="array" ref="G204">iferror(XLOOKUP(A204,'Download of SFDC Activation Rep'!B:B,'Download of SFDC Activation Rep'!H:H),"")</f>
        <v>Active</v>
      </c>
      <c r="H204" s="13" t="str">
        <f t="array" ref="H204">iferror(xlookup(A204,'Download of SFDC Activation Rep'!B:B,'Download of SFDC Activation Rep'!L:L),"")</f>
        <v/>
      </c>
      <c r="I204" s="17" t="str">
        <f t="shared" si="2"/>
        <v>Active</v>
      </c>
      <c r="J204" s="17" t="str">
        <f t="array" ref="J204">XLOOKUP(A204,'Download of SFDC Activation Rep'!B:B,'Download of SFDC Activation Rep'!T:T)</f>
        <v>006UU00000Lzmjj</v>
      </c>
      <c r="K204" s="17" t="str">
        <f t="array" ref="K204">iferror(XLOOKUP(A204,'Download of SFDC Activation Rep'!B:B,'Download of SFDC Activation Rep'!C:C),"")</f>
        <v>Hendersonville Community Co-Op</v>
      </c>
    </row>
    <row r="205">
      <c r="F205" s="14"/>
      <c r="G205" s="13" t="str">
        <f t="array" ref="G205">iferror(XLOOKUP(A205,'Download of SFDC Activation Rep'!B:B,'Download of SFDC Activation Rep'!H:H),"")</f>
        <v>Active</v>
      </c>
      <c r="H205" s="13" t="str">
        <f t="array" ref="H205">iferror(xlookup(A205,'Download of SFDC Activation Rep'!B:B,'Download of SFDC Activation Rep'!L:L),"")</f>
        <v/>
      </c>
      <c r="I205" s="17" t="str">
        <f t="shared" si="2"/>
        <v>Active</v>
      </c>
      <c r="J205" s="17" t="str">
        <f t="array" ref="J205">XLOOKUP(A205,'Download of SFDC Activation Rep'!B:B,'Download of SFDC Activation Rep'!T:T)</f>
        <v>006UU00000LzrZp</v>
      </c>
      <c r="K205" s="17" t="str">
        <f t="array" ref="K205">iferror(XLOOKUP(A205,'Download of SFDC Activation Rep'!B:B,'Download of SFDC Activation Rep'!C:C),"")</f>
        <v>Liberty Orchards LLC</v>
      </c>
    </row>
    <row r="206">
      <c r="F206" s="14"/>
      <c r="G206" s="13" t="str">
        <f t="array" ref="G206">iferror(XLOOKUP(A206,'Download of SFDC Activation Rep'!B:B,'Download of SFDC Activation Rep'!H:H),"")</f>
        <v>Active</v>
      </c>
      <c r="H206" s="13" t="str">
        <f t="array" ref="H206">iferror(xlookup(A206,'Download of SFDC Activation Rep'!B:B,'Download of SFDC Activation Rep'!L:L),"")</f>
        <v/>
      </c>
      <c r="I206" s="17" t="str">
        <f t="shared" si="2"/>
        <v>Active</v>
      </c>
      <c r="J206" s="17" t="str">
        <f t="array" ref="J206">XLOOKUP(A206,'Download of SFDC Activation Rep'!B:B,'Download of SFDC Activation Rep'!T:T)</f>
        <v>006UU00000L2cpv</v>
      </c>
      <c r="K206" s="17" t="str">
        <f t="array" ref="K206">iferror(XLOOKUP(A206,'Download of SFDC Activation Rep'!B:B,'Download of SFDC Activation Rep'!C:C),"")</f>
        <v>Austin Elementary PTO</v>
      </c>
    </row>
    <row r="207">
      <c r="F207" s="14"/>
      <c r="G207" s="13" t="str">
        <f t="array" ref="G207">iferror(XLOOKUP(A207,'Download of SFDC Activation Rep'!B:B,'Download of SFDC Activation Rep'!H:H),"")</f>
        <v>Active</v>
      </c>
      <c r="H207" s="13" t="str">
        <f t="array" ref="H207">iferror(xlookup(A207,'Download of SFDC Activation Rep'!B:B,'Download of SFDC Activation Rep'!L:L),"")</f>
        <v>Active</v>
      </c>
      <c r="I207" s="17" t="str">
        <f t="shared" si="2"/>
        <v>Active</v>
      </c>
      <c r="J207" s="17" t="str">
        <f t="array" ref="J207">XLOOKUP(A207,'Download of SFDC Activation Rep'!B:B,'Download of SFDC Activation Rep'!T:T)</f>
        <v>006UU00000O1zBi</v>
      </c>
      <c r="K207" s="17" t="str">
        <f t="array" ref="K207">iferror(XLOOKUP(A207,'Download of SFDC Activation Rep'!B:B,'Download of SFDC Activation Rep'!C:C),"")</f>
        <v>Friendly Foods Inc</v>
      </c>
    </row>
    <row r="208">
      <c r="F208" s="14"/>
      <c r="G208" s="13" t="str">
        <f t="array" ref="G208">iferror(XLOOKUP(A208,'Download of SFDC Activation Rep'!B:B,'Download of SFDC Activation Rep'!H:H),"")</f>
        <v>Active</v>
      </c>
      <c r="H208" s="13" t="str">
        <f t="array" ref="H208">iferror(xlookup(A208,'Download of SFDC Activation Rep'!B:B,'Download of SFDC Activation Rep'!L:L),"")</f>
        <v>Churned</v>
      </c>
      <c r="I208" s="17" t="str">
        <f t="shared" si="2"/>
        <v>Active</v>
      </c>
      <c r="J208" s="17" t="str">
        <f t="array" ref="J208">XLOOKUP(A208,'Download of SFDC Activation Rep'!B:B,'Download of SFDC Activation Rep'!T:T)</f>
        <v>006UU00000LzkrL</v>
      </c>
      <c r="K208" s="17" t="str">
        <f t="array" ref="K208">iferror(XLOOKUP(A208,'Download of SFDC Activation Rep'!B:B,'Download of SFDC Activation Rep'!C:C),"")</f>
        <v>The Arts Club of Chicago</v>
      </c>
    </row>
    <row r="209">
      <c r="F209" s="14"/>
      <c r="G209" s="13" t="str">
        <f t="array" ref="G209">iferror(XLOOKUP(A209,'Download of SFDC Activation Rep'!B:B,'Download of SFDC Activation Rep'!H:H),"")</f>
        <v/>
      </c>
      <c r="H209" s="13" t="str">
        <f t="array" ref="H209">iferror(xlookup(A209,'Download of SFDC Activation Rep'!B:B,'Download of SFDC Activation Rep'!L:L),"")</f>
        <v>Churned</v>
      </c>
      <c r="I209" s="17" t="str">
        <f t="shared" si="2"/>
        <v>Not Active</v>
      </c>
      <c r="J209" s="17" t="str">
        <f t="array" ref="J209">XLOOKUP(A209,'Download of SFDC Activation Rep'!B:B,'Download of SFDC Activation Rep'!T:T)</f>
        <v>006UU00000MQpn0</v>
      </c>
      <c r="K209" s="17" t="str">
        <f t="array" ref="K209">iferror(XLOOKUP(A209,'Download of SFDC Activation Rep'!B:B,'Download of SFDC Activation Rep'!C:C),"")</f>
        <v>Florida Wholesale Printing</v>
      </c>
    </row>
    <row r="210">
      <c r="F210" s="14"/>
      <c r="G210" s="13" t="str">
        <f t="array" ref="G210">iferror(XLOOKUP(A210,'Download of SFDC Activation Rep'!B:B,'Download of SFDC Activation Rep'!H:H),"")</f>
        <v>Active</v>
      </c>
      <c r="H210" s="13" t="str">
        <f t="array" ref="H210">iferror(xlookup(A210,'Download of SFDC Activation Rep'!B:B,'Download of SFDC Activation Rep'!L:L),"")</f>
        <v/>
      </c>
      <c r="I210" s="17" t="str">
        <f t="shared" si="2"/>
        <v>Active</v>
      </c>
      <c r="J210" s="17" t="str">
        <f t="array" ref="J210">XLOOKUP(A210,'Download of SFDC Activation Rep'!B:B,'Download of SFDC Activation Rep'!T:T)</f>
        <v>006UU00000MpN7Z</v>
      </c>
      <c r="K210" s="17" t="str">
        <f t="array" ref="K210">iferror(XLOOKUP(A210,'Download of SFDC Activation Rep'!B:B,'Download of SFDC Activation Rep'!C:C),"")</f>
        <v>Liberty Land Management LLC</v>
      </c>
    </row>
    <row r="211">
      <c r="F211" s="14"/>
      <c r="G211" s="13" t="str">
        <f t="array" ref="G211">iferror(XLOOKUP(A211,'Download of SFDC Activation Rep'!B:B,'Download of SFDC Activation Rep'!H:H),"")</f>
        <v>Active</v>
      </c>
      <c r="H211" s="13" t="str">
        <f t="array" ref="H211">iferror(xlookup(A211,'Download of SFDC Activation Rep'!B:B,'Download of SFDC Activation Rep'!L:L),"")</f>
        <v/>
      </c>
      <c r="I211" s="17" t="str">
        <f t="shared" si="2"/>
        <v>Active</v>
      </c>
      <c r="J211" s="17" t="str">
        <f t="array" ref="J211">XLOOKUP(A211,'Download of SFDC Activation Rep'!B:B,'Download of SFDC Activation Rep'!T:T)</f>
        <v>006UU00000NnJkI</v>
      </c>
      <c r="K211" s="17" t="str">
        <f t="array" ref="K211">iferror(XLOOKUP(A211,'Download of SFDC Activation Rep'!B:B,'Download of SFDC Activation Rep'!C:C),"")</f>
        <v>Bottle Barn</v>
      </c>
    </row>
    <row r="212">
      <c r="B212" s="14"/>
      <c r="C212" s="14"/>
      <c r="D212" s="14"/>
      <c r="E212" s="14"/>
      <c r="F212" s="14"/>
      <c r="G212" s="13" t="str">
        <f t="array" ref="G212">iferror(XLOOKUP(A212,'Download of SFDC Activation Rep'!B:B,'Download of SFDC Activation Rep'!H:H),"")</f>
        <v/>
      </c>
      <c r="H212" s="13" t="str">
        <f t="array" ref="H212">iferror(xlookup(A212,'Download of SFDC Activation Rep'!B:B,'Download of SFDC Activation Rep'!L:L),"")</f>
        <v/>
      </c>
      <c r="I212" s="17" t="str">
        <f t="shared" si="2"/>
        <v>Not Active</v>
      </c>
      <c r="J212" s="17" t="str">
        <f t="array" ref="J212">XLOOKUP(A212,'Download of SFDC Activation Rep'!B:B,'Download of SFDC Activation Rep'!T:T)</f>
        <v>#N/A</v>
      </c>
      <c r="K212" s="17" t="str">
        <f t="array" ref="K212">iferror(XLOOKUP(A212,'Download of SFDC Activation Rep'!B:B,'Download of SFDC Activation Rep'!C:C),"")</f>
        <v/>
      </c>
    </row>
    <row r="213">
      <c r="B213" s="14"/>
      <c r="C213" s="14"/>
      <c r="D213" s="14"/>
      <c r="E213" s="14"/>
      <c r="F213" s="14"/>
      <c r="G213" s="13" t="str">
        <f t="array" ref="G213">iferror(XLOOKUP(A213,'Download of SFDC Activation Rep'!B:B,'Download of SFDC Activation Rep'!H:H),"")</f>
        <v/>
      </c>
      <c r="H213" s="13" t="str">
        <f t="array" ref="H213">iferror(xlookup(A213,'Download of SFDC Activation Rep'!B:B,'Download of SFDC Activation Rep'!L:L),"")</f>
        <v/>
      </c>
      <c r="I213" s="17" t="str">
        <f t="shared" si="2"/>
        <v>Not Active</v>
      </c>
      <c r="J213" s="17" t="str">
        <f t="array" ref="J213">XLOOKUP(A213,'Download of SFDC Activation Rep'!B:B,'Download of SFDC Activation Rep'!T:T)</f>
        <v>#N/A</v>
      </c>
      <c r="K213" s="17" t="str">
        <f t="array" ref="K213">iferror(XLOOKUP(A213,'Download of SFDC Activation Rep'!B:B,'Download of SFDC Activation Rep'!C:C),"")</f>
        <v/>
      </c>
    </row>
    <row r="214">
      <c r="B214" s="14"/>
      <c r="C214" s="14"/>
      <c r="D214" s="14"/>
      <c r="E214" s="14"/>
      <c r="F214" s="14"/>
      <c r="G214" s="13" t="str">
        <f t="array" ref="G214">iferror(XLOOKUP(A214,'Download of SFDC Activation Rep'!B:B,'Download of SFDC Activation Rep'!H:H),"")</f>
        <v/>
      </c>
      <c r="H214" s="13" t="str">
        <f t="array" ref="H214">iferror(xlookup(A214,'Download of SFDC Activation Rep'!B:B,'Download of SFDC Activation Rep'!L:L),"")</f>
        <v/>
      </c>
      <c r="I214" s="17" t="str">
        <f t="shared" si="2"/>
        <v>Not Active</v>
      </c>
      <c r="J214" s="17" t="str">
        <f t="array" ref="J214">XLOOKUP(A214,'Download of SFDC Activation Rep'!B:B,'Download of SFDC Activation Rep'!T:T)</f>
        <v>#N/A</v>
      </c>
      <c r="K214" s="17" t="str">
        <f t="array" ref="K214">iferror(XLOOKUP(A214,'Download of SFDC Activation Rep'!B:B,'Download of SFDC Activation Rep'!C:C),"")</f>
        <v/>
      </c>
    </row>
    <row r="215">
      <c r="B215" s="14"/>
      <c r="C215" s="14"/>
      <c r="D215" s="14"/>
      <c r="E215" s="14"/>
      <c r="F215" s="14"/>
      <c r="G215" s="13" t="str">
        <f t="array" ref="G215">iferror(XLOOKUP(A215,'Download of SFDC Activation Rep'!B:B,'Download of SFDC Activation Rep'!H:H),"")</f>
        <v/>
      </c>
      <c r="H215" s="13" t="str">
        <f t="array" ref="H215">iferror(xlookup(A215,'Download of SFDC Activation Rep'!B:B,'Download of SFDC Activation Rep'!L:L),"")</f>
        <v/>
      </c>
      <c r="I215" s="17" t="str">
        <f t="shared" si="2"/>
        <v>Not Active</v>
      </c>
      <c r="J215" s="17" t="str">
        <f t="array" ref="J215">XLOOKUP(A215,'Download of SFDC Activation Rep'!B:B,'Download of SFDC Activation Rep'!T:T)</f>
        <v>#N/A</v>
      </c>
      <c r="K215" s="17" t="str">
        <f t="array" ref="K215">iferror(XLOOKUP(A215,'Download of SFDC Activation Rep'!B:B,'Download of SFDC Activation Rep'!C:C),"")</f>
        <v/>
      </c>
    </row>
    <row r="216">
      <c r="B216" s="14"/>
      <c r="C216" s="14"/>
      <c r="D216" s="14"/>
      <c r="E216" s="14"/>
      <c r="F216" s="14"/>
      <c r="G216" s="13" t="str">
        <f t="array" ref="G216">iferror(XLOOKUP(A216,'Download of SFDC Activation Rep'!B:B,'Download of SFDC Activation Rep'!H:H),"")</f>
        <v/>
      </c>
      <c r="H216" s="13" t="str">
        <f t="array" ref="H216">iferror(xlookup(A216,'Download of SFDC Activation Rep'!B:B,'Download of SFDC Activation Rep'!L:L),"")</f>
        <v/>
      </c>
      <c r="I216" s="17" t="str">
        <f t="shared" si="2"/>
        <v>Not Active</v>
      </c>
      <c r="J216" s="17" t="str">
        <f t="array" ref="J216">XLOOKUP(A216,'Download of SFDC Activation Rep'!B:B,'Download of SFDC Activation Rep'!T:T)</f>
        <v>#N/A</v>
      </c>
      <c r="K216" s="17" t="str">
        <f t="array" ref="K216">iferror(XLOOKUP(A216,'Download of SFDC Activation Rep'!B:B,'Download of SFDC Activation Rep'!C:C),"")</f>
        <v/>
      </c>
    </row>
    <row r="217">
      <c r="B217" s="14"/>
      <c r="C217" s="14"/>
      <c r="D217" s="14"/>
      <c r="E217" s="14"/>
      <c r="F217" s="14"/>
      <c r="G217" s="13" t="str">
        <f t="array" ref="G217">iferror(XLOOKUP(A217,'Download of SFDC Activation Rep'!B:B,'Download of SFDC Activation Rep'!H:H),"")</f>
        <v/>
      </c>
      <c r="H217" s="13" t="str">
        <f t="array" ref="H217">iferror(xlookup(A217,'Download of SFDC Activation Rep'!B:B,'Download of SFDC Activation Rep'!L:L),"")</f>
        <v/>
      </c>
      <c r="I217" s="17" t="str">
        <f t="shared" si="2"/>
        <v>Not Active</v>
      </c>
      <c r="J217" s="17" t="str">
        <f t="array" ref="J217">XLOOKUP(A217,'Download of SFDC Activation Rep'!B:B,'Download of SFDC Activation Rep'!T:T)</f>
        <v>#N/A</v>
      </c>
      <c r="K217" s="17" t="str">
        <f t="array" ref="K217">iferror(XLOOKUP(A217,'Download of SFDC Activation Rep'!B:B,'Download of SFDC Activation Rep'!C:C),"")</f>
        <v/>
      </c>
    </row>
    <row r="218">
      <c r="B218" s="14"/>
      <c r="C218" s="14"/>
      <c r="D218" s="14"/>
      <c r="E218" s="14"/>
      <c r="F218" s="14"/>
      <c r="G218" s="13" t="str">
        <f t="array" ref="G218">iferror(XLOOKUP(A218,'Download of SFDC Activation Rep'!B:B,'Download of SFDC Activation Rep'!H:H),"")</f>
        <v/>
      </c>
      <c r="H218" s="13" t="str">
        <f t="array" ref="H218">iferror(xlookup(A218,'Download of SFDC Activation Rep'!B:B,'Download of SFDC Activation Rep'!L:L),"")</f>
        <v/>
      </c>
      <c r="I218" s="17" t="str">
        <f t="shared" si="2"/>
        <v>Not Active</v>
      </c>
      <c r="J218" s="17" t="str">
        <f t="array" ref="J218">XLOOKUP(A218,'Download of SFDC Activation Rep'!B:B,'Download of SFDC Activation Rep'!T:T)</f>
        <v>#N/A</v>
      </c>
      <c r="K218" s="17" t="str">
        <f t="array" ref="K218">iferror(XLOOKUP(A218,'Download of SFDC Activation Rep'!B:B,'Download of SFDC Activation Rep'!C:C),"")</f>
        <v/>
      </c>
    </row>
    <row r="219">
      <c r="B219" s="14"/>
      <c r="C219" s="14"/>
      <c r="D219" s="14"/>
      <c r="E219" s="14"/>
      <c r="F219" s="14"/>
      <c r="G219" s="13" t="str">
        <f t="array" ref="G219">iferror(XLOOKUP(A219,'Download of SFDC Activation Rep'!B:B,'Download of SFDC Activation Rep'!H:H),"")</f>
        <v/>
      </c>
      <c r="H219" s="13" t="str">
        <f t="array" ref="H219">iferror(xlookup(A219,'Download of SFDC Activation Rep'!B:B,'Download of SFDC Activation Rep'!L:L),"")</f>
        <v/>
      </c>
      <c r="I219" s="17" t="str">
        <f t="shared" si="2"/>
        <v>Not Active</v>
      </c>
      <c r="J219" s="17" t="str">
        <f t="array" ref="J219">XLOOKUP(A219,'Download of SFDC Activation Rep'!B:B,'Download of SFDC Activation Rep'!T:T)</f>
        <v>#N/A</v>
      </c>
      <c r="K219" s="17" t="str">
        <f t="array" ref="K219">iferror(XLOOKUP(A219,'Download of SFDC Activation Rep'!B:B,'Download of SFDC Activation Rep'!C:C),"")</f>
        <v/>
      </c>
    </row>
    <row r="220">
      <c r="B220" s="14"/>
      <c r="C220" s="14"/>
      <c r="D220" s="14"/>
      <c r="E220" s="14"/>
      <c r="F220" s="14"/>
      <c r="G220" s="13" t="str">
        <f t="array" ref="G220">iferror(XLOOKUP(A220,'Download of SFDC Activation Rep'!B:B,'Download of SFDC Activation Rep'!H:H),"")</f>
        <v/>
      </c>
      <c r="H220" s="13" t="str">
        <f t="array" ref="H220">iferror(xlookup(A220,'Download of SFDC Activation Rep'!B:B,'Download of SFDC Activation Rep'!L:L),"")</f>
        <v/>
      </c>
      <c r="I220" s="17" t="str">
        <f t="shared" si="2"/>
        <v>Not Active</v>
      </c>
      <c r="J220" s="17" t="str">
        <f t="array" ref="J220">XLOOKUP(A220,'Download of SFDC Activation Rep'!B:B,'Download of SFDC Activation Rep'!T:T)</f>
        <v>#N/A</v>
      </c>
      <c r="K220" s="17" t="str">
        <f t="array" ref="K220">iferror(XLOOKUP(A220,'Download of SFDC Activation Rep'!B:B,'Download of SFDC Activation Rep'!C:C),"")</f>
        <v/>
      </c>
    </row>
    <row r="221">
      <c r="B221" s="14"/>
      <c r="C221" s="14"/>
      <c r="D221" s="14"/>
      <c r="E221" s="14"/>
      <c r="F221" s="14"/>
      <c r="G221" s="13" t="str">
        <f t="array" ref="G221">iferror(XLOOKUP(A221,'Download of SFDC Activation Rep'!B:B,'Download of SFDC Activation Rep'!H:H),"")</f>
        <v/>
      </c>
      <c r="H221" s="13" t="str">
        <f t="array" ref="H221">iferror(xlookup(A221,'Download of SFDC Activation Rep'!B:B,'Download of SFDC Activation Rep'!L:L),"")</f>
        <v/>
      </c>
      <c r="I221" s="17" t="str">
        <f t="shared" si="2"/>
        <v>Not Active</v>
      </c>
      <c r="J221" s="17" t="str">
        <f t="array" ref="J221">XLOOKUP(A221,'Download of SFDC Activation Rep'!B:B,'Download of SFDC Activation Rep'!T:T)</f>
        <v>#N/A</v>
      </c>
      <c r="K221" s="17" t="str">
        <f t="array" ref="K221">iferror(XLOOKUP(A221,'Download of SFDC Activation Rep'!B:B,'Download of SFDC Activation Rep'!C:C),"")</f>
        <v/>
      </c>
    </row>
    <row r="222">
      <c r="B222" s="14"/>
      <c r="C222" s="14"/>
      <c r="D222" s="14"/>
      <c r="E222" s="14"/>
      <c r="F222" s="14"/>
      <c r="G222" s="13" t="str">
        <f t="array" ref="G222">iferror(XLOOKUP(A222,'Download of SFDC Activation Rep'!B:B,'Download of SFDC Activation Rep'!H:H),"")</f>
        <v/>
      </c>
      <c r="H222" s="13" t="str">
        <f t="array" ref="H222">iferror(xlookup(A222,'Download of SFDC Activation Rep'!B:B,'Download of SFDC Activation Rep'!L:L),"")</f>
        <v/>
      </c>
      <c r="I222" s="17" t="str">
        <f t="shared" si="2"/>
        <v>Not Active</v>
      </c>
      <c r="J222" s="17" t="str">
        <f t="array" ref="J222">XLOOKUP(A222,'Download of SFDC Activation Rep'!B:B,'Download of SFDC Activation Rep'!T:T)</f>
        <v>#N/A</v>
      </c>
      <c r="K222" s="17" t="str">
        <f t="array" ref="K222">iferror(XLOOKUP(A222,'Download of SFDC Activation Rep'!B:B,'Download of SFDC Activation Rep'!C:C),"")</f>
        <v/>
      </c>
    </row>
    <row r="223">
      <c r="B223" s="14"/>
      <c r="C223" s="14"/>
      <c r="D223" s="14"/>
      <c r="E223" s="14"/>
      <c r="F223" s="14"/>
      <c r="G223" s="13" t="str">
        <f t="array" ref="G223">iferror(XLOOKUP(A223,'Download of SFDC Activation Rep'!B:B,'Download of SFDC Activation Rep'!H:H),"")</f>
        <v/>
      </c>
      <c r="H223" s="13" t="str">
        <f t="array" ref="H223">iferror(xlookup(A223,'Download of SFDC Activation Rep'!B:B,'Download of SFDC Activation Rep'!L:L),"")</f>
        <v/>
      </c>
      <c r="I223" s="17" t="str">
        <f t="shared" si="2"/>
        <v>Not Active</v>
      </c>
      <c r="J223" s="17" t="str">
        <f t="array" ref="J223">XLOOKUP(A223,'Download of SFDC Activation Rep'!B:B,'Download of SFDC Activation Rep'!T:T)</f>
        <v>#N/A</v>
      </c>
      <c r="K223" s="17" t="str">
        <f t="array" ref="K223">iferror(XLOOKUP(A223,'Download of SFDC Activation Rep'!B:B,'Download of SFDC Activation Rep'!C:C),"")</f>
        <v/>
      </c>
    </row>
    <row r="224">
      <c r="B224" s="14"/>
      <c r="C224" s="14"/>
      <c r="D224" s="14"/>
      <c r="E224" s="14"/>
      <c r="F224" s="14"/>
      <c r="G224" s="13" t="str">
        <f t="array" ref="G224">iferror(XLOOKUP(A224,'Download of SFDC Activation Rep'!B:B,'Download of SFDC Activation Rep'!H:H),"")</f>
        <v/>
      </c>
      <c r="H224" s="13" t="str">
        <f t="array" ref="H224">iferror(xlookup(A224,'Download of SFDC Activation Rep'!B:B,'Download of SFDC Activation Rep'!L:L),"")</f>
        <v/>
      </c>
      <c r="I224" s="17" t="str">
        <f t="shared" si="2"/>
        <v>Not Active</v>
      </c>
      <c r="J224" s="17" t="str">
        <f t="array" ref="J224">XLOOKUP(A224,'Download of SFDC Activation Rep'!B:B,'Download of SFDC Activation Rep'!T:T)</f>
        <v>#N/A</v>
      </c>
      <c r="K224" s="17" t="str">
        <f t="array" ref="K224">iferror(XLOOKUP(A224,'Download of SFDC Activation Rep'!B:B,'Download of SFDC Activation Rep'!C:C),"")</f>
        <v/>
      </c>
    </row>
    <row r="225">
      <c r="B225" s="14"/>
      <c r="C225" s="14"/>
      <c r="D225" s="14"/>
      <c r="E225" s="14"/>
      <c r="F225" s="14"/>
      <c r="G225" s="13" t="str">
        <f t="array" ref="G225">iferror(XLOOKUP(A225,'Download of SFDC Activation Rep'!B:B,'Download of SFDC Activation Rep'!H:H),"")</f>
        <v/>
      </c>
      <c r="H225" s="13" t="str">
        <f t="array" ref="H225">iferror(xlookup(A225,'Download of SFDC Activation Rep'!B:B,'Download of SFDC Activation Rep'!L:L),"")</f>
        <v/>
      </c>
      <c r="I225" s="17" t="str">
        <f t="shared" si="2"/>
        <v>Not Active</v>
      </c>
      <c r="J225" s="17" t="str">
        <f t="array" ref="J225">XLOOKUP(A225,'Download of SFDC Activation Rep'!B:B,'Download of SFDC Activation Rep'!T:T)</f>
        <v>#N/A</v>
      </c>
      <c r="K225" s="17" t="str">
        <f t="array" ref="K225">iferror(XLOOKUP(A225,'Download of SFDC Activation Rep'!B:B,'Download of SFDC Activation Rep'!C:C),"")</f>
        <v/>
      </c>
    </row>
    <row r="226">
      <c r="B226" s="14"/>
      <c r="C226" s="14"/>
      <c r="D226" s="14"/>
      <c r="E226" s="14"/>
      <c r="F226" s="14"/>
      <c r="G226" s="13" t="str">
        <f t="array" ref="G226">iferror(XLOOKUP(A226,'Download of SFDC Activation Rep'!B:B,'Download of SFDC Activation Rep'!H:H),"")</f>
        <v/>
      </c>
      <c r="H226" s="13" t="str">
        <f t="array" ref="H226">iferror(xlookup(A226,'Download of SFDC Activation Rep'!B:B,'Download of SFDC Activation Rep'!L:L),"")</f>
        <v/>
      </c>
      <c r="I226" s="17" t="str">
        <f t="shared" si="2"/>
        <v>Not Active</v>
      </c>
      <c r="J226" s="17" t="str">
        <f t="array" ref="J226">XLOOKUP(A226,'Download of SFDC Activation Rep'!B:B,'Download of SFDC Activation Rep'!T:T)</f>
        <v>#N/A</v>
      </c>
      <c r="K226" s="17" t="str">
        <f t="array" ref="K226">iferror(XLOOKUP(A226,'Download of SFDC Activation Rep'!B:B,'Download of SFDC Activation Rep'!C:C),"")</f>
        <v/>
      </c>
    </row>
    <row r="227">
      <c r="B227" s="14"/>
      <c r="C227" s="14"/>
      <c r="D227" s="14"/>
      <c r="E227" s="14"/>
      <c r="F227" s="14"/>
      <c r="G227" s="13" t="str">
        <f t="array" ref="G227">iferror(XLOOKUP(A227,'Download of SFDC Activation Rep'!B:B,'Download of SFDC Activation Rep'!H:H),"")</f>
        <v/>
      </c>
      <c r="H227" s="13" t="str">
        <f t="array" ref="H227">iferror(xlookup(A227,'Download of SFDC Activation Rep'!B:B,'Download of SFDC Activation Rep'!L:L),"")</f>
        <v/>
      </c>
      <c r="I227" s="17" t="str">
        <f t="shared" si="2"/>
        <v>Not Active</v>
      </c>
      <c r="J227" s="17" t="str">
        <f t="array" ref="J227">XLOOKUP(A227,'Download of SFDC Activation Rep'!B:B,'Download of SFDC Activation Rep'!T:T)</f>
        <v>#N/A</v>
      </c>
      <c r="K227" s="17" t="str">
        <f t="array" ref="K227">iferror(XLOOKUP(A227,'Download of SFDC Activation Rep'!B:B,'Download of SFDC Activation Rep'!C:C),"")</f>
        <v/>
      </c>
    </row>
    <row r="228">
      <c r="B228" s="14"/>
      <c r="C228" s="14"/>
      <c r="D228" s="14"/>
      <c r="E228" s="14"/>
      <c r="F228" s="14"/>
      <c r="G228" s="13" t="str">
        <f t="array" ref="G228">iferror(XLOOKUP(A228,'Download of SFDC Activation Rep'!B:B,'Download of SFDC Activation Rep'!H:H),"")</f>
        <v/>
      </c>
      <c r="H228" s="13" t="str">
        <f t="array" ref="H228">iferror(xlookup(A228,'Download of SFDC Activation Rep'!B:B,'Download of SFDC Activation Rep'!L:L),"")</f>
        <v/>
      </c>
      <c r="I228" s="17" t="str">
        <f t="shared" si="2"/>
        <v>Not Active</v>
      </c>
      <c r="J228" s="17" t="str">
        <f t="array" ref="J228">XLOOKUP(A228,'Download of SFDC Activation Rep'!B:B,'Download of SFDC Activation Rep'!T:T)</f>
        <v>#N/A</v>
      </c>
      <c r="K228" s="17" t="str">
        <f t="array" ref="K228">iferror(XLOOKUP(A228,'Download of SFDC Activation Rep'!B:B,'Download of SFDC Activation Rep'!C:C),"")</f>
        <v/>
      </c>
    </row>
    <row r="229">
      <c r="B229" s="14"/>
      <c r="C229" s="14"/>
      <c r="D229" s="14"/>
      <c r="E229" s="14"/>
      <c r="F229" s="14"/>
      <c r="G229" s="13" t="str">
        <f t="array" ref="G229">iferror(XLOOKUP(A229,'Download of SFDC Activation Rep'!B:B,'Download of SFDC Activation Rep'!H:H),"")</f>
        <v/>
      </c>
      <c r="H229" s="13" t="str">
        <f t="array" ref="H229">iferror(xlookup(A229,'Download of SFDC Activation Rep'!B:B,'Download of SFDC Activation Rep'!L:L),"")</f>
        <v/>
      </c>
      <c r="I229" s="17" t="str">
        <f t="shared" si="2"/>
        <v>Not Active</v>
      </c>
      <c r="J229" s="17" t="str">
        <f t="array" ref="J229">XLOOKUP(A229,'Download of SFDC Activation Rep'!B:B,'Download of SFDC Activation Rep'!T:T)</f>
        <v>#N/A</v>
      </c>
      <c r="K229" s="17" t="str">
        <f t="array" ref="K229">iferror(XLOOKUP(A229,'Download of SFDC Activation Rep'!B:B,'Download of SFDC Activation Rep'!C:C),"")</f>
        <v/>
      </c>
    </row>
    <row r="230">
      <c r="B230" s="14"/>
      <c r="C230" s="14"/>
      <c r="D230" s="14"/>
      <c r="E230" s="14"/>
      <c r="F230" s="14"/>
      <c r="G230" s="13" t="str">
        <f t="array" ref="G230">iferror(XLOOKUP(A230,'Download of SFDC Activation Rep'!B:B,'Download of SFDC Activation Rep'!H:H),"")</f>
        <v/>
      </c>
      <c r="H230" s="13" t="str">
        <f t="array" ref="H230">iferror(xlookup(A230,'Download of SFDC Activation Rep'!B:B,'Download of SFDC Activation Rep'!L:L),"")</f>
        <v/>
      </c>
      <c r="I230" s="17" t="str">
        <f t="shared" si="2"/>
        <v>Not Active</v>
      </c>
      <c r="J230" s="17" t="str">
        <f t="array" ref="J230">XLOOKUP(A230,'Download of SFDC Activation Rep'!B:B,'Download of SFDC Activation Rep'!T:T)</f>
        <v>#N/A</v>
      </c>
      <c r="K230" s="17" t="str">
        <f t="array" ref="K230">iferror(XLOOKUP(A230,'Download of SFDC Activation Rep'!B:B,'Download of SFDC Activation Rep'!C:C),"")</f>
        <v/>
      </c>
    </row>
    <row r="231">
      <c r="B231" s="14"/>
      <c r="C231" s="14"/>
      <c r="D231" s="14"/>
      <c r="E231" s="14"/>
      <c r="F231" s="14"/>
      <c r="G231" s="13" t="str">
        <f t="array" ref="G231">iferror(XLOOKUP(A231,'Download of SFDC Activation Rep'!B:B,'Download of SFDC Activation Rep'!H:H),"")</f>
        <v/>
      </c>
      <c r="H231" s="13" t="str">
        <f t="array" ref="H231">iferror(xlookup(A231,'Download of SFDC Activation Rep'!B:B,'Download of SFDC Activation Rep'!L:L),"")</f>
        <v/>
      </c>
      <c r="I231" s="17" t="str">
        <f t="shared" si="2"/>
        <v>Not Active</v>
      </c>
      <c r="J231" s="17" t="str">
        <f t="array" ref="J231">XLOOKUP(A231,'Download of SFDC Activation Rep'!B:B,'Download of SFDC Activation Rep'!T:T)</f>
        <v>#N/A</v>
      </c>
      <c r="K231" s="17" t="str">
        <f t="array" ref="K231">iferror(XLOOKUP(A231,'Download of SFDC Activation Rep'!B:B,'Download of SFDC Activation Rep'!C:C),"")</f>
        <v/>
      </c>
    </row>
    <row r="232">
      <c r="B232" s="14"/>
      <c r="C232" s="14"/>
      <c r="D232" s="14"/>
      <c r="E232" s="14"/>
      <c r="F232" s="14"/>
      <c r="G232" s="13" t="str">
        <f t="array" ref="G232">iferror(XLOOKUP(A232,'Download of SFDC Activation Rep'!B:B,'Download of SFDC Activation Rep'!H:H),"")</f>
        <v/>
      </c>
      <c r="H232" s="13" t="str">
        <f t="array" ref="H232">iferror(xlookup(A232,'Download of SFDC Activation Rep'!B:B,'Download of SFDC Activation Rep'!L:L),"")</f>
        <v/>
      </c>
      <c r="I232" s="17" t="str">
        <f t="shared" si="2"/>
        <v>Not Active</v>
      </c>
      <c r="J232" s="17" t="str">
        <f t="array" ref="J232">XLOOKUP(A232,'Download of SFDC Activation Rep'!B:B,'Download of SFDC Activation Rep'!T:T)</f>
        <v>#N/A</v>
      </c>
      <c r="K232" s="17" t="str">
        <f t="array" ref="K232">iferror(XLOOKUP(A232,'Download of SFDC Activation Rep'!B:B,'Download of SFDC Activation Rep'!C:C),"")</f>
        <v/>
      </c>
    </row>
    <row r="233">
      <c r="B233" s="14"/>
      <c r="C233" s="14"/>
      <c r="D233" s="14"/>
      <c r="E233" s="14"/>
      <c r="F233" s="14"/>
      <c r="G233" s="13" t="str">
        <f t="array" ref="G233">iferror(XLOOKUP(A233,'Download of SFDC Activation Rep'!B:B,'Download of SFDC Activation Rep'!H:H),"")</f>
        <v/>
      </c>
      <c r="H233" s="13" t="str">
        <f t="array" ref="H233">iferror(xlookup(A233,'Download of SFDC Activation Rep'!B:B,'Download of SFDC Activation Rep'!L:L),"")</f>
        <v/>
      </c>
      <c r="I233" s="17" t="str">
        <f t="shared" si="2"/>
        <v>Not Active</v>
      </c>
      <c r="J233" s="17" t="str">
        <f t="array" ref="J233">XLOOKUP(A233,'Download of SFDC Activation Rep'!B:B,'Download of SFDC Activation Rep'!T:T)</f>
        <v>#N/A</v>
      </c>
      <c r="K233" s="17" t="str">
        <f t="array" ref="K233">iferror(XLOOKUP(A233,'Download of SFDC Activation Rep'!B:B,'Download of SFDC Activation Rep'!C:C),"")</f>
        <v/>
      </c>
    </row>
    <row r="234">
      <c r="B234" s="14"/>
      <c r="C234" s="14"/>
      <c r="D234" s="14"/>
      <c r="E234" s="14"/>
      <c r="F234" s="14"/>
      <c r="G234" s="13" t="str">
        <f t="array" ref="G234">iferror(XLOOKUP(A234,'Download of SFDC Activation Rep'!B:B,'Download of SFDC Activation Rep'!H:H),"")</f>
        <v/>
      </c>
      <c r="H234" s="13" t="str">
        <f t="array" ref="H234">iferror(xlookup(A234,'Download of SFDC Activation Rep'!B:B,'Download of SFDC Activation Rep'!L:L),"")</f>
        <v/>
      </c>
      <c r="I234" s="17" t="str">
        <f t="shared" si="2"/>
        <v>Not Active</v>
      </c>
      <c r="J234" s="17" t="str">
        <f t="array" ref="J234">XLOOKUP(A234,'Download of SFDC Activation Rep'!B:B,'Download of SFDC Activation Rep'!T:T)</f>
        <v>#N/A</v>
      </c>
      <c r="K234" s="17" t="str">
        <f t="array" ref="K234">iferror(XLOOKUP(A234,'Download of SFDC Activation Rep'!B:B,'Download of SFDC Activation Rep'!C:C),"")</f>
        <v/>
      </c>
    </row>
    <row r="235">
      <c r="B235" s="14"/>
      <c r="C235" s="14"/>
      <c r="D235" s="14"/>
      <c r="E235" s="14"/>
      <c r="F235" s="14"/>
      <c r="G235" s="13" t="str">
        <f t="array" ref="G235">iferror(XLOOKUP(A235,'Download of SFDC Activation Rep'!B:B,'Download of SFDC Activation Rep'!H:H),"")</f>
        <v/>
      </c>
      <c r="H235" s="13" t="str">
        <f t="array" ref="H235">iferror(xlookup(A235,'Download of SFDC Activation Rep'!B:B,'Download of SFDC Activation Rep'!L:L),"")</f>
        <v/>
      </c>
      <c r="I235" s="17" t="str">
        <f t="shared" si="2"/>
        <v>Not Active</v>
      </c>
      <c r="J235" s="17" t="str">
        <f t="array" ref="J235">XLOOKUP(A235,'Download of SFDC Activation Rep'!B:B,'Download of SFDC Activation Rep'!T:T)</f>
        <v>#N/A</v>
      </c>
      <c r="K235" s="17" t="str">
        <f t="array" ref="K235">iferror(XLOOKUP(A235,'Download of SFDC Activation Rep'!B:B,'Download of SFDC Activation Rep'!C:C),"")</f>
        <v/>
      </c>
    </row>
    <row r="236">
      <c r="B236" s="14"/>
      <c r="C236" s="14"/>
      <c r="D236" s="14"/>
      <c r="E236" s="14"/>
      <c r="F236" s="14"/>
      <c r="G236" s="13" t="str">
        <f t="array" ref="G236">iferror(XLOOKUP(A236,'Download of SFDC Activation Rep'!B:B,'Download of SFDC Activation Rep'!H:H),"")</f>
        <v/>
      </c>
      <c r="H236" s="13" t="str">
        <f t="array" ref="H236">iferror(xlookup(A236,'Download of SFDC Activation Rep'!B:B,'Download of SFDC Activation Rep'!L:L),"")</f>
        <v/>
      </c>
      <c r="I236" s="17" t="str">
        <f t="shared" si="2"/>
        <v>Not Active</v>
      </c>
      <c r="J236" s="17" t="str">
        <f t="array" ref="J236">XLOOKUP(A236,'Download of SFDC Activation Rep'!B:B,'Download of SFDC Activation Rep'!T:T)</f>
        <v>#N/A</v>
      </c>
      <c r="K236" s="17" t="str">
        <f t="array" ref="K236">iferror(XLOOKUP(A236,'Download of SFDC Activation Rep'!B:B,'Download of SFDC Activation Rep'!C:C),"")</f>
        <v/>
      </c>
    </row>
    <row r="237">
      <c r="B237" s="14"/>
      <c r="C237" s="14"/>
      <c r="D237" s="14"/>
      <c r="E237" s="14"/>
      <c r="F237" s="14"/>
      <c r="G237" s="13" t="str">
        <f t="array" ref="G237">iferror(XLOOKUP(A237,'Download of SFDC Activation Rep'!B:B,'Download of SFDC Activation Rep'!H:H),"")</f>
        <v/>
      </c>
      <c r="H237" s="13" t="str">
        <f t="array" ref="H237">iferror(xlookup(A237,'Download of SFDC Activation Rep'!B:B,'Download of SFDC Activation Rep'!L:L),"")</f>
        <v/>
      </c>
      <c r="I237" s="17" t="str">
        <f t="shared" si="2"/>
        <v>Not Active</v>
      </c>
      <c r="J237" s="17" t="str">
        <f t="array" ref="J237">XLOOKUP(A237,'Download of SFDC Activation Rep'!B:B,'Download of SFDC Activation Rep'!T:T)</f>
        <v>#N/A</v>
      </c>
      <c r="K237" s="17" t="str">
        <f t="array" ref="K237">iferror(XLOOKUP(A237,'Download of SFDC Activation Rep'!B:B,'Download of SFDC Activation Rep'!C:C),"")</f>
        <v/>
      </c>
    </row>
    <row r="238">
      <c r="B238" s="14"/>
      <c r="C238" s="14"/>
      <c r="D238" s="14"/>
      <c r="E238" s="14"/>
      <c r="F238" s="14"/>
      <c r="G238" s="13" t="str">
        <f t="array" ref="G238">iferror(XLOOKUP(A238,'Download of SFDC Activation Rep'!B:B,'Download of SFDC Activation Rep'!H:H),"")</f>
        <v/>
      </c>
      <c r="H238" s="13" t="str">
        <f t="array" ref="H238">iferror(xlookup(A238,'Download of SFDC Activation Rep'!B:B,'Download of SFDC Activation Rep'!L:L),"")</f>
        <v/>
      </c>
      <c r="I238" s="17" t="str">
        <f t="shared" si="2"/>
        <v>Not Active</v>
      </c>
      <c r="J238" s="17" t="str">
        <f t="array" ref="J238">XLOOKUP(A238,'Download of SFDC Activation Rep'!B:B,'Download of SFDC Activation Rep'!T:T)</f>
        <v>#N/A</v>
      </c>
      <c r="K238" s="17" t="str">
        <f t="array" ref="K238">iferror(XLOOKUP(A238,'Download of SFDC Activation Rep'!B:B,'Download of SFDC Activation Rep'!C:C),"")</f>
        <v/>
      </c>
    </row>
    <row r="239">
      <c r="B239" s="14"/>
      <c r="C239" s="14"/>
      <c r="D239" s="14"/>
      <c r="E239" s="14"/>
      <c r="F239" s="14"/>
      <c r="G239" s="13" t="str">
        <f t="array" ref="G239">iferror(XLOOKUP(A239,'Download of SFDC Activation Rep'!B:B,'Download of SFDC Activation Rep'!H:H),"")</f>
        <v/>
      </c>
      <c r="H239" s="13" t="str">
        <f t="array" ref="H239">iferror(xlookup(A239,'Download of SFDC Activation Rep'!B:B,'Download of SFDC Activation Rep'!L:L),"")</f>
        <v/>
      </c>
      <c r="I239" s="17" t="str">
        <f t="shared" si="2"/>
        <v>Not Active</v>
      </c>
      <c r="J239" s="17" t="str">
        <f t="array" ref="J239">XLOOKUP(A239,'Download of SFDC Activation Rep'!B:B,'Download of SFDC Activation Rep'!T:T)</f>
        <v>#N/A</v>
      </c>
      <c r="K239" s="17" t="str">
        <f t="array" ref="K239">iferror(XLOOKUP(A239,'Download of SFDC Activation Rep'!B:B,'Download of SFDC Activation Rep'!C:C),"")</f>
        <v/>
      </c>
    </row>
    <row r="240">
      <c r="B240" s="14"/>
      <c r="C240" s="14"/>
      <c r="D240" s="14"/>
      <c r="E240" s="14"/>
      <c r="F240" s="14"/>
      <c r="G240" s="13" t="str">
        <f t="array" ref="G240">iferror(XLOOKUP(A240,'Download of SFDC Activation Rep'!B:B,'Download of SFDC Activation Rep'!H:H),"")</f>
        <v/>
      </c>
      <c r="H240" s="13" t="str">
        <f t="array" ref="H240">iferror(xlookup(A240,'Download of SFDC Activation Rep'!B:B,'Download of SFDC Activation Rep'!L:L),"")</f>
        <v/>
      </c>
      <c r="I240" s="17" t="str">
        <f t="shared" si="2"/>
        <v>Not Active</v>
      </c>
      <c r="J240" s="17" t="str">
        <f t="array" ref="J240">XLOOKUP(A240,'Download of SFDC Activation Rep'!B:B,'Download of SFDC Activation Rep'!T:T)</f>
        <v>#N/A</v>
      </c>
      <c r="K240" s="17" t="str">
        <f t="array" ref="K240">iferror(XLOOKUP(A240,'Download of SFDC Activation Rep'!B:B,'Download of SFDC Activation Rep'!C:C),"")</f>
        <v/>
      </c>
    </row>
    <row r="241">
      <c r="B241" s="14"/>
      <c r="C241" s="14"/>
      <c r="D241" s="14"/>
      <c r="E241" s="14"/>
      <c r="F241" s="14"/>
      <c r="G241" s="13" t="str">
        <f t="array" ref="G241">iferror(XLOOKUP(A241,'Download of SFDC Activation Rep'!B:B,'Download of SFDC Activation Rep'!H:H),"")</f>
        <v/>
      </c>
      <c r="H241" s="13" t="str">
        <f t="array" ref="H241">iferror(xlookup(A241,'Download of SFDC Activation Rep'!B:B,'Download of SFDC Activation Rep'!L:L),"")</f>
        <v/>
      </c>
      <c r="I241" s="17" t="str">
        <f t="shared" si="2"/>
        <v>Not Active</v>
      </c>
      <c r="J241" s="17" t="str">
        <f t="array" ref="J241">XLOOKUP(A241,'Download of SFDC Activation Rep'!B:B,'Download of SFDC Activation Rep'!T:T)</f>
        <v>#N/A</v>
      </c>
      <c r="K241" s="17" t="str">
        <f t="array" ref="K241">iferror(XLOOKUP(A241,'Download of SFDC Activation Rep'!B:B,'Download of SFDC Activation Rep'!C:C),"")</f>
        <v/>
      </c>
    </row>
    <row r="242">
      <c r="B242" s="14"/>
      <c r="C242" s="14"/>
      <c r="D242" s="14"/>
      <c r="E242" s="14"/>
      <c r="F242" s="14"/>
      <c r="G242" s="13" t="str">
        <f t="array" ref="G242">iferror(XLOOKUP(A242,'Download of SFDC Activation Rep'!B:B,'Download of SFDC Activation Rep'!H:H),"")</f>
        <v/>
      </c>
      <c r="H242" s="13" t="str">
        <f t="array" ref="H242">iferror(xlookup(A242,'Download of SFDC Activation Rep'!B:B,'Download of SFDC Activation Rep'!L:L),"")</f>
        <v/>
      </c>
      <c r="I242" s="17" t="str">
        <f t="shared" si="2"/>
        <v>Not Active</v>
      </c>
      <c r="J242" s="17" t="str">
        <f t="array" ref="J242">XLOOKUP(A242,'Download of SFDC Activation Rep'!B:B,'Download of SFDC Activation Rep'!T:T)</f>
        <v>#N/A</v>
      </c>
      <c r="K242" s="17" t="str">
        <f t="array" ref="K242">iferror(XLOOKUP(A242,'Download of SFDC Activation Rep'!B:B,'Download of SFDC Activation Rep'!C:C),"")</f>
        <v/>
      </c>
    </row>
    <row r="243">
      <c r="B243" s="14"/>
      <c r="C243" s="14"/>
      <c r="D243" s="14"/>
      <c r="E243" s="14"/>
      <c r="F243" s="14"/>
      <c r="G243" s="13" t="str">
        <f t="array" ref="G243">iferror(XLOOKUP(A243,'Download of SFDC Activation Rep'!B:B,'Download of SFDC Activation Rep'!H:H),"")</f>
        <v/>
      </c>
      <c r="H243" s="13" t="str">
        <f t="array" ref="H243">iferror(xlookup(A243,'Download of SFDC Activation Rep'!B:B,'Download of SFDC Activation Rep'!L:L),"")</f>
        <v/>
      </c>
      <c r="I243" s="17" t="str">
        <f t="shared" si="2"/>
        <v>Not Active</v>
      </c>
      <c r="J243" s="17" t="str">
        <f t="array" ref="J243">XLOOKUP(A243,'Download of SFDC Activation Rep'!B:B,'Download of SFDC Activation Rep'!T:T)</f>
        <v>#N/A</v>
      </c>
      <c r="K243" s="17" t="str">
        <f t="array" ref="K243">iferror(XLOOKUP(A243,'Download of SFDC Activation Rep'!B:B,'Download of SFDC Activation Rep'!C:C),"")</f>
        <v/>
      </c>
    </row>
    <row r="244">
      <c r="B244" s="14"/>
      <c r="C244" s="14"/>
      <c r="D244" s="14"/>
      <c r="E244" s="14"/>
      <c r="F244" s="14"/>
      <c r="G244" s="13" t="str">
        <f t="array" ref="G244">iferror(XLOOKUP(A244,'Download of SFDC Activation Rep'!B:B,'Download of SFDC Activation Rep'!H:H),"")</f>
        <v/>
      </c>
      <c r="H244" s="13" t="str">
        <f t="array" ref="H244">iferror(xlookup(A244,'Download of SFDC Activation Rep'!B:B,'Download of SFDC Activation Rep'!L:L),"")</f>
        <v/>
      </c>
      <c r="I244" s="17" t="str">
        <f t="shared" si="2"/>
        <v>Not Active</v>
      </c>
      <c r="J244" s="17" t="str">
        <f t="array" ref="J244">XLOOKUP(A244,'Download of SFDC Activation Rep'!B:B,'Download of SFDC Activation Rep'!T:T)</f>
        <v>#N/A</v>
      </c>
      <c r="K244" s="17" t="str">
        <f t="array" ref="K244">iferror(XLOOKUP(A244,'Download of SFDC Activation Rep'!B:B,'Download of SFDC Activation Rep'!C:C),"")</f>
        <v/>
      </c>
    </row>
    <row r="245">
      <c r="B245" s="14"/>
      <c r="C245" s="14"/>
      <c r="D245" s="14"/>
      <c r="E245" s="14"/>
      <c r="F245" s="14"/>
      <c r="G245" s="13" t="str">
        <f t="array" ref="G245">iferror(XLOOKUP(A245,'Download of SFDC Activation Rep'!B:B,'Download of SFDC Activation Rep'!H:H),"")</f>
        <v/>
      </c>
      <c r="H245" s="13" t="str">
        <f t="array" ref="H245">iferror(xlookup(A245,'Download of SFDC Activation Rep'!B:B,'Download of SFDC Activation Rep'!L:L),"")</f>
        <v/>
      </c>
      <c r="I245" s="17" t="str">
        <f t="shared" si="2"/>
        <v>Not Active</v>
      </c>
      <c r="J245" s="17" t="str">
        <f t="array" ref="J245">XLOOKUP(A245,'Download of SFDC Activation Rep'!B:B,'Download of SFDC Activation Rep'!T:T)</f>
        <v>#N/A</v>
      </c>
      <c r="K245" s="17" t="str">
        <f t="array" ref="K245">iferror(XLOOKUP(A245,'Download of SFDC Activation Rep'!B:B,'Download of SFDC Activation Rep'!C:C),"")</f>
        <v/>
      </c>
    </row>
    <row r="246">
      <c r="B246" s="14"/>
      <c r="C246" s="14"/>
      <c r="D246" s="14"/>
      <c r="E246" s="14"/>
      <c r="F246" s="14"/>
      <c r="G246" s="13" t="str">
        <f t="array" ref="G246">iferror(XLOOKUP(A246,'Download of SFDC Activation Rep'!B:B,'Download of SFDC Activation Rep'!H:H),"")</f>
        <v/>
      </c>
      <c r="H246" s="13" t="str">
        <f t="array" ref="H246">iferror(xlookup(A246,'Download of SFDC Activation Rep'!B:B,'Download of SFDC Activation Rep'!L:L),"")</f>
        <v/>
      </c>
      <c r="I246" s="17" t="str">
        <f t="shared" si="2"/>
        <v>Not Active</v>
      </c>
      <c r="J246" s="17" t="str">
        <f t="array" ref="J246">XLOOKUP(A246,'Download of SFDC Activation Rep'!B:B,'Download of SFDC Activation Rep'!T:T)</f>
        <v>#N/A</v>
      </c>
      <c r="K246" s="17" t="str">
        <f t="array" ref="K246">iferror(XLOOKUP(A246,'Download of SFDC Activation Rep'!B:B,'Download of SFDC Activation Rep'!C:C),"")</f>
        <v/>
      </c>
    </row>
    <row r="247">
      <c r="B247" s="14"/>
      <c r="C247" s="14"/>
      <c r="D247" s="14"/>
      <c r="E247" s="14"/>
      <c r="F247" s="14"/>
      <c r="G247" s="13" t="str">
        <f t="array" ref="G247">iferror(XLOOKUP(A247,'Download of SFDC Activation Rep'!B:B,'Download of SFDC Activation Rep'!H:H),"")</f>
        <v/>
      </c>
      <c r="H247" s="13" t="str">
        <f t="array" ref="H247">iferror(xlookup(A247,'Download of SFDC Activation Rep'!B:B,'Download of SFDC Activation Rep'!L:L),"")</f>
        <v/>
      </c>
      <c r="I247" s="17" t="str">
        <f t="shared" si="2"/>
        <v>Not Active</v>
      </c>
      <c r="J247" s="17" t="str">
        <f t="array" ref="J247">XLOOKUP(A247,'Download of SFDC Activation Rep'!B:B,'Download of SFDC Activation Rep'!T:T)</f>
        <v>#N/A</v>
      </c>
      <c r="K247" s="17" t="str">
        <f t="array" ref="K247">iferror(XLOOKUP(A247,'Download of SFDC Activation Rep'!B:B,'Download of SFDC Activation Rep'!C:C),"")</f>
        <v/>
      </c>
    </row>
    <row r="248">
      <c r="B248" s="14"/>
      <c r="C248" s="14"/>
      <c r="D248" s="14"/>
      <c r="E248" s="14"/>
      <c r="F248" s="14"/>
      <c r="G248" s="13" t="str">
        <f t="array" ref="G248">iferror(XLOOKUP(A248,'Download of SFDC Activation Rep'!B:B,'Download of SFDC Activation Rep'!H:H),"")</f>
        <v/>
      </c>
      <c r="H248" s="13" t="str">
        <f t="array" ref="H248">iferror(xlookup(A248,'Download of SFDC Activation Rep'!B:B,'Download of SFDC Activation Rep'!L:L),"")</f>
        <v/>
      </c>
      <c r="I248" s="17" t="str">
        <f t="shared" si="2"/>
        <v>Not Active</v>
      </c>
      <c r="J248" s="17" t="str">
        <f t="array" ref="J248">XLOOKUP(A248,'Download of SFDC Activation Rep'!B:B,'Download of SFDC Activation Rep'!T:T)</f>
        <v>#N/A</v>
      </c>
      <c r="K248" s="17" t="str">
        <f t="array" ref="K248">iferror(XLOOKUP(A248,'Download of SFDC Activation Rep'!B:B,'Download of SFDC Activation Rep'!C:C),"")</f>
        <v/>
      </c>
    </row>
    <row r="249">
      <c r="B249" s="14"/>
      <c r="C249" s="14"/>
      <c r="D249" s="14"/>
      <c r="E249" s="14"/>
      <c r="F249" s="14"/>
      <c r="G249" s="13" t="str">
        <f t="array" ref="G249">iferror(XLOOKUP(A249,'Download of SFDC Activation Rep'!B:B,'Download of SFDC Activation Rep'!H:H),"")</f>
        <v/>
      </c>
      <c r="H249" s="13" t="str">
        <f t="array" ref="H249">iferror(xlookup(A249,'Download of SFDC Activation Rep'!B:B,'Download of SFDC Activation Rep'!L:L),"")</f>
        <v/>
      </c>
      <c r="I249" s="17" t="str">
        <f t="shared" si="2"/>
        <v>Not Active</v>
      </c>
      <c r="J249" s="17" t="str">
        <f t="array" ref="J249">XLOOKUP(A249,'Download of SFDC Activation Rep'!B:B,'Download of SFDC Activation Rep'!T:T)</f>
        <v>#N/A</v>
      </c>
      <c r="K249" s="17" t="str">
        <f t="array" ref="K249">iferror(XLOOKUP(A249,'Download of SFDC Activation Rep'!B:B,'Download of SFDC Activation Rep'!C:C),"")</f>
        <v/>
      </c>
    </row>
    <row r="250">
      <c r="B250" s="14"/>
      <c r="C250" s="14"/>
      <c r="D250" s="14"/>
      <c r="E250" s="14"/>
      <c r="F250" s="14"/>
      <c r="G250" s="13" t="str">
        <f t="array" ref="G250">iferror(XLOOKUP(A250,'Download of SFDC Activation Rep'!B:B,'Download of SFDC Activation Rep'!H:H),"")</f>
        <v/>
      </c>
      <c r="H250" s="13" t="str">
        <f t="array" ref="H250">iferror(xlookup(A250,'Download of SFDC Activation Rep'!B:B,'Download of SFDC Activation Rep'!L:L),"")</f>
        <v/>
      </c>
      <c r="I250" s="17" t="str">
        <f t="shared" si="2"/>
        <v>Not Active</v>
      </c>
      <c r="J250" s="17" t="str">
        <f t="array" ref="J250">XLOOKUP(A250,'Download of SFDC Activation Rep'!B:B,'Download of SFDC Activation Rep'!T:T)</f>
        <v>#N/A</v>
      </c>
      <c r="K250" s="17" t="str">
        <f t="array" ref="K250">iferror(XLOOKUP(A250,'Download of SFDC Activation Rep'!B:B,'Download of SFDC Activation Rep'!C:C),"")</f>
        <v/>
      </c>
    </row>
    <row r="251">
      <c r="B251" s="14"/>
      <c r="C251" s="14"/>
      <c r="D251" s="14"/>
      <c r="E251" s="14"/>
      <c r="F251" s="14"/>
      <c r="G251" s="13" t="str">
        <f t="array" ref="G251">iferror(XLOOKUP(A251,'Download of SFDC Activation Rep'!B:B,'Download of SFDC Activation Rep'!H:H),"")</f>
        <v/>
      </c>
      <c r="H251" s="13" t="str">
        <f t="array" ref="H251">iferror(xlookup(A251,'Download of SFDC Activation Rep'!B:B,'Download of SFDC Activation Rep'!L:L),"")</f>
        <v/>
      </c>
      <c r="I251" s="17" t="str">
        <f t="shared" si="2"/>
        <v>Not Active</v>
      </c>
      <c r="J251" s="17" t="str">
        <f t="array" ref="J251">XLOOKUP(A251,'Download of SFDC Activation Rep'!B:B,'Download of SFDC Activation Rep'!T:T)</f>
        <v>#N/A</v>
      </c>
      <c r="K251" s="17" t="str">
        <f t="array" ref="K251">iferror(XLOOKUP(A251,'Download of SFDC Activation Rep'!B:B,'Download of SFDC Activation Rep'!C:C),"")</f>
        <v/>
      </c>
    </row>
    <row r="252">
      <c r="B252" s="14"/>
      <c r="C252" s="14"/>
      <c r="D252" s="14"/>
      <c r="E252" s="14"/>
      <c r="F252" s="14"/>
      <c r="G252" s="13" t="str">
        <f t="array" ref="G252">iferror(XLOOKUP(A252,'Download of SFDC Activation Rep'!B:B,'Download of SFDC Activation Rep'!H:H),"")</f>
        <v/>
      </c>
      <c r="H252" s="13" t="str">
        <f t="array" ref="H252">iferror(xlookup(A252,'Download of SFDC Activation Rep'!B:B,'Download of SFDC Activation Rep'!L:L),"")</f>
        <v/>
      </c>
      <c r="I252" s="17" t="str">
        <f t="shared" si="2"/>
        <v>Not Active</v>
      </c>
      <c r="J252" s="17" t="str">
        <f t="array" ref="J252">XLOOKUP(A252,'Download of SFDC Activation Rep'!B:B,'Download of SFDC Activation Rep'!T:T)</f>
        <v>#N/A</v>
      </c>
      <c r="K252" s="17" t="str">
        <f t="array" ref="K252">iferror(XLOOKUP(A252,'Download of SFDC Activation Rep'!B:B,'Download of SFDC Activation Rep'!C:C),"")</f>
        <v/>
      </c>
    </row>
    <row r="253">
      <c r="B253" s="14"/>
      <c r="C253" s="14"/>
      <c r="D253" s="14"/>
      <c r="E253" s="14"/>
      <c r="F253" s="14"/>
      <c r="G253" s="13" t="str">
        <f t="array" ref="G253">iferror(XLOOKUP(A253,'Download of SFDC Activation Rep'!B:B,'Download of SFDC Activation Rep'!H:H),"")</f>
        <v/>
      </c>
      <c r="H253" s="13" t="str">
        <f t="array" ref="H253">iferror(xlookup(A253,'Download of SFDC Activation Rep'!B:B,'Download of SFDC Activation Rep'!L:L),"")</f>
        <v/>
      </c>
      <c r="I253" s="17" t="str">
        <f t="shared" si="2"/>
        <v>Not Active</v>
      </c>
      <c r="J253" s="17" t="str">
        <f t="array" ref="J253">XLOOKUP(A253,'Download of SFDC Activation Rep'!B:B,'Download of SFDC Activation Rep'!T:T)</f>
        <v>#N/A</v>
      </c>
      <c r="K253" s="17" t="str">
        <f t="array" ref="K253">iferror(XLOOKUP(A253,'Download of SFDC Activation Rep'!B:B,'Download of SFDC Activation Rep'!C:C),"")</f>
        <v/>
      </c>
    </row>
    <row r="254">
      <c r="B254" s="14"/>
      <c r="C254" s="14"/>
      <c r="D254" s="14"/>
      <c r="E254" s="14"/>
      <c r="F254" s="14"/>
      <c r="G254" s="13" t="str">
        <f t="array" ref="G254">iferror(XLOOKUP(A254,'Download of SFDC Activation Rep'!B:B,'Download of SFDC Activation Rep'!H:H),"")</f>
        <v/>
      </c>
      <c r="H254" s="13" t="str">
        <f t="array" ref="H254">iferror(xlookup(A254,'Download of SFDC Activation Rep'!B:B,'Download of SFDC Activation Rep'!L:L),"")</f>
        <v/>
      </c>
      <c r="I254" s="17" t="str">
        <f t="shared" si="2"/>
        <v>Not Active</v>
      </c>
      <c r="J254" s="17" t="str">
        <f t="array" ref="J254">XLOOKUP(A254,'Download of SFDC Activation Rep'!B:B,'Download of SFDC Activation Rep'!T:T)</f>
        <v>#N/A</v>
      </c>
      <c r="K254" s="17" t="str">
        <f t="array" ref="K254">iferror(XLOOKUP(A254,'Download of SFDC Activation Rep'!B:B,'Download of SFDC Activation Rep'!C:C),"")</f>
        <v/>
      </c>
    </row>
    <row r="255">
      <c r="B255" s="14"/>
      <c r="C255" s="14"/>
      <c r="D255" s="14"/>
      <c r="E255" s="14"/>
      <c r="F255" s="14"/>
      <c r="G255" s="13" t="str">
        <f t="array" ref="G255">iferror(XLOOKUP(A255,'Download of SFDC Activation Rep'!B:B,'Download of SFDC Activation Rep'!H:H),"")</f>
        <v/>
      </c>
      <c r="H255" s="13" t="str">
        <f t="array" ref="H255">iferror(xlookup(A255,'Download of SFDC Activation Rep'!B:B,'Download of SFDC Activation Rep'!L:L),"")</f>
        <v/>
      </c>
      <c r="I255" s="17" t="str">
        <f t="shared" si="2"/>
        <v>Not Active</v>
      </c>
      <c r="J255" s="17" t="str">
        <f t="array" ref="J255">XLOOKUP(A255,'Download of SFDC Activation Rep'!B:B,'Download of SFDC Activation Rep'!T:T)</f>
        <v>#N/A</v>
      </c>
      <c r="K255" s="17" t="str">
        <f t="array" ref="K255">iferror(XLOOKUP(A255,'Download of SFDC Activation Rep'!B:B,'Download of SFDC Activation Rep'!C:C),"")</f>
        <v/>
      </c>
    </row>
    <row r="256">
      <c r="B256" s="14"/>
      <c r="C256" s="14"/>
      <c r="D256" s="14"/>
      <c r="E256" s="14"/>
      <c r="F256" s="14"/>
      <c r="G256" s="13" t="str">
        <f t="array" ref="G256">iferror(XLOOKUP(A256,'Download of SFDC Activation Rep'!B:B,'Download of SFDC Activation Rep'!H:H),"")</f>
        <v/>
      </c>
      <c r="H256" s="13" t="str">
        <f t="array" ref="H256">iferror(xlookup(A256,'Download of SFDC Activation Rep'!B:B,'Download of SFDC Activation Rep'!L:L),"")</f>
        <v/>
      </c>
      <c r="I256" s="17" t="str">
        <f t="shared" si="2"/>
        <v>Not Active</v>
      </c>
      <c r="J256" s="17" t="str">
        <f t="array" ref="J256">XLOOKUP(A256,'Download of SFDC Activation Rep'!B:B,'Download of SFDC Activation Rep'!T:T)</f>
        <v>#N/A</v>
      </c>
      <c r="K256" s="17" t="str">
        <f t="array" ref="K256">iferror(XLOOKUP(A256,'Download of SFDC Activation Rep'!B:B,'Download of SFDC Activation Rep'!C:C),"")</f>
        <v/>
      </c>
    </row>
    <row r="257">
      <c r="B257" s="14"/>
      <c r="C257" s="14"/>
      <c r="D257" s="14"/>
      <c r="E257" s="14"/>
      <c r="F257" s="14"/>
      <c r="G257" s="13" t="str">
        <f t="array" ref="G257">iferror(XLOOKUP(A257,'Download of SFDC Activation Rep'!B:B,'Download of SFDC Activation Rep'!H:H),"")</f>
        <v/>
      </c>
      <c r="H257" s="13" t="str">
        <f t="array" ref="H257">iferror(xlookup(A257,'Download of SFDC Activation Rep'!B:B,'Download of SFDC Activation Rep'!L:L),"")</f>
        <v/>
      </c>
      <c r="I257" s="17" t="str">
        <f t="shared" si="2"/>
        <v>Not Active</v>
      </c>
      <c r="J257" s="17" t="str">
        <f t="array" ref="J257">XLOOKUP(A257,'Download of SFDC Activation Rep'!B:B,'Download of SFDC Activation Rep'!T:T)</f>
        <v>#N/A</v>
      </c>
      <c r="K257" s="17" t="str">
        <f t="array" ref="K257">iferror(XLOOKUP(A257,'Download of SFDC Activation Rep'!B:B,'Download of SFDC Activation Rep'!C:C),"")</f>
        <v/>
      </c>
    </row>
    <row r="258">
      <c r="B258" s="14"/>
      <c r="C258" s="14"/>
      <c r="D258" s="14"/>
      <c r="E258" s="14"/>
      <c r="F258" s="14"/>
      <c r="G258" s="13" t="str">
        <f t="array" ref="G258">iferror(XLOOKUP(A258,'Download of SFDC Activation Rep'!B:B,'Download of SFDC Activation Rep'!H:H),"")</f>
        <v/>
      </c>
      <c r="H258" s="13" t="str">
        <f t="array" ref="H258">iferror(xlookup(A258,'Download of SFDC Activation Rep'!B:B,'Download of SFDC Activation Rep'!L:L),"")</f>
        <v/>
      </c>
      <c r="I258" s="17" t="str">
        <f t="shared" si="2"/>
        <v>Not Active</v>
      </c>
      <c r="J258" s="17" t="str">
        <f t="array" ref="J258">XLOOKUP(A258,'Download of SFDC Activation Rep'!B:B,'Download of SFDC Activation Rep'!T:T)</f>
        <v>#N/A</v>
      </c>
      <c r="K258" s="17" t="str">
        <f t="array" ref="K258">iferror(XLOOKUP(A258,'Download of SFDC Activation Rep'!B:B,'Download of SFDC Activation Rep'!C:C),"")</f>
        <v/>
      </c>
    </row>
    <row r="259">
      <c r="B259" s="14"/>
      <c r="C259" s="14"/>
      <c r="D259" s="14"/>
      <c r="E259" s="14"/>
      <c r="F259" s="14"/>
      <c r="G259" s="13" t="str">
        <f t="array" ref="G259">iferror(XLOOKUP(A259,'Download of SFDC Activation Rep'!B:B,'Download of SFDC Activation Rep'!H:H),"")</f>
        <v/>
      </c>
      <c r="H259" s="13" t="str">
        <f t="array" ref="H259">iferror(xlookup(A259,'Download of SFDC Activation Rep'!B:B,'Download of SFDC Activation Rep'!L:L),"")</f>
        <v/>
      </c>
      <c r="I259" s="17" t="str">
        <f t="shared" si="2"/>
        <v>Not Active</v>
      </c>
      <c r="J259" s="17" t="str">
        <f t="array" ref="J259">XLOOKUP(A259,'Download of SFDC Activation Rep'!B:B,'Download of SFDC Activation Rep'!T:T)</f>
        <v>#N/A</v>
      </c>
      <c r="K259" s="17" t="str">
        <f t="array" ref="K259">iferror(XLOOKUP(A259,'Download of SFDC Activation Rep'!B:B,'Download of SFDC Activation Rep'!C:C),"")</f>
        <v/>
      </c>
    </row>
    <row r="260">
      <c r="B260" s="14"/>
      <c r="C260" s="14"/>
      <c r="D260" s="14"/>
      <c r="E260" s="14"/>
      <c r="F260" s="14"/>
      <c r="G260" s="13" t="str">
        <f t="array" ref="G260">iferror(XLOOKUP(A260,'Download of SFDC Activation Rep'!B:B,'Download of SFDC Activation Rep'!H:H),"")</f>
        <v/>
      </c>
      <c r="H260" s="13" t="str">
        <f t="array" ref="H260">iferror(xlookup(A260,'Download of SFDC Activation Rep'!B:B,'Download of SFDC Activation Rep'!L:L),"")</f>
        <v/>
      </c>
      <c r="I260" s="17" t="str">
        <f t="shared" si="2"/>
        <v>Not Active</v>
      </c>
      <c r="J260" s="17" t="str">
        <f t="array" ref="J260">XLOOKUP(A260,'Download of SFDC Activation Rep'!B:B,'Download of SFDC Activation Rep'!T:T)</f>
        <v>#N/A</v>
      </c>
      <c r="K260" s="17" t="str">
        <f t="array" ref="K260">iferror(XLOOKUP(A260,'Download of SFDC Activation Rep'!B:B,'Download of SFDC Activation Rep'!C:C),"")</f>
        <v/>
      </c>
    </row>
    <row r="261">
      <c r="B261" s="14"/>
      <c r="C261" s="14"/>
      <c r="D261" s="14"/>
      <c r="E261" s="14"/>
      <c r="F261" s="14"/>
      <c r="G261" s="13" t="str">
        <f t="array" ref="G261">iferror(XLOOKUP(A261,'Download of SFDC Activation Rep'!B:B,'Download of SFDC Activation Rep'!H:H),"")</f>
        <v/>
      </c>
      <c r="H261" s="13" t="str">
        <f t="array" ref="H261">iferror(xlookup(A261,'Download of SFDC Activation Rep'!B:B,'Download of SFDC Activation Rep'!L:L),"")</f>
        <v/>
      </c>
      <c r="I261" s="17" t="str">
        <f t="shared" si="2"/>
        <v>Not Active</v>
      </c>
      <c r="J261" s="17" t="str">
        <f t="array" ref="J261">XLOOKUP(A261,'Download of SFDC Activation Rep'!B:B,'Download of SFDC Activation Rep'!T:T)</f>
        <v>#N/A</v>
      </c>
      <c r="K261" s="17" t="str">
        <f t="array" ref="K261">iferror(XLOOKUP(A261,'Download of SFDC Activation Rep'!B:B,'Download of SFDC Activation Rep'!C:C),"")</f>
        <v/>
      </c>
    </row>
    <row r="262">
      <c r="B262" s="14"/>
      <c r="C262" s="14"/>
      <c r="D262" s="14"/>
      <c r="E262" s="14"/>
      <c r="F262" s="14"/>
      <c r="G262" s="13" t="str">
        <f t="array" ref="G262">iferror(XLOOKUP(A262,'Download of SFDC Activation Rep'!B:B,'Download of SFDC Activation Rep'!H:H),"")</f>
        <v/>
      </c>
      <c r="H262" s="13" t="str">
        <f t="array" ref="H262">iferror(xlookup(A262,'Download of SFDC Activation Rep'!B:B,'Download of SFDC Activation Rep'!L:L),"")</f>
        <v/>
      </c>
      <c r="I262" s="17" t="str">
        <f t="shared" si="2"/>
        <v>Not Active</v>
      </c>
      <c r="J262" s="17" t="str">
        <f t="array" ref="J262">XLOOKUP(A262,'Download of SFDC Activation Rep'!B:B,'Download of SFDC Activation Rep'!T:T)</f>
        <v>#N/A</v>
      </c>
      <c r="K262" s="17" t="str">
        <f t="array" ref="K262">iferror(XLOOKUP(A262,'Download of SFDC Activation Rep'!B:B,'Download of SFDC Activation Rep'!C:C),"")</f>
        <v/>
      </c>
    </row>
    <row r="263">
      <c r="B263" s="14"/>
      <c r="C263" s="14"/>
      <c r="D263" s="14"/>
      <c r="E263" s="14"/>
      <c r="F263" s="14"/>
      <c r="G263" s="13" t="str">
        <f t="array" ref="G263">iferror(XLOOKUP(A263,'Download of SFDC Activation Rep'!B:B,'Download of SFDC Activation Rep'!H:H),"")</f>
        <v/>
      </c>
      <c r="H263" s="13" t="str">
        <f t="array" ref="H263">iferror(xlookup(A263,'Download of SFDC Activation Rep'!B:B,'Download of SFDC Activation Rep'!L:L),"")</f>
        <v/>
      </c>
      <c r="I263" s="17" t="str">
        <f t="shared" si="2"/>
        <v>Not Active</v>
      </c>
      <c r="J263" s="17" t="str">
        <f t="array" ref="J263">XLOOKUP(A263,'Download of SFDC Activation Rep'!B:B,'Download of SFDC Activation Rep'!T:T)</f>
        <v>#N/A</v>
      </c>
      <c r="K263" s="17" t="str">
        <f t="array" ref="K263">iferror(XLOOKUP(A263,'Download of SFDC Activation Rep'!B:B,'Download of SFDC Activation Rep'!C:C),"")</f>
        <v/>
      </c>
    </row>
    <row r="264">
      <c r="B264" s="14"/>
      <c r="C264" s="14"/>
      <c r="D264" s="14"/>
      <c r="E264" s="14"/>
      <c r="F264" s="14"/>
      <c r="G264" s="13" t="str">
        <f t="array" ref="G264">iferror(XLOOKUP(A264,'Download of SFDC Activation Rep'!B:B,'Download of SFDC Activation Rep'!H:H),"")</f>
        <v/>
      </c>
      <c r="H264" s="13" t="str">
        <f t="array" ref="H264">iferror(xlookup(A264,'Download of SFDC Activation Rep'!B:B,'Download of SFDC Activation Rep'!L:L),"")</f>
        <v/>
      </c>
      <c r="I264" s="17" t="str">
        <f t="shared" si="2"/>
        <v>Not Active</v>
      </c>
      <c r="J264" s="17" t="str">
        <f t="array" ref="J264">XLOOKUP(A264,'Download of SFDC Activation Rep'!B:B,'Download of SFDC Activation Rep'!T:T)</f>
        <v>#N/A</v>
      </c>
      <c r="K264" s="17" t="str">
        <f t="array" ref="K264">iferror(XLOOKUP(A264,'Download of SFDC Activation Rep'!B:B,'Download of SFDC Activation Rep'!C:C),"")</f>
        <v/>
      </c>
    </row>
    <row r="265">
      <c r="B265" s="14"/>
      <c r="C265" s="14"/>
      <c r="D265" s="14"/>
      <c r="E265" s="14"/>
      <c r="F265" s="14"/>
      <c r="G265" s="13" t="str">
        <f t="array" ref="G265">iferror(XLOOKUP(A265,'Download of SFDC Activation Rep'!B:B,'Download of SFDC Activation Rep'!H:H),"")</f>
        <v/>
      </c>
      <c r="H265" s="13" t="str">
        <f t="array" ref="H265">iferror(xlookup(A265,'Download of SFDC Activation Rep'!B:B,'Download of SFDC Activation Rep'!L:L),"")</f>
        <v/>
      </c>
      <c r="I265" s="17" t="str">
        <f t="shared" si="2"/>
        <v>Not Active</v>
      </c>
      <c r="J265" s="17" t="str">
        <f t="array" ref="J265">XLOOKUP(A265,'Download of SFDC Activation Rep'!B:B,'Download of SFDC Activation Rep'!T:T)</f>
        <v>#N/A</v>
      </c>
      <c r="K265" s="17" t="str">
        <f t="array" ref="K265">iferror(XLOOKUP(A265,'Download of SFDC Activation Rep'!B:B,'Download of SFDC Activation Rep'!C:C),"")</f>
        <v/>
      </c>
    </row>
    <row r="266">
      <c r="B266" s="14"/>
      <c r="C266" s="14"/>
      <c r="D266" s="14"/>
      <c r="E266" s="14"/>
      <c r="F266" s="14"/>
      <c r="G266" s="13" t="str">
        <f t="array" ref="G266">iferror(XLOOKUP(A266,'Download of SFDC Activation Rep'!B:B,'Download of SFDC Activation Rep'!H:H),"")</f>
        <v/>
      </c>
      <c r="H266" s="13" t="str">
        <f t="array" ref="H266">iferror(xlookup(A266,'Download of SFDC Activation Rep'!B:B,'Download of SFDC Activation Rep'!L:L),"")</f>
        <v/>
      </c>
      <c r="I266" s="17" t="str">
        <f t="shared" si="2"/>
        <v>Not Active</v>
      </c>
      <c r="J266" s="17" t="str">
        <f t="array" ref="J266">XLOOKUP(A266,'Download of SFDC Activation Rep'!B:B,'Download of SFDC Activation Rep'!T:T)</f>
        <v>#N/A</v>
      </c>
      <c r="K266" s="17" t="str">
        <f t="array" ref="K266">iferror(XLOOKUP(A266,'Download of SFDC Activation Rep'!B:B,'Download of SFDC Activation Rep'!C:C),"")</f>
        <v/>
      </c>
    </row>
    <row r="267">
      <c r="B267" s="14"/>
      <c r="C267" s="14"/>
      <c r="D267" s="14"/>
      <c r="E267" s="14"/>
      <c r="F267" s="14"/>
      <c r="G267" s="13" t="str">
        <f t="array" ref="G267">iferror(XLOOKUP(A267,'Download of SFDC Activation Rep'!B:B,'Download of SFDC Activation Rep'!H:H),"")</f>
        <v/>
      </c>
      <c r="H267" s="13" t="str">
        <f t="array" ref="H267">iferror(xlookup(A267,'Download of SFDC Activation Rep'!B:B,'Download of SFDC Activation Rep'!L:L),"")</f>
        <v/>
      </c>
      <c r="I267" s="17" t="str">
        <f t="shared" si="2"/>
        <v>Not Active</v>
      </c>
      <c r="J267" s="17" t="str">
        <f t="array" ref="J267">XLOOKUP(A267,'Download of SFDC Activation Rep'!B:B,'Download of SFDC Activation Rep'!T:T)</f>
        <v>#N/A</v>
      </c>
      <c r="K267" s="17" t="str">
        <f t="array" ref="K267">iferror(XLOOKUP(A267,'Download of SFDC Activation Rep'!B:B,'Download of SFDC Activation Rep'!C:C),"")</f>
        <v/>
      </c>
    </row>
    <row r="268">
      <c r="B268" s="14"/>
      <c r="C268" s="14"/>
      <c r="D268" s="14"/>
      <c r="E268" s="14"/>
      <c r="F268" s="14"/>
      <c r="G268" s="13" t="str">
        <f t="array" ref="G268">iferror(XLOOKUP(A268,'Download of SFDC Activation Rep'!B:B,'Download of SFDC Activation Rep'!H:H),"")</f>
        <v/>
      </c>
      <c r="H268" s="13" t="str">
        <f t="array" ref="H268">iferror(xlookup(A268,'Download of SFDC Activation Rep'!B:B,'Download of SFDC Activation Rep'!L:L),"")</f>
        <v/>
      </c>
      <c r="I268" s="17" t="str">
        <f t="shared" si="2"/>
        <v>Not Active</v>
      </c>
      <c r="J268" s="17" t="str">
        <f t="array" ref="J268">XLOOKUP(A268,'Download of SFDC Activation Rep'!B:B,'Download of SFDC Activation Rep'!T:T)</f>
        <v>#N/A</v>
      </c>
      <c r="K268" s="17" t="str">
        <f t="array" ref="K268">iferror(XLOOKUP(A268,'Download of SFDC Activation Rep'!B:B,'Download of SFDC Activation Rep'!C:C),"")</f>
        <v/>
      </c>
    </row>
    <row r="269">
      <c r="B269" s="14"/>
      <c r="C269" s="14"/>
      <c r="D269" s="14"/>
      <c r="E269" s="14"/>
      <c r="F269" s="14"/>
      <c r="G269" s="13" t="str">
        <f t="array" ref="G269">iferror(XLOOKUP(A269,'Download of SFDC Activation Rep'!B:B,'Download of SFDC Activation Rep'!H:H),"")</f>
        <v/>
      </c>
      <c r="H269" s="13" t="str">
        <f t="array" ref="H269">iferror(xlookup(A269,'Download of SFDC Activation Rep'!B:B,'Download of SFDC Activation Rep'!L:L),"")</f>
        <v/>
      </c>
      <c r="I269" s="17" t="str">
        <f t="shared" si="2"/>
        <v>Not Active</v>
      </c>
      <c r="J269" s="17" t="str">
        <f t="array" ref="J269">XLOOKUP(A269,'Download of SFDC Activation Rep'!B:B,'Download of SFDC Activation Rep'!T:T)</f>
        <v>#N/A</v>
      </c>
      <c r="K269" s="17" t="str">
        <f t="array" ref="K269">iferror(XLOOKUP(A269,'Download of SFDC Activation Rep'!B:B,'Download of SFDC Activation Rep'!C:C),"")</f>
        <v/>
      </c>
    </row>
    <row r="270">
      <c r="B270" s="14"/>
      <c r="C270" s="14"/>
      <c r="D270" s="14"/>
      <c r="E270" s="14"/>
      <c r="F270" s="14"/>
      <c r="G270" s="13" t="str">
        <f t="array" ref="G270">iferror(XLOOKUP(A270,'Download of SFDC Activation Rep'!B:B,'Download of SFDC Activation Rep'!H:H),"")</f>
        <v/>
      </c>
      <c r="H270" s="13" t="str">
        <f t="array" ref="H270">iferror(xlookup(A270,'Download of SFDC Activation Rep'!B:B,'Download of SFDC Activation Rep'!L:L),"")</f>
        <v/>
      </c>
      <c r="I270" s="17" t="str">
        <f t="shared" si="2"/>
        <v>Not Active</v>
      </c>
      <c r="J270" s="17" t="str">
        <f t="array" ref="J270">XLOOKUP(A270,'Download of SFDC Activation Rep'!B:B,'Download of SFDC Activation Rep'!T:T)</f>
        <v>#N/A</v>
      </c>
      <c r="K270" s="17" t="str">
        <f t="array" ref="K270">iferror(XLOOKUP(A270,'Download of SFDC Activation Rep'!B:B,'Download of SFDC Activation Rep'!C:C),"")</f>
        <v/>
      </c>
    </row>
    <row r="271">
      <c r="B271" s="14"/>
      <c r="C271" s="14"/>
      <c r="D271" s="14"/>
      <c r="E271" s="14"/>
      <c r="F271" s="14"/>
      <c r="G271" s="13" t="str">
        <f t="array" ref="G271">iferror(XLOOKUP(A271,'Download of SFDC Activation Rep'!B:B,'Download of SFDC Activation Rep'!H:H),"")</f>
        <v/>
      </c>
      <c r="H271" s="13" t="str">
        <f t="array" ref="H271">iferror(xlookup(A271,'Download of SFDC Activation Rep'!B:B,'Download of SFDC Activation Rep'!L:L),"")</f>
        <v/>
      </c>
      <c r="I271" s="17" t="str">
        <f t="shared" si="2"/>
        <v>Not Active</v>
      </c>
      <c r="J271" s="17" t="str">
        <f t="array" ref="J271">XLOOKUP(A271,'Download of SFDC Activation Rep'!B:B,'Download of SFDC Activation Rep'!T:T)</f>
        <v>#N/A</v>
      </c>
      <c r="K271" s="17" t="str">
        <f t="array" ref="K271">iferror(XLOOKUP(A271,'Download of SFDC Activation Rep'!B:B,'Download of SFDC Activation Rep'!C:C),"")</f>
        <v/>
      </c>
    </row>
    <row r="272">
      <c r="B272" s="14"/>
      <c r="C272" s="14"/>
      <c r="D272" s="14"/>
      <c r="E272" s="14"/>
      <c r="F272" s="14"/>
      <c r="G272" s="13" t="str">
        <f t="array" ref="G272">iferror(XLOOKUP(A272,'Download of SFDC Activation Rep'!B:B,'Download of SFDC Activation Rep'!H:H),"")</f>
        <v/>
      </c>
      <c r="H272" s="13" t="str">
        <f t="array" ref="H272">iferror(xlookup(A272,'Download of SFDC Activation Rep'!B:B,'Download of SFDC Activation Rep'!L:L),"")</f>
        <v/>
      </c>
      <c r="I272" s="17" t="str">
        <f t="shared" si="2"/>
        <v>Not Active</v>
      </c>
      <c r="J272" s="17" t="str">
        <f t="array" ref="J272">XLOOKUP(A272,'Download of SFDC Activation Rep'!B:B,'Download of SFDC Activation Rep'!T:T)</f>
        <v>#N/A</v>
      </c>
      <c r="K272" s="17" t="str">
        <f t="array" ref="K272">iferror(XLOOKUP(A272,'Download of SFDC Activation Rep'!B:B,'Download of SFDC Activation Rep'!C:C),"")</f>
        <v/>
      </c>
    </row>
    <row r="273">
      <c r="B273" s="14"/>
      <c r="C273" s="14"/>
      <c r="D273" s="14"/>
      <c r="E273" s="14"/>
      <c r="F273" s="14"/>
      <c r="G273" s="13" t="str">
        <f t="array" ref="G273">iferror(XLOOKUP(A273,'Download of SFDC Activation Rep'!B:B,'Download of SFDC Activation Rep'!H:H),"")</f>
        <v/>
      </c>
      <c r="H273" s="13" t="str">
        <f t="array" ref="H273">iferror(xlookup(A273,'Download of SFDC Activation Rep'!B:B,'Download of SFDC Activation Rep'!L:L),"")</f>
        <v/>
      </c>
      <c r="I273" s="17" t="str">
        <f t="shared" si="2"/>
        <v>Not Active</v>
      </c>
      <c r="J273" s="17" t="str">
        <f t="array" ref="J273">XLOOKUP(A273,'Download of SFDC Activation Rep'!B:B,'Download of SFDC Activation Rep'!T:T)</f>
        <v>#N/A</v>
      </c>
      <c r="K273" s="17" t="str">
        <f t="array" ref="K273">iferror(XLOOKUP(A273,'Download of SFDC Activation Rep'!B:B,'Download of SFDC Activation Rep'!C:C),"")</f>
        <v/>
      </c>
    </row>
    <row r="274">
      <c r="B274" s="14"/>
      <c r="C274" s="14"/>
      <c r="D274" s="14"/>
      <c r="E274" s="14"/>
      <c r="F274" s="14"/>
      <c r="G274" s="13" t="str">
        <f t="array" ref="G274">iferror(XLOOKUP(A274,'Download of SFDC Activation Rep'!B:B,'Download of SFDC Activation Rep'!H:H),"")</f>
        <v/>
      </c>
      <c r="H274" s="13" t="str">
        <f t="array" ref="H274">iferror(xlookup(A274,'Download of SFDC Activation Rep'!B:B,'Download of SFDC Activation Rep'!L:L),"")</f>
        <v/>
      </c>
      <c r="I274" s="17" t="str">
        <f t="shared" si="2"/>
        <v>Not Active</v>
      </c>
      <c r="J274" s="17" t="str">
        <f t="array" ref="J274">XLOOKUP(A274,'Download of SFDC Activation Rep'!B:B,'Download of SFDC Activation Rep'!T:T)</f>
        <v>#N/A</v>
      </c>
      <c r="K274" s="17" t="str">
        <f t="array" ref="K274">iferror(XLOOKUP(A274,'Download of SFDC Activation Rep'!B:B,'Download of SFDC Activation Rep'!C:C),"")</f>
        <v/>
      </c>
    </row>
    <row r="275">
      <c r="B275" s="14"/>
      <c r="C275" s="14"/>
      <c r="D275" s="14"/>
      <c r="E275" s="14"/>
      <c r="F275" s="14"/>
      <c r="G275" s="13" t="str">
        <f t="array" ref="G275">iferror(XLOOKUP(A275,'Download of SFDC Activation Rep'!B:B,'Download of SFDC Activation Rep'!H:H),"")</f>
        <v/>
      </c>
      <c r="H275" s="13" t="str">
        <f t="array" ref="H275">iferror(xlookup(A275,'Download of SFDC Activation Rep'!B:B,'Download of SFDC Activation Rep'!L:L),"")</f>
        <v/>
      </c>
      <c r="I275" s="17" t="str">
        <f t="shared" si="2"/>
        <v>Not Active</v>
      </c>
      <c r="J275" s="17" t="str">
        <f t="array" ref="J275">XLOOKUP(A275,'Download of SFDC Activation Rep'!B:B,'Download of SFDC Activation Rep'!T:T)</f>
        <v>#N/A</v>
      </c>
      <c r="K275" s="17" t="str">
        <f t="array" ref="K275">iferror(XLOOKUP(A275,'Download of SFDC Activation Rep'!B:B,'Download of SFDC Activation Rep'!C:C),"")</f>
        <v/>
      </c>
    </row>
    <row r="276">
      <c r="B276" s="14"/>
      <c r="C276" s="14"/>
      <c r="D276" s="14"/>
      <c r="E276" s="14"/>
      <c r="F276" s="14"/>
      <c r="G276" s="13" t="str">
        <f t="array" ref="G276">iferror(XLOOKUP(A276,'Download of SFDC Activation Rep'!B:B,'Download of SFDC Activation Rep'!H:H),"")</f>
        <v/>
      </c>
      <c r="H276" s="13" t="str">
        <f t="array" ref="H276">iferror(xlookup(A276,'Download of SFDC Activation Rep'!B:B,'Download of SFDC Activation Rep'!L:L),"")</f>
        <v/>
      </c>
      <c r="I276" s="17" t="str">
        <f t="shared" si="2"/>
        <v>Not Active</v>
      </c>
      <c r="J276" s="17" t="str">
        <f t="array" ref="J276">XLOOKUP(A276,'Download of SFDC Activation Rep'!B:B,'Download of SFDC Activation Rep'!T:T)</f>
        <v>#N/A</v>
      </c>
      <c r="K276" s="17" t="str">
        <f t="array" ref="K276">iferror(XLOOKUP(A276,'Download of SFDC Activation Rep'!B:B,'Download of SFDC Activation Rep'!C:C),"")</f>
        <v/>
      </c>
    </row>
    <row r="277">
      <c r="B277" s="14"/>
      <c r="C277" s="14"/>
      <c r="D277" s="14"/>
      <c r="E277" s="14"/>
      <c r="F277" s="14"/>
      <c r="G277" s="13" t="str">
        <f t="array" ref="G277">iferror(XLOOKUP(A277,'Download of SFDC Activation Rep'!B:B,'Download of SFDC Activation Rep'!H:H),"")</f>
        <v/>
      </c>
      <c r="H277" s="13" t="str">
        <f t="array" ref="H277">iferror(xlookup(A277,'Download of SFDC Activation Rep'!B:B,'Download of SFDC Activation Rep'!L:L),"")</f>
        <v/>
      </c>
      <c r="I277" s="17" t="str">
        <f t="shared" si="2"/>
        <v>Not Active</v>
      </c>
      <c r="J277" s="17" t="str">
        <f t="array" ref="J277">XLOOKUP(A277,'Download of SFDC Activation Rep'!B:B,'Download of SFDC Activation Rep'!T:T)</f>
        <v>#N/A</v>
      </c>
      <c r="K277" s="17" t="str">
        <f t="array" ref="K277">iferror(XLOOKUP(A277,'Download of SFDC Activation Rep'!B:B,'Download of SFDC Activation Rep'!C:C),"")</f>
        <v/>
      </c>
    </row>
    <row r="278">
      <c r="B278" s="14"/>
      <c r="C278" s="14"/>
      <c r="D278" s="14"/>
      <c r="E278" s="14"/>
      <c r="F278" s="14"/>
      <c r="G278" s="13" t="str">
        <f t="array" ref="G278">iferror(XLOOKUP(A278,'Download of SFDC Activation Rep'!B:B,'Download of SFDC Activation Rep'!H:H),"")</f>
        <v/>
      </c>
      <c r="H278" s="13" t="str">
        <f t="array" ref="H278">iferror(xlookup(A278,'Download of SFDC Activation Rep'!B:B,'Download of SFDC Activation Rep'!L:L),"")</f>
        <v/>
      </c>
      <c r="I278" s="17" t="str">
        <f t="shared" si="2"/>
        <v>Not Active</v>
      </c>
      <c r="J278" s="17" t="str">
        <f t="array" ref="J278">XLOOKUP(A278,'Download of SFDC Activation Rep'!B:B,'Download of SFDC Activation Rep'!T:T)</f>
        <v>#N/A</v>
      </c>
      <c r="K278" s="17" t="str">
        <f t="array" ref="K278">iferror(XLOOKUP(A278,'Download of SFDC Activation Rep'!B:B,'Download of SFDC Activation Rep'!C:C),"")</f>
        <v/>
      </c>
    </row>
    <row r="279">
      <c r="B279" s="14"/>
      <c r="C279" s="14"/>
      <c r="D279" s="14"/>
      <c r="E279" s="14"/>
      <c r="F279" s="14"/>
      <c r="G279" s="13" t="str">
        <f t="array" ref="G279">iferror(XLOOKUP(A279,'Download of SFDC Activation Rep'!B:B,'Download of SFDC Activation Rep'!H:H),"")</f>
        <v/>
      </c>
      <c r="H279" s="13" t="str">
        <f t="array" ref="H279">iferror(xlookup(A279,'Download of SFDC Activation Rep'!B:B,'Download of SFDC Activation Rep'!L:L),"")</f>
        <v/>
      </c>
      <c r="I279" s="17" t="str">
        <f t="shared" si="2"/>
        <v>Not Active</v>
      </c>
      <c r="J279" s="17" t="str">
        <f t="array" ref="J279">XLOOKUP(A279,'Download of SFDC Activation Rep'!B:B,'Download of SFDC Activation Rep'!T:T)</f>
        <v>#N/A</v>
      </c>
      <c r="K279" s="17" t="str">
        <f t="array" ref="K279">iferror(XLOOKUP(A279,'Download of SFDC Activation Rep'!B:B,'Download of SFDC Activation Rep'!C:C),"")</f>
        <v/>
      </c>
    </row>
    <row r="280">
      <c r="B280" s="14"/>
      <c r="C280" s="14"/>
      <c r="D280" s="14"/>
      <c r="E280" s="14"/>
      <c r="F280" s="14"/>
      <c r="G280" s="13" t="str">
        <f t="array" ref="G280">iferror(XLOOKUP(A280,'Download of SFDC Activation Rep'!B:B,'Download of SFDC Activation Rep'!H:H),"")</f>
        <v/>
      </c>
      <c r="H280" s="13" t="str">
        <f t="array" ref="H280">iferror(xlookup(A280,'Download of SFDC Activation Rep'!B:B,'Download of SFDC Activation Rep'!L:L),"")</f>
        <v/>
      </c>
      <c r="I280" s="17" t="str">
        <f t="shared" si="2"/>
        <v>Not Active</v>
      </c>
      <c r="J280" s="17" t="str">
        <f t="array" ref="J280">XLOOKUP(A280,'Download of SFDC Activation Rep'!B:B,'Download of SFDC Activation Rep'!T:T)</f>
        <v>#N/A</v>
      </c>
      <c r="K280" s="17" t="str">
        <f t="array" ref="K280">iferror(XLOOKUP(A280,'Download of SFDC Activation Rep'!B:B,'Download of SFDC Activation Rep'!C:C),"")</f>
        <v/>
      </c>
    </row>
    <row r="281">
      <c r="B281" s="14"/>
      <c r="C281" s="14"/>
      <c r="D281" s="14"/>
      <c r="E281" s="14"/>
      <c r="F281" s="14"/>
      <c r="G281" s="13" t="str">
        <f t="array" ref="G281">iferror(XLOOKUP(A281,'Download of SFDC Activation Rep'!B:B,'Download of SFDC Activation Rep'!H:H),"")</f>
        <v/>
      </c>
      <c r="H281" s="13" t="str">
        <f t="array" ref="H281">iferror(xlookup(A281,'Download of SFDC Activation Rep'!B:B,'Download of SFDC Activation Rep'!L:L),"")</f>
        <v/>
      </c>
      <c r="I281" s="17" t="str">
        <f t="shared" si="2"/>
        <v>Not Active</v>
      </c>
      <c r="J281" s="17" t="str">
        <f t="array" ref="J281">XLOOKUP(A281,'Download of SFDC Activation Rep'!B:B,'Download of SFDC Activation Rep'!T:T)</f>
        <v>#N/A</v>
      </c>
      <c r="K281" s="17" t="str">
        <f t="array" ref="K281">iferror(XLOOKUP(A281,'Download of SFDC Activation Rep'!B:B,'Download of SFDC Activation Rep'!C:C),"")</f>
        <v/>
      </c>
    </row>
    <row r="282">
      <c r="B282" s="14"/>
      <c r="C282" s="14"/>
      <c r="D282" s="14"/>
      <c r="E282" s="14"/>
      <c r="F282" s="14"/>
      <c r="G282" s="13" t="str">
        <f t="array" ref="G282">iferror(XLOOKUP(A282,'Download of SFDC Activation Rep'!B:B,'Download of SFDC Activation Rep'!H:H),"")</f>
        <v/>
      </c>
      <c r="H282" s="13" t="str">
        <f t="array" ref="H282">iferror(xlookup(A282,'Download of SFDC Activation Rep'!B:B,'Download of SFDC Activation Rep'!L:L),"")</f>
        <v/>
      </c>
      <c r="I282" s="17" t="str">
        <f t="shared" si="2"/>
        <v>Not Active</v>
      </c>
      <c r="J282" s="17" t="str">
        <f t="array" ref="J282">XLOOKUP(A282,'Download of SFDC Activation Rep'!B:B,'Download of SFDC Activation Rep'!T:T)</f>
        <v>#N/A</v>
      </c>
      <c r="K282" s="17" t="str">
        <f t="array" ref="K282">iferror(XLOOKUP(A282,'Download of SFDC Activation Rep'!B:B,'Download of SFDC Activation Rep'!C:C),"")</f>
        <v/>
      </c>
    </row>
    <row r="283">
      <c r="B283" s="14"/>
      <c r="C283" s="14"/>
      <c r="D283" s="14"/>
      <c r="E283" s="14"/>
      <c r="F283" s="14"/>
      <c r="G283" s="13" t="str">
        <f t="array" ref="G283">iferror(XLOOKUP(A283,'Download of SFDC Activation Rep'!B:B,'Download of SFDC Activation Rep'!H:H),"")</f>
        <v/>
      </c>
      <c r="H283" s="13" t="str">
        <f t="array" ref="H283">iferror(xlookup(A283,'Download of SFDC Activation Rep'!B:B,'Download of SFDC Activation Rep'!L:L),"")</f>
        <v/>
      </c>
      <c r="I283" s="17" t="str">
        <f t="shared" si="2"/>
        <v>Not Active</v>
      </c>
      <c r="J283" s="17" t="str">
        <f t="array" ref="J283">XLOOKUP(A283,'Download of SFDC Activation Rep'!B:B,'Download of SFDC Activation Rep'!T:T)</f>
        <v>#N/A</v>
      </c>
      <c r="K283" s="17" t="str">
        <f t="array" ref="K283">iferror(XLOOKUP(A283,'Download of SFDC Activation Rep'!B:B,'Download of SFDC Activation Rep'!C:C),"")</f>
        <v/>
      </c>
    </row>
    <row r="284">
      <c r="B284" s="14"/>
      <c r="C284" s="14"/>
      <c r="D284" s="14"/>
      <c r="E284" s="14"/>
      <c r="F284" s="14"/>
      <c r="G284" s="13" t="str">
        <f t="array" ref="G284">iferror(XLOOKUP(A284,'Download of SFDC Activation Rep'!B:B,'Download of SFDC Activation Rep'!H:H),"")</f>
        <v/>
      </c>
      <c r="H284" s="13" t="str">
        <f t="array" ref="H284">iferror(xlookup(A284,'Download of SFDC Activation Rep'!B:B,'Download of SFDC Activation Rep'!L:L),"")</f>
        <v/>
      </c>
      <c r="I284" s="17" t="str">
        <f t="shared" si="2"/>
        <v>Not Active</v>
      </c>
      <c r="J284" s="17" t="str">
        <f t="array" ref="J284">XLOOKUP(A284,'Download of SFDC Activation Rep'!B:B,'Download of SFDC Activation Rep'!T:T)</f>
        <v>#N/A</v>
      </c>
      <c r="K284" s="17" t="str">
        <f t="array" ref="K284">iferror(XLOOKUP(A284,'Download of SFDC Activation Rep'!B:B,'Download of SFDC Activation Rep'!C:C),"")</f>
        <v/>
      </c>
    </row>
    <row r="285">
      <c r="B285" s="14"/>
      <c r="C285" s="14"/>
      <c r="D285" s="14"/>
      <c r="E285" s="14"/>
      <c r="F285" s="14"/>
      <c r="G285" s="13" t="str">
        <f t="array" ref="G285">iferror(XLOOKUP(A285,'Download of SFDC Activation Rep'!B:B,'Download of SFDC Activation Rep'!H:H),"")</f>
        <v/>
      </c>
      <c r="H285" s="13" t="str">
        <f t="array" ref="H285">iferror(xlookup(A285,'Download of SFDC Activation Rep'!B:B,'Download of SFDC Activation Rep'!L:L),"")</f>
        <v/>
      </c>
      <c r="I285" s="17" t="str">
        <f t="shared" si="2"/>
        <v>Not Active</v>
      </c>
      <c r="J285" s="17" t="str">
        <f t="array" ref="J285">XLOOKUP(A285,'Download of SFDC Activation Rep'!B:B,'Download of SFDC Activation Rep'!T:T)</f>
        <v>#N/A</v>
      </c>
      <c r="K285" s="17" t="str">
        <f t="array" ref="K285">iferror(XLOOKUP(A285,'Download of SFDC Activation Rep'!B:B,'Download of SFDC Activation Rep'!C:C),"")</f>
        <v/>
      </c>
    </row>
    <row r="286">
      <c r="B286" s="14"/>
      <c r="C286" s="14"/>
      <c r="D286" s="14"/>
      <c r="E286" s="14"/>
      <c r="F286" s="14"/>
      <c r="G286" s="13" t="str">
        <f t="array" ref="G286">iferror(XLOOKUP(A286,'Download of SFDC Activation Rep'!B:B,'Download of SFDC Activation Rep'!H:H),"")</f>
        <v/>
      </c>
      <c r="H286" s="13" t="str">
        <f t="array" ref="H286">iferror(xlookup(A286,'Download of SFDC Activation Rep'!B:B,'Download of SFDC Activation Rep'!L:L),"")</f>
        <v/>
      </c>
      <c r="I286" s="17" t="str">
        <f t="shared" si="2"/>
        <v>Not Active</v>
      </c>
      <c r="J286" s="17" t="str">
        <f t="array" ref="J286">XLOOKUP(A286,'Download of SFDC Activation Rep'!B:B,'Download of SFDC Activation Rep'!T:T)</f>
        <v>#N/A</v>
      </c>
      <c r="K286" s="17" t="str">
        <f t="array" ref="K286">iferror(XLOOKUP(A286,'Download of SFDC Activation Rep'!B:B,'Download of SFDC Activation Rep'!C:C),"")</f>
        <v/>
      </c>
    </row>
    <row r="287">
      <c r="B287" s="14"/>
      <c r="C287" s="14"/>
      <c r="D287" s="14"/>
      <c r="E287" s="14"/>
      <c r="F287" s="14"/>
      <c r="G287" s="13" t="str">
        <f t="array" ref="G287">iferror(XLOOKUP(A287,'Download of SFDC Activation Rep'!B:B,'Download of SFDC Activation Rep'!H:H),"")</f>
        <v/>
      </c>
      <c r="H287" s="13" t="str">
        <f t="array" ref="H287">iferror(xlookup(A287,'Download of SFDC Activation Rep'!B:B,'Download of SFDC Activation Rep'!L:L),"")</f>
        <v/>
      </c>
      <c r="I287" s="17" t="str">
        <f t="shared" si="2"/>
        <v>Not Active</v>
      </c>
      <c r="J287" s="17" t="str">
        <f t="array" ref="J287">XLOOKUP(A287,'Download of SFDC Activation Rep'!B:B,'Download of SFDC Activation Rep'!T:T)</f>
        <v>#N/A</v>
      </c>
      <c r="K287" s="17" t="str">
        <f t="array" ref="K287">iferror(XLOOKUP(A287,'Download of SFDC Activation Rep'!B:B,'Download of SFDC Activation Rep'!C:C),"")</f>
        <v/>
      </c>
    </row>
    <row r="288">
      <c r="B288" s="14"/>
      <c r="C288" s="14"/>
      <c r="D288" s="14"/>
      <c r="E288" s="14"/>
      <c r="F288" s="14"/>
      <c r="G288" s="13" t="str">
        <f t="array" ref="G288">iferror(XLOOKUP(A288,'Download of SFDC Activation Rep'!B:B,'Download of SFDC Activation Rep'!H:H),"")</f>
        <v/>
      </c>
      <c r="H288" s="13" t="str">
        <f t="array" ref="H288">iferror(xlookup(A288,'Download of SFDC Activation Rep'!B:B,'Download of SFDC Activation Rep'!L:L),"")</f>
        <v/>
      </c>
      <c r="I288" s="17" t="str">
        <f t="shared" si="2"/>
        <v>Not Active</v>
      </c>
      <c r="J288" s="17" t="str">
        <f t="array" ref="J288">XLOOKUP(A288,'Download of SFDC Activation Rep'!B:B,'Download of SFDC Activation Rep'!T:T)</f>
        <v>#N/A</v>
      </c>
      <c r="K288" s="17" t="str">
        <f t="array" ref="K288">iferror(XLOOKUP(A288,'Download of SFDC Activation Rep'!B:B,'Download of SFDC Activation Rep'!C:C),"")</f>
        <v/>
      </c>
    </row>
    <row r="289">
      <c r="B289" s="14"/>
      <c r="C289" s="14"/>
      <c r="D289" s="14"/>
      <c r="E289" s="14"/>
      <c r="F289" s="14"/>
      <c r="G289" s="13" t="str">
        <f t="array" ref="G289">iferror(XLOOKUP(A289,'Download of SFDC Activation Rep'!B:B,'Download of SFDC Activation Rep'!H:H),"")</f>
        <v/>
      </c>
      <c r="H289" s="13" t="str">
        <f t="array" ref="H289">iferror(xlookup(A289,'Download of SFDC Activation Rep'!B:B,'Download of SFDC Activation Rep'!L:L),"")</f>
        <v/>
      </c>
      <c r="I289" s="17" t="str">
        <f t="shared" si="2"/>
        <v>Not Active</v>
      </c>
      <c r="J289" s="17" t="str">
        <f t="array" ref="J289">XLOOKUP(A289,'Download of SFDC Activation Rep'!B:B,'Download of SFDC Activation Rep'!T:T)</f>
        <v>#N/A</v>
      </c>
      <c r="K289" s="17" t="str">
        <f t="array" ref="K289">iferror(XLOOKUP(A289,'Download of SFDC Activation Rep'!B:B,'Download of SFDC Activation Rep'!C:C),"")</f>
        <v/>
      </c>
    </row>
    <row r="290">
      <c r="B290" s="14"/>
      <c r="C290" s="14"/>
      <c r="D290" s="14"/>
      <c r="E290" s="14"/>
      <c r="F290" s="14"/>
      <c r="G290" s="13" t="str">
        <f t="array" ref="G290">iferror(XLOOKUP(A290,'Download of SFDC Activation Rep'!B:B,'Download of SFDC Activation Rep'!H:H),"")</f>
        <v/>
      </c>
      <c r="H290" s="13" t="str">
        <f t="array" ref="H290">iferror(xlookup(A290,'Download of SFDC Activation Rep'!B:B,'Download of SFDC Activation Rep'!L:L),"")</f>
        <v/>
      </c>
      <c r="I290" s="17" t="str">
        <f t="shared" si="2"/>
        <v>Not Active</v>
      </c>
      <c r="J290" s="17" t="str">
        <f t="array" ref="J290">XLOOKUP(A290,'Download of SFDC Activation Rep'!B:B,'Download of SFDC Activation Rep'!T:T)</f>
        <v>#N/A</v>
      </c>
      <c r="K290" s="17" t="str">
        <f t="array" ref="K290">iferror(XLOOKUP(A290,'Download of SFDC Activation Rep'!B:B,'Download of SFDC Activation Rep'!C:C),"")</f>
        <v/>
      </c>
    </row>
    <row r="291">
      <c r="B291" s="14"/>
      <c r="C291" s="14"/>
      <c r="D291" s="14"/>
      <c r="E291" s="14"/>
      <c r="F291" s="14"/>
      <c r="G291" s="13" t="str">
        <f t="array" ref="G291">iferror(XLOOKUP(A291,'Download of SFDC Activation Rep'!B:B,'Download of SFDC Activation Rep'!H:H),"")</f>
        <v/>
      </c>
      <c r="H291" s="13" t="str">
        <f t="array" ref="H291">iferror(xlookup(A291,'Download of SFDC Activation Rep'!B:B,'Download of SFDC Activation Rep'!L:L),"")</f>
        <v/>
      </c>
      <c r="I291" s="17" t="str">
        <f t="shared" si="2"/>
        <v>Not Active</v>
      </c>
      <c r="J291" s="17" t="str">
        <f t="array" ref="J291">XLOOKUP(A291,'Download of SFDC Activation Rep'!B:B,'Download of SFDC Activation Rep'!T:T)</f>
        <v>#N/A</v>
      </c>
      <c r="K291" s="17" t="str">
        <f t="array" ref="K291">iferror(XLOOKUP(A291,'Download of SFDC Activation Rep'!B:B,'Download of SFDC Activation Rep'!C:C),"")</f>
        <v/>
      </c>
    </row>
    <row r="292">
      <c r="B292" s="14"/>
      <c r="C292" s="14"/>
      <c r="D292" s="14"/>
      <c r="E292" s="14"/>
      <c r="F292" s="14"/>
      <c r="G292" s="13" t="str">
        <f t="array" ref="G292">iferror(XLOOKUP(A292,'Download of SFDC Activation Rep'!B:B,'Download of SFDC Activation Rep'!H:H),"")</f>
        <v/>
      </c>
      <c r="H292" s="13" t="str">
        <f t="array" ref="H292">iferror(xlookup(A292,'Download of SFDC Activation Rep'!B:B,'Download of SFDC Activation Rep'!L:L),"")</f>
        <v/>
      </c>
      <c r="I292" s="17" t="str">
        <f t="shared" si="2"/>
        <v>Not Active</v>
      </c>
      <c r="J292" s="17" t="str">
        <f t="array" ref="J292">XLOOKUP(A292,'Download of SFDC Activation Rep'!B:B,'Download of SFDC Activation Rep'!T:T)</f>
        <v>#N/A</v>
      </c>
      <c r="K292" s="17" t="str">
        <f t="array" ref="K292">iferror(XLOOKUP(A292,'Download of SFDC Activation Rep'!B:B,'Download of SFDC Activation Rep'!C:C),"")</f>
        <v/>
      </c>
    </row>
    <row r="293">
      <c r="B293" s="14"/>
      <c r="C293" s="14"/>
      <c r="D293" s="14"/>
      <c r="E293" s="14"/>
      <c r="F293" s="14"/>
      <c r="G293" s="13" t="str">
        <f t="array" ref="G293">iferror(XLOOKUP(A293,'Download of SFDC Activation Rep'!B:B,'Download of SFDC Activation Rep'!H:H),"")</f>
        <v/>
      </c>
      <c r="H293" s="13" t="str">
        <f t="array" ref="H293">iferror(xlookup(A293,'Download of SFDC Activation Rep'!B:B,'Download of SFDC Activation Rep'!L:L),"")</f>
        <v/>
      </c>
      <c r="I293" s="17" t="str">
        <f t="shared" si="2"/>
        <v>Not Active</v>
      </c>
      <c r="J293" s="17" t="str">
        <f t="array" ref="J293">XLOOKUP(A293,'Download of SFDC Activation Rep'!B:B,'Download of SFDC Activation Rep'!T:T)</f>
        <v>#N/A</v>
      </c>
      <c r="K293" s="17" t="str">
        <f t="array" ref="K293">iferror(XLOOKUP(A293,'Download of SFDC Activation Rep'!B:B,'Download of SFDC Activation Rep'!C:C),"")</f>
        <v/>
      </c>
    </row>
    <row r="294">
      <c r="B294" s="14"/>
      <c r="C294" s="14"/>
      <c r="D294" s="14"/>
      <c r="E294" s="14"/>
      <c r="F294" s="14"/>
      <c r="G294" s="13" t="str">
        <f t="array" ref="G294">iferror(XLOOKUP(A294,'Download of SFDC Activation Rep'!B:B,'Download of SFDC Activation Rep'!H:H),"")</f>
        <v/>
      </c>
      <c r="H294" s="13" t="str">
        <f t="array" ref="H294">iferror(xlookup(A294,'Download of SFDC Activation Rep'!B:B,'Download of SFDC Activation Rep'!L:L),"")</f>
        <v/>
      </c>
      <c r="I294" s="17" t="str">
        <f t="shared" si="2"/>
        <v>Not Active</v>
      </c>
      <c r="J294" s="17" t="str">
        <f t="array" ref="J294">XLOOKUP(A294,'Download of SFDC Activation Rep'!B:B,'Download of SFDC Activation Rep'!T:T)</f>
        <v>#N/A</v>
      </c>
      <c r="K294" s="17" t="str">
        <f t="array" ref="K294">iferror(XLOOKUP(A294,'Download of SFDC Activation Rep'!B:B,'Download of SFDC Activation Rep'!C:C),"")</f>
        <v/>
      </c>
    </row>
    <row r="295">
      <c r="B295" s="14"/>
      <c r="C295" s="14"/>
      <c r="D295" s="14"/>
      <c r="E295" s="14"/>
      <c r="F295" s="14"/>
      <c r="G295" s="13" t="str">
        <f t="array" ref="G295">iferror(XLOOKUP(A295,'Download of SFDC Activation Rep'!B:B,'Download of SFDC Activation Rep'!H:H),"")</f>
        <v/>
      </c>
      <c r="H295" s="13" t="str">
        <f t="array" ref="H295">iferror(xlookup(A295,'Download of SFDC Activation Rep'!B:B,'Download of SFDC Activation Rep'!L:L),"")</f>
        <v/>
      </c>
      <c r="I295" s="17" t="str">
        <f t="shared" si="2"/>
        <v>Not Active</v>
      </c>
      <c r="J295" s="17" t="str">
        <f t="array" ref="J295">XLOOKUP(A295,'Download of SFDC Activation Rep'!B:B,'Download of SFDC Activation Rep'!T:T)</f>
        <v>#N/A</v>
      </c>
      <c r="K295" s="17" t="str">
        <f t="array" ref="K295">iferror(XLOOKUP(A295,'Download of SFDC Activation Rep'!B:B,'Download of SFDC Activation Rep'!C:C),"")</f>
        <v/>
      </c>
    </row>
    <row r="296">
      <c r="B296" s="14"/>
      <c r="C296" s="14"/>
      <c r="D296" s="14"/>
      <c r="E296" s="14"/>
      <c r="F296" s="14"/>
      <c r="G296" s="13" t="str">
        <f t="array" ref="G296">iferror(XLOOKUP(A296,'Download of SFDC Activation Rep'!B:B,'Download of SFDC Activation Rep'!H:H),"")</f>
        <v/>
      </c>
      <c r="H296" s="13" t="str">
        <f t="array" ref="H296">iferror(xlookup(A296,'Download of SFDC Activation Rep'!B:B,'Download of SFDC Activation Rep'!L:L),"")</f>
        <v/>
      </c>
      <c r="I296" s="17" t="str">
        <f t="shared" si="2"/>
        <v>Not Active</v>
      </c>
      <c r="J296" s="17" t="str">
        <f t="array" ref="J296">XLOOKUP(A296,'Download of SFDC Activation Rep'!B:B,'Download of SFDC Activation Rep'!T:T)</f>
        <v>#N/A</v>
      </c>
      <c r="K296" s="17" t="str">
        <f t="array" ref="K296">iferror(XLOOKUP(A296,'Download of SFDC Activation Rep'!B:B,'Download of SFDC Activation Rep'!C:C),"")</f>
        <v/>
      </c>
    </row>
    <row r="297">
      <c r="B297" s="14"/>
      <c r="C297" s="14"/>
      <c r="D297" s="14"/>
      <c r="E297" s="14"/>
      <c r="F297" s="14"/>
      <c r="G297" s="13" t="str">
        <f t="array" ref="G297">iferror(XLOOKUP(A297,'Download of SFDC Activation Rep'!B:B,'Download of SFDC Activation Rep'!H:H),"")</f>
        <v/>
      </c>
      <c r="H297" s="13" t="str">
        <f t="array" ref="H297">iferror(xlookup(A297,'Download of SFDC Activation Rep'!B:B,'Download of SFDC Activation Rep'!L:L),"")</f>
        <v/>
      </c>
      <c r="I297" s="17" t="str">
        <f t="shared" si="2"/>
        <v>Not Active</v>
      </c>
      <c r="J297" s="17" t="str">
        <f t="array" ref="J297">XLOOKUP(A297,'Download of SFDC Activation Rep'!B:B,'Download of SFDC Activation Rep'!T:T)</f>
        <v>#N/A</v>
      </c>
      <c r="K297" s="17" t="str">
        <f t="array" ref="K297">iferror(XLOOKUP(A297,'Download of SFDC Activation Rep'!B:B,'Download of SFDC Activation Rep'!C:C),"")</f>
        <v/>
      </c>
    </row>
    <row r="298">
      <c r="B298" s="14"/>
      <c r="C298" s="14"/>
      <c r="D298" s="14"/>
      <c r="E298" s="14"/>
      <c r="F298" s="14"/>
      <c r="G298" s="13" t="str">
        <f t="array" ref="G298">iferror(XLOOKUP(A298,'Download of SFDC Activation Rep'!B:B,'Download of SFDC Activation Rep'!H:H),"")</f>
        <v/>
      </c>
      <c r="H298" s="13" t="str">
        <f t="array" ref="H298">iferror(xlookup(A298,'Download of SFDC Activation Rep'!B:B,'Download of SFDC Activation Rep'!L:L),"")</f>
        <v/>
      </c>
      <c r="I298" s="17" t="str">
        <f t="shared" si="2"/>
        <v>Not Active</v>
      </c>
      <c r="J298" s="17" t="str">
        <f t="array" ref="J298">XLOOKUP(A298,'Download of SFDC Activation Rep'!B:B,'Download of SFDC Activation Rep'!T:T)</f>
        <v>#N/A</v>
      </c>
      <c r="K298" s="17" t="str">
        <f t="array" ref="K298">iferror(XLOOKUP(A298,'Download of SFDC Activation Rep'!B:B,'Download of SFDC Activation Rep'!C:C),"")</f>
        <v/>
      </c>
    </row>
    <row r="299">
      <c r="B299" s="14"/>
      <c r="C299" s="14"/>
      <c r="D299" s="14"/>
      <c r="E299" s="14"/>
      <c r="F299" s="14"/>
      <c r="G299" s="13" t="str">
        <f t="array" ref="G299">iferror(XLOOKUP(A299,'Download of SFDC Activation Rep'!B:B,'Download of SFDC Activation Rep'!H:H),"")</f>
        <v/>
      </c>
      <c r="H299" s="13" t="str">
        <f t="array" ref="H299">iferror(xlookup(A299,'Download of SFDC Activation Rep'!B:B,'Download of SFDC Activation Rep'!L:L),"")</f>
        <v/>
      </c>
      <c r="I299" s="17" t="str">
        <f t="shared" si="2"/>
        <v>Not Active</v>
      </c>
      <c r="J299" s="17" t="str">
        <f t="array" ref="J299">XLOOKUP(A299,'Download of SFDC Activation Rep'!B:B,'Download of SFDC Activation Rep'!T:T)</f>
        <v>#N/A</v>
      </c>
      <c r="K299" s="17" t="str">
        <f t="array" ref="K299">iferror(XLOOKUP(A299,'Download of SFDC Activation Rep'!B:B,'Download of SFDC Activation Rep'!C:C),"")</f>
        <v/>
      </c>
    </row>
    <row r="300">
      <c r="B300" s="14"/>
      <c r="C300" s="14"/>
      <c r="D300" s="14"/>
      <c r="E300" s="14"/>
      <c r="F300" s="14"/>
      <c r="G300" s="13" t="str">
        <f t="array" ref="G300">iferror(XLOOKUP(A300,'Download of SFDC Activation Rep'!B:B,'Download of SFDC Activation Rep'!H:H),"")</f>
        <v/>
      </c>
      <c r="H300" s="13" t="str">
        <f t="array" ref="H300">iferror(xlookup(A300,'Download of SFDC Activation Rep'!B:B,'Download of SFDC Activation Rep'!L:L),"")</f>
        <v/>
      </c>
      <c r="I300" s="17" t="str">
        <f t="shared" si="2"/>
        <v>Not Active</v>
      </c>
      <c r="J300" s="17" t="str">
        <f t="array" ref="J300">XLOOKUP(A300,'Download of SFDC Activation Rep'!B:B,'Download of SFDC Activation Rep'!T:T)</f>
        <v>#N/A</v>
      </c>
      <c r="K300" s="17" t="str">
        <f t="array" ref="K300">iferror(XLOOKUP(A300,'Download of SFDC Activation Rep'!B:B,'Download of SFDC Activation Rep'!C:C),"")</f>
        <v/>
      </c>
    </row>
    <row r="301">
      <c r="B301" s="14"/>
      <c r="C301" s="14"/>
      <c r="D301" s="14"/>
      <c r="E301" s="14"/>
      <c r="F301" s="14"/>
      <c r="G301" s="13" t="str">
        <f t="array" ref="G301">iferror(XLOOKUP(A301,'Download of SFDC Activation Rep'!B:B,'Download of SFDC Activation Rep'!H:H),"")</f>
        <v/>
      </c>
      <c r="H301" s="13" t="str">
        <f t="array" ref="H301">iferror(xlookup(A301,'Download of SFDC Activation Rep'!B:B,'Download of SFDC Activation Rep'!L:L),"")</f>
        <v/>
      </c>
      <c r="I301" s="17" t="str">
        <f t="shared" si="2"/>
        <v>Not Active</v>
      </c>
      <c r="J301" s="17" t="str">
        <f t="array" ref="J301">XLOOKUP(A301,'Download of SFDC Activation Rep'!B:B,'Download of SFDC Activation Rep'!T:T)</f>
        <v>#N/A</v>
      </c>
      <c r="K301" s="17" t="str">
        <f t="array" ref="K301">iferror(XLOOKUP(A301,'Download of SFDC Activation Rep'!B:B,'Download of SFDC Activation Rep'!C:C),"")</f>
        <v/>
      </c>
    </row>
    <row r="302">
      <c r="B302" s="14"/>
      <c r="C302" s="14"/>
      <c r="D302" s="14"/>
      <c r="E302" s="14"/>
      <c r="F302" s="14"/>
      <c r="G302" s="13" t="str">
        <f t="array" ref="G302">iferror(XLOOKUP(A302,'Download of SFDC Activation Rep'!B:B,'Download of SFDC Activation Rep'!H:H),"")</f>
        <v/>
      </c>
      <c r="H302" s="13" t="str">
        <f t="array" ref="H302">iferror(xlookup(A302,'Download of SFDC Activation Rep'!B:B,'Download of SFDC Activation Rep'!L:L),"")</f>
        <v/>
      </c>
      <c r="I302" s="17" t="str">
        <f t="shared" si="2"/>
        <v>Not Active</v>
      </c>
      <c r="J302" s="17" t="str">
        <f t="array" ref="J302">XLOOKUP(A302,'Download of SFDC Activation Rep'!B:B,'Download of SFDC Activation Rep'!T:T)</f>
        <v>#N/A</v>
      </c>
      <c r="K302" s="17" t="str">
        <f t="array" ref="K302">iferror(XLOOKUP(A302,'Download of SFDC Activation Rep'!B:B,'Download of SFDC Activation Rep'!C:C),"")</f>
        <v/>
      </c>
    </row>
    <row r="303">
      <c r="B303" s="14"/>
      <c r="C303" s="14"/>
      <c r="D303" s="14"/>
      <c r="E303" s="14"/>
      <c r="F303" s="14"/>
      <c r="G303" s="13" t="str">
        <f t="array" ref="G303">iferror(XLOOKUP(A303,'Download of SFDC Activation Rep'!B:B,'Download of SFDC Activation Rep'!H:H),"")</f>
        <v/>
      </c>
      <c r="H303" s="13" t="str">
        <f t="array" ref="H303">iferror(xlookup(A303,'Download of SFDC Activation Rep'!B:B,'Download of SFDC Activation Rep'!L:L),"")</f>
        <v/>
      </c>
      <c r="I303" s="17" t="str">
        <f t="shared" si="2"/>
        <v>Not Active</v>
      </c>
      <c r="J303" s="17" t="str">
        <f t="array" ref="J303">XLOOKUP(A303,'Download of SFDC Activation Rep'!B:B,'Download of SFDC Activation Rep'!T:T)</f>
        <v>#N/A</v>
      </c>
      <c r="K303" s="17" t="str">
        <f t="array" ref="K303">iferror(XLOOKUP(A303,'Download of SFDC Activation Rep'!B:B,'Download of SFDC Activation Rep'!C:C),"")</f>
        <v/>
      </c>
    </row>
    <row r="304">
      <c r="B304" s="14"/>
      <c r="C304" s="14"/>
      <c r="D304" s="14"/>
      <c r="E304" s="14"/>
      <c r="F304" s="14"/>
      <c r="G304" s="13" t="str">
        <f t="array" ref="G304">iferror(XLOOKUP(A304,'Download of SFDC Activation Rep'!B:B,'Download of SFDC Activation Rep'!H:H),"")</f>
        <v/>
      </c>
      <c r="H304" s="13" t="str">
        <f t="array" ref="H304">iferror(xlookup(A304,'Download of SFDC Activation Rep'!B:B,'Download of SFDC Activation Rep'!L:L),"")</f>
        <v/>
      </c>
      <c r="I304" s="17" t="str">
        <f t="shared" si="2"/>
        <v>Not Active</v>
      </c>
      <c r="J304" s="17" t="str">
        <f t="array" ref="J304">XLOOKUP(A304,'Download of SFDC Activation Rep'!B:B,'Download of SFDC Activation Rep'!T:T)</f>
        <v>#N/A</v>
      </c>
      <c r="K304" s="17" t="str">
        <f t="array" ref="K304">iferror(XLOOKUP(A304,'Download of SFDC Activation Rep'!B:B,'Download of SFDC Activation Rep'!C:C),"")</f>
        <v/>
      </c>
    </row>
    <row r="305">
      <c r="B305" s="14"/>
      <c r="C305" s="14"/>
      <c r="D305" s="14"/>
      <c r="E305" s="14"/>
      <c r="F305" s="14"/>
      <c r="G305" s="13" t="str">
        <f t="array" ref="G305">iferror(XLOOKUP(A305,'Download of SFDC Activation Rep'!B:B,'Download of SFDC Activation Rep'!H:H),"")</f>
        <v/>
      </c>
      <c r="H305" s="13" t="str">
        <f t="array" ref="H305">iferror(xlookup(A305,'Download of SFDC Activation Rep'!B:B,'Download of SFDC Activation Rep'!L:L),"")</f>
        <v/>
      </c>
      <c r="I305" s="17" t="str">
        <f t="shared" si="2"/>
        <v>Not Active</v>
      </c>
      <c r="J305" s="17" t="str">
        <f t="array" ref="J305">XLOOKUP(A305,'Download of SFDC Activation Rep'!B:B,'Download of SFDC Activation Rep'!T:T)</f>
        <v>#N/A</v>
      </c>
      <c r="K305" s="17" t="str">
        <f t="array" ref="K305">iferror(XLOOKUP(A305,'Download of SFDC Activation Rep'!B:B,'Download of SFDC Activation Rep'!C:C),"")</f>
        <v/>
      </c>
    </row>
    <row r="306">
      <c r="B306" s="14"/>
      <c r="C306" s="14"/>
      <c r="D306" s="14"/>
      <c r="E306" s="14"/>
      <c r="F306" s="14"/>
      <c r="G306" s="13" t="str">
        <f t="array" ref="G306">iferror(XLOOKUP(A306,'Download of SFDC Activation Rep'!B:B,'Download of SFDC Activation Rep'!H:H),"")</f>
        <v/>
      </c>
      <c r="H306" s="13" t="str">
        <f t="array" ref="H306">iferror(xlookup(A306,'Download of SFDC Activation Rep'!B:B,'Download of SFDC Activation Rep'!L:L),"")</f>
        <v/>
      </c>
      <c r="I306" s="17" t="str">
        <f t="shared" si="2"/>
        <v>Not Active</v>
      </c>
      <c r="J306" s="17" t="str">
        <f t="array" ref="J306">XLOOKUP(A306,'Download of SFDC Activation Rep'!B:B,'Download of SFDC Activation Rep'!T:T)</f>
        <v>#N/A</v>
      </c>
      <c r="K306" s="17" t="str">
        <f t="array" ref="K306">iferror(XLOOKUP(A306,'Download of SFDC Activation Rep'!B:B,'Download of SFDC Activation Rep'!C:C),"")</f>
        <v/>
      </c>
    </row>
    <row r="307">
      <c r="B307" s="14"/>
      <c r="C307" s="14"/>
      <c r="D307" s="14"/>
      <c r="E307" s="14"/>
      <c r="F307" s="14"/>
      <c r="G307" s="13" t="str">
        <f t="array" ref="G307">iferror(XLOOKUP(A307,'Download of SFDC Activation Rep'!B:B,'Download of SFDC Activation Rep'!H:H),"")</f>
        <v/>
      </c>
      <c r="H307" s="13" t="str">
        <f t="array" ref="H307">iferror(xlookup(A307,'Download of SFDC Activation Rep'!B:B,'Download of SFDC Activation Rep'!L:L),"")</f>
        <v/>
      </c>
      <c r="I307" s="17" t="str">
        <f t="shared" si="2"/>
        <v>Not Active</v>
      </c>
      <c r="J307" s="17" t="str">
        <f t="array" ref="J307">XLOOKUP(A307,'Download of SFDC Activation Rep'!B:B,'Download of SFDC Activation Rep'!T:T)</f>
        <v>#N/A</v>
      </c>
      <c r="K307" s="17" t="str">
        <f t="array" ref="K307">iferror(XLOOKUP(A307,'Download of SFDC Activation Rep'!B:B,'Download of SFDC Activation Rep'!C:C),"")</f>
        <v/>
      </c>
    </row>
    <row r="308">
      <c r="B308" s="14"/>
      <c r="C308" s="14"/>
      <c r="D308" s="14"/>
      <c r="E308" s="14"/>
      <c r="F308" s="14"/>
      <c r="G308" s="13" t="str">
        <f t="array" ref="G308">iferror(XLOOKUP(A308,'Download of SFDC Activation Rep'!B:B,'Download of SFDC Activation Rep'!H:H),"")</f>
        <v/>
      </c>
      <c r="H308" s="13" t="str">
        <f t="array" ref="H308">iferror(xlookup(A308,'Download of SFDC Activation Rep'!B:B,'Download of SFDC Activation Rep'!L:L),"")</f>
        <v/>
      </c>
      <c r="I308" s="17" t="str">
        <f t="shared" si="2"/>
        <v>Not Active</v>
      </c>
      <c r="J308" s="17" t="str">
        <f t="array" ref="J308">XLOOKUP(A308,'Download of SFDC Activation Rep'!B:B,'Download of SFDC Activation Rep'!T:T)</f>
        <v>#N/A</v>
      </c>
      <c r="K308" s="17" t="str">
        <f t="array" ref="K308">iferror(XLOOKUP(A308,'Download of SFDC Activation Rep'!B:B,'Download of SFDC Activation Rep'!C:C),"")</f>
        <v/>
      </c>
    </row>
    <row r="309">
      <c r="B309" s="14"/>
      <c r="C309" s="14"/>
      <c r="D309" s="14"/>
      <c r="E309" s="14"/>
      <c r="F309" s="14"/>
      <c r="G309" s="13" t="str">
        <f t="array" ref="G309">iferror(XLOOKUP(A309,'Download of SFDC Activation Rep'!B:B,'Download of SFDC Activation Rep'!H:H),"")</f>
        <v/>
      </c>
      <c r="H309" s="13" t="str">
        <f t="array" ref="H309">iferror(xlookup(A309,'Download of SFDC Activation Rep'!B:B,'Download of SFDC Activation Rep'!L:L),"")</f>
        <v/>
      </c>
      <c r="I309" s="17" t="str">
        <f t="shared" si="2"/>
        <v>Not Active</v>
      </c>
      <c r="J309" s="17" t="str">
        <f t="array" ref="J309">XLOOKUP(A309,'Download of SFDC Activation Rep'!B:B,'Download of SFDC Activation Rep'!T:T)</f>
        <v>#N/A</v>
      </c>
      <c r="K309" s="17" t="str">
        <f t="array" ref="K309">iferror(XLOOKUP(A309,'Download of SFDC Activation Rep'!B:B,'Download of SFDC Activation Rep'!C:C),"")</f>
        <v/>
      </c>
    </row>
    <row r="310">
      <c r="B310" s="14"/>
      <c r="C310" s="14"/>
      <c r="D310" s="14"/>
      <c r="E310" s="14"/>
      <c r="F310" s="14"/>
      <c r="G310" s="13" t="str">
        <f t="array" ref="G310">iferror(XLOOKUP(A310,'Download of SFDC Activation Rep'!B:B,'Download of SFDC Activation Rep'!H:H),"")</f>
        <v/>
      </c>
      <c r="H310" s="13" t="str">
        <f t="array" ref="H310">iferror(xlookup(A310,'Download of SFDC Activation Rep'!B:B,'Download of SFDC Activation Rep'!L:L),"")</f>
        <v/>
      </c>
      <c r="I310" s="17" t="str">
        <f t="shared" si="2"/>
        <v>Not Active</v>
      </c>
      <c r="J310" s="17" t="str">
        <f t="array" ref="J310">XLOOKUP(A310,'Download of SFDC Activation Rep'!B:B,'Download of SFDC Activation Rep'!T:T)</f>
        <v>#N/A</v>
      </c>
      <c r="K310" s="17" t="str">
        <f t="array" ref="K310">iferror(XLOOKUP(A310,'Download of SFDC Activation Rep'!B:B,'Download of SFDC Activation Rep'!C:C),"")</f>
        <v/>
      </c>
    </row>
    <row r="311">
      <c r="B311" s="14"/>
      <c r="C311" s="14"/>
      <c r="D311" s="14"/>
      <c r="E311" s="14"/>
      <c r="F311" s="14"/>
      <c r="G311" s="13" t="str">
        <f t="array" ref="G311">iferror(XLOOKUP(A311,'Download of SFDC Activation Rep'!B:B,'Download of SFDC Activation Rep'!H:H),"")</f>
        <v/>
      </c>
      <c r="H311" s="13" t="str">
        <f t="array" ref="H311">iferror(xlookup(A311,'Download of SFDC Activation Rep'!B:B,'Download of SFDC Activation Rep'!L:L),"")</f>
        <v/>
      </c>
      <c r="I311" s="17" t="str">
        <f t="shared" si="2"/>
        <v>Not Active</v>
      </c>
      <c r="J311" s="17" t="str">
        <f t="array" ref="J311">XLOOKUP(A311,'Download of SFDC Activation Rep'!B:B,'Download of SFDC Activation Rep'!T:T)</f>
        <v>#N/A</v>
      </c>
      <c r="K311" s="17" t="str">
        <f t="array" ref="K311">iferror(XLOOKUP(A311,'Download of SFDC Activation Rep'!B:B,'Download of SFDC Activation Rep'!C:C),"")</f>
        <v/>
      </c>
    </row>
    <row r="312">
      <c r="B312" s="14"/>
      <c r="C312" s="14"/>
      <c r="D312" s="14"/>
      <c r="E312" s="14"/>
      <c r="F312" s="14"/>
      <c r="G312" s="13" t="str">
        <f t="array" ref="G312">iferror(XLOOKUP(A312,'Download of SFDC Activation Rep'!B:B,'Download of SFDC Activation Rep'!H:H),"")</f>
        <v/>
      </c>
      <c r="H312" s="13" t="str">
        <f t="array" ref="H312">iferror(xlookup(A312,'Download of SFDC Activation Rep'!B:B,'Download of SFDC Activation Rep'!L:L),"")</f>
        <v/>
      </c>
      <c r="I312" s="17" t="str">
        <f t="shared" si="2"/>
        <v>Not Active</v>
      </c>
      <c r="J312" s="17" t="str">
        <f t="array" ref="J312">XLOOKUP(A312,'Download of SFDC Activation Rep'!B:B,'Download of SFDC Activation Rep'!T:T)</f>
        <v>#N/A</v>
      </c>
      <c r="K312" s="17" t="str">
        <f t="array" ref="K312">iferror(XLOOKUP(A312,'Download of SFDC Activation Rep'!B:B,'Download of SFDC Activation Rep'!C:C),"")</f>
        <v/>
      </c>
    </row>
    <row r="313">
      <c r="B313" s="14"/>
      <c r="C313" s="14"/>
      <c r="D313" s="14"/>
      <c r="E313" s="14"/>
      <c r="F313" s="14"/>
      <c r="G313" s="13" t="str">
        <f t="array" ref="G313">iferror(XLOOKUP(A313,'Download of SFDC Activation Rep'!B:B,'Download of SFDC Activation Rep'!H:H),"")</f>
        <v/>
      </c>
      <c r="H313" s="13" t="str">
        <f t="array" ref="H313">iferror(xlookup(A313,'Download of SFDC Activation Rep'!B:B,'Download of SFDC Activation Rep'!L:L),"")</f>
        <v/>
      </c>
      <c r="I313" s="17" t="str">
        <f t="shared" si="2"/>
        <v>Not Active</v>
      </c>
      <c r="J313" s="17" t="str">
        <f t="array" ref="J313">XLOOKUP(A313,'Download of SFDC Activation Rep'!B:B,'Download of SFDC Activation Rep'!T:T)</f>
        <v>#N/A</v>
      </c>
      <c r="K313" s="17" t="str">
        <f t="array" ref="K313">iferror(XLOOKUP(A313,'Download of SFDC Activation Rep'!B:B,'Download of SFDC Activation Rep'!C:C),"")</f>
        <v/>
      </c>
    </row>
    <row r="314">
      <c r="B314" s="14"/>
      <c r="C314" s="14"/>
      <c r="D314" s="14"/>
      <c r="E314" s="14"/>
      <c r="F314" s="14"/>
      <c r="G314" s="13" t="str">
        <f t="array" ref="G314">iferror(XLOOKUP(A314,'Download of SFDC Activation Rep'!B:B,'Download of SFDC Activation Rep'!H:H),"")</f>
        <v/>
      </c>
      <c r="H314" s="13" t="str">
        <f t="array" ref="H314">iferror(xlookup(A314,'Download of SFDC Activation Rep'!B:B,'Download of SFDC Activation Rep'!L:L),"")</f>
        <v/>
      </c>
      <c r="I314" s="17" t="str">
        <f t="shared" si="2"/>
        <v>Not Active</v>
      </c>
      <c r="J314" s="17" t="str">
        <f t="array" ref="J314">XLOOKUP(A314,'Download of SFDC Activation Rep'!B:B,'Download of SFDC Activation Rep'!T:T)</f>
        <v>#N/A</v>
      </c>
      <c r="K314" s="17" t="str">
        <f t="array" ref="K314">iferror(XLOOKUP(A314,'Download of SFDC Activation Rep'!B:B,'Download of SFDC Activation Rep'!C:C),"")</f>
        <v/>
      </c>
    </row>
    <row r="315">
      <c r="B315" s="14"/>
      <c r="C315" s="14"/>
      <c r="D315" s="14"/>
      <c r="E315" s="14"/>
      <c r="F315" s="14"/>
      <c r="G315" s="13" t="str">
        <f t="array" ref="G315">iferror(XLOOKUP(A315,'Download of SFDC Activation Rep'!B:B,'Download of SFDC Activation Rep'!H:H),"")</f>
        <v/>
      </c>
      <c r="H315" s="13" t="str">
        <f t="array" ref="H315">iferror(xlookup(A315,'Download of SFDC Activation Rep'!B:B,'Download of SFDC Activation Rep'!L:L),"")</f>
        <v/>
      </c>
      <c r="I315" s="17" t="str">
        <f t="shared" si="2"/>
        <v>Not Active</v>
      </c>
      <c r="J315" s="17" t="str">
        <f t="array" ref="J315">XLOOKUP(A315,'Download of SFDC Activation Rep'!B:B,'Download of SFDC Activation Rep'!T:T)</f>
        <v>#N/A</v>
      </c>
      <c r="K315" s="17" t="str">
        <f t="array" ref="K315">iferror(XLOOKUP(A315,'Download of SFDC Activation Rep'!B:B,'Download of SFDC Activation Rep'!C:C),"")</f>
        <v/>
      </c>
    </row>
    <row r="316">
      <c r="B316" s="14"/>
      <c r="C316" s="14"/>
      <c r="D316" s="14"/>
      <c r="E316" s="14"/>
      <c r="F316" s="14"/>
      <c r="G316" s="13" t="str">
        <f t="array" ref="G316">iferror(XLOOKUP(A316,'Download of SFDC Activation Rep'!B:B,'Download of SFDC Activation Rep'!H:H),"")</f>
        <v/>
      </c>
      <c r="H316" s="13" t="str">
        <f t="array" ref="H316">iferror(xlookup(A316,'Download of SFDC Activation Rep'!B:B,'Download of SFDC Activation Rep'!L:L),"")</f>
        <v/>
      </c>
      <c r="I316" s="17" t="str">
        <f t="shared" si="2"/>
        <v>Not Active</v>
      </c>
      <c r="J316" s="17" t="str">
        <f t="array" ref="J316">XLOOKUP(A316,'Download of SFDC Activation Rep'!B:B,'Download of SFDC Activation Rep'!T:T)</f>
        <v>#N/A</v>
      </c>
      <c r="K316" s="17" t="str">
        <f t="array" ref="K316">iferror(XLOOKUP(A316,'Download of SFDC Activation Rep'!B:B,'Download of SFDC Activation Rep'!C:C),"")</f>
        <v/>
      </c>
    </row>
    <row r="317">
      <c r="B317" s="14"/>
      <c r="C317" s="14"/>
      <c r="D317" s="14"/>
      <c r="E317" s="14"/>
      <c r="F317" s="14"/>
      <c r="G317" s="13" t="str">
        <f t="array" ref="G317">iferror(XLOOKUP(A317,'Download of SFDC Activation Rep'!B:B,'Download of SFDC Activation Rep'!H:H),"")</f>
        <v/>
      </c>
      <c r="H317" s="13" t="str">
        <f t="array" ref="H317">iferror(xlookup(A317,'Download of SFDC Activation Rep'!B:B,'Download of SFDC Activation Rep'!L:L),"")</f>
        <v/>
      </c>
      <c r="I317" s="17" t="str">
        <f t="shared" si="2"/>
        <v>Not Active</v>
      </c>
      <c r="J317" s="17" t="str">
        <f t="array" ref="J317">XLOOKUP(A317,'Download of SFDC Activation Rep'!B:B,'Download of SFDC Activation Rep'!T:T)</f>
        <v>#N/A</v>
      </c>
      <c r="K317" s="17" t="str">
        <f t="array" ref="K317">iferror(XLOOKUP(A317,'Download of SFDC Activation Rep'!B:B,'Download of SFDC Activation Rep'!C:C),"")</f>
        <v/>
      </c>
    </row>
    <row r="318">
      <c r="B318" s="14"/>
      <c r="C318" s="14"/>
      <c r="D318" s="14"/>
      <c r="E318" s="14"/>
      <c r="F318" s="14"/>
      <c r="G318" s="13" t="str">
        <f t="array" ref="G318">iferror(XLOOKUP(A318,'Download of SFDC Activation Rep'!B:B,'Download of SFDC Activation Rep'!H:H),"")</f>
        <v/>
      </c>
      <c r="H318" s="13" t="str">
        <f t="array" ref="H318">iferror(xlookup(A318,'Download of SFDC Activation Rep'!B:B,'Download of SFDC Activation Rep'!L:L),"")</f>
        <v/>
      </c>
      <c r="I318" s="17" t="str">
        <f t="shared" si="2"/>
        <v>Not Active</v>
      </c>
      <c r="J318" s="17" t="str">
        <f t="array" ref="J318">XLOOKUP(A318,'Download of SFDC Activation Rep'!B:B,'Download of SFDC Activation Rep'!T:T)</f>
        <v>#N/A</v>
      </c>
      <c r="K318" s="17" t="str">
        <f t="array" ref="K318">iferror(XLOOKUP(A318,'Download of SFDC Activation Rep'!B:B,'Download of SFDC Activation Rep'!C:C),"")</f>
        <v/>
      </c>
    </row>
    <row r="319">
      <c r="B319" s="14"/>
      <c r="C319" s="14"/>
      <c r="D319" s="14"/>
      <c r="E319" s="14"/>
      <c r="F319" s="14"/>
      <c r="G319" s="13" t="str">
        <f t="array" ref="G319">iferror(XLOOKUP(A319,'Download of SFDC Activation Rep'!B:B,'Download of SFDC Activation Rep'!H:H),"")</f>
        <v/>
      </c>
      <c r="H319" s="13" t="str">
        <f t="array" ref="H319">iferror(xlookup(A319,'Download of SFDC Activation Rep'!B:B,'Download of SFDC Activation Rep'!L:L),"")</f>
        <v/>
      </c>
      <c r="I319" s="17" t="str">
        <f t="shared" si="2"/>
        <v>Not Active</v>
      </c>
      <c r="J319" s="17" t="str">
        <f t="array" ref="J319">XLOOKUP(A319,'Download of SFDC Activation Rep'!B:B,'Download of SFDC Activation Rep'!T:T)</f>
        <v>#N/A</v>
      </c>
      <c r="K319" s="17" t="str">
        <f t="array" ref="K319">iferror(XLOOKUP(A319,'Download of SFDC Activation Rep'!B:B,'Download of SFDC Activation Rep'!C:C),"")</f>
        <v/>
      </c>
    </row>
    <row r="320">
      <c r="B320" s="14"/>
      <c r="C320" s="14"/>
      <c r="D320" s="14"/>
      <c r="E320" s="14"/>
      <c r="F320" s="14"/>
      <c r="G320" s="13" t="str">
        <f t="array" ref="G320">iferror(XLOOKUP(A320,'Download of SFDC Activation Rep'!B:B,'Download of SFDC Activation Rep'!H:H),"")</f>
        <v/>
      </c>
      <c r="H320" s="13" t="str">
        <f t="array" ref="H320">iferror(xlookup(A320,'Download of SFDC Activation Rep'!B:B,'Download of SFDC Activation Rep'!L:L),"")</f>
        <v/>
      </c>
      <c r="I320" s="17" t="str">
        <f t="shared" si="2"/>
        <v>Not Active</v>
      </c>
      <c r="J320" s="17" t="str">
        <f t="array" ref="J320">XLOOKUP(A320,'Download of SFDC Activation Rep'!B:B,'Download of SFDC Activation Rep'!T:T)</f>
        <v>#N/A</v>
      </c>
      <c r="K320" s="17" t="str">
        <f t="array" ref="K320">iferror(XLOOKUP(A320,'Download of SFDC Activation Rep'!B:B,'Download of SFDC Activation Rep'!C:C),"")</f>
        <v/>
      </c>
    </row>
    <row r="321">
      <c r="B321" s="14"/>
      <c r="C321" s="14"/>
      <c r="D321" s="14"/>
      <c r="E321" s="14"/>
      <c r="F321" s="14"/>
      <c r="G321" s="13" t="str">
        <f t="array" ref="G321">iferror(XLOOKUP(A321,'Download of SFDC Activation Rep'!B:B,'Download of SFDC Activation Rep'!H:H),"")</f>
        <v/>
      </c>
      <c r="H321" s="13" t="str">
        <f t="array" ref="H321">iferror(xlookup(A321,'Download of SFDC Activation Rep'!B:B,'Download of SFDC Activation Rep'!L:L),"")</f>
        <v/>
      </c>
      <c r="I321" s="17" t="str">
        <f t="shared" si="2"/>
        <v>Not Active</v>
      </c>
      <c r="J321" s="17" t="str">
        <f t="array" ref="J321">XLOOKUP(A321,'Download of SFDC Activation Rep'!B:B,'Download of SFDC Activation Rep'!T:T)</f>
        <v>#N/A</v>
      </c>
      <c r="K321" s="17" t="str">
        <f t="array" ref="K321">iferror(XLOOKUP(A321,'Download of SFDC Activation Rep'!B:B,'Download of SFDC Activation Rep'!C:C),"")</f>
        <v/>
      </c>
    </row>
    <row r="322">
      <c r="B322" s="14"/>
      <c r="C322" s="14"/>
      <c r="D322" s="14"/>
      <c r="E322" s="14"/>
      <c r="F322" s="14"/>
      <c r="G322" s="13" t="str">
        <f t="array" ref="G322">iferror(XLOOKUP(A322,'Download of SFDC Activation Rep'!B:B,'Download of SFDC Activation Rep'!H:H),"")</f>
        <v/>
      </c>
      <c r="H322" s="13" t="str">
        <f t="array" ref="H322">iferror(xlookup(A322,'Download of SFDC Activation Rep'!B:B,'Download of SFDC Activation Rep'!L:L),"")</f>
        <v/>
      </c>
      <c r="I322" s="17" t="str">
        <f t="shared" si="2"/>
        <v>Not Active</v>
      </c>
      <c r="J322" s="17" t="str">
        <f t="array" ref="J322">XLOOKUP(A322,'Download of SFDC Activation Rep'!B:B,'Download of SFDC Activation Rep'!T:T)</f>
        <v>#N/A</v>
      </c>
      <c r="K322" s="17" t="str">
        <f t="array" ref="K322">iferror(XLOOKUP(A322,'Download of SFDC Activation Rep'!B:B,'Download of SFDC Activation Rep'!C:C),"")</f>
        <v/>
      </c>
    </row>
    <row r="323">
      <c r="B323" s="14"/>
      <c r="C323" s="14"/>
      <c r="D323" s="14"/>
      <c r="E323" s="14"/>
      <c r="F323" s="14"/>
      <c r="G323" s="13" t="str">
        <f t="array" ref="G323">iferror(XLOOKUP(A323,'Download of SFDC Activation Rep'!B:B,'Download of SFDC Activation Rep'!H:H),"")</f>
        <v/>
      </c>
      <c r="H323" s="13" t="str">
        <f t="array" ref="H323">iferror(xlookup(A323,'Download of SFDC Activation Rep'!B:B,'Download of SFDC Activation Rep'!L:L),"")</f>
        <v/>
      </c>
      <c r="I323" s="17" t="str">
        <f t="shared" si="2"/>
        <v>Not Active</v>
      </c>
      <c r="J323" s="17" t="str">
        <f t="array" ref="J323">XLOOKUP(A323,'Download of SFDC Activation Rep'!B:B,'Download of SFDC Activation Rep'!T:T)</f>
        <v>#N/A</v>
      </c>
      <c r="K323" s="17" t="str">
        <f t="array" ref="K323">iferror(XLOOKUP(A323,'Download of SFDC Activation Rep'!B:B,'Download of SFDC Activation Rep'!C:C),"")</f>
        <v/>
      </c>
    </row>
    <row r="324">
      <c r="B324" s="14"/>
      <c r="C324" s="14"/>
      <c r="D324" s="14"/>
      <c r="E324" s="14"/>
      <c r="F324" s="14"/>
      <c r="G324" s="13" t="str">
        <f t="array" ref="G324">iferror(XLOOKUP(A324,'Download of SFDC Activation Rep'!B:B,'Download of SFDC Activation Rep'!H:H),"")</f>
        <v/>
      </c>
      <c r="H324" s="13" t="str">
        <f t="array" ref="H324">iferror(xlookup(A324,'Download of SFDC Activation Rep'!B:B,'Download of SFDC Activation Rep'!L:L),"")</f>
        <v/>
      </c>
      <c r="I324" s="17" t="str">
        <f t="shared" si="2"/>
        <v>Not Active</v>
      </c>
      <c r="J324" s="17" t="str">
        <f t="array" ref="J324">XLOOKUP(A324,'Download of SFDC Activation Rep'!B:B,'Download of SFDC Activation Rep'!T:T)</f>
        <v>#N/A</v>
      </c>
      <c r="K324" s="17" t="str">
        <f t="array" ref="K324">iferror(XLOOKUP(A324,'Download of SFDC Activation Rep'!B:B,'Download of SFDC Activation Rep'!C:C),"")</f>
        <v/>
      </c>
    </row>
    <row r="325">
      <c r="B325" s="14"/>
      <c r="C325" s="14"/>
      <c r="D325" s="14"/>
      <c r="E325" s="14"/>
      <c r="F325" s="14"/>
      <c r="G325" s="13" t="str">
        <f t="array" ref="G325">iferror(XLOOKUP(A325,'Download of SFDC Activation Rep'!B:B,'Download of SFDC Activation Rep'!H:H),"")</f>
        <v/>
      </c>
      <c r="H325" s="13" t="str">
        <f t="array" ref="H325">iferror(xlookup(A325,'Download of SFDC Activation Rep'!B:B,'Download of SFDC Activation Rep'!L:L),"")</f>
        <v/>
      </c>
      <c r="I325" s="17" t="str">
        <f t="shared" si="2"/>
        <v>Not Active</v>
      </c>
      <c r="J325" s="17" t="str">
        <f t="array" ref="J325">XLOOKUP(A325,'Download of SFDC Activation Rep'!B:B,'Download of SFDC Activation Rep'!T:T)</f>
        <v>#N/A</v>
      </c>
      <c r="K325" s="17" t="str">
        <f t="array" ref="K325">iferror(XLOOKUP(A325,'Download of SFDC Activation Rep'!B:B,'Download of SFDC Activation Rep'!C:C),"")</f>
        <v/>
      </c>
    </row>
    <row r="326">
      <c r="B326" s="14"/>
      <c r="C326" s="14"/>
      <c r="D326" s="14"/>
      <c r="E326" s="14"/>
      <c r="F326" s="14"/>
      <c r="G326" s="13" t="str">
        <f t="array" ref="G326">iferror(XLOOKUP(A326,'Download of SFDC Activation Rep'!B:B,'Download of SFDC Activation Rep'!H:H),"")</f>
        <v/>
      </c>
      <c r="H326" s="13" t="str">
        <f t="array" ref="H326">iferror(xlookup(A326,'Download of SFDC Activation Rep'!B:B,'Download of SFDC Activation Rep'!L:L),"")</f>
        <v/>
      </c>
      <c r="I326" s="17" t="str">
        <f t="shared" si="2"/>
        <v>Not Active</v>
      </c>
      <c r="J326" s="17" t="str">
        <f t="array" ref="J326">XLOOKUP(A326,'Download of SFDC Activation Rep'!B:B,'Download of SFDC Activation Rep'!T:T)</f>
        <v>#N/A</v>
      </c>
      <c r="K326" s="17" t="str">
        <f t="array" ref="K326">iferror(XLOOKUP(A326,'Download of SFDC Activation Rep'!B:B,'Download of SFDC Activation Rep'!C:C),"")</f>
        <v/>
      </c>
    </row>
    <row r="327">
      <c r="B327" s="14"/>
      <c r="C327" s="14"/>
      <c r="D327" s="14"/>
      <c r="E327" s="14"/>
      <c r="F327" s="14"/>
      <c r="G327" s="13" t="str">
        <f t="array" ref="G327">iferror(XLOOKUP(A327,'Download of SFDC Activation Rep'!B:B,'Download of SFDC Activation Rep'!H:H),"")</f>
        <v/>
      </c>
      <c r="H327" s="13" t="str">
        <f t="array" ref="H327">iferror(xlookup(A327,'Download of SFDC Activation Rep'!B:B,'Download of SFDC Activation Rep'!L:L),"")</f>
        <v/>
      </c>
      <c r="I327" s="17" t="str">
        <f t="shared" si="2"/>
        <v>Not Active</v>
      </c>
      <c r="J327" s="17" t="str">
        <f t="array" ref="J327">XLOOKUP(A327,'Download of SFDC Activation Rep'!B:B,'Download of SFDC Activation Rep'!T:T)</f>
        <v>#N/A</v>
      </c>
      <c r="K327" s="17" t="str">
        <f t="array" ref="K327">iferror(XLOOKUP(A327,'Download of SFDC Activation Rep'!B:B,'Download of SFDC Activation Rep'!C:C),"")</f>
        <v/>
      </c>
    </row>
    <row r="328">
      <c r="B328" s="14"/>
      <c r="C328" s="14"/>
      <c r="D328" s="14"/>
      <c r="E328" s="14"/>
      <c r="F328" s="14"/>
      <c r="G328" s="13" t="str">
        <f t="array" ref="G328">iferror(XLOOKUP(A328,'Download of SFDC Activation Rep'!B:B,'Download of SFDC Activation Rep'!H:H),"")</f>
        <v/>
      </c>
      <c r="H328" s="13" t="str">
        <f t="array" ref="H328">iferror(xlookup(A328,'Download of SFDC Activation Rep'!B:B,'Download of SFDC Activation Rep'!L:L),"")</f>
        <v/>
      </c>
      <c r="I328" s="17" t="str">
        <f t="shared" si="2"/>
        <v>Not Active</v>
      </c>
      <c r="J328" s="17" t="str">
        <f t="array" ref="J328">XLOOKUP(A328,'Download of SFDC Activation Rep'!B:B,'Download of SFDC Activation Rep'!T:T)</f>
        <v>#N/A</v>
      </c>
      <c r="K328" s="17" t="str">
        <f t="array" ref="K328">iferror(XLOOKUP(A328,'Download of SFDC Activation Rep'!B:B,'Download of SFDC Activation Rep'!C:C),"")</f>
        <v/>
      </c>
    </row>
    <row r="329">
      <c r="B329" s="14"/>
      <c r="C329" s="14"/>
      <c r="D329" s="14"/>
      <c r="E329" s="14"/>
      <c r="F329" s="14"/>
      <c r="G329" s="13" t="str">
        <f t="array" ref="G329">iferror(XLOOKUP(A329,'Download of SFDC Activation Rep'!B:B,'Download of SFDC Activation Rep'!H:H),"")</f>
        <v/>
      </c>
      <c r="H329" s="13" t="str">
        <f t="array" ref="H329">iferror(xlookup(A329,'Download of SFDC Activation Rep'!B:B,'Download of SFDC Activation Rep'!L:L),"")</f>
        <v/>
      </c>
      <c r="I329" s="17" t="str">
        <f t="shared" si="2"/>
        <v>Not Active</v>
      </c>
      <c r="J329" s="17" t="str">
        <f t="array" ref="J329">XLOOKUP(A329,'Download of SFDC Activation Rep'!B:B,'Download of SFDC Activation Rep'!T:T)</f>
        <v>#N/A</v>
      </c>
      <c r="K329" s="17" t="str">
        <f t="array" ref="K329">iferror(XLOOKUP(A329,'Download of SFDC Activation Rep'!B:B,'Download of SFDC Activation Rep'!C:C),"")</f>
        <v/>
      </c>
    </row>
    <row r="330">
      <c r="B330" s="14"/>
      <c r="C330" s="14"/>
      <c r="D330" s="14"/>
      <c r="E330" s="14"/>
      <c r="F330" s="14"/>
      <c r="G330" s="13" t="str">
        <f t="array" ref="G330">iferror(XLOOKUP(A330,'Download of SFDC Activation Rep'!B:B,'Download of SFDC Activation Rep'!H:H),"")</f>
        <v/>
      </c>
      <c r="H330" s="13" t="str">
        <f t="array" ref="H330">iferror(xlookup(A330,'Download of SFDC Activation Rep'!B:B,'Download of SFDC Activation Rep'!L:L),"")</f>
        <v/>
      </c>
      <c r="I330" s="17" t="str">
        <f t="shared" si="2"/>
        <v>Not Active</v>
      </c>
      <c r="J330" s="17" t="str">
        <f t="array" ref="J330">XLOOKUP(A330,'Download of SFDC Activation Rep'!B:B,'Download of SFDC Activation Rep'!T:T)</f>
        <v>#N/A</v>
      </c>
      <c r="K330" s="17" t="str">
        <f t="array" ref="K330">iferror(XLOOKUP(A330,'Download of SFDC Activation Rep'!B:B,'Download of SFDC Activation Rep'!C:C),"")</f>
        <v/>
      </c>
    </row>
    <row r="331">
      <c r="B331" s="14"/>
      <c r="C331" s="14"/>
      <c r="D331" s="14"/>
      <c r="E331" s="14"/>
      <c r="F331" s="14"/>
      <c r="G331" s="13" t="str">
        <f t="array" ref="G331">iferror(XLOOKUP(A331,'Download of SFDC Activation Rep'!B:B,'Download of SFDC Activation Rep'!H:H),"")</f>
        <v/>
      </c>
      <c r="H331" s="13" t="str">
        <f t="array" ref="H331">iferror(xlookup(A331,'Download of SFDC Activation Rep'!B:B,'Download of SFDC Activation Rep'!L:L),"")</f>
        <v/>
      </c>
      <c r="I331" s="17" t="str">
        <f t="shared" si="2"/>
        <v>Not Active</v>
      </c>
      <c r="J331" s="17" t="str">
        <f t="array" ref="J331">XLOOKUP(A331,'Download of SFDC Activation Rep'!B:B,'Download of SFDC Activation Rep'!T:T)</f>
        <v>#N/A</v>
      </c>
      <c r="K331" s="17" t="str">
        <f t="array" ref="K331">iferror(XLOOKUP(A331,'Download of SFDC Activation Rep'!B:B,'Download of SFDC Activation Rep'!C:C),"")</f>
        <v/>
      </c>
    </row>
    <row r="332">
      <c r="B332" s="14"/>
      <c r="C332" s="14"/>
      <c r="D332" s="14"/>
      <c r="E332" s="14"/>
      <c r="F332" s="14"/>
      <c r="G332" s="13" t="str">
        <f t="array" ref="G332">iferror(XLOOKUP(A332,'Download of SFDC Activation Rep'!B:B,'Download of SFDC Activation Rep'!H:H),"")</f>
        <v/>
      </c>
      <c r="H332" s="13" t="str">
        <f t="array" ref="H332">iferror(xlookup(A332,'Download of SFDC Activation Rep'!B:B,'Download of SFDC Activation Rep'!L:L),"")</f>
        <v/>
      </c>
      <c r="I332" s="17" t="str">
        <f t="shared" si="2"/>
        <v>Not Active</v>
      </c>
      <c r="J332" s="17" t="str">
        <f t="array" ref="J332">XLOOKUP(A332,'Download of SFDC Activation Rep'!B:B,'Download of SFDC Activation Rep'!T:T)</f>
        <v>#N/A</v>
      </c>
      <c r="K332" s="17" t="str">
        <f t="array" ref="K332">iferror(XLOOKUP(A332,'Download of SFDC Activation Rep'!B:B,'Download of SFDC Activation Rep'!C:C),"")</f>
        <v/>
      </c>
    </row>
    <row r="333">
      <c r="B333" s="14"/>
      <c r="C333" s="14"/>
      <c r="D333" s="14"/>
      <c r="E333" s="14"/>
      <c r="F333" s="14"/>
      <c r="G333" s="13" t="str">
        <f t="array" ref="G333">iferror(XLOOKUP(A333,'Download of SFDC Activation Rep'!B:B,'Download of SFDC Activation Rep'!H:H),"")</f>
        <v/>
      </c>
      <c r="H333" s="13" t="str">
        <f t="array" ref="H333">iferror(xlookup(A333,'Download of SFDC Activation Rep'!B:B,'Download of SFDC Activation Rep'!L:L),"")</f>
        <v/>
      </c>
      <c r="I333" s="17" t="str">
        <f t="shared" si="2"/>
        <v>Not Active</v>
      </c>
      <c r="J333" s="17" t="str">
        <f t="array" ref="J333">XLOOKUP(A333,'Download of SFDC Activation Rep'!B:B,'Download of SFDC Activation Rep'!T:T)</f>
        <v>#N/A</v>
      </c>
      <c r="K333" s="17" t="str">
        <f t="array" ref="K333">iferror(XLOOKUP(A333,'Download of SFDC Activation Rep'!B:B,'Download of SFDC Activation Rep'!C:C),"")</f>
        <v/>
      </c>
    </row>
    <row r="334">
      <c r="B334" s="14"/>
      <c r="C334" s="14"/>
      <c r="D334" s="14"/>
      <c r="E334" s="14"/>
      <c r="F334" s="14"/>
      <c r="G334" s="13" t="str">
        <f t="array" ref="G334">iferror(XLOOKUP(A334,'Download of SFDC Activation Rep'!B:B,'Download of SFDC Activation Rep'!H:H),"")</f>
        <v/>
      </c>
      <c r="H334" s="13" t="str">
        <f t="array" ref="H334">iferror(xlookup(A334,'Download of SFDC Activation Rep'!B:B,'Download of SFDC Activation Rep'!L:L),"")</f>
        <v/>
      </c>
      <c r="I334" s="17" t="str">
        <f t="shared" si="2"/>
        <v>Not Active</v>
      </c>
      <c r="J334" s="17" t="str">
        <f t="array" ref="J334">XLOOKUP(A334,'Download of SFDC Activation Rep'!B:B,'Download of SFDC Activation Rep'!T:T)</f>
        <v>#N/A</v>
      </c>
      <c r="K334" s="17" t="str">
        <f t="array" ref="K334">iferror(XLOOKUP(A334,'Download of SFDC Activation Rep'!B:B,'Download of SFDC Activation Rep'!C:C),"")</f>
        <v/>
      </c>
    </row>
    <row r="335">
      <c r="B335" s="14"/>
      <c r="C335" s="14"/>
      <c r="D335" s="14"/>
      <c r="E335" s="14"/>
      <c r="F335" s="14"/>
      <c r="G335" s="13" t="str">
        <f t="array" ref="G335">iferror(XLOOKUP(A335,'Download of SFDC Activation Rep'!B:B,'Download of SFDC Activation Rep'!H:H),"")</f>
        <v/>
      </c>
      <c r="H335" s="13" t="str">
        <f t="array" ref="H335">iferror(xlookup(A335,'Download of SFDC Activation Rep'!B:B,'Download of SFDC Activation Rep'!L:L),"")</f>
        <v/>
      </c>
      <c r="I335" s="17" t="str">
        <f t="shared" si="2"/>
        <v>Not Active</v>
      </c>
      <c r="J335" s="17" t="str">
        <f t="array" ref="J335">XLOOKUP(A335,'Download of SFDC Activation Rep'!B:B,'Download of SFDC Activation Rep'!T:T)</f>
        <v>#N/A</v>
      </c>
      <c r="K335" s="17" t="str">
        <f t="array" ref="K335">iferror(XLOOKUP(A335,'Download of SFDC Activation Rep'!B:B,'Download of SFDC Activation Rep'!C:C),"")</f>
        <v/>
      </c>
    </row>
    <row r="336">
      <c r="B336" s="14"/>
      <c r="C336" s="14"/>
      <c r="D336" s="14"/>
      <c r="E336" s="14"/>
      <c r="F336" s="14"/>
      <c r="G336" s="13" t="str">
        <f t="array" ref="G336">iferror(XLOOKUP(A336,'Download of SFDC Activation Rep'!B:B,'Download of SFDC Activation Rep'!H:H),"")</f>
        <v/>
      </c>
      <c r="H336" s="13" t="str">
        <f t="array" ref="H336">iferror(xlookup(A336,'Download of SFDC Activation Rep'!B:B,'Download of SFDC Activation Rep'!L:L),"")</f>
        <v/>
      </c>
      <c r="I336" s="17" t="str">
        <f t="shared" si="2"/>
        <v>Not Active</v>
      </c>
      <c r="J336" s="17" t="str">
        <f t="array" ref="J336">XLOOKUP(A336,'Download of SFDC Activation Rep'!B:B,'Download of SFDC Activation Rep'!T:T)</f>
        <v>#N/A</v>
      </c>
      <c r="K336" s="17" t="str">
        <f t="array" ref="K336">iferror(XLOOKUP(A336,'Download of SFDC Activation Rep'!B:B,'Download of SFDC Activation Rep'!C:C),"")</f>
        <v/>
      </c>
    </row>
    <row r="337">
      <c r="B337" s="14"/>
      <c r="C337" s="14"/>
      <c r="D337" s="14"/>
      <c r="E337" s="14"/>
      <c r="F337" s="14"/>
      <c r="G337" s="13" t="str">
        <f t="array" ref="G337">iferror(XLOOKUP(A337,'Download of SFDC Activation Rep'!B:B,'Download of SFDC Activation Rep'!H:H),"")</f>
        <v/>
      </c>
      <c r="H337" s="13" t="str">
        <f t="array" ref="H337">iferror(xlookup(A337,'Download of SFDC Activation Rep'!B:B,'Download of SFDC Activation Rep'!L:L),"")</f>
        <v/>
      </c>
      <c r="I337" s="17" t="str">
        <f t="shared" si="2"/>
        <v>Not Active</v>
      </c>
      <c r="J337" s="17" t="str">
        <f t="array" ref="J337">XLOOKUP(A337,'Download of SFDC Activation Rep'!B:B,'Download of SFDC Activation Rep'!T:T)</f>
        <v>#N/A</v>
      </c>
      <c r="K337" s="17" t="str">
        <f t="array" ref="K337">iferror(XLOOKUP(A337,'Download of SFDC Activation Rep'!B:B,'Download of SFDC Activation Rep'!C:C),"")</f>
        <v/>
      </c>
    </row>
    <row r="338">
      <c r="B338" s="14"/>
      <c r="C338" s="14"/>
      <c r="D338" s="14"/>
      <c r="E338" s="14"/>
      <c r="F338" s="14"/>
      <c r="G338" s="13" t="str">
        <f t="array" ref="G338">iferror(XLOOKUP(A338,'Download of SFDC Activation Rep'!B:B,'Download of SFDC Activation Rep'!H:H),"")</f>
        <v/>
      </c>
      <c r="H338" s="13" t="str">
        <f t="array" ref="H338">iferror(xlookup(A338,'Download of SFDC Activation Rep'!B:B,'Download of SFDC Activation Rep'!L:L),"")</f>
        <v/>
      </c>
      <c r="I338" s="17" t="str">
        <f t="shared" si="2"/>
        <v>Not Active</v>
      </c>
      <c r="J338" s="17" t="str">
        <f t="array" ref="J338">XLOOKUP(A338,'Download of SFDC Activation Rep'!B:B,'Download of SFDC Activation Rep'!T:T)</f>
        <v>#N/A</v>
      </c>
      <c r="K338" s="17" t="str">
        <f t="array" ref="K338">iferror(XLOOKUP(A338,'Download of SFDC Activation Rep'!B:B,'Download of SFDC Activation Rep'!C:C),"")</f>
        <v/>
      </c>
    </row>
    <row r="339">
      <c r="B339" s="14"/>
      <c r="C339" s="14"/>
      <c r="D339" s="14"/>
      <c r="E339" s="14"/>
      <c r="F339" s="14"/>
      <c r="G339" s="13" t="str">
        <f t="array" ref="G339">iferror(XLOOKUP(A339,'Download of SFDC Activation Rep'!B:B,'Download of SFDC Activation Rep'!H:H),"")</f>
        <v/>
      </c>
      <c r="H339" s="13" t="str">
        <f t="array" ref="H339">iferror(xlookup(A339,'Download of SFDC Activation Rep'!B:B,'Download of SFDC Activation Rep'!L:L),"")</f>
        <v/>
      </c>
      <c r="I339" s="17" t="str">
        <f t="shared" si="2"/>
        <v>Not Active</v>
      </c>
      <c r="J339" s="17" t="str">
        <f t="array" ref="J339">XLOOKUP(A339,'Download of SFDC Activation Rep'!B:B,'Download of SFDC Activation Rep'!T:T)</f>
        <v>#N/A</v>
      </c>
      <c r="K339" s="17" t="str">
        <f t="array" ref="K339">iferror(XLOOKUP(A339,'Download of SFDC Activation Rep'!B:B,'Download of SFDC Activation Rep'!C:C),"")</f>
        <v/>
      </c>
    </row>
    <row r="340">
      <c r="B340" s="14"/>
      <c r="C340" s="14"/>
      <c r="D340" s="14"/>
      <c r="E340" s="14"/>
      <c r="F340" s="14"/>
      <c r="G340" s="13" t="str">
        <f t="array" ref="G340">iferror(XLOOKUP(A340,'Download of SFDC Activation Rep'!B:B,'Download of SFDC Activation Rep'!H:H),"")</f>
        <v/>
      </c>
      <c r="H340" s="13" t="str">
        <f t="array" ref="H340">iferror(xlookup(A340,'Download of SFDC Activation Rep'!B:B,'Download of SFDC Activation Rep'!L:L),"")</f>
        <v/>
      </c>
      <c r="I340" s="17" t="str">
        <f t="shared" si="2"/>
        <v>Not Active</v>
      </c>
      <c r="J340" s="17" t="str">
        <f t="array" ref="J340">XLOOKUP(A340,'Download of SFDC Activation Rep'!B:B,'Download of SFDC Activation Rep'!T:T)</f>
        <v>#N/A</v>
      </c>
      <c r="K340" s="17" t="str">
        <f t="array" ref="K340">iferror(XLOOKUP(A340,'Download of SFDC Activation Rep'!B:B,'Download of SFDC Activation Rep'!C:C),"")</f>
        <v/>
      </c>
    </row>
    <row r="341">
      <c r="B341" s="14"/>
      <c r="C341" s="14"/>
      <c r="D341" s="14"/>
      <c r="E341" s="14"/>
      <c r="F341" s="14"/>
      <c r="G341" s="13" t="str">
        <f t="array" ref="G341">iferror(XLOOKUP(A341,'Download of SFDC Activation Rep'!B:B,'Download of SFDC Activation Rep'!H:H),"")</f>
        <v/>
      </c>
      <c r="H341" s="13" t="str">
        <f t="array" ref="H341">iferror(xlookup(A341,'Download of SFDC Activation Rep'!B:B,'Download of SFDC Activation Rep'!L:L),"")</f>
        <v/>
      </c>
      <c r="I341" s="17" t="str">
        <f t="shared" si="2"/>
        <v>Not Active</v>
      </c>
      <c r="J341" s="17" t="str">
        <f t="array" ref="J341">XLOOKUP(A341,'Download of SFDC Activation Rep'!B:B,'Download of SFDC Activation Rep'!T:T)</f>
        <v>#N/A</v>
      </c>
      <c r="K341" s="17" t="str">
        <f t="array" ref="K341">iferror(XLOOKUP(A341,'Download of SFDC Activation Rep'!B:B,'Download of SFDC Activation Rep'!C:C),"")</f>
        <v/>
      </c>
    </row>
    <row r="342">
      <c r="B342" s="14"/>
      <c r="C342" s="14"/>
      <c r="D342" s="14"/>
      <c r="E342" s="14"/>
      <c r="F342" s="14"/>
      <c r="G342" s="13" t="str">
        <f t="array" ref="G342">iferror(XLOOKUP(A342,'Download of SFDC Activation Rep'!B:B,'Download of SFDC Activation Rep'!H:H),"")</f>
        <v/>
      </c>
      <c r="H342" s="13" t="str">
        <f t="array" ref="H342">iferror(xlookup(A342,'Download of SFDC Activation Rep'!B:B,'Download of SFDC Activation Rep'!L:L),"")</f>
        <v/>
      </c>
      <c r="I342" s="17" t="str">
        <f t="shared" si="2"/>
        <v>Not Active</v>
      </c>
      <c r="J342" s="17" t="str">
        <f t="array" ref="J342">XLOOKUP(A342,'Download of SFDC Activation Rep'!B:B,'Download of SFDC Activation Rep'!T:T)</f>
        <v>#N/A</v>
      </c>
      <c r="K342" s="17" t="str">
        <f t="array" ref="K342">iferror(XLOOKUP(A342,'Download of SFDC Activation Rep'!B:B,'Download of SFDC Activation Rep'!C:C),"")</f>
        <v/>
      </c>
    </row>
    <row r="343">
      <c r="B343" s="14"/>
      <c r="C343" s="14"/>
      <c r="D343" s="14"/>
      <c r="E343" s="14"/>
      <c r="F343" s="14"/>
      <c r="G343" s="13" t="str">
        <f t="array" ref="G343">iferror(XLOOKUP(A343,'Download of SFDC Activation Rep'!B:B,'Download of SFDC Activation Rep'!H:H),"")</f>
        <v/>
      </c>
      <c r="H343" s="13" t="str">
        <f t="array" ref="H343">iferror(xlookup(A343,'Download of SFDC Activation Rep'!B:B,'Download of SFDC Activation Rep'!L:L),"")</f>
        <v/>
      </c>
      <c r="I343" s="17" t="str">
        <f t="shared" si="2"/>
        <v>Not Active</v>
      </c>
      <c r="J343" s="17" t="str">
        <f t="array" ref="J343">XLOOKUP(A343,'Download of SFDC Activation Rep'!B:B,'Download of SFDC Activation Rep'!T:T)</f>
        <v>#N/A</v>
      </c>
      <c r="K343" s="17" t="str">
        <f t="array" ref="K343">iferror(XLOOKUP(A343,'Download of SFDC Activation Rep'!B:B,'Download of SFDC Activation Rep'!C:C),"")</f>
        <v/>
      </c>
    </row>
    <row r="344">
      <c r="B344" s="14"/>
      <c r="C344" s="14"/>
      <c r="D344" s="14"/>
      <c r="E344" s="14"/>
      <c r="F344" s="14"/>
      <c r="G344" s="13" t="str">
        <f t="array" ref="G344">iferror(XLOOKUP(A344,'Download of SFDC Activation Rep'!B:B,'Download of SFDC Activation Rep'!H:H),"")</f>
        <v/>
      </c>
      <c r="H344" s="13" t="str">
        <f t="array" ref="H344">iferror(xlookup(A344,'Download of SFDC Activation Rep'!B:B,'Download of SFDC Activation Rep'!L:L),"")</f>
        <v/>
      </c>
      <c r="I344" s="17" t="str">
        <f t="shared" si="2"/>
        <v>Not Active</v>
      </c>
      <c r="J344" s="17" t="str">
        <f t="array" ref="J344">XLOOKUP(A344,'Download of SFDC Activation Rep'!B:B,'Download of SFDC Activation Rep'!T:T)</f>
        <v>#N/A</v>
      </c>
      <c r="K344" s="17" t="str">
        <f t="array" ref="K344">iferror(XLOOKUP(A344,'Download of SFDC Activation Rep'!B:B,'Download of SFDC Activation Rep'!C:C),"")</f>
        <v/>
      </c>
    </row>
    <row r="345">
      <c r="B345" s="14"/>
      <c r="C345" s="14"/>
      <c r="D345" s="14"/>
      <c r="E345" s="14"/>
      <c r="F345" s="14"/>
      <c r="G345" s="13" t="str">
        <f t="array" ref="G345">iferror(XLOOKUP(A345,'Download of SFDC Activation Rep'!B:B,'Download of SFDC Activation Rep'!H:H),"")</f>
        <v/>
      </c>
      <c r="H345" s="13" t="str">
        <f t="array" ref="H345">iferror(xlookup(A345,'Download of SFDC Activation Rep'!B:B,'Download of SFDC Activation Rep'!L:L),"")</f>
        <v/>
      </c>
      <c r="I345" s="17" t="str">
        <f t="shared" si="2"/>
        <v>Not Active</v>
      </c>
      <c r="J345" s="17" t="str">
        <f t="array" ref="J345">XLOOKUP(A345,'Download of SFDC Activation Rep'!B:B,'Download of SFDC Activation Rep'!T:T)</f>
        <v>#N/A</v>
      </c>
      <c r="K345" s="17" t="str">
        <f t="array" ref="K345">iferror(XLOOKUP(A345,'Download of SFDC Activation Rep'!B:B,'Download of SFDC Activation Rep'!C:C),"")</f>
        <v/>
      </c>
    </row>
    <row r="346">
      <c r="B346" s="14"/>
      <c r="C346" s="14"/>
      <c r="D346" s="14"/>
      <c r="E346" s="14"/>
      <c r="F346" s="14"/>
      <c r="G346" s="13" t="str">
        <f t="array" ref="G346">iferror(XLOOKUP(A346,'Download of SFDC Activation Rep'!B:B,'Download of SFDC Activation Rep'!H:H),"")</f>
        <v/>
      </c>
      <c r="H346" s="13" t="str">
        <f t="array" ref="H346">iferror(xlookup(A346,'Download of SFDC Activation Rep'!B:B,'Download of SFDC Activation Rep'!L:L),"")</f>
        <v/>
      </c>
      <c r="I346" s="17" t="str">
        <f t="shared" si="2"/>
        <v>Not Active</v>
      </c>
      <c r="J346" s="17" t="str">
        <f t="array" ref="J346">XLOOKUP(A346,'Download of SFDC Activation Rep'!B:B,'Download of SFDC Activation Rep'!T:T)</f>
        <v>#N/A</v>
      </c>
      <c r="K346" s="17" t="str">
        <f t="array" ref="K346">iferror(XLOOKUP(A346,'Download of SFDC Activation Rep'!B:B,'Download of SFDC Activation Rep'!C:C),"")</f>
        <v/>
      </c>
    </row>
    <row r="347">
      <c r="B347" s="14"/>
      <c r="C347" s="14"/>
      <c r="D347" s="14"/>
      <c r="E347" s="14"/>
      <c r="F347" s="14"/>
      <c r="G347" s="13" t="str">
        <f t="array" ref="G347">iferror(XLOOKUP(A347,'Download of SFDC Activation Rep'!B:B,'Download of SFDC Activation Rep'!H:H),"")</f>
        <v/>
      </c>
      <c r="H347" s="13" t="str">
        <f t="array" ref="H347">iferror(xlookup(A347,'Download of SFDC Activation Rep'!B:B,'Download of SFDC Activation Rep'!L:L),"")</f>
        <v/>
      </c>
      <c r="I347" s="17" t="str">
        <f t="shared" si="2"/>
        <v>Not Active</v>
      </c>
      <c r="J347" s="17" t="str">
        <f t="array" ref="J347">XLOOKUP(A347,'Download of SFDC Activation Rep'!B:B,'Download of SFDC Activation Rep'!T:T)</f>
        <v>#N/A</v>
      </c>
      <c r="K347" s="17" t="str">
        <f t="array" ref="K347">iferror(XLOOKUP(A347,'Download of SFDC Activation Rep'!B:B,'Download of SFDC Activation Rep'!C:C),"")</f>
        <v/>
      </c>
    </row>
    <row r="348">
      <c r="B348" s="14"/>
      <c r="C348" s="14"/>
      <c r="D348" s="14"/>
      <c r="E348" s="14"/>
      <c r="F348" s="14"/>
      <c r="G348" s="13" t="str">
        <f t="array" ref="G348">iferror(XLOOKUP(A348,'Download of SFDC Activation Rep'!B:B,'Download of SFDC Activation Rep'!H:H),"")</f>
        <v/>
      </c>
      <c r="H348" s="13" t="str">
        <f t="array" ref="H348">iferror(xlookup(A348,'Download of SFDC Activation Rep'!B:B,'Download of SFDC Activation Rep'!L:L),"")</f>
        <v/>
      </c>
      <c r="I348" s="17" t="str">
        <f t="shared" si="2"/>
        <v>Not Active</v>
      </c>
      <c r="J348" s="17" t="str">
        <f t="array" ref="J348">XLOOKUP(A348,'Download of SFDC Activation Rep'!B:B,'Download of SFDC Activation Rep'!T:T)</f>
        <v>#N/A</v>
      </c>
      <c r="K348" s="17" t="str">
        <f t="array" ref="K348">iferror(XLOOKUP(A348,'Download of SFDC Activation Rep'!B:B,'Download of SFDC Activation Rep'!C:C),"")</f>
        <v/>
      </c>
    </row>
    <row r="349">
      <c r="B349" s="14"/>
      <c r="C349" s="14"/>
      <c r="D349" s="14"/>
      <c r="E349" s="14"/>
      <c r="F349" s="14"/>
      <c r="G349" s="13" t="str">
        <f t="array" ref="G349">iferror(XLOOKUP(A349,'Download of SFDC Activation Rep'!B:B,'Download of SFDC Activation Rep'!H:H),"")</f>
        <v/>
      </c>
      <c r="H349" s="13" t="str">
        <f t="array" ref="H349">iferror(xlookup(A349,'Download of SFDC Activation Rep'!B:B,'Download of SFDC Activation Rep'!L:L),"")</f>
        <v/>
      </c>
      <c r="I349" s="17" t="str">
        <f t="shared" si="2"/>
        <v>Not Active</v>
      </c>
      <c r="J349" s="17" t="str">
        <f t="array" ref="J349">XLOOKUP(A349,'Download of SFDC Activation Rep'!B:B,'Download of SFDC Activation Rep'!T:T)</f>
        <v>#N/A</v>
      </c>
      <c r="K349" s="17" t="str">
        <f t="array" ref="K349">iferror(XLOOKUP(A349,'Download of SFDC Activation Rep'!B:B,'Download of SFDC Activation Rep'!C:C),"")</f>
        <v/>
      </c>
    </row>
    <row r="350">
      <c r="B350" s="14"/>
      <c r="C350" s="14"/>
      <c r="D350" s="14"/>
      <c r="E350" s="14"/>
      <c r="F350" s="14"/>
      <c r="G350" s="13" t="str">
        <f t="array" ref="G350">iferror(XLOOKUP(A350,'Download of SFDC Activation Rep'!B:B,'Download of SFDC Activation Rep'!H:H),"")</f>
        <v/>
      </c>
      <c r="H350" s="13" t="str">
        <f t="array" ref="H350">iferror(xlookup(A350,'Download of SFDC Activation Rep'!B:B,'Download of SFDC Activation Rep'!L:L),"")</f>
        <v/>
      </c>
      <c r="I350" s="17" t="str">
        <f t="shared" si="2"/>
        <v>Not Active</v>
      </c>
      <c r="J350" s="17" t="str">
        <f t="array" ref="J350">XLOOKUP(A350,'Download of SFDC Activation Rep'!B:B,'Download of SFDC Activation Rep'!T:T)</f>
        <v>#N/A</v>
      </c>
      <c r="K350" s="17" t="str">
        <f t="array" ref="K350">iferror(XLOOKUP(A350,'Download of SFDC Activation Rep'!B:B,'Download of SFDC Activation Rep'!C:C),"")</f>
        <v/>
      </c>
    </row>
    <row r="351">
      <c r="B351" s="14"/>
      <c r="C351" s="14"/>
      <c r="D351" s="14"/>
      <c r="E351" s="14"/>
      <c r="F351" s="14"/>
      <c r="G351" s="13" t="str">
        <f t="array" ref="G351">iferror(XLOOKUP(A351,'Download of SFDC Activation Rep'!B:B,'Download of SFDC Activation Rep'!H:H),"")</f>
        <v/>
      </c>
      <c r="H351" s="13" t="str">
        <f t="array" ref="H351">iferror(xlookup(A351,'Download of SFDC Activation Rep'!B:B,'Download of SFDC Activation Rep'!L:L),"")</f>
        <v/>
      </c>
      <c r="I351" s="17" t="str">
        <f t="shared" si="2"/>
        <v>Not Active</v>
      </c>
      <c r="J351" s="17" t="str">
        <f t="array" ref="J351">XLOOKUP(A351,'Download of SFDC Activation Rep'!B:B,'Download of SFDC Activation Rep'!T:T)</f>
        <v>#N/A</v>
      </c>
      <c r="K351" s="17" t="str">
        <f t="array" ref="K351">iferror(XLOOKUP(A351,'Download of SFDC Activation Rep'!B:B,'Download of SFDC Activation Rep'!C:C),"")</f>
        <v/>
      </c>
    </row>
    <row r="352">
      <c r="B352" s="14"/>
      <c r="C352" s="14"/>
      <c r="D352" s="14"/>
      <c r="E352" s="14"/>
      <c r="F352" s="14"/>
      <c r="G352" s="13" t="str">
        <f t="array" ref="G352">iferror(XLOOKUP(A352,'Download of SFDC Activation Rep'!B:B,'Download of SFDC Activation Rep'!H:H),"")</f>
        <v/>
      </c>
      <c r="H352" s="13" t="str">
        <f t="array" ref="H352">iferror(xlookup(A352,'Download of SFDC Activation Rep'!B:B,'Download of SFDC Activation Rep'!L:L),"")</f>
        <v/>
      </c>
      <c r="I352" s="17" t="str">
        <f t="shared" si="2"/>
        <v>Not Active</v>
      </c>
      <c r="J352" s="17" t="str">
        <f t="array" ref="J352">XLOOKUP(A352,'Download of SFDC Activation Rep'!B:B,'Download of SFDC Activation Rep'!T:T)</f>
        <v>#N/A</v>
      </c>
      <c r="K352" s="17" t="str">
        <f t="array" ref="K352">iferror(XLOOKUP(A352,'Download of SFDC Activation Rep'!B:B,'Download of SFDC Activation Rep'!C:C),"")</f>
        <v/>
      </c>
    </row>
    <row r="353">
      <c r="B353" s="14"/>
      <c r="C353" s="14"/>
      <c r="D353" s="14"/>
      <c r="E353" s="14"/>
      <c r="F353" s="14"/>
      <c r="G353" s="13" t="str">
        <f t="array" ref="G353">iferror(XLOOKUP(A353,'Download of SFDC Activation Rep'!B:B,'Download of SFDC Activation Rep'!H:H),"")</f>
        <v/>
      </c>
      <c r="H353" s="13" t="str">
        <f t="array" ref="H353">iferror(xlookup(A353,'Download of SFDC Activation Rep'!B:B,'Download of SFDC Activation Rep'!L:L),"")</f>
        <v/>
      </c>
      <c r="I353" s="17" t="str">
        <f t="shared" si="2"/>
        <v>Not Active</v>
      </c>
      <c r="J353" s="17" t="str">
        <f t="array" ref="J353">XLOOKUP(A353,'Download of SFDC Activation Rep'!B:B,'Download of SFDC Activation Rep'!T:T)</f>
        <v>#N/A</v>
      </c>
      <c r="K353" s="17" t="str">
        <f t="array" ref="K353">iferror(XLOOKUP(A353,'Download of SFDC Activation Rep'!B:B,'Download of SFDC Activation Rep'!C:C),"")</f>
        <v/>
      </c>
    </row>
    <row r="354">
      <c r="B354" s="14"/>
      <c r="C354" s="14"/>
      <c r="D354" s="14"/>
      <c r="E354" s="14"/>
      <c r="F354" s="14"/>
      <c r="G354" s="13" t="str">
        <f t="array" ref="G354">iferror(XLOOKUP(A354,'Download of SFDC Activation Rep'!B:B,'Download of SFDC Activation Rep'!H:H),"")</f>
        <v/>
      </c>
      <c r="H354" s="13" t="str">
        <f t="array" ref="H354">iferror(xlookup(A354,'Download of SFDC Activation Rep'!B:B,'Download of SFDC Activation Rep'!L:L),"")</f>
        <v/>
      </c>
      <c r="I354" s="17" t="str">
        <f t="shared" si="2"/>
        <v>Not Active</v>
      </c>
      <c r="J354" s="17" t="str">
        <f t="array" ref="J354">XLOOKUP(A354,'Download of SFDC Activation Rep'!B:B,'Download of SFDC Activation Rep'!T:T)</f>
        <v>#N/A</v>
      </c>
      <c r="K354" s="17" t="str">
        <f t="array" ref="K354">iferror(XLOOKUP(A354,'Download of SFDC Activation Rep'!B:B,'Download of SFDC Activation Rep'!C:C),"")</f>
        <v/>
      </c>
    </row>
    <row r="355">
      <c r="B355" s="14"/>
      <c r="C355" s="14"/>
      <c r="D355" s="14"/>
      <c r="E355" s="14"/>
      <c r="F355" s="14"/>
      <c r="G355" s="13" t="str">
        <f t="array" ref="G355">iferror(XLOOKUP(A355,'Download of SFDC Activation Rep'!B:B,'Download of SFDC Activation Rep'!H:H),"")</f>
        <v/>
      </c>
      <c r="H355" s="13" t="str">
        <f t="array" ref="H355">iferror(xlookup(A355,'Download of SFDC Activation Rep'!B:B,'Download of SFDC Activation Rep'!L:L),"")</f>
        <v/>
      </c>
      <c r="I355" s="17" t="str">
        <f t="shared" si="2"/>
        <v>Not Active</v>
      </c>
      <c r="J355" s="17" t="str">
        <f t="array" ref="J355">XLOOKUP(A355,'Download of SFDC Activation Rep'!B:B,'Download of SFDC Activation Rep'!T:T)</f>
        <v>#N/A</v>
      </c>
      <c r="K355" s="17" t="str">
        <f t="array" ref="K355">iferror(XLOOKUP(A355,'Download of SFDC Activation Rep'!B:B,'Download of SFDC Activation Rep'!C:C),"")</f>
        <v/>
      </c>
    </row>
    <row r="356">
      <c r="B356" s="14"/>
      <c r="C356" s="14"/>
      <c r="D356" s="14"/>
      <c r="E356" s="14"/>
      <c r="F356" s="14"/>
      <c r="G356" s="13" t="str">
        <f t="array" ref="G356">iferror(XLOOKUP(A356,'Download of SFDC Activation Rep'!B:B,'Download of SFDC Activation Rep'!H:H),"")</f>
        <v/>
      </c>
      <c r="H356" s="13" t="str">
        <f t="array" ref="H356">iferror(xlookup(A356,'Download of SFDC Activation Rep'!B:B,'Download of SFDC Activation Rep'!L:L),"")</f>
        <v/>
      </c>
      <c r="I356" s="17" t="str">
        <f t="shared" si="2"/>
        <v>Not Active</v>
      </c>
      <c r="J356" s="17" t="str">
        <f t="array" ref="J356">XLOOKUP(A356,'Download of SFDC Activation Rep'!B:B,'Download of SFDC Activation Rep'!T:T)</f>
        <v>#N/A</v>
      </c>
      <c r="K356" s="17" t="str">
        <f t="array" ref="K356">iferror(XLOOKUP(A356,'Download of SFDC Activation Rep'!B:B,'Download of SFDC Activation Rep'!C:C),"")</f>
        <v/>
      </c>
    </row>
    <row r="357">
      <c r="B357" s="14"/>
      <c r="C357" s="14"/>
      <c r="D357" s="14"/>
      <c r="E357" s="14"/>
      <c r="F357" s="14"/>
      <c r="G357" s="13" t="str">
        <f t="array" ref="G357">iferror(XLOOKUP(A357,'Download of SFDC Activation Rep'!B:B,'Download of SFDC Activation Rep'!H:H),"")</f>
        <v/>
      </c>
      <c r="H357" s="13" t="str">
        <f t="array" ref="H357">iferror(xlookup(A357,'Download of SFDC Activation Rep'!B:B,'Download of SFDC Activation Rep'!L:L),"")</f>
        <v/>
      </c>
      <c r="I357" s="17" t="str">
        <f t="shared" si="2"/>
        <v>Not Active</v>
      </c>
      <c r="J357" s="17" t="str">
        <f t="array" ref="J357">XLOOKUP(A357,'Download of SFDC Activation Rep'!B:B,'Download of SFDC Activation Rep'!T:T)</f>
        <v>#N/A</v>
      </c>
      <c r="K357" s="17" t="str">
        <f t="array" ref="K357">iferror(XLOOKUP(A357,'Download of SFDC Activation Rep'!B:B,'Download of SFDC Activation Rep'!C:C),"")</f>
        <v/>
      </c>
    </row>
    <row r="358">
      <c r="B358" s="14"/>
      <c r="C358" s="14"/>
      <c r="D358" s="14"/>
      <c r="E358" s="14"/>
      <c r="F358" s="14"/>
      <c r="G358" s="13" t="str">
        <f t="array" ref="G358">iferror(XLOOKUP(A358,'Download of SFDC Activation Rep'!B:B,'Download of SFDC Activation Rep'!H:H),"")</f>
        <v/>
      </c>
      <c r="H358" s="13" t="str">
        <f t="array" ref="H358">iferror(xlookup(A358,'Download of SFDC Activation Rep'!B:B,'Download of SFDC Activation Rep'!L:L),"")</f>
        <v/>
      </c>
      <c r="I358" s="17" t="str">
        <f t="shared" si="2"/>
        <v>Not Active</v>
      </c>
      <c r="J358" s="17" t="str">
        <f t="array" ref="J358">XLOOKUP(A358,'Download of SFDC Activation Rep'!B:B,'Download of SFDC Activation Rep'!T:T)</f>
        <v>#N/A</v>
      </c>
      <c r="K358" s="17" t="str">
        <f t="array" ref="K358">iferror(XLOOKUP(A358,'Download of SFDC Activation Rep'!B:B,'Download of SFDC Activation Rep'!C:C),"")</f>
        <v/>
      </c>
    </row>
    <row r="359">
      <c r="B359" s="14"/>
      <c r="C359" s="14"/>
      <c r="D359" s="14"/>
      <c r="E359" s="14"/>
      <c r="F359" s="14"/>
      <c r="G359" s="13" t="str">
        <f t="array" ref="G359">iferror(XLOOKUP(A359,'Download of SFDC Activation Rep'!B:B,'Download of SFDC Activation Rep'!H:H),"")</f>
        <v/>
      </c>
      <c r="H359" s="13" t="str">
        <f t="array" ref="H359">iferror(xlookup(A359,'Download of SFDC Activation Rep'!B:B,'Download of SFDC Activation Rep'!L:L),"")</f>
        <v/>
      </c>
      <c r="I359" s="17" t="str">
        <f t="shared" si="2"/>
        <v>Not Active</v>
      </c>
      <c r="J359" s="17" t="str">
        <f t="array" ref="J359">XLOOKUP(A359,'Download of SFDC Activation Rep'!B:B,'Download of SFDC Activation Rep'!T:T)</f>
        <v>#N/A</v>
      </c>
      <c r="K359" s="17" t="str">
        <f t="array" ref="K359">iferror(XLOOKUP(A359,'Download of SFDC Activation Rep'!B:B,'Download of SFDC Activation Rep'!C:C),"")</f>
        <v/>
      </c>
    </row>
    <row r="360">
      <c r="B360" s="14"/>
      <c r="C360" s="14"/>
      <c r="D360" s="14"/>
      <c r="E360" s="14"/>
      <c r="F360" s="14"/>
      <c r="G360" s="13" t="str">
        <f t="array" ref="G360">iferror(XLOOKUP(A360,'Download of SFDC Activation Rep'!B:B,'Download of SFDC Activation Rep'!H:H),"")</f>
        <v/>
      </c>
      <c r="H360" s="13" t="str">
        <f t="array" ref="H360">iferror(xlookup(A360,'Download of SFDC Activation Rep'!B:B,'Download of SFDC Activation Rep'!L:L),"")</f>
        <v/>
      </c>
      <c r="I360" s="17" t="str">
        <f t="shared" si="2"/>
        <v>Not Active</v>
      </c>
      <c r="J360" s="17" t="str">
        <f t="array" ref="J360">XLOOKUP(A360,'Download of SFDC Activation Rep'!B:B,'Download of SFDC Activation Rep'!T:T)</f>
        <v>#N/A</v>
      </c>
      <c r="K360" s="17" t="str">
        <f t="array" ref="K360">iferror(XLOOKUP(A360,'Download of SFDC Activation Rep'!B:B,'Download of SFDC Activation Rep'!C:C),"")</f>
        <v/>
      </c>
    </row>
    <row r="361">
      <c r="B361" s="14"/>
      <c r="C361" s="14"/>
      <c r="D361" s="14"/>
      <c r="E361" s="14"/>
      <c r="F361" s="14"/>
      <c r="G361" s="13" t="str">
        <f t="array" ref="G361">iferror(XLOOKUP(A361,'Download of SFDC Activation Rep'!B:B,'Download of SFDC Activation Rep'!H:H),"")</f>
        <v/>
      </c>
      <c r="H361" s="13" t="str">
        <f t="array" ref="H361">iferror(xlookup(A361,'Download of SFDC Activation Rep'!B:B,'Download of SFDC Activation Rep'!L:L),"")</f>
        <v/>
      </c>
      <c r="I361" s="17" t="str">
        <f t="shared" si="2"/>
        <v>Not Active</v>
      </c>
      <c r="J361" s="17" t="str">
        <f t="array" ref="J361">XLOOKUP(A361,'Download of SFDC Activation Rep'!B:B,'Download of SFDC Activation Rep'!T:T)</f>
        <v>#N/A</v>
      </c>
      <c r="K361" s="17" t="str">
        <f t="array" ref="K361">iferror(XLOOKUP(A361,'Download of SFDC Activation Rep'!B:B,'Download of SFDC Activation Rep'!C:C),"")</f>
        <v/>
      </c>
    </row>
    <row r="362">
      <c r="B362" s="14"/>
      <c r="C362" s="14"/>
      <c r="D362" s="14"/>
      <c r="E362" s="14"/>
      <c r="F362" s="14"/>
      <c r="G362" s="13" t="str">
        <f t="array" ref="G362">iferror(XLOOKUP(A362,'Download of SFDC Activation Rep'!B:B,'Download of SFDC Activation Rep'!H:H),"")</f>
        <v/>
      </c>
      <c r="H362" s="13" t="str">
        <f t="array" ref="H362">iferror(xlookup(A362,'Download of SFDC Activation Rep'!B:B,'Download of SFDC Activation Rep'!L:L),"")</f>
        <v/>
      </c>
      <c r="I362" s="17" t="str">
        <f t="shared" si="2"/>
        <v>Not Active</v>
      </c>
      <c r="J362" s="17" t="str">
        <f t="array" ref="J362">XLOOKUP(A362,'Download of SFDC Activation Rep'!B:B,'Download of SFDC Activation Rep'!T:T)</f>
        <v>#N/A</v>
      </c>
      <c r="K362" s="17" t="str">
        <f t="array" ref="K362">iferror(XLOOKUP(A362,'Download of SFDC Activation Rep'!B:B,'Download of SFDC Activation Rep'!C:C),"")</f>
        <v/>
      </c>
    </row>
    <row r="363">
      <c r="B363" s="14"/>
      <c r="C363" s="14"/>
      <c r="D363" s="14"/>
      <c r="E363" s="14"/>
      <c r="F363" s="14"/>
      <c r="G363" s="13" t="str">
        <f t="array" ref="G363">iferror(XLOOKUP(A363,'Download of SFDC Activation Rep'!B:B,'Download of SFDC Activation Rep'!H:H),"")</f>
        <v/>
      </c>
      <c r="H363" s="13" t="str">
        <f t="array" ref="H363">iferror(xlookup(A363,'Download of SFDC Activation Rep'!B:B,'Download of SFDC Activation Rep'!L:L),"")</f>
        <v/>
      </c>
      <c r="I363" s="17" t="str">
        <f t="shared" si="2"/>
        <v>Not Active</v>
      </c>
      <c r="J363" s="17" t="str">
        <f t="array" ref="J363">XLOOKUP(A363,'Download of SFDC Activation Rep'!B:B,'Download of SFDC Activation Rep'!T:T)</f>
        <v>#N/A</v>
      </c>
      <c r="K363" s="17" t="str">
        <f t="array" ref="K363">iferror(XLOOKUP(A363,'Download of SFDC Activation Rep'!B:B,'Download of SFDC Activation Rep'!C:C),"")</f>
        <v/>
      </c>
    </row>
    <row r="364">
      <c r="B364" s="14"/>
      <c r="C364" s="14"/>
      <c r="D364" s="14"/>
      <c r="E364" s="14"/>
      <c r="F364" s="14"/>
      <c r="G364" s="13" t="str">
        <f t="array" ref="G364">iferror(XLOOKUP(A364,'Download of SFDC Activation Rep'!B:B,'Download of SFDC Activation Rep'!H:H),"")</f>
        <v/>
      </c>
      <c r="H364" s="13" t="str">
        <f t="array" ref="H364">iferror(xlookup(A364,'Download of SFDC Activation Rep'!B:B,'Download of SFDC Activation Rep'!L:L),"")</f>
        <v/>
      </c>
      <c r="I364" s="17" t="str">
        <f t="shared" si="2"/>
        <v>Not Active</v>
      </c>
      <c r="J364" s="17" t="str">
        <f t="array" ref="J364">XLOOKUP(A364,'Download of SFDC Activation Rep'!B:B,'Download of SFDC Activation Rep'!T:T)</f>
        <v>#N/A</v>
      </c>
      <c r="K364" s="17" t="str">
        <f t="array" ref="K364">iferror(XLOOKUP(A364,'Download of SFDC Activation Rep'!B:B,'Download of SFDC Activation Rep'!C:C),"")</f>
        <v/>
      </c>
    </row>
    <row r="365">
      <c r="B365" s="14"/>
      <c r="C365" s="14"/>
      <c r="D365" s="14"/>
      <c r="E365" s="14"/>
      <c r="F365" s="14"/>
      <c r="G365" s="13" t="str">
        <f t="array" ref="G365">iferror(XLOOKUP(A365,'Download of SFDC Activation Rep'!B:B,'Download of SFDC Activation Rep'!H:H),"")</f>
        <v/>
      </c>
      <c r="H365" s="13" t="str">
        <f t="array" ref="H365">iferror(xlookup(A365,'Download of SFDC Activation Rep'!B:B,'Download of SFDC Activation Rep'!L:L),"")</f>
        <v/>
      </c>
      <c r="I365" s="17" t="str">
        <f t="shared" si="2"/>
        <v>Not Active</v>
      </c>
      <c r="J365" s="17" t="str">
        <f t="array" ref="J365">XLOOKUP(A365,'Download of SFDC Activation Rep'!B:B,'Download of SFDC Activation Rep'!T:T)</f>
        <v>#N/A</v>
      </c>
      <c r="K365" s="17" t="str">
        <f t="array" ref="K365">iferror(XLOOKUP(A365,'Download of SFDC Activation Rep'!B:B,'Download of SFDC Activation Rep'!C:C),"")</f>
        <v/>
      </c>
    </row>
    <row r="366">
      <c r="B366" s="14"/>
      <c r="C366" s="14"/>
      <c r="D366" s="14"/>
      <c r="E366" s="14"/>
      <c r="F366" s="14"/>
      <c r="G366" s="13" t="str">
        <f t="array" ref="G366">iferror(XLOOKUP(A366,'Download of SFDC Activation Rep'!B:B,'Download of SFDC Activation Rep'!H:H),"")</f>
        <v/>
      </c>
      <c r="H366" s="13" t="str">
        <f t="array" ref="H366">iferror(xlookup(A366,'Download of SFDC Activation Rep'!B:B,'Download of SFDC Activation Rep'!L:L),"")</f>
        <v/>
      </c>
      <c r="I366" s="17" t="str">
        <f t="shared" si="2"/>
        <v>Not Active</v>
      </c>
      <c r="J366" s="17" t="str">
        <f t="array" ref="J366">XLOOKUP(A366,'Download of SFDC Activation Rep'!B:B,'Download of SFDC Activation Rep'!T:T)</f>
        <v>#N/A</v>
      </c>
      <c r="K366" s="17" t="str">
        <f t="array" ref="K366">iferror(XLOOKUP(A366,'Download of SFDC Activation Rep'!B:B,'Download of SFDC Activation Rep'!C:C),"")</f>
        <v/>
      </c>
    </row>
    <row r="367">
      <c r="B367" s="14"/>
      <c r="C367" s="14"/>
      <c r="D367" s="14"/>
      <c r="E367" s="14"/>
      <c r="F367" s="14"/>
      <c r="G367" s="13" t="str">
        <f t="array" ref="G367">iferror(XLOOKUP(A367,'Download of SFDC Activation Rep'!B:B,'Download of SFDC Activation Rep'!H:H),"")</f>
        <v/>
      </c>
      <c r="H367" s="13" t="str">
        <f t="array" ref="H367">iferror(xlookup(A367,'Download of SFDC Activation Rep'!B:B,'Download of SFDC Activation Rep'!L:L),"")</f>
        <v/>
      </c>
      <c r="I367" s="17" t="str">
        <f t="shared" si="2"/>
        <v>Not Active</v>
      </c>
      <c r="J367" s="17" t="str">
        <f t="array" ref="J367">XLOOKUP(A367,'Download of SFDC Activation Rep'!B:B,'Download of SFDC Activation Rep'!T:T)</f>
        <v>#N/A</v>
      </c>
      <c r="K367" s="17" t="str">
        <f t="array" ref="K367">iferror(XLOOKUP(A367,'Download of SFDC Activation Rep'!B:B,'Download of SFDC Activation Rep'!C:C),"")</f>
        <v/>
      </c>
    </row>
    <row r="368">
      <c r="B368" s="14"/>
      <c r="C368" s="14"/>
      <c r="D368" s="14"/>
      <c r="E368" s="14"/>
      <c r="F368" s="14"/>
      <c r="G368" s="13" t="str">
        <f t="array" ref="G368">iferror(XLOOKUP(A368,'Download of SFDC Activation Rep'!B:B,'Download of SFDC Activation Rep'!H:H),"")</f>
        <v/>
      </c>
      <c r="H368" s="13" t="str">
        <f t="array" ref="H368">iferror(xlookup(A368,'Download of SFDC Activation Rep'!B:B,'Download of SFDC Activation Rep'!L:L),"")</f>
        <v/>
      </c>
      <c r="I368" s="17" t="str">
        <f t="shared" si="2"/>
        <v>Not Active</v>
      </c>
      <c r="J368" s="17" t="str">
        <f t="array" ref="J368">XLOOKUP(A368,'Download of SFDC Activation Rep'!B:B,'Download of SFDC Activation Rep'!T:T)</f>
        <v>#N/A</v>
      </c>
      <c r="K368" s="17" t="str">
        <f t="array" ref="K368">iferror(XLOOKUP(A368,'Download of SFDC Activation Rep'!B:B,'Download of SFDC Activation Rep'!C:C),"")</f>
        <v/>
      </c>
    </row>
    <row r="369">
      <c r="B369" s="14"/>
      <c r="C369" s="14"/>
      <c r="D369" s="14"/>
      <c r="E369" s="14"/>
      <c r="F369" s="14"/>
      <c r="G369" s="13" t="str">
        <f t="array" ref="G369">iferror(XLOOKUP(A369,'Download of SFDC Activation Rep'!B:B,'Download of SFDC Activation Rep'!H:H),"")</f>
        <v/>
      </c>
      <c r="H369" s="13" t="str">
        <f t="array" ref="H369">iferror(xlookup(A369,'Download of SFDC Activation Rep'!B:B,'Download of SFDC Activation Rep'!L:L),"")</f>
        <v/>
      </c>
      <c r="I369" s="17" t="str">
        <f t="shared" si="2"/>
        <v>Not Active</v>
      </c>
      <c r="J369" s="17" t="str">
        <f t="array" ref="J369">XLOOKUP(A369,'Download of SFDC Activation Rep'!B:B,'Download of SFDC Activation Rep'!T:T)</f>
        <v>#N/A</v>
      </c>
      <c r="K369" s="17" t="str">
        <f t="array" ref="K369">iferror(XLOOKUP(A369,'Download of SFDC Activation Rep'!B:B,'Download of SFDC Activation Rep'!C:C),"")</f>
        <v/>
      </c>
    </row>
    <row r="370">
      <c r="B370" s="14"/>
      <c r="C370" s="14"/>
      <c r="D370" s="14"/>
      <c r="E370" s="14"/>
      <c r="F370" s="14"/>
      <c r="G370" s="13" t="str">
        <f t="array" ref="G370">iferror(XLOOKUP(A370,'Download of SFDC Activation Rep'!B:B,'Download of SFDC Activation Rep'!H:H),"")</f>
        <v/>
      </c>
      <c r="H370" s="13" t="str">
        <f t="array" ref="H370">iferror(xlookup(A370,'Download of SFDC Activation Rep'!B:B,'Download of SFDC Activation Rep'!L:L),"")</f>
        <v/>
      </c>
      <c r="I370" s="17" t="str">
        <f t="shared" si="2"/>
        <v>Not Active</v>
      </c>
      <c r="J370" s="17" t="str">
        <f t="array" ref="J370">XLOOKUP(A370,'Download of SFDC Activation Rep'!B:B,'Download of SFDC Activation Rep'!T:T)</f>
        <v>#N/A</v>
      </c>
      <c r="K370" s="17" t="str">
        <f t="array" ref="K370">iferror(XLOOKUP(A370,'Download of SFDC Activation Rep'!B:B,'Download of SFDC Activation Rep'!C:C),"")</f>
        <v/>
      </c>
    </row>
    <row r="371">
      <c r="B371" s="14"/>
      <c r="C371" s="14"/>
      <c r="D371" s="14"/>
      <c r="E371" s="14"/>
      <c r="F371" s="14"/>
      <c r="G371" s="13" t="str">
        <f t="array" ref="G371">iferror(XLOOKUP(A371,'Download of SFDC Activation Rep'!B:B,'Download of SFDC Activation Rep'!H:H),"")</f>
        <v/>
      </c>
      <c r="H371" s="13" t="str">
        <f t="array" ref="H371">iferror(xlookup(A371,'Download of SFDC Activation Rep'!B:B,'Download of SFDC Activation Rep'!L:L),"")</f>
        <v/>
      </c>
      <c r="I371" s="17" t="str">
        <f t="shared" si="2"/>
        <v>Not Active</v>
      </c>
      <c r="J371" s="17" t="str">
        <f t="array" ref="J371">XLOOKUP(A371,'Download of SFDC Activation Rep'!B:B,'Download of SFDC Activation Rep'!T:T)</f>
        <v>#N/A</v>
      </c>
      <c r="K371" s="17" t="str">
        <f t="array" ref="K371">iferror(XLOOKUP(A371,'Download of SFDC Activation Rep'!B:B,'Download of SFDC Activation Rep'!C:C),"")</f>
        <v/>
      </c>
    </row>
    <row r="372">
      <c r="B372" s="14"/>
      <c r="C372" s="14"/>
      <c r="D372" s="14"/>
      <c r="E372" s="14"/>
      <c r="F372" s="14"/>
      <c r="G372" s="13" t="str">
        <f t="array" ref="G372">iferror(XLOOKUP(A372,'Download of SFDC Activation Rep'!B:B,'Download of SFDC Activation Rep'!H:H),"")</f>
        <v/>
      </c>
      <c r="H372" s="13" t="str">
        <f t="array" ref="H372">iferror(xlookup(A372,'Download of SFDC Activation Rep'!B:B,'Download of SFDC Activation Rep'!L:L),"")</f>
        <v/>
      </c>
      <c r="I372" s="17" t="str">
        <f t="shared" si="2"/>
        <v>Not Active</v>
      </c>
      <c r="J372" s="17" t="str">
        <f t="array" ref="J372">XLOOKUP(A372,'Download of SFDC Activation Rep'!B:B,'Download of SFDC Activation Rep'!T:T)</f>
        <v>#N/A</v>
      </c>
      <c r="K372" s="17" t="str">
        <f t="array" ref="K372">iferror(XLOOKUP(A372,'Download of SFDC Activation Rep'!B:B,'Download of SFDC Activation Rep'!C:C),"")</f>
        <v/>
      </c>
    </row>
    <row r="373">
      <c r="B373" s="14"/>
      <c r="C373" s="14"/>
      <c r="D373" s="14"/>
      <c r="E373" s="14"/>
      <c r="F373" s="14"/>
      <c r="G373" s="13" t="str">
        <f t="array" ref="G373">iferror(XLOOKUP(A373,'Download of SFDC Activation Rep'!B:B,'Download of SFDC Activation Rep'!H:H),"")</f>
        <v/>
      </c>
      <c r="H373" s="13" t="str">
        <f t="array" ref="H373">iferror(xlookup(A373,'Download of SFDC Activation Rep'!B:B,'Download of SFDC Activation Rep'!L:L),"")</f>
        <v/>
      </c>
      <c r="I373" s="17" t="str">
        <f t="shared" si="2"/>
        <v>Not Active</v>
      </c>
      <c r="J373" s="17" t="str">
        <f t="array" ref="J373">XLOOKUP(A373,'Download of SFDC Activation Rep'!B:B,'Download of SFDC Activation Rep'!T:T)</f>
        <v>#N/A</v>
      </c>
      <c r="K373" s="17" t="str">
        <f t="array" ref="K373">iferror(XLOOKUP(A373,'Download of SFDC Activation Rep'!B:B,'Download of SFDC Activation Rep'!C:C),"")</f>
        <v/>
      </c>
    </row>
    <row r="374">
      <c r="B374" s="14"/>
      <c r="C374" s="14"/>
      <c r="D374" s="14"/>
      <c r="E374" s="14"/>
      <c r="F374" s="14"/>
      <c r="G374" s="13" t="str">
        <f t="array" ref="G374">iferror(XLOOKUP(A374,'Download of SFDC Activation Rep'!B:B,'Download of SFDC Activation Rep'!H:H),"")</f>
        <v/>
      </c>
      <c r="H374" s="13" t="str">
        <f t="array" ref="H374">iferror(xlookup(A374,'Download of SFDC Activation Rep'!B:B,'Download of SFDC Activation Rep'!L:L),"")</f>
        <v/>
      </c>
      <c r="I374" s="17" t="str">
        <f t="shared" si="2"/>
        <v>Not Active</v>
      </c>
      <c r="J374" s="17" t="str">
        <f t="array" ref="J374">XLOOKUP(A374,'Download of SFDC Activation Rep'!B:B,'Download of SFDC Activation Rep'!T:T)</f>
        <v>#N/A</v>
      </c>
      <c r="K374" s="17" t="str">
        <f t="array" ref="K374">iferror(XLOOKUP(A374,'Download of SFDC Activation Rep'!B:B,'Download of SFDC Activation Rep'!C:C),"")</f>
        <v/>
      </c>
    </row>
    <row r="375">
      <c r="B375" s="14"/>
      <c r="C375" s="14"/>
      <c r="D375" s="14"/>
      <c r="E375" s="14"/>
      <c r="F375" s="14"/>
      <c r="G375" s="13" t="str">
        <f t="array" ref="G375">iferror(XLOOKUP(A375,'Download of SFDC Activation Rep'!B:B,'Download of SFDC Activation Rep'!H:H),"")</f>
        <v/>
      </c>
      <c r="H375" s="13" t="str">
        <f t="array" ref="H375">iferror(xlookup(A375,'Download of SFDC Activation Rep'!B:B,'Download of SFDC Activation Rep'!L:L),"")</f>
        <v/>
      </c>
      <c r="I375" s="17" t="str">
        <f t="shared" si="2"/>
        <v>Not Active</v>
      </c>
      <c r="J375" s="17" t="str">
        <f t="array" ref="J375">XLOOKUP(A375,'Download of SFDC Activation Rep'!B:B,'Download of SFDC Activation Rep'!T:T)</f>
        <v>#N/A</v>
      </c>
      <c r="K375" s="17" t="str">
        <f t="array" ref="K375">iferror(XLOOKUP(A375,'Download of SFDC Activation Rep'!B:B,'Download of SFDC Activation Rep'!C:C),"")</f>
        <v/>
      </c>
    </row>
    <row r="376">
      <c r="B376" s="14"/>
      <c r="C376" s="14"/>
      <c r="D376" s="14"/>
      <c r="E376" s="14"/>
      <c r="F376" s="14"/>
      <c r="G376" s="13" t="str">
        <f t="array" ref="G376">iferror(XLOOKUP(A376,'Download of SFDC Activation Rep'!B:B,'Download of SFDC Activation Rep'!H:H),"")</f>
        <v/>
      </c>
      <c r="H376" s="13" t="str">
        <f t="array" ref="H376">iferror(xlookup(A376,'Download of SFDC Activation Rep'!B:B,'Download of SFDC Activation Rep'!L:L),"")</f>
        <v/>
      </c>
      <c r="I376" s="17" t="str">
        <f t="shared" si="2"/>
        <v>Not Active</v>
      </c>
      <c r="J376" s="17" t="str">
        <f t="array" ref="J376">XLOOKUP(A376,'Download of SFDC Activation Rep'!B:B,'Download of SFDC Activation Rep'!T:T)</f>
        <v>#N/A</v>
      </c>
      <c r="K376" s="17" t="str">
        <f t="array" ref="K376">iferror(XLOOKUP(A376,'Download of SFDC Activation Rep'!B:B,'Download of SFDC Activation Rep'!C:C),"")</f>
        <v/>
      </c>
    </row>
    <row r="377">
      <c r="B377" s="14"/>
      <c r="C377" s="14"/>
      <c r="D377" s="14"/>
      <c r="E377" s="14"/>
      <c r="F377" s="14"/>
      <c r="G377" s="13" t="str">
        <f t="array" ref="G377">iferror(XLOOKUP(A377,'Download of SFDC Activation Rep'!B:B,'Download of SFDC Activation Rep'!H:H),"")</f>
        <v/>
      </c>
      <c r="H377" s="13" t="str">
        <f t="array" ref="H377">iferror(xlookup(A377,'Download of SFDC Activation Rep'!B:B,'Download of SFDC Activation Rep'!L:L),"")</f>
        <v/>
      </c>
      <c r="I377" s="17" t="str">
        <f t="shared" si="2"/>
        <v>Not Active</v>
      </c>
      <c r="J377" s="17" t="str">
        <f t="array" ref="J377">XLOOKUP(A377,'Download of SFDC Activation Rep'!B:B,'Download of SFDC Activation Rep'!T:T)</f>
        <v>#N/A</v>
      </c>
      <c r="K377" s="17" t="str">
        <f t="array" ref="K377">iferror(XLOOKUP(A377,'Download of SFDC Activation Rep'!B:B,'Download of SFDC Activation Rep'!C:C),"")</f>
        <v/>
      </c>
    </row>
    <row r="378">
      <c r="B378" s="14"/>
      <c r="C378" s="14"/>
      <c r="D378" s="14"/>
      <c r="E378" s="14"/>
      <c r="F378" s="14"/>
      <c r="G378" s="13" t="str">
        <f t="array" ref="G378">iferror(XLOOKUP(A378,'Download of SFDC Activation Rep'!B:B,'Download of SFDC Activation Rep'!H:H),"")</f>
        <v/>
      </c>
      <c r="H378" s="13" t="str">
        <f t="array" ref="H378">iferror(xlookup(A378,'Download of SFDC Activation Rep'!B:B,'Download of SFDC Activation Rep'!L:L),"")</f>
        <v/>
      </c>
      <c r="I378" s="17" t="str">
        <f t="shared" si="2"/>
        <v>Not Active</v>
      </c>
      <c r="J378" s="17" t="str">
        <f t="array" ref="J378">XLOOKUP(A378,'Download of SFDC Activation Rep'!B:B,'Download of SFDC Activation Rep'!T:T)</f>
        <v>#N/A</v>
      </c>
      <c r="K378" s="17" t="str">
        <f t="array" ref="K378">iferror(XLOOKUP(A378,'Download of SFDC Activation Rep'!B:B,'Download of SFDC Activation Rep'!C:C),"")</f>
        <v/>
      </c>
    </row>
    <row r="379">
      <c r="B379" s="14"/>
      <c r="C379" s="14"/>
      <c r="D379" s="14"/>
      <c r="E379" s="14"/>
      <c r="F379" s="14"/>
      <c r="G379" s="13" t="str">
        <f t="array" ref="G379">iferror(XLOOKUP(A379,'Download of SFDC Activation Rep'!B:B,'Download of SFDC Activation Rep'!H:H),"")</f>
        <v/>
      </c>
      <c r="H379" s="13" t="str">
        <f t="array" ref="H379">iferror(xlookup(A379,'Download of SFDC Activation Rep'!B:B,'Download of SFDC Activation Rep'!L:L),"")</f>
        <v/>
      </c>
      <c r="I379" s="17" t="str">
        <f t="shared" si="2"/>
        <v>Not Active</v>
      </c>
      <c r="J379" s="17" t="str">
        <f t="array" ref="J379">XLOOKUP(A379,'Download of SFDC Activation Rep'!B:B,'Download of SFDC Activation Rep'!T:T)</f>
        <v>#N/A</v>
      </c>
      <c r="K379" s="17" t="str">
        <f t="array" ref="K379">iferror(XLOOKUP(A379,'Download of SFDC Activation Rep'!B:B,'Download of SFDC Activation Rep'!C:C),"")</f>
        <v/>
      </c>
    </row>
    <row r="380">
      <c r="B380" s="14"/>
      <c r="C380" s="14"/>
      <c r="D380" s="14"/>
      <c r="E380" s="14"/>
      <c r="F380" s="14"/>
      <c r="G380" s="13" t="str">
        <f t="array" ref="G380">iferror(XLOOKUP(A380,'Download of SFDC Activation Rep'!B:B,'Download of SFDC Activation Rep'!H:H),"")</f>
        <v/>
      </c>
      <c r="H380" s="13" t="str">
        <f t="array" ref="H380">iferror(xlookup(A380,'Download of SFDC Activation Rep'!B:B,'Download of SFDC Activation Rep'!L:L),"")</f>
        <v/>
      </c>
      <c r="I380" s="17" t="str">
        <f t="shared" si="2"/>
        <v>Not Active</v>
      </c>
      <c r="J380" s="17" t="str">
        <f t="array" ref="J380">XLOOKUP(A380,'Download of SFDC Activation Rep'!B:B,'Download of SFDC Activation Rep'!T:T)</f>
        <v>#N/A</v>
      </c>
      <c r="K380" s="17" t="str">
        <f t="array" ref="K380">iferror(XLOOKUP(A380,'Download of SFDC Activation Rep'!B:B,'Download of SFDC Activation Rep'!C:C),"")</f>
        <v/>
      </c>
    </row>
    <row r="381">
      <c r="B381" s="14"/>
      <c r="C381" s="14"/>
      <c r="D381" s="14"/>
      <c r="E381" s="14"/>
      <c r="F381" s="14"/>
      <c r="G381" s="13" t="str">
        <f t="array" ref="G381">iferror(XLOOKUP(A381,'Download of SFDC Activation Rep'!B:B,'Download of SFDC Activation Rep'!H:H),"")</f>
        <v/>
      </c>
      <c r="H381" s="13" t="str">
        <f t="array" ref="H381">iferror(xlookup(A381,'Download of SFDC Activation Rep'!B:B,'Download of SFDC Activation Rep'!L:L),"")</f>
        <v/>
      </c>
      <c r="I381" s="17" t="str">
        <f t="shared" si="2"/>
        <v>Not Active</v>
      </c>
      <c r="J381" s="17" t="str">
        <f t="array" ref="J381">XLOOKUP(A381,'Download of SFDC Activation Rep'!B:B,'Download of SFDC Activation Rep'!T:T)</f>
        <v>#N/A</v>
      </c>
      <c r="K381" s="17" t="str">
        <f t="array" ref="K381">iferror(XLOOKUP(A381,'Download of SFDC Activation Rep'!B:B,'Download of SFDC Activation Rep'!C:C),"")</f>
        <v/>
      </c>
    </row>
    <row r="382">
      <c r="B382" s="14"/>
      <c r="C382" s="14"/>
      <c r="D382" s="14"/>
      <c r="E382" s="14"/>
      <c r="F382" s="14"/>
      <c r="G382" s="13" t="str">
        <f t="array" ref="G382">iferror(XLOOKUP(A382,'Download of SFDC Activation Rep'!B:B,'Download of SFDC Activation Rep'!H:H),"")</f>
        <v/>
      </c>
      <c r="H382" s="13" t="str">
        <f t="array" ref="H382">iferror(xlookup(A382,'Download of SFDC Activation Rep'!B:B,'Download of SFDC Activation Rep'!L:L),"")</f>
        <v/>
      </c>
      <c r="I382" s="17" t="str">
        <f t="shared" si="2"/>
        <v>Not Active</v>
      </c>
      <c r="J382" s="17" t="str">
        <f t="array" ref="J382">XLOOKUP(A382,'Download of SFDC Activation Rep'!B:B,'Download of SFDC Activation Rep'!T:T)</f>
        <v>#N/A</v>
      </c>
      <c r="K382" s="17" t="str">
        <f t="array" ref="K382">iferror(XLOOKUP(A382,'Download of SFDC Activation Rep'!B:B,'Download of SFDC Activation Rep'!C:C),"")</f>
        <v/>
      </c>
    </row>
    <row r="383">
      <c r="B383" s="14"/>
      <c r="C383" s="14"/>
      <c r="D383" s="14"/>
      <c r="E383" s="14"/>
      <c r="F383" s="14"/>
      <c r="G383" s="13" t="str">
        <f t="array" ref="G383">iferror(XLOOKUP(A383,'Download of SFDC Activation Rep'!B:B,'Download of SFDC Activation Rep'!H:H),"")</f>
        <v/>
      </c>
      <c r="H383" s="13" t="str">
        <f t="array" ref="H383">iferror(xlookup(A383,'Download of SFDC Activation Rep'!B:B,'Download of SFDC Activation Rep'!L:L),"")</f>
        <v/>
      </c>
      <c r="I383" s="17" t="str">
        <f t="shared" si="2"/>
        <v>Not Active</v>
      </c>
      <c r="J383" s="17" t="str">
        <f t="array" ref="J383">XLOOKUP(A383,'Download of SFDC Activation Rep'!B:B,'Download of SFDC Activation Rep'!T:T)</f>
        <v>#N/A</v>
      </c>
      <c r="K383" s="17" t="str">
        <f t="array" ref="K383">iferror(XLOOKUP(A383,'Download of SFDC Activation Rep'!B:B,'Download of SFDC Activation Rep'!C:C),"")</f>
        <v/>
      </c>
    </row>
    <row r="384">
      <c r="B384" s="14"/>
      <c r="C384" s="14"/>
      <c r="D384" s="14"/>
      <c r="E384" s="14"/>
      <c r="F384" s="14"/>
      <c r="G384" s="13" t="str">
        <f t="array" ref="G384">iferror(XLOOKUP(A384,'Download of SFDC Activation Rep'!B:B,'Download of SFDC Activation Rep'!H:H),"")</f>
        <v/>
      </c>
      <c r="H384" s="13" t="str">
        <f t="array" ref="H384">iferror(xlookup(A384,'Download of SFDC Activation Rep'!B:B,'Download of SFDC Activation Rep'!L:L),"")</f>
        <v/>
      </c>
      <c r="I384" s="17" t="str">
        <f t="shared" si="2"/>
        <v>Not Active</v>
      </c>
      <c r="J384" s="17" t="str">
        <f t="array" ref="J384">XLOOKUP(A384,'Download of SFDC Activation Rep'!B:B,'Download of SFDC Activation Rep'!T:T)</f>
        <v>#N/A</v>
      </c>
      <c r="K384" s="17" t="str">
        <f t="array" ref="K384">iferror(XLOOKUP(A384,'Download of SFDC Activation Rep'!B:B,'Download of SFDC Activation Rep'!C:C),"")</f>
        <v/>
      </c>
    </row>
    <row r="385">
      <c r="B385" s="14"/>
      <c r="C385" s="14"/>
      <c r="D385" s="14"/>
      <c r="E385" s="14"/>
      <c r="F385" s="14"/>
      <c r="G385" s="13" t="str">
        <f t="array" ref="G385">iferror(XLOOKUP(A385,'Download of SFDC Activation Rep'!B:B,'Download of SFDC Activation Rep'!H:H),"")</f>
        <v/>
      </c>
      <c r="H385" s="13" t="str">
        <f t="array" ref="H385">iferror(xlookup(A385,'Download of SFDC Activation Rep'!B:B,'Download of SFDC Activation Rep'!L:L),"")</f>
        <v/>
      </c>
      <c r="I385" s="17" t="str">
        <f t="shared" si="2"/>
        <v>Not Active</v>
      </c>
      <c r="J385" s="17" t="str">
        <f t="array" ref="J385">XLOOKUP(A385,'Download of SFDC Activation Rep'!B:B,'Download of SFDC Activation Rep'!T:T)</f>
        <v>#N/A</v>
      </c>
      <c r="K385" s="17" t="str">
        <f t="array" ref="K385">iferror(XLOOKUP(A385,'Download of SFDC Activation Rep'!B:B,'Download of SFDC Activation Rep'!C:C),"")</f>
        <v/>
      </c>
    </row>
    <row r="386">
      <c r="B386" s="14"/>
      <c r="C386" s="14"/>
      <c r="D386" s="14"/>
      <c r="E386" s="14"/>
      <c r="F386" s="14"/>
      <c r="G386" s="13" t="str">
        <f t="array" ref="G386">iferror(XLOOKUP(A386,'Download of SFDC Activation Rep'!B:B,'Download of SFDC Activation Rep'!H:H),"")</f>
        <v/>
      </c>
      <c r="H386" s="13" t="str">
        <f t="array" ref="H386">iferror(xlookup(A386,'Download of SFDC Activation Rep'!B:B,'Download of SFDC Activation Rep'!L:L),"")</f>
        <v/>
      </c>
      <c r="I386" s="17" t="str">
        <f t="shared" si="2"/>
        <v>Not Active</v>
      </c>
      <c r="J386" s="17" t="str">
        <f t="array" ref="J386">XLOOKUP(A386,'Download of SFDC Activation Rep'!B:B,'Download of SFDC Activation Rep'!T:T)</f>
        <v>#N/A</v>
      </c>
      <c r="K386" s="17" t="str">
        <f t="array" ref="K386">iferror(XLOOKUP(A386,'Download of SFDC Activation Rep'!B:B,'Download of SFDC Activation Rep'!C:C),"")</f>
        <v/>
      </c>
    </row>
    <row r="387">
      <c r="B387" s="14"/>
      <c r="C387" s="14"/>
      <c r="D387" s="14"/>
      <c r="E387" s="14"/>
      <c r="F387" s="14"/>
      <c r="G387" s="13" t="str">
        <f t="array" ref="G387">iferror(XLOOKUP(A387,'Download of SFDC Activation Rep'!B:B,'Download of SFDC Activation Rep'!H:H),"")</f>
        <v/>
      </c>
      <c r="H387" s="13" t="str">
        <f t="array" ref="H387">iferror(xlookup(A387,'Download of SFDC Activation Rep'!B:B,'Download of SFDC Activation Rep'!L:L),"")</f>
        <v/>
      </c>
      <c r="I387" s="17" t="str">
        <f t="shared" si="2"/>
        <v>Not Active</v>
      </c>
      <c r="J387" s="17" t="str">
        <f t="array" ref="J387">XLOOKUP(A387,'Download of SFDC Activation Rep'!B:B,'Download of SFDC Activation Rep'!T:T)</f>
        <v>#N/A</v>
      </c>
      <c r="K387" s="17" t="str">
        <f t="array" ref="K387">iferror(XLOOKUP(A387,'Download of SFDC Activation Rep'!B:B,'Download of SFDC Activation Rep'!C:C),"")</f>
        <v/>
      </c>
    </row>
    <row r="388">
      <c r="B388" s="14"/>
      <c r="C388" s="14"/>
      <c r="D388" s="14"/>
      <c r="E388" s="14"/>
      <c r="F388" s="14"/>
      <c r="G388" s="13" t="str">
        <f t="array" ref="G388">iferror(XLOOKUP(A388,'Download of SFDC Activation Rep'!B:B,'Download of SFDC Activation Rep'!H:H),"")</f>
        <v/>
      </c>
      <c r="H388" s="13" t="str">
        <f t="array" ref="H388">iferror(xlookup(A388,'Download of SFDC Activation Rep'!B:B,'Download of SFDC Activation Rep'!L:L),"")</f>
        <v/>
      </c>
      <c r="I388" s="17" t="str">
        <f t="shared" si="2"/>
        <v>Not Active</v>
      </c>
      <c r="J388" s="17" t="str">
        <f t="array" ref="J388">XLOOKUP(A388,'Download of SFDC Activation Rep'!B:B,'Download of SFDC Activation Rep'!T:T)</f>
        <v>#N/A</v>
      </c>
      <c r="K388" s="17" t="str">
        <f t="array" ref="K388">iferror(XLOOKUP(A388,'Download of SFDC Activation Rep'!B:B,'Download of SFDC Activation Rep'!C:C),"")</f>
        <v/>
      </c>
    </row>
    <row r="389">
      <c r="B389" s="14"/>
      <c r="C389" s="14"/>
      <c r="D389" s="14"/>
      <c r="E389" s="14"/>
      <c r="F389" s="14"/>
      <c r="G389" s="13" t="str">
        <f t="array" ref="G389">iferror(XLOOKUP(A389,'Download of SFDC Activation Rep'!B:B,'Download of SFDC Activation Rep'!H:H),"")</f>
        <v/>
      </c>
      <c r="H389" s="13" t="str">
        <f t="array" ref="H389">iferror(xlookup(A389,'Download of SFDC Activation Rep'!B:B,'Download of SFDC Activation Rep'!L:L),"")</f>
        <v/>
      </c>
      <c r="I389" s="17" t="str">
        <f t="shared" si="2"/>
        <v>Not Active</v>
      </c>
      <c r="J389" s="17" t="str">
        <f t="array" ref="J389">XLOOKUP(A389,'Download of SFDC Activation Rep'!B:B,'Download of SFDC Activation Rep'!T:T)</f>
        <v>#N/A</v>
      </c>
      <c r="K389" s="17" t="str">
        <f t="array" ref="K389">iferror(XLOOKUP(A389,'Download of SFDC Activation Rep'!B:B,'Download of SFDC Activation Rep'!C:C),"")</f>
        <v/>
      </c>
    </row>
    <row r="390">
      <c r="B390" s="14"/>
      <c r="C390" s="14"/>
      <c r="D390" s="14"/>
      <c r="E390" s="14"/>
      <c r="F390" s="14"/>
      <c r="G390" s="13" t="str">
        <f t="array" ref="G390">iferror(XLOOKUP(A390,'Download of SFDC Activation Rep'!B:B,'Download of SFDC Activation Rep'!H:H),"")</f>
        <v/>
      </c>
      <c r="H390" s="13" t="str">
        <f t="array" ref="H390">iferror(xlookup(A390,'Download of SFDC Activation Rep'!B:B,'Download of SFDC Activation Rep'!L:L),"")</f>
        <v/>
      </c>
      <c r="I390" s="17" t="str">
        <f t="shared" si="2"/>
        <v>Not Active</v>
      </c>
      <c r="J390" s="17" t="str">
        <f t="array" ref="J390">XLOOKUP(A390,'Download of SFDC Activation Rep'!B:B,'Download of SFDC Activation Rep'!T:T)</f>
        <v>#N/A</v>
      </c>
      <c r="K390" s="17" t="str">
        <f t="array" ref="K390">iferror(XLOOKUP(A390,'Download of SFDC Activation Rep'!B:B,'Download of SFDC Activation Rep'!C:C),"")</f>
        <v/>
      </c>
    </row>
    <row r="391">
      <c r="B391" s="14"/>
      <c r="C391" s="14"/>
      <c r="D391" s="14"/>
      <c r="E391" s="14"/>
      <c r="F391" s="14"/>
      <c r="G391" s="13" t="str">
        <f t="array" ref="G391">iferror(XLOOKUP(A391,'Download of SFDC Activation Rep'!B:B,'Download of SFDC Activation Rep'!H:H),"")</f>
        <v/>
      </c>
      <c r="H391" s="13" t="str">
        <f t="array" ref="H391">iferror(xlookup(A391,'Download of SFDC Activation Rep'!B:B,'Download of SFDC Activation Rep'!L:L),"")</f>
        <v/>
      </c>
      <c r="I391" s="17" t="str">
        <f t="shared" si="2"/>
        <v>Not Active</v>
      </c>
      <c r="J391" s="17" t="str">
        <f t="array" ref="J391">XLOOKUP(A391,'Download of SFDC Activation Rep'!B:B,'Download of SFDC Activation Rep'!T:T)</f>
        <v>#N/A</v>
      </c>
      <c r="K391" s="17" t="str">
        <f t="array" ref="K391">iferror(XLOOKUP(A391,'Download of SFDC Activation Rep'!B:B,'Download of SFDC Activation Rep'!C:C),"")</f>
        <v/>
      </c>
    </row>
    <row r="392">
      <c r="B392" s="14"/>
      <c r="C392" s="14"/>
      <c r="D392" s="14"/>
      <c r="E392" s="14"/>
      <c r="F392" s="14"/>
      <c r="G392" s="13" t="str">
        <f t="array" ref="G392">iferror(XLOOKUP(A392,'Download of SFDC Activation Rep'!B:B,'Download of SFDC Activation Rep'!H:H),"")</f>
        <v/>
      </c>
      <c r="H392" s="13" t="str">
        <f t="array" ref="H392">iferror(xlookup(A392,'Download of SFDC Activation Rep'!B:B,'Download of SFDC Activation Rep'!L:L),"")</f>
        <v/>
      </c>
      <c r="I392" s="17" t="str">
        <f t="shared" si="2"/>
        <v>Not Active</v>
      </c>
      <c r="J392" s="17" t="str">
        <f t="array" ref="J392">XLOOKUP(A392,'Download of SFDC Activation Rep'!B:B,'Download of SFDC Activation Rep'!T:T)</f>
        <v>#N/A</v>
      </c>
      <c r="K392" s="17" t="str">
        <f t="array" ref="K392">iferror(XLOOKUP(A392,'Download of SFDC Activation Rep'!B:B,'Download of SFDC Activation Rep'!C:C),"")</f>
        <v/>
      </c>
    </row>
    <row r="393">
      <c r="B393" s="14"/>
      <c r="C393" s="14"/>
      <c r="D393" s="14"/>
      <c r="E393" s="14"/>
      <c r="F393" s="14"/>
      <c r="G393" s="13" t="str">
        <f t="array" ref="G393">iferror(XLOOKUP(A393,'Download of SFDC Activation Rep'!B:B,'Download of SFDC Activation Rep'!H:H),"")</f>
        <v/>
      </c>
      <c r="H393" s="13" t="str">
        <f t="array" ref="H393">iferror(xlookup(A393,'Download of SFDC Activation Rep'!B:B,'Download of SFDC Activation Rep'!L:L),"")</f>
        <v/>
      </c>
      <c r="I393" s="17" t="str">
        <f t="shared" si="2"/>
        <v>Not Active</v>
      </c>
      <c r="J393" s="17" t="str">
        <f t="array" ref="J393">XLOOKUP(A393,'Download of SFDC Activation Rep'!B:B,'Download of SFDC Activation Rep'!T:T)</f>
        <v>#N/A</v>
      </c>
      <c r="K393" s="17" t="str">
        <f t="array" ref="K393">iferror(XLOOKUP(A393,'Download of SFDC Activation Rep'!B:B,'Download of SFDC Activation Rep'!C:C),"")</f>
        <v/>
      </c>
    </row>
    <row r="394">
      <c r="B394" s="14"/>
      <c r="C394" s="14"/>
      <c r="D394" s="14"/>
      <c r="E394" s="14"/>
      <c r="F394" s="14"/>
      <c r="G394" s="13" t="str">
        <f t="array" ref="G394">iferror(XLOOKUP(A394,'Download of SFDC Activation Rep'!B:B,'Download of SFDC Activation Rep'!H:H),"")</f>
        <v/>
      </c>
      <c r="H394" s="13" t="str">
        <f t="array" ref="H394">iferror(xlookup(A394,'Download of SFDC Activation Rep'!B:B,'Download of SFDC Activation Rep'!L:L),"")</f>
        <v/>
      </c>
      <c r="I394" s="17" t="str">
        <f t="shared" si="2"/>
        <v>Not Active</v>
      </c>
      <c r="J394" s="17" t="str">
        <f t="array" ref="J394">XLOOKUP(A394,'Download of SFDC Activation Rep'!B:B,'Download of SFDC Activation Rep'!T:T)</f>
        <v>#N/A</v>
      </c>
      <c r="K394" s="17" t="str">
        <f t="array" ref="K394">iferror(XLOOKUP(A394,'Download of SFDC Activation Rep'!B:B,'Download of SFDC Activation Rep'!C:C),"")</f>
        <v/>
      </c>
    </row>
    <row r="395">
      <c r="B395" s="14"/>
      <c r="C395" s="14"/>
      <c r="D395" s="14"/>
      <c r="E395" s="14"/>
      <c r="F395" s="14"/>
      <c r="G395" s="13" t="str">
        <f t="array" ref="G395">iferror(XLOOKUP(A395,'Download of SFDC Activation Rep'!B:B,'Download of SFDC Activation Rep'!H:H),"")</f>
        <v/>
      </c>
      <c r="H395" s="13" t="str">
        <f t="array" ref="H395">iferror(xlookup(A395,'Download of SFDC Activation Rep'!B:B,'Download of SFDC Activation Rep'!L:L),"")</f>
        <v/>
      </c>
      <c r="I395" s="17" t="str">
        <f t="shared" si="2"/>
        <v>Not Active</v>
      </c>
      <c r="J395" s="17" t="str">
        <f t="array" ref="J395">XLOOKUP(A395,'Download of SFDC Activation Rep'!B:B,'Download of SFDC Activation Rep'!T:T)</f>
        <v>#N/A</v>
      </c>
      <c r="K395" s="17" t="str">
        <f t="array" ref="K395">iferror(XLOOKUP(A395,'Download of SFDC Activation Rep'!B:B,'Download of SFDC Activation Rep'!C:C),"")</f>
        <v/>
      </c>
    </row>
    <row r="396">
      <c r="B396" s="14"/>
      <c r="C396" s="14"/>
      <c r="D396" s="14"/>
      <c r="E396" s="14"/>
      <c r="F396" s="14"/>
      <c r="G396" s="13" t="str">
        <f t="array" ref="G396">iferror(XLOOKUP(A396,'Download of SFDC Activation Rep'!B:B,'Download of SFDC Activation Rep'!H:H),"")</f>
        <v/>
      </c>
      <c r="H396" s="13" t="str">
        <f t="array" ref="H396">iferror(xlookup(A396,'Download of SFDC Activation Rep'!B:B,'Download of SFDC Activation Rep'!L:L),"")</f>
        <v/>
      </c>
      <c r="I396" s="17" t="str">
        <f t="shared" si="2"/>
        <v>Not Active</v>
      </c>
      <c r="J396" s="17" t="str">
        <f t="array" ref="J396">XLOOKUP(A396,'Download of SFDC Activation Rep'!B:B,'Download of SFDC Activation Rep'!T:T)</f>
        <v>#N/A</v>
      </c>
      <c r="K396" s="17" t="str">
        <f t="array" ref="K396">iferror(XLOOKUP(A396,'Download of SFDC Activation Rep'!B:B,'Download of SFDC Activation Rep'!C:C),"")</f>
        <v/>
      </c>
    </row>
    <row r="397">
      <c r="B397" s="14"/>
      <c r="C397" s="14"/>
      <c r="D397" s="14"/>
      <c r="E397" s="14"/>
      <c r="F397" s="14"/>
      <c r="G397" s="13" t="str">
        <f t="array" ref="G397">iferror(XLOOKUP(A397,'Download of SFDC Activation Rep'!B:B,'Download of SFDC Activation Rep'!H:H),"")</f>
        <v/>
      </c>
      <c r="H397" s="13" t="str">
        <f t="array" ref="H397">iferror(xlookup(A397,'Download of SFDC Activation Rep'!B:B,'Download of SFDC Activation Rep'!L:L),"")</f>
        <v/>
      </c>
      <c r="I397" s="17" t="str">
        <f t="shared" si="2"/>
        <v>Not Active</v>
      </c>
      <c r="J397" s="17" t="str">
        <f t="array" ref="J397">XLOOKUP(A397,'Download of SFDC Activation Rep'!B:B,'Download of SFDC Activation Rep'!T:T)</f>
        <v>#N/A</v>
      </c>
      <c r="K397" s="17" t="str">
        <f t="array" ref="K397">iferror(XLOOKUP(A397,'Download of SFDC Activation Rep'!B:B,'Download of SFDC Activation Rep'!C:C),"")</f>
        <v/>
      </c>
    </row>
    <row r="398">
      <c r="B398" s="14"/>
      <c r="C398" s="14"/>
      <c r="D398" s="14"/>
      <c r="E398" s="14"/>
      <c r="F398" s="14"/>
      <c r="G398" s="13" t="str">
        <f t="array" ref="G398">iferror(XLOOKUP(A398,'Download of SFDC Activation Rep'!B:B,'Download of SFDC Activation Rep'!H:H),"")</f>
        <v/>
      </c>
      <c r="H398" s="13" t="str">
        <f t="array" ref="H398">iferror(xlookup(A398,'Download of SFDC Activation Rep'!B:B,'Download of SFDC Activation Rep'!L:L),"")</f>
        <v/>
      </c>
      <c r="I398" s="17" t="str">
        <f t="shared" si="2"/>
        <v>Not Active</v>
      </c>
      <c r="J398" s="17" t="str">
        <f t="array" ref="J398">XLOOKUP(A398,'Download of SFDC Activation Rep'!B:B,'Download of SFDC Activation Rep'!T:T)</f>
        <v>#N/A</v>
      </c>
      <c r="K398" s="17" t="str">
        <f t="array" ref="K398">iferror(XLOOKUP(A398,'Download of SFDC Activation Rep'!B:B,'Download of SFDC Activation Rep'!C:C),"")</f>
        <v/>
      </c>
    </row>
    <row r="399">
      <c r="B399" s="14"/>
      <c r="C399" s="14"/>
      <c r="D399" s="14"/>
      <c r="E399" s="14"/>
      <c r="F399" s="14"/>
      <c r="G399" s="13" t="str">
        <f t="array" ref="G399">iferror(XLOOKUP(A399,'Download of SFDC Activation Rep'!B:B,'Download of SFDC Activation Rep'!H:H),"")</f>
        <v/>
      </c>
      <c r="H399" s="13" t="str">
        <f t="array" ref="H399">iferror(xlookup(A399,'Download of SFDC Activation Rep'!B:B,'Download of SFDC Activation Rep'!L:L),"")</f>
        <v/>
      </c>
      <c r="I399" s="17" t="str">
        <f t="shared" si="2"/>
        <v>Not Active</v>
      </c>
      <c r="J399" s="17" t="str">
        <f t="array" ref="J399">XLOOKUP(A399,'Download of SFDC Activation Rep'!B:B,'Download of SFDC Activation Rep'!T:T)</f>
        <v>#N/A</v>
      </c>
      <c r="K399" s="17" t="str">
        <f t="array" ref="K399">iferror(XLOOKUP(A399,'Download of SFDC Activation Rep'!B:B,'Download of SFDC Activation Rep'!C:C),"")</f>
        <v/>
      </c>
    </row>
    <row r="400">
      <c r="B400" s="14"/>
      <c r="C400" s="14"/>
      <c r="D400" s="14"/>
      <c r="E400" s="14"/>
      <c r="F400" s="14"/>
      <c r="G400" s="13" t="str">
        <f t="array" ref="G400">iferror(XLOOKUP(A400,'Download of SFDC Activation Rep'!B:B,'Download of SFDC Activation Rep'!H:H),"")</f>
        <v/>
      </c>
      <c r="H400" s="13" t="str">
        <f t="array" ref="H400">iferror(xlookup(A400,'Download of SFDC Activation Rep'!B:B,'Download of SFDC Activation Rep'!L:L),"")</f>
        <v/>
      </c>
      <c r="I400" s="17" t="str">
        <f t="shared" si="2"/>
        <v>Not Active</v>
      </c>
      <c r="J400" s="17" t="str">
        <f t="array" ref="J400">XLOOKUP(A400,'Download of SFDC Activation Rep'!B:B,'Download of SFDC Activation Rep'!T:T)</f>
        <v>#N/A</v>
      </c>
      <c r="K400" s="17" t="str">
        <f t="array" ref="K400">iferror(XLOOKUP(A400,'Download of SFDC Activation Rep'!B:B,'Download of SFDC Activation Rep'!C:C),"")</f>
        <v/>
      </c>
    </row>
    <row r="401">
      <c r="B401" s="14"/>
      <c r="C401" s="14"/>
      <c r="D401" s="14"/>
      <c r="E401" s="14"/>
      <c r="F401" s="14"/>
      <c r="G401" s="13" t="str">
        <f t="array" ref="G401">iferror(XLOOKUP(A401,'Download of SFDC Activation Rep'!B:B,'Download of SFDC Activation Rep'!H:H),"")</f>
        <v/>
      </c>
      <c r="H401" s="13" t="str">
        <f t="array" ref="H401">iferror(xlookup(A401,'Download of SFDC Activation Rep'!B:B,'Download of SFDC Activation Rep'!L:L),"")</f>
        <v/>
      </c>
      <c r="I401" s="17" t="str">
        <f t="shared" si="2"/>
        <v>Not Active</v>
      </c>
      <c r="J401" s="17" t="str">
        <f t="array" ref="J401">XLOOKUP(A401,'Download of SFDC Activation Rep'!B:B,'Download of SFDC Activation Rep'!T:T)</f>
        <v>#N/A</v>
      </c>
      <c r="K401" s="17" t="str">
        <f t="array" ref="K401">iferror(XLOOKUP(A401,'Download of SFDC Activation Rep'!B:B,'Download of SFDC Activation Rep'!C:C),"")</f>
        <v/>
      </c>
    </row>
    <row r="402">
      <c r="B402" s="14"/>
      <c r="C402" s="14"/>
      <c r="D402" s="14"/>
      <c r="E402" s="14"/>
      <c r="F402" s="14"/>
      <c r="G402" s="13" t="str">
        <f t="array" ref="G402">iferror(XLOOKUP(A402,'Download of SFDC Activation Rep'!B:B,'Download of SFDC Activation Rep'!H:H),"")</f>
        <v/>
      </c>
      <c r="H402" s="13" t="str">
        <f t="array" ref="H402">iferror(xlookup(A402,'Download of SFDC Activation Rep'!B:B,'Download of SFDC Activation Rep'!L:L),"")</f>
        <v/>
      </c>
      <c r="I402" s="17" t="str">
        <f t="shared" si="2"/>
        <v>Not Active</v>
      </c>
      <c r="J402" s="17" t="str">
        <f t="array" ref="J402">XLOOKUP(A402,'Download of SFDC Activation Rep'!B:B,'Download of SFDC Activation Rep'!T:T)</f>
        <v>#N/A</v>
      </c>
      <c r="K402" s="17" t="str">
        <f t="array" ref="K402">iferror(XLOOKUP(A402,'Download of SFDC Activation Rep'!B:B,'Download of SFDC Activation Rep'!C:C),"")</f>
        <v/>
      </c>
    </row>
    <row r="403">
      <c r="B403" s="14"/>
      <c r="C403" s="14"/>
      <c r="D403" s="14"/>
      <c r="E403" s="14"/>
      <c r="F403" s="14"/>
      <c r="G403" s="13" t="str">
        <f t="array" ref="G403">iferror(XLOOKUP(A403,'Download of SFDC Activation Rep'!B:B,'Download of SFDC Activation Rep'!H:H),"")</f>
        <v/>
      </c>
      <c r="H403" s="13" t="str">
        <f t="array" ref="H403">iferror(xlookup(A403,'Download of SFDC Activation Rep'!B:B,'Download of SFDC Activation Rep'!L:L),"")</f>
        <v/>
      </c>
      <c r="I403" s="17" t="str">
        <f t="shared" si="2"/>
        <v>Not Active</v>
      </c>
      <c r="J403" s="17" t="str">
        <f t="array" ref="J403">XLOOKUP(A403,'Download of SFDC Activation Rep'!B:B,'Download of SFDC Activation Rep'!T:T)</f>
        <v>#N/A</v>
      </c>
      <c r="K403" s="17" t="str">
        <f t="array" ref="K403">iferror(XLOOKUP(A403,'Download of SFDC Activation Rep'!B:B,'Download of SFDC Activation Rep'!C:C),"")</f>
        <v/>
      </c>
    </row>
    <row r="404">
      <c r="B404" s="14"/>
      <c r="C404" s="14"/>
      <c r="D404" s="14"/>
      <c r="E404" s="14"/>
      <c r="F404" s="14"/>
      <c r="G404" s="13" t="str">
        <f t="array" ref="G404">iferror(XLOOKUP(A404,'Download of SFDC Activation Rep'!B:B,'Download of SFDC Activation Rep'!H:H),"")</f>
        <v/>
      </c>
      <c r="H404" s="13" t="str">
        <f t="array" ref="H404">iferror(xlookup(A404,'Download of SFDC Activation Rep'!B:B,'Download of SFDC Activation Rep'!L:L),"")</f>
        <v/>
      </c>
      <c r="I404" s="17" t="str">
        <f t="shared" si="2"/>
        <v>Not Active</v>
      </c>
      <c r="J404" s="17" t="str">
        <f t="array" ref="J404">XLOOKUP(A404,'Download of SFDC Activation Rep'!B:B,'Download of SFDC Activation Rep'!T:T)</f>
        <v>#N/A</v>
      </c>
      <c r="K404" s="17" t="str">
        <f t="array" ref="K404">iferror(XLOOKUP(A404,'Download of SFDC Activation Rep'!B:B,'Download of SFDC Activation Rep'!C:C),"")</f>
        <v/>
      </c>
    </row>
    <row r="405">
      <c r="B405" s="14"/>
      <c r="C405" s="14"/>
      <c r="D405" s="14"/>
      <c r="E405" s="14"/>
      <c r="F405" s="14"/>
      <c r="G405" s="13" t="str">
        <f t="array" ref="G405">iferror(XLOOKUP(A405,'Download of SFDC Activation Rep'!B:B,'Download of SFDC Activation Rep'!H:H),"")</f>
        <v/>
      </c>
      <c r="H405" s="13" t="str">
        <f t="array" ref="H405">iferror(xlookup(A405,'Download of SFDC Activation Rep'!B:B,'Download of SFDC Activation Rep'!L:L),"")</f>
        <v/>
      </c>
      <c r="I405" s="17" t="str">
        <f t="shared" si="2"/>
        <v>Not Active</v>
      </c>
      <c r="J405" s="17" t="str">
        <f t="array" ref="J405">XLOOKUP(A405,'Download of SFDC Activation Rep'!B:B,'Download of SFDC Activation Rep'!T:T)</f>
        <v>#N/A</v>
      </c>
      <c r="K405" s="17" t="str">
        <f t="array" ref="K405">iferror(XLOOKUP(A405,'Download of SFDC Activation Rep'!B:B,'Download of SFDC Activation Rep'!C:C),"")</f>
        <v/>
      </c>
    </row>
    <row r="406">
      <c r="B406" s="14"/>
      <c r="C406" s="14"/>
      <c r="D406" s="14"/>
      <c r="E406" s="14"/>
      <c r="F406" s="14"/>
      <c r="G406" s="13" t="str">
        <f t="array" ref="G406">iferror(XLOOKUP(A406,'Download of SFDC Activation Rep'!B:B,'Download of SFDC Activation Rep'!H:H),"")</f>
        <v/>
      </c>
      <c r="H406" s="13" t="str">
        <f t="array" ref="H406">iferror(xlookup(A406,'Download of SFDC Activation Rep'!B:B,'Download of SFDC Activation Rep'!L:L),"")</f>
        <v/>
      </c>
      <c r="I406" s="17" t="str">
        <f t="shared" si="2"/>
        <v>Not Active</v>
      </c>
      <c r="J406" s="17" t="str">
        <f t="array" ref="J406">XLOOKUP(A406,'Download of SFDC Activation Rep'!B:B,'Download of SFDC Activation Rep'!T:T)</f>
        <v>#N/A</v>
      </c>
      <c r="K406" s="17" t="str">
        <f t="array" ref="K406">iferror(XLOOKUP(A406,'Download of SFDC Activation Rep'!B:B,'Download of SFDC Activation Rep'!C:C),"")</f>
        <v/>
      </c>
    </row>
    <row r="407">
      <c r="B407" s="14"/>
      <c r="C407" s="14"/>
      <c r="D407" s="14"/>
      <c r="E407" s="14"/>
      <c r="F407" s="14"/>
      <c r="G407" s="13" t="str">
        <f t="array" ref="G407">iferror(XLOOKUP(A407,'Download of SFDC Activation Rep'!B:B,'Download of SFDC Activation Rep'!H:H),"")</f>
        <v/>
      </c>
      <c r="H407" s="13" t="str">
        <f t="array" ref="H407">iferror(xlookup(A407,'Download of SFDC Activation Rep'!B:B,'Download of SFDC Activation Rep'!L:L),"")</f>
        <v/>
      </c>
      <c r="I407" s="17" t="str">
        <f t="shared" si="2"/>
        <v>Not Active</v>
      </c>
      <c r="J407" s="17" t="str">
        <f t="array" ref="J407">XLOOKUP(A407,'Download of SFDC Activation Rep'!B:B,'Download of SFDC Activation Rep'!T:T)</f>
        <v>#N/A</v>
      </c>
      <c r="K407" s="17" t="str">
        <f t="array" ref="K407">iferror(XLOOKUP(A407,'Download of SFDC Activation Rep'!B:B,'Download of SFDC Activation Rep'!C:C),"")</f>
        <v/>
      </c>
    </row>
    <row r="408">
      <c r="B408" s="14"/>
      <c r="C408" s="14"/>
      <c r="D408" s="14"/>
      <c r="E408" s="14"/>
      <c r="F408" s="14"/>
      <c r="G408" s="13" t="str">
        <f t="array" ref="G408">iferror(XLOOKUP(A408,'Download of SFDC Activation Rep'!B:B,'Download of SFDC Activation Rep'!H:H),"")</f>
        <v/>
      </c>
      <c r="H408" s="13" t="str">
        <f t="array" ref="H408">iferror(xlookup(A408,'Download of SFDC Activation Rep'!B:B,'Download of SFDC Activation Rep'!L:L),"")</f>
        <v/>
      </c>
      <c r="I408" s="17" t="str">
        <f t="shared" si="2"/>
        <v>Not Active</v>
      </c>
      <c r="J408" s="17" t="str">
        <f t="array" ref="J408">XLOOKUP(A408,'Download of SFDC Activation Rep'!B:B,'Download of SFDC Activation Rep'!T:T)</f>
        <v>#N/A</v>
      </c>
      <c r="K408" s="17" t="str">
        <f t="array" ref="K408">iferror(XLOOKUP(A408,'Download of SFDC Activation Rep'!B:B,'Download of SFDC Activation Rep'!C:C),"")</f>
        <v/>
      </c>
    </row>
    <row r="409">
      <c r="B409" s="14"/>
      <c r="C409" s="14"/>
      <c r="D409" s="14"/>
      <c r="E409" s="14"/>
      <c r="F409" s="14"/>
      <c r="G409" s="13" t="str">
        <f t="array" ref="G409">iferror(XLOOKUP(A409,'Download of SFDC Activation Rep'!B:B,'Download of SFDC Activation Rep'!H:H),"")</f>
        <v/>
      </c>
      <c r="H409" s="13" t="str">
        <f t="array" ref="H409">iferror(xlookup(A409,'Download of SFDC Activation Rep'!B:B,'Download of SFDC Activation Rep'!L:L),"")</f>
        <v/>
      </c>
      <c r="I409" s="17" t="str">
        <f t="shared" si="2"/>
        <v>Not Active</v>
      </c>
      <c r="J409" s="17" t="str">
        <f t="array" ref="J409">XLOOKUP(A409,'Download of SFDC Activation Rep'!B:B,'Download of SFDC Activation Rep'!T:T)</f>
        <v>#N/A</v>
      </c>
      <c r="K409" s="17" t="str">
        <f t="array" ref="K409">iferror(XLOOKUP(A409,'Download of SFDC Activation Rep'!B:B,'Download of SFDC Activation Rep'!C:C),"")</f>
        <v/>
      </c>
    </row>
    <row r="410">
      <c r="B410" s="14"/>
      <c r="C410" s="14"/>
      <c r="D410" s="14"/>
      <c r="E410" s="14"/>
      <c r="F410" s="14"/>
      <c r="G410" s="13" t="str">
        <f t="array" ref="G410">iferror(XLOOKUP(A410,'Download of SFDC Activation Rep'!B:B,'Download of SFDC Activation Rep'!H:H),"")</f>
        <v/>
      </c>
      <c r="H410" s="13" t="str">
        <f t="array" ref="H410">iferror(xlookup(A410,'Download of SFDC Activation Rep'!B:B,'Download of SFDC Activation Rep'!L:L),"")</f>
        <v/>
      </c>
      <c r="I410" s="17" t="str">
        <f t="shared" si="2"/>
        <v>Not Active</v>
      </c>
      <c r="J410" s="17" t="str">
        <f t="array" ref="J410">XLOOKUP(A410,'Download of SFDC Activation Rep'!B:B,'Download of SFDC Activation Rep'!T:T)</f>
        <v>#N/A</v>
      </c>
      <c r="K410" s="17" t="str">
        <f t="array" ref="K410">iferror(XLOOKUP(A410,'Download of SFDC Activation Rep'!B:B,'Download of SFDC Activation Rep'!C:C),"")</f>
        <v/>
      </c>
    </row>
    <row r="411">
      <c r="B411" s="14"/>
      <c r="C411" s="14"/>
      <c r="D411" s="14"/>
      <c r="E411" s="14"/>
      <c r="F411" s="14"/>
      <c r="G411" s="13" t="str">
        <f t="array" ref="G411">iferror(XLOOKUP(A411,'Download of SFDC Activation Rep'!B:B,'Download of SFDC Activation Rep'!H:H),"")</f>
        <v/>
      </c>
      <c r="H411" s="13" t="str">
        <f t="array" ref="H411">iferror(xlookup(A411,'Download of SFDC Activation Rep'!B:B,'Download of SFDC Activation Rep'!L:L),"")</f>
        <v/>
      </c>
      <c r="I411" s="17" t="str">
        <f t="shared" si="2"/>
        <v>Not Active</v>
      </c>
      <c r="J411" s="17" t="str">
        <f t="array" ref="J411">XLOOKUP(A411,'Download of SFDC Activation Rep'!B:B,'Download of SFDC Activation Rep'!T:T)</f>
        <v>#N/A</v>
      </c>
      <c r="K411" s="17" t="str">
        <f t="array" ref="K411">iferror(XLOOKUP(A411,'Download of SFDC Activation Rep'!B:B,'Download of SFDC Activation Rep'!C:C),"")</f>
        <v/>
      </c>
    </row>
    <row r="412">
      <c r="B412" s="14"/>
      <c r="C412" s="14"/>
      <c r="D412" s="14"/>
      <c r="E412" s="14"/>
      <c r="F412" s="14"/>
      <c r="G412" s="13" t="str">
        <f t="array" ref="G412">iferror(XLOOKUP(A412,'Download of SFDC Activation Rep'!B:B,'Download of SFDC Activation Rep'!H:H),"")</f>
        <v/>
      </c>
      <c r="H412" s="13" t="str">
        <f t="array" ref="H412">iferror(xlookup(A412,'Download of SFDC Activation Rep'!B:B,'Download of SFDC Activation Rep'!L:L),"")</f>
        <v/>
      </c>
      <c r="I412" s="17" t="str">
        <f t="shared" si="2"/>
        <v>Not Active</v>
      </c>
      <c r="J412" s="17" t="str">
        <f t="array" ref="J412">XLOOKUP(A412,'Download of SFDC Activation Rep'!B:B,'Download of SFDC Activation Rep'!T:T)</f>
        <v>#N/A</v>
      </c>
      <c r="K412" s="17" t="str">
        <f t="array" ref="K412">iferror(XLOOKUP(A412,'Download of SFDC Activation Rep'!B:B,'Download of SFDC Activation Rep'!C:C),"")</f>
        <v/>
      </c>
    </row>
    <row r="413">
      <c r="B413" s="14"/>
      <c r="C413" s="14"/>
      <c r="D413" s="14"/>
      <c r="E413" s="14"/>
      <c r="F413" s="14"/>
      <c r="G413" s="13" t="str">
        <f t="array" ref="G413">iferror(XLOOKUP(A413,'Download of SFDC Activation Rep'!B:B,'Download of SFDC Activation Rep'!H:H),"")</f>
        <v/>
      </c>
      <c r="H413" s="13" t="str">
        <f t="array" ref="H413">iferror(xlookup(A413,'Download of SFDC Activation Rep'!B:B,'Download of SFDC Activation Rep'!L:L),"")</f>
        <v/>
      </c>
      <c r="I413" s="17" t="str">
        <f t="shared" si="2"/>
        <v>Not Active</v>
      </c>
      <c r="J413" s="17" t="str">
        <f t="array" ref="J413">XLOOKUP(A413,'Download of SFDC Activation Rep'!B:B,'Download of SFDC Activation Rep'!T:T)</f>
        <v>#N/A</v>
      </c>
      <c r="K413" s="17" t="str">
        <f t="array" ref="K413">iferror(XLOOKUP(A413,'Download of SFDC Activation Rep'!B:B,'Download of SFDC Activation Rep'!C:C),"")</f>
        <v/>
      </c>
    </row>
    <row r="414">
      <c r="B414" s="14"/>
      <c r="C414" s="14"/>
      <c r="D414" s="14"/>
      <c r="E414" s="14"/>
      <c r="F414" s="14"/>
      <c r="G414" s="13" t="str">
        <f t="array" ref="G414">iferror(XLOOKUP(A414,'Download of SFDC Activation Rep'!B:B,'Download of SFDC Activation Rep'!H:H),"")</f>
        <v/>
      </c>
      <c r="H414" s="13" t="str">
        <f t="array" ref="H414">iferror(xlookup(A414,'Download of SFDC Activation Rep'!B:B,'Download of SFDC Activation Rep'!L:L),"")</f>
        <v/>
      </c>
      <c r="I414" s="17" t="str">
        <f t="shared" si="2"/>
        <v>Not Active</v>
      </c>
      <c r="J414" s="17" t="str">
        <f t="array" ref="J414">XLOOKUP(A414,'Download of SFDC Activation Rep'!B:B,'Download of SFDC Activation Rep'!T:T)</f>
        <v>#N/A</v>
      </c>
      <c r="K414" s="17" t="str">
        <f t="array" ref="K414">iferror(XLOOKUP(A414,'Download of SFDC Activation Rep'!B:B,'Download of SFDC Activation Rep'!C:C),"")</f>
        <v/>
      </c>
    </row>
    <row r="415">
      <c r="B415" s="14"/>
      <c r="C415" s="14"/>
      <c r="D415" s="14"/>
      <c r="E415" s="14"/>
      <c r="F415" s="14"/>
      <c r="G415" s="13" t="str">
        <f t="array" ref="G415">iferror(XLOOKUP(A415,'Download of SFDC Activation Rep'!B:B,'Download of SFDC Activation Rep'!H:H),"")</f>
        <v/>
      </c>
      <c r="H415" s="13" t="str">
        <f t="array" ref="H415">iferror(xlookup(A415,'Download of SFDC Activation Rep'!B:B,'Download of SFDC Activation Rep'!L:L),"")</f>
        <v/>
      </c>
      <c r="I415" s="17" t="str">
        <f t="shared" si="2"/>
        <v>Not Active</v>
      </c>
      <c r="J415" s="17" t="str">
        <f t="array" ref="J415">XLOOKUP(A415,'Download of SFDC Activation Rep'!B:B,'Download of SFDC Activation Rep'!T:T)</f>
        <v>#N/A</v>
      </c>
      <c r="K415" s="17" t="str">
        <f t="array" ref="K415">iferror(XLOOKUP(A415,'Download of SFDC Activation Rep'!B:B,'Download of SFDC Activation Rep'!C:C),"")</f>
        <v/>
      </c>
    </row>
    <row r="416">
      <c r="B416" s="14"/>
      <c r="C416" s="14"/>
      <c r="D416" s="14"/>
      <c r="E416" s="14"/>
      <c r="F416" s="14"/>
      <c r="G416" s="13" t="str">
        <f t="array" ref="G416">iferror(XLOOKUP(A416,'Download of SFDC Activation Rep'!B:B,'Download of SFDC Activation Rep'!H:H),"")</f>
        <v/>
      </c>
      <c r="H416" s="13" t="str">
        <f t="array" ref="H416">iferror(xlookup(A416,'Download of SFDC Activation Rep'!B:B,'Download of SFDC Activation Rep'!L:L),"")</f>
        <v/>
      </c>
      <c r="I416" s="17" t="str">
        <f t="shared" si="2"/>
        <v>Not Active</v>
      </c>
      <c r="J416" s="17" t="str">
        <f t="array" ref="J416">XLOOKUP(A416,'Download of SFDC Activation Rep'!B:B,'Download of SFDC Activation Rep'!T:T)</f>
        <v>#N/A</v>
      </c>
      <c r="K416" s="17" t="str">
        <f t="array" ref="K416">iferror(XLOOKUP(A416,'Download of SFDC Activation Rep'!B:B,'Download of SFDC Activation Rep'!C:C),"")</f>
        <v/>
      </c>
    </row>
    <row r="417">
      <c r="B417" s="14"/>
      <c r="C417" s="14"/>
      <c r="D417" s="14"/>
      <c r="E417" s="14"/>
      <c r="F417" s="14"/>
      <c r="G417" s="13" t="str">
        <f t="array" ref="G417">iferror(XLOOKUP(A417,'Download of SFDC Activation Rep'!B:B,'Download of SFDC Activation Rep'!H:H),"")</f>
        <v/>
      </c>
      <c r="H417" s="13" t="str">
        <f t="array" ref="H417">iferror(xlookup(A417,'Download of SFDC Activation Rep'!B:B,'Download of SFDC Activation Rep'!L:L),"")</f>
        <v/>
      </c>
      <c r="I417" s="17" t="str">
        <f t="shared" si="2"/>
        <v>Not Active</v>
      </c>
      <c r="J417" s="17" t="str">
        <f t="array" ref="J417">XLOOKUP(A417,'Download of SFDC Activation Rep'!B:B,'Download of SFDC Activation Rep'!T:T)</f>
        <v>#N/A</v>
      </c>
      <c r="K417" s="17" t="str">
        <f t="array" ref="K417">iferror(XLOOKUP(A417,'Download of SFDC Activation Rep'!B:B,'Download of SFDC Activation Rep'!C:C),"")</f>
        <v/>
      </c>
    </row>
    <row r="418">
      <c r="B418" s="14"/>
      <c r="C418" s="14"/>
      <c r="D418" s="14"/>
      <c r="E418" s="14"/>
      <c r="F418" s="14"/>
      <c r="G418" s="13" t="str">
        <f t="array" ref="G418">iferror(XLOOKUP(A418,'Download of SFDC Activation Rep'!B:B,'Download of SFDC Activation Rep'!H:H),"")</f>
        <v/>
      </c>
      <c r="H418" s="13" t="str">
        <f t="array" ref="H418">iferror(xlookup(A418,'Download of SFDC Activation Rep'!B:B,'Download of SFDC Activation Rep'!L:L),"")</f>
        <v/>
      </c>
      <c r="I418" s="17" t="str">
        <f t="shared" si="2"/>
        <v>Not Active</v>
      </c>
      <c r="J418" s="17" t="str">
        <f t="array" ref="J418">XLOOKUP(A418,'Download of SFDC Activation Rep'!B:B,'Download of SFDC Activation Rep'!T:T)</f>
        <v>#N/A</v>
      </c>
      <c r="K418" s="17" t="str">
        <f t="array" ref="K418">iferror(XLOOKUP(A418,'Download of SFDC Activation Rep'!B:B,'Download of SFDC Activation Rep'!C:C),"")</f>
        <v/>
      </c>
    </row>
    <row r="419">
      <c r="B419" s="14"/>
      <c r="C419" s="14"/>
      <c r="D419" s="14"/>
      <c r="E419" s="14"/>
      <c r="F419" s="14"/>
      <c r="G419" s="13" t="str">
        <f t="array" ref="G419">iferror(XLOOKUP(A419,'Download of SFDC Activation Rep'!B:B,'Download of SFDC Activation Rep'!H:H),"")</f>
        <v/>
      </c>
      <c r="H419" s="13" t="str">
        <f t="array" ref="H419">iferror(xlookup(A419,'Download of SFDC Activation Rep'!B:B,'Download of SFDC Activation Rep'!L:L),"")</f>
        <v/>
      </c>
      <c r="I419" s="17" t="str">
        <f t="shared" si="2"/>
        <v>Not Active</v>
      </c>
      <c r="J419" s="17" t="str">
        <f t="array" ref="J419">XLOOKUP(A419,'Download of SFDC Activation Rep'!B:B,'Download of SFDC Activation Rep'!T:T)</f>
        <v>#N/A</v>
      </c>
      <c r="K419" s="17" t="str">
        <f t="array" ref="K419">iferror(XLOOKUP(A419,'Download of SFDC Activation Rep'!B:B,'Download of SFDC Activation Rep'!C:C),"")</f>
        <v/>
      </c>
    </row>
    <row r="420">
      <c r="B420" s="14"/>
      <c r="C420" s="14"/>
      <c r="D420" s="14"/>
      <c r="E420" s="14"/>
      <c r="F420" s="14"/>
      <c r="G420" s="13" t="str">
        <f t="array" ref="G420">iferror(XLOOKUP(A420,'Download of SFDC Activation Rep'!B:B,'Download of SFDC Activation Rep'!H:H),"")</f>
        <v/>
      </c>
      <c r="H420" s="13" t="str">
        <f t="array" ref="H420">iferror(xlookup(A420,'Download of SFDC Activation Rep'!B:B,'Download of SFDC Activation Rep'!L:L),"")</f>
        <v/>
      </c>
      <c r="I420" s="17" t="str">
        <f t="shared" si="2"/>
        <v>Not Active</v>
      </c>
      <c r="J420" s="17" t="str">
        <f t="array" ref="J420">XLOOKUP(A420,'Download of SFDC Activation Rep'!B:B,'Download of SFDC Activation Rep'!T:T)</f>
        <v>#N/A</v>
      </c>
      <c r="K420" s="17" t="str">
        <f t="array" ref="K420">iferror(XLOOKUP(A420,'Download of SFDC Activation Rep'!B:B,'Download of SFDC Activation Rep'!C:C),"")</f>
        <v/>
      </c>
    </row>
    <row r="421">
      <c r="B421" s="14"/>
      <c r="C421" s="14"/>
      <c r="D421" s="14"/>
      <c r="E421" s="14"/>
      <c r="F421" s="14"/>
      <c r="G421" s="13" t="str">
        <f t="array" ref="G421">iferror(XLOOKUP(A421,'Download of SFDC Activation Rep'!B:B,'Download of SFDC Activation Rep'!H:H),"")</f>
        <v/>
      </c>
      <c r="H421" s="13" t="str">
        <f t="array" ref="H421">iferror(xlookup(A421,'Download of SFDC Activation Rep'!B:B,'Download of SFDC Activation Rep'!L:L),"")</f>
        <v/>
      </c>
      <c r="I421" s="17" t="str">
        <f t="shared" si="2"/>
        <v>Not Active</v>
      </c>
      <c r="J421" s="17" t="str">
        <f t="array" ref="J421">XLOOKUP(A421,'Download of SFDC Activation Rep'!B:B,'Download of SFDC Activation Rep'!T:T)</f>
        <v>#N/A</v>
      </c>
      <c r="K421" s="17" t="str">
        <f t="array" ref="K421">iferror(XLOOKUP(A421,'Download of SFDC Activation Rep'!B:B,'Download of SFDC Activation Rep'!C:C),"")</f>
        <v/>
      </c>
    </row>
    <row r="422">
      <c r="B422" s="14"/>
      <c r="C422" s="14"/>
      <c r="D422" s="14"/>
      <c r="E422" s="14"/>
      <c r="F422" s="14"/>
      <c r="G422" s="13" t="str">
        <f t="array" ref="G422">iferror(XLOOKUP(A422,'Download of SFDC Activation Rep'!B:B,'Download of SFDC Activation Rep'!H:H),"")</f>
        <v/>
      </c>
      <c r="H422" s="13" t="str">
        <f t="array" ref="H422">iferror(xlookup(A422,'Download of SFDC Activation Rep'!B:B,'Download of SFDC Activation Rep'!L:L),"")</f>
        <v/>
      </c>
      <c r="I422" s="17" t="str">
        <f t="shared" si="2"/>
        <v>Not Active</v>
      </c>
      <c r="J422" s="17" t="str">
        <f t="array" ref="J422">XLOOKUP(A422,'Download of SFDC Activation Rep'!B:B,'Download of SFDC Activation Rep'!T:T)</f>
        <v>#N/A</v>
      </c>
      <c r="K422" s="17" t="str">
        <f t="array" ref="K422">iferror(XLOOKUP(A422,'Download of SFDC Activation Rep'!B:B,'Download of SFDC Activation Rep'!C:C),"")</f>
        <v/>
      </c>
    </row>
    <row r="423">
      <c r="B423" s="14"/>
      <c r="C423" s="14"/>
      <c r="D423" s="14"/>
      <c r="E423" s="14"/>
      <c r="F423" s="14"/>
      <c r="G423" s="13" t="str">
        <f t="array" ref="G423">iferror(XLOOKUP(A423,'Download of SFDC Activation Rep'!B:B,'Download of SFDC Activation Rep'!H:H),"")</f>
        <v/>
      </c>
      <c r="H423" s="13" t="str">
        <f t="array" ref="H423">iferror(xlookup(A423,'Download of SFDC Activation Rep'!B:B,'Download of SFDC Activation Rep'!L:L),"")</f>
        <v/>
      </c>
      <c r="I423" s="17" t="str">
        <f t="shared" si="2"/>
        <v>Not Active</v>
      </c>
      <c r="J423" s="17" t="str">
        <f t="array" ref="J423">XLOOKUP(A423,'Download of SFDC Activation Rep'!B:B,'Download of SFDC Activation Rep'!T:T)</f>
        <v>#N/A</v>
      </c>
      <c r="K423" s="17" t="str">
        <f t="array" ref="K423">iferror(XLOOKUP(A423,'Download of SFDC Activation Rep'!B:B,'Download of SFDC Activation Rep'!C:C),"")</f>
        <v/>
      </c>
    </row>
    <row r="424">
      <c r="B424" s="14"/>
      <c r="C424" s="14"/>
      <c r="D424" s="14"/>
      <c r="E424" s="14"/>
      <c r="F424" s="14"/>
      <c r="G424" s="13" t="str">
        <f t="array" ref="G424">iferror(XLOOKUP(A424,'Download of SFDC Activation Rep'!B:B,'Download of SFDC Activation Rep'!H:H),"")</f>
        <v/>
      </c>
      <c r="H424" s="13" t="str">
        <f t="array" ref="H424">iferror(xlookup(A424,'Download of SFDC Activation Rep'!B:B,'Download of SFDC Activation Rep'!L:L),"")</f>
        <v/>
      </c>
      <c r="I424" s="17" t="str">
        <f t="shared" si="2"/>
        <v>Not Active</v>
      </c>
      <c r="J424" s="17" t="str">
        <f t="array" ref="J424">XLOOKUP(A424,'Download of SFDC Activation Rep'!B:B,'Download of SFDC Activation Rep'!T:T)</f>
        <v>#N/A</v>
      </c>
      <c r="K424" s="17" t="str">
        <f t="array" ref="K424">iferror(XLOOKUP(A424,'Download of SFDC Activation Rep'!B:B,'Download of SFDC Activation Rep'!C:C),"")</f>
        <v/>
      </c>
    </row>
    <row r="425">
      <c r="B425" s="14"/>
      <c r="C425" s="14"/>
      <c r="D425" s="14"/>
      <c r="E425" s="14"/>
      <c r="F425" s="14"/>
      <c r="G425" s="13" t="str">
        <f t="array" ref="G425">iferror(XLOOKUP(A425,'Download of SFDC Activation Rep'!B:B,'Download of SFDC Activation Rep'!H:H),"")</f>
        <v/>
      </c>
      <c r="H425" s="13" t="str">
        <f t="array" ref="H425">iferror(xlookup(A425,'Download of SFDC Activation Rep'!B:B,'Download of SFDC Activation Rep'!L:L),"")</f>
        <v/>
      </c>
      <c r="I425" s="17" t="str">
        <f t="shared" si="2"/>
        <v>Not Active</v>
      </c>
      <c r="J425" s="17" t="str">
        <f t="array" ref="J425">XLOOKUP(A425,'Download of SFDC Activation Rep'!B:B,'Download of SFDC Activation Rep'!T:T)</f>
        <v>#N/A</v>
      </c>
      <c r="K425" s="17" t="str">
        <f t="array" ref="K425">iferror(XLOOKUP(A425,'Download of SFDC Activation Rep'!B:B,'Download of SFDC Activation Rep'!C:C),"")</f>
        <v/>
      </c>
    </row>
    <row r="426">
      <c r="B426" s="14"/>
      <c r="C426" s="14"/>
      <c r="D426" s="14"/>
      <c r="E426" s="14"/>
      <c r="F426" s="14"/>
      <c r="G426" s="13" t="str">
        <f t="array" ref="G426">iferror(XLOOKUP(A426,'Download of SFDC Activation Rep'!B:B,'Download of SFDC Activation Rep'!H:H),"")</f>
        <v/>
      </c>
      <c r="H426" s="13" t="str">
        <f t="array" ref="H426">iferror(xlookup(A426,'Download of SFDC Activation Rep'!B:B,'Download of SFDC Activation Rep'!L:L),"")</f>
        <v/>
      </c>
      <c r="I426" s="17" t="str">
        <f t="shared" si="2"/>
        <v>Not Active</v>
      </c>
      <c r="J426" s="17" t="str">
        <f t="array" ref="J426">XLOOKUP(A426,'Download of SFDC Activation Rep'!B:B,'Download of SFDC Activation Rep'!T:T)</f>
        <v>#N/A</v>
      </c>
      <c r="K426" s="17" t="str">
        <f t="array" ref="K426">iferror(XLOOKUP(A426,'Download of SFDC Activation Rep'!B:B,'Download of SFDC Activation Rep'!C:C),"")</f>
        <v/>
      </c>
    </row>
    <row r="427">
      <c r="B427" s="14"/>
      <c r="C427" s="14"/>
      <c r="D427" s="14"/>
      <c r="E427" s="14"/>
      <c r="F427" s="14"/>
      <c r="G427" s="13" t="str">
        <f t="array" ref="G427">iferror(XLOOKUP(A427,'Download of SFDC Activation Rep'!B:B,'Download of SFDC Activation Rep'!H:H),"")</f>
        <v/>
      </c>
      <c r="H427" s="13" t="str">
        <f t="array" ref="H427">iferror(xlookup(A427,'Download of SFDC Activation Rep'!B:B,'Download of SFDC Activation Rep'!L:L),"")</f>
        <v/>
      </c>
      <c r="I427" s="17" t="str">
        <f t="shared" si="2"/>
        <v>Not Active</v>
      </c>
      <c r="J427" s="17" t="str">
        <f t="array" ref="J427">XLOOKUP(A427,'Download of SFDC Activation Rep'!B:B,'Download of SFDC Activation Rep'!T:T)</f>
        <v>#N/A</v>
      </c>
      <c r="K427" s="17" t="str">
        <f t="array" ref="K427">iferror(XLOOKUP(A427,'Download of SFDC Activation Rep'!B:B,'Download of SFDC Activation Rep'!C:C),"")</f>
        <v/>
      </c>
    </row>
    <row r="428">
      <c r="B428" s="14"/>
      <c r="C428" s="14"/>
      <c r="D428" s="14"/>
      <c r="E428" s="14"/>
      <c r="F428" s="14"/>
      <c r="G428" s="13" t="str">
        <f t="array" ref="G428">iferror(XLOOKUP(A428,'Download of SFDC Activation Rep'!B:B,'Download of SFDC Activation Rep'!H:H),"")</f>
        <v/>
      </c>
      <c r="H428" s="13" t="str">
        <f t="array" ref="H428">iferror(xlookup(A428,'Download of SFDC Activation Rep'!B:B,'Download of SFDC Activation Rep'!L:L),"")</f>
        <v/>
      </c>
      <c r="I428" s="17" t="str">
        <f t="shared" si="2"/>
        <v>Not Active</v>
      </c>
      <c r="J428" s="17" t="str">
        <f t="array" ref="J428">XLOOKUP(A428,'Download of SFDC Activation Rep'!B:B,'Download of SFDC Activation Rep'!T:T)</f>
        <v>#N/A</v>
      </c>
      <c r="K428" s="17" t="str">
        <f t="array" ref="K428">iferror(XLOOKUP(A428,'Download of SFDC Activation Rep'!B:B,'Download of SFDC Activation Rep'!C:C),"")</f>
        <v/>
      </c>
    </row>
    <row r="429">
      <c r="B429" s="14"/>
      <c r="C429" s="14"/>
      <c r="D429" s="14"/>
      <c r="E429" s="14"/>
      <c r="F429" s="14"/>
      <c r="G429" s="13" t="str">
        <f t="array" ref="G429">iferror(XLOOKUP(A429,'Download of SFDC Activation Rep'!B:B,'Download of SFDC Activation Rep'!H:H),"")</f>
        <v/>
      </c>
      <c r="H429" s="13" t="str">
        <f t="array" ref="H429">iferror(xlookup(A429,'Download of SFDC Activation Rep'!B:B,'Download of SFDC Activation Rep'!L:L),"")</f>
        <v/>
      </c>
      <c r="I429" s="17" t="str">
        <f t="shared" si="2"/>
        <v>Not Active</v>
      </c>
      <c r="J429" s="17" t="str">
        <f t="array" ref="J429">XLOOKUP(A429,'Download of SFDC Activation Rep'!B:B,'Download of SFDC Activation Rep'!T:T)</f>
        <v>#N/A</v>
      </c>
      <c r="K429" s="17" t="str">
        <f t="array" ref="K429">iferror(XLOOKUP(A429,'Download of SFDC Activation Rep'!B:B,'Download of SFDC Activation Rep'!C:C),"")</f>
        <v/>
      </c>
    </row>
    <row r="430">
      <c r="B430" s="14"/>
      <c r="C430" s="14"/>
      <c r="D430" s="14"/>
      <c r="E430" s="14"/>
      <c r="F430" s="14"/>
      <c r="G430" s="13" t="str">
        <f t="array" ref="G430">iferror(XLOOKUP(A430,'Download of SFDC Activation Rep'!B:B,'Download of SFDC Activation Rep'!H:H),"")</f>
        <v/>
      </c>
      <c r="H430" s="13" t="str">
        <f t="array" ref="H430">iferror(xlookup(A430,'Download of SFDC Activation Rep'!B:B,'Download of SFDC Activation Rep'!L:L),"")</f>
        <v/>
      </c>
      <c r="I430" s="17" t="str">
        <f t="shared" si="2"/>
        <v>Not Active</v>
      </c>
      <c r="J430" s="17" t="str">
        <f t="array" ref="J430">XLOOKUP(A430,'Download of SFDC Activation Rep'!B:B,'Download of SFDC Activation Rep'!T:T)</f>
        <v>#N/A</v>
      </c>
      <c r="K430" s="17" t="str">
        <f t="array" ref="K430">iferror(XLOOKUP(A430,'Download of SFDC Activation Rep'!B:B,'Download of SFDC Activation Rep'!C:C),"")</f>
        <v/>
      </c>
    </row>
    <row r="431">
      <c r="B431" s="14"/>
      <c r="C431" s="14"/>
      <c r="D431" s="14"/>
      <c r="E431" s="14"/>
      <c r="F431" s="14"/>
      <c r="G431" s="13" t="str">
        <f t="array" ref="G431">iferror(XLOOKUP(A431,'Download of SFDC Activation Rep'!B:B,'Download of SFDC Activation Rep'!H:H),"")</f>
        <v/>
      </c>
      <c r="H431" s="13" t="str">
        <f t="array" ref="H431">iferror(xlookup(A431,'Download of SFDC Activation Rep'!B:B,'Download of SFDC Activation Rep'!L:L),"")</f>
        <v/>
      </c>
      <c r="I431" s="17" t="str">
        <f t="shared" si="2"/>
        <v>Not Active</v>
      </c>
      <c r="J431" s="17" t="str">
        <f t="array" ref="J431">XLOOKUP(A431,'Download of SFDC Activation Rep'!B:B,'Download of SFDC Activation Rep'!T:T)</f>
        <v>#N/A</v>
      </c>
      <c r="K431" s="17" t="str">
        <f t="array" ref="K431">iferror(XLOOKUP(A431,'Download of SFDC Activation Rep'!B:B,'Download of SFDC Activation Rep'!C:C),"")</f>
        <v/>
      </c>
    </row>
    <row r="432">
      <c r="B432" s="14"/>
      <c r="C432" s="14"/>
      <c r="D432" s="14"/>
      <c r="E432" s="14"/>
      <c r="F432" s="14"/>
      <c r="G432" s="13" t="str">
        <f t="array" ref="G432">iferror(XLOOKUP(A432,'Download of SFDC Activation Rep'!B:B,'Download of SFDC Activation Rep'!H:H),"")</f>
        <v/>
      </c>
      <c r="H432" s="13" t="str">
        <f t="array" ref="H432">iferror(xlookup(A432,'Download of SFDC Activation Rep'!B:B,'Download of SFDC Activation Rep'!L:L),"")</f>
        <v/>
      </c>
      <c r="I432" s="17" t="str">
        <f t="shared" si="2"/>
        <v>Not Active</v>
      </c>
      <c r="J432" s="17" t="str">
        <f t="array" ref="J432">XLOOKUP(A432,'Download of SFDC Activation Rep'!B:B,'Download of SFDC Activation Rep'!T:T)</f>
        <v>#N/A</v>
      </c>
      <c r="K432" s="17" t="str">
        <f t="array" ref="K432">iferror(XLOOKUP(A432,'Download of SFDC Activation Rep'!B:B,'Download of SFDC Activation Rep'!C:C),"")</f>
        <v/>
      </c>
    </row>
    <row r="433">
      <c r="B433" s="14"/>
      <c r="C433" s="14"/>
      <c r="D433" s="14"/>
      <c r="E433" s="14"/>
      <c r="F433" s="14"/>
      <c r="G433" s="13" t="str">
        <f t="array" ref="G433">iferror(XLOOKUP(A433,'Download of SFDC Activation Rep'!B:B,'Download of SFDC Activation Rep'!H:H),"")</f>
        <v/>
      </c>
      <c r="H433" s="13" t="str">
        <f t="array" ref="H433">iferror(xlookup(A433,'Download of SFDC Activation Rep'!B:B,'Download of SFDC Activation Rep'!L:L),"")</f>
        <v/>
      </c>
      <c r="I433" s="17" t="str">
        <f t="shared" si="2"/>
        <v>Not Active</v>
      </c>
      <c r="J433" s="17" t="str">
        <f t="array" ref="J433">XLOOKUP(A433,'Download of SFDC Activation Rep'!B:B,'Download of SFDC Activation Rep'!T:T)</f>
        <v>#N/A</v>
      </c>
      <c r="K433" s="17" t="str">
        <f t="array" ref="K433">iferror(XLOOKUP(A433,'Download of SFDC Activation Rep'!B:B,'Download of SFDC Activation Rep'!C:C),"")</f>
        <v/>
      </c>
    </row>
    <row r="434">
      <c r="B434" s="14"/>
      <c r="C434" s="14"/>
      <c r="D434" s="14"/>
      <c r="E434" s="14"/>
      <c r="F434" s="14"/>
      <c r="G434" s="13" t="str">
        <f t="array" ref="G434">iferror(XLOOKUP(A434,'Download of SFDC Activation Rep'!B:B,'Download of SFDC Activation Rep'!H:H),"")</f>
        <v/>
      </c>
      <c r="H434" s="13" t="str">
        <f t="array" ref="H434">iferror(xlookup(A434,'Download of SFDC Activation Rep'!B:B,'Download of SFDC Activation Rep'!L:L),"")</f>
        <v/>
      </c>
      <c r="I434" s="17" t="str">
        <f t="shared" si="2"/>
        <v>Not Active</v>
      </c>
      <c r="J434" s="17" t="str">
        <f t="array" ref="J434">XLOOKUP(A434,'Download of SFDC Activation Rep'!B:B,'Download of SFDC Activation Rep'!T:T)</f>
        <v>#N/A</v>
      </c>
      <c r="K434" s="17" t="str">
        <f t="array" ref="K434">iferror(XLOOKUP(A434,'Download of SFDC Activation Rep'!B:B,'Download of SFDC Activation Rep'!C:C),"")</f>
        <v/>
      </c>
    </row>
    <row r="435">
      <c r="B435" s="14"/>
      <c r="C435" s="14"/>
      <c r="D435" s="14"/>
      <c r="E435" s="14"/>
      <c r="F435" s="14"/>
      <c r="G435" s="13" t="str">
        <f t="array" ref="G435">iferror(XLOOKUP(A435,'Download of SFDC Activation Rep'!B:B,'Download of SFDC Activation Rep'!H:H),"")</f>
        <v/>
      </c>
      <c r="H435" s="13" t="str">
        <f t="array" ref="H435">iferror(xlookup(A435,'Download of SFDC Activation Rep'!B:B,'Download of SFDC Activation Rep'!L:L),"")</f>
        <v/>
      </c>
      <c r="I435" s="17" t="str">
        <f t="shared" si="2"/>
        <v>Not Active</v>
      </c>
      <c r="J435" s="17" t="str">
        <f t="array" ref="J435">XLOOKUP(A435,'Download of SFDC Activation Rep'!B:B,'Download of SFDC Activation Rep'!T:T)</f>
        <v>#N/A</v>
      </c>
      <c r="K435" s="17" t="str">
        <f t="array" ref="K435">iferror(XLOOKUP(A435,'Download of SFDC Activation Rep'!B:B,'Download of SFDC Activation Rep'!C:C),"")</f>
        <v/>
      </c>
    </row>
    <row r="436">
      <c r="B436" s="14"/>
      <c r="C436" s="14"/>
      <c r="D436" s="14"/>
      <c r="E436" s="14"/>
      <c r="F436" s="14"/>
      <c r="G436" s="13" t="str">
        <f t="array" ref="G436">iferror(XLOOKUP(A436,'Download of SFDC Activation Rep'!B:B,'Download of SFDC Activation Rep'!H:H),"")</f>
        <v/>
      </c>
      <c r="H436" s="13" t="str">
        <f t="array" ref="H436">iferror(xlookup(A436,'Download of SFDC Activation Rep'!B:B,'Download of SFDC Activation Rep'!L:L),"")</f>
        <v/>
      </c>
      <c r="I436" s="17" t="str">
        <f t="shared" si="2"/>
        <v>Not Active</v>
      </c>
      <c r="J436" s="17" t="str">
        <f t="array" ref="J436">XLOOKUP(A436,'Download of SFDC Activation Rep'!B:B,'Download of SFDC Activation Rep'!T:T)</f>
        <v>#N/A</v>
      </c>
      <c r="K436" s="17" t="str">
        <f t="array" ref="K436">iferror(XLOOKUP(A436,'Download of SFDC Activation Rep'!B:B,'Download of SFDC Activation Rep'!C:C),"")</f>
        <v/>
      </c>
    </row>
    <row r="437">
      <c r="B437" s="14"/>
      <c r="C437" s="14"/>
      <c r="D437" s="14"/>
      <c r="E437" s="14"/>
      <c r="F437" s="14"/>
      <c r="G437" s="13" t="str">
        <f t="array" ref="G437">iferror(XLOOKUP(A437,'Download of SFDC Activation Rep'!B:B,'Download of SFDC Activation Rep'!H:H),"")</f>
        <v/>
      </c>
      <c r="H437" s="13" t="str">
        <f t="array" ref="H437">iferror(xlookup(A437,'Download of SFDC Activation Rep'!B:B,'Download of SFDC Activation Rep'!L:L),"")</f>
        <v/>
      </c>
      <c r="I437" s="17" t="str">
        <f t="shared" si="2"/>
        <v>Not Active</v>
      </c>
      <c r="J437" s="17" t="str">
        <f t="array" ref="J437">XLOOKUP(A437,'Download of SFDC Activation Rep'!B:B,'Download of SFDC Activation Rep'!T:T)</f>
        <v>#N/A</v>
      </c>
      <c r="K437" s="17" t="str">
        <f t="array" ref="K437">iferror(XLOOKUP(A437,'Download of SFDC Activation Rep'!B:B,'Download of SFDC Activation Rep'!C:C),"")</f>
        <v/>
      </c>
    </row>
    <row r="438">
      <c r="B438" s="14"/>
      <c r="C438" s="14"/>
      <c r="D438" s="14"/>
      <c r="E438" s="14"/>
      <c r="F438" s="14"/>
      <c r="G438" s="13" t="str">
        <f t="array" ref="G438">iferror(XLOOKUP(A438,'Download of SFDC Activation Rep'!B:B,'Download of SFDC Activation Rep'!H:H),"")</f>
        <v/>
      </c>
      <c r="H438" s="13" t="str">
        <f t="array" ref="H438">iferror(xlookup(A438,'Download of SFDC Activation Rep'!B:B,'Download of SFDC Activation Rep'!L:L),"")</f>
        <v/>
      </c>
      <c r="I438" s="17" t="str">
        <f t="shared" si="2"/>
        <v>Not Active</v>
      </c>
      <c r="J438" s="17" t="str">
        <f t="array" ref="J438">XLOOKUP(A438,'Download of SFDC Activation Rep'!B:B,'Download of SFDC Activation Rep'!T:T)</f>
        <v>#N/A</v>
      </c>
      <c r="K438" s="17" t="str">
        <f t="array" ref="K438">iferror(XLOOKUP(A438,'Download of SFDC Activation Rep'!B:B,'Download of SFDC Activation Rep'!C:C),"")</f>
        <v/>
      </c>
    </row>
    <row r="439">
      <c r="B439" s="14"/>
      <c r="C439" s="14"/>
      <c r="D439" s="14"/>
      <c r="E439" s="14"/>
      <c r="F439" s="14"/>
      <c r="G439" s="13" t="str">
        <f t="array" ref="G439">iferror(XLOOKUP(A439,'Download of SFDC Activation Rep'!B:B,'Download of SFDC Activation Rep'!H:H),"")</f>
        <v/>
      </c>
      <c r="H439" s="13" t="str">
        <f t="array" ref="H439">iferror(xlookup(A439,'Download of SFDC Activation Rep'!B:B,'Download of SFDC Activation Rep'!L:L),"")</f>
        <v/>
      </c>
      <c r="I439" s="17" t="str">
        <f t="shared" si="2"/>
        <v>Not Active</v>
      </c>
      <c r="J439" s="17" t="str">
        <f t="array" ref="J439">XLOOKUP(A439,'Download of SFDC Activation Rep'!B:B,'Download of SFDC Activation Rep'!T:T)</f>
        <v>#N/A</v>
      </c>
      <c r="K439" s="17" t="str">
        <f t="array" ref="K439">iferror(XLOOKUP(A439,'Download of SFDC Activation Rep'!B:B,'Download of SFDC Activation Rep'!C:C),"")</f>
        <v/>
      </c>
    </row>
    <row r="440">
      <c r="B440" s="14"/>
      <c r="C440" s="14"/>
      <c r="D440" s="14"/>
      <c r="E440" s="14"/>
      <c r="F440" s="14"/>
      <c r="G440" s="13" t="str">
        <f t="array" ref="G440">iferror(XLOOKUP(A440,'Download of SFDC Activation Rep'!B:B,'Download of SFDC Activation Rep'!H:H),"")</f>
        <v/>
      </c>
      <c r="H440" s="13" t="str">
        <f t="array" ref="H440">iferror(xlookup(A440,'Download of SFDC Activation Rep'!B:B,'Download of SFDC Activation Rep'!L:L),"")</f>
        <v/>
      </c>
      <c r="I440" s="17" t="str">
        <f t="shared" si="2"/>
        <v>Not Active</v>
      </c>
      <c r="J440" s="17" t="str">
        <f t="array" ref="J440">XLOOKUP(A440,'Download of SFDC Activation Rep'!B:B,'Download of SFDC Activation Rep'!T:T)</f>
        <v>#N/A</v>
      </c>
      <c r="K440" s="17" t="str">
        <f t="array" ref="K440">iferror(XLOOKUP(A440,'Download of SFDC Activation Rep'!B:B,'Download of SFDC Activation Rep'!C:C),"")</f>
        <v/>
      </c>
    </row>
    <row r="441">
      <c r="B441" s="14"/>
      <c r="C441" s="14"/>
      <c r="D441" s="14"/>
      <c r="E441" s="14"/>
      <c r="F441" s="14"/>
      <c r="G441" s="13" t="str">
        <f t="array" ref="G441">iferror(XLOOKUP(A441,'Download of SFDC Activation Rep'!B:B,'Download of SFDC Activation Rep'!H:H),"")</f>
        <v/>
      </c>
      <c r="H441" s="13" t="str">
        <f t="array" ref="H441">iferror(xlookup(A441,'Download of SFDC Activation Rep'!B:B,'Download of SFDC Activation Rep'!L:L),"")</f>
        <v/>
      </c>
      <c r="I441" s="17" t="str">
        <f t="shared" si="2"/>
        <v>Not Active</v>
      </c>
      <c r="J441" s="17" t="str">
        <f t="array" ref="J441">XLOOKUP(A441,'Download of SFDC Activation Rep'!B:B,'Download of SFDC Activation Rep'!T:T)</f>
        <v>#N/A</v>
      </c>
      <c r="K441" s="17" t="str">
        <f t="array" ref="K441">iferror(XLOOKUP(A441,'Download of SFDC Activation Rep'!B:B,'Download of SFDC Activation Rep'!C:C),"")</f>
        <v/>
      </c>
    </row>
    <row r="442">
      <c r="B442" s="14"/>
      <c r="C442" s="14"/>
      <c r="D442" s="14"/>
      <c r="E442" s="14"/>
      <c r="F442" s="14"/>
      <c r="G442" s="13" t="str">
        <f t="array" ref="G442">iferror(XLOOKUP(A442,'Download of SFDC Activation Rep'!B:B,'Download of SFDC Activation Rep'!H:H),"")</f>
        <v/>
      </c>
      <c r="H442" s="13" t="str">
        <f t="array" ref="H442">iferror(xlookup(A442,'Download of SFDC Activation Rep'!B:B,'Download of SFDC Activation Rep'!L:L),"")</f>
        <v/>
      </c>
      <c r="I442" s="17" t="str">
        <f t="shared" si="2"/>
        <v>Not Active</v>
      </c>
      <c r="J442" s="17" t="str">
        <f t="array" ref="J442">XLOOKUP(A442,'Download of SFDC Activation Rep'!B:B,'Download of SFDC Activation Rep'!T:T)</f>
        <v>#N/A</v>
      </c>
      <c r="K442" s="17" t="str">
        <f t="array" ref="K442">iferror(XLOOKUP(A442,'Download of SFDC Activation Rep'!B:B,'Download of SFDC Activation Rep'!C:C),"")</f>
        <v/>
      </c>
    </row>
    <row r="443">
      <c r="B443" s="14"/>
      <c r="C443" s="14"/>
      <c r="D443" s="14"/>
      <c r="E443" s="14"/>
      <c r="F443" s="14"/>
      <c r="G443" s="13" t="str">
        <f t="array" ref="G443">iferror(XLOOKUP(A443,'Download of SFDC Activation Rep'!B:B,'Download of SFDC Activation Rep'!H:H),"")</f>
        <v/>
      </c>
      <c r="H443" s="13" t="str">
        <f t="array" ref="H443">iferror(xlookup(A443,'Download of SFDC Activation Rep'!B:B,'Download of SFDC Activation Rep'!L:L),"")</f>
        <v/>
      </c>
      <c r="I443" s="17" t="str">
        <f t="shared" si="2"/>
        <v>Not Active</v>
      </c>
      <c r="J443" s="17" t="str">
        <f t="array" ref="J443">XLOOKUP(A443,'Download of SFDC Activation Rep'!B:B,'Download of SFDC Activation Rep'!T:T)</f>
        <v>#N/A</v>
      </c>
      <c r="K443" s="17" t="str">
        <f t="array" ref="K443">iferror(XLOOKUP(A443,'Download of SFDC Activation Rep'!B:B,'Download of SFDC Activation Rep'!C:C),"")</f>
        <v/>
      </c>
    </row>
    <row r="444">
      <c r="B444" s="14"/>
      <c r="C444" s="14"/>
      <c r="D444" s="14"/>
      <c r="E444" s="14"/>
      <c r="F444" s="14"/>
      <c r="G444" s="13" t="str">
        <f t="array" ref="G444">iferror(XLOOKUP(A444,'Download of SFDC Activation Rep'!B:B,'Download of SFDC Activation Rep'!H:H),"")</f>
        <v/>
      </c>
      <c r="H444" s="13" t="str">
        <f t="array" ref="H444">iferror(xlookup(A444,'Download of SFDC Activation Rep'!B:B,'Download of SFDC Activation Rep'!L:L),"")</f>
        <v/>
      </c>
      <c r="I444" s="17" t="str">
        <f t="shared" si="2"/>
        <v>Not Active</v>
      </c>
      <c r="J444" s="17" t="str">
        <f t="array" ref="J444">XLOOKUP(A444,'Download of SFDC Activation Rep'!B:B,'Download of SFDC Activation Rep'!T:T)</f>
        <v>#N/A</v>
      </c>
      <c r="K444" s="17" t="str">
        <f t="array" ref="K444">iferror(XLOOKUP(A444,'Download of SFDC Activation Rep'!B:B,'Download of SFDC Activation Rep'!C:C),"")</f>
        <v/>
      </c>
    </row>
    <row r="445">
      <c r="B445" s="14"/>
      <c r="C445" s="14"/>
      <c r="D445" s="14"/>
      <c r="E445" s="14"/>
      <c r="F445" s="14"/>
      <c r="G445" s="13" t="str">
        <f t="array" ref="G445">iferror(XLOOKUP(A445,'Download of SFDC Activation Rep'!B:B,'Download of SFDC Activation Rep'!H:H),"")</f>
        <v/>
      </c>
      <c r="H445" s="13" t="str">
        <f t="array" ref="H445">iferror(xlookup(A445,'Download of SFDC Activation Rep'!B:B,'Download of SFDC Activation Rep'!L:L),"")</f>
        <v/>
      </c>
      <c r="I445" s="17" t="str">
        <f t="shared" si="2"/>
        <v>Not Active</v>
      </c>
      <c r="J445" s="17" t="str">
        <f t="array" ref="J445">XLOOKUP(A445,'Download of SFDC Activation Rep'!B:B,'Download of SFDC Activation Rep'!T:T)</f>
        <v>#N/A</v>
      </c>
      <c r="K445" s="17" t="str">
        <f t="array" ref="K445">iferror(XLOOKUP(A445,'Download of SFDC Activation Rep'!B:B,'Download of SFDC Activation Rep'!C:C),"")</f>
        <v/>
      </c>
    </row>
    <row r="446">
      <c r="B446" s="14"/>
      <c r="C446" s="14"/>
      <c r="D446" s="14"/>
      <c r="E446" s="14"/>
      <c r="F446" s="14"/>
      <c r="G446" s="13" t="str">
        <f t="array" ref="G446">iferror(XLOOKUP(A446,'Download of SFDC Activation Rep'!B:B,'Download of SFDC Activation Rep'!H:H),"")</f>
        <v/>
      </c>
      <c r="H446" s="13" t="str">
        <f t="array" ref="H446">iferror(xlookup(A446,'Download of SFDC Activation Rep'!B:B,'Download of SFDC Activation Rep'!L:L),"")</f>
        <v/>
      </c>
      <c r="I446" s="17" t="str">
        <f t="shared" si="2"/>
        <v>Not Active</v>
      </c>
      <c r="J446" s="17" t="str">
        <f t="array" ref="J446">XLOOKUP(A446,'Download of SFDC Activation Rep'!B:B,'Download of SFDC Activation Rep'!T:T)</f>
        <v>#N/A</v>
      </c>
      <c r="K446" s="17" t="str">
        <f t="array" ref="K446">iferror(XLOOKUP(A446,'Download of SFDC Activation Rep'!B:B,'Download of SFDC Activation Rep'!C:C),"")</f>
        <v/>
      </c>
    </row>
    <row r="447">
      <c r="B447" s="14"/>
      <c r="C447" s="14"/>
      <c r="D447" s="14"/>
      <c r="E447" s="14"/>
      <c r="F447" s="14"/>
      <c r="G447" s="13" t="str">
        <f t="array" ref="G447">iferror(XLOOKUP(A447,'Download of SFDC Activation Rep'!B:B,'Download of SFDC Activation Rep'!H:H),"")</f>
        <v/>
      </c>
      <c r="H447" s="13" t="str">
        <f t="array" ref="H447">iferror(xlookup(A447,'Download of SFDC Activation Rep'!B:B,'Download of SFDC Activation Rep'!L:L),"")</f>
        <v/>
      </c>
      <c r="I447" s="17" t="str">
        <f t="shared" si="2"/>
        <v>Not Active</v>
      </c>
      <c r="J447" s="17" t="str">
        <f t="array" ref="J447">XLOOKUP(A447,'Download of SFDC Activation Rep'!B:B,'Download of SFDC Activation Rep'!T:T)</f>
        <v>#N/A</v>
      </c>
      <c r="K447" s="17" t="str">
        <f t="array" ref="K447">iferror(XLOOKUP(A447,'Download of SFDC Activation Rep'!B:B,'Download of SFDC Activation Rep'!C:C),"")</f>
        <v/>
      </c>
    </row>
    <row r="448">
      <c r="B448" s="14"/>
      <c r="C448" s="14"/>
      <c r="D448" s="14"/>
      <c r="E448" s="14"/>
      <c r="F448" s="14"/>
      <c r="G448" s="13" t="str">
        <f t="array" ref="G448">iferror(XLOOKUP(A448,'Download of SFDC Activation Rep'!B:B,'Download of SFDC Activation Rep'!H:H),"")</f>
        <v/>
      </c>
      <c r="H448" s="13" t="str">
        <f t="array" ref="H448">iferror(xlookup(A448,'Download of SFDC Activation Rep'!B:B,'Download of SFDC Activation Rep'!L:L),"")</f>
        <v/>
      </c>
      <c r="I448" s="17" t="str">
        <f t="shared" si="2"/>
        <v>Not Active</v>
      </c>
      <c r="J448" s="17" t="str">
        <f t="array" ref="J448">XLOOKUP(A448,'Download of SFDC Activation Rep'!B:B,'Download of SFDC Activation Rep'!T:T)</f>
        <v>#N/A</v>
      </c>
      <c r="K448" s="17" t="str">
        <f t="array" ref="K448">iferror(XLOOKUP(A448,'Download of SFDC Activation Rep'!B:B,'Download of SFDC Activation Rep'!C:C),"")</f>
        <v/>
      </c>
    </row>
    <row r="449">
      <c r="B449" s="14"/>
      <c r="C449" s="14"/>
      <c r="D449" s="14"/>
      <c r="E449" s="14"/>
      <c r="F449" s="14"/>
      <c r="G449" s="13" t="str">
        <f t="array" ref="G449">iferror(XLOOKUP(A449,'Download of SFDC Activation Rep'!B:B,'Download of SFDC Activation Rep'!H:H),"")</f>
        <v/>
      </c>
      <c r="H449" s="13" t="str">
        <f t="array" ref="H449">iferror(xlookup(A449,'Download of SFDC Activation Rep'!B:B,'Download of SFDC Activation Rep'!L:L),"")</f>
        <v/>
      </c>
      <c r="I449" s="17" t="str">
        <f t="shared" si="2"/>
        <v>Not Active</v>
      </c>
      <c r="J449" s="17" t="str">
        <f t="array" ref="J449">XLOOKUP(A449,'Download of SFDC Activation Rep'!B:B,'Download of SFDC Activation Rep'!T:T)</f>
        <v>#N/A</v>
      </c>
      <c r="K449" s="17" t="str">
        <f t="array" ref="K449">iferror(XLOOKUP(A449,'Download of SFDC Activation Rep'!B:B,'Download of SFDC Activation Rep'!C:C),"")</f>
        <v/>
      </c>
    </row>
    <row r="450">
      <c r="B450" s="14"/>
      <c r="C450" s="14"/>
      <c r="D450" s="14"/>
      <c r="E450" s="14"/>
      <c r="F450" s="14"/>
      <c r="G450" s="13" t="str">
        <f t="array" ref="G450">iferror(XLOOKUP(A450,'Download of SFDC Activation Rep'!B:B,'Download of SFDC Activation Rep'!H:H),"")</f>
        <v/>
      </c>
      <c r="H450" s="13" t="str">
        <f t="array" ref="H450">iferror(xlookup(A450,'Download of SFDC Activation Rep'!B:B,'Download of SFDC Activation Rep'!L:L),"")</f>
        <v/>
      </c>
      <c r="I450" s="17" t="str">
        <f t="shared" si="2"/>
        <v>Not Active</v>
      </c>
      <c r="J450" s="17" t="str">
        <f t="array" ref="J450">XLOOKUP(A450,'Download of SFDC Activation Rep'!B:B,'Download of SFDC Activation Rep'!T:T)</f>
        <v>#N/A</v>
      </c>
      <c r="K450" s="17" t="str">
        <f t="array" ref="K450">iferror(XLOOKUP(A450,'Download of SFDC Activation Rep'!B:B,'Download of SFDC Activation Rep'!C:C),"")</f>
        <v/>
      </c>
    </row>
    <row r="451">
      <c r="B451" s="14"/>
      <c r="C451" s="14"/>
      <c r="D451" s="14"/>
      <c r="E451" s="14"/>
      <c r="F451" s="14"/>
      <c r="G451" s="13" t="str">
        <f t="array" ref="G451">iferror(XLOOKUP(A451,'Download of SFDC Activation Rep'!B:B,'Download of SFDC Activation Rep'!H:H),"")</f>
        <v/>
      </c>
      <c r="H451" s="13" t="str">
        <f t="array" ref="H451">iferror(xlookup(A451,'Download of SFDC Activation Rep'!B:B,'Download of SFDC Activation Rep'!L:L),"")</f>
        <v/>
      </c>
      <c r="I451" s="17" t="str">
        <f t="shared" si="2"/>
        <v>Not Active</v>
      </c>
      <c r="J451" s="17" t="str">
        <f t="array" ref="J451">XLOOKUP(A451,'Download of SFDC Activation Rep'!B:B,'Download of SFDC Activation Rep'!T:T)</f>
        <v>#N/A</v>
      </c>
      <c r="K451" s="17" t="str">
        <f t="array" ref="K451">iferror(XLOOKUP(A451,'Download of SFDC Activation Rep'!B:B,'Download of SFDC Activation Rep'!C:C),"")</f>
        <v/>
      </c>
    </row>
    <row r="452">
      <c r="B452" s="14"/>
      <c r="C452" s="14"/>
      <c r="D452" s="14"/>
      <c r="E452" s="14"/>
      <c r="F452" s="14"/>
      <c r="G452" s="13" t="str">
        <f t="array" ref="G452">iferror(XLOOKUP(A452,'Download of SFDC Activation Rep'!B:B,'Download of SFDC Activation Rep'!H:H),"")</f>
        <v/>
      </c>
      <c r="H452" s="13" t="str">
        <f t="array" ref="H452">iferror(xlookup(A452,'Download of SFDC Activation Rep'!B:B,'Download of SFDC Activation Rep'!L:L),"")</f>
        <v/>
      </c>
      <c r="I452" s="17" t="str">
        <f t="shared" si="2"/>
        <v>Not Active</v>
      </c>
      <c r="J452" s="17" t="str">
        <f t="array" ref="J452">XLOOKUP(A452,'Download of SFDC Activation Rep'!B:B,'Download of SFDC Activation Rep'!T:T)</f>
        <v>#N/A</v>
      </c>
      <c r="K452" s="17" t="str">
        <f t="array" ref="K452">iferror(XLOOKUP(A452,'Download of SFDC Activation Rep'!B:B,'Download of SFDC Activation Rep'!C:C),"")</f>
        <v/>
      </c>
    </row>
    <row r="453">
      <c r="B453" s="14"/>
      <c r="C453" s="14"/>
      <c r="D453" s="14"/>
      <c r="E453" s="14"/>
      <c r="F453" s="14"/>
      <c r="G453" s="13" t="str">
        <f t="array" ref="G453">iferror(XLOOKUP(A453,'Download of SFDC Activation Rep'!B:B,'Download of SFDC Activation Rep'!H:H),"")</f>
        <v/>
      </c>
      <c r="H453" s="13" t="str">
        <f t="array" ref="H453">iferror(xlookup(A453,'Download of SFDC Activation Rep'!B:B,'Download of SFDC Activation Rep'!L:L),"")</f>
        <v/>
      </c>
      <c r="I453" s="17" t="str">
        <f t="shared" si="2"/>
        <v>Not Active</v>
      </c>
      <c r="J453" s="17" t="str">
        <f t="array" ref="J453">XLOOKUP(A453,'Download of SFDC Activation Rep'!B:B,'Download of SFDC Activation Rep'!T:T)</f>
        <v>#N/A</v>
      </c>
      <c r="K453" s="17" t="str">
        <f t="array" ref="K453">iferror(XLOOKUP(A453,'Download of SFDC Activation Rep'!B:B,'Download of SFDC Activation Rep'!C:C),"")</f>
        <v/>
      </c>
    </row>
    <row r="454">
      <c r="B454" s="14"/>
      <c r="C454" s="14"/>
      <c r="D454" s="14"/>
      <c r="E454" s="14"/>
      <c r="F454" s="14"/>
      <c r="G454" s="13" t="str">
        <f t="array" ref="G454">iferror(XLOOKUP(A454,'Download of SFDC Activation Rep'!B:B,'Download of SFDC Activation Rep'!H:H),"")</f>
        <v/>
      </c>
      <c r="H454" s="13" t="str">
        <f t="array" ref="H454">iferror(xlookup(A454,'Download of SFDC Activation Rep'!B:B,'Download of SFDC Activation Rep'!L:L),"")</f>
        <v/>
      </c>
      <c r="I454" s="17" t="str">
        <f t="shared" si="2"/>
        <v>Not Active</v>
      </c>
      <c r="J454" s="17" t="str">
        <f t="array" ref="J454">XLOOKUP(A454,'Download of SFDC Activation Rep'!B:B,'Download of SFDC Activation Rep'!T:T)</f>
        <v>#N/A</v>
      </c>
      <c r="K454" s="17" t="str">
        <f t="array" ref="K454">iferror(XLOOKUP(A454,'Download of SFDC Activation Rep'!B:B,'Download of SFDC Activation Rep'!C:C),"")</f>
        <v/>
      </c>
    </row>
    <row r="455">
      <c r="B455" s="14"/>
      <c r="C455" s="14"/>
      <c r="D455" s="14"/>
      <c r="E455" s="14"/>
      <c r="F455" s="14"/>
      <c r="G455" s="13" t="str">
        <f t="array" ref="G455">iferror(XLOOKUP(A455,'Download of SFDC Activation Rep'!B:B,'Download of SFDC Activation Rep'!H:H),"")</f>
        <v/>
      </c>
      <c r="H455" s="13" t="str">
        <f t="array" ref="H455">iferror(xlookup(A455,'Download of SFDC Activation Rep'!B:B,'Download of SFDC Activation Rep'!L:L),"")</f>
        <v/>
      </c>
      <c r="I455" s="17" t="str">
        <f t="shared" si="2"/>
        <v>Not Active</v>
      </c>
      <c r="J455" s="17" t="str">
        <f t="array" ref="J455">XLOOKUP(A455,'Download of SFDC Activation Rep'!B:B,'Download of SFDC Activation Rep'!T:T)</f>
        <v>#N/A</v>
      </c>
      <c r="K455" s="17" t="str">
        <f t="array" ref="K455">iferror(XLOOKUP(A455,'Download of SFDC Activation Rep'!B:B,'Download of SFDC Activation Rep'!C:C),"")</f>
        <v/>
      </c>
    </row>
    <row r="456">
      <c r="B456" s="14"/>
      <c r="C456" s="14"/>
      <c r="D456" s="14"/>
      <c r="E456" s="14"/>
      <c r="F456" s="14"/>
      <c r="G456" s="13" t="str">
        <f t="array" ref="G456">iferror(XLOOKUP(A456,'Download of SFDC Activation Rep'!B:B,'Download of SFDC Activation Rep'!H:H),"")</f>
        <v/>
      </c>
      <c r="H456" s="13" t="str">
        <f t="array" ref="H456">iferror(xlookup(A456,'Download of SFDC Activation Rep'!B:B,'Download of SFDC Activation Rep'!L:L),"")</f>
        <v/>
      </c>
      <c r="I456" s="17" t="str">
        <f t="shared" si="2"/>
        <v>Not Active</v>
      </c>
      <c r="J456" s="17" t="str">
        <f t="array" ref="J456">XLOOKUP(A456,'Download of SFDC Activation Rep'!B:B,'Download of SFDC Activation Rep'!T:T)</f>
        <v>#N/A</v>
      </c>
      <c r="K456" s="17" t="str">
        <f t="array" ref="K456">iferror(XLOOKUP(A456,'Download of SFDC Activation Rep'!B:B,'Download of SFDC Activation Rep'!C:C),"")</f>
        <v/>
      </c>
    </row>
    <row r="457">
      <c r="B457" s="14"/>
      <c r="C457" s="14"/>
      <c r="D457" s="14"/>
      <c r="E457" s="14"/>
      <c r="F457" s="14"/>
      <c r="G457" s="13" t="str">
        <f t="array" ref="G457">iferror(XLOOKUP(A457,'Download of SFDC Activation Rep'!B:B,'Download of SFDC Activation Rep'!H:H),"")</f>
        <v/>
      </c>
      <c r="H457" s="13" t="str">
        <f t="array" ref="H457">iferror(xlookup(A457,'Download of SFDC Activation Rep'!B:B,'Download of SFDC Activation Rep'!L:L),"")</f>
        <v/>
      </c>
      <c r="I457" s="17" t="str">
        <f t="shared" si="2"/>
        <v>Not Active</v>
      </c>
      <c r="J457" s="17" t="str">
        <f t="array" ref="J457">XLOOKUP(A457,'Download of SFDC Activation Rep'!B:B,'Download of SFDC Activation Rep'!T:T)</f>
        <v>#N/A</v>
      </c>
      <c r="K457" s="17" t="str">
        <f t="array" ref="K457">iferror(XLOOKUP(A457,'Download of SFDC Activation Rep'!B:B,'Download of SFDC Activation Rep'!C:C),"")</f>
        <v/>
      </c>
    </row>
    <row r="458">
      <c r="B458" s="14"/>
      <c r="C458" s="14"/>
      <c r="D458" s="14"/>
      <c r="E458" s="14"/>
      <c r="F458" s="14"/>
      <c r="G458" s="13" t="str">
        <f t="array" ref="G458">iferror(XLOOKUP(A458,'Download of SFDC Activation Rep'!B:B,'Download of SFDC Activation Rep'!H:H),"")</f>
        <v/>
      </c>
      <c r="H458" s="13" t="str">
        <f t="array" ref="H458">iferror(xlookup(A458,'Download of SFDC Activation Rep'!B:B,'Download of SFDC Activation Rep'!L:L),"")</f>
        <v/>
      </c>
      <c r="I458" s="17" t="str">
        <f t="shared" si="2"/>
        <v>Not Active</v>
      </c>
      <c r="J458" s="17" t="str">
        <f t="array" ref="J458">XLOOKUP(A458,'Download of SFDC Activation Rep'!B:B,'Download of SFDC Activation Rep'!T:T)</f>
        <v>#N/A</v>
      </c>
      <c r="K458" s="17" t="str">
        <f t="array" ref="K458">iferror(XLOOKUP(A458,'Download of SFDC Activation Rep'!B:B,'Download of SFDC Activation Rep'!C:C),"")</f>
        <v/>
      </c>
    </row>
    <row r="459">
      <c r="B459" s="14"/>
      <c r="C459" s="14"/>
      <c r="D459" s="14"/>
      <c r="E459" s="14"/>
      <c r="F459" s="14"/>
      <c r="G459" s="13" t="str">
        <f t="array" ref="G459">iferror(XLOOKUP(A459,'Download of SFDC Activation Rep'!B:B,'Download of SFDC Activation Rep'!H:H),"")</f>
        <v/>
      </c>
      <c r="H459" s="13" t="str">
        <f t="array" ref="H459">iferror(xlookup(A459,'Download of SFDC Activation Rep'!B:B,'Download of SFDC Activation Rep'!L:L),"")</f>
        <v/>
      </c>
      <c r="I459" s="17" t="str">
        <f t="shared" si="2"/>
        <v>Not Active</v>
      </c>
      <c r="J459" s="17" t="str">
        <f t="array" ref="J459">XLOOKUP(A459,'Download of SFDC Activation Rep'!B:B,'Download of SFDC Activation Rep'!T:T)</f>
        <v>#N/A</v>
      </c>
      <c r="K459" s="17" t="str">
        <f t="array" ref="K459">iferror(XLOOKUP(A459,'Download of SFDC Activation Rep'!B:B,'Download of SFDC Activation Rep'!C:C),"")</f>
        <v/>
      </c>
    </row>
    <row r="460">
      <c r="B460" s="14"/>
      <c r="C460" s="14"/>
      <c r="D460" s="14"/>
      <c r="E460" s="14"/>
      <c r="F460" s="14"/>
      <c r="G460" s="13" t="str">
        <f t="array" ref="G460">iferror(XLOOKUP(A460,'Download of SFDC Activation Rep'!B:B,'Download of SFDC Activation Rep'!H:H),"")</f>
        <v/>
      </c>
      <c r="H460" s="13" t="str">
        <f t="array" ref="H460">iferror(xlookup(A460,'Download of SFDC Activation Rep'!B:B,'Download of SFDC Activation Rep'!L:L),"")</f>
        <v/>
      </c>
      <c r="I460" s="17" t="str">
        <f t="shared" si="2"/>
        <v>Not Active</v>
      </c>
      <c r="J460" s="17" t="str">
        <f t="array" ref="J460">XLOOKUP(A460,'Download of SFDC Activation Rep'!B:B,'Download of SFDC Activation Rep'!T:T)</f>
        <v>#N/A</v>
      </c>
      <c r="K460" s="17" t="str">
        <f t="array" ref="K460">iferror(XLOOKUP(A460,'Download of SFDC Activation Rep'!B:B,'Download of SFDC Activation Rep'!C:C),"")</f>
        <v/>
      </c>
    </row>
    <row r="461">
      <c r="B461" s="14"/>
      <c r="C461" s="14"/>
      <c r="D461" s="14"/>
      <c r="E461" s="14"/>
      <c r="F461" s="14"/>
      <c r="G461" s="13" t="str">
        <f t="array" ref="G461">iferror(XLOOKUP(A461,'Download of SFDC Activation Rep'!B:B,'Download of SFDC Activation Rep'!H:H),"")</f>
        <v/>
      </c>
      <c r="H461" s="13" t="str">
        <f t="array" ref="H461">iferror(xlookup(A461,'Download of SFDC Activation Rep'!B:B,'Download of SFDC Activation Rep'!L:L),"")</f>
        <v/>
      </c>
      <c r="I461" s="17" t="str">
        <f t="shared" si="2"/>
        <v>Not Active</v>
      </c>
      <c r="J461" s="17" t="str">
        <f t="array" ref="J461">XLOOKUP(A461,'Download of SFDC Activation Rep'!B:B,'Download of SFDC Activation Rep'!T:T)</f>
        <v>#N/A</v>
      </c>
      <c r="K461" s="17" t="str">
        <f t="array" ref="K461">iferror(XLOOKUP(A461,'Download of SFDC Activation Rep'!B:B,'Download of SFDC Activation Rep'!C:C),"")</f>
        <v/>
      </c>
    </row>
    <row r="462">
      <c r="B462" s="14"/>
      <c r="C462" s="14"/>
      <c r="D462" s="14"/>
      <c r="E462" s="14"/>
      <c r="F462" s="14"/>
      <c r="G462" s="13" t="str">
        <f t="array" ref="G462">iferror(XLOOKUP(A462,'Download of SFDC Activation Rep'!B:B,'Download of SFDC Activation Rep'!H:H),"")</f>
        <v/>
      </c>
      <c r="H462" s="13" t="str">
        <f t="array" ref="H462">iferror(xlookup(A462,'Download of SFDC Activation Rep'!B:B,'Download of SFDC Activation Rep'!L:L),"")</f>
        <v/>
      </c>
      <c r="I462" s="17" t="str">
        <f t="shared" si="2"/>
        <v>Not Active</v>
      </c>
      <c r="J462" s="17" t="str">
        <f t="array" ref="J462">XLOOKUP(A462,'Download of SFDC Activation Rep'!B:B,'Download of SFDC Activation Rep'!T:T)</f>
        <v>#N/A</v>
      </c>
      <c r="K462" s="17" t="str">
        <f t="array" ref="K462">iferror(XLOOKUP(A462,'Download of SFDC Activation Rep'!B:B,'Download of SFDC Activation Rep'!C:C),"")</f>
        <v/>
      </c>
    </row>
    <row r="463">
      <c r="B463" s="14"/>
      <c r="C463" s="14"/>
      <c r="D463" s="14"/>
      <c r="E463" s="14"/>
      <c r="F463" s="14"/>
      <c r="G463" s="13" t="str">
        <f t="array" ref="G463">iferror(XLOOKUP(A463,'Download of SFDC Activation Rep'!B:B,'Download of SFDC Activation Rep'!H:H),"")</f>
        <v/>
      </c>
      <c r="H463" s="13" t="str">
        <f t="array" ref="H463">iferror(xlookup(A463,'Download of SFDC Activation Rep'!B:B,'Download of SFDC Activation Rep'!L:L),"")</f>
        <v/>
      </c>
      <c r="I463" s="17" t="str">
        <f t="shared" si="2"/>
        <v>Not Active</v>
      </c>
      <c r="J463" s="17" t="str">
        <f t="array" ref="J463">XLOOKUP(A463,'Download of SFDC Activation Rep'!B:B,'Download of SFDC Activation Rep'!T:T)</f>
        <v>#N/A</v>
      </c>
      <c r="K463" s="17" t="str">
        <f t="array" ref="K463">iferror(XLOOKUP(A463,'Download of SFDC Activation Rep'!B:B,'Download of SFDC Activation Rep'!C:C),"")</f>
        <v/>
      </c>
    </row>
    <row r="464">
      <c r="B464" s="14"/>
      <c r="C464" s="14"/>
      <c r="D464" s="14"/>
      <c r="E464" s="14"/>
      <c r="F464" s="14"/>
      <c r="G464" s="13" t="str">
        <f t="array" ref="G464">iferror(XLOOKUP(A464,'Download of SFDC Activation Rep'!B:B,'Download of SFDC Activation Rep'!H:H),"")</f>
        <v/>
      </c>
      <c r="H464" s="13" t="str">
        <f t="array" ref="H464">iferror(xlookup(A464,'Download of SFDC Activation Rep'!B:B,'Download of SFDC Activation Rep'!L:L),"")</f>
        <v/>
      </c>
      <c r="I464" s="17" t="str">
        <f t="shared" si="2"/>
        <v>Not Active</v>
      </c>
      <c r="J464" s="17" t="str">
        <f t="array" ref="J464">XLOOKUP(A464,'Download of SFDC Activation Rep'!B:B,'Download of SFDC Activation Rep'!T:T)</f>
        <v>#N/A</v>
      </c>
      <c r="K464" s="17" t="str">
        <f t="array" ref="K464">iferror(XLOOKUP(A464,'Download of SFDC Activation Rep'!B:B,'Download of SFDC Activation Rep'!C:C),"")</f>
        <v/>
      </c>
    </row>
    <row r="465">
      <c r="B465" s="14"/>
      <c r="C465" s="14"/>
      <c r="D465" s="14"/>
      <c r="E465" s="14"/>
      <c r="F465" s="14"/>
      <c r="G465" s="13" t="str">
        <f t="array" ref="G465">iferror(XLOOKUP(A465,'Download of SFDC Activation Rep'!B:B,'Download of SFDC Activation Rep'!H:H),"")</f>
        <v/>
      </c>
      <c r="H465" s="13" t="str">
        <f t="array" ref="H465">iferror(xlookup(A465,'Download of SFDC Activation Rep'!B:B,'Download of SFDC Activation Rep'!L:L),"")</f>
        <v/>
      </c>
      <c r="I465" s="17" t="str">
        <f t="shared" si="2"/>
        <v>Not Active</v>
      </c>
      <c r="J465" s="17" t="str">
        <f t="array" ref="J465">XLOOKUP(A465,'Download of SFDC Activation Rep'!B:B,'Download of SFDC Activation Rep'!T:T)</f>
        <v>#N/A</v>
      </c>
      <c r="K465" s="17" t="str">
        <f t="array" ref="K465">iferror(XLOOKUP(A465,'Download of SFDC Activation Rep'!B:B,'Download of SFDC Activation Rep'!C:C),"")</f>
        <v/>
      </c>
    </row>
    <row r="466">
      <c r="B466" s="14"/>
      <c r="C466" s="14"/>
      <c r="D466" s="14"/>
      <c r="E466" s="14"/>
      <c r="F466" s="14"/>
      <c r="G466" s="13" t="str">
        <f t="array" ref="G466">iferror(XLOOKUP(A466,'Download of SFDC Activation Rep'!B:B,'Download of SFDC Activation Rep'!H:H),"")</f>
        <v/>
      </c>
      <c r="H466" s="13" t="str">
        <f t="array" ref="H466">iferror(xlookup(A466,'Download of SFDC Activation Rep'!B:B,'Download of SFDC Activation Rep'!L:L),"")</f>
        <v/>
      </c>
      <c r="I466" s="17" t="str">
        <f t="shared" si="2"/>
        <v>Not Active</v>
      </c>
      <c r="J466" s="17" t="str">
        <f t="array" ref="J466">XLOOKUP(A466,'Download of SFDC Activation Rep'!B:B,'Download of SFDC Activation Rep'!T:T)</f>
        <v>#N/A</v>
      </c>
      <c r="K466" s="17" t="str">
        <f t="array" ref="K466">iferror(XLOOKUP(A466,'Download of SFDC Activation Rep'!B:B,'Download of SFDC Activation Rep'!C:C),"")</f>
        <v/>
      </c>
    </row>
    <row r="467">
      <c r="B467" s="14"/>
      <c r="C467" s="14"/>
      <c r="D467" s="14"/>
      <c r="E467" s="14"/>
      <c r="F467" s="14"/>
      <c r="G467" s="13" t="str">
        <f t="array" ref="G467">iferror(XLOOKUP(A467,'Download of SFDC Activation Rep'!B:B,'Download of SFDC Activation Rep'!H:H),"")</f>
        <v/>
      </c>
      <c r="H467" s="13" t="str">
        <f t="array" ref="H467">iferror(xlookup(A467,'Download of SFDC Activation Rep'!B:B,'Download of SFDC Activation Rep'!L:L),"")</f>
        <v/>
      </c>
      <c r="I467" s="17" t="str">
        <f t="shared" si="2"/>
        <v>Not Active</v>
      </c>
      <c r="J467" s="17" t="str">
        <f t="array" ref="J467">XLOOKUP(A467,'Download of SFDC Activation Rep'!B:B,'Download of SFDC Activation Rep'!T:T)</f>
        <v>#N/A</v>
      </c>
      <c r="K467" s="17" t="str">
        <f t="array" ref="K467">iferror(XLOOKUP(A467,'Download of SFDC Activation Rep'!B:B,'Download of SFDC Activation Rep'!C:C),"")</f>
        <v/>
      </c>
    </row>
    <row r="468">
      <c r="B468" s="14"/>
      <c r="C468" s="14"/>
      <c r="D468" s="14"/>
      <c r="E468" s="14"/>
      <c r="F468" s="14"/>
      <c r="G468" s="13" t="str">
        <f t="array" ref="G468">iferror(XLOOKUP(A468,'Download of SFDC Activation Rep'!B:B,'Download of SFDC Activation Rep'!H:H),"")</f>
        <v/>
      </c>
      <c r="H468" s="13" t="str">
        <f t="array" ref="H468">iferror(xlookup(A468,'Download of SFDC Activation Rep'!B:B,'Download of SFDC Activation Rep'!L:L),"")</f>
        <v/>
      </c>
      <c r="I468" s="17" t="str">
        <f t="shared" si="2"/>
        <v>Not Active</v>
      </c>
      <c r="J468" s="17" t="str">
        <f t="array" ref="J468">XLOOKUP(A468,'Download of SFDC Activation Rep'!B:B,'Download of SFDC Activation Rep'!T:T)</f>
        <v>#N/A</v>
      </c>
      <c r="K468" s="17" t="str">
        <f t="array" ref="K468">iferror(XLOOKUP(A468,'Download of SFDC Activation Rep'!B:B,'Download of SFDC Activation Rep'!C:C),"")</f>
        <v/>
      </c>
    </row>
    <row r="469">
      <c r="B469" s="14"/>
      <c r="C469" s="14"/>
      <c r="D469" s="14"/>
      <c r="E469" s="14"/>
      <c r="F469" s="14"/>
      <c r="G469" s="13" t="str">
        <f t="array" ref="G469">iferror(XLOOKUP(A469,'Download of SFDC Activation Rep'!B:B,'Download of SFDC Activation Rep'!H:H),"")</f>
        <v/>
      </c>
      <c r="H469" s="13" t="str">
        <f t="array" ref="H469">iferror(xlookup(A469,'Download of SFDC Activation Rep'!B:B,'Download of SFDC Activation Rep'!L:L),"")</f>
        <v/>
      </c>
      <c r="I469" s="17" t="str">
        <f t="shared" si="2"/>
        <v>Not Active</v>
      </c>
      <c r="J469" s="17" t="str">
        <f t="array" ref="J469">XLOOKUP(A469,'Download of SFDC Activation Rep'!B:B,'Download of SFDC Activation Rep'!T:T)</f>
        <v>#N/A</v>
      </c>
      <c r="K469" s="17" t="str">
        <f t="array" ref="K469">iferror(XLOOKUP(A469,'Download of SFDC Activation Rep'!B:B,'Download of SFDC Activation Rep'!C:C),"")</f>
        <v/>
      </c>
    </row>
    <row r="470">
      <c r="B470" s="14"/>
      <c r="C470" s="14"/>
      <c r="D470" s="14"/>
      <c r="E470" s="14"/>
      <c r="F470" s="14"/>
      <c r="G470" s="13" t="str">
        <f t="array" ref="G470">iferror(XLOOKUP(A470,'Download of SFDC Activation Rep'!B:B,'Download of SFDC Activation Rep'!H:H),"")</f>
        <v/>
      </c>
      <c r="H470" s="13" t="str">
        <f t="array" ref="H470">iferror(xlookup(A470,'Download of SFDC Activation Rep'!B:B,'Download of SFDC Activation Rep'!L:L),"")</f>
        <v/>
      </c>
      <c r="I470" s="17" t="str">
        <f t="shared" si="2"/>
        <v>Not Active</v>
      </c>
      <c r="J470" s="17" t="str">
        <f t="array" ref="J470">XLOOKUP(A470,'Download of SFDC Activation Rep'!B:B,'Download of SFDC Activation Rep'!T:T)</f>
        <v>#N/A</v>
      </c>
      <c r="K470" s="17" t="str">
        <f t="array" ref="K470">iferror(XLOOKUP(A470,'Download of SFDC Activation Rep'!B:B,'Download of SFDC Activation Rep'!C:C),"")</f>
        <v/>
      </c>
    </row>
    <row r="471">
      <c r="B471" s="14"/>
      <c r="C471" s="14"/>
      <c r="D471" s="14"/>
      <c r="E471" s="14"/>
      <c r="F471" s="14"/>
      <c r="G471" s="13" t="str">
        <f t="array" ref="G471">iferror(XLOOKUP(A471,'Download of SFDC Activation Rep'!B:B,'Download of SFDC Activation Rep'!H:H),"")</f>
        <v/>
      </c>
      <c r="H471" s="13" t="str">
        <f t="array" ref="H471">iferror(xlookup(A471,'Download of SFDC Activation Rep'!B:B,'Download of SFDC Activation Rep'!L:L),"")</f>
        <v/>
      </c>
      <c r="I471" s="17" t="str">
        <f t="shared" si="2"/>
        <v>Not Active</v>
      </c>
      <c r="J471" s="17" t="str">
        <f t="array" ref="J471">XLOOKUP(A471,'Download of SFDC Activation Rep'!B:B,'Download of SFDC Activation Rep'!T:T)</f>
        <v>#N/A</v>
      </c>
      <c r="K471" s="17" t="str">
        <f t="array" ref="K471">iferror(XLOOKUP(A471,'Download of SFDC Activation Rep'!B:B,'Download of SFDC Activation Rep'!C:C),"")</f>
        <v/>
      </c>
    </row>
    <row r="472">
      <c r="B472" s="14"/>
      <c r="C472" s="14"/>
      <c r="D472" s="14"/>
      <c r="E472" s="14"/>
      <c r="F472" s="14"/>
      <c r="G472" s="13" t="str">
        <f t="array" ref="G472">iferror(XLOOKUP(A472,'Download of SFDC Activation Rep'!B:B,'Download of SFDC Activation Rep'!H:H),"")</f>
        <v/>
      </c>
      <c r="H472" s="13" t="str">
        <f t="array" ref="H472">iferror(xlookup(A472,'Download of SFDC Activation Rep'!B:B,'Download of SFDC Activation Rep'!L:L),"")</f>
        <v/>
      </c>
      <c r="I472" s="17" t="str">
        <f t="shared" si="2"/>
        <v>Not Active</v>
      </c>
      <c r="J472" s="17" t="str">
        <f t="array" ref="J472">XLOOKUP(A472,'Download of SFDC Activation Rep'!B:B,'Download of SFDC Activation Rep'!T:T)</f>
        <v>#N/A</v>
      </c>
      <c r="K472" s="17" t="str">
        <f t="array" ref="K472">iferror(XLOOKUP(A472,'Download of SFDC Activation Rep'!B:B,'Download of SFDC Activation Rep'!C:C),"")</f>
        <v/>
      </c>
    </row>
    <row r="473">
      <c r="B473" s="14"/>
      <c r="C473" s="14"/>
      <c r="D473" s="14"/>
      <c r="E473" s="14"/>
      <c r="F473" s="14"/>
      <c r="G473" s="13" t="str">
        <f t="array" ref="G473">iferror(XLOOKUP(A473,'Download of SFDC Activation Rep'!B:B,'Download of SFDC Activation Rep'!H:H),"")</f>
        <v/>
      </c>
      <c r="H473" s="13" t="str">
        <f t="array" ref="H473">iferror(xlookup(A473,'Download of SFDC Activation Rep'!B:B,'Download of SFDC Activation Rep'!L:L),"")</f>
        <v/>
      </c>
      <c r="I473" s="17" t="str">
        <f t="shared" si="2"/>
        <v>Not Active</v>
      </c>
      <c r="J473" s="17" t="str">
        <f t="array" ref="J473">XLOOKUP(A473,'Download of SFDC Activation Rep'!B:B,'Download of SFDC Activation Rep'!T:T)</f>
        <v>#N/A</v>
      </c>
      <c r="K473" s="17" t="str">
        <f t="array" ref="K473">iferror(XLOOKUP(A473,'Download of SFDC Activation Rep'!B:B,'Download of SFDC Activation Rep'!C:C),"")</f>
        <v/>
      </c>
    </row>
    <row r="474">
      <c r="B474" s="14"/>
      <c r="C474" s="14"/>
      <c r="D474" s="14"/>
      <c r="E474" s="14"/>
      <c r="F474" s="14"/>
      <c r="G474" s="13" t="str">
        <f t="array" ref="G474">iferror(XLOOKUP(A474,'Download of SFDC Activation Rep'!B:B,'Download of SFDC Activation Rep'!H:H),"")</f>
        <v/>
      </c>
      <c r="H474" s="13" t="str">
        <f t="array" ref="H474">iferror(xlookup(A474,'Download of SFDC Activation Rep'!B:B,'Download of SFDC Activation Rep'!L:L),"")</f>
        <v/>
      </c>
      <c r="I474" s="17" t="str">
        <f t="shared" si="2"/>
        <v>Not Active</v>
      </c>
      <c r="J474" s="17" t="str">
        <f t="array" ref="J474">XLOOKUP(A474,'Download of SFDC Activation Rep'!B:B,'Download of SFDC Activation Rep'!T:T)</f>
        <v>#N/A</v>
      </c>
      <c r="K474" s="17" t="str">
        <f t="array" ref="K474">iferror(XLOOKUP(A474,'Download of SFDC Activation Rep'!B:B,'Download of SFDC Activation Rep'!C:C),"")</f>
        <v/>
      </c>
    </row>
    <row r="475">
      <c r="B475" s="14"/>
      <c r="C475" s="14"/>
      <c r="D475" s="14"/>
      <c r="E475" s="14"/>
      <c r="F475" s="14"/>
      <c r="G475" s="13" t="str">
        <f t="array" ref="G475">iferror(XLOOKUP(A475,'Download of SFDC Activation Rep'!B:B,'Download of SFDC Activation Rep'!H:H),"")</f>
        <v/>
      </c>
      <c r="H475" s="13" t="str">
        <f t="array" ref="H475">iferror(xlookup(A475,'Download of SFDC Activation Rep'!B:B,'Download of SFDC Activation Rep'!L:L),"")</f>
        <v/>
      </c>
      <c r="I475" s="17" t="str">
        <f t="shared" si="2"/>
        <v>Not Active</v>
      </c>
      <c r="J475" s="17" t="str">
        <f t="array" ref="J475">XLOOKUP(A475,'Download of SFDC Activation Rep'!B:B,'Download of SFDC Activation Rep'!T:T)</f>
        <v>#N/A</v>
      </c>
      <c r="K475" s="17" t="str">
        <f t="array" ref="K475">iferror(XLOOKUP(A475,'Download of SFDC Activation Rep'!B:B,'Download of SFDC Activation Rep'!C:C),"")</f>
        <v/>
      </c>
    </row>
    <row r="476">
      <c r="B476" s="14"/>
      <c r="C476" s="14"/>
      <c r="D476" s="14"/>
      <c r="E476" s="14"/>
      <c r="F476" s="14"/>
      <c r="G476" s="13" t="str">
        <f t="array" ref="G476">iferror(XLOOKUP(A476,'Download of SFDC Activation Rep'!B:B,'Download of SFDC Activation Rep'!H:H),"")</f>
        <v/>
      </c>
      <c r="H476" s="13" t="str">
        <f t="array" ref="H476">iferror(xlookup(A476,'Download of SFDC Activation Rep'!B:B,'Download of SFDC Activation Rep'!L:L),"")</f>
        <v/>
      </c>
      <c r="I476" s="17" t="str">
        <f t="shared" si="2"/>
        <v>Not Active</v>
      </c>
      <c r="J476" s="17" t="str">
        <f t="array" ref="J476">XLOOKUP(A476,'Download of SFDC Activation Rep'!B:B,'Download of SFDC Activation Rep'!T:T)</f>
        <v>#N/A</v>
      </c>
      <c r="K476" s="17" t="str">
        <f t="array" ref="K476">iferror(XLOOKUP(A476,'Download of SFDC Activation Rep'!B:B,'Download of SFDC Activation Rep'!C:C),"")</f>
        <v/>
      </c>
    </row>
    <row r="477">
      <c r="B477" s="14"/>
      <c r="C477" s="14"/>
      <c r="D477" s="14"/>
      <c r="E477" s="14"/>
      <c r="F477" s="14"/>
      <c r="G477" s="13" t="str">
        <f t="array" ref="G477">iferror(XLOOKUP(A477,'Download of SFDC Activation Rep'!B:B,'Download of SFDC Activation Rep'!H:H),"")</f>
        <v/>
      </c>
      <c r="H477" s="13" t="str">
        <f t="array" ref="H477">iferror(xlookup(A477,'Download of SFDC Activation Rep'!B:B,'Download of SFDC Activation Rep'!L:L),"")</f>
        <v/>
      </c>
      <c r="I477" s="17" t="str">
        <f t="shared" si="2"/>
        <v>Not Active</v>
      </c>
      <c r="J477" s="17" t="str">
        <f t="array" ref="J477">XLOOKUP(A477,'Download of SFDC Activation Rep'!B:B,'Download of SFDC Activation Rep'!T:T)</f>
        <v>#N/A</v>
      </c>
      <c r="K477" s="17" t="str">
        <f t="array" ref="K477">iferror(XLOOKUP(A477,'Download of SFDC Activation Rep'!B:B,'Download of SFDC Activation Rep'!C:C),"")</f>
        <v/>
      </c>
    </row>
    <row r="478">
      <c r="B478" s="14"/>
      <c r="C478" s="14"/>
      <c r="D478" s="14"/>
      <c r="E478" s="14"/>
      <c r="F478" s="14"/>
      <c r="G478" s="13" t="str">
        <f t="array" ref="G478">iferror(XLOOKUP(A478,'Download of SFDC Activation Rep'!B:B,'Download of SFDC Activation Rep'!H:H),"")</f>
        <v/>
      </c>
      <c r="H478" s="13" t="str">
        <f t="array" ref="H478">iferror(xlookup(A478,'Download of SFDC Activation Rep'!B:B,'Download of SFDC Activation Rep'!L:L),"")</f>
        <v/>
      </c>
      <c r="I478" s="17" t="str">
        <f t="shared" si="2"/>
        <v>Not Active</v>
      </c>
      <c r="J478" s="17" t="str">
        <f t="array" ref="J478">XLOOKUP(A478,'Download of SFDC Activation Rep'!B:B,'Download of SFDC Activation Rep'!T:T)</f>
        <v>#N/A</v>
      </c>
      <c r="K478" s="17" t="str">
        <f t="array" ref="K478">iferror(XLOOKUP(A478,'Download of SFDC Activation Rep'!B:B,'Download of SFDC Activation Rep'!C:C),"")</f>
        <v/>
      </c>
    </row>
    <row r="479">
      <c r="B479" s="14"/>
      <c r="C479" s="14"/>
      <c r="D479" s="14"/>
      <c r="E479" s="14"/>
      <c r="F479" s="14"/>
      <c r="G479" s="13" t="str">
        <f t="array" ref="G479">iferror(XLOOKUP(A479,'Download of SFDC Activation Rep'!B:B,'Download of SFDC Activation Rep'!H:H),"")</f>
        <v/>
      </c>
      <c r="H479" s="13" t="str">
        <f t="array" ref="H479">iferror(xlookup(A479,'Download of SFDC Activation Rep'!B:B,'Download of SFDC Activation Rep'!L:L),"")</f>
        <v/>
      </c>
      <c r="I479" s="17" t="str">
        <f t="shared" si="2"/>
        <v>Not Active</v>
      </c>
      <c r="J479" s="17" t="str">
        <f t="array" ref="J479">XLOOKUP(A479,'Download of SFDC Activation Rep'!B:B,'Download of SFDC Activation Rep'!T:T)</f>
        <v>#N/A</v>
      </c>
      <c r="K479" s="17" t="str">
        <f t="array" ref="K479">iferror(XLOOKUP(A479,'Download of SFDC Activation Rep'!B:B,'Download of SFDC Activation Rep'!C:C),"")</f>
        <v/>
      </c>
    </row>
    <row r="480">
      <c r="B480" s="14"/>
      <c r="C480" s="14"/>
      <c r="D480" s="14"/>
      <c r="E480" s="14"/>
      <c r="F480" s="14"/>
      <c r="G480" s="13" t="str">
        <f t="array" ref="G480">iferror(XLOOKUP(A480,'Download of SFDC Activation Rep'!B:B,'Download of SFDC Activation Rep'!H:H),"")</f>
        <v/>
      </c>
      <c r="H480" s="13" t="str">
        <f t="array" ref="H480">iferror(xlookup(A480,'Download of SFDC Activation Rep'!B:B,'Download of SFDC Activation Rep'!L:L),"")</f>
        <v/>
      </c>
      <c r="I480" s="17" t="str">
        <f t="shared" si="2"/>
        <v>Not Active</v>
      </c>
      <c r="J480" s="17" t="str">
        <f t="array" ref="J480">XLOOKUP(A480,'Download of SFDC Activation Rep'!B:B,'Download of SFDC Activation Rep'!T:T)</f>
        <v>#N/A</v>
      </c>
      <c r="K480" s="17" t="str">
        <f t="array" ref="K480">iferror(XLOOKUP(A480,'Download of SFDC Activation Rep'!B:B,'Download of SFDC Activation Rep'!C:C),"")</f>
        <v/>
      </c>
    </row>
    <row r="481">
      <c r="B481" s="14"/>
      <c r="C481" s="14"/>
      <c r="D481" s="14"/>
      <c r="E481" s="14"/>
      <c r="F481" s="14"/>
      <c r="G481" s="13" t="str">
        <f t="array" ref="G481">iferror(XLOOKUP(A481,'Download of SFDC Activation Rep'!B:B,'Download of SFDC Activation Rep'!H:H),"")</f>
        <v/>
      </c>
      <c r="H481" s="13" t="str">
        <f t="array" ref="H481">iferror(xlookup(A481,'Download of SFDC Activation Rep'!B:B,'Download of SFDC Activation Rep'!L:L),"")</f>
        <v/>
      </c>
      <c r="I481" s="17" t="str">
        <f t="shared" si="2"/>
        <v>Not Active</v>
      </c>
      <c r="J481" s="17" t="str">
        <f t="array" ref="J481">XLOOKUP(A481,'Download of SFDC Activation Rep'!B:B,'Download of SFDC Activation Rep'!T:T)</f>
        <v>#N/A</v>
      </c>
      <c r="K481" s="17" t="str">
        <f t="array" ref="K481">iferror(XLOOKUP(A481,'Download of SFDC Activation Rep'!B:B,'Download of SFDC Activation Rep'!C:C),"")</f>
        <v/>
      </c>
    </row>
    <row r="482">
      <c r="B482" s="14"/>
      <c r="C482" s="14"/>
      <c r="D482" s="14"/>
      <c r="E482" s="14"/>
      <c r="F482" s="14"/>
      <c r="G482" s="13" t="str">
        <f t="array" ref="G482">iferror(XLOOKUP(A482,'Download of SFDC Activation Rep'!B:B,'Download of SFDC Activation Rep'!H:H),"")</f>
        <v/>
      </c>
      <c r="H482" s="13" t="str">
        <f t="array" ref="H482">iferror(xlookup(A482,'Download of SFDC Activation Rep'!B:B,'Download of SFDC Activation Rep'!L:L),"")</f>
        <v/>
      </c>
      <c r="I482" s="17" t="str">
        <f t="shared" si="2"/>
        <v>Not Active</v>
      </c>
      <c r="J482" s="17" t="str">
        <f t="array" ref="J482">XLOOKUP(A482,'Download of SFDC Activation Rep'!B:B,'Download of SFDC Activation Rep'!T:T)</f>
        <v>#N/A</v>
      </c>
      <c r="K482" s="17" t="str">
        <f t="array" ref="K482">iferror(XLOOKUP(A482,'Download of SFDC Activation Rep'!B:B,'Download of SFDC Activation Rep'!C:C),"")</f>
        <v/>
      </c>
    </row>
    <row r="483">
      <c r="B483" s="14"/>
      <c r="C483" s="14"/>
      <c r="D483" s="14"/>
      <c r="E483" s="14"/>
      <c r="F483" s="14"/>
      <c r="G483" s="13" t="str">
        <f t="array" ref="G483">iferror(XLOOKUP(A483,'Download of SFDC Activation Rep'!B:B,'Download of SFDC Activation Rep'!H:H),"")</f>
        <v/>
      </c>
      <c r="H483" s="13" t="str">
        <f t="array" ref="H483">iferror(xlookup(A483,'Download of SFDC Activation Rep'!B:B,'Download of SFDC Activation Rep'!L:L),"")</f>
        <v/>
      </c>
      <c r="I483" s="17" t="str">
        <f t="shared" si="2"/>
        <v>Not Active</v>
      </c>
      <c r="J483" s="17" t="str">
        <f t="array" ref="J483">XLOOKUP(A483,'Download of SFDC Activation Rep'!B:B,'Download of SFDC Activation Rep'!T:T)</f>
        <v>#N/A</v>
      </c>
      <c r="K483" s="17" t="str">
        <f t="array" ref="K483">iferror(XLOOKUP(A483,'Download of SFDC Activation Rep'!B:B,'Download of SFDC Activation Rep'!C:C),"")</f>
        <v/>
      </c>
    </row>
    <row r="484">
      <c r="B484" s="14"/>
      <c r="C484" s="14"/>
      <c r="D484" s="14"/>
      <c r="E484" s="14"/>
      <c r="F484" s="14"/>
      <c r="G484" s="13" t="str">
        <f t="array" ref="G484">iferror(XLOOKUP(A484,'Download of SFDC Activation Rep'!B:B,'Download of SFDC Activation Rep'!H:H),"")</f>
        <v/>
      </c>
      <c r="H484" s="13" t="str">
        <f t="array" ref="H484">iferror(xlookup(A484,'Download of SFDC Activation Rep'!B:B,'Download of SFDC Activation Rep'!L:L),"")</f>
        <v/>
      </c>
      <c r="I484" s="17" t="str">
        <f t="shared" si="2"/>
        <v>Not Active</v>
      </c>
      <c r="J484" s="17" t="str">
        <f t="array" ref="J484">XLOOKUP(A484,'Download of SFDC Activation Rep'!B:B,'Download of SFDC Activation Rep'!T:T)</f>
        <v>#N/A</v>
      </c>
      <c r="K484" s="17" t="str">
        <f t="array" ref="K484">iferror(XLOOKUP(A484,'Download of SFDC Activation Rep'!B:B,'Download of SFDC Activation Rep'!C:C),"")</f>
        <v/>
      </c>
    </row>
    <row r="485">
      <c r="B485" s="14"/>
      <c r="C485" s="14"/>
      <c r="D485" s="14"/>
      <c r="E485" s="14"/>
      <c r="F485" s="14"/>
      <c r="G485" s="13" t="str">
        <f t="array" ref="G485">iferror(XLOOKUP(A485,'Download of SFDC Activation Rep'!B:B,'Download of SFDC Activation Rep'!H:H),"")</f>
        <v/>
      </c>
      <c r="H485" s="13" t="str">
        <f t="array" ref="H485">iferror(xlookup(A485,'Download of SFDC Activation Rep'!B:B,'Download of SFDC Activation Rep'!L:L),"")</f>
        <v/>
      </c>
      <c r="I485" s="17" t="str">
        <f t="shared" si="2"/>
        <v>Not Active</v>
      </c>
      <c r="J485" s="17" t="str">
        <f t="array" ref="J485">XLOOKUP(A485,'Download of SFDC Activation Rep'!B:B,'Download of SFDC Activation Rep'!T:T)</f>
        <v>#N/A</v>
      </c>
      <c r="K485" s="17" t="str">
        <f t="array" ref="K485">iferror(XLOOKUP(A485,'Download of SFDC Activation Rep'!B:B,'Download of SFDC Activation Rep'!C:C),"")</f>
        <v/>
      </c>
    </row>
    <row r="486">
      <c r="B486" s="14"/>
      <c r="C486" s="14"/>
      <c r="D486" s="14"/>
      <c r="E486" s="14"/>
      <c r="F486" s="14"/>
      <c r="G486" s="13" t="str">
        <f t="array" ref="G486">iferror(XLOOKUP(A486,'Download of SFDC Activation Rep'!B:B,'Download of SFDC Activation Rep'!H:H),"")</f>
        <v/>
      </c>
      <c r="H486" s="13" t="str">
        <f t="array" ref="H486">iferror(xlookup(A486,'Download of SFDC Activation Rep'!B:B,'Download of SFDC Activation Rep'!L:L),"")</f>
        <v/>
      </c>
      <c r="I486" s="17" t="str">
        <f t="shared" si="2"/>
        <v>Not Active</v>
      </c>
      <c r="J486" s="17" t="str">
        <f t="array" ref="J486">XLOOKUP(A486,'Download of SFDC Activation Rep'!B:B,'Download of SFDC Activation Rep'!T:T)</f>
        <v>#N/A</v>
      </c>
      <c r="K486" s="17" t="str">
        <f t="array" ref="K486">iferror(XLOOKUP(A486,'Download of SFDC Activation Rep'!B:B,'Download of SFDC Activation Rep'!C:C),"")</f>
        <v/>
      </c>
    </row>
    <row r="487">
      <c r="B487" s="14"/>
      <c r="C487" s="14"/>
      <c r="D487" s="14"/>
      <c r="E487" s="14"/>
      <c r="F487" s="14"/>
      <c r="G487" s="13" t="str">
        <f t="array" ref="G487">iferror(XLOOKUP(A487,'Download of SFDC Activation Rep'!B:B,'Download of SFDC Activation Rep'!H:H),"")</f>
        <v/>
      </c>
      <c r="H487" s="13" t="str">
        <f t="array" ref="H487">iferror(xlookup(A487,'Download of SFDC Activation Rep'!B:B,'Download of SFDC Activation Rep'!L:L),"")</f>
        <v/>
      </c>
      <c r="I487" s="17" t="str">
        <f t="shared" si="2"/>
        <v>Not Active</v>
      </c>
      <c r="J487" s="17" t="str">
        <f t="array" ref="J487">XLOOKUP(A487,'Download of SFDC Activation Rep'!B:B,'Download of SFDC Activation Rep'!T:T)</f>
        <v>#N/A</v>
      </c>
      <c r="K487" s="17" t="str">
        <f t="array" ref="K487">iferror(XLOOKUP(A487,'Download of SFDC Activation Rep'!B:B,'Download of SFDC Activation Rep'!C:C),"")</f>
        <v/>
      </c>
    </row>
    <row r="488">
      <c r="B488" s="14"/>
      <c r="C488" s="14"/>
      <c r="D488" s="14"/>
      <c r="E488" s="14"/>
      <c r="F488" s="14"/>
      <c r="G488" s="13" t="str">
        <f t="array" ref="G488">iferror(XLOOKUP(A488,'Download of SFDC Activation Rep'!B:B,'Download of SFDC Activation Rep'!H:H),"")</f>
        <v/>
      </c>
      <c r="H488" s="13" t="str">
        <f t="array" ref="H488">iferror(xlookup(A488,'Download of SFDC Activation Rep'!B:B,'Download of SFDC Activation Rep'!L:L),"")</f>
        <v/>
      </c>
      <c r="I488" s="17" t="str">
        <f t="shared" si="2"/>
        <v>Not Active</v>
      </c>
      <c r="J488" s="17" t="str">
        <f t="array" ref="J488">XLOOKUP(A488,'Download of SFDC Activation Rep'!B:B,'Download of SFDC Activation Rep'!T:T)</f>
        <v>#N/A</v>
      </c>
      <c r="K488" s="17" t="str">
        <f t="array" ref="K488">iferror(XLOOKUP(A488,'Download of SFDC Activation Rep'!B:B,'Download of SFDC Activation Rep'!C:C),"")</f>
        <v/>
      </c>
    </row>
    <row r="489">
      <c r="B489" s="14"/>
      <c r="C489" s="14"/>
      <c r="D489" s="14"/>
      <c r="E489" s="14"/>
      <c r="F489" s="14"/>
      <c r="G489" s="13" t="str">
        <f t="array" ref="G489">iferror(XLOOKUP(A489,'Download of SFDC Activation Rep'!B:B,'Download of SFDC Activation Rep'!H:H),"")</f>
        <v/>
      </c>
      <c r="H489" s="13" t="str">
        <f t="array" ref="H489">iferror(xlookup(A489,'Download of SFDC Activation Rep'!B:B,'Download of SFDC Activation Rep'!L:L),"")</f>
        <v/>
      </c>
      <c r="I489" s="17" t="str">
        <f t="shared" si="2"/>
        <v>Not Active</v>
      </c>
      <c r="J489" s="17" t="str">
        <f t="array" ref="J489">XLOOKUP(A489,'Download of SFDC Activation Rep'!B:B,'Download of SFDC Activation Rep'!T:T)</f>
        <v>#N/A</v>
      </c>
      <c r="K489" s="17" t="str">
        <f t="array" ref="K489">iferror(XLOOKUP(A489,'Download of SFDC Activation Rep'!B:B,'Download of SFDC Activation Rep'!C:C),"")</f>
        <v/>
      </c>
    </row>
    <row r="490">
      <c r="B490" s="14"/>
      <c r="C490" s="14"/>
      <c r="D490" s="14"/>
      <c r="E490" s="14"/>
      <c r="F490" s="14"/>
      <c r="G490" s="13" t="str">
        <f t="array" ref="G490">iferror(XLOOKUP(A490,'Download of SFDC Activation Rep'!B:B,'Download of SFDC Activation Rep'!H:H),"")</f>
        <v/>
      </c>
      <c r="H490" s="13" t="str">
        <f t="array" ref="H490">iferror(xlookup(A490,'Download of SFDC Activation Rep'!B:B,'Download of SFDC Activation Rep'!L:L),"")</f>
        <v/>
      </c>
      <c r="I490" s="17" t="str">
        <f t="shared" si="2"/>
        <v>Not Active</v>
      </c>
      <c r="J490" s="17" t="str">
        <f t="array" ref="J490">XLOOKUP(A490,'Download of SFDC Activation Rep'!B:B,'Download of SFDC Activation Rep'!T:T)</f>
        <v>#N/A</v>
      </c>
      <c r="K490" s="17" t="str">
        <f t="array" ref="K490">iferror(XLOOKUP(A490,'Download of SFDC Activation Rep'!B:B,'Download of SFDC Activation Rep'!C:C),"")</f>
        <v/>
      </c>
    </row>
    <row r="491">
      <c r="B491" s="14"/>
      <c r="C491" s="14"/>
      <c r="D491" s="14"/>
      <c r="E491" s="14"/>
      <c r="F491" s="14"/>
      <c r="G491" s="13" t="str">
        <f t="array" ref="G491">iferror(XLOOKUP(A491,'Download of SFDC Activation Rep'!B:B,'Download of SFDC Activation Rep'!H:H),"")</f>
        <v/>
      </c>
      <c r="H491" s="13" t="str">
        <f t="array" ref="H491">iferror(xlookup(A491,'Download of SFDC Activation Rep'!B:B,'Download of SFDC Activation Rep'!L:L),"")</f>
        <v/>
      </c>
      <c r="I491" s="17" t="str">
        <f t="shared" si="2"/>
        <v>Not Active</v>
      </c>
      <c r="J491" s="17" t="str">
        <f t="array" ref="J491">XLOOKUP(A491,'Download of SFDC Activation Rep'!B:B,'Download of SFDC Activation Rep'!T:T)</f>
        <v>#N/A</v>
      </c>
      <c r="K491" s="17" t="str">
        <f t="array" ref="K491">iferror(XLOOKUP(A491,'Download of SFDC Activation Rep'!B:B,'Download of SFDC Activation Rep'!C:C),"")</f>
        <v/>
      </c>
    </row>
    <row r="492">
      <c r="B492" s="14"/>
      <c r="C492" s="14"/>
      <c r="D492" s="14"/>
      <c r="E492" s="14"/>
      <c r="F492" s="14"/>
      <c r="G492" s="13" t="str">
        <f t="array" ref="G492">iferror(XLOOKUP(A492,'Download of SFDC Activation Rep'!B:B,'Download of SFDC Activation Rep'!H:H),"")</f>
        <v/>
      </c>
      <c r="H492" s="13" t="str">
        <f t="array" ref="H492">iferror(xlookup(A492,'Download of SFDC Activation Rep'!B:B,'Download of SFDC Activation Rep'!L:L),"")</f>
        <v/>
      </c>
      <c r="I492" s="17" t="str">
        <f t="shared" si="2"/>
        <v>Not Active</v>
      </c>
      <c r="J492" s="17" t="str">
        <f t="array" ref="J492">XLOOKUP(A492,'Download of SFDC Activation Rep'!B:B,'Download of SFDC Activation Rep'!T:T)</f>
        <v>#N/A</v>
      </c>
      <c r="K492" s="17" t="str">
        <f t="array" ref="K492">iferror(XLOOKUP(A492,'Download of SFDC Activation Rep'!B:B,'Download of SFDC Activation Rep'!C:C),"")</f>
        <v/>
      </c>
    </row>
    <row r="493">
      <c r="B493" s="14"/>
      <c r="C493" s="14"/>
      <c r="D493" s="14"/>
      <c r="E493" s="14"/>
      <c r="F493" s="14"/>
      <c r="G493" s="13" t="str">
        <f t="array" ref="G493">iferror(XLOOKUP(A493,'Download of SFDC Activation Rep'!B:B,'Download of SFDC Activation Rep'!H:H),"")</f>
        <v/>
      </c>
      <c r="H493" s="13" t="str">
        <f t="array" ref="H493">iferror(xlookup(A493,'Download of SFDC Activation Rep'!B:B,'Download of SFDC Activation Rep'!L:L),"")</f>
        <v/>
      </c>
      <c r="I493" s="17" t="str">
        <f t="shared" si="2"/>
        <v>Not Active</v>
      </c>
      <c r="J493" s="17" t="str">
        <f t="array" ref="J493">XLOOKUP(A493,'Download of SFDC Activation Rep'!B:B,'Download of SFDC Activation Rep'!T:T)</f>
        <v>#N/A</v>
      </c>
      <c r="K493" s="17" t="str">
        <f t="array" ref="K493">iferror(XLOOKUP(A493,'Download of SFDC Activation Rep'!B:B,'Download of SFDC Activation Rep'!C:C),"")</f>
        <v/>
      </c>
    </row>
    <row r="494">
      <c r="B494" s="14"/>
      <c r="C494" s="14"/>
      <c r="D494" s="14"/>
      <c r="E494" s="14"/>
      <c r="F494" s="14"/>
      <c r="G494" s="13" t="str">
        <f t="array" ref="G494">iferror(XLOOKUP(A494,'Download of SFDC Activation Rep'!B:B,'Download of SFDC Activation Rep'!H:H),"")</f>
        <v/>
      </c>
      <c r="H494" s="13" t="str">
        <f t="array" ref="H494">iferror(xlookup(A494,'Download of SFDC Activation Rep'!B:B,'Download of SFDC Activation Rep'!L:L),"")</f>
        <v/>
      </c>
      <c r="I494" s="17" t="str">
        <f t="shared" si="2"/>
        <v>Not Active</v>
      </c>
      <c r="J494" s="17" t="str">
        <f t="array" ref="J494">XLOOKUP(A494,'Download of SFDC Activation Rep'!B:B,'Download of SFDC Activation Rep'!T:T)</f>
        <v>#N/A</v>
      </c>
      <c r="K494" s="17" t="str">
        <f t="array" ref="K494">iferror(XLOOKUP(A494,'Download of SFDC Activation Rep'!B:B,'Download of SFDC Activation Rep'!C:C),"")</f>
        <v/>
      </c>
    </row>
    <row r="495">
      <c r="B495" s="14"/>
      <c r="C495" s="14"/>
      <c r="D495" s="14"/>
      <c r="E495" s="14"/>
      <c r="F495" s="14"/>
      <c r="G495" s="13" t="str">
        <f t="array" ref="G495">iferror(XLOOKUP(A495,'Download of SFDC Activation Rep'!B:B,'Download of SFDC Activation Rep'!H:H),"")</f>
        <v/>
      </c>
      <c r="H495" s="13" t="str">
        <f t="array" ref="H495">iferror(xlookup(A495,'Download of SFDC Activation Rep'!B:B,'Download of SFDC Activation Rep'!L:L),"")</f>
        <v/>
      </c>
      <c r="I495" s="17" t="str">
        <f t="shared" si="2"/>
        <v>Not Active</v>
      </c>
      <c r="J495" s="17" t="str">
        <f t="array" ref="J495">XLOOKUP(A495,'Download of SFDC Activation Rep'!B:B,'Download of SFDC Activation Rep'!T:T)</f>
        <v>#N/A</v>
      </c>
      <c r="K495" s="17" t="str">
        <f t="array" ref="K495">iferror(XLOOKUP(A495,'Download of SFDC Activation Rep'!B:B,'Download of SFDC Activation Rep'!C:C),"")</f>
        <v/>
      </c>
    </row>
    <row r="496">
      <c r="B496" s="14"/>
      <c r="C496" s="14"/>
      <c r="D496" s="14"/>
      <c r="E496" s="14"/>
      <c r="F496" s="14"/>
      <c r="G496" s="13" t="str">
        <f t="array" ref="G496">iferror(XLOOKUP(A496,'Download of SFDC Activation Rep'!B:B,'Download of SFDC Activation Rep'!H:H),"")</f>
        <v/>
      </c>
      <c r="H496" s="13" t="str">
        <f t="array" ref="H496">iferror(xlookup(A496,'Download of SFDC Activation Rep'!B:B,'Download of SFDC Activation Rep'!L:L),"")</f>
        <v/>
      </c>
      <c r="I496" s="17" t="str">
        <f t="shared" si="2"/>
        <v>Not Active</v>
      </c>
      <c r="J496" s="17" t="str">
        <f t="array" ref="J496">XLOOKUP(A496,'Download of SFDC Activation Rep'!B:B,'Download of SFDC Activation Rep'!T:T)</f>
        <v>#N/A</v>
      </c>
      <c r="K496" s="17" t="str">
        <f t="array" ref="K496">iferror(XLOOKUP(A496,'Download of SFDC Activation Rep'!B:B,'Download of SFDC Activation Rep'!C:C),"")</f>
        <v/>
      </c>
    </row>
    <row r="497">
      <c r="B497" s="14"/>
      <c r="C497" s="14"/>
      <c r="D497" s="14"/>
      <c r="E497" s="14"/>
      <c r="F497" s="14"/>
      <c r="G497" s="13" t="str">
        <f t="array" ref="G497">iferror(XLOOKUP(A497,'Download of SFDC Activation Rep'!B:B,'Download of SFDC Activation Rep'!H:H),"")</f>
        <v/>
      </c>
      <c r="H497" s="13" t="str">
        <f t="array" ref="H497">iferror(xlookup(A497,'Download of SFDC Activation Rep'!B:B,'Download of SFDC Activation Rep'!L:L),"")</f>
        <v/>
      </c>
      <c r="I497" s="17" t="str">
        <f t="shared" si="2"/>
        <v>Not Active</v>
      </c>
      <c r="J497" s="17" t="str">
        <f t="array" ref="J497">XLOOKUP(A497,'Download of SFDC Activation Rep'!B:B,'Download of SFDC Activation Rep'!T:T)</f>
        <v>#N/A</v>
      </c>
      <c r="K497" s="17" t="str">
        <f t="array" ref="K497">iferror(XLOOKUP(A497,'Download of SFDC Activation Rep'!B:B,'Download of SFDC Activation Rep'!C:C),"")</f>
        <v/>
      </c>
    </row>
    <row r="498">
      <c r="B498" s="14"/>
      <c r="C498" s="14"/>
      <c r="D498" s="14"/>
      <c r="E498" s="14"/>
      <c r="F498" s="14"/>
      <c r="G498" s="13" t="str">
        <f t="array" ref="G498">iferror(XLOOKUP(A498,'Download of SFDC Activation Rep'!B:B,'Download of SFDC Activation Rep'!H:H),"")</f>
        <v/>
      </c>
      <c r="H498" s="13" t="str">
        <f t="array" ref="H498">iferror(xlookup(A498,'Download of SFDC Activation Rep'!B:B,'Download of SFDC Activation Rep'!L:L),"")</f>
        <v/>
      </c>
      <c r="I498" s="17" t="str">
        <f t="shared" si="2"/>
        <v>Not Active</v>
      </c>
      <c r="J498" s="17" t="str">
        <f t="array" ref="J498">XLOOKUP(A498,'Download of SFDC Activation Rep'!B:B,'Download of SFDC Activation Rep'!T:T)</f>
        <v>#N/A</v>
      </c>
      <c r="K498" s="17" t="str">
        <f t="array" ref="K498">iferror(XLOOKUP(A498,'Download of SFDC Activation Rep'!B:B,'Download of SFDC Activation Rep'!C:C),"")</f>
        <v/>
      </c>
    </row>
    <row r="499">
      <c r="B499" s="14"/>
      <c r="C499" s="14"/>
      <c r="D499" s="14"/>
      <c r="E499" s="14"/>
      <c r="F499" s="14"/>
      <c r="G499" s="13" t="str">
        <f t="array" ref="G499">iferror(XLOOKUP(A499,'Download of SFDC Activation Rep'!B:B,'Download of SFDC Activation Rep'!H:H),"")</f>
        <v/>
      </c>
      <c r="H499" s="13" t="str">
        <f t="array" ref="H499">iferror(xlookup(A499,'Download of SFDC Activation Rep'!B:B,'Download of SFDC Activation Rep'!L:L),"")</f>
        <v/>
      </c>
      <c r="I499" s="17" t="str">
        <f t="shared" si="2"/>
        <v>Not Active</v>
      </c>
      <c r="J499" s="17" t="str">
        <f t="array" ref="J499">XLOOKUP(A499,'Download of SFDC Activation Rep'!B:B,'Download of SFDC Activation Rep'!T:T)</f>
        <v>#N/A</v>
      </c>
      <c r="K499" s="17" t="str">
        <f t="array" ref="K499">iferror(XLOOKUP(A499,'Download of SFDC Activation Rep'!B:B,'Download of SFDC Activation Rep'!C:C),"")</f>
        <v/>
      </c>
    </row>
    <row r="500">
      <c r="B500" s="14"/>
      <c r="C500" s="14"/>
      <c r="D500" s="14"/>
      <c r="E500" s="14"/>
      <c r="F500" s="14"/>
      <c r="G500" s="13" t="str">
        <f t="array" ref="G500">iferror(XLOOKUP(A500,'Download of SFDC Activation Rep'!B:B,'Download of SFDC Activation Rep'!H:H),"")</f>
        <v/>
      </c>
      <c r="H500" s="13" t="str">
        <f t="array" ref="H500">iferror(xlookup(A500,'Download of SFDC Activation Rep'!B:B,'Download of SFDC Activation Rep'!L:L),"")</f>
        <v/>
      </c>
      <c r="I500" s="17" t="str">
        <f t="shared" si="2"/>
        <v>Not Active</v>
      </c>
      <c r="J500" s="17" t="str">
        <f t="array" ref="J500">XLOOKUP(A500,'Download of SFDC Activation Rep'!B:B,'Download of SFDC Activation Rep'!T:T)</f>
        <v>#N/A</v>
      </c>
      <c r="K500" s="17" t="str">
        <f t="array" ref="K500">iferror(XLOOKUP(A500,'Download of SFDC Activation Rep'!B:B,'Download of SFDC Activation Rep'!C:C),"")</f>
        <v/>
      </c>
    </row>
    <row r="501">
      <c r="B501" s="14"/>
      <c r="C501" s="14"/>
      <c r="D501" s="14"/>
      <c r="E501" s="14"/>
      <c r="F501" s="14"/>
      <c r="G501" s="13" t="str">
        <f t="array" ref="G501">iferror(XLOOKUP(A501,'Download of SFDC Activation Rep'!B:B,'Download of SFDC Activation Rep'!H:H),"")</f>
        <v/>
      </c>
      <c r="H501" s="13" t="str">
        <f t="array" ref="H501">iferror(xlookup(A501,'Download of SFDC Activation Rep'!B:B,'Download of SFDC Activation Rep'!L:L),"")</f>
        <v/>
      </c>
      <c r="I501" s="17" t="str">
        <f t="shared" si="2"/>
        <v>Not Active</v>
      </c>
      <c r="J501" s="17" t="str">
        <f t="array" ref="J501">XLOOKUP(A501,'Download of SFDC Activation Rep'!B:B,'Download of SFDC Activation Rep'!T:T)</f>
        <v>#N/A</v>
      </c>
      <c r="K501" s="17" t="str">
        <f t="array" ref="K501">iferror(XLOOKUP(A501,'Download of SFDC Activation Rep'!B:B,'Download of SFDC Activation Rep'!C:C),"")</f>
        <v/>
      </c>
    </row>
    <row r="502">
      <c r="B502" s="14"/>
      <c r="C502" s="14"/>
      <c r="D502" s="14"/>
      <c r="E502" s="14"/>
      <c r="F502" s="14"/>
      <c r="G502" s="13" t="str">
        <f t="array" ref="G502">iferror(XLOOKUP(A502,'Download of SFDC Activation Rep'!B:B,'Download of SFDC Activation Rep'!H:H),"")</f>
        <v/>
      </c>
      <c r="H502" s="13" t="str">
        <f t="array" ref="H502">iferror(xlookup(A502,'Download of SFDC Activation Rep'!B:B,'Download of SFDC Activation Rep'!L:L),"")</f>
        <v/>
      </c>
      <c r="I502" s="17" t="str">
        <f t="shared" si="2"/>
        <v>Not Active</v>
      </c>
      <c r="J502" s="17" t="str">
        <f t="array" ref="J502">XLOOKUP(A502,'Download of SFDC Activation Rep'!B:B,'Download of SFDC Activation Rep'!T:T)</f>
        <v>#N/A</v>
      </c>
      <c r="K502" s="17" t="str">
        <f t="array" ref="K502">iferror(XLOOKUP(A502,'Download of SFDC Activation Rep'!B:B,'Download of SFDC Activation Rep'!C:C),"")</f>
        <v/>
      </c>
    </row>
    <row r="503">
      <c r="B503" s="14"/>
      <c r="C503" s="14"/>
      <c r="D503" s="14"/>
      <c r="E503" s="14"/>
      <c r="F503" s="14"/>
      <c r="G503" s="13" t="str">
        <f t="array" ref="G503">iferror(XLOOKUP(A503,'Download of SFDC Activation Rep'!B:B,'Download of SFDC Activation Rep'!H:H),"")</f>
        <v/>
      </c>
      <c r="H503" s="13" t="str">
        <f t="array" ref="H503">iferror(xlookup(A503,'Download of SFDC Activation Rep'!B:B,'Download of SFDC Activation Rep'!L:L),"")</f>
        <v/>
      </c>
      <c r="I503" s="17" t="str">
        <f t="shared" si="2"/>
        <v>Not Active</v>
      </c>
      <c r="J503" s="17" t="str">
        <f t="array" ref="J503">XLOOKUP(A503,'Download of SFDC Activation Rep'!B:B,'Download of SFDC Activation Rep'!T:T)</f>
        <v>#N/A</v>
      </c>
      <c r="K503" s="17" t="str">
        <f t="array" ref="K503">iferror(XLOOKUP(A503,'Download of SFDC Activation Rep'!B:B,'Download of SFDC Activation Rep'!C:C),"")</f>
        <v/>
      </c>
    </row>
    <row r="504">
      <c r="B504" s="14"/>
      <c r="C504" s="14"/>
      <c r="D504" s="14"/>
      <c r="E504" s="14"/>
      <c r="F504" s="14"/>
      <c r="G504" s="13" t="str">
        <f t="array" ref="G504">iferror(XLOOKUP(A504,'Download of SFDC Activation Rep'!B:B,'Download of SFDC Activation Rep'!H:H),"")</f>
        <v/>
      </c>
      <c r="H504" s="13" t="str">
        <f t="array" ref="H504">iferror(xlookup(A504,'Download of SFDC Activation Rep'!B:B,'Download of SFDC Activation Rep'!L:L),"")</f>
        <v/>
      </c>
      <c r="I504" s="17" t="str">
        <f t="shared" si="2"/>
        <v>Not Active</v>
      </c>
      <c r="J504" s="17" t="str">
        <f t="array" ref="J504">XLOOKUP(A504,'Download of SFDC Activation Rep'!B:B,'Download of SFDC Activation Rep'!T:T)</f>
        <v>#N/A</v>
      </c>
      <c r="K504" s="17" t="str">
        <f t="array" ref="K504">iferror(XLOOKUP(A504,'Download of SFDC Activation Rep'!B:B,'Download of SFDC Activation Rep'!C:C),"")</f>
        <v/>
      </c>
    </row>
    <row r="505">
      <c r="B505" s="14"/>
      <c r="C505" s="14"/>
      <c r="D505" s="14"/>
      <c r="E505" s="14"/>
      <c r="F505" s="14"/>
      <c r="G505" s="13" t="str">
        <f t="array" ref="G505">iferror(XLOOKUP(A505,'Download of SFDC Activation Rep'!B:B,'Download of SFDC Activation Rep'!H:H),"")</f>
        <v/>
      </c>
      <c r="H505" s="13" t="str">
        <f t="array" ref="H505">iferror(xlookup(A505,'Download of SFDC Activation Rep'!B:B,'Download of SFDC Activation Rep'!L:L),"")</f>
        <v/>
      </c>
      <c r="I505" s="17" t="str">
        <f t="shared" si="2"/>
        <v>Not Active</v>
      </c>
      <c r="J505" s="17" t="str">
        <f t="array" ref="J505">XLOOKUP(A505,'Download of SFDC Activation Rep'!B:B,'Download of SFDC Activation Rep'!T:T)</f>
        <v>#N/A</v>
      </c>
      <c r="K505" s="17" t="str">
        <f t="array" ref="K505">iferror(XLOOKUP(A505,'Download of SFDC Activation Rep'!B:B,'Download of SFDC Activation Rep'!C:C),"")</f>
        <v/>
      </c>
    </row>
    <row r="506">
      <c r="B506" s="14"/>
      <c r="C506" s="14"/>
      <c r="D506" s="14"/>
      <c r="E506" s="14"/>
      <c r="F506" s="14"/>
      <c r="G506" s="13" t="str">
        <f t="array" ref="G506">iferror(XLOOKUP(A506,'Download of SFDC Activation Rep'!B:B,'Download of SFDC Activation Rep'!H:H),"")</f>
        <v/>
      </c>
      <c r="H506" s="13" t="str">
        <f t="array" ref="H506">iferror(xlookup(A506,'Download of SFDC Activation Rep'!B:B,'Download of SFDC Activation Rep'!L:L),"")</f>
        <v/>
      </c>
      <c r="I506" s="17" t="str">
        <f t="shared" si="2"/>
        <v>Not Active</v>
      </c>
      <c r="J506" s="17" t="str">
        <f t="array" ref="J506">XLOOKUP(A506,'Download of SFDC Activation Rep'!B:B,'Download of SFDC Activation Rep'!T:T)</f>
        <v>#N/A</v>
      </c>
      <c r="K506" s="17" t="str">
        <f t="array" ref="K506">iferror(XLOOKUP(A506,'Download of SFDC Activation Rep'!B:B,'Download of SFDC Activation Rep'!C:C),"")</f>
        <v/>
      </c>
    </row>
    <row r="507">
      <c r="B507" s="14"/>
      <c r="C507" s="14"/>
      <c r="D507" s="14"/>
      <c r="E507" s="14"/>
      <c r="F507" s="14"/>
      <c r="G507" s="13" t="str">
        <f t="array" ref="G507">iferror(XLOOKUP(A507,'Download of SFDC Activation Rep'!B:B,'Download of SFDC Activation Rep'!H:H),"")</f>
        <v/>
      </c>
      <c r="H507" s="13" t="str">
        <f t="array" ref="H507">iferror(xlookup(A507,'Download of SFDC Activation Rep'!B:B,'Download of SFDC Activation Rep'!L:L),"")</f>
        <v/>
      </c>
      <c r="I507" s="17" t="str">
        <f t="shared" si="2"/>
        <v>Not Active</v>
      </c>
      <c r="J507" s="17" t="str">
        <f t="array" ref="J507">XLOOKUP(A507,'Download of SFDC Activation Rep'!B:B,'Download of SFDC Activation Rep'!T:T)</f>
        <v>#N/A</v>
      </c>
      <c r="K507" s="17" t="str">
        <f t="array" ref="K507">iferror(XLOOKUP(A507,'Download of SFDC Activation Rep'!B:B,'Download of SFDC Activation Rep'!C:C),"")</f>
        <v/>
      </c>
    </row>
    <row r="508">
      <c r="B508" s="14"/>
      <c r="C508" s="14"/>
      <c r="D508" s="14"/>
      <c r="E508" s="14"/>
      <c r="F508" s="14"/>
      <c r="G508" s="13" t="str">
        <f t="array" ref="G508">iferror(XLOOKUP(A508,'Download of SFDC Activation Rep'!B:B,'Download of SFDC Activation Rep'!H:H),"")</f>
        <v/>
      </c>
      <c r="H508" s="13" t="str">
        <f t="array" ref="H508">iferror(xlookup(A508,'Download of SFDC Activation Rep'!B:B,'Download of SFDC Activation Rep'!L:L),"")</f>
        <v/>
      </c>
      <c r="I508" s="17" t="str">
        <f t="shared" si="2"/>
        <v>Not Active</v>
      </c>
      <c r="J508" s="17" t="str">
        <f t="array" ref="J508">XLOOKUP(A508,'Download of SFDC Activation Rep'!B:B,'Download of SFDC Activation Rep'!T:T)</f>
        <v>#N/A</v>
      </c>
      <c r="K508" s="17" t="str">
        <f t="array" ref="K508">iferror(XLOOKUP(A508,'Download of SFDC Activation Rep'!B:B,'Download of SFDC Activation Rep'!C:C),"")</f>
        <v/>
      </c>
    </row>
    <row r="509">
      <c r="B509" s="14"/>
      <c r="C509" s="14"/>
      <c r="D509" s="14"/>
      <c r="E509" s="14"/>
      <c r="F509" s="14"/>
      <c r="G509" s="13" t="str">
        <f t="array" ref="G509">iferror(XLOOKUP(A509,'Download of SFDC Activation Rep'!B:B,'Download of SFDC Activation Rep'!H:H),"")</f>
        <v/>
      </c>
      <c r="H509" s="13" t="str">
        <f t="array" ref="H509">iferror(xlookup(A509,'Download of SFDC Activation Rep'!B:B,'Download of SFDC Activation Rep'!L:L),"")</f>
        <v/>
      </c>
      <c r="I509" s="17" t="str">
        <f t="shared" si="2"/>
        <v>Not Active</v>
      </c>
      <c r="J509" s="17" t="str">
        <f t="array" ref="J509">XLOOKUP(A509,'Download of SFDC Activation Rep'!B:B,'Download of SFDC Activation Rep'!T:T)</f>
        <v>#N/A</v>
      </c>
      <c r="K509" s="17" t="str">
        <f t="array" ref="K509">iferror(XLOOKUP(A509,'Download of SFDC Activation Rep'!B:B,'Download of SFDC Activation Rep'!C:C),"")</f>
        <v/>
      </c>
    </row>
    <row r="510">
      <c r="B510" s="14"/>
      <c r="C510" s="14"/>
      <c r="D510" s="14"/>
      <c r="E510" s="14"/>
      <c r="F510" s="14"/>
      <c r="G510" s="13" t="str">
        <f t="array" ref="G510">iferror(XLOOKUP(A510,'Download of SFDC Activation Rep'!B:B,'Download of SFDC Activation Rep'!H:H),"")</f>
        <v/>
      </c>
      <c r="H510" s="13" t="str">
        <f t="array" ref="H510">iferror(xlookup(A510,'Download of SFDC Activation Rep'!B:B,'Download of SFDC Activation Rep'!L:L),"")</f>
        <v/>
      </c>
      <c r="I510" s="17" t="str">
        <f t="shared" si="2"/>
        <v>Not Active</v>
      </c>
      <c r="J510" s="17" t="str">
        <f t="array" ref="J510">XLOOKUP(A510,'Download of SFDC Activation Rep'!B:B,'Download of SFDC Activation Rep'!T:T)</f>
        <v>#N/A</v>
      </c>
      <c r="K510" s="17" t="str">
        <f t="array" ref="K510">iferror(XLOOKUP(A510,'Download of SFDC Activation Rep'!B:B,'Download of SFDC Activation Rep'!C:C),"")</f>
        <v/>
      </c>
    </row>
    <row r="511">
      <c r="B511" s="14"/>
      <c r="C511" s="14"/>
      <c r="D511" s="14"/>
      <c r="E511" s="14"/>
      <c r="F511" s="14"/>
      <c r="G511" s="13" t="str">
        <f t="array" ref="G511">iferror(XLOOKUP(A511,'Download of SFDC Activation Rep'!B:B,'Download of SFDC Activation Rep'!H:H),"")</f>
        <v/>
      </c>
      <c r="H511" s="13" t="str">
        <f t="array" ref="H511">iferror(xlookup(A511,'Download of SFDC Activation Rep'!B:B,'Download of SFDC Activation Rep'!L:L),"")</f>
        <v/>
      </c>
      <c r="I511" s="17" t="str">
        <f t="shared" si="2"/>
        <v>Not Active</v>
      </c>
      <c r="J511" s="17" t="str">
        <f t="array" ref="J511">XLOOKUP(A511,'Download of SFDC Activation Rep'!B:B,'Download of SFDC Activation Rep'!T:T)</f>
        <v>#N/A</v>
      </c>
      <c r="K511" s="17" t="str">
        <f t="array" ref="K511">iferror(XLOOKUP(A511,'Download of SFDC Activation Rep'!B:B,'Download of SFDC Activation Rep'!C:C),"")</f>
        <v/>
      </c>
    </row>
    <row r="512">
      <c r="B512" s="14"/>
      <c r="C512" s="14"/>
      <c r="D512" s="14"/>
      <c r="E512" s="14"/>
      <c r="F512" s="14"/>
      <c r="G512" s="13" t="str">
        <f t="array" ref="G512">iferror(XLOOKUP(A512,'Download of SFDC Activation Rep'!B:B,'Download of SFDC Activation Rep'!H:H),"")</f>
        <v/>
      </c>
      <c r="H512" s="13" t="str">
        <f t="array" ref="H512">iferror(xlookup(A512,'Download of SFDC Activation Rep'!B:B,'Download of SFDC Activation Rep'!L:L),"")</f>
        <v/>
      </c>
      <c r="I512" s="17" t="str">
        <f t="shared" si="2"/>
        <v>Not Active</v>
      </c>
      <c r="J512" s="17" t="str">
        <f t="array" ref="J512">XLOOKUP(A512,'Download of SFDC Activation Rep'!B:B,'Download of SFDC Activation Rep'!T:T)</f>
        <v>#N/A</v>
      </c>
      <c r="K512" s="17" t="str">
        <f t="array" ref="K512">iferror(XLOOKUP(A512,'Download of SFDC Activation Rep'!B:B,'Download of SFDC Activation Rep'!C:C),"")</f>
        <v/>
      </c>
    </row>
    <row r="513">
      <c r="B513" s="14"/>
      <c r="C513" s="14"/>
      <c r="D513" s="14"/>
      <c r="E513" s="14"/>
      <c r="F513" s="14"/>
      <c r="G513" s="13" t="str">
        <f t="array" ref="G513">iferror(XLOOKUP(A513,'Download of SFDC Activation Rep'!B:B,'Download of SFDC Activation Rep'!H:H),"")</f>
        <v/>
      </c>
      <c r="H513" s="13" t="str">
        <f t="array" ref="H513">iferror(xlookup(A513,'Download of SFDC Activation Rep'!B:B,'Download of SFDC Activation Rep'!L:L),"")</f>
        <v/>
      </c>
      <c r="I513" s="17" t="str">
        <f t="shared" si="2"/>
        <v>Not Active</v>
      </c>
      <c r="J513" s="17" t="str">
        <f t="array" ref="J513">XLOOKUP(A513,'Download of SFDC Activation Rep'!B:B,'Download of SFDC Activation Rep'!T:T)</f>
        <v>#N/A</v>
      </c>
      <c r="K513" s="17" t="str">
        <f t="array" ref="K513">iferror(XLOOKUP(A513,'Download of SFDC Activation Rep'!B:B,'Download of SFDC Activation Rep'!C:C),"")</f>
        <v/>
      </c>
    </row>
    <row r="514">
      <c r="B514" s="14"/>
      <c r="C514" s="14"/>
      <c r="D514" s="14"/>
      <c r="E514" s="14"/>
      <c r="F514" s="14"/>
      <c r="G514" s="13" t="str">
        <f t="array" ref="G514">iferror(XLOOKUP(A514,'Download of SFDC Activation Rep'!B:B,'Download of SFDC Activation Rep'!H:H),"")</f>
        <v/>
      </c>
      <c r="H514" s="13" t="str">
        <f t="array" ref="H514">iferror(xlookup(A514,'Download of SFDC Activation Rep'!B:B,'Download of SFDC Activation Rep'!L:L),"")</f>
        <v/>
      </c>
      <c r="I514" s="17" t="str">
        <f t="shared" si="2"/>
        <v>Not Active</v>
      </c>
      <c r="J514" s="17" t="str">
        <f t="array" ref="J514">XLOOKUP(A514,'Download of SFDC Activation Rep'!B:B,'Download of SFDC Activation Rep'!T:T)</f>
        <v>#N/A</v>
      </c>
      <c r="K514" s="17" t="str">
        <f t="array" ref="K514">iferror(XLOOKUP(A514,'Download of SFDC Activation Rep'!B:B,'Download of SFDC Activation Rep'!C:C),"")</f>
        <v/>
      </c>
    </row>
    <row r="515">
      <c r="B515" s="14"/>
      <c r="C515" s="14"/>
      <c r="D515" s="14"/>
      <c r="E515" s="14"/>
      <c r="F515" s="14"/>
      <c r="G515" s="13" t="str">
        <f t="array" ref="G515">iferror(XLOOKUP(A515,'Download of SFDC Activation Rep'!B:B,'Download of SFDC Activation Rep'!H:H),"")</f>
        <v/>
      </c>
      <c r="H515" s="13" t="str">
        <f t="array" ref="H515">iferror(xlookup(A515,'Download of SFDC Activation Rep'!B:B,'Download of SFDC Activation Rep'!L:L),"")</f>
        <v/>
      </c>
      <c r="I515" s="17" t="str">
        <f t="shared" si="2"/>
        <v>Not Active</v>
      </c>
      <c r="J515" s="17" t="str">
        <f t="array" ref="J515">XLOOKUP(A515,'Download of SFDC Activation Rep'!B:B,'Download of SFDC Activation Rep'!T:T)</f>
        <v>#N/A</v>
      </c>
      <c r="K515" s="17" t="str">
        <f t="array" ref="K515">iferror(XLOOKUP(A515,'Download of SFDC Activation Rep'!B:B,'Download of SFDC Activation Rep'!C:C),"")</f>
        <v/>
      </c>
    </row>
    <row r="516">
      <c r="B516" s="14"/>
      <c r="C516" s="14"/>
      <c r="D516" s="14"/>
      <c r="E516" s="14"/>
      <c r="F516" s="14"/>
      <c r="G516" s="13" t="str">
        <f t="array" ref="G516">iferror(XLOOKUP(A516,'Download of SFDC Activation Rep'!B:B,'Download of SFDC Activation Rep'!H:H),"")</f>
        <v/>
      </c>
      <c r="H516" s="13" t="str">
        <f t="array" ref="H516">iferror(xlookup(A516,'Download of SFDC Activation Rep'!B:B,'Download of SFDC Activation Rep'!L:L),"")</f>
        <v/>
      </c>
      <c r="I516" s="17" t="str">
        <f t="shared" si="2"/>
        <v>Not Active</v>
      </c>
      <c r="J516" s="17" t="str">
        <f t="array" ref="J516">XLOOKUP(A516,'Download of SFDC Activation Rep'!B:B,'Download of SFDC Activation Rep'!T:T)</f>
        <v>#N/A</v>
      </c>
      <c r="K516" s="17" t="str">
        <f t="array" ref="K516">iferror(XLOOKUP(A516,'Download of SFDC Activation Rep'!B:B,'Download of SFDC Activation Rep'!C:C),"")</f>
        <v/>
      </c>
    </row>
    <row r="517">
      <c r="B517" s="14"/>
      <c r="C517" s="14"/>
      <c r="D517" s="14"/>
      <c r="E517" s="14"/>
      <c r="F517" s="14"/>
      <c r="G517" s="13" t="str">
        <f t="array" ref="G517">iferror(XLOOKUP(A517,'Download of SFDC Activation Rep'!B:B,'Download of SFDC Activation Rep'!H:H),"")</f>
        <v/>
      </c>
      <c r="H517" s="13" t="str">
        <f t="array" ref="H517">iferror(xlookup(A517,'Download of SFDC Activation Rep'!B:B,'Download of SFDC Activation Rep'!L:L),"")</f>
        <v/>
      </c>
      <c r="I517" s="17" t="str">
        <f t="shared" si="2"/>
        <v>Not Active</v>
      </c>
      <c r="J517" s="17" t="str">
        <f t="array" ref="J517">XLOOKUP(A517,'Download of SFDC Activation Rep'!B:B,'Download of SFDC Activation Rep'!T:T)</f>
        <v>#N/A</v>
      </c>
      <c r="K517" s="17" t="str">
        <f t="array" ref="K517">iferror(XLOOKUP(A517,'Download of SFDC Activation Rep'!B:B,'Download of SFDC Activation Rep'!C:C),"")</f>
        <v/>
      </c>
    </row>
    <row r="518">
      <c r="B518" s="14"/>
      <c r="C518" s="14"/>
      <c r="D518" s="14"/>
      <c r="E518" s="14"/>
      <c r="F518" s="14"/>
      <c r="G518" s="13" t="str">
        <f t="array" ref="G518">iferror(XLOOKUP(A518,'Download of SFDC Activation Rep'!B:B,'Download of SFDC Activation Rep'!H:H),"")</f>
        <v/>
      </c>
      <c r="H518" s="13" t="str">
        <f t="array" ref="H518">iferror(xlookup(A518,'Download of SFDC Activation Rep'!B:B,'Download of SFDC Activation Rep'!L:L),"")</f>
        <v/>
      </c>
      <c r="I518" s="17" t="str">
        <f t="shared" si="2"/>
        <v>Not Active</v>
      </c>
      <c r="J518" s="17" t="str">
        <f t="array" ref="J518">XLOOKUP(A518,'Download of SFDC Activation Rep'!B:B,'Download of SFDC Activation Rep'!T:T)</f>
        <v>#N/A</v>
      </c>
      <c r="K518" s="17" t="str">
        <f t="array" ref="K518">iferror(XLOOKUP(A518,'Download of SFDC Activation Rep'!B:B,'Download of SFDC Activation Rep'!C:C),"")</f>
        <v/>
      </c>
    </row>
    <row r="519">
      <c r="B519" s="14"/>
      <c r="C519" s="14"/>
      <c r="D519" s="14"/>
      <c r="E519" s="14"/>
      <c r="F519" s="14"/>
      <c r="G519" s="13" t="str">
        <f t="array" ref="G519">iferror(XLOOKUP(A519,'Download of SFDC Activation Rep'!B:B,'Download of SFDC Activation Rep'!H:H),"")</f>
        <v/>
      </c>
      <c r="H519" s="13" t="str">
        <f t="array" ref="H519">iferror(xlookup(A519,'Download of SFDC Activation Rep'!B:B,'Download of SFDC Activation Rep'!L:L),"")</f>
        <v/>
      </c>
      <c r="I519" s="17" t="str">
        <f t="shared" si="2"/>
        <v>Not Active</v>
      </c>
      <c r="J519" s="17" t="str">
        <f t="array" ref="J519">XLOOKUP(A519,'Download of SFDC Activation Rep'!B:B,'Download of SFDC Activation Rep'!T:T)</f>
        <v>#N/A</v>
      </c>
      <c r="K519" s="17" t="str">
        <f t="array" ref="K519">iferror(XLOOKUP(A519,'Download of SFDC Activation Rep'!B:B,'Download of SFDC Activation Rep'!C:C),"")</f>
        <v/>
      </c>
    </row>
    <row r="520">
      <c r="B520" s="14"/>
      <c r="C520" s="14"/>
      <c r="D520" s="14"/>
      <c r="E520" s="14"/>
      <c r="F520" s="14"/>
      <c r="G520" s="13" t="str">
        <f t="array" ref="G520">iferror(XLOOKUP(A520,'Download of SFDC Activation Rep'!B:B,'Download of SFDC Activation Rep'!H:H),"")</f>
        <v/>
      </c>
      <c r="H520" s="13" t="str">
        <f t="array" ref="H520">iferror(xlookup(A520,'Download of SFDC Activation Rep'!B:B,'Download of SFDC Activation Rep'!L:L),"")</f>
        <v/>
      </c>
      <c r="I520" s="17" t="str">
        <f t="shared" si="2"/>
        <v>Not Active</v>
      </c>
      <c r="J520" s="17" t="str">
        <f t="array" ref="J520">XLOOKUP(A520,'Download of SFDC Activation Rep'!B:B,'Download of SFDC Activation Rep'!T:T)</f>
        <v>#N/A</v>
      </c>
      <c r="K520" s="17" t="str">
        <f t="array" ref="K520">iferror(XLOOKUP(A520,'Download of SFDC Activation Rep'!B:B,'Download of SFDC Activation Rep'!C:C),"")</f>
        <v/>
      </c>
    </row>
    <row r="521">
      <c r="B521" s="14"/>
      <c r="C521" s="14"/>
      <c r="D521" s="14"/>
      <c r="E521" s="14"/>
      <c r="F521" s="14"/>
      <c r="G521" s="13" t="str">
        <f t="array" ref="G521">iferror(XLOOKUP(A521,'Download of SFDC Activation Rep'!B:B,'Download of SFDC Activation Rep'!H:H),"")</f>
        <v/>
      </c>
      <c r="H521" s="13" t="str">
        <f t="array" ref="H521">iferror(xlookup(A521,'Download of SFDC Activation Rep'!B:B,'Download of SFDC Activation Rep'!L:L),"")</f>
        <v/>
      </c>
      <c r="I521" s="17" t="str">
        <f t="shared" si="2"/>
        <v>Not Active</v>
      </c>
      <c r="J521" s="17" t="str">
        <f t="array" ref="J521">XLOOKUP(A521,'Download of SFDC Activation Rep'!B:B,'Download of SFDC Activation Rep'!T:T)</f>
        <v>#N/A</v>
      </c>
      <c r="K521" s="17" t="str">
        <f t="array" ref="K521">iferror(XLOOKUP(A521,'Download of SFDC Activation Rep'!B:B,'Download of SFDC Activation Rep'!C:C),"")</f>
        <v/>
      </c>
    </row>
    <row r="522">
      <c r="B522" s="14"/>
      <c r="C522" s="14"/>
      <c r="D522" s="14"/>
      <c r="E522" s="14"/>
      <c r="F522" s="14"/>
      <c r="G522" s="13" t="str">
        <f t="array" ref="G522">iferror(XLOOKUP(A522,'Download of SFDC Activation Rep'!B:B,'Download of SFDC Activation Rep'!H:H),"")</f>
        <v/>
      </c>
      <c r="H522" s="13" t="str">
        <f t="array" ref="H522">iferror(xlookup(A522,'Download of SFDC Activation Rep'!B:B,'Download of SFDC Activation Rep'!L:L),"")</f>
        <v/>
      </c>
      <c r="I522" s="17" t="str">
        <f t="shared" si="2"/>
        <v>Not Active</v>
      </c>
      <c r="J522" s="17" t="str">
        <f t="array" ref="J522">XLOOKUP(A522,'Download of SFDC Activation Rep'!B:B,'Download of SFDC Activation Rep'!T:T)</f>
        <v>#N/A</v>
      </c>
      <c r="K522" s="17" t="str">
        <f t="array" ref="K522">iferror(XLOOKUP(A522,'Download of SFDC Activation Rep'!B:B,'Download of SFDC Activation Rep'!C:C),"")</f>
        <v/>
      </c>
    </row>
    <row r="523">
      <c r="B523" s="14"/>
      <c r="C523" s="14"/>
      <c r="D523" s="14"/>
      <c r="E523" s="14"/>
      <c r="F523" s="14"/>
      <c r="G523" s="13" t="str">
        <f t="array" ref="G523">iferror(XLOOKUP(A523,'Download of SFDC Activation Rep'!B:B,'Download of SFDC Activation Rep'!H:H),"")</f>
        <v/>
      </c>
      <c r="H523" s="13" t="str">
        <f t="array" ref="H523">iferror(xlookup(A523,'Download of SFDC Activation Rep'!B:B,'Download of SFDC Activation Rep'!L:L),"")</f>
        <v/>
      </c>
      <c r="I523" s="17" t="str">
        <f t="shared" si="2"/>
        <v>Not Active</v>
      </c>
      <c r="J523" s="17" t="str">
        <f t="array" ref="J523">XLOOKUP(A523,'Download of SFDC Activation Rep'!B:B,'Download of SFDC Activation Rep'!T:T)</f>
        <v>#N/A</v>
      </c>
      <c r="K523" s="17" t="str">
        <f t="array" ref="K523">iferror(XLOOKUP(A523,'Download of SFDC Activation Rep'!B:B,'Download of SFDC Activation Rep'!C:C),"")</f>
        <v/>
      </c>
    </row>
    <row r="524">
      <c r="B524" s="14"/>
      <c r="C524" s="14"/>
      <c r="D524" s="14"/>
      <c r="E524" s="14"/>
      <c r="F524" s="14"/>
      <c r="G524" s="13" t="str">
        <f t="array" ref="G524">iferror(XLOOKUP(A524,'Download of SFDC Activation Rep'!B:B,'Download of SFDC Activation Rep'!H:H),"")</f>
        <v/>
      </c>
      <c r="H524" s="13" t="str">
        <f t="array" ref="H524">iferror(xlookup(A524,'Download of SFDC Activation Rep'!B:B,'Download of SFDC Activation Rep'!L:L),"")</f>
        <v/>
      </c>
      <c r="I524" s="17" t="str">
        <f t="shared" si="2"/>
        <v>Not Active</v>
      </c>
      <c r="J524" s="17" t="str">
        <f t="array" ref="J524">XLOOKUP(A524,'Download of SFDC Activation Rep'!B:B,'Download of SFDC Activation Rep'!T:T)</f>
        <v>#N/A</v>
      </c>
      <c r="K524" s="17" t="str">
        <f t="array" ref="K524">iferror(XLOOKUP(A524,'Download of SFDC Activation Rep'!B:B,'Download of SFDC Activation Rep'!C:C),"")</f>
        <v/>
      </c>
    </row>
    <row r="525">
      <c r="B525" s="14"/>
      <c r="C525" s="14"/>
      <c r="D525" s="14"/>
      <c r="E525" s="14"/>
      <c r="F525" s="14"/>
      <c r="G525" s="13" t="str">
        <f t="array" ref="G525">iferror(XLOOKUP(A525,'Download of SFDC Activation Rep'!B:B,'Download of SFDC Activation Rep'!H:H),"")</f>
        <v/>
      </c>
      <c r="H525" s="13" t="str">
        <f t="array" ref="H525">iferror(xlookup(A525,'Download of SFDC Activation Rep'!B:B,'Download of SFDC Activation Rep'!L:L),"")</f>
        <v/>
      </c>
      <c r="I525" s="17" t="str">
        <f t="shared" si="2"/>
        <v>Not Active</v>
      </c>
      <c r="J525" s="17" t="str">
        <f t="array" ref="J525">XLOOKUP(A525,'Download of SFDC Activation Rep'!B:B,'Download of SFDC Activation Rep'!T:T)</f>
        <v>#N/A</v>
      </c>
      <c r="K525" s="17" t="str">
        <f t="array" ref="K525">iferror(XLOOKUP(A525,'Download of SFDC Activation Rep'!B:B,'Download of SFDC Activation Rep'!C:C),"")</f>
        <v/>
      </c>
    </row>
    <row r="526">
      <c r="B526" s="14"/>
      <c r="C526" s="14"/>
      <c r="D526" s="14"/>
      <c r="E526" s="14"/>
      <c r="F526" s="14"/>
      <c r="G526" s="13" t="str">
        <f t="array" ref="G526">iferror(XLOOKUP(A526,'Download of SFDC Activation Rep'!B:B,'Download of SFDC Activation Rep'!H:H),"")</f>
        <v/>
      </c>
      <c r="H526" s="13" t="str">
        <f t="array" ref="H526">iferror(xlookup(A526,'Download of SFDC Activation Rep'!B:B,'Download of SFDC Activation Rep'!L:L),"")</f>
        <v/>
      </c>
      <c r="I526" s="17" t="str">
        <f t="shared" si="2"/>
        <v>Not Active</v>
      </c>
      <c r="J526" s="17" t="str">
        <f t="array" ref="J526">XLOOKUP(A526,'Download of SFDC Activation Rep'!B:B,'Download of SFDC Activation Rep'!T:T)</f>
        <v>#N/A</v>
      </c>
      <c r="K526" s="17" t="str">
        <f t="array" ref="K526">iferror(XLOOKUP(A526,'Download of SFDC Activation Rep'!B:B,'Download of SFDC Activation Rep'!C:C),"")</f>
        <v/>
      </c>
    </row>
    <row r="527">
      <c r="B527" s="14"/>
      <c r="C527" s="14"/>
      <c r="D527" s="14"/>
      <c r="E527" s="14"/>
      <c r="F527" s="14"/>
      <c r="G527" s="13" t="str">
        <f t="array" ref="G527">iferror(XLOOKUP(A527,'Download of SFDC Activation Rep'!B:B,'Download of SFDC Activation Rep'!H:H),"")</f>
        <v/>
      </c>
      <c r="H527" s="13" t="str">
        <f t="array" ref="H527">iferror(xlookup(A527,'Download of SFDC Activation Rep'!B:B,'Download of SFDC Activation Rep'!L:L),"")</f>
        <v/>
      </c>
      <c r="I527" s="17" t="str">
        <f t="shared" si="2"/>
        <v>Not Active</v>
      </c>
      <c r="J527" s="17" t="str">
        <f t="array" ref="J527">XLOOKUP(A527,'Download of SFDC Activation Rep'!B:B,'Download of SFDC Activation Rep'!T:T)</f>
        <v>#N/A</v>
      </c>
      <c r="K527" s="17" t="str">
        <f t="array" ref="K527">iferror(XLOOKUP(A527,'Download of SFDC Activation Rep'!B:B,'Download of SFDC Activation Rep'!C:C),"")</f>
        <v/>
      </c>
    </row>
    <row r="528">
      <c r="B528" s="14"/>
      <c r="C528" s="14"/>
      <c r="D528" s="14"/>
      <c r="E528" s="14"/>
      <c r="F528" s="14"/>
      <c r="G528" s="13" t="str">
        <f t="array" ref="G528">iferror(XLOOKUP(A528,'Download of SFDC Activation Rep'!B:B,'Download of SFDC Activation Rep'!H:H),"")</f>
        <v/>
      </c>
      <c r="H528" s="13" t="str">
        <f t="array" ref="H528">iferror(xlookup(A528,'Download of SFDC Activation Rep'!B:B,'Download of SFDC Activation Rep'!L:L),"")</f>
        <v/>
      </c>
      <c r="I528" s="17" t="str">
        <f t="shared" si="2"/>
        <v>Not Active</v>
      </c>
      <c r="J528" s="17" t="str">
        <f t="array" ref="J528">XLOOKUP(A528,'Download of SFDC Activation Rep'!B:B,'Download of SFDC Activation Rep'!T:T)</f>
        <v>#N/A</v>
      </c>
      <c r="K528" s="17" t="str">
        <f t="array" ref="K528">iferror(XLOOKUP(A528,'Download of SFDC Activation Rep'!B:B,'Download of SFDC Activation Rep'!C:C),"")</f>
        <v/>
      </c>
    </row>
    <row r="529">
      <c r="B529" s="14"/>
      <c r="C529" s="14"/>
      <c r="D529" s="14"/>
      <c r="E529" s="14"/>
      <c r="F529" s="14"/>
      <c r="G529" s="13" t="str">
        <f t="array" ref="G529">iferror(XLOOKUP(A529,'Download of SFDC Activation Rep'!B:B,'Download of SFDC Activation Rep'!H:H),"")</f>
        <v/>
      </c>
      <c r="H529" s="13" t="str">
        <f t="array" ref="H529">iferror(xlookup(A529,'Download of SFDC Activation Rep'!B:B,'Download of SFDC Activation Rep'!L:L),"")</f>
        <v/>
      </c>
      <c r="I529" s="17" t="str">
        <f t="shared" si="2"/>
        <v>Not Active</v>
      </c>
      <c r="J529" s="17" t="str">
        <f t="array" ref="J529">XLOOKUP(A529,'Download of SFDC Activation Rep'!B:B,'Download of SFDC Activation Rep'!T:T)</f>
        <v>#N/A</v>
      </c>
      <c r="K529" s="17" t="str">
        <f t="array" ref="K529">iferror(XLOOKUP(A529,'Download of SFDC Activation Rep'!B:B,'Download of SFDC Activation Rep'!C:C),"")</f>
        <v/>
      </c>
    </row>
    <row r="530">
      <c r="B530" s="14"/>
      <c r="C530" s="14"/>
      <c r="D530" s="14"/>
      <c r="E530" s="14"/>
      <c r="F530" s="14"/>
      <c r="G530" s="13" t="str">
        <f t="array" ref="G530">iferror(XLOOKUP(A530,'Download of SFDC Activation Rep'!B:B,'Download of SFDC Activation Rep'!H:H),"")</f>
        <v/>
      </c>
      <c r="H530" s="13" t="str">
        <f t="array" ref="H530">iferror(xlookup(A530,'Download of SFDC Activation Rep'!B:B,'Download of SFDC Activation Rep'!L:L),"")</f>
        <v/>
      </c>
      <c r="I530" s="17" t="str">
        <f t="shared" si="2"/>
        <v>Not Active</v>
      </c>
      <c r="J530" s="17" t="str">
        <f t="array" ref="J530">XLOOKUP(A530,'Download of SFDC Activation Rep'!B:B,'Download of SFDC Activation Rep'!T:T)</f>
        <v>#N/A</v>
      </c>
      <c r="K530" s="17" t="str">
        <f t="array" ref="K530">iferror(XLOOKUP(A530,'Download of SFDC Activation Rep'!B:B,'Download of SFDC Activation Rep'!C:C),"")</f>
        <v/>
      </c>
    </row>
    <row r="531">
      <c r="B531" s="14"/>
      <c r="C531" s="14"/>
      <c r="D531" s="14"/>
      <c r="E531" s="14"/>
      <c r="F531" s="14"/>
      <c r="G531" s="13" t="str">
        <f t="array" ref="G531">iferror(XLOOKUP(A531,'Download of SFDC Activation Rep'!B:B,'Download of SFDC Activation Rep'!H:H),"")</f>
        <v/>
      </c>
      <c r="H531" s="13" t="str">
        <f t="array" ref="H531">iferror(xlookup(A531,'Download of SFDC Activation Rep'!B:B,'Download of SFDC Activation Rep'!L:L),"")</f>
        <v/>
      </c>
      <c r="I531" s="17" t="str">
        <f t="shared" si="2"/>
        <v>Not Active</v>
      </c>
      <c r="J531" s="17" t="str">
        <f t="array" ref="J531">XLOOKUP(A531,'Download of SFDC Activation Rep'!B:B,'Download of SFDC Activation Rep'!T:T)</f>
        <v>#N/A</v>
      </c>
      <c r="K531" s="17" t="str">
        <f t="array" ref="K531">iferror(XLOOKUP(A531,'Download of SFDC Activation Rep'!B:B,'Download of SFDC Activation Rep'!C:C),"")</f>
        <v/>
      </c>
    </row>
    <row r="532">
      <c r="B532" s="14"/>
      <c r="C532" s="14"/>
      <c r="D532" s="14"/>
      <c r="E532" s="14"/>
      <c r="F532" s="14"/>
      <c r="G532" s="13" t="str">
        <f t="array" ref="G532">iferror(XLOOKUP(A532,'Download of SFDC Activation Rep'!B:B,'Download of SFDC Activation Rep'!H:H),"")</f>
        <v/>
      </c>
      <c r="H532" s="13" t="str">
        <f t="array" ref="H532">iferror(xlookup(A532,'Download of SFDC Activation Rep'!B:B,'Download of SFDC Activation Rep'!L:L),"")</f>
        <v/>
      </c>
      <c r="I532" s="17" t="str">
        <f t="shared" si="2"/>
        <v>Not Active</v>
      </c>
      <c r="J532" s="17" t="str">
        <f t="array" ref="J532">XLOOKUP(A532,'Download of SFDC Activation Rep'!B:B,'Download of SFDC Activation Rep'!T:T)</f>
        <v>#N/A</v>
      </c>
      <c r="K532" s="17" t="str">
        <f t="array" ref="K532">iferror(XLOOKUP(A532,'Download of SFDC Activation Rep'!B:B,'Download of SFDC Activation Rep'!C:C),"")</f>
        <v/>
      </c>
    </row>
    <row r="533">
      <c r="B533" s="14"/>
      <c r="C533" s="14"/>
      <c r="D533" s="14"/>
      <c r="E533" s="14"/>
      <c r="F533" s="14"/>
      <c r="G533" s="13" t="str">
        <f t="array" ref="G533">iferror(XLOOKUP(A533,'Download of SFDC Activation Rep'!B:B,'Download of SFDC Activation Rep'!H:H),"")</f>
        <v/>
      </c>
      <c r="H533" s="13" t="str">
        <f t="array" ref="H533">iferror(xlookup(A533,'Download of SFDC Activation Rep'!B:B,'Download of SFDC Activation Rep'!L:L),"")</f>
        <v/>
      </c>
      <c r="I533" s="17" t="str">
        <f t="shared" si="2"/>
        <v>Not Active</v>
      </c>
      <c r="J533" s="17" t="str">
        <f t="array" ref="J533">XLOOKUP(A533,'Download of SFDC Activation Rep'!B:B,'Download of SFDC Activation Rep'!T:T)</f>
        <v>#N/A</v>
      </c>
      <c r="K533" s="17" t="str">
        <f t="array" ref="K533">iferror(XLOOKUP(A533,'Download of SFDC Activation Rep'!B:B,'Download of SFDC Activation Rep'!C:C),"")</f>
        <v/>
      </c>
    </row>
    <row r="534">
      <c r="B534" s="14"/>
      <c r="C534" s="14"/>
      <c r="D534" s="14"/>
      <c r="E534" s="14"/>
      <c r="F534" s="14"/>
      <c r="G534" s="13" t="str">
        <f t="array" ref="G534">iferror(XLOOKUP(A534,'Download of SFDC Activation Rep'!B:B,'Download of SFDC Activation Rep'!H:H),"")</f>
        <v/>
      </c>
      <c r="H534" s="13" t="str">
        <f t="array" ref="H534">iferror(xlookup(A534,'Download of SFDC Activation Rep'!B:B,'Download of SFDC Activation Rep'!L:L),"")</f>
        <v/>
      </c>
      <c r="I534" s="17" t="str">
        <f t="shared" si="2"/>
        <v>Not Active</v>
      </c>
      <c r="J534" s="17" t="str">
        <f t="array" ref="J534">XLOOKUP(A534,'Download of SFDC Activation Rep'!B:B,'Download of SFDC Activation Rep'!T:T)</f>
        <v>#N/A</v>
      </c>
      <c r="K534" s="17" t="str">
        <f t="array" ref="K534">iferror(XLOOKUP(A534,'Download of SFDC Activation Rep'!B:B,'Download of SFDC Activation Rep'!C:C),"")</f>
        <v/>
      </c>
    </row>
    <row r="535">
      <c r="B535" s="14"/>
      <c r="C535" s="14"/>
      <c r="D535" s="14"/>
      <c r="E535" s="14"/>
      <c r="F535" s="14"/>
      <c r="G535" s="13" t="str">
        <f t="array" ref="G535">iferror(XLOOKUP(A535,'Download of SFDC Activation Rep'!B:B,'Download of SFDC Activation Rep'!H:H),"")</f>
        <v/>
      </c>
      <c r="H535" s="13" t="str">
        <f t="array" ref="H535">iferror(xlookup(A535,'Download of SFDC Activation Rep'!B:B,'Download of SFDC Activation Rep'!L:L),"")</f>
        <v/>
      </c>
      <c r="I535" s="17" t="str">
        <f t="shared" si="2"/>
        <v>Not Active</v>
      </c>
      <c r="J535" s="17" t="str">
        <f t="array" ref="J535">XLOOKUP(A535,'Download of SFDC Activation Rep'!B:B,'Download of SFDC Activation Rep'!T:T)</f>
        <v>#N/A</v>
      </c>
      <c r="K535" s="17" t="str">
        <f t="array" ref="K535">iferror(XLOOKUP(A535,'Download of SFDC Activation Rep'!B:B,'Download of SFDC Activation Rep'!C:C),"")</f>
        <v/>
      </c>
    </row>
    <row r="536">
      <c r="B536" s="14"/>
      <c r="C536" s="14"/>
      <c r="D536" s="14"/>
      <c r="E536" s="14"/>
      <c r="F536" s="14"/>
      <c r="G536" s="13" t="str">
        <f t="array" ref="G536">iferror(XLOOKUP(A536,'Download of SFDC Activation Rep'!B:B,'Download of SFDC Activation Rep'!H:H),"")</f>
        <v/>
      </c>
      <c r="H536" s="13" t="str">
        <f t="array" ref="H536">iferror(xlookup(A536,'Download of SFDC Activation Rep'!B:B,'Download of SFDC Activation Rep'!L:L),"")</f>
        <v/>
      </c>
      <c r="I536" s="17" t="str">
        <f t="shared" si="2"/>
        <v>Not Active</v>
      </c>
      <c r="J536" s="17" t="str">
        <f t="array" ref="J536">XLOOKUP(A536,'Download of SFDC Activation Rep'!B:B,'Download of SFDC Activation Rep'!T:T)</f>
        <v>#N/A</v>
      </c>
      <c r="K536" s="17" t="str">
        <f t="array" ref="K536">iferror(XLOOKUP(A536,'Download of SFDC Activation Rep'!B:B,'Download of SFDC Activation Rep'!C:C),"")</f>
        <v/>
      </c>
    </row>
    <row r="537">
      <c r="B537" s="14"/>
      <c r="C537" s="14"/>
      <c r="D537" s="14"/>
      <c r="E537" s="14"/>
      <c r="F537" s="14"/>
      <c r="G537" s="13" t="str">
        <f t="array" ref="G537">iferror(XLOOKUP(A537,'Download of SFDC Activation Rep'!B:B,'Download of SFDC Activation Rep'!H:H),"")</f>
        <v/>
      </c>
      <c r="H537" s="13" t="str">
        <f t="array" ref="H537">iferror(xlookup(A537,'Download of SFDC Activation Rep'!B:B,'Download of SFDC Activation Rep'!L:L),"")</f>
        <v/>
      </c>
      <c r="I537" s="17" t="str">
        <f t="shared" si="2"/>
        <v>Not Active</v>
      </c>
      <c r="J537" s="17" t="str">
        <f t="array" ref="J537">XLOOKUP(A537,'Download of SFDC Activation Rep'!B:B,'Download of SFDC Activation Rep'!T:T)</f>
        <v>#N/A</v>
      </c>
      <c r="K537" s="17" t="str">
        <f t="array" ref="K537">iferror(XLOOKUP(A537,'Download of SFDC Activation Rep'!B:B,'Download of SFDC Activation Rep'!C:C),"")</f>
        <v/>
      </c>
    </row>
    <row r="538">
      <c r="B538" s="14"/>
      <c r="C538" s="14"/>
      <c r="D538" s="14"/>
      <c r="E538" s="14"/>
      <c r="F538" s="14"/>
      <c r="G538" s="13" t="str">
        <f t="array" ref="G538">iferror(XLOOKUP(A538,'Download of SFDC Activation Rep'!B:B,'Download of SFDC Activation Rep'!H:H),"")</f>
        <v/>
      </c>
      <c r="H538" s="13" t="str">
        <f t="array" ref="H538">iferror(xlookup(A538,'Download of SFDC Activation Rep'!B:B,'Download of SFDC Activation Rep'!L:L),"")</f>
        <v/>
      </c>
      <c r="I538" s="17" t="str">
        <f t="shared" si="2"/>
        <v>Not Active</v>
      </c>
      <c r="J538" s="17" t="str">
        <f t="array" ref="J538">XLOOKUP(A538,'Download of SFDC Activation Rep'!B:B,'Download of SFDC Activation Rep'!T:T)</f>
        <v>#N/A</v>
      </c>
      <c r="K538" s="17" t="str">
        <f t="array" ref="K538">iferror(XLOOKUP(A538,'Download of SFDC Activation Rep'!B:B,'Download of SFDC Activation Rep'!C:C),"")</f>
        <v/>
      </c>
    </row>
    <row r="539">
      <c r="B539" s="14"/>
      <c r="C539" s="14"/>
      <c r="D539" s="14"/>
      <c r="E539" s="14"/>
      <c r="F539" s="14"/>
      <c r="G539" s="13" t="str">
        <f t="array" ref="G539">iferror(XLOOKUP(A539,'Download of SFDC Activation Rep'!B:B,'Download of SFDC Activation Rep'!H:H),"")</f>
        <v/>
      </c>
      <c r="H539" s="13" t="str">
        <f t="array" ref="H539">iferror(xlookup(A539,'Download of SFDC Activation Rep'!B:B,'Download of SFDC Activation Rep'!L:L),"")</f>
        <v/>
      </c>
      <c r="I539" s="17" t="str">
        <f t="shared" si="2"/>
        <v>Not Active</v>
      </c>
      <c r="J539" s="17" t="str">
        <f t="array" ref="J539">XLOOKUP(A539,'Download of SFDC Activation Rep'!B:B,'Download of SFDC Activation Rep'!T:T)</f>
        <v>#N/A</v>
      </c>
      <c r="K539" s="17" t="str">
        <f t="array" ref="K539">iferror(XLOOKUP(A539,'Download of SFDC Activation Rep'!B:B,'Download of SFDC Activation Rep'!C:C),"")</f>
        <v/>
      </c>
    </row>
    <row r="540">
      <c r="B540" s="14"/>
      <c r="C540" s="14"/>
      <c r="D540" s="14"/>
      <c r="E540" s="14"/>
      <c r="F540" s="14"/>
      <c r="G540" s="13" t="str">
        <f t="array" ref="G540">iferror(XLOOKUP(A540,'Download of SFDC Activation Rep'!B:B,'Download of SFDC Activation Rep'!H:H),"")</f>
        <v/>
      </c>
      <c r="H540" s="13" t="str">
        <f t="array" ref="H540">iferror(xlookup(A540,'Download of SFDC Activation Rep'!B:B,'Download of SFDC Activation Rep'!L:L),"")</f>
        <v/>
      </c>
      <c r="I540" s="17" t="str">
        <f t="shared" si="2"/>
        <v>Not Active</v>
      </c>
      <c r="J540" s="17" t="str">
        <f t="array" ref="J540">XLOOKUP(A540,'Download of SFDC Activation Rep'!B:B,'Download of SFDC Activation Rep'!T:T)</f>
        <v>#N/A</v>
      </c>
      <c r="K540" s="17" t="str">
        <f t="array" ref="K540">iferror(XLOOKUP(A540,'Download of SFDC Activation Rep'!B:B,'Download of SFDC Activation Rep'!C:C),"")</f>
        <v/>
      </c>
    </row>
    <row r="541">
      <c r="B541" s="14"/>
      <c r="C541" s="14"/>
      <c r="D541" s="14"/>
      <c r="E541" s="14"/>
      <c r="F541" s="14"/>
      <c r="G541" s="13" t="str">
        <f t="array" ref="G541">iferror(XLOOKUP(A541,'Download of SFDC Activation Rep'!B:B,'Download of SFDC Activation Rep'!H:H),"")</f>
        <v/>
      </c>
      <c r="H541" s="13" t="str">
        <f t="array" ref="H541">iferror(xlookup(A541,'Download of SFDC Activation Rep'!B:B,'Download of SFDC Activation Rep'!L:L),"")</f>
        <v/>
      </c>
      <c r="I541" s="17" t="str">
        <f t="shared" si="2"/>
        <v>Not Active</v>
      </c>
      <c r="J541" s="17" t="str">
        <f t="array" ref="J541">XLOOKUP(A541,'Download of SFDC Activation Rep'!B:B,'Download of SFDC Activation Rep'!T:T)</f>
        <v>#N/A</v>
      </c>
      <c r="K541" s="17" t="str">
        <f t="array" ref="K541">iferror(XLOOKUP(A541,'Download of SFDC Activation Rep'!B:B,'Download of SFDC Activation Rep'!C:C),"")</f>
        <v/>
      </c>
    </row>
    <row r="542">
      <c r="B542" s="14"/>
      <c r="C542" s="14"/>
      <c r="D542" s="14"/>
      <c r="E542" s="14"/>
      <c r="F542" s="14"/>
      <c r="G542" s="13" t="str">
        <f t="array" ref="G542">iferror(XLOOKUP(A542,'Download of SFDC Activation Rep'!B:B,'Download of SFDC Activation Rep'!H:H),"")</f>
        <v/>
      </c>
      <c r="H542" s="13" t="str">
        <f t="array" ref="H542">iferror(xlookup(A542,'Download of SFDC Activation Rep'!B:B,'Download of SFDC Activation Rep'!L:L),"")</f>
        <v/>
      </c>
      <c r="I542" s="17" t="str">
        <f t="shared" si="2"/>
        <v>Not Active</v>
      </c>
      <c r="J542" s="17" t="str">
        <f t="array" ref="J542">XLOOKUP(A542,'Download of SFDC Activation Rep'!B:B,'Download of SFDC Activation Rep'!T:T)</f>
        <v>#N/A</v>
      </c>
      <c r="K542" s="17" t="str">
        <f t="array" ref="K542">iferror(XLOOKUP(A542,'Download of SFDC Activation Rep'!B:B,'Download of SFDC Activation Rep'!C:C),"")</f>
        <v/>
      </c>
    </row>
    <row r="543">
      <c r="B543" s="14"/>
      <c r="C543" s="14"/>
      <c r="D543" s="14"/>
      <c r="E543" s="14"/>
      <c r="F543" s="14"/>
      <c r="G543" s="13" t="str">
        <f t="array" ref="G543">iferror(XLOOKUP(A543,'Download of SFDC Activation Rep'!B:B,'Download of SFDC Activation Rep'!H:H),"")</f>
        <v/>
      </c>
      <c r="H543" s="13" t="str">
        <f t="array" ref="H543">iferror(xlookup(A543,'Download of SFDC Activation Rep'!B:B,'Download of SFDC Activation Rep'!L:L),"")</f>
        <v/>
      </c>
      <c r="I543" s="17" t="str">
        <f t="shared" si="2"/>
        <v>Not Active</v>
      </c>
      <c r="J543" s="17" t="str">
        <f t="array" ref="J543">XLOOKUP(A543,'Download of SFDC Activation Rep'!B:B,'Download of SFDC Activation Rep'!T:T)</f>
        <v>#N/A</v>
      </c>
      <c r="K543" s="17" t="str">
        <f t="array" ref="K543">iferror(XLOOKUP(A543,'Download of SFDC Activation Rep'!B:B,'Download of SFDC Activation Rep'!C:C),"")</f>
        <v/>
      </c>
    </row>
    <row r="544">
      <c r="B544" s="14"/>
      <c r="C544" s="14"/>
      <c r="D544" s="14"/>
      <c r="E544" s="14"/>
      <c r="F544" s="14"/>
      <c r="G544" s="13" t="str">
        <f t="array" ref="G544">iferror(XLOOKUP(A544,'Download of SFDC Activation Rep'!B:B,'Download of SFDC Activation Rep'!H:H),"")</f>
        <v/>
      </c>
      <c r="H544" s="13" t="str">
        <f t="array" ref="H544">iferror(xlookup(A544,'Download of SFDC Activation Rep'!B:B,'Download of SFDC Activation Rep'!L:L),"")</f>
        <v/>
      </c>
      <c r="I544" s="17" t="str">
        <f t="shared" si="2"/>
        <v>Not Active</v>
      </c>
      <c r="J544" s="17" t="str">
        <f t="array" ref="J544">XLOOKUP(A544,'Download of SFDC Activation Rep'!B:B,'Download of SFDC Activation Rep'!T:T)</f>
        <v>#N/A</v>
      </c>
      <c r="K544" s="17" t="str">
        <f t="array" ref="K544">iferror(XLOOKUP(A544,'Download of SFDC Activation Rep'!B:B,'Download of SFDC Activation Rep'!C:C),"")</f>
        <v/>
      </c>
    </row>
    <row r="545">
      <c r="B545" s="14"/>
      <c r="C545" s="14"/>
      <c r="D545" s="14"/>
      <c r="E545" s="14"/>
      <c r="F545" s="14"/>
      <c r="G545" s="13" t="str">
        <f t="array" ref="G545">iferror(XLOOKUP(A545,'Download of SFDC Activation Rep'!B:B,'Download of SFDC Activation Rep'!H:H),"")</f>
        <v/>
      </c>
      <c r="H545" s="13" t="str">
        <f t="array" ref="H545">iferror(xlookup(A545,'Download of SFDC Activation Rep'!B:B,'Download of SFDC Activation Rep'!L:L),"")</f>
        <v/>
      </c>
      <c r="I545" s="17" t="str">
        <f t="shared" si="2"/>
        <v>Not Active</v>
      </c>
      <c r="J545" s="17" t="str">
        <f t="array" ref="J545">XLOOKUP(A545,'Download of SFDC Activation Rep'!B:B,'Download of SFDC Activation Rep'!T:T)</f>
        <v>#N/A</v>
      </c>
      <c r="K545" s="17" t="str">
        <f t="array" ref="K545">iferror(XLOOKUP(A545,'Download of SFDC Activation Rep'!B:B,'Download of SFDC Activation Rep'!C:C),"")</f>
        <v/>
      </c>
    </row>
    <row r="546">
      <c r="B546" s="14"/>
      <c r="C546" s="14"/>
      <c r="D546" s="14"/>
      <c r="E546" s="14"/>
      <c r="F546" s="14"/>
      <c r="G546" s="13" t="str">
        <f t="array" ref="G546">iferror(XLOOKUP(A546,'Download of SFDC Activation Rep'!B:B,'Download of SFDC Activation Rep'!H:H),"")</f>
        <v/>
      </c>
      <c r="H546" s="13" t="str">
        <f t="array" ref="H546">iferror(xlookup(A546,'Download of SFDC Activation Rep'!B:B,'Download of SFDC Activation Rep'!L:L),"")</f>
        <v/>
      </c>
      <c r="I546" s="17" t="str">
        <f t="shared" si="2"/>
        <v>Not Active</v>
      </c>
      <c r="J546" s="17" t="str">
        <f t="array" ref="J546">XLOOKUP(A546,'Download of SFDC Activation Rep'!B:B,'Download of SFDC Activation Rep'!T:T)</f>
        <v>#N/A</v>
      </c>
      <c r="K546" s="17" t="str">
        <f t="array" ref="K546">iferror(XLOOKUP(A546,'Download of SFDC Activation Rep'!B:B,'Download of SFDC Activation Rep'!C:C),"")</f>
        <v/>
      </c>
    </row>
    <row r="547">
      <c r="B547" s="14"/>
      <c r="C547" s="14"/>
      <c r="D547" s="14"/>
      <c r="E547" s="14"/>
      <c r="F547" s="14"/>
      <c r="G547" s="13" t="str">
        <f t="array" ref="G547">iferror(XLOOKUP(A547,'Download of SFDC Activation Rep'!B:B,'Download of SFDC Activation Rep'!H:H),"")</f>
        <v/>
      </c>
      <c r="H547" s="13" t="str">
        <f t="array" ref="H547">iferror(xlookup(A547,'Download of SFDC Activation Rep'!B:B,'Download of SFDC Activation Rep'!L:L),"")</f>
        <v/>
      </c>
      <c r="I547" s="17" t="str">
        <f t="shared" si="2"/>
        <v>Not Active</v>
      </c>
      <c r="J547" s="17" t="str">
        <f t="array" ref="J547">XLOOKUP(A547,'Download of SFDC Activation Rep'!B:B,'Download of SFDC Activation Rep'!T:T)</f>
        <v>#N/A</v>
      </c>
      <c r="K547" s="17" t="str">
        <f t="array" ref="K547">iferror(XLOOKUP(A547,'Download of SFDC Activation Rep'!B:B,'Download of SFDC Activation Rep'!C:C),"")</f>
        <v/>
      </c>
    </row>
    <row r="548">
      <c r="B548" s="14"/>
      <c r="C548" s="14"/>
      <c r="D548" s="14"/>
      <c r="E548" s="14"/>
      <c r="F548" s="14"/>
      <c r="G548" s="13" t="str">
        <f t="array" ref="G548">iferror(XLOOKUP(A548,'Download of SFDC Activation Rep'!B:B,'Download of SFDC Activation Rep'!H:H),"")</f>
        <v/>
      </c>
      <c r="H548" s="13" t="str">
        <f t="array" ref="H548">iferror(xlookup(A548,'Download of SFDC Activation Rep'!B:B,'Download of SFDC Activation Rep'!L:L),"")</f>
        <v/>
      </c>
      <c r="I548" s="17" t="str">
        <f t="shared" si="2"/>
        <v>Not Active</v>
      </c>
      <c r="J548" s="17" t="str">
        <f t="array" ref="J548">XLOOKUP(A548,'Download of SFDC Activation Rep'!B:B,'Download of SFDC Activation Rep'!T:T)</f>
        <v>#N/A</v>
      </c>
      <c r="K548" s="17" t="str">
        <f t="array" ref="K548">iferror(XLOOKUP(A548,'Download of SFDC Activation Rep'!B:B,'Download of SFDC Activation Rep'!C:C),"")</f>
        <v/>
      </c>
    </row>
    <row r="549">
      <c r="B549" s="14"/>
      <c r="C549" s="14"/>
      <c r="D549" s="14"/>
      <c r="E549" s="14"/>
      <c r="F549" s="14"/>
      <c r="G549" s="13" t="str">
        <f t="array" ref="G549">iferror(XLOOKUP(A549,'Download of SFDC Activation Rep'!B:B,'Download of SFDC Activation Rep'!H:H),"")</f>
        <v/>
      </c>
      <c r="H549" s="13" t="str">
        <f t="array" ref="H549">iferror(xlookup(A549,'Download of SFDC Activation Rep'!B:B,'Download of SFDC Activation Rep'!L:L),"")</f>
        <v/>
      </c>
      <c r="I549" s="17" t="str">
        <f t="shared" si="2"/>
        <v>Not Active</v>
      </c>
      <c r="J549" s="17" t="str">
        <f t="array" ref="J549">XLOOKUP(A549,'Download of SFDC Activation Rep'!B:B,'Download of SFDC Activation Rep'!T:T)</f>
        <v>#N/A</v>
      </c>
      <c r="K549" s="17" t="str">
        <f t="array" ref="K549">iferror(XLOOKUP(A549,'Download of SFDC Activation Rep'!B:B,'Download of SFDC Activation Rep'!C:C),"")</f>
        <v/>
      </c>
    </row>
    <row r="550">
      <c r="B550" s="14"/>
      <c r="C550" s="14"/>
      <c r="D550" s="14"/>
      <c r="E550" s="14"/>
      <c r="F550" s="14"/>
      <c r="G550" s="13" t="str">
        <f t="array" ref="G550">iferror(XLOOKUP(A550,'Download of SFDC Activation Rep'!B:B,'Download of SFDC Activation Rep'!H:H),"")</f>
        <v/>
      </c>
      <c r="H550" s="13" t="str">
        <f t="array" ref="H550">iferror(xlookup(A550,'Download of SFDC Activation Rep'!B:B,'Download of SFDC Activation Rep'!L:L),"")</f>
        <v/>
      </c>
      <c r="I550" s="17" t="str">
        <f t="shared" si="2"/>
        <v>Not Active</v>
      </c>
      <c r="J550" s="17" t="str">
        <f t="array" ref="J550">XLOOKUP(A550,'Download of SFDC Activation Rep'!B:B,'Download of SFDC Activation Rep'!T:T)</f>
        <v>#N/A</v>
      </c>
      <c r="K550" s="17" t="str">
        <f t="array" ref="K550">iferror(XLOOKUP(A550,'Download of SFDC Activation Rep'!B:B,'Download of SFDC Activation Rep'!C:C),"")</f>
        <v/>
      </c>
    </row>
    <row r="551">
      <c r="B551" s="14"/>
      <c r="C551" s="14"/>
      <c r="D551" s="14"/>
      <c r="E551" s="14"/>
      <c r="F551" s="14"/>
      <c r="G551" s="13" t="str">
        <f t="array" ref="G551">iferror(XLOOKUP(A551,'Download of SFDC Activation Rep'!B:B,'Download of SFDC Activation Rep'!H:H),"")</f>
        <v/>
      </c>
      <c r="H551" s="13" t="str">
        <f t="array" ref="H551">iferror(xlookup(A551,'Download of SFDC Activation Rep'!B:B,'Download of SFDC Activation Rep'!L:L),"")</f>
        <v/>
      </c>
      <c r="I551" s="17" t="str">
        <f t="shared" si="2"/>
        <v>Not Active</v>
      </c>
      <c r="J551" s="17" t="str">
        <f t="array" ref="J551">XLOOKUP(A551,'Download of SFDC Activation Rep'!B:B,'Download of SFDC Activation Rep'!T:T)</f>
        <v>#N/A</v>
      </c>
      <c r="K551" s="17" t="str">
        <f t="array" ref="K551">iferror(XLOOKUP(A551,'Download of SFDC Activation Rep'!B:B,'Download of SFDC Activation Rep'!C:C),"")</f>
        <v/>
      </c>
    </row>
    <row r="552">
      <c r="B552" s="14"/>
      <c r="C552" s="14"/>
      <c r="D552" s="14"/>
      <c r="E552" s="14"/>
      <c r="F552" s="14"/>
      <c r="G552" s="13" t="str">
        <f t="array" ref="G552">iferror(XLOOKUP(A552,'Download of SFDC Activation Rep'!B:B,'Download of SFDC Activation Rep'!H:H),"")</f>
        <v/>
      </c>
      <c r="H552" s="13" t="str">
        <f t="array" ref="H552">iferror(xlookup(A552,'Download of SFDC Activation Rep'!B:B,'Download of SFDC Activation Rep'!L:L),"")</f>
        <v/>
      </c>
      <c r="I552" s="17" t="str">
        <f t="shared" si="2"/>
        <v>Not Active</v>
      </c>
      <c r="J552" s="17" t="str">
        <f t="array" ref="J552">XLOOKUP(A552,'Download of SFDC Activation Rep'!B:B,'Download of SFDC Activation Rep'!T:T)</f>
        <v>#N/A</v>
      </c>
      <c r="K552" s="17" t="str">
        <f t="array" ref="K552">iferror(XLOOKUP(A552,'Download of SFDC Activation Rep'!B:B,'Download of SFDC Activation Rep'!C:C),"")</f>
        <v/>
      </c>
    </row>
    <row r="553">
      <c r="B553" s="14"/>
      <c r="C553" s="14"/>
      <c r="D553" s="14"/>
      <c r="E553" s="14"/>
      <c r="F553" s="14"/>
      <c r="G553" s="13" t="str">
        <f t="array" ref="G553">iferror(XLOOKUP(A553,'Download of SFDC Activation Rep'!B:B,'Download of SFDC Activation Rep'!H:H),"")</f>
        <v/>
      </c>
      <c r="H553" s="13" t="str">
        <f t="array" ref="H553">iferror(xlookup(A553,'Download of SFDC Activation Rep'!B:B,'Download of SFDC Activation Rep'!L:L),"")</f>
        <v/>
      </c>
      <c r="I553" s="17" t="str">
        <f t="shared" si="2"/>
        <v>Not Active</v>
      </c>
      <c r="J553" s="17" t="str">
        <f t="array" ref="J553">XLOOKUP(A553,'Download of SFDC Activation Rep'!B:B,'Download of SFDC Activation Rep'!T:T)</f>
        <v>#N/A</v>
      </c>
      <c r="K553" s="17" t="str">
        <f t="array" ref="K553">iferror(XLOOKUP(A553,'Download of SFDC Activation Rep'!B:B,'Download of SFDC Activation Rep'!C:C),"")</f>
        <v/>
      </c>
    </row>
    <row r="554">
      <c r="B554" s="14"/>
      <c r="C554" s="14"/>
      <c r="D554" s="14"/>
      <c r="E554" s="14"/>
      <c r="F554" s="14"/>
      <c r="G554" s="13" t="str">
        <f t="array" ref="G554">iferror(XLOOKUP(A554,'Download of SFDC Activation Rep'!B:B,'Download of SFDC Activation Rep'!H:H),"")</f>
        <v/>
      </c>
      <c r="H554" s="13" t="str">
        <f t="array" ref="H554">iferror(xlookup(A554,'Download of SFDC Activation Rep'!B:B,'Download of SFDC Activation Rep'!L:L),"")</f>
        <v/>
      </c>
      <c r="I554" s="17" t="str">
        <f t="shared" si="2"/>
        <v>Not Active</v>
      </c>
      <c r="J554" s="17" t="str">
        <f t="array" ref="J554">XLOOKUP(A554,'Download of SFDC Activation Rep'!B:B,'Download of SFDC Activation Rep'!T:T)</f>
        <v>#N/A</v>
      </c>
      <c r="K554" s="17" t="str">
        <f t="array" ref="K554">iferror(XLOOKUP(A554,'Download of SFDC Activation Rep'!B:B,'Download of SFDC Activation Rep'!C:C),"")</f>
        <v/>
      </c>
    </row>
    <row r="555">
      <c r="B555" s="14"/>
      <c r="C555" s="14"/>
      <c r="D555" s="14"/>
      <c r="E555" s="14"/>
      <c r="F555" s="14"/>
      <c r="G555" s="13" t="str">
        <f t="array" ref="G555">iferror(XLOOKUP(A555,'Download of SFDC Activation Rep'!B:B,'Download of SFDC Activation Rep'!H:H),"")</f>
        <v/>
      </c>
      <c r="H555" s="13" t="str">
        <f t="array" ref="H555">iferror(xlookup(A555,'Download of SFDC Activation Rep'!B:B,'Download of SFDC Activation Rep'!L:L),"")</f>
        <v/>
      </c>
      <c r="I555" s="17" t="str">
        <f t="shared" si="2"/>
        <v>Not Active</v>
      </c>
      <c r="J555" s="17" t="str">
        <f t="array" ref="J555">XLOOKUP(A555,'Download of SFDC Activation Rep'!B:B,'Download of SFDC Activation Rep'!T:T)</f>
        <v>#N/A</v>
      </c>
      <c r="K555" s="17" t="str">
        <f t="array" ref="K555">iferror(XLOOKUP(A555,'Download of SFDC Activation Rep'!B:B,'Download of SFDC Activation Rep'!C:C),"")</f>
        <v/>
      </c>
    </row>
    <row r="556">
      <c r="B556" s="14"/>
      <c r="C556" s="14"/>
      <c r="D556" s="14"/>
      <c r="E556" s="14"/>
      <c r="F556" s="14"/>
      <c r="G556" s="13" t="str">
        <f t="array" ref="G556">iferror(XLOOKUP(A556,'Download of SFDC Activation Rep'!B:B,'Download of SFDC Activation Rep'!H:H),"")</f>
        <v/>
      </c>
      <c r="H556" s="13" t="str">
        <f t="array" ref="H556">iferror(xlookup(A556,'Download of SFDC Activation Rep'!B:B,'Download of SFDC Activation Rep'!L:L),"")</f>
        <v/>
      </c>
      <c r="I556" s="17" t="str">
        <f t="shared" si="2"/>
        <v>Not Active</v>
      </c>
      <c r="J556" s="17" t="str">
        <f t="array" ref="J556">XLOOKUP(A556,'Download of SFDC Activation Rep'!B:B,'Download of SFDC Activation Rep'!T:T)</f>
        <v>#N/A</v>
      </c>
      <c r="K556" s="17" t="str">
        <f t="array" ref="K556">iferror(XLOOKUP(A556,'Download of SFDC Activation Rep'!B:B,'Download of SFDC Activation Rep'!C:C),"")</f>
        <v/>
      </c>
    </row>
    <row r="557">
      <c r="B557" s="14"/>
      <c r="C557" s="14"/>
      <c r="D557" s="14"/>
      <c r="E557" s="14"/>
      <c r="F557" s="14"/>
      <c r="G557" s="13" t="str">
        <f t="array" ref="G557">iferror(XLOOKUP(A557,'Download of SFDC Activation Rep'!B:B,'Download of SFDC Activation Rep'!H:H),"")</f>
        <v/>
      </c>
      <c r="H557" s="13" t="str">
        <f t="array" ref="H557">iferror(xlookup(A557,'Download of SFDC Activation Rep'!B:B,'Download of SFDC Activation Rep'!L:L),"")</f>
        <v/>
      </c>
      <c r="I557" s="17" t="str">
        <f t="shared" si="2"/>
        <v>Not Active</v>
      </c>
      <c r="J557" s="17" t="str">
        <f t="array" ref="J557">XLOOKUP(A557,'Download of SFDC Activation Rep'!B:B,'Download of SFDC Activation Rep'!T:T)</f>
        <v>#N/A</v>
      </c>
      <c r="K557" s="17" t="str">
        <f t="array" ref="K557">iferror(XLOOKUP(A557,'Download of SFDC Activation Rep'!B:B,'Download of SFDC Activation Rep'!C:C),"")</f>
        <v/>
      </c>
    </row>
    <row r="558">
      <c r="B558" s="14"/>
      <c r="C558" s="14"/>
      <c r="D558" s="14"/>
      <c r="E558" s="14"/>
      <c r="F558" s="14"/>
      <c r="G558" s="13" t="str">
        <f t="array" ref="G558">iferror(XLOOKUP(A558,'Download of SFDC Activation Rep'!B:B,'Download of SFDC Activation Rep'!H:H),"")</f>
        <v/>
      </c>
      <c r="H558" s="13" t="str">
        <f t="array" ref="H558">iferror(xlookup(A558,'Download of SFDC Activation Rep'!B:B,'Download of SFDC Activation Rep'!L:L),"")</f>
        <v/>
      </c>
      <c r="I558" s="17" t="str">
        <f t="shared" si="2"/>
        <v>Not Active</v>
      </c>
      <c r="J558" s="17" t="str">
        <f t="array" ref="J558">XLOOKUP(A558,'Download of SFDC Activation Rep'!B:B,'Download of SFDC Activation Rep'!T:T)</f>
        <v>#N/A</v>
      </c>
      <c r="K558" s="17" t="str">
        <f t="array" ref="K558">iferror(XLOOKUP(A558,'Download of SFDC Activation Rep'!B:B,'Download of SFDC Activation Rep'!C:C),"")</f>
        <v/>
      </c>
    </row>
    <row r="559">
      <c r="B559" s="14"/>
      <c r="C559" s="14"/>
      <c r="D559" s="14"/>
      <c r="E559" s="14"/>
      <c r="F559" s="14"/>
      <c r="G559" s="13" t="str">
        <f t="array" ref="G559">iferror(XLOOKUP(A559,'Download of SFDC Activation Rep'!B:B,'Download of SFDC Activation Rep'!H:H),"")</f>
        <v/>
      </c>
      <c r="H559" s="13" t="str">
        <f t="array" ref="H559">iferror(xlookup(A559,'Download of SFDC Activation Rep'!B:B,'Download of SFDC Activation Rep'!L:L),"")</f>
        <v/>
      </c>
      <c r="I559" s="17" t="str">
        <f t="shared" si="2"/>
        <v>Not Active</v>
      </c>
      <c r="J559" s="17" t="str">
        <f t="array" ref="J559">XLOOKUP(A559,'Download of SFDC Activation Rep'!B:B,'Download of SFDC Activation Rep'!T:T)</f>
        <v>#N/A</v>
      </c>
      <c r="K559" s="17" t="str">
        <f t="array" ref="K559">iferror(XLOOKUP(A559,'Download of SFDC Activation Rep'!B:B,'Download of SFDC Activation Rep'!C:C),"")</f>
        <v/>
      </c>
    </row>
    <row r="560">
      <c r="B560" s="14"/>
      <c r="C560" s="14"/>
      <c r="D560" s="14"/>
      <c r="E560" s="14"/>
      <c r="F560" s="14"/>
      <c r="G560" s="13" t="str">
        <f t="array" ref="G560">iferror(XLOOKUP(A560,'Download of SFDC Activation Rep'!B:B,'Download of SFDC Activation Rep'!H:H),"")</f>
        <v/>
      </c>
      <c r="H560" s="13" t="str">
        <f t="array" ref="H560">iferror(xlookup(A560,'Download of SFDC Activation Rep'!B:B,'Download of SFDC Activation Rep'!L:L),"")</f>
        <v/>
      </c>
      <c r="I560" s="17" t="str">
        <f t="shared" si="2"/>
        <v>Not Active</v>
      </c>
      <c r="J560" s="17" t="str">
        <f t="array" ref="J560">XLOOKUP(A560,'Download of SFDC Activation Rep'!B:B,'Download of SFDC Activation Rep'!T:T)</f>
        <v>#N/A</v>
      </c>
      <c r="K560" s="17" t="str">
        <f t="array" ref="K560">iferror(XLOOKUP(A560,'Download of SFDC Activation Rep'!B:B,'Download of SFDC Activation Rep'!C:C),"")</f>
        <v/>
      </c>
    </row>
    <row r="561">
      <c r="B561" s="14"/>
      <c r="C561" s="14"/>
      <c r="D561" s="14"/>
      <c r="E561" s="14"/>
      <c r="F561" s="14"/>
      <c r="G561" s="13" t="str">
        <f t="array" ref="G561">iferror(XLOOKUP(A561,'Download of SFDC Activation Rep'!B:B,'Download of SFDC Activation Rep'!H:H),"")</f>
        <v/>
      </c>
      <c r="H561" s="13" t="str">
        <f t="array" ref="H561">iferror(xlookup(A561,'Download of SFDC Activation Rep'!B:B,'Download of SFDC Activation Rep'!L:L),"")</f>
        <v/>
      </c>
      <c r="I561" s="17" t="str">
        <f t="shared" si="2"/>
        <v>Not Active</v>
      </c>
      <c r="J561" s="17" t="str">
        <f t="array" ref="J561">XLOOKUP(A561,'Download of SFDC Activation Rep'!B:B,'Download of SFDC Activation Rep'!T:T)</f>
        <v>#N/A</v>
      </c>
      <c r="K561" s="17" t="str">
        <f t="array" ref="K561">iferror(XLOOKUP(A561,'Download of SFDC Activation Rep'!B:B,'Download of SFDC Activation Rep'!C:C),"")</f>
        <v/>
      </c>
    </row>
    <row r="562">
      <c r="B562" s="14"/>
      <c r="C562" s="14"/>
      <c r="D562" s="14"/>
      <c r="E562" s="14"/>
      <c r="F562" s="14"/>
      <c r="G562" s="13" t="str">
        <f t="array" ref="G562">iferror(XLOOKUP(A562,'Download of SFDC Activation Rep'!B:B,'Download of SFDC Activation Rep'!H:H),"")</f>
        <v/>
      </c>
      <c r="H562" s="13" t="str">
        <f t="array" ref="H562">iferror(xlookup(A562,'Download of SFDC Activation Rep'!B:B,'Download of SFDC Activation Rep'!L:L),"")</f>
        <v/>
      </c>
      <c r="I562" s="17" t="str">
        <f t="shared" si="2"/>
        <v>Not Active</v>
      </c>
      <c r="J562" s="17" t="str">
        <f t="array" ref="J562">XLOOKUP(A562,'Download of SFDC Activation Rep'!B:B,'Download of SFDC Activation Rep'!T:T)</f>
        <v>#N/A</v>
      </c>
      <c r="K562" s="17" t="str">
        <f t="array" ref="K562">iferror(XLOOKUP(A562,'Download of SFDC Activation Rep'!B:B,'Download of SFDC Activation Rep'!C:C),"")</f>
        <v/>
      </c>
    </row>
    <row r="563">
      <c r="B563" s="14"/>
      <c r="C563" s="14"/>
      <c r="D563" s="14"/>
      <c r="E563" s="14"/>
      <c r="F563" s="14"/>
      <c r="G563" s="13" t="str">
        <f t="array" ref="G563">iferror(XLOOKUP(A563,'Download of SFDC Activation Rep'!B:B,'Download of SFDC Activation Rep'!H:H),"")</f>
        <v/>
      </c>
      <c r="H563" s="13" t="str">
        <f t="array" ref="H563">iferror(xlookup(A563,'Download of SFDC Activation Rep'!B:B,'Download of SFDC Activation Rep'!L:L),"")</f>
        <v/>
      </c>
      <c r="I563" s="17" t="str">
        <f t="shared" si="2"/>
        <v>Not Active</v>
      </c>
      <c r="J563" s="17" t="str">
        <f t="array" ref="J563">XLOOKUP(A563,'Download of SFDC Activation Rep'!B:B,'Download of SFDC Activation Rep'!T:T)</f>
        <v>#N/A</v>
      </c>
      <c r="K563" s="17" t="str">
        <f t="array" ref="K563">iferror(XLOOKUP(A563,'Download of SFDC Activation Rep'!B:B,'Download of SFDC Activation Rep'!C:C),"")</f>
        <v/>
      </c>
    </row>
    <row r="564">
      <c r="B564" s="14"/>
      <c r="C564" s="14"/>
      <c r="D564" s="14"/>
      <c r="E564" s="14"/>
      <c r="F564" s="14"/>
      <c r="G564" s="13" t="str">
        <f t="array" ref="G564">iferror(XLOOKUP(A564,'Download of SFDC Activation Rep'!B:B,'Download of SFDC Activation Rep'!H:H),"")</f>
        <v/>
      </c>
      <c r="H564" s="13" t="str">
        <f t="array" ref="H564">iferror(xlookup(A564,'Download of SFDC Activation Rep'!B:B,'Download of SFDC Activation Rep'!L:L),"")</f>
        <v/>
      </c>
      <c r="I564" s="17" t="str">
        <f t="shared" si="2"/>
        <v>Not Active</v>
      </c>
      <c r="J564" s="17" t="str">
        <f t="array" ref="J564">XLOOKUP(A564,'Download of SFDC Activation Rep'!B:B,'Download of SFDC Activation Rep'!T:T)</f>
        <v>#N/A</v>
      </c>
      <c r="K564" s="17" t="str">
        <f t="array" ref="K564">iferror(XLOOKUP(A564,'Download of SFDC Activation Rep'!B:B,'Download of SFDC Activation Rep'!C:C),"")</f>
        <v/>
      </c>
    </row>
    <row r="565">
      <c r="B565" s="14"/>
      <c r="C565" s="14"/>
      <c r="D565" s="14"/>
      <c r="E565" s="14"/>
      <c r="F565" s="14"/>
      <c r="G565" s="13" t="str">
        <f t="array" ref="G565">iferror(XLOOKUP(A565,'Download of SFDC Activation Rep'!B:B,'Download of SFDC Activation Rep'!H:H),"")</f>
        <v/>
      </c>
      <c r="H565" s="13" t="str">
        <f t="array" ref="H565">iferror(xlookup(A565,'Download of SFDC Activation Rep'!B:B,'Download of SFDC Activation Rep'!L:L),"")</f>
        <v/>
      </c>
      <c r="I565" s="17" t="str">
        <f t="shared" si="2"/>
        <v>Not Active</v>
      </c>
      <c r="J565" s="17" t="str">
        <f t="array" ref="J565">XLOOKUP(A565,'Download of SFDC Activation Rep'!B:B,'Download of SFDC Activation Rep'!T:T)</f>
        <v>#N/A</v>
      </c>
      <c r="K565" s="17" t="str">
        <f t="array" ref="K565">iferror(XLOOKUP(A565,'Download of SFDC Activation Rep'!B:B,'Download of SFDC Activation Rep'!C:C),"")</f>
        <v/>
      </c>
    </row>
    <row r="566">
      <c r="B566" s="14"/>
      <c r="C566" s="14"/>
      <c r="D566" s="14"/>
      <c r="E566" s="14"/>
      <c r="F566" s="14"/>
      <c r="G566" s="13" t="str">
        <f t="array" ref="G566">iferror(XLOOKUP(A566,'Download of SFDC Activation Rep'!B:B,'Download of SFDC Activation Rep'!H:H),"")</f>
        <v/>
      </c>
      <c r="H566" s="13" t="str">
        <f t="array" ref="H566">iferror(xlookup(A566,'Download of SFDC Activation Rep'!B:B,'Download of SFDC Activation Rep'!L:L),"")</f>
        <v/>
      </c>
      <c r="I566" s="17" t="str">
        <f t="shared" si="2"/>
        <v>Not Active</v>
      </c>
      <c r="J566" s="17" t="str">
        <f t="array" ref="J566">XLOOKUP(A566,'Download of SFDC Activation Rep'!B:B,'Download of SFDC Activation Rep'!T:T)</f>
        <v>#N/A</v>
      </c>
      <c r="K566" s="17" t="str">
        <f t="array" ref="K566">iferror(XLOOKUP(A566,'Download of SFDC Activation Rep'!B:B,'Download of SFDC Activation Rep'!C:C),"")</f>
        <v/>
      </c>
    </row>
    <row r="567">
      <c r="B567" s="14"/>
      <c r="C567" s="14"/>
      <c r="D567" s="14"/>
      <c r="E567" s="14"/>
      <c r="F567" s="14"/>
      <c r="G567" s="13" t="str">
        <f t="array" ref="G567">iferror(XLOOKUP(A567,'Download of SFDC Activation Rep'!B:B,'Download of SFDC Activation Rep'!H:H),"")</f>
        <v/>
      </c>
      <c r="H567" s="13" t="str">
        <f t="array" ref="H567">iferror(xlookup(A567,'Download of SFDC Activation Rep'!B:B,'Download of SFDC Activation Rep'!L:L),"")</f>
        <v/>
      </c>
      <c r="I567" s="17" t="str">
        <f t="shared" si="2"/>
        <v>Not Active</v>
      </c>
      <c r="J567" s="17" t="str">
        <f t="array" ref="J567">XLOOKUP(A567,'Download of SFDC Activation Rep'!B:B,'Download of SFDC Activation Rep'!T:T)</f>
        <v>#N/A</v>
      </c>
      <c r="K567" s="17" t="str">
        <f t="array" ref="K567">iferror(XLOOKUP(A567,'Download of SFDC Activation Rep'!B:B,'Download of SFDC Activation Rep'!C:C),"")</f>
        <v/>
      </c>
    </row>
    <row r="568">
      <c r="B568" s="14"/>
      <c r="C568" s="14"/>
      <c r="D568" s="14"/>
      <c r="E568" s="14"/>
      <c r="F568" s="14"/>
      <c r="G568" s="13" t="str">
        <f t="array" ref="G568">iferror(XLOOKUP(A568,'Download of SFDC Activation Rep'!B:B,'Download of SFDC Activation Rep'!H:H),"")</f>
        <v/>
      </c>
      <c r="H568" s="13" t="str">
        <f t="array" ref="H568">iferror(xlookup(A568,'Download of SFDC Activation Rep'!B:B,'Download of SFDC Activation Rep'!L:L),"")</f>
        <v/>
      </c>
      <c r="I568" s="17" t="str">
        <f t="shared" si="2"/>
        <v>Not Active</v>
      </c>
      <c r="J568" s="17" t="str">
        <f t="array" ref="J568">XLOOKUP(A568,'Download of SFDC Activation Rep'!B:B,'Download of SFDC Activation Rep'!T:T)</f>
        <v>#N/A</v>
      </c>
      <c r="K568" s="17" t="str">
        <f t="array" ref="K568">iferror(XLOOKUP(A568,'Download of SFDC Activation Rep'!B:B,'Download of SFDC Activation Rep'!C:C),"")</f>
        <v/>
      </c>
    </row>
    <row r="569">
      <c r="B569" s="14"/>
      <c r="C569" s="14"/>
      <c r="D569" s="14"/>
      <c r="E569" s="14"/>
      <c r="F569" s="14"/>
      <c r="G569" s="13" t="str">
        <f t="array" ref="G569">iferror(XLOOKUP(A569,'Download of SFDC Activation Rep'!B:B,'Download of SFDC Activation Rep'!H:H),"")</f>
        <v/>
      </c>
      <c r="H569" s="13" t="str">
        <f t="array" ref="H569">iferror(xlookup(A569,'Download of SFDC Activation Rep'!B:B,'Download of SFDC Activation Rep'!L:L),"")</f>
        <v/>
      </c>
      <c r="I569" s="17" t="str">
        <f t="shared" si="2"/>
        <v>Not Active</v>
      </c>
      <c r="J569" s="17" t="str">
        <f t="array" ref="J569">XLOOKUP(A569,'Download of SFDC Activation Rep'!B:B,'Download of SFDC Activation Rep'!T:T)</f>
        <v>#N/A</v>
      </c>
      <c r="K569" s="17" t="str">
        <f t="array" ref="K569">iferror(XLOOKUP(A569,'Download of SFDC Activation Rep'!B:B,'Download of SFDC Activation Rep'!C:C),"")</f>
        <v/>
      </c>
    </row>
    <row r="570">
      <c r="B570" s="14"/>
      <c r="C570" s="14"/>
      <c r="D570" s="14"/>
      <c r="E570" s="14"/>
      <c r="F570" s="14"/>
      <c r="G570" s="13" t="str">
        <f t="array" ref="G570">iferror(XLOOKUP(A570,'Download of SFDC Activation Rep'!B:B,'Download of SFDC Activation Rep'!H:H),"")</f>
        <v/>
      </c>
      <c r="H570" s="13" t="str">
        <f t="array" ref="H570">iferror(xlookup(A570,'Download of SFDC Activation Rep'!B:B,'Download of SFDC Activation Rep'!L:L),"")</f>
        <v/>
      </c>
      <c r="I570" s="17" t="str">
        <f t="shared" si="2"/>
        <v>Not Active</v>
      </c>
      <c r="J570" s="17" t="str">
        <f t="array" ref="J570">XLOOKUP(A570,'Download of SFDC Activation Rep'!B:B,'Download of SFDC Activation Rep'!T:T)</f>
        <v>#N/A</v>
      </c>
      <c r="K570" s="17" t="str">
        <f t="array" ref="K570">iferror(XLOOKUP(A570,'Download of SFDC Activation Rep'!B:B,'Download of SFDC Activation Rep'!C:C),"")</f>
        <v/>
      </c>
    </row>
    <row r="571">
      <c r="B571" s="14"/>
      <c r="C571" s="14"/>
      <c r="D571" s="14"/>
      <c r="E571" s="14"/>
      <c r="F571" s="14"/>
      <c r="G571" s="13" t="str">
        <f t="array" ref="G571">iferror(XLOOKUP(A571,'Download of SFDC Activation Rep'!B:B,'Download of SFDC Activation Rep'!H:H),"")</f>
        <v/>
      </c>
      <c r="H571" s="13" t="str">
        <f t="array" ref="H571">iferror(xlookup(A571,'Download of SFDC Activation Rep'!B:B,'Download of SFDC Activation Rep'!L:L),"")</f>
        <v/>
      </c>
      <c r="I571" s="17" t="str">
        <f t="shared" si="2"/>
        <v>Not Active</v>
      </c>
      <c r="J571" s="17" t="str">
        <f t="array" ref="J571">XLOOKUP(A571,'Download of SFDC Activation Rep'!B:B,'Download of SFDC Activation Rep'!T:T)</f>
        <v>#N/A</v>
      </c>
      <c r="K571" s="17" t="str">
        <f t="array" ref="K571">iferror(XLOOKUP(A571,'Download of SFDC Activation Rep'!B:B,'Download of SFDC Activation Rep'!C:C),"")</f>
        <v/>
      </c>
    </row>
    <row r="572">
      <c r="B572" s="14"/>
      <c r="C572" s="14"/>
      <c r="D572" s="14"/>
      <c r="E572" s="14"/>
      <c r="F572" s="14"/>
      <c r="G572" s="13" t="str">
        <f t="array" ref="G572">iferror(XLOOKUP(A572,'Download of SFDC Activation Rep'!B:B,'Download of SFDC Activation Rep'!H:H),"")</f>
        <v/>
      </c>
      <c r="H572" s="13" t="str">
        <f t="array" ref="H572">iferror(xlookup(A572,'Download of SFDC Activation Rep'!B:B,'Download of SFDC Activation Rep'!L:L),"")</f>
        <v/>
      </c>
      <c r="I572" s="17" t="str">
        <f t="shared" si="2"/>
        <v>Not Active</v>
      </c>
      <c r="J572" s="17" t="str">
        <f t="array" ref="J572">XLOOKUP(A572,'Download of SFDC Activation Rep'!B:B,'Download of SFDC Activation Rep'!T:T)</f>
        <v>#N/A</v>
      </c>
      <c r="K572" s="17" t="str">
        <f t="array" ref="K572">iferror(XLOOKUP(A572,'Download of SFDC Activation Rep'!B:B,'Download of SFDC Activation Rep'!C:C),"")</f>
        <v/>
      </c>
    </row>
    <row r="573">
      <c r="B573" s="14"/>
      <c r="C573" s="14"/>
      <c r="D573" s="14"/>
      <c r="E573" s="14"/>
      <c r="F573" s="14"/>
      <c r="G573" s="13" t="str">
        <f t="array" ref="G573">iferror(XLOOKUP(A573,'Download of SFDC Activation Rep'!B:B,'Download of SFDC Activation Rep'!H:H),"")</f>
        <v/>
      </c>
      <c r="H573" s="13" t="str">
        <f t="array" ref="H573">iferror(xlookup(A573,'Download of SFDC Activation Rep'!B:B,'Download of SFDC Activation Rep'!L:L),"")</f>
        <v/>
      </c>
      <c r="I573" s="17" t="str">
        <f t="shared" si="2"/>
        <v>Not Active</v>
      </c>
      <c r="J573" s="17" t="str">
        <f t="array" ref="J573">XLOOKUP(A573,'Download of SFDC Activation Rep'!B:B,'Download of SFDC Activation Rep'!T:T)</f>
        <v>#N/A</v>
      </c>
      <c r="K573" s="17" t="str">
        <f t="array" ref="K573">iferror(XLOOKUP(A573,'Download of SFDC Activation Rep'!B:B,'Download of SFDC Activation Rep'!C:C),"")</f>
        <v/>
      </c>
    </row>
    <row r="574">
      <c r="B574" s="14"/>
      <c r="C574" s="14"/>
      <c r="D574" s="14"/>
      <c r="E574" s="14"/>
      <c r="F574" s="14"/>
      <c r="G574" s="13" t="str">
        <f t="array" ref="G574">iferror(XLOOKUP(A574,'Download of SFDC Activation Rep'!B:B,'Download of SFDC Activation Rep'!H:H),"")</f>
        <v/>
      </c>
      <c r="H574" s="13" t="str">
        <f t="array" ref="H574">iferror(xlookup(A574,'Download of SFDC Activation Rep'!B:B,'Download of SFDC Activation Rep'!L:L),"")</f>
        <v/>
      </c>
      <c r="I574" s="17" t="str">
        <f t="shared" si="2"/>
        <v>Not Active</v>
      </c>
      <c r="J574" s="17" t="str">
        <f t="array" ref="J574">XLOOKUP(A574,'Download of SFDC Activation Rep'!B:B,'Download of SFDC Activation Rep'!T:T)</f>
        <v>#N/A</v>
      </c>
      <c r="K574" s="17" t="str">
        <f t="array" ref="K574">iferror(XLOOKUP(A574,'Download of SFDC Activation Rep'!B:B,'Download of SFDC Activation Rep'!C:C),"")</f>
        <v/>
      </c>
    </row>
    <row r="575">
      <c r="B575" s="14"/>
      <c r="C575" s="14"/>
      <c r="D575" s="14"/>
      <c r="E575" s="14"/>
      <c r="F575" s="14"/>
      <c r="G575" s="13" t="str">
        <f t="array" ref="G575">iferror(XLOOKUP(A575,'Download of SFDC Activation Rep'!B:B,'Download of SFDC Activation Rep'!H:H),"")</f>
        <v/>
      </c>
      <c r="H575" s="13" t="str">
        <f t="array" ref="H575">iferror(xlookup(A575,'Download of SFDC Activation Rep'!B:B,'Download of SFDC Activation Rep'!L:L),"")</f>
        <v/>
      </c>
      <c r="I575" s="17" t="str">
        <f t="shared" si="2"/>
        <v>Not Active</v>
      </c>
      <c r="J575" s="17" t="str">
        <f t="array" ref="J575">XLOOKUP(A575,'Download of SFDC Activation Rep'!B:B,'Download of SFDC Activation Rep'!T:T)</f>
        <v>#N/A</v>
      </c>
      <c r="K575" s="17" t="str">
        <f t="array" ref="K575">iferror(XLOOKUP(A575,'Download of SFDC Activation Rep'!B:B,'Download of SFDC Activation Rep'!C:C),"")</f>
        <v/>
      </c>
    </row>
    <row r="576">
      <c r="B576" s="14"/>
      <c r="C576" s="14"/>
      <c r="D576" s="14"/>
      <c r="E576" s="14"/>
      <c r="F576" s="14"/>
      <c r="G576" s="13" t="str">
        <f t="array" ref="G576">iferror(XLOOKUP(A576,'Download of SFDC Activation Rep'!B:B,'Download of SFDC Activation Rep'!H:H),"")</f>
        <v/>
      </c>
      <c r="H576" s="13" t="str">
        <f t="array" ref="H576">iferror(xlookup(A576,'Download of SFDC Activation Rep'!B:B,'Download of SFDC Activation Rep'!L:L),"")</f>
        <v/>
      </c>
      <c r="I576" s="17" t="str">
        <f t="shared" si="2"/>
        <v>Not Active</v>
      </c>
      <c r="J576" s="17" t="str">
        <f t="array" ref="J576">XLOOKUP(A576,'Download of SFDC Activation Rep'!B:B,'Download of SFDC Activation Rep'!T:T)</f>
        <v>#N/A</v>
      </c>
      <c r="K576" s="17" t="str">
        <f t="array" ref="K576">iferror(XLOOKUP(A576,'Download of SFDC Activation Rep'!B:B,'Download of SFDC Activation Rep'!C:C),"")</f>
        <v/>
      </c>
    </row>
    <row r="577">
      <c r="B577" s="14"/>
      <c r="C577" s="14"/>
      <c r="D577" s="14"/>
      <c r="E577" s="14"/>
      <c r="F577" s="14"/>
      <c r="G577" s="13" t="str">
        <f t="array" ref="G577">iferror(XLOOKUP(A577,'Download of SFDC Activation Rep'!B:B,'Download of SFDC Activation Rep'!H:H),"")</f>
        <v/>
      </c>
      <c r="H577" s="13" t="str">
        <f t="array" ref="H577">iferror(xlookup(A577,'Download of SFDC Activation Rep'!B:B,'Download of SFDC Activation Rep'!L:L),"")</f>
        <v/>
      </c>
      <c r="I577" s="17" t="str">
        <f t="shared" si="2"/>
        <v>Not Active</v>
      </c>
      <c r="J577" s="17" t="str">
        <f t="array" ref="J577">XLOOKUP(A577,'Download of SFDC Activation Rep'!B:B,'Download of SFDC Activation Rep'!T:T)</f>
        <v>#N/A</v>
      </c>
      <c r="K577" s="17" t="str">
        <f t="array" ref="K577">iferror(XLOOKUP(A577,'Download of SFDC Activation Rep'!B:B,'Download of SFDC Activation Rep'!C:C),"")</f>
        <v/>
      </c>
    </row>
    <row r="578">
      <c r="B578" s="14"/>
      <c r="C578" s="14"/>
      <c r="D578" s="14"/>
      <c r="E578" s="14"/>
      <c r="F578" s="14"/>
      <c r="G578" s="13" t="str">
        <f t="array" ref="G578">iferror(XLOOKUP(A578,'Download of SFDC Activation Rep'!B:B,'Download of SFDC Activation Rep'!H:H),"")</f>
        <v/>
      </c>
      <c r="H578" s="13" t="str">
        <f t="array" ref="H578">iferror(xlookup(A578,'Download of SFDC Activation Rep'!B:B,'Download of SFDC Activation Rep'!L:L),"")</f>
        <v/>
      </c>
      <c r="I578" s="17" t="str">
        <f t="shared" si="2"/>
        <v>Not Active</v>
      </c>
      <c r="J578" s="17" t="str">
        <f t="array" ref="J578">XLOOKUP(A578,'Download of SFDC Activation Rep'!B:B,'Download of SFDC Activation Rep'!T:T)</f>
        <v>#N/A</v>
      </c>
      <c r="K578" s="17" t="str">
        <f t="array" ref="K578">iferror(XLOOKUP(A578,'Download of SFDC Activation Rep'!B:B,'Download of SFDC Activation Rep'!C:C),"")</f>
        <v/>
      </c>
    </row>
    <row r="579">
      <c r="B579" s="14"/>
      <c r="C579" s="14"/>
      <c r="D579" s="14"/>
      <c r="E579" s="14"/>
      <c r="F579" s="14"/>
      <c r="G579" s="13" t="str">
        <f t="array" ref="G579">iferror(XLOOKUP(A579,'Download of SFDC Activation Rep'!B:B,'Download of SFDC Activation Rep'!H:H),"")</f>
        <v/>
      </c>
      <c r="H579" s="13" t="str">
        <f t="array" ref="H579">iferror(xlookup(A579,'Download of SFDC Activation Rep'!B:B,'Download of SFDC Activation Rep'!L:L),"")</f>
        <v/>
      </c>
      <c r="I579" s="17" t="str">
        <f t="shared" si="2"/>
        <v>Not Active</v>
      </c>
      <c r="J579" s="17" t="str">
        <f t="array" ref="J579">XLOOKUP(A579,'Download of SFDC Activation Rep'!B:B,'Download of SFDC Activation Rep'!T:T)</f>
        <v>#N/A</v>
      </c>
      <c r="K579" s="17" t="str">
        <f t="array" ref="K579">iferror(XLOOKUP(A579,'Download of SFDC Activation Rep'!B:B,'Download of SFDC Activation Rep'!C:C),"")</f>
        <v/>
      </c>
    </row>
    <row r="580">
      <c r="B580" s="14"/>
      <c r="C580" s="14"/>
      <c r="D580" s="14"/>
      <c r="E580" s="14"/>
      <c r="F580" s="14"/>
      <c r="G580" s="13" t="str">
        <f t="array" ref="G580">iferror(XLOOKUP(A580,'Download of SFDC Activation Rep'!B:B,'Download of SFDC Activation Rep'!H:H),"")</f>
        <v/>
      </c>
      <c r="H580" s="13" t="str">
        <f t="array" ref="H580">iferror(xlookup(A580,'Download of SFDC Activation Rep'!B:B,'Download of SFDC Activation Rep'!L:L),"")</f>
        <v/>
      </c>
      <c r="I580" s="17" t="str">
        <f t="shared" si="2"/>
        <v>Not Active</v>
      </c>
      <c r="J580" s="17" t="str">
        <f t="array" ref="J580">XLOOKUP(A580,'Download of SFDC Activation Rep'!B:B,'Download of SFDC Activation Rep'!T:T)</f>
        <v>#N/A</v>
      </c>
      <c r="K580" s="17" t="str">
        <f t="array" ref="K580">iferror(XLOOKUP(A580,'Download of SFDC Activation Rep'!B:B,'Download of SFDC Activation Rep'!C:C),"")</f>
        <v/>
      </c>
    </row>
    <row r="581">
      <c r="B581" s="14"/>
      <c r="C581" s="14"/>
      <c r="D581" s="14"/>
      <c r="E581" s="14"/>
      <c r="F581" s="14"/>
      <c r="G581" s="13" t="str">
        <f t="array" ref="G581">iferror(XLOOKUP(A581,'Download of SFDC Activation Rep'!B:B,'Download of SFDC Activation Rep'!H:H),"")</f>
        <v/>
      </c>
      <c r="H581" s="13" t="str">
        <f t="array" ref="H581">iferror(xlookup(A581,'Download of SFDC Activation Rep'!B:B,'Download of SFDC Activation Rep'!L:L),"")</f>
        <v/>
      </c>
      <c r="I581" s="17" t="str">
        <f t="shared" si="2"/>
        <v>Not Active</v>
      </c>
      <c r="J581" s="17" t="str">
        <f t="array" ref="J581">XLOOKUP(A581,'Download of SFDC Activation Rep'!B:B,'Download of SFDC Activation Rep'!T:T)</f>
        <v>#N/A</v>
      </c>
      <c r="K581" s="17" t="str">
        <f t="array" ref="K581">iferror(XLOOKUP(A581,'Download of SFDC Activation Rep'!B:B,'Download of SFDC Activation Rep'!C:C),"")</f>
        <v/>
      </c>
    </row>
    <row r="582">
      <c r="B582" s="14"/>
      <c r="C582" s="14"/>
      <c r="D582" s="14"/>
      <c r="E582" s="14"/>
      <c r="F582" s="14"/>
      <c r="G582" s="13" t="str">
        <f t="array" ref="G582">iferror(XLOOKUP(A582,'Download of SFDC Activation Rep'!B:B,'Download of SFDC Activation Rep'!H:H),"")</f>
        <v/>
      </c>
      <c r="H582" s="13" t="str">
        <f t="array" ref="H582">iferror(xlookup(A582,'Download of SFDC Activation Rep'!B:B,'Download of SFDC Activation Rep'!L:L),"")</f>
        <v/>
      </c>
      <c r="I582" s="17" t="str">
        <f t="shared" si="2"/>
        <v>Not Active</v>
      </c>
      <c r="J582" s="17" t="str">
        <f t="array" ref="J582">XLOOKUP(A582,'Download of SFDC Activation Rep'!B:B,'Download of SFDC Activation Rep'!T:T)</f>
        <v>#N/A</v>
      </c>
      <c r="K582" s="17" t="str">
        <f t="array" ref="K582">iferror(XLOOKUP(A582,'Download of SFDC Activation Rep'!B:B,'Download of SFDC Activation Rep'!C:C),"")</f>
        <v/>
      </c>
    </row>
    <row r="583">
      <c r="B583" s="14"/>
      <c r="C583" s="14"/>
      <c r="D583" s="14"/>
      <c r="E583" s="14"/>
      <c r="F583" s="14"/>
      <c r="G583" s="13" t="str">
        <f t="array" ref="G583">iferror(XLOOKUP(A583,'Download of SFDC Activation Rep'!B:B,'Download of SFDC Activation Rep'!H:H),"")</f>
        <v/>
      </c>
      <c r="H583" s="13" t="str">
        <f t="array" ref="H583">iferror(xlookup(A583,'Download of SFDC Activation Rep'!B:B,'Download of SFDC Activation Rep'!L:L),"")</f>
        <v/>
      </c>
      <c r="I583" s="17" t="str">
        <f t="shared" si="2"/>
        <v>Not Active</v>
      </c>
      <c r="J583" s="17" t="str">
        <f t="array" ref="J583">XLOOKUP(A583,'Download of SFDC Activation Rep'!B:B,'Download of SFDC Activation Rep'!T:T)</f>
        <v>#N/A</v>
      </c>
      <c r="K583" s="17" t="str">
        <f t="array" ref="K583">iferror(XLOOKUP(A583,'Download of SFDC Activation Rep'!B:B,'Download of SFDC Activation Rep'!C:C),"")</f>
        <v/>
      </c>
    </row>
    <row r="584">
      <c r="B584" s="14"/>
      <c r="C584" s="14"/>
      <c r="D584" s="14"/>
      <c r="E584" s="14"/>
      <c r="F584" s="14"/>
      <c r="G584" s="13" t="str">
        <f t="array" ref="G584">iferror(XLOOKUP(A584,'Download of SFDC Activation Rep'!B:B,'Download of SFDC Activation Rep'!H:H),"")</f>
        <v/>
      </c>
      <c r="H584" s="13" t="str">
        <f t="array" ref="H584">iferror(xlookup(A584,'Download of SFDC Activation Rep'!B:B,'Download of SFDC Activation Rep'!L:L),"")</f>
        <v/>
      </c>
      <c r="I584" s="17" t="str">
        <f t="shared" si="2"/>
        <v>Not Active</v>
      </c>
      <c r="J584" s="17" t="str">
        <f t="array" ref="J584">XLOOKUP(A584,'Download of SFDC Activation Rep'!B:B,'Download of SFDC Activation Rep'!T:T)</f>
        <v>#N/A</v>
      </c>
      <c r="K584" s="17" t="str">
        <f t="array" ref="K584">iferror(XLOOKUP(A584,'Download of SFDC Activation Rep'!B:B,'Download of SFDC Activation Rep'!C:C),"")</f>
        <v/>
      </c>
    </row>
    <row r="585">
      <c r="B585" s="14"/>
      <c r="C585" s="14"/>
      <c r="D585" s="14"/>
      <c r="E585" s="14"/>
      <c r="F585" s="14"/>
      <c r="G585" s="13" t="str">
        <f t="array" ref="G585">iferror(XLOOKUP(A585,'Download of SFDC Activation Rep'!B:B,'Download of SFDC Activation Rep'!H:H),"")</f>
        <v/>
      </c>
      <c r="H585" s="13" t="str">
        <f t="array" ref="H585">iferror(xlookup(A585,'Download of SFDC Activation Rep'!B:B,'Download of SFDC Activation Rep'!L:L),"")</f>
        <v/>
      </c>
      <c r="I585" s="17" t="str">
        <f t="shared" si="2"/>
        <v>Not Active</v>
      </c>
      <c r="J585" s="17" t="str">
        <f t="array" ref="J585">XLOOKUP(A585,'Download of SFDC Activation Rep'!B:B,'Download of SFDC Activation Rep'!T:T)</f>
        <v>#N/A</v>
      </c>
      <c r="K585" s="17" t="str">
        <f t="array" ref="K585">iferror(XLOOKUP(A585,'Download of SFDC Activation Rep'!B:B,'Download of SFDC Activation Rep'!C:C),"")</f>
        <v/>
      </c>
    </row>
    <row r="586">
      <c r="B586" s="14"/>
      <c r="C586" s="14"/>
      <c r="D586" s="14"/>
      <c r="E586" s="14"/>
      <c r="F586" s="14"/>
      <c r="G586" s="13" t="str">
        <f t="array" ref="G586">iferror(XLOOKUP(A586,'Download of SFDC Activation Rep'!B:B,'Download of SFDC Activation Rep'!H:H),"")</f>
        <v/>
      </c>
      <c r="H586" s="13" t="str">
        <f t="array" ref="H586">iferror(xlookup(A586,'Download of SFDC Activation Rep'!B:B,'Download of SFDC Activation Rep'!L:L),"")</f>
        <v/>
      </c>
      <c r="I586" s="17" t="str">
        <f t="shared" si="2"/>
        <v>Not Active</v>
      </c>
      <c r="J586" s="17" t="str">
        <f t="array" ref="J586">XLOOKUP(A586,'Download of SFDC Activation Rep'!B:B,'Download of SFDC Activation Rep'!T:T)</f>
        <v>#N/A</v>
      </c>
      <c r="K586" s="17" t="str">
        <f t="array" ref="K586">iferror(XLOOKUP(A586,'Download of SFDC Activation Rep'!B:B,'Download of SFDC Activation Rep'!C:C),"")</f>
        <v/>
      </c>
    </row>
    <row r="587">
      <c r="B587" s="14"/>
      <c r="C587" s="14"/>
      <c r="D587" s="14"/>
      <c r="E587" s="14"/>
      <c r="F587" s="14"/>
      <c r="G587" s="13" t="str">
        <f t="array" ref="G587">iferror(XLOOKUP(A587,'Download of SFDC Activation Rep'!B:B,'Download of SFDC Activation Rep'!H:H),"")</f>
        <v/>
      </c>
      <c r="H587" s="13" t="str">
        <f t="array" ref="H587">iferror(xlookup(A587,'Download of SFDC Activation Rep'!B:B,'Download of SFDC Activation Rep'!L:L),"")</f>
        <v/>
      </c>
      <c r="I587" s="17" t="str">
        <f t="shared" si="2"/>
        <v>Not Active</v>
      </c>
      <c r="J587" s="17" t="str">
        <f t="array" ref="J587">XLOOKUP(A587,'Download of SFDC Activation Rep'!B:B,'Download of SFDC Activation Rep'!T:T)</f>
        <v>#N/A</v>
      </c>
      <c r="K587" s="17" t="str">
        <f t="array" ref="K587">iferror(XLOOKUP(A587,'Download of SFDC Activation Rep'!B:B,'Download of SFDC Activation Rep'!C:C),"")</f>
        <v/>
      </c>
    </row>
    <row r="588">
      <c r="B588" s="14"/>
      <c r="C588" s="14"/>
      <c r="D588" s="14"/>
      <c r="E588" s="14"/>
      <c r="F588" s="14"/>
      <c r="G588" s="13" t="str">
        <f t="array" ref="G588">iferror(XLOOKUP(A588,'Download of SFDC Activation Rep'!B:B,'Download of SFDC Activation Rep'!H:H),"")</f>
        <v/>
      </c>
      <c r="H588" s="13" t="str">
        <f t="array" ref="H588">iferror(xlookup(A588,'Download of SFDC Activation Rep'!B:B,'Download of SFDC Activation Rep'!L:L),"")</f>
        <v/>
      </c>
      <c r="I588" s="17" t="str">
        <f t="shared" si="2"/>
        <v>Not Active</v>
      </c>
      <c r="J588" s="17" t="str">
        <f t="array" ref="J588">XLOOKUP(A588,'Download of SFDC Activation Rep'!B:B,'Download of SFDC Activation Rep'!T:T)</f>
        <v>#N/A</v>
      </c>
      <c r="K588" s="17" t="str">
        <f t="array" ref="K588">iferror(XLOOKUP(A588,'Download of SFDC Activation Rep'!B:B,'Download of SFDC Activation Rep'!C:C),"")</f>
        <v/>
      </c>
    </row>
    <row r="589">
      <c r="B589" s="14"/>
      <c r="C589" s="14"/>
      <c r="D589" s="14"/>
      <c r="E589" s="14"/>
      <c r="F589" s="14"/>
      <c r="G589" s="13" t="str">
        <f t="array" ref="G589">iferror(XLOOKUP(A589,'Download of SFDC Activation Rep'!B:B,'Download of SFDC Activation Rep'!H:H),"")</f>
        <v/>
      </c>
      <c r="H589" s="13" t="str">
        <f t="array" ref="H589">iferror(xlookup(A589,'Download of SFDC Activation Rep'!B:B,'Download of SFDC Activation Rep'!L:L),"")</f>
        <v/>
      </c>
      <c r="I589" s="17" t="str">
        <f t="shared" si="2"/>
        <v>Not Active</v>
      </c>
      <c r="J589" s="17" t="str">
        <f t="array" ref="J589">XLOOKUP(A589,'Download of SFDC Activation Rep'!B:B,'Download of SFDC Activation Rep'!T:T)</f>
        <v>#N/A</v>
      </c>
      <c r="K589" s="17" t="str">
        <f t="array" ref="K589">iferror(XLOOKUP(A589,'Download of SFDC Activation Rep'!B:B,'Download of SFDC Activation Rep'!C:C),"")</f>
        <v/>
      </c>
    </row>
    <row r="590">
      <c r="B590" s="14"/>
      <c r="C590" s="14"/>
      <c r="D590" s="14"/>
      <c r="E590" s="14"/>
      <c r="F590" s="14"/>
      <c r="G590" s="13" t="str">
        <f t="array" ref="G590">iferror(XLOOKUP(A590,'Download of SFDC Activation Rep'!B:B,'Download of SFDC Activation Rep'!H:H),"")</f>
        <v/>
      </c>
      <c r="H590" s="13" t="str">
        <f t="array" ref="H590">iferror(xlookup(A590,'Download of SFDC Activation Rep'!B:B,'Download of SFDC Activation Rep'!L:L),"")</f>
        <v/>
      </c>
      <c r="I590" s="17" t="str">
        <f t="shared" si="2"/>
        <v>Not Active</v>
      </c>
      <c r="J590" s="17" t="str">
        <f t="array" ref="J590">XLOOKUP(A590,'Download of SFDC Activation Rep'!B:B,'Download of SFDC Activation Rep'!T:T)</f>
        <v>#N/A</v>
      </c>
      <c r="K590" s="17" t="str">
        <f t="array" ref="K590">iferror(XLOOKUP(A590,'Download of SFDC Activation Rep'!B:B,'Download of SFDC Activation Rep'!C:C),"")</f>
        <v/>
      </c>
    </row>
    <row r="591">
      <c r="B591" s="14"/>
      <c r="C591" s="14"/>
      <c r="D591" s="14"/>
      <c r="E591" s="14"/>
      <c r="F591" s="14"/>
      <c r="G591" s="13" t="str">
        <f t="array" ref="G591">iferror(XLOOKUP(A591,'Download of SFDC Activation Rep'!B:B,'Download of SFDC Activation Rep'!H:H),"")</f>
        <v/>
      </c>
      <c r="H591" s="13" t="str">
        <f t="array" ref="H591">iferror(xlookup(A591,'Download of SFDC Activation Rep'!B:B,'Download of SFDC Activation Rep'!L:L),"")</f>
        <v/>
      </c>
      <c r="I591" s="17" t="str">
        <f t="shared" si="2"/>
        <v>Not Active</v>
      </c>
      <c r="J591" s="17" t="str">
        <f t="array" ref="J591">XLOOKUP(A591,'Download of SFDC Activation Rep'!B:B,'Download of SFDC Activation Rep'!T:T)</f>
        <v>#N/A</v>
      </c>
      <c r="K591" s="17" t="str">
        <f t="array" ref="K591">iferror(XLOOKUP(A591,'Download of SFDC Activation Rep'!B:B,'Download of SFDC Activation Rep'!C:C),"")</f>
        <v/>
      </c>
    </row>
    <row r="592">
      <c r="B592" s="14"/>
      <c r="C592" s="14"/>
      <c r="D592" s="14"/>
      <c r="E592" s="14"/>
      <c r="F592" s="14"/>
      <c r="G592" s="13" t="str">
        <f t="array" ref="G592">iferror(XLOOKUP(A592,'Download of SFDC Activation Rep'!B:B,'Download of SFDC Activation Rep'!H:H),"")</f>
        <v/>
      </c>
      <c r="H592" s="13" t="str">
        <f t="array" ref="H592">iferror(xlookup(A592,'Download of SFDC Activation Rep'!B:B,'Download of SFDC Activation Rep'!L:L),"")</f>
        <v/>
      </c>
      <c r="I592" s="17" t="str">
        <f t="shared" si="2"/>
        <v>Not Active</v>
      </c>
      <c r="J592" s="17" t="str">
        <f t="array" ref="J592">XLOOKUP(A592,'Download of SFDC Activation Rep'!B:B,'Download of SFDC Activation Rep'!T:T)</f>
        <v>#N/A</v>
      </c>
      <c r="K592" s="17" t="str">
        <f t="array" ref="K592">iferror(XLOOKUP(A592,'Download of SFDC Activation Rep'!B:B,'Download of SFDC Activation Rep'!C:C),"")</f>
        <v/>
      </c>
    </row>
    <row r="593">
      <c r="B593" s="14"/>
      <c r="C593" s="14"/>
      <c r="D593" s="14"/>
      <c r="E593" s="14"/>
      <c r="F593" s="14"/>
      <c r="G593" s="13" t="str">
        <f t="array" ref="G593">iferror(XLOOKUP(A593,'Download of SFDC Activation Rep'!B:B,'Download of SFDC Activation Rep'!H:H),"")</f>
        <v/>
      </c>
      <c r="H593" s="13" t="str">
        <f t="array" ref="H593">iferror(xlookup(A593,'Download of SFDC Activation Rep'!B:B,'Download of SFDC Activation Rep'!L:L),"")</f>
        <v/>
      </c>
      <c r="I593" s="17" t="str">
        <f t="shared" si="2"/>
        <v>Not Active</v>
      </c>
      <c r="J593" s="17" t="str">
        <f t="array" ref="J593">XLOOKUP(A593,'Download of SFDC Activation Rep'!B:B,'Download of SFDC Activation Rep'!T:T)</f>
        <v>#N/A</v>
      </c>
      <c r="K593" s="17" t="str">
        <f t="array" ref="K593">iferror(XLOOKUP(A593,'Download of SFDC Activation Rep'!B:B,'Download of SFDC Activation Rep'!C:C),"")</f>
        <v/>
      </c>
    </row>
    <row r="594">
      <c r="B594" s="14"/>
      <c r="C594" s="14"/>
      <c r="D594" s="14"/>
      <c r="E594" s="14"/>
      <c r="F594" s="14"/>
      <c r="G594" s="13" t="str">
        <f t="array" ref="G594">iferror(XLOOKUP(A594,'Download of SFDC Activation Rep'!B:B,'Download of SFDC Activation Rep'!H:H),"")</f>
        <v/>
      </c>
      <c r="H594" s="13" t="str">
        <f t="array" ref="H594">iferror(xlookup(A594,'Download of SFDC Activation Rep'!B:B,'Download of SFDC Activation Rep'!L:L),"")</f>
        <v/>
      </c>
      <c r="I594" s="17" t="str">
        <f t="shared" si="2"/>
        <v>Not Active</v>
      </c>
      <c r="J594" s="17" t="str">
        <f t="array" ref="J594">XLOOKUP(A594,'Download of SFDC Activation Rep'!B:B,'Download of SFDC Activation Rep'!T:T)</f>
        <v>#N/A</v>
      </c>
      <c r="K594" s="17" t="str">
        <f t="array" ref="K594">iferror(XLOOKUP(A594,'Download of SFDC Activation Rep'!B:B,'Download of SFDC Activation Rep'!C:C),"")</f>
        <v/>
      </c>
    </row>
    <row r="595">
      <c r="B595" s="14"/>
      <c r="C595" s="14"/>
      <c r="D595" s="14"/>
      <c r="E595" s="14"/>
      <c r="F595" s="14"/>
      <c r="G595" s="13" t="str">
        <f t="array" ref="G595">iferror(XLOOKUP(A595,'Download of SFDC Activation Rep'!B:B,'Download of SFDC Activation Rep'!H:H),"")</f>
        <v/>
      </c>
      <c r="H595" s="13" t="str">
        <f t="array" ref="H595">iferror(xlookup(A595,'Download of SFDC Activation Rep'!B:B,'Download of SFDC Activation Rep'!L:L),"")</f>
        <v/>
      </c>
      <c r="I595" s="17" t="str">
        <f t="shared" si="2"/>
        <v>Not Active</v>
      </c>
      <c r="J595" s="17" t="str">
        <f t="array" ref="J595">XLOOKUP(A595,'Download of SFDC Activation Rep'!B:B,'Download of SFDC Activation Rep'!T:T)</f>
        <v>#N/A</v>
      </c>
      <c r="K595" s="17" t="str">
        <f t="array" ref="K595">iferror(XLOOKUP(A595,'Download of SFDC Activation Rep'!B:B,'Download of SFDC Activation Rep'!C:C),"")</f>
        <v/>
      </c>
    </row>
    <row r="596">
      <c r="B596" s="14"/>
      <c r="C596" s="14"/>
      <c r="D596" s="14"/>
      <c r="E596" s="14"/>
      <c r="F596" s="14"/>
      <c r="G596" s="13" t="str">
        <f t="array" ref="G596">iferror(XLOOKUP(A596,'Download of SFDC Activation Rep'!B:B,'Download of SFDC Activation Rep'!H:H),"")</f>
        <v/>
      </c>
      <c r="H596" s="13" t="str">
        <f t="array" ref="H596">iferror(xlookup(A596,'Download of SFDC Activation Rep'!B:B,'Download of SFDC Activation Rep'!L:L),"")</f>
        <v/>
      </c>
      <c r="I596" s="17" t="str">
        <f t="shared" si="2"/>
        <v>Not Active</v>
      </c>
      <c r="J596" s="17" t="str">
        <f t="array" ref="J596">XLOOKUP(A596,'Download of SFDC Activation Rep'!B:B,'Download of SFDC Activation Rep'!T:T)</f>
        <v>#N/A</v>
      </c>
      <c r="K596" s="17" t="str">
        <f t="array" ref="K596">iferror(XLOOKUP(A596,'Download of SFDC Activation Rep'!B:B,'Download of SFDC Activation Rep'!C:C),"")</f>
        <v/>
      </c>
    </row>
    <row r="597">
      <c r="B597" s="14"/>
      <c r="C597" s="14"/>
      <c r="D597" s="14"/>
      <c r="E597" s="14"/>
      <c r="F597" s="14"/>
      <c r="G597" s="13" t="str">
        <f t="array" ref="G597">iferror(XLOOKUP(A597,'Download of SFDC Activation Rep'!B:B,'Download of SFDC Activation Rep'!H:H),"")</f>
        <v/>
      </c>
      <c r="H597" s="13" t="str">
        <f t="array" ref="H597">iferror(xlookup(A597,'Download of SFDC Activation Rep'!B:B,'Download of SFDC Activation Rep'!L:L),"")</f>
        <v/>
      </c>
      <c r="I597" s="17" t="str">
        <f t="shared" si="2"/>
        <v>Not Active</v>
      </c>
      <c r="J597" s="17" t="str">
        <f t="array" ref="J597">XLOOKUP(A597,'Download of SFDC Activation Rep'!B:B,'Download of SFDC Activation Rep'!T:T)</f>
        <v>#N/A</v>
      </c>
      <c r="K597" s="17" t="str">
        <f t="array" ref="K597">iferror(XLOOKUP(A597,'Download of SFDC Activation Rep'!B:B,'Download of SFDC Activation Rep'!C:C),"")</f>
        <v/>
      </c>
    </row>
    <row r="598">
      <c r="B598" s="14"/>
      <c r="C598" s="14"/>
      <c r="D598" s="14"/>
      <c r="E598" s="14"/>
      <c r="F598" s="14"/>
      <c r="G598" s="13" t="str">
        <f t="array" ref="G598">iferror(XLOOKUP(A598,'Download of SFDC Activation Rep'!B:B,'Download of SFDC Activation Rep'!H:H),"")</f>
        <v/>
      </c>
      <c r="H598" s="13" t="str">
        <f t="array" ref="H598">iferror(xlookup(A598,'Download of SFDC Activation Rep'!B:B,'Download of SFDC Activation Rep'!L:L),"")</f>
        <v/>
      </c>
      <c r="I598" s="17" t="str">
        <f t="shared" si="2"/>
        <v>Not Active</v>
      </c>
      <c r="J598" s="17" t="str">
        <f t="array" ref="J598">XLOOKUP(A598,'Download of SFDC Activation Rep'!B:B,'Download of SFDC Activation Rep'!T:T)</f>
        <v>#N/A</v>
      </c>
      <c r="K598" s="17" t="str">
        <f t="array" ref="K598">iferror(XLOOKUP(A598,'Download of SFDC Activation Rep'!B:B,'Download of SFDC Activation Rep'!C:C),"")</f>
        <v/>
      </c>
    </row>
    <row r="599">
      <c r="B599" s="14"/>
      <c r="C599" s="14"/>
      <c r="D599" s="14"/>
      <c r="E599" s="14"/>
      <c r="F599" s="14"/>
      <c r="G599" s="13" t="str">
        <f t="array" ref="G599">iferror(XLOOKUP(A599,'Download of SFDC Activation Rep'!B:B,'Download of SFDC Activation Rep'!H:H),"")</f>
        <v/>
      </c>
      <c r="H599" s="13" t="str">
        <f t="array" ref="H599">iferror(xlookup(A599,'Download of SFDC Activation Rep'!B:B,'Download of SFDC Activation Rep'!L:L),"")</f>
        <v/>
      </c>
      <c r="I599" s="17" t="str">
        <f t="shared" si="2"/>
        <v>Not Active</v>
      </c>
      <c r="J599" s="17" t="str">
        <f t="array" ref="J599">XLOOKUP(A599,'Download of SFDC Activation Rep'!B:B,'Download of SFDC Activation Rep'!T:T)</f>
        <v>#N/A</v>
      </c>
      <c r="K599" s="17" t="str">
        <f t="array" ref="K599">iferror(XLOOKUP(A599,'Download of SFDC Activation Rep'!B:B,'Download of SFDC Activation Rep'!C:C),"")</f>
        <v/>
      </c>
    </row>
    <row r="600">
      <c r="B600" s="14"/>
      <c r="C600" s="14"/>
      <c r="D600" s="14"/>
      <c r="E600" s="14"/>
      <c r="F600" s="14"/>
      <c r="G600" s="13" t="str">
        <f t="array" ref="G600">iferror(XLOOKUP(A600,'Download of SFDC Activation Rep'!B:B,'Download of SFDC Activation Rep'!H:H),"")</f>
        <v/>
      </c>
      <c r="H600" s="13" t="str">
        <f t="array" ref="H600">iferror(xlookup(A600,'Download of SFDC Activation Rep'!B:B,'Download of SFDC Activation Rep'!L:L),"")</f>
        <v/>
      </c>
      <c r="I600" s="17" t="str">
        <f t="shared" si="2"/>
        <v>Not Active</v>
      </c>
      <c r="J600" s="17" t="str">
        <f t="array" ref="J600">XLOOKUP(A600,'Download of SFDC Activation Rep'!B:B,'Download of SFDC Activation Rep'!T:T)</f>
        <v>#N/A</v>
      </c>
      <c r="K600" s="17" t="str">
        <f t="array" ref="K600">iferror(XLOOKUP(A600,'Download of SFDC Activation Rep'!B:B,'Download of SFDC Activation Rep'!C:C),"")</f>
        <v/>
      </c>
    </row>
    <row r="601">
      <c r="B601" s="14"/>
      <c r="C601" s="14"/>
      <c r="D601" s="14"/>
      <c r="E601" s="14"/>
      <c r="F601" s="14"/>
      <c r="G601" s="13" t="str">
        <f t="array" ref="G601">iferror(XLOOKUP(A601,'Download of SFDC Activation Rep'!B:B,'Download of SFDC Activation Rep'!H:H),"")</f>
        <v/>
      </c>
      <c r="H601" s="13" t="str">
        <f t="array" ref="H601">iferror(xlookup(A601,'Download of SFDC Activation Rep'!B:B,'Download of SFDC Activation Rep'!L:L),"")</f>
        <v/>
      </c>
      <c r="I601" s="17" t="str">
        <f t="shared" si="2"/>
        <v>Not Active</v>
      </c>
      <c r="J601" s="17" t="str">
        <f t="array" ref="J601">XLOOKUP(A601,'Download of SFDC Activation Rep'!B:B,'Download of SFDC Activation Rep'!T:T)</f>
        <v>#N/A</v>
      </c>
      <c r="K601" s="17" t="str">
        <f t="array" ref="K601">iferror(XLOOKUP(A601,'Download of SFDC Activation Rep'!B:B,'Download of SFDC Activation Rep'!C:C),"")</f>
        <v/>
      </c>
    </row>
    <row r="602">
      <c r="B602" s="14"/>
      <c r="C602" s="14"/>
      <c r="D602" s="14"/>
      <c r="E602" s="14"/>
      <c r="F602" s="14"/>
      <c r="G602" s="13" t="str">
        <f t="array" ref="G602">iferror(XLOOKUP(A602,'Download of SFDC Activation Rep'!B:B,'Download of SFDC Activation Rep'!H:H),"")</f>
        <v/>
      </c>
      <c r="H602" s="13" t="str">
        <f t="array" ref="H602">iferror(xlookup(A602,'Download of SFDC Activation Rep'!B:B,'Download of SFDC Activation Rep'!L:L),"")</f>
        <v/>
      </c>
      <c r="I602" s="17" t="str">
        <f t="shared" si="2"/>
        <v>Not Active</v>
      </c>
      <c r="J602" s="17" t="str">
        <f t="array" ref="J602">XLOOKUP(A602,'Download of SFDC Activation Rep'!B:B,'Download of SFDC Activation Rep'!T:T)</f>
        <v>#N/A</v>
      </c>
      <c r="K602" s="17" t="str">
        <f t="array" ref="K602">iferror(XLOOKUP(A602,'Download of SFDC Activation Rep'!B:B,'Download of SFDC Activation Rep'!C:C),"")</f>
        <v/>
      </c>
    </row>
    <row r="603">
      <c r="B603" s="14"/>
      <c r="C603" s="14"/>
      <c r="D603" s="14"/>
      <c r="E603" s="14"/>
      <c r="F603" s="14"/>
      <c r="G603" s="13" t="str">
        <f t="array" ref="G603">iferror(XLOOKUP(A603,'Download of SFDC Activation Rep'!B:B,'Download of SFDC Activation Rep'!H:H),"")</f>
        <v/>
      </c>
      <c r="H603" s="13" t="str">
        <f t="array" ref="H603">iferror(xlookup(A603,'Download of SFDC Activation Rep'!B:B,'Download of SFDC Activation Rep'!L:L),"")</f>
        <v/>
      </c>
      <c r="I603" s="17" t="str">
        <f t="shared" si="2"/>
        <v>Not Active</v>
      </c>
      <c r="J603" s="17" t="str">
        <f t="array" ref="J603">XLOOKUP(A603,'Download of SFDC Activation Rep'!B:B,'Download of SFDC Activation Rep'!T:T)</f>
        <v>#N/A</v>
      </c>
      <c r="K603" s="17" t="str">
        <f t="array" ref="K603">iferror(XLOOKUP(A603,'Download of SFDC Activation Rep'!B:B,'Download of SFDC Activation Rep'!C:C),"")</f>
        <v/>
      </c>
    </row>
    <row r="604">
      <c r="B604" s="14"/>
      <c r="C604" s="14"/>
      <c r="D604" s="14"/>
      <c r="E604" s="14"/>
      <c r="F604" s="14"/>
      <c r="G604" s="13" t="str">
        <f t="array" ref="G604">iferror(XLOOKUP(A604,'Download of SFDC Activation Rep'!B:B,'Download of SFDC Activation Rep'!H:H),"")</f>
        <v/>
      </c>
      <c r="H604" s="13" t="str">
        <f t="array" ref="H604">iferror(xlookup(A604,'Download of SFDC Activation Rep'!B:B,'Download of SFDC Activation Rep'!L:L),"")</f>
        <v/>
      </c>
      <c r="I604" s="17" t="str">
        <f t="shared" si="2"/>
        <v>Not Active</v>
      </c>
      <c r="J604" s="17" t="str">
        <f t="array" ref="J604">XLOOKUP(A604,'Download of SFDC Activation Rep'!B:B,'Download of SFDC Activation Rep'!T:T)</f>
        <v>#N/A</v>
      </c>
      <c r="K604" s="17" t="str">
        <f t="array" ref="K604">iferror(XLOOKUP(A604,'Download of SFDC Activation Rep'!B:B,'Download of SFDC Activation Rep'!C:C),"")</f>
        <v/>
      </c>
    </row>
    <row r="605">
      <c r="B605" s="14"/>
      <c r="C605" s="14"/>
      <c r="D605" s="14"/>
      <c r="E605" s="14"/>
      <c r="F605" s="14"/>
      <c r="G605" s="13" t="str">
        <f t="array" ref="G605">iferror(XLOOKUP(A605,'Download of SFDC Activation Rep'!B:B,'Download of SFDC Activation Rep'!H:H),"")</f>
        <v/>
      </c>
      <c r="H605" s="13" t="str">
        <f t="array" ref="H605">iferror(xlookup(A605,'Download of SFDC Activation Rep'!B:B,'Download of SFDC Activation Rep'!L:L),"")</f>
        <v/>
      </c>
      <c r="I605" s="17" t="str">
        <f t="shared" si="2"/>
        <v>Not Active</v>
      </c>
      <c r="J605" s="17" t="str">
        <f t="array" ref="J605">XLOOKUP(A605,'Download of SFDC Activation Rep'!B:B,'Download of SFDC Activation Rep'!T:T)</f>
        <v>#N/A</v>
      </c>
      <c r="K605" s="17" t="str">
        <f t="array" ref="K605">iferror(XLOOKUP(A605,'Download of SFDC Activation Rep'!B:B,'Download of SFDC Activation Rep'!C:C),"")</f>
        <v/>
      </c>
    </row>
    <row r="606">
      <c r="B606" s="14"/>
      <c r="C606" s="14"/>
      <c r="D606" s="14"/>
      <c r="E606" s="14"/>
      <c r="F606" s="14"/>
      <c r="G606" s="13" t="str">
        <f t="array" ref="G606">iferror(XLOOKUP(A606,'Download of SFDC Activation Rep'!B:B,'Download of SFDC Activation Rep'!H:H),"")</f>
        <v/>
      </c>
      <c r="H606" s="13" t="str">
        <f t="array" ref="H606">iferror(xlookup(A606,'Download of SFDC Activation Rep'!B:B,'Download of SFDC Activation Rep'!L:L),"")</f>
        <v/>
      </c>
      <c r="I606" s="17" t="str">
        <f t="shared" si="2"/>
        <v>Not Active</v>
      </c>
      <c r="J606" s="17" t="str">
        <f t="array" ref="J606">XLOOKUP(A606,'Download of SFDC Activation Rep'!B:B,'Download of SFDC Activation Rep'!T:T)</f>
        <v>#N/A</v>
      </c>
      <c r="K606" s="17" t="str">
        <f t="array" ref="K606">iferror(XLOOKUP(A606,'Download of SFDC Activation Rep'!B:B,'Download of SFDC Activation Rep'!C:C),"")</f>
        <v/>
      </c>
    </row>
    <row r="607">
      <c r="B607" s="14"/>
      <c r="C607" s="14"/>
      <c r="D607" s="14"/>
      <c r="E607" s="14"/>
      <c r="F607" s="14"/>
      <c r="G607" s="13" t="str">
        <f t="array" ref="G607">iferror(XLOOKUP(A607,'Download of SFDC Activation Rep'!B:B,'Download of SFDC Activation Rep'!H:H),"")</f>
        <v/>
      </c>
      <c r="H607" s="13" t="str">
        <f t="array" ref="H607">iferror(xlookup(A607,'Download of SFDC Activation Rep'!B:B,'Download of SFDC Activation Rep'!L:L),"")</f>
        <v/>
      </c>
      <c r="I607" s="17" t="str">
        <f t="shared" si="2"/>
        <v>Not Active</v>
      </c>
      <c r="J607" s="17" t="str">
        <f t="array" ref="J607">XLOOKUP(A607,'Download of SFDC Activation Rep'!B:B,'Download of SFDC Activation Rep'!T:T)</f>
        <v>#N/A</v>
      </c>
      <c r="K607" s="17" t="str">
        <f t="array" ref="K607">iferror(XLOOKUP(A607,'Download of SFDC Activation Rep'!B:B,'Download of SFDC Activation Rep'!C:C),"")</f>
        <v/>
      </c>
    </row>
    <row r="608">
      <c r="B608" s="14"/>
      <c r="C608" s="14"/>
      <c r="D608" s="14"/>
      <c r="E608" s="14"/>
      <c r="F608" s="14"/>
      <c r="G608" s="13" t="str">
        <f t="array" ref="G608">iferror(XLOOKUP(A608,'Download of SFDC Activation Rep'!B:B,'Download of SFDC Activation Rep'!H:H),"")</f>
        <v/>
      </c>
      <c r="H608" s="13" t="str">
        <f t="array" ref="H608">iferror(xlookup(A608,'Download of SFDC Activation Rep'!B:B,'Download of SFDC Activation Rep'!L:L),"")</f>
        <v/>
      </c>
      <c r="I608" s="17" t="str">
        <f t="shared" si="2"/>
        <v>Not Active</v>
      </c>
      <c r="J608" s="17" t="str">
        <f t="array" ref="J608">XLOOKUP(A608,'Download of SFDC Activation Rep'!B:B,'Download of SFDC Activation Rep'!T:T)</f>
        <v>#N/A</v>
      </c>
      <c r="K608" s="17" t="str">
        <f t="array" ref="K608">iferror(XLOOKUP(A608,'Download of SFDC Activation Rep'!B:B,'Download of SFDC Activation Rep'!C:C),"")</f>
        <v/>
      </c>
    </row>
    <row r="609">
      <c r="B609" s="14"/>
      <c r="C609" s="14"/>
      <c r="D609" s="14"/>
      <c r="E609" s="14"/>
      <c r="F609" s="14"/>
      <c r="G609" s="13" t="str">
        <f t="array" ref="G609">iferror(XLOOKUP(A609,'Download of SFDC Activation Rep'!B:B,'Download of SFDC Activation Rep'!H:H),"")</f>
        <v/>
      </c>
      <c r="H609" s="13" t="str">
        <f t="array" ref="H609">iferror(xlookup(A609,'Download of SFDC Activation Rep'!B:B,'Download of SFDC Activation Rep'!L:L),"")</f>
        <v/>
      </c>
      <c r="I609" s="17" t="str">
        <f t="shared" si="2"/>
        <v>Not Active</v>
      </c>
      <c r="J609" s="17" t="str">
        <f t="array" ref="J609">XLOOKUP(A609,'Download of SFDC Activation Rep'!B:B,'Download of SFDC Activation Rep'!T:T)</f>
        <v>#N/A</v>
      </c>
      <c r="K609" s="17" t="str">
        <f t="array" ref="K609">iferror(XLOOKUP(A609,'Download of SFDC Activation Rep'!B:B,'Download of SFDC Activation Rep'!C:C),"")</f>
        <v/>
      </c>
    </row>
    <row r="610">
      <c r="B610" s="14"/>
      <c r="C610" s="14"/>
      <c r="D610" s="14"/>
      <c r="E610" s="14"/>
      <c r="F610" s="14"/>
      <c r="G610" s="13" t="str">
        <f t="array" ref="G610">iferror(XLOOKUP(A610,'Download of SFDC Activation Rep'!B:B,'Download of SFDC Activation Rep'!H:H),"")</f>
        <v/>
      </c>
      <c r="H610" s="13" t="str">
        <f t="array" ref="H610">iferror(xlookup(A610,'Download of SFDC Activation Rep'!B:B,'Download of SFDC Activation Rep'!L:L),"")</f>
        <v/>
      </c>
      <c r="I610" s="17" t="str">
        <f t="shared" si="2"/>
        <v>Not Active</v>
      </c>
      <c r="J610" s="17" t="str">
        <f t="array" ref="J610">XLOOKUP(A610,'Download of SFDC Activation Rep'!B:B,'Download of SFDC Activation Rep'!T:T)</f>
        <v>#N/A</v>
      </c>
      <c r="K610" s="17" t="str">
        <f t="array" ref="K610">iferror(XLOOKUP(A610,'Download of SFDC Activation Rep'!B:B,'Download of SFDC Activation Rep'!C:C),"")</f>
        <v/>
      </c>
    </row>
    <row r="611">
      <c r="B611" s="14"/>
      <c r="C611" s="14"/>
      <c r="D611" s="14"/>
      <c r="E611" s="14"/>
      <c r="F611" s="14"/>
      <c r="G611" s="13" t="str">
        <f t="array" ref="G611">iferror(XLOOKUP(A611,'Download of SFDC Activation Rep'!B:B,'Download of SFDC Activation Rep'!H:H),"")</f>
        <v/>
      </c>
      <c r="H611" s="13" t="str">
        <f t="array" ref="H611">iferror(xlookup(A611,'Download of SFDC Activation Rep'!B:B,'Download of SFDC Activation Rep'!L:L),"")</f>
        <v/>
      </c>
      <c r="I611" s="17" t="str">
        <f t="shared" si="2"/>
        <v>Not Active</v>
      </c>
      <c r="J611" s="17" t="str">
        <f t="array" ref="J611">XLOOKUP(A611,'Download of SFDC Activation Rep'!B:B,'Download of SFDC Activation Rep'!T:T)</f>
        <v>#N/A</v>
      </c>
      <c r="K611" s="17" t="str">
        <f t="array" ref="K611">iferror(XLOOKUP(A611,'Download of SFDC Activation Rep'!B:B,'Download of SFDC Activation Rep'!C:C),"")</f>
        <v/>
      </c>
    </row>
    <row r="612">
      <c r="B612" s="14"/>
      <c r="C612" s="14"/>
      <c r="D612" s="14"/>
      <c r="E612" s="14"/>
      <c r="F612" s="14"/>
      <c r="G612" s="13" t="str">
        <f t="array" ref="G612">iferror(XLOOKUP(A612,'Download of SFDC Activation Rep'!B:B,'Download of SFDC Activation Rep'!H:H),"")</f>
        <v/>
      </c>
      <c r="H612" s="13" t="str">
        <f t="array" ref="H612">iferror(xlookup(A612,'Download of SFDC Activation Rep'!B:B,'Download of SFDC Activation Rep'!L:L),"")</f>
        <v/>
      </c>
      <c r="I612" s="17" t="str">
        <f t="shared" si="2"/>
        <v>Not Active</v>
      </c>
      <c r="J612" s="17" t="str">
        <f t="array" ref="J612">XLOOKUP(A612,'Download of SFDC Activation Rep'!B:B,'Download of SFDC Activation Rep'!T:T)</f>
        <v>#N/A</v>
      </c>
      <c r="K612" s="17" t="str">
        <f t="array" ref="K612">iferror(XLOOKUP(A612,'Download of SFDC Activation Rep'!B:B,'Download of SFDC Activation Rep'!C:C),"")</f>
        <v/>
      </c>
    </row>
    <row r="613">
      <c r="B613" s="14"/>
      <c r="C613" s="14"/>
      <c r="D613" s="14"/>
      <c r="E613" s="14"/>
      <c r="F613" s="14"/>
      <c r="G613" s="13" t="str">
        <f t="array" ref="G613">iferror(XLOOKUP(A613,'Download of SFDC Activation Rep'!B:B,'Download of SFDC Activation Rep'!H:H),"")</f>
        <v/>
      </c>
      <c r="H613" s="13" t="str">
        <f t="array" ref="H613">iferror(xlookup(A613,'Download of SFDC Activation Rep'!B:B,'Download of SFDC Activation Rep'!L:L),"")</f>
        <v/>
      </c>
      <c r="I613" s="17" t="str">
        <f t="shared" si="2"/>
        <v>Not Active</v>
      </c>
      <c r="J613" s="17" t="str">
        <f t="array" ref="J613">XLOOKUP(A613,'Download of SFDC Activation Rep'!B:B,'Download of SFDC Activation Rep'!T:T)</f>
        <v>#N/A</v>
      </c>
      <c r="K613" s="17" t="str">
        <f t="array" ref="K613">iferror(XLOOKUP(A613,'Download of SFDC Activation Rep'!B:B,'Download of SFDC Activation Rep'!C:C),"")</f>
        <v/>
      </c>
    </row>
    <row r="614">
      <c r="B614" s="14"/>
      <c r="C614" s="14"/>
      <c r="D614" s="14"/>
      <c r="E614" s="14"/>
      <c r="F614" s="14"/>
      <c r="G614" s="13" t="str">
        <f t="array" ref="G614">iferror(XLOOKUP(A614,'Download of SFDC Activation Rep'!B:B,'Download of SFDC Activation Rep'!H:H),"")</f>
        <v/>
      </c>
      <c r="H614" s="13" t="str">
        <f t="array" ref="H614">iferror(xlookup(A614,'Download of SFDC Activation Rep'!B:B,'Download of SFDC Activation Rep'!L:L),"")</f>
        <v/>
      </c>
      <c r="I614" s="17" t="str">
        <f t="shared" si="2"/>
        <v>Not Active</v>
      </c>
      <c r="J614" s="17" t="str">
        <f t="array" ref="J614">XLOOKUP(A614,'Download of SFDC Activation Rep'!B:B,'Download of SFDC Activation Rep'!T:T)</f>
        <v>#N/A</v>
      </c>
      <c r="K614" s="17" t="str">
        <f t="array" ref="K614">iferror(XLOOKUP(A614,'Download of SFDC Activation Rep'!B:B,'Download of SFDC Activation Rep'!C:C),"")</f>
        <v/>
      </c>
    </row>
    <row r="615">
      <c r="B615" s="14"/>
      <c r="C615" s="14"/>
      <c r="D615" s="14"/>
      <c r="E615" s="14"/>
      <c r="F615" s="14"/>
      <c r="G615" s="13" t="str">
        <f t="array" ref="G615">iferror(XLOOKUP(A615,'Download of SFDC Activation Rep'!B:B,'Download of SFDC Activation Rep'!H:H),"")</f>
        <v/>
      </c>
      <c r="H615" s="13" t="str">
        <f t="array" ref="H615">iferror(xlookup(A615,'Download of SFDC Activation Rep'!B:B,'Download of SFDC Activation Rep'!L:L),"")</f>
        <v/>
      </c>
      <c r="I615" s="17" t="str">
        <f t="shared" si="2"/>
        <v>Not Active</v>
      </c>
      <c r="J615" s="17" t="str">
        <f t="array" ref="J615">XLOOKUP(A615,'Download of SFDC Activation Rep'!B:B,'Download of SFDC Activation Rep'!T:T)</f>
        <v>#N/A</v>
      </c>
      <c r="K615" s="17" t="str">
        <f t="array" ref="K615">iferror(XLOOKUP(A615,'Download of SFDC Activation Rep'!B:B,'Download of SFDC Activation Rep'!C:C),"")</f>
        <v/>
      </c>
    </row>
    <row r="616">
      <c r="B616" s="14"/>
      <c r="C616" s="14"/>
      <c r="D616" s="14"/>
      <c r="E616" s="14"/>
      <c r="F616" s="14"/>
      <c r="G616" s="13" t="str">
        <f t="array" ref="G616">iferror(XLOOKUP(A616,'Download of SFDC Activation Rep'!B:B,'Download of SFDC Activation Rep'!H:H),"")</f>
        <v/>
      </c>
      <c r="H616" s="13" t="str">
        <f t="array" ref="H616">iferror(xlookup(A616,'Download of SFDC Activation Rep'!B:B,'Download of SFDC Activation Rep'!L:L),"")</f>
        <v/>
      </c>
      <c r="I616" s="17" t="str">
        <f t="shared" si="2"/>
        <v>Not Active</v>
      </c>
      <c r="J616" s="17" t="str">
        <f t="array" ref="J616">XLOOKUP(A616,'Download of SFDC Activation Rep'!B:B,'Download of SFDC Activation Rep'!T:T)</f>
        <v>#N/A</v>
      </c>
      <c r="K616" s="17" t="str">
        <f t="array" ref="K616">iferror(XLOOKUP(A616,'Download of SFDC Activation Rep'!B:B,'Download of SFDC Activation Rep'!C:C),"")</f>
        <v/>
      </c>
    </row>
    <row r="617">
      <c r="B617" s="14"/>
      <c r="C617" s="14"/>
      <c r="D617" s="14"/>
      <c r="E617" s="14"/>
      <c r="F617" s="14"/>
      <c r="G617" s="13" t="str">
        <f t="array" ref="G617">iferror(XLOOKUP(A617,'Download of SFDC Activation Rep'!B:B,'Download of SFDC Activation Rep'!H:H),"")</f>
        <v/>
      </c>
      <c r="H617" s="13" t="str">
        <f t="array" ref="H617">iferror(xlookup(A617,'Download of SFDC Activation Rep'!B:B,'Download of SFDC Activation Rep'!L:L),"")</f>
        <v/>
      </c>
      <c r="I617" s="17" t="str">
        <f t="shared" si="2"/>
        <v>Not Active</v>
      </c>
      <c r="J617" s="17" t="str">
        <f t="array" ref="J617">XLOOKUP(A617,'Download of SFDC Activation Rep'!B:B,'Download of SFDC Activation Rep'!T:T)</f>
        <v>#N/A</v>
      </c>
      <c r="K617" s="17" t="str">
        <f t="array" ref="K617">iferror(XLOOKUP(A617,'Download of SFDC Activation Rep'!B:B,'Download of SFDC Activation Rep'!C:C),"")</f>
        <v/>
      </c>
    </row>
    <row r="618">
      <c r="B618" s="14"/>
      <c r="C618" s="14"/>
      <c r="D618" s="14"/>
      <c r="E618" s="14"/>
      <c r="F618" s="14"/>
      <c r="G618" s="13" t="str">
        <f t="array" ref="G618">iferror(XLOOKUP(A618,'Download of SFDC Activation Rep'!B:B,'Download of SFDC Activation Rep'!H:H),"")</f>
        <v/>
      </c>
      <c r="H618" s="13" t="str">
        <f t="array" ref="H618">iferror(xlookup(A618,'Download of SFDC Activation Rep'!B:B,'Download of SFDC Activation Rep'!L:L),"")</f>
        <v/>
      </c>
      <c r="I618" s="17" t="str">
        <f t="shared" si="2"/>
        <v>Not Active</v>
      </c>
      <c r="J618" s="17" t="str">
        <f t="array" ref="J618">XLOOKUP(A618,'Download of SFDC Activation Rep'!B:B,'Download of SFDC Activation Rep'!T:T)</f>
        <v>#N/A</v>
      </c>
      <c r="K618" s="17" t="str">
        <f t="array" ref="K618">iferror(XLOOKUP(A618,'Download of SFDC Activation Rep'!B:B,'Download of SFDC Activation Rep'!C:C),"")</f>
        <v/>
      </c>
    </row>
    <row r="619">
      <c r="B619" s="14"/>
      <c r="C619" s="14"/>
      <c r="D619" s="14"/>
      <c r="E619" s="14"/>
      <c r="F619" s="14"/>
      <c r="G619" s="13" t="str">
        <f t="array" ref="G619">iferror(XLOOKUP(A619,'Download of SFDC Activation Rep'!B:B,'Download of SFDC Activation Rep'!H:H),"")</f>
        <v/>
      </c>
      <c r="H619" s="13" t="str">
        <f t="array" ref="H619">iferror(xlookup(A619,'Download of SFDC Activation Rep'!B:B,'Download of SFDC Activation Rep'!L:L),"")</f>
        <v/>
      </c>
      <c r="I619" s="17" t="str">
        <f t="shared" si="2"/>
        <v>Not Active</v>
      </c>
      <c r="J619" s="17" t="str">
        <f t="array" ref="J619">XLOOKUP(A619,'Download of SFDC Activation Rep'!B:B,'Download of SFDC Activation Rep'!T:T)</f>
        <v>#N/A</v>
      </c>
      <c r="K619" s="17" t="str">
        <f t="array" ref="K619">iferror(XLOOKUP(A619,'Download of SFDC Activation Rep'!B:B,'Download of SFDC Activation Rep'!C:C),"")</f>
        <v/>
      </c>
    </row>
    <row r="620">
      <c r="B620" s="14"/>
      <c r="C620" s="14"/>
      <c r="D620" s="14"/>
      <c r="E620" s="14"/>
      <c r="F620" s="14"/>
      <c r="G620" s="13" t="str">
        <f t="array" ref="G620">iferror(XLOOKUP(A620,'Download of SFDC Activation Rep'!B:B,'Download of SFDC Activation Rep'!H:H),"")</f>
        <v/>
      </c>
      <c r="H620" s="13" t="str">
        <f t="array" ref="H620">iferror(xlookup(A620,'Download of SFDC Activation Rep'!B:B,'Download of SFDC Activation Rep'!L:L),"")</f>
        <v/>
      </c>
      <c r="I620" s="17" t="str">
        <f t="shared" si="2"/>
        <v>Not Active</v>
      </c>
      <c r="J620" s="17" t="str">
        <f t="array" ref="J620">XLOOKUP(A620,'Download of SFDC Activation Rep'!B:B,'Download of SFDC Activation Rep'!T:T)</f>
        <v>#N/A</v>
      </c>
      <c r="K620" s="17" t="str">
        <f t="array" ref="K620">iferror(XLOOKUP(A620,'Download of SFDC Activation Rep'!B:B,'Download of SFDC Activation Rep'!C:C),"")</f>
        <v/>
      </c>
    </row>
    <row r="621">
      <c r="B621" s="14"/>
      <c r="C621" s="14"/>
      <c r="D621" s="14"/>
      <c r="E621" s="14"/>
      <c r="F621" s="14"/>
      <c r="G621" s="13" t="str">
        <f t="array" ref="G621">iferror(XLOOKUP(A621,'Download of SFDC Activation Rep'!B:B,'Download of SFDC Activation Rep'!H:H),"")</f>
        <v/>
      </c>
      <c r="H621" s="13" t="str">
        <f t="array" ref="H621">iferror(xlookup(A621,'Download of SFDC Activation Rep'!B:B,'Download of SFDC Activation Rep'!L:L),"")</f>
        <v/>
      </c>
      <c r="I621" s="17" t="str">
        <f t="shared" si="2"/>
        <v>Not Active</v>
      </c>
      <c r="J621" s="17" t="str">
        <f t="array" ref="J621">XLOOKUP(A621,'Download of SFDC Activation Rep'!B:B,'Download of SFDC Activation Rep'!T:T)</f>
        <v>#N/A</v>
      </c>
      <c r="K621" s="17" t="str">
        <f t="array" ref="K621">iferror(XLOOKUP(A621,'Download of SFDC Activation Rep'!B:B,'Download of SFDC Activation Rep'!C:C),"")</f>
        <v/>
      </c>
    </row>
    <row r="622">
      <c r="B622" s="14"/>
      <c r="C622" s="14"/>
      <c r="D622" s="14"/>
      <c r="E622" s="14"/>
      <c r="F622" s="14"/>
      <c r="G622" s="13" t="str">
        <f t="array" ref="G622">iferror(XLOOKUP(A622,'Download of SFDC Activation Rep'!B:B,'Download of SFDC Activation Rep'!H:H),"")</f>
        <v/>
      </c>
      <c r="H622" s="13" t="str">
        <f t="array" ref="H622">iferror(xlookup(A622,'Download of SFDC Activation Rep'!B:B,'Download of SFDC Activation Rep'!L:L),"")</f>
        <v/>
      </c>
      <c r="I622" s="17" t="str">
        <f t="shared" si="2"/>
        <v>Not Active</v>
      </c>
      <c r="J622" s="17" t="str">
        <f t="array" ref="J622">XLOOKUP(A622,'Download of SFDC Activation Rep'!B:B,'Download of SFDC Activation Rep'!T:T)</f>
        <v>#N/A</v>
      </c>
      <c r="K622" s="17" t="str">
        <f t="array" ref="K622">iferror(XLOOKUP(A622,'Download of SFDC Activation Rep'!B:B,'Download of SFDC Activation Rep'!C:C),"")</f>
        <v/>
      </c>
    </row>
    <row r="623">
      <c r="B623" s="14"/>
      <c r="C623" s="14"/>
      <c r="D623" s="14"/>
      <c r="E623" s="14"/>
      <c r="F623" s="14"/>
      <c r="G623" s="13" t="str">
        <f t="array" ref="G623">iferror(XLOOKUP(A623,'Download of SFDC Activation Rep'!B:B,'Download of SFDC Activation Rep'!H:H),"")</f>
        <v/>
      </c>
      <c r="H623" s="13" t="str">
        <f t="array" ref="H623">iferror(xlookup(A623,'Download of SFDC Activation Rep'!B:B,'Download of SFDC Activation Rep'!L:L),"")</f>
        <v/>
      </c>
      <c r="I623" s="17" t="str">
        <f t="shared" si="2"/>
        <v>Not Active</v>
      </c>
      <c r="J623" s="17" t="str">
        <f t="array" ref="J623">XLOOKUP(A623,'Download of SFDC Activation Rep'!B:B,'Download of SFDC Activation Rep'!T:T)</f>
        <v>#N/A</v>
      </c>
      <c r="K623" s="17" t="str">
        <f t="array" ref="K623">iferror(XLOOKUP(A623,'Download of SFDC Activation Rep'!B:B,'Download of SFDC Activation Rep'!C:C),"")</f>
        <v/>
      </c>
    </row>
    <row r="624">
      <c r="B624" s="14"/>
      <c r="C624" s="14"/>
      <c r="D624" s="14"/>
      <c r="E624" s="14"/>
      <c r="F624" s="14"/>
      <c r="G624" s="13" t="str">
        <f t="array" ref="G624">iferror(XLOOKUP(A624,'Download of SFDC Activation Rep'!B:B,'Download of SFDC Activation Rep'!H:H),"")</f>
        <v/>
      </c>
      <c r="H624" s="13" t="str">
        <f t="array" ref="H624">iferror(xlookup(A624,'Download of SFDC Activation Rep'!B:B,'Download of SFDC Activation Rep'!L:L),"")</f>
        <v/>
      </c>
      <c r="I624" s="17" t="str">
        <f t="shared" si="2"/>
        <v>Not Active</v>
      </c>
      <c r="J624" s="17" t="str">
        <f t="array" ref="J624">XLOOKUP(A624,'Download of SFDC Activation Rep'!B:B,'Download of SFDC Activation Rep'!T:T)</f>
        <v>#N/A</v>
      </c>
      <c r="K624" s="17" t="str">
        <f t="array" ref="K624">iferror(XLOOKUP(A624,'Download of SFDC Activation Rep'!B:B,'Download of SFDC Activation Rep'!C:C),"")</f>
        <v/>
      </c>
    </row>
    <row r="625">
      <c r="B625" s="14"/>
      <c r="C625" s="14"/>
      <c r="D625" s="14"/>
      <c r="E625" s="14"/>
      <c r="F625" s="14"/>
      <c r="G625" s="13" t="str">
        <f t="array" ref="G625">iferror(XLOOKUP(A625,'Download of SFDC Activation Rep'!B:B,'Download of SFDC Activation Rep'!H:H),"")</f>
        <v/>
      </c>
      <c r="H625" s="13" t="str">
        <f t="array" ref="H625">iferror(xlookup(A625,'Download of SFDC Activation Rep'!B:B,'Download of SFDC Activation Rep'!L:L),"")</f>
        <v/>
      </c>
      <c r="I625" s="17" t="str">
        <f t="shared" si="2"/>
        <v>Not Active</v>
      </c>
      <c r="J625" s="17" t="str">
        <f t="array" ref="J625">XLOOKUP(A625,'Download of SFDC Activation Rep'!B:B,'Download of SFDC Activation Rep'!T:T)</f>
        <v>#N/A</v>
      </c>
      <c r="K625" s="17" t="str">
        <f t="array" ref="K625">iferror(XLOOKUP(A625,'Download of SFDC Activation Rep'!B:B,'Download of SFDC Activation Rep'!C:C),"")</f>
        <v/>
      </c>
    </row>
    <row r="626">
      <c r="B626" s="14"/>
      <c r="C626" s="14"/>
      <c r="D626" s="14"/>
      <c r="E626" s="14"/>
      <c r="F626" s="14"/>
      <c r="G626" s="13" t="str">
        <f t="array" ref="G626">iferror(XLOOKUP(A626,'Download of SFDC Activation Rep'!B:B,'Download of SFDC Activation Rep'!H:H),"")</f>
        <v/>
      </c>
      <c r="H626" s="13" t="str">
        <f t="array" ref="H626">iferror(xlookup(A626,'Download of SFDC Activation Rep'!B:B,'Download of SFDC Activation Rep'!L:L),"")</f>
        <v/>
      </c>
      <c r="I626" s="17" t="str">
        <f t="shared" si="2"/>
        <v>Not Active</v>
      </c>
      <c r="J626" s="17" t="str">
        <f t="array" ref="J626">XLOOKUP(A626,'Download of SFDC Activation Rep'!B:B,'Download of SFDC Activation Rep'!T:T)</f>
        <v>#N/A</v>
      </c>
      <c r="K626" s="17" t="str">
        <f t="array" ref="K626">iferror(XLOOKUP(A626,'Download of SFDC Activation Rep'!B:B,'Download of SFDC Activation Rep'!C:C),"")</f>
        <v/>
      </c>
    </row>
    <row r="627">
      <c r="B627" s="14"/>
      <c r="C627" s="14"/>
      <c r="D627" s="14"/>
      <c r="E627" s="14"/>
      <c r="F627" s="14"/>
      <c r="G627" s="13" t="str">
        <f t="array" ref="G627">iferror(XLOOKUP(A627,'Download of SFDC Activation Rep'!B:B,'Download of SFDC Activation Rep'!H:H),"")</f>
        <v/>
      </c>
      <c r="H627" s="13" t="str">
        <f t="array" ref="H627">iferror(xlookup(A627,'Download of SFDC Activation Rep'!B:B,'Download of SFDC Activation Rep'!L:L),"")</f>
        <v/>
      </c>
      <c r="I627" s="17" t="str">
        <f t="shared" si="2"/>
        <v>Not Active</v>
      </c>
      <c r="J627" s="17" t="str">
        <f t="array" ref="J627">XLOOKUP(A627,'Download of SFDC Activation Rep'!B:B,'Download of SFDC Activation Rep'!T:T)</f>
        <v>#N/A</v>
      </c>
      <c r="K627" s="17" t="str">
        <f t="array" ref="K627">iferror(XLOOKUP(A627,'Download of SFDC Activation Rep'!B:B,'Download of SFDC Activation Rep'!C:C),"")</f>
        <v/>
      </c>
    </row>
    <row r="628">
      <c r="B628" s="14"/>
      <c r="C628" s="14"/>
      <c r="D628" s="14"/>
      <c r="E628" s="14"/>
      <c r="F628" s="14"/>
      <c r="G628" s="13" t="str">
        <f t="array" ref="G628">iferror(XLOOKUP(A628,'Download of SFDC Activation Rep'!B:B,'Download of SFDC Activation Rep'!H:H),"")</f>
        <v/>
      </c>
      <c r="H628" s="13" t="str">
        <f t="array" ref="H628">iferror(xlookup(A628,'Download of SFDC Activation Rep'!B:B,'Download of SFDC Activation Rep'!L:L),"")</f>
        <v/>
      </c>
      <c r="I628" s="17" t="str">
        <f t="shared" si="2"/>
        <v>Not Active</v>
      </c>
      <c r="J628" s="17" t="str">
        <f t="array" ref="J628">XLOOKUP(A628,'Download of SFDC Activation Rep'!B:B,'Download of SFDC Activation Rep'!T:T)</f>
        <v>#N/A</v>
      </c>
      <c r="K628" s="17" t="str">
        <f t="array" ref="K628">iferror(XLOOKUP(A628,'Download of SFDC Activation Rep'!B:B,'Download of SFDC Activation Rep'!C:C),"")</f>
        <v/>
      </c>
    </row>
    <row r="629">
      <c r="B629" s="14"/>
      <c r="C629" s="14"/>
      <c r="D629" s="14"/>
      <c r="E629" s="14"/>
      <c r="F629" s="14"/>
      <c r="G629" s="13" t="str">
        <f t="array" ref="G629">iferror(XLOOKUP(A629,'Download of SFDC Activation Rep'!B:B,'Download of SFDC Activation Rep'!H:H),"")</f>
        <v/>
      </c>
      <c r="H629" s="13" t="str">
        <f t="array" ref="H629">iferror(xlookup(A629,'Download of SFDC Activation Rep'!B:B,'Download of SFDC Activation Rep'!L:L),"")</f>
        <v/>
      </c>
      <c r="I629" s="17" t="str">
        <f t="shared" si="2"/>
        <v>Not Active</v>
      </c>
      <c r="J629" s="17" t="str">
        <f t="array" ref="J629">XLOOKUP(A629,'Download of SFDC Activation Rep'!B:B,'Download of SFDC Activation Rep'!T:T)</f>
        <v>#N/A</v>
      </c>
      <c r="K629" s="17" t="str">
        <f t="array" ref="K629">iferror(XLOOKUP(A629,'Download of SFDC Activation Rep'!B:B,'Download of SFDC Activation Rep'!C:C),"")</f>
        <v/>
      </c>
    </row>
    <row r="630">
      <c r="B630" s="14"/>
      <c r="C630" s="14"/>
      <c r="D630" s="14"/>
      <c r="E630" s="14"/>
      <c r="F630" s="14"/>
      <c r="G630" s="13" t="str">
        <f t="array" ref="G630">iferror(XLOOKUP(A630,'Download of SFDC Activation Rep'!B:B,'Download of SFDC Activation Rep'!H:H),"")</f>
        <v/>
      </c>
      <c r="H630" s="13" t="str">
        <f t="array" ref="H630">iferror(xlookup(A630,'Download of SFDC Activation Rep'!B:B,'Download of SFDC Activation Rep'!L:L),"")</f>
        <v/>
      </c>
      <c r="I630" s="17" t="str">
        <f t="shared" si="2"/>
        <v>Not Active</v>
      </c>
      <c r="J630" s="17" t="str">
        <f t="array" ref="J630">XLOOKUP(A630,'Download of SFDC Activation Rep'!B:B,'Download of SFDC Activation Rep'!T:T)</f>
        <v>#N/A</v>
      </c>
      <c r="K630" s="17" t="str">
        <f t="array" ref="K630">iferror(XLOOKUP(A630,'Download of SFDC Activation Rep'!B:B,'Download of SFDC Activation Rep'!C:C),"")</f>
        <v/>
      </c>
    </row>
    <row r="631">
      <c r="B631" s="14"/>
      <c r="C631" s="14"/>
      <c r="D631" s="14"/>
      <c r="E631" s="14"/>
      <c r="F631" s="14"/>
      <c r="G631" s="13" t="str">
        <f t="array" ref="G631">iferror(XLOOKUP(A631,'Download of SFDC Activation Rep'!B:B,'Download of SFDC Activation Rep'!H:H),"")</f>
        <v/>
      </c>
      <c r="H631" s="13" t="str">
        <f t="array" ref="H631">iferror(xlookup(A631,'Download of SFDC Activation Rep'!B:B,'Download of SFDC Activation Rep'!L:L),"")</f>
        <v/>
      </c>
      <c r="I631" s="17" t="str">
        <f t="shared" si="2"/>
        <v>Not Active</v>
      </c>
      <c r="J631" s="17" t="str">
        <f t="array" ref="J631">XLOOKUP(A631,'Download of SFDC Activation Rep'!B:B,'Download of SFDC Activation Rep'!T:T)</f>
        <v>#N/A</v>
      </c>
      <c r="K631" s="17" t="str">
        <f t="array" ref="K631">iferror(XLOOKUP(A631,'Download of SFDC Activation Rep'!B:B,'Download of SFDC Activation Rep'!C:C),"")</f>
        <v/>
      </c>
    </row>
    <row r="632">
      <c r="B632" s="14"/>
      <c r="C632" s="14"/>
      <c r="D632" s="14"/>
      <c r="E632" s="14"/>
      <c r="F632" s="14"/>
      <c r="G632" s="13" t="str">
        <f t="array" ref="G632">iferror(XLOOKUP(A632,'Download of SFDC Activation Rep'!B:B,'Download of SFDC Activation Rep'!H:H),"")</f>
        <v/>
      </c>
      <c r="H632" s="13" t="str">
        <f t="array" ref="H632">iferror(xlookup(A632,'Download of SFDC Activation Rep'!B:B,'Download of SFDC Activation Rep'!L:L),"")</f>
        <v/>
      </c>
      <c r="I632" s="17" t="str">
        <f t="shared" si="2"/>
        <v>Not Active</v>
      </c>
      <c r="J632" s="17" t="str">
        <f t="array" ref="J632">XLOOKUP(A632,'Download of SFDC Activation Rep'!B:B,'Download of SFDC Activation Rep'!T:T)</f>
        <v>#N/A</v>
      </c>
      <c r="K632" s="17" t="str">
        <f t="array" ref="K632">iferror(XLOOKUP(A632,'Download of SFDC Activation Rep'!B:B,'Download of SFDC Activation Rep'!C:C),"")</f>
        <v/>
      </c>
    </row>
    <row r="633">
      <c r="B633" s="14"/>
      <c r="C633" s="14"/>
      <c r="D633" s="14"/>
      <c r="E633" s="14"/>
      <c r="F633" s="14"/>
      <c r="G633" s="13" t="str">
        <f t="array" ref="G633">iferror(XLOOKUP(A633,'Download of SFDC Activation Rep'!B:B,'Download of SFDC Activation Rep'!H:H),"")</f>
        <v/>
      </c>
      <c r="H633" s="13" t="str">
        <f t="array" ref="H633">iferror(xlookup(A633,'Download of SFDC Activation Rep'!B:B,'Download of SFDC Activation Rep'!L:L),"")</f>
        <v/>
      </c>
      <c r="I633" s="17" t="str">
        <f t="shared" si="2"/>
        <v>Not Active</v>
      </c>
      <c r="J633" s="17" t="str">
        <f t="array" ref="J633">XLOOKUP(A633,'Download of SFDC Activation Rep'!B:B,'Download of SFDC Activation Rep'!T:T)</f>
        <v>#N/A</v>
      </c>
      <c r="K633" s="17" t="str">
        <f t="array" ref="K633">iferror(XLOOKUP(A633,'Download of SFDC Activation Rep'!B:B,'Download of SFDC Activation Rep'!C:C),"")</f>
        <v/>
      </c>
    </row>
    <row r="634">
      <c r="B634" s="14"/>
      <c r="C634" s="14"/>
      <c r="D634" s="14"/>
      <c r="E634" s="14"/>
      <c r="F634" s="14"/>
      <c r="G634" s="13" t="str">
        <f t="array" ref="G634">iferror(XLOOKUP(A634,'Download of SFDC Activation Rep'!B:B,'Download of SFDC Activation Rep'!H:H),"")</f>
        <v/>
      </c>
      <c r="H634" s="13" t="str">
        <f t="array" ref="H634">iferror(xlookup(A634,'Download of SFDC Activation Rep'!B:B,'Download of SFDC Activation Rep'!L:L),"")</f>
        <v/>
      </c>
      <c r="I634" s="17" t="str">
        <f t="shared" si="2"/>
        <v>Not Active</v>
      </c>
      <c r="J634" s="17" t="str">
        <f t="array" ref="J634">XLOOKUP(A634,'Download of SFDC Activation Rep'!B:B,'Download of SFDC Activation Rep'!T:T)</f>
        <v>#N/A</v>
      </c>
      <c r="K634" s="17" t="str">
        <f t="array" ref="K634">iferror(XLOOKUP(A634,'Download of SFDC Activation Rep'!B:B,'Download of SFDC Activation Rep'!C:C),"")</f>
        <v/>
      </c>
    </row>
    <row r="635">
      <c r="B635" s="14"/>
      <c r="C635" s="14"/>
      <c r="D635" s="14"/>
      <c r="E635" s="14"/>
      <c r="F635" s="14"/>
      <c r="G635" s="13" t="str">
        <f t="array" ref="G635">iferror(XLOOKUP(A635,'Download of SFDC Activation Rep'!B:B,'Download of SFDC Activation Rep'!H:H),"")</f>
        <v/>
      </c>
      <c r="H635" s="13" t="str">
        <f t="array" ref="H635">iferror(xlookup(A635,'Download of SFDC Activation Rep'!B:B,'Download of SFDC Activation Rep'!L:L),"")</f>
        <v/>
      </c>
      <c r="I635" s="17" t="str">
        <f t="shared" si="2"/>
        <v>Not Active</v>
      </c>
      <c r="J635" s="17" t="str">
        <f t="array" ref="J635">XLOOKUP(A635,'Download of SFDC Activation Rep'!B:B,'Download of SFDC Activation Rep'!T:T)</f>
        <v>#N/A</v>
      </c>
      <c r="K635" s="17" t="str">
        <f t="array" ref="K635">iferror(XLOOKUP(A635,'Download of SFDC Activation Rep'!B:B,'Download of SFDC Activation Rep'!C:C),"")</f>
        <v/>
      </c>
    </row>
    <row r="636">
      <c r="B636" s="14"/>
      <c r="C636" s="14"/>
      <c r="D636" s="14"/>
      <c r="E636" s="14"/>
      <c r="F636" s="14"/>
      <c r="G636" s="13" t="str">
        <f t="array" ref="G636">iferror(XLOOKUP(A636,'Download of SFDC Activation Rep'!B:B,'Download of SFDC Activation Rep'!H:H),"")</f>
        <v/>
      </c>
      <c r="H636" s="13" t="str">
        <f t="array" ref="H636">iferror(xlookup(A636,'Download of SFDC Activation Rep'!B:B,'Download of SFDC Activation Rep'!L:L),"")</f>
        <v/>
      </c>
      <c r="I636" s="17" t="str">
        <f t="shared" si="2"/>
        <v>Not Active</v>
      </c>
      <c r="J636" s="17" t="str">
        <f t="array" ref="J636">XLOOKUP(A636,'Download of SFDC Activation Rep'!B:B,'Download of SFDC Activation Rep'!T:T)</f>
        <v>#N/A</v>
      </c>
      <c r="K636" s="17" t="str">
        <f t="array" ref="K636">iferror(XLOOKUP(A636,'Download of SFDC Activation Rep'!B:B,'Download of SFDC Activation Rep'!C:C),"")</f>
        <v/>
      </c>
    </row>
    <row r="637">
      <c r="B637" s="14"/>
      <c r="C637" s="14"/>
      <c r="D637" s="14"/>
      <c r="E637" s="14"/>
      <c r="F637" s="14"/>
      <c r="G637" s="13" t="str">
        <f t="array" ref="G637">iferror(XLOOKUP(A637,'Download of SFDC Activation Rep'!B:B,'Download of SFDC Activation Rep'!H:H),"")</f>
        <v/>
      </c>
      <c r="H637" s="13" t="str">
        <f t="array" ref="H637">iferror(xlookup(A637,'Download of SFDC Activation Rep'!B:B,'Download of SFDC Activation Rep'!L:L),"")</f>
        <v/>
      </c>
      <c r="I637" s="17" t="str">
        <f t="shared" si="2"/>
        <v>Not Active</v>
      </c>
      <c r="J637" s="17" t="str">
        <f t="array" ref="J637">XLOOKUP(A637,'Download of SFDC Activation Rep'!B:B,'Download of SFDC Activation Rep'!T:T)</f>
        <v>#N/A</v>
      </c>
      <c r="K637" s="17" t="str">
        <f t="array" ref="K637">iferror(XLOOKUP(A637,'Download of SFDC Activation Rep'!B:B,'Download of SFDC Activation Rep'!C:C),"")</f>
        <v/>
      </c>
    </row>
    <row r="638">
      <c r="B638" s="14"/>
      <c r="C638" s="14"/>
      <c r="D638" s="14"/>
      <c r="E638" s="14"/>
      <c r="F638" s="14"/>
      <c r="G638" s="13" t="str">
        <f t="array" ref="G638">iferror(XLOOKUP(A638,'Download of SFDC Activation Rep'!B:B,'Download of SFDC Activation Rep'!H:H),"")</f>
        <v/>
      </c>
      <c r="H638" s="13" t="str">
        <f t="array" ref="H638">iferror(xlookup(A638,'Download of SFDC Activation Rep'!B:B,'Download of SFDC Activation Rep'!L:L),"")</f>
        <v/>
      </c>
      <c r="I638" s="17" t="str">
        <f t="shared" si="2"/>
        <v>Not Active</v>
      </c>
      <c r="J638" s="17" t="str">
        <f t="array" ref="J638">XLOOKUP(A638,'Download of SFDC Activation Rep'!B:B,'Download of SFDC Activation Rep'!T:T)</f>
        <v>#N/A</v>
      </c>
      <c r="K638" s="17" t="str">
        <f t="array" ref="K638">iferror(XLOOKUP(A638,'Download of SFDC Activation Rep'!B:B,'Download of SFDC Activation Rep'!C:C),"")</f>
        <v/>
      </c>
    </row>
    <row r="639">
      <c r="B639" s="14"/>
      <c r="C639" s="14"/>
      <c r="D639" s="14"/>
      <c r="E639" s="14"/>
      <c r="F639" s="14"/>
      <c r="G639" s="13" t="str">
        <f t="array" ref="G639">iferror(XLOOKUP(A639,'Download of SFDC Activation Rep'!B:B,'Download of SFDC Activation Rep'!H:H),"")</f>
        <v/>
      </c>
      <c r="H639" s="13" t="str">
        <f t="array" ref="H639">iferror(xlookup(A639,'Download of SFDC Activation Rep'!B:B,'Download of SFDC Activation Rep'!L:L),"")</f>
        <v/>
      </c>
      <c r="I639" s="17" t="str">
        <f t="shared" si="2"/>
        <v>Not Active</v>
      </c>
      <c r="J639" s="17" t="str">
        <f t="array" ref="J639">XLOOKUP(A639,'Download of SFDC Activation Rep'!B:B,'Download of SFDC Activation Rep'!T:T)</f>
        <v>#N/A</v>
      </c>
      <c r="K639" s="17" t="str">
        <f t="array" ref="K639">iferror(XLOOKUP(A639,'Download of SFDC Activation Rep'!B:B,'Download of SFDC Activation Rep'!C:C),"")</f>
        <v/>
      </c>
    </row>
    <row r="640">
      <c r="B640" s="14"/>
      <c r="C640" s="14"/>
      <c r="D640" s="14"/>
      <c r="E640" s="14"/>
      <c r="F640" s="14"/>
      <c r="G640" s="13" t="str">
        <f t="array" ref="G640">iferror(XLOOKUP(A640,'Download of SFDC Activation Rep'!B:B,'Download of SFDC Activation Rep'!H:H),"")</f>
        <v/>
      </c>
      <c r="H640" s="13" t="str">
        <f t="array" ref="H640">iferror(xlookup(A640,'Download of SFDC Activation Rep'!B:B,'Download of SFDC Activation Rep'!L:L),"")</f>
        <v/>
      </c>
      <c r="I640" s="17" t="str">
        <f t="shared" si="2"/>
        <v>Not Active</v>
      </c>
      <c r="J640" s="17" t="str">
        <f t="array" ref="J640">XLOOKUP(A640,'Download of SFDC Activation Rep'!B:B,'Download of SFDC Activation Rep'!T:T)</f>
        <v>#N/A</v>
      </c>
      <c r="K640" s="17" t="str">
        <f t="array" ref="K640">iferror(XLOOKUP(A640,'Download of SFDC Activation Rep'!B:B,'Download of SFDC Activation Rep'!C:C),"")</f>
        <v/>
      </c>
    </row>
    <row r="641">
      <c r="B641" s="14"/>
      <c r="C641" s="14"/>
      <c r="D641" s="14"/>
      <c r="E641" s="14"/>
      <c r="F641" s="14"/>
      <c r="G641" s="13" t="str">
        <f t="array" ref="G641">iferror(XLOOKUP(A641,'Download of SFDC Activation Rep'!B:B,'Download of SFDC Activation Rep'!H:H),"")</f>
        <v/>
      </c>
      <c r="H641" s="13" t="str">
        <f t="array" ref="H641">iferror(xlookup(A641,'Download of SFDC Activation Rep'!B:B,'Download of SFDC Activation Rep'!L:L),"")</f>
        <v/>
      </c>
      <c r="I641" s="17" t="str">
        <f t="shared" si="2"/>
        <v>Not Active</v>
      </c>
      <c r="J641" s="17" t="str">
        <f t="array" ref="J641">XLOOKUP(A641,'Download of SFDC Activation Rep'!B:B,'Download of SFDC Activation Rep'!T:T)</f>
        <v>#N/A</v>
      </c>
      <c r="K641" s="17" t="str">
        <f t="array" ref="K641">iferror(XLOOKUP(A641,'Download of SFDC Activation Rep'!B:B,'Download of SFDC Activation Rep'!C:C),"")</f>
        <v/>
      </c>
    </row>
    <row r="642">
      <c r="B642" s="14"/>
      <c r="C642" s="14"/>
      <c r="D642" s="14"/>
      <c r="E642" s="14"/>
      <c r="F642" s="14"/>
      <c r="G642" s="13" t="str">
        <f t="array" ref="G642">iferror(XLOOKUP(A642,'Download of SFDC Activation Rep'!B:B,'Download of SFDC Activation Rep'!H:H),"")</f>
        <v/>
      </c>
      <c r="H642" s="13" t="str">
        <f t="array" ref="H642">iferror(xlookup(A642,'Download of SFDC Activation Rep'!B:B,'Download of SFDC Activation Rep'!L:L),"")</f>
        <v/>
      </c>
      <c r="I642" s="17" t="str">
        <f t="shared" si="2"/>
        <v>Not Active</v>
      </c>
      <c r="J642" s="17" t="str">
        <f t="array" ref="J642">XLOOKUP(A642,'Download of SFDC Activation Rep'!B:B,'Download of SFDC Activation Rep'!T:T)</f>
        <v>#N/A</v>
      </c>
      <c r="K642" s="17" t="str">
        <f t="array" ref="K642">iferror(XLOOKUP(A642,'Download of SFDC Activation Rep'!B:B,'Download of SFDC Activation Rep'!C:C),"")</f>
        <v/>
      </c>
    </row>
    <row r="643">
      <c r="B643" s="14"/>
      <c r="C643" s="14"/>
      <c r="D643" s="14"/>
      <c r="E643" s="14"/>
      <c r="F643" s="14"/>
      <c r="G643" s="13" t="str">
        <f t="array" ref="G643">iferror(XLOOKUP(A643,'Download of SFDC Activation Rep'!B:B,'Download of SFDC Activation Rep'!H:H),"")</f>
        <v/>
      </c>
      <c r="H643" s="13" t="str">
        <f t="array" ref="H643">iferror(xlookup(A643,'Download of SFDC Activation Rep'!B:B,'Download of SFDC Activation Rep'!L:L),"")</f>
        <v/>
      </c>
      <c r="I643" s="17" t="str">
        <f t="shared" si="2"/>
        <v>Not Active</v>
      </c>
      <c r="J643" s="17" t="str">
        <f t="array" ref="J643">XLOOKUP(A643,'Download of SFDC Activation Rep'!B:B,'Download of SFDC Activation Rep'!T:T)</f>
        <v>#N/A</v>
      </c>
      <c r="K643" s="17" t="str">
        <f t="array" ref="K643">iferror(XLOOKUP(A643,'Download of SFDC Activation Rep'!B:B,'Download of SFDC Activation Rep'!C:C),"")</f>
        <v/>
      </c>
    </row>
    <row r="644">
      <c r="B644" s="14"/>
      <c r="C644" s="14"/>
      <c r="D644" s="14"/>
      <c r="E644" s="14"/>
      <c r="F644" s="14"/>
      <c r="G644" s="13" t="str">
        <f t="array" ref="G644">iferror(XLOOKUP(A644,'Download of SFDC Activation Rep'!B:B,'Download of SFDC Activation Rep'!H:H),"")</f>
        <v/>
      </c>
      <c r="H644" s="13" t="str">
        <f t="array" ref="H644">iferror(xlookup(A644,'Download of SFDC Activation Rep'!B:B,'Download of SFDC Activation Rep'!L:L),"")</f>
        <v/>
      </c>
      <c r="I644" s="17" t="str">
        <f t="shared" si="2"/>
        <v>Not Active</v>
      </c>
      <c r="J644" s="17" t="str">
        <f t="array" ref="J644">XLOOKUP(A644,'Download of SFDC Activation Rep'!B:B,'Download of SFDC Activation Rep'!T:T)</f>
        <v>#N/A</v>
      </c>
      <c r="K644" s="17" t="str">
        <f t="array" ref="K644">iferror(XLOOKUP(A644,'Download of SFDC Activation Rep'!B:B,'Download of SFDC Activation Rep'!C:C),"")</f>
        <v/>
      </c>
    </row>
    <row r="645">
      <c r="B645" s="14"/>
      <c r="C645" s="14"/>
      <c r="D645" s="14"/>
      <c r="E645" s="14"/>
      <c r="F645" s="14"/>
      <c r="G645" s="13" t="str">
        <f t="array" ref="G645">iferror(XLOOKUP(A645,'Download of SFDC Activation Rep'!B:B,'Download of SFDC Activation Rep'!H:H),"")</f>
        <v/>
      </c>
      <c r="H645" s="13" t="str">
        <f t="array" ref="H645">iferror(xlookup(A645,'Download of SFDC Activation Rep'!B:B,'Download of SFDC Activation Rep'!L:L),"")</f>
        <v/>
      </c>
      <c r="I645" s="17" t="str">
        <f t="shared" si="2"/>
        <v>Not Active</v>
      </c>
      <c r="J645" s="17" t="str">
        <f t="array" ref="J645">XLOOKUP(A645,'Download of SFDC Activation Rep'!B:B,'Download of SFDC Activation Rep'!T:T)</f>
        <v>#N/A</v>
      </c>
      <c r="K645" s="17" t="str">
        <f t="array" ref="K645">iferror(XLOOKUP(A645,'Download of SFDC Activation Rep'!B:B,'Download of SFDC Activation Rep'!C:C),"")</f>
        <v/>
      </c>
    </row>
    <row r="646">
      <c r="B646" s="14"/>
      <c r="C646" s="14"/>
      <c r="D646" s="14"/>
      <c r="E646" s="14"/>
      <c r="F646" s="14"/>
      <c r="G646" s="13" t="str">
        <f t="array" ref="G646">iferror(XLOOKUP(A646,'Download of SFDC Activation Rep'!B:B,'Download of SFDC Activation Rep'!H:H),"")</f>
        <v/>
      </c>
      <c r="H646" s="13" t="str">
        <f t="array" ref="H646">iferror(xlookup(A646,'Download of SFDC Activation Rep'!B:B,'Download of SFDC Activation Rep'!L:L),"")</f>
        <v/>
      </c>
      <c r="I646" s="17" t="str">
        <f t="shared" si="2"/>
        <v>Not Active</v>
      </c>
      <c r="J646" s="17" t="str">
        <f t="array" ref="J646">XLOOKUP(A646,'Download of SFDC Activation Rep'!B:B,'Download of SFDC Activation Rep'!T:T)</f>
        <v>#N/A</v>
      </c>
      <c r="K646" s="17" t="str">
        <f t="array" ref="K646">iferror(XLOOKUP(A646,'Download of SFDC Activation Rep'!B:B,'Download of SFDC Activation Rep'!C:C),"")</f>
        <v/>
      </c>
    </row>
    <row r="647">
      <c r="B647" s="14"/>
      <c r="C647" s="14"/>
      <c r="D647" s="14"/>
      <c r="E647" s="14"/>
      <c r="F647" s="14"/>
      <c r="G647" s="13" t="str">
        <f t="array" ref="G647">iferror(XLOOKUP(A647,'Download of SFDC Activation Rep'!B:B,'Download of SFDC Activation Rep'!H:H),"")</f>
        <v/>
      </c>
      <c r="H647" s="13" t="str">
        <f t="array" ref="H647">iferror(xlookup(A647,'Download of SFDC Activation Rep'!B:B,'Download of SFDC Activation Rep'!L:L),"")</f>
        <v/>
      </c>
      <c r="I647" s="17" t="str">
        <f t="shared" si="2"/>
        <v>Not Active</v>
      </c>
      <c r="J647" s="17" t="str">
        <f t="array" ref="J647">XLOOKUP(A647,'Download of SFDC Activation Rep'!B:B,'Download of SFDC Activation Rep'!T:T)</f>
        <v>#N/A</v>
      </c>
      <c r="K647" s="17" t="str">
        <f t="array" ref="K647">iferror(XLOOKUP(A647,'Download of SFDC Activation Rep'!B:B,'Download of SFDC Activation Rep'!C:C),"")</f>
        <v/>
      </c>
    </row>
    <row r="648">
      <c r="B648" s="14"/>
      <c r="C648" s="14"/>
      <c r="D648" s="14"/>
      <c r="E648" s="14"/>
      <c r="F648" s="14"/>
      <c r="G648" s="13" t="str">
        <f t="array" ref="G648">iferror(XLOOKUP(A648,'Download of SFDC Activation Rep'!B:B,'Download of SFDC Activation Rep'!H:H),"")</f>
        <v/>
      </c>
      <c r="H648" s="13" t="str">
        <f t="array" ref="H648">iferror(xlookup(A648,'Download of SFDC Activation Rep'!B:B,'Download of SFDC Activation Rep'!L:L),"")</f>
        <v/>
      </c>
      <c r="I648" s="17" t="str">
        <f t="shared" si="2"/>
        <v>Not Active</v>
      </c>
      <c r="J648" s="17" t="str">
        <f t="array" ref="J648">XLOOKUP(A648,'Download of SFDC Activation Rep'!B:B,'Download of SFDC Activation Rep'!T:T)</f>
        <v>#N/A</v>
      </c>
      <c r="K648" s="17" t="str">
        <f t="array" ref="K648">iferror(XLOOKUP(A648,'Download of SFDC Activation Rep'!B:B,'Download of SFDC Activation Rep'!C:C),"")</f>
        <v/>
      </c>
    </row>
    <row r="649">
      <c r="B649" s="14"/>
      <c r="C649" s="14"/>
      <c r="D649" s="14"/>
      <c r="E649" s="14"/>
      <c r="F649" s="14"/>
      <c r="G649" s="13" t="str">
        <f t="array" ref="G649">iferror(XLOOKUP(A649,'Download of SFDC Activation Rep'!B:B,'Download of SFDC Activation Rep'!H:H),"")</f>
        <v/>
      </c>
      <c r="H649" s="13" t="str">
        <f t="array" ref="H649">iferror(xlookup(A649,'Download of SFDC Activation Rep'!B:B,'Download of SFDC Activation Rep'!L:L),"")</f>
        <v/>
      </c>
      <c r="I649" s="17" t="str">
        <f t="shared" si="2"/>
        <v>Not Active</v>
      </c>
      <c r="J649" s="17" t="str">
        <f t="array" ref="J649">XLOOKUP(A649,'Download of SFDC Activation Rep'!B:B,'Download of SFDC Activation Rep'!T:T)</f>
        <v>#N/A</v>
      </c>
      <c r="K649" s="17" t="str">
        <f t="array" ref="K649">iferror(XLOOKUP(A649,'Download of SFDC Activation Rep'!B:B,'Download of SFDC Activation Rep'!C:C),"")</f>
        <v/>
      </c>
    </row>
    <row r="650">
      <c r="B650" s="14"/>
      <c r="C650" s="14"/>
      <c r="D650" s="14"/>
      <c r="E650" s="14"/>
      <c r="F650" s="14"/>
      <c r="G650" s="13" t="str">
        <f t="array" ref="G650">iferror(XLOOKUP(A650,'Download of SFDC Activation Rep'!B:B,'Download of SFDC Activation Rep'!H:H),"")</f>
        <v/>
      </c>
      <c r="H650" s="13" t="str">
        <f t="array" ref="H650">iferror(xlookup(A650,'Download of SFDC Activation Rep'!B:B,'Download of SFDC Activation Rep'!L:L),"")</f>
        <v/>
      </c>
      <c r="I650" s="17" t="str">
        <f t="shared" si="2"/>
        <v>Not Active</v>
      </c>
      <c r="J650" s="17" t="str">
        <f t="array" ref="J650">XLOOKUP(A650,'Download of SFDC Activation Rep'!B:B,'Download of SFDC Activation Rep'!T:T)</f>
        <v>#N/A</v>
      </c>
      <c r="K650" s="17" t="str">
        <f t="array" ref="K650">iferror(XLOOKUP(A650,'Download of SFDC Activation Rep'!B:B,'Download of SFDC Activation Rep'!C:C),"")</f>
        <v/>
      </c>
    </row>
    <row r="651">
      <c r="B651" s="14"/>
      <c r="C651" s="14"/>
      <c r="D651" s="14"/>
      <c r="E651" s="14"/>
      <c r="F651" s="14"/>
      <c r="G651" s="13" t="str">
        <f t="array" ref="G651">iferror(XLOOKUP(A651,'Download of SFDC Activation Rep'!B:B,'Download of SFDC Activation Rep'!H:H),"")</f>
        <v/>
      </c>
      <c r="H651" s="13" t="str">
        <f t="array" ref="H651">iferror(xlookup(A651,'Download of SFDC Activation Rep'!B:B,'Download of SFDC Activation Rep'!L:L),"")</f>
        <v/>
      </c>
      <c r="I651" s="17" t="str">
        <f t="shared" si="2"/>
        <v>Not Active</v>
      </c>
      <c r="J651" s="17" t="str">
        <f t="array" ref="J651">XLOOKUP(A651,'Download of SFDC Activation Rep'!B:B,'Download of SFDC Activation Rep'!T:T)</f>
        <v>#N/A</v>
      </c>
      <c r="K651" s="17" t="str">
        <f t="array" ref="K651">iferror(XLOOKUP(A651,'Download of SFDC Activation Rep'!B:B,'Download of SFDC Activation Rep'!C:C),"")</f>
        <v/>
      </c>
    </row>
    <row r="652">
      <c r="B652" s="14"/>
      <c r="C652" s="14"/>
      <c r="D652" s="14"/>
      <c r="E652" s="14"/>
      <c r="F652" s="14"/>
      <c r="G652" s="13" t="str">
        <f t="array" ref="G652">iferror(XLOOKUP(A652,'Download of SFDC Activation Rep'!B:B,'Download of SFDC Activation Rep'!H:H),"")</f>
        <v/>
      </c>
      <c r="H652" s="13" t="str">
        <f t="array" ref="H652">iferror(xlookup(A652,'Download of SFDC Activation Rep'!B:B,'Download of SFDC Activation Rep'!L:L),"")</f>
        <v/>
      </c>
      <c r="I652" s="17" t="str">
        <f t="shared" si="2"/>
        <v>Not Active</v>
      </c>
      <c r="J652" s="17" t="str">
        <f t="array" ref="J652">XLOOKUP(A652,'Download of SFDC Activation Rep'!B:B,'Download of SFDC Activation Rep'!T:T)</f>
        <v>#N/A</v>
      </c>
      <c r="K652" s="17" t="str">
        <f t="array" ref="K652">iferror(XLOOKUP(A652,'Download of SFDC Activation Rep'!B:B,'Download of SFDC Activation Rep'!C:C),"")</f>
        <v/>
      </c>
    </row>
    <row r="653">
      <c r="B653" s="14"/>
      <c r="C653" s="14"/>
      <c r="D653" s="14"/>
      <c r="E653" s="14"/>
      <c r="F653" s="14"/>
      <c r="G653" s="13" t="str">
        <f t="array" ref="G653">iferror(XLOOKUP(A653,'Download of SFDC Activation Rep'!B:B,'Download of SFDC Activation Rep'!H:H),"")</f>
        <v/>
      </c>
      <c r="H653" s="13" t="str">
        <f t="array" ref="H653">iferror(xlookup(A653,'Download of SFDC Activation Rep'!B:B,'Download of SFDC Activation Rep'!L:L),"")</f>
        <v/>
      </c>
      <c r="I653" s="17" t="str">
        <f t="shared" si="2"/>
        <v>Not Active</v>
      </c>
      <c r="J653" s="17" t="str">
        <f t="array" ref="J653">XLOOKUP(A653,'Download of SFDC Activation Rep'!B:B,'Download of SFDC Activation Rep'!T:T)</f>
        <v>#N/A</v>
      </c>
      <c r="K653" s="17" t="str">
        <f t="array" ref="K653">iferror(XLOOKUP(A653,'Download of SFDC Activation Rep'!B:B,'Download of SFDC Activation Rep'!C:C),"")</f>
        <v/>
      </c>
    </row>
    <row r="654">
      <c r="B654" s="14"/>
      <c r="C654" s="14"/>
      <c r="D654" s="14"/>
      <c r="E654" s="14"/>
      <c r="F654" s="14"/>
      <c r="G654" s="13" t="str">
        <f t="array" ref="G654">iferror(XLOOKUP(A654,'Download of SFDC Activation Rep'!B:B,'Download of SFDC Activation Rep'!H:H),"")</f>
        <v/>
      </c>
      <c r="H654" s="13" t="str">
        <f t="array" ref="H654">iferror(xlookup(A654,'Download of SFDC Activation Rep'!B:B,'Download of SFDC Activation Rep'!L:L),"")</f>
        <v/>
      </c>
      <c r="I654" s="17" t="str">
        <f t="shared" si="2"/>
        <v>Not Active</v>
      </c>
      <c r="J654" s="17" t="str">
        <f t="array" ref="J654">XLOOKUP(A654,'Download of SFDC Activation Rep'!B:B,'Download of SFDC Activation Rep'!T:T)</f>
        <v>#N/A</v>
      </c>
      <c r="K654" s="17" t="str">
        <f t="array" ref="K654">iferror(XLOOKUP(A654,'Download of SFDC Activation Rep'!B:B,'Download of SFDC Activation Rep'!C:C),"")</f>
        <v/>
      </c>
    </row>
    <row r="655">
      <c r="B655" s="14"/>
      <c r="C655" s="14"/>
      <c r="D655" s="14"/>
      <c r="E655" s="14"/>
      <c r="F655" s="14"/>
      <c r="G655" s="13" t="str">
        <f t="array" ref="G655">iferror(XLOOKUP(A655,'Download of SFDC Activation Rep'!B:B,'Download of SFDC Activation Rep'!H:H),"")</f>
        <v/>
      </c>
      <c r="H655" s="13" t="str">
        <f t="array" ref="H655">iferror(xlookup(A655,'Download of SFDC Activation Rep'!B:B,'Download of SFDC Activation Rep'!L:L),"")</f>
        <v/>
      </c>
      <c r="I655" s="17" t="str">
        <f t="shared" si="2"/>
        <v>Not Active</v>
      </c>
      <c r="J655" s="17" t="str">
        <f t="array" ref="J655">XLOOKUP(A655,'Download of SFDC Activation Rep'!B:B,'Download of SFDC Activation Rep'!T:T)</f>
        <v>#N/A</v>
      </c>
      <c r="K655" s="17" t="str">
        <f t="array" ref="K655">iferror(XLOOKUP(A655,'Download of SFDC Activation Rep'!B:B,'Download of SFDC Activation Rep'!C:C),"")</f>
        <v/>
      </c>
    </row>
    <row r="656">
      <c r="B656" s="14"/>
      <c r="C656" s="14"/>
      <c r="D656" s="14"/>
      <c r="E656" s="14"/>
      <c r="F656" s="14"/>
      <c r="G656" s="13" t="str">
        <f t="array" ref="G656">iferror(XLOOKUP(A656,'Download of SFDC Activation Rep'!B:B,'Download of SFDC Activation Rep'!H:H),"")</f>
        <v/>
      </c>
      <c r="H656" s="13" t="str">
        <f t="array" ref="H656">iferror(xlookup(A656,'Download of SFDC Activation Rep'!B:B,'Download of SFDC Activation Rep'!L:L),"")</f>
        <v/>
      </c>
      <c r="I656" s="17" t="str">
        <f t="shared" si="2"/>
        <v>Not Active</v>
      </c>
      <c r="J656" s="17" t="str">
        <f t="array" ref="J656">XLOOKUP(A656,'Download of SFDC Activation Rep'!B:B,'Download of SFDC Activation Rep'!T:T)</f>
        <v>#N/A</v>
      </c>
      <c r="K656" s="17" t="str">
        <f t="array" ref="K656">iferror(XLOOKUP(A656,'Download of SFDC Activation Rep'!B:B,'Download of SFDC Activation Rep'!C:C),"")</f>
        <v/>
      </c>
    </row>
    <row r="657">
      <c r="B657" s="14"/>
      <c r="C657" s="14"/>
      <c r="D657" s="14"/>
      <c r="E657" s="14"/>
      <c r="F657" s="14"/>
      <c r="G657" s="13" t="str">
        <f t="array" ref="G657">iferror(XLOOKUP(A657,'Download of SFDC Activation Rep'!B:B,'Download of SFDC Activation Rep'!H:H),"")</f>
        <v/>
      </c>
      <c r="H657" s="13" t="str">
        <f t="array" ref="H657">iferror(xlookup(A657,'Download of SFDC Activation Rep'!B:B,'Download of SFDC Activation Rep'!L:L),"")</f>
        <v/>
      </c>
      <c r="I657" s="17" t="str">
        <f t="shared" si="2"/>
        <v>Not Active</v>
      </c>
      <c r="J657" s="17" t="str">
        <f t="array" ref="J657">XLOOKUP(A657,'Download of SFDC Activation Rep'!B:B,'Download of SFDC Activation Rep'!T:T)</f>
        <v>#N/A</v>
      </c>
      <c r="K657" s="17" t="str">
        <f t="array" ref="K657">iferror(XLOOKUP(A657,'Download of SFDC Activation Rep'!B:B,'Download of SFDC Activation Rep'!C:C),"")</f>
        <v/>
      </c>
    </row>
    <row r="658">
      <c r="B658" s="14"/>
      <c r="C658" s="14"/>
      <c r="D658" s="14"/>
      <c r="E658" s="14"/>
      <c r="F658" s="14"/>
      <c r="G658" s="13" t="str">
        <f t="array" ref="G658">iferror(XLOOKUP(A658,'Download of SFDC Activation Rep'!B:B,'Download of SFDC Activation Rep'!H:H),"")</f>
        <v/>
      </c>
      <c r="H658" s="13" t="str">
        <f t="array" ref="H658">iferror(xlookup(A658,'Download of SFDC Activation Rep'!B:B,'Download of SFDC Activation Rep'!L:L),"")</f>
        <v/>
      </c>
      <c r="I658" s="17" t="str">
        <f t="shared" si="2"/>
        <v>Not Active</v>
      </c>
      <c r="J658" s="17" t="str">
        <f t="array" ref="J658">XLOOKUP(A658,'Download of SFDC Activation Rep'!B:B,'Download of SFDC Activation Rep'!T:T)</f>
        <v>#N/A</v>
      </c>
      <c r="K658" s="17" t="str">
        <f t="array" ref="K658">iferror(XLOOKUP(A658,'Download of SFDC Activation Rep'!B:B,'Download of SFDC Activation Rep'!C:C),"")</f>
        <v/>
      </c>
    </row>
    <row r="659">
      <c r="B659" s="14"/>
      <c r="C659" s="14"/>
      <c r="D659" s="14"/>
      <c r="E659" s="14"/>
      <c r="F659" s="14"/>
      <c r="G659" s="13" t="str">
        <f t="array" ref="G659">iferror(XLOOKUP(A659,'Download of SFDC Activation Rep'!B:B,'Download of SFDC Activation Rep'!H:H),"")</f>
        <v/>
      </c>
      <c r="H659" s="13" t="str">
        <f t="array" ref="H659">iferror(xlookup(A659,'Download of SFDC Activation Rep'!B:B,'Download of SFDC Activation Rep'!L:L),"")</f>
        <v/>
      </c>
      <c r="I659" s="17" t="str">
        <f t="shared" si="2"/>
        <v>Not Active</v>
      </c>
      <c r="J659" s="17" t="str">
        <f t="array" ref="J659">XLOOKUP(A659,'Download of SFDC Activation Rep'!B:B,'Download of SFDC Activation Rep'!T:T)</f>
        <v>#N/A</v>
      </c>
      <c r="K659" s="17" t="str">
        <f t="array" ref="K659">iferror(XLOOKUP(A659,'Download of SFDC Activation Rep'!B:B,'Download of SFDC Activation Rep'!C:C),"")</f>
        <v/>
      </c>
    </row>
    <row r="660">
      <c r="B660" s="14"/>
      <c r="C660" s="14"/>
      <c r="D660" s="14"/>
      <c r="E660" s="14"/>
      <c r="F660" s="14"/>
      <c r="G660" s="13" t="str">
        <f t="array" ref="G660">iferror(XLOOKUP(A660,'Download of SFDC Activation Rep'!B:B,'Download of SFDC Activation Rep'!H:H),"")</f>
        <v/>
      </c>
      <c r="H660" s="13" t="str">
        <f t="array" ref="H660">iferror(xlookup(A660,'Download of SFDC Activation Rep'!B:B,'Download of SFDC Activation Rep'!L:L),"")</f>
        <v/>
      </c>
      <c r="I660" s="17" t="str">
        <f t="shared" si="2"/>
        <v>Not Active</v>
      </c>
      <c r="J660" s="17" t="str">
        <f t="array" ref="J660">XLOOKUP(A660,'Download of SFDC Activation Rep'!B:B,'Download of SFDC Activation Rep'!T:T)</f>
        <v>#N/A</v>
      </c>
      <c r="K660" s="17" t="str">
        <f t="array" ref="K660">iferror(XLOOKUP(A660,'Download of SFDC Activation Rep'!B:B,'Download of SFDC Activation Rep'!C:C),"")</f>
        <v/>
      </c>
    </row>
    <row r="661">
      <c r="B661" s="14"/>
      <c r="C661" s="14"/>
      <c r="D661" s="14"/>
      <c r="E661" s="14"/>
      <c r="F661" s="14"/>
      <c r="G661" s="13" t="str">
        <f t="array" ref="G661">iferror(XLOOKUP(A661,'Download of SFDC Activation Rep'!B:B,'Download of SFDC Activation Rep'!H:H),"")</f>
        <v/>
      </c>
      <c r="H661" s="13" t="str">
        <f t="array" ref="H661">iferror(xlookup(A661,'Download of SFDC Activation Rep'!B:B,'Download of SFDC Activation Rep'!L:L),"")</f>
        <v/>
      </c>
      <c r="I661" s="17" t="str">
        <f t="shared" si="2"/>
        <v>Not Active</v>
      </c>
      <c r="J661" s="17" t="str">
        <f t="array" ref="J661">XLOOKUP(A661,'Download of SFDC Activation Rep'!B:B,'Download of SFDC Activation Rep'!T:T)</f>
        <v>#N/A</v>
      </c>
      <c r="K661" s="17" t="str">
        <f t="array" ref="K661">iferror(XLOOKUP(A661,'Download of SFDC Activation Rep'!B:B,'Download of SFDC Activation Rep'!C:C),"")</f>
        <v/>
      </c>
    </row>
    <row r="662">
      <c r="B662" s="14"/>
      <c r="C662" s="14"/>
      <c r="D662" s="14"/>
      <c r="E662" s="14"/>
      <c r="F662" s="14"/>
      <c r="G662" s="13" t="str">
        <f t="array" ref="G662">iferror(XLOOKUP(A662,'Download of SFDC Activation Rep'!B:B,'Download of SFDC Activation Rep'!H:H),"")</f>
        <v/>
      </c>
      <c r="H662" s="13" t="str">
        <f t="array" ref="H662">iferror(xlookup(A662,'Download of SFDC Activation Rep'!B:B,'Download of SFDC Activation Rep'!L:L),"")</f>
        <v/>
      </c>
      <c r="I662" s="17" t="str">
        <f t="shared" si="2"/>
        <v>Not Active</v>
      </c>
      <c r="J662" s="17" t="str">
        <f t="array" ref="J662">XLOOKUP(A662,'Download of SFDC Activation Rep'!B:B,'Download of SFDC Activation Rep'!T:T)</f>
        <v>#N/A</v>
      </c>
      <c r="K662" s="17" t="str">
        <f t="array" ref="K662">iferror(XLOOKUP(A662,'Download of SFDC Activation Rep'!B:B,'Download of SFDC Activation Rep'!C:C),"")</f>
        <v/>
      </c>
    </row>
    <row r="663">
      <c r="B663" s="14"/>
      <c r="C663" s="14"/>
      <c r="D663" s="14"/>
      <c r="E663" s="14"/>
      <c r="F663" s="14"/>
      <c r="G663" s="13" t="str">
        <f t="array" ref="G663">iferror(XLOOKUP(A663,'Download of SFDC Activation Rep'!B:B,'Download of SFDC Activation Rep'!H:H),"")</f>
        <v/>
      </c>
      <c r="H663" s="13" t="str">
        <f t="array" ref="H663">iferror(xlookup(A663,'Download of SFDC Activation Rep'!B:B,'Download of SFDC Activation Rep'!L:L),"")</f>
        <v/>
      </c>
      <c r="I663" s="17" t="str">
        <f t="shared" si="2"/>
        <v>Not Active</v>
      </c>
      <c r="J663" s="17" t="str">
        <f t="array" ref="J663">XLOOKUP(A663,'Download of SFDC Activation Rep'!B:B,'Download of SFDC Activation Rep'!T:T)</f>
        <v>#N/A</v>
      </c>
      <c r="K663" s="17" t="str">
        <f t="array" ref="K663">iferror(XLOOKUP(A663,'Download of SFDC Activation Rep'!B:B,'Download of SFDC Activation Rep'!C:C),"")</f>
        <v/>
      </c>
    </row>
    <row r="664">
      <c r="B664" s="14"/>
      <c r="C664" s="14"/>
      <c r="D664" s="14"/>
      <c r="E664" s="14"/>
      <c r="F664" s="14"/>
      <c r="G664" s="13" t="str">
        <f t="array" ref="G664">iferror(XLOOKUP(A664,'Download of SFDC Activation Rep'!B:B,'Download of SFDC Activation Rep'!H:H),"")</f>
        <v/>
      </c>
      <c r="H664" s="13" t="str">
        <f t="array" ref="H664">iferror(xlookup(A664,'Download of SFDC Activation Rep'!B:B,'Download of SFDC Activation Rep'!L:L),"")</f>
        <v/>
      </c>
      <c r="I664" s="17" t="str">
        <f t="shared" si="2"/>
        <v>Not Active</v>
      </c>
      <c r="J664" s="17" t="str">
        <f t="array" ref="J664">XLOOKUP(A664,'Download of SFDC Activation Rep'!B:B,'Download of SFDC Activation Rep'!T:T)</f>
        <v>#N/A</v>
      </c>
      <c r="K664" s="17" t="str">
        <f t="array" ref="K664">iferror(XLOOKUP(A664,'Download of SFDC Activation Rep'!B:B,'Download of SFDC Activation Rep'!C:C),"")</f>
        <v/>
      </c>
    </row>
    <row r="665">
      <c r="B665" s="14"/>
      <c r="C665" s="14"/>
      <c r="D665" s="14"/>
      <c r="E665" s="14"/>
      <c r="F665" s="14"/>
      <c r="G665" s="13" t="str">
        <f t="array" ref="G665">iferror(XLOOKUP(A665,'Download of SFDC Activation Rep'!B:B,'Download of SFDC Activation Rep'!H:H),"")</f>
        <v/>
      </c>
      <c r="H665" s="13" t="str">
        <f t="array" ref="H665">iferror(xlookup(A665,'Download of SFDC Activation Rep'!B:B,'Download of SFDC Activation Rep'!L:L),"")</f>
        <v/>
      </c>
      <c r="I665" s="17" t="str">
        <f t="shared" si="2"/>
        <v>Not Active</v>
      </c>
      <c r="J665" s="17" t="str">
        <f t="array" ref="J665">XLOOKUP(A665,'Download of SFDC Activation Rep'!B:B,'Download of SFDC Activation Rep'!T:T)</f>
        <v>#N/A</v>
      </c>
      <c r="K665" s="17" t="str">
        <f t="array" ref="K665">iferror(XLOOKUP(A665,'Download of SFDC Activation Rep'!B:B,'Download of SFDC Activation Rep'!C:C),"")</f>
        <v/>
      </c>
    </row>
    <row r="666">
      <c r="B666" s="14"/>
      <c r="C666" s="14"/>
      <c r="D666" s="14"/>
      <c r="E666" s="14"/>
      <c r="F666" s="14"/>
      <c r="G666" s="13" t="str">
        <f t="array" ref="G666">iferror(XLOOKUP(A666,'Download of SFDC Activation Rep'!B:B,'Download of SFDC Activation Rep'!H:H),"")</f>
        <v/>
      </c>
      <c r="H666" s="13" t="str">
        <f t="array" ref="H666">iferror(xlookup(A666,'Download of SFDC Activation Rep'!B:B,'Download of SFDC Activation Rep'!L:L),"")</f>
        <v/>
      </c>
      <c r="I666" s="17" t="str">
        <f t="shared" si="2"/>
        <v>Not Active</v>
      </c>
      <c r="J666" s="17" t="str">
        <f t="array" ref="J666">XLOOKUP(A666,'Download of SFDC Activation Rep'!B:B,'Download of SFDC Activation Rep'!T:T)</f>
        <v>#N/A</v>
      </c>
      <c r="K666" s="17" t="str">
        <f t="array" ref="K666">iferror(XLOOKUP(A666,'Download of SFDC Activation Rep'!B:B,'Download of SFDC Activation Rep'!C:C),"")</f>
        <v/>
      </c>
    </row>
    <row r="667">
      <c r="B667" s="14"/>
      <c r="C667" s="14"/>
      <c r="D667" s="14"/>
      <c r="E667" s="14"/>
      <c r="F667" s="14"/>
      <c r="G667" s="13" t="str">
        <f t="array" ref="G667">iferror(XLOOKUP(A667,'Download of SFDC Activation Rep'!B:B,'Download of SFDC Activation Rep'!H:H),"")</f>
        <v/>
      </c>
      <c r="H667" s="13" t="str">
        <f t="array" ref="H667">iferror(xlookup(A667,'Download of SFDC Activation Rep'!B:B,'Download of SFDC Activation Rep'!L:L),"")</f>
        <v/>
      </c>
      <c r="I667" s="17" t="str">
        <f t="shared" si="2"/>
        <v>Not Active</v>
      </c>
      <c r="J667" s="17" t="str">
        <f t="array" ref="J667">XLOOKUP(A667,'Download of SFDC Activation Rep'!B:B,'Download of SFDC Activation Rep'!T:T)</f>
        <v>#N/A</v>
      </c>
      <c r="K667" s="17" t="str">
        <f t="array" ref="K667">iferror(XLOOKUP(A667,'Download of SFDC Activation Rep'!B:B,'Download of SFDC Activation Rep'!C:C),"")</f>
        <v/>
      </c>
    </row>
    <row r="668">
      <c r="B668" s="14"/>
      <c r="C668" s="14"/>
      <c r="D668" s="14"/>
      <c r="E668" s="14"/>
      <c r="F668" s="14"/>
      <c r="G668" s="13" t="str">
        <f t="array" ref="G668">iferror(XLOOKUP(A668,'Download of SFDC Activation Rep'!B:B,'Download of SFDC Activation Rep'!H:H),"")</f>
        <v/>
      </c>
      <c r="H668" s="13" t="str">
        <f t="array" ref="H668">iferror(xlookup(A668,'Download of SFDC Activation Rep'!B:B,'Download of SFDC Activation Rep'!L:L),"")</f>
        <v/>
      </c>
      <c r="I668" s="17" t="str">
        <f t="shared" si="2"/>
        <v>Not Active</v>
      </c>
      <c r="J668" s="17" t="str">
        <f t="array" ref="J668">XLOOKUP(A668,'Download of SFDC Activation Rep'!B:B,'Download of SFDC Activation Rep'!T:T)</f>
        <v>#N/A</v>
      </c>
      <c r="K668" s="17" t="str">
        <f t="array" ref="K668">iferror(XLOOKUP(A668,'Download of SFDC Activation Rep'!B:B,'Download of SFDC Activation Rep'!C:C),"")</f>
        <v/>
      </c>
    </row>
    <row r="669">
      <c r="B669" s="14"/>
      <c r="C669" s="14"/>
      <c r="D669" s="14"/>
      <c r="E669" s="14"/>
      <c r="F669" s="14"/>
      <c r="G669" s="13" t="str">
        <f t="array" ref="G669">iferror(XLOOKUP(A669,'Download of SFDC Activation Rep'!B:B,'Download of SFDC Activation Rep'!H:H),"")</f>
        <v/>
      </c>
      <c r="H669" s="13" t="str">
        <f t="array" ref="H669">iferror(xlookup(A669,'Download of SFDC Activation Rep'!B:B,'Download of SFDC Activation Rep'!L:L),"")</f>
        <v/>
      </c>
      <c r="I669" s="17" t="str">
        <f t="shared" si="2"/>
        <v>Not Active</v>
      </c>
      <c r="J669" s="17" t="str">
        <f t="array" ref="J669">XLOOKUP(A669,'Download of SFDC Activation Rep'!B:B,'Download of SFDC Activation Rep'!T:T)</f>
        <v>#N/A</v>
      </c>
      <c r="K669" s="17" t="str">
        <f t="array" ref="K669">iferror(XLOOKUP(A669,'Download of SFDC Activation Rep'!B:B,'Download of SFDC Activation Rep'!C:C),"")</f>
        <v/>
      </c>
    </row>
    <row r="670">
      <c r="B670" s="14"/>
      <c r="C670" s="14"/>
      <c r="D670" s="14"/>
      <c r="E670" s="14"/>
      <c r="F670" s="14"/>
      <c r="G670" s="13" t="str">
        <f t="array" ref="G670">iferror(XLOOKUP(A670,'Download of SFDC Activation Rep'!B:B,'Download of SFDC Activation Rep'!H:H),"")</f>
        <v/>
      </c>
      <c r="H670" s="13" t="str">
        <f t="array" ref="H670">iferror(xlookup(A670,'Download of SFDC Activation Rep'!B:B,'Download of SFDC Activation Rep'!L:L),"")</f>
        <v/>
      </c>
      <c r="I670" s="17" t="str">
        <f t="shared" si="2"/>
        <v>Not Active</v>
      </c>
      <c r="J670" s="17" t="str">
        <f t="array" ref="J670">XLOOKUP(A670,'Download of SFDC Activation Rep'!B:B,'Download of SFDC Activation Rep'!T:T)</f>
        <v>#N/A</v>
      </c>
      <c r="K670" s="17" t="str">
        <f t="array" ref="K670">iferror(XLOOKUP(A670,'Download of SFDC Activation Rep'!B:B,'Download of SFDC Activation Rep'!C:C),"")</f>
        <v/>
      </c>
    </row>
    <row r="671">
      <c r="B671" s="14"/>
      <c r="C671" s="14"/>
      <c r="D671" s="14"/>
      <c r="E671" s="14"/>
      <c r="F671" s="14"/>
      <c r="G671" s="13" t="str">
        <f t="array" ref="G671">iferror(XLOOKUP(A671,'Download of SFDC Activation Rep'!B:B,'Download of SFDC Activation Rep'!H:H),"")</f>
        <v/>
      </c>
      <c r="H671" s="13" t="str">
        <f t="array" ref="H671">iferror(xlookup(A671,'Download of SFDC Activation Rep'!B:B,'Download of SFDC Activation Rep'!L:L),"")</f>
        <v/>
      </c>
      <c r="I671" s="17" t="str">
        <f t="shared" si="2"/>
        <v>Not Active</v>
      </c>
      <c r="J671" s="17" t="str">
        <f t="array" ref="J671">XLOOKUP(A671,'Download of SFDC Activation Rep'!B:B,'Download of SFDC Activation Rep'!T:T)</f>
        <v>#N/A</v>
      </c>
      <c r="K671" s="17" t="str">
        <f t="array" ref="K671">iferror(XLOOKUP(A671,'Download of SFDC Activation Rep'!B:B,'Download of SFDC Activation Rep'!C:C),"")</f>
        <v/>
      </c>
    </row>
    <row r="672">
      <c r="B672" s="14"/>
      <c r="C672" s="14"/>
      <c r="D672" s="14"/>
      <c r="E672" s="14"/>
      <c r="F672" s="14"/>
      <c r="G672" s="13" t="str">
        <f t="array" ref="G672">iferror(XLOOKUP(A672,'Download of SFDC Activation Rep'!B:B,'Download of SFDC Activation Rep'!H:H),"")</f>
        <v/>
      </c>
      <c r="H672" s="13" t="str">
        <f t="array" ref="H672">iferror(xlookup(A672,'Download of SFDC Activation Rep'!B:B,'Download of SFDC Activation Rep'!L:L),"")</f>
        <v/>
      </c>
      <c r="I672" s="17" t="str">
        <f t="shared" si="2"/>
        <v>Not Active</v>
      </c>
      <c r="J672" s="17" t="str">
        <f t="array" ref="J672">XLOOKUP(A672,'Download of SFDC Activation Rep'!B:B,'Download of SFDC Activation Rep'!T:T)</f>
        <v>#N/A</v>
      </c>
      <c r="K672" s="17" t="str">
        <f t="array" ref="K672">iferror(XLOOKUP(A672,'Download of SFDC Activation Rep'!B:B,'Download of SFDC Activation Rep'!C:C),"")</f>
        <v/>
      </c>
    </row>
    <row r="673">
      <c r="B673" s="14"/>
      <c r="C673" s="14"/>
      <c r="D673" s="14"/>
      <c r="E673" s="14"/>
      <c r="F673" s="14"/>
      <c r="G673" s="13" t="str">
        <f t="array" ref="G673">iferror(XLOOKUP(A673,'Download of SFDC Activation Rep'!B:B,'Download of SFDC Activation Rep'!H:H),"")</f>
        <v/>
      </c>
      <c r="H673" s="13" t="str">
        <f t="array" ref="H673">iferror(xlookup(A673,'Download of SFDC Activation Rep'!B:B,'Download of SFDC Activation Rep'!L:L),"")</f>
        <v/>
      </c>
      <c r="I673" s="17" t="str">
        <f t="shared" si="2"/>
        <v>Not Active</v>
      </c>
      <c r="J673" s="17" t="str">
        <f t="array" ref="J673">XLOOKUP(A673,'Download of SFDC Activation Rep'!B:B,'Download of SFDC Activation Rep'!T:T)</f>
        <v>#N/A</v>
      </c>
      <c r="K673" s="17" t="str">
        <f t="array" ref="K673">iferror(XLOOKUP(A673,'Download of SFDC Activation Rep'!B:B,'Download of SFDC Activation Rep'!C:C),"")</f>
        <v/>
      </c>
    </row>
    <row r="674">
      <c r="B674" s="14"/>
      <c r="C674" s="14"/>
      <c r="D674" s="14"/>
      <c r="E674" s="14"/>
      <c r="F674" s="14"/>
      <c r="G674" s="13" t="str">
        <f t="array" ref="G674">iferror(XLOOKUP(A674,'Download of SFDC Activation Rep'!B:B,'Download of SFDC Activation Rep'!H:H),"")</f>
        <v/>
      </c>
      <c r="H674" s="13" t="str">
        <f t="array" ref="H674">iferror(xlookup(A674,'Download of SFDC Activation Rep'!B:B,'Download of SFDC Activation Rep'!L:L),"")</f>
        <v/>
      </c>
      <c r="I674" s="17" t="str">
        <f t="shared" si="2"/>
        <v>Not Active</v>
      </c>
      <c r="J674" s="17" t="str">
        <f t="array" ref="J674">XLOOKUP(A674,'Download of SFDC Activation Rep'!B:B,'Download of SFDC Activation Rep'!T:T)</f>
        <v>#N/A</v>
      </c>
      <c r="K674" s="17" t="str">
        <f t="array" ref="K674">iferror(XLOOKUP(A674,'Download of SFDC Activation Rep'!B:B,'Download of SFDC Activation Rep'!C:C),"")</f>
        <v/>
      </c>
    </row>
    <row r="675">
      <c r="B675" s="14"/>
      <c r="C675" s="14"/>
      <c r="D675" s="14"/>
      <c r="E675" s="14"/>
      <c r="F675" s="14"/>
      <c r="G675" s="13" t="str">
        <f t="array" ref="G675">iferror(XLOOKUP(A675,'Download of SFDC Activation Rep'!B:B,'Download of SFDC Activation Rep'!H:H),"")</f>
        <v/>
      </c>
      <c r="H675" s="13" t="str">
        <f t="array" ref="H675">iferror(xlookup(A675,'Download of SFDC Activation Rep'!B:B,'Download of SFDC Activation Rep'!L:L),"")</f>
        <v/>
      </c>
      <c r="I675" s="17" t="str">
        <f t="shared" si="2"/>
        <v>Not Active</v>
      </c>
      <c r="J675" s="17" t="str">
        <f t="array" ref="J675">XLOOKUP(A675,'Download of SFDC Activation Rep'!B:B,'Download of SFDC Activation Rep'!T:T)</f>
        <v>#N/A</v>
      </c>
      <c r="K675" s="17" t="str">
        <f t="array" ref="K675">iferror(XLOOKUP(A675,'Download of SFDC Activation Rep'!B:B,'Download of SFDC Activation Rep'!C:C),"")</f>
        <v/>
      </c>
    </row>
    <row r="676">
      <c r="B676" s="14"/>
      <c r="C676" s="14"/>
      <c r="D676" s="14"/>
      <c r="E676" s="14"/>
      <c r="F676" s="14"/>
      <c r="G676" s="13" t="str">
        <f t="array" ref="G676">iferror(XLOOKUP(A676,'Download of SFDC Activation Rep'!B:B,'Download of SFDC Activation Rep'!H:H),"")</f>
        <v/>
      </c>
      <c r="H676" s="13" t="str">
        <f t="array" ref="H676">iferror(xlookup(A676,'Download of SFDC Activation Rep'!B:B,'Download of SFDC Activation Rep'!L:L),"")</f>
        <v/>
      </c>
      <c r="I676" s="17" t="str">
        <f t="shared" si="2"/>
        <v>Not Active</v>
      </c>
      <c r="J676" s="17" t="str">
        <f t="array" ref="J676">XLOOKUP(A676,'Download of SFDC Activation Rep'!B:B,'Download of SFDC Activation Rep'!T:T)</f>
        <v>#N/A</v>
      </c>
      <c r="K676" s="17" t="str">
        <f t="array" ref="K676">iferror(XLOOKUP(A676,'Download of SFDC Activation Rep'!B:B,'Download of SFDC Activation Rep'!C:C),"")</f>
        <v/>
      </c>
    </row>
    <row r="677">
      <c r="B677" s="14"/>
      <c r="C677" s="14"/>
      <c r="D677" s="14"/>
      <c r="E677" s="14"/>
      <c r="F677" s="14"/>
      <c r="G677" s="13" t="str">
        <f t="array" ref="G677">iferror(XLOOKUP(A677,'Download of SFDC Activation Rep'!B:B,'Download of SFDC Activation Rep'!H:H),"")</f>
        <v/>
      </c>
      <c r="H677" s="13" t="str">
        <f t="array" ref="H677">iferror(xlookup(A677,'Download of SFDC Activation Rep'!B:B,'Download of SFDC Activation Rep'!L:L),"")</f>
        <v/>
      </c>
      <c r="I677" s="17" t="str">
        <f t="shared" si="2"/>
        <v>Not Active</v>
      </c>
      <c r="J677" s="17" t="str">
        <f t="array" ref="J677">XLOOKUP(A677,'Download of SFDC Activation Rep'!B:B,'Download of SFDC Activation Rep'!T:T)</f>
        <v>#N/A</v>
      </c>
      <c r="K677" s="17" t="str">
        <f t="array" ref="K677">iferror(XLOOKUP(A677,'Download of SFDC Activation Rep'!B:B,'Download of SFDC Activation Rep'!C:C),"")</f>
        <v/>
      </c>
    </row>
    <row r="678">
      <c r="B678" s="14"/>
      <c r="C678" s="14"/>
      <c r="D678" s="14"/>
      <c r="E678" s="14"/>
      <c r="F678" s="14"/>
      <c r="G678" s="13" t="str">
        <f t="array" ref="G678">iferror(XLOOKUP(A678,'Download of SFDC Activation Rep'!B:B,'Download of SFDC Activation Rep'!H:H),"")</f>
        <v/>
      </c>
      <c r="H678" s="13" t="str">
        <f t="array" ref="H678">iferror(xlookup(A678,'Download of SFDC Activation Rep'!B:B,'Download of SFDC Activation Rep'!L:L),"")</f>
        <v/>
      </c>
      <c r="I678" s="17" t="str">
        <f t="shared" si="2"/>
        <v>Not Active</v>
      </c>
      <c r="J678" s="17" t="str">
        <f t="array" ref="J678">XLOOKUP(A678,'Download of SFDC Activation Rep'!B:B,'Download of SFDC Activation Rep'!T:T)</f>
        <v>#N/A</v>
      </c>
      <c r="K678" s="17" t="str">
        <f t="array" ref="K678">iferror(XLOOKUP(A678,'Download of SFDC Activation Rep'!B:B,'Download of SFDC Activation Rep'!C:C),"")</f>
        <v/>
      </c>
    </row>
    <row r="679">
      <c r="B679" s="14"/>
      <c r="C679" s="14"/>
      <c r="D679" s="14"/>
      <c r="E679" s="14"/>
      <c r="F679" s="14"/>
      <c r="G679" s="13" t="str">
        <f t="array" ref="G679">iferror(XLOOKUP(A679,'Download of SFDC Activation Rep'!B:B,'Download of SFDC Activation Rep'!H:H),"")</f>
        <v/>
      </c>
      <c r="H679" s="13" t="str">
        <f t="array" ref="H679">iferror(xlookup(A679,'Download of SFDC Activation Rep'!B:B,'Download of SFDC Activation Rep'!L:L),"")</f>
        <v/>
      </c>
      <c r="I679" s="17" t="str">
        <f t="shared" si="2"/>
        <v>Not Active</v>
      </c>
      <c r="J679" s="17" t="str">
        <f t="array" ref="J679">XLOOKUP(A679,'Download of SFDC Activation Rep'!B:B,'Download of SFDC Activation Rep'!T:T)</f>
        <v>#N/A</v>
      </c>
      <c r="K679" s="17" t="str">
        <f t="array" ref="K679">iferror(XLOOKUP(A679,'Download of SFDC Activation Rep'!B:B,'Download of SFDC Activation Rep'!C:C),"")</f>
        <v/>
      </c>
    </row>
    <row r="680">
      <c r="B680" s="14"/>
      <c r="C680" s="14"/>
      <c r="D680" s="14"/>
      <c r="E680" s="14"/>
      <c r="F680" s="14"/>
      <c r="G680" s="13" t="str">
        <f t="array" ref="G680">iferror(XLOOKUP(A680,'Download of SFDC Activation Rep'!B:B,'Download of SFDC Activation Rep'!H:H),"")</f>
        <v/>
      </c>
      <c r="H680" s="13" t="str">
        <f t="array" ref="H680">iferror(xlookup(A680,'Download of SFDC Activation Rep'!B:B,'Download of SFDC Activation Rep'!L:L),"")</f>
        <v/>
      </c>
      <c r="I680" s="17" t="str">
        <f t="shared" si="2"/>
        <v>Not Active</v>
      </c>
      <c r="J680" s="17" t="str">
        <f t="array" ref="J680">XLOOKUP(A680,'Download of SFDC Activation Rep'!B:B,'Download of SFDC Activation Rep'!T:T)</f>
        <v>#N/A</v>
      </c>
      <c r="K680" s="17" t="str">
        <f t="array" ref="K680">iferror(XLOOKUP(A680,'Download of SFDC Activation Rep'!B:B,'Download of SFDC Activation Rep'!C:C),"")</f>
        <v/>
      </c>
    </row>
    <row r="681">
      <c r="B681" s="14"/>
      <c r="C681" s="14"/>
      <c r="D681" s="14"/>
      <c r="E681" s="14"/>
      <c r="F681" s="14"/>
      <c r="G681" s="13" t="str">
        <f t="array" ref="G681">iferror(XLOOKUP(A681,'Download of SFDC Activation Rep'!B:B,'Download of SFDC Activation Rep'!H:H),"")</f>
        <v/>
      </c>
      <c r="H681" s="13" t="str">
        <f t="array" ref="H681">iferror(xlookup(A681,'Download of SFDC Activation Rep'!B:B,'Download of SFDC Activation Rep'!L:L),"")</f>
        <v/>
      </c>
      <c r="I681" s="17" t="str">
        <f t="shared" si="2"/>
        <v>Not Active</v>
      </c>
      <c r="J681" s="17" t="str">
        <f t="array" ref="J681">XLOOKUP(A681,'Download of SFDC Activation Rep'!B:B,'Download of SFDC Activation Rep'!T:T)</f>
        <v>#N/A</v>
      </c>
      <c r="K681" s="17" t="str">
        <f t="array" ref="K681">iferror(XLOOKUP(A681,'Download of SFDC Activation Rep'!B:B,'Download of SFDC Activation Rep'!C:C),"")</f>
        <v/>
      </c>
    </row>
    <row r="682">
      <c r="B682" s="14"/>
      <c r="C682" s="14"/>
      <c r="D682" s="14"/>
      <c r="E682" s="14"/>
      <c r="F682" s="14"/>
      <c r="G682" s="13" t="str">
        <f t="array" ref="G682">iferror(XLOOKUP(A682,'Download of SFDC Activation Rep'!B:B,'Download of SFDC Activation Rep'!H:H),"")</f>
        <v/>
      </c>
      <c r="H682" s="13" t="str">
        <f t="array" ref="H682">iferror(xlookup(A682,'Download of SFDC Activation Rep'!B:B,'Download of SFDC Activation Rep'!L:L),"")</f>
        <v/>
      </c>
      <c r="I682" s="17" t="str">
        <f t="shared" si="2"/>
        <v>Not Active</v>
      </c>
      <c r="J682" s="17" t="str">
        <f t="array" ref="J682">XLOOKUP(A682,'Download of SFDC Activation Rep'!B:B,'Download of SFDC Activation Rep'!T:T)</f>
        <v>#N/A</v>
      </c>
      <c r="K682" s="17" t="str">
        <f t="array" ref="K682">iferror(XLOOKUP(A682,'Download of SFDC Activation Rep'!B:B,'Download of SFDC Activation Rep'!C:C),"")</f>
        <v/>
      </c>
    </row>
    <row r="683">
      <c r="B683" s="14"/>
      <c r="C683" s="14"/>
      <c r="D683" s="14"/>
      <c r="E683" s="14"/>
      <c r="F683" s="14"/>
      <c r="G683" s="13" t="str">
        <f t="array" ref="G683">iferror(XLOOKUP(A683,'Download of SFDC Activation Rep'!B:B,'Download of SFDC Activation Rep'!H:H),"")</f>
        <v/>
      </c>
      <c r="H683" s="13" t="str">
        <f t="array" ref="H683">iferror(xlookup(A683,'Download of SFDC Activation Rep'!B:B,'Download of SFDC Activation Rep'!L:L),"")</f>
        <v/>
      </c>
      <c r="I683" s="17" t="str">
        <f t="shared" si="2"/>
        <v>Not Active</v>
      </c>
      <c r="J683" s="17" t="str">
        <f t="array" ref="J683">XLOOKUP(A683,'Download of SFDC Activation Rep'!B:B,'Download of SFDC Activation Rep'!T:T)</f>
        <v>#N/A</v>
      </c>
      <c r="K683" s="17" t="str">
        <f t="array" ref="K683">iferror(XLOOKUP(A683,'Download of SFDC Activation Rep'!B:B,'Download of SFDC Activation Rep'!C:C),"")</f>
        <v/>
      </c>
    </row>
    <row r="684">
      <c r="B684" s="14"/>
      <c r="C684" s="14"/>
      <c r="D684" s="14"/>
      <c r="E684" s="14"/>
      <c r="F684" s="14"/>
      <c r="G684" s="13" t="str">
        <f t="array" ref="G684">iferror(XLOOKUP(A684,'Download of SFDC Activation Rep'!B:B,'Download of SFDC Activation Rep'!H:H),"")</f>
        <v/>
      </c>
      <c r="H684" s="13" t="str">
        <f t="array" ref="H684">iferror(xlookup(A684,'Download of SFDC Activation Rep'!B:B,'Download of SFDC Activation Rep'!L:L),"")</f>
        <v/>
      </c>
      <c r="I684" s="17" t="str">
        <f t="shared" si="2"/>
        <v>Not Active</v>
      </c>
      <c r="J684" s="17" t="str">
        <f t="array" ref="J684">XLOOKUP(A684,'Download of SFDC Activation Rep'!B:B,'Download of SFDC Activation Rep'!T:T)</f>
        <v>#N/A</v>
      </c>
      <c r="K684" s="17" t="str">
        <f t="array" ref="K684">iferror(XLOOKUP(A684,'Download of SFDC Activation Rep'!B:B,'Download of SFDC Activation Rep'!C:C),"")</f>
        <v/>
      </c>
    </row>
    <row r="685">
      <c r="B685" s="14"/>
      <c r="C685" s="14"/>
      <c r="D685" s="14"/>
      <c r="E685" s="14"/>
      <c r="F685" s="14"/>
      <c r="G685" s="13" t="str">
        <f t="array" ref="G685">iferror(XLOOKUP(A685,'Download of SFDC Activation Rep'!B:B,'Download of SFDC Activation Rep'!H:H),"")</f>
        <v/>
      </c>
      <c r="H685" s="13" t="str">
        <f t="array" ref="H685">iferror(xlookup(A685,'Download of SFDC Activation Rep'!B:B,'Download of SFDC Activation Rep'!L:L),"")</f>
        <v/>
      </c>
      <c r="I685" s="17" t="str">
        <f t="shared" si="2"/>
        <v>Not Active</v>
      </c>
      <c r="J685" s="17" t="str">
        <f t="array" ref="J685">XLOOKUP(A685,'Download of SFDC Activation Rep'!B:B,'Download of SFDC Activation Rep'!T:T)</f>
        <v>#N/A</v>
      </c>
      <c r="K685" s="17" t="str">
        <f t="array" ref="K685">iferror(XLOOKUP(A685,'Download of SFDC Activation Rep'!B:B,'Download of SFDC Activation Rep'!C:C),"")</f>
        <v/>
      </c>
    </row>
    <row r="686">
      <c r="B686" s="14"/>
      <c r="C686" s="14"/>
      <c r="D686" s="14"/>
      <c r="E686" s="14"/>
      <c r="F686" s="14"/>
      <c r="G686" s="13" t="str">
        <f t="array" ref="G686">iferror(XLOOKUP(A686,'Download of SFDC Activation Rep'!B:B,'Download of SFDC Activation Rep'!H:H),"")</f>
        <v/>
      </c>
      <c r="H686" s="13" t="str">
        <f t="array" ref="H686">iferror(xlookup(A686,'Download of SFDC Activation Rep'!B:B,'Download of SFDC Activation Rep'!L:L),"")</f>
        <v/>
      </c>
      <c r="I686" s="17" t="str">
        <f t="shared" si="2"/>
        <v>Not Active</v>
      </c>
      <c r="J686" s="17" t="str">
        <f t="array" ref="J686">XLOOKUP(A686,'Download of SFDC Activation Rep'!B:B,'Download of SFDC Activation Rep'!T:T)</f>
        <v>#N/A</v>
      </c>
      <c r="K686" s="17" t="str">
        <f t="array" ref="K686">iferror(XLOOKUP(A686,'Download of SFDC Activation Rep'!B:B,'Download of SFDC Activation Rep'!C:C),"")</f>
        <v/>
      </c>
    </row>
    <row r="687">
      <c r="B687" s="14"/>
      <c r="C687" s="14"/>
      <c r="D687" s="14"/>
      <c r="E687" s="14"/>
      <c r="F687" s="14"/>
      <c r="G687" s="13" t="str">
        <f t="array" ref="G687">iferror(XLOOKUP(A687,'Download of SFDC Activation Rep'!B:B,'Download of SFDC Activation Rep'!H:H),"")</f>
        <v/>
      </c>
      <c r="H687" s="13" t="str">
        <f t="array" ref="H687">iferror(xlookup(A687,'Download of SFDC Activation Rep'!B:B,'Download of SFDC Activation Rep'!L:L),"")</f>
        <v/>
      </c>
      <c r="I687" s="17" t="str">
        <f t="shared" si="2"/>
        <v>Not Active</v>
      </c>
      <c r="J687" s="17" t="str">
        <f t="array" ref="J687">XLOOKUP(A687,'Download of SFDC Activation Rep'!B:B,'Download of SFDC Activation Rep'!T:T)</f>
        <v>#N/A</v>
      </c>
      <c r="K687" s="17" t="str">
        <f t="array" ref="K687">iferror(XLOOKUP(A687,'Download of SFDC Activation Rep'!B:B,'Download of SFDC Activation Rep'!C:C),"")</f>
        <v/>
      </c>
    </row>
    <row r="688">
      <c r="B688" s="14"/>
      <c r="C688" s="14"/>
      <c r="D688" s="14"/>
      <c r="E688" s="14"/>
      <c r="F688" s="14"/>
      <c r="G688" s="13" t="str">
        <f t="array" ref="G688">iferror(XLOOKUP(A688,'Download of SFDC Activation Rep'!B:B,'Download of SFDC Activation Rep'!H:H),"")</f>
        <v/>
      </c>
      <c r="H688" s="13" t="str">
        <f t="array" ref="H688">iferror(xlookup(A688,'Download of SFDC Activation Rep'!B:B,'Download of SFDC Activation Rep'!L:L),"")</f>
        <v/>
      </c>
      <c r="I688" s="17" t="str">
        <f t="shared" si="2"/>
        <v>Not Active</v>
      </c>
      <c r="J688" s="17" t="str">
        <f t="array" ref="J688">XLOOKUP(A688,'Download of SFDC Activation Rep'!B:B,'Download of SFDC Activation Rep'!T:T)</f>
        <v>#N/A</v>
      </c>
      <c r="K688" s="17" t="str">
        <f t="array" ref="K688">iferror(XLOOKUP(A688,'Download of SFDC Activation Rep'!B:B,'Download of SFDC Activation Rep'!C:C),"")</f>
        <v/>
      </c>
    </row>
    <row r="689">
      <c r="B689" s="14"/>
      <c r="C689" s="14"/>
      <c r="D689" s="14"/>
      <c r="E689" s="14"/>
      <c r="F689" s="14"/>
      <c r="G689" s="13" t="str">
        <f t="array" ref="G689">iferror(XLOOKUP(A689,'Download of SFDC Activation Rep'!B:B,'Download of SFDC Activation Rep'!H:H),"")</f>
        <v/>
      </c>
      <c r="H689" s="13" t="str">
        <f t="array" ref="H689">iferror(xlookup(A689,'Download of SFDC Activation Rep'!B:B,'Download of SFDC Activation Rep'!L:L),"")</f>
        <v/>
      </c>
      <c r="I689" s="17" t="str">
        <f t="shared" si="2"/>
        <v>Not Active</v>
      </c>
      <c r="J689" s="17" t="str">
        <f t="array" ref="J689">XLOOKUP(A689,'Download of SFDC Activation Rep'!B:B,'Download of SFDC Activation Rep'!T:T)</f>
        <v>#N/A</v>
      </c>
      <c r="K689" s="17" t="str">
        <f t="array" ref="K689">iferror(XLOOKUP(A689,'Download of SFDC Activation Rep'!B:B,'Download of SFDC Activation Rep'!C:C),"")</f>
        <v/>
      </c>
    </row>
    <row r="690">
      <c r="B690" s="14"/>
      <c r="C690" s="14"/>
      <c r="D690" s="14"/>
      <c r="E690" s="14"/>
      <c r="F690" s="14"/>
      <c r="G690" s="13" t="str">
        <f t="array" ref="G690">iferror(XLOOKUP(A690,'Download of SFDC Activation Rep'!B:B,'Download of SFDC Activation Rep'!H:H),"")</f>
        <v/>
      </c>
      <c r="H690" s="13" t="str">
        <f t="array" ref="H690">iferror(xlookup(A690,'Download of SFDC Activation Rep'!B:B,'Download of SFDC Activation Rep'!L:L),"")</f>
        <v/>
      </c>
      <c r="I690" s="17" t="str">
        <f t="shared" si="2"/>
        <v>Not Active</v>
      </c>
      <c r="J690" s="17" t="str">
        <f t="array" ref="J690">XLOOKUP(A690,'Download of SFDC Activation Rep'!B:B,'Download of SFDC Activation Rep'!T:T)</f>
        <v>#N/A</v>
      </c>
      <c r="K690" s="17" t="str">
        <f t="array" ref="K690">iferror(XLOOKUP(A690,'Download of SFDC Activation Rep'!B:B,'Download of SFDC Activation Rep'!C:C),"")</f>
        <v/>
      </c>
    </row>
    <row r="691">
      <c r="B691" s="14"/>
      <c r="C691" s="14"/>
      <c r="D691" s="14"/>
      <c r="E691" s="14"/>
      <c r="F691" s="14"/>
      <c r="G691" s="13" t="str">
        <f t="array" ref="G691">iferror(XLOOKUP(A691,'Download of SFDC Activation Rep'!B:B,'Download of SFDC Activation Rep'!H:H),"")</f>
        <v/>
      </c>
      <c r="H691" s="13" t="str">
        <f t="array" ref="H691">iferror(xlookup(A691,'Download of SFDC Activation Rep'!B:B,'Download of SFDC Activation Rep'!L:L),"")</f>
        <v/>
      </c>
      <c r="I691" s="17" t="str">
        <f t="shared" si="2"/>
        <v>Not Active</v>
      </c>
      <c r="J691" s="17" t="str">
        <f t="array" ref="J691">XLOOKUP(A691,'Download of SFDC Activation Rep'!B:B,'Download of SFDC Activation Rep'!T:T)</f>
        <v>#N/A</v>
      </c>
      <c r="K691" s="17" t="str">
        <f t="array" ref="K691">iferror(XLOOKUP(A691,'Download of SFDC Activation Rep'!B:B,'Download of SFDC Activation Rep'!C:C),"")</f>
        <v/>
      </c>
    </row>
    <row r="692">
      <c r="B692" s="14"/>
      <c r="C692" s="14"/>
      <c r="D692" s="14"/>
      <c r="E692" s="14"/>
      <c r="F692" s="14"/>
      <c r="G692" s="13" t="str">
        <f t="array" ref="G692">iferror(XLOOKUP(A692,'Download of SFDC Activation Rep'!B:B,'Download of SFDC Activation Rep'!H:H),"")</f>
        <v/>
      </c>
      <c r="H692" s="13" t="str">
        <f t="array" ref="H692">iferror(xlookup(A692,'Download of SFDC Activation Rep'!B:B,'Download of SFDC Activation Rep'!L:L),"")</f>
        <v/>
      </c>
      <c r="I692" s="17" t="str">
        <f t="shared" si="2"/>
        <v>Not Active</v>
      </c>
      <c r="J692" s="17" t="str">
        <f t="array" ref="J692">XLOOKUP(A692,'Download of SFDC Activation Rep'!B:B,'Download of SFDC Activation Rep'!T:T)</f>
        <v>#N/A</v>
      </c>
      <c r="K692" s="17" t="str">
        <f t="array" ref="K692">iferror(XLOOKUP(A692,'Download of SFDC Activation Rep'!B:B,'Download of SFDC Activation Rep'!C:C),"")</f>
        <v/>
      </c>
    </row>
    <row r="693">
      <c r="B693" s="14"/>
      <c r="C693" s="14"/>
      <c r="D693" s="14"/>
      <c r="E693" s="14"/>
      <c r="F693" s="14"/>
      <c r="G693" s="13" t="str">
        <f t="array" ref="G693">iferror(XLOOKUP(A693,'Download of SFDC Activation Rep'!B:B,'Download of SFDC Activation Rep'!H:H),"")</f>
        <v/>
      </c>
      <c r="H693" s="13" t="str">
        <f t="array" ref="H693">iferror(xlookup(A693,'Download of SFDC Activation Rep'!B:B,'Download of SFDC Activation Rep'!L:L),"")</f>
        <v/>
      </c>
      <c r="I693" s="17" t="str">
        <f t="shared" si="2"/>
        <v>Not Active</v>
      </c>
      <c r="J693" s="17" t="str">
        <f t="array" ref="J693">XLOOKUP(A693,'Download of SFDC Activation Rep'!B:B,'Download of SFDC Activation Rep'!T:T)</f>
        <v>#N/A</v>
      </c>
      <c r="K693" s="17" t="str">
        <f t="array" ref="K693">iferror(XLOOKUP(A693,'Download of SFDC Activation Rep'!B:B,'Download of SFDC Activation Rep'!C:C),"")</f>
        <v/>
      </c>
    </row>
    <row r="694">
      <c r="B694" s="14"/>
      <c r="C694" s="14"/>
      <c r="D694" s="14"/>
      <c r="E694" s="14"/>
      <c r="F694" s="14"/>
      <c r="G694" s="13" t="str">
        <f t="array" ref="G694">iferror(XLOOKUP(A694,'Download of SFDC Activation Rep'!B:B,'Download of SFDC Activation Rep'!H:H),"")</f>
        <v/>
      </c>
      <c r="H694" s="13" t="str">
        <f t="array" ref="H694">iferror(xlookup(A694,'Download of SFDC Activation Rep'!B:B,'Download of SFDC Activation Rep'!L:L),"")</f>
        <v/>
      </c>
      <c r="I694" s="17" t="str">
        <f t="shared" si="2"/>
        <v>Not Active</v>
      </c>
      <c r="J694" s="17" t="str">
        <f t="array" ref="J694">XLOOKUP(A694,'Download of SFDC Activation Rep'!B:B,'Download of SFDC Activation Rep'!T:T)</f>
        <v>#N/A</v>
      </c>
      <c r="K694" s="17" t="str">
        <f t="array" ref="K694">iferror(XLOOKUP(A694,'Download of SFDC Activation Rep'!B:B,'Download of SFDC Activation Rep'!C:C),"")</f>
        <v/>
      </c>
    </row>
    <row r="695">
      <c r="B695" s="14"/>
      <c r="C695" s="14"/>
      <c r="D695" s="14"/>
      <c r="E695" s="14"/>
      <c r="F695" s="14"/>
      <c r="G695" s="13" t="str">
        <f t="array" ref="G695">iferror(XLOOKUP(A695,'Download of SFDC Activation Rep'!B:B,'Download of SFDC Activation Rep'!H:H),"")</f>
        <v/>
      </c>
      <c r="H695" s="13" t="str">
        <f t="array" ref="H695">iferror(xlookup(A695,'Download of SFDC Activation Rep'!B:B,'Download of SFDC Activation Rep'!L:L),"")</f>
        <v/>
      </c>
      <c r="I695" s="17" t="str">
        <f t="shared" si="2"/>
        <v>Not Active</v>
      </c>
      <c r="J695" s="17" t="str">
        <f t="array" ref="J695">XLOOKUP(A695,'Download of SFDC Activation Rep'!B:B,'Download of SFDC Activation Rep'!T:T)</f>
        <v>#N/A</v>
      </c>
      <c r="K695" s="17" t="str">
        <f t="array" ref="K695">iferror(XLOOKUP(A695,'Download of SFDC Activation Rep'!B:B,'Download of SFDC Activation Rep'!C:C),"")</f>
        <v/>
      </c>
    </row>
    <row r="696">
      <c r="B696" s="14"/>
      <c r="C696" s="14"/>
      <c r="D696" s="14"/>
      <c r="E696" s="14"/>
      <c r="F696" s="14"/>
      <c r="G696" s="13" t="str">
        <f t="array" ref="G696">iferror(XLOOKUP(A696,'Download of SFDC Activation Rep'!B:B,'Download of SFDC Activation Rep'!H:H),"")</f>
        <v/>
      </c>
      <c r="H696" s="13" t="str">
        <f t="array" ref="H696">iferror(xlookup(A696,'Download of SFDC Activation Rep'!B:B,'Download of SFDC Activation Rep'!L:L),"")</f>
        <v/>
      </c>
      <c r="I696" s="17" t="str">
        <f t="shared" si="2"/>
        <v>Not Active</v>
      </c>
      <c r="J696" s="17" t="str">
        <f t="array" ref="J696">XLOOKUP(A696,'Download of SFDC Activation Rep'!B:B,'Download of SFDC Activation Rep'!T:T)</f>
        <v>#N/A</v>
      </c>
      <c r="K696" s="17" t="str">
        <f t="array" ref="K696">iferror(XLOOKUP(A696,'Download of SFDC Activation Rep'!B:B,'Download of SFDC Activation Rep'!C:C),"")</f>
        <v/>
      </c>
    </row>
    <row r="697">
      <c r="B697" s="14"/>
      <c r="C697" s="14"/>
      <c r="D697" s="14"/>
      <c r="E697" s="14"/>
      <c r="F697" s="14"/>
      <c r="G697" s="13" t="str">
        <f t="array" ref="G697">iferror(XLOOKUP(A697,'Download of SFDC Activation Rep'!B:B,'Download of SFDC Activation Rep'!H:H),"")</f>
        <v/>
      </c>
      <c r="H697" s="13" t="str">
        <f t="array" ref="H697">iferror(xlookup(A697,'Download of SFDC Activation Rep'!B:B,'Download of SFDC Activation Rep'!L:L),"")</f>
        <v/>
      </c>
      <c r="I697" s="17" t="str">
        <f t="shared" si="2"/>
        <v>Not Active</v>
      </c>
      <c r="J697" s="17" t="str">
        <f t="array" ref="J697">XLOOKUP(A697,'Download of SFDC Activation Rep'!B:B,'Download of SFDC Activation Rep'!T:T)</f>
        <v>#N/A</v>
      </c>
      <c r="K697" s="17" t="str">
        <f t="array" ref="K697">iferror(XLOOKUP(A697,'Download of SFDC Activation Rep'!B:B,'Download of SFDC Activation Rep'!C:C),"")</f>
        <v/>
      </c>
    </row>
    <row r="698">
      <c r="B698" s="14"/>
      <c r="C698" s="14"/>
      <c r="D698" s="14"/>
      <c r="E698" s="14"/>
      <c r="F698" s="14"/>
      <c r="G698" s="13" t="str">
        <f t="array" ref="G698">iferror(XLOOKUP(A698,'Download of SFDC Activation Rep'!B:B,'Download of SFDC Activation Rep'!H:H),"")</f>
        <v/>
      </c>
      <c r="H698" s="13" t="str">
        <f t="array" ref="H698">iferror(xlookup(A698,'Download of SFDC Activation Rep'!B:B,'Download of SFDC Activation Rep'!L:L),"")</f>
        <v/>
      </c>
      <c r="I698" s="17" t="str">
        <f t="shared" si="2"/>
        <v>Not Active</v>
      </c>
      <c r="J698" s="17" t="str">
        <f t="array" ref="J698">XLOOKUP(A698,'Download of SFDC Activation Rep'!B:B,'Download of SFDC Activation Rep'!T:T)</f>
        <v>#N/A</v>
      </c>
      <c r="K698" s="17" t="str">
        <f t="array" ref="K698">iferror(XLOOKUP(A698,'Download of SFDC Activation Rep'!B:B,'Download of SFDC Activation Rep'!C:C),"")</f>
        <v/>
      </c>
    </row>
    <row r="699">
      <c r="B699" s="14"/>
      <c r="C699" s="14"/>
      <c r="D699" s="14"/>
      <c r="E699" s="14"/>
      <c r="F699" s="14"/>
      <c r="G699" s="13" t="str">
        <f t="array" ref="G699">iferror(XLOOKUP(A699,'Download of SFDC Activation Rep'!B:B,'Download of SFDC Activation Rep'!H:H),"")</f>
        <v/>
      </c>
      <c r="H699" s="13" t="str">
        <f t="array" ref="H699">iferror(xlookup(A699,'Download of SFDC Activation Rep'!B:B,'Download of SFDC Activation Rep'!L:L),"")</f>
        <v/>
      </c>
      <c r="I699" s="17" t="str">
        <f t="shared" si="2"/>
        <v>Not Active</v>
      </c>
      <c r="J699" s="17" t="str">
        <f t="array" ref="J699">XLOOKUP(A699,'Download of SFDC Activation Rep'!B:B,'Download of SFDC Activation Rep'!T:T)</f>
        <v>#N/A</v>
      </c>
      <c r="K699" s="17" t="str">
        <f t="array" ref="K699">iferror(XLOOKUP(A699,'Download of SFDC Activation Rep'!B:B,'Download of SFDC Activation Rep'!C:C),"")</f>
        <v/>
      </c>
    </row>
    <row r="700">
      <c r="B700" s="14"/>
      <c r="C700" s="14"/>
      <c r="D700" s="14"/>
      <c r="E700" s="14"/>
      <c r="F700" s="14"/>
      <c r="G700" s="13" t="str">
        <f t="array" ref="G700">iferror(XLOOKUP(A700,'Download of SFDC Activation Rep'!B:B,'Download of SFDC Activation Rep'!H:H),"")</f>
        <v/>
      </c>
      <c r="H700" s="13" t="str">
        <f t="array" ref="H700">iferror(xlookup(A700,'Download of SFDC Activation Rep'!B:B,'Download of SFDC Activation Rep'!L:L),"")</f>
        <v/>
      </c>
      <c r="I700" s="17" t="str">
        <f t="shared" si="2"/>
        <v>Not Active</v>
      </c>
      <c r="J700" s="17" t="str">
        <f t="array" ref="J700">XLOOKUP(A700,'Download of SFDC Activation Rep'!B:B,'Download of SFDC Activation Rep'!T:T)</f>
        <v>#N/A</v>
      </c>
      <c r="K700" s="17" t="str">
        <f t="array" ref="K700">iferror(XLOOKUP(A700,'Download of SFDC Activation Rep'!B:B,'Download of SFDC Activation Rep'!C:C),"")</f>
        <v/>
      </c>
    </row>
    <row r="701">
      <c r="B701" s="14"/>
      <c r="C701" s="14"/>
      <c r="D701" s="14"/>
      <c r="E701" s="14"/>
      <c r="F701" s="14"/>
      <c r="G701" s="13" t="str">
        <f t="array" ref="G701">iferror(XLOOKUP(A701,'Download of SFDC Activation Rep'!B:B,'Download of SFDC Activation Rep'!H:H),"")</f>
        <v/>
      </c>
      <c r="H701" s="13" t="str">
        <f t="array" ref="H701">iferror(xlookup(A701,'Download of SFDC Activation Rep'!B:B,'Download of SFDC Activation Rep'!L:L),"")</f>
        <v/>
      </c>
      <c r="I701" s="17" t="str">
        <f t="shared" si="2"/>
        <v>Not Active</v>
      </c>
      <c r="J701" s="17" t="str">
        <f t="array" ref="J701">XLOOKUP(A701,'Download of SFDC Activation Rep'!B:B,'Download of SFDC Activation Rep'!T:T)</f>
        <v>#N/A</v>
      </c>
      <c r="K701" s="17" t="str">
        <f t="array" ref="K701">iferror(XLOOKUP(A701,'Download of SFDC Activation Rep'!B:B,'Download of SFDC Activation Rep'!C:C),"")</f>
        <v/>
      </c>
    </row>
    <row r="702">
      <c r="B702" s="14"/>
      <c r="C702" s="14"/>
      <c r="D702" s="14"/>
      <c r="E702" s="14"/>
      <c r="F702" s="14"/>
      <c r="G702" s="13" t="str">
        <f t="array" ref="G702">iferror(XLOOKUP(A702,'Download of SFDC Activation Rep'!B:B,'Download of SFDC Activation Rep'!H:H),"")</f>
        <v/>
      </c>
      <c r="H702" s="13" t="str">
        <f t="array" ref="H702">iferror(xlookup(A702,'Download of SFDC Activation Rep'!B:B,'Download of SFDC Activation Rep'!L:L),"")</f>
        <v/>
      </c>
      <c r="I702" s="17" t="str">
        <f t="shared" si="2"/>
        <v>Not Active</v>
      </c>
      <c r="J702" s="17" t="str">
        <f t="array" ref="J702">XLOOKUP(A702,'Download of SFDC Activation Rep'!B:B,'Download of SFDC Activation Rep'!T:T)</f>
        <v>#N/A</v>
      </c>
      <c r="K702" s="17" t="str">
        <f t="array" ref="K702">iferror(XLOOKUP(A702,'Download of SFDC Activation Rep'!B:B,'Download of SFDC Activation Rep'!C:C),"")</f>
        <v/>
      </c>
    </row>
    <row r="703">
      <c r="B703" s="14"/>
      <c r="C703" s="14"/>
      <c r="D703" s="14"/>
      <c r="E703" s="14"/>
      <c r="F703" s="14"/>
      <c r="G703" s="13" t="str">
        <f t="array" ref="G703">iferror(XLOOKUP(A703,'Download of SFDC Activation Rep'!B:B,'Download of SFDC Activation Rep'!H:H),"")</f>
        <v/>
      </c>
      <c r="H703" s="13" t="str">
        <f t="array" ref="H703">iferror(xlookup(A703,'Download of SFDC Activation Rep'!B:B,'Download of SFDC Activation Rep'!L:L),"")</f>
        <v/>
      </c>
      <c r="I703" s="17" t="str">
        <f t="shared" si="2"/>
        <v>Not Active</v>
      </c>
      <c r="J703" s="17" t="str">
        <f t="array" ref="J703">XLOOKUP(A703,'Download of SFDC Activation Rep'!B:B,'Download of SFDC Activation Rep'!T:T)</f>
        <v>#N/A</v>
      </c>
      <c r="K703" s="17" t="str">
        <f t="array" ref="K703">iferror(XLOOKUP(A703,'Download of SFDC Activation Rep'!B:B,'Download of SFDC Activation Rep'!C:C),"")</f>
        <v/>
      </c>
    </row>
    <row r="704">
      <c r="B704" s="14"/>
      <c r="C704" s="14"/>
      <c r="D704" s="14"/>
      <c r="E704" s="14"/>
      <c r="F704" s="14"/>
      <c r="G704" s="13" t="str">
        <f t="array" ref="G704">iferror(XLOOKUP(A704,'Download of SFDC Activation Rep'!B:B,'Download of SFDC Activation Rep'!H:H),"")</f>
        <v/>
      </c>
      <c r="H704" s="13" t="str">
        <f t="array" ref="H704">iferror(xlookup(A704,'Download of SFDC Activation Rep'!B:B,'Download of SFDC Activation Rep'!L:L),"")</f>
        <v/>
      </c>
      <c r="I704" s="17" t="str">
        <f t="shared" si="2"/>
        <v>Not Active</v>
      </c>
      <c r="J704" s="17" t="str">
        <f t="array" ref="J704">XLOOKUP(A704,'Download of SFDC Activation Rep'!B:B,'Download of SFDC Activation Rep'!T:T)</f>
        <v>#N/A</v>
      </c>
      <c r="K704" s="17" t="str">
        <f t="array" ref="K704">iferror(XLOOKUP(A704,'Download of SFDC Activation Rep'!B:B,'Download of SFDC Activation Rep'!C:C),"")</f>
        <v/>
      </c>
    </row>
    <row r="705">
      <c r="B705" s="14"/>
      <c r="C705" s="14"/>
      <c r="D705" s="14"/>
      <c r="E705" s="14"/>
      <c r="F705" s="14"/>
      <c r="G705" s="13" t="str">
        <f t="array" ref="G705">iferror(XLOOKUP(A705,'Download of SFDC Activation Rep'!B:B,'Download of SFDC Activation Rep'!H:H),"")</f>
        <v/>
      </c>
      <c r="H705" s="13" t="str">
        <f t="array" ref="H705">iferror(xlookup(A705,'Download of SFDC Activation Rep'!B:B,'Download of SFDC Activation Rep'!L:L),"")</f>
        <v/>
      </c>
      <c r="I705" s="17" t="str">
        <f t="shared" si="2"/>
        <v>Not Active</v>
      </c>
      <c r="J705" s="17" t="str">
        <f t="array" ref="J705">XLOOKUP(A705,'Download of SFDC Activation Rep'!B:B,'Download of SFDC Activation Rep'!T:T)</f>
        <v>#N/A</v>
      </c>
      <c r="K705" s="17" t="str">
        <f t="array" ref="K705">iferror(XLOOKUP(A705,'Download of SFDC Activation Rep'!B:B,'Download of SFDC Activation Rep'!C:C),"")</f>
        <v/>
      </c>
    </row>
    <row r="706">
      <c r="B706" s="14"/>
      <c r="C706" s="14"/>
      <c r="D706" s="14"/>
      <c r="E706" s="14"/>
      <c r="F706" s="14"/>
      <c r="G706" s="13" t="str">
        <f t="array" ref="G706">iferror(XLOOKUP(A706,'Download of SFDC Activation Rep'!B:B,'Download of SFDC Activation Rep'!H:H),"")</f>
        <v/>
      </c>
      <c r="H706" s="13" t="str">
        <f t="array" ref="H706">iferror(xlookup(A706,'Download of SFDC Activation Rep'!B:B,'Download of SFDC Activation Rep'!L:L),"")</f>
        <v/>
      </c>
      <c r="I706" s="17" t="str">
        <f t="shared" si="2"/>
        <v>Not Active</v>
      </c>
      <c r="J706" s="17" t="str">
        <f t="array" ref="J706">XLOOKUP(A706,'Download of SFDC Activation Rep'!B:B,'Download of SFDC Activation Rep'!T:T)</f>
        <v>#N/A</v>
      </c>
      <c r="K706" s="17" t="str">
        <f t="array" ref="K706">iferror(XLOOKUP(A706,'Download of SFDC Activation Rep'!B:B,'Download of SFDC Activation Rep'!C:C),"")</f>
        <v/>
      </c>
    </row>
    <row r="707">
      <c r="B707" s="14"/>
      <c r="C707" s="14"/>
      <c r="D707" s="14"/>
      <c r="E707" s="14"/>
      <c r="F707" s="14"/>
      <c r="G707" s="13" t="str">
        <f t="array" ref="G707">iferror(XLOOKUP(A707,'Download of SFDC Activation Rep'!B:B,'Download of SFDC Activation Rep'!H:H),"")</f>
        <v/>
      </c>
      <c r="H707" s="13" t="str">
        <f t="array" ref="H707">iferror(xlookup(A707,'Download of SFDC Activation Rep'!B:B,'Download of SFDC Activation Rep'!L:L),"")</f>
        <v/>
      </c>
      <c r="I707" s="17" t="str">
        <f t="shared" si="2"/>
        <v>Not Active</v>
      </c>
      <c r="J707" s="17" t="str">
        <f t="array" ref="J707">XLOOKUP(A707,'Download of SFDC Activation Rep'!B:B,'Download of SFDC Activation Rep'!T:T)</f>
        <v>#N/A</v>
      </c>
      <c r="K707" s="17" t="str">
        <f t="array" ref="K707">iferror(XLOOKUP(A707,'Download of SFDC Activation Rep'!B:B,'Download of SFDC Activation Rep'!C:C),"")</f>
        <v/>
      </c>
    </row>
    <row r="708">
      <c r="B708" s="14"/>
      <c r="C708" s="14"/>
      <c r="D708" s="14"/>
      <c r="E708" s="14"/>
      <c r="F708" s="14"/>
      <c r="G708" s="13" t="str">
        <f t="array" ref="G708">iferror(XLOOKUP(A708,'Download of SFDC Activation Rep'!B:B,'Download of SFDC Activation Rep'!H:H),"")</f>
        <v/>
      </c>
      <c r="H708" s="13" t="str">
        <f t="array" ref="H708">iferror(xlookup(A708,'Download of SFDC Activation Rep'!B:B,'Download of SFDC Activation Rep'!L:L),"")</f>
        <v/>
      </c>
      <c r="I708" s="17" t="str">
        <f t="shared" si="2"/>
        <v>Not Active</v>
      </c>
      <c r="J708" s="17" t="str">
        <f t="array" ref="J708">XLOOKUP(A708,'Download of SFDC Activation Rep'!B:B,'Download of SFDC Activation Rep'!T:T)</f>
        <v>#N/A</v>
      </c>
      <c r="K708" s="17" t="str">
        <f t="array" ref="K708">iferror(XLOOKUP(A708,'Download of SFDC Activation Rep'!B:B,'Download of SFDC Activation Rep'!C:C),"")</f>
        <v/>
      </c>
    </row>
    <row r="709">
      <c r="B709" s="14"/>
      <c r="C709" s="14"/>
      <c r="D709" s="14"/>
      <c r="E709" s="14"/>
      <c r="F709" s="14"/>
      <c r="G709" s="13" t="str">
        <f t="array" ref="G709">iferror(XLOOKUP(A709,'Download of SFDC Activation Rep'!B:B,'Download of SFDC Activation Rep'!H:H),"")</f>
        <v/>
      </c>
      <c r="H709" s="13" t="str">
        <f t="array" ref="H709">iferror(xlookup(A709,'Download of SFDC Activation Rep'!B:B,'Download of SFDC Activation Rep'!L:L),"")</f>
        <v/>
      </c>
      <c r="I709" s="17" t="str">
        <f t="shared" si="2"/>
        <v>Not Active</v>
      </c>
      <c r="J709" s="17" t="str">
        <f t="array" ref="J709">XLOOKUP(A709,'Download of SFDC Activation Rep'!B:B,'Download of SFDC Activation Rep'!T:T)</f>
        <v>#N/A</v>
      </c>
      <c r="K709" s="17" t="str">
        <f t="array" ref="K709">iferror(XLOOKUP(A709,'Download of SFDC Activation Rep'!B:B,'Download of SFDC Activation Rep'!C:C),"")</f>
        <v/>
      </c>
    </row>
    <row r="710">
      <c r="B710" s="14"/>
      <c r="C710" s="14"/>
      <c r="D710" s="14"/>
      <c r="E710" s="14"/>
      <c r="F710" s="14"/>
      <c r="G710" s="13" t="str">
        <f t="array" ref="G710">iferror(XLOOKUP(A710,'Download of SFDC Activation Rep'!B:B,'Download of SFDC Activation Rep'!H:H),"")</f>
        <v/>
      </c>
      <c r="H710" s="13" t="str">
        <f t="array" ref="H710">iferror(xlookup(A710,'Download of SFDC Activation Rep'!B:B,'Download of SFDC Activation Rep'!L:L),"")</f>
        <v/>
      </c>
      <c r="I710" s="17" t="str">
        <f t="shared" si="2"/>
        <v>Not Active</v>
      </c>
      <c r="J710" s="17" t="str">
        <f t="array" ref="J710">XLOOKUP(A710,'Download of SFDC Activation Rep'!B:B,'Download of SFDC Activation Rep'!T:T)</f>
        <v>#N/A</v>
      </c>
      <c r="K710" s="17" t="str">
        <f t="array" ref="K710">iferror(XLOOKUP(A710,'Download of SFDC Activation Rep'!B:B,'Download of SFDC Activation Rep'!C:C),"")</f>
        <v/>
      </c>
    </row>
    <row r="711">
      <c r="B711" s="14"/>
      <c r="C711" s="14"/>
      <c r="D711" s="14"/>
      <c r="E711" s="14"/>
      <c r="F711" s="14"/>
      <c r="G711" s="13" t="str">
        <f t="array" ref="G711">iferror(XLOOKUP(A711,'Download of SFDC Activation Rep'!B:B,'Download of SFDC Activation Rep'!H:H),"")</f>
        <v/>
      </c>
      <c r="H711" s="13" t="str">
        <f t="array" ref="H711">iferror(xlookup(A711,'Download of SFDC Activation Rep'!B:B,'Download of SFDC Activation Rep'!L:L),"")</f>
        <v/>
      </c>
      <c r="I711" s="17" t="str">
        <f t="shared" si="2"/>
        <v>Not Active</v>
      </c>
      <c r="J711" s="17" t="str">
        <f t="array" ref="J711">XLOOKUP(A711,'Download of SFDC Activation Rep'!B:B,'Download of SFDC Activation Rep'!T:T)</f>
        <v>#N/A</v>
      </c>
      <c r="K711" s="17" t="str">
        <f t="array" ref="K711">iferror(XLOOKUP(A711,'Download of SFDC Activation Rep'!B:B,'Download of SFDC Activation Rep'!C:C),"")</f>
        <v/>
      </c>
    </row>
    <row r="712">
      <c r="B712" s="14"/>
      <c r="C712" s="14"/>
      <c r="D712" s="14"/>
      <c r="E712" s="14"/>
      <c r="F712" s="14"/>
      <c r="G712" s="13" t="str">
        <f t="array" ref="G712">iferror(XLOOKUP(A712,'Download of SFDC Activation Rep'!B:B,'Download of SFDC Activation Rep'!H:H),"")</f>
        <v/>
      </c>
      <c r="H712" s="13" t="str">
        <f t="array" ref="H712">iferror(xlookup(A712,'Download of SFDC Activation Rep'!B:B,'Download of SFDC Activation Rep'!L:L),"")</f>
        <v/>
      </c>
      <c r="I712" s="17" t="str">
        <f t="shared" si="2"/>
        <v>Not Active</v>
      </c>
      <c r="J712" s="17" t="str">
        <f t="array" ref="J712">XLOOKUP(A712,'Download of SFDC Activation Rep'!B:B,'Download of SFDC Activation Rep'!T:T)</f>
        <v>#N/A</v>
      </c>
      <c r="K712" s="17" t="str">
        <f t="array" ref="K712">iferror(XLOOKUP(A712,'Download of SFDC Activation Rep'!B:B,'Download of SFDC Activation Rep'!C:C),"")</f>
        <v/>
      </c>
    </row>
    <row r="713">
      <c r="B713" s="14"/>
      <c r="C713" s="14"/>
      <c r="D713" s="14"/>
      <c r="E713" s="14"/>
      <c r="F713" s="14"/>
      <c r="G713" s="13" t="str">
        <f t="array" ref="G713">iferror(XLOOKUP(A713,'Download of SFDC Activation Rep'!B:B,'Download of SFDC Activation Rep'!H:H),"")</f>
        <v/>
      </c>
      <c r="H713" s="13" t="str">
        <f t="array" ref="H713">iferror(xlookup(A713,'Download of SFDC Activation Rep'!B:B,'Download of SFDC Activation Rep'!L:L),"")</f>
        <v/>
      </c>
      <c r="I713" s="17" t="str">
        <f t="shared" si="2"/>
        <v>Not Active</v>
      </c>
      <c r="J713" s="17" t="str">
        <f t="array" ref="J713">XLOOKUP(A713,'Download of SFDC Activation Rep'!B:B,'Download of SFDC Activation Rep'!T:T)</f>
        <v>#N/A</v>
      </c>
      <c r="K713" s="17" t="str">
        <f t="array" ref="K713">iferror(XLOOKUP(A713,'Download of SFDC Activation Rep'!B:B,'Download of SFDC Activation Rep'!C:C),"")</f>
        <v/>
      </c>
    </row>
    <row r="714">
      <c r="B714" s="14"/>
      <c r="C714" s="14"/>
      <c r="D714" s="14"/>
      <c r="E714" s="14"/>
      <c r="F714" s="14"/>
      <c r="G714" s="13" t="str">
        <f t="array" ref="G714">iferror(XLOOKUP(A714,'Download of SFDC Activation Rep'!B:B,'Download of SFDC Activation Rep'!H:H),"")</f>
        <v/>
      </c>
      <c r="H714" s="13" t="str">
        <f t="array" ref="H714">iferror(xlookup(A714,'Download of SFDC Activation Rep'!B:B,'Download of SFDC Activation Rep'!L:L),"")</f>
        <v/>
      </c>
      <c r="I714" s="17" t="str">
        <f t="shared" si="2"/>
        <v>Not Active</v>
      </c>
      <c r="J714" s="17" t="str">
        <f t="array" ref="J714">XLOOKUP(A714,'Download of SFDC Activation Rep'!B:B,'Download of SFDC Activation Rep'!T:T)</f>
        <v>#N/A</v>
      </c>
      <c r="K714" s="17" t="str">
        <f t="array" ref="K714">iferror(XLOOKUP(A714,'Download of SFDC Activation Rep'!B:B,'Download of SFDC Activation Rep'!C:C),"")</f>
        <v/>
      </c>
    </row>
    <row r="715">
      <c r="B715" s="14"/>
      <c r="C715" s="14"/>
      <c r="D715" s="14"/>
      <c r="E715" s="14"/>
      <c r="F715" s="14"/>
      <c r="G715" s="13" t="str">
        <f t="array" ref="G715">iferror(XLOOKUP(A715,'Download of SFDC Activation Rep'!B:B,'Download of SFDC Activation Rep'!H:H),"")</f>
        <v/>
      </c>
      <c r="H715" s="13" t="str">
        <f t="array" ref="H715">iferror(xlookup(A715,'Download of SFDC Activation Rep'!B:B,'Download of SFDC Activation Rep'!L:L),"")</f>
        <v/>
      </c>
      <c r="I715" s="17" t="str">
        <f t="shared" si="2"/>
        <v>Not Active</v>
      </c>
      <c r="J715" s="17" t="str">
        <f t="array" ref="J715">XLOOKUP(A715,'Download of SFDC Activation Rep'!B:B,'Download of SFDC Activation Rep'!T:T)</f>
        <v>#N/A</v>
      </c>
      <c r="K715" s="17" t="str">
        <f t="array" ref="K715">iferror(XLOOKUP(A715,'Download of SFDC Activation Rep'!B:B,'Download of SFDC Activation Rep'!C:C),"")</f>
        <v/>
      </c>
    </row>
    <row r="716">
      <c r="B716" s="14"/>
      <c r="C716" s="14"/>
      <c r="D716" s="14"/>
      <c r="E716" s="14"/>
      <c r="F716" s="14"/>
      <c r="G716" s="13" t="str">
        <f t="array" ref="G716">iferror(XLOOKUP(A716,'Download of SFDC Activation Rep'!B:B,'Download of SFDC Activation Rep'!H:H),"")</f>
        <v/>
      </c>
      <c r="H716" s="13" t="str">
        <f t="array" ref="H716">iferror(xlookup(A716,'Download of SFDC Activation Rep'!B:B,'Download of SFDC Activation Rep'!L:L),"")</f>
        <v/>
      </c>
      <c r="I716" s="17" t="str">
        <f t="shared" si="2"/>
        <v>Not Active</v>
      </c>
      <c r="J716" s="17" t="str">
        <f t="array" ref="J716">XLOOKUP(A716,'Download of SFDC Activation Rep'!B:B,'Download of SFDC Activation Rep'!T:T)</f>
        <v>#N/A</v>
      </c>
      <c r="K716" s="17" t="str">
        <f t="array" ref="K716">iferror(XLOOKUP(A716,'Download of SFDC Activation Rep'!B:B,'Download of SFDC Activation Rep'!C:C),"")</f>
        <v/>
      </c>
    </row>
    <row r="717">
      <c r="B717" s="14"/>
      <c r="C717" s="14"/>
      <c r="D717" s="14"/>
      <c r="E717" s="14"/>
      <c r="F717" s="14"/>
      <c r="G717" s="13" t="str">
        <f t="array" ref="G717">iferror(XLOOKUP(A717,'Download of SFDC Activation Rep'!B:B,'Download of SFDC Activation Rep'!H:H),"")</f>
        <v/>
      </c>
      <c r="H717" s="13" t="str">
        <f t="array" ref="H717">iferror(xlookup(A717,'Download of SFDC Activation Rep'!B:B,'Download of SFDC Activation Rep'!L:L),"")</f>
        <v/>
      </c>
      <c r="I717" s="17" t="str">
        <f t="shared" si="2"/>
        <v>Not Active</v>
      </c>
      <c r="J717" s="17" t="str">
        <f t="array" ref="J717">XLOOKUP(A717,'Download of SFDC Activation Rep'!B:B,'Download of SFDC Activation Rep'!T:T)</f>
        <v>#N/A</v>
      </c>
      <c r="K717" s="17" t="str">
        <f t="array" ref="K717">iferror(XLOOKUP(A717,'Download of SFDC Activation Rep'!B:B,'Download of SFDC Activation Rep'!C:C),"")</f>
        <v/>
      </c>
    </row>
    <row r="718">
      <c r="B718" s="14"/>
      <c r="C718" s="14"/>
      <c r="D718" s="14"/>
      <c r="E718" s="14"/>
      <c r="F718" s="14"/>
      <c r="G718" s="13" t="str">
        <f t="array" ref="G718">iferror(XLOOKUP(A718,'Download of SFDC Activation Rep'!B:B,'Download of SFDC Activation Rep'!H:H),"")</f>
        <v/>
      </c>
      <c r="H718" s="13" t="str">
        <f t="array" ref="H718">iferror(xlookup(A718,'Download of SFDC Activation Rep'!B:B,'Download of SFDC Activation Rep'!L:L),"")</f>
        <v/>
      </c>
      <c r="I718" s="17" t="str">
        <f t="shared" si="2"/>
        <v>Not Active</v>
      </c>
      <c r="J718" s="17" t="str">
        <f t="array" ref="J718">XLOOKUP(A718,'Download of SFDC Activation Rep'!B:B,'Download of SFDC Activation Rep'!T:T)</f>
        <v>#N/A</v>
      </c>
      <c r="K718" s="17" t="str">
        <f t="array" ref="K718">iferror(XLOOKUP(A718,'Download of SFDC Activation Rep'!B:B,'Download of SFDC Activation Rep'!C:C),"")</f>
        <v/>
      </c>
    </row>
    <row r="719">
      <c r="B719" s="14"/>
      <c r="C719" s="14"/>
      <c r="D719" s="14"/>
      <c r="E719" s="14"/>
      <c r="F719" s="14"/>
      <c r="G719" s="13" t="str">
        <f t="array" ref="G719">iferror(XLOOKUP(A719,'Download of SFDC Activation Rep'!B:B,'Download of SFDC Activation Rep'!H:H),"")</f>
        <v/>
      </c>
      <c r="H719" s="13" t="str">
        <f t="array" ref="H719">iferror(xlookup(A719,'Download of SFDC Activation Rep'!B:B,'Download of SFDC Activation Rep'!L:L),"")</f>
        <v/>
      </c>
      <c r="I719" s="17" t="str">
        <f t="shared" si="2"/>
        <v>Not Active</v>
      </c>
      <c r="J719" s="17" t="str">
        <f t="array" ref="J719">XLOOKUP(A719,'Download of SFDC Activation Rep'!B:B,'Download of SFDC Activation Rep'!T:T)</f>
        <v>#N/A</v>
      </c>
      <c r="K719" s="17" t="str">
        <f t="array" ref="K719">iferror(XLOOKUP(A719,'Download of SFDC Activation Rep'!B:B,'Download of SFDC Activation Rep'!C:C),"")</f>
        <v/>
      </c>
    </row>
    <row r="720">
      <c r="B720" s="14"/>
      <c r="C720" s="14"/>
      <c r="D720" s="14"/>
      <c r="E720" s="14"/>
      <c r="F720" s="14"/>
      <c r="G720" s="13" t="str">
        <f t="array" ref="G720">iferror(XLOOKUP(A720,'Download of SFDC Activation Rep'!B:B,'Download of SFDC Activation Rep'!H:H),"")</f>
        <v/>
      </c>
      <c r="H720" s="13" t="str">
        <f t="array" ref="H720">iferror(xlookup(A720,'Download of SFDC Activation Rep'!B:B,'Download of SFDC Activation Rep'!L:L),"")</f>
        <v/>
      </c>
      <c r="I720" s="17" t="str">
        <f t="shared" si="2"/>
        <v>Not Active</v>
      </c>
      <c r="J720" s="17" t="str">
        <f t="array" ref="J720">XLOOKUP(A720,'Download of SFDC Activation Rep'!B:B,'Download of SFDC Activation Rep'!T:T)</f>
        <v>#N/A</v>
      </c>
      <c r="K720" s="17" t="str">
        <f t="array" ref="K720">iferror(XLOOKUP(A720,'Download of SFDC Activation Rep'!B:B,'Download of SFDC Activation Rep'!C:C),"")</f>
        <v/>
      </c>
    </row>
    <row r="721">
      <c r="B721" s="14"/>
      <c r="C721" s="14"/>
      <c r="D721" s="14"/>
      <c r="E721" s="14"/>
      <c r="F721" s="14"/>
      <c r="G721" s="13" t="str">
        <f t="array" ref="G721">iferror(XLOOKUP(A721,'Download of SFDC Activation Rep'!B:B,'Download of SFDC Activation Rep'!H:H),"")</f>
        <v/>
      </c>
      <c r="H721" s="13" t="str">
        <f t="array" ref="H721">iferror(xlookup(A721,'Download of SFDC Activation Rep'!B:B,'Download of SFDC Activation Rep'!L:L),"")</f>
        <v/>
      </c>
      <c r="I721" s="17" t="str">
        <f t="shared" si="2"/>
        <v>Not Active</v>
      </c>
      <c r="J721" s="17" t="str">
        <f t="array" ref="J721">XLOOKUP(A721,'Download of SFDC Activation Rep'!B:B,'Download of SFDC Activation Rep'!T:T)</f>
        <v>#N/A</v>
      </c>
      <c r="K721" s="17" t="str">
        <f t="array" ref="K721">iferror(XLOOKUP(A721,'Download of SFDC Activation Rep'!B:B,'Download of SFDC Activation Rep'!C:C),"")</f>
        <v/>
      </c>
    </row>
    <row r="722">
      <c r="B722" s="14"/>
      <c r="C722" s="14"/>
      <c r="D722" s="14"/>
      <c r="E722" s="14"/>
      <c r="F722" s="14"/>
      <c r="G722" s="13" t="str">
        <f t="array" ref="G722">iferror(XLOOKUP(A722,'Download of SFDC Activation Rep'!B:B,'Download of SFDC Activation Rep'!H:H),"")</f>
        <v/>
      </c>
      <c r="H722" s="13" t="str">
        <f t="array" ref="H722">iferror(xlookup(A722,'Download of SFDC Activation Rep'!B:B,'Download of SFDC Activation Rep'!L:L),"")</f>
        <v/>
      </c>
      <c r="I722" s="17" t="str">
        <f t="shared" si="2"/>
        <v>Not Active</v>
      </c>
      <c r="J722" s="17" t="str">
        <f t="array" ref="J722">XLOOKUP(A722,'Download of SFDC Activation Rep'!B:B,'Download of SFDC Activation Rep'!T:T)</f>
        <v>#N/A</v>
      </c>
      <c r="K722" s="17" t="str">
        <f t="array" ref="K722">iferror(XLOOKUP(A722,'Download of SFDC Activation Rep'!B:B,'Download of SFDC Activation Rep'!C:C),"")</f>
        <v/>
      </c>
    </row>
    <row r="723">
      <c r="B723" s="14"/>
      <c r="C723" s="14"/>
      <c r="D723" s="14"/>
      <c r="E723" s="14"/>
      <c r="F723" s="14"/>
      <c r="G723" s="13" t="str">
        <f t="array" ref="G723">iferror(XLOOKUP(A723,'Download of SFDC Activation Rep'!B:B,'Download of SFDC Activation Rep'!H:H),"")</f>
        <v/>
      </c>
      <c r="H723" s="13" t="str">
        <f t="array" ref="H723">iferror(xlookup(A723,'Download of SFDC Activation Rep'!B:B,'Download of SFDC Activation Rep'!L:L),"")</f>
        <v/>
      </c>
      <c r="I723" s="17" t="str">
        <f t="shared" si="2"/>
        <v>Not Active</v>
      </c>
      <c r="J723" s="17" t="str">
        <f t="array" ref="J723">XLOOKUP(A723,'Download of SFDC Activation Rep'!B:B,'Download of SFDC Activation Rep'!T:T)</f>
        <v>#N/A</v>
      </c>
      <c r="K723" s="17" t="str">
        <f t="array" ref="K723">iferror(XLOOKUP(A723,'Download of SFDC Activation Rep'!B:B,'Download of SFDC Activation Rep'!C:C),"")</f>
        <v/>
      </c>
    </row>
    <row r="724">
      <c r="B724" s="14"/>
      <c r="C724" s="14"/>
      <c r="D724" s="14"/>
      <c r="E724" s="14"/>
      <c r="F724" s="14"/>
      <c r="G724" s="13" t="str">
        <f t="array" ref="G724">iferror(XLOOKUP(A724,'Download of SFDC Activation Rep'!B:B,'Download of SFDC Activation Rep'!H:H),"")</f>
        <v/>
      </c>
      <c r="H724" s="13" t="str">
        <f t="array" ref="H724">iferror(xlookup(A724,'Download of SFDC Activation Rep'!B:B,'Download of SFDC Activation Rep'!L:L),"")</f>
        <v/>
      </c>
      <c r="I724" s="17" t="str">
        <f t="shared" si="2"/>
        <v>Not Active</v>
      </c>
      <c r="J724" s="17" t="str">
        <f t="array" ref="J724">XLOOKUP(A724,'Download of SFDC Activation Rep'!B:B,'Download of SFDC Activation Rep'!T:T)</f>
        <v>#N/A</v>
      </c>
      <c r="K724" s="17" t="str">
        <f t="array" ref="K724">iferror(XLOOKUP(A724,'Download of SFDC Activation Rep'!B:B,'Download of SFDC Activation Rep'!C:C),"")</f>
        <v/>
      </c>
    </row>
    <row r="725">
      <c r="B725" s="14"/>
      <c r="C725" s="14"/>
      <c r="D725" s="14"/>
      <c r="E725" s="14"/>
      <c r="F725" s="14"/>
      <c r="G725" s="13" t="str">
        <f t="array" ref="G725">iferror(XLOOKUP(A725,'Download of SFDC Activation Rep'!B:B,'Download of SFDC Activation Rep'!H:H),"")</f>
        <v/>
      </c>
      <c r="H725" s="13" t="str">
        <f t="array" ref="H725">iferror(xlookup(A725,'Download of SFDC Activation Rep'!B:B,'Download of SFDC Activation Rep'!L:L),"")</f>
        <v/>
      </c>
      <c r="I725" s="17" t="str">
        <f t="shared" si="2"/>
        <v>Not Active</v>
      </c>
      <c r="J725" s="17" t="str">
        <f t="array" ref="J725">XLOOKUP(A725,'Download of SFDC Activation Rep'!B:B,'Download of SFDC Activation Rep'!T:T)</f>
        <v>#N/A</v>
      </c>
      <c r="K725" s="17" t="str">
        <f t="array" ref="K725">iferror(XLOOKUP(A725,'Download of SFDC Activation Rep'!B:B,'Download of SFDC Activation Rep'!C:C),"")</f>
        <v/>
      </c>
    </row>
    <row r="726">
      <c r="B726" s="14"/>
      <c r="C726" s="14"/>
      <c r="D726" s="14"/>
      <c r="E726" s="14"/>
      <c r="F726" s="14"/>
      <c r="G726" s="13" t="str">
        <f t="array" ref="G726">iferror(XLOOKUP(A726,'Download of SFDC Activation Rep'!B:B,'Download of SFDC Activation Rep'!H:H),"")</f>
        <v/>
      </c>
      <c r="H726" s="13" t="str">
        <f t="array" ref="H726">iferror(xlookup(A726,'Download of SFDC Activation Rep'!B:B,'Download of SFDC Activation Rep'!L:L),"")</f>
        <v/>
      </c>
      <c r="I726" s="17" t="str">
        <f t="shared" si="2"/>
        <v>Not Active</v>
      </c>
      <c r="J726" s="17" t="str">
        <f t="array" ref="J726">XLOOKUP(A726,'Download of SFDC Activation Rep'!B:B,'Download of SFDC Activation Rep'!T:T)</f>
        <v>#N/A</v>
      </c>
      <c r="K726" s="17" t="str">
        <f t="array" ref="K726">iferror(XLOOKUP(A726,'Download of SFDC Activation Rep'!B:B,'Download of SFDC Activation Rep'!C:C),"")</f>
        <v/>
      </c>
    </row>
    <row r="727">
      <c r="B727" s="14"/>
      <c r="C727" s="14"/>
      <c r="D727" s="14"/>
      <c r="E727" s="14"/>
      <c r="F727" s="14"/>
      <c r="G727" s="13" t="str">
        <f t="array" ref="G727">iferror(XLOOKUP(A727,'Download of SFDC Activation Rep'!B:B,'Download of SFDC Activation Rep'!H:H),"")</f>
        <v/>
      </c>
      <c r="H727" s="13" t="str">
        <f t="array" ref="H727">iferror(xlookup(A727,'Download of SFDC Activation Rep'!B:B,'Download of SFDC Activation Rep'!L:L),"")</f>
        <v/>
      </c>
      <c r="I727" s="17" t="str">
        <f t="shared" si="2"/>
        <v>Not Active</v>
      </c>
      <c r="J727" s="17" t="str">
        <f t="array" ref="J727">XLOOKUP(A727,'Download of SFDC Activation Rep'!B:B,'Download of SFDC Activation Rep'!T:T)</f>
        <v>#N/A</v>
      </c>
      <c r="K727" s="17" t="str">
        <f t="array" ref="K727">iferror(XLOOKUP(A727,'Download of SFDC Activation Rep'!B:B,'Download of SFDC Activation Rep'!C:C),"")</f>
        <v/>
      </c>
    </row>
    <row r="728">
      <c r="B728" s="14"/>
      <c r="C728" s="14"/>
      <c r="D728" s="14"/>
      <c r="E728" s="14"/>
      <c r="F728" s="14"/>
      <c r="G728" s="13" t="str">
        <f t="array" ref="G728">iferror(XLOOKUP(A728,'Download of SFDC Activation Rep'!B:B,'Download of SFDC Activation Rep'!H:H),"")</f>
        <v/>
      </c>
      <c r="H728" s="13" t="str">
        <f t="array" ref="H728">iferror(xlookup(A728,'Download of SFDC Activation Rep'!B:B,'Download of SFDC Activation Rep'!L:L),"")</f>
        <v/>
      </c>
      <c r="I728" s="17" t="str">
        <f t="shared" si="2"/>
        <v>Not Active</v>
      </c>
      <c r="J728" s="17" t="str">
        <f t="array" ref="J728">XLOOKUP(A728,'Download of SFDC Activation Rep'!B:B,'Download of SFDC Activation Rep'!T:T)</f>
        <v>#N/A</v>
      </c>
      <c r="K728" s="17" t="str">
        <f t="array" ref="K728">iferror(XLOOKUP(A728,'Download of SFDC Activation Rep'!B:B,'Download of SFDC Activation Rep'!C:C),"")</f>
        <v/>
      </c>
    </row>
    <row r="729">
      <c r="B729" s="14"/>
      <c r="C729" s="14"/>
      <c r="D729" s="14"/>
      <c r="E729" s="14"/>
      <c r="F729" s="14"/>
      <c r="G729" s="13" t="str">
        <f t="array" ref="G729">iferror(XLOOKUP(A729,'Download of SFDC Activation Rep'!B:B,'Download of SFDC Activation Rep'!H:H),"")</f>
        <v/>
      </c>
      <c r="H729" s="13" t="str">
        <f t="array" ref="H729">iferror(xlookup(A729,'Download of SFDC Activation Rep'!B:B,'Download of SFDC Activation Rep'!L:L),"")</f>
        <v/>
      </c>
      <c r="I729" s="17" t="str">
        <f t="shared" si="2"/>
        <v>Not Active</v>
      </c>
      <c r="J729" s="17" t="str">
        <f t="array" ref="J729">XLOOKUP(A729,'Download of SFDC Activation Rep'!B:B,'Download of SFDC Activation Rep'!T:T)</f>
        <v>#N/A</v>
      </c>
      <c r="K729" s="17" t="str">
        <f t="array" ref="K729">iferror(XLOOKUP(A729,'Download of SFDC Activation Rep'!B:B,'Download of SFDC Activation Rep'!C:C),"")</f>
        <v/>
      </c>
    </row>
    <row r="730">
      <c r="B730" s="14"/>
      <c r="C730" s="14"/>
      <c r="D730" s="14"/>
      <c r="E730" s="14"/>
      <c r="F730" s="14"/>
      <c r="G730" s="13" t="str">
        <f t="array" ref="G730">iferror(XLOOKUP(A730,'Download of SFDC Activation Rep'!B:B,'Download of SFDC Activation Rep'!H:H),"")</f>
        <v/>
      </c>
      <c r="H730" s="13" t="str">
        <f t="array" ref="H730">iferror(xlookup(A730,'Download of SFDC Activation Rep'!B:B,'Download of SFDC Activation Rep'!L:L),"")</f>
        <v/>
      </c>
      <c r="I730" s="17" t="str">
        <f t="shared" si="2"/>
        <v>Not Active</v>
      </c>
      <c r="J730" s="17" t="str">
        <f t="array" ref="J730">XLOOKUP(A730,'Download of SFDC Activation Rep'!B:B,'Download of SFDC Activation Rep'!T:T)</f>
        <v>#N/A</v>
      </c>
      <c r="K730" s="17" t="str">
        <f t="array" ref="K730">iferror(XLOOKUP(A730,'Download of SFDC Activation Rep'!B:B,'Download of SFDC Activation Rep'!C:C),"")</f>
        <v/>
      </c>
    </row>
    <row r="731">
      <c r="B731" s="14"/>
      <c r="C731" s="14"/>
      <c r="D731" s="14"/>
      <c r="E731" s="14"/>
      <c r="F731" s="14"/>
      <c r="G731" s="13" t="str">
        <f t="array" ref="G731">iferror(XLOOKUP(A731,'Download of SFDC Activation Rep'!B:B,'Download of SFDC Activation Rep'!H:H),"")</f>
        <v/>
      </c>
      <c r="H731" s="13" t="str">
        <f t="array" ref="H731">iferror(xlookup(A731,'Download of SFDC Activation Rep'!B:B,'Download of SFDC Activation Rep'!L:L),"")</f>
        <v/>
      </c>
      <c r="I731" s="17" t="str">
        <f t="shared" si="2"/>
        <v>Not Active</v>
      </c>
      <c r="J731" s="17" t="str">
        <f t="array" ref="J731">XLOOKUP(A731,'Download of SFDC Activation Rep'!B:B,'Download of SFDC Activation Rep'!T:T)</f>
        <v>#N/A</v>
      </c>
      <c r="K731" s="17" t="str">
        <f t="array" ref="K731">iferror(XLOOKUP(A731,'Download of SFDC Activation Rep'!B:B,'Download of SFDC Activation Rep'!C:C),"")</f>
        <v/>
      </c>
    </row>
    <row r="732">
      <c r="B732" s="14"/>
      <c r="C732" s="14"/>
      <c r="D732" s="14"/>
      <c r="E732" s="14"/>
      <c r="F732" s="14"/>
      <c r="G732" s="13" t="str">
        <f t="array" ref="G732">iferror(XLOOKUP(A732,'Download of SFDC Activation Rep'!B:B,'Download of SFDC Activation Rep'!H:H),"")</f>
        <v/>
      </c>
      <c r="H732" s="13" t="str">
        <f t="array" ref="H732">iferror(xlookup(A732,'Download of SFDC Activation Rep'!B:B,'Download of SFDC Activation Rep'!L:L),"")</f>
        <v/>
      </c>
      <c r="I732" s="17" t="str">
        <f t="shared" si="2"/>
        <v>Not Active</v>
      </c>
      <c r="J732" s="17" t="str">
        <f t="array" ref="J732">XLOOKUP(A732,'Download of SFDC Activation Rep'!B:B,'Download of SFDC Activation Rep'!T:T)</f>
        <v>#N/A</v>
      </c>
      <c r="K732" s="17" t="str">
        <f t="array" ref="K732">iferror(XLOOKUP(A732,'Download of SFDC Activation Rep'!B:B,'Download of SFDC Activation Rep'!C:C),"")</f>
        <v/>
      </c>
    </row>
    <row r="733">
      <c r="B733" s="14"/>
      <c r="C733" s="14"/>
      <c r="D733" s="14"/>
      <c r="E733" s="14"/>
      <c r="F733" s="14"/>
      <c r="G733" s="13" t="str">
        <f t="array" ref="G733">iferror(XLOOKUP(A733,'Download of SFDC Activation Rep'!B:B,'Download of SFDC Activation Rep'!H:H),"")</f>
        <v/>
      </c>
      <c r="H733" s="13" t="str">
        <f t="array" ref="H733">iferror(xlookup(A733,'Download of SFDC Activation Rep'!B:B,'Download of SFDC Activation Rep'!L:L),"")</f>
        <v/>
      </c>
      <c r="I733" s="17" t="str">
        <f t="shared" si="2"/>
        <v>Not Active</v>
      </c>
      <c r="J733" s="17" t="str">
        <f t="array" ref="J733">XLOOKUP(A733,'Download of SFDC Activation Rep'!B:B,'Download of SFDC Activation Rep'!T:T)</f>
        <v>#N/A</v>
      </c>
      <c r="K733" s="17" t="str">
        <f t="array" ref="K733">iferror(XLOOKUP(A733,'Download of SFDC Activation Rep'!B:B,'Download of SFDC Activation Rep'!C:C),"")</f>
        <v/>
      </c>
    </row>
    <row r="734">
      <c r="B734" s="14"/>
      <c r="C734" s="14"/>
      <c r="D734" s="14"/>
      <c r="E734" s="14"/>
      <c r="F734" s="14"/>
      <c r="G734" s="13" t="str">
        <f t="array" ref="G734">iferror(XLOOKUP(A734,'Download of SFDC Activation Rep'!B:B,'Download of SFDC Activation Rep'!H:H),"")</f>
        <v/>
      </c>
      <c r="H734" s="13" t="str">
        <f t="array" ref="H734">iferror(xlookup(A734,'Download of SFDC Activation Rep'!B:B,'Download of SFDC Activation Rep'!L:L),"")</f>
        <v/>
      </c>
      <c r="I734" s="17" t="str">
        <f t="shared" si="2"/>
        <v>Not Active</v>
      </c>
      <c r="J734" s="17" t="str">
        <f t="array" ref="J734">XLOOKUP(A734,'Download of SFDC Activation Rep'!B:B,'Download of SFDC Activation Rep'!T:T)</f>
        <v>#N/A</v>
      </c>
      <c r="K734" s="17" t="str">
        <f t="array" ref="K734">iferror(XLOOKUP(A734,'Download of SFDC Activation Rep'!B:B,'Download of SFDC Activation Rep'!C:C),"")</f>
        <v/>
      </c>
    </row>
    <row r="735">
      <c r="B735" s="14"/>
      <c r="C735" s="14"/>
      <c r="D735" s="14"/>
      <c r="E735" s="14"/>
      <c r="F735" s="14"/>
      <c r="G735" s="13" t="str">
        <f t="array" ref="G735">iferror(XLOOKUP(A735,'Download of SFDC Activation Rep'!B:B,'Download of SFDC Activation Rep'!H:H),"")</f>
        <v/>
      </c>
      <c r="H735" s="13" t="str">
        <f t="array" ref="H735">iferror(xlookup(A735,'Download of SFDC Activation Rep'!B:B,'Download of SFDC Activation Rep'!L:L),"")</f>
        <v/>
      </c>
      <c r="I735" s="17" t="str">
        <f t="shared" si="2"/>
        <v>Not Active</v>
      </c>
      <c r="J735" s="17" t="str">
        <f t="array" ref="J735">XLOOKUP(A735,'Download of SFDC Activation Rep'!B:B,'Download of SFDC Activation Rep'!T:T)</f>
        <v>#N/A</v>
      </c>
      <c r="K735" s="17" t="str">
        <f t="array" ref="K735">iferror(XLOOKUP(A735,'Download of SFDC Activation Rep'!B:B,'Download of SFDC Activation Rep'!C:C),"")</f>
        <v/>
      </c>
    </row>
    <row r="736">
      <c r="B736" s="14"/>
      <c r="C736" s="14"/>
      <c r="D736" s="14"/>
      <c r="E736" s="14"/>
      <c r="F736" s="14"/>
      <c r="G736" s="13" t="str">
        <f t="array" ref="G736">iferror(XLOOKUP(A736,'Download of SFDC Activation Rep'!B:B,'Download of SFDC Activation Rep'!H:H),"")</f>
        <v/>
      </c>
      <c r="H736" s="13" t="str">
        <f t="array" ref="H736">iferror(xlookup(A736,'Download of SFDC Activation Rep'!B:B,'Download of SFDC Activation Rep'!L:L),"")</f>
        <v/>
      </c>
      <c r="I736" s="17" t="str">
        <f t="shared" si="2"/>
        <v>Not Active</v>
      </c>
      <c r="J736" s="17" t="str">
        <f t="array" ref="J736">XLOOKUP(A736,'Download of SFDC Activation Rep'!B:B,'Download of SFDC Activation Rep'!T:T)</f>
        <v>#N/A</v>
      </c>
      <c r="K736" s="17" t="str">
        <f t="array" ref="K736">iferror(XLOOKUP(A736,'Download of SFDC Activation Rep'!B:B,'Download of SFDC Activation Rep'!C:C),"")</f>
        <v/>
      </c>
    </row>
    <row r="737">
      <c r="B737" s="14"/>
      <c r="C737" s="14"/>
      <c r="D737" s="14"/>
      <c r="E737" s="14"/>
      <c r="F737" s="14"/>
      <c r="G737" s="13" t="str">
        <f t="array" ref="G737">iferror(XLOOKUP(A737,'Download of SFDC Activation Rep'!B:B,'Download of SFDC Activation Rep'!H:H),"")</f>
        <v/>
      </c>
      <c r="H737" s="13" t="str">
        <f t="array" ref="H737">iferror(xlookup(A737,'Download of SFDC Activation Rep'!B:B,'Download of SFDC Activation Rep'!L:L),"")</f>
        <v/>
      </c>
      <c r="I737" s="17" t="str">
        <f t="shared" si="2"/>
        <v>Not Active</v>
      </c>
      <c r="J737" s="17" t="str">
        <f t="array" ref="J737">XLOOKUP(A737,'Download of SFDC Activation Rep'!B:B,'Download of SFDC Activation Rep'!T:T)</f>
        <v>#N/A</v>
      </c>
      <c r="K737" s="17" t="str">
        <f t="array" ref="K737">iferror(XLOOKUP(A737,'Download of SFDC Activation Rep'!B:B,'Download of SFDC Activation Rep'!C:C),"")</f>
        <v/>
      </c>
    </row>
    <row r="738">
      <c r="B738" s="14"/>
      <c r="C738" s="14"/>
      <c r="D738" s="14"/>
      <c r="E738" s="14"/>
      <c r="F738" s="14"/>
      <c r="G738" s="13" t="str">
        <f t="array" ref="G738">iferror(XLOOKUP(A738,'Download of SFDC Activation Rep'!B:B,'Download of SFDC Activation Rep'!H:H),"")</f>
        <v/>
      </c>
      <c r="H738" s="13" t="str">
        <f t="array" ref="H738">iferror(xlookup(A738,'Download of SFDC Activation Rep'!B:B,'Download of SFDC Activation Rep'!L:L),"")</f>
        <v/>
      </c>
      <c r="I738" s="17" t="str">
        <f t="shared" si="2"/>
        <v>Not Active</v>
      </c>
      <c r="J738" s="17" t="str">
        <f t="array" ref="J738">XLOOKUP(A738,'Download of SFDC Activation Rep'!B:B,'Download of SFDC Activation Rep'!T:T)</f>
        <v>#N/A</v>
      </c>
      <c r="K738" s="17" t="str">
        <f t="array" ref="K738">iferror(XLOOKUP(A738,'Download of SFDC Activation Rep'!B:B,'Download of SFDC Activation Rep'!C:C),"")</f>
        <v/>
      </c>
    </row>
    <row r="739">
      <c r="B739" s="14"/>
      <c r="C739" s="14"/>
      <c r="D739" s="14"/>
      <c r="E739" s="14"/>
      <c r="F739" s="14"/>
      <c r="G739" s="13" t="str">
        <f t="array" ref="G739">iferror(XLOOKUP(A739,'Download of SFDC Activation Rep'!B:B,'Download of SFDC Activation Rep'!H:H),"")</f>
        <v/>
      </c>
      <c r="H739" s="13" t="str">
        <f t="array" ref="H739">iferror(xlookup(A739,'Download of SFDC Activation Rep'!B:B,'Download of SFDC Activation Rep'!L:L),"")</f>
        <v/>
      </c>
      <c r="I739" s="17" t="str">
        <f t="shared" si="2"/>
        <v>Not Active</v>
      </c>
      <c r="J739" s="17" t="str">
        <f t="array" ref="J739">XLOOKUP(A739,'Download of SFDC Activation Rep'!B:B,'Download of SFDC Activation Rep'!T:T)</f>
        <v>#N/A</v>
      </c>
      <c r="K739" s="17" t="str">
        <f t="array" ref="K739">iferror(XLOOKUP(A739,'Download of SFDC Activation Rep'!B:B,'Download of SFDC Activation Rep'!C:C),"")</f>
        <v/>
      </c>
    </row>
    <row r="740">
      <c r="B740" s="14"/>
      <c r="C740" s="14"/>
      <c r="D740" s="14"/>
      <c r="E740" s="14"/>
      <c r="F740" s="14"/>
      <c r="G740" s="13" t="str">
        <f t="array" ref="G740">iferror(XLOOKUP(A740,'Download of SFDC Activation Rep'!B:B,'Download of SFDC Activation Rep'!H:H),"")</f>
        <v/>
      </c>
      <c r="H740" s="13" t="str">
        <f t="array" ref="H740">iferror(xlookup(A740,'Download of SFDC Activation Rep'!B:B,'Download of SFDC Activation Rep'!L:L),"")</f>
        <v/>
      </c>
      <c r="I740" s="17" t="str">
        <f t="shared" si="2"/>
        <v>Not Active</v>
      </c>
      <c r="J740" s="17" t="str">
        <f t="array" ref="J740">XLOOKUP(A740,'Download of SFDC Activation Rep'!B:B,'Download of SFDC Activation Rep'!T:T)</f>
        <v>#N/A</v>
      </c>
      <c r="K740" s="17" t="str">
        <f t="array" ref="K740">iferror(XLOOKUP(A740,'Download of SFDC Activation Rep'!B:B,'Download of SFDC Activation Rep'!C:C),"")</f>
        <v/>
      </c>
    </row>
    <row r="741">
      <c r="B741" s="14"/>
      <c r="C741" s="14"/>
      <c r="D741" s="14"/>
      <c r="E741" s="14"/>
      <c r="F741" s="14"/>
      <c r="G741" s="13" t="str">
        <f t="array" ref="G741">iferror(XLOOKUP(A741,'Download of SFDC Activation Rep'!B:B,'Download of SFDC Activation Rep'!H:H),"")</f>
        <v/>
      </c>
      <c r="H741" s="13" t="str">
        <f t="array" ref="H741">iferror(xlookup(A741,'Download of SFDC Activation Rep'!B:B,'Download of SFDC Activation Rep'!L:L),"")</f>
        <v/>
      </c>
      <c r="I741" s="17" t="str">
        <f t="shared" si="2"/>
        <v>Not Active</v>
      </c>
      <c r="J741" s="17" t="str">
        <f t="array" ref="J741">XLOOKUP(A741,'Download of SFDC Activation Rep'!B:B,'Download of SFDC Activation Rep'!T:T)</f>
        <v>#N/A</v>
      </c>
      <c r="K741" s="17" t="str">
        <f t="array" ref="K741">iferror(XLOOKUP(A741,'Download of SFDC Activation Rep'!B:B,'Download of SFDC Activation Rep'!C:C),"")</f>
        <v/>
      </c>
    </row>
    <row r="742">
      <c r="B742" s="14"/>
      <c r="C742" s="14"/>
      <c r="D742" s="14"/>
      <c r="E742" s="14"/>
      <c r="F742" s="14"/>
      <c r="G742" s="13" t="str">
        <f t="array" ref="G742">iferror(XLOOKUP(A742,'Download of SFDC Activation Rep'!B:B,'Download of SFDC Activation Rep'!H:H),"")</f>
        <v/>
      </c>
      <c r="H742" s="13" t="str">
        <f t="array" ref="H742">iferror(xlookup(A742,'Download of SFDC Activation Rep'!B:B,'Download of SFDC Activation Rep'!L:L),"")</f>
        <v/>
      </c>
      <c r="I742" s="17" t="str">
        <f t="shared" si="2"/>
        <v>Not Active</v>
      </c>
      <c r="J742" s="17" t="str">
        <f t="array" ref="J742">XLOOKUP(A742,'Download of SFDC Activation Rep'!B:B,'Download of SFDC Activation Rep'!T:T)</f>
        <v>#N/A</v>
      </c>
      <c r="K742" s="17" t="str">
        <f t="array" ref="K742">iferror(XLOOKUP(A742,'Download of SFDC Activation Rep'!B:B,'Download of SFDC Activation Rep'!C:C),"")</f>
        <v/>
      </c>
    </row>
    <row r="743">
      <c r="B743" s="14"/>
      <c r="C743" s="14"/>
      <c r="D743" s="14"/>
      <c r="E743" s="14"/>
      <c r="F743" s="14"/>
      <c r="G743" s="13" t="str">
        <f t="array" ref="G743">iferror(XLOOKUP(A743,'Download of SFDC Activation Rep'!B:B,'Download of SFDC Activation Rep'!H:H),"")</f>
        <v/>
      </c>
      <c r="H743" s="13" t="str">
        <f t="array" ref="H743">iferror(xlookup(A743,'Download of SFDC Activation Rep'!B:B,'Download of SFDC Activation Rep'!L:L),"")</f>
        <v/>
      </c>
      <c r="I743" s="17" t="str">
        <f t="shared" si="2"/>
        <v>Not Active</v>
      </c>
      <c r="J743" s="17" t="str">
        <f t="array" ref="J743">XLOOKUP(A743,'Download of SFDC Activation Rep'!B:B,'Download of SFDC Activation Rep'!T:T)</f>
        <v>#N/A</v>
      </c>
      <c r="K743" s="17" t="str">
        <f t="array" ref="K743">iferror(XLOOKUP(A743,'Download of SFDC Activation Rep'!B:B,'Download of SFDC Activation Rep'!C:C),"")</f>
        <v/>
      </c>
    </row>
    <row r="744">
      <c r="B744" s="14"/>
      <c r="C744" s="14"/>
      <c r="D744" s="14"/>
      <c r="E744" s="14"/>
      <c r="F744" s="14"/>
      <c r="G744" s="13" t="str">
        <f t="array" ref="G744">iferror(XLOOKUP(A744,'Download of SFDC Activation Rep'!B:B,'Download of SFDC Activation Rep'!H:H),"")</f>
        <v/>
      </c>
      <c r="H744" s="13" t="str">
        <f t="array" ref="H744">iferror(xlookup(A744,'Download of SFDC Activation Rep'!B:B,'Download of SFDC Activation Rep'!L:L),"")</f>
        <v/>
      </c>
      <c r="I744" s="17" t="str">
        <f t="shared" si="2"/>
        <v>Not Active</v>
      </c>
      <c r="J744" s="17" t="str">
        <f t="array" ref="J744">XLOOKUP(A744,'Download of SFDC Activation Rep'!B:B,'Download of SFDC Activation Rep'!T:T)</f>
        <v>#N/A</v>
      </c>
      <c r="K744" s="17" t="str">
        <f t="array" ref="K744">iferror(XLOOKUP(A744,'Download of SFDC Activation Rep'!B:B,'Download of SFDC Activation Rep'!C:C),"")</f>
        <v/>
      </c>
    </row>
    <row r="745">
      <c r="B745" s="14"/>
      <c r="C745" s="14"/>
      <c r="D745" s="14"/>
      <c r="E745" s="14"/>
      <c r="F745" s="14"/>
      <c r="G745" s="13" t="str">
        <f t="array" ref="G745">iferror(XLOOKUP(A745,'Download of SFDC Activation Rep'!B:B,'Download of SFDC Activation Rep'!H:H),"")</f>
        <v/>
      </c>
      <c r="H745" s="13" t="str">
        <f t="array" ref="H745">iferror(xlookup(A745,'Download of SFDC Activation Rep'!B:B,'Download of SFDC Activation Rep'!L:L),"")</f>
        <v/>
      </c>
      <c r="I745" s="17" t="str">
        <f t="shared" si="2"/>
        <v>Not Active</v>
      </c>
      <c r="J745" s="17" t="str">
        <f t="array" ref="J745">XLOOKUP(A745,'Download of SFDC Activation Rep'!B:B,'Download of SFDC Activation Rep'!T:T)</f>
        <v>#N/A</v>
      </c>
      <c r="K745" s="17" t="str">
        <f t="array" ref="K745">iferror(XLOOKUP(A745,'Download of SFDC Activation Rep'!B:B,'Download of SFDC Activation Rep'!C:C),"")</f>
        <v/>
      </c>
    </row>
    <row r="746">
      <c r="B746" s="14"/>
      <c r="C746" s="14"/>
      <c r="D746" s="14"/>
      <c r="E746" s="14"/>
      <c r="F746" s="14"/>
      <c r="G746" s="13" t="str">
        <f t="array" ref="G746">iferror(XLOOKUP(A746,'Download of SFDC Activation Rep'!B:B,'Download of SFDC Activation Rep'!H:H),"")</f>
        <v/>
      </c>
      <c r="H746" s="13" t="str">
        <f t="array" ref="H746">iferror(xlookup(A746,'Download of SFDC Activation Rep'!B:B,'Download of SFDC Activation Rep'!L:L),"")</f>
        <v/>
      </c>
      <c r="I746" s="17" t="str">
        <f t="shared" si="2"/>
        <v>Not Active</v>
      </c>
      <c r="J746" s="17" t="str">
        <f t="array" ref="J746">XLOOKUP(A746,'Download of SFDC Activation Rep'!B:B,'Download of SFDC Activation Rep'!T:T)</f>
        <v>#N/A</v>
      </c>
      <c r="K746" s="17" t="str">
        <f t="array" ref="K746">iferror(XLOOKUP(A746,'Download of SFDC Activation Rep'!B:B,'Download of SFDC Activation Rep'!C:C),"")</f>
        <v/>
      </c>
    </row>
    <row r="747">
      <c r="B747" s="14"/>
      <c r="C747" s="14"/>
      <c r="D747" s="14"/>
      <c r="E747" s="14"/>
      <c r="F747" s="14"/>
      <c r="G747" s="13" t="str">
        <f t="array" ref="G747">iferror(XLOOKUP(A747,'Download of SFDC Activation Rep'!B:B,'Download of SFDC Activation Rep'!H:H),"")</f>
        <v/>
      </c>
      <c r="H747" s="13" t="str">
        <f t="array" ref="H747">iferror(xlookup(A747,'Download of SFDC Activation Rep'!B:B,'Download of SFDC Activation Rep'!L:L),"")</f>
        <v/>
      </c>
      <c r="I747" s="17" t="str">
        <f t="shared" si="2"/>
        <v>Not Active</v>
      </c>
      <c r="J747" s="17" t="str">
        <f t="array" ref="J747">XLOOKUP(A747,'Download of SFDC Activation Rep'!B:B,'Download of SFDC Activation Rep'!T:T)</f>
        <v>#N/A</v>
      </c>
      <c r="K747" s="17" t="str">
        <f t="array" ref="K747">iferror(XLOOKUP(A747,'Download of SFDC Activation Rep'!B:B,'Download of SFDC Activation Rep'!C:C),"")</f>
        <v/>
      </c>
    </row>
    <row r="748">
      <c r="B748" s="14"/>
      <c r="C748" s="14"/>
      <c r="D748" s="14"/>
      <c r="E748" s="14"/>
      <c r="F748" s="14"/>
      <c r="G748" s="13" t="str">
        <f t="array" ref="G748">iferror(XLOOKUP(A748,'Download of SFDC Activation Rep'!B:B,'Download of SFDC Activation Rep'!H:H),"")</f>
        <v/>
      </c>
      <c r="H748" s="13" t="str">
        <f t="array" ref="H748">iferror(xlookup(A748,'Download of SFDC Activation Rep'!B:B,'Download of SFDC Activation Rep'!L:L),"")</f>
        <v/>
      </c>
      <c r="I748" s="17" t="str">
        <f t="shared" si="2"/>
        <v>Not Active</v>
      </c>
      <c r="J748" s="17" t="str">
        <f t="array" ref="J748">XLOOKUP(A748,'Download of SFDC Activation Rep'!B:B,'Download of SFDC Activation Rep'!T:T)</f>
        <v>#N/A</v>
      </c>
      <c r="K748" s="17" t="str">
        <f t="array" ref="K748">iferror(XLOOKUP(A748,'Download of SFDC Activation Rep'!B:B,'Download of SFDC Activation Rep'!C:C),"")</f>
        <v/>
      </c>
    </row>
    <row r="749">
      <c r="B749" s="14"/>
      <c r="C749" s="14"/>
      <c r="D749" s="14"/>
      <c r="E749" s="14"/>
      <c r="F749" s="14"/>
      <c r="G749" s="13" t="str">
        <f t="array" ref="G749">iferror(XLOOKUP(A749,'Download of SFDC Activation Rep'!B:B,'Download of SFDC Activation Rep'!H:H),"")</f>
        <v/>
      </c>
      <c r="H749" s="13" t="str">
        <f t="array" ref="H749">iferror(xlookup(A749,'Download of SFDC Activation Rep'!B:B,'Download of SFDC Activation Rep'!L:L),"")</f>
        <v/>
      </c>
      <c r="I749" s="17" t="str">
        <f t="shared" si="2"/>
        <v>Not Active</v>
      </c>
      <c r="J749" s="17" t="str">
        <f t="array" ref="J749">XLOOKUP(A749,'Download of SFDC Activation Rep'!B:B,'Download of SFDC Activation Rep'!T:T)</f>
        <v>#N/A</v>
      </c>
      <c r="K749" s="17" t="str">
        <f t="array" ref="K749">iferror(XLOOKUP(A749,'Download of SFDC Activation Rep'!B:B,'Download of SFDC Activation Rep'!C:C),"")</f>
        <v/>
      </c>
    </row>
    <row r="750">
      <c r="B750" s="14"/>
      <c r="C750" s="14"/>
      <c r="D750" s="14"/>
      <c r="E750" s="14"/>
      <c r="F750" s="14"/>
      <c r="G750" s="13" t="str">
        <f t="array" ref="G750">iferror(XLOOKUP(A750,'Download of SFDC Activation Rep'!B:B,'Download of SFDC Activation Rep'!H:H),"")</f>
        <v/>
      </c>
      <c r="H750" s="13" t="str">
        <f t="array" ref="H750">iferror(xlookup(A750,'Download of SFDC Activation Rep'!B:B,'Download of SFDC Activation Rep'!L:L),"")</f>
        <v/>
      </c>
      <c r="I750" s="17" t="str">
        <f t="shared" si="2"/>
        <v>Not Active</v>
      </c>
      <c r="J750" s="17" t="str">
        <f t="array" ref="J750">XLOOKUP(A750,'Download of SFDC Activation Rep'!B:B,'Download of SFDC Activation Rep'!T:T)</f>
        <v>#N/A</v>
      </c>
      <c r="K750" s="17" t="str">
        <f t="array" ref="K750">iferror(XLOOKUP(A750,'Download of SFDC Activation Rep'!B:B,'Download of SFDC Activation Rep'!C:C),"")</f>
        <v/>
      </c>
    </row>
    <row r="751">
      <c r="B751" s="14"/>
      <c r="C751" s="14"/>
      <c r="D751" s="14"/>
      <c r="E751" s="14"/>
      <c r="F751" s="14"/>
      <c r="G751" s="13" t="str">
        <f t="array" ref="G751">iferror(XLOOKUP(A751,'Download of SFDC Activation Rep'!B:B,'Download of SFDC Activation Rep'!H:H),"")</f>
        <v/>
      </c>
      <c r="H751" s="13" t="str">
        <f t="array" ref="H751">iferror(xlookup(A751,'Download of SFDC Activation Rep'!B:B,'Download of SFDC Activation Rep'!L:L),"")</f>
        <v/>
      </c>
      <c r="I751" s="17" t="str">
        <f t="shared" si="2"/>
        <v>Not Active</v>
      </c>
      <c r="J751" s="17" t="str">
        <f t="array" ref="J751">XLOOKUP(A751,'Download of SFDC Activation Rep'!B:B,'Download of SFDC Activation Rep'!T:T)</f>
        <v>#N/A</v>
      </c>
      <c r="K751" s="17" t="str">
        <f t="array" ref="K751">iferror(XLOOKUP(A751,'Download of SFDC Activation Rep'!B:B,'Download of SFDC Activation Rep'!C:C),"")</f>
        <v/>
      </c>
    </row>
    <row r="752">
      <c r="B752" s="14"/>
      <c r="C752" s="14"/>
      <c r="D752" s="14"/>
      <c r="E752" s="14"/>
      <c r="F752" s="14"/>
      <c r="G752" s="13" t="str">
        <f t="array" ref="G752">iferror(XLOOKUP(A752,'Download of SFDC Activation Rep'!B:B,'Download of SFDC Activation Rep'!H:H),"")</f>
        <v/>
      </c>
      <c r="H752" s="13" t="str">
        <f t="array" ref="H752">iferror(xlookup(A752,'Download of SFDC Activation Rep'!B:B,'Download of SFDC Activation Rep'!L:L),"")</f>
        <v/>
      </c>
      <c r="I752" s="17" t="str">
        <f t="shared" si="2"/>
        <v>Not Active</v>
      </c>
      <c r="J752" s="17" t="str">
        <f t="array" ref="J752">XLOOKUP(A752,'Download of SFDC Activation Rep'!B:B,'Download of SFDC Activation Rep'!T:T)</f>
        <v>#N/A</v>
      </c>
      <c r="K752" s="17" t="str">
        <f t="array" ref="K752">iferror(XLOOKUP(A752,'Download of SFDC Activation Rep'!B:B,'Download of SFDC Activation Rep'!C:C),"")</f>
        <v/>
      </c>
    </row>
    <row r="753">
      <c r="B753" s="14"/>
      <c r="C753" s="14"/>
      <c r="D753" s="14"/>
      <c r="E753" s="14"/>
      <c r="F753" s="14"/>
      <c r="G753" s="13" t="str">
        <f t="array" ref="G753">iferror(XLOOKUP(A753,'Download of SFDC Activation Rep'!B:B,'Download of SFDC Activation Rep'!H:H),"")</f>
        <v/>
      </c>
      <c r="H753" s="13" t="str">
        <f t="array" ref="H753">iferror(xlookup(A753,'Download of SFDC Activation Rep'!B:B,'Download of SFDC Activation Rep'!L:L),"")</f>
        <v/>
      </c>
      <c r="I753" s="17" t="str">
        <f t="shared" si="2"/>
        <v>Not Active</v>
      </c>
      <c r="J753" s="17" t="str">
        <f t="array" ref="J753">XLOOKUP(A753,'Download of SFDC Activation Rep'!B:B,'Download of SFDC Activation Rep'!T:T)</f>
        <v>#N/A</v>
      </c>
      <c r="K753" s="17" t="str">
        <f t="array" ref="K753">iferror(XLOOKUP(A753,'Download of SFDC Activation Rep'!B:B,'Download of SFDC Activation Rep'!C:C),"")</f>
        <v/>
      </c>
    </row>
    <row r="754">
      <c r="B754" s="14"/>
      <c r="C754" s="14"/>
      <c r="D754" s="14"/>
      <c r="E754" s="14"/>
      <c r="F754" s="14"/>
      <c r="G754" s="13" t="str">
        <f t="array" ref="G754">iferror(XLOOKUP(A754,'Download of SFDC Activation Rep'!B:B,'Download of SFDC Activation Rep'!H:H),"")</f>
        <v/>
      </c>
      <c r="H754" s="13" t="str">
        <f t="array" ref="H754">iferror(xlookup(A754,'Download of SFDC Activation Rep'!B:B,'Download of SFDC Activation Rep'!L:L),"")</f>
        <v/>
      </c>
      <c r="I754" s="17" t="str">
        <f t="shared" si="2"/>
        <v>Not Active</v>
      </c>
      <c r="J754" s="17" t="str">
        <f t="array" ref="J754">XLOOKUP(A754,'Download of SFDC Activation Rep'!B:B,'Download of SFDC Activation Rep'!T:T)</f>
        <v>#N/A</v>
      </c>
      <c r="K754" s="17" t="str">
        <f t="array" ref="K754">iferror(XLOOKUP(A754,'Download of SFDC Activation Rep'!B:B,'Download of SFDC Activation Rep'!C:C),"")</f>
        <v/>
      </c>
    </row>
    <row r="755">
      <c r="B755" s="14"/>
      <c r="C755" s="14"/>
      <c r="D755" s="14"/>
      <c r="E755" s="14"/>
      <c r="F755" s="14"/>
      <c r="G755" s="13" t="str">
        <f t="array" ref="G755">iferror(XLOOKUP(A755,'Download of SFDC Activation Rep'!B:B,'Download of SFDC Activation Rep'!H:H),"")</f>
        <v/>
      </c>
      <c r="H755" s="13" t="str">
        <f t="array" ref="H755">iferror(xlookup(A755,'Download of SFDC Activation Rep'!B:B,'Download of SFDC Activation Rep'!L:L),"")</f>
        <v/>
      </c>
      <c r="I755" s="17" t="str">
        <f t="shared" si="2"/>
        <v>Not Active</v>
      </c>
      <c r="J755" s="17" t="str">
        <f t="array" ref="J755">XLOOKUP(A755,'Download of SFDC Activation Rep'!B:B,'Download of SFDC Activation Rep'!T:T)</f>
        <v>#N/A</v>
      </c>
      <c r="K755" s="17" t="str">
        <f t="array" ref="K755">iferror(XLOOKUP(A755,'Download of SFDC Activation Rep'!B:B,'Download of SFDC Activation Rep'!C:C),"")</f>
        <v/>
      </c>
    </row>
    <row r="756">
      <c r="B756" s="14"/>
      <c r="C756" s="14"/>
      <c r="D756" s="14"/>
      <c r="E756" s="14"/>
      <c r="F756" s="14"/>
      <c r="G756" s="13" t="str">
        <f t="array" ref="G756">iferror(XLOOKUP(A756,'Download of SFDC Activation Rep'!B:B,'Download of SFDC Activation Rep'!H:H),"")</f>
        <v/>
      </c>
      <c r="H756" s="13" t="str">
        <f t="array" ref="H756">iferror(xlookup(A756,'Download of SFDC Activation Rep'!B:B,'Download of SFDC Activation Rep'!L:L),"")</f>
        <v/>
      </c>
      <c r="I756" s="17" t="str">
        <f t="shared" si="2"/>
        <v>Not Active</v>
      </c>
      <c r="J756" s="17" t="str">
        <f t="array" ref="J756">XLOOKUP(A756,'Download of SFDC Activation Rep'!B:B,'Download of SFDC Activation Rep'!T:T)</f>
        <v>#N/A</v>
      </c>
      <c r="K756" s="17" t="str">
        <f t="array" ref="K756">iferror(XLOOKUP(A756,'Download of SFDC Activation Rep'!B:B,'Download of SFDC Activation Rep'!C:C),"")</f>
        <v/>
      </c>
    </row>
    <row r="757">
      <c r="B757" s="14"/>
      <c r="C757" s="14"/>
      <c r="D757" s="14"/>
      <c r="E757" s="14"/>
      <c r="F757" s="14"/>
      <c r="G757" s="13" t="str">
        <f t="array" ref="G757">iferror(XLOOKUP(A757,'Download of SFDC Activation Rep'!B:B,'Download of SFDC Activation Rep'!H:H),"")</f>
        <v/>
      </c>
      <c r="H757" s="13" t="str">
        <f t="array" ref="H757">iferror(xlookup(A757,'Download of SFDC Activation Rep'!B:B,'Download of SFDC Activation Rep'!L:L),"")</f>
        <v/>
      </c>
      <c r="I757" s="17" t="str">
        <f t="shared" si="2"/>
        <v>Not Active</v>
      </c>
      <c r="J757" s="17" t="str">
        <f t="array" ref="J757">XLOOKUP(A757,'Download of SFDC Activation Rep'!B:B,'Download of SFDC Activation Rep'!T:T)</f>
        <v>#N/A</v>
      </c>
      <c r="K757" s="17" t="str">
        <f t="array" ref="K757">iferror(XLOOKUP(A757,'Download of SFDC Activation Rep'!B:B,'Download of SFDC Activation Rep'!C:C),"")</f>
        <v/>
      </c>
    </row>
    <row r="758">
      <c r="B758" s="14"/>
      <c r="C758" s="14"/>
      <c r="D758" s="14"/>
      <c r="E758" s="14"/>
      <c r="F758" s="14"/>
      <c r="G758" s="13" t="str">
        <f t="array" ref="G758">iferror(XLOOKUP(A758,'Download of SFDC Activation Rep'!B:B,'Download of SFDC Activation Rep'!H:H),"")</f>
        <v/>
      </c>
      <c r="H758" s="13" t="str">
        <f t="array" ref="H758">iferror(xlookup(A758,'Download of SFDC Activation Rep'!B:B,'Download of SFDC Activation Rep'!L:L),"")</f>
        <v/>
      </c>
      <c r="I758" s="17" t="str">
        <f t="shared" si="2"/>
        <v>Not Active</v>
      </c>
      <c r="J758" s="17" t="str">
        <f t="array" ref="J758">XLOOKUP(A758,'Download of SFDC Activation Rep'!B:B,'Download of SFDC Activation Rep'!T:T)</f>
        <v>#N/A</v>
      </c>
      <c r="K758" s="17" t="str">
        <f t="array" ref="K758">iferror(XLOOKUP(A758,'Download of SFDC Activation Rep'!B:B,'Download of SFDC Activation Rep'!C:C),"")</f>
        <v/>
      </c>
    </row>
    <row r="759">
      <c r="B759" s="14"/>
      <c r="C759" s="14"/>
      <c r="D759" s="14"/>
      <c r="E759" s="14"/>
      <c r="F759" s="14"/>
      <c r="G759" s="13" t="str">
        <f t="array" ref="G759">iferror(XLOOKUP(A759,'Download of SFDC Activation Rep'!B:B,'Download of SFDC Activation Rep'!H:H),"")</f>
        <v/>
      </c>
      <c r="H759" s="13" t="str">
        <f t="array" ref="H759">iferror(xlookup(A759,'Download of SFDC Activation Rep'!B:B,'Download of SFDC Activation Rep'!L:L),"")</f>
        <v/>
      </c>
      <c r="I759" s="17" t="str">
        <f t="shared" si="2"/>
        <v>Not Active</v>
      </c>
      <c r="J759" s="17" t="str">
        <f t="array" ref="J759">XLOOKUP(A759,'Download of SFDC Activation Rep'!B:B,'Download of SFDC Activation Rep'!T:T)</f>
        <v>#N/A</v>
      </c>
      <c r="K759" s="17" t="str">
        <f t="array" ref="K759">iferror(XLOOKUP(A759,'Download of SFDC Activation Rep'!B:B,'Download of SFDC Activation Rep'!C:C),"")</f>
        <v/>
      </c>
    </row>
    <row r="760">
      <c r="B760" s="14"/>
      <c r="C760" s="14"/>
      <c r="D760" s="14"/>
      <c r="E760" s="14"/>
      <c r="F760" s="14"/>
      <c r="G760" s="13" t="str">
        <f t="array" ref="G760">iferror(XLOOKUP(A760,'Download of SFDC Activation Rep'!B:B,'Download of SFDC Activation Rep'!H:H),"")</f>
        <v/>
      </c>
      <c r="H760" s="13" t="str">
        <f t="array" ref="H760">iferror(xlookup(A760,'Download of SFDC Activation Rep'!B:B,'Download of SFDC Activation Rep'!L:L),"")</f>
        <v/>
      </c>
      <c r="I760" s="17" t="str">
        <f t="shared" si="2"/>
        <v>Not Active</v>
      </c>
      <c r="J760" s="17" t="str">
        <f t="array" ref="J760">XLOOKUP(A760,'Download of SFDC Activation Rep'!B:B,'Download of SFDC Activation Rep'!T:T)</f>
        <v>#N/A</v>
      </c>
      <c r="K760" s="17" t="str">
        <f t="array" ref="K760">iferror(XLOOKUP(A760,'Download of SFDC Activation Rep'!B:B,'Download of SFDC Activation Rep'!C:C),"")</f>
        <v/>
      </c>
    </row>
    <row r="761">
      <c r="B761" s="14"/>
      <c r="C761" s="14"/>
      <c r="D761" s="14"/>
      <c r="E761" s="14"/>
      <c r="F761" s="14"/>
      <c r="G761" s="13" t="str">
        <f t="array" ref="G761">iferror(XLOOKUP(A761,'Download of SFDC Activation Rep'!B:B,'Download of SFDC Activation Rep'!H:H),"")</f>
        <v/>
      </c>
      <c r="H761" s="13" t="str">
        <f t="array" ref="H761">iferror(xlookup(A761,'Download of SFDC Activation Rep'!B:B,'Download of SFDC Activation Rep'!L:L),"")</f>
        <v/>
      </c>
      <c r="I761" s="17" t="str">
        <f t="shared" si="2"/>
        <v>Not Active</v>
      </c>
      <c r="J761" s="17" t="str">
        <f t="array" ref="J761">XLOOKUP(A761,'Download of SFDC Activation Rep'!B:B,'Download of SFDC Activation Rep'!T:T)</f>
        <v>#N/A</v>
      </c>
      <c r="K761" s="17" t="str">
        <f t="array" ref="K761">iferror(XLOOKUP(A761,'Download of SFDC Activation Rep'!B:B,'Download of SFDC Activation Rep'!C:C),"")</f>
        <v/>
      </c>
    </row>
    <row r="762">
      <c r="B762" s="14"/>
      <c r="C762" s="14"/>
      <c r="D762" s="14"/>
      <c r="E762" s="14"/>
      <c r="F762" s="14"/>
      <c r="G762" s="13" t="str">
        <f t="array" ref="G762">iferror(XLOOKUP(A762,'Download of SFDC Activation Rep'!B:B,'Download of SFDC Activation Rep'!H:H),"")</f>
        <v/>
      </c>
      <c r="H762" s="13" t="str">
        <f t="array" ref="H762">iferror(xlookup(A762,'Download of SFDC Activation Rep'!B:B,'Download of SFDC Activation Rep'!L:L),"")</f>
        <v/>
      </c>
      <c r="I762" s="17" t="str">
        <f t="shared" si="2"/>
        <v>Not Active</v>
      </c>
      <c r="J762" s="17" t="str">
        <f t="array" ref="J762">XLOOKUP(A762,'Download of SFDC Activation Rep'!B:B,'Download of SFDC Activation Rep'!T:T)</f>
        <v>#N/A</v>
      </c>
      <c r="K762" s="17" t="str">
        <f t="array" ref="K762">iferror(XLOOKUP(A762,'Download of SFDC Activation Rep'!B:B,'Download of SFDC Activation Rep'!C:C),"")</f>
        <v/>
      </c>
    </row>
    <row r="763">
      <c r="B763" s="14"/>
      <c r="C763" s="14"/>
      <c r="D763" s="14"/>
      <c r="E763" s="14"/>
      <c r="F763" s="14"/>
      <c r="G763" s="13" t="str">
        <f t="array" ref="G763">iferror(XLOOKUP(A763,'Download of SFDC Activation Rep'!B:B,'Download of SFDC Activation Rep'!H:H),"")</f>
        <v/>
      </c>
      <c r="H763" s="13" t="str">
        <f t="array" ref="H763">iferror(xlookup(A763,'Download of SFDC Activation Rep'!B:B,'Download of SFDC Activation Rep'!L:L),"")</f>
        <v/>
      </c>
      <c r="I763" s="17" t="str">
        <f t="shared" si="2"/>
        <v>Not Active</v>
      </c>
      <c r="J763" s="17" t="str">
        <f t="array" ref="J763">XLOOKUP(A763,'Download of SFDC Activation Rep'!B:B,'Download of SFDC Activation Rep'!T:T)</f>
        <v>#N/A</v>
      </c>
      <c r="K763" s="17" t="str">
        <f t="array" ref="K763">iferror(XLOOKUP(A763,'Download of SFDC Activation Rep'!B:B,'Download of SFDC Activation Rep'!C:C),"")</f>
        <v/>
      </c>
    </row>
    <row r="764">
      <c r="B764" s="14"/>
      <c r="C764" s="14"/>
      <c r="D764" s="14"/>
      <c r="E764" s="14"/>
      <c r="F764" s="14"/>
      <c r="G764" s="13" t="str">
        <f t="array" ref="G764">iferror(XLOOKUP(A764,'Download of SFDC Activation Rep'!B:B,'Download of SFDC Activation Rep'!H:H),"")</f>
        <v/>
      </c>
      <c r="H764" s="13" t="str">
        <f t="array" ref="H764">iferror(xlookup(A764,'Download of SFDC Activation Rep'!B:B,'Download of SFDC Activation Rep'!L:L),"")</f>
        <v/>
      </c>
      <c r="I764" s="17" t="str">
        <f t="shared" si="2"/>
        <v>Not Active</v>
      </c>
      <c r="J764" s="17" t="str">
        <f t="array" ref="J764">XLOOKUP(A764,'Download of SFDC Activation Rep'!B:B,'Download of SFDC Activation Rep'!T:T)</f>
        <v>#N/A</v>
      </c>
      <c r="K764" s="17" t="str">
        <f t="array" ref="K764">iferror(XLOOKUP(A764,'Download of SFDC Activation Rep'!B:B,'Download of SFDC Activation Rep'!C:C),"")</f>
        <v/>
      </c>
    </row>
    <row r="765">
      <c r="B765" s="14"/>
      <c r="C765" s="14"/>
      <c r="D765" s="14"/>
      <c r="E765" s="14"/>
      <c r="F765" s="14"/>
      <c r="G765" s="13" t="str">
        <f t="array" ref="G765">iferror(XLOOKUP(A765,'Download of SFDC Activation Rep'!B:B,'Download of SFDC Activation Rep'!H:H),"")</f>
        <v/>
      </c>
      <c r="H765" s="13" t="str">
        <f t="array" ref="H765">iferror(xlookup(A765,'Download of SFDC Activation Rep'!B:B,'Download of SFDC Activation Rep'!L:L),"")</f>
        <v/>
      </c>
      <c r="I765" s="17" t="str">
        <f t="shared" si="2"/>
        <v>Not Active</v>
      </c>
      <c r="J765" s="17" t="str">
        <f t="array" ref="J765">XLOOKUP(A765,'Download of SFDC Activation Rep'!B:B,'Download of SFDC Activation Rep'!T:T)</f>
        <v>#N/A</v>
      </c>
      <c r="K765" s="17" t="str">
        <f t="array" ref="K765">iferror(XLOOKUP(A765,'Download of SFDC Activation Rep'!B:B,'Download of SFDC Activation Rep'!C:C),"")</f>
        <v/>
      </c>
    </row>
    <row r="766">
      <c r="B766" s="14"/>
      <c r="C766" s="14"/>
      <c r="D766" s="14"/>
      <c r="E766" s="14"/>
      <c r="F766" s="14"/>
      <c r="G766" s="13" t="str">
        <f t="array" ref="G766">iferror(XLOOKUP(A766,'Download of SFDC Activation Rep'!B:B,'Download of SFDC Activation Rep'!H:H),"")</f>
        <v/>
      </c>
      <c r="H766" s="13" t="str">
        <f t="array" ref="H766">iferror(xlookup(A766,'Download of SFDC Activation Rep'!B:B,'Download of SFDC Activation Rep'!L:L),"")</f>
        <v/>
      </c>
      <c r="I766" s="17" t="str">
        <f t="shared" si="2"/>
        <v>Not Active</v>
      </c>
      <c r="J766" s="17" t="str">
        <f t="array" ref="J766">XLOOKUP(A766,'Download of SFDC Activation Rep'!B:B,'Download of SFDC Activation Rep'!T:T)</f>
        <v>#N/A</v>
      </c>
      <c r="K766" s="17" t="str">
        <f t="array" ref="K766">iferror(XLOOKUP(A766,'Download of SFDC Activation Rep'!B:B,'Download of SFDC Activation Rep'!C:C),"")</f>
        <v/>
      </c>
    </row>
    <row r="767">
      <c r="B767" s="14"/>
      <c r="C767" s="14"/>
      <c r="D767" s="14"/>
      <c r="E767" s="14"/>
      <c r="F767" s="14"/>
      <c r="G767" s="13" t="str">
        <f t="array" ref="G767">iferror(XLOOKUP(A767,'Download of SFDC Activation Rep'!B:B,'Download of SFDC Activation Rep'!H:H),"")</f>
        <v/>
      </c>
      <c r="H767" s="13" t="str">
        <f t="array" ref="H767">iferror(xlookup(A767,'Download of SFDC Activation Rep'!B:B,'Download of SFDC Activation Rep'!L:L),"")</f>
        <v/>
      </c>
      <c r="I767" s="17" t="str">
        <f t="shared" si="2"/>
        <v>Not Active</v>
      </c>
      <c r="J767" s="17" t="str">
        <f t="array" ref="J767">XLOOKUP(A767,'Download of SFDC Activation Rep'!B:B,'Download of SFDC Activation Rep'!T:T)</f>
        <v>#N/A</v>
      </c>
      <c r="K767" s="17" t="str">
        <f t="array" ref="K767">iferror(XLOOKUP(A767,'Download of SFDC Activation Rep'!B:B,'Download of SFDC Activation Rep'!C:C),"")</f>
        <v/>
      </c>
    </row>
    <row r="768">
      <c r="B768" s="14"/>
      <c r="C768" s="14"/>
      <c r="D768" s="14"/>
      <c r="E768" s="14"/>
      <c r="F768" s="14"/>
      <c r="G768" s="13" t="str">
        <f t="array" ref="G768">iferror(XLOOKUP(A768,'Download of SFDC Activation Rep'!B:B,'Download of SFDC Activation Rep'!H:H),"")</f>
        <v/>
      </c>
      <c r="H768" s="13" t="str">
        <f t="array" ref="H768">iferror(xlookup(A768,'Download of SFDC Activation Rep'!B:B,'Download of SFDC Activation Rep'!L:L),"")</f>
        <v/>
      </c>
      <c r="I768" s="17" t="str">
        <f t="shared" si="2"/>
        <v>Not Active</v>
      </c>
      <c r="J768" s="17" t="str">
        <f t="array" ref="J768">XLOOKUP(A768,'Download of SFDC Activation Rep'!B:B,'Download of SFDC Activation Rep'!T:T)</f>
        <v>#N/A</v>
      </c>
      <c r="K768" s="17" t="str">
        <f t="array" ref="K768">iferror(XLOOKUP(A768,'Download of SFDC Activation Rep'!B:B,'Download of SFDC Activation Rep'!C:C),"")</f>
        <v/>
      </c>
    </row>
    <row r="769">
      <c r="B769" s="14"/>
      <c r="C769" s="14"/>
      <c r="D769" s="14"/>
      <c r="E769" s="14"/>
      <c r="F769" s="14"/>
      <c r="G769" s="13" t="str">
        <f t="array" ref="G769">iferror(XLOOKUP(A769,'Download of SFDC Activation Rep'!B:B,'Download of SFDC Activation Rep'!H:H),"")</f>
        <v/>
      </c>
      <c r="H769" s="13" t="str">
        <f t="array" ref="H769">iferror(xlookup(A769,'Download of SFDC Activation Rep'!B:B,'Download of SFDC Activation Rep'!L:L),"")</f>
        <v/>
      </c>
      <c r="I769" s="17" t="str">
        <f t="shared" si="2"/>
        <v>Not Active</v>
      </c>
      <c r="J769" s="17" t="str">
        <f t="array" ref="J769">XLOOKUP(A769,'Download of SFDC Activation Rep'!B:B,'Download of SFDC Activation Rep'!T:T)</f>
        <v>#N/A</v>
      </c>
      <c r="K769" s="17" t="str">
        <f t="array" ref="K769">iferror(XLOOKUP(A769,'Download of SFDC Activation Rep'!B:B,'Download of SFDC Activation Rep'!C:C),"")</f>
        <v/>
      </c>
    </row>
    <row r="770">
      <c r="B770" s="14"/>
      <c r="C770" s="14"/>
      <c r="D770" s="14"/>
      <c r="E770" s="14"/>
      <c r="F770" s="14"/>
      <c r="G770" s="13" t="str">
        <f t="array" ref="G770">iferror(XLOOKUP(A770,'Download of SFDC Activation Rep'!B:B,'Download of SFDC Activation Rep'!H:H),"")</f>
        <v/>
      </c>
      <c r="H770" s="13" t="str">
        <f t="array" ref="H770">iferror(xlookup(A770,'Download of SFDC Activation Rep'!B:B,'Download of SFDC Activation Rep'!L:L),"")</f>
        <v/>
      </c>
      <c r="I770" s="17" t="str">
        <f t="shared" si="2"/>
        <v>Not Active</v>
      </c>
      <c r="J770" s="17" t="str">
        <f t="array" ref="J770">XLOOKUP(A770,'Download of SFDC Activation Rep'!B:B,'Download of SFDC Activation Rep'!T:T)</f>
        <v>#N/A</v>
      </c>
      <c r="K770" s="17" t="str">
        <f t="array" ref="K770">iferror(XLOOKUP(A770,'Download of SFDC Activation Rep'!B:B,'Download of SFDC Activation Rep'!C:C),"")</f>
        <v/>
      </c>
    </row>
    <row r="771">
      <c r="B771" s="14"/>
      <c r="C771" s="14"/>
      <c r="D771" s="14"/>
      <c r="E771" s="14"/>
      <c r="F771" s="14"/>
      <c r="G771" s="13" t="str">
        <f t="array" ref="G771">iferror(XLOOKUP(A771,'Download of SFDC Activation Rep'!B:B,'Download of SFDC Activation Rep'!H:H),"")</f>
        <v/>
      </c>
      <c r="H771" s="13" t="str">
        <f t="array" ref="H771">iferror(xlookup(A771,'Download of SFDC Activation Rep'!B:B,'Download of SFDC Activation Rep'!L:L),"")</f>
        <v/>
      </c>
      <c r="I771" s="17" t="str">
        <f t="shared" si="2"/>
        <v>Not Active</v>
      </c>
      <c r="J771" s="17" t="str">
        <f t="array" ref="J771">XLOOKUP(A771,'Download of SFDC Activation Rep'!B:B,'Download of SFDC Activation Rep'!T:T)</f>
        <v>#N/A</v>
      </c>
      <c r="K771" s="17" t="str">
        <f t="array" ref="K771">iferror(XLOOKUP(A771,'Download of SFDC Activation Rep'!B:B,'Download of SFDC Activation Rep'!C:C),"")</f>
        <v/>
      </c>
    </row>
    <row r="772">
      <c r="B772" s="14"/>
      <c r="C772" s="14"/>
      <c r="D772" s="14"/>
      <c r="E772" s="14"/>
      <c r="F772" s="14"/>
      <c r="G772" s="13" t="str">
        <f t="array" ref="G772">iferror(XLOOKUP(A772,'Download of SFDC Activation Rep'!B:B,'Download of SFDC Activation Rep'!H:H),"")</f>
        <v/>
      </c>
      <c r="H772" s="13" t="str">
        <f t="array" ref="H772">iferror(xlookup(A772,'Download of SFDC Activation Rep'!B:B,'Download of SFDC Activation Rep'!L:L),"")</f>
        <v/>
      </c>
      <c r="I772" s="17" t="str">
        <f t="shared" si="2"/>
        <v>Not Active</v>
      </c>
      <c r="J772" s="17" t="str">
        <f t="array" ref="J772">XLOOKUP(A772,'Download of SFDC Activation Rep'!B:B,'Download of SFDC Activation Rep'!T:T)</f>
        <v>#N/A</v>
      </c>
      <c r="K772" s="17" t="str">
        <f t="array" ref="K772">iferror(XLOOKUP(A772,'Download of SFDC Activation Rep'!B:B,'Download of SFDC Activation Rep'!C:C),"")</f>
        <v/>
      </c>
    </row>
    <row r="773">
      <c r="B773" s="14"/>
      <c r="C773" s="14"/>
      <c r="D773" s="14"/>
      <c r="E773" s="14"/>
      <c r="F773" s="14"/>
      <c r="G773" s="13" t="str">
        <f t="array" ref="G773">iferror(XLOOKUP(A773,'Download of SFDC Activation Rep'!B:B,'Download of SFDC Activation Rep'!H:H),"")</f>
        <v/>
      </c>
      <c r="H773" s="13" t="str">
        <f t="array" ref="H773">iferror(xlookup(A773,'Download of SFDC Activation Rep'!B:B,'Download of SFDC Activation Rep'!L:L),"")</f>
        <v/>
      </c>
      <c r="I773" s="17" t="str">
        <f t="shared" si="2"/>
        <v>Not Active</v>
      </c>
      <c r="J773" s="17" t="str">
        <f t="array" ref="J773">XLOOKUP(A773,'Download of SFDC Activation Rep'!B:B,'Download of SFDC Activation Rep'!T:T)</f>
        <v>#N/A</v>
      </c>
      <c r="K773" s="17" t="str">
        <f t="array" ref="K773">iferror(XLOOKUP(A773,'Download of SFDC Activation Rep'!B:B,'Download of SFDC Activation Rep'!C:C),"")</f>
        <v/>
      </c>
    </row>
    <row r="774">
      <c r="B774" s="14"/>
      <c r="C774" s="14"/>
      <c r="D774" s="14"/>
      <c r="E774" s="14"/>
      <c r="F774" s="14"/>
      <c r="G774" s="13" t="str">
        <f t="array" ref="G774">iferror(XLOOKUP(A774,'Download of SFDC Activation Rep'!B:B,'Download of SFDC Activation Rep'!H:H),"")</f>
        <v/>
      </c>
      <c r="H774" s="13" t="str">
        <f t="array" ref="H774">iferror(xlookup(A774,'Download of SFDC Activation Rep'!B:B,'Download of SFDC Activation Rep'!L:L),"")</f>
        <v/>
      </c>
      <c r="I774" s="17" t="str">
        <f t="shared" si="2"/>
        <v>Not Active</v>
      </c>
      <c r="J774" s="17" t="str">
        <f t="array" ref="J774">XLOOKUP(A774,'Download of SFDC Activation Rep'!B:B,'Download of SFDC Activation Rep'!T:T)</f>
        <v>#N/A</v>
      </c>
      <c r="K774" s="17" t="str">
        <f t="array" ref="K774">iferror(XLOOKUP(A774,'Download of SFDC Activation Rep'!B:B,'Download of SFDC Activation Rep'!C:C),"")</f>
        <v/>
      </c>
    </row>
    <row r="775">
      <c r="B775" s="14"/>
      <c r="C775" s="14"/>
      <c r="D775" s="14"/>
      <c r="E775" s="14"/>
      <c r="F775" s="14"/>
      <c r="G775" s="13" t="str">
        <f t="array" ref="G775">iferror(XLOOKUP(A775,'Download of SFDC Activation Rep'!B:B,'Download of SFDC Activation Rep'!H:H),"")</f>
        <v/>
      </c>
      <c r="H775" s="13" t="str">
        <f t="array" ref="H775">iferror(xlookup(A775,'Download of SFDC Activation Rep'!B:B,'Download of SFDC Activation Rep'!L:L),"")</f>
        <v/>
      </c>
      <c r="I775" s="17" t="str">
        <f t="shared" si="2"/>
        <v>Not Active</v>
      </c>
      <c r="J775" s="17" t="str">
        <f t="array" ref="J775">XLOOKUP(A775,'Download of SFDC Activation Rep'!B:B,'Download of SFDC Activation Rep'!T:T)</f>
        <v>#N/A</v>
      </c>
      <c r="K775" s="17" t="str">
        <f t="array" ref="K775">iferror(XLOOKUP(A775,'Download of SFDC Activation Rep'!B:B,'Download of SFDC Activation Rep'!C:C),"")</f>
        <v/>
      </c>
    </row>
    <row r="776">
      <c r="B776" s="14"/>
      <c r="C776" s="14"/>
      <c r="D776" s="14"/>
      <c r="E776" s="14"/>
      <c r="F776" s="14"/>
      <c r="G776" s="13" t="str">
        <f t="array" ref="G776">iferror(XLOOKUP(A776,'Download of SFDC Activation Rep'!B:B,'Download of SFDC Activation Rep'!H:H),"")</f>
        <v/>
      </c>
      <c r="H776" s="13" t="str">
        <f t="array" ref="H776">iferror(xlookup(A776,'Download of SFDC Activation Rep'!B:B,'Download of SFDC Activation Rep'!L:L),"")</f>
        <v/>
      </c>
      <c r="I776" s="17" t="str">
        <f t="shared" si="2"/>
        <v>Not Active</v>
      </c>
      <c r="J776" s="17" t="str">
        <f t="array" ref="J776">XLOOKUP(A776,'Download of SFDC Activation Rep'!B:B,'Download of SFDC Activation Rep'!T:T)</f>
        <v>#N/A</v>
      </c>
      <c r="K776" s="17" t="str">
        <f t="array" ref="K776">iferror(XLOOKUP(A776,'Download of SFDC Activation Rep'!B:B,'Download of SFDC Activation Rep'!C:C),"")</f>
        <v/>
      </c>
    </row>
    <row r="777">
      <c r="B777" s="14"/>
      <c r="C777" s="14"/>
      <c r="D777" s="14"/>
      <c r="E777" s="14"/>
      <c r="F777" s="14"/>
      <c r="G777" s="13" t="str">
        <f t="array" ref="G777">iferror(XLOOKUP(A777,'Download of SFDC Activation Rep'!B:B,'Download of SFDC Activation Rep'!H:H),"")</f>
        <v/>
      </c>
      <c r="H777" s="13" t="str">
        <f t="array" ref="H777">iferror(xlookup(A777,'Download of SFDC Activation Rep'!B:B,'Download of SFDC Activation Rep'!L:L),"")</f>
        <v/>
      </c>
      <c r="I777" s="17" t="str">
        <f t="shared" si="2"/>
        <v>Not Active</v>
      </c>
      <c r="J777" s="17" t="str">
        <f t="array" ref="J777">XLOOKUP(A777,'Download of SFDC Activation Rep'!B:B,'Download of SFDC Activation Rep'!T:T)</f>
        <v>#N/A</v>
      </c>
      <c r="K777" s="17" t="str">
        <f t="array" ref="K777">iferror(XLOOKUP(A777,'Download of SFDC Activation Rep'!B:B,'Download of SFDC Activation Rep'!C:C),"")</f>
        <v/>
      </c>
    </row>
    <row r="778">
      <c r="B778" s="14"/>
      <c r="C778" s="14"/>
      <c r="D778" s="14"/>
      <c r="E778" s="14"/>
      <c r="F778" s="14"/>
      <c r="G778" s="13" t="str">
        <f t="array" ref="G778">iferror(XLOOKUP(A778,'Download of SFDC Activation Rep'!B:B,'Download of SFDC Activation Rep'!H:H),"")</f>
        <v/>
      </c>
      <c r="H778" s="13" t="str">
        <f t="array" ref="H778">iferror(xlookup(A778,'Download of SFDC Activation Rep'!B:B,'Download of SFDC Activation Rep'!L:L),"")</f>
        <v/>
      </c>
      <c r="I778" s="17" t="str">
        <f t="shared" si="2"/>
        <v>Not Active</v>
      </c>
      <c r="J778" s="17" t="str">
        <f t="array" ref="J778">XLOOKUP(A778,'Download of SFDC Activation Rep'!B:B,'Download of SFDC Activation Rep'!T:T)</f>
        <v>#N/A</v>
      </c>
      <c r="K778" s="17" t="str">
        <f t="array" ref="K778">iferror(XLOOKUP(A778,'Download of SFDC Activation Rep'!B:B,'Download of SFDC Activation Rep'!C:C),"")</f>
        <v/>
      </c>
    </row>
    <row r="779">
      <c r="B779" s="14"/>
      <c r="C779" s="14"/>
      <c r="D779" s="14"/>
      <c r="E779" s="14"/>
      <c r="F779" s="14"/>
      <c r="G779" s="13" t="str">
        <f t="array" ref="G779">iferror(XLOOKUP(A779,'Download of SFDC Activation Rep'!B:B,'Download of SFDC Activation Rep'!H:H),"")</f>
        <v/>
      </c>
      <c r="H779" s="13" t="str">
        <f t="array" ref="H779">iferror(xlookup(A779,'Download of SFDC Activation Rep'!B:B,'Download of SFDC Activation Rep'!L:L),"")</f>
        <v/>
      </c>
      <c r="I779" s="17" t="str">
        <f t="shared" si="2"/>
        <v>Not Active</v>
      </c>
      <c r="J779" s="17" t="str">
        <f t="array" ref="J779">XLOOKUP(A779,'Download of SFDC Activation Rep'!B:B,'Download of SFDC Activation Rep'!T:T)</f>
        <v>#N/A</v>
      </c>
      <c r="K779" s="17" t="str">
        <f t="array" ref="K779">iferror(XLOOKUP(A779,'Download of SFDC Activation Rep'!B:B,'Download of SFDC Activation Rep'!C:C),"")</f>
        <v/>
      </c>
    </row>
    <row r="780">
      <c r="B780" s="14"/>
      <c r="C780" s="14"/>
      <c r="D780" s="14"/>
      <c r="E780" s="14"/>
      <c r="F780" s="14"/>
      <c r="G780" s="13" t="str">
        <f t="array" ref="G780">iferror(XLOOKUP(A780,'Download of SFDC Activation Rep'!B:B,'Download of SFDC Activation Rep'!H:H),"")</f>
        <v/>
      </c>
      <c r="H780" s="13" t="str">
        <f t="array" ref="H780">iferror(xlookup(A780,'Download of SFDC Activation Rep'!B:B,'Download of SFDC Activation Rep'!L:L),"")</f>
        <v/>
      </c>
      <c r="I780" s="17" t="str">
        <f t="shared" si="2"/>
        <v>Not Active</v>
      </c>
      <c r="J780" s="17" t="str">
        <f t="array" ref="J780">XLOOKUP(A780,'Download of SFDC Activation Rep'!B:B,'Download of SFDC Activation Rep'!T:T)</f>
        <v>#N/A</v>
      </c>
      <c r="K780" s="17" t="str">
        <f t="array" ref="K780">iferror(XLOOKUP(A780,'Download of SFDC Activation Rep'!B:B,'Download of SFDC Activation Rep'!C:C),"")</f>
        <v/>
      </c>
    </row>
    <row r="781">
      <c r="B781" s="14"/>
      <c r="C781" s="14"/>
      <c r="D781" s="14"/>
      <c r="E781" s="14"/>
      <c r="F781" s="14"/>
      <c r="G781" s="13" t="str">
        <f t="array" ref="G781">iferror(XLOOKUP(A781,'Download of SFDC Activation Rep'!B:B,'Download of SFDC Activation Rep'!H:H),"")</f>
        <v/>
      </c>
      <c r="H781" s="13" t="str">
        <f t="array" ref="H781">iferror(xlookup(A781,'Download of SFDC Activation Rep'!B:B,'Download of SFDC Activation Rep'!L:L),"")</f>
        <v/>
      </c>
      <c r="I781" s="17" t="str">
        <f t="shared" si="2"/>
        <v>Not Active</v>
      </c>
      <c r="J781" s="17" t="str">
        <f t="array" ref="J781">XLOOKUP(A781,'Download of SFDC Activation Rep'!B:B,'Download of SFDC Activation Rep'!T:T)</f>
        <v>#N/A</v>
      </c>
      <c r="K781" s="17" t="str">
        <f t="array" ref="K781">iferror(XLOOKUP(A781,'Download of SFDC Activation Rep'!B:B,'Download of SFDC Activation Rep'!C:C),"")</f>
        <v/>
      </c>
    </row>
    <row r="782">
      <c r="B782" s="14"/>
      <c r="C782" s="14"/>
      <c r="D782" s="14"/>
      <c r="E782" s="14"/>
      <c r="F782" s="14"/>
      <c r="G782" s="13" t="str">
        <f t="array" ref="G782">iferror(XLOOKUP(A782,'Download of SFDC Activation Rep'!B:B,'Download of SFDC Activation Rep'!H:H),"")</f>
        <v/>
      </c>
      <c r="H782" s="13" t="str">
        <f t="array" ref="H782">iferror(xlookup(A782,'Download of SFDC Activation Rep'!B:B,'Download of SFDC Activation Rep'!L:L),"")</f>
        <v/>
      </c>
      <c r="I782" s="17" t="str">
        <f t="shared" si="2"/>
        <v>Not Active</v>
      </c>
      <c r="J782" s="17" t="str">
        <f t="array" ref="J782">XLOOKUP(A782,'Download of SFDC Activation Rep'!B:B,'Download of SFDC Activation Rep'!T:T)</f>
        <v>#N/A</v>
      </c>
      <c r="K782" s="17" t="str">
        <f t="array" ref="K782">iferror(XLOOKUP(A782,'Download of SFDC Activation Rep'!B:B,'Download of SFDC Activation Rep'!C:C),"")</f>
        <v/>
      </c>
    </row>
    <row r="783">
      <c r="B783" s="14"/>
      <c r="C783" s="14"/>
      <c r="D783" s="14"/>
      <c r="E783" s="14"/>
      <c r="F783" s="14"/>
      <c r="G783" s="13" t="str">
        <f t="array" ref="G783">iferror(XLOOKUP(A783,'Download of SFDC Activation Rep'!B:B,'Download of SFDC Activation Rep'!H:H),"")</f>
        <v/>
      </c>
      <c r="H783" s="13" t="str">
        <f t="array" ref="H783">iferror(xlookup(A783,'Download of SFDC Activation Rep'!B:B,'Download of SFDC Activation Rep'!L:L),"")</f>
        <v/>
      </c>
      <c r="I783" s="17" t="str">
        <f t="shared" si="2"/>
        <v>Not Active</v>
      </c>
      <c r="J783" s="17" t="str">
        <f t="array" ref="J783">XLOOKUP(A783,'Download of SFDC Activation Rep'!B:B,'Download of SFDC Activation Rep'!T:T)</f>
        <v>#N/A</v>
      </c>
      <c r="K783" s="17" t="str">
        <f t="array" ref="K783">iferror(XLOOKUP(A783,'Download of SFDC Activation Rep'!B:B,'Download of SFDC Activation Rep'!C:C),"")</f>
        <v/>
      </c>
    </row>
    <row r="784">
      <c r="B784" s="14"/>
      <c r="C784" s="14"/>
      <c r="D784" s="14"/>
      <c r="E784" s="14"/>
      <c r="F784" s="14"/>
      <c r="G784" s="13" t="str">
        <f t="array" ref="G784">iferror(XLOOKUP(A784,'Download of SFDC Activation Rep'!B:B,'Download of SFDC Activation Rep'!H:H),"")</f>
        <v/>
      </c>
      <c r="H784" s="13" t="str">
        <f t="array" ref="H784">iferror(xlookup(A784,'Download of SFDC Activation Rep'!B:B,'Download of SFDC Activation Rep'!L:L),"")</f>
        <v/>
      </c>
      <c r="I784" s="17" t="str">
        <f t="shared" si="2"/>
        <v>Not Active</v>
      </c>
      <c r="J784" s="17" t="str">
        <f t="array" ref="J784">XLOOKUP(A784,'Download of SFDC Activation Rep'!B:B,'Download of SFDC Activation Rep'!T:T)</f>
        <v>#N/A</v>
      </c>
      <c r="K784" s="17" t="str">
        <f t="array" ref="K784">iferror(XLOOKUP(A784,'Download of SFDC Activation Rep'!B:B,'Download of SFDC Activation Rep'!C:C),"")</f>
        <v/>
      </c>
    </row>
    <row r="785">
      <c r="B785" s="14"/>
      <c r="C785" s="14"/>
      <c r="D785" s="14"/>
      <c r="E785" s="14"/>
      <c r="F785" s="14"/>
      <c r="G785" s="13" t="str">
        <f t="array" ref="G785">iferror(XLOOKUP(A785,'Download of SFDC Activation Rep'!B:B,'Download of SFDC Activation Rep'!H:H),"")</f>
        <v/>
      </c>
      <c r="H785" s="13" t="str">
        <f t="array" ref="H785">iferror(xlookup(A785,'Download of SFDC Activation Rep'!B:B,'Download of SFDC Activation Rep'!L:L),"")</f>
        <v/>
      </c>
      <c r="I785" s="17" t="str">
        <f t="shared" si="2"/>
        <v>Not Active</v>
      </c>
      <c r="J785" s="17" t="str">
        <f t="array" ref="J785">XLOOKUP(A785,'Download of SFDC Activation Rep'!B:B,'Download of SFDC Activation Rep'!T:T)</f>
        <v>#N/A</v>
      </c>
      <c r="K785" s="17" t="str">
        <f t="array" ref="K785">iferror(XLOOKUP(A785,'Download of SFDC Activation Rep'!B:B,'Download of SFDC Activation Rep'!C:C),"")</f>
        <v/>
      </c>
    </row>
    <row r="786">
      <c r="B786" s="14"/>
      <c r="C786" s="14"/>
      <c r="D786" s="14"/>
      <c r="E786" s="14"/>
      <c r="F786" s="14"/>
      <c r="G786" s="13" t="str">
        <f t="array" ref="G786">iferror(XLOOKUP(A786,'Download of SFDC Activation Rep'!B:B,'Download of SFDC Activation Rep'!H:H),"")</f>
        <v/>
      </c>
      <c r="H786" s="13" t="str">
        <f t="array" ref="H786">iferror(xlookup(A786,'Download of SFDC Activation Rep'!B:B,'Download of SFDC Activation Rep'!L:L),"")</f>
        <v/>
      </c>
      <c r="I786" s="17" t="str">
        <f t="shared" si="2"/>
        <v>Not Active</v>
      </c>
      <c r="J786" s="17" t="str">
        <f t="array" ref="J786">XLOOKUP(A786,'Download of SFDC Activation Rep'!B:B,'Download of SFDC Activation Rep'!T:T)</f>
        <v>#N/A</v>
      </c>
      <c r="K786" s="17" t="str">
        <f t="array" ref="K786">iferror(XLOOKUP(A786,'Download of SFDC Activation Rep'!B:B,'Download of SFDC Activation Rep'!C:C),"")</f>
        <v/>
      </c>
    </row>
    <row r="787">
      <c r="B787" s="14"/>
      <c r="C787" s="14"/>
      <c r="D787" s="14"/>
      <c r="E787" s="14"/>
      <c r="F787" s="14"/>
      <c r="G787" s="13" t="str">
        <f t="array" ref="G787">iferror(XLOOKUP(A787,'Download of SFDC Activation Rep'!B:B,'Download of SFDC Activation Rep'!H:H),"")</f>
        <v/>
      </c>
      <c r="H787" s="13" t="str">
        <f t="array" ref="H787">iferror(xlookup(A787,'Download of SFDC Activation Rep'!B:B,'Download of SFDC Activation Rep'!L:L),"")</f>
        <v/>
      </c>
      <c r="I787" s="17" t="str">
        <f t="shared" si="2"/>
        <v>Not Active</v>
      </c>
      <c r="J787" s="17" t="str">
        <f t="array" ref="J787">XLOOKUP(A787,'Download of SFDC Activation Rep'!B:B,'Download of SFDC Activation Rep'!T:T)</f>
        <v>#N/A</v>
      </c>
      <c r="K787" s="17" t="str">
        <f t="array" ref="K787">iferror(XLOOKUP(A787,'Download of SFDC Activation Rep'!B:B,'Download of SFDC Activation Rep'!C:C),"")</f>
        <v/>
      </c>
    </row>
    <row r="788">
      <c r="B788" s="14"/>
      <c r="C788" s="14"/>
      <c r="D788" s="14"/>
      <c r="E788" s="14"/>
      <c r="F788" s="14"/>
      <c r="G788" s="13" t="str">
        <f t="array" ref="G788">iferror(XLOOKUP(A788,'Download of SFDC Activation Rep'!B:B,'Download of SFDC Activation Rep'!H:H),"")</f>
        <v/>
      </c>
      <c r="H788" s="13" t="str">
        <f t="array" ref="H788">iferror(xlookup(A788,'Download of SFDC Activation Rep'!B:B,'Download of SFDC Activation Rep'!L:L),"")</f>
        <v/>
      </c>
      <c r="I788" s="17" t="str">
        <f t="shared" si="2"/>
        <v>Not Active</v>
      </c>
      <c r="J788" s="17" t="str">
        <f t="array" ref="J788">XLOOKUP(A788,'Download of SFDC Activation Rep'!B:B,'Download of SFDC Activation Rep'!T:T)</f>
        <v>#N/A</v>
      </c>
      <c r="K788" s="17" t="str">
        <f t="array" ref="K788">iferror(XLOOKUP(A788,'Download of SFDC Activation Rep'!B:B,'Download of SFDC Activation Rep'!C:C),"")</f>
        <v/>
      </c>
    </row>
    <row r="789">
      <c r="B789" s="14"/>
      <c r="C789" s="14"/>
      <c r="D789" s="14"/>
      <c r="E789" s="14"/>
      <c r="F789" s="14"/>
      <c r="G789" s="13" t="str">
        <f t="array" ref="G789">iferror(XLOOKUP(A789,'Download of SFDC Activation Rep'!B:B,'Download of SFDC Activation Rep'!H:H),"")</f>
        <v/>
      </c>
      <c r="H789" s="13" t="str">
        <f t="array" ref="H789">iferror(xlookup(A789,'Download of SFDC Activation Rep'!B:B,'Download of SFDC Activation Rep'!L:L),"")</f>
        <v/>
      </c>
      <c r="I789" s="17" t="str">
        <f t="shared" si="2"/>
        <v>Not Active</v>
      </c>
      <c r="J789" s="17" t="str">
        <f t="array" ref="J789">XLOOKUP(A789,'Download of SFDC Activation Rep'!B:B,'Download of SFDC Activation Rep'!T:T)</f>
        <v>#N/A</v>
      </c>
      <c r="K789" s="17" t="str">
        <f t="array" ref="K789">iferror(XLOOKUP(A789,'Download of SFDC Activation Rep'!B:B,'Download of SFDC Activation Rep'!C:C),"")</f>
        <v/>
      </c>
    </row>
    <row r="790">
      <c r="B790" s="14"/>
      <c r="C790" s="14"/>
      <c r="D790" s="14"/>
      <c r="E790" s="14"/>
      <c r="F790" s="14"/>
      <c r="G790" s="13" t="str">
        <f t="array" ref="G790">iferror(XLOOKUP(A790,'Download of SFDC Activation Rep'!B:B,'Download of SFDC Activation Rep'!H:H),"")</f>
        <v/>
      </c>
      <c r="H790" s="13" t="str">
        <f t="array" ref="H790">iferror(xlookup(A790,'Download of SFDC Activation Rep'!B:B,'Download of SFDC Activation Rep'!L:L),"")</f>
        <v/>
      </c>
      <c r="I790" s="17" t="str">
        <f t="shared" si="2"/>
        <v>Not Active</v>
      </c>
      <c r="J790" s="17" t="str">
        <f t="array" ref="J790">XLOOKUP(A790,'Download of SFDC Activation Rep'!B:B,'Download of SFDC Activation Rep'!T:T)</f>
        <v>#N/A</v>
      </c>
      <c r="K790" s="17" t="str">
        <f t="array" ref="K790">iferror(XLOOKUP(A790,'Download of SFDC Activation Rep'!B:B,'Download of SFDC Activation Rep'!C:C),"")</f>
        <v/>
      </c>
    </row>
    <row r="791">
      <c r="B791" s="14"/>
      <c r="C791" s="14"/>
      <c r="D791" s="14"/>
      <c r="E791" s="14"/>
      <c r="F791" s="14"/>
      <c r="G791" s="13" t="str">
        <f t="array" ref="G791">iferror(XLOOKUP(A791,'Download of SFDC Activation Rep'!B:B,'Download of SFDC Activation Rep'!H:H),"")</f>
        <v/>
      </c>
      <c r="H791" s="13" t="str">
        <f t="array" ref="H791">iferror(xlookup(A791,'Download of SFDC Activation Rep'!B:B,'Download of SFDC Activation Rep'!L:L),"")</f>
        <v/>
      </c>
      <c r="I791" s="17" t="str">
        <f t="shared" si="2"/>
        <v>Not Active</v>
      </c>
      <c r="J791" s="17" t="str">
        <f t="array" ref="J791">XLOOKUP(A791,'Download of SFDC Activation Rep'!B:B,'Download of SFDC Activation Rep'!T:T)</f>
        <v>#N/A</v>
      </c>
      <c r="K791" s="17" t="str">
        <f t="array" ref="K791">iferror(XLOOKUP(A791,'Download of SFDC Activation Rep'!B:B,'Download of SFDC Activation Rep'!C:C),"")</f>
        <v/>
      </c>
    </row>
    <row r="792">
      <c r="B792" s="14"/>
      <c r="C792" s="14"/>
      <c r="D792" s="14"/>
      <c r="E792" s="14"/>
      <c r="F792" s="14"/>
      <c r="G792" s="13" t="str">
        <f t="array" ref="G792">iferror(XLOOKUP(A792,'Download of SFDC Activation Rep'!B:B,'Download of SFDC Activation Rep'!H:H),"")</f>
        <v/>
      </c>
      <c r="H792" s="13" t="str">
        <f t="array" ref="H792">iferror(xlookup(A792,'Download of SFDC Activation Rep'!B:B,'Download of SFDC Activation Rep'!L:L),"")</f>
        <v/>
      </c>
      <c r="I792" s="17" t="str">
        <f t="shared" si="2"/>
        <v>Not Active</v>
      </c>
      <c r="J792" s="17" t="str">
        <f t="array" ref="J792">XLOOKUP(A792,'Download of SFDC Activation Rep'!B:B,'Download of SFDC Activation Rep'!T:T)</f>
        <v>#N/A</v>
      </c>
      <c r="K792" s="17" t="str">
        <f t="array" ref="K792">iferror(XLOOKUP(A792,'Download of SFDC Activation Rep'!B:B,'Download of SFDC Activation Rep'!C:C),"")</f>
        <v/>
      </c>
    </row>
    <row r="793">
      <c r="B793" s="14"/>
      <c r="C793" s="14"/>
      <c r="D793" s="14"/>
      <c r="E793" s="14"/>
      <c r="F793" s="14"/>
      <c r="G793" s="13" t="str">
        <f t="array" ref="G793">iferror(XLOOKUP(A793,'Download of SFDC Activation Rep'!B:B,'Download of SFDC Activation Rep'!H:H),"")</f>
        <v/>
      </c>
      <c r="H793" s="13" t="str">
        <f t="array" ref="H793">iferror(xlookup(A793,'Download of SFDC Activation Rep'!B:B,'Download of SFDC Activation Rep'!L:L),"")</f>
        <v/>
      </c>
      <c r="I793" s="17" t="str">
        <f t="shared" si="2"/>
        <v>Not Active</v>
      </c>
      <c r="J793" s="17" t="str">
        <f t="array" ref="J793">XLOOKUP(A793,'Download of SFDC Activation Rep'!B:B,'Download of SFDC Activation Rep'!T:T)</f>
        <v>#N/A</v>
      </c>
      <c r="K793" s="17" t="str">
        <f t="array" ref="K793">iferror(XLOOKUP(A793,'Download of SFDC Activation Rep'!B:B,'Download of SFDC Activation Rep'!C:C),"")</f>
        <v/>
      </c>
    </row>
    <row r="794">
      <c r="B794" s="14"/>
      <c r="C794" s="14"/>
      <c r="D794" s="14"/>
      <c r="E794" s="14"/>
      <c r="F794" s="14"/>
      <c r="G794" s="13" t="str">
        <f t="array" ref="G794">iferror(XLOOKUP(A794,'Download of SFDC Activation Rep'!B:B,'Download of SFDC Activation Rep'!H:H),"")</f>
        <v/>
      </c>
      <c r="H794" s="13" t="str">
        <f t="array" ref="H794">iferror(xlookup(A794,'Download of SFDC Activation Rep'!B:B,'Download of SFDC Activation Rep'!L:L),"")</f>
        <v/>
      </c>
      <c r="I794" s="17" t="str">
        <f t="shared" si="2"/>
        <v>Not Active</v>
      </c>
      <c r="J794" s="17" t="str">
        <f t="array" ref="J794">XLOOKUP(A794,'Download of SFDC Activation Rep'!B:B,'Download of SFDC Activation Rep'!T:T)</f>
        <v>#N/A</v>
      </c>
      <c r="K794" s="17" t="str">
        <f t="array" ref="K794">iferror(XLOOKUP(A794,'Download of SFDC Activation Rep'!B:B,'Download of SFDC Activation Rep'!C:C),"")</f>
        <v/>
      </c>
    </row>
    <row r="795">
      <c r="B795" s="14"/>
      <c r="C795" s="14"/>
      <c r="D795" s="14"/>
      <c r="E795" s="14"/>
      <c r="F795" s="14"/>
      <c r="G795" s="13" t="str">
        <f t="array" ref="G795">iferror(XLOOKUP(A795,'Download of SFDC Activation Rep'!B:B,'Download of SFDC Activation Rep'!H:H),"")</f>
        <v/>
      </c>
      <c r="H795" s="13" t="str">
        <f t="array" ref="H795">iferror(xlookup(A795,'Download of SFDC Activation Rep'!B:B,'Download of SFDC Activation Rep'!L:L),"")</f>
        <v/>
      </c>
      <c r="I795" s="17" t="str">
        <f t="shared" si="2"/>
        <v>Not Active</v>
      </c>
      <c r="J795" s="17" t="str">
        <f t="array" ref="J795">XLOOKUP(A795,'Download of SFDC Activation Rep'!B:B,'Download of SFDC Activation Rep'!T:T)</f>
        <v>#N/A</v>
      </c>
      <c r="K795" s="17" t="str">
        <f t="array" ref="K795">iferror(XLOOKUP(A795,'Download of SFDC Activation Rep'!B:B,'Download of SFDC Activation Rep'!C:C),"")</f>
        <v/>
      </c>
    </row>
    <row r="796">
      <c r="B796" s="14"/>
      <c r="C796" s="14"/>
      <c r="D796" s="14"/>
      <c r="E796" s="14"/>
      <c r="F796" s="14"/>
      <c r="G796" s="13" t="str">
        <f t="array" ref="G796">iferror(XLOOKUP(A796,'Download of SFDC Activation Rep'!B:B,'Download of SFDC Activation Rep'!H:H),"")</f>
        <v/>
      </c>
      <c r="H796" s="13" t="str">
        <f t="array" ref="H796">iferror(xlookup(A796,'Download of SFDC Activation Rep'!B:B,'Download of SFDC Activation Rep'!L:L),"")</f>
        <v/>
      </c>
      <c r="I796" s="17" t="str">
        <f t="shared" si="2"/>
        <v>Not Active</v>
      </c>
      <c r="J796" s="17" t="str">
        <f t="array" ref="J796">XLOOKUP(A796,'Download of SFDC Activation Rep'!B:B,'Download of SFDC Activation Rep'!T:T)</f>
        <v>#N/A</v>
      </c>
      <c r="K796" s="17" t="str">
        <f t="array" ref="K796">iferror(XLOOKUP(A796,'Download of SFDC Activation Rep'!B:B,'Download of SFDC Activation Rep'!C:C),"")</f>
        <v/>
      </c>
    </row>
    <row r="797">
      <c r="B797" s="14"/>
      <c r="C797" s="14"/>
      <c r="D797" s="14"/>
      <c r="E797" s="14"/>
      <c r="F797" s="14"/>
      <c r="G797" s="13" t="str">
        <f t="array" ref="G797">iferror(XLOOKUP(A797,'Download of SFDC Activation Rep'!B:B,'Download of SFDC Activation Rep'!H:H),"")</f>
        <v/>
      </c>
      <c r="H797" s="13" t="str">
        <f t="array" ref="H797">iferror(xlookup(A797,'Download of SFDC Activation Rep'!B:B,'Download of SFDC Activation Rep'!L:L),"")</f>
        <v/>
      </c>
      <c r="I797" s="17" t="str">
        <f t="shared" si="2"/>
        <v>Not Active</v>
      </c>
      <c r="J797" s="17" t="str">
        <f t="array" ref="J797">XLOOKUP(A797,'Download of SFDC Activation Rep'!B:B,'Download of SFDC Activation Rep'!T:T)</f>
        <v>#N/A</v>
      </c>
      <c r="K797" s="17" t="str">
        <f t="array" ref="K797">iferror(XLOOKUP(A797,'Download of SFDC Activation Rep'!B:B,'Download of SFDC Activation Rep'!C:C),"")</f>
        <v/>
      </c>
    </row>
    <row r="798">
      <c r="B798" s="14"/>
      <c r="C798" s="14"/>
      <c r="D798" s="14"/>
      <c r="E798" s="14"/>
      <c r="F798" s="14"/>
      <c r="G798" s="13" t="str">
        <f t="array" ref="G798">iferror(XLOOKUP(A798,'Download of SFDC Activation Rep'!B:B,'Download of SFDC Activation Rep'!H:H),"")</f>
        <v/>
      </c>
      <c r="H798" s="13" t="str">
        <f t="array" ref="H798">iferror(xlookup(A798,'Download of SFDC Activation Rep'!B:B,'Download of SFDC Activation Rep'!L:L),"")</f>
        <v/>
      </c>
      <c r="I798" s="17" t="str">
        <f t="shared" si="2"/>
        <v>Not Active</v>
      </c>
      <c r="J798" s="17" t="str">
        <f t="array" ref="J798">XLOOKUP(A798,'Download of SFDC Activation Rep'!B:B,'Download of SFDC Activation Rep'!T:T)</f>
        <v>#N/A</v>
      </c>
      <c r="K798" s="17" t="str">
        <f t="array" ref="K798">iferror(XLOOKUP(A798,'Download of SFDC Activation Rep'!B:B,'Download of SFDC Activation Rep'!C:C),"")</f>
        <v/>
      </c>
    </row>
    <row r="799">
      <c r="B799" s="14"/>
      <c r="C799" s="14"/>
      <c r="D799" s="14"/>
      <c r="E799" s="14"/>
      <c r="F799" s="14"/>
      <c r="G799" s="13" t="str">
        <f t="array" ref="G799">iferror(XLOOKUP(A799,'Download of SFDC Activation Rep'!B:B,'Download of SFDC Activation Rep'!H:H),"")</f>
        <v/>
      </c>
      <c r="H799" s="13" t="str">
        <f t="array" ref="H799">iferror(xlookup(A799,'Download of SFDC Activation Rep'!B:B,'Download of SFDC Activation Rep'!L:L),"")</f>
        <v/>
      </c>
      <c r="I799" s="17" t="str">
        <f t="shared" si="2"/>
        <v>Not Active</v>
      </c>
      <c r="J799" s="17" t="str">
        <f t="array" ref="J799">XLOOKUP(A799,'Download of SFDC Activation Rep'!B:B,'Download of SFDC Activation Rep'!T:T)</f>
        <v>#N/A</v>
      </c>
      <c r="K799" s="17" t="str">
        <f t="array" ref="K799">iferror(XLOOKUP(A799,'Download of SFDC Activation Rep'!B:B,'Download of SFDC Activation Rep'!C:C),"")</f>
        <v/>
      </c>
    </row>
    <row r="800">
      <c r="B800" s="14"/>
      <c r="C800" s="14"/>
      <c r="D800" s="14"/>
      <c r="E800" s="14"/>
      <c r="F800" s="14"/>
      <c r="G800" s="13" t="str">
        <f t="array" ref="G800">iferror(XLOOKUP(A800,'Download of SFDC Activation Rep'!B:B,'Download of SFDC Activation Rep'!H:H),"")</f>
        <v/>
      </c>
      <c r="H800" s="13" t="str">
        <f t="array" ref="H800">iferror(xlookup(A800,'Download of SFDC Activation Rep'!B:B,'Download of SFDC Activation Rep'!L:L),"")</f>
        <v/>
      </c>
      <c r="I800" s="17" t="str">
        <f t="shared" si="2"/>
        <v>Not Active</v>
      </c>
      <c r="J800" s="17" t="str">
        <f t="array" ref="J800">XLOOKUP(A800,'Download of SFDC Activation Rep'!B:B,'Download of SFDC Activation Rep'!T:T)</f>
        <v>#N/A</v>
      </c>
      <c r="K800" s="17" t="str">
        <f t="array" ref="K800">iferror(XLOOKUP(A800,'Download of SFDC Activation Rep'!B:B,'Download of SFDC Activation Rep'!C:C),"")</f>
        <v/>
      </c>
    </row>
    <row r="801">
      <c r="B801" s="14"/>
      <c r="C801" s="14"/>
      <c r="D801" s="14"/>
      <c r="E801" s="14"/>
      <c r="F801" s="14"/>
      <c r="G801" s="13" t="str">
        <f t="array" ref="G801">iferror(XLOOKUP(A801,'Download of SFDC Activation Rep'!B:B,'Download of SFDC Activation Rep'!H:H),"")</f>
        <v/>
      </c>
      <c r="H801" s="13" t="str">
        <f t="array" ref="H801">iferror(xlookup(A801,'Download of SFDC Activation Rep'!B:B,'Download of SFDC Activation Rep'!L:L),"")</f>
        <v/>
      </c>
      <c r="I801" s="17" t="str">
        <f t="shared" si="2"/>
        <v>Not Active</v>
      </c>
      <c r="J801" s="17" t="str">
        <f t="array" ref="J801">XLOOKUP(A801,'Download of SFDC Activation Rep'!B:B,'Download of SFDC Activation Rep'!T:T)</f>
        <v>#N/A</v>
      </c>
      <c r="K801" s="17" t="str">
        <f t="array" ref="K801">iferror(XLOOKUP(A801,'Download of SFDC Activation Rep'!B:B,'Download of SFDC Activation Rep'!C:C),"")</f>
        <v/>
      </c>
    </row>
    <row r="802">
      <c r="B802" s="14"/>
      <c r="C802" s="14"/>
      <c r="D802" s="14"/>
      <c r="E802" s="14"/>
      <c r="F802" s="14"/>
      <c r="G802" s="13" t="str">
        <f t="array" ref="G802">iferror(XLOOKUP(A802,'Download of SFDC Activation Rep'!B:B,'Download of SFDC Activation Rep'!H:H),"")</f>
        <v/>
      </c>
      <c r="H802" s="13" t="str">
        <f t="array" ref="H802">iferror(xlookup(A802,'Download of SFDC Activation Rep'!B:B,'Download of SFDC Activation Rep'!L:L),"")</f>
        <v/>
      </c>
      <c r="I802" s="17" t="str">
        <f t="shared" si="2"/>
        <v>Not Active</v>
      </c>
      <c r="J802" s="17" t="str">
        <f t="array" ref="J802">XLOOKUP(A802,'Download of SFDC Activation Rep'!B:B,'Download of SFDC Activation Rep'!T:T)</f>
        <v>#N/A</v>
      </c>
      <c r="K802" s="17" t="str">
        <f t="array" ref="K802">iferror(XLOOKUP(A802,'Download of SFDC Activation Rep'!B:B,'Download of SFDC Activation Rep'!C:C),"")</f>
        <v/>
      </c>
    </row>
    <row r="803">
      <c r="B803" s="14"/>
      <c r="C803" s="14"/>
      <c r="D803" s="14"/>
      <c r="E803" s="14"/>
      <c r="F803" s="14"/>
      <c r="G803" s="13" t="str">
        <f t="array" ref="G803">iferror(XLOOKUP(A803,'Download of SFDC Activation Rep'!B:B,'Download of SFDC Activation Rep'!H:H),"")</f>
        <v/>
      </c>
      <c r="H803" s="13" t="str">
        <f t="array" ref="H803">iferror(xlookup(A803,'Download of SFDC Activation Rep'!B:B,'Download of SFDC Activation Rep'!L:L),"")</f>
        <v/>
      </c>
      <c r="I803" s="17" t="str">
        <f t="shared" si="2"/>
        <v>Not Active</v>
      </c>
      <c r="J803" s="17" t="str">
        <f t="array" ref="J803">XLOOKUP(A803,'Download of SFDC Activation Rep'!B:B,'Download of SFDC Activation Rep'!T:T)</f>
        <v>#N/A</v>
      </c>
      <c r="K803" s="17" t="str">
        <f t="array" ref="K803">iferror(XLOOKUP(A803,'Download of SFDC Activation Rep'!B:B,'Download of SFDC Activation Rep'!C:C),"")</f>
        <v/>
      </c>
    </row>
    <row r="804">
      <c r="B804" s="14"/>
      <c r="C804" s="14"/>
      <c r="D804" s="14"/>
      <c r="E804" s="14"/>
      <c r="F804" s="14"/>
      <c r="G804" s="13" t="str">
        <f t="array" ref="G804">iferror(XLOOKUP(A804,'Download of SFDC Activation Rep'!B:B,'Download of SFDC Activation Rep'!H:H),"")</f>
        <v/>
      </c>
      <c r="H804" s="13" t="str">
        <f t="array" ref="H804">iferror(xlookup(A804,'Download of SFDC Activation Rep'!B:B,'Download of SFDC Activation Rep'!L:L),"")</f>
        <v/>
      </c>
      <c r="I804" s="17" t="str">
        <f t="shared" si="2"/>
        <v>Not Active</v>
      </c>
      <c r="J804" s="17" t="str">
        <f t="array" ref="J804">XLOOKUP(A804,'Download of SFDC Activation Rep'!B:B,'Download of SFDC Activation Rep'!T:T)</f>
        <v>#N/A</v>
      </c>
      <c r="K804" s="17" t="str">
        <f t="array" ref="K804">iferror(XLOOKUP(A804,'Download of SFDC Activation Rep'!B:B,'Download of SFDC Activation Rep'!C:C),"")</f>
        <v/>
      </c>
    </row>
    <row r="805">
      <c r="B805" s="14"/>
      <c r="C805" s="14"/>
      <c r="D805" s="14"/>
      <c r="E805" s="14"/>
      <c r="F805" s="14"/>
      <c r="G805" s="13" t="str">
        <f t="array" ref="G805">iferror(XLOOKUP(A805,'Download of SFDC Activation Rep'!B:B,'Download of SFDC Activation Rep'!H:H),"")</f>
        <v/>
      </c>
      <c r="H805" s="13" t="str">
        <f t="array" ref="H805">iferror(xlookup(A805,'Download of SFDC Activation Rep'!B:B,'Download of SFDC Activation Rep'!L:L),"")</f>
        <v/>
      </c>
      <c r="I805" s="17" t="str">
        <f t="shared" si="2"/>
        <v>Not Active</v>
      </c>
      <c r="J805" s="17" t="str">
        <f t="array" ref="J805">XLOOKUP(A805,'Download of SFDC Activation Rep'!B:B,'Download of SFDC Activation Rep'!T:T)</f>
        <v>#N/A</v>
      </c>
      <c r="K805" s="17" t="str">
        <f t="array" ref="K805">iferror(XLOOKUP(A805,'Download of SFDC Activation Rep'!B:B,'Download of SFDC Activation Rep'!C:C),"")</f>
        <v/>
      </c>
    </row>
    <row r="806">
      <c r="B806" s="14"/>
      <c r="C806" s="14"/>
      <c r="D806" s="14"/>
      <c r="E806" s="14"/>
      <c r="F806" s="14"/>
      <c r="G806" s="13" t="str">
        <f t="array" ref="G806">iferror(XLOOKUP(A806,'Download of SFDC Activation Rep'!B:B,'Download of SFDC Activation Rep'!H:H),"")</f>
        <v/>
      </c>
      <c r="H806" s="13" t="str">
        <f t="array" ref="H806">iferror(xlookup(A806,'Download of SFDC Activation Rep'!B:B,'Download of SFDC Activation Rep'!L:L),"")</f>
        <v/>
      </c>
      <c r="I806" s="17" t="str">
        <f t="shared" si="2"/>
        <v>Not Active</v>
      </c>
      <c r="J806" s="17" t="str">
        <f t="array" ref="J806">XLOOKUP(A806,'Download of SFDC Activation Rep'!B:B,'Download of SFDC Activation Rep'!T:T)</f>
        <v>#N/A</v>
      </c>
      <c r="K806" s="17" t="str">
        <f t="array" ref="K806">iferror(XLOOKUP(A806,'Download of SFDC Activation Rep'!B:B,'Download of SFDC Activation Rep'!C:C),"")</f>
        <v/>
      </c>
    </row>
    <row r="807">
      <c r="B807" s="14"/>
      <c r="C807" s="14"/>
      <c r="D807" s="14"/>
      <c r="E807" s="14"/>
      <c r="F807" s="14"/>
      <c r="G807" s="13" t="str">
        <f t="array" ref="G807">iferror(XLOOKUP(A807,'Download of SFDC Activation Rep'!B:B,'Download of SFDC Activation Rep'!H:H),"")</f>
        <v/>
      </c>
      <c r="H807" s="13" t="str">
        <f t="array" ref="H807">iferror(xlookup(A807,'Download of SFDC Activation Rep'!B:B,'Download of SFDC Activation Rep'!L:L),"")</f>
        <v/>
      </c>
      <c r="I807" s="17" t="str">
        <f t="shared" si="2"/>
        <v>Not Active</v>
      </c>
      <c r="J807" s="17" t="str">
        <f t="array" ref="J807">XLOOKUP(A807,'Download of SFDC Activation Rep'!B:B,'Download of SFDC Activation Rep'!T:T)</f>
        <v>#N/A</v>
      </c>
      <c r="K807" s="17" t="str">
        <f t="array" ref="K807">iferror(XLOOKUP(A807,'Download of SFDC Activation Rep'!B:B,'Download of SFDC Activation Rep'!C:C),"")</f>
        <v/>
      </c>
    </row>
    <row r="808">
      <c r="B808" s="14"/>
      <c r="C808" s="14"/>
      <c r="D808" s="14"/>
      <c r="E808" s="14"/>
      <c r="F808" s="14"/>
      <c r="G808" s="13" t="str">
        <f t="array" ref="G808">iferror(XLOOKUP(A808,'Download of SFDC Activation Rep'!B:B,'Download of SFDC Activation Rep'!H:H),"")</f>
        <v/>
      </c>
      <c r="H808" s="13" t="str">
        <f t="array" ref="H808">iferror(xlookup(A808,'Download of SFDC Activation Rep'!B:B,'Download of SFDC Activation Rep'!L:L),"")</f>
        <v/>
      </c>
      <c r="I808" s="17" t="str">
        <f t="shared" si="2"/>
        <v>Not Active</v>
      </c>
      <c r="J808" s="17" t="str">
        <f t="array" ref="J808">XLOOKUP(A808,'Download of SFDC Activation Rep'!B:B,'Download of SFDC Activation Rep'!T:T)</f>
        <v>#N/A</v>
      </c>
      <c r="K808" s="17" t="str">
        <f t="array" ref="K808">iferror(XLOOKUP(A808,'Download of SFDC Activation Rep'!B:B,'Download of SFDC Activation Rep'!C:C),"")</f>
        <v/>
      </c>
    </row>
    <row r="809">
      <c r="B809" s="14"/>
      <c r="C809" s="14"/>
      <c r="D809" s="14"/>
      <c r="E809" s="14"/>
      <c r="F809" s="14"/>
      <c r="G809" s="13" t="str">
        <f t="array" ref="G809">iferror(XLOOKUP(A809,'Download of SFDC Activation Rep'!B:B,'Download of SFDC Activation Rep'!H:H),"")</f>
        <v/>
      </c>
      <c r="H809" s="13" t="str">
        <f t="array" ref="H809">iferror(xlookup(A809,'Download of SFDC Activation Rep'!B:B,'Download of SFDC Activation Rep'!L:L),"")</f>
        <v/>
      </c>
      <c r="I809" s="17" t="str">
        <f t="shared" si="2"/>
        <v>Not Active</v>
      </c>
      <c r="J809" s="17" t="str">
        <f t="array" ref="J809">XLOOKUP(A809,'Download of SFDC Activation Rep'!B:B,'Download of SFDC Activation Rep'!T:T)</f>
        <v>#N/A</v>
      </c>
      <c r="K809" s="17" t="str">
        <f t="array" ref="K809">iferror(XLOOKUP(A809,'Download of SFDC Activation Rep'!B:B,'Download of SFDC Activation Rep'!C:C),"")</f>
        <v/>
      </c>
    </row>
    <row r="810">
      <c r="B810" s="14"/>
      <c r="C810" s="14"/>
      <c r="D810" s="14"/>
      <c r="E810" s="14"/>
      <c r="F810" s="14"/>
      <c r="G810" s="13" t="str">
        <f t="array" ref="G810">iferror(XLOOKUP(A810,'Download of SFDC Activation Rep'!B:B,'Download of SFDC Activation Rep'!H:H),"")</f>
        <v/>
      </c>
      <c r="H810" s="13" t="str">
        <f t="array" ref="H810">iferror(xlookup(A810,'Download of SFDC Activation Rep'!B:B,'Download of SFDC Activation Rep'!L:L),"")</f>
        <v/>
      </c>
      <c r="I810" s="17" t="str">
        <f t="shared" si="2"/>
        <v>Not Active</v>
      </c>
      <c r="J810" s="17" t="str">
        <f t="array" ref="J810">XLOOKUP(A810,'Download of SFDC Activation Rep'!B:B,'Download of SFDC Activation Rep'!T:T)</f>
        <v>#N/A</v>
      </c>
      <c r="K810" s="17" t="str">
        <f t="array" ref="K810">iferror(XLOOKUP(A810,'Download of SFDC Activation Rep'!B:B,'Download of SFDC Activation Rep'!C:C),"")</f>
        <v/>
      </c>
    </row>
    <row r="811">
      <c r="B811" s="14"/>
      <c r="C811" s="14"/>
      <c r="D811" s="14"/>
      <c r="E811" s="14"/>
      <c r="F811" s="14"/>
      <c r="G811" s="13" t="str">
        <f t="array" ref="G811">iferror(XLOOKUP(A811,'Download of SFDC Activation Rep'!B:B,'Download of SFDC Activation Rep'!H:H),"")</f>
        <v/>
      </c>
      <c r="H811" s="13" t="str">
        <f t="array" ref="H811">iferror(xlookup(A811,'Download of SFDC Activation Rep'!B:B,'Download of SFDC Activation Rep'!L:L),"")</f>
        <v/>
      </c>
      <c r="I811" s="17" t="str">
        <f t="shared" si="2"/>
        <v>Not Active</v>
      </c>
      <c r="J811" s="17" t="str">
        <f t="array" ref="J811">XLOOKUP(A811,'Download of SFDC Activation Rep'!B:B,'Download of SFDC Activation Rep'!T:T)</f>
        <v>#N/A</v>
      </c>
      <c r="K811" s="17" t="str">
        <f t="array" ref="K811">iferror(XLOOKUP(A811,'Download of SFDC Activation Rep'!B:B,'Download of SFDC Activation Rep'!C:C),"")</f>
        <v/>
      </c>
    </row>
    <row r="812">
      <c r="B812" s="14"/>
      <c r="C812" s="14"/>
      <c r="D812" s="14"/>
      <c r="E812" s="14"/>
      <c r="F812" s="14"/>
      <c r="G812" s="13" t="str">
        <f t="array" ref="G812">iferror(XLOOKUP(A812,'Download of SFDC Activation Rep'!B:B,'Download of SFDC Activation Rep'!H:H),"")</f>
        <v/>
      </c>
      <c r="H812" s="13" t="str">
        <f t="array" ref="H812">iferror(xlookup(A812,'Download of SFDC Activation Rep'!B:B,'Download of SFDC Activation Rep'!L:L),"")</f>
        <v/>
      </c>
      <c r="I812" s="17" t="str">
        <f t="shared" si="2"/>
        <v>Not Active</v>
      </c>
      <c r="J812" s="17" t="str">
        <f t="array" ref="J812">XLOOKUP(A812,'Download of SFDC Activation Rep'!B:B,'Download of SFDC Activation Rep'!T:T)</f>
        <v>#N/A</v>
      </c>
      <c r="K812" s="17" t="str">
        <f t="array" ref="K812">iferror(XLOOKUP(A812,'Download of SFDC Activation Rep'!B:B,'Download of SFDC Activation Rep'!C:C),"")</f>
        <v/>
      </c>
    </row>
    <row r="813">
      <c r="B813" s="14"/>
      <c r="C813" s="14"/>
      <c r="D813" s="14"/>
      <c r="E813" s="14"/>
      <c r="F813" s="14"/>
      <c r="G813" s="13" t="str">
        <f t="array" ref="G813">iferror(XLOOKUP(A813,'Download of SFDC Activation Rep'!B:B,'Download of SFDC Activation Rep'!H:H),"")</f>
        <v/>
      </c>
      <c r="H813" s="13" t="str">
        <f t="array" ref="H813">iferror(xlookup(A813,'Download of SFDC Activation Rep'!B:B,'Download of SFDC Activation Rep'!L:L),"")</f>
        <v/>
      </c>
      <c r="I813" s="17" t="str">
        <f t="shared" si="2"/>
        <v>Not Active</v>
      </c>
      <c r="J813" s="17" t="str">
        <f t="array" ref="J813">XLOOKUP(A813,'Download of SFDC Activation Rep'!B:B,'Download of SFDC Activation Rep'!T:T)</f>
        <v>#N/A</v>
      </c>
      <c r="K813" s="17" t="str">
        <f t="array" ref="K813">iferror(XLOOKUP(A813,'Download of SFDC Activation Rep'!B:B,'Download of SFDC Activation Rep'!C:C),"")</f>
        <v/>
      </c>
    </row>
    <row r="814">
      <c r="B814" s="14"/>
      <c r="C814" s="14"/>
      <c r="D814" s="14"/>
      <c r="E814" s="14"/>
      <c r="F814" s="14"/>
      <c r="G814" s="13" t="str">
        <f t="array" ref="G814">iferror(XLOOKUP(A814,'Download of SFDC Activation Rep'!B:B,'Download of SFDC Activation Rep'!H:H),"")</f>
        <v/>
      </c>
      <c r="H814" s="13" t="str">
        <f t="array" ref="H814">iferror(xlookup(A814,'Download of SFDC Activation Rep'!B:B,'Download of SFDC Activation Rep'!L:L),"")</f>
        <v/>
      </c>
      <c r="I814" s="17" t="str">
        <f t="shared" si="2"/>
        <v>Not Active</v>
      </c>
      <c r="J814" s="17" t="str">
        <f t="array" ref="J814">XLOOKUP(A814,'Download of SFDC Activation Rep'!B:B,'Download of SFDC Activation Rep'!T:T)</f>
        <v>#N/A</v>
      </c>
      <c r="K814" s="17" t="str">
        <f t="array" ref="K814">iferror(XLOOKUP(A814,'Download of SFDC Activation Rep'!B:B,'Download of SFDC Activation Rep'!C:C),"")</f>
        <v/>
      </c>
    </row>
    <row r="815">
      <c r="B815" s="14"/>
      <c r="C815" s="14"/>
      <c r="D815" s="14"/>
      <c r="E815" s="14"/>
      <c r="F815" s="14"/>
      <c r="G815" s="13" t="str">
        <f t="array" ref="G815">iferror(XLOOKUP(A815,'Download of SFDC Activation Rep'!B:B,'Download of SFDC Activation Rep'!H:H),"")</f>
        <v/>
      </c>
      <c r="H815" s="13" t="str">
        <f t="array" ref="H815">iferror(xlookup(A815,'Download of SFDC Activation Rep'!B:B,'Download of SFDC Activation Rep'!L:L),"")</f>
        <v/>
      </c>
      <c r="I815" s="17" t="str">
        <f t="shared" si="2"/>
        <v>Not Active</v>
      </c>
      <c r="J815" s="17" t="str">
        <f t="array" ref="J815">XLOOKUP(A815,'Download of SFDC Activation Rep'!B:B,'Download of SFDC Activation Rep'!T:T)</f>
        <v>#N/A</v>
      </c>
      <c r="K815" s="17" t="str">
        <f t="array" ref="K815">iferror(XLOOKUP(A815,'Download of SFDC Activation Rep'!B:B,'Download of SFDC Activation Rep'!C:C),"")</f>
        <v/>
      </c>
    </row>
    <row r="816">
      <c r="B816" s="14"/>
      <c r="C816" s="14"/>
      <c r="D816" s="14"/>
      <c r="E816" s="14"/>
      <c r="F816" s="14"/>
      <c r="G816" s="13" t="str">
        <f t="array" ref="G816">iferror(XLOOKUP(A816,'Download of SFDC Activation Rep'!B:B,'Download of SFDC Activation Rep'!H:H),"")</f>
        <v/>
      </c>
      <c r="H816" s="13" t="str">
        <f t="array" ref="H816">iferror(xlookup(A816,'Download of SFDC Activation Rep'!B:B,'Download of SFDC Activation Rep'!L:L),"")</f>
        <v/>
      </c>
      <c r="I816" s="17" t="str">
        <f t="shared" si="2"/>
        <v>Not Active</v>
      </c>
      <c r="J816" s="17" t="str">
        <f t="array" ref="J816">XLOOKUP(A816,'Download of SFDC Activation Rep'!B:B,'Download of SFDC Activation Rep'!T:T)</f>
        <v>#N/A</v>
      </c>
      <c r="K816" s="17" t="str">
        <f t="array" ref="K816">iferror(XLOOKUP(A816,'Download of SFDC Activation Rep'!B:B,'Download of SFDC Activation Rep'!C:C),"")</f>
        <v/>
      </c>
    </row>
    <row r="817">
      <c r="B817" s="14"/>
      <c r="C817" s="14"/>
      <c r="D817" s="14"/>
      <c r="E817" s="14"/>
      <c r="F817" s="14"/>
      <c r="G817" s="13" t="str">
        <f t="array" ref="G817">iferror(XLOOKUP(A817,'Download of SFDC Activation Rep'!B:B,'Download of SFDC Activation Rep'!H:H),"")</f>
        <v/>
      </c>
      <c r="H817" s="13" t="str">
        <f t="array" ref="H817">iferror(xlookup(A817,'Download of SFDC Activation Rep'!B:B,'Download of SFDC Activation Rep'!L:L),"")</f>
        <v/>
      </c>
      <c r="I817" s="17" t="str">
        <f t="shared" si="2"/>
        <v>Not Active</v>
      </c>
      <c r="J817" s="17" t="str">
        <f t="array" ref="J817">XLOOKUP(A817,'Download of SFDC Activation Rep'!B:B,'Download of SFDC Activation Rep'!T:T)</f>
        <v>#N/A</v>
      </c>
      <c r="K817" s="17" t="str">
        <f t="array" ref="K817">iferror(XLOOKUP(A817,'Download of SFDC Activation Rep'!B:B,'Download of SFDC Activation Rep'!C:C),"")</f>
        <v/>
      </c>
    </row>
    <row r="818">
      <c r="B818" s="14"/>
      <c r="C818" s="14"/>
      <c r="D818" s="14"/>
      <c r="E818" s="14"/>
      <c r="F818" s="14"/>
      <c r="G818" s="13" t="str">
        <f t="array" ref="G818">iferror(XLOOKUP(A818,'Download of SFDC Activation Rep'!B:B,'Download of SFDC Activation Rep'!H:H),"")</f>
        <v/>
      </c>
      <c r="H818" s="13" t="str">
        <f t="array" ref="H818">iferror(xlookup(A818,'Download of SFDC Activation Rep'!B:B,'Download of SFDC Activation Rep'!L:L),"")</f>
        <v/>
      </c>
      <c r="I818" s="17" t="str">
        <f t="shared" si="2"/>
        <v>Not Active</v>
      </c>
      <c r="J818" s="17" t="str">
        <f t="array" ref="J818">XLOOKUP(A818,'Download of SFDC Activation Rep'!B:B,'Download of SFDC Activation Rep'!T:T)</f>
        <v>#N/A</v>
      </c>
      <c r="K818" s="17" t="str">
        <f t="array" ref="K818">iferror(XLOOKUP(A818,'Download of SFDC Activation Rep'!B:B,'Download of SFDC Activation Rep'!C:C),"")</f>
        <v/>
      </c>
    </row>
    <row r="819">
      <c r="B819" s="14"/>
      <c r="C819" s="14"/>
      <c r="D819" s="14"/>
      <c r="E819" s="14"/>
      <c r="F819" s="14"/>
      <c r="G819" s="13" t="str">
        <f t="array" ref="G819">iferror(XLOOKUP(A819,'Download of SFDC Activation Rep'!B:B,'Download of SFDC Activation Rep'!H:H),"")</f>
        <v/>
      </c>
      <c r="H819" s="13" t="str">
        <f t="array" ref="H819">iferror(xlookup(A819,'Download of SFDC Activation Rep'!B:B,'Download of SFDC Activation Rep'!L:L),"")</f>
        <v/>
      </c>
      <c r="I819" s="17" t="str">
        <f t="shared" si="2"/>
        <v>Not Active</v>
      </c>
      <c r="J819" s="17" t="str">
        <f t="array" ref="J819">XLOOKUP(A819,'Download of SFDC Activation Rep'!B:B,'Download of SFDC Activation Rep'!T:T)</f>
        <v>#N/A</v>
      </c>
      <c r="K819" s="17" t="str">
        <f t="array" ref="K819">iferror(XLOOKUP(A819,'Download of SFDC Activation Rep'!B:B,'Download of SFDC Activation Rep'!C:C),"")</f>
        <v/>
      </c>
    </row>
    <row r="820">
      <c r="B820" s="14"/>
      <c r="C820" s="14"/>
      <c r="D820" s="14"/>
      <c r="E820" s="14"/>
      <c r="F820" s="14"/>
      <c r="G820" s="13" t="str">
        <f t="array" ref="G820">iferror(XLOOKUP(A820,'Download of SFDC Activation Rep'!B:B,'Download of SFDC Activation Rep'!H:H),"")</f>
        <v/>
      </c>
      <c r="H820" s="13" t="str">
        <f t="array" ref="H820">iferror(xlookup(A820,'Download of SFDC Activation Rep'!B:B,'Download of SFDC Activation Rep'!L:L),"")</f>
        <v/>
      </c>
      <c r="I820" s="17" t="str">
        <f t="shared" si="2"/>
        <v>Not Active</v>
      </c>
      <c r="J820" s="17" t="str">
        <f t="array" ref="J820">XLOOKUP(A820,'Download of SFDC Activation Rep'!B:B,'Download of SFDC Activation Rep'!T:T)</f>
        <v>#N/A</v>
      </c>
      <c r="K820" s="17" t="str">
        <f t="array" ref="K820">iferror(XLOOKUP(A820,'Download of SFDC Activation Rep'!B:B,'Download of SFDC Activation Rep'!C:C),"")</f>
        <v/>
      </c>
    </row>
    <row r="821">
      <c r="B821" s="14"/>
      <c r="C821" s="14"/>
      <c r="D821" s="14"/>
      <c r="E821" s="14"/>
      <c r="F821" s="14"/>
      <c r="G821" s="13" t="str">
        <f t="array" ref="G821">iferror(XLOOKUP(A821,'Download of SFDC Activation Rep'!B:B,'Download of SFDC Activation Rep'!H:H),"")</f>
        <v/>
      </c>
      <c r="H821" s="13" t="str">
        <f t="array" ref="H821">iferror(xlookup(A821,'Download of SFDC Activation Rep'!B:B,'Download of SFDC Activation Rep'!L:L),"")</f>
        <v/>
      </c>
      <c r="I821" s="17" t="str">
        <f t="shared" si="2"/>
        <v>Not Active</v>
      </c>
      <c r="J821" s="17" t="str">
        <f t="array" ref="J821">XLOOKUP(A821,'Download of SFDC Activation Rep'!B:B,'Download of SFDC Activation Rep'!T:T)</f>
        <v>#N/A</v>
      </c>
      <c r="K821" s="17" t="str">
        <f t="array" ref="K821">iferror(XLOOKUP(A821,'Download of SFDC Activation Rep'!B:B,'Download of SFDC Activation Rep'!C:C),"")</f>
        <v/>
      </c>
    </row>
    <row r="822">
      <c r="B822" s="14"/>
      <c r="C822" s="14"/>
      <c r="D822" s="14"/>
      <c r="E822" s="14"/>
      <c r="F822" s="14"/>
      <c r="G822" s="13" t="str">
        <f t="array" ref="G822">iferror(XLOOKUP(A822,'Download of SFDC Activation Rep'!B:B,'Download of SFDC Activation Rep'!H:H),"")</f>
        <v/>
      </c>
      <c r="H822" s="13" t="str">
        <f t="array" ref="H822">iferror(xlookup(A822,'Download of SFDC Activation Rep'!B:B,'Download of SFDC Activation Rep'!L:L),"")</f>
        <v/>
      </c>
      <c r="I822" s="17" t="str">
        <f t="shared" si="2"/>
        <v>Not Active</v>
      </c>
      <c r="J822" s="17" t="str">
        <f t="array" ref="J822">XLOOKUP(A822,'Download of SFDC Activation Rep'!B:B,'Download of SFDC Activation Rep'!T:T)</f>
        <v>#N/A</v>
      </c>
      <c r="K822" s="17" t="str">
        <f t="array" ref="K822">iferror(XLOOKUP(A822,'Download of SFDC Activation Rep'!B:B,'Download of SFDC Activation Rep'!C:C),"")</f>
        <v/>
      </c>
    </row>
    <row r="823">
      <c r="B823" s="14"/>
      <c r="C823" s="14"/>
      <c r="D823" s="14"/>
      <c r="E823" s="14"/>
      <c r="F823" s="14"/>
      <c r="G823" s="13" t="str">
        <f t="array" ref="G823">iferror(XLOOKUP(A823,'Download of SFDC Activation Rep'!B:B,'Download of SFDC Activation Rep'!H:H),"")</f>
        <v/>
      </c>
      <c r="H823" s="13" t="str">
        <f t="array" ref="H823">iferror(xlookup(A823,'Download of SFDC Activation Rep'!B:B,'Download of SFDC Activation Rep'!L:L),"")</f>
        <v/>
      </c>
      <c r="I823" s="17" t="str">
        <f t="shared" si="2"/>
        <v>Not Active</v>
      </c>
      <c r="J823" s="17" t="str">
        <f t="array" ref="J823">XLOOKUP(A823,'Download of SFDC Activation Rep'!B:B,'Download of SFDC Activation Rep'!T:T)</f>
        <v>#N/A</v>
      </c>
      <c r="K823" s="17" t="str">
        <f t="array" ref="K823">iferror(XLOOKUP(A823,'Download of SFDC Activation Rep'!B:B,'Download of SFDC Activation Rep'!C:C),"")</f>
        <v/>
      </c>
    </row>
    <row r="824">
      <c r="B824" s="14"/>
      <c r="C824" s="14"/>
      <c r="D824" s="14"/>
      <c r="E824" s="14"/>
      <c r="F824" s="14"/>
      <c r="G824" s="13" t="str">
        <f t="array" ref="G824">iferror(XLOOKUP(A824,'Download of SFDC Activation Rep'!B:B,'Download of SFDC Activation Rep'!H:H),"")</f>
        <v/>
      </c>
      <c r="H824" s="13" t="str">
        <f t="array" ref="H824">iferror(xlookup(A824,'Download of SFDC Activation Rep'!B:B,'Download of SFDC Activation Rep'!L:L),"")</f>
        <v/>
      </c>
      <c r="I824" s="17" t="str">
        <f t="shared" si="2"/>
        <v>Not Active</v>
      </c>
      <c r="J824" s="17" t="str">
        <f t="array" ref="J824">XLOOKUP(A824,'Download of SFDC Activation Rep'!B:B,'Download of SFDC Activation Rep'!T:T)</f>
        <v>#N/A</v>
      </c>
      <c r="K824" s="17" t="str">
        <f t="array" ref="K824">iferror(XLOOKUP(A824,'Download of SFDC Activation Rep'!B:B,'Download of SFDC Activation Rep'!C:C),"")</f>
        <v/>
      </c>
    </row>
    <row r="825">
      <c r="B825" s="14"/>
      <c r="C825" s="14"/>
      <c r="D825" s="14"/>
      <c r="E825" s="14"/>
      <c r="F825" s="14"/>
      <c r="G825" s="13" t="str">
        <f t="array" ref="G825">iferror(XLOOKUP(A825,'Download of SFDC Activation Rep'!B:B,'Download of SFDC Activation Rep'!H:H),"")</f>
        <v/>
      </c>
      <c r="H825" s="13" t="str">
        <f t="array" ref="H825">iferror(xlookup(A825,'Download of SFDC Activation Rep'!B:B,'Download of SFDC Activation Rep'!L:L),"")</f>
        <v/>
      </c>
      <c r="I825" s="17" t="str">
        <f t="shared" si="2"/>
        <v>Not Active</v>
      </c>
      <c r="J825" s="17" t="str">
        <f t="array" ref="J825">XLOOKUP(A825,'Download of SFDC Activation Rep'!B:B,'Download of SFDC Activation Rep'!T:T)</f>
        <v>#N/A</v>
      </c>
      <c r="K825" s="17" t="str">
        <f t="array" ref="K825">iferror(XLOOKUP(A825,'Download of SFDC Activation Rep'!B:B,'Download of SFDC Activation Rep'!C:C),"")</f>
        <v/>
      </c>
    </row>
    <row r="826">
      <c r="B826" s="14"/>
      <c r="C826" s="14"/>
      <c r="D826" s="14"/>
      <c r="E826" s="14"/>
      <c r="F826" s="14"/>
      <c r="G826" s="13" t="str">
        <f t="array" ref="G826">iferror(XLOOKUP(A826,'Download of SFDC Activation Rep'!B:B,'Download of SFDC Activation Rep'!H:H),"")</f>
        <v/>
      </c>
      <c r="H826" s="13" t="str">
        <f t="array" ref="H826">iferror(xlookup(A826,'Download of SFDC Activation Rep'!B:B,'Download of SFDC Activation Rep'!L:L),"")</f>
        <v/>
      </c>
      <c r="I826" s="17" t="str">
        <f t="shared" si="2"/>
        <v>Not Active</v>
      </c>
      <c r="J826" s="17" t="str">
        <f t="array" ref="J826">XLOOKUP(A826,'Download of SFDC Activation Rep'!B:B,'Download of SFDC Activation Rep'!T:T)</f>
        <v>#N/A</v>
      </c>
      <c r="K826" s="17" t="str">
        <f t="array" ref="K826">iferror(XLOOKUP(A826,'Download of SFDC Activation Rep'!B:B,'Download of SFDC Activation Rep'!C:C),"")</f>
        <v/>
      </c>
    </row>
    <row r="827">
      <c r="B827" s="14"/>
      <c r="C827" s="14"/>
      <c r="D827" s="14"/>
      <c r="E827" s="14"/>
      <c r="F827" s="14"/>
      <c r="G827" s="13" t="str">
        <f t="array" ref="G827">iferror(XLOOKUP(A827,'Download of SFDC Activation Rep'!B:B,'Download of SFDC Activation Rep'!H:H),"")</f>
        <v/>
      </c>
      <c r="H827" s="13" t="str">
        <f t="array" ref="H827">iferror(xlookup(A827,'Download of SFDC Activation Rep'!B:B,'Download of SFDC Activation Rep'!L:L),"")</f>
        <v/>
      </c>
      <c r="I827" s="17" t="str">
        <f t="shared" si="2"/>
        <v>Not Active</v>
      </c>
      <c r="J827" s="17" t="str">
        <f t="array" ref="J827">XLOOKUP(A827,'Download of SFDC Activation Rep'!B:B,'Download of SFDC Activation Rep'!T:T)</f>
        <v>#N/A</v>
      </c>
      <c r="K827" s="17" t="str">
        <f t="array" ref="K827">iferror(XLOOKUP(A827,'Download of SFDC Activation Rep'!B:B,'Download of SFDC Activation Rep'!C:C),"")</f>
        <v/>
      </c>
    </row>
    <row r="828">
      <c r="B828" s="14"/>
      <c r="C828" s="14"/>
      <c r="D828" s="14"/>
      <c r="E828" s="14"/>
      <c r="F828" s="14"/>
      <c r="G828" s="13" t="str">
        <f t="array" ref="G828">iferror(XLOOKUP(A828,'Download of SFDC Activation Rep'!B:B,'Download of SFDC Activation Rep'!H:H),"")</f>
        <v/>
      </c>
      <c r="H828" s="13" t="str">
        <f t="array" ref="H828">iferror(xlookup(A828,'Download of SFDC Activation Rep'!B:B,'Download of SFDC Activation Rep'!L:L),"")</f>
        <v/>
      </c>
      <c r="I828" s="17" t="str">
        <f t="shared" si="2"/>
        <v>Not Active</v>
      </c>
      <c r="J828" s="17" t="str">
        <f t="array" ref="J828">XLOOKUP(A828,'Download of SFDC Activation Rep'!B:B,'Download of SFDC Activation Rep'!T:T)</f>
        <v>#N/A</v>
      </c>
      <c r="K828" s="17" t="str">
        <f t="array" ref="K828">iferror(XLOOKUP(A828,'Download of SFDC Activation Rep'!B:B,'Download of SFDC Activation Rep'!C:C),"")</f>
        <v/>
      </c>
    </row>
    <row r="829">
      <c r="B829" s="14"/>
      <c r="C829" s="14"/>
      <c r="D829" s="14"/>
      <c r="E829" s="14"/>
      <c r="F829" s="14"/>
      <c r="G829" s="13" t="str">
        <f t="array" ref="G829">iferror(XLOOKUP(A829,'Download of SFDC Activation Rep'!B:B,'Download of SFDC Activation Rep'!H:H),"")</f>
        <v/>
      </c>
      <c r="H829" s="13" t="str">
        <f t="array" ref="H829">iferror(xlookup(A829,'Download of SFDC Activation Rep'!B:B,'Download of SFDC Activation Rep'!L:L),"")</f>
        <v/>
      </c>
      <c r="I829" s="17" t="str">
        <f t="shared" si="2"/>
        <v>Not Active</v>
      </c>
      <c r="J829" s="17" t="str">
        <f t="array" ref="J829">XLOOKUP(A829,'Download of SFDC Activation Rep'!B:B,'Download of SFDC Activation Rep'!T:T)</f>
        <v>#N/A</v>
      </c>
      <c r="K829" s="17" t="str">
        <f t="array" ref="K829">iferror(XLOOKUP(A829,'Download of SFDC Activation Rep'!B:B,'Download of SFDC Activation Rep'!C:C),"")</f>
        <v/>
      </c>
    </row>
    <row r="830">
      <c r="B830" s="14"/>
      <c r="C830" s="14"/>
      <c r="D830" s="14"/>
      <c r="E830" s="14"/>
      <c r="F830" s="14"/>
      <c r="G830" s="13" t="str">
        <f t="array" ref="G830">iferror(XLOOKUP(A830,'Download of SFDC Activation Rep'!B:B,'Download of SFDC Activation Rep'!H:H),"")</f>
        <v/>
      </c>
      <c r="H830" s="13" t="str">
        <f t="array" ref="H830">iferror(xlookup(A830,'Download of SFDC Activation Rep'!B:B,'Download of SFDC Activation Rep'!L:L),"")</f>
        <v/>
      </c>
      <c r="I830" s="17" t="str">
        <f t="shared" si="2"/>
        <v>Not Active</v>
      </c>
      <c r="J830" s="17" t="str">
        <f t="array" ref="J830">XLOOKUP(A830,'Download of SFDC Activation Rep'!B:B,'Download of SFDC Activation Rep'!T:T)</f>
        <v>#N/A</v>
      </c>
      <c r="K830" s="17" t="str">
        <f t="array" ref="K830">iferror(XLOOKUP(A830,'Download of SFDC Activation Rep'!B:B,'Download of SFDC Activation Rep'!C:C),"")</f>
        <v/>
      </c>
    </row>
    <row r="831">
      <c r="B831" s="14"/>
      <c r="C831" s="14"/>
      <c r="D831" s="14"/>
      <c r="E831" s="14"/>
      <c r="F831" s="14"/>
      <c r="G831" s="13" t="str">
        <f t="array" ref="G831">iferror(XLOOKUP(A831,'Download of SFDC Activation Rep'!B:B,'Download of SFDC Activation Rep'!H:H),"")</f>
        <v/>
      </c>
      <c r="H831" s="13" t="str">
        <f t="array" ref="H831">iferror(xlookup(A831,'Download of SFDC Activation Rep'!B:B,'Download of SFDC Activation Rep'!L:L),"")</f>
        <v/>
      </c>
      <c r="I831" s="17" t="str">
        <f t="shared" si="2"/>
        <v>Not Active</v>
      </c>
      <c r="J831" s="17" t="str">
        <f t="array" ref="J831">XLOOKUP(A831,'Download of SFDC Activation Rep'!B:B,'Download of SFDC Activation Rep'!T:T)</f>
        <v>#N/A</v>
      </c>
      <c r="K831" s="17" t="str">
        <f t="array" ref="K831">iferror(XLOOKUP(A831,'Download of SFDC Activation Rep'!B:B,'Download of SFDC Activation Rep'!C:C),"")</f>
        <v/>
      </c>
    </row>
    <row r="832">
      <c r="B832" s="14"/>
      <c r="C832" s="14"/>
      <c r="D832" s="14"/>
      <c r="E832" s="14"/>
      <c r="F832" s="14"/>
      <c r="G832" s="13" t="str">
        <f t="array" ref="G832">iferror(XLOOKUP(A832,'Download of SFDC Activation Rep'!B:B,'Download of SFDC Activation Rep'!H:H),"")</f>
        <v/>
      </c>
      <c r="H832" s="13" t="str">
        <f t="array" ref="H832">iferror(xlookup(A832,'Download of SFDC Activation Rep'!B:B,'Download of SFDC Activation Rep'!L:L),"")</f>
        <v/>
      </c>
      <c r="I832" s="17" t="str">
        <f t="shared" si="2"/>
        <v>Not Active</v>
      </c>
      <c r="J832" s="17" t="str">
        <f t="array" ref="J832">XLOOKUP(A832,'Download of SFDC Activation Rep'!B:B,'Download of SFDC Activation Rep'!T:T)</f>
        <v>#N/A</v>
      </c>
      <c r="K832" s="17" t="str">
        <f t="array" ref="K832">iferror(XLOOKUP(A832,'Download of SFDC Activation Rep'!B:B,'Download of SFDC Activation Rep'!C:C),"")</f>
        <v/>
      </c>
    </row>
    <row r="833">
      <c r="B833" s="14"/>
      <c r="C833" s="14"/>
      <c r="D833" s="14"/>
      <c r="E833" s="14"/>
      <c r="F833" s="14"/>
      <c r="G833" s="13" t="str">
        <f t="array" ref="G833">iferror(XLOOKUP(A833,'Download of SFDC Activation Rep'!B:B,'Download of SFDC Activation Rep'!H:H),"")</f>
        <v/>
      </c>
      <c r="H833" s="13" t="str">
        <f t="array" ref="H833">iferror(xlookup(A833,'Download of SFDC Activation Rep'!B:B,'Download of SFDC Activation Rep'!L:L),"")</f>
        <v/>
      </c>
      <c r="I833" s="17" t="str">
        <f t="shared" si="2"/>
        <v>Not Active</v>
      </c>
      <c r="J833" s="17" t="str">
        <f t="array" ref="J833">XLOOKUP(A833,'Download of SFDC Activation Rep'!B:B,'Download of SFDC Activation Rep'!T:T)</f>
        <v>#N/A</v>
      </c>
      <c r="K833" s="17" t="str">
        <f t="array" ref="K833">iferror(XLOOKUP(A833,'Download of SFDC Activation Rep'!B:B,'Download of SFDC Activation Rep'!C:C),"")</f>
        <v/>
      </c>
    </row>
    <row r="834">
      <c r="B834" s="14"/>
      <c r="C834" s="14"/>
      <c r="D834" s="14"/>
      <c r="E834" s="14"/>
      <c r="F834" s="14"/>
      <c r="G834" s="13" t="str">
        <f t="array" ref="G834">iferror(XLOOKUP(A834,'Download of SFDC Activation Rep'!B:B,'Download of SFDC Activation Rep'!H:H),"")</f>
        <v/>
      </c>
      <c r="H834" s="13" t="str">
        <f t="array" ref="H834">iferror(xlookup(A834,'Download of SFDC Activation Rep'!B:B,'Download of SFDC Activation Rep'!L:L),"")</f>
        <v/>
      </c>
      <c r="I834" s="17" t="str">
        <f t="shared" si="2"/>
        <v>Not Active</v>
      </c>
      <c r="J834" s="17" t="str">
        <f t="array" ref="J834">XLOOKUP(A834,'Download of SFDC Activation Rep'!B:B,'Download of SFDC Activation Rep'!T:T)</f>
        <v>#N/A</v>
      </c>
      <c r="K834" s="17" t="str">
        <f t="array" ref="K834">iferror(XLOOKUP(A834,'Download of SFDC Activation Rep'!B:B,'Download of SFDC Activation Rep'!C:C),"")</f>
        <v/>
      </c>
    </row>
    <row r="835">
      <c r="B835" s="14"/>
      <c r="C835" s="14"/>
      <c r="D835" s="14"/>
      <c r="E835" s="14"/>
      <c r="F835" s="14"/>
      <c r="G835" s="13" t="str">
        <f t="array" ref="G835">iferror(XLOOKUP(A835,'Download of SFDC Activation Rep'!B:B,'Download of SFDC Activation Rep'!H:H),"")</f>
        <v/>
      </c>
      <c r="H835" s="13" t="str">
        <f t="array" ref="H835">iferror(xlookup(A835,'Download of SFDC Activation Rep'!B:B,'Download of SFDC Activation Rep'!L:L),"")</f>
        <v/>
      </c>
      <c r="I835" s="17" t="str">
        <f t="shared" si="2"/>
        <v>Not Active</v>
      </c>
      <c r="J835" s="17" t="str">
        <f t="array" ref="J835">XLOOKUP(A835,'Download of SFDC Activation Rep'!B:B,'Download of SFDC Activation Rep'!T:T)</f>
        <v>#N/A</v>
      </c>
      <c r="K835" s="17" t="str">
        <f t="array" ref="K835">iferror(XLOOKUP(A835,'Download of SFDC Activation Rep'!B:B,'Download of SFDC Activation Rep'!C:C),"")</f>
        <v/>
      </c>
    </row>
    <row r="836">
      <c r="B836" s="14"/>
      <c r="C836" s="14"/>
      <c r="D836" s="14"/>
      <c r="E836" s="14"/>
      <c r="F836" s="14"/>
      <c r="G836" s="13" t="str">
        <f t="array" ref="G836">iferror(XLOOKUP(A836,'Download of SFDC Activation Rep'!B:B,'Download of SFDC Activation Rep'!H:H),"")</f>
        <v/>
      </c>
      <c r="H836" s="13" t="str">
        <f t="array" ref="H836">iferror(xlookup(A836,'Download of SFDC Activation Rep'!B:B,'Download of SFDC Activation Rep'!L:L),"")</f>
        <v/>
      </c>
      <c r="I836" s="17" t="str">
        <f t="shared" si="2"/>
        <v>Not Active</v>
      </c>
      <c r="J836" s="17" t="str">
        <f t="array" ref="J836">XLOOKUP(A836,'Download of SFDC Activation Rep'!B:B,'Download of SFDC Activation Rep'!T:T)</f>
        <v>#N/A</v>
      </c>
      <c r="K836" s="17" t="str">
        <f t="array" ref="K836">iferror(XLOOKUP(A836,'Download of SFDC Activation Rep'!B:B,'Download of SFDC Activation Rep'!C:C),"")</f>
        <v/>
      </c>
    </row>
    <row r="837">
      <c r="B837" s="14"/>
      <c r="C837" s="14"/>
      <c r="D837" s="14"/>
      <c r="E837" s="14"/>
      <c r="F837" s="14"/>
      <c r="G837" s="13" t="str">
        <f t="array" ref="G837">iferror(XLOOKUP(A837,'Download of SFDC Activation Rep'!B:B,'Download of SFDC Activation Rep'!H:H),"")</f>
        <v/>
      </c>
      <c r="H837" s="13" t="str">
        <f t="array" ref="H837">iferror(xlookup(A837,'Download of SFDC Activation Rep'!B:B,'Download of SFDC Activation Rep'!L:L),"")</f>
        <v/>
      </c>
      <c r="I837" s="17" t="str">
        <f t="shared" si="2"/>
        <v>Not Active</v>
      </c>
      <c r="J837" s="17" t="str">
        <f t="array" ref="J837">XLOOKUP(A837,'Download of SFDC Activation Rep'!B:B,'Download of SFDC Activation Rep'!T:T)</f>
        <v>#N/A</v>
      </c>
      <c r="K837" s="17" t="str">
        <f t="array" ref="K837">iferror(XLOOKUP(A837,'Download of SFDC Activation Rep'!B:B,'Download of SFDC Activation Rep'!C:C),"")</f>
        <v/>
      </c>
    </row>
    <row r="838">
      <c r="B838" s="14"/>
      <c r="C838" s="14"/>
      <c r="D838" s="14"/>
      <c r="E838" s="14"/>
      <c r="F838" s="14"/>
      <c r="G838" s="13" t="str">
        <f t="array" ref="G838">iferror(XLOOKUP(A838,'Download of SFDC Activation Rep'!B:B,'Download of SFDC Activation Rep'!H:H),"")</f>
        <v/>
      </c>
      <c r="H838" s="13" t="str">
        <f t="array" ref="H838">iferror(xlookup(A838,'Download of SFDC Activation Rep'!B:B,'Download of SFDC Activation Rep'!L:L),"")</f>
        <v/>
      </c>
      <c r="I838" s="17" t="str">
        <f t="shared" si="2"/>
        <v>Not Active</v>
      </c>
      <c r="J838" s="17" t="str">
        <f t="array" ref="J838">XLOOKUP(A838,'Download of SFDC Activation Rep'!B:B,'Download of SFDC Activation Rep'!T:T)</f>
        <v>#N/A</v>
      </c>
      <c r="K838" s="17" t="str">
        <f t="array" ref="K838">iferror(XLOOKUP(A838,'Download of SFDC Activation Rep'!B:B,'Download of SFDC Activation Rep'!C:C),"")</f>
        <v/>
      </c>
    </row>
    <row r="839">
      <c r="B839" s="14"/>
      <c r="C839" s="14"/>
      <c r="D839" s="14"/>
      <c r="E839" s="14"/>
      <c r="F839" s="14"/>
      <c r="G839" s="13" t="str">
        <f t="array" ref="G839">iferror(XLOOKUP(A839,'Download of SFDC Activation Rep'!B:B,'Download of SFDC Activation Rep'!H:H),"")</f>
        <v/>
      </c>
      <c r="H839" s="13" t="str">
        <f t="array" ref="H839">iferror(xlookup(A839,'Download of SFDC Activation Rep'!B:B,'Download of SFDC Activation Rep'!L:L),"")</f>
        <v/>
      </c>
      <c r="I839" s="17" t="str">
        <f t="shared" si="2"/>
        <v>Not Active</v>
      </c>
      <c r="J839" s="17" t="str">
        <f t="array" ref="J839">XLOOKUP(A839,'Download of SFDC Activation Rep'!B:B,'Download of SFDC Activation Rep'!T:T)</f>
        <v>#N/A</v>
      </c>
      <c r="K839" s="17" t="str">
        <f t="array" ref="K839">iferror(XLOOKUP(A839,'Download of SFDC Activation Rep'!B:B,'Download of SFDC Activation Rep'!C:C),"")</f>
        <v/>
      </c>
    </row>
    <row r="840">
      <c r="B840" s="14"/>
      <c r="C840" s="14"/>
      <c r="D840" s="14"/>
      <c r="E840" s="14"/>
      <c r="F840" s="14"/>
      <c r="G840" s="13" t="str">
        <f t="array" ref="G840">iferror(XLOOKUP(A840,'Download of SFDC Activation Rep'!B:B,'Download of SFDC Activation Rep'!H:H),"")</f>
        <v/>
      </c>
      <c r="H840" s="13" t="str">
        <f t="array" ref="H840">iferror(xlookup(A840,'Download of SFDC Activation Rep'!B:B,'Download of SFDC Activation Rep'!L:L),"")</f>
        <v/>
      </c>
      <c r="I840" s="17" t="str">
        <f t="shared" si="2"/>
        <v>Not Active</v>
      </c>
      <c r="J840" s="17" t="str">
        <f t="array" ref="J840">XLOOKUP(A840,'Download of SFDC Activation Rep'!B:B,'Download of SFDC Activation Rep'!T:T)</f>
        <v>#N/A</v>
      </c>
      <c r="K840" s="17" t="str">
        <f t="array" ref="K840">iferror(XLOOKUP(A840,'Download of SFDC Activation Rep'!B:B,'Download of SFDC Activation Rep'!C:C),"")</f>
        <v/>
      </c>
    </row>
    <row r="841">
      <c r="B841" s="14"/>
      <c r="C841" s="14"/>
      <c r="D841" s="14"/>
      <c r="E841" s="14"/>
      <c r="F841" s="14"/>
      <c r="G841" s="13" t="str">
        <f t="array" ref="G841">iferror(XLOOKUP(A841,'Download of SFDC Activation Rep'!B:B,'Download of SFDC Activation Rep'!H:H),"")</f>
        <v/>
      </c>
      <c r="H841" s="13" t="str">
        <f t="array" ref="H841">iferror(xlookup(A841,'Download of SFDC Activation Rep'!B:B,'Download of SFDC Activation Rep'!L:L),"")</f>
        <v/>
      </c>
      <c r="I841" s="17" t="str">
        <f t="shared" si="2"/>
        <v>Not Active</v>
      </c>
      <c r="J841" s="17" t="str">
        <f t="array" ref="J841">XLOOKUP(A841,'Download of SFDC Activation Rep'!B:B,'Download of SFDC Activation Rep'!T:T)</f>
        <v>#N/A</v>
      </c>
      <c r="K841" s="17" t="str">
        <f t="array" ref="K841">iferror(XLOOKUP(A841,'Download of SFDC Activation Rep'!B:B,'Download of SFDC Activation Rep'!C:C),"")</f>
        <v/>
      </c>
    </row>
    <row r="842">
      <c r="B842" s="14"/>
      <c r="C842" s="14"/>
      <c r="D842" s="14"/>
      <c r="E842" s="14"/>
      <c r="F842" s="14"/>
      <c r="G842" s="13" t="str">
        <f t="array" ref="G842">iferror(XLOOKUP(A842,'Download of SFDC Activation Rep'!B:B,'Download of SFDC Activation Rep'!H:H),"")</f>
        <v/>
      </c>
      <c r="H842" s="13" t="str">
        <f t="array" ref="H842">iferror(xlookup(A842,'Download of SFDC Activation Rep'!B:B,'Download of SFDC Activation Rep'!L:L),"")</f>
        <v/>
      </c>
      <c r="I842" s="17" t="str">
        <f t="shared" si="2"/>
        <v>Not Active</v>
      </c>
      <c r="J842" s="17" t="str">
        <f t="array" ref="J842">XLOOKUP(A842,'Download of SFDC Activation Rep'!B:B,'Download of SFDC Activation Rep'!T:T)</f>
        <v>#N/A</v>
      </c>
      <c r="K842" s="17" t="str">
        <f t="array" ref="K842">iferror(XLOOKUP(A842,'Download of SFDC Activation Rep'!B:B,'Download of SFDC Activation Rep'!C:C),"")</f>
        <v/>
      </c>
    </row>
    <row r="843">
      <c r="B843" s="14"/>
      <c r="C843" s="14"/>
      <c r="D843" s="14"/>
      <c r="E843" s="14"/>
      <c r="F843" s="14"/>
      <c r="G843" s="13" t="str">
        <f t="array" ref="G843">iferror(XLOOKUP(A843,'Download of SFDC Activation Rep'!B:B,'Download of SFDC Activation Rep'!H:H),"")</f>
        <v/>
      </c>
      <c r="H843" s="13" t="str">
        <f t="array" ref="H843">iferror(xlookup(A843,'Download of SFDC Activation Rep'!B:B,'Download of SFDC Activation Rep'!L:L),"")</f>
        <v/>
      </c>
      <c r="I843" s="17" t="str">
        <f t="shared" si="2"/>
        <v>Not Active</v>
      </c>
      <c r="J843" s="17" t="str">
        <f t="array" ref="J843">XLOOKUP(A843,'Download of SFDC Activation Rep'!B:B,'Download of SFDC Activation Rep'!T:T)</f>
        <v>#N/A</v>
      </c>
      <c r="K843" s="17" t="str">
        <f t="array" ref="K843">iferror(XLOOKUP(A843,'Download of SFDC Activation Rep'!B:B,'Download of SFDC Activation Rep'!C:C),"")</f>
        <v/>
      </c>
    </row>
    <row r="844">
      <c r="B844" s="14"/>
      <c r="C844" s="14"/>
      <c r="D844" s="14"/>
      <c r="E844" s="14"/>
      <c r="F844" s="14"/>
      <c r="G844" s="13" t="str">
        <f t="array" ref="G844">iferror(XLOOKUP(A844,'Download of SFDC Activation Rep'!B:B,'Download of SFDC Activation Rep'!H:H),"")</f>
        <v/>
      </c>
      <c r="H844" s="13" t="str">
        <f t="array" ref="H844">iferror(xlookup(A844,'Download of SFDC Activation Rep'!B:B,'Download of SFDC Activation Rep'!L:L),"")</f>
        <v/>
      </c>
      <c r="I844" s="17" t="str">
        <f t="shared" si="2"/>
        <v>Not Active</v>
      </c>
      <c r="J844" s="17" t="str">
        <f t="array" ref="J844">XLOOKUP(A844,'Download of SFDC Activation Rep'!B:B,'Download of SFDC Activation Rep'!T:T)</f>
        <v>#N/A</v>
      </c>
      <c r="K844" s="17" t="str">
        <f t="array" ref="K844">iferror(XLOOKUP(A844,'Download of SFDC Activation Rep'!B:B,'Download of SFDC Activation Rep'!C:C),"")</f>
        <v/>
      </c>
    </row>
    <row r="845">
      <c r="B845" s="14"/>
      <c r="C845" s="14"/>
      <c r="D845" s="14"/>
      <c r="E845" s="14"/>
      <c r="F845" s="14"/>
      <c r="G845" s="13" t="str">
        <f t="array" ref="G845">iferror(XLOOKUP(A845,'Download of SFDC Activation Rep'!B:B,'Download of SFDC Activation Rep'!H:H),"")</f>
        <v/>
      </c>
      <c r="H845" s="13" t="str">
        <f t="array" ref="H845">iferror(xlookup(A845,'Download of SFDC Activation Rep'!B:B,'Download of SFDC Activation Rep'!L:L),"")</f>
        <v/>
      </c>
      <c r="I845" s="17" t="str">
        <f t="shared" si="2"/>
        <v>Not Active</v>
      </c>
      <c r="J845" s="17" t="str">
        <f t="array" ref="J845">XLOOKUP(A845,'Download of SFDC Activation Rep'!B:B,'Download of SFDC Activation Rep'!T:T)</f>
        <v>#N/A</v>
      </c>
      <c r="K845" s="17" t="str">
        <f t="array" ref="K845">iferror(XLOOKUP(A845,'Download of SFDC Activation Rep'!B:B,'Download of SFDC Activation Rep'!C:C),"")</f>
        <v/>
      </c>
    </row>
    <row r="846">
      <c r="B846" s="14"/>
      <c r="C846" s="14"/>
      <c r="D846" s="14"/>
      <c r="E846" s="14"/>
      <c r="F846" s="14"/>
      <c r="G846" s="13" t="str">
        <f t="array" ref="G846">iferror(XLOOKUP(A846,'Download of SFDC Activation Rep'!B:B,'Download of SFDC Activation Rep'!H:H),"")</f>
        <v/>
      </c>
      <c r="H846" s="13" t="str">
        <f t="array" ref="H846">iferror(xlookup(A846,'Download of SFDC Activation Rep'!B:B,'Download of SFDC Activation Rep'!L:L),"")</f>
        <v/>
      </c>
      <c r="I846" s="17" t="str">
        <f t="shared" si="2"/>
        <v>Not Active</v>
      </c>
      <c r="J846" s="17" t="str">
        <f t="array" ref="J846">XLOOKUP(A846,'Download of SFDC Activation Rep'!B:B,'Download of SFDC Activation Rep'!T:T)</f>
        <v>#N/A</v>
      </c>
      <c r="K846" s="17" t="str">
        <f t="array" ref="K846">iferror(XLOOKUP(A846,'Download of SFDC Activation Rep'!B:B,'Download of SFDC Activation Rep'!C:C),"")</f>
        <v/>
      </c>
    </row>
    <row r="847">
      <c r="B847" s="14"/>
      <c r="C847" s="14"/>
      <c r="D847" s="14"/>
      <c r="E847" s="14"/>
      <c r="F847" s="14"/>
      <c r="G847" s="13" t="str">
        <f t="array" ref="G847">iferror(XLOOKUP(A847,'Download of SFDC Activation Rep'!B:B,'Download of SFDC Activation Rep'!H:H),"")</f>
        <v/>
      </c>
      <c r="H847" s="13" t="str">
        <f t="array" ref="H847">iferror(xlookup(A847,'Download of SFDC Activation Rep'!B:B,'Download of SFDC Activation Rep'!L:L),"")</f>
        <v/>
      </c>
      <c r="I847" s="17" t="str">
        <f t="shared" si="2"/>
        <v>Not Active</v>
      </c>
      <c r="J847" s="17" t="str">
        <f t="array" ref="J847">XLOOKUP(A847,'Download of SFDC Activation Rep'!B:B,'Download of SFDC Activation Rep'!T:T)</f>
        <v>#N/A</v>
      </c>
      <c r="K847" s="17" t="str">
        <f t="array" ref="K847">iferror(XLOOKUP(A847,'Download of SFDC Activation Rep'!B:B,'Download of SFDC Activation Rep'!C:C),"")</f>
        <v/>
      </c>
    </row>
    <row r="848">
      <c r="B848" s="14"/>
      <c r="C848" s="14"/>
      <c r="D848" s="14"/>
      <c r="E848" s="14"/>
      <c r="F848" s="14"/>
      <c r="G848" s="13" t="str">
        <f t="array" ref="G848">iferror(XLOOKUP(A848,'Download of SFDC Activation Rep'!B:B,'Download of SFDC Activation Rep'!H:H),"")</f>
        <v/>
      </c>
      <c r="H848" s="13" t="str">
        <f t="array" ref="H848">iferror(xlookup(A848,'Download of SFDC Activation Rep'!B:B,'Download of SFDC Activation Rep'!L:L),"")</f>
        <v/>
      </c>
      <c r="I848" s="17" t="str">
        <f t="shared" si="2"/>
        <v>Not Active</v>
      </c>
      <c r="J848" s="17" t="str">
        <f t="array" ref="J848">XLOOKUP(A848,'Download of SFDC Activation Rep'!B:B,'Download of SFDC Activation Rep'!T:T)</f>
        <v>#N/A</v>
      </c>
      <c r="K848" s="17" t="str">
        <f t="array" ref="K848">iferror(XLOOKUP(A848,'Download of SFDC Activation Rep'!B:B,'Download of SFDC Activation Rep'!C:C),"")</f>
        <v/>
      </c>
    </row>
    <row r="849">
      <c r="B849" s="14"/>
      <c r="C849" s="14"/>
      <c r="D849" s="14"/>
      <c r="E849" s="14"/>
      <c r="F849" s="14"/>
      <c r="G849" s="13" t="str">
        <f t="array" ref="G849">iferror(XLOOKUP(A849,'Download of SFDC Activation Rep'!B:B,'Download of SFDC Activation Rep'!H:H),"")</f>
        <v/>
      </c>
      <c r="H849" s="13" t="str">
        <f t="array" ref="H849">iferror(xlookup(A849,'Download of SFDC Activation Rep'!B:B,'Download of SFDC Activation Rep'!L:L),"")</f>
        <v/>
      </c>
      <c r="I849" s="17" t="str">
        <f t="shared" si="2"/>
        <v>Not Active</v>
      </c>
      <c r="J849" s="17" t="str">
        <f t="array" ref="J849">XLOOKUP(A849,'Download of SFDC Activation Rep'!B:B,'Download of SFDC Activation Rep'!T:T)</f>
        <v>#N/A</v>
      </c>
      <c r="K849" s="17" t="str">
        <f t="array" ref="K849">iferror(XLOOKUP(A849,'Download of SFDC Activation Rep'!B:B,'Download of SFDC Activation Rep'!C:C),"")</f>
        <v/>
      </c>
    </row>
    <row r="850">
      <c r="B850" s="14"/>
      <c r="C850" s="14"/>
      <c r="D850" s="14"/>
      <c r="E850" s="14"/>
      <c r="F850" s="14"/>
      <c r="G850" s="13" t="str">
        <f t="array" ref="G850">iferror(XLOOKUP(A850,'Download of SFDC Activation Rep'!B:B,'Download of SFDC Activation Rep'!H:H),"")</f>
        <v/>
      </c>
      <c r="H850" s="13" t="str">
        <f t="array" ref="H850">iferror(xlookup(A850,'Download of SFDC Activation Rep'!B:B,'Download of SFDC Activation Rep'!L:L),"")</f>
        <v/>
      </c>
      <c r="I850" s="17" t="str">
        <f t="shared" si="2"/>
        <v>Not Active</v>
      </c>
      <c r="J850" s="17" t="str">
        <f t="array" ref="J850">XLOOKUP(A850,'Download of SFDC Activation Rep'!B:B,'Download of SFDC Activation Rep'!T:T)</f>
        <v>#N/A</v>
      </c>
      <c r="K850" s="17" t="str">
        <f t="array" ref="K850">iferror(XLOOKUP(A850,'Download of SFDC Activation Rep'!B:B,'Download of SFDC Activation Rep'!C:C),"")</f>
        <v/>
      </c>
    </row>
    <row r="851">
      <c r="B851" s="14"/>
      <c r="C851" s="14"/>
      <c r="D851" s="14"/>
      <c r="E851" s="14"/>
      <c r="F851" s="14"/>
      <c r="G851" s="13" t="str">
        <f t="array" ref="G851">iferror(XLOOKUP(A851,'Download of SFDC Activation Rep'!B:B,'Download of SFDC Activation Rep'!H:H),"")</f>
        <v/>
      </c>
      <c r="H851" s="13" t="str">
        <f t="array" ref="H851">iferror(xlookup(A851,'Download of SFDC Activation Rep'!B:B,'Download of SFDC Activation Rep'!L:L),"")</f>
        <v/>
      </c>
      <c r="I851" s="17" t="str">
        <f t="shared" si="2"/>
        <v>Not Active</v>
      </c>
      <c r="J851" s="17" t="str">
        <f t="array" ref="J851">XLOOKUP(A851,'Download of SFDC Activation Rep'!B:B,'Download of SFDC Activation Rep'!T:T)</f>
        <v>#N/A</v>
      </c>
      <c r="K851" s="17" t="str">
        <f t="array" ref="K851">iferror(XLOOKUP(A851,'Download of SFDC Activation Rep'!B:B,'Download of SFDC Activation Rep'!C:C),"")</f>
        <v/>
      </c>
    </row>
    <row r="852">
      <c r="B852" s="14"/>
      <c r="C852" s="14"/>
      <c r="D852" s="14"/>
      <c r="E852" s="14"/>
      <c r="F852" s="14"/>
      <c r="G852" s="13" t="str">
        <f t="array" ref="G852">iferror(XLOOKUP(A852,'Download of SFDC Activation Rep'!B:B,'Download of SFDC Activation Rep'!H:H),"")</f>
        <v/>
      </c>
      <c r="H852" s="13" t="str">
        <f t="array" ref="H852">iferror(xlookup(A852,'Download of SFDC Activation Rep'!B:B,'Download of SFDC Activation Rep'!L:L),"")</f>
        <v/>
      </c>
      <c r="I852" s="17" t="str">
        <f t="shared" si="2"/>
        <v>Not Active</v>
      </c>
      <c r="J852" s="17" t="str">
        <f t="array" ref="J852">XLOOKUP(A852,'Download of SFDC Activation Rep'!B:B,'Download of SFDC Activation Rep'!T:T)</f>
        <v>#N/A</v>
      </c>
      <c r="K852" s="17" t="str">
        <f t="array" ref="K852">iferror(XLOOKUP(A852,'Download of SFDC Activation Rep'!B:B,'Download of SFDC Activation Rep'!C:C),"")</f>
        <v/>
      </c>
    </row>
    <row r="853">
      <c r="B853" s="14"/>
      <c r="C853" s="14"/>
      <c r="D853" s="14"/>
      <c r="E853" s="14"/>
      <c r="F853" s="14"/>
      <c r="G853" s="13" t="str">
        <f t="array" ref="G853">iferror(XLOOKUP(A853,'Download of SFDC Activation Rep'!B:B,'Download of SFDC Activation Rep'!H:H),"")</f>
        <v/>
      </c>
      <c r="H853" s="13" t="str">
        <f t="array" ref="H853">iferror(xlookup(A853,'Download of SFDC Activation Rep'!B:B,'Download of SFDC Activation Rep'!L:L),"")</f>
        <v/>
      </c>
      <c r="I853" s="17" t="str">
        <f t="shared" si="2"/>
        <v>Not Active</v>
      </c>
      <c r="J853" s="17" t="str">
        <f t="array" ref="J853">XLOOKUP(A853,'Download of SFDC Activation Rep'!B:B,'Download of SFDC Activation Rep'!T:T)</f>
        <v>#N/A</v>
      </c>
      <c r="K853" s="17" t="str">
        <f t="array" ref="K853">iferror(XLOOKUP(A853,'Download of SFDC Activation Rep'!B:B,'Download of SFDC Activation Rep'!C:C),"")</f>
        <v/>
      </c>
    </row>
    <row r="854">
      <c r="B854" s="14"/>
      <c r="C854" s="14"/>
      <c r="D854" s="14"/>
      <c r="E854" s="14"/>
      <c r="F854" s="14"/>
      <c r="G854" s="13" t="str">
        <f t="array" ref="G854">iferror(XLOOKUP(A854,'Download of SFDC Activation Rep'!B:B,'Download of SFDC Activation Rep'!H:H),"")</f>
        <v/>
      </c>
      <c r="H854" s="13" t="str">
        <f t="array" ref="H854">iferror(xlookup(A854,'Download of SFDC Activation Rep'!B:B,'Download of SFDC Activation Rep'!L:L),"")</f>
        <v/>
      </c>
      <c r="I854" s="17" t="str">
        <f t="shared" si="2"/>
        <v>Not Active</v>
      </c>
      <c r="J854" s="17" t="str">
        <f t="array" ref="J854">XLOOKUP(A854,'Download of SFDC Activation Rep'!B:B,'Download of SFDC Activation Rep'!T:T)</f>
        <v>#N/A</v>
      </c>
      <c r="K854" s="17" t="str">
        <f t="array" ref="K854">iferror(XLOOKUP(A854,'Download of SFDC Activation Rep'!B:B,'Download of SFDC Activation Rep'!C:C),"")</f>
        <v/>
      </c>
    </row>
    <row r="855">
      <c r="B855" s="14"/>
      <c r="C855" s="14"/>
      <c r="D855" s="14"/>
      <c r="E855" s="14"/>
      <c r="F855" s="14"/>
      <c r="G855" s="13" t="str">
        <f t="array" ref="G855">iferror(XLOOKUP(A855,'Download of SFDC Activation Rep'!B:B,'Download of SFDC Activation Rep'!H:H),"")</f>
        <v/>
      </c>
      <c r="H855" s="13" t="str">
        <f t="array" ref="H855">iferror(xlookup(A855,'Download of SFDC Activation Rep'!B:B,'Download of SFDC Activation Rep'!L:L),"")</f>
        <v/>
      </c>
      <c r="I855" s="17" t="str">
        <f t="shared" si="2"/>
        <v>Not Active</v>
      </c>
      <c r="J855" s="17" t="str">
        <f t="array" ref="J855">XLOOKUP(A855,'Download of SFDC Activation Rep'!B:B,'Download of SFDC Activation Rep'!T:T)</f>
        <v>#N/A</v>
      </c>
      <c r="K855" s="17" t="str">
        <f t="array" ref="K855">iferror(XLOOKUP(A855,'Download of SFDC Activation Rep'!B:B,'Download of SFDC Activation Rep'!C:C),"")</f>
        <v/>
      </c>
    </row>
    <row r="856">
      <c r="B856" s="14"/>
      <c r="C856" s="14"/>
      <c r="D856" s="14"/>
      <c r="E856" s="14"/>
      <c r="F856" s="14"/>
      <c r="G856" s="13" t="str">
        <f t="array" ref="G856">iferror(XLOOKUP(A856,'Download of SFDC Activation Rep'!B:B,'Download of SFDC Activation Rep'!H:H),"")</f>
        <v/>
      </c>
      <c r="H856" s="13" t="str">
        <f t="array" ref="H856">iferror(xlookup(A856,'Download of SFDC Activation Rep'!B:B,'Download of SFDC Activation Rep'!L:L),"")</f>
        <v/>
      </c>
      <c r="I856" s="17" t="str">
        <f t="shared" si="2"/>
        <v>Not Active</v>
      </c>
      <c r="J856" s="17" t="str">
        <f t="array" ref="J856">XLOOKUP(A856,'Download of SFDC Activation Rep'!B:B,'Download of SFDC Activation Rep'!T:T)</f>
        <v>#N/A</v>
      </c>
      <c r="K856" s="17" t="str">
        <f t="array" ref="K856">iferror(XLOOKUP(A856,'Download of SFDC Activation Rep'!B:B,'Download of SFDC Activation Rep'!C:C),"")</f>
        <v/>
      </c>
    </row>
    <row r="857">
      <c r="B857" s="14"/>
      <c r="C857" s="14"/>
      <c r="D857" s="14"/>
      <c r="E857" s="14"/>
      <c r="F857" s="14"/>
      <c r="G857" s="13" t="str">
        <f t="array" ref="G857">iferror(XLOOKUP(A857,'Download of SFDC Activation Rep'!B:B,'Download of SFDC Activation Rep'!H:H),"")</f>
        <v/>
      </c>
      <c r="H857" s="13" t="str">
        <f t="array" ref="H857">iferror(xlookup(A857,'Download of SFDC Activation Rep'!B:B,'Download of SFDC Activation Rep'!L:L),"")</f>
        <v/>
      </c>
      <c r="I857" s="17" t="str">
        <f t="shared" si="2"/>
        <v>Not Active</v>
      </c>
      <c r="J857" s="17" t="str">
        <f t="array" ref="J857">XLOOKUP(A857,'Download of SFDC Activation Rep'!B:B,'Download of SFDC Activation Rep'!T:T)</f>
        <v>#N/A</v>
      </c>
      <c r="K857" s="17" t="str">
        <f t="array" ref="K857">iferror(XLOOKUP(A857,'Download of SFDC Activation Rep'!B:B,'Download of SFDC Activation Rep'!C:C),"")</f>
        <v/>
      </c>
    </row>
    <row r="858">
      <c r="B858" s="14"/>
      <c r="C858" s="14"/>
      <c r="D858" s="14"/>
      <c r="E858" s="14"/>
      <c r="F858" s="14"/>
      <c r="G858" s="13" t="str">
        <f t="array" ref="G858">iferror(XLOOKUP(A858,'Download of SFDC Activation Rep'!B:B,'Download of SFDC Activation Rep'!H:H),"")</f>
        <v/>
      </c>
      <c r="H858" s="13" t="str">
        <f t="array" ref="H858">iferror(xlookup(A858,'Download of SFDC Activation Rep'!B:B,'Download of SFDC Activation Rep'!L:L),"")</f>
        <v/>
      </c>
      <c r="I858" s="17" t="str">
        <f t="shared" si="2"/>
        <v>Not Active</v>
      </c>
      <c r="J858" s="17" t="str">
        <f t="array" ref="J858">XLOOKUP(A858,'Download of SFDC Activation Rep'!B:B,'Download of SFDC Activation Rep'!T:T)</f>
        <v>#N/A</v>
      </c>
      <c r="K858" s="17" t="str">
        <f t="array" ref="K858">iferror(XLOOKUP(A858,'Download of SFDC Activation Rep'!B:B,'Download of SFDC Activation Rep'!C:C),"")</f>
        <v/>
      </c>
    </row>
    <row r="859">
      <c r="B859" s="14"/>
      <c r="C859" s="14"/>
      <c r="D859" s="14"/>
      <c r="E859" s="14"/>
      <c r="F859" s="14"/>
      <c r="G859" s="13" t="str">
        <f t="array" ref="G859">iferror(XLOOKUP(A859,'Download of SFDC Activation Rep'!B:B,'Download of SFDC Activation Rep'!H:H),"")</f>
        <v/>
      </c>
      <c r="H859" s="13" t="str">
        <f t="array" ref="H859">iferror(xlookup(A859,'Download of SFDC Activation Rep'!B:B,'Download of SFDC Activation Rep'!L:L),"")</f>
        <v/>
      </c>
      <c r="I859" s="17" t="str">
        <f t="shared" si="2"/>
        <v>Not Active</v>
      </c>
      <c r="J859" s="17" t="str">
        <f t="array" ref="J859">XLOOKUP(A859,'Download of SFDC Activation Rep'!B:B,'Download of SFDC Activation Rep'!T:T)</f>
        <v>#N/A</v>
      </c>
      <c r="K859" s="17" t="str">
        <f t="array" ref="K859">iferror(XLOOKUP(A859,'Download of SFDC Activation Rep'!B:B,'Download of SFDC Activation Rep'!C:C),"")</f>
        <v/>
      </c>
    </row>
    <row r="860">
      <c r="B860" s="14"/>
      <c r="C860" s="14"/>
      <c r="D860" s="14"/>
      <c r="E860" s="14"/>
      <c r="F860" s="14"/>
      <c r="G860" s="13" t="str">
        <f t="array" ref="G860">iferror(XLOOKUP(A860,'Download of SFDC Activation Rep'!B:B,'Download of SFDC Activation Rep'!H:H),"")</f>
        <v/>
      </c>
      <c r="H860" s="13" t="str">
        <f t="array" ref="H860">iferror(xlookup(A860,'Download of SFDC Activation Rep'!B:B,'Download of SFDC Activation Rep'!L:L),"")</f>
        <v/>
      </c>
      <c r="I860" s="17" t="str">
        <f t="shared" si="2"/>
        <v>Not Active</v>
      </c>
      <c r="J860" s="17" t="str">
        <f t="array" ref="J860">XLOOKUP(A860,'Download of SFDC Activation Rep'!B:B,'Download of SFDC Activation Rep'!T:T)</f>
        <v>#N/A</v>
      </c>
      <c r="K860" s="17" t="str">
        <f t="array" ref="K860">iferror(XLOOKUP(A860,'Download of SFDC Activation Rep'!B:B,'Download of SFDC Activation Rep'!C:C),"")</f>
        <v/>
      </c>
    </row>
    <row r="861">
      <c r="B861" s="14"/>
      <c r="C861" s="14"/>
      <c r="D861" s="14"/>
      <c r="E861" s="14"/>
      <c r="F861" s="14"/>
      <c r="G861" s="13" t="str">
        <f t="array" ref="G861">iferror(XLOOKUP(A861,'Download of SFDC Activation Rep'!B:B,'Download of SFDC Activation Rep'!H:H),"")</f>
        <v/>
      </c>
      <c r="H861" s="13" t="str">
        <f t="array" ref="H861">iferror(xlookup(A861,'Download of SFDC Activation Rep'!B:B,'Download of SFDC Activation Rep'!L:L),"")</f>
        <v/>
      </c>
      <c r="I861" s="17" t="str">
        <f t="shared" si="2"/>
        <v>Not Active</v>
      </c>
      <c r="J861" s="17" t="str">
        <f t="array" ref="J861">XLOOKUP(A861,'Download of SFDC Activation Rep'!B:B,'Download of SFDC Activation Rep'!T:T)</f>
        <v>#N/A</v>
      </c>
      <c r="K861" s="17" t="str">
        <f t="array" ref="K861">iferror(XLOOKUP(A861,'Download of SFDC Activation Rep'!B:B,'Download of SFDC Activation Rep'!C:C),"")</f>
        <v/>
      </c>
    </row>
    <row r="862">
      <c r="B862" s="14"/>
      <c r="C862" s="14"/>
      <c r="D862" s="14"/>
      <c r="E862" s="14"/>
      <c r="F862" s="14"/>
      <c r="G862" s="13" t="str">
        <f t="array" ref="G862">iferror(XLOOKUP(A862,'Download of SFDC Activation Rep'!B:B,'Download of SFDC Activation Rep'!H:H),"")</f>
        <v/>
      </c>
      <c r="H862" s="13" t="str">
        <f t="array" ref="H862">iferror(xlookup(A862,'Download of SFDC Activation Rep'!B:B,'Download of SFDC Activation Rep'!L:L),"")</f>
        <v/>
      </c>
      <c r="I862" s="17" t="str">
        <f t="shared" si="2"/>
        <v>Not Active</v>
      </c>
      <c r="J862" s="17" t="str">
        <f t="array" ref="J862">XLOOKUP(A862,'Download of SFDC Activation Rep'!B:B,'Download of SFDC Activation Rep'!T:T)</f>
        <v>#N/A</v>
      </c>
      <c r="K862" s="17" t="str">
        <f t="array" ref="K862">iferror(XLOOKUP(A862,'Download of SFDC Activation Rep'!B:B,'Download of SFDC Activation Rep'!C:C),"")</f>
        <v/>
      </c>
    </row>
    <row r="863">
      <c r="B863" s="14"/>
      <c r="C863" s="14"/>
      <c r="D863" s="14"/>
      <c r="E863" s="14"/>
      <c r="F863" s="14"/>
      <c r="G863" s="13" t="str">
        <f t="array" ref="G863">iferror(XLOOKUP(A863,'Download of SFDC Activation Rep'!B:B,'Download of SFDC Activation Rep'!H:H),"")</f>
        <v/>
      </c>
      <c r="H863" s="13" t="str">
        <f t="array" ref="H863">iferror(xlookup(A863,'Download of SFDC Activation Rep'!B:B,'Download of SFDC Activation Rep'!L:L),"")</f>
        <v/>
      </c>
      <c r="I863" s="17" t="str">
        <f t="shared" si="2"/>
        <v>Not Active</v>
      </c>
      <c r="J863" s="17" t="str">
        <f t="array" ref="J863">XLOOKUP(A863,'Download of SFDC Activation Rep'!B:B,'Download of SFDC Activation Rep'!T:T)</f>
        <v>#N/A</v>
      </c>
      <c r="K863" s="17" t="str">
        <f t="array" ref="K863">iferror(XLOOKUP(A863,'Download of SFDC Activation Rep'!B:B,'Download of SFDC Activation Rep'!C:C),"")</f>
        <v/>
      </c>
    </row>
    <row r="864">
      <c r="B864" s="14"/>
      <c r="C864" s="14"/>
      <c r="D864" s="14"/>
      <c r="E864" s="14"/>
      <c r="F864" s="14"/>
      <c r="G864" s="13" t="str">
        <f t="array" ref="G864">iferror(XLOOKUP(A864,'Download of SFDC Activation Rep'!B:B,'Download of SFDC Activation Rep'!H:H),"")</f>
        <v/>
      </c>
      <c r="H864" s="13" t="str">
        <f t="array" ref="H864">iferror(xlookup(A864,'Download of SFDC Activation Rep'!B:B,'Download of SFDC Activation Rep'!L:L),"")</f>
        <v/>
      </c>
      <c r="I864" s="17" t="str">
        <f t="shared" si="2"/>
        <v>Not Active</v>
      </c>
      <c r="J864" s="17" t="str">
        <f t="array" ref="J864">XLOOKUP(A864,'Download of SFDC Activation Rep'!B:B,'Download of SFDC Activation Rep'!T:T)</f>
        <v>#N/A</v>
      </c>
      <c r="K864" s="17" t="str">
        <f t="array" ref="K864">iferror(XLOOKUP(A864,'Download of SFDC Activation Rep'!B:B,'Download of SFDC Activation Rep'!C:C),"")</f>
        <v/>
      </c>
    </row>
    <row r="865">
      <c r="B865" s="14"/>
      <c r="C865" s="14"/>
      <c r="D865" s="14"/>
      <c r="E865" s="14"/>
      <c r="F865" s="14"/>
      <c r="G865" s="13" t="str">
        <f t="array" ref="G865">iferror(XLOOKUP(A865,'Download of SFDC Activation Rep'!B:B,'Download of SFDC Activation Rep'!H:H),"")</f>
        <v/>
      </c>
      <c r="H865" s="13" t="str">
        <f t="array" ref="H865">iferror(xlookup(A865,'Download of SFDC Activation Rep'!B:B,'Download of SFDC Activation Rep'!L:L),"")</f>
        <v/>
      </c>
      <c r="I865" s="17" t="str">
        <f t="shared" si="2"/>
        <v>Not Active</v>
      </c>
      <c r="J865" s="17" t="str">
        <f t="array" ref="J865">XLOOKUP(A865,'Download of SFDC Activation Rep'!B:B,'Download of SFDC Activation Rep'!T:T)</f>
        <v>#N/A</v>
      </c>
      <c r="K865" s="17" t="str">
        <f t="array" ref="K865">iferror(XLOOKUP(A865,'Download of SFDC Activation Rep'!B:B,'Download of SFDC Activation Rep'!C:C),"")</f>
        <v/>
      </c>
    </row>
    <row r="866">
      <c r="B866" s="14"/>
      <c r="C866" s="14"/>
      <c r="D866" s="14"/>
      <c r="E866" s="14"/>
      <c r="F866" s="14"/>
      <c r="G866" s="13" t="str">
        <f t="array" ref="G866">iferror(XLOOKUP(A866,'Download of SFDC Activation Rep'!B:B,'Download of SFDC Activation Rep'!H:H),"")</f>
        <v/>
      </c>
      <c r="H866" s="13" t="str">
        <f t="array" ref="H866">iferror(xlookup(A866,'Download of SFDC Activation Rep'!B:B,'Download of SFDC Activation Rep'!L:L),"")</f>
        <v/>
      </c>
      <c r="I866" s="17" t="str">
        <f t="shared" si="2"/>
        <v>Not Active</v>
      </c>
      <c r="J866" s="17" t="str">
        <f t="array" ref="J866">XLOOKUP(A866,'Download of SFDC Activation Rep'!B:B,'Download of SFDC Activation Rep'!T:T)</f>
        <v>#N/A</v>
      </c>
      <c r="K866" s="17" t="str">
        <f t="array" ref="K866">iferror(XLOOKUP(A866,'Download of SFDC Activation Rep'!B:B,'Download of SFDC Activation Rep'!C:C),"")</f>
        <v/>
      </c>
    </row>
    <row r="867">
      <c r="B867" s="14"/>
      <c r="C867" s="14"/>
      <c r="D867" s="14"/>
      <c r="E867" s="14"/>
      <c r="F867" s="14"/>
      <c r="G867" s="13" t="str">
        <f t="array" ref="G867">iferror(XLOOKUP(A867,'Download of SFDC Activation Rep'!B:B,'Download of SFDC Activation Rep'!H:H),"")</f>
        <v/>
      </c>
      <c r="H867" s="13" t="str">
        <f t="array" ref="H867">iferror(xlookup(A867,'Download of SFDC Activation Rep'!B:B,'Download of SFDC Activation Rep'!L:L),"")</f>
        <v/>
      </c>
      <c r="I867" s="17" t="str">
        <f t="shared" si="2"/>
        <v>Not Active</v>
      </c>
      <c r="J867" s="17" t="str">
        <f t="array" ref="J867">XLOOKUP(A867,'Download of SFDC Activation Rep'!B:B,'Download of SFDC Activation Rep'!T:T)</f>
        <v>#N/A</v>
      </c>
      <c r="K867" s="17" t="str">
        <f t="array" ref="K867">iferror(XLOOKUP(A867,'Download of SFDC Activation Rep'!B:B,'Download of SFDC Activation Rep'!C:C),"")</f>
        <v/>
      </c>
    </row>
    <row r="868">
      <c r="B868" s="14"/>
      <c r="C868" s="14"/>
      <c r="D868" s="14"/>
      <c r="E868" s="14"/>
      <c r="F868" s="14"/>
      <c r="G868" s="13" t="str">
        <f t="array" ref="G868">iferror(XLOOKUP(A868,'Download of SFDC Activation Rep'!B:B,'Download of SFDC Activation Rep'!H:H),"")</f>
        <v/>
      </c>
      <c r="H868" s="13" t="str">
        <f t="array" ref="H868">iferror(xlookup(A868,'Download of SFDC Activation Rep'!B:B,'Download of SFDC Activation Rep'!L:L),"")</f>
        <v/>
      </c>
      <c r="I868" s="17" t="str">
        <f t="shared" si="2"/>
        <v>Not Active</v>
      </c>
      <c r="J868" s="17" t="str">
        <f t="array" ref="J868">XLOOKUP(A868,'Download of SFDC Activation Rep'!B:B,'Download of SFDC Activation Rep'!T:T)</f>
        <v>#N/A</v>
      </c>
      <c r="K868" s="17" t="str">
        <f t="array" ref="K868">iferror(XLOOKUP(A868,'Download of SFDC Activation Rep'!B:B,'Download of SFDC Activation Rep'!C:C),"")</f>
        <v/>
      </c>
    </row>
    <row r="869">
      <c r="B869" s="14"/>
      <c r="C869" s="14"/>
      <c r="D869" s="14"/>
      <c r="E869" s="14"/>
      <c r="F869" s="14"/>
      <c r="G869" s="13" t="str">
        <f t="array" ref="G869">iferror(XLOOKUP(A869,'Download of SFDC Activation Rep'!B:B,'Download of SFDC Activation Rep'!H:H),"")</f>
        <v/>
      </c>
      <c r="H869" s="13" t="str">
        <f t="array" ref="H869">iferror(xlookup(A869,'Download of SFDC Activation Rep'!B:B,'Download of SFDC Activation Rep'!L:L),"")</f>
        <v/>
      </c>
      <c r="I869" s="17" t="str">
        <f t="shared" si="2"/>
        <v>Not Active</v>
      </c>
      <c r="J869" s="17" t="str">
        <f t="array" ref="J869">XLOOKUP(A869,'Download of SFDC Activation Rep'!B:B,'Download of SFDC Activation Rep'!T:T)</f>
        <v>#N/A</v>
      </c>
      <c r="K869" s="17" t="str">
        <f t="array" ref="K869">iferror(XLOOKUP(A869,'Download of SFDC Activation Rep'!B:B,'Download of SFDC Activation Rep'!C:C),"")</f>
        <v/>
      </c>
    </row>
    <row r="870">
      <c r="B870" s="14"/>
      <c r="C870" s="14"/>
      <c r="D870" s="14"/>
      <c r="E870" s="14"/>
      <c r="F870" s="14"/>
      <c r="G870" s="13" t="str">
        <f t="array" ref="G870">iferror(XLOOKUP(A870,'Download of SFDC Activation Rep'!B:B,'Download of SFDC Activation Rep'!H:H),"")</f>
        <v/>
      </c>
      <c r="H870" s="13" t="str">
        <f t="array" ref="H870">iferror(xlookup(A870,'Download of SFDC Activation Rep'!B:B,'Download of SFDC Activation Rep'!L:L),"")</f>
        <v/>
      </c>
      <c r="I870" s="17" t="str">
        <f t="shared" si="2"/>
        <v>Not Active</v>
      </c>
      <c r="J870" s="17" t="str">
        <f t="array" ref="J870">XLOOKUP(A870,'Download of SFDC Activation Rep'!B:B,'Download of SFDC Activation Rep'!T:T)</f>
        <v>#N/A</v>
      </c>
      <c r="K870" s="17" t="str">
        <f t="array" ref="K870">iferror(XLOOKUP(A870,'Download of SFDC Activation Rep'!B:B,'Download of SFDC Activation Rep'!C:C),"")</f>
        <v/>
      </c>
    </row>
    <row r="871">
      <c r="B871" s="14"/>
      <c r="C871" s="14"/>
      <c r="D871" s="14"/>
      <c r="E871" s="14"/>
      <c r="F871" s="14"/>
      <c r="G871" s="13" t="str">
        <f t="array" ref="G871">iferror(XLOOKUP(A871,'Download of SFDC Activation Rep'!B:B,'Download of SFDC Activation Rep'!H:H),"")</f>
        <v/>
      </c>
      <c r="H871" s="13" t="str">
        <f t="array" ref="H871">iferror(xlookup(A871,'Download of SFDC Activation Rep'!B:B,'Download of SFDC Activation Rep'!L:L),"")</f>
        <v/>
      </c>
      <c r="I871" s="17" t="str">
        <f t="shared" si="2"/>
        <v>Not Active</v>
      </c>
      <c r="J871" s="17" t="str">
        <f t="array" ref="J871">XLOOKUP(A871,'Download of SFDC Activation Rep'!B:B,'Download of SFDC Activation Rep'!T:T)</f>
        <v>#N/A</v>
      </c>
      <c r="K871" s="17" t="str">
        <f t="array" ref="K871">iferror(XLOOKUP(A871,'Download of SFDC Activation Rep'!B:B,'Download of SFDC Activation Rep'!C:C),"")</f>
        <v/>
      </c>
    </row>
    <row r="872">
      <c r="B872" s="14"/>
      <c r="C872" s="14"/>
      <c r="D872" s="14"/>
      <c r="E872" s="14"/>
      <c r="F872" s="14"/>
      <c r="G872" s="13" t="str">
        <f t="array" ref="G872">iferror(XLOOKUP(A872,'Download of SFDC Activation Rep'!B:B,'Download of SFDC Activation Rep'!H:H),"")</f>
        <v/>
      </c>
      <c r="H872" s="13" t="str">
        <f t="array" ref="H872">iferror(xlookup(A872,'Download of SFDC Activation Rep'!B:B,'Download of SFDC Activation Rep'!L:L),"")</f>
        <v/>
      </c>
      <c r="I872" s="17" t="str">
        <f t="shared" si="2"/>
        <v>Not Active</v>
      </c>
      <c r="J872" s="17" t="str">
        <f t="array" ref="J872">XLOOKUP(A872,'Download of SFDC Activation Rep'!B:B,'Download of SFDC Activation Rep'!T:T)</f>
        <v>#N/A</v>
      </c>
      <c r="K872" s="17" t="str">
        <f t="array" ref="K872">iferror(XLOOKUP(A872,'Download of SFDC Activation Rep'!B:B,'Download of SFDC Activation Rep'!C:C),"")</f>
        <v/>
      </c>
    </row>
    <row r="873">
      <c r="B873" s="14"/>
      <c r="C873" s="14"/>
      <c r="D873" s="14"/>
      <c r="E873" s="14"/>
      <c r="F873" s="14"/>
      <c r="G873" s="13" t="str">
        <f t="array" ref="G873">iferror(XLOOKUP(A873,'Download of SFDC Activation Rep'!B:B,'Download of SFDC Activation Rep'!H:H),"")</f>
        <v/>
      </c>
      <c r="H873" s="13" t="str">
        <f t="array" ref="H873">iferror(xlookup(A873,'Download of SFDC Activation Rep'!B:B,'Download of SFDC Activation Rep'!L:L),"")</f>
        <v/>
      </c>
      <c r="I873" s="17" t="str">
        <f t="shared" si="2"/>
        <v>Not Active</v>
      </c>
      <c r="J873" s="17" t="str">
        <f t="array" ref="J873">XLOOKUP(A873,'Download of SFDC Activation Rep'!B:B,'Download of SFDC Activation Rep'!T:T)</f>
        <v>#N/A</v>
      </c>
      <c r="K873" s="17" t="str">
        <f t="array" ref="K873">iferror(XLOOKUP(A873,'Download of SFDC Activation Rep'!B:B,'Download of SFDC Activation Rep'!C:C),"")</f>
        <v/>
      </c>
    </row>
    <row r="874">
      <c r="B874" s="14"/>
      <c r="C874" s="14"/>
      <c r="D874" s="14"/>
      <c r="E874" s="14"/>
      <c r="F874" s="14"/>
      <c r="G874" s="13" t="str">
        <f t="array" ref="G874">iferror(XLOOKUP(A874,'Download of SFDC Activation Rep'!B:B,'Download of SFDC Activation Rep'!H:H),"")</f>
        <v/>
      </c>
      <c r="H874" s="13" t="str">
        <f t="array" ref="H874">iferror(xlookup(A874,'Download of SFDC Activation Rep'!B:B,'Download of SFDC Activation Rep'!L:L),"")</f>
        <v/>
      </c>
      <c r="I874" s="17" t="str">
        <f t="shared" si="2"/>
        <v>Not Active</v>
      </c>
      <c r="J874" s="17" t="str">
        <f t="array" ref="J874">XLOOKUP(A874,'Download of SFDC Activation Rep'!B:B,'Download of SFDC Activation Rep'!T:T)</f>
        <v>#N/A</v>
      </c>
      <c r="K874" s="17" t="str">
        <f t="array" ref="K874">iferror(XLOOKUP(A874,'Download of SFDC Activation Rep'!B:B,'Download of SFDC Activation Rep'!C:C),"")</f>
        <v/>
      </c>
    </row>
    <row r="875">
      <c r="B875" s="14"/>
      <c r="C875" s="14"/>
      <c r="D875" s="14"/>
      <c r="E875" s="14"/>
      <c r="F875" s="14"/>
      <c r="G875" s="13" t="str">
        <f t="array" ref="G875">iferror(XLOOKUP(A875,'Download of SFDC Activation Rep'!B:B,'Download of SFDC Activation Rep'!H:H),"")</f>
        <v/>
      </c>
      <c r="H875" s="13" t="str">
        <f t="array" ref="H875">iferror(xlookup(A875,'Download of SFDC Activation Rep'!B:B,'Download of SFDC Activation Rep'!L:L),"")</f>
        <v/>
      </c>
      <c r="I875" s="17" t="str">
        <f t="shared" si="2"/>
        <v>Not Active</v>
      </c>
      <c r="J875" s="17" t="str">
        <f t="array" ref="J875">XLOOKUP(A875,'Download of SFDC Activation Rep'!B:B,'Download of SFDC Activation Rep'!T:T)</f>
        <v>#N/A</v>
      </c>
      <c r="K875" s="17" t="str">
        <f t="array" ref="K875">iferror(XLOOKUP(A875,'Download of SFDC Activation Rep'!B:B,'Download of SFDC Activation Rep'!C:C),"")</f>
        <v/>
      </c>
    </row>
    <row r="876">
      <c r="B876" s="14"/>
      <c r="C876" s="14"/>
      <c r="D876" s="14"/>
      <c r="E876" s="14"/>
      <c r="F876" s="14"/>
      <c r="G876" s="13" t="str">
        <f t="array" ref="G876">iferror(XLOOKUP(A876,'Download of SFDC Activation Rep'!B:B,'Download of SFDC Activation Rep'!H:H),"")</f>
        <v/>
      </c>
      <c r="H876" s="13" t="str">
        <f t="array" ref="H876">iferror(xlookup(A876,'Download of SFDC Activation Rep'!B:B,'Download of SFDC Activation Rep'!L:L),"")</f>
        <v/>
      </c>
      <c r="I876" s="17" t="str">
        <f t="shared" si="2"/>
        <v>Not Active</v>
      </c>
      <c r="J876" s="17" t="str">
        <f t="array" ref="J876">XLOOKUP(A876,'Download of SFDC Activation Rep'!B:B,'Download of SFDC Activation Rep'!T:T)</f>
        <v>#N/A</v>
      </c>
      <c r="K876" s="17" t="str">
        <f t="array" ref="K876">iferror(XLOOKUP(A876,'Download of SFDC Activation Rep'!B:B,'Download of SFDC Activation Rep'!C:C),"")</f>
        <v/>
      </c>
    </row>
    <row r="877">
      <c r="B877" s="14"/>
      <c r="C877" s="14"/>
      <c r="D877" s="14"/>
      <c r="E877" s="14"/>
      <c r="F877" s="14"/>
      <c r="G877" s="13" t="str">
        <f t="array" ref="G877">iferror(XLOOKUP(A877,'Download of SFDC Activation Rep'!B:B,'Download of SFDC Activation Rep'!H:H),"")</f>
        <v/>
      </c>
      <c r="H877" s="13" t="str">
        <f t="array" ref="H877">iferror(xlookup(A877,'Download of SFDC Activation Rep'!B:B,'Download of SFDC Activation Rep'!L:L),"")</f>
        <v/>
      </c>
      <c r="I877" s="17" t="str">
        <f t="shared" si="2"/>
        <v>Not Active</v>
      </c>
      <c r="J877" s="17" t="str">
        <f t="array" ref="J877">XLOOKUP(A877,'Download of SFDC Activation Rep'!B:B,'Download of SFDC Activation Rep'!T:T)</f>
        <v>#N/A</v>
      </c>
      <c r="K877" s="17" t="str">
        <f t="array" ref="K877">iferror(XLOOKUP(A877,'Download of SFDC Activation Rep'!B:B,'Download of SFDC Activation Rep'!C:C),"")</f>
        <v/>
      </c>
    </row>
    <row r="878">
      <c r="B878" s="14"/>
      <c r="C878" s="14"/>
      <c r="D878" s="14"/>
      <c r="E878" s="14"/>
      <c r="F878" s="14"/>
      <c r="G878" s="13" t="str">
        <f t="array" ref="G878">iferror(XLOOKUP(A878,'Download of SFDC Activation Rep'!B:B,'Download of SFDC Activation Rep'!H:H),"")</f>
        <v/>
      </c>
      <c r="H878" s="13" t="str">
        <f t="array" ref="H878">iferror(xlookup(A878,'Download of SFDC Activation Rep'!B:B,'Download of SFDC Activation Rep'!L:L),"")</f>
        <v/>
      </c>
      <c r="I878" s="17" t="str">
        <f t="shared" si="2"/>
        <v>Not Active</v>
      </c>
      <c r="J878" s="17" t="str">
        <f t="array" ref="J878">XLOOKUP(A878,'Download of SFDC Activation Rep'!B:B,'Download of SFDC Activation Rep'!T:T)</f>
        <v>#N/A</v>
      </c>
      <c r="K878" s="17" t="str">
        <f t="array" ref="K878">iferror(XLOOKUP(A878,'Download of SFDC Activation Rep'!B:B,'Download of SFDC Activation Rep'!C:C),"")</f>
        <v/>
      </c>
    </row>
    <row r="879">
      <c r="B879" s="14"/>
      <c r="C879" s="14"/>
      <c r="D879" s="14"/>
      <c r="E879" s="14"/>
      <c r="F879" s="14"/>
      <c r="G879" s="13" t="str">
        <f t="array" ref="G879">iferror(XLOOKUP(A879,'Download of SFDC Activation Rep'!B:B,'Download of SFDC Activation Rep'!H:H),"")</f>
        <v/>
      </c>
      <c r="H879" s="13" t="str">
        <f t="array" ref="H879">iferror(xlookup(A879,'Download of SFDC Activation Rep'!B:B,'Download of SFDC Activation Rep'!L:L),"")</f>
        <v/>
      </c>
      <c r="I879" s="17" t="str">
        <f t="shared" si="2"/>
        <v>Not Active</v>
      </c>
      <c r="J879" s="17" t="str">
        <f t="array" ref="J879">XLOOKUP(A879,'Download of SFDC Activation Rep'!B:B,'Download of SFDC Activation Rep'!T:T)</f>
        <v>#N/A</v>
      </c>
      <c r="K879" s="17" t="str">
        <f t="array" ref="K879">iferror(XLOOKUP(A879,'Download of SFDC Activation Rep'!B:B,'Download of SFDC Activation Rep'!C:C),"")</f>
        <v/>
      </c>
    </row>
    <row r="880">
      <c r="B880" s="14"/>
      <c r="C880" s="14"/>
      <c r="D880" s="14"/>
      <c r="E880" s="14"/>
      <c r="F880" s="14"/>
      <c r="G880" s="13" t="str">
        <f t="array" ref="G880">iferror(XLOOKUP(A880,'Download of SFDC Activation Rep'!B:B,'Download of SFDC Activation Rep'!H:H),"")</f>
        <v/>
      </c>
      <c r="H880" s="13" t="str">
        <f t="array" ref="H880">iferror(xlookup(A880,'Download of SFDC Activation Rep'!B:B,'Download of SFDC Activation Rep'!L:L),"")</f>
        <v/>
      </c>
      <c r="I880" s="17" t="str">
        <f t="shared" si="2"/>
        <v>Not Active</v>
      </c>
      <c r="J880" s="17" t="str">
        <f t="array" ref="J880">XLOOKUP(A880,'Download of SFDC Activation Rep'!B:B,'Download of SFDC Activation Rep'!T:T)</f>
        <v>#N/A</v>
      </c>
      <c r="K880" s="17" t="str">
        <f t="array" ref="K880">iferror(XLOOKUP(A880,'Download of SFDC Activation Rep'!B:B,'Download of SFDC Activation Rep'!C:C),"")</f>
        <v/>
      </c>
    </row>
    <row r="881">
      <c r="B881" s="14"/>
      <c r="C881" s="14"/>
      <c r="D881" s="14"/>
      <c r="E881" s="14"/>
      <c r="F881" s="14"/>
      <c r="G881" s="13" t="str">
        <f t="array" ref="G881">iferror(XLOOKUP(A881,'Download of SFDC Activation Rep'!B:B,'Download of SFDC Activation Rep'!H:H),"")</f>
        <v/>
      </c>
      <c r="H881" s="13" t="str">
        <f t="array" ref="H881">iferror(xlookup(A881,'Download of SFDC Activation Rep'!B:B,'Download of SFDC Activation Rep'!L:L),"")</f>
        <v/>
      </c>
      <c r="I881" s="17" t="str">
        <f t="shared" si="2"/>
        <v>Not Active</v>
      </c>
      <c r="J881" s="17" t="str">
        <f t="array" ref="J881">XLOOKUP(A881,'Download of SFDC Activation Rep'!B:B,'Download of SFDC Activation Rep'!T:T)</f>
        <v>#N/A</v>
      </c>
      <c r="K881" s="17" t="str">
        <f t="array" ref="K881">iferror(XLOOKUP(A881,'Download of SFDC Activation Rep'!B:B,'Download of SFDC Activation Rep'!C:C),"")</f>
        <v/>
      </c>
    </row>
    <row r="882">
      <c r="B882" s="14"/>
      <c r="C882" s="14"/>
      <c r="D882" s="14"/>
      <c r="E882" s="14"/>
      <c r="F882" s="14"/>
      <c r="G882" s="13" t="str">
        <f t="array" ref="G882">iferror(XLOOKUP(A882,'Download of SFDC Activation Rep'!B:B,'Download of SFDC Activation Rep'!H:H),"")</f>
        <v/>
      </c>
      <c r="H882" s="13" t="str">
        <f t="array" ref="H882">iferror(xlookup(A882,'Download of SFDC Activation Rep'!B:B,'Download of SFDC Activation Rep'!L:L),"")</f>
        <v/>
      </c>
      <c r="I882" s="17" t="str">
        <f t="shared" si="2"/>
        <v>Not Active</v>
      </c>
      <c r="J882" s="17" t="str">
        <f t="array" ref="J882">XLOOKUP(A882,'Download of SFDC Activation Rep'!B:B,'Download of SFDC Activation Rep'!T:T)</f>
        <v>#N/A</v>
      </c>
      <c r="K882" s="17" t="str">
        <f t="array" ref="K882">iferror(XLOOKUP(A882,'Download of SFDC Activation Rep'!B:B,'Download of SFDC Activation Rep'!C:C),"")</f>
        <v/>
      </c>
    </row>
    <row r="883">
      <c r="B883" s="14"/>
      <c r="C883" s="14"/>
      <c r="D883" s="14"/>
      <c r="E883" s="14"/>
      <c r="F883" s="14"/>
      <c r="G883" s="13" t="str">
        <f t="array" ref="G883">iferror(XLOOKUP(A883,'Download of SFDC Activation Rep'!B:B,'Download of SFDC Activation Rep'!H:H),"")</f>
        <v/>
      </c>
      <c r="H883" s="13" t="str">
        <f t="array" ref="H883">iferror(xlookup(A883,'Download of SFDC Activation Rep'!B:B,'Download of SFDC Activation Rep'!L:L),"")</f>
        <v/>
      </c>
      <c r="I883" s="17" t="str">
        <f t="shared" si="2"/>
        <v>Not Active</v>
      </c>
      <c r="J883" s="17" t="str">
        <f t="array" ref="J883">XLOOKUP(A883,'Download of SFDC Activation Rep'!B:B,'Download of SFDC Activation Rep'!T:T)</f>
        <v>#N/A</v>
      </c>
      <c r="K883" s="17" t="str">
        <f t="array" ref="K883">iferror(XLOOKUP(A883,'Download of SFDC Activation Rep'!B:B,'Download of SFDC Activation Rep'!C:C),"")</f>
        <v/>
      </c>
    </row>
    <row r="884">
      <c r="B884" s="14"/>
      <c r="C884" s="14"/>
      <c r="D884" s="14"/>
      <c r="E884" s="14"/>
      <c r="F884" s="14"/>
      <c r="G884" s="13" t="str">
        <f t="array" ref="G884">iferror(XLOOKUP(A884,'Download of SFDC Activation Rep'!B:B,'Download of SFDC Activation Rep'!H:H),"")</f>
        <v/>
      </c>
      <c r="H884" s="13" t="str">
        <f t="array" ref="H884">iferror(xlookup(A884,'Download of SFDC Activation Rep'!B:B,'Download of SFDC Activation Rep'!L:L),"")</f>
        <v/>
      </c>
      <c r="I884" s="17" t="str">
        <f t="shared" si="2"/>
        <v>Not Active</v>
      </c>
      <c r="J884" s="17" t="str">
        <f t="array" ref="J884">XLOOKUP(A884,'Download of SFDC Activation Rep'!B:B,'Download of SFDC Activation Rep'!T:T)</f>
        <v>#N/A</v>
      </c>
      <c r="K884" s="17" t="str">
        <f t="array" ref="K884">iferror(XLOOKUP(A884,'Download of SFDC Activation Rep'!B:B,'Download of SFDC Activation Rep'!C:C),"")</f>
        <v/>
      </c>
    </row>
    <row r="885">
      <c r="B885" s="14"/>
      <c r="C885" s="14"/>
      <c r="D885" s="14"/>
      <c r="E885" s="14"/>
      <c r="F885" s="14"/>
      <c r="G885" s="13" t="str">
        <f t="array" ref="G885">iferror(XLOOKUP(A885,'Download of SFDC Activation Rep'!B:B,'Download of SFDC Activation Rep'!H:H),"")</f>
        <v/>
      </c>
      <c r="H885" s="13" t="str">
        <f t="array" ref="H885">iferror(xlookup(A885,'Download of SFDC Activation Rep'!B:B,'Download of SFDC Activation Rep'!L:L),"")</f>
        <v/>
      </c>
      <c r="I885" s="17" t="str">
        <f t="shared" si="2"/>
        <v>Not Active</v>
      </c>
      <c r="J885" s="17" t="str">
        <f t="array" ref="J885">XLOOKUP(A885,'Download of SFDC Activation Rep'!B:B,'Download of SFDC Activation Rep'!T:T)</f>
        <v>#N/A</v>
      </c>
      <c r="K885" s="17" t="str">
        <f t="array" ref="K885">iferror(XLOOKUP(A885,'Download of SFDC Activation Rep'!B:B,'Download of SFDC Activation Rep'!C:C),"")</f>
        <v/>
      </c>
    </row>
    <row r="886">
      <c r="B886" s="14"/>
      <c r="C886" s="14"/>
      <c r="D886" s="14"/>
      <c r="E886" s="14"/>
      <c r="F886" s="14"/>
      <c r="G886" s="13" t="str">
        <f t="array" ref="G886">iferror(XLOOKUP(A886,'Download of SFDC Activation Rep'!B:B,'Download of SFDC Activation Rep'!H:H),"")</f>
        <v/>
      </c>
      <c r="H886" s="13" t="str">
        <f t="array" ref="H886">iferror(xlookup(A886,'Download of SFDC Activation Rep'!B:B,'Download of SFDC Activation Rep'!L:L),"")</f>
        <v/>
      </c>
      <c r="I886" s="17" t="str">
        <f t="shared" si="2"/>
        <v>Not Active</v>
      </c>
      <c r="J886" s="17" t="str">
        <f t="array" ref="J886">XLOOKUP(A886,'Download of SFDC Activation Rep'!B:B,'Download of SFDC Activation Rep'!T:T)</f>
        <v>#N/A</v>
      </c>
      <c r="K886" s="17" t="str">
        <f t="array" ref="K886">iferror(XLOOKUP(A886,'Download of SFDC Activation Rep'!B:B,'Download of SFDC Activation Rep'!C:C),"")</f>
        <v/>
      </c>
    </row>
    <row r="887">
      <c r="B887" s="14"/>
      <c r="C887" s="14"/>
      <c r="D887" s="14"/>
      <c r="E887" s="14"/>
      <c r="F887" s="14"/>
      <c r="G887" s="13" t="str">
        <f t="array" ref="G887">iferror(XLOOKUP(A887,'Download of SFDC Activation Rep'!B:B,'Download of SFDC Activation Rep'!H:H),"")</f>
        <v/>
      </c>
      <c r="H887" s="13" t="str">
        <f t="array" ref="H887">iferror(xlookup(A887,'Download of SFDC Activation Rep'!B:B,'Download of SFDC Activation Rep'!L:L),"")</f>
        <v/>
      </c>
      <c r="I887" s="17" t="str">
        <f t="shared" si="2"/>
        <v>Not Active</v>
      </c>
      <c r="J887" s="17" t="str">
        <f t="array" ref="J887">XLOOKUP(A887,'Download of SFDC Activation Rep'!B:B,'Download of SFDC Activation Rep'!T:T)</f>
        <v>#N/A</v>
      </c>
      <c r="K887" s="17" t="str">
        <f t="array" ref="K887">iferror(XLOOKUP(A887,'Download of SFDC Activation Rep'!B:B,'Download of SFDC Activation Rep'!C:C),"")</f>
        <v/>
      </c>
    </row>
    <row r="888">
      <c r="B888" s="14"/>
      <c r="C888" s="14"/>
      <c r="D888" s="14"/>
      <c r="E888" s="14"/>
      <c r="F888" s="14"/>
      <c r="G888" s="13" t="str">
        <f t="array" ref="G888">iferror(XLOOKUP(A888,'Download of SFDC Activation Rep'!B:B,'Download of SFDC Activation Rep'!H:H),"")</f>
        <v/>
      </c>
      <c r="H888" s="13" t="str">
        <f t="array" ref="H888">iferror(xlookup(A888,'Download of SFDC Activation Rep'!B:B,'Download of SFDC Activation Rep'!L:L),"")</f>
        <v/>
      </c>
      <c r="I888" s="17" t="str">
        <f t="shared" si="2"/>
        <v>Not Active</v>
      </c>
      <c r="J888" s="17" t="str">
        <f t="array" ref="J888">XLOOKUP(A888,'Download of SFDC Activation Rep'!B:B,'Download of SFDC Activation Rep'!T:T)</f>
        <v>#N/A</v>
      </c>
      <c r="K888" s="17" t="str">
        <f t="array" ref="K888">iferror(XLOOKUP(A888,'Download of SFDC Activation Rep'!B:B,'Download of SFDC Activation Rep'!C:C),"")</f>
        <v/>
      </c>
    </row>
    <row r="889">
      <c r="B889" s="14"/>
      <c r="C889" s="14"/>
      <c r="D889" s="14"/>
      <c r="E889" s="14"/>
      <c r="F889" s="14"/>
      <c r="G889" s="13" t="str">
        <f t="array" ref="G889">iferror(XLOOKUP(A889,'Download of SFDC Activation Rep'!B:B,'Download of SFDC Activation Rep'!H:H),"")</f>
        <v/>
      </c>
      <c r="H889" s="13" t="str">
        <f t="array" ref="H889">iferror(xlookup(A889,'Download of SFDC Activation Rep'!B:B,'Download of SFDC Activation Rep'!L:L),"")</f>
        <v/>
      </c>
      <c r="I889" s="17" t="str">
        <f t="shared" si="2"/>
        <v>Not Active</v>
      </c>
      <c r="J889" s="17" t="str">
        <f t="array" ref="J889">XLOOKUP(A889,'Download of SFDC Activation Rep'!B:B,'Download of SFDC Activation Rep'!T:T)</f>
        <v>#N/A</v>
      </c>
      <c r="K889" s="17" t="str">
        <f t="array" ref="K889">iferror(XLOOKUP(A889,'Download of SFDC Activation Rep'!B:B,'Download of SFDC Activation Rep'!C:C),"")</f>
        <v/>
      </c>
    </row>
    <row r="890">
      <c r="B890" s="14"/>
      <c r="C890" s="14"/>
      <c r="D890" s="14"/>
      <c r="E890" s="14"/>
      <c r="F890" s="14"/>
      <c r="G890" s="13" t="str">
        <f t="array" ref="G890">iferror(XLOOKUP(A890,'Download of SFDC Activation Rep'!B:B,'Download of SFDC Activation Rep'!H:H),"")</f>
        <v/>
      </c>
      <c r="H890" s="13" t="str">
        <f t="array" ref="H890">iferror(xlookup(A890,'Download of SFDC Activation Rep'!B:B,'Download of SFDC Activation Rep'!L:L),"")</f>
        <v/>
      </c>
      <c r="I890" s="17" t="str">
        <f t="shared" si="2"/>
        <v>Not Active</v>
      </c>
      <c r="J890" s="17" t="str">
        <f t="array" ref="J890">XLOOKUP(A890,'Download of SFDC Activation Rep'!B:B,'Download of SFDC Activation Rep'!T:T)</f>
        <v>#N/A</v>
      </c>
      <c r="K890" s="17" t="str">
        <f t="array" ref="K890">iferror(XLOOKUP(A890,'Download of SFDC Activation Rep'!B:B,'Download of SFDC Activation Rep'!C:C),"")</f>
        <v/>
      </c>
    </row>
    <row r="891">
      <c r="B891" s="14"/>
      <c r="C891" s="14"/>
      <c r="D891" s="14"/>
      <c r="E891" s="14"/>
      <c r="F891" s="14"/>
      <c r="G891" s="13" t="str">
        <f t="array" ref="G891">iferror(XLOOKUP(A891,'Download of SFDC Activation Rep'!B:B,'Download of SFDC Activation Rep'!H:H),"")</f>
        <v/>
      </c>
      <c r="H891" s="13" t="str">
        <f t="array" ref="H891">iferror(xlookup(A891,'Download of SFDC Activation Rep'!B:B,'Download of SFDC Activation Rep'!L:L),"")</f>
        <v/>
      </c>
      <c r="I891" s="17" t="str">
        <f t="shared" si="2"/>
        <v>Not Active</v>
      </c>
      <c r="J891" s="17" t="str">
        <f t="array" ref="J891">XLOOKUP(A891,'Download of SFDC Activation Rep'!B:B,'Download of SFDC Activation Rep'!T:T)</f>
        <v>#N/A</v>
      </c>
      <c r="K891" s="17" t="str">
        <f t="array" ref="K891">iferror(XLOOKUP(A891,'Download of SFDC Activation Rep'!B:B,'Download of SFDC Activation Rep'!C:C),"")</f>
        <v/>
      </c>
    </row>
    <row r="892">
      <c r="B892" s="14"/>
      <c r="C892" s="14"/>
      <c r="D892" s="14"/>
      <c r="E892" s="14"/>
      <c r="F892" s="14"/>
      <c r="G892" s="13" t="str">
        <f t="array" ref="G892">iferror(XLOOKUP(A892,'Download of SFDC Activation Rep'!B:B,'Download of SFDC Activation Rep'!H:H),"")</f>
        <v/>
      </c>
      <c r="H892" s="13" t="str">
        <f t="array" ref="H892">iferror(xlookup(A892,'Download of SFDC Activation Rep'!B:B,'Download of SFDC Activation Rep'!L:L),"")</f>
        <v/>
      </c>
      <c r="I892" s="17" t="str">
        <f t="shared" si="2"/>
        <v>Not Active</v>
      </c>
      <c r="J892" s="17" t="str">
        <f t="array" ref="J892">XLOOKUP(A892,'Download of SFDC Activation Rep'!B:B,'Download of SFDC Activation Rep'!T:T)</f>
        <v>#N/A</v>
      </c>
      <c r="K892" s="17" t="str">
        <f t="array" ref="K892">iferror(XLOOKUP(A892,'Download of SFDC Activation Rep'!B:B,'Download of SFDC Activation Rep'!C:C),"")</f>
        <v/>
      </c>
    </row>
    <row r="893">
      <c r="B893" s="14"/>
      <c r="C893" s="14"/>
      <c r="D893" s="14"/>
      <c r="E893" s="14"/>
      <c r="F893" s="14"/>
      <c r="G893" s="13" t="str">
        <f t="array" ref="G893">iferror(XLOOKUP(A893,'Download of SFDC Activation Rep'!B:B,'Download of SFDC Activation Rep'!H:H),"")</f>
        <v/>
      </c>
      <c r="H893" s="13" t="str">
        <f t="array" ref="H893">iferror(xlookup(A893,'Download of SFDC Activation Rep'!B:B,'Download of SFDC Activation Rep'!L:L),"")</f>
        <v/>
      </c>
      <c r="I893" s="17" t="str">
        <f t="shared" si="2"/>
        <v>Not Active</v>
      </c>
      <c r="J893" s="17" t="str">
        <f t="array" ref="J893">XLOOKUP(A893,'Download of SFDC Activation Rep'!B:B,'Download of SFDC Activation Rep'!T:T)</f>
        <v>#N/A</v>
      </c>
      <c r="K893" s="17" t="str">
        <f t="array" ref="K893">iferror(XLOOKUP(A893,'Download of SFDC Activation Rep'!B:B,'Download of SFDC Activation Rep'!C:C),"")</f>
        <v/>
      </c>
    </row>
    <row r="894">
      <c r="B894" s="14"/>
      <c r="C894" s="14"/>
      <c r="D894" s="14"/>
      <c r="E894" s="14"/>
      <c r="F894" s="14"/>
      <c r="G894" s="13" t="str">
        <f t="array" ref="G894">iferror(XLOOKUP(A894,'Download of SFDC Activation Rep'!B:B,'Download of SFDC Activation Rep'!H:H),"")</f>
        <v/>
      </c>
      <c r="H894" s="13" t="str">
        <f t="array" ref="H894">iferror(xlookup(A894,'Download of SFDC Activation Rep'!B:B,'Download of SFDC Activation Rep'!L:L),"")</f>
        <v/>
      </c>
      <c r="I894" s="17" t="str">
        <f t="shared" si="2"/>
        <v>Not Active</v>
      </c>
      <c r="J894" s="17" t="str">
        <f t="array" ref="J894">XLOOKUP(A894,'Download of SFDC Activation Rep'!B:B,'Download of SFDC Activation Rep'!T:T)</f>
        <v>#N/A</v>
      </c>
      <c r="K894" s="17" t="str">
        <f t="array" ref="K894">iferror(XLOOKUP(A894,'Download of SFDC Activation Rep'!B:B,'Download of SFDC Activation Rep'!C:C),"")</f>
        <v/>
      </c>
    </row>
    <row r="895">
      <c r="B895" s="14"/>
      <c r="C895" s="14"/>
      <c r="D895" s="14"/>
      <c r="E895" s="14"/>
      <c r="F895" s="14"/>
      <c r="G895" s="13" t="str">
        <f t="array" ref="G895">iferror(XLOOKUP(A895,'Download of SFDC Activation Rep'!B:B,'Download of SFDC Activation Rep'!H:H),"")</f>
        <v/>
      </c>
      <c r="H895" s="13" t="str">
        <f t="array" ref="H895">iferror(xlookup(A895,'Download of SFDC Activation Rep'!B:B,'Download of SFDC Activation Rep'!L:L),"")</f>
        <v/>
      </c>
      <c r="I895" s="17" t="str">
        <f t="shared" si="2"/>
        <v>Not Active</v>
      </c>
      <c r="J895" s="17" t="str">
        <f t="array" ref="J895">XLOOKUP(A895,'Download of SFDC Activation Rep'!B:B,'Download of SFDC Activation Rep'!T:T)</f>
        <v>#N/A</v>
      </c>
      <c r="K895" s="17" t="str">
        <f t="array" ref="K895">iferror(XLOOKUP(A895,'Download of SFDC Activation Rep'!B:B,'Download of SFDC Activation Rep'!C:C),"")</f>
        <v/>
      </c>
    </row>
    <row r="896">
      <c r="B896" s="14"/>
      <c r="C896" s="14"/>
      <c r="D896" s="14"/>
      <c r="E896" s="14"/>
      <c r="F896" s="14"/>
      <c r="G896" s="13" t="str">
        <f t="array" ref="G896">iferror(XLOOKUP(A896,'Download of SFDC Activation Rep'!B:B,'Download of SFDC Activation Rep'!H:H),"")</f>
        <v/>
      </c>
      <c r="H896" s="13" t="str">
        <f t="array" ref="H896">iferror(xlookup(A896,'Download of SFDC Activation Rep'!B:B,'Download of SFDC Activation Rep'!L:L),"")</f>
        <v/>
      </c>
      <c r="I896" s="17" t="str">
        <f t="shared" si="2"/>
        <v>Not Active</v>
      </c>
      <c r="J896" s="17" t="str">
        <f t="array" ref="J896">XLOOKUP(A896,'Download of SFDC Activation Rep'!B:B,'Download of SFDC Activation Rep'!T:T)</f>
        <v>#N/A</v>
      </c>
      <c r="K896" s="17" t="str">
        <f t="array" ref="K896">iferror(XLOOKUP(A896,'Download of SFDC Activation Rep'!B:B,'Download of SFDC Activation Rep'!C:C),"")</f>
        <v/>
      </c>
    </row>
    <row r="897">
      <c r="B897" s="14"/>
      <c r="C897" s="14"/>
      <c r="D897" s="14"/>
      <c r="E897" s="14"/>
      <c r="F897" s="14"/>
      <c r="G897" s="13" t="str">
        <f t="array" ref="G897">iferror(XLOOKUP(A897,'Download of SFDC Activation Rep'!B:B,'Download of SFDC Activation Rep'!H:H),"")</f>
        <v/>
      </c>
      <c r="H897" s="13" t="str">
        <f t="array" ref="H897">iferror(xlookup(A897,'Download of SFDC Activation Rep'!B:B,'Download of SFDC Activation Rep'!L:L),"")</f>
        <v/>
      </c>
      <c r="I897" s="17" t="str">
        <f t="shared" si="2"/>
        <v>Not Active</v>
      </c>
      <c r="J897" s="17" t="str">
        <f t="array" ref="J897">XLOOKUP(A897,'Download of SFDC Activation Rep'!B:B,'Download of SFDC Activation Rep'!T:T)</f>
        <v>#N/A</v>
      </c>
      <c r="K897" s="17" t="str">
        <f t="array" ref="K897">iferror(XLOOKUP(A897,'Download of SFDC Activation Rep'!B:B,'Download of SFDC Activation Rep'!C:C),"")</f>
        <v/>
      </c>
    </row>
    <row r="898">
      <c r="B898" s="14"/>
      <c r="C898" s="14"/>
      <c r="D898" s="14"/>
      <c r="E898" s="14"/>
      <c r="F898" s="14"/>
      <c r="G898" s="13" t="str">
        <f t="array" ref="G898">iferror(XLOOKUP(A898,'Download of SFDC Activation Rep'!B:B,'Download of SFDC Activation Rep'!H:H),"")</f>
        <v/>
      </c>
      <c r="H898" s="13" t="str">
        <f t="array" ref="H898">iferror(xlookup(A898,'Download of SFDC Activation Rep'!B:B,'Download of SFDC Activation Rep'!L:L),"")</f>
        <v/>
      </c>
      <c r="I898" s="17" t="str">
        <f t="shared" si="2"/>
        <v>Not Active</v>
      </c>
      <c r="J898" s="17" t="str">
        <f t="array" ref="J898">XLOOKUP(A898,'Download of SFDC Activation Rep'!B:B,'Download of SFDC Activation Rep'!T:T)</f>
        <v>#N/A</v>
      </c>
      <c r="K898" s="17" t="str">
        <f t="array" ref="K898">iferror(XLOOKUP(A898,'Download of SFDC Activation Rep'!B:B,'Download of SFDC Activation Rep'!C:C),"")</f>
        <v/>
      </c>
    </row>
    <row r="899">
      <c r="B899" s="14"/>
      <c r="C899" s="14"/>
      <c r="D899" s="14"/>
      <c r="E899" s="14"/>
      <c r="F899" s="14"/>
      <c r="G899" s="13" t="str">
        <f t="array" ref="G899">iferror(XLOOKUP(A899,'Download of SFDC Activation Rep'!B:B,'Download of SFDC Activation Rep'!H:H),"")</f>
        <v/>
      </c>
      <c r="H899" s="13" t="str">
        <f t="array" ref="H899">iferror(xlookup(A899,'Download of SFDC Activation Rep'!B:B,'Download of SFDC Activation Rep'!L:L),"")</f>
        <v/>
      </c>
      <c r="I899" s="17" t="str">
        <f t="shared" si="2"/>
        <v>Not Active</v>
      </c>
      <c r="J899" s="17" t="str">
        <f t="array" ref="J899">XLOOKUP(A899,'Download of SFDC Activation Rep'!B:B,'Download of SFDC Activation Rep'!T:T)</f>
        <v>#N/A</v>
      </c>
      <c r="K899" s="17" t="str">
        <f t="array" ref="K899">iferror(XLOOKUP(A899,'Download of SFDC Activation Rep'!B:B,'Download of SFDC Activation Rep'!C:C),"")</f>
        <v/>
      </c>
    </row>
    <row r="900">
      <c r="B900" s="14"/>
      <c r="C900" s="14"/>
      <c r="D900" s="14"/>
      <c r="E900" s="14"/>
      <c r="F900" s="14"/>
      <c r="G900" s="13" t="str">
        <f t="array" ref="G900">iferror(XLOOKUP(A900,'Download of SFDC Activation Rep'!B:B,'Download of SFDC Activation Rep'!H:H),"")</f>
        <v/>
      </c>
      <c r="H900" s="13" t="str">
        <f t="array" ref="H900">iferror(xlookup(A900,'Download of SFDC Activation Rep'!B:B,'Download of SFDC Activation Rep'!L:L),"")</f>
        <v/>
      </c>
      <c r="I900" s="17" t="str">
        <f t="shared" si="2"/>
        <v>Not Active</v>
      </c>
      <c r="J900" s="17" t="str">
        <f t="array" ref="J900">XLOOKUP(A900,'Download of SFDC Activation Rep'!B:B,'Download of SFDC Activation Rep'!T:T)</f>
        <v>#N/A</v>
      </c>
      <c r="K900" s="17" t="str">
        <f t="array" ref="K900">iferror(XLOOKUP(A900,'Download of SFDC Activation Rep'!B:B,'Download of SFDC Activation Rep'!C:C),"")</f>
        <v/>
      </c>
    </row>
    <row r="901">
      <c r="B901" s="14"/>
      <c r="C901" s="14"/>
      <c r="D901" s="14"/>
      <c r="E901" s="14"/>
      <c r="F901" s="14"/>
      <c r="G901" s="13" t="str">
        <f t="array" ref="G901">iferror(XLOOKUP(A901,'Download of SFDC Activation Rep'!B:B,'Download of SFDC Activation Rep'!H:H),"")</f>
        <v/>
      </c>
      <c r="H901" s="13" t="str">
        <f t="array" ref="H901">iferror(xlookup(A901,'Download of SFDC Activation Rep'!B:B,'Download of SFDC Activation Rep'!L:L),"")</f>
        <v/>
      </c>
      <c r="I901" s="17" t="str">
        <f t="shared" si="2"/>
        <v>Not Active</v>
      </c>
      <c r="J901" s="17" t="str">
        <f t="array" ref="J901">XLOOKUP(A901,'Download of SFDC Activation Rep'!B:B,'Download of SFDC Activation Rep'!T:T)</f>
        <v>#N/A</v>
      </c>
      <c r="K901" s="17" t="str">
        <f t="array" ref="K901">iferror(XLOOKUP(A901,'Download of SFDC Activation Rep'!B:B,'Download of SFDC Activation Rep'!C:C),"")</f>
        <v/>
      </c>
    </row>
    <row r="902">
      <c r="B902" s="14"/>
      <c r="C902" s="14"/>
      <c r="D902" s="14"/>
      <c r="E902" s="14"/>
      <c r="F902" s="14"/>
      <c r="G902" s="13" t="str">
        <f t="array" ref="G902">iferror(XLOOKUP(A902,'Download of SFDC Activation Rep'!B:B,'Download of SFDC Activation Rep'!H:H),"")</f>
        <v/>
      </c>
      <c r="H902" s="13" t="str">
        <f t="array" ref="H902">iferror(xlookup(A902,'Download of SFDC Activation Rep'!B:B,'Download of SFDC Activation Rep'!L:L),"")</f>
        <v/>
      </c>
      <c r="I902" s="17" t="str">
        <f t="shared" si="2"/>
        <v>Not Active</v>
      </c>
      <c r="J902" s="17" t="str">
        <f t="array" ref="J902">XLOOKUP(A902,'Download of SFDC Activation Rep'!B:B,'Download of SFDC Activation Rep'!T:T)</f>
        <v>#N/A</v>
      </c>
      <c r="K902" s="17" t="str">
        <f t="array" ref="K902">iferror(XLOOKUP(A902,'Download of SFDC Activation Rep'!B:B,'Download of SFDC Activation Rep'!C:C),"")</f>
        <v/>
      </c>
    </row>
    <row r="903">
      <c r="B903" s="14"/>
      <c r="C903" s="14"/>
      <c r="D903" s="14"/>
      <c r="E903" s="14"/>
      <c r="F903" s="14"/>
      <c r="G903" s="13" t="str">
        <f t="array" ref="G903">iferror(XLOOKUP(A903,'Download of SFDC Activation Rep'!B:B,'Download of SFDC Activation Rep'!H:H),"")</f>
        <v/>
      </c>
      <c r="H903" s="13" t="str">
        <f t="array" ref="H903">iferror(xlookup(A903,'Download of SFDC Activation Rep'!B:B,'Download of SFDC Activation Rep'!L:L),"")</f>
        <v/>
      </c>
      <c r="I903" s="17" t="str">
        <f t="shared" si="2"/>
        <v>Not Active</v>
      </c>
      <c r="J903" s="17" t="str">
        <f t="array" ref="J903">XLOOKUP(A903,'Download of SFDC Activation Rep'!B:B,'Download of SFDC Activation Rep'!T:T)</f>
        <v>#N/A</v>
      </c>
      <c r="K903" s="17" t="str">
        <f t="array" ref="K903">iferror(XLOOKUP(A903,'Download of SFDC Activation Rep'!B:B,'Download of SFDC Activation Rep'!C:C),"")</f>
        <v/>
      </c>
    </row>
    <row r="904">
      <c r="B904" s="14"/>
      <c r="C904" s="14"/>
      <c r="D904" s="14"/>
      <c r="E904" s="14"/>
      <c r="F904" s="14"/>
      <c r="G904" s="13" t="str">
        <f t="array" ref="G904">iferror(XLOOKUP(A904,'Download of SFDC Activation Rep'!B:B,'Download of SFDC Activation Rep'!H:H),"")</f>
        <v/>
      </c>
      <c r="H904" s="13" t="str">
        <f t="array" ref="H904">iferror(xlookup(A904,'Download of SFDC Activation Rep'!B:B,'Download of SFDC Activation Rep'!L:L),"")</f>
        <v/>
      </c>
      <c r="I904" s="17" t="str">
        <f t="shared" si="2"/>
        <v>Not Active</v>
      </c>
      <c r="J904" s="17" t="str">
        <f t="array" ref="J904">XLOOKUP(A904,'Download of SFDC Activation Rep'!B:B,'Download of SFDC Activation Rep'!T:T)</f>
        <v>#N/A</v>
      </c>
      <c r="K904" s="17" t="str">
        <f t="array" ref="K904">iferror(XLOOKUP(A904,'Download of SFDC Activation Rep'!B:B,'Download of SFDC Activation Rep'!C:C),"")</f>
        <v/>
      </c>
    </row>
    <row r="905">
      <c r="B905" s="14"/>
      <c r="C905" s="14"/>
      <c r="D905" s="14"/>
      <c r="E905" s="14"/>
      <c r="F905" s="14"/>
      <c r="G905" s="13" t="str">
        <f t="array" ref="G905">iferror(XLOOKUP(A905,'Download of SFDC Activation Rep'!B:B,'Download of SFDC Activation Rep'!H:H),"")</f>
        <v/>
      </c>
      <c r="H905" s="13" t="str">
        <f t="array" ref="H905">iferror(xlookup(A905,'Download of SFDC Activation Rep'!B:B,'Download of SFDC Activation Rep'!L:L),"")</f>
        <v/>
      </c>
      <c r="I905" s="17" t="str">
        <f t="shared" si="2"/>
        <v>Not Active</v>
      </c>
      <c r="J905" s="17" t="str">
        <f t="array" ref="J905">XLOOKUP(A905,'Download of SFDC Activation Rep'!B:B,'Download of SFDC Activation Rep'!T:T)</f>
        <v>#N/A</v>
      </c>
      <c r="K905" s="17" t="str">
        <f t="array" ref="K905">iferror(XLOOKUP(A905,'Download of SFDC Activation Rep'!B:B,'Download of SFDC Activation Rep'!C:C),"")</f>
        <v/>
      </c>
    </row>
    <row r="906">
      <c r="B906" s="14"/>
      <c r="C906" s="14"/>
      <c r="D906" s="14"/>
      <c r="E906" s="14"/>
      <c r="F906" s="14"/>
      <c r="G906" s="13" t="str">
        <f t="array" ref="G906">iferror(XLOOKUP(A906,'Download of SFDC Activation Rep'!B:B,'Download of SFDC Activation Rep'!H:H),"")</f>
        <v/>
      </c>
      <c r="H906" s="13" t="str">
        <f t="array" ref="H906">iferror(xlookup(A906,'Download of SFDC Activation Rep'!B:B,'Download of SFDC Activation Rep'!L:L),"")</f>
        <v/>
      </c>
      <c r="I906" s="17" t="str">
        <f t="shared" si="2"/>
        <v>Not Active</v>
      </c>
      <c r="J906" s="17" t="str">
        <f t="array" ref="J906">XLOOKUP(A906,'Download of SFDC Activation Rep'!B:B,'Download of SFDC Activation Rep'!T:T)</f>
        <v>#N/A</v>
      </c>
      <c r="K906" s="17" t="str">
        <f t="array" ref="K906">iferror(XLOOKUP(A906,'Download of SFDC Activation Rep'!B:B,'Download of SFDC Activation Rep'!C:C),"")</f>
        <v/>
      </c>
    </row>
    <row r="907">
      <c r="B907" s="14"/>
      <c r="C907" s="14"/>
      <c r="D907" s="14"/>
      <c r="E907" s="14"/>
      <c r="F907" s="14"/>
      <c r="G907" s="13" t="str">
        <f t="array" ref="G907">iferror(XLOOKUP(A907,'Download of SFDC Activation Rep'!B:B,'Download of SFDC Activation Rep'!H:H),"")</f>
        <v/>
      </c>
      <c r="H907" s="13" t="str">
        <f t="array" ref="H907">iferror(xlookup(A907,'Download of SFDC Activation Rep'!B:B,'Download of SFDC Activation Rep'!L:L),"")</f>
        <v/>
      </c>
      <c r="I907" s="17" t="str">
        <f t="shared" si="2"/>
        <v>Not Active</v>
      </c>
      <c r="J907" s="17" t="str">
        <f t="array" ref="J907">XLOOKUP(A907,'Download of SFDC Activation Rep'!B:B,'Download of SFDC Activation Rep'!T:T)</f>
        <v>#N/A</v>
      </c>
      <c r="K907" s="17" t="str">
        <f t="array" ref="K907">iferror(XLOOKUP(A907,'Download of SFDC Activation Rep'!B:B,'Download of SFDC Activation Rep'!C:C),"")</f>
        <v/>
      </c>
    </row>
    <row r="908">
      <c r="B908" s="14"/>
      <c r="C908" s="14"/>
      <c r="D908" s="14"/>
      <c r="E908" s="14"/>
      <c r="F908" s="14"/>
      <c r="G908" s="13" t="str">
        <f t="array" ref="G908">iferror(XLOOKUP(A908,'Download of SFDC Activation Rep'!B:B,'Download of SFDC Activation Rep'!H:H),"")</f>
        <v/>
      </c>
      <c r="H908" s="13" t="str">
        <f t="array" ref="H908">iferror(xlookup(A908,'Download of SFDC Activation Rep'!B:B,'Download of SFDC Activation Rep'!L:L),"")</f>
        <v/>
      </c>
      <c r="I908" s="17" t="str">
        <f t="shared" si="2"/>
        <v>Not Active</v>
      </c>
      <c r="J908" s="17" t="str">
        <f t="array" ref="J908">XLOOKUP(A908,'Download of SFDC Activation Rep'!B:B,'Download of SFDC Activation Rep'!T:T)</f>
        <v>#N/A</v>
      </c>
      <c r="K908" s="17" t="str">
        <f t="array" ref="K908">iferror(XLOOKUP(A908,'Download of SFDC Activation Rep'!B:B,'Download of SFDC Activation Rep'!C:C),"")</f>
        <v/>
      </c>
    </row>
    <row r="909">
      <c r="B909" s="14"/>
      <c r="C909" s="14"/>
      <c r="D909" s="14"/>
      <c r="E909" s="14"/>
      <c r="F909" s="14"/>
      <c r="G909" s="13" t="str">
        <f t="array" ref="G909">iferror(XLOOKUP(A909,'Download of SFDC Activation Rep'!B:B,'Download of SFDC Activation Rep'!H:H),"")</f>
        <v/>
      </c>
      <c r="H909" s="13" t="str">
        <f t="array" ref="H909">iferror(xlookup(A909,'Download of SFDC Activation Rep'!B:B,'Download of SFDC Activation Rep'!L:L),"")</f>
        <v/>
      </c>
      <c r="I909" s="17" t="str">
        <f t="shared" si="2"/>
        <v>Not Active</v>
      </c>
      <c r="J909" s="17" t="str">
        <f t="array" ref="J909">XLOOKUP(A909,'Download of SFDC Activation Rep'!B:B,'Download of SFDC Activation Rep'!T:T)</f>
        <v>#N/A</v>
      </c>
      <c r="K909" s="17" t="str">
        <f t="array" ref="K909">iferror(XLOOKUP(A909,'Download of SFDC Activation Rep'!B:B,'Download of SFDC Activation Rep'!C:C),"")</f>
        <v/>
      </c>
    </row>
    <row r="910">
      <c r="B910" s="14"/>
      <c r="C910" s="14"/>
      <c r="D910" s="14"/>
      <c r="E910" s="14"/>
      <c r="F910" s="14"/>
      <c r="G910" s="13" t="str">
        <f t="array" ref="G910">iferror(XLOOKUP(A910,'Download of SFDC Activation Rep'!B:B,'Download of SFDC Activation Rep'!H:H),"")</f>
        <v/>
      </c>
      <c r="H910" s="13" t="str">
        <f t="array" ref="H910">iferror(xlookup(A910,'Download of SFDC Activation Rep'!B:B,'Download of SFDC Activation Rep'!L:L),"")</f>
        <v/>
      </c>
      <c r="I910" s="17" t="str">
        <f t="shared" si="2"/>
        <v>Not Active</v>
      </c>
      <c r="J910" s="17" t="str">
        <f t="array" ref="J910">XLOOKUP(A910,'Download of SFDC Activation Rep'!B:B,'Download of SFDC Activation Rep'!T:T)</f>
        <v>#N/A</v>
      </c>
      <c r="K910" s="17" t="str">
        <f t="array" ref="K910">iferror(XLOOKUP(A910,'Download of SFDC Activation Rep'!B:B,'Download of SFDC Activation Rep'!C:C),"")</f>
        <v/>
      </c>
    </row>
    <row r="911">
      <c r="B911" s="14"/>
      <c r="C911" s="14"/>
      <c r="D911" s="14"/>
      <c r="E911" s="14"/>
      <c r="F911" s="14"/>
      <c r="G911" s="13" t="str">
        <f t="array" ref="G911">iferror(XLOOKUP(A911,'Download of SFDC Activation Rep'!B:B,'Download of SFDC Activation Rep'!H:H),"")</f>
        <v/>
      </c>
      <c r="H911" s="13" t="str">
        <f t="array" ref="H911">iferror(xlookup(A911,'Download of SFDC Activation Rep'!B:B,'Download of SFDC Activation Rep'!L:L),"")</f>
        <v/>
      </c>
      <c r="I911" s="17" t="str">
        <f t="shared" si="2"/>
        <v>Not Active</v>
      </c>
      <c r="J911" s="17" t="str">
        <f t="array" ref="J911">XLOOKUP(A911,'Download of SFDC Activation Rep'!B:B,'Download of SFDC Activation Rep'!T:T)</f>
        <v>#N/A</v>
      </c>
      <c r="K911" s="17" t="str">
        <f t="array" ref="K911">iferror(XLOOKUP(A911,'Download of SFDC Activation Rep'!B:B,'Download of SFDC Activation Rep'!C:C),"")</f>
        <v/>
      </c>
    </row>
    <row r="912">
      <c r="B912" s="14"/>
      <c r="C912" s="14"/>
      <c r="D912" s="14"/>
      <c r="E912" s="14"/>
      <c r="F912" s="14"/>
      <c r="G912" s="13" t="str">
        <f t="array" ref="G912">iferror(XLOOKUP(A912,'Download of SFDC Activation Rep'!B:B,'Download of SFDC Activation Rep'!H:H),"")</f>
        <v/>
      </c>
      <c r="H912" s="13" t="str">
        <f t="array" ref="H912">iferror(xlookup(A912,'Download of SFDC Activation Rep'!B:B,'Download of SFDC Activation Rep'!L:L),"")</f>
        <v/>
      </c>
      <c r="I912" s="17" t="str">
        <f t="shared" si="2"/>
        <v>Not Active</v>
      </c>
      <c r="J912" s="17" t="str">
        <f t="array" ref="J912">XLOOKUP(A912,'Download of SFDC Activation Rep'!B:B,'Download of SFDC Activation Rep'!T:T)</f>
        <v>#N/A</v>
      </c>
      <c r="K912" s="17" t="str">
        <f t="array" ref="K912">iferror(XLOOKUP(A912,'Download of SFDC Activation Rep'!B:B,'Download of SFDC Activation Rep'!C:C),"")</f>
        <v/>
      </c>
    </row>
    <row r="913">
      <c r="B913" s="14"/>
      <c r="C913" s="14"/>
      <c r="D913" s="14"/>
      <c r="E913" s="14"/>
      <c r="F913" s="14"/>
      <c r="G913" s="13" t="str">
        <f t="array" ref="G913">iferror(XLOOKUP(A913,'Download of SFDC Activation Rep'!B:B,'Download of SFDC Activation Rep'!H:H),"")</f>
        <v/>
      </c>
      <c r="H913" s="13" t="str">
        <f t="array" ref="H913">iferror(xlookup(A913,'Download of SFDC Activation Rep'!B:B,'Download of SFDC Activation Rep'!L:L),"")</f>
        <v/>
      </c>
      <c r="I913" s="17" t="str">
        <f t="shared" si="2"/>
        <v>Not Active</v>
      </c>
      <c r="J913" s="17" t="str">
        <f t="array" ref="J913">XLOOKUP(A913,'Download of SFDC Activation Rep'!B:B,'Download of SFDC Activation Rep'!T:T)</f>
        <v>#N/A</v>
      </c>
      <c r="K913" s="17" t="str">
        <f t="array" ref="K913">iferror(XLOOKUP(A913,'Download of SFDC Activation Rep'!B:B,'Download of SFDC Activation Rep'!C:C),"")</f>
        <v/>
      </c>
    </row>
    <row r="914">
      <c r="B914" s="14"/>
      <c r="C914" s="14"/>
      <c r="D914" s="14"/>
      <c r="E914" s="14"/>
      <c r="F914" s="14"/>
      <c r="G914" s="13" t="str">
        <f t="array" ref="G914">iferror(XLOOKUP(A914,'Download of SFDC Activation Rep'!B:B,'Download of SFDC Activation Rep'!H:H),"")</f>
        <v/>
      </c>
      <c r="H914" s="13" t="str">
        <f t="array" ref="H914">iferror(xlookup(A914,'Download of SFDC Activation Rep'!B:B,'Download of SFDC Activation Rep'!L:L),"")</f>
        <v/>
      </c>
      <c r="I914" s="17" t="str">
        <f t="shared" si="2"/>
        <v>Not Active</v>
      </c>
      <c r="J914" s="17" t="str">
        <f t="array" ref="J914">XLOOKUP(A914,'Download of SFDC Activation Rep'!B:B,'Download of SFDC Activation Rep'!T:T)</f>
        <v>#N/A</v>
      </c>
      <c r="K914" s="17" t="str">
        <f t="array" ref="K914">iferror(XLOOKUP(A914,'Download of SFDC Activation Rep'!B:B,'Download of SFDC Activation Rep'!C:C),"")</f>
        <v/>
      </c>
    </row>
    <row r="915">
      <c r="B915" s="14"/>
      <c r="C915" s="14"/>
      <c r="D915" s="14"/>
      <c r="E915" s="14"/>
      <c r="F915" s="14"/>
      <c r="G915" s="13" t="str">
        <f t="array" ref="G915">iferror(XLOOKUP(A915,'Download of SFDC Activation Rep'!B:B,'Download of SFDC Activation Rep'!H:H),"")</f>
        <v/>
      </c>
      <c r="H915" s="13" t="str">
        <f t="array" ref="H915">iferror(xlookup(A915,'Download of SFDC Activation Rep'!B:B,'Download of SFDC Activation Rep'!L:L),"")</f>
        <v/>
      </c>
      <c r="I915" s="17" t="str">
        <f t="shared" si="2"/>
        <v>Not Active</v>
      </c>
      <c r="J915" s="17" t="str">
        <f t="array" ref="J915">XLOOKUP(A915,'Download of SFDC Activation Rep'!B:B,'Download of SFDC Activation Rep'!T:T)</f>
        <v>#N/A</v>
      </c>
      <c r="K915" s="17" t="str">
        <f t="array" ref="K915">iferror(XLOOKUP(A915,'Download of SFDC Activation Rep'!B:B,'Download of SFDC Activation Rep'!C:C),"")</f>
        <v/>
      </c>
    </row>
    <row r="916">
      <c r="B916" s="14"/>
      <c r="C916" s="14"/>
      <c r="D916" s="14"/>
      <c r="E916" s="14"/>
      <c r="F916" s="14"/>
      <c r="G916" s="13" t="str">
        <f t="array" ref="G916">iferror(XLOOKUP(A916,'Download of SFDC Activation Rep'!B:B,'Download of SFDC Activation Rep'!H:H),"")</f>
        <v/>
      </c>
      <c r="H916" s="13" t="str">
        <f t="array" ref="H916">iferror(xlookup(A916,'Download of SFDC Activation Rep'!B:B,'Download of SFDC Activation Rep'!L:L),"")</f>
        <v/>
      </c>
      <c r="I916" s="17" t="str">
        <f t="shared" si="2"/>
        <v>Not Active</v>
      </c>
      <c r="J916" s="17" t="str">
        <f t="array" ref="J916">XLOOKUP(A916,'Download of SFDC Activation Rep'!B:B,'Download of SFDC Activation Rep'!T:T)</f>
        <v>#N/A</v>
      </c>
      <c r="K916" s="17" t="str">
        <f t="array" ref="K916">iferror(XLOOKUP(A916,'Download of SFDC Activation Rep'!B:B,'Download of SFDC Activation Rep'!C:C),"")</f>
        <v/>
      </c>
    </row>
    <row r="917">
      <c r="B917" s="14"/>
      <c r="C917" s="14"/>
      <c r="D917" s="14"/>
      <c r="E917" s="14"/>
      <c r="F917" s="14"/>
      <c r="G917" s="13" t="str">
        <f t="array" ref="G917">iferror(XLOOKUP(A917,'Download of SFDC Activation Rep'!B:B,'Download of SFDC Activation Rep'!H:H),"")</f>
        <v/>
      </c>
      <c r="H917" s="13" t="str">
        <f t="array" ref="H917">iferror(xlookup(A917,'Download of SFDC Activation Rep'!B:B,'Download of SFDC Activation Rep'!L:L),"")</f>
        <v/>
      </c>
      <c r="I917" s="17" t="str">
        <f t="shared" si="2"/>
        <v>Not Active</v>
      </c>
      <c r="J917" s="17" t="str">
        <f t="array" ref="J917">XLOOKUP(A917,'Download of SFDC Activation Rep'!B:B,'Download of SFDC Activation Rep'!T:T)</f>
        <v>#N/A</v>
      </c>
      <c r="K917" s="17" t="str">
        <f t="array" ref="K917">iferror(XLOOKUP(A917,'Download of SFDC Activation Rep'!B:B,'Download of SFDC Activation Rep'!C:C),"")</f>
        <v/>
      </c>
    </row>
    <row r="918">
      <c r="B918" s="14"/>
      <c r="C918" s="14"/>
      <c r="D918" s="14"/>
      <c r="E918" s="14"/>
      <c r="F918" s="14"/>
      <c r="G918" s="13" t="str">
        <f t="array" ref="G918">iferror(XLOOKUP(A918,'Download of SFDC Activation Rep'!B:B,'Download of SFDC Activation Rep'!H:H),"")</f>
        <v/>
      </c>
      <c r="H918" s="13" t="str">
        <f t="array" ref="H918">iferror(xlookup(A918,'Download of SFDC Activation Rep'!B:B,'Download of SFDC Activation Rep'!L:L),"")</f>
        <v/>
      </c>
      <c r="I918" s="17" t="str">
        <f t="shared" si="2"/>
        <v>Not Active</v>
      </c>
      <c r="J918" s="17" t="str">
        <f t="array" ref="J918">XLOOKUP(A918,'Download of SFDC Activation Rep'!B:B,'Download of SFDC Activation Rep'!T:T)</f>
        <v>#N/A</v>
      </c>
      <c r="K918" s="17" t="str">
        <f t="array" ref="K918">iferror(XLOOKUP(A918,'Download of SFDC Activation Rep'!B:B,'Download of SFDC Activation Rep'!C:C),"")</f>
        <v/>
      </c>
    </row>
    <row r="919">
      <c r="B919" s="14"/>
      <c r="C919" s="14"/>
      <c r="D919" s="14"/>
      <c r="E919" s="14"/>
      <c r="F919" s="14"/>
      <c r="G919" s="13" t="str">
        <f t="array" ref="G919">iferror(XLOOKUP(A919,'Download of SFDC Activation Rep'!B:B,'Download of SFDC Activation Rep'!H:H),"")</f>
        <v/>
      </c>
      <c r="H919" s="13" t="str">
        <f t="array" ref="H919">iferror(xlookup(A919,'Download of SFDC Activation Rep'!B:B,'Download of SFDC Activation Rep'!L:L),"")</f>
        <v/>
      </c>
      <c r="I919" s="17" t="str">
        <f t="shared" si="2"/>
        <v>Not Active</v>
      </c>
      <c r="J919" s="17" t="str">
        <f t="array" ref="J919">XLOOKUP(A919,'Download of SFDC Activation Rep'!B:B,'Download of SFDC Activation Rep'!T:T)</f>
        <v>#N/A</v>
      </c>
      <c r="K919" s="17" t="str">
        <f t="array" ref="K919">iferror(XLOOKUP(A919,'Download of SFDC Activation Rep'!B:B,'Download of SFDC Activation Rep'!C:C),"")</f>
        <v/>
      </c>
    </row>
    <row r="920">
      <c r="B920" s="14"/>
      <c r="C920" s="14"/>
      <c r="D920" s="14"/>
      <c r="E920" s="14"/>
      <c r="F920" s="14"/>
      <c r="G920" s="13" t="str">
        <f t="array" ref="G920">iferror(XLOOKUP(A920,'Download of SFDC Activation Rep'!B:B,'Download of SFDC Activation Rep'!H:H),"")</f>
        <v/>
      </c>
      <c r="H920" s="13" t="str">
        <f t="array" ref="H920">iferror(xlookup(A920,'Download of SFDC Activation Rep'!B:B,'Download of SFDC Activation Rep'!L:L),"")</f>
        <v/>
      </c>
      <c r="I920" s="17" t="str">
        <f t="shared" si="2"/>
        <v>Not Active</v>
      </c>
      <c r="J920" s="17" t="str">
        <f t="array" ref="J920">XLOOKUP(A920,'Download of SFDC Activation Rep'!B:B,'Download of SFDC Activation Rep'!T:T)</f>
        <v>#N/A</v>
      </c>
      <c r="K920" s="17" t="str">
        <f t="array" ref="K920">iferror(XLOOKUP(A920,'Download of SFDC Activation Rep'!B:B,'Download of SFDC Activation Rep'!C:C),"")</f>
        <v/>
      </c>
    </row>
    <row r="921">
      <c r="B921" s="14"/>
      <c r="C921" s="14"/>
      <c r="D921" s="14"/>
      <c r="E921" s="14"/>
      <c r="F921" s="14"/>
      <c r="G921" s="13" t="str">
        <f t="array" ref="G921">iferror(XLOOKUP(A921,'Download of SFDC Activation Rep'!B:B,'Download of SFDC Activation Rep'!H:H),"")</f>
        <v/>
      </c>
      <c r="H921" s="13" t="str">
        <f t="array" ref="H921">iferror(xlookup(A921,'Download of SFDC Activation Rep'!B:B,'Download of SFDC Activation Rep'!L:L),"")</f>
        <v/>
      </c>
      <c r="I921" s="17" t="str">
        <f t="shared" si="2"/>
        <v>Not Active</v>
      </c>
      <c r="J921" s="17" t="str">
        <f t="array" ref="J921">XLOOKUP(A921,'Download of SFDC Activation Rep'!B:B,'Download of SFDC Activation Rep'!T:T)</f>
        <v>#N/A</v>
      </c>
      <c r="K921" s="17" t="str">
        <f t="array" ref="K921">iferror(XLOOKUP(A921,'Download of SFDC Activation Rep'!B:B,'Download of SFDC Activation Rep'!C:C),"")</f>
        <v/>
      </c>
    </row>
    <row r="922">
      <c r="B922" s="14"/>
      <c r="C922" s="14"/>
      <c r="D922" s="14"/>
      <c r="E922" s="14"/>
      <c r="F922" s="14"/>
      <c r="G922" s="13" t="str">
        <f t="array" ref="G922">iferror(XLOOKUP(A922,'Download of SFDC Activation Rep'!B:B,'Download of SFDC Activation Rep'!H:H),"")</f>
        <v/>
      </c>
      <c r="H922" s="13" t="str">
        <f t="array" ref="H922">iferror(xlookup(A922,'Download of SFDC Activation Rep'!B:B,'Download of SFDC Activation Rep'!L:L),"")</f>
        <v/>
      </c>
      <c r="I922" s="17" t="str">
        <f t="shared" si="2"/>
        <v>Not Active</v>
      </c>
      <c r="J922" s="17" t="str">
        <f t="array" ref="J922">XLOOKUP(A922,'Download of SFDC Activation Rep'!B:B,'Download of SFDC Activation Rep'!T:T)</f>
        <v>#N/A</v>
      </c>
      <c r="K922" s="17" t="str">
        <f t="array" ref="K922">iferror(XLOOKUP(A922,'Download of SFDC Activation Rep'!B:B,'Download of SFDC Activation Rep'!C:C),"")</f>
        <v/>
      </c>
    </row>
    <row r="923">
      <c r="B923" s="14"/>
      <c r="C923" s="14"/>
      <c r="D923" s="14"/>
      <c r="E923" s="14"/>
      <c r="F923" s="14"/>
      <c r="G923" s="13" t="str">
        <f t="array" ref="G923">iferror(XLOOKUP(A923,'Download of SFDC Activation Rep'!B:B,'Download of SFDC Activation Rep'!H:H),"")</f>
        <v/>
      </c>
      <c r="H923" s="13" t="str">
        <f t="array" ref="H923">iferror(xlookup(A923,'Download of SFDC Activation Rep'!B:B,'Download of SFDC Activation Rep'!L:L),"")</f>
        <v/>
      </c>
      <c r="I923" s="17" t="str">
        <f t="shared" si="2"/>
        <v>Not Active</v>
      </c>
      <c r="J923" s="17" t="str">
        <f t="array" ref="J923">XLOOKUP(A923,'Download of SFDC Activation Rep'!B:B,'Download of SFDC Activation Rep'!T:T)</f>
        <v>#N/A</v>
      </c>
      <c r="K923" s="17" t="str">
        <f t="array" ref="K923">iferror(XLOOKUP(A923,'Download of SFDC Activation Rep'!B:B,'Download of SFDC Activation Rep'!C:C),"")</f>
        <v/>
      </c>
    </row>
    <row r="924">
      <c r="B924" s="14"/>
      <c r="C924" s="14"/>
      <c r="D924" s="14"/>
      <c r="E924" s="14"/>
      <c r="F924" s="14"/>
      <c r="G924" s="13" t="str">
        <f t="array" ref="G924">iferror(XLOOKUP(A924,'Download of SFDC Activation Rep'!B:B,'Download of SFDC Activation Rep'!H:H),"")</f>
        <v/>
      </c>
      <c r="H924" s="13" t="str">
        <f t="array" ref="H924">iferror(xlookup(A924,'Download of SFDC Activation Rep'!B:B,'Download of SFDC Activation Rep'!L:L),"")</f>
        <v/>
      </c>
      <c r="I924" s="17" t="str">
        <f t="shared" si="2"/>
        <v>Not Active</v>
      </c>
      <c r="J924" s="17" t="str">
        <f t="array" ref="J924">XLOOKUP(A924,'Download of SFDC Activation Rep'!B:B,'Download of SFDC Activation Rep'!T:T)</f>
        <v>#N/A</v>
      </c>
      <c r="K924" s="17" t="str">
        <f t="array" ref="K924">iferror(XLOOKUP(A924,'Download of SFDC Activation Rep'!B:B,'Download of SFDC Activation Rep'!C:C),"")</f>
        <v/>
      </c>
    </row>
    <row r="925">
      <c r="B925" s="14"/>
      <c r="C925" s="14"/>
      <c r="D925" s="14"/>
      <c r="E925" s="14"/>
      <c r="F925" s="14"/>
      <c r="G925" s="13" t="str">
        <f t="array" ref="G925">iferror(XLOOKUP(A925,'Download of SFDC Activation Rep'!B:B,'Download of SFDC Activation Rep'!H:H),"")</f>
        <v/>
      </c>
      <c r="H925" s="13" t="str">
        <f t="array" ref="H925">iferror(xlookup(A925,'Download of SFDC Activation Rep'!B:B,'Download of SFDC Activation Rep'!L:L),"")</f>
        <v/>
      </c>
      <c r="I925" s="17" t="str">
        <f t="shared" si="2"/>
        <v>Not Active</v>
      </c>
      <c r="J925" s="17" t="str">
        <f t="array" ref="J925">XLOOKUP(A925,'Download of SFDC Activation Rep'!B:B,'Download of SFDC Activation Rep'!T:T)</f>
        <v>#N/A</v>
      </c>
      <c r="K925" s="17" t="str">
        <f t="array" ref="K925">iferror(XLOOKUP(A925,'Download of SFDC Activation Rep'!B:B,'Download of SFDC Activation Rep'!C:C),"")</f>
        <v/>
      </c>
    </row>
    <row r="926">
      <c r="B926" s="14"/>
      <c r="C926" s="14"/>
      <c r="D926" s="14"/>
      <c r="E926" s="14"/>
      <c r="F926" s="14"/>
      <c r="G926" s="13" t="str">
        <f t="array" ref="G926">iferror(XLOOKUP(A926,'Download of SFDC Activation Rep'!B:B,'Download of SFDC Activation Rep'!H:H),"")</f>
        <v/>
      </c>
      <c r="H926" s="13" t="str">
        <f t="array" ref="H926">iferror(xlookup(A926,'Download of SFDC Activation Rep'!B:B,'Download of SFDC Activation Rep'!L:L),"")</f>
        <v/>
      </c>
      <c r="I926" s="17" t="str">
        <f t="shared" si="2"/>
        <v>Not Active</v>
      </c>
      <c r="J926" s="17" t="str">
        <f t="array" ref="J926">XLOOKUP(A926,'Download of SFDC Activation Rep'!B:B,'Download of SFDC Activation Rep'!T:T)</f>
        <v>#N/A</v>
      </c>
      <c r="K926" s="17" t="str">
        <f t="array" ref="K926">iferror(XLOOKUP(A926,'Download of SFDC Activation Rep'!B:B,'Download of SFDC Activation Rep'!C:C),"")</f>
        <v/>
      </c>
    </row>
    <row r="927">
      <c r="B927" s="14"/>
      <c r="C927" s="14"/>
      <c r="D927" s="14"/>
      <c r="E927" s="14"/>
      <c r="F927" s="14"/>
      <c r="G927" s="13" t="str">
        <f t="array" ref="G927">iferror(XLOOKUP(A927,'Download of SFDC Activation Rep'!B:B,'Download of SFDC Activation Rep'!H:H),"")</f>
        <v/>
      </c>
      <c r="H927" s="13" t="str">
        <f t="array" ref="H927">iferror(xlookup(A927,'Download of SFDC Activation Rep'!B:B,'Download of SFDC Activation Rep'!L:L),"")</f>
        <v/>
      </c>
      <c r="I927" s="17" t="str">
        <f t="shared" si="2"/>
        <v>Not Active</v>
      </c>
      <c r="J927" s="17" t="str">
        <f t="array" ref="J927">XLOOKUP(A927,'Download of SFDC Activation Rep'!B:B,'Download of SFDC Activation Rep'!T:T)</f>
        <v>#N/A</v>
      </c>
      <c r="K927" s="17" t="str">
        <f t="array" ref="K927">iferror(XLOOKUP(A927,'Download of SFDC Activation Rep'!B:B,'Download of SFDC Activation Rep'!C:C),"")</f>
        <v/>
      </c>
    </row>
    <row r="928">
      <c r="B928" s="14"/>
      <c r="C928" s="14"/>
      <c r="D928" s="14"/>
      <c r="E928" s="14"/>
      <c r="F928" s="14"/>
      <c r="G928" s="13" t="str">
        <f t="array" ref="G928">iferror(XLOOKUP(A928,'Download of SFDC Activation Rep'!B:B,'Download of SFDC Activation Rep'!H:H),"")</f>
        <v/>
      </c>
      <c r="H928" s="13" t="str">
        <f t="array" ref="H928">iferror(xlookup(A928,'Download of SFDC Activation Rep'!B:B,'Download of SFDC Activation Rep'!L:L),"")</f>
        <v/>
      </c>
      <c r="I928" s="17" t="str">
        <f t="shared" si="2"/>
        <v>Not Active</v>
      </c>
      <c r="J928" s="17" t="str">
        <f t="array" ref="J928">XLOOKUP(A928,'Download of SFDC Activation Rep'!B:B,'Download of SFDC Activation Rep'!T:T)</f>
        <v>#N/A</v>
      </c>
      <c r="K928" s="17" t="str">
        <f t="array" ref="K928">iferror(XLOOKUP(A928,'Download of SFDC Activation Rep'!B:B,'Download of SFDC Activation Rep'!C:C),"")</f>
        <v/>
      </c>
    </row>
    <row r="929">
      <c r="B929" s="14"/>
      <c r="C929" s="14"/>
      <c r="D929" s="14"/>
      <c r="E929" s="14"/>
      <c r="F929" s="14"/>
      <c r="G929" s="13" t="str">
        <f t="array" ref="G929">iferror(XLOOKUP(A929,'Download of SFDC Activation Rep'!B:B,'Download of SFDC Activation Rep'!H:H),"")</f>
        <v/>
      </c>
      <c r="H929" s="13" t="str">
        <f t="array" ref="H929">iferror(xlookup(A929,'Download of SFDC Activation Rep'!B:B,'Download of SFDC Activation Rep'!L:L),"")</f>
        <v/>
      </c>
      <c r="I929" s="17" t="str">
        <f t="shared" si="2"/>
        <v>Not Active</v>
      </c>
      <c r="J929" s="17" t="str">
        <f t="array" ref="J929">XLOOKUP(A929,'Download of SFDC Activation Rep'!B:B,'Download of SFDC Activation Rep'!T:T)</f>
        <v>#N/A</v>
      </c>
      <c r="K929" s="17" t="str">
        <f t="array" ref="K929">iferror(XLOOKUP(A929,'Download of SFDC Activation Rep'!B:B,'Download of SFDC Activation Rep'!C:C),"")</f>
        <v/>
      </c>
    </row>
    <row r="930">
      <c r="B930" s="14"/>
      <c r="C930" s="14"/>
      <c r="D930" s="14"/>
      <c r="E930" s="14"/>
      <c r="F930" s="14"/>
      <c r="G930" s="13" t="str">
        <f t="array" ref="G930">iferror(XLOOKUP(A930,'Download of SFDC Activation Rep'!B:B,'Download of SFDC Activation Rep'!H:H),"")</f>
        <v/>
      </c>
      <c r="H930" s="13" t="str">
        <f t="array" ref="H930">iferror(xlookup(A930,'Download of SFDC Activation Rep'!B:B,'Download of SFDC Activation Rep'!L:L),"")</f>
        <v/>
      </c>
      <c r="I930" s="17" t="str">
        <f t="shared" si="2"/>
        <v>Not Active</v>
      </c>
      <c r="J930" s="17" t="str">
        <f t="array" ref="J930">XLOOKUP(A930,'Download of SFDC Activation Rep'!B:B,'Download of SFDC Activation Rep'!T:T)</f>
        <v>#N/A</v>
      </c>
      <c r="K930" s="17" t="str">
        <f t="array" ref="K930">iferror(XLOOKUP(A930,'Download of SFDC Activation Rep'!B:B,'Download of SFDC Activation Rep'!C:C),"")</f>
        <v/>
      </c>
    </row>
    <row r="931">
      <c r="B931" s="14"/>
      <c r="C931" s="14"/>
      <c r="D931" s="14"/>
      <c r="E931" s="14"/>
      <c r="F931" s="14"/>
      <c r="G931" s="13" t="str">
        <f t="array" ref="G931">iferror(XLOOKUP(A931,'Download of SFDC Activation Rep'!B:B,'Download of SFDC Activation Rep'!H:H),"")</f>
        <v/>
      </c>
      <c r="H931" s="13" t="str">
        <f t="array" ref="H931">iferror(xlookup(A931,'Download of SFDC Activation Rep'!B:B,'Download of SFDC Activation Rep'!L:L),"")</f>
        <v/>
      </c>
      <c r="I931" s="17" t="str">
        <f t="shared" si="2"/>
        <v>Not Active</v>
      </c>
      <c r="J931" s="17" t="str">
        <f t="array" ref="J931">XLOOKUP(A931,'Download of SFDC Activation Rep'!B:B,'Download of SFDC Activation Rep'!T:T)</f>
        <v>#N/A</v>
      </c>
      <c r="K931" s="17" t="str">
        <f t="array" ref="K931">iferror(XLOOKUP(A931,'Download of SFDC Activation Rep'!B:B,'Download of SFDC Activation Rep'!C:C),"")</f>
        <v/>
      </c>
    </row>
    <row r="932">
      <c r="B932" s="14"/>
      <c r="C932" s="14"/>
      <c r="D932" s="14"/>
      <c r="E932" s="14"/>
      <c r="F932" s="14"/>
      <c r="G932" s="13" t="str">
        <f t="array" ref="G932">iferror(XLOOKUP(A932,'Download of SFDC Activation Rep'!B:B,'Download of SFDC Activation Rep'!H:H),"")</f>
        <v/>
      </c>
      <c r="H932" s="13" t="str">
        <f t="array" ref="H932">iferror(xlookup(A932,'Download of SFDC Activation Rep'!B:B,'Download of SFDC Activation Rep'!L:L),"")</f>
        <v/>
      </c>
      <c r="I932" s="17" t="str">
        <f t="shared" si="2"/>
        <v>Not Active</v>
      </c>
      <c r="J932" s="17" t="str">
        <f t="array" ref="J932">XLOOKUP(A932,'Download of SFDC Activation Rep'!B:B,'Download of SFDC Activation Rep'!T:T)</f>
        <v>#N/A</v>
      </c>
      <c r="K932" s="17" t="str">
        <f t="array" ref="K932">iferror(XLOOKUP(A932,'Download of SFDC Activation Rep'!B:B,'Download of SFDC Activation Rep'!C:C),"")</f>
        <v/>
      </c>
    </row>
    <row r="933">
      <c r="B933" s="14"/>
      <c r="C933" s="14"/>
      <c r="D933" s="14"/>
      <c r="E933" s="14"/>
      <c r="F933" s="14"/>
      <c r="G933" s="13" t="str">
        <f t="array" ref="G933">iferror(XLOOKUP(A933,'Download of SFDC Activation Rep'!B:B,'Download of SFDC Activation Rep'!H:H),"")</f>
        <v/>
      </c>
      <c r="H933" s="13" t="str">
        <f t="array" ref="H933">iferror(xlookup(A933,'Download of SFDC Activation Rep'!B:B,'Download of SFDC Activation Rep'!L:L),"")</f>
        <v/>
      </c>
      <c r="I933" s="17" t="str">
        <f t="shared" si="2"/>
        <v>Not Active</v>
      </c>
      <c r="J933" s="17" t="str">
        <f t="array" ref="J933">XLOOKUP(A933,'Download of SFDC Activation Rep'!B:B,'Download of SFDC Activation Rep'!T:T)</f>
        <v>#N/A</v>
      </c>
      <c r="K933" s="17" t="str">
        <f t="array" ref="K933">iferror(XLOOKUP(A933,'Download of SFDC Activation Rep'!B:B,'Download of SFDC Activation Rep'!C:C),"")</f>
        <v/>
      </c>
    </row>
    <row r="934">
      <c r="B934" s="14"/>
      <c r="C934" s="14"/>
      <c r="D934" s="14"/>
      <c r="E934" s="14"/>
      <c r="F934" s="14"/>
      <c r="G934" s="13" t="str">
        <f t="array" ref="G934">iferror(XLOOKUP(A934,'Download of SFDC Activation Rep'!B:B,'Download of SFDC Activation Rep'!H:H),"")</f>
        <v/>
      </c>
      <c r="H934" s="13" t="str">
        <f t="array" ref="H934">iferror(xlookup(A934,'Download of SFDC Activation Rep'!B:B,'Download of SFDC Activation Rep'!L:L),"")</f>
        <v/>
      </c>
      <c r="I934" s="17" t="str">
        <f t="shared" si="2"/>
        <v>Not Active</v>
      </c>
      <c r="J934" s="17" t="str">
        <f t="array" ref="J934">XLOOKUP(A934,'Download of SFDC Activation Rep'!B:B,'Download of SFDC Activation Rep'!T:T)</f>
        <v>#N/A</v>
      </c>
      <c r="K934" s="17" t="str">
        <f t="array" ref="K934">iferror(XLOOKUP(A934,'Download of SFDC Activation Rep'!B:B,'Download of SFDC Activation Rep'!C:C),"")</f>
        <v/>
      </c>
    </row>
    <row r="935">
      <c r="B935" s="14"/>
      <c r="C935" s="14"/>
      <c r="D935" s="14"/>
      <c r="E935" s="14"/>
      <c r="F935" s="14"/>
      <c r="G935" s="13" t="str">
        <f t="array" ref="G935">iferror(XLOOKUP(A935,'Download of SFDC Activation Rep'!B:B,'Download of SFDC Activation Rep'!H:H),"")</f>
        <v/>
      </c>
      <c r="H935" s="13" t="str">
        <f t="array" ref="H935">iferror(xlookup(A935,'Download of SFDC Activation Rep'!B:B,'Download of SFDC Activation Rep'!L:L),"")</f>
        <v/>
      </c>
      <c r="I935" s="17" t="str">
        <f t="shared" si="2"/>
        <v>Not Active</v>
      </c>
      <c r="J935" s="17" t="str">
        <f t="array" ref="J935">XLOOKUP(A935,'Download of SFDC Activation Rep'!B:B,'Download of SFDC Activation Rep'!T:T)</f>
        <v>#N/A</v>
      </c>
      <c r="K935" s="17" t="str">
        <f t="array" ref="K935">iferror(XLOOKUP(A935,'Download of SFDC Activation Rep'!B:B,'Download of SFDC Activation Rep'!C:C),"")</f>
        <v/>
      </c>
    </row>
    <row r="936">
      <c r="B936" s="14"/>
      <c r="C936" s="14"/>
      <c r="D936" s="14"/>
      <c r="E936" s="14"/>
      <c r="F936" s="14"/>
      <c r="G936" s="13" t="str">
        <f t="array" ref="G936">iferror(XLOOKUP(A936,'Download of SFDC Activation Rep'!B:B,'Download of SFDC Activation Rep'!H:H),"")</f>
        <v/>
      </c>
      <c r="H936" s="13" t="str">
        <f t="array" ref="H936">iferror(xlookup(A936,'Download of SFDC Activation Rep'!B:B,'Download of SFDC Activation Rep'!L:L),"")</f>
        <v/>
      </c>
      <c r="I936" s="17" t="str">
        <f t="shared" si="2"/>
        <v>Not Active</v>
      </c>
      <c r="J936" s="17" t="str">
        <f t="array" ref="J936">XLOOKUP(A936,'Download of SFDC Activation Rep'!B:B,'Download of SFDC Activation Rep'!T:T)</f>
        <v>#N/A</v>
      </c>
      <c r="K936" s="17" t="str">
        <f t="array" ref="K936">iferror(XLOOKUP(A936,'Download of SFDC Activation Rep'!B:B,'Download of SFDC Activation Rep'!C:C),"")</f>
        <v/>
      </c>
    </row>
    <row r="937">
      <c r="B937" s="14"/>
      <c r="C937" s="14"/>
      <c r="D937" s="14"/>
      <c r="E937" s="14"/>
      <c r="F937" s="14"/>
      <c r="G937" s="13" t="str">
        <f t="array" ref="G937">iferror(XLOOKUP(A937,'Download of SFDC Activation Rep'!B:B,'Download of SFDC Activation Rep'!H:H),"")</f>
        <v/>
      </c>
      <c r="H937" s="13" t="str">
        <f t="array" ref="H937">iferror(xlookup(A937,'Download of SFDC Activation Rep'!B:B,'Download of SFDC Activation Rep'!L:L),"")</f>
        <v/>
      </c>
      <c r="I937" s="17" t="str">
        <f t="shared" si="2"/>
        <v>Not Active</v>
      </c>
      <c r="J937" s="17" t="str">
        <f t="array" ref="J937">XLOOKUP(A937,'Download of SFDC Activation Rep'!B:B,'Download of SFDC Activation Rep'!T:T)</f>
        <v>#N/A</v>
      </c>
      <c r="K937" s="17" t="str">
        <f t="array" ref="K937">iferror(XLOOKUP(A937,'Download of SFDC Activation Rep'!B:B,'Download of SFDC Activation Rep'!C:C),"")</f>
        <v/>
      </c>
    </row>
    <row r="938">
      <c r="B938" s="14"/>
      <c r="C938" s="14"/>
      <c r="D938" s="14"/>
      <c r="E938" s="14"/>
      <c r="F938" s="14"/>
      <c r="G938" s="13" t="str">
        <f t="array" ref="G938">iferror(XLOOKUP(A938,'Download of SFDC Activation Rep'!B:B,'Download of SFDC Activation Rep'!H:H),"")</f>
        <v/>
      </c>
      <c r="H938" s="13" t="str">
        <f t="array" ref="H938">iferror(xlookup(A938,'Download of SFDC Activation Rep'!B:B,'Download of SFDC Activation Rep'!L:L),"")</f>
        <v/>
      </c>
      <c r="I938" s="17" t="str">
        <f t="shared" si="2"/>
        <v>Not Active</v>
      </c>
      <c r="J938" s="17" t="str">
        <f t="array" ref="J938">XLOOKUP(A938,'Download of SFDC Activation Rep'!B:B,'Download of SFDC Activation Rep'!T:T)</f>
        <v>#N/A</v>
      </c>
      <c r="K938" s="17" t="str">
        <f t="array" ref="K938">iferror(XLOOKUP(A938,'Download of SFDC Activation Rep'!B:B,'Download of SFDC Activation Rep'!C:C),"")</f>
        <v/>
      </c>
    </row>
    <row r="939">
      <c r="B939" s="14"/>
      <c r="C939" s="14"/>
      <c r="D939" s="14"/>
      <c r="E939" s="14"/>
      <c r="F939" s="14"/>
      <c r="G939" s="13" t="str">
        <f t="array" ref="G939">iferror(XLOOKUP(A939,'Download of SFDC Activation Rep'!B:B,'Download of SFDC Activation Rep'!H:H),"")</f>
        <v/>
      </c>
      <c r="H939" s="13" t="str">
        <f t="array" ref="H939">iferror(xlookup(A939,'Download of SFDC Activation Rep'!B:B,'Download of SFDC Activation Rep'!L:L),"")</f>
        <v/>
      </c>
      <c r="I939" s="17" t="str">
        <f t="shared" si="2"/>
        <v>Not Active</v>
      </c>
      <c r="J939" s="17" t="str">
        <f t="array" ref="J939">XLOOKUP(A939,'Download of SFDC Activation Rep'!B:B,'Download of SFDC Activation Rep'!T:T)</f>
        <v>#N/A</v>
      </c>
      <c r="K939" s="17" t="str">
        <f t="array" ref="K939">iferror(XLOOKUP(A939,'Download of SFDC Activation Rep'!B:B,'Download of SFDC Activation Rep'!C:C),"")</f>
        <v/>
      </c>
    </row>
    <row r="940">
      <c r="B940" s="14"/>
      <c r="C940" s="14"/>
      <c r="D940" s="14"/>
      <c r="E940" s="14"/>
      <c r="F940" s="14"/>
      <c r="G940" s="13" t="str">
        <f t="array" ref="G940">iferror(XLOOKUP(A940,'Download of SFDC Activation Rep'!B:B,'Download of SFDC Activation Rep'!H:H),"")</f>
        <v/>
      </c>
      <c r="H940" s="13" t="str">
        <f t="array" ref="H940">iferror(xlookup(A940,'Download of SFDC Activation Rep'!B:B,'Download of SFDC Activation Rep'!L:L),"")</f>
        <v/>
      </c>
      <c r="I940" s="17" t="str">
        <f t="shared" si="2"/>
        <v>Not Active</v>
      </c>
      <c r="J940" s="17" t="str">
        <f t="array" ref="J940">XLOOKUP(A940,'Download of SFDC Activation Rep'!B:B,'Download of SFDC Activation Rep'!T:T)</f>
        <v>#N/A</v>
      </c>
      <c r="K940" s="17" t="str">
        <f t="array" ref="K940">iferror(XLOOKUP(A940,'Download of SFDC Activation Rep'!B:B,'Download of SFDC Activation Rep'!C:C),"")</f>
        <v/>
      </c>
    </row>
    <row r="941">
      <c r="B941" s="14"/>
      <c r="C941" s="14"/>
      <c r="D941" s="14"/>
      <c r="E941" s="14"/>
      <c r="F941" s="14"/>
      <c r="G941" s="13" t="str">
        <f t="array" ref="G941">iferror(XLOOKUP(A941,'Download of SFDC Activation Rep'!B:B,'Download of SFDC Activation Rep'!H:H),"")</f>
        <v/>
      </c>
      <c r="H941" s="13" t="str">
        <f t="array" ref="H941">iferror(xlookup(A941,'Download of SFDC Activation Rep'!B:B,'Download of SFDC Activation Rep'!L:L),"")</f>
        <v/>
      </c>
      <c r="I941" s="17" t="str">
        <f t="shared" si="2"/>
        <v>Not Active</v>
      </c>
      <c r="J941" s="17" t="str">
        <f t="array" ref="J941">XLOOKUP(A941,'Download of SFDC Activation Rep'!B:B,'Download of SFDC Activation Rep'!T:T)</f>
        <v>#N/A</v>
      </c>
      <c r="K941" s="17" t="str">
        <f t="array" ref="K941">iferror(XLOOKUP(A941,'Download of SFDC Activation Rep'!B:B,'Download of SFDC Activation Rep'!C:C),"")</f>
        <v/>
      </c>
    </row>
    <row r="942">
      <c r="B942" s="14"/>
      <c r="C942" s="14"/>
      <c r="D942" s="14"/>
      <c r="E942" s="14"/>
      <c r="F942" s="14"/>
      <c r="G942" s="13" t="str">
        <f t="array" ref="G942">iferror(XLOOKUP(A942,'Download of SFDC Activation Rep'!B:B,'Download of SFDC Activation Rep'!H:H),"")</f>
        <v/>
      </c>
      <c r="H942" s="13" t="str">
        <f t="array" ref="H942">iferror(xlookup(A942,'Download of SFDC Activation Rep'!B:B,'Download of SFDC Activation Rep'!L:L),"")</f>
        <v/>
      </c>
      <c r="I942" s="17" t="str">
        <f t="shared" si="2"/>
        <v>Not Active</v>
      </c>
      <c r="J942" s="17" t="str">
        <f t="array" ref="J942">XLOOKUP(A942,'Download of SFDC Activation Rep'!B:B,'Download of SFDC Activation Rep'!T:T)</f>
        <v>#N/A</v>
      </c>
      <c r="K942" s="17" t="str">
        <f t="array" ref="K942">iferror(XLOOKUP(A942,'Download of SFDC Activation Rep'!B:B,'Download of SFDC Activation Rep'!C:C),"")</f>
        <v/>
      </c>
    </row>
    <row r="943">
      <c r="B943" s="14"/>
      <c r="C943" s="14"/>
      <c r="D943" s="14"/>
      <c r="E943" s="14"/>
      <c r="F943" s="14"/>
      <c r="G943" s="13" t="str">
        <f t="array" ref="G943">iferror(XLOOKUP(A943,'Download of SFDC Activation Rep'!B:B,'Download of SFDC Activation Rep'!H:H),"")</f>
        <v/>
      </c>
      <c r="H943" s="13" t="str">
        <f t="array" ref="H943">iferror(xlookup(A943,'Download of SFDC Activation Rep'!B:B,'Download of SFDC Activation Rep'!L:L),"")</f>
        <v/>
      </c>
      <c r="I943" s="17" t="str">
        <f t="shared" si="2"/>
        <v>Not Active</v>
      </c>
      <c r="J943" s="17" t="str">
        <f t="array" ref="J943">XLOOKUP(A943,'Download of SFDC Activation Rep'!B:B,'Download of SFDC Activation Rep'!T:T)</f>
        <v>#N/A</v>
      </c>
      <c r="K943" s="17" t="str">
        <f t="array" ref="K943">iferror(XLOOKUP(A943,'Download of SFDC Activation Rep'!B:B,'Download of SFDC Activation Rep'!C:C),"")</f>
        <v/>
      </c>
    </row>
    <row r="944">
      <c r="B944" s="14"/>
      <c r="C944" s="14"/>
      <c r="D944" s="14"/>
      <c r="E944" s="14"/>
      <c r="F944" s="14"/>
      <c r="G944" s="13" t="str">
        <f t="array" ref="G944">iferror(XLOOKUP(A944,'Download of SFDC Activation Rep'!B:B,'Download of SFDC Activation Rep'!H:H),"")</f>
        <v/>
      </c>
      <c r="H944" s="13" t="str">
        <f t="array" ref="H944">iferror(xlookup(A944,'Download of SFDC Activation Rep'!B:B,'Download of SFDC Activation Rep'!L:L),"")</f>
        <v/>
      </c>
      <c r="I944" s="17" t="str">
        <f t="shared" si="2"/>
        <v>Not Active</v>
      </c>
      <c r="J944" s="17" t="str">
        <f t="array" ref="J944">XLOOKUP(A944,'Download of SFDC Activation Rep'!B:B,'Download of SFDC Activation Rep'!T:T)</f>
        <v>#N/A</v>
      </c>
      <c r="K944" s="17" t="str">
        <f t="array" ref="K944">iferror(XLOOKUP(A944,'Download of SFDC Activation Rep'!B:B,'Download of SFDC Activation Rep'!C:C),"")</f>
        <v/>
      </c>
    </row>
    <row r="945">
      <c r="B945" s="14"/>
      <c r="C945" s="14"/>
      <c r="D945" s="14"/>
      <c r="E945" s="14"/>
      <c r="F945" s="14"/>
      <c r="G945" s="13" t="str">
        <f t="array" ref="G945">iferror(XLOOKUP(A945,'Download of SFDC Activation Rep'!B:B,'Download of SFDC Activation Rep'!H:H),"")</f>
        <v/>
      </c>
      <c r="H945" s="13" t="str">
        <f t="array" ref="H945">iferror(xlookup(A945,'Download of SFDC Activation Rep'!B:B,'Download of SFDC Activation Rep'!L:L),"")</f>
        <v/>
      </c>
      <c r="I945" s="17" t="str">
        <f t="shared" si="2"/>
        <v>Not Active</v>
      </c>
      <c r="J945" s="17" t="str">
        <f t="array" ref="J945">XLOOKUP(A945,'Download of SFDC Activation Rep'!B:B,'Download of SFDC Activation Rep'!T:T)</f>
        <v>#N/A</v>
      </c>
      <c r="K945" s="17" t="str">
        <f t="array" ref="K945">iferror(XLOOKUP(A945,'Download of SFDC Activation Rep'!B:B,'Download of SFDC Activation Rep'!C:C),"")</f>
        <v/>
      </c>
    </row>
    <row r="946">
      <c r="B946" s="14"/>
      <c r="C946" s="14"/>
      <c r="D946" s="14"/>
      <c r="E946" s="14"/>
      <c r="F946" s="14"/>
      <c r="G946" s="13" t="str">
        <f t="array" ref="G946">iferror(XLOOKUP(A946,'Download of SFDC Activation Rep'!B:B,'Download of SFDC Activation Rep'!H:H),"")</f>
        <v/>
      </c>
      <c r="H946" s="13" t="str">
        <f t="array" ref="H946">iferror(xlookup(A946,'Download of SFDC Activation Rep'!B:B,'Download of SFDC Activation Rep'!L:L),"")</f>
        <v/>
      </c>
      <c r="I946" s="17" t="str">
        <f t="shared" si="2"/>
        <v>Not Active</v>
      </c>
      <c r="J946" s="17" t="str">
        <f t="array" ref="J946">XLOOKUP(A946,'Download of SFDC Activation Rep'!B:B,'Download of SFDC Activation Rep'!T:T)</f>
        <v>#N/A</v>
      </c>
      <c r="K946" s="17" t="str">
        <f t="array" ref="K946">iferror(XLOOKUP(A946,'Download of SFDC Activation Rep'!B:B,'Download of SFDC Activation Rep'!C:C),"")</f>
        <v/>
      </c>
    </row>
    <row r="947">
      <c r="B947" s="14"/>
      <c r="C947" s="14"/>
      <c r="D947" s="14"/>
      <c r="E947" s="14"/>
      <c r="F947" s="14"/>
      <c r="G947" s="13" t="str">
        <f t="array" ref="G947">iferror(XLOOKUP(A947,'Download of SFDC Activation Rep'!B:B,'Download of SFDC Activation Rep'!H:H),"")</f>
        <v/>
      </c>
      <c r="H947" s="13" t="str">
        <f t="array" ref="H947">iferror(xlookup(A947,'Download of SFDC Activation Rep'!B:B,'Download of SFDC Activation Rep'!L:L),"")</f>
        <v/>
      </c>
      <c r="I947" s="17" t="str">
        <f t="shared" si="2"/>
        <v>Not Active</v>
      </c>
      <c r="J947" s="17" t="str">
        <f t="array" ref="J947">XLOOKUP(A947,'Download of SFDC Activation Rep'!B:B,'Download of SFDC Activation Rep'!T:T)</f>
        <v>#N/A</v>
      </c>
      <c r="K947" s="17" t="str">
        <f t="array" ref="K947">iferror(XLOOKUP(A947,'Download of SFDC Activation Rep'!B:B,'Download of SFDC Activation Rep'!C:C),"")</f>
        <v/>
      </c>
    </row>
    <row r="948">
      <c r="B948" s="14"/>
      <c r="C948" s="14"/>
      <c r="D948" s="14"/>
      <c r="E948" s="14"/>
      <c r="F948" s="14"/>
      <c r="G948" s="13" t="str">
        <f t="array" ref="G948">iferror(XLOOKUP(A948,'Download of SFDC Activation Rep'!B:B,'Download of SFDC Activation Rep'!H:H),"")</f>
        <v/>
      </c>
      <c r="H948" s="13" t="str">
        <f t="array" ref="H948">iferror(xlookup(A948,'Download of SFDC Activation Rep'!B:B,'Download of SFDC Activation Rep'!L:L),"")</f>
        <v/>
      </c>
      <c r="I948" s="17" t="str">
        <f t="shared" si="2"/>
        <v>Not Active</v>
      </c>
      <c r="J948" s="17" t="str">
        <f t="array" ref="J948">XLOOKUP(A948,'Download of SFDC Activation Rep'!B:B,'Download of SFDC Activation Rep'!T:T)</f>
        <v>#N/A</v>
      </c>
      <c r="K948" s="17" t="str">
        <f t="array" ref="K948">iferror(XLOOKUP(A948,'Download of SFDC Activation Rep'!B:B,'Download of SFDC Activation Rep'!C:C),"")</f>
        <v/>
      </c>
    </row>
    <row r="949">
      <c r="B949" s="14"/>
      <c r="C949" s="14"/>
      <c r="D949" s="14"/>
      <c r="E949" s="14"/>
      <c r="F949" s="14"/>
      <c r="G949" s="13" t="str">
        <f t="array" ref="G949">iferror(XLOOKUP(A949,'Download of SFDC Activation Rep'!B:B,'Download of SFDC Activation Rep'!H:H),"")</f>
        <v/>
      </c>
      <c r="H949" s="13" t="str">
        <f t="array" ref="H949">iferror(xlookup(A949,'Download of SFDC Activation Rep'!B:B,'Download of SFDC Activation Rep'!L:L),"")</f>
        <v/>
      </c>
      <c r="I949" s="17" t="str">
        <f t="shared" si="2"/>
        <v>Not Active</v>
      </c>
      <c r="J949" s="17" t="str">
        <f t="array" ref="J949">XLOOKUP(A949,'Download of SFDC Activation Rep'!B:B,'Download of SFDC Activation Rep'!T:T)</f>
        <v>#N/A</v>
      </c>
      <c r="K949" s="17" t="str">
        <f t="array" ref="K949">iferror(XLOOKUP(A949,'Download of SFDC Activation Rep'!B:B,'Download of SFDC Activation Rep'!C:C),"")</f>
        <v/>
      </c>
    </row>
    <row r="950">
      <c r="B950" s="14"/>
      <c r="C950" s="14"/>
      <c r="D950" s="14"/>
      <c r="E950" s="14"/>
      <c r="F950" s="14"/>
      <c r="G950" s="13" t="str">
        <f t="array" ref="G950">iferror(XLOOKUP(A950,'Download of SFDC Activation Rep'!B:B,'Download of SFDC Activation Rep'!H:H),"")</f>
        <v/>
      </c>
      <c r="H950" s="13" t="str">
        <f t="array" ref="H950">iferror(xlookup(A950,'Download of SFDC Activation Rep'!B:B,'Download of SFDC Activation Rep'!L:L),"")</f>
        <v/>
      </c>
      <c r="I950" s="17" t="str">
        <f t="shared" si="2"/>
        <v>Not Active</v>
      </c>
      <c r="J950" s="17" t="str">
        <f t="array" ref="J950">XLOOKUP(A950,'Download of SFDC Activation Rep'!B:B,'Download of SFDC Activation Rep'!T:T)</f>
        <v>#N/A</v>
      </c>
      <c r="K950" s="17" t="str">
        <f t="array" ref="K950">iferror(XLOOKUP(A950,'Download of SFDC Activation Rep'!B:B,'Download of SFDC Activation Rep'!C:C),"")</f>
        <v/>
      </c>
    </row>
    <row r="951">
      <c r="B951" s="14"/>
      <c r="C951" s="14"/>
      <c r="D951" s="14"/>
      <c r="E951" s="14"/>
      <c r="F951" s="14"/>
      <c r="G951" s="13" t="str">
        <f t="array" ref="G951">iferror(XLOOKUP(A951,'Download of SFDC Activation Rep'!B:B,'Download of SFDC Activation Rep'!H:H),"")</f>
        <v/>
      </c>
      <c r="H951" s="13" t="str">
        <f t="array" ref="H951">iferror(xlookup(A951,'Download of SFDC Activation Rep'!B:B,'Download of SFDC Activation Rep'!L:L),"")</f>
        <v/>
      </c>
      <c r="I951" s="17" t="str">
        <f t="shared" si="2"/>
        <v>Not Active</v>
      </c>
      <c r="J951" s="17" t="str">
        <f t="array" ref="J951">XLOOKUP(A951,'Download of SFDC Activation Rep'!B:B,'Download of SFDC Activation Rep'!T:T)</f>
        <v>#N/A</v>
      </c>
      <c r="K951" s="17" t="str">
        <f t="array" ref="K951">iferror(XLOOKUP(A951,'Download of SFDC Activation Rep'!B:B,'Download of SFDC Activation Rep'!C:C),"")</f>
        <v/>
      </c>
    </row>
    <row r="952">
      <c r="B952" s="14"/>
      <c r="C952" s="14"/>
      <c r="D952" s="14"/>
      <c r="E952" s="14"/>
      <c r="F952" s="14"/>
      <c r="G952" s="13" t="str">
        <f t="array" ref="G952">iferror(XLOOKUP(A952,'Download of SFDC Activation Rep'!B:B,'Download of SFDC Activation Rep'!H:H),"")</f>
        <v/>
      </c>
      <c r="H952" s="13" t="str">
        <f t="array" ref="H952">iferror(xlookup(A952,'Download of SFDC Activation Rep'!B:B,'Download of SFDC Activation Rep'!L:L),"")</f>
        <v/>
      </c>
      <c r="I952" s="17" t="str">
        <f t="shared" si="2"/>
        <v>Not Active</v>
      </c>
      <c r="J952" s="17" t="str">
        <f t="array" ref="J952">XLOOKUP(A952,'Download of SFDC Activation Rep'!B:B,'Download of SFDC Activation Rep'!T:T)</f>
        <v>#N/A</v>
      </c>
      <c r="K952" s="17" t="str">
        <f t="array" ref="K952">iferror(XLOOKUP(A952,'Download of SFDC Activation Rep'!B:B,'Download of SFDC Activation Rep'!C:C),"")</f>
        <v/>
      </c>
    </row>
    <row r="953">
      <c r="B953" s="14"/>
      <c r="C953" s="14"/>
      <c r="D953" s="14"/>
      <c r="E953" s="14"/>
      <c r="F953" s="14"/>
      <c r="G953" s="13" t="str">
        <f t="array" ref="G953">iferror(XLOOKUP(A953,'Download of SFDC Activation Rep'!B:B,'Download of SFDC Activation Rep'!H:H),"")</f>
        <v/>
      </c>
      <c r="H953" s="13" t="str">
        <f t="array" ref="H953">iferror(xlookup(A953,'Download of SFDC Activation Rep'!B:B,'Download of SFDC Activation Rep'!L:L),"")</f>
        <v/>
      </c>
      <c r="I953" s="17" t="str">
        <f t="shared" si="2"/>
        <v>Not Active</v>
      </c>
      <c r="J953" s="17" t="str">
        <f t="array" ref="J953">XLOOKUP(A953,'Download of SFDC Activation Rep'!B:B,'Download of SFDC Activation Rep'!T:T)</f>
        <v>#N/A</v>
      </c>
      <c r="K953" s="17" t="str">
        <f t="array" ref="K953">iferror(XLOOKUP(A953,'Download of SFDC Activation Rep'!B:B,'Download of SFDC Activation Rep'!C:C),"")</f>
        <v/>
      </c>
    </row>
    <row r="954">
      <c r="B954" s="14"/>
      <c r="C954" s="14"/>
      <c r="D954" s="14"/>
      <c r="E954" s="14"/>
      <c r="F954" s="14"/>
      <c r="G954" s="13" t="str">
        <f t="array" ref="G954">iferror(XLOOKUP(A954,'Download of SFDC Activation Rep'!B:B,'Download of SFDC Activation Rep'!H:H),"")</f>
        <v/>
      </c>
      <c r="H954" s="13" t="str">
        <f t="array" ref="H954">iferror(xlookup(A954,'Download of SFDC Activation Rep'!B:B,'Download of SFDC Activation Rep'!L:L),"")</f>
        <v/>
      </c>
      <c r="I954" s="17" t="str">
        <f t="shared" si="2"/>
        <v>Not Active</v>
      </c>
      <c r="J954" s="17" t="str">
        <f t="array" ref="J954">XLOOKUP(A954,'Download of SFDC Activation Rep'!B:B,'Download of SFDC Activation Rep'!T:T)</f>
        <v>#N/A</v>
      </c>
      <c r="K954" s="17" t="str">
        <f t="array" ref="K954">iferror(XLOOKUP(A954,'Download of SFDC Activation Rep'!B:B,'Download of SFDC Activation Rep'!C:C),"")</f>
        <v/>
      </c>
    </row>
    <row r="955">
      <c r="B955" s="14"/>
      <c r="C955" s="14"/>
      <c r="D955" s="14"/>
      <c r="E955" s="14"/>
      <c r="F955" s="14"/>
      <c r="G955" s="13" t="str">
        <f t="array" ref="G955">iferror(XLOOKUP(A955,'Download of SFDC Activation Rep'!B:B,'Download of SFDC Activation Rep'!H:H),"")</f>
        <v/>
      </c>
      <c r="H955" s="13" t="str">
        <f t="array" ref="H955">iferror(xlookup(A955,'Download of SFDC Activation Rep'!B:B,'Download of SFDC Activation Rep'!L:L),"")</f>
        <v/>
      </c>
      <c r="I955" s="17" t="str">
        <f t="shared" si="2"/>
        <v>Not Active</v>
      </c>
      <c r="J955" s="17" t="str">
        <f t="array" ref="J955">XLOOKUP(A955,'Download of SFDC Activation Rep'!B:B,'Download of SFDC Activation Rep'!T:T)</f>
        <v>#N/A</v>
      </c>
      <c r="K955" s="17" t="str">
        <f t="array" ref="K955">iferror(XLOOKUP(A955,'Download of SFDC Activation Rep'!B:B,'Download of SFDC Activation Rep'!C:C),"")</f>
        <v/>
      </c>
    </row>
    <row r="956">
      <c r="B956" s="14"/>
      <c r="C956" s="14"/>
      <c r="D956" s="14"/>
      <c r="E956" s="14"/>
      <c r="F956" s="14"/>
      <c r="G956" s="13" t="str">
        <f t="array" ref="G956">iferror(XLOOKUP(A956,'Download of SFDC Activation Rep'!B:B,'Download of SFDC Activation Rep'!H:H),"")</f>
        <v/>
      </c>
      <c r="H956" s="13" t="str">
        <f t="array" ref="H956">iferror(xlookup(A956,'Download of SFDC Activation Rep'!B:B,'Download of SFDC Activation Rep'!L:L),"")</f>
        <v/>
      </c>
      <c r="I956" s="17" t="str">
        <f t="shared" si="2"/>
        <v>Not Active</v>
      </c>
      <c r="J956" s="17" t="str">
        <f t="array" ref="J956">XLOOKUP(A956,'Download of SFDC Activation Rep'!B:B,'Download of SFDC Activation Rep'!T:T)</f>
        <v>#N/A</v>
      </c>
      <c r="K956" s="17" t="str">
        <f t="array" ref="K956">iferror(XLOOKUP(A956,'Download of SFDC Activation Rep'!B:B,'Download of SFDC Activation Rep'!C:C),"")</f>
        <v/>
      </c>
    </row>
    <row r="957">
      <c r="B957" s="14"/>
      <c r="C957" s="14"/>
      <c r="D957" s="14"/>
      <c r="E957" s="14"/>
      <c r="F957" s="14"/>
      <c r="G957" s="13" t="str">
        <f t="array" ref="G957">iferror(XLOOKUP(A957,'Download of SFDC Activation Rep'!B:B,'Download of SFDC Activation Rep'!H:H),"")</f>
        <v/>
      </c>
      <c r="H957" s="13" t="str">
        <f t="array" ref="H957">iferror(xlookup(A957,'Download of SFDC Activation Rep'!B:B,'Download of SFDC Activation Rep'!L:L),"")</f>
        <v/>
      </c>
      <c r="I957" s="17" t="str">
        <f t="shared" si="2"/>
        <v>Not Active</v>
      </c>
      <c r="J957" s="17" t="str">
        <f t="array" ref="J957">XLOOKUP(A957,'Download of SFDC Activation Rep'!B:B,'Download of SFDC Activation Rep'!T:T)</f>
        <v>#N/A</v>
      </c>
      <c r="K957" s="17" t="str">
        <f t="array" ref="K957">iferror(XLOOKUP(A957,'Download of SFDC Activation Rep'!B:B,'Download of SFDC Activation Rep'!C:C),"")</f>
        <v/>
      </c>
    </row>
    <row r="958">
      <c r="B958" s="14"/>
      <c r="C958" s="14"/>
      <c r="D958" s="14"/>
      <c r="E958" s="14"/>
      <c r="F958" s="14"/>
      <c r="G958" s="13" t="str">
        <f t="array" ref="G958">iferror(XLOOKUP(A958,'Download of SFDC Activation Rep'!B:B,'Download of SFDC Activation Rep'!H:H),"")</f>
        <v/>
      </c>
      <c r="H958" s="13" t="str">
        <f t="array" ref="H958">iferror(xlookup(A958,'Download of SFDC Activation Rep'!B:B,'Download of SFDC Activation Rep'!L:L),"")</f>
        <v/>
      </c>
      <c r="I958" s="17" t="str">
        <f t="shared" si="2"/>
        <v>Not Active</v>
      </c>
      <c r="J958" s="17" t="str">
        <f t="array" ref="J958">XLOOKUP(A958,'Download of SFDC Activation Rep'!B:B,'Download of SFDC Activation Rep'!T:T)</f>
        <v>#N/A</v>
      </c>
      <c r="K958" s="17" t="str">
        <f t="array" ref="K958">iferror(XLOOKUP(A958,'Download of SFDC Activation Rep'!B:B,'Download of SFDC Activation Rep'!C:C),"")</f>
        <v/>
      </c>
    </row>
    <row r="959">
      <c r="B959" s="14"/>
      <c r="C959" s="14"/>
      <c r="D959" s="14"/>
      <c r="E959" s="14"/>
      <c r="F959" s="14"/>
      <c r="G959" s="13" t="str">
        <f t="array" ref="G959">iferror(XLOOKUP(A959,'Download of SFDC Activation Rep'!B:B,'Download of SFDC Activation Rep'!H:H),"")</f>
        <v/>
      </c>
      <c r="H959" s="13" t="str">
        <f t="array" ref="H959">iferror(xlookup(A959,'Download of SFDC Activation Rep'!B:B,'Download of SFDC Activation Rep'!L:L),"")</f>
        <v/>
      </c>
      <c r="I959" s="17" t="str">
        <f t="shared" si="2"/>
        <v>Not Active</v>
      </c>
      <c r="J959" s="17" t="str">
        <f t="array" ref="J959">XLOOKUP(A959,'Download of SFDC Activation Rep'!B:B,'Download of SFDC Activation Rep'!T:T)</f>
        <v>#N/A</v>
      </c>
      <c r="K959" s="17" t="str">
        <f t="array" ref="K959">iferror(XLOOKUP(A959,'Download of SFDC Activation Rep'!B:B,'Download of SFDC Activation Rep'!C:C),"")</f>
        <v/>
      </c>
    </row>
    <row r="960">
      <c r="B960" s="14"/>
      <c r="C960" s="14"/>
      <c r="D960" s="14"/>
      <c r="E960" s="14"/>
      <c r="F960" s="14"/>
      <c r="G960" s="13" t="str">
        <f t="array" ref="G960">iferror(XLOOKUP(A960,'Download of SFDC Activation Rep'!B:B,'Download of SFDC Activation Rep'!H:H),"")</f>
        <v/>
      </c>
      <c r="H960" s="13" t="str">
        <f t="array" ref="H960">iferror(xlookup(A960,'Download of SFDC Activation Rep'!B:B,'Download of SFDC Activation Rep'!L:L),"")</f>
        <v/>
      </c>
      <c r="I960" s="17" t="str">
        <f t="shared" si="2"/>
        <v>Not Active</v>
      </c>
      <c r="J960" s="17" t="str">
        <f t="array" ref="J960">XLOOKUP(A960,'Download of SFDC Activation Rep'!B:B,'Download of SFDC Activation Rep'!T:T)</f>
        <v>#N/A</v>
      </c>
      <c r="K960" s="17" t="str">
        <f t="array" ref="K960">iferror(XLOOKUP(A960,'Download of SFDC Activation Rep'!B:B,'Download of SFDC Activation Rep'!C:C),"")</f>
        <v/>
      </c>
    </row>
    <row r="961">
      <c r="B961" s="14"/>
      <c r="C961" s="14"/>
      <c r="D961" s="14"/>
      <c r="E961" s="14"/>
      <c r="F961" s="14"/>
      <c r="G961" s="13" t="str">
        <f t="array" ref="G961">iferror(XLOOKUP(A961,'Download of SFDC Activation Rep'!B:B,'Download of SFDC Activation Rep'!H:H),"")</f>
        <v/>
      </c>
      <c r="H961" s="13" t="str">
        <f t="array" ref="H961">iferror(xlookup(A961,'Download of SFDC Activation Rep'!B:B,'Download of SFDC Activation Rep'!L:L),"")</f>
        <v/>
      </c>
      <c r="I961" s="17" t="str">
        <f t="shared" si="2"/>
        <v>Not Active</v>
      </c>
      <c r="J961" s="17" t="str">
        <f t="array" ref="J961">XLOOKUP(A961,'Download of SFDC Activation Rep'!B:B,'Download of SFDC Activation Rep'!T:T)</f>
        <v>#N/A</v>
      </c>
      <c r="K961" s="17" t="str">
        <f t="array" ref="K961">iferror(XLOOKUP(A961,'Download of SFDC Activation Rep'!B:B,'Download of SFDC Activation Rep'!C:C),"")</f>
        <v/>
      </c>
    </row>
    <row r="962">
      <c r="B962" s="14"/>
      <c r="C962" s="14"/>
      <c r="D962" s="14"/>
      <c r="E962" s="14"/>
      <c r="F962" s="14"/>
      <c r="G962" s="13" t="str">
        <f t="array" ref="G962">iferror(XLOOKUP(A962,'Download of SFDC Activation Rep'!B:B,'Download of SFDC Activation Rep'!H:H),"")</f>
        <v/>
      </c>
      <c r="H962" s="13" t="str">
        <f t="array" ref="H962">iferror(xlookup(A962,'Download of SFDC Activation Rep'!B:B,'Download of SFDC Activation Rep'!L:L),"")</f>
        <v/>
      </c>
      <c r="I962" s="17" t="str">
        <f t="shared" si="2"/>
        <v>Not Active</v>
      </c>
      <c r="J962" s="17" t="str">
        <f t="array" ref="J962">XLOOKUP(A962,'Download of SFDC Activation Rep'!B:B,'Download of SFDC Activation Rep'!T:T)</f>
        <v>#N/A</v>
      </c>
      <c r="K962" s="17" t="str">
        <f t="array" ref="K962">iferror(XLOOKUP(A962,'Download of SFDC Activation Rep'!B:B,'Download of SFDC Activation Rep'!C:C),"")</f>
        <v/>
      </c>
    </row>
    <row r="963">
      <c r="B963" s="14"/>
      <c r="C963" s="14"/>
      <c r="D963" s="14"/>
      <c r="E963" s="14"/>
      <c r="F963" s="14"/>
      <c r="G963" s="13" t="str">
        <f t="array" ref="G963">iferror(XLOOKUP(A963,'Download of SFDC Activation Rep'!B:B,'Download of SFDC Activation Rep'!H:H),"")</f>
        <v/>
      </c>
      <c r="H963" s="13" t="str">
        <f t="array" ref="H963">iferror(xlookup(A963,'Download of SFDC Activation Rep'!B:B,'Download of SFDC Activation Rep'!L:L),"")</f>
        <v/>
      </c>
      <c r="I963" s="17" t="str">
        <f t="shared" si="2"/>
        <v>Not Active</v>
      </c>
      <c r="J963" s="17" t="str">
        <f t="array" ref="J963">XLOOKUP(A963,'Download of SFDC Activation Rep'!B:B,'Download of SFDC Activation Rep'!T:T)</f>
        <v>#N/A</v>
      </c>
      <c r="K963" s="17" t="str">
        <f t="array" ref="K963">iferror(XLOOKUP(A963,'Download of SFDC Activation Rep'!B:B,'Download of SFDC Activation Rep'!C:C),"")</f>
        <v/>
      </c>
    </row>
    <row r="964">
      <c r="B964" s="14"/>
      <c r="C964" s="14"/>
      <c r="D964" s="14"/>
      <c r="E964" s="14"/>
      <c r="F964" s="14"/>
      <c r="G964" s="13" t="str">
        <f t="array" ref="G964">iferror(XLOOKUP(A964,'Download of SFDC Activation Rep'!B:B,'Download of SFDC Activation Rep'!H:H),"")</f>
        <v/>
      </c>
      <c r="H964" s="13" t="str">
        <f t="array" ref="H964">iferror(xlookup(A964,'Download of SFDC Activation Rep'!B:B,'Download of SFDC Activation Rep'!L:L),"")</f>
        <v/>
      </c>
      <c r="I964" s="17" t="str">
        <f t="shared" si="2"/>
        <v>Not Active</v>
      </c>
      <c r="J964" s="17" t="str">
        <f t="array" ref="J964">XLOOKUP(A964,'Download of SFDC Activation Rep'!B:B,'Download of SFDC Activation Rep'!T:T)</f>
        <v>#N/A</v>
      </c>
      <c r="K964" s="17" t="str">
        <f t="array" ref="K964">iferror(XLOOKUP(A964,'Download of SFDC Activation Rep'!B:B,'Download of SFDC Activation Rep'!C:C),"")</f>
        <v/>
      </c>
    </row>
    <row r="965">
      <c r="B965" s="14"/>
      <c r="C965" s="14"/>
      <c r="D965" s="14"/>
      <c r="E965" s="14"/>
      <c r="F965" s="14"/>
      <c r="G965" s="13" t="str">
        <f t="array" ref="G965">iferror(XLOOKUP(A965,'Download of SFDC Activation Rep'!B:B,'Download of SFDC Activation Rep'!H:H),"")</f>
        <v/>
      </c>
      <c r="H965" s="13" t="str">
        <f t="array" ref="H965">iferror(xlookup(A965,'Download of SFDC Activation Rep'!B:B,'Download of SFDC Activation Rep'!L:L),"")</f>
        <v/>
      </c>
      <c r="I965" s="17" t="str">
        <f t="shared" si="2"/>
        <v>Not Active</v>
      </c>
      <c r="J965" s="17" t="str">
        <f t="array" ref="J965">XLOOKUP(A965,'Download of SFDC Activation Rep'!B:B,'Download of SFDC Activation Rep'!T:T)</f>
        <v>#N/A</v>
      </c>
      <c r="K965" s="17" t="str">
        <f t="array" ref="K965">iferror(XLOOKUP(A965,'Download of SFDC Activation Rep'!B:B,'Download of SFDC Activation Rep'!C:C),"")</f>
        <v/>
      </c>
    </row>
    <row r="966">
      <c r="B966" s="14"/>
      <c r="C966" s="14"/>
      <c r="D966" s="14"/>
      <c r="E966" s="14"/>
      <c r="F966" s="14"/>
      <c r="G966" s="13" t="str">
        <f t="array" ref="G966">iferror(XLOOKUP(A966,'Download of SFDC Activation Rep'!B:B,'Download of SFDC Activation Rep'!H:H),"")</f>
        <v/>
      </c>
      <c r="H966" s="13" t="str">
        <f t="array" ref="H966">iferror(xlookup(A966,'Download of SFDC Activation Rep'!B:B,'Download of SFDC Activation Rep'!L:L),"")</f>
        <v/>
      </c>
      <c r="I966" s="17" t="str">
        <f t="shared" si="2"/>
        <v>Not Active</v>
      </c>
      <c r="J966" s="17" t="str">
        <f t="array" ref="J966">XLOOKUP(A966,'Download of SFDC Activation Rep'!B:B,'Download of SFDC Activation Rep'!T:T)</f>
        <v>#N/A</v>
      </c>
      <c r="K966" s="17" t="str">
        <f t="array" ref="K966">iferror(XLOOKUP(A966,'Download of SFDC Activation Rep'!B:B,'Download of SFDC Activation Rep'!C:C),"")</f>
        <v/>
      </c>
    </row>
    <row r="967">
      <c r="B967" s="14"/>
      <c r="C967" s="14"/>
      <c r="D967" s="14"/>
      <c r="E967" s="14"/>
      <c r="F967" s="14"/>
      <c r="G967" s="13" t="str">
        <f t="array" ref="G967">iferror(XLOOKUP(A967,'Download of SFDC Activation Rep'!B:B,'Download of SFDC Activation Rep'!H:H),"")</f>
        <v/>
      </c>
      <c r="H967" s="13" t="str">
        <f t="array" ref="H967">iferror(xlookup(A967,'Download of SFDC Activation Rep'!B:B,'Download of SFDC Activation Rep'!L:L),"")</f>
        <v/>
      </c>
      <c r="I967" s="17" t="str">
        <f t="shared" si="2"/>
        <v>Not Active</v>
      </c>
      <c r="J967" s="17" t="str">
        <f t="array" ref="J967">XLOOKUP(A967,'Download of SFDC Activation Rep'!B:B,'Download of SFDC Activation Rep'!T:T)</f>
        <v>#N/A</v>
      </c>
      <c r="K967" s="17" t="str">
        <f t="array" ref="K967">iferror(XLOOKUP(A967,'Download of SFDC Activation Rep'!B:B,'Download of SFDC Activation Rep'!C:C),"")</f>
        <v/>
      </c>
    </row>
    <row r="968">
      <c r="B968" s="14"/>
      <c r="C968" s="14"/>
      <c r="D968" s="14"/>
      <c r="E968" s="14"/>
      <c r="F968" s="14"/>
      <c r="G968" s="13" t="str">
        <f t="array" ref="G968">iferror(XLOOKUP(A968,'Download of SFDC Activation Rep'!B:B,'Download of SFDC Activation Rep'!H:H),"")</f>
        <v/>
      </c>
      <c r="H968" s="13" t="str">
        <f t="array" ref="H968">iferror(xlookup(A968,'Download of SFDC Activation Rep'!B:B,'Download of SFDC Activation Rep'!L:L),"")</f>
        <v/>
      </c>
      <c r="I968" s="17" t="str">
        <f t="shared" si="2"/>
        <v>Not Active</v>
      </c>
      <c r="J968" s="17" t="str">
        <f t="array" ref="J968">XLOOKUP(A968,'Download of SFDC Activation Rep'!B:B,'Download of SFDC Activation Rep'!T:T)</f>
        <v>#N/A</v>
      </c>
      <c r="K968" s="17" t="str">
        <f t="array" ref="K968">iferror(XLOOKUP(A968,'Download of SFDC Activation Rep'!B:B,'Download of SFDC Activation Rep'!C:C),"")</f>
        <v/>
      </c>
    </row>
    <row r="969">
      <c r="B969" s="14"/>
      <c r="C969" s="14"/>
      <c r="D969" s="14"/>
      <c r="E969" s="14"/>
      <c r="F969" s="14"/>
      <c r="G969" s="13" t="str">
        <f t="array" ref="G969">iferror(XLOOKUP(A969,'Download of SFDC Activation Rep'!B:B,'Download of SFDC Activation Rep'!H:H),"")</f>
        <v/>
      </c>
      <c r="H969" s="13" t="str">
        <f t="array" ref="H969">iferror(xlookup(A969,'Download of SFDC Activation Rep'!B:B,'Download of SFDC Activation Rep'!L:L),"")</f>
        <v/>
      </c>
      <c r="I969" s="17" t="str">
        <f t="shared" si="2"/>
        <v>Not Active</v>
      </c>
      <c r="J969" s="17" t="str">
        <f t="array" ref="J969">XLOOKUP(A969,'Download of SFDC Activation Rep'!B:B,'Download of SFDC Activation Rep'!T:T)</f>
        <v>#N/A</v>
      </c>
      <c r="K969" s="17" t="str">
        <f t="array" ref="K969">iferror(XLOOKUP(A969,'Download of SFDC Activation Rep'!B:B,'Download of SFDC Activation Rep'!C:C),"")</f>
        <v/>
      </c>
    </row>
    <row r="970">
      <c r="B970" s="14"/>
      <c r="C970" s="14"/>
      <c r="D970" s="14"/>
      <c r="E970" s="14"/>
      <c r="F970" s="14"/>
      <c r="G970" s="13" t="str">
        <f t="array" ref="G970">iferror(XLOOKUP(A970,'Download of SFDC Activation Rep'!B:B,'Download of SFDC Activation Rep'!H:H),"")</f>
        <v/>
      </c>
      <c r="H970" s="13" t="str">
        <f t="array" ref="H970">iferror(xlookup(A970,'Download of SFDC Activation Rep'!B:B,'Download of SFDC Activation Rep'!L:L),"")</f>
        <v/>
      </c>
      <c r="I970" s="17" t="str">
        <f t="shared" si="2"/>
        <v>Not Active</v>
      </c>
      <c r="J970" s="17" t="str">
        <f t="array" ref="J970">XLOOKUP(A970,'Download of SFDC Activation Rep'!B:B,'Download of SFDC Activation Rep'!T:T)</f>
        <v>#N/A</v>
      </c>
      <c r="K970" s="17" t="str">
        <f t="array" ref="K970">iferror(XLOOKUP(A970,'Download of SFDC Activation Rep'!B:B,'Download of SFDC Activation Rep'!C:C),"")</f>
        <v/>
      </c>
    </row>
    <row r="971">
      <c r="B971" s="14"/>
      <c r="C971" s="14"/>
      <c r="D971" s="14"/>
      <c r="E971" s="14"/>
      <c r="F971" s="14"/>
      <c r="G971" s="13" t="str">
        <f t="array" ref="G971">iferror(XLOOKUP(A971,'Download of SFDC Activation Rep'!B:B,'Download of SFDC Activation Rep'!H:H),"")</f>
        <v/>
      </c>
      <c r="H971" s="13" t="str">
        <f t="array" ref="H971">iferror(xlookup(A971,'Download of SFDC Activation Rep'!B:B,'Download of SFDC Activation Rep'!L:L),"")</f>
        <v/>
      </c>
      <c r="I971" s="17" t="str">
        <f t="shared" si="2"/>
        <v>Not Active</v>
      </c>
      <c r="J971" s="17" t="str">
        <f t="array" ref="J971">XLOOKUP(A971,'Download of SFDC Activation Rep'!B:B,'Download of SFDC Activation Rep'!T:T)</f>
        <v>#N/A</v>
      </c>
      <c r="K971" s="17" t="str">
        <f t="array" ref="K971">iferror(XLOOKUP(A971,'Download of SFDC Activation Rep'!B:B,'Download of SFDC Activation Rep'!C:C),"")</f>
        <v/>
      </c>
    </row>
    <row r="972">
      <c r="B972" s="14"/>
      <c r="C972" s="14"/>
      <c r="D972" s="14"/>
      <c r="E972" s="14"/>
      <c r="F972" s="14"/>
      <c r="G972" s="13" t="str">
        <f t="array" ref="G972">iferror(XLOOKUP(A972,'Download of SFDC Activation Rep'!B:B,'Download of SFDC Activation Rep'!H:H),"")</f>
        <v/>
      </c>
      <c r="H972" s="13" t="str">
        <f t="array" ref="H972">iferror(xlookup(A972,'Download of SFDC Activation Rep'!B:B,'Download of SFDC Activation Rep'!L:L),"")</f>
        <v/>
      </c>
      <c r="I972" s="17" t="str">
        <f t="shared" si="2"/>
        <v>Not Active</v>
      </c>
      <c r="J972" s="17" t="str">
        <f t="array" ref="J972">XLOOKUP(A972,'Download of SFDC Activation Rep'!B:B,'Download of SFDC Activation Rep'!T:T)</f>
        <v>#N/A</v>
      </c>
      <c r="K972" s="17" t="str">
        <f t="array" ref="K972">iferror(XLOOKUP(A972,'Download of SFDC Activation Rep'!B:B,'Download of SFDC Activation Rep'!C:C),"")</f>
        <v/>
      </c>
    </row>
    <row r="973">
      <c r="B973" s="14"/>
      <c r="C973" s="14"/>
      <c r="D973" s="14"/>
      <c r="E973" s="14"/>
      <c r="F973" s="14"/>
      <c r="G973" s="13" t="str">
        <f t="array" ref="G973">iferror(XLOOKUP(A973,'Download of SFDC Activation Rep'!B:B,'Download of SFDC Activation Rep'!H:H),"")</f>
        <v/>
      </c>
      <c r="H973" s="13" t="str">
        <f t="array" ref="H973">iferror(xlookup(A973,'Download of SFDC Activation Rep'!B:B,'Download of SFDC Activation Rep'!L:L),"")</f>
        <v/>
      </c>
      <c r="I973" s="17" t="str">
        <f t="shared" si="2"/>
        <v>Not Active</v>
      </c>
      <c r="J973" s="17" t="str">
        <f t="array" ref="J973">XLOOKUP(A973,'Download of SFDC Activation Rep'!B:B,'Download of SFDC Activation Rep'!T:T)</f>
        <v>#N/A</v>
      </c>
      <c r="K973" s="17" t="str">
        <f t="array" ref="K973">iferror(XLOOKUP(A973,'Download of SFDC Activation Rep'!B:B,'Download of SFDC Activation Rep'!C:C),"")</f>
        <v/>
      </c>
    </row>
    <row r="974">
      <c r="B974" s="14"/>
      <c r="C974" s="14"/>
      <c r="D974" s="14"/>
      <c r="E974" s="14"/>
      <c r="F974" s="14"/>
      <c r="G974" s="13" t="str">
        <f t="array" ref="G974">iferror(XLOOKUP(A974,'Download of SFDC Activation Rep'!B:B,'Download of SFDC Activation Rep'!H:H),"")</f>
        <v/>
      </c>
      <c r="H974" s="13" t="str">
        <f t="array" ref="H974">iferror(xlookup(A974,'Download of SFDC Activation Rep'!B:B,'Download of SFDC Activation Rep'!L:L),"")</f>
        <v/>
      </c>
      <c r="I974" s="17" t="str">
        <f t="shared" si="2"/>
        <v>Not Active</v>
      </c>
      <c r="J974" s="17" t="str">
        <f t="array" ref="J974">XLOOKUP(A974,'Download of SFDC Activation Rep'!B:B,'Download of SFDC Activation Rep'!T:T)</f>
        <v>#N/A</v>
      </c>
      <c r="K974" s="17" t="str">
        <f t="array" ref="K974">iferror(XLOOKUP(A974,'Download of SFDC Activation Rep'!B:B,'Download of SFDC Activation Rep'!C:C),"")</f>
        <v/>
      </c>
    </row>
    <row r="975">
      <c r="B975" s="14"/>
      <c r="C975" s="14"/>
      <c r="D975" s="14"/>
      <c r="E975" s="14"/>
      <c r="F975" s="14"/>
      <c r="G975" s="13" t="str">
        <f t="array" ref="G975">iferror(XLOOKUP(A975,'Download of SFDC Activation Rep'!B:B,'Download of SFDC Activation Rep'!H:H),"")</f>
        <v/>
      </c>
      <c r="H975" s="13" t="str">
        <f t="array" ref="H975">iferror(xlookup(A975,'Download of SFDC Activation Rep'!B:B,'Download of SFDC Activation Rep'!L:L),"")</f>
        <v/>
      </c>
      <c r="I975" s="17" t="str">
        <f t="shared" si="2"/>
        <v>Not Active</v>
      </c>
      <c r="J975" s="17" t="str">
        <f t="array" ref="J975">XLOOKUP(A975,'Download of SFDC Activation Rep'!B:B,'Download of SFDC Activation Rep'!T:T)</f>
        <v>#N/A</v>
      </c>
      <c r="K975" s="17" t="str">
        <f t="array" ref="K975">iferror(XLOOKUP(A975,'Download of SFDC Activation Rep'!B:B,'Download of SFDC Activation Rep'!C:C),"")</f>
        <v/>
      </c>
    </row>
    <row r="976">
      <c r="B976" s="14"/>
      <c r="C976" s="14"/>
      <c r="D976" s="14"/>
      <c r="E976" s="14"/>
      <c r="F976" s="14"/>
      <c r="G976" s="13" t="str">
        <f t="array" ref="G976">iferror(XLOOKUP(A976,'Download of SFDC Activation Rep'!B:B,'Download of SFDC Activation Rep'!H:H),"")</f>
        <v/>
      </c>
      <c r="H976" s="13" t="str">
        <f t="array" ref="H976">iferror(xlookup(A976,'Download of SFDC Activation Rep'!B:B,'Download of SFDC Activation Rep'!L:L),"")</f>
        <v/>
      </c>
      <c r="I976" s="17" t="str">
        <f t="shared" si="2"/>
        <v>Not Active</v>
      </c>
      <c r="J976" s="17" t="str">
        <f t="array" ref="J976">XLOOKUP(A976,'Download of SFDC Activation Rep'!B:B,'Download of SFDC Activation Rep'!T:T)</f>
        <v>#N/A</v>
      </c>
      <c r="K976" s="17" t="str">
        <f t="array" ref="K976">iferror(XLOOKUP(A976,'Download of SFDC Activation Rep'!B:B,'Download of SFDC Activation Rep'!C:C),"")</f>
        <v/>
      </c>
    </row>
    <row r="977">
      <c r="B977" s="14"/>
      <c r="C977" s="14"/>
      <c r="D977" s="14"/>
      <c r="E977" s="14"/>
      <c r="F977" s="14"/>
      <c r="G977" s="13" t="str">
        <f t="array" ref="G977">iferror(XLOOKUP(A977,'Download of SFDC Activation Rep'!B:B,'Download of SFDC Activation Rep'!H:H),"")</f>
        <v/>
      </c>
      <c r="H977" s="13" t="str">
        <f t="array" ref="H977">iferror(xlookup(A977,'Download of SFDC Activation Rep'!B:B,'Download of SFDC Activation Rep'!L:L),"")</f>
        <v/>
      </c>
      <c r="I977" s="17" t="str">
        <f t="shared" si="2"/>
        <v>Not Active</v>
      </c>
      <c r="J977" s="17" t="str">
        <f t="array" ref="J977">XLOOKUP(A977,'Download of SFDC Activation Rep'!B:B,'Download of SFDC Activation Rep'!T:T)</f>
        <v>#N/A</v>
      </c>
      <c r="K977" s="17" t="str">
        <f t="array" ref="K977">iferror(XLOOKUP(A977,'Download of SFDC Activation Rep'!B:B,'Download of SFDC Activation Rep'!C:C),"")</f>
        <v/>
      </c>
    </row>
    <row r="978">
      <c r="B978" s="14"/>
      <c r="C978" s="14"/>
      <c r="D978" s="14"/>
      <c r="E978" s="14"/>
      <c r="F978" s="14"/>
      <c r="G978" s="13" t="str">
        <f t="array" ref="G978">iferror(XLOOKUP(A978,'Download of SFDC Activation Rep'!B:B,'Download of SFDC Activation Rep'!H:H),"")</f>
        <v/>
      </c>
      <c r="H978" s="13" t="str">
        <f t="array" ref="H978">iferror(xlookup(A978,'Download of SFDC Activation Rep'!B:B,'Download of SFDC Activation Rep'!L:L),"")</f>
        <v/>
      </c>
      <c r="I978" s="17" t="str">
        <f t="shared" si="2"/>
        <v>Not Active</v>
      </c>
      <c r="J978" s="17" t="str">
        <f t="array" ref="J978">XLOOKUP(A978,'Download of SFDC Activation Rep'!B:B,'Download of SFDC Activation Rep'!T:T)</f>
        <v>#N/A</v>
      </c>
      <c r="K978" s="17" t="str">
        <f t="array" ref="K978">iferror(XLOOKUP(A978,'Download of SFDC Activation Rep'!B:B,'Download of SFDC Activation Rep'!C:C),"")</f>
        <v/>
      </c>
    </row>
    <row r="979">
      <c r="B979" s="14"/>
      <c r="C979" s="14"/>
      <c r="D979" s="14"/>
      <c r="E979" s="14"/>
      <c r="F979" s="14"/>
      <c r="G979" s="13" t="str">
        <f t="array" ref="G979">iferror(XLOOKUP(A979,'Download of SFDC Activation Rep'!B:B,'Download of SFDC Activation Rep'!H:H),"")</f>
        <v/>
      </c>
      <c r="H979" s="13" t="str">
        <f t="array" ref="H979">iferror(xlookup(A979,'Download of SFDC Activation Rep'!B:B,'Download of SFDC Activation Rep'!L:L),"")</f>
        <v/>
      </c>
      <c r="I979" s="17" t="str">
        <f t="shared" si="2"/>
        <v>Not Active</v>
      </c>
      <c r="J979" s="17" t="str">
        <f t="array" ref="J979">XLOOKUP(A979,'Download of SFDC Activation Rep'!B:B,'Download of SFDC Activation Rep'!T:T)</f>
        <v>#N/A</v>
      </c>
      <c r="K979" s="17" t="str">
        <f t="array" ref="K979">iferror(XLOOKUP(A979,'Download of SFDC Activation Rep'!B:B,'Download of SFDC Activation Rep'!C:C),"")</f>
        <v/>
      </c>
    </row>
    <row r="980">
      <c r="B980" s="14"/>
      <c r="C980" s="14"/>
      <c r="D980" s="14"/>
      <c r="E980" s="14"/>
      <c r="F980" s="14"/>
      <c r="G980" s="13" t="str">
        <f t="array" ref="G980">iferror(XLOOKUP(A980,'Download of SFDC Activation Rep'!B:B,'Download of SFDC Activation Rep'!H:H),"")</f>
        <v/>
      </c>
      <c r="H980" s="13" t="str">
        <f t="array" ref="H980">iferror(xlookup(A980,'Download of SFDC Activation Rep'!B:B,'Download of SFDC Activation Rep'!L:L),"")</f>
        <v/>
      </c>
      <c r="I980" s="17" t="str">
        <f t="shared" si="2"/>
        <v>Not Active</v>
      </c>
      <c r="J980" s="17" t="str">
        <f t="array" ref="J980">XLOOKUP(A980,'Download of SFDC Activation Rep'!B:B,'Download of SFDC Activation Rep'!T:T)</f>
        <v>#N/A</v>
      </c>
      <c r="K980" s="17" t="str">
        <f t="array" ref="K980">iferror(XLOOKUP(A980,'Download of SFDC Activation Rep'!B:B,'Download of SFDC Activation Rep'!C:C),"")</f>
        <v/>
      </c>
    </row>
    <row r="981">
      <c r="B981" s="14"/>
      <c r="C981" s="14"/>
      <c r="D981" s="14"/>
      <c r="E981" s="14"/>
      <c r="F981" s="14"/>
      <c r="G981" s="13" t="str">
        <f t="array" ref="G981">iferror(XLOOKUP(A981,'Download of SFDC Activation Rep'!B:B,'Download of SFDC Activation Rep'!H:H),"")</f>
        <v/>
      </c>
      <c r="H981" s="13" t="str">
        <f t="array" ref="H981">iferror(xlookup(A981,'Download of SFDC Activation Rep'!B:B,'Download of SFDC Activation Rep'!L:L),"")</f>
        <v/>
      </c>
      <c r="I981" s="17" t="str">
        <f t="shared" si="2"/>
        <v>Not Active</v>
      </c>
      <c r="J981" s="17" t="str">
        <f t="array" ref="J981">XLOOKUP(A981,'Download of SFDC Activation Rep'!B:B,'Download of SFDC Activation Rep'!T:T)</f>
        <v>#N/A</v>
      </c>
      <c r="K981" s="17" t="str">
        <f t="array" ref="K981">iferror(XLOOKUP(A981,'Download of SFDC Activation Rep'!B:B,'Download of SFDC Activation Rep'!C:C),"")</f>
        <v/>
      </c>
    </row>
    <row r="982">
      <c r="B982" s="14"/>
      <c r="C982" s="14"/>
      <c r="D982" s="14"/>
      <c r="E982" s="14"/>
      <c r="F982" s="14"/>
      <c r="G982" s="13" t="str">
        <f t="array" ref="G982">iferror(XLOOKUP(A982,'Download of SFDC Activation Rep'!B:B,'Download of SFDC Activation Rep'!H:H),"")</f>
        <v/>
      </c>
      <c r="H982" s="13" t="str">
        <f t="array" ref="H982">iferror(xlookup(A982,'Download of SFDC Activation Rep'!B:B,'Download of SFDC Activation Rep'!L:L),"")</f>
        <v/>
      </c>
      <c r="I982" s="17" t="str">
        <f t="shared" si="2"/>
        <v>Not Active</v>
      </c>
      <c r="J982" s="17" t="str">
        <f t="array" ref="J982">XLOOKUP(A982,'Download of SFDC Activation Rep'!B:B,'Download of SFDC Activation Rep'!T:T)</f>
        <v>#N/A</v>
      </c>
      <c r="K982" s="17" t="str">
        <f t="array" ref="K982">iferror(XLOOKUP(A982,'Download of SFDC Activation Rep'!B:B,'Download of SFDC Activation Rep'!C:C),"")</f>
        <v/>
      </c>
    </row>
    <row r="983">
      <c r="B983" s="14"/>
      <c r="C983" s="14"/>
      <c r="D983" s="14"/>
      <c r="E983" s="14"/>
      <c r="F983" s="14"/>
      <c r="G983" s="13" t="str">
        <f t="array" ref="G983">iferror(XLOOKUP(A983,'Download of SFDC Activation Rep'!B:B,'Download of SFDC Activation Rep'!H:H),"")</f>
        <v/>
      </c>
      <c r="H983" s="13" t="str">
        <f t="array" ref="H983">iferror(xlookup(A983,'Download of SFDC Activation Rep'!B:B,'Download of SFDC Activation Rep'!L:L),"")</f>
        <v/>
      </c>
      <c r="I983" s="17" t="str">
        <f t="shared" si="2"/>
        <v>Not Active</v>
      </c>
      <c r="J983" s="17" t="str">
        <f t="array" ref="J983">XLOOKUP(A983,'Download of SFDC Activation Rep'!B:B,'Download of SFDC Activation Rep'!T:T)</f>
        <v>#N/A</v>
      </c>
      <c r="K983" s="17" t="str">
        <f t="array" ref="K983">iferror(XLOOKUP(A983,'Download of SFDC Activation Rep'!B:B,'Download of SFDC Activation Rep'!C:C),"")</f>
        <v/>
      </c>
    </row>
    <row r="984">
      <c r="B984" s="14"/>
      <c r="C984" s="14"/>
      <c r="D984" s="14"/>
      <c r="E984" s="14"/>
      <c r="F984" s="14"/>
      <c r="G984" s="13" t="str">
        <f t="array" ref="G984">iferror(XLOOKUP(A984,'Download of SFDC Activation Rep'!B:B,'Download of SFDC Activation Rep'!H:H),"")</f>
        <v/>
      </c>
      <c r="H984" s="13" t="str">
        <f t="array" ref="H984">iferror(xlookup(A984,'Download of SFDC Activation Rep'!B:B,'Download of SFDC Activation Rep'!L:L),"")</f>
        <v/>
      </c>
      <c r="I984" s="17" t="str">
        <f t="shared" si="2"/>
        <v>Not Active</v>
      </c>
      <c r="J984" s="17" t="str">
        <f t="array" ref="J984">XLOOKUP(A984,'Download of SFDC Activation Rep'!B:B,'Download of SFDC Activation Rep'!T:T)</f>
        <v>#N/A</v>
      </c>
      <c r="K984" s="17" t="str">
        <f t="array" ref="K984">iferror(XLOOKUP(A984,'Download of SFDC Activation Rep'!B:B,'Download of SFDC Activation Rep'!C:C),"")</f>
        <v/>
      </c>
    </row>
    <row r="985">
      <c r="B985" s="14"/>
      <c r="C985" s="14"/>
      <c r="D985" s="14"/>
      <c r="E985" s="14"/>
      <c r="F985" s="14"/>
      <c r="G985" s="13" t="str">
        <f t="array" ref="G985">iferror(XLOOKUP(A985,'Download of SFDC Activation Rep'!B:B,'Download of SFDC Activation Rep'!H:H),"")</f>
        <v/>
      </c>
      <c r="H985" s="13" t="str">
        <f t="array" ref="H985">iferror(xlookup(A985,'Download of SFDC Activation Rep'!B:B,'Download of SFDC Activation Rep'!L:L),"")</f>
        <v/>
      </c>
      <c r="I985" s="17" t="str">
        <f t="shared" si="2"/>
        <v>Not Active</v>
      </c>
      <c r="J985" s="17" t="str">
        <f t="array" ref="J985">XLOOKUP(A985,'Download of SFDC Activation Rep'!B:B,'Download of SFDC Activation Rep'!T:T)</f>
        <v>#N/A</v>
      </c>
      <c r="K985" s="17" t="str">
        <f t="array" ref="K985">iferror(XLOOKUP(A985,'Download of SFDC Activation Rep'!B:B,'Download of SFDC Activation Rep'!C:C),"")</f>
        <v/>
      </c>
    </row>
    <row r="986">
      <c r="B986" s="14"/>
      <c r="C986" s="14"/>
      <c r="D986" s="14"/>
      <c r="E986" s="14"/>
      <c r="F986" s="14"/>
      <c r="G986" s="13" t="str">
        <f t="array" ref="G986">iferror(XLOOKUP(A986,'Download of SFDC Activation Rep'!B:B,'Download of SFDC Activation Rep'!H:H),"")</f>
        <v/>
      </c>
      <c r="H986" s="13" t="str">
        <f t="array" ref="H986">iferror(xlookup(A986,'Download of SFDC Activation Rep'!B:B,'Download of SFDC Activation Rep'!L:L),"")</f>
        <v/>
      </c>
      <c r="I986" s="17" t="str">
        <f t="shared" si="2"/>
        <v>Not Active</v>
      </c>
      <c r="J986" s="17" t="str">
        <f t="array" ref="J986">XLOOKUP(A986,'Download of SFDC Activation Rep'!B:B,'Download of SFDC Activation Rep'!T:T)</f>
        <v>#N/A</v>
      </c>
      <c r="K986" s="17" t="str">
        <f t="array" ref="K986">iferror(XLOOKUP(A986,'Download of SFDC Activation Rep'!B:B,'Download of SFDC Activation Rep'!C:C),"")</f>
        <v/>
      </c>
    </row>
    <row r="987">
      <c r="B987" s="14"/>
      <c r="C987" s="14"/>
      <c r="D987" s="14"/>
      <c r="E987" s="14"/>
      <c r="F987" s="14"/>
      <c r="G987" s="13" t="str">
        <f t="array" ref="G987">iferror(XLOOKUP(A987,'Download of SFDC Activation Rep'!B:B,'Download of SFDC Activation Rep'!H:H),"")</f>
        <v/>
      </c>
      <c r="H987" s="13" t="str">
        <f t="array" ref="H987">iferror(xlookup(A987,'Download of SFDC Activation Rep'!B:B,'Download of SFDC Activation Rep'!L:L),"")</f>
        <v/>
      </c>
      <c r="I987" s="17" t="str">
        <f t="shared" si="2"/>
        <v>Not Active</v>
      </c>
      <c r="J987" s="17" t="str">
        <f t="array" ref="J987">XLOOKUP(A987,'Download of SFDC Activation Rep'!B:B,'Download of SFDC Activation Rep'!T:T)</f>
        <v>#N/A</v>
      </c>
      <c r="K987" s="17" t="str">
        <f t="array" ref="K987">iferror(XLOOKUP(A987,'Download of SFDC Activation Rep'!B:B,'Download of SFDC Activation Rep'!C:C),"")</f>
        <v/>
      </c>
    </row>
    <row r="988">
      <c r="B988" s="14"/>
      <c r="C988" s="14"/>
      <c r="D988" s="14"/>
      <c r="E988" s="14"/>
      <c r="F988" s="14"/>
      <c r="G988" s="13" t="str">
        <f t="array" ref="G988">iferror(XLOOKUP(A988,'Download of SFDC Activation Rep'!B:B,'Download of SFDC Activation Rep'!H:H),"")</f>
        <v/>
      </c>
      <c r="H988" s="13" t="str">
        <f t="array" ref="H988">iferror(xlookup(A988,'Download of SFDC Activation Rep'!B:B,'Download of SFDC Activation Rep'!L:L),"")</f>
        <v/>
      </c>
      <c r="I988" s="17" t="str">
        <f t="shared" si="2"/>
        <v>Not Active</v>
      </c>
      <c r="J988" s="17" t="str">
        <f t="array" ref="J988">XLOOKUP(A988,'Download of SFDC Activation Rep'!B:B,'Download of SFDC Activation Rep'!T:T)</f>
        <v>#N/A</v>
      </c>
      <c r="K988" s="17" t="str">
        <f t="array" ref="K988">iferror(XLOOKUP(A988,'Download of SFDC Activation Rep'!B:B,'Download of SFDC Activation Rep'!C:C),"")</f>
        <v/>
      </c>
    </row>
    <row r="989">
      <c r="B989" s="14"/>
      <c r="C989" s="14"/>
      <c r="D989" s="14"/>
      <c r="E989" s="14"/>
      <c r="F989" s="14"/>
      <c r="G989" s="13" t="str">
        <f t="array" ref="G989">iferror(XLOOKUP(A989,'Download of SFDC Activation Rep'!B:B,'Download of SFDC Activation Rep'!H:H),"")</f>
        <v/>
      </c>
      <c r="H989" s="13" t="str">
        <f t="array" ref="H989">iferror(xlookup(A989,'Download of SFDC Activation Rep'!B:B,'Download of SFDC Activation Rep'!L:L),"")</f>
        <v/>
      </c>
      <c r="I989" s="17" t="str">
        <f t="shared" si="2"/>
        <v>Not Active</v>
      </c>
      <c r="J989" s="17" t="str">
        <f t="array" ref="J989">XLOOKUP(A989,'Download of SFDC Activation Rep'!B:B,'Download of SFDC Activation Rep'!T:T)</f>
        <v>#N/A</v>
      </c>
      <c r="K989" s="17" t="str">
        <f t="array" ref="K989">iferror(XLOOKUP(A989,'Download of SFDC Activation Rep'!B:B,'Download of SFDC Activation Rep'!C:C),"")</f>
        <v/>
      </c>
    </row>
    <row r="990">
      <c r="B990" s="14"/>
      <c r="C990" s="14"/>
      <c r="D990" s="14"/>
      <c r="E990" s="14"/>
      <c r="F990" s="14"/>
      <c r="G990" s="13" t="str">
        <f t="array" ref="G990">iferror(XLOOKUP(A990,'Download of SFDC Activation Rep'!B:B,'Download of SFDC Activation Rep'!H:H),"")</f>
        <v/>
      </c>
      <c r="H990" s="13" t="str">
        <f t="array" ref="H990">iferror(xlookup(A990,'Download of SFDC Activation Rep'!B:B,'Download of SFDC Activation Rep'!L:L),"")</f>
        <v/>
      </c>
      <c r="I990" s="17" t="str">
        <f t="shared" si="2"/>
        <v>Not Active</v>
      </c>
      <c r="J990" s="17" t="str">
        <f t="array" ref="J990">XLOOKUP(A990,'Download of SFDC Activation Rep'!B:B,'Download of SFDC Activation Rep'!T:T)</f>
        <v>#N/A</v>
      </c>
      <c r="K990" s="17" t="str">
        <f t="array" ref="K990">iferror(XLOOKUP(A990,'Download of SFDC Activation Rep'!B:B,'Download of SFDC Activation Rep'!C:C),"")</f>
        <v/>
      </c>
    </row>
    <row r="991">
      <c r="B991" s="14"/>
      <c r="C991" s="14"/>
      <c r="D991" s="14"/>
      <c r="E991" s="14"/>
      <c r="F991" s="14"/>
      <c r="G991" s="13" t="str">
        <f t="array" ref="G991">iferror(XLOOKUP(A991,'Download of SFDC Activation Rep'!B:B,'Download of SFDC Activation Rep'!H:H),"")</f>
        <v/>
      </c>
      <c r="H991" s="13" t="str">
        <f t="array" ref="H991">iferror(xlookup(A991,'Download of SFDC Activation Rep'!B:B,'Download of SFDC Activation Rep'!L:L),"")</f>
        <v/>
      </c>
      <c r="I991" s="17" t="str">
        <f t="shared" si="2"/>
        <v>Not Active</v>
      </c>
      <c r="J991" s="17" t="str">
        <f t="array" ref="J991">XLOOKUP(A991,'Download of SFDC Activation Rep'!B:B,'Download of SFDC Activation Rep'!T:T)</f>
        <v>#N/A</v>
      </c>
      <c r="K991" s="17" t="str">
        <f t="array" ref="K991">iferror(XLOOKUP(A991,'Download of SFDC Activation Rep'!B:B,'Download of SFDC Activation Rep'!C:C),"")</f>
        <v/>
      </c>
    </row>
    <row r="992">
      <c r="B992" s="14"/>
      <c r="C992" s="14"/>
      <c r="D992" s="14"/>
      <c r="E992" s="14"/>
      <c r="F992" s="14"/>
      <c r="G992" s="13" t="str">
        <f t="array" ref="G992">iferror(XLOOKUP(A992,'Download of SFDC Activation Rep'!B:B,'Download of SFDC Activation Rep'!H:H),"")</f>
        <v/>
      </c>
      <c r="H992" s="13" t="str">
        <f t="array" ref="H992">iferror(xlookup(A992,'Download of SFDC Activation Rep'!B:B,'Download of SFDC Activation Rep'!L:L),"")</f>
        <v/>
      </c>
      <c r="I992" s="17" t="str">
        <f t="shared" si="2"/>
        <v>Not Active</v>
      </c>
      <c r="J992" s="17" t="str">
        <f t="array" ref="J992">XLOOKUP(A992,'Download of SFDC Activation Rep'!B:B,'Download of SFDC Activation Rep'!T:T)</f>
        <v>#N/A</v>
      </c>
      <c r="K992" s="17" t="str">
        <f t="array" ref="K992">iferror(XLOOKUP(A992,'Download of SFDC Activation Rep'!B:B,'Download of SFDC Activation Rep'!C:C),"")</f>
        <v/>
      </c>
    </row>
    <row r="993">
      <c r="B993" s="14"/>
      <c r="C993" s="14"/>
      <c r="D993" s="14"/>
      <c r="E993" s="14"/>
      <c r="F993" s="14"/>
      <c r="G993" s="13" t="str">
        <f t="array" ref="G993">iferror(XLOOKUP(A993,'Download of SFDC Activation Rep'!B:B,'Download of SFDC Activation Rep'!H:H),"")</f>
        <v/>
      </c>
      <c r="H993" s="13" t="str">
        <f t="array" ref="H993">iferror(xlookup(A993,'Download of SFDC Activation Rep'!B:B,'Download of SFDC Activation Rep'!L:L),"")</f>
        <v/>
      </c>
      <c r="I993" s="17" t="str">
        <f t="shared" si="2"/>
        <v>Not Active</v>
      </c>
      <c r="J993" s="17" t="str">
        <f t="array" ref="J993">XLOOKUP(A993,'Download of SFDC Activation Rep'!B:B,'Download of SFDC Activation Rep'!T:T)</f>
        <v>#N/A</v>
      </c>
      <c r="K993" s="17" t="str">
        <f t="array" ref="K993">iferror(XLOOKUP(A993,'Download of SFDC Activation Rep'!B:B,'Download of SFDC Activation Rep'!C:C),"")</f>
        <v/>
      </c>
    </row>
    <row r="994">
      <c r="B994" s="14"/>
      <c r="C994" s="14"/>
      <c r="D994" s="14"/>
      <c r="E994" s="14"/>
      <c r="F994" s="14"/>
      <c r="G994" s="13" t="str">
        <f t="array" ref="G994">iferror(XLOOKUP(A994,'Download of SFDC Activation Rep'!B:B,'Download of SFDC Activation Rep'!H:H),"")</f>
        <v/>
      </c>
      <c r="H994" s="13" t="str">
        <f t="array" ref="H994">iferror(xlookup(A994,'Download of SFDC Activation Rep'!B:B,'Download of SFDC Activation Rep'!L:L),"")</f>
        <v/>
      </c>
      <c r="I994" s="17" t="str">
        <f t="shared" si="2"/>
        <v>Not Active</v>
      </c>
      <c r="J994" s="17" t="str">
        <f t="array" ref="J994">XLOOKUP(A994,'Download of SFDC Activation Rep'!B:B,'Download of SFDC Activation Rep'!T:T)</f>
        <v>#N/A</v>
      </c>
      <c r="K994" s="17" t="str">
        <f t="array" ref="K994">iferror(XLOOKUP(A994,'Download of SFDC Activation Rep'!B:B,'Download of SFDC Activation Rep'!C:C),"")</f>
        <v/>
      </c>
    </row>
    <row r="995">
      <c r="B995" s="14"/>
      <c r="C995" s="14"/>
      <c r="D995" s="14"/>
      <c r="E995" s="14"/>
      <c r="F995" s="14"/>
      <c r="G995" s="13" t="str">
        <f t="array" ref="G995">iferror(XLOOKUP(A995,'Download of SFDC Activation Rep'!B:B,'Download of SFDC Activation Rep'!H:H),"")</f>
        <v/>
      </c>
      <c r="H995" s="13" t="str">
        <f t="array" ref="H995">iferror(xlookup(A995,'Download of SFDC Activation Rep'!B:B,'Download of SFDC Activation Rep'!L:L),"")</f>
        <v/>
      </c>
      <c r="I995" s="17" t="str">
        <f t="shared" si="2"/>
        <v>Not Active</v>
      </c>
      <c r="J995" s="17" t="str">
        <f t="array" ref="J995">XLOOKUP(A995,'Download of SFDC Activation Rep'!B:B,'Download of SFDC Activation Rep'!T:T)</f>
        <v>#N/A</v>
      </c>
      <c r="K995" s="17" t="str">
        <f t="array" ref="K995">iferror(XLOOKUP(A995,'Download of SFDC Activation Rep'!B:B,'Download of SFDC Activation Rep'!C:C),"")</f>
        <v/>
      </c>
    </row>
    <row r="996">
      <c r="B996" s="14"/>
      <c r="C996" s="14"/>
      <c r="D996" s="14"/>
      <c r="E996" s="14"/>
      <c r="F996" s="14"/>
      <c r="G996" s="13" t="str">
        <f t="array" ref="G996">iferror(XLOOKUP(A996,'Download of SFDC Activation Rep'!B:B,'Download of SFDC Activation Rep'!H:H),"")</f>
        <v/>
      </c>
      <c r="H996" s="13" t="str">
        <f t="array" ref="H996">iferror(xlookup(A996,'Download of SFDC Activation Rep'!B:B,'Download of SFDC Activation Rep'!L:L),"")</f>
        <v/>
      </c>
      <c r="I996" s="17" t="str">
        <f t="shared" si="2"/>
        <v>Not Active</v>
      </c>
      <c r="J996" s="17" t="str">
        <f t="array" ref="J996">XLOOKUP(A996,'Download of SFDC Activation Rep'!B:B,'Download of SFDC Activation Rep'!T:T)</f>
        <v>#N/A</v>
      </c>
      <c r="K996" s="17" t="str">
        <f t="array" ref="K996">iferror(XLOOKUP(A996,'Download of SFDC Activation Rep'!B:B,'Download of SFDC Activation Rep'!C:C),"")</f>
        <v/>
      </c>
    </row>
    <row r="997">
      <c r="B997" s="14"/>
      <c r="C997" s="14"/>
      <c r="D997" s="14"/>
      <c r="E997" s="14"/>
      <c r="F997" s="14"/>
      <c r="G997" s="13" t="str">
        <f t="array" ref="G997">iferror(XLOOKUP(A997,'Download of SFDC Activation Rep'!B:B,'Download of SFDC Activation Rep'!H:H),"")</f>
        <v/>
      </c>
      <c r="H997" s="13" t="str">
        <f t="array" ref="H997">iferror(xlookup(A997,'Download of SFDC Activation Rep'!B:B,'Download of SFDC Activation Rep'!L:L),"")</f>
        <v/>
      </c>
      <c r="I997" s="17" t="str">
        <f t="shared" si="2"/>
        <v>Not Active</v>
      </c>
      <c r="J997" s="17" t="str">
        <f t="array" ref="J997">XLOOKUP(A997,'Download of SFDC Activation Rep'!B:B,'Download of SFDC Activation Rep'!T:T)</f>
        <v>#N/A</v>
      </c>
      <c r="K997" s="17" t="str">
        <f t="array" ref="K997">iferror(XLOOKUP(A997,'Download of SFDC Activation Rep'!B:B,'Download of SFDC Activation Rep'!C:C),"")</f>
        <v/>
      </c>
    </row>
    <row r="998">
      <c r="B998" s="14"/>
      <c r="C998" s="14"/>
      <c r="D998" s="14"/>
      <c r="E998" s="14"/>
      <c r="F998" s="14"/>
      <c r="G998" s="13" t="str">
        <f t="array" ref="G998">iferror(XLOOKUP(A998,'Download of SFDC Activation Rep'!B:B,'Download of SFDC Activation Rep'!H:H),"")</f>
        <v/>
      </c>
      <c r="H998" s="13" t="str">
        <f t="array" ref="H998">iferror(xlookup(A998,'Download of SFDC Activation Rep'!B:B,'Download of SFDC Activation Rep'!L:L),"")</f>
        <v/>
      </c>
      <c r="I998" s="17" t="str">
        <f t="shared" si="2"/>
        <v>Not Active</v>
      </c>
      <c r="J998" s="17" t="str">
        <f t="array" ref="J998">XLOOKUP(A998,'Download of SFDC Activation Rep'!B:B,'Download of SFDC Activation Rep'!T:T)</f>
        <v>#N/A</v>
      </c>
      <c r="K998" s="17" t="str">
        <f t="array" ref="K998">iferror(XLOOKUP(A998,'Download of SFDC Activation Rep'!B:B,'Download of SFDC Activation Rep'!C:C),"")</f>
        <v/>
      </c>
    </row>
    <row r="999">
      <c r="B999" s="14"/>
      <c r="C999" s="14"/>
      <c r="D999" s="14"/>
      <c r="E999" s="14"/>
      <c r="F999" s="14"/>
      <c r="G999" s="13" t="str">
        <f t="array" ref="G999">iferror(XLOOKUP(A999,'Download of SFDC Activation Rep'!B:B,'Download of SFDC Activation Rep'!H:H),"")</f>
        <v/>
      </c>
      <c r="H999" s="13" t="str">
        <f t="array" ref="H999">iferror(xlookup(A999,'Download of SFDC Activation Rep'!B:B,'Download of SFDC Activation Rep'!L:L),"")</f>
        <v/>
      </c>
      <c r="I999" s="17" t="str">
        <f t="shared" si="2"/>
        <v>Not Active</v>
      </c>
      <c r="J999" s="17" t="str">
        <f t="array" ref="J999">XLOOKUP(A999,'Download of SFDC Activation Rep'!B:B,'Download of SFDC Activation Rep'!T:T)</f>
        <v>#N/A</v>
      </c>
      <c r="K999" s="17" t="str">
        <f t="array" ref="K999">iferror(XLOOKUP(A999,'Download of SFDC Activation Rep'!B:B,'Download of SFDC Activation Rep'!C:C),"")</f>
        <v/>
      </c>
    </row>
    <row r="1000">
      <c r="B1000" s="14"/>
      <c r="C1000" s="14"/>
      <c r="D1000" s="14"/>
      <c r="E1000" s="14"/>
      <c r="F1000" s="14"/>
      <c r="G1000" s="13" t="str">
        <f t="array" ref="G1000">iferror(XLOOKUP(A1000,'Download of SFDC Activation Rep'!B:B,'Download of SFDC Activation Rep'!H:H),"")</f>
        <v/>
      </c>
      <c r="H1000" s="13" t="str">
        <f t="array" ref="H1000">iferror(xlookup(A1000,'Download of SFDC Activation Rep'!B:B,'Download of SFDC Activation Rep'!L:L),"")</f>
        <v/>
      </c>
      <c r="I1000" s="17" t="str">
        <f t="shared" si="2"/>
        <v>Not Active</v>
      </c>
      <c r="J1000" s="17" t="str">
        <f t="array" ref="J1000">XLOOKUP(A1000,'Download of SFDC Activation Rep'!B:B,'Download of SFDC Activation Rep'!T:T)</f>
        <v>#N/A</v>
      </c>
      <c r="K1000" s="17" t="str">
        <f t="array" ref="K1000">iferror(XLOOKUP(A1000,'Download of SFDC Activation Rep'!B:B,'Download of SFDC Activation Rep'!C:C),"")</f>
        <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8.88"/>
    <col customWidth="1" min="3" max="3" width="12.63"/>
    <col customWidth="1" min="4" max="4" width="14.38"/>
    <col customWidth="1" min="6" max="6" width="9.13"/>
    <col customWidth="1" min="7" max="7" width="22.13"/>
    <col customWidth="1" min="9" max="9" width="30.88"/>
  </cols>
  <sheetData>
    <row r="1">
      <c r="A1" s="36"/>
      <c r="B1" s="37" t="s">
        <v>56</v>
      </c>
      <c r="C1" s="37" t="s">
        <v>57</v>
      </c>
      <c r="D1" s="37" t="s">
        <v>58</v>
      </c>
      <c r="E1" s="37" t="s">
        <v>59</v>
      </c>
      <c r="F1" s="37"/>
      <c r="G1" s="36"/>
      <c r="H1" s="36"/>
      <c r="I1" s="38" t="s">
        <v>60</v>
      </c>
      <c r="J1" s="39"/>
      <c r="K1" s="39"/>
      <c r="L1" s="40"/>
      <c r="M1" s="41"/>
      <c r="N1" s="41"/>
      <c r="O1" s="41"/>
      <c r="P1" s="41"/>
      <c r="Q1" s="42"/>
      <c r="R1" s="42"/>
      <c r="S1" s="42"/>
      <c r="T1" s="42"/>
      <c r="U1" s="42"/>
      <c r="V1" s="42"/>
      <c r="W1" s="42"/>
      <c r="X1" s="42"/>
      <c r="Y1" s="42"/>
      <c r="Z1" s="42"/>
      <c r="AA1" s="42"/>
      <c r="AB1" s="42"/>
    </row>
    <row r="2">
      <c r="A2" s="36" t="str">
        <f>'Lifetime Summary Stats'!O1</f>
        <v>LAST DATA PULL:</v>
      </c>
      <c r="B2" s="43">
        <f>'Lifetime Summary Stats'!P1</f>
        <v>46201</v>
      </c>
      <c r="C2" s="43">
        <f>'Current Calendar Quarter Stats'!S1</f>
        <v>46201</v>
      </c>
      <c r="D2" s="43">
        <f>C2</f>
        <v>46201</v>
      </c>
      <c r="E2" s="43">
        <f>'Current Calendar Month Stats'!Q1</f>
        <v>46201</v>
      </c>
      <c r="F2" s="42"/>
      <c r="G2" s="42"/>
      <c r="H2" s="42"/>
      <c r="I2" s="44" t="s">
        <v>61</v>
      </c>
      <c r="J2" s="45">
        <f>NETWORKDAYS(L3,L2,J9:J19)-1</f>
        <v>63</v>
      </c>
      <c r="K2" s="46" t="s">
        <v>62</v>
      </c>
      <c r="L2" s="47">
        <f>TODAY()</f>
        <v>46202</v>
      </c>
      <c r="M2" s="41"/>
      <c r="N2" s="41"/>
      <c r="O2" s="41"/>
      <c r="P2" s="41"/>
      <c r="Q2" s="42"/>
      <c r="R2" s="42"/>
      <c r="S2" s="42"/>
      <c r="T2" s="42"/>
      <c r="U2" s="42"/>
      <c r="V2" s="42"/>
      <c r="W2" s="42"/>
      <c r="X2" s="42"/>
      <c r="Y2" s="42"/>
      <c r="Z2" s="42"/>
      <c r="AA2" s="42"/>
      <c r="AB2" s="42"/>
    </row>
    <row r="3">
      <c r="A3" s="36" t="str">
        <f>'Lifetime Summary Stats'!L1</f>
        <v>Total Orgs</v>
      </c>
      <c r="B3" s="42">
        <f>'Lifetime Summary Stats'!M1</f>
        <v>210</v>
      </c>
      <c r="C3" s="42">
        <f>'Current Calendar Quarter Stats'!P1</f>
        <v>168</v>
      </c>
      <c r="D3" s="42"/>
      <c r="E3" s="42">
        <f>'Current Calendar Month Stats'!N1</f>
        <v>121</v>
      </c>
      <c r="F3" s="42"/>
      <c r="G3" s="42"/>
      <c r="H3" s="42"/>
      <c r="I3" s="44" t="s">
        <v>63</v>
      </c>
      <c r="J3" s="46">
        <f>J4-J2</f>
        <v>2</v>
      </c>
      <c r="K3" s="46" t="s">
        <v>64</v>
      </c>
      <c r="L3" s="47">
        <v>46113.0</v>
      </c>
      <c r="M3" s="41"/>
      <c r="N3" s="41"/>
      <c r="O3" s="41"/>
      <c r="P3" s="41"/>
      <c r="Q3" s="42"/>
      <c r="R3" s="42"/>
      <c r="S3" s="42"/>
      <c r="T3" s="42"/>
      <c r="U3" s="42"/>
      <c r="V3" s="42"/>
      <c r="W3" s="42"/>
      <c r="X3" s="42"/>
      <c r="Y3" s="42"/>
      <c r="Z3" s="42"/>
      <c r="AA3" s="42"/>
      <c r="AB3" s="42"/>
    </row>
    <row r="4">
      <c r="A4" s="36" t="str">
        <f>'Lifetime Summary Stats'!L2</f>
        <v>Total Active Orgs</v>
      </c>
      <c r="B4" s="42">
        <f>'Lifetime Summary Stats'!M2</f>
        <v>146</v>
      </c>
      <c r="C4" s="42">
        <f>'Current Calendar Quarter Stats'!P2</f>
        <v>148</v>
      </c>
      <c r="D4" s="42"/>
      <c r="E4" s="42">
        <f>'Current Calendar Month Stats'!N1</f>
        <v>121</v>
      </c>
      <c r="F4" s="42"/>
      <c r="G4" s="42" t="str">
        <f>'Lifetime Summary Stats'!P2</f>
        <v/>
      </c>
      <c r="H4" s="42"/>
      <c r="I4" s="48" t="s">
        <v>65</v>
      </c>
      <c r="J4" s="49">
        <f>NETWORKDAYS(L3,L4,J9:J19)</f>
        <v>65</v>
      </c>
      <c r="K4" s="49" t="s">
        <v>66</v>
      </c>
      <c r="L4" s="47">
        <v>46203.0</v>
      </c>
      <c r="M4" s="41"/>
      <c r="N4" s="41"/>
      <c r="O4" s="50"/>
      <c r="P4" s="41"/>
      <c r="Q4" s="42"/>
      <c r="R4" s="42"/>
      <c r="S4" s="42"/>
      <c r="T4" s="42"/>
      <c r="U4" s="42"/>
      <c r="V4" s="42"/>
      <c r="W4" s="42"/>
      <c r="X4" s="42"/>
      <c r="Y4" s="42"/>
      <c r="Z4" s="42"/>
      <c r="AA4" s="42"/>
      <c r="AB4" s="42"/>
    </row>
    <row r="5">
      <c r="A5" s="36" t="str">
        <f>'Lifetime Summary Stats'!L3</f>
        <v/>
      </c>
      <c r="B5" s="42" t="str">
        <f>'Lifetime Summary Stats'!M3</f>
        <v/>
      </c>
      <c r="C5" s="42" t="str">
        <f>'Current Calendar Quarter Stats'!P3</f>
        <v/>
      </c>
      <c r="D5" s="42"/>
      <c r="E5" s="42"/>
      <c r="F5" s="42"/>
      <c r="G5" s="42" t="str">
        <f>'Lifetime Summary Stats'!P3</f>
        <v/>
      </c>
      <c r="H5" s="42"/>
      <c r="I5" s="51" t="s">
        <v>67</v>
      </c>
      <c r="J5" s="52">
        <f>J2/J4</f>
        <v>0.9692307692</v>
      </c>
      <c r="K5" s="53"/>
      <c r="L5" s="54"/>
      <c r="M5" s="41"/>
      <c r="N5" s="41"/>
      <c r="O5" s="41"/>
      <c r="P5" s="41"/>
      <c r="Q5" s="42"/>
      <c r="R5" s="42"/>
      <c r="S5" s="42"/>
      <c r="T5" s="42"/>
      <c r="U5" s="42"/>
      <c r="V5" s="42"/>
      <c r="W5" s="42"/>
      <c r="X5" s="42"/>
      <c r="Y5" s="42"/>
      <c r="Z5" s="42"/>
      <c r="AA5" s="42"/>
      <c r="AB5" s="42"/>
    </row>
    <row r="6">
      <c r="A6" s="37" t="s">
        <v>68</v>
      </c>
      <c r="B6" s="55">
        <f>'Lifetime Summary Stats'!M4</f>
        <v>99061.2422</v>
      </c>
      <c r="C6" s="55">
        <f>'Current Calendar Quarter Stats'!P9</f>
        <v>109739.6139</v>
      </c>
      <c r="D6" s="42"/>
      <c r="E6" s="55">
        <f>'Current Calendar Month Stats'!N4</f>
        <v>130241.2161</v>
      </c>
      <c r="F6" s="42"/>
      <c r="G6" s="42" t="str">
        <f>'Lifetime Summary Stats'!P4</f>
        <v/>
      </c>
      <c r="H6" s="42"/>
      <c r="I6" s="41"/>
      <c r="J6" s="41"/>
      <c r="K6" s="41"/>
      <c r="L6" s="41"/>
      <c r="M6" s="41"/>
      <c r="N6" s="41"/>
      <c r="O6" s="41"/>
      <c r="P6" s="41"/>
      <c r="Q6" s="42"/>
      <c r="R6" s="42"/>
      <c r="S6" s="42"/>
      <c r="T6" s="42"/>
      <c r="U6" s="42"/>
      <c r="V6" s="42"/>
      <c r="W6" s="42"/>
      <c r="X6" s="42"/>
      <c r="Y6" s="42"/>
      <c r="Z6" s="42"/>
      <c r="AA6" s="42"/>
      <c r="AB6" s="42"/>
    </row>
    <row r="7">
      <c r="A7" s="37" t="s">
        <v>69</v>
      </c>
      <c r="B7" s="55">
        <f>'Lifetime Summary Stats'!M5</f>
        <v>162.5796234</v>
      </c>
      <c r="C7" s="55">
        <f>'Current Calendar Quarter Stats'!P7</f>
        <v>144.5492202</v>
      </c>
      <c r="D7" s="42"/>
      <c r="E7" s="55">
        <f>'Current Calendar Month Stats'!N6</f>
        <v>227.2065983</v>
      </c>
      <c r="F7" s="42"/>
      <c r="G7" s="42" t="str">
        <f>'Lifetime Summary Stats'!P5</f>
        <v/>
      </c>
      <c r="H7" s="42"/>
      <c r="I7" s="56" t="s">
        <v>70</v>
      </c>
      <c r="J7" s="57"/>
      <c r="K7" s="58"/>
      <c r="L7" s="41"/>
      <c r="M7" s="41"/>
      <c r="N7" s="41"/>
      <c r="O7" s="41"/>
      <c r="P7" s="41"/>
      <c r="Q7" s="42"/>
      <c r="R7" s="42"/>
      <c r="S7" s="42"/>
      <c r="T7" s="42"/>
      <c r="U7" s="42"/>
      <c r="V7" s="42"/>
      <c r="W7" s="42"/>
      <c r="X7" s="42"/>
      <c r="Y7" s="42"/>
      <c r="Z7" s="42"/>
      <c r="AA7" s="42"/>
      <c r="AB7" s="42"/>
    </row>
    <row r="8">
      <c r="A8" s="36" t="str">
        <f>'Lifetime Summary Stats'!L6</f>
        <v/>
      </c>
      <c r="B8" s="42" t="str">
        <f>'Lifetime Summary Stats'!M6</f>
        <v/>
      </c>
      <c r="C8" s="42" t="str">
        <f>'Current Calendar Quarter Stats'!P6</f>
        <v/>
      </c>
      <c r="D8" s="42"/>
      <c r="E8" s="42"/>
      <c r="F8" s="42"/>
      <c r="G8" s="42" t="str">
        <f>'Lifetime Summary Stats'!P6</f>
        <v/>
      </c>
      <c r="H8" s="42"/>
      <c r="I8" s="41"/>
      <c r="J8" s="59"/>
      <c r="K8" s="59"/>
      <c r="L8" s="41"/>
      <c r="M8" s="41"/>
      <c r="N8" s="41"/>
      <c r="O8" s="60"/>
      <c r="P8" s="50"/>
      <c r="Q8" s="42"/>
      <c r="R8" s="42"/>
      <c r="S8" s="42"/>
      <c r="T8" s="42"/>
      <c r="U8" s="42"/>
      <c r="V8" s="42"/>
      <c r="W8" s="42"/>
      <c r="X8" s="42"/>
      <c r="Y8" s="42"/>
      <c r="Z8" s="42"/>
      <c r="AA8" s="42"/>
      <c r="AB8" s="42"/>
    </row>
    <row r="9">
      <c r="A9" s="36"/>
      <c r="B9" s="42"/>
      <c r="C9" s="42"/>
      <c r="D9" s="42"/>
      <c r="E9" s="42"/>
      <c r="F9" s="42" t="str">
        <f>'Current Calendar Month Stats'!O7</f>
        <v/>
      </c>
      <c r="G9" s="42" t="str">
        <f>'Lifetime Summary Stats'!P7</f>
        <v/>
      </c>
      <c r="H9" s="42"/>
      <c r="I9" s="61" t="s">
        <v>71</v>
      </c>
      <c r="J9" s="62">
        <v>46023.0</v>
      </c>
      <c r="K9" s="63">
        <v>45658.0</v>
      </c>
      <c r="L9" s="41"/>
      <c r="M9" s="41"/>
      <c r="Q9" s="42"/>
      <c r="R9" s="42"/>
      <c r="S9" s="42"/>
      <c r="T9" s="42"/>
      <c r="U9" s="42"/>
      <c r="V9" s="42"/>
      <c r="W9" s="42"/>
      <c r="X9" s="42"/>
      <c r="Y9" s="42"/>
      <c r="Z9" s="42"/>
      <c r="AA9" s="42"/>
      <c r="AB9" s="42"/>
    </row>
    <row r="10">
      <c r="A10" s="36"/>
      <c r="B10" s="42"/>
      <c r="C10" s="42"/>
      <c r="D10" s="42"/>
      <c r="E10" s="42"/>
      <c r="F10" s="42"/>
      <c r="G10" s="42"/>
      <c r="H10" s="42"/>
      <c r="I10" s="64" t="s">
        <v>72</v>
      </c>
      <c r="J10" s="62">
        <v>46041.0</v>
      </c>
      <c r="K10" s="41"/>
      <c r="L10" s="41"/>
      <c r="M10" s="41"/>
      <c r="Q10" s="42"/>
      <c r="R10" s="42"/>
      <c r="S10" s="42"/>
      <c r="T10" s="42"/>
      <c r="U10" s="42"/>
      <c r="V10" s="42"/>
      <c r="W10" s="42"/>
      <c r="X10" s="42"/>
      <c r="Y10" s="42"/>
      <c r="Z10" s="42"/>
      <c r="AA10" s="42"/>
      <c r="AB10" s="42"/>
    </row>
    <row r="11">
      <c r="A11" s="36"/>
      <c r="B11" s="42"/>
      <c r="C11" s="42"/>
      <c r="D11" s="42"/>
      <c r="E11" s="42"/>
      <c r="F11" s="42"/>
      <c r="G11" s="42" t="str">
        <f>'Lifetime Summary Stats'!P9</f>
        <v/>
      </c>
      <c r="H11" s="42"/>
      <c r="I11" s="64" t="s">
        <v>73</v>
      </c>
      <c r="J11" s="62">
        <v>46069.0</v>
      </c>
      <c r="K11" s="41"/>
      <c r="L11" s="41"/>
      <c r="M11" s="59"/>
      <c r="Q11" s="42"/>
      <c r="R11" s="42"/>
      <c r="S11" s="42"/>
      <c r="T11" s="42"/>
      <c r="U11" s="42"/>
      <c r="V11" s="42"/>
      <c r="W11" s="42"/>
      <c r="X11" s="42"/>
      <c r="Y11" s="42"/>
      <c r="Z11" s="42"/>
      <c r="AA11" s="42"/>
      <c r="AB11" s="42"/>
    </row>
    <row r="12">
      <c r="A12" s="36"/>
      <c r="B12" s="42"/>
      <c r="C12" s="42"/>
      <c r="D12" s="42"/>
      <c r="E12" s="42"/>
      <c r="F12" s="42"/>
      <c r="G12" s="42" t="str">
        <f>'Lifetime Summary Stats'!P10</f>
        <v/>
      </c>
      <c r="H12" s="42"/>
      <c r="I12" s="64" t="s">
        <v>74</v>
      </c>
      <c r="J12" s="63">
        <v>45803.0</v>
      </c>
      <c r="K12" s="41"/>
      <c r="L12" s="41"/>
      <c r="M12" s="41"/>
      <c r="Q12" s="42"/>
      <c r="R12" s="42"/>
      <c r="S12" s="42"/>
      <c r="T12" s="42"/>
      <c r="U12" s="42"/>
      <c r="V12" s="42"/>
      <c r="W12" s="42"/>
      <c r="X12" s="42"/>
      <c r="Y12" s="42"/>
      <c r="Z12" s="42"/>
      <c r="AA12" s="42"/>
      <c r="AB12" s="42"/>
    </row>
    <row r="13">
      <c r="A13" s="36"/>
      <c r="B13" s="42"/>
      <c r="C13" s="42"/>
      <c r="D13" s="42"/>
      <c r="E13" s="42"/>
      <c r="F13" s="42"/>
      <c r="G13" s="42" t="str">
        <f>'Lifetime Summary Stats'!P11</f>
        <v/>
      </c>
      <c r="H13" s="42"/>
      <c r="I13" s="64" t="s">
        <v>75</v>
      </c>
      <c r="J13" s="63">
        <v>45827.0</v>
      </c>
      <c r="K13" s="41"/>
      <c r="L13" s="41"/>
      <c r="M13" s="65"/>
      <c r="Q13" s="42"/>
      <c r="R13" s="42"/>
      <c r="S13" s="42"/>
      <c r="T13" s="42"/>
      <c r="U13" s="42"/>
      <c r="V13" s="42"/>
      <c r="W13" s="42"/>
      <c r="X13" s="42"/>
      <c r="Y13" s="42"/>
      <c r="Z13" s="42"/>
      <c r="AA13" s="42"/>
      <c r="AB13" s="42"/>
    </row>
    <row r="14">
      <c r="A14" s="36"/>
      <c r="B14" s="42"/>
      <c r="C14" s="42"/>
      <c r="D14" s="42"/>
      <c r="E14" s="42"/>
      <c r="F14" s="42"/>
      <c r="G14" s="42" t="str">
        <f>'Lifetime Summary Stats'!P12</f>
        <v/>
      </c>
      <c r="H14" s="42"/>
      <c r="I14" s="64" t="s">
        <v>76</v>
      </c>
      <c r="J14" s="63">
        <v>45842.0</v>
      </c>
      <c r="K14" s="41"/>
      <c r="L14" s="41"/>
      <c r="M14" s="41"/>
      <c r="Q14" s="42"/>
      <c r="R14" s="42"/>
      <c r="S14" s="42"/>
      <c r="T14" s="42"/>
      <c r="U14" s="42"/>
      <c r="V14" s="42"/>
      <c r="W14" s="42"/>
      <c r="X14" s="42"/>
      <c r="Y14" s="42"/>
      <c r="Z14" s="42"/>
      <c r="AA14" s="42"/>
      <c r="AB14" s="42"/>
    </row>
    <row r="15">
      <c r="A15" s="36" t="str">
        <f>'Lifetime Summary Stats'!L9</f>
        <v>Total GP Generated</v>
      </c>
      <c r="B15" s="55">
        <f>'Lifetime Summary Stats'!M9</f>
        <v>138741.0196</v>
      </c>
      <c r="C15" s="55">
        <f>'Current Calendar Quarter Stats'!P13</f>
        <v>72052.2267</v>
      </c>
      <c r="D15" s="55">
        <f>SUM((C15/$J$2)*$J$4)</f>
        <v>74339.59898</v>
      </c>
      <c r="E15" s="55">
        <f>'Current Calendar Month Stats'!N13</f>
        <v>27491.9984</v>
      </c>
      <c r="F15" s="42"/>
      <c r="G15" s="42" t="str">
        <f>'Lifetime Summary Stats'!P13</f>
        <v/>
      </c>
      <c r="H15" s="42"/>
      <c r="I15" s="64" t="s">
        <v>77</v>
      </c>
      <c r="J15" s="63">
        <v>45901.0</v>
      </c>
      <c r="K15" s="60"/>
      <c r="L15" s="60"/>
      <c r="M15" s="41"/>
      <c r="Q15" s="42"/>
      <c r="R15" s="42"/>
      <c r="S15" s="42"/>
      <c r="T15" s="42"/>
      <c r="U15" s="42"/>
      <c r="V15" s="42"/>
      <c r="W15" s="42"/>
      <c r="X15" s="42"/>
      <c r="Y15" s="42"/>
      <c r="Z15" s="42"/>
      <c r="AA15" s="42"/>
      <c r="AB15" s="42"/>
    </row>
    <row r="16">
      <c r="A16" s="36" t="str">
        <f>'Lifetime Summary Stats'!L10</f>
        <v/>
      </c>
      <c r="B16" s="42" t="str">
        <f>'Lifetime Summary Stats'!M10</f>
        <v/>
      </c>
      <c r="C16" s="42" t="str">
        <f>'Current Calendar Quarter Stats'!P14</f>
        <v/>
      </c>
      <c r="D16" s="42"/>
      <c r="E16" s="42" t="str">
        <f>'Current Calendar Month Stats'!N8</f>
        <v/>
      </c>
      <c r="F16" s="42"/>
      <c r="G16" s="42" t="str">
        <f>'Lifetime Summary Stats'!P14</f>
        <v/>
      </c>
      <c r="H16" s="42"/>
      <c r="I16" s="64" t="s">
        <v>78</v>
      </c>
      <c r="J16" s="63">
        <v>45943.0</v>
      </c>
      <c r="K16" s="59"/>
      <c r="L16" s="41"/>
      <c r="M16" s="41"/>
      <c r="Q16" s="42"/>
      <c r="R16" s="42"/>
      <c r="S16" s="42"/>
      <c r="T16" s="42"/>
      <c r="U16" s="42"/>
      <c r="V16" s="42"/>
      <c r="W16" s="42"/>
      <c r="X16" s="42"/>
      <c r="Y16" s="42"/>
      <c r="Z16" s="42"/>
      <c r="AA16" s="42"/>
      <c r="AB16" s="42"/>
    </row>
    <row r="17">
      <c r="A17" s="36" t="str">
        <f>'Lifetime Summary Stats'!L11</f>
        <v>Total TPV Generated</v>
      </c>
      <c r="B17" s="55">
        <f>'Lifetime Summary Stats'!M11</f>
        <v>107812011.7</v>
      </c>
      <c r="C17" s="55">
        <f>'Current Calendar Quarter Stats'!P15</f>
        <v>54700976.75</v>
      </c>
      <c r="D17" s="55">
        <f>SUM((C17/$J$2)*$J$4)</f>
        <v>56437515.69</v>
      </c>
      <c r="E17" s="55">
        <f>'Current Calendar Month Stats'!N15</f>
        <v>15759187.15</v>
      </c>
      <c r="F17" s="42"/>
      <c r="G17" s="42" t="str">
        <f>'Lifetime Summary Stats'!P15</f>
        <v/>
      </c>
      <c r="H17" s="42"/>
      <c r="I17" s="61" t="s">
        <v>79</v>
      </c>
      <c r="J17" s="63">
        <v>45972.0</v>
      </c>
      <c r="K17" s="41"/>
      <c r="L17" s="41"/>
      <c r="M17" s="41"/>
      <c r="Q17" s="42"/>
      <c r="R17" s="42"/>
      <c r="S17" s="42"/>
      <c r="T17" s="42"/>
      <c r="U17" s="42"/>
      <c r="V17" s="42"/>
      <c r="W17" s="42"/>
      <c r="X17" s="42"/>
      <c r="Y17" s="42"/>
      <c r="Z17" s="42"/>
      <c r="AA17" s="42"/>
      <c r="AB17" s="42"/>
    </row>
    <row r="18">
      <c r="A18" s="36" t="str">
        <f>'Lifetime Summary Stats'!L12</f>
        <v/>
      </c>
      <c r="B18" s="66"/>
      <c r="C18" s="42" t="str">
        <f>'Current Calendar Quarter Stats'!P16</f>
        <v/>
      </c>
      <c r="D18" s="42"/>
      <c r="E18" s="42"/>
      <c r="F18" s="42"/>
      <c r="G18" s="42"/>
      <c r="H18" s="42"/>
      <c r="I18" s="64" t="s">
        <v>80</v>
      </c>
      <c r="J18" s="63">
        <v>45988.0</v>
      </c>
      <c r="K18" s="41"/>
      <c r="L18" s="41"/>
      <c r="M18" s="41"/>
      <c r="Q18" s="42"/>
      <c r="R18" s="42"/>
      <c r="S18" s="42"/>
      <c r="T18" s="42"/>
      <c r="U18" s="42"/>
      <c r="V18" s="42"/>
      <c r="W18" s="42"/>
      <c r="X18" s="42"/>
      <c r="Y18" s="42"/>
      <c r="Z18" s="42"/>
      <c r="AA18" s="42"/>
      <c r="AB18" s="42"/>
    </row>
    <row r="19">
      <c r="A19" s="36" t="str">
        <f>'Lifetime Summary Stats'!L13</f>
        <v/>
      </c>
      <c r="B19" s="67" t="s">
        <v>81</v>
      </c>
      <c r="C19" s="68">
        <v>115414.0</v>
      </c>
      <c r="D19" s="42"/>
      <c r="E19" s="42"/>
      <c r="F19" s="42"/>
      <c r="G19" s="42"/>
      <c r="H19" s="42"/>
      <c r="I19" s="64" t="s">
        <v>82</v>
      </c>
      <c r="J19" s="63">
        <v>46016.0</v>
      </c>
      <c r="K19" s="41"/>
      <c r="L19" s="41"/>
      <c r="M19" s="59"/>
      <c r="Q19" s="42"/>
      <c r="R19" s="42"/>
      <c r="S19" s="42"/>
      <c r="T19" s="42"/>
      <c r="U19" s="42"/>
      <c r="V19" s="42"/>
      <c r="W19" s="42"/>
      <c r="X19" s="42"/>
      <c r="Y19" s="42"/>
      <c r="Z19" s="42"/>
      <c r="AA19" s="42"/>
      <c r="AB19" s="42"/>
    </row>
    <row r="20">
      <c r="A20" s="36"/>
      <c r="B20" s="67" t="s">
        <v>83</v>
      </c>
      <c r="C20" s="69">
        <f>SUM(C15/C19)</f>
        <v>0.6242936447</v>
      </c>
      <c r="D20" s="55">
        <f>C15</f>
        <v>72052.2267</v>
      </c>
      <c r="E20" s="42"/>
      <c r="F20" s="42"/>
      <c r="G20" s="42"/>
      <c r="H20" s="42"/>
      <c r="I20" s="70"/>
      <c r="J20" s="71"/>
      <c r="K20" s="41"/>
      <c r="L20" s="41"/>
      <c r="M20" s="41"/>
      <c r="Q20" s="42"/>
      <c r="R20" s="42"/>
      <c r="S20" s="42"/>
      <c r="T20" s="42"/>
      <c r="U20" s="42"/>
      <c r="V20" s="42"/>
      <c r="W20" s="42"/>
      <c r="X20" s="42"/>
      <c r="Y20" s="42"/>
      <c r="Z20" s="42"/>
      <c r="AA20" s="42"/>
      <c r="AB20" s="42"/>
    </row>
    <row r="21">
      <c r="A21" s="36"/>
      <c r="B21" s="67" t="s">
        <v>84</v>
      </c>
      <c r="C21" s="69">
        <f>SUM(D15/C19)</f>
        <v>0.6441124905</v>
      </c>
      <c r="D21" s="55">
        <f>D15</f>
        <v>74339.59898</v>
      </c>
      <c r="E21" s="42"/>
      <c r="F21" s="42"/>
      <c r="G21" s="42"/>
      <c r="H21" s="42"/>
      <c r="M21" s="65"/>
      <c r="Q21" s="42"/>
      <c r="R21" s="42"/>
      <c r="S21" s="42"/>
      <c r="T21" s="42"/>
      <c r="U21" s="42"/>
      <c r="V21" s="42"/>
      <c r="W21" s="42"/>
      <c r="X21" s="42"/>
      <c r="Y21" s="42"/>
      <c r="Z21" s="42"/>
      <c r="AA21" s="42"/>
      <c r="AB21" s="42"/>
    </row>
    <row r="22">
      <c r="A22" s="42"/>
      <c r="B22" s="42"/>
      <c r="C22" s="42"/>
      <c r="D22" s="42"/>
      <c r="E22" s="42"/>
      <c r="F22" s="42"/>
      <c r="G22" s="42"/>
      <c r="H22" s="42"/>
      <c r="K22" s="41"/>
      <c r="L22" s="41"/>
      <c r="M22" s="41"/>
      <c r="Q22" s="42"/>
      <c r="R22" s="42"/>
      <c r="S22" s="42"/>
      <c r="T22" s="42"/>
      <c r="U22" s="42"/>
      <c r="V22" s="42"/>
      <c r="W22" s="42"/>
      <c r="X22" s="42"/>
      <c r="Y22" s="42"/>
      <c r="Z22" s="42"/>
      <c r="AA22" s="42"/>
      <c r="AB22" s="42"/>
    </row>
    <row r="23">
      <c r="A23" s="37"/>
      <c r="B23" s="72" t="s">
        <v>85</v>
      </c>
      <c r="C23" s="66">
        <v>89.0</v>
      </c>
      <c r="D23" s="66" t="s">
        <v>86</v>
      </c>
      <c r="F23" s="42"/>
      <c r="G23" s="42"/>
      <c r="H23" s="42"/>
      <c r="K23" s="41"/>
      <c r="L23" s="41"/>
      <c r="M23" s="41"/>
      <c r="N23" s="41"/>
      <c r="O23" s="41"/>
      <c r="P23" s="41"/>
      <c r="Q23" s="42"/>
      <c r="R23" s="42"/>
      <c r="S23" s="42"/>
      <c r="T23" s="42"/>
      <c r="U23" s="42"/>
      <c r="V23" s="42"/>
      <c r="W23" s="42"/>
      <c r="X23" s="42"/>
      <c r="Y23" s="42"/>
      <c r="Z23" s="42"/>
      <c r="AA23" s="42"/>
      <c r="AB23" s="42"/>
    </row>
    <row r="24">
      <c r="A24" s="66"/>
      <c r="B24" s="66" t="s">
        <v>87</v>
      </c>
      <c r="C24" s="73">
        <v>2169500.0</v>
      </c>
      <c r="D24" s="66">
        <v>0.0031</v>
      </c>
      <c r="E24" s="66" t="s">
        <v>88</v>
      </c>
      <c r="F24" s="42"/>
      <c r="G24" s="42"/>
      <c r="H24" s="42"/>
      <c r="K24" s="42"/>
      <c r="L24" s="42"/>
      <c r="M24" s="42"/>
      <c r="N24" s="42"/>
      <c r="O24" s="42"/>
      <c r="P24" s="42"/>
      <c r="Q24" s="42"/>
      <c r="R24" s="42"/>
      <c r="S24" s="42"/>
      <c r="T24" s="42"/>
      <c r="U24" s="42"/>
      <c r="V24" s="42"/>
      <c r="W24" s="42"/>
      <c r="X24" s="42"/>
      <c r="Y24" s="42"/>
      <c r="Z24" s="42"/>
      <c r="AA24" s="42"/>
      <c r="AB24" s="42"/>
    </row>
    <row r="25">
      <c r="A25" s="66"/>
      <c r="B25" s="66" t="s">
        <v>89</v>
      </c>
      <c r="C25" s="73">
        <v>215826.0</v>
      </c>
      <c r="D25" s="74">
        <f>SUM(C25/C24)</f>
        <v>0.09948190827</v>
      </c>
      <c r="E25" s="66" t="s">
        <v>90</v>
      </c>
      <c r="F25" s="75">
        <f>SUM(C25/$J$2)</f>
        <v>3425.809524</v>
      </c>
      <c r="G25" s="66" t="s">
        <v>91</v>
      </c>
      <c r="H25" s="42"/>
      <c r="I25" s="42"/>
      <c r="J25" s="42"/>
      <c r="K25" s="42"/>
      <c r="L25" s="42"/>
      <c r="M25" s="42"/>
      <c r="N25" s="42"/>
      <c r="O25" s="42"/>
      <c r="P25" s="42"/>
      <c r="Q25" s="42"/>
      <c r="R25" s="42"/>
      <c r="S25" s="42"/>
      <c r="T25" s="42"/>
      <c r="U25" s="42"/>
      <c r="V25" s="42"/>
      <c r="W25" s="42"/>
      <c r="X25" s="42"/>
      <c r="Y25" s="42"/>
      <c r="Z25" s="42"/>
      <c r="AA25" s="42"/>
      <c r="AB25" s="42"/>
    </row>
    <row r="26">
      <c r="A26" s="66"/>
      <c r="B26" s="66" t="s">
        <v>92</v>
      </c>
      <c r="C26" s="75">
        <f>SUM((C25/$J$2)*$J$4)</f>
        <v>222677.619</v>
      </c>
      <c r="D26" s="42"/>
      <c r="E26" s="42"/>
      <c r="F26" s="42"/>
      <c r="G26" s="42"/>
      <c r="H26" s="42"/>
      <c r="I26" s="42"/>
      <c r="J26" s="42"/>
      <c r="K26" s="42"/>
      <c r="L26" s="42"/>
      <c r="M26" s="42"/>
      <c r="N26" s="42"/>
      <c r="O26" s="42"/>
      <c r="P26" s="42"/>
      <c r="Q26" s="42"/>
      <c r="R26" s="42"/>
      <c r="S26" s="42"/>
      <c r="T26" s="42"/>
      <c r="U26" s="42"/>
      <c r="V26" s="42"/>
      <c r="W26" s="42"/>
      <c r="X26" s="42"/>
      <c r="Y26" s="42"/>
      <c r="Z26" s="42"/>
      <c r="AA26" s="42"/>
      <c r="AB26" s="42"/>
    </row>
    <row r="27">
      <c r="A27" s="66"/>
      <c r="B27" s="66" t="s">
        <v>93</v>
      </c>
      <c r="C27" s="74">
        <f>SUM(C26/C24)</f>
        <v>0.1026400641</v>
      </c>
      <c r="D27" s="42"/>
      <c r="G27" s="42"/>
      <c r="H27" s="42"/>
      <c r="I27" s="42"/>
      <c r="J27" s="42"/>
      <c r="K27" s="42"/>
      <c r="L27" s="42"/>
      <c r="M27" s="42"/>
      <c r="N27" s="42"/>
      <c r="O27" s="42"/>
      <c r="P27" s="42"/>
      <c r="Q27" s="42"/>
      <c r="R27" s="42"/>
      <c r="S27" s="42"/>
      <c r="T27" s="42"/>
      <c r="U27" s="42"/>
      <c r="V27" s="42"/>
      <c r="W27" s="42"/>
      <c r="X27" s="42"/>
      <c r="Y27" s="42"/>
      <c r="Z27" s="42"/>
      <c r="AA27" s="42"/>
      <c r="AB27" s="42"/>
    </row>
    <row r="28">
      <c r="A28" s="37"/>
      <c r="B28" s="37" t="s">
        <v>94</v>
      </c>
      <c r="C28" s="42"/>
      <c r="D28" s="42"/>
      <c r="E28" s="42"/>
      <c r="F28" s="73"/>
      <c r="G28" s="42"/>
      <c r="H28" s="42"/>
      <c r="I28" s="42"/>
      <c r="J28" s="42"/>
      <c r="K28" s="42"/>
      <c r="L28" s="42"/>
      <c r="M28" s="42"/>
      <c r="N28" s="42"/>
      <c r="O28" s="42"/>
      <c r="P28" s="42"/>
      <c r="Q28" s="42"/>
      <c r="R28" s="42"/>
      <c r="S28" s="42"/>
      <c r="T28" s="42"/>
      <c r="U28" s="42"/>
      <c r="V28" s="42"/>
      <c r="W28" s="42"/>
      <c r="X28" s="42"/>
      <c r="Y28" s="42"/>
      <c r="Z28" s="42"/>
      <c r="AA28" s="42"/>
      <c r="AB28" s="42"/>
    </row>
    <row r="29">
      <c r="A29" s="66"/>
      <c r="B29" s="66" t="s">
        <v>87</v>
      </c>
      <c r="C29" s="73">
        <f>(0.027/D29)*C24</f>
        <v>18895645.16</v>
      </c>
      <c r="D29" s="66">
        <v>0.0031</v>
      </c>
      <c r="E29" s="66" t="s">
        <v>88</v>
      </c>
      <c r="F29" s="42"/>
      <c r="G29" s="42"/>
      <c r="H29" s="42"/>
      <c r="I29" s="42"/>
      <c r="J29" s="42"/>
      <c r="K29" s="42"/>
      <c r="L29" s="42"/>
      <c r="M29" s="42"/>
      <c r="N29" s="42"/>
      <c r="O29" s="42"/>
      <c r="P29" s="42"/>
      <c r="Q29" s="42"/>
      <c r="R29" s="42"/>
      <c r="S29" s="42"/>
      <c r="T29" s="42"/>
      <c r="U29" s="42"/>
      <c r="V29" s="42"/>
      <c r="W29" s="42"/>
      <c r="X29" s="42"/>
      <c r="Y29" s="42"/>
      <c r="Z29" s="42"/>
      <c r="AA29" s="42"/>
      <c r="AB29" s="42"/>
    </row>
    <row r="30">
      <c r="A30" s="66"/>
      <c r="B30" s="66" t="s">
        <v>89</v>
      </c>
      <c r="C30" s="73">
        <v>2371000.0</v>
      </c>
      <c r="D30" s="74">
        <f>SUM(C30/C29)</f>
        <v>0.1254786476</v>
      </c>
      <c r="E30" s="66" t="s">
        <v>90</v>
      </c>
      <c r="F30" s="75">
        <f>SUM(C30/$J$2)</f>
        <v>37634.92063</v>
      </c>
      <c r="G30" s="66" t="s">
        <v>95</v>
      </c>
      <c r="H30" s="42"/>
      <c r="I30" s="73"/>
      <c r="J30" s="42"/>
      <c r="K30" s="42"/>
      <c r="L30" s="42"/>
      <c r="M30" s="42"/>
      <c r="N30" s="42"/>
      <c r="O30" s="42"/>
      <c r="P30" s="42"/>
      <c r="Q30" s="42"/>
      <c r="R30" s="42"/>
      <c r="S30" s="42"/>
      <c r="T30" s="42"/>
      <c r="U30" s="42"/>
      <c r="V30" s="42"/>
      <c r="W30" s="42"/>
      <c r="X30" s="42"/>
      <c r="Y30" s="42"/>
      <c r="Z30" s="42"/>
      <c r="AA30" s="42"/>
      <c r="AB30" s="42"/>
    </row>
    <row r="31">
      <c r="A31" s="66"/>
      <c r="B31" s="66" t="s">
        <v>92</v>
      </c>
      <c r="C31" s="75">
        <f>SUM((C30/$J$2)*$J$4)</f>
        <v>2446269.841</v>
      </c>
      <c r="D31" s="66"/>
      <c r="E31" s="66"/>
      <c r="F31" s="42"/>
      <c r="G31" s="42"/>
      <c r="H31" s="42"/>
      <c r="I31" s="73"/>
      <c r="J31" s="42"/>
      <c r="K31" s="42"/>
      <c r="L31" s="42"/>
      <c r="M31" s="42"/>
      <c r="N31" s="42"/>
      <c r="O31" s="42"/>
      <c r="P31" s="42"/>
      <c r="Q31" s="42"/>
      <c r="R31" s="42"/>
      <c r="S31" s="42"/>
      <c r="T31" s="42"/>
      <c r="U31" s="42"/>
      <c r="V31" s="42"/>
      <c r="W31" s="42"/>
      <c r="X31" s="42"/>
      <c r="Y31" s="42"/>
      <c r="Z31" s="42"/>
      <c r="AA31" s="42"/>
      <c r="AB31" s="42"/>
    </row>
    <row r="32">
      <c r="A32" s="66"/>
      <c r="B32" s="66" t="s">
        <v>93</v>
      </c>
      <c r="C32" s="74">
        <f>SUM(C31/C29)</f>
        <v>0.1294620967</v>
      </c>
      <c r="D32" s="42"/>
      <c r="G32" s="42"/>
      <c r="H32" s="42"/>
      <c r="I32" s="42"/>
      <c r="J32" s="42"/>
      <c r="K32" s="42"/>
      <c r="L32" s="42"/>
      <c r="M32" s="42"/>
      <c r="N32" s="42"/>
      <c r="O32" s="42"/>
      <c r="P32" s="42"/>
      <c r="Q32" s="42"/>
      <c r="R32" s="42"/>
      <c r="S32" s="42"/>
      <c r="T32" s="42"/>
      <c r="U32" s="42"/>
      <c r="V32" s="42"/>
      <c r="W32" s="42"/>
      <c r="X32" s="42"/>
      <c r="Y32" s="42"/>
      <c r="Z32" s="42"/>
      <c r="AA32" s="42"/>
      <c r="AB32" s="42"/>
    </row>
    <row r="33">
      <c r="A33" s="37"/>
      <c r="B33" s="37" t="s">
        <v>96</v>
      </c>
      <c r="C33" s="42"/>
      <c r="D33" s="42"/>
      <c r="E33" s="66"/>
      <c r="F33" s="42"/>
      <c r="G33" s="73"/>
      <c r="H33" s="42"/>
      <c r="I33" s="42"/>
      <c r="J33" s="42"/>
      <c r="K33" s="42"/>
      <c r="L33" s="42"/>
      <c r="M33" s="42"/>
      <c r="N33" s="42"/>
      <c r="O33" s="42"/>
      <c r="P33" s="42"/>
      <c r="Q33" s="42"/>
      <c r="R33" s="42"/>
      <c r="S33" s="42"/>
      <c r="T33" s="42"/>
      <c r="U33" s="42"/>
      <c r="V33" s="42"/>
      <c r="W33" s="42"/>
      <c r="X33" s="42"/>
      <c r="Y33" s="42"/>
      <c r="Z33" s="42"/>
      <c r="AA33" s="42"/>
      <c r="AB33" s="42"/>
    </row>
    <row r="34">
      <c r="A34" s="66"/>
      <c r="B34" s="66" t="s">
        <v>87</v>
      </c>
      <c r="C34" s="73">
        <f>C24/D34</f>
        <v>699838709.7</v>
      </c>
      <c r="D34" s="66">
        <v>0.0031</v>
      </c>
      <c r="E34" s="66" t="s">
        <v>88</v>
      </c>
      <c r="F34" s="42"/>
      <c r="G34" s="42"/>
      <c r="H34" s="42"/>
      <c r="I34" s="42"/>
      <c r="J34" s="42"/>
      <c r="K34" s="42"/>
      <c r="L34" s="42"/>
      <c r="M34" s="42"/>
      <c r="N34" s="42"/>
      <c r="O34" s="42"/>
      <c r="P34" s="42"/>
      <c r="Q34" s="42"/>
      <c r="R34" s="42"/>
      <c r="S34" s="42"/>
      <c r="T34" s="42"/>
      <c r="U34" s="42"/>
      <c r="V34" s="42"/>
      <c r="W34" s="42"/>
      <c r="X34" s="42"/>
      <c r="Y34" s="42"/>
      <c r="Z34" s="42"/>
      <c r="AA34" s="42"/>
      <c r="AB34" s="42"/>
    </row>
    <row r="35">
      <c r="A35" s="66"/>
      <c r="B35" s="66" t="s">
        <v>89</v>
      </c>
      <c r="C35" s="73">
        <v>8.674E7</v>
      </c>
      <c r="D35" s="74">
        <f>SUM(C35/C34)</f>
        <v>0.123942844</v>
      </c>
      <c r="E35" s="66" t="s">
        <v>90</v>
      </c>
      <c r="F35" s="75">
        <f>SUM(C35/$J$2)</f>
        <v>1376825.397</v>
      </c>
      <c r="G35" s="66" t="s">
        <v>97</v>
      </c>
      <c r="H35" s="73"/>
      <c r="I35" s="42"/>
      <c r="J35" s="73"/>
      <c r="K35" s="42"/>
      <c r="L35" s="42"/>
      <c r="M35" s="42"/>
      <c r="N35" s="42"/>
      <c r="O35" s="42"/>
      <c r="P35" s="42"/>
      <c r="Q35" s="42"/>
      <c r="R35" s="42"/>
      <c r="S35" s="42"/>
      <c r="T35" s="42"/>
      <c r="U35" s="42"/>
      <c r="V35" s="42"/>
      <c r="W35" s="42"/>
      <c r="X35" s="42"/>
      <c r="Y35" s="42"/>
      <c r="Z35" s="42"/>
      <c r="AA35" s="42"/>
      <c r="AB35" s="42"/>
    </row>
    <row r="36">
      <c r="A36" s="66"/>
      <c r="B36" s="66" t="s">
        <v>92</v>
      </c>
      <c r="C36" s="75">
        <f>SUM((C35/$J$2)*$J$4)</f>
        <v>89493650.79</v>
      </c>
      <c r="D36" s="42"/>
      <c r="E36" s="66"/>
      <c r="F36" s="73"/>
      <c r="G36" s="42"/>
      <c r="H36" s="42"/>
      <c r="I36" s="42"/>
      <c r="J36" s="42"/>
      <c r="K36" s="42"/>
      <c r="L36" s="42"/>
      <c r="M36" s="42"/>
      <c r="N36" s="42"/>
      <c r="O36" s="42"/>
      <c r="P36" s="42"/>
      <c r="Q36" s="42"/>
      <c r="R36" s="42"/>
      <c r="S36" s="42"/>
      <c r="T36" s="42"/>
      <c r="U36" s="42"/>
      <c r="V36" s="42"/>
      <c r="W36" s="42"/>
      <c r="X36" s="42"/>
      <c r="Y36" s="42"/>
      <c r="Z36" s="42"/>
      <c r="AA36" s="42"/>
      <c r="AB36" s="42"/>
    </row>
    <row r="37">
      <c r="A37" s="66"/>
      <c r="B37" s="66" t="s">
        <v>93</v>
      </c>
      <c r="C37" s="74">
        <f>SUM(C36/C34)</f>
        <v>0.1278775374</v>
      </c>
      <c r="D37" s="42"/>
      <c r="G37" s="42"/>
      <c r="H37" s="42"/>
      <c r="I37" s="42"/>
      <c r="J37" s="42"/>
      <c r="K37" s="42"/>
      <c r="L37" s="42"/>
      <c r="M37" s="42"/>
      <c r="N37" s="42"/>
      <c r="O37" s="42"/>
      <c r="P37" s="42"/>
      <c r="Q37" s="42"/>
      <c r="R37" s="42"/>
      <c r="S37" s="42"/>
      <c r="T37" s="42"/>
      <c r="U37" s="42"/>
      <c r="V37" s="42"/>
      <c r="W37" s="42"/>
      <c r="X37" s="42"/>
      <c r="Y37" s="42"/>
      <c r="Z37" s="42"/>
      <c r="AA37" s="42"/>
      <c r="AB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row>
    <row r="39">
      <c r="A39" s="42"/>
      <c r="B39" s="37" t="s">
        <v>98</v>
      </c>
      <c r="C39" s="42">
        <f>C4</f>
        <v>148</v>
      </c>
      <c r="D39" s="66" t="s">
        <v>86</v>
      </c>
      <c r="E39" s="42"/>
      <c r="F39" s="76">
        <f>C7</f>
        <v>144.5492202</v>
      </c>
      <c r="G39" s="37" t="s">
        <v>99</v>
      </c>
      <c r="H39" s="42"/>
      <c r="I39" s="42"/>
      <c r="J39" s="42"/>
      <c r="K39" s="42"/>
      <c r="L39" s="42"/>
      <c r="M39" s="42"/>
      <c r="N39" s="42"/>
      <c r="O39" s="42"/>
      <c r="P39" s="42"/>
      <c r="Q39" s="42"/>
      <c r="R39" s="42"/>
      <c r="S39" s="42"/>
      <c r="T39" s="42"/>
      <c r="U39" s="42"/>
      <c r="V39" s="42"/>
      <c r="W39" s="42"/>
      <c r="X39" s="42"/>
      <c r="Y39" s="42"/>
      <c r="Z39" s="42"/>
      <c r="AA39" s="42"/>
      <c r="AB39" s="42"/>
    </row>
    <row r="40">
      <c r="A40" s="42"/>
      <c r="B40" s="66" t="s">
        <v>87</v>
      </c>
      <c r="C40" s="73">
        <v>105000.0</v>
      </c>
      <c r="D40" s="42"/>
      <c r="E40" s="42"/>
      <c r="F40" s="42"/>
      <c r="G40" s="42"/>
      <c r="H40" s="42"/>
      <c r="I40" s="42"/>
      <c r="J40" s="42"/>
      <c r="K40" s="42"/>
      <c r="L40" s="42"/>
      <c r="M40" s="42"/>
      <c r="N40" s="42"/>
      <c r="O40" s="42"/>
      <c r="P40" s="42"/>
      <c r="Q40" s="42"/>
      <c r="R40" s="42"/>
      <c r="S40" s="42"/>
      <c r="T40" s="42"/>
      <c r="U40" s="42"/>
      <c r="V40" s="42"/>
      <c r="W40" s="42"/>
      <c r="X40" s="42"/>
      <c r="Y40" s="42"/>
      <c r="Z40" s="42"/>
      <c r="AA40" s="42"/>
      <c r="AB40" s="42"/>
    </row>
    <row r="41">
      <c r="A41" s="73"/>
      <c r="B41" s="66" t="s">
        <v>89</v>
      </c>
      <c r="C41" s="73">
        <f>C15</f>
        <v>72052.2267</v>
      </c>
      <c r="D41" s="74">
        <f>SUM(C41/C40)</f>
        <v>0.6862116829</v>
      </c>
      <c r="E41" s="66" t="s">
        <v>90</v>
      </c>
      <c r="F41" s="75">
        <f>SUM(C41/$J$2)</f>
        <v>1143.686138</v>
      </c>
      <c r="G41" s="66" t="s">
        <v>91</v>
      </c>
      <c r="H41" s="42"/>
      <c r="I41" s="42"/>
      <c r="J41" s="42"/>
      <c r="K41" s="42"/>
      <c r="L41" s="42"/>
      <c r="M41" s="42"/>
      <c r="N41" s="42"/>
      <c r="O41" s="42"/>
      <c r="P41" s="42"/>
      <c r="Q41" s="42"/>
      <c r="R41" s="42"/>
      <c r="S41" s="42"/>
      <c r="T41" s="42"/>
      <c r="U41" s="42"/>
      <c r="V41" s="42"/>
      <c r="W41" s="42"/>
      <c r="X41" s="42"/>
      <c r="Y41" s="42"/>
      <c r="Z41" s="42"/>
      <c r="AA41" s="42"/>
      <c r="AB41" s="42"/>
    </row>
    <row r="42">
      <c r="A42" s="66"/>
      <c r="B42" s="66" t="s">
        <v>92</v>
      </c>
      <c r="C42" s="75">
        <f>SUM((C41/$J$2)*$J$4)</f>
        <v>74339.59898</v>
      </c>
      <c r="D42" s="42"/>
      <c r="E42" s="42"/>
      <c r="F42" s="42"/>
      <c r="G42" s="42"/>
      <c r="H42" s="42"/>
      <c r="I42" s="42"/>
      <c r="J42" s="42"/>
      <c r="K42" s="42"/>
      <c r="L42" s="42"/>
      <c r="M42" s="42"/>
      <c r="N42" s="42"/>
      <c r="O42" s="42"/>
      <c r="P42" s="42"/>
      <c r="Q42" s="42"/>
      <c r="R42" s="42"/>
      <c r="S42" s="42"/>
      <c r="T42" s="42"/>
      <c r="U42" s="42"/>
      <c r="V42" s="42"/>
      <c r="W42" s="42"/>
      <c r="X42" s="42"/>
      <c r="Y42" s="42"/>
      <c r="Z42" s="42"/>
      <c r="AA42" s="42"/>
      <c r="AB42" s="42"/>
    </row>
    <row r="43">
      <c r="A43" s="42"/>
      <c r="B43" s="66" t="s">
        <v>93</v>
      </c>
      <c r="C43" s="74">
        <f>SUM(C42/C40)</f>
        <v>0.7079961808</v>
      </c>
      <c r="D43" s="42"/>
      <c r="E43" s="42"/>
      <c r="F43" s="42"/>
      <c r="G43" s="42"/>
      <c r="H43" s="42"/>
      <c r="I43" s="42"/>
      <c r="J43" s="42"/>
      <c r="K43" s="42"/>
      <c r="L43" s="42"/>
      <c r="M43" s="42"/>
      <c r="N43" s="42"/>
      <c r="O43" s="42"/>
      <c r="P43" s="42"/>
      <c r="Q43" s="42"/>
      <c r="R43" s="42"/>
      <c r="S43" s="42"/>
      <c r="T43" s="42"/>
      <c r="U43" s="42"/>
      <c r="V43" s="42"/>
      <c r="W43" s="42"/>
      <c r="X43" s="42"/>
      <c r="Y43" s="42"/>
      <c r="Z43" s="42"/>
      <c r="AA43" s="42"/>
      <c r="AB43" s="42"/>
    </row>
    <row r="44">
      <c r="A44" s="42"/>
      <c r="B44" s="37" t="s">
        <v>100</v>
      </c>
      <c r="C44" s="42">
        <f>C39</f>
        <v>148</v>
      </c>
      <c r="D44" s="66" t="s">
        <v>86</v>
      </c>
      <c r="E44" s="42"/>
      <c r="F44" s="42"/>
      <c r="G44" s="42"/>
      <c r="H44" s="42"/>
      <c r="I44" s="42"/>
      <c r="J44" s="42"/>
      <c r="K44" s="42"/>
      <c r="L44" s="42"/>
      <c r="M44" s="42"/>
      <c r="N44" s="42"/>
      <c r="O44" s="42"/>
      <c r="P44" s="42"/>
      <c r="Q44" s="42"/>
      <c r="R44" s="42"/>
      <c r="S44" s="42"/>
      <c r="T44" s="42"/>
      <c r="U44" s="42"/>
      <c r="V44" s="42"/>
      <c r="W44" s="42"/>
      <c r="X44" s="42"/>
      <c r="Y44" s="42"/>
      <c r="Z44" s="42"/>
      <c r="AA44" s="42"/>
      <c r="AB44" s="42"/>
    </row>
    <row r="45">
      <c r="A45" s="42"/>
      <c r="B45" s="66" t="s">
        <v>87</v>
      </c>
      <c r="C45" s="73">
        <f>C40/D45</f>
        <v>420000</v>
      </c>
      <c r="D45" s="66">
        <v>0.25</v>
      </c>
      <c r="E45" s="66" t="s">
        <v>88</v>
      </c>
      <c r="F45" s="42"/>
      <c r="G45" s="42"/>
      <c r="H45" s="42"/>
      <c r="I45" s="42"/>
      <c r="J45" s="42"/>
      <c r="K45" s="42"/>
      <c r="L45" s="42"/>
      <c r="M45" s="42"/>
      <c r="N45" s="42"/>
      <c r="O45" s="42"/>
      <c r="P45" s="42"/>
      <c r="Q45" s="42"/>
      <c r="R45" s="42"/>
      <c r="S45" s="42"/>
      <c r="T45" s="42"/>
      <c r="U45" s="42"/>
      <c r="V45" s="42"/>
      <c r="W45" s="42"/>
      <c r="X45" s="42"/>
      <c r="Y45" s="42"/>
      <c r="Z45" s="42"/>
      <c r="AA45" s="42"/>
      <c r="AB45" s="42"/>
    </row>
    <row r="46">
      <c r="A46" s="42"/>
      <c r="B46" s="66" t="s">
        <v>89</v>
      </c>
      <c r="C46" s="75">
        <v>43753.44543500002</v>
      </c>
      <c r="D46" s="74">
        <f>SUM(C46/C45)</f>
        <v>0.1041748701</v>
      </c>
      <c r="E46" s="66" t="s">
        <v>90</v>
      </c>
      <c r="F46" s="75">
        <f>SUM(C46/$J$2)</f>
        <v>694.4991339</v>
      </c>
      <c r="G46" s="66" t="s">
        <v>95</v>
      </c>
      <c r="H46" s="42"/>
      <c r="I46" s="66" t="s">
        <v>101</v>
      </c>
      <c r="J46" s="42"/>
      <c r="K46" s="42"/>
      <c r="L46" s="42"/>
      <c r="M46" s="42"/>
      <c r="N46" s="42"/>
      <c r="O46" s="42"/>
      <c r="P46" s="42"/>
      <c r="Q46" s="42"/>
      <c r="R46" s="42"/>
      <c r="S46" s="42"/>
      <c r="T46" s="42"/>
      <c r="U46" s="42"/>
      <c r="V46" s="42"/>
      <c r="W46" s="42"/>
      <c r="X46" s="42"/>
      <c r="Y46" s="42"/>
      <c r="Z46" s="42"/>
      <c r="AA46" s="42"/>
      <c r="AB46" s="42"/>
    </row>
    <row r="47">
      <c r="A47" s="42"/>
      <c r="B47" s="66" t="s">
        <v>92</v>
      </c>
      <c r="C47" s="75">
        <f>SUM((C46/$J$2)*$J$4)</f>
        <v>45142.4437</v>
      </c>
      <c r="D47" s="42"/>
      <c r="E47" s="66"/>
      <c r="F47" s="42"/>
      <c r="G47" s="42"/>
      <c r="H47" s="42"/>
      <c r="I47" s="42"/>
      <c r="J47" s="42"/>
      <c r="K47" s="42"/>
      <c r="L47" s="42"/>
      <c r="M47" s="42"/>
      <c r="N47" s="42"/>
      <c r="O47" s="42"/>
      <c r="P47" s="42"/>
      <c r="Q47" s="42"/>
      <c r="R47" s="42"/>
      <c r="S47" s="42"/>
      <c r="T47" s="42"/>
      <c r="U47" s="42"/>
      <c r="V47" s="42"/>
      <c r="W47" s="42"/>
      <c r="X47" s="42"/>
      <c r="Y47" s="42"/>
      <c r="Z47" s="42"/>
      <c r="AA47" s="42"/>
      <c r="AB47" s="42"/>
    </row>
    <row r="48">
      <c r="A48" s="42"/>
      <c r="B48" s="66" t="s">
        <v>93</v>
      </c>
      <c r="C48" s="74">
        <f>SUM(C47/C45)</f>
        <v>0.1074820088</v>
      </c>
      <c r="D48" s="42"/>
      <c r="E48" s="42"/>
      <c r="F48" s="42"/>
      <c r="G48" s="42"/>
      <c r="H48" s="42"/>
      <c r="I48" s="42"/>
      <c r="J48" s="42"/>
      <c r="K48" s="42"/>
      <c r="L48" s="42"/>
      <c r="M48" s="42"/>
      <c r="N48" s="42"/>
      <c r="O48" s="42"/>
      <c r="P48" s="42"/>
      <c r="Q48" s="42"/>
      <c r="R48" s="42"/>
      <c r="S48" s="42"/>
      <c r="T48" s="42"/>
      <c r="U48" s="42"/>
      <c r="V48" s="42"/>
      <c r="W48" s="42"/>
      <c r="X48" s="42"/>
      <c r="Y48" s="42"/>
      <c r="Z48" s="42"/>
      <c r="AA48" s="42"/>
      <c r="AB48" s="42"/>
    </row>
    <row r="49">
      <c r="A49" s="42"/>
      <c r="B49" s="37" t="s">
        <v>102</v>
      </c>
      <c r="C49" s="42">
        <f>C39</f>
        <v>148</v>
      </c>
      <c r="D49" s="66" t="s">
        <v>86</v>
      </c>
      <c r="E49" s="66"/>
      <c r="F49" s="42"/>
      <c r="G49" s="42"/>
      <c r="H49" s="42"/>
      <c r="I49" s="42"/>
      <c r="J49" s="42"/>
      <c r="K49" s="42"/>
      <c r="L49" s="42"/>
      <c r="M49" s="42"/>
      <c r="N49" s="42"/>
      <c r="O49" s="42"/>
      <c r="P49" s="42"/>
      <c r="Q49" s="42"/>
      <c r="R49" s="42"/>
      <c r="S49" s="42"/>
      <c r="T49" s="42"/>
      <c r="U49" s="42"/>
      <c r="V49" s="42"/>
      <c r="W49" s="42"/>
      <c r="X49" s="42"/>
      <c r="Y49" s="42"/>
      <c r="Z49" s="42"/>
      <c r="AA49" s="42"/>
      <c r="AB49" s="42"/>
    </row>
    <row r="50">
      <c r="A50" s="42"/>
      <c r="B50" s="66" t="s">
        <v>87</v>
      </c>
      <c r="C50" s="73">
        <f>C40/D50</f>
        <v>116666666.7</v>
      </c>
      <c r="D50" s="66">
        <v>9.0E-4</v>
      </c>
      <c r="E50" s="66" t="s">
        <v>88</v>
      </c>
      <c r="F50" s="42"/>
      <c r="G50" s="42"/>
      <c r="H50" s="42"/>
      <c r="I50" s="42"/>
      <c r="J50" s="42"/>
      <c r="K50" s="42"/>
      <c r="L50" s="42"/>
      <c r="M50" s="42"/>
      <c r="N50" s="42"/>
      <c r="O50" s="42"/>
      <c r="P50" s="42"/>
      <c r="Q50" s="42"/>
      <c r="R50" s="42"/>
      <c r="S50" s="42"/>
      <c r="T50" s="42"/>
      <c r="U50" s="42"/>
      <c r="V50" s="42"/>
      <c r="W50" s="42"/>
      <c r="X50" s="42"/>
      <c r="Y50" s="42"/>
      <c r="Z50" s="42"/>
      <c r="AA50" s="42"/>
      <c r="AB50" s="42"/>
    </row>
    <row r="51">
      <c r="A51" s="42"/>
      <c r="B51" s="66" t="s">
        <v>89</v>
      </c>
      <c r="C51" s="73">
        <f>C17</f>
        <v>54700976.75</v>
      </c>
      <c r="D51" s="74">
        <f>SUM(C51/C50)</f>
        <v>0.468865515</v>
      </c>
      <c r="E51" s="66" t="s">
        <v>90</v>
      </c>
      <c r="F51" s="75">
        <f>SUM(C51/$J$2)</f>
        <v>868269.4722</v>
      </c>
      <c r="G51" s="66" t="s">
        <v>97</v>
      </c>
      <c r="H51" s="42"/>
      <c r="I51" s="74">
        <f>F41/F51</f>
        <v>0.00131720183</v>
      </c>
      <c r="J51" s="66" t="s">
        <v>103</v>
      </c>
      <c r="K51" s="42"/>
      <c r="L51" s="42"/>
      <c r="M51" s="42"/>
      <c r="N51" s="42"/>
      <c r="O51" s="42"/>
      <c r="P51" s="42"/>
      <c r="Q51" s="42"/>
      <c r="R51" s="42"/>
      <c r="S51" s="42"/>
      <c r="T51" s="42"/>
      <c r="U51" s="42"/>
      <c r="V51" s="42"/>
      <c r="W51" s="42"/>
      <c r="X51" s="42"/>
      <c r="Y51" s="42"/>
      <c r="Z51" s="42"/>
      <c r="AA51" s="42"/>
      <c r="AB51" s="42"/>
    </row>
    <row r="52">
      <c r="A52" s="42"/>
      <c r="B52" s="66" t="s">
        <v>92</v>
      </c>
      <c r="C52" s="75">
        <f>SUM((C51/$J$2)*$J$4)</f>
        <v>56437515.69</v>
      </c>
      <c r="D52" s="42"/>
      <c r="E52" s="42"/>
      <c r="F52" s="42"/>
      <c r="G52" s="42"/>
      <c r="H52" s="42"/>
      <c r="I52" s="42"/>
      <c r="J52" s="42"/>
      <c r="K52" s="42"/>
      <c r="L52" s="42"/>
      <c r="M52" s="42"/>
      <c r="N52" s="42"/>
      <c r="O52" s="42"/>
      <c r="P52" s="42"/>
      <c r="Q52" s="42"/>
      <c r="R52" s="42"/>
      <c r="S52" s="42"/>
      <c r="T52" s="42"/>
      <c r="U52" s="42"/>
      <c r="V52" s="42"/>
      <c r="W52" s="42"/>
      <c r="X52" s="42"/>
      <c r="Y52" s="42"/>
      <c r="Z52" s="42"/>
      <c r="AA52" s="42"/>
      <c r="AB52" s="42"/>
    </row>
    <row r="53">
      <c r="A53" s="42"/>
      <c r="B53" s="66" t="s">
        <v>93</v>
      </c>
      <c r="C53" s="74">
        <f>SUM(C52/C50)</f>
        <v>0.4837501345</v>
      </c>
      <c r="D53" s="42"/>
      <c r="E53" s="42"/>
      <c r="F53" s="55"/>
      <c r="G53" s="42"/>
      <c r="H53" s="42"/>
      <c r="I53" s="42"/>
      <c r="J53" s="42"/>
      <c r="K53" s="42"/>
      <c r="L53" s="42"/>
      <c r="M53" s="42"/>
      <c r="N53" s="42"/>
      <c r="O53" s="42"/>
      <c r="P53" s="42"/>
      <c r="Q53" s="42"/>
      <c r="R53" s="42"/>
      <c r="S53" s="42"/>
      <c r="T53" s="42"/>
      <c r="U53" s="42"/>
      <c r="V53" s="42"/>
      <c r="W53" s="42"/>
      <c r="X53" s="42"/>
      <c r="Y53" s="42"/>
      <c r="Z53" s="42"/>
      <c r="AA53" s="42"/>
      <c r="AB53" s="42"/>
    </row>
    <row r="54">
      <c r="A54" s="42"/>
      <c r="B54" s="42"/>
      <c r="C54" s="42"/>
      <c r="D54" s="42"/>
      <c r="E54" s="42"/>
      <c r="F54" s="55"/>
      <c r="G54" s="42"/>
      <c r="H54" s="42"/>
      <c r="I54" s="42"/>
      <c r="J54" s="42"/>
      <c r="K54" s="42"/>
      <c r="L54" s="42"/>
      <c r="M54" s="42"/>
      <c r="N54" s="42"/>
      <c r="O54" s="42"/>
      <c r="P54" s="42"/>
      <c r="Q54" s="42"/>
      <c r="R54" s="42"/>
      <c r="S54" s="42"/>
      <c r="T54" s="42"/>
      <c r="U54" s="42"/>
      <c r="V54" s="42"/>
      <c r="W54" s="42"/>
      <c r="X54" s="42"/>
      <c r="Y54" s="42"/>
      <c r="Z54" s="42"/>
      <c r="AA54" s="42"/>
      <c r="AB54" s="42"/>
    </row>
    <row r="55">
      <c r="A55" s="42"/>
      <c r="B55" s="42"/>
      <c r="C55" s="42"/>
      <c r="D55" s="42"/>
      <c r="E55" s="55"/>
      <c r="F55" s="42"/>
      <c r="G55" s="42"/>
      <c r="H55" s="42"/>
      <c r="I55" s="42"/>
      <c r="J55" s="42"/>
      <c r="K55" s="42"/>
      <c r="L55" s="42"/>
      <c r="M55" s="42"/>
      <c r="N55" s="42"/>
      <c r="O55" s="42"/>
      <c r="P55" s="42"/>
      <c r="Q55" s="42"/>
      <c r="R55" s="42"/>
      <c r="S55" s="42"/>
      <c r="T55" s="42"/>
      <c r="U55" s="42"/>
      <c r="V55" s="42"/>
      <c r="W55" s="42"/>
      <c r="X55" s="42"/>
      <c r="Y55" s="42"/>
      <c r="Z55" s="42"/>
      <c r="AA55" s="42"/>
      <c r="AB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row>
  </sheetData>
  <mergeCells count="1">
    <mergeCell ref="I1:L1"/>
  </mergeCells>
  <hyperlinks>
    <hyperlink r:id="rId1" location="/site/tlv/views/PaybyCardIncentiveMonitoring/Monitoring/0378efb1-7e9d-4acf-99d1-34601f5f92af/UHVGTMGoal?:iid=1" ref="B2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104</v>
      </c>
      <c r="I1" s="2" t="s">
        <v>7</v>
      </c>
      <c r="J1" s="2" t="s">
        <v>8</v>
      </c>
      <c r="K1" s="2" t="s">
        <v>9</v>
      </c>
      <c r="L1" s="2" t="s">
        <v>10</v>
      </c>
      <c r="M1" s="2" t="s">
        <v>11</v>
      </c>
      <c r="N1" s="2" t="s">
        <v>12</v>
      </c>
      <c r="O1" s="3" t="s">
        <v>13</v>
      </c>
      <c r="P1" s="2" t="s">
        <v>14</v>
      </c>
      <c r="Q1" s="2" t="s">
        <v>15</v>
      </c>
      <c r="R1" s="4" t="s">
        <v>16</v>
      </c>
    </row>
    <row r="2">
      <c r="A2" s="5" t="s">
        <v>19</v>
      </c>
      <c r="B2" s="6">
        <v>46143.0</v>
      </c>
      <c r="C2" s="7">
        <v>4440958.0</v>
      </c>
      <c r="D2" s="6">
        <v>46054.0</v>
      </c>
      <c r="E2" s="7">
        <v>5.0</v>
      </c>
      <c r="F2" s="7">
        <v>0.0</v>
      </c>
      <c r="G2" s="7">
        <v>615065.0</v>
      </c>
      <c r="H2" s="7">
        <v>175763.0</v>
      </c>
      <c r="I2" s="7">
        <v>16376.89</v>
      </c>
      <c r="J2" s="8"/>
      <c r="K2" s="7">
        <v>1107.2548</v>
      </c>
      <c r="L2" s="7">
        <v>550.065694318</v>
      </c>
      <c r="M2" s="7">
        <v>557.189105682</v>
      </c>
      <c r="N2" s="7">
        <v>64.0</v>
      </c>
      <c r="O2" s="9">
        <v>2313.7142999999996</v>
      </c>
      <c r="P2" s="10">
        <v>46072.0</v>
      </c>
      <c r="Q2" s="11">
        <v>46054.0</v>
      </c>
      <c r="R2" s="12" t="s">
        <v>18</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105</v>
      </c>
      <c r="B1" s="17" t="s">
        <v>106</v>
      </c>
      <c r="C1" s="17" t="s">
        <v>107</v>
      </c>
      <c r="D1" s="17" t="s">
        <v>29</v>
      </c>
      <c r="E1" s="17" t="s">
        <v>108</v>
      </c>
      <c r="F1" s="17" t="s">
        <v>109</v>
      </c>
      <c r="G1" s="17" t="s">
        <v>110</v>
      </c>
      <c r="H1" s="17" t="s">
        <v>111</v>
      </c>
      <c r="I1" s="17" t="s">
        <v>112</v>
      </c>
      <c r="J1" s="17" t="s">
        <v>113</v>
      </c>
      <c r="K1" s="17" t="s">
        <v>114</v>
      </c>
      <c r="L1" s="17" t="s">
        <v>115</v>
      </c>
      <c r="M1" s="17" t="s">
        <v>116</v>
      </c>
      <c r="N1" s="17" t="s">
        <v>32</v>
      </c>
      <c r="O1" s="17" t="s">
        <v>117</v>
      </c>
      <c r="P1" s="17" t="s">
        <v>118</v>
      </c>
      <c r="Q1" s="17" t="s">
        <v>119</v>
      </c>
      <c r="R1" s="17" t="s">
        <v>120</v>
      </c>
      <c r="S1" s="17" t="s">
        <v>121</v>
      </c>
      <c r="T1" s="17" t="s">
        <v>25</v>
      </c>
      <c r="U1" s="17" t="s">
        <v>26</v>
      </c>
      <c r="V1" s="17" t="s">
        <v>122</v>
      </c>
      <c r="W1" s="17" t="s">
        <v>28</v>
      </c>
      <c r="X1" s="17" t="s">
        <v>123</v>
      </c>
    </row>
    <row r="2">
      <c r="A2" s="17" t="s">
        <v>124</v>
      </c>
      <c r="B2" s="17" t="s">
        <v>125</v>
      </c>
      <c r="C2" s="17" t="s">
        <v>126</v>
      </c>
      <c r="D2" s="17" t="s">
        <v>127</v>
      </c>
      <c r="E2" s="17">
        <v>0.0</v>
      </c>
      <c r="F2" s="17">
        <v>100.0</v>
      </c>
      <c r="G2" s="17">
        <v>13.0</v>
      </c>
      <c r="H2" s="17">
        <v>196.0</v>
      </c>
      <c r="I2" s="31">
        <v>45778.0</v>
      </c>
      <c r="N2" s="31">
        <v>45791.0</v>
      </c>
      <c r="P2" s="17" t="s">
        <v>128</v>
      </c>
      <c r="R2" s="17" t="s">
        <v>129</v>
      </c>
      <c r="S2" s="77" t="s">
        <v>130</v>
      </c>
      <c r="U2" s="17" t="s">
        <v>131</v>
      </c>
      <c r="V2" s="17">
        <v>3916711.0</v>
      </c>
      <c r="W2" s="17" t="s">
        <v>128</v>
      </c>
      <c r="X2" s="17" t="s">
        <v>132</v>
      </c>
      <c r="Y2" s="13" t="str">
        <f t="array" ref="Y2">XLOOKUP(V2,'Lifetime Summary Stats'!A:A,'Lifetime Summary Stats'!A:A)</f>
        <v>#N/A</v>
      </c>
    </row>
    <row r="3">
      <c r="A3" s="17" t="s">
        <v>133</v>
      </c>
      <c r="B3" s="17" t="s">
        <v>134</v>
      </c>
      <c r="C3" s="17" t="s">
        <v>135</v>
      </c>
      <c r="D3" s="17" t="s">
        <v>136</v>
      </c>
      <c r="E3" s="17">
        <v>80.0</v>
      </c>
      <c r="F3" s="17">
        <v>100.0</v>
      </c>
      <c r="G3" s="17">
        <v>0.0</v>
      </c>
      <c r="H3" s="17">
        <v>177.0</v>
      </c>
      <c r="I3" s="31">
        <v>45797.0</v>
      </c>
      <c r="N3" s="31">
        <v>45797.0</v>
      </c>
      <c r="P3" s="17" t="s">
        <v>128</v>
      </c>
      <c r="R3" s="17" t="s">
        <v>129</v>
      </c>
      <c r="S3" s="17" t="s">
        <v>137</v>
      </c>
      <c r="T3" s="17" t="s">
        <v>138</v>
      </c>
      <c r="U3" s="17" t="s">
        <v>138</v>
      </c>
      <c r="V3" s="17">
        <v>3935770.0</v>
      </c>
      <c r="W3" s="17" t="s">
        <v>128</v>
      </c>
      <c r="X3" s="17" t="s">
        <v>132</v>
      </c>
      <c r="Y3" s="13">
        <f t="array" ref="Y3">XLOOKUP(V3,'Lifetime Summary Stats'!A:A,'Lifetime Summary Stats'!A:A)</f>
        <v>3935770</v>
      </c>
    </row>
    <row r="4">
      <c r="A4" s="17" t="s">
        <v>139</v>
      </c>
      <c r="B4" s="17" t="s">
        <v>140</v>
      </c>
      <c r="C4" s="17" t="s">
        <v>141</v>
      </c>
      <c r="D4" s="17" t="s">
        <v>142</v>
      </c>
      <c r="E4" s="17">
        <v>80.0</v>
      </c>
      <c r="F4" s="17">
        <v>100.0</v>
      </c>
      <c r="G4" s="17">
        <v>0.0</v>
      </c>
      <c r="H4" s="17">
        <v>170.0</v>
      </c>
      <c r="I4" s="31">
        <v>45804.0</v>
      </c>
      <c r="N4" s="31">
        <v>45804.0</v>
      </c>
      <c r="P4" s="17" t="s">
        <v>128</v>
      </c>
      <c r="R4" s="17" t="s">
        <v>129</v>
      </c>
      <c r="S4" s="77" t="s">
        <v>143</v>
      </c>
      <c r="T4" s="17" t="s">
        <v>138</v>
      </c>
      <c r="V4" s="17">
        <v>3945715.0</v>
      </c>
      <c r="W4" s="17" t="s">
        <v>128</v>
      </c>
      <c r="X4" s="17" t="s">
        <v>132</v>
      </c>
      <c r="Y4" s="13">
        <f t="array" ref="Y4">XLOOKUP(V4,'Lifetime Summary Stats'!A:A,'Lifetime Summary Stats'!A:A)</f>
        <v>3945715</v>
      </c>
    </row>
    <row r="5">
      <c r="A5" s="17" t="s">
        <v>144</v>
      </c>
      <c r="B5" s="17" t="s">
        <v>145</v>
      </c>
      <c r="C5" s="17" t="s">
        <v>146</v>
      </c>
      <c r="D5" s="17" t="s">
        <v>147</v>
      </c>
      <c r="E5" s="17">
        <v>80.0</v>
      </c>
      <c r="F5" s="17">
        <v>100.0</v>
      </c>
      <c r="G5" s="17">
        <v>0.0</v>
      </c>
      <c r="H5" s="17">
        <v>169.0</v>
      </c>
      <c r="I5" s="31">
        <v>45805.0</v>
      </c>
      <c r="N5" s="31">
        <v>45805.0</v>
      </c>
      <c r="P5" s="17" t="s">
        <v>128</v>
      </c>
      <c r="R5" s="17" t="s">
        <v>129</v>
      </c>
      <c r="S5" s="17" t="s">
        <v>148</v>
      </c>
      <c r="T5" s="17" t="s">
        <v>138</v>
      </c>
      <c r="V5" s="17">
        <v>3946131.0</v>
      </c>
      <c r="W5" s="17" t="s">
        <v>128</v>
      </c>
      <c r="X5" s="17" t="s">
        <v>132</v>
      </c>
      <c r="Y5" s="13">
        <f t="array" ref="Y5">XLOOKUP(V5,'Lifetime Summary Stats'!A:A,'Lifetime Summary Stats'!A:A)</f>
        <v>3946131</v>
      </c>
    </row>
    <row r="6">
      <c r="A6" s="17" t="s">
        <v>149</v>
      </c>
      <c r="B6" s="17" t="s">
        <v>150</v>
      </c>
      <c r="C6" s="17" t="s">
        <v>151</v>
      </c>
      <c r="D6" s="17" t="s">
        <v>152</v>
      </c>
      <c r="E6" s="17">
        <v>55.0</v>
      </c>
      <c r="F6" s="17">
        <v>100.0</v>
      </c>
      <c r="G6" s="17">
        <v>0.0</v>
      </c>
      <c r="H6" s="17">
        <v>169.0</v>
      </c>
      <c r="I6" s="31">
        <v>45805.0</v>
      </c>
      <c r="L6" s="17" t="s">
        <v>153</v>
      </c>
      <c r="N6" s="31">
        <v>45805.0</v>
      </c>
      <c r="P6" s="17" t="s">
        <v>128</v>
      </c>
      <c r="R6" s="17" t="s">
        <v>129</v>
      </c>
      <c r="S6" s="17" t="s">
        <v>148</v>
      </c>
      <c r="T6" s="17" t="s">
        <v>138</v>
      </c>
      <c r="V6" s="17">
        <v>3947424.0</v>
      </c>
      <c r="W6" s="17" t="s">
        <v>128</v>
      </c>
      <c r="X6" s="17" t="s">
        <v>132</v>
      </c>
      <c r="Y6" s="13">
        <f t="array" ref="Y6">XLOOKUP(V6,'Lifetime Summary Stats'!A:A,'Lifetime Summary Stats'!A:A)</f>
        <v>3947424</v>
      </c>
    </row>
    <row r="7">
      <c r="A7" s="17" t="s">
        <v>154</v>
      </c>
      <c r="B7" s="17" t="s">
        <v>155</v>
      </c>
      <c r="C7" s="17" t="s">
        <v>156</v>
      </c>
      <c r="D7" s="17" t="s">
        <v>157</v>
      </c>
      <c r="E7" s="17">
        <v>25.0</v>
      </c>
      <c r="F7" s="17">
        <v>100.0</v>
      </c>
      <c r="G7" s="17">
        <v>0.0</v>
      </c>
      <c r="H7" s="17">
        <v>168.0</v>
      </c>
      <c r="I7" s="31">
        <v>45806.0</v>
      </c>
      <c r="L7" s="17" t="s">
        <v>158</v>
      </c>
      <c r="N7" s="31">
        <v>45806.0</v>
      </c>
      <c r="P7" s="17" t="s">
        <v>128</v>
      </c>
      <c r="R7" s="17" t="s">
        <v>129</v>
      </c>
      <c r="S7" s="17" t="s">
        <v>137</v>
      </c>
      <c r="T7" s="17" t="s">
        <v>138</v>
      </c>
      <c r="U7" s="17" t="s">
        <v>138</v>
      </c>
      <c r="V7" s="17">
        <v>3785914.0</v>
      </c>
      <c r="W7" s="17" t="s">
        <v>128</v>
      </c>
      <c r="X7" s="17" t="s">
        <v>132</v>
      </c>
      <c r="Y7" s="13">
        <f t="array" ref="Y7">XLOOKUP(V7,'Lifetime Summary Stats'!A:A,'Lifetime Summary Stats'!A:A)</f>
        <v>3785914</v>
      </c>
    </row>
    <row r="8">
      <c r="A8" s="17" t="s">
        <v>159</v>
      </c>
      <c r="B8" s="17" t="s">
        <v>160</v>
      </c>
      <c r="C8" s="17" t="s">
        <v>161</v>
      </c>
      <c r="D8" s="17" t="s">
        <v>162</v>
      </c>
      <c r="E8" s="17">
        <v>25.0</v>
      </c>
      <c r="F8" s="17">
        <v>100.0</v>
      </c>
      <c r="G8" s="17">
        <v>0.0</v>
      </c>
      <c r="H8" s="17">
        <v>168.0</v>
      </c>
      <c r="I8" s="31">
        <v>45806.0</v>
      </c>
      <c r="L8" s="17" t="s">
        <v>158</v>
      </c>
      <c r="N8" s="31">
        <v>45806.0</v>
      </c>
      <c r="P8" s="17" t="s">
        <v>128</v>
      </c>
      <c r="R8" s="17" t="s">
        <v>129</v>
      </c>
      <c r="S8" s="17" t="s">
        <v>137</v>
      </c>
      <c r="T8" s="17" t="s">
        <v>163</v>
      </c>
      <c r="U8" s="17" t="s">
        <v>131</v>
      </c>
      <c r="V8" s="17">
        <v>3738104.0</v>
      </c>
      <c r="W8" s="17" t="s">
        <v>128</v>
      </c>
      <c r="X8" s="17" t="s">
        <v>132</v>
      </c>
      <c r="Y8" s="13">
        <f t="array" ref="Y8">XLOOKUP(V8,'Lifetime Summary Stats'!A:A,'Lifetime Summary Stats'!A:A)</f>
        <v>3738104</v>
      </c>
    </row>
    <row r="9">
      <c r="A9" s="17" t="s">
        <v>164</v>
      </c>
      <c r="B9" s="17" t="s">
        <v>165</v>
      </c>
      <c r="C9" s="17" t="s">
        <v>166</v>
      </c>
      <c r="D9" s="17" t="s">
        <v>167</v>
      </c>
      <c r="E9" s="17">
        <v>0.0</v>
      </c>
      <c r="F9" s="17">
        <v>100.0</v>
      </c>
      <c r="G9" s="17">
        <v>3.0</v>
      </c>
      <c r="H9" s="17">
        <v>165.0</v>
      </c>
      <c r="I9" s="31">
        <v>45809.0</v>
      </c>
      <c r="N9" s="31">
        <v>45812.0</v>
      </c>
      <c r="P9" s="17" t="s">
        <v>128</v>
      </c>
      <c r="R9" s="17" t="s">
        <v>129</v>
      </c>
      <c r="S9" s="17" t="s">
        <v>168</v>
      </c>
      <c r="T9" s="17" t="s">
        <v>138</v>
      </c>
      <c r="V9" s="17">
        <v>3942346.0</v>
      </c>
      <c r="W9" s="17" t="s">
        <v>128</v>
      </c>
      <c r="X9" s="17" t="s">
        <v>132</v>
      </c>
      <c r="Y9" s="13">
        <f t="array" ref="Y9">XLOOKUP(V9,'Lifetime Summary Stats'!A:A,'Lifetime Summary Stats'!A:A)</f>
        <v>3942346</v>
      </c>
    </row>
    <row r="10">
      <c r="A10" s="17" t="s">
        <v>169</v>
      </c>
      <c r="B10" s="17" t="s">
        <v>170</v>
      </c>
      <c r="C10" s="17" t="s">
        <v>171</v>
      </c>
      <c r="D10" s="17" t="s">
        <v>172</v>
      </c>
      <c r="E10" s="17">
        <v>25.0</v>
      </c>
      <c r="F10" s="17">
        <v>100.0</v>
      </c>
      <c r="G10" s="17">
        <v>0.0</v>
      </c>
      <c r="H10" s="17">
        <v>157.0</v>
      </c>
      <c r="I10" s="31">
        <v>45817.0</v>
      </c>
      <c r="L10" s="17" t="s">
        <v>173</v>
      </c>
      <c r="N10" s="31">
        <v>45817.0</v>
      </c>
      <c r="P10" s="17" t="s">
        <v>128</v>
      </c>
      <c r="R10" s="17" t="s">
        <v>129</v>
      </c>
      <c r="S10" s="17" t="s">
        <v>148</v>
      </c>
      <c r="T10" s="17" t="s">
        <v>138</v>
      </c>
      <c r="V10" s="17">
        <v>3934711.0</v>
      </c>
      <c r="W10" s="17" t="s">
        <v>128</v>
      </c>
      <c r="X10" s="17" t="s">
        <v>132</v>
      </c>
      <c r="Y10" s="13">
        <f t="array" ref="Y10">XLOOKUP(V10,'Lifetime Summary Stats'!A:A,'Lifetime Summary Stats'!A:A)</f>
        <v>3934711</v>
      </c>
    </row>
    <row r="11">
      <c r="A11" s="17" t="s">
        <v>174</v>
      </c>
      <c r="B11" s="17" t="s">
        <v>175</v>
      </c>
      <c r="C11" s="17" t="s">
        <v>176</v>
      </c>
      <c r="D11" s="17" t="s">
        <v>177</v>
      </c>
      <c r="E11" s="17">
        <v>25.0</v>
      </c>
      <c r="F11" s="17">
        <v>100.0</v>
      </c>
      <c r="G11" s="17">
        <v>19.0</v>
      </c>
      <c r="H11" s="17">
        <v>175.0</v>
      </c>
      <c r="I11" s="31">
        <v>45799.0</v>
      </c>
      <c r="J11" s="31">
        <v>45809.0</v>
      </c>
      <c r="K11" s="31">
        <v>45809.0</v>
      </c>
      <c r="L11" s="17" t="s">
        <v>178</v>
      </c>
      <c r="N11" s="31">
        <v>45818.0</v>
      </c>
      <c r="P11" s="17" t="s">
        <v>128</v>
      </c>
      <c r="R11" s="17" t="s">
        <v>129</v>
      </c>
      <c r="S11" s="17" t="s">
        <v>148</v>
      </c>
      <c r="T11" s="17" t="s">
        <v>138</v>
      </c>
      <c r="V11" s="17">
        <v>3952865.0</v>
      </c>
      <c r="W11" s="17" t="s">
        <v>128</v>
      </c>
      <c r="X11" s="17" t="s">
        <v>132</v>
      </c>
      <c r="Y11" s="13">
        <f t="array" ref="Y11">XLOOKUP(V11,'Lifetime Summary Stats'!A:A,'Lifetime Summary Stats'!A:A)</f>
        <v>3952865</v>
      </c>
    </row>
    <row r="12">
      <c r="A12" s="17" t="s">
        <v>179</v>
      </c>
      <c r="B12" s="17" t="s">
        <v>180</v>
      </c>
      <c r="C12" s="17" t="s">
        <v>181</v>
      </c>
      <c r="D12" s="17" t="s">
        <v>182</v>
      </c>
      <c r="E12" s="17">
        <v>0.0</v>
      </c>
      <c r="F12" s="17">
        <v>100.0</v>
      </c>
      <c r="G12" s="17">
        <v>10.0</v>
      </c>
      <c r="H12" s="17">
        <v>165.0</v>
      </c>
      <c r="I12" s="31">
        <v>45809.0</v>
      </c>
      <c r="N12" s="31">
        <v>45819.0</v>
      </c>
      <c r="P12" s="17" t="s">
        <v>128</v>
      </c>
      <c r="R12" s="17" t="s">
        <v>129</v>
      </c>
      <c r="S12" s="77" t="s">
        <v>130</v>
      </c>
      <c r="U12" s="17" t="s">
        <v>138</v>
      </c>
      <c r="V12" s="17">
        <v>3942651.0</v>
      </c>
      <c r="W12" s="17" t="s">
        <v>128</v>
      </c>
      <c r="X12" s="17" t="s">
        <v>132</v>
      </c>
      <c r="Y12" s="13">
        <f t="array" ref="Y12">XLOOKUP(V12,'Lifetime Summary Stats'!A:A,'Lifetime Summary Stats'!A:A)</f>
        <v>3942651</v>
      </c>
    </row>
    <row r="13">
      <c r="A13" s="17" t="s">
        <v>183</v>
      </c>
      <c r="B13" s="17" t="s">
        <v>184</v>
      </c>
      <c r="C13" s="17" t="s">
        <v>185</v>
      </c>
      <c r="D13" s="17" t="s">
        <v>186</v>
      </c>
      <c r="E13" s="17">
        <v>80.0</v>
      </c>
      <c r="F13" s="17">
        <v>100.0</v>
      </c>
      <c r="G13" s="17">
        <v>17.0</v>
      </c>
      <c r="H13" s="17">
        <v>165.0</v>
      </c>
      <c r="I13" s="31">
        <v>45809.0</v>
      </c>
      <c r="N13" s="31">
        <v>45826.0</v>
      </c>
      <c r="P13" s="17" t="s">
        <v>128</v>
      </c>
      <c r="R13" s="17" t="s">
        <v>129</v>
      </c>
      <c r="S13" s="17" t="s">
        <v>148</v>
      </c>
      <c r="T13" s="17" t="s">
        <v>138</v>
      </c>
      <c r="V13" s="17">
        <v>3968250.0</v>
      </c>
      <c r="W13" s="17" t="s">
        <v>128</v>
      </c>
      <c r="X13" s="17" t="s">
        <v>132</v>
      </c>
      <c r="Y13" s="13">
        <f t="array" ref="Y13">XLOOKUP(V13,'Lifetime Summary Stats'!A:A,'Lifetime Summary Stats'!A:A)</f>
        <v>3968250</v>
      </c>
    </row>
    <row r="14">
      <c r="A14" s="17" t="s">
        <v>187</v>
      </c>
      <c r="B14" s="17" t="s">
        <v>188</v>
      </c>
      <c r="C14" s="17" t="s">
        <v>189</v>
      </c>
      <c r="D14" s="17" t="s">
        <v>190</v>
      </c>
      <c r="E14" s="17">
        <v>25.0</v>
      </c>
      <c r="F14" s="17">
        <v>100.0</v>
      </c>
      <c r="G14" s="17">
        <v>9.0</v>
      </c>
      <c r="H14" s="17">
        <v>154.0</v>
      </c>
      <c r="I14" s="31">
        <v>45820.0</v>
      </c>
      <c r="J14" s="31">
        <v>45821.0</v>
      </c>
      <c r="K14" s="31">
        <v>45821.0</v>
      </c>
      <c r="N14" s="31">
        <v>45829.0</v>
      </c>
      <c r="P14" s="17" t="s">
        <v>128</v>
      </c>
      <c r="R14" s="17" t="s">
        <v>129</v>
      </c>
      <c r="S14" s="17" t="s">
        <v>148</v>
      </c>
      <c r="U14" s="17" t="s">
        <v>163</v>
      </c>
      <c r="V14" s="17">
        <v>3934664.0</v>
      </c>
      <c r="W14" s="17" t="s">
        <v>128</v>
      </c>
      <c r="X14" s="17" t="s">
        <v>132</v>
      </c>
      <c r="Y14" s="13">
        <f t="array" ref="Y14">XLOOKUP(V14,'Lifetime Summary Stats'!A:A,'Lifetime Summary Stats'!A:A)</f>
        <v>3934664</v>
      </c>
    </row>
    <row r="15">
      <c r="A15" s="17" t="s">
        <v>191</v>
      </c>
      <c r="B15" s="17" t="s">
        <v>192</v>
      </c>
      <c r="C15" s="17" t="s">
        <v>193</v>
      </c>
      <c r="D15" s="17" t="s">
        <v>194</v>
      </c>
      <c r="E15" s="17">
        <v>0.0</v>
      </c>
      <c r="F15" s="17">
        <v>100.0</v>
      </c>
      <c r="G15" s="17">
        <v>12.0</v>
      </c>
      <c r="H15" s="17">
        <v>154.0</v>
      </c>
      <c r="I15" s="31">
        <v>45820.0</v>
      </c>
      <c r="N15" s="31">
        <v>45832.0</v>
      </c>
      <c r="P15" s="17" t="s">
        <v>128</v>
      </c>
      <c r="R15" s="17" t="s">
        <v>129</v>
      </c>
      <c r="S15" s="17" t="s">
        <v>195</v>
      </c>
      <c r="U15" s="17" t="s">
        <v>131</v>
      </c>
      <c r="V15" s="17">
        <v>492746.0</v>
      </c>
      <c r="W15" s="17" t="s">
        <v>128</v>
      </c>
      <c r="X15" s="17" t="s">
        <v>132</v>
      </c>
      <c r="Y15" s="13">
        <f t="array" ref="Y15">XLOOKUP(V15,'Lifetime Summary Stats'!A:A,'Lifetime Summary Stats'!A:A)</f>
        <v>492746</v>
      </c>
    </row>
    <row r="16">
      <c r="A16" s="17" t="s">
        <v>196</v>
      </c>
      <c r="B16" s="17" t="s">
        <v>197</v>
      </c>
      <c r="C16" s="17" t="s">
        <v>198</v>
      </c>
      <c r="D16" s="17" t="s">
        <v>199</v>
      </c>
      <c r="E16" s="17">
        <v>0.0</v>
      </c>
      <c r="F16" s="17">
        <v>100.0</v>
      </c>
      <c r="G16" s="17">
        <v>0.0</v>
      </c>
      <c r="H16" s="17">
        <v>98.0</v>
      </c>
      <c r="I16" s="31">
        <v>45876.0</v>
      </c>
      <c r="N16" s="31">
        <v>45833.0</v>
      </c>
      <c r="P16" s="17" t="s">
        <v>128</v>
      </c>
      <c r="R16" s="17" t="s">
        <v>129</v>
      </c>
      <c r="S16" s="17" t="s">
        <v>200</v>
      </c>
      <c r="T16" s="17" t="s">
        <v>138</v>
      </c>
      <c r="V16" s="17">
        <v>3962143.0</v>
      </c>
      <c r="W16" s="17" t="s">
        <v>128</v>
      </c>
      <c r="X16" s="17" t="s">
        <v>132</v>
      </c>
      <c r="Y16" s="13">
        <f t="array" ref="Y16">XLOOKUP(V16,'Lifetime Summary Stats'!A:A,'Lifetime Summary Stats'!A:A)</f>
        <v>3962143</v>
      </c>
    </row>
    <row r="17">
      <c r="A17" s="17" t="s">
        <v>201</v>
      </c>
      <c r="B17" s="17" t="s">
        <v>202</v>
      </c>
      <c r="C17" s="17" t="s">
        <v>203</v>
      </c>
      <c r="D17" s="17" t="s">
        <v>204</v>
      </c>
      <c r="E17" s="17">
        <v>0.0</v>
      </c>
      <c r="F17" s="17">
        <v>100.0</v>
      </c>
      <c r="G17" s="17">
        <v>13.0</v>
      </c>
      <c r="H17" s="17">
        <v>149.0</v>
      </c>
      <c r="I17" s="31">
        <v>45825.0</v>
      </c>
      <c r="N17" s="31">
        <v>45838.0</v>
      </c>
      <c r="P17" s="17" t="s">
        <v>128</v>
      </c>
      <c r="R17" s="17" t="s">
        <v>129</v>
      </c>
      <c r="S17" s="17" t="s">
        <v>148</v>
      </c>
      <c r="T17" s="17" t="s">
        <v>131</v>
      </c>
      <c r="V17" s="17">
        <v>3970546.0</v>
      </c>
      <c r="W17" s="17" t="s">
        <v>128</v>
      </c>
      <c r="X17" s="17" t="s">
        <v>132</v>
      </c>
      <c r="Y17" s="13">
        <f t="array" ref="Y17">XLOOKUP(V17,'Lifetime Summary Stats'!A:A,'Lifetime Summary Stats'!A:A)</f>
        <v>3970546</v>
      </c>
    </row>
    <row r="18">
      <c r="A18" s="17" t="s">
        <v>205</v>
      </c>
      <c r="B18" s="17" t="s">
        <v>206</v>
      </c>
      <c r="C18" s="17" t="s">
        <v>207</v>
      </c>
      <c r="D18" s="17" t="s">
        <v>208</v>
      </c>
      <c r="E18" s="17">
        <v>0.0</v>
      </c>
      <c r="F18" s="17">
        <v>100.0</v>
      </c>
      <c r="G18" s="17">
        <v>29.0</v>
      </c>
      <c r="H18" s="17">
        <v>165.0</v>
      </c>
      <c r="I18" s="31">
        <v>45809.0</v>
      </c>
      <c r="N18" s="31">
        <v>45838.0</v>
      </c>
      <c r="P18" s="17" t="s">
        <v>128</v>
      </c>
      <c r="R18" s="17" t="s">
        <v>129</v>
      </c>
      <c r="S18" s="77" t="s">
        <v>130</v>
      </c>
      <c r="U18" s="17" t="s">
        <v>138</v>
      </c>
      <c r="V18" s="17">
        <v>3977410.0</v>
      </c>
      <c r="W18" s="17" t="s">
        <v>128</v>
      </c>
      <c r="X18" s="17" t="s">
        <v>132</v>
      </c>
      <c r="Y18" s="13">
        <f t="array" ref="Y18">XLOOKUP(V18,'Lifetime Summary Stats'!A:A,'Lifetime Summary Stats'!A:A)</f>
        <v>3977410</v>
      </c>
    </row>
    <row r="19">
      <c r="A19" s="17" t="s">
        <v>209</v>
      </c>
      <c r="B19" s="17" t="s">
        <v>165</v>
      </c>
      <c r="C19" s="17" t="s">
        <v>210</v>
      </c>
      <c r="D19" s="17" t="s">
        <v>211</v>
      </c>
      <c r="E19" s="17">
        <v>0.0</v>
      </c>
      <c r="F19" s="17">
        <v>100.0</v>
      </c>
      <c r="G19" s="17">
        <v>0.0</v>
      </c>
      <c r="H19" s="17">
        <v>135.0</v>
      </c>
      <c r="I19" s="31">
        <v>45839.0</v>
      </c>
      <c r="N19" s="31">
        <v>45839.0</v>
      </c>
      <c r="P19" s="17" t="s">
        <v>128</v>
      </c>
      <c r="R19" s="17" t="s">
        <v>129</v>
      </c>
      <c r="S19" s="77" t="s">
        <v>130</v>
      </c>
      <c r="U19" s="17" t="s">
        <v>163</v>
      </c>
      <c r="V19" s="17">
        <v>3987123.0</v>
      </c>
      <c r="W19" s="17" t="s">
        <v>128</v>
      </c>
      <c r="X19" s="17" t="s">
        <v>132</v>
      </c>
      <c r="Y19" s="13">
        <f t="array" ref="Y19">XLOOKUP(V19,'Lifetime Summary Stats'!A:A,'Lifetime Summary Stats'!A:A)</f>
        <v>3987123</v>
      </c>
    </row>
    <row r="20">
      <c r="A20" s="17" t="s">
        <v>212</v>
      </c>
      <c r="B20" s="17" t="s">
        <v>213</v>
      </c>
      <c r="C20" s="17" t="s">
        <v>214</v>
      </c>
      <c r="D20" s="17" t="s">
        <v>215</v>
      </c>
      <c r="E20" s="17">
        <v>25.0</v>
      </c>
      <c r="F20" s="17">
        <v>100.0</v>
      </c>
      <c r="G20" s="17">
        <v>2.0</v>
      </c>
      <c r="H20" s="17">
        <v>135.0</v>
      </c>
      <c r="I20" s="31">
        <v>45839.0</v>
      </c>
      <c r="N20" s="31">
        <v>45841.0</v>
      </c>
      <c r="P20" s="17" t="s">
        <v>128</v>
      </c>
      <c r="R20" s="17" t="s">
        <v>129</v>
      </c>
      <c r="S20" s="77" t="s">
        <v>130</v>
      </c>
      <c r="T20" s="17" t="s">
        <v>138</v>
      </c>
      <c r="V20" s="17">
        <v>3959338.0</v>
      </c>
      <c r="W20" s="17" t="s">
        <v>128</v>
      </c>
      <c r="X20" s="17" t="s">
        <v>132</v>
      </c>
      <c r="Y20" s="13">
        <f t="array" ref="Y20">XLOOKUP(V20,'Lifetime Summary Stats'!A:A,'Lifetime Summary Stats'!A:A)</f>
        <v>3959338</v>
      </c>
    </row>
    <row r="21">
      <c r="A21" s="17" t="s">
        <v>216</v>
      </c>
      <c r="B21" s="17" t="s">
        <v>217</v>
      </c>
      <c r="C21" s="17" t="s">
        <v>218</v>
      </c>
      <c r="D21" s="17" t="s">
        <v>219</v>
      </c>
      <c r="E21" s="17">
        <v>80.0</v>
      </c>
      <c r="F21" s="17">
        <v>100.0</v>
      </c>
      <c r="G21" s="17">
        <v>32.0</v>
      </c>
      <c r="H21" s="17">
        <v>164.0</v>
      </c>
      <c r="I21" s="31">
        <v>45810.0</v>
      </c>
      <c r="N21" s="31">
        <v>45842.0</v>
      </c>
      <c r="P21" s="17" t="s">
        <v>128</v>
      </c>
      <c r="R21" s="17" t="s">
        <v>129</v>
      </c>
      <c r="S21" s="17" t="s">
        <v>200</v>
      </c>
      <c r="U21" s="17" t="s">
        <v>138</v>
      </c>
      <c r="V21" s="17">
        <v>3825826.0</v>
      </c>
      <c r="W21" s="17" t="s">
        <v>128</v>
      </c>
      <c r="X21" s="17" t="s">
        <v>132</v>
      </c>
      <c r="Y21" s="13">
        <f t="array" ref="Y21">XLOOKUP(V21,'Lifetime Summary Stats'!A:A,'Lifetime Summary Stats'!A:A)</f>
        <v>3825826</v>
      </c>
    </row>
    <row r="22">
      <c r="A22" s="17" t="s">
        <v>220</v>
      </c>
      <c r="B22" s="17" t="s">
        <v>221</v>
      </c>
      <c r="C22" s="17" t="s">
        <v>222</v>
      </c>
      <c r="D22" s="17" t="s">
        <v>223</v>
      </c>
      <c r="E22" s="17">
        <v>0.0</v>
      </c>
      <c r="F22" s="17">
        <v>100.0</v>
      </c>
      <c r="G22" s="17">
        <v>0.0</v>
      </c>
      <c r="H22" s="17">
        <v>126.0</v>
      </c>
      <c r="I22" s="31">
        <v>45848.0</v>
      </c>
      <c r="N22" s="31">
        <v>45847.0</v>
      </c>
      <c r="P22" s="17" t="s">
        <v>128</v>
      </c>
      <c r="R22" s="17" t="s">
        <v>129</v>
      </c>
      <c r="S22" s="17" t="s">
        <v>148</v>
      </c>
      <c r="T22" s="17" t="s">
        <v>131</v>
      </c>
      <c r="V22" s="17">
        <v>3991830.0</v>
      </c>
      <c r="W22" s="17" t="s">
        <v>128</v>
      </c>
      <c r="X22" s="17" t="s">
        <v>132</v>
      </c>
      <c r="Y22" s="13" t="str">
        <f t="array" ref="Y22">XLOOKUP(V22,'Lifetime Summary Stats'!A:A,'Lifetime Summary Stats'!A:A)</f>
        <v>#N/A</v>
      </c>
    </row>
    <row r="23">
      <c r="A23" s="17" t="s">
        <v>224</v>
      </c>
      <c r="B23" s="17" t="s">
        <v>225</v>
      </c>
      <c r="C23" s="17" t="s">
        <v>226</v>
      </c>
      <c r="D23" s="17" t="s">
        <v>227</v>
      </c>
      <c r="E23" s="17">
        <v>25.0</v>
      </c>
      <c r="F23" s="17">
        <v>100.0</v>
      </c>
      <c r="G23" s="17">
        <v>31.0</v>
      </c>
      <c r="H23" s="17">
        <v>157.0</v>
      </c>
      <c r="I23" s="31">
        <v>45817.0</v>
      </c>
      <c r="N23" s="31">
        <v>45848.0</v>
      </c>
      <c r="P23" s="17" t="s">
        <v>128</v>
      </c>
      <c r="R23" s="17" t="s">
        <v>129</v>
      </c>
      <c r="S23" s="77" t="s">
        <v>130</v>
      </c>
      <c r="U23" s="17" t="s">
        <v>138</v>
      </c>
      <c r="V23" s="17">
        <v>3275131.0</v>
      </c>
      <c r="W23" s="17" t="s">
        <v>128</v>
      </c>
      <c r="X23" s="17" t="s">
        <v>132</v>
      </c>
      <c r="Y23" s="13">
        <f t="array" ref="Y23">XLOOKUP(V23,'Lifetime Summary Stats'!A:A,'Lifetime Summary Stats'!A:A)</f>
        <v>3275131</v>
      </c>
    </row>
    <row r="24">
      <c r="A24" s="17" t="s">
        <v>228</v>
      </c>
      <c r="B24" s="17" t="s">
        <v>229</v>
      </c>
      <c r="C24" s="17" t="s">
        <v>230</v>
      </c>
      <c r="D24" s="17" t="s">
        <v>231</v>
      </c>
      <c r="E24" s="17">
        <v>0.0</v>
      </c>
      <c r="F24" s="17">
        <v>100.0</v>
      </c>
      <c r="G24" s="17">
        <v>0.0</v>
      </c>
      <c r="H24" s="17">
        <v>98.0</v>
      </c>
      <c r="I24" s="31">
        <v>45876.0</v>
      </c>
      <c r="N24" s="31">
        <v>45849.0</v>
      </c>
      <c r="P24" s="17" t="s">
        <v>128</v>
      </c>
      <c r="R24" s="17" t="s">
        <v>129</v>
      </c>
      <c r="S24" s="17" t="s">
        <v>148</v>
      </c>
      <c r="U24" s="17" t="s">
        <v>138</v>
      </c>
      <c r="V24" s="17">
        <v>3997416.0</v>
      </c>
      <c r="W24" s="17" t="s">
        <v>128</v>
      </c>
      <c r="X24" s="17" t="s">
        <v>132</v>
      </c>
      <c r="Y24" s="13">
        <f t="array" ref="Y24">XLOOKUP(V24,'Lifetime Summary Stats'!A:A,'Lifetime Summary Stats'!A:A)</f>
        <v>3997416</v>
      </c>
    </row>
    <row r="25">
      <c r="A25" s="17" t="s">
        <v>232</v>
      </c>
      <c r="B25" s="17" t="s">
        <v>233</v>
      </c>
      <c r="C25" s="17" t="s">
        <v>234</v>
      </c>
      <c r="D25" s="17" t="s">
        <v>235</v>
      </c>
      <c r="E25" s="17">
        <v>25.0</v>
      </c>
      <c r="F25" s="17">
        <v>100.0</v>
      </c>
      <c r="G25" s="17">
        <v>0.0</v>
      </c>
      <c r="H25" s="17">
        <v>125.0</v>
      </c>
      <c r="I25" s="31">
        <v>45849.0</v>
      </c>
      <c r="N25" s="31">
        <v>45849.0</v>
      </c>
      <c r="P25" s="17" t="s">
        <v>128</v>
      </c>
      <c r="R25" s="17" t="s">
        <v>129</v>
      </c>
      <c r="S25" s="17" t="s">
        <v>148</v>
      </c>
      <c r="T25" s="17" t="s">
        <v>138</v>
      </c>
      <c r="V25" s="17">
        <v>4011819.0</v>
      </c>
      <c r="W25" s="17" t="s">
        <v>128</v>
      </c>
      <c r="X25" s="17" t="s">
        <v>132</v>
      </c>
      <c r="Y25" s="13">
        <f t="array" ref="Y25">XLOOKUP(V25,'Lifetime Summary Stats'!A:A,'Lifetime Summary Stats'!A:A)</f>
        <v>4011819</v>
      </c>
    </row>
    <row r="26">
      <c r="A26" s="17" t="s">
        <v>236</v>
      </c>
      <c r="B26" s="17" t="s">
        <v>237</v>
      </c>
      <c r="C26" s="17" t="s">
        <v>238</v>
      </c>
      <c r="D26" s="17" t="s">
        <v>239</v>
      </c>
      <c r="E26" s="17">
        <v>80.0</v>
      </c>
      <c r="F26" s="17">
        <v>100.0</v>
      </c>
      <c r="G26" s="17">
        <v>14.0</v>
      </c>
      <c r="H26" s="17">
        <v>135.0</v>
      </c>
      <c r="I26" s="31">
        <v>45839.0</v>
      </c>
      <c r="N26" s="31">
        <v>45853.0</v>
      </c>
      <c r="P26" s="17" t="s">
        <v>128</v>
      </c>
      <c r="R26" s="17" t="s">
        <v>129</v>
      </c>
      <c r="S26" s="17" t="s">
        <v>148</v>
      </c>
      <c r="T26" s="17" t="s">
        <v>138</v>
      </c>
      <c r="V26" s="17">
        <v>4010351.0</v>
      </c>
      <c r="W26" s="17" t="s">
        <v>128</v>
      </c>
      <c r="X26" s="17" t="s">
        <v>132</v>
      </c>
      <c r="Y26" s="13">
        <f t="array" ref="Y26">XLOOKUP(V26,'Lifetime Summary Stats'!A:A,'Lifetime Summary Stats'!A:A)</f>
        <v>4010351</v>
      </c>
    </row>
    <row r="27">
      <c r="A27" s="17" t="s">
        <v>240</v>
      </c>
      <c r="B27" s="17" t="s">
        <v>241</v>
      </c>
      <c r="C27" s="17" t="s">
        <v>242</v>
      </c>
      <c r="D27" s="17" t="s">
        <v>243</v>
      </c>
      <c r="E27" s="17">
        <v>80.0</v>
      </c>
      <c r="F27" s="17">
        <v>100.0</v>
      </c>
      <c r="G27" s="17">
        <v>16.0</v>
      </c>
      <c r="H27" s="17">
        <v>136.0</v>
      </c>
      <c r="I27" s="31">
        <v>45838.0</v>
      </c>
      <c r="N27" s="31">
        <v>45854.0</v>
      </c>
      <c r="P27" s="17" t="s">
        <v>128</v>
      </c>
      <c r="R27" s="17" t="s">
        <v>129</v>
      </c>
      <c r="S27" s="17" t="s">
        <v>244</v>
      </c>
      <c r="T27" s="17" t="s">
        <v>131</v>
      </c>
      <c r="V27" s="17">
        <v>4011251.0</v>
      </c>
      <c r="W27" s="17" t="s">
        <v>128</v>
      </c>
      <c r="X27" s="17" t="s">
        <v>132</v>
      </c>
      <c r="Y27" s="13">
        <f t="array" ref="Y27">XLOOKUP(V27,'Lifetime Summary Stats'!A:A,'Lifetime Summary Stats'!A:A)</f>
        <v>4011251</v>
      </c>
    </row>
    <row r="28">
      <c r="A28" s="17" t="s">
        <v>245</v>
      </c>
      <c r="B28" s="17" t="s">
        <v>246</v>
      </c>
      <c r="C28" s="17" t="s">
        <v>247</v>
      </c>
      <c r="D28" s="17" t="s">
        <v>248</v>
      </c>
      <c r="E28" s="17">
        <v>0.0</v>
      </c>
      <c r="F28" s="17">
        <v>100.0</v>
      </c>
      <c r="G28" s="17">
        <v>32.0</v>
      </c>
      <c r="H28" s="17">
        <v>150.0</v>
      </c>
      <c r="I28" s="31">
        <v>45824.0</v>
      </c>
      <c r="N28" s="31">
        <v>45856.0</v>
      </c>
      <c r="P28" s="17" t="s">
        <v>128</v>
      </c>
      <c r="R28" s="17" t="s">
        <v>129</v>
      </c>
      <c r="S28" s="17" t="s">
        <v>148</v>
      </c>
      <c r="T28" s="17" t="s">
        <v>131</v>
      </c>
      <c r="V28" s="17">
        <v>3782339.0</v>
      </c>
      <c r="W28" s="17" t="s">
        <v>128</v>
      </c>
      <c r="X28" s="17" t="s">
        <v>132</v>
      </c>
      <c r="Y28" s="13">
        <f t="array" ref="Y28">XLOOKUP(V28,'Lifetime Summary Stats'!A:A,'Lifetime Summary Stats'!A:A)</f>
        <v>3782339</v>
      </c>
    </row>
    <row r="29">
      <c r="A29" s="17" t="s">
        <v>249</v>
      </c>
      <c r="B29" s="17" t="s">
        <v>250</v>
      </c>
      <c r="C29" s="17" t="s">
        <v>251</v>
      </c>
      <c r="D29" s="17" t="s">
        <v>252</v>
      </c>
      <c r="E29" s="17">
        <v>80.0</v>
      </c>
      <c r="F29" s="17">
        <v>100.0</v>
      </c>
      <c r="G29" s="17">
        <v>41.0</v>
      </c>
      <c r="H29" s="17">
        <v>156.0</v>
      </c>
      <c r="I29" s="31">
        <v>45818.0</v>
      </c>
      <c r="N29" s="31">
        <v>45859.0</v>
      </c>
      <c r="P29" s="17" t="s">
        <v>128</v>
      </c>
      <c r="R29" s="17" t="s">
        <v>129</v>
      </c>
      <c r="S29" s="17" t="s">
        <v>148</v>
      </c>
      <c r="T29" s="17" t="s">
        <v>138</v>
      </c>
      <c r="V29" s="17">
        <v>4018525.0</v>
      </c>
      <c r="W29" s="17" t="s">
        <v>128</v>
      </c>
      <c r="X29" s="17" t="s">
        <v>132</v>
      </c>
      <c r="Y29" s="13">
        <f t="array" ref="Y29">XLOOKUP(V29,'Lifetime Summary Stats'!A:A,'Lifetime Summary Stats'!A:A)</f>
        <v>4018525</v>
      </c>
    </row>
    <row r="30">
      <c r="A30" s="17" t="s">
        <v>253</v>
      </c>
      <c r="B30" s="17" t="s">
        <v>254</v>
      </c>
      <c r="C30" s="17" t="s">
        <v>255</v>
      </c>
      <c r="D30" s="17" t="s">
        <v>256</v>
      </c>
      <c r="E30" s="17">
        <v>0.0</v>
      </c>
      <c r="F30" s="17">
        <v>100.0</v>
      </c>
      <c r="G30" s="17">
        <v>23.0</v>
      </c>
      <c r="H30" s="17">
        <v>135.0</v>
      </c>
      <c r="I30" s="31">
        <v>45839.0</v>
      </c>
      <c r="N30" s="31">
        <v>45862.0</v>
      </c>
      <c r="P30" s="17" t="s">
        <v>128</v>
      </c>
      <c r="R30" s="17" t="s">
        <v>129</v>
      </c>
      <c r="S30" s="77" t="s">
        <v>130</v>
      </c>
      <c r="U30" s="17" t="s">
        <v>138</v>
      </c>
      <c r="V30" s="17">
        <v>3958943.0</v>
      </c>
      <c r="W30" s="17" t="s">
        <v>128</v>
      </c>
      <c r="X30" s="17" t="s">
        <v>132</v>
      </c>
      <c r="Y30" s="13">
        <f t="array" ref="Y30">XLOOKUP(V30,'Lifetime Summary Stats'!A:A,'Lifetime Summary Stats'!A:A)</f>
        <v>3958943</v>
      </c>
    </row>
    <row r="31">
      <c r="A31" s="17" t="s">
        <v>257</v>
      </c>
      <c r="B31" s="17" t="s">
        <v>258</v>
      </c>
      <c r="C31" s="17" t="s">
        <v>259</v>
      </c>
      <c r="D31" s="17" t="s">
        <v>260</v>
      </c>
      <c r="E31" s="17">
        <v>55.0</v>
      </c>
      <c r="F31" s="17">
        <v>100.0</v>
      </c>
      <c r="G31" s="17">
        <v>0.0</v>
      </c>
      <c r="H31" s="17">
        <v>105.0</v>
      </c>
      <c r="I31" s="31">
        <v>45869.0</v>
      </c>
      <c r="N31" s="31">
        <v>45869.0</v>
      </c>
      <c r="P31" s="17" t="s">
        <v>128</v>
      </c>
      <c r="R31" s="17" t="s">
        <v>129</v>
      </c>
      <c r="S31" s="17" t="s">
        <v>148</v>
      </c>
      <c r="T31" s="17" t="s">
        <v>131</v>
      </c>
      <c r="V31" s="17">
        <v>4027648.0</v>
      </c>
      <c r="W31" s="17" t="s">
        <v>128</v>
      </c>
      <c r="X31" s="17" t="s">
        <v>132</v>
      </c>
      <c r="Y31" s="13">
        <f t="array" ref="Y31">XLOOKUP(V31,'Lifetime Summary Stats'!A:A,'Lifetime Summary Stats'!A:A)</f>
        <v>4027648</v>
      </c>
    </row>
    <row r="32">
      <c r="A32" s="17" t="s">
        <v>261</v>
      </c>
      <c r="B32" s="17" t="s">
        <v>262</v>
      </c>
      <c r="C32" s="17" t="s">
        <v>263</v>
      </c>
      <c r="D32" s="17" t="s">
        <v>264</v>
      </c>
      <c r="E32" s="17">
        <v>25.0</v>
      </c>
      <c r="F32" s="17">
        <v>100.0</v>
      </c>
      <c r="G32" s="17">
        <v>6.0</v>
      </c>
      <c r="H32" s="17">
        <v>104.0</v>
      </c>
      <c r="I32" s="31">
        <v>45870.0</v>
      </c>
      <c r="N32" s="31">
        <v>45876.0</v>
      </c>
      <c r="P32" s="17" t="s">
        <v>128</v>
      </c>
      <c r="R32" s="17" t="s">
        <v>129</v>
      </c>
      <c r="S32" s="17" t="s">
        <v>244</v>
      </c>
      <c r="T32" s="17" t="s">
        <v>138</v>
      </c>
      <c r="U32" s="17" t="s">
        <v>138</v>
      </c>
      <c r="V32" s="17">
        <v>4030970.0</v>
      </c>
      <c r="W32" s="17" t="s">
        <v>128</v>
      </c>
      <c r="X32" s="17" t="s">
        <v>132</v>
      </c>
      <c r="Y32" s="13">
        <f t="array" ref="Y32">XLOOKUP(V32,'Lifetime Summary Stats'!A:A,'Lifetime Summary Stats'!A:A)</f>
        <v>4030970</v>
      </c>
    </row>
    <row r="33">
      <c r="A33" s="17" t="s">
        <v>265</v>
      </c>
      <c r="B33" s="17" t="s">
        <v>266</v>
      </c>
      <c r="C33" s="17" t="s">
        <v>267</v>
      </c>
      <c r="D33" s="17" t="s">
        <v>268</v>
      </c>
      <c r="E33" s="17">
        <v>80.0</v>
      </c>
      <c r="F33" s="17">
        <v>100.0</v>
      </c>
      <c r="G33" s="17">
        <v>38.0</v>
      </c>
      <c r="H33" s="17">
        <v>135.0</v>
      </c>
      <c r="I33" s="31">
        <v>45839.0</v>
      </c>
      <c r="N33" s="31">
        <v>45877.0</v>
      </c>
      <c r="P33" s="17" t="s">
        <v>128</v>
      </c>
      <c r="R33" s="17" t="s">
        <v>129</v>
      </c>
      <c r="S33" s="17" t="s">
        <v>148</v>
      </c>
      <c r="T33" s="17" t="s">
        <v>138</v>
      </c>
      <c r="V33" s="17">
        <v>4038405.0</v>
      </c>
      <c r="W33" s="17" t="s">
        <v>128</v>
      </c>
      <c r="X33" s="17" t="s">
        <v>132</v>
      </c>
      <c r="Y33" s="13">
        <f t="array" ref="Y33">XLOOKUP(V33,'Lifetime Summary Stats'!A:A,'Lifetime Summary Stats'!A:A)</f>
        <v>4038405</v>
      </c>
    </row>
    <row r="34">
      <c r="A34" s="17" t="s">
        <v>269</v>
      </c>
      <c r="B34" s="17" t="s">
        <v>270</v>
      </c>
      <c r="C34" s="17" t="s">
        <v>271</v>
      </c>
      <c r="D34" s="17" t="s">
        <v>272</v>
      </c>
      <c r="E34" s="17">
        <v>25.0</v>
      </c>
      <c r="F34" s="17">
        <v>100.0</v>
      </c>
      <c r="G34" s="17">
        <v>17.0</v>
      </c>
      <c r="H34" s="17">
        <v>111.0</v>
      </c>
      <c r="I34" s="31">
        <v>45863.0</v>
      </c>
      <c r="N34" s="31">
        <v>45880.0</v>
      </c>
      <c r="P34" s="17" t="s">
        <v>128</v>
      </c>
      <c r="R34" s="17" t="s">
        <v>129</v>
      </c>
      <c r="S34" s="17" t="s">
        <v>137</v>
      </c>
      <c r="T34" s="17" t="s">
        <v>138</v>
      </c>
      <c r="V34" s="17">
        <v>4039652.0</v>
      </c>
      <c r="W34" s="17" t="s">
        <v>128</v>
      </c>
      <c r="X34" s="17" t="s">
        <v>132</v>
      </c>
      <c r="Y34" s="13">
        <f t="array" ref="Y34">XLOOKUP(V34,'Lifetime Summary Stats'!A:A,'Lifetime Summary Stats'!A:A)</f>
        <v>4039652</v>
      </c>
    </row>
    <row r="35">
      <c r="A35" s="17" t="s">
        <v>273</v>
      </c>
      <c r="B35" s="17" t="s">
        <v>274</v>
      </c>
      <c r="C35" s="17" t="s">
        <v>275</v>
      </c>
      <c r="D35" s="17" t="s">
        <v>276</v>
      </c>
      <c r="E35" s="17">
        <v>80.0</v>
      </c>
      <c r="F35" s="17">
        <v>100.0</v>
      </c>
      <c r="G35" s="17">
        <v>54.0</v>
      </c>
      <c r="H35" s="17">
        <v>148.0</v>
      </c>
      <c r="I35" s="31">
        <v>45826.0</v>
      </c>
      <c r="N35" s="31">
        <v>45880.0</v>
      </c>
      <c r="P35" s="17" t="s">
        <v>128</v>
      </c>
      <c r="R35" s="17" t="s">
        <v>129</v>
      </c>
      <c r="S35" s="17" t="s">
        <v>277</v>
      </c>
      <c r="T35" s="17" t="s">
        <v>131</v>
      </c>
      <c r="V35" s="17">
        <v>4044926.0</v>
      </c>
      <c r="W35" s="17" t="s">
        <v>128</v>
      </c>
      <c r="X35" s="17" t="s">
        <v>132</v>
      </c>
      <c r="Y35" s="13">
        <f t="array" ref="Y35">XLOOKUP(V35,'Lifetime Summary Stats'!A:A,'Lifetime Summary Stats'!A:A)</f>
        <v>4044926</v>
      </c>
    </row>
    <row r="36">
      <c r="A36" s="17" t="s">
        <v>278</v>
      </c>
      <c r="B36" s="17" t="s">
        <v>279</v>
      </c>
      <c r="C36" s="17" t="s">
        <v>280</v>
      </c>
      <c r="D36" s="17" t="s">
        <v>281</v>
      </c>
      <c r="E36" s="17">
        <v>25.0</v>
      </c>
      <c r="F36" s="17">
        <v>100.0</v>
      </c>
      <c r="G36" s="17">
        <v>14.0</v>
      </c>
      <c r="H36" s="17">
        <v>104.0</v>
      </c>
      <c r="I36" s="31">
        <v>45870.0</v>
      </c>
      <c r="N36" s="31">
        <v>45884.0</v>
      </c>
      <c r="P36" s="17" t="s">
        <v>128</v>
      </c>
      <c r="R36" s="17" t="s">
        <v>129</v>
      </c>
      <c r="S36" s="17" t="s">
        <v>148</v>
      </c>
      <c r="T36" s="17" t="s">
        <v>138</v>
      </c>
      <c r="V36" s="17">
        <v>4008827.0</v>
      </c>
      <c r="W36" s="17" t="s">
        <v>128</v>
      </c>
      <c r="X36" s="17" t="s">
        <v>132</v>
      </c>
      <c r="Y36" s="13">
        <f t="array" ref="Y36">XLOOKUP(V36,'Lifetime Summary Stats'!A:A,'Lifetime Summary Stats'!A:A)</f>
        <v>4008827</v>
      </c>
    </row>
    <row r="37">
      <c r="A37" s="17" t="s">
        <v>282</v>
      </c>
      <c r="B37" s="17" t="s">
        <v>283</v>
      </c>
      <c r="C37" s="17" t="s">
        <v>284</v>
      </c>
      <c r="D37" s="17" t="s">
        <v>285</v>
      </c>
      <c r="E37" s="17">
        <v>0.0</v>
      </c>
      <c r="F37" s="17">
        <v>100.0</v>
      </c>
      <c r="G37" s="17">
        <v>14.0</v>
      </c>
      <c r="H37" s="17">
        <v>104.0</v>
      </c>
      <c r="I37" s="31">
        <v>45870.0</v>
      </c>
      <c r="N37" s="31">
        <v>45884.0</v>
      </c>
      <c r="P37" s="17" t="s">
        <v>128</v>
      </c>
      <c r="R37" s="17" t="s">
        <v>129</v>
      </c>
      <c r="S37" s="17" t="s">
        <v>137</v>
      </c>
      <c r="U37" s="17" t="s">
        <v>131</v>
      </c>
      <c r="V37" s="17">
        <v>4064786.0</v>
      </c>
      <c r="W37" s="17" t="s">
        <v>128</v>
      </c>
      <c r="X37" s="17" t="s">
        <v>132</v>
      </c>
      <c r="Y37" s="13" t="str">
        <f t="array" ref="Y37">XLOOKUP(V37,'Lifetime Summary Stats'!A:A,'Lifetime Summary Stats'!A:A)</f>
        <v>#N/A</v>
      </c>
    </row>
    <row r="38">
      <c r="A38" s="17" t="s">
        <v>286</v>
      </c>
      <c r="B38" s="17" t="s">
        <v>287</v>
      </c>
      <c r="C38" s="17" t="s">
        <v>288</v>
      </c>
      <c r="D38" s="17" t="s">
        <v>289</v>
      </c>
      <c r="E38" s="17">
        <v>25.0</v>
      </c>
      <c r="F38" s="17">
        <v>100.0</v>
      </c>
      <c r="G38" s="17">
        <v>16.0</v>
      </c>
      <c r="H38" s="17">
        <v>94.0</v>
      </c>
      <c r="I38" s="31">
        <v>45880.0</v>
      </c>
      <c r="N38" s="31">
        <v>45896.0</v>
      </c>
      <c r="P38" s="17" t="s">
        <v>128</v>
      </c>
      <c r="R38" s="17" t="s">
        <v>129</v>
      </c>
      <c r="S38" s="17" t="s">
        <v>244</v>
      </c>
      <c r="T38" s="17" t="s">
        <v>138</v>
      </c>
      <c r="U38" s="17" t="s">
        <v>138</v>
      </c>
      <c r="V38" s="17">
        <v>4068848.0</v>
      </c>
      <c r="W38" s="17" t="s">
        <v>128</v>
      </c>
      <c r="X38" s="17" t="s">
        <v>132</v>
      </c>
      <c r="Y38" s="13">
        <f t="array" ref="Y38">XLOOKUP(V38,'Lifetime Summary Stats'!A:A,'Lifetime Summary Stats'!A:A)</f>
        <v>4068848</v>
      </c>
    </row>
    <row r="39">
      <c r="A39" s="17" t="s">
        <v>290</v>
      </c>
      <c r="B39" s="17" t="s">
        <v>291</v>
      </c>
      <c r="C39" s="17" t="s">
        <v>292</v>
      </c>
      <c r="D39" s="17" t="s">
        <v>293</v>
      </c>
      <c r="E39" s="17">
        <v>25.0</v>
      </c>
      <c r="F39" s="17">
        <v>100.0</v>
      </c>
      <c r="G39" s="17">
        <v>45.0</v>
      </c>
      <c r="H39" s="17">
        <v>118.0</v>
      </c>
      <c r="I39" s="31">
        <v>45856.0</v>
      </c>
      <c r="J39" s="31">
        <v>45870.0</v>
      </c>
      <c r="K39" s="31">
        <v>45899.0</v>
      </c>
      <c r="L39" s="17" t="s">
        <v>294</v>
      </c>
      <c r="M39" s="31">
        <v>45915.0</v>
      </c>
      <c r="N39" s="31">
        <v>45901.0</v>
      </c>
      <c r="P39" s="17" t="s">
        <v>295</v>
      </c>
      <c r="R39" s="17" t="s">
        <v>129</v>
      </c>
      <c r="S39" s="17" t="s">
        <v>148</v>
      </c>
      <c r="T39" s="17" t="s">
        <v>138</v>
      </c>
      <c r="V39" s="17">
        <v>4031755.0</v>
      </c>
      <c r="W39" s="17" t="s">
        <v>128</v>
      </c>
      <c r="X39" s="17" t="s">
        <v>132</v>
      </c>
      <c r="Y39" s="13">
        <f t="array" ref="Y39">XLOOKUP(V39,'Lifetime Summary Stats'!A:A,'Lifetime Summary Stats'!A:A)</f>
        <v>4031755</v>
      </c>
    </row>
    <row r="40">
      <c r="A40" s="17" t="s">
        <v>296</v>
      </c>
      <c r="B40" s="17" t="s">
        <v>297</v>
      </c>
      <c r="C40" s="17" t="s">
        <v>298</v>
      </c>
      <c r="D40" s="17" t="s">
        <v>299</v>
      </c>
      <c r="E40" s="17">
        <v>55.0</v>
      </c>
      <c r="F40" s="17">
        <v>100.0</v>
      </c>
      <c r="G40" s="17">
        <v>87.0</v>
      </c>
      <c r="H40" s="17">
        <v>158.0</v>
      </c>
      <c r="I40" s="31">
        <v>45816.0</v>
      </c>
      <c r="N40" s="31">
        <v>45903.0</v>
      </c>
      <c r="P40" s="17" t="s">
        <v>128</v>
      </c>
      <c r="R40" s="17" t="s">
        <v>129</v>
      </c>
      <c r="S40" s="17" t="s">
        <v>148</v>
      </c>
      <c r="U40" s="17" t="s">
        <v>138</v>
      </c>
      <c r="V40" s="17">
        <v>3328212.0</v>
      </c>
      <c r="W40" s="17" t="s">
        <v>128</v>
      </c>
      <c r="X40" s="17" t="s">
        <v>132</v>
      </c>
      <c r="Y40" s="13">
        <f t="array" ref="Y40">XLOOKUP(V40,'Lifetime Summary Stats'!A:A,'Lifetime Summary Stats'!A:A)</f>
        <v>3328212</v>
      </c>
    </row>
    <row r="41">
      <c r="A41" s="17" t="s">
        <v>300</v>
      </c>
      <c r="B41" s="17" t="s">
        <v>301</v>
      </c>
      <c r="C41" s="17" t="s">
        <v>302</v>
      </c>
      <c r="D41" s="17" t="s">
        <v>303</v>
      </c>
      <c r="E41" s="17">
        <v>25.0</v>
      </c>
      <c r="F41" s="17">
        <v>100.0</v>
      </c>
      <c r="G41" s="17">
        <v>1.0</v>
      </c>
      <c r="H41" s="17">
        <v>65.0</v>
      </c>
      <c r="I41" s="31">
        <v>45909.0</v>
      </c>
      <c r="J41" s="31">
        <v>45912.0</v>
      </c>
      <c r="K41" s="31">
        <v>45912.0</v>
      </c>
      <c r="M41" s="31">
        <v>45924.0</v>
      </c>
      <c r="N41" s="31">
        <v>45910.0</v>
      </c>
      <c r="O41" s="17" t="s">
        <v>304</v>
      </c>
      <c r="P41" s="17" t="s">
        <v>295</v>
      </c>
      <c r="R41" s="17" t="s">
        <v>129</v>
      </c>
      <c r="S41" s="17" t="s">
        <v>137</v>
      </c>
      <c r="T41" s="17" t="s">
        <v>163</v>
      </c>
      <c r="V41" s="17">
        <v>4136460.0</v>
      </c>
      <c r="W41" s="17" t="s">
        <v>295</v>
      </c>
      <c r="X41" s="17" t="s">
        <v>132</v>
      </c>
      <c r="Y41" s="13">
        <f t="array" ref="Y41">XLOOKUP(V41,'Lifetime Summary Stats'!A:A,'Lifetime Summary Stats'!A:A)</f>
        <v>4136460</v>
      </c>
    </row>
    <row r="42">
      <c r="A42" s="17" t="s">
        <v>305</v>
      </c>
      <c r="B42" s="17" t="s">
        <v>306</v>
      </c>
      <c r="C42" s="17" t="s">
        <v>307</v>
      </c>
      <c r="D42" s="17" t="s">
        <v>308</v>
      </c>
      <c r="E42" s="17">
        <v>0.0</v>
      </c>
      <c r="F42" s="17">
        <v>100.0</v>
      </c>
      <c r="G42" s="17">
        <v>0.0</v>
      </c>
      <c r="H42" s="17">
        <v>50.0</v>
      </c>
      <c r="I42" s="31">
        <v>45924.0</v>
      </c>
      <c r="N42" s="31">
        <v>45918.0</v>
      </c>
      <c r="P42" s="17" t="s">
        <v>309</v>
      </c>
      <c r="R42" s="17" t="s">
        <v>129</v>
      </c>
      <c r="S42" s="17" t="s">
        <v>148</v>
      </c>
      <c r="T42" s="17" t="s">
        <v>163</v>
      </c>
      <c r="V42" s="17">
        <v>4111269.0</v>
      </c>
      <c r="W42" s="17" t="s">
        <v>295</v>
      </c>
      <c r="X42" s="17" t="s">
        <v>132</v>
      </c>
      <c r="Y42" s="13">
        <f t="array" ref="Y42">XLOOKUP(V42,'Lifetime Summary Stats'!A:A,'Lifetime Summary Stats'!A:A)</f>
        <v>4111269</v>
      </c>
    </row>
    <row r="43">
      <c r="A43" s="17" t="s">
        <v>310</v>
      </c>
      <c r="B43" s="17" t="s">
        <v>311</v>
      </c>
      <c r="C43" s="17" t="s">
        <v>312</v>
      </c>
      <c r="D43" s="17" t="s">
        <v>313</v>
      </c>
      <c r="E43" s="17">
        <v>55.0</v>
      </c>
      <c r="F43" s="17">
        <v>100.0</v>
      </c>
      <c r="G43" s="17">
        <v>10.0</v>
      </c>
      <c r="H43" s="17">
        <v>27.0</v>
      </c>
      <c r="I43" s="31">
        <v>45937.0</v>
      </c>
      <c r="J43" s="31">
        <v>45951.0</v>
      </c>
      <c r="K43" s="31">
        <v>45951.0</v>
      </c>
      <c r="L43" s="17" t="s">
        <v>314</v>
      </c>
      <c r="M43" s="31">
        <v>45946.0</v>
      </c>
      <c r="N43" s="31">
        <v>45947.0</v>
      </c>
      <c r="O43" s="17" t="s">
        <v>315</v>
      </c>
      <c r="P43" s="17" t="s">
        <v>316</v>
      </c>
      <c r="R43" s="17" t="s">
        <v>129</v>
      </c>
      <c r="S43" s="17" t="s">
        <v>244</v>
      </c>
      <c r="T43" s="17" t="s">
        <v>138</v>
      </c>
      <c r="V43" s="17">
        <v>4161223.0</v>
      </c>
      <c r="W43" s="17" t="s">
        <v>295</v>
      </c>
      <c r="X43" s="17" t="s">
        <v>132</v>
      </c>
      <c r="Y43" s="13">
        <f t="array" ref="Y43">XLOOKUP(V43,'Lifetime Summary Stats'!A:A,'Lifetime Summary Stats'!A:A)</f>
        <v>4161223</v>
      </c>
    </row>
    <row r="44">
      <c r="A44" s="17" t="s">
        <v>317</v>
      </c>
      <c r="B44" s="17" t="s">
        <v>318</v>
      </c>
      <c r="C44" s="17" t="s">
        <v>319</v>
      </c>
      <c r="D44" s="17" t="s">
        <v>320</v>
      </c>
      <c r="E44" s="17">
        <v>0.0</v>
      </c>
      <c r="F44" s="17">
        <v>100.0</v>
      </c>
      <c r="G44" s="17">
        <v>11.0</v>
      </c>
      <c r="H44" s="17">
        <v>24.0</v>
      </c>
      <c r="I44" s="31">
        <v>45939.0</v>
      </c>
      <c r="J44" s="31">
        <v>45944.0</v>
      </c>
      <c r="K44" s="31">
        <v>45944.0</v>
      </c>
      <c r="L44" s="17" t="s">
        <v>321</v>
      </c>
      <c r="M44" s="31">
        <v>45947.0</v>
      </c>
      <c r="N44" s="31">
        <v>45950.0</v>
      </c>
      <c r="O44" s="17" t="s">
        <v>315</v>
      </c>
      <c r="P44" s="17" t="s">
        <v>316</v>
      </c>
      <c r="R44" s="17" t="s">
        <v>129</v>
      </c>
      <c r="S44" s="17" t="s">
        <v>148</v>
      </c>
      <c r="V44" s="17">
        <v>4174641.0</v>
      </c>
      <c r="W44" s="17" t="s">
        <v>295</v>
      </c>
      <c r="X44" s="17" t="s">
        <v>132</v>
      </c>
      <c r="Y44" s="13" t="str">
        <f t="array" ref="Y44">XLOOKUP(V44,'Lifetime Summary Stats'!A:A,'Lifetime Summary Stats'!A:A)</f>
        <v>#N/A</v>
      </c>
    </row>
    <row r="45">
      <c r="A45" s="17" t="s">
        <v>322</v>
      </c>
      <c r="B45" s="17" t="s">
        <v>323</v>
      </c>
      <c r="C45" s="17" t="s">
        <v>324</v>
      </c>
      <c r="D45" s="17" t="s">
        <v>325</v>
      </c>
      <c r="E45" s="17">
        <v>25.0</v>
      </c>
      <c r="F45" s="17">
        <v>100.0</v>
      </c>
      <c r="G45" s="17">
        <v>69.0</v>
      </c>
      <c r="H45" s="17">
        <v>21.0</v>
      </c>
      <c r="I45" s="31">
        <v>45884.0</v>
      </c>
      <c r="L45" s="17" t="s">
        <v>326</v>
      </c>
      <c r="M45" s="31">
        <v>45919.0</v>
      </c>
      <c r="N45" s="31">
        <v>45953.0</v>
      </c>
      <c r="P45" s="17" t="s">
        <v>309</v>
      </c>
      <c r="R45" s="17" t="s">
        <v>129</v>
      </c>
      <c r="S45" s="17" t="s">
        <v>244</v>
      </c>
      <c r="T45" s="17" t="s">
        <v>163</v>
      </c>
      <c r="V45" s="17">
        <v>4016001.0</v>
      </c>
      <c r="W45" s="17" t="s">
        <v>295</v>
      </c>
      <c r="X45" s="17" t="s">
        <v>132</v>
      </c>
      <c r="Y45" s="13">
        <f t="array" ref="Y45">XLOOKUP(V45,'Lifetime Summary Stats'!A:A,'Lifetime Summary Stats'!A:A)</f>
        <v>4016001</v>
      </c>
    </row>
    <row r="46">
      <c r="A46" s="17" t="s">
        <v>327</v>
      </c>
      <c r="B46" s="17" t="s">
        <v>328</v>
      </c>
      <c r="C46" s="17" t="s">
        <v>329</v>
      </c>
      <c r="D46" s="17" t="s">
        <v>330</v>
      </c>
      <c r="E46" s="17">
        <v>80.0</v>
      </c>
      <c r="F46" s="17">
        <v>100.0</v>
      </c>
      <c r="G46" s="17">
        <v>11.0</v>
      </c>
      <c r="H46" s="17">
        <v>16.0</v>
      </c>
      <c r="I46" s="31">
        <v>45947.0</v>
      </c>
      <c r="J46" s="31">
        <v>45960.0</v>
      </c>
      <c r="K46" s="31">
        <v>45960.0</v>
      </c>
      <c r="L46" s="17" t="s">
        <v>331</v>
      </c>
      <c r="M46" s="31">
        <v>45957.0</v>
      </c>
      <c r="N46" s="31">
        <v>45958.0</v>
      </c>
      <c r="O46" s="17" t="s">
        <v>332</v>
      </c>
      <c r="P46" s="17" t="s">
        <v>316</v>
      </c>
      <c r="R46" s="17" t="s">
        <v>129</v>
      </c>
      <c r="S46" s="17" t="s">
        <v>148</v>
      </c>
      <c r="T46" s="17" t="s">
        <v>138</v>
      </c>
      <c r="U46" s="17" t="s">
        <v>138</v>
      </c>
      <c r="V46" s="17">
        <v>3085000.0</v>
      </c>
      <c r="W46" s="17" t="s">
        <v>295</v>
      </c>
      <c r="X46" s="17" t="s">
        <v>132</v>
      </c>
      <c r="Y46" s="13">
        <f t="array" ref="Y46">XLOOKUP(V46,'Lifetime Summary Stats'!A:A,'Lifetime Summary Stats'!A:A)</f>
        <v>3085000</v>
      </c>
    </row>
    <row r="47">
      <c r="A47" s="17" t="s">
        <v>333</v>
      </c>
      <c r="B47" s="17" t="s">
        <v>334</v>
      </c>
      <c r="C47" s="17" t="s">
        <v>335</v>
      </c>
      <c r="D47" s="17" t="s">
        <v>336</v>
      </c>
      <c r="E47" s="17">
        <v>0.0</v>
      </c>
      <c r="F47" s="17">
        <v>100.0</v>
      </c>
      <c r="G47" s="17">
        <v>18.0</v>
      </c>
      <c r="H47" s="17">
        <v>16.0</v>
      </c>
      <c r="I47" s="31">
        <v>45940.0</v>
      </c>
      <c r="J47" s="31">
        <v>45960.0</v>
      </c>
      <c r="K47" s="31">
        <v>45960.0</v>
      </c>
      <c r="L47" s="17" t="s">
        <v>337</v>
      </c>
      <c r="M47" s="31">
        <v>45957.0</v>
      </c>
      <c r="N47" s="31">
        <v>45958.0</v>
      </c>
      <c r="O47" s="17" t="s">
        <v>315</v>
      </c>
      <c r="P47" s="17" t="s">
        <v>316</v>
      </c>
      <c r="R47" s="17" t="s">
        <v>129</v>
      </c>
      <c r="S47" s="17" t="s">
        <v>137</v>
      </c>
      <c r="T47" s="17" t="s">
        <v>138</v>
      </c>
      <c r="V47" s="17">
        <v>4169152.0</v>
      </c>
      <c r="W47" s="17" t="s">
        <v>295</v>
      </c>
      <c r="X47" s="17" t="s">
        <v>132</v>
      </c>
      <c r="Y47" s="13">
        <f t="array" ref="Y47">XLOOKUP(V47,'Lifetime Summary Stats'!A:A,'Lifetime Summary Stats'!A:A)</f>
        <v>4169152</v>
      </c>
    </row>
    <row r="48">
      <c r="A48" s="17" t="s">
        <v>338</v>
      </c>
      <c r="B48" s="17" t="s">
        <v>339</v>
      </c>
      <c r="C48" s="17" t="s">
        <v>340</v>
      </c>
      <c r="D48" s="17" t="s">
        <v>341</v>
      </c>
      <c r="E48" s="17">
        <v>0.0</v>
      </c>
      <c r="F48" s="17">
        <v>100.0</v>
      </c>
      <c r="G48" s="17">
        <v>13.0</v>
      </c>
      <c r="H48" s="17">
        <v>16.0</v>
      </c>
      <c r="I48" s="31">
        <v>45945.0</v>
      </c>
      <c r="J48" s="31">
        <v>45960.0</v>
      </c>
      <c r="K48" s="31">
        <v>45960.0</v>
      </c>
      <c r="L48" s="17" t="s">
        <v>342</v>
      </c>
      <c r="M48" s="31">
        <v>45957.0</v>
      </c>
      <c r="N48" s="31">
        <v>45958.0</v>
      </c>
      <c r="O48" s="17" t="s">
        <v>315</v>
      </c>
      <c r="P48" s="17" t="s">
        <v>343</v>
      </c>
      <c r="R48" s="17" t="s">
        <v>129</v>
      </c>
      <c r="S48" s="17" t="s">
        <v>148</v>
      </c>
      <c r="U48" s="17" t="s">
        <v>138</v>
      </c>
      <c r="V48" s="17">
        <v>4172812.0</v>
      </c>
      <c r="W48" s="17" t="s">
        <v>295</v>
      </c>
      <c r="X48" s="17" t="s">
        <v>132</v>
      </c>
      <c r="Y48" s="13" t="str">
        <f t="array" ref="Y48">XLOOKUP(V48,'Lifetime Summary Stats'!A:A,'Lifetime Summary Stats'!A:A)</f>
        <v>#N/A</v>
      </c>
    </row>
    <row r="49">
      <c r="A49" s="17" t="s">
        <v>344</v>
      </c>
      <c r="B49" s="17" t="s">
        <v>345</v>
      </c>
      <c r="C49" s="17" t="s">
        <v>346</v>
      </c>
      <c r="D49" s="17" t="s">
        <v>347</v>
      </c>
      <c r="E49" s="17">
        <v>75.0</v>
      </c>
      <c r="F49" s="17">
        <v>100.0</v>
      </c>
      <c r="G49" s="17">
        <v>27.0</v>
      </c>
      <c r="H49" s="17">
        <v>16.0</v>
      </c>
      <c r="I49" s="31">
        <v>45931.0</v>
      </c>
      <c r="J49" s="31">
        <v>45937.0</v>
      </c>
      <c r="K49" s="31">
        <v>45937.0</v>
      </c>
      <c r="L49" s="17" t="s">
        <v>348</v>
      </c>
      <c r="M49" s="31">
        <v>45954.0</v>
      </c>
      <c r="N49" s="31">
        <v>45958.0</v>
      </c>
      <c r="O49" s="17" t="s">
        <v>315</v>
      </c>
      <c r="P49" s="17" t="s">
        <v>343</v>
      </c>
      <c r="R49" s="17" t="s">
        <v>129</v>
      </c>
      <c r="S49" s="17" t="s">
        <v>277</v>
      </c>
      <c r="T49" s="17" t="s">
        <v>138</v>
      </c>
      <c r="V49" s="17">
        <v>4161378.0</v>
      </c>
      <c r="W49" s="17" t="s">
        <v>295</v>
      </c>
      <c r="X49" s="17" t="s">
        <v>132</v>
      </c>
      <c r="Y49" s="13">
        <f t="array" ref="Y49">XLOOKUP(V49,'Lifetime Summary Stats'!A:A,'Lifetime Summary Stats'!A:A)</f>
        <v>4161378</v>
      </c>
    </row>
    <row r="50">
      <c r="A50" s="17" t="s">
        <v>349</v>
      </c>
      <c r="B50" s="17" t="s">
        <v>350</v>
      </c>
      <c r="C50" s="17" t="s">
        <v>351</v>
      </c>
      <c r="D50" s="17" t="s">
        <v>352</v>
      </c>
      <c r="E50" s="17">
        <v>0.0</v>
      </c>
      <c r="F50" s="17">
        <v>100.0</v>
      </c>
      <c r="G50" s="17">
        <v>0.0</v>
      </c>
      <c r="H50" s="17">
        <v>15.0</v>
      </c>
      <c r="I50" s="31">
        <v>45959.0</v>
      </c>
      <c r="N50" s="31">
        <v>45959.0</v>
      </c>
      <c r="P50" s="17" t="s">
        <v>295</v>
      </c>
      <c r="R50" s="17" t="s">
        <v>129</v>
      </c>
      <c r="S50" s="17" t="s">
        <v>277</v>
      </c>
      <c r="T50" s="17" t="s">
        <v>138</v>
      </c>
      <c r="V50" s="17">
        <v>4161412.0</v>
      </c>
      <c r="W50" s="17" t="s">
        <v>295</v>
      </c>
      <c r="X50" s="17" t="s">
        <v>132</v>
      </c>
      <c r="Y50" s="13">
        <f t="array" ref="Y50">XLOOKUP(V50,'Lifetime Summary Stats'!A:A,'Lifetime Summary Stats'!A:A)</f>
        <v>4161412</v>
      </c>
    </row>
    <row r="51">
      <c r="A51" s="17" t="s">
        <v>353</v>
      </c>
      <c r="B51" s="17" t="s">
        <v>354</v>
      </c>
      <c r="C51" s="17" t="s">
        <v>355</v>
      </c>
      <c r="D51" s="17" t="s">
        <v>356</v>
      </c>
      <c r="E51" s="17">
        <v>0.0</v>
      </c>
      <c r="F51" s="17">
        <v>100.0</v>
      </c>
      <c r="G51" s="17">
        <v>0.0</v>
      </c>
      <c r="H51" s="17">
        <v>14.0</v>
      </c>
      <c r="I51" s="31">
        <v>45960.0</v>
      </c>
      <c r="N51" s="31">
        <v>45960.0</v>
      </c>
      <c r="P51" s="17" t="s">
        <v>295</v>
      </c>
      <c r="R51" s="17" t="s">
        <v>129</v>
      </c>
      <c r="S51" s="17" t="s">
        <v>148</v>
      </c>
      <c r="V51" s="17">
        <v>4140778.0</v>
      </c>
      <c r="W51" s="17" t="s">
        <v>295</v>
      </c>
      <c r="X51" s="17" t="s">
        <v>132</v>
      </c>
      <c r="Y51" s="13" t="str">
        <f t="array" ref="Y51">XLOOKUP(V51,'Lifetime Summary Stats'!A:A,'Lifetime Summary Stats'!A:A)</f>
        <v>#N/A</v>
      </c>
    </row>
    <row r="52">
      <c r="A52" s="17" t="s">
        <v>357</v>
      </c>
      <c r="B52" s="17" t="s">
        <v>358</v>
      </c>
      <c r="C52" s="17" t="s">
        <v>359</v>
      </c>
      <c r="D52" s="17" t="s">
        <v>360</v>
      </c>
      <c r="E52" s="17">
        <v>0.0</v>
      </c>
      <c r="F52" s="17">
        <v>100.0</v>
      </c>
      <c r="G52" s="17">
        <v>6.0</v>
      </c>
      <c r="H52" s="17">
        <v>10.0</v>
      </c>
      <c r="I52" s="31">
        <v>45958.0</v>
      </c>
      <c r="N52" s="31">
        <v>45964.0</v>
      </c>
      <c r="P52" s="17" t="s">
        <v>316</v>
      </c>
      <c r="R52" s="17" t="s">
        <v>129</v>
      </c>
      <c r="S52" s="17" t="s">
        <v>148</v>
      </c>
      <c r="T52" s="17" t="s">
        <v>138</v>
      </c>
      <c r="V52" s="17">
        <v>4166316.0</v>
      </c>
      <c r="W52" s="17" t="s">
        <v>295</v>
      </c>
      <c r="X52" s="17" t="s">
        <v>132</v>
      </c>
      <c r="Y52" s="13">
        <f t="array" ref="Y52">XLOOKUP(V52,'Lifetime Summary Stats'!A:A,'Lifetime Summary Stats'!A:A)</f>
        <v>4166316</v>
      </c>
    </row>
    <row r="53">
      <c r="A53" s="17" t="s">
        <v>361</v>
      </c>
      <c r="B53" s="17" t="s">
        <v>362</v>
      </c>
      <c r="C53" s="17" t="s">
        <v>363</v>
      </c>
      <c r="D53" s="17" t="s">
        <v>364</v>
      </c>
      <c r="E53" s="17">
        <v>80.0</v>
      </c>
      <c r="F53" s="17">
        <v>100.0</v>
      </c>
      <c r="G53" s="17">
        <v>8.0</v>
      </c>
      <c r="H53" s="17">
        <v>93.0</v>
      </c>
      <c r="I53" s="31">
        <v>45881.0</v>
      </c>
      <c r="M53" s="31">
        <v>45891.0</v>
      </c>
      <c r="N53" s="31">
        <v>45889.0</v>
      </c>
      <c r="O53" s="17" t="s">
        <v>315</v>
      </c>
      <c r="P53" s="17" t="s">
        <v>365</v>
      </c>
      <c r="R53" s="17" t="s">
        <v>129</v>
      </c>
      <c r="S53" s="17" t="s">
        <v>148</v>
      </c>
      <c r="T53" s="17" t="s">
        <v>138</v>
      </c>
      <c r="V53" s="17">
        <v>4031652.0</v>
      </c>
      <c r="W53" s="17" t="s">
        <v>365</v>
      </c>
      <c r="X53" s="17" t="s">
        <v>132</v>
      </c>
      <c r="Y53" s="13">
        <f t="array" ref="Y53">XLOOKUP(V53,'Lifetime Summary Stats'!A:A,'Lifetime Summary Stats'!A:A)</f>
        <v>4031652</v>
      </c>
    </row>
    <row r="54">
      <c r="A54" s="17" t="s">
        <v>366</v>
      </c>
      <c r="B54" s="17" t="s">
        <v>367</v>
      </c>
      <c r="C54" s="17" t="s">
        <v>368</v>
      </c>
      <c r="D54" s="17" t="s">
        <v>369</v>
      </c>
      <c r="E54" s="17">
        <v>25.0</v>
      </c>
      <c r="F54" s="17">
        <v>100.0</v>
      </c>
      <c r="G54" s="17">
        <v>4.0</v>
      </c>
      <c r="H54" s="17">
        <v>87.0</v>
      </c>
      <c r="I54" s="31">
        <v>45887.0</v>
      </c>
      <c r="J54" s="31">
        <v>45887.0</v>
      </c>
      <c r="K54" s="31">
        <v>45887.0</v>
      </c>
      <c r="L54" s="17" t="s">
        <v>370</v>
      </c>
      <c r="M54" s="31">
        <v>45887.0</v>
      </c>
      <c r="N54" s="31">
        <v>45891.0</v>
      </c>
      <c r="O54" s="17" t="s">
        <v>315</v>
      </c>
      <c r="P54" s="17" t="s">
        <v>365</v>
      </c>
      <c r="R54" s="17" t="s">
        <v>129</v>
      </c>
      <c r="S54" s="17" t="s">
        <v>148</v>
      </c>
      <c r="T54" s="17" t="s">
        <v>131</v>
      </c>
      <c r="V54" s="17">
        <v>4075965.0</v>
      </c>
      <c r="W54" s="17" t="s">
        <v>365</v>
      </c>
      <c r="X54" s="17" t="s">
        <v>132</v>
      </c>
      <c r="Y54" s="13">
        <f t="array" ref="Y54">XLOOKUP(V54,'Lifetime Summary Stats'!A:A,'Lifetime Summary Stats'!A:A)</f>
        <v>4075965</v>
      </c>
    </row>
    <row r="55">
      <c r="A55" s="17" t="s">
        <v>371</v>
      </c>
      <c r="B55" s="17" t="s">
        <v>372</v>
      </c>
      <c r="C55" s="17" t="s">
        <v>373</v>
      </c>
      <c r="D55" s="17" t="s">
        <v>374</v>
      </c>
      <c r="E55" s="17">
        <v>25.0</v>
      </c>
      <c r="F55" s="17">
        <v>100.0</v>
      </c>
      <c r="G55" s="17">
        <v>9.0</v>
      </c>
      <c r="H55" s="17">
        <v>84.0</v>
      </c>
      <c r="I55" s="31">
        <v>45890.0</v>
      </c>
      <c r="M55" s="31">
        <v>45891.0</v>
      </c>
      <c r="N55" s="31">
        <v>45899.0</v>
      </c>
      <c r="O55" s="17" t="s">
        <v>315</v>
      </c>
      <c r="P55" s="17" t="s">
        <v>365</v>
      </c>
      <c r="R55" s="17" t="s">
        <v>129</v>
      </c>
      <c r="S55" s="17" t="s">
        <v>277</v>
      </c>
      <c r="T55" s="17" t="s">
        <v>138</v>
      </c>
      <c r="V55" s="17">
        <v>4079539.0</v>
      </c>
      <c r="W55" s="17" t="s">
        <v>365</v>
      </c>
      <c r="X55" s="17" t="s">
        <v>132</v>
      </c>
      <c r="Y55" s="13">
        <f t="array" ref="Y55">XLOOKUP(V55,'Lifetime Summary Stats'!A:A,'Lifetime Summary Stats'!A:A)</f>
        <v>4079539</v>
      </c>
    </row>
    <row r="56">
      <c r="A56" s="17" t="s">
        <v>375</v>
      </c>
      <c r="B56" s="17" t="s">
        <v>376</v>
      </c>
      <c r="C56" s="17" t="s">
        <v>377</v>
      </c>
      <c r="D56" s="17" t="s">
        <v>378</v>
      </c>
      <c r="E56" s="17">
        <v>55.0</v>
      </c>
      <c r="F56" s="17">
        <v>100.0</v>
      </c>
      <c r="G56" s="17">
        <v>12.0</v>
      </c>
      <c r="H56" s="17">
        <v>79.0</v>
      </c>
      <c r="I56" s="31">
        <v>45895.0</v>
      </c>
      <c r="N56" s="31">
        <v>45907.0</v>
      </c>
      <c r="P56" s="17" t="s">
        <v>365</v>
      </c>
      <c r="R56" s="17" t="s">
        <v>129</v>
      </c>
      <c r="S56" s="17" t="s">
        <v>137</v>
      </c>
      <c r="U56" s="17" t="s">
        <v>131</v>
      </c>
      <c r="V56" s="17">
        <v>4080340.0</v>
      </c>
      <c r="W56" s="17" t="s">
        <v>365</v>
      </c>
      <c r="X56" s="17" t="s">
        <v>132</v>
      </c>
      <c r="Y56" s="13">
        <f t="array" ref="Y56">XLOOKUP(V56,'Lifetime Summary Stats'!A:A,'Lifetime Summary Stats'!A:A)</f>
        <v>4080340</v>
      </c>
    </row>
    <row r="57">
      <c r="A57" s="17" t="s">
        <v>379</v>
      </c>
      <c r="B57" s="17" t="s">
        <v>380</v>
      </c>
      <c r="C57" s="17" t="s">
        <v>381</v>
      </c>
      <c r="D57" s="17" t="s">
        <v>382</v>
      </c>
      <c r="E57" s="17">
        <v>80.0</v>
      </c>
      <c r="F57" s="17">
        <v>100.0</v>
      </c>
      <c r="G57" s="17">
        <v>12.0</v>
      </c>
      <c r="H57" s="17">
        <v>78.0</v>
      </c>
      <c r="I57" s="31">
        <v>45896.0</v>
      </c>
      <c r="J57" s="31">
        <v>45902.0</v>
      </c>
      <c r="K57" s="31">
        <v>45903.0</v>
      </c>
      <c r="L57" s="17" t="s">
        <v>383</v>
      </c>
      <c r="M57" s="31">
        <v>45902.0</v>
      </c>
      <c r="N57" s="31">
        <v>45908.0</v>
      </c>
      <c r="O57" s="17" t="s">
        <v>315</v>
      </c>
      <c r="P57" s="17" t="s">
        <v>365</v>
      </c>
      <c r="R57" s="17" t="s">
        <v>129</v>
      </c>
      <c r="S57" s="17" t="s">
        <v>244</v>
      </c>
      <c r="V57" s="17">
        <v>4095111.0</v>
      </c>
      <c r="W57" s="17" t="s">
        <v>365</v>
      </c>
      <c r="X57" s="17" t="s">
        <v>132</v>
      </c>
      <c r="Y57" s="13" t="str">
        <f t="array" ref="Y57">XLOOKUP(V57,'Lifetime Summary Stats'!A:A,'Lifetime Summary Stats'!A:A)</f>
        <v>#N/A</v>
      </c>
    </row>
    <row r="58">
      <c r="A58" s="17" t="s">
        <v>384</v>
      </c>
      <c r="B58" s="17" t="s">
        <v>385</v>
      </c>
      <c r="C58" s="17" t="s">
        <v>386</v>
      </c>
      <c r="D58" s="17" t="s">
        <v>387</v>
      </c>
      <c r="E58" s="17">
        <v>0.0</v>
      </c>
      <c r="F58" s="17">
        <v>100.0</v>
      </c>
      <c r="G58" s="17">
        <v>5.0</v>
      </c>
      <c r="H58" s="17">
        <v>71.0</v>
      </c>
      <c r="I58" s="31">
        <v>45903.0</v>
      </c>
      <c r="J58" s="31">
        <v>45908.0</v>
      </c>
      <c r="K58" s="31">
        <v>45908.0</v>
      </c>
      <c r="M58" s="31">
        <v>45904.0</v>
      </c>
      <c r="N58" s="31">
        <v>45908.0</v>
      </c>
      <c r="O58" s="17" t="s">
        <v>315</v>
      </c>
      <c r="P58" s="17" t="s">
        <v>365</v>
      </c>
      <c r="R58" s="17" t="s">
        <v>129</v>
      </c>
      <c r="S58" s="17" t="s">
        <v>148</v>
      </c>
      <c r="U58" s="17" t="s">
        <v>138</v>
      </c>
      <c r="V58" s="17">
        <v>4100689.0</v>
      </c>
      <c r="W58" s="17" t="s">
        <v>365</v>
      </c>
      <c r="X58" s="17" t="s">
        <v>132</v>
      </c>
      <c r="Y58" s="13">
        <f t="array" ref="Y58">XLOOKUP(V58,'Lifetime Summary Stats'!A:A,'Lifetime Summary Stats'!A:A)</f>
        <v>4100689</v>
      </c>
    </row>
    <row r="59">
      <c r="A59" s="17" t="s">
        <v>388</v>
      </c>
      <c r="B59" s="17" t="s">
        <v>389</v>
      </c>
      <c r="C59" s="17" t="s">
        <v>390</v>
      </c>
      <c r="D59" s="17" t="s">
        <v>391</v>
      </c>
      <c r="E59" s="17">
        <v>55.0</v>
      </c>
      <c r="F59" s="17">
        <v>100.0</v>
      </c>
      <c r="G59" s="17">
        <v>15.0</v>
      </c>
      <c r="H59" s="17">
        <v>79.0</v>
      </c>
      <c r="I59" s="31">
        <v>45895.0</v>
      </c>
      <c r="J59" s="31">
        <v>45903.0</v>
      </c>
      <c r="K59" s="31">
        <v>45903.0</v>
      </c>
      <c r="L59" s="17" t="s">
        <v>392</v>
      </c>
      <c r="M59" s="31">
        <v>45903.0</v>
      </c>
      <c r="N59" s="31">
        <v>45910.0</v>
      </c>
      <c r="P59" s="17" t="s">
        <v>365</v>
      </c>
      <c r="R59" s="17" t="s">
        <v>129</v>
      </c>
      <c r="S59" s="17" t="s">
        <v>200</v>
      </c>
      <c r="U59" s="17" t="s">
        <v>138</v>
      </c>
      <c r="V59" s="17">
        <v>4098415.0</v>
      </c>
      <c r="W59" s="17" t="s">
        <v>365</v>
      </c>
      <c r="X59" s="17" t="s">
        <v>132</v>
      </c>
      <c r="Y59" s="13">
        <f t="array" ref="Y59">XLOOKUP(V59,'Lifetime Summary Stats'!A:A,'Lifetime Summary Stats'!A:A)</f>
        <v>4098415</v>
      </c>
    </row>
    <row r="60">
      <c r="A60" s="17" t="s">
        <v>393</v>
      </c>
      <c r="B60" s="17" t="s">
        <v>394</v>
      </c>
      <c r="C60" s="17" t="s">
        <v>395</v>
      </c>
      <c r="D60" s="17" t="s">
        <v>396</v>
      </c>
      <c r="E60" s="17">
        <v>55.0</v>
      </c>
      <c r="F60" s="17">
        <v>100.0</v>
      </c>
      <c r="G60" s="17">
        <v>19.0</v>
      </c>
      <c r="H60" s="17">
        <v>77.0</v>
      </c>
      <c r="I60" s="31">
        <v>45897.0</v>
      </c>
      <c r="J60" s="31">
        <v>45933.0</v>
      </c>
      <c r="K60" s="31">
        <v>37508.0</v>
      </c>
      <c r="M60" s="31">
        <v>45903.0</v>
      </c>
      <c r="N60" s="31">
        <v>45916.0</v>
      </c>
      <c r="P60" s="17" t="s">
        <v>365</v>
      </c>
      <c r="R60" s="17" t="s">
        <v>129</v>
      </c>
      <c r="S60" s="17" t="s">
        <v>137</v>
      </c>
      <c r="T60" s="17" t="s">
        <v>138</v>
      </c>
      <c r="V60" s="17">
        <v>3024156.0</v>
      </c>
      <c r="W60" s="17" t="s">
        <v>365</v>
      </c>
      <c r="X60" s="17" t="s">
        <v>132</v>
      </c>
      <c r="Y60" s="13">
        <f t="array" ref="Y60">XLOOKUP(V60,'Lifetime Summary Stats'!A:A,'Lifetime Summary Stats'!A:A)</f>
        <v>3024156</v>
      </c>
    </row>
    <row r="61">
      <c r="A61" s="17" t="s">
        <v>397</v>
      </c>
      <c r="B61" s="17" t="s">
        <v>398</v>
      </c>
      <c r="C61" s="17" t="s">
        <v>399</v>
      </c>
      <c r="D61" s="17" t="s">
        <v>400</v>
      </c>
      <c r="E61" s="17">
        <v>55.0</v>
      </c>
      <c r="F61" s="17">
        <v>100.0</v>
      </c>
      <c r="G61" s="17">
        <v>18.0</v>
      </c>
      <c r="H61" s="17">
        <v>73.0</v>
      </c>
      <c r="I61" s="31">
        <v>45901.0</v>
      </c>
      <c r="N61" s="31">
        <v>45919.0</v>
      </c>
      <c r="P61" s="17" t="s">
        <v>365</v>
      </c>
      <c r="R61" s="17" t="s">
        <v>129</v>
      </c>
      <c r="S61" s="17" t="s">
        <v>200</v>
      </c>
      <c r="T61" s="17" t="s">
        <v>138</v>
      </c>
      <c r="V61" s="17">
        <v>4103219.0</v>
      </c>
      <c r="W61" s="17" t="s">
        <v>365</v>
      </c>
      <c r="X61" s="17" t="s">
        <v>132</v>
      </c>
      <c r="Y61" s="13">
        <f t="array" ref="Y61">XLOOKUP(V61,'Lifetime Summary Stats'!A:A,'Lifetime Summary Stats'!A:A)</f>
        <v>4103219</v>
      </c>
    </row>
    <row r="62">
      <c r="A62" s="17" t="s">
        <v>401</v>
      </c>
      <c r="B62" s="17" t="s">
        <v>402</v>
      </c>
      <c r="C62" s="17" t="s">
        <v>403</v>
      </c>
      <c r="D62" s="17" t="s">
        <v>404</v>
      </c>
      <c r="E62" s="17">
        <v>25.0</v>
      </c>
      <c r="F62" s="17">
        <v>100.0</v>
      </c>
      <c r="G62" s="17">
        <v>17.0</v>
      </c>
      <c r="H62" s="17">
        <v>71.0</v>
      </c>
      <c r="I62" s="31">
        <v>45903.0</v>
      </c>
      <c r="J62" s="31">
        <v>45915.0</v>
      </c>
      <c r="K62" s="31">
        <v>45920.0</v>
      </c>
      <c r="M62" s="31">
        <v>45905.0</v>
      </c>
      <c r="N62" s="31">
        <v>45920.0</v>
      </c>
      <c r="O62" s="17" t="s">
        <v>315</v>
      </c>
      <c r="P62" s="17" t="s">
        <v>365</v>
      </c>
      <c r="R62" s="17" t="s">
        <v>129</v>
      </c>
      <c r="S62" s="17" t="s">
        <v>137</v>
      </c>
      <c r="T62" s="17" t="s">
        <v>163</v>
      </c>
      <c r="V62" s="17">
        <v>4115795.0</v>
      </c>
      <c r="W62" s="17" t="s">
        <v>365</v>
      </c>
      <c r="X62" s="17" t="s">
        <v>132</v>
      </c>
      <c r="Y62" s="13">
        <f t="array" ref="Y62">XLOOKUP(V62,'Lifetime Summary Stats'!A:A,'Lifetime Summary Stats'!A:A)</f>
        <v>4115795</v>
      </c>
    </row>
    <row r="63">
      <c r="A63" s="17" t="s">
        <v>405</v>
      </c>
      <c r="B63" s="17" t="s">
        <v>406</v>
      </c>
      <c r="C63" s="17" t="s">
        <v>407</v>
      </c>
      <c r="D63" s="17" t="s">
        <v>408</v>
      </c>
      <c r="E63" s="17">
        <v>0.0</v>
      </c>
      <c r="F63" s="17">
        <v>100.0</v>
      </c>
      <c r="G63" s="17">
        <v>7.0</v>
      </c>
      <c r="H63" s="17">
        <v>38.0</v>
      </c>
      <c r="I63" s="31">
        <v>45929.0</v>
      </c>
      <c r="J63" s="31">
        <v>45931.0</v>
      </c>
      <c r="L63" s="17" t="s">
        <v>409</v>
      </c>
      <c r="M63" s="31">
        <v>45932.0</v>
      </c>
      <c r="N63" s="31">
        <v>45936.0</v>
      </c>
      <c r="O63" s="17" t="s">
        <v>315</v>
      </c>
      <c r="P63" s="17" t="s">
        <v>343</v>
      </c>
      <c r="R63" s="17" t="s">
        <v>129</v>
      </c>
      <c r="S63" s="17" t="s">
        <v>410</v>
      </c>
      <c r="T63" s="17" t="s">
        <v>138</v>
      </c>
      <c r="V63" s="17">
        <v>2340816.0</v>
      </c>
      <c r="W63" s="17" t="s">
        <v>365</v>
      </c>
      <c r="X63" s="17" t="s">
        <v>132</v>
      </c>
      <c r="Y63" s="13">
        <f t="array" ref="Y63">XLOOKUP(V63,'Lifetime Summary Stats'!A:A,'Lifetime Summary Stats'!A:A)</f>
        <v>2340816</v>
      </c>
    </row>
    <row r="64">
      <c r="A64" s="17" t="s">
        <v>411</v>
      </c>
      <c r="B64" s="17" t="s">
        <v>412</v>
      </c>
      <c r="C64" s="17" t="s">
        <v>413</v>
      </c>
      <c r="D64" s="17" t="s">
        <v>414</v>
      </c>
      <c r="E64" s="17">
        <v>55.0</v>
      </c>
      <c r="F64" s="17">
        <v>100.0</v>
      </c>
      <c r="G64" s="17">
        <v>43.0</v>
      </c>
      <c r="H64" s="17">
        <v>80.0</v>
      </c>
      <c r="I64" s="31">
        <v>45894.0</v>
      </c>
      <c r="J64" s="31">
        <v>45925.0</v>
      </c>
      <c r="K64" s="31">
        <v>45931.0</v>
      </c>
      <c r="M64" s="31">
        <v>45896.0</v>
      </c>
      <c r="N64" s="31">
        <v>45937.0</v>
      </c>
      <c r="P64" s="17" t="s">
        <v>365</v>
      </c>
      <c r="R64" s="17" t="s">
        <v>129</v>
      </c>
      <c r="S64" s="17" t="s">
        <v>148</v>
      </c>
      <c r="T64" s="17" t="s">
        <v>138</v>
      </c>
      <c r="V64" s="17">
        <v>4079020.0</v>
      </c>
      <c r="W64" s="17" t="s">
        <v>365</v>
      </c>
      <c r="X64" s="17" t="s">
        <v>132</v>
      </c>
      <c r="Y64" s="13">
        <f t="array" ref="Y64">XLOOKUP(V64,'Lifetime Summary Stats'!A:A,'Lifetime Summary Stats'!A:A)</f>
        <v>4079020</v>
      </c>
    </row>
    <row r="65">
      <c r="A65" s="17" t="s">
        <v>415</v>
      </c>
      <c r="B65" s="17" t="s">
        <v>416</v>
      </c>
      <c r="C65" s="17" t="s">
        <v>417</v>
      </c>
      <c r="D65" s="17" t="s">
        <v>418</v>
      </c>
      <c r="E65" s="17">
        <v>25.0</v>
      </c>
      <c r="F65" s="17">
        <v>100.0</v>
      </c>
      <c r="G65" s="17">
        <v>8.0</v>
      </c>
      <c r="H65" s="17">
        <v>36.0</v>
      </c>
      <c r="I65" s="31">
        <v>45930.0</v>
      </c>
      <c r="L65" s="17" t="s">
        <v>419</v>
      </c>
      <c r="M65" s="31">
        <v>45937.0</v>
      </c>
      <c r="N65" s="31">
        <v>45938.0</v>
      </c>
      <c r="O65" s="17" t="s">
        <v>315</v>
      </c>
      <c r="P65" s="17" t="s">
        <v>365</v>
      </c>
      <c r="R65" s="17" t="s">
        <v>129</v>
      </c>
      <c r="S65" s="17" t="s">
        <v>148</v>
      </c>
      <c r="T65" s="17" t="s">
        <v>138</v>
      </c>
      <c r="V65" s="17">
        <v>4136952.0</v>
      </c>
      <c r="W65" s="17" t="s">
        <v>365</v>
      </c>
      <c r="X65" s="17" t="s">
        <v>132</v>
      </c>
      <c r="Y65" s="13">
        <f t="array" ref="Y65">XLOOKUP(V65,'Lifetime Summary Stats'!A:A,'Lifetime Summary Stats'!A:A)</f>
        <v>4136952</v>
      </c>
    </row>
    <row r="66">
      <c r="A66" s="17" t="s">
        <v>420</v>
      </c>
      <c r="B66" s="17" t="s">
        <v>421</v>
      </c>
      <c r="C66" s="17" t="s">
        <v>422</v>
      </c>
      <c r="D66" s="17" t="s">
        <v>423</v>
      </c>
      <c r="E66" s="17">
        <v>80.0</v>
      </c>
      <c r="F66" s="17">
        <v>100.0</v>
      </c>
      <c r="G66" s="17">
        <v>34.0</v>
      </c>
      <c r="H66" s="17">
        <v>63.0</v>
      </c>
      <c r="I66" s="31">
        <v>45911.0</v>
      </c>
      <c r="N66" s="31">
        <v>45945.0</v>
      </c>
      <c r="P66" s="17" t="s">
        <v>365</v>
      </c>
      <c r="R66" s="17" t="s">
        <v>129</v>
      </c>
      <c r="S66" s="17" t="s">
        <v>200</v>
      </c>
      <c r="T66" s="17" t="s">
        <v>138</v>
      </c>
      <c r="V66" s="17">
        <v>4112463.0</v>
      </c>
      <c r="W66" s="17" t="s">
        <v>365</v>
      </c>
      <c r="X66" s="17" t="s">
        <v>132</v>
      </c>
      <c r="Y66" s="13">
        <f t="array" ref="Y66">XLOOKUP(V66,'Lifetime Summary Stats'!A:A,'Lifetime Summary Stats'!A:A)</f>
        <v>4112463</v>
      </c>
    </row>
    <row r="67">
      <c r="A67" s="17" t="s">
        <v>424</v>
      </c>
      <c r="B67" s="17" t="s">
        <v>425</v>
      </c>
      <c r="C67" s="17" t="s">
        <v>426</v>
      </c>
      <c r="D67" s="17" t="s">
        <v>427</v>
      </c>
      <c r="E67" s="17">
        <v>25.0</v>
      </c>
      <c r="F67" s="17">
        <v>100.0</v>
      </c>
      <c r="G67" s="17">
        <v>20.0</v>
      </c>
      <c r="H67" s="17">
        <v>44.0</v>
      </c>
      <c r="I67" s="31">
        <v>45930.0</v>
      </c>
      <c r="N67" s="31">
        <v>45950.0</v>
      </c>
      <c r="P67" s="17" t="s">
        <v>316</v>
      </c>
      <c r="R67" s="17" t="s">
        <v>129</v>
      </c>
      <c r="S67" s="17" t="s">
        <v>148</v>
      </c>
      <c r="T67" s="17" t="s">
        <v>138</v>
      </c>
      <c r="V67" s="17">
        <v>4107679.0</v>
      </c>
      <c r="W67" s="17" t="s">
        <v>365</v>
      </c>
      <c r="X67" s="17" t="s">
        <v>132</v>
      </c>
      <c r="Y67" s="13">
        <f t="array" ref="Y67">XLOOKUP(V67,'Lifetime Summary Stats'!A:A,'Lifetime Summary Stats'!A:A)</f>
        <v>4107679</v>
      </c>
    </row>
    <row r="68">
      <c r="A68" s="17" t="s">
        <v>428</v>
      </c>
      <c r="B68" s="17" t="s">
        <v>429</v>
      </c>
      <c r="C68" s="17" t="s">
        <v>430</v>
      </c>
      <c r="D68" s="17" t="s">
        <v>431</v>
      </c>
      <c r="E68" s="17">
        <v>0.0</v>
      </c>
      <c r="F68" s="17">
        <v>100.0</v>
      </c>
      <c r="G68" s="17">
        <v>35.0</v>
      </c>
      <c r="H68" s="17">
        <v>58.0</v>
      </c>
      <c r="I68" s="31">
        <v>45916.0</v>
      </c>
      <c r="N68" s="31">
        <v>45951.0</v>
      </c>
      <c r="P68" s="17" t="s">
        <v>365</v>
      </c>
      <c r="R68" s="17" t="s">
        <v>129</v>
      </c>
      <c r="S68" s="17" t="s">
        <v>148</v>
      </c>
      <c r="T68" s="17" t="s">
        <v>138</v>
      </c>
      <c r="V68" s="17">
        <v>4117708.0</v>
      </c>
      <c r="W68" s="17" t="s">
        <v>365</v>
      </c>
      <c r="X68" s="17" t="s">
        <v>132</v>
      </c>
      <c r="Y68" s="13">
        <f t="array" ref="Y68">XLOOKUP(V68,'Lifetime Summary Stats'!A:A,'Lifetime Summary Stats'!A:A)</f>
        <v>4117708</v>
      </c>
    </row>
    <row r="69">
      <c r="A69" s="17" t="s">
        <v>432</v>
      </c>
      <c r="B69" s="17" t="s">
        <v>425</v>
      </c>
      <c r="C69" s="17" t="s">
        <v>426</v>
      </c>
      <c r="D69" s="17" t="s">
        <v>427</v>
      </c>
      <c r="E69" s="17">
        <v>55.0</v>
      </c>
      <c r="F69" s="17">
        <v>100.0</v>
      </c>
      <c r="G69" s="17">
        <v>26.0</v>
      </c>
      <c r="H69" s="17">
        <v>23.0</v>
      </c>
      <c r="I69" s="31">
        <v>45925.0</v>
      </c>
      <c r="L69" s="17" t="s">
        <v>433</v>
      </c>
      <c r="M69" s="31">
        <v>45946.0</v>
      </c>
      <c r="N69" s="31">
        <v>45951.0</v>
      </c>
      <c r="O69" s="17" t="s">
        <v>315</v>
      </c>
      <c r="P69" s="17" t="s">
        <v>365</v>
      </c>
      <c r="R69" s="17" t="s">
        <v>129</v>
      </c>
      <c r="S69" s="17" t="s">
        <v>148</v>
      </c>
      <c r="T69" s="17" t="s">
        <v>138</v>
      </c>
      <c r="V69" s="17">
        <v>4107679.0</v>
      </c>
      <c r="W69" s="17" t="s">
        <v>365</v>
      </c>
      <c r="X69" s="17" t="s">
        <v>132</v>
      </c>
      <c r="Y69" s="13">
        <f t="array" ref="Y69">XLOOKUP(V69,'Lifetime Summary Stats'!A:A,'Lifetime Summary Stats'!A:A)</f>
        <v>4107679</v>
      </c>
    </row>
    <row r="70">
      <c r="A70" s="17" t="s">
        <v>434</v>
      </c>
      <c r="B70" s="17" t="s">
        <v>435</v>
      </c>
      <c r="C70" s="17" t="s">
        <v>436</v>
      </c>
      <c r="D70" s="17" t="s">
        <v>437</v>
      </c>
      <c r="E70" s="17">
        <v>0.0</v>
      </c>
      <c r="F70" s="17">
        <v>100.0</v>
      </c>
      <c r="G70" s="17">
        <v>59.0</v>
      </c>
      <c r="H70" s="17">
        <v>20.0</v>
      </c>
      <c r="I70" s="31">
        <v>45895.0</v>
      </c>
      <c r="J70" s="31">
        <v>45905.0</v>
      </c>
      <c r="K70" s="31">
        <v>45905.0</v>
      </c>
      <c r="L70" s="17" t="s">
        <v>438</v>
      </c>
      <c r="M70" s="31">
        <v>45908.0</v>
      </c>
      <c r="N70" s="31">
        <v>45954.0</v>
      </c>
      <c r="P70" s="17" t="s">
        <v>365</v>
      </c>
      <c r="R70" s="17" t="s">
        <v>129</v>
      </c>
      <c r="S70" s="17" t="s">
        <v>277</v>
      </c>
      <c r="U70" s="17" t="s">
        <v>138</v>
      </c>
      <c r="V70" s="17">
        <v>4148405.0</v>
      </c>
      <c r="W70" s="17" t="s">
        <v>365</v>
      </c>
      <c r="X70" s="17" t="s">
        <v>132</v>
      </c>
      <c r="Y70" s="13">
        <f t="array" ref="Y70">XLOOKUP(V70,'Lifetime Summary Stats'!A:A,'Lifetime Summary Stats'!A:A)</f>
        <v>4148405</v>
      </c>
    </row>
    <row r="71">
      <c r="A71" s="17" t="s">
        <v>439</v>
      </c>
      <c r="B71" s="17" t="s">
        <v>440</v>
      </c>
      <c r="C71" s="17" t="s">
        <v>441</v>
      </c>
      <c r="D71" s="17" t="s">
        <v>442</v>
      </c>
      <c r="E71" s="17">
        <v>100.0</v>
      </c>
      <c r="F71" s="17">
        <v>100.0</v>
      </c>
      <c r="G71" s="17">
        <v>59.0</v>
      </c>
      <c r="H71" s="17">
        <v>20.0</v>
      </c>
      <c r="I71" s="31">
        <v>45895.0</v>
      </c>
      <c r="J71" s="31">
        <v>45905.0</v>
      </c>
      <c r="K71" s="31">
        <v>45905.0</v>
      </c>
      <c r="L71" s="17" t="s">
        <v>438</v>
      </c>
      <c r="M71" s="31">
        <v>45908.0</v>
      </c>
      <c r="N71" s="31">
        <v>45954.0</v>
      </c>
      <c r="P71" s="17" t="s">
        <v>365</v>
      </c>
      <c r="R71" s="17" t="s">
        <v>129</v>
      </c>
      <c r="S71" s="17" t="s">
        <v>277</v>
      </c>
      <c r="U71" s="17" t="s">
        <v>138</v>
      </c>
      <c r="V71" s="17">
        <v>3514759.0</v>
      </c>
      <c r="W71" s="17" t="s">
        <v>365</v>
      </c>
      <c r="X71" s="17" t="s">
        <v>132</v>
      </c>
      <c r="Y71" s="13">
        <f t="array" ref="Y71">XLOOKUP(V71,'Lifetime Summary Stats'!A:A,'Lifetime Summary Stats'!A:A)</f>
        <v>3514759</v>
      </c>
    </row>
    <row r="72">
      <c r="A72" s="17" t="s">
        <v>443</v>
      </c>
      <c r="B72" s="17" t="s">
        <v>444</v>
      </c>
      <c r="C72" s="17" t="s">
        <v>445</v>
      </c>
      <c r="D72" s="17" t="s">
        <v>446</v>
      </c>
      <c r="E72" s="17">
        <v>0.0</v>
      </c>
      <c r="F72" s="17">
        <v>100.0</v>
      </c>
      <c r="G72" s="17">
        <v>59.0</v>
      </c>
      <c r="H72" s="17">
        <v>20.0</v>
      </c>
      <c r="I72" s="31">
        <v>45895.0</v>
      </c>
      <c r="J72" s="31">
        <v>45905.0</v>
      </c>
      <c r="K72" s="31">
        <v>45905.0</v>
      </c>
      <c r="L72" s="17" t="s">
        <v>438</v>
      </c>
      <c r="M72" s="31">
        <v>45908.0</v>
      </c>
      <c r="N72" s="31">
        <v>45954.0</v>
      </c>
      <c r="P72" s="17" t="s">
        <v>365</v>
      </c>
      <c r="R72" s="17" t="s">
        <v>129</v>
      </c>
      <c r="S72" s="17" t="s">
        <v>148</v>
      </c>
      <c r="U72" s="17" t="s">
        <v>138</v>
      </c>
      <c r="V72" s="17">
        <v>4162423.0</v>
      </c>
      <c r="W72" s="17" t="s">
        <v>365</v>
      </c>
      <c r="X72" s="17" t="s">
        <v>132</v>
      </c>
      <c r="Y72" s="13">
        <f t="array" ref="Y72">XLOOKUP(V72,'Lifetime Summary Stats'!A:A,'Lifetime Summary Stats'!A:A)</f>
        <v>4162423</v>
      </c>
    </row>
    <row r="73">
      <c r="A73" s="17" t="s">
        <v>447</v>
      </c>
      <c r="B73" s="17" t="s">
        <v>448</v>
      </c>
      <c r="C73" s="17" t="s">
        <v>449</v>
      </c>
      <c r="D73" s="17" t="s">
        <v>450</v>
      </c>
      <c r="E73" s="17">
        <v>0.0</v>
      </c>
      <c r="F73" s="17">
        <v>100.0</v>
      </c>
      <c r="G73" s="17">
        <v>59.0</v>
      </c>
      <c r="H73" s="17">
        <v>20.0</v>
      </c>
      <c r="I73" s="31">
        <v>45895.0</v>
      </c>
      <c r="J73" s="31">
        <v>45905.0</v>
      </c>
      <c r="K73" s="31">
        <v>45905.0</v>
      </c>
      <c r="L73" s="17" t="s">
        <v>438</v>
      </c>
      <c r="M73" s="31">
        <v>45908.0</v>
      </c>
      <c r="N73" s="31">
        <v>45954.0</v>
      </c>
      <c r="P73" s="17" t="s">
        <v>365</v>
      </c>
      <c r="R73" s="17" t="s">
        <v>129</v>
      </c>
      <c r="S73" s="17" t="s">
        <v>148</v>
      </c>
      <c r="U73" s="17" t="s">
        <v>138</v>
      </c>
      <c r="V73" s="17">
        <v>4154266.0</v>
      </c>
      <c r="W73" s="17" t="s">
        <v>365</v>
      </c>
      <c r="X73" s="17" t="s">
        <v>132</v>
      </c>
      <c r="Y73" s="13">
        <f t="array" ref="Y73">XLOOKUP(V73,'Lifetime Summary Stats'!A:A,'Lifetime Summary Stats'!A:A)</f>
        <v>4154266</v>
      </c>
    </row>
    <row r="74">
      <c r="A74" s="17" t="s">
        <v>451</v>
      </c>
      <c r="B74" s="17" t="s">
        <v>452</v>
      </c>
      <c r="C74" s="17" t="s">
        <v>453</v>
      </c>
      <c r="D74" s="17" t="s">
        <v>454</v>
      </c>
      <c r="E74" s="17">
        <v>25.0</v>
      </c>
      <c r="F74" s="17">
        <v>100.0</v>
      </c>
      <c r="G74" s="17">
        <v>26.0</v>
      </c>
      <c r="H74" s="17">
        <v>43.0</v>
      </c>
      <c r="I74" s="31">
        <v>45931.0</v>
      </c>
      <c r="N74" s="31">
        <v>45957.0</v>
      </c>
      <c r="P74" s="17" t="s">
        <v>365</v>
      </c>
      <c r="R74" s="17" t="s">
        <v>129</v>
      </c>
      <c r="S74" s="17" t="s">
        <v>244</v>
      </c>
      <c r="T74" s="17" t="s">
        <v>138</v>
      </c>
      <c r="V74" s="17">
        <v>4186958.0</v>
      </c>
      <c r="W74" s="17" t="s">
        <v>365</v>
      </c>
      <c r="X74" s="17" t="s">
        <v>132</v>
      </c>
      <c r="Y74" s="13">
        <f t="array" ref="Y74">XLOOKUP(V74,'Lifetime Summary Stats'!A:A,'Lifetime Summary Stats'!A:A)</f>
        <v>4186958</v>
      </c>
    </row>
    <row r="75">
      <c r="A75" s="17" t="s">
        <v>455</v>
      </c>
      <c r="B75" s="17" t="s">
        <v>456</v>
      </c>
      <c r="C75" s="17" t="s">
        <v>457</v>
      </c>
      <c r="D75" s="17" t="s">
        <v>458</v>
      </c>
      <c r="E75" s="17">
        <v>55.0</v>
      </c>
      <c r="F75" s="17">
        <v>100.0</v>
      </c>
      <c r="G75" s="17">
        <v>43.0</v>
      </c>
      <c r="H75" s="17">
        <v>16.0</v>
      </c>
      <c r="I75" s="31">
        <v>45915.0</v>
      </c>
      <c r="J75" s="31">
        <v>45921.0</v>
      </c>
      <c r="K75" s="31">
        <v>45918.0</v>
      </c>
      <c r="M75" s="31">
        <v>45922.0</v>
      </c>
      <c r="N75" s="31">
        <v>45958.0</v>
      </c>
      <c r="O75" s="17" t="s">
        <v>459</v>
      </c>
      <c r="P75" s="17" t="s">
        <v>365</v>
      </c>
      <c r="R75" s="17" t="s">
        <v>129</v>
      </c>
      <c r="S75" s="17" t="s">
        <v>148</v>
      </c>
      <c r="T75" s="17" t="s">
        <v>138</v>
      </c>
      <c r="U75" s="17" t="s">
        <v>138</v>
      </c>
      <c r="V75" s="17">
        <v>3543707.0</v>
      </c>
      <c r="W75" s="17" t="s">
        <v>365</v>
      </c>
      <c r="X75" s="17" t="s">
        <v>132</v>
      </c>
      <c r="Y75" s="13">
        <f t="array" ref="Y75">XLOOKUP(V75,'Lifetime Summary Stats'!A:A,'Lifetime Summary Stats'!A:A)</f>
        <v>3543707</v>
      </c>
    </row>
    <row r="76">
      <c r="A76" s="17" t="s">
        <v>460</v>
      </c>
      <c r="B76" s="17" t="s">
        <v>461</v>
      </c>
      <c r="C76" s="17" t="s">
        <v>462</v>
      </c>
      <c r="D76" s="17" t="s">
        <v>463</v>
      </c>
      <c r="E76" s="17">
        <v>25.0</v>
      </c>
      <c r="F76" s="17">
        <v>100.0</v>
      </c>
      <c r="G76" s="17">
        <v>53.0</v>
      </c>
      <c r="H76" s="17">
        <v>16.0</v>
      </c>
      <c r="I76" s="31">
        <v>45905.0</v>
      </c>
      <c r="J76" s="31">
        <v>45935.0</v>
      </c>
      <c r="K76" s="31">
        <v>45935.0</v>
      </c>
      <c r="M76" s="31">
        <v>45922.0</v>
      </c>
      <c r="N76" s="31">
        <v>45958.0</v>
      </c>
      <c r="O76" s="17" t="s">
        <v>315</v>
      </c>
      <c r="P76" s="17" t="s">
        <v>365</v>
      </c>
      <c r="R76" s="17" t="s">
        <v>129</v>
      </c>
      <c r="S76" s="17" t="s">
        <v>277</v>
      </c>
      <c r="T76" s="17" t="s">
        <v>163</v>
      </c>
      <c r="V76" s="17">
        <v>4132416.0</v>
      </c>
      <c r="W76" s="17" t="s">
        <v>365</v>
      </c>
      <c r="X76" s="17" t="s">
        <v>132</v>
      </c>
      <c r="Y76" s="13">
        <f t="array" ref="Y76">XLOOKUP(V76,'Lifetime Summary Stats'!A:A,'Lifetime Summary Stats'!A:A)</f>
        <v>4132416</v>
      </c>
    </row>
    <row r="77">
      <c r="A77" s="17" t="s">
        <v>464</v>
      </c>
      <c r="B77" s="17" t="s">
        <v>465</v>
      </c>
      <c r="C77" s="17" t="s">
        <v>466</v>
      </c>
      <c r="D77" s="17" t="s">
        <v>467</v>
      </c>
      <c r="E77" s="17">
        <v>25.0</v>
      </c>
      <c r="F77" s="17">
        <v>100.0</v>
      </c>
      <c r="G77" s="17">
        <v>78.0</v>
      </c>
      <c r="H77" s="17">
        <v>16.0</v>
      </c>
      <c r="I77" s="31">
        <v>45880.0</v>
      </c>
      <c r="J77" s="31">
        <v>45898.0</v>
      </c>
      <c r="K77" s="31">
        <v>45940.0</v>
      </c>
      <c r="L77" s="17" t="s">
        <v>468</v>
      </c>
      <c r="M77" s="31">
        <v>45896.0</v>
      </c>
      <c r="N77" s="31">
        <v>45958.0</v>
      </c>
      <c r="P77" s="17" t="s">
        <v>365</v>
      </c>
      <c r="R77" s="17" t="s">
        <v>129</v>
      </c>
      <c r="S77" s="17" t="s">
        <v>469</v>
      </c>
      <c r="T77" s="17" t="s">
        <v>138</v>
      </c>
      <c r="V77" s="17">
        <v>3707279.0</v>
      </c>
      <c r="W77" s="17" t="s">
        <v>365</v>
      </c>
      <c r="X77" s="17" t="s">
        <v>132</v>
      </c>
      <c r="Y77" s="13" t="str">
        <f t="array" ref="Y77">XLOOKUP(V77,'Lifetime Summary Stats'!A:A,'Lifetime Summary Stats'!A:A)</f>
        <v>#N/A</v>
      </c>
    </row>
    <row r="78">
      <c r="A78" s="17" t="s">
        <v>470</v>
      </c>
      <c r="B78" s="17" t="s">
        <v>471</v>
      </c>
      <c r="C78" s="17" t="s">
        <v>472</v>
      </c>
      <c r="D78" s="17" t="s">
        <v>473</v>
      </c>
      <c r="E78" s="17">
        <v>0.0</v>
      </c>
      <c r="F78" s="17">
        <v>100.0</v>
      </c>
      <c r="G78" s="17">
        <v>18.0</v>
      </c>
      <c r="H78" s="17">
        <v>16.0</v>
      </c>
      <c r="I78" s="31">
        <v>45940.0</v>
      </c>
      <c r="M78" s="31">
        <v>45953.0</v>
      </c>
      <c r="N78" s="31">
        <v>45958.0</v>
      </c>
      <c r="O78" s="17" t="s">
        <v>315</v>
      </c>
      <c r="P78" s="17" t="s">
        <v>343</v>
      </c>
      <c r="R78" s="17" t="s">
        <v>129</v>
      </c>
      <c r="S78" s="17" t="s">
        <v>137</v>
      </c>
      <c r="U78" s="17" t="s">
        <v>138</v>
      </c>
      <c r="V78" s="17">
        <v>4185373.0</v>
      </c>
      <c r="W78" s="17" t="s">
        <v>365</v>
      </c>
      <c r="X78" s="17" t="s">
        <v>132</v>
      </c>
      <c r="Y78" s="13">
        <f t="array" ref="Y78">XLOOKUP(V78,'Lifetime Summary Stats'!A:A,'Lifetime Summary Stats'!A:A)</f>
        <v>4185373</v>
      </c>
    </row>
    <row r="79">
      <c r="A79" s="17" t="s">
        <v>474</v>
      </c>
      <c r="B79" s="17" t="s">
        <v>475</v>
      </c>
      <c r="C79" s="17" t="s">
        <v>476</v>
      </c>
      <c r="D79" s="17" t="s">
        <v>477</v>
      </c>
      <c r="E79" s="17">
        <v>0.0</v>
      </c>
      <c r="F79" s="17">
        <v>100.0</v>
      </c>
      <c r="G79" s="17">
        <v>50.0</v>
      </c>
      <c r="H79" s="17">
        <v>8.0</v>
      </c>
      <c r="I79" s="31">
        <v>45916.0</v>
      </c>
      <c r="J79" s="31">
        <v>45925.0</v>
      </c>
      <c r="K79" s="31">
        <v>45946.0</v>
      </c>
      <c r="L79" s="17" t="s">
        <v>478</v>
      </c>
      <c r="M79" s="31">
        <v>45923.0</v>
      </c>
      <c r="N79" s="31">
        <v>45966.0</v>
      </c>
      <c r="O79" s="17" t="s">
        <v>315</v>
      </c>
      <c r="P79" s="17" t="s">
        <v>365</v>
      </c>
      <c r="R79" s="17" t="s">
        <v>129</v>
      </c>
      <c r="S79" s="17" t="s">
        <v>148</v>
      </c>
      <c r="U79" s="17" t="s">
        <v>138</v>
      </c>
      <c r="V79" s="17">
        <v>4138622.0</v>
      </c>
      <c r="W79" s="17" t="s">
        <v>365</v>
      </c>
      <c r="X79" s="17" t="s">
        <v>132</v>
      </c>
      <c r="Y79" s="13">
        <f t="array" ref="Y79">XLOOKUP(V79,'Lifetime Summary Stats'!A:A,'Lifetime Summary Stats'!A:A)</f>
        <v>4138622</v>
      </c>
    </row>
    <row r="80">
      <c r="A80" s="17" t="s">
        <v>479</v>
      </c>
      <c r="B80" s="17" t="s">
        <v>480</v>
      </c>
      <c r="C80" s="17" t="s">
        <v>481</v>
      </c>
      <c r="D80" s="17" t="s">
        <v>482</v>
      </c>
      <c r="E80" s="17">
        <v>0.0</v>
      </c>
      <c r="F80" s="17">
        <v>100.0</v>
      </c>
      <c r="G80" s="17">
        <v>62.0</v>
      </c>
      <c r="H80" s="17">
        <v>8.0</v>
      </c>
      <c r="I80" s="31">
        <v>45904.0</v>
      </c>
      <c r="J80" s="31">
        <v>45972.0</v>
      </c>
      <c r="K80" s="31">
        <v>45973.0</v>
      </c>
      <c r="M80" s="31">
        <v>45966.0</v>
      </c>
      <c r="N80" s="31">
        <v>45966.0</v>
      </c>
      <c r="P80" s="17" t="s">
        <v>365</v>
      </c>
      <c r="R80" s="17" t="s">
        <v>129</v>
      </c>
      <c r="S80" s="17" t="s">
        <v>148</v>
      </c>
      <c r="T80" s="17" t="s">
        <v>138</v>
      </c>
      <c r="V80" s="17">
        <v>1938612.0</v>
      </c>
      <c r="W80" s="17" t="s">
        <v>365</v>
      </c>
      <c r="X80" s="17" t="s">
        <v>132</v>
      </c>
      <c r="Y80" s="13">
        <f t="array" ref="Y80">XLOOKUP(V80,'Lifetime Summary Stats'!A:A,'Lifetime Summary Stats'!A:A)</f>
        <v>1938612</v>
      </c>
    </row>
    <row r="81">
      <c r="A81" s="17" t="s">
        <v>483</v>
      </c>
      <c r="B81" s="17" t="s">
        <v>484</v>
      </c>
      <c r="C81" s="17" t="s">
        <v>485</v>
      </c>
      <c r="D81" s="17" t="s">
        <v>486</v>
      </c>
      <c r="E81" s="17">
        <v>0.0</v>
      </c>
      <c r="F81" s="17">
        <v>100.0</v>
      </c>
      <c r="G81" s="17">
        <v>1.0</v>
      </c>
      <c r="H81" s="17">
        <v>8.0</v>
      </c>
      <c r="I81" s="31">
        <v>45965.0</v>
      </c>
      <c r="J81" s="31">
        <v>45966.0</v>
      </c>
      <c r="K81" s="31">
        <v>45966.0</v>
      </c>
      <c r="L81" s="17" t="s">
        <v>487</v>
      </c>
      <c r="M81" s="31">
        <v>45973.0</v>
      </c>
      <c r="N81" s="31">
        <v>45966.0</v>
      </c>
      <c r="P81" s="17" t="s">
        <v>343</v>
      </c>
      <c r="R81" s="17" t="s">
        <v>129</v>
      </c>
      <c r="S81" s="17" t="s">
        <v>148</v>
      </c>
      <c r="T81" s="17" t="s">
        <v>138</v>
      </c>
      <c r="V81" s="17">
        <v>4213575.0</v>
      </c>
      <c r="W81" s="17" t="s">
        <v>365</v>
      </c>
      <c r="X81" s="17" t="s">
        <v>132</v>
      </c>
      <c r="Y81" s="13">
        <f t="array" ref="Y81">XLOOKUP(V81,'Lifetime Summary Stats'!A:A,'Lifetime Summary Stats'!A:A)</f>
        <v>4213575</v>
      </c>
    </row>
  </sheetData>
  <hyperlinks>
    <hyperlink r:id="rId1" ref="S2"/>
    <hyperlink r:id="rId2" ref="S4"/>
    <hyperlink r:id="rId3" ref="S12"/>
    <hyperlink r:id="rId4" ref="S18"/>
    <hyperlink r:id="rId5" ref="S19"/>
    <hyperlink r:id="rId6" ref="S20"/>
    <hyperlink r:id="rId7" ref="S23"/>
    <hyperlink r:id="rId8" ref="S30"/>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7.5"/>
  </cols>
  <sheetData>
    <row r="1">
      <c r="A1" s="1" t="s">
        <v>0</v>
      </c>
      <c r="B1" s="2" t="s">
        <v>1</v>
      </c>
      <c r="C1" s="2" t="s">
        <v>2</v>
      </c>
      <c r="D1" s="2" t="s">
        <v>3</v>
      </c>
      <c r="E1" s="2" t="s">
        <v>4</v>
      </c>
      <c r="F1" s="2" t="s">
        <v>5</v>
      </c>
      <c r="G1" s="2" t="s">
        <v>6</v>
      </c>
      <c r="H1" s="2" t="s">
        <v>7</v>
      </c>
      <c r="I1" s="2" t="s">
        <v>8</v>
      </c>
      <c r="J1" s="2" t="s">
        <v>9</v>
      </c>
      <c r="K1" s="2" t="s">
        <v>10</v>
      </c>
      <c r="L1" s="4" t="s">
        <v>11</v>
      </c>
    </row>
    <row r="2">
      <c r="A2" s="5" t="s">
        <v>488</v>
      </c>
      <c r="B2" s="6">
        <v>45931.0</v>
      </c>
      <c r="C2" s="7">
        <v>4030970.0</v>
      </c>
      <c r="D2" s="6">
        <v>45870.0</v>
      </c>
      <c r="E2" s="7">
        <v>5.0</v>
      </c>
      <c r="F2" s="7">
        <v>2.0</v>
      </c>
      <c r="G2" s="7">
        <v>12169.11</v>
      </c>
      <c r="H2" s="7">
        <v>49.784</v>
      </c>
      <c r="I2" s="8"/>
      <c r="J2" s="7">
        <v>48.8319999999999</v>
      </c>
      <c r="K2" s="7">
        <v>47.922806517037</v>
      </c>
      <c r="L2" s="12">
        <v>0.90919348296299</v>
      </c>
    </row>
    <row r="3">
      <c r="A3" s="5" t="s">
        <v>488</v>
      </c>
      <c r="B3" s="6">
        <v>45931.0</v>
      </c>
      <c r="C3" s="7">
        <v>4011819.0</v>
      </c>
      <c r="D3" s="6">
        <v>45839.0</v>
      </c>
      <c r="E3" s="7">
        <v>5.0</v>
      </c>
      <c r="F3" s="7">
        <v>0.0</v>
      </c>
      <c r="G3" s="7">
        <v>16616.64</v>
      </c>
      <c r="H3" s="7">
        <v>481.88</v>
      </c>
      <c r="I3" s="8"/>
      <c r="J3" s="7">
        <v>77.1036</v>
      </c>
      <c r="K3" s="7">
        <v>68.289256271954</v>
      </c>
      <c r="L3" s="12">
        <v>8.81434372804599</v>
      </c>
    </row>
    <row r="4">
      <c r="A4" s="5" t="s">
        <v>489</v>
      </c>
      <c r="B4" s="6">
        <v>45931.0</v>
      </c>
      <c r="C4" s="7">
        <v>3328212.0</v>
      </c>
      <c r="D4" s="6">
        <v>45901.0</v>
      </c>
      <c r="E4" s="7">
        <v>5.0</v>
      </c>
      <c r="F4" s="7">
        <v>2.0</v>
      </c>
      <c r="G4" s="7">
        <v>1395.2</v>
      </c>
      <c r="H4" s="7">
        <v>15.16</v>
      </c>
      <c r="I4" s="8"/>
      <c r="J4" s="7">
        <v>-0.109999999999999</v>
      </c>
      <c r="K4" s="7">
        <v>-0.123951999999999</v>
      </c>
      <c r="L4" s="12">
        <v>0.0139519999999999</v>
      </c>
    </row>
    <row r="5">
      <c r="A5" s="5" t="s">
        <v>488</v>
      </c>
      <c r="B5" s="6">
        <v>45931.0</v>
      </c>
      <c r="C5" s="7">
        <v>3934711.0</v>
      </c>
      <c r="D5" s="6">
        <v>45839.0</v>
      </c>
      <c r="E5" s="7">
        <v>54.0</v>
      </c>
      <c r="F5" s="7">
        <v>54.0</v>
      </c>
      <c r="G5" s="7">
        <v>7178.6</v>
      </c>
      <c r="H5" s="7">
        <v>20.0</v>
      </c>
      <c r="I5" s="7">
        <v>15.0</v>
      </c>
      <c r="J5" s="7">
        <v>13.73</v>
      </c>
      <c r="K5" s="7">
        <v>11.863529665133</v>
      </c>
      <c r="L5" s="12">
        <v>1.866470334867</v>
      </c>
    </row>
    <row r="6">
      <c r="A6" s="5" t="s">
        <v>488</v>
      </c>
      <c r="B6" s="6">
        <v>45931.0</v>
      </c>
      <c r="C6" s="7">
        <v>4068848.0</v>
      </c>
      <c r="D6" s="6">
        <v>45870.0</v>
      </c>
      <c r="E6" s="7">
        <v>10.0</v>
      </c>
      <c r="F6" s="7">
        <v>2.0</v>
      </c>
      <c r="G6" s="7">
        <v>3461.79</v>
      </c>
      <c r="H6" s="7">
        <v>86.91</v>
      </c>
      <c r="I6" s="8"/>
      <c r="J6" s="7">
        <v>9.1608</v>
      </c>
      <c r="K6" s="7">
        <v>8.43633062168</v>
      </c>
      <c r="L6" s="12">
        <v>0.72446937832</v>
      </c>
    </row>
    <row r="7">
      <c r="A7" s="5" t="s">
        <v>488</v>
      </c>
      <c r="B7" s="6">
        <v>45931.0</v>
      </c>
      <c r="C7" s="7">
        <v>3952865.0</v>
      </c>
      <c r="D7" s="6">
        <v>45809.0</v>
      </c>
      <c r="E7" s="7">
        <v>8.0</v>
      </c>
      <c r="F7" s="7">
        <v>8.0</v>
      </c>
      <c r="G7" s="7">
        <v>29904.1</v>
      </c>
      <c r="H7" s="7">
        <v>0.0</v>
      </c>
      <c r="I7" s="8"/>
      <c r="J7" s="7">
        <v>-0.48</v>
      </c>
      <c r="K7" s="7">
        <v>-5.165414665831</v>
      </c>
      <c r="L7" s="12">
        <v>4.685414665831</v>
      </c>
    </row>
    <row r="8">
      <c r="A8" s="5" t="s">
        <v>488</v>
      </c>
      <c r="B8" s="6">
        <v>45931.0</v>
      </c>
      <c r="C8" s="7">
        <v>3977410.0</v>
      </c>
      <c r="D8" s="6">
        <v>45809.0</v>
      </c>
      <c r="E8" s="7">
        <v>4.0</v>
      </c>
      <c r="F8" s="7">
        <v>4.0</v>
      </c>
      <c r="G8" s="7">
        <v>9600.0</v>
      </c>
      <c r="H8" s="7">
        <v>0.0</v>
      </c>
      <c r="I8" s="8"/>
      <c r="J8" s="7">
        <v>-0.31</v>
      </c>
      <c r="K8" s="7">
        <v>-0.406</v>
      </c>
      <c r="L8" s="12">
        <v>0.096</v>
      </c>
    </row>
    <row r="9">
      <c r="A9" s="5" t="s">
        <v>489</v>
      </c>
      <c r="B9" s="6">
        <v>45931.0</v>
      </c>
      <c r="C9" s="7">
        <v>3543707.0</v>
      </c>
      <c r="D9" s="6">
        <v>45901.0</v>
      </c>
      <c r="E9" s="7">
        <v>45.0</v>
      </c>
      <c r="F9" s="7">
        <v>45.0</v>
      </c>
      <c r="G9" s="7">
        <v>136623.23</v>
      </c>
      <c r="H9" s="7">
        <v>38.75</v>
      </c>
      <c r="I9" s="8"/>
      <c r="J9" s="7">
        <v>34.81</v>
      </c>
      <c r="K9" s="7">
        <v>9.734903299887</v>
      </c>
      <c r="L9" s="12">
        <v>25.075096700113</v>
      </c>
    </row>
    <row r="10">
      <c r="A10" s="5" t="s">
        <v>17</v>
      </c>
      <c r="B10" s="6">
        <v>45931.0</v>
      </c>
      <c r="C10" s="7">
        <v>3987123.0</v>
      </c>
      <c r="D10" s="6">
        <v>45839.0</v>
      </c>
      <c r="E10" s="7">
        <v>1.0</v>
      </c>
      <c r="F10" s="7">
        <v>1.0</v>
      </c>
      <c r="G10" s="7">
        <v>5871.22</v>
      </c>
      <c r="H10" s="7">
        <v>0.0</v>
      </c>
      <c r="I10" s="8"/>
      <c r="J10" s="7">
        <v>-0.06</v>
      </c>
      <c r="K10" s="7">
        <v>-0.1187122</v>
      </c>
      <c r="L10" s="12">
        <v>0.0587122</v>
      </c>
    </row>
    <row r="11">
      <c r="A11" s="5" t="s">
        <v>489</v>
      </c>
      <c r="B11" s="6">
        <v>45931.0</v>
      </c>
      <c r="C11" s="7">
        <v>3947424.0</v>
      </c>
      <c r="D11" s="6">
        <v>45809.0</v>
      </c>
      <c r="E11" s="7">
        <v>56.0</v>
      </c>
      <c r="F11" s="7">
        <v>56.0</v>
      </c>
      <c r="G11" s="7">
        <v>139054.47</v>
      </c>
      <c r="H11" s="7">
        <v>14.22094</v>
      </c>
      <c r="I11" s="7">
        <v>2.5</v>
      </c>
      <c r="J11" s="7">
        <v>9.0809</v>
      </c>
      <c r="K11" s="7">
        <v>-12.706341652065</v>
      </c>
      <c r="L11" s="12">
        <v>21.787241652065</v>
      </c>
    </row>
    <row r="12">
      <c r="A12" s="5" t="s">
        <v>489</v>
      </c>
      <c r="B12" s="6">
        <v>45931.0</v>
      </c>
      <c r="C12" s="7">
        <v>4038405.0</v>
      </c>
      <c r="D12" s="6">
        <v>45870.0</v>
      </c>
      <c r="E12" s="7">
        <v>77.0</v>
      </c>
      <c r="F12" s="7">
        <v>77.0</v>
      </c>
      <c r="G12" s="7">
        <v>1227699.61</v>
      </c>
      <c r="H12" s="7">
        <v>346.95853</v>
      </c>
      <c r="I12" s="7">
        <v>10.0</v>
      </c>
      <c r="J12" s="7">
        <v>337.5985</v>
      </c>
      <c r="K12" s="7">
        <v>145.189841620281</v>
      </c>
      <c r="L12" s="12">
        <v>192.408658379719</v>
      </c>
    </row>
    <row r="13">
      <c r="A13" s="5" t="s">
        <v>17</v>
      </c>
      <c r="B13" s="6">
        <v>45931.0</v>
      </c>
      <c r="C13" s="7">
        <v>4079539.0</v>
      </c>
      <c r="D13" s="6">
        <v>45870.0</v>
      </c>
      <c r="E13" s="7">
        <v>3.0</v>
      </c>
      <c r="F13" s="7">
        <v>0.0</v>
      </c>
      <c r="G13" s="7">
        <v>56712.0</v>
      </c>
      <c r="H13" s="7">
        <v>1654.64</v>
      </c>
      <c r="I13" s="8"/>
      <c r="J13" s="7">
        <v>167.545399999999</v>
      </c>
      <c r="K13" s="7">
        <v>121.403423929</v>
      </c>
      <c r="L13" s="12">
        <v>46.1419760709999</v>
      </c>
    </row>
    <row r="14">
      <c r="A14" s="5" t="s">
        <v>17</v>
      </c>
      <c r="B14" s="6">
        <v>45931.0</v>
      </c>
      <c r="C14" s="7">
        <v>4138622.0</v>
      </c>
      <c r="D14" s="6">
        <v>45901.0</v>
      </c>
      <c r="E14" s="7">
        <v>4.0</v>
      </c>
      <c r="F14" s="7">
        <v>3.0</v>
      </c>
      <c r="G14" s="7">
        <v>28347.21</v>
      </c>
      <c r="H14" s="7">
        <v>335.78</v>
      </c>
      <c r="I14" s="8"/>
      <c r="J14" s="7">
        <v>41.9955999999999</v>
      </c>
      <c r="K14" s="7">
        <v>41.7121279</v>
      </c>
      <c r="L14" s="12">
        <v>0.28347209999999</v>
      </c>
    </row>
    <row r="15">
      <c r="A15" s="5" t="s">
        <v>489</v>
      </c>
      <c r="B15" s="6">
        <v>45931.0</v>
      </c>
      <c r="C15" s="7">
        <v>4103219.0</v>
      </c>
      <c r="D15" s="6">
        <v>45901.0</v>
      </c>
      <c r="E15" s="7">
        <v>17.0</v>
      </c>
      <c r="F15" s="7">
        <v>17.0</v>
      </c>
      <c r="G15" s="7">
        <v>21325.66</v>
      </c>
      <c r="H15" s="7">
        <v>12.42</v>
      </c>
      <c r="I15" s="7">
        <v>0.5</v>
      </c>
      <c r="J15" s="7">
        <v>10.81</v>
      </c>
      <c r="K15" s="7">
        <v>5.885144256293</v>
      </c>
      <c r="L15" s="12">
        <v>4.924855743707</v>
      </c>
    </row>
    <row r="16">
      <c r="A16" s="5" t="s">
        <v>17</v>
      </c>
      <c r="B16" s="6">
        <v>45931.0</v>
      </c>
      <c r="C16" s="7">
        <v>4100689.0</v>
      </c>
      <c r="D16" s="6">
        <v>45901.0</v>
      </c>
      <c r="E16" s="7">
        <v>6.0</v>
      </c>
      <c r="F16" s="7">
        <v>0.0</v>
      </c>
      <c r="G16" s="7">
        <v>87698.0</v>
      </c>
      <c r="H16" s="7">
        <v>2543.25</v>
      </c>
      <c r="I16" s="8"/>
      <c r="J16" s="7">
        <v>457.0262</v>
      </c>
      <c r="K16" s="7">
        <v>456.14922</v>
      </c>
      <c r="L16" s="12">
        <v>0.876980000000003</v>
      </c>
    </row>
    <row r="17">
      <c r="A17" s="5" t="s">
        <v>17</v>
      </c>
      <c r="B17" s="6">
        <v>45931.0</v>
      </c>
      <c r="C17" s="7">
        <v>3942346.0</v>
      </c>
      <c r="D17" s="6">
        <v>45809.0</v>
      </c>
      <c r="E17" s="7">
        <v>1.0</v>
      </c>
      <c r="F17" s="7">
        <v>1.0</v>
      </c>
      <c r="G17" s="7">
        <v>1185.44</v>
      </c>
      <c r="H17" s="7">
        <v>17.88</v>
      </c>
      <c r="I17" s="8"/>
      <c r="J17" s="7">
        <v>15.76</v>
      </c>
      <c r="K17" s="7">
        <v>15.571462201648</v>
      </c>
      <c r="L17" s="12">
        <v>0.188537798351999</v>
      </c>
    </row>
    <row r="18">
      <c r="A18" s="5" t="s">
        <v>17</v>
      </c>
      <c r="B18" s="6">
        <v>45931.0</v>
      </c>
      <c r="C18" s="7">
        <v>3958943.0</v>
      </c>
      <c r="D18" s="6">
        <v>45839.0</v>
      </c>
      <c r="E18" s="7">
        <v>3.0</v>
      </c>
      <c r="F18" s="7">
        <v>2.0</v>
      </c>
      <c r="G18" s="7">
        <v>510.78</v>
      </c>
      <c r="H18" s="7">
        <v>1.16</v>
      </c>
      <c r="I18" s="8"/>
      <c r="J18" s="7">
        <v>-0.6735</v>
      </c>
      <c r="K18" s="7">
        <v>-0.6786078</v>
      </c>
      <c r="L18" s="12">
        <v>0.00510779999999999</v>
      </c>
    </row>
    <row r="19">
      <c r="A19" s="5" t="s">
        <v>17</v>
      </c>
      <c r="B19" s="6">
        <v>45931.0</v>
      </c>
      <c r="C19" s="7">
        <v>3942651.0</v>
      </c>
      <c r="D19" s="6">
        <v>45809.0</v>
      </c>
      <c r="E19" s="7">
        <v>7.0</v>
      </c>
      <c r="F19" s="7">
        <v>7.0</v>
      </c>
      <c r="G19" s="7">
        <v>5540.0</v>
      </c>
      <c r="H19" s="7">
        <v>0.0</v>
      </c>
      <c r="I19" s="8"/>
      <c r="J19" s="7">
        <v>-0.54</v>
      </c>
      <c r="K19" s="7">
        <v>-0.595399999999999</v>
      </c>
      <c r="L19" s="12">
        <v>0.0553999999999998</v>
      </c>
    </row>
    <row r="20">
      <c r="A20" s="5" t="s">
        <v>17</v>
      </c>
      <c r="B20" s="6">
        <v>45931.0</v>
      </c>
      <c r="C20" s="7">
        <v>3962143.0</v>
      </c>
      <c r="D20" s="6">
        <v>45809.0</v>
      </c>
      <c r="E20" s="7">
        <v>1.0</v>
      </c>
      <c r="F20" s="7">
        <v>0.0</v>
      </c>
      <c r="G20" s="7">
        <v>2000.0</v>
      </c>
      <c r="H20" s="7">
        <v>68.0</v>
      </c>
      <c r="I20" s="8"/>
      <c r="J20" s="7">
        <v>9.5606</v>
      </c>
      <c r="K20" s="7">
        <v>7.7487943382</v>
      </c>
      <c r="L20" s="12">
        <v>1.8118056618</v>
      </c>
    </row>
    <row r="21">
      <c r="A21" s="5" t="s">
        <v>19</v>
      </c>
      <c r="B21" s="6">
        <v>45931.0</v>
      </c>
      <c r="C21" s="7">
        <v>3825826.0</v>
      </c>
      <c r="D21" s="6">
        <v>45839.0</v>
      </c>
      <c r="E21" s="7">
        <v>26.0</v>
      </c>
      <c r="F21" s="7">
        <v>25.0</v>
      </c>
      <c r="G21" s="7">
        <v>128509.0</v>
      </c>
      <c r="H21" s="7">
        <v>105.99</v>
      </c>
      <c r="I21" s="8"/>
      <c r="J21" s="7">
        <v>7.464</v>
      </c>
      <c r="K21" s="7">
        <v>6.17891</v>
      </c>
      <c r="L21" s="12">
        <v>1.28508999999999</v>
      </c>
    </row>
    <row r="22">
      <c r="A22" s="5" t="s">
        <v>488</v>
      </c>
      <c r="B22" s="6">
        <v>45931.0</v>
      </c>
      <c r="C22" s="7">
        <v>4031755.0</v>
      </c>
      <c r="D22" s="6">
        <v>45901.0</v>
      </c>
      <c r="E22" s="7">
        <v>9.0</v>
      </c>
      <c r="F22" s="7">
        <v>9.0</v>
      </c>
      <c r="G22" s="7">
        <v>137026.68</v>
      </c>
      <c r="H22" s="7">
        <v>195.31</v>
      </c>
      <c r="I22" s="8"/>
      <c r="J22" s="7">
        <v>185.769999999999</v>
      </c>
      <c r="K22" s="7">
        <v>164.406907027239</v>
      </c>
      <c r="L22" s="12">
        <v>21.3630929727609</v>
      </c>
    </row>
    <row r="23">
      <c r="A23" s="5" t="s">
        <v>488</v>
      </c>
      <c r="B23" s="6">
        <v>45931.0</v>
      </c>
      <c r="C23" s="7">
        <v>3959338.0</v>
      </c>
      <c r="D23" s="6">
        <v>45839.0</v>
      </c>
      <c r="E23" s="7">
        <v>25.0</v>
      </c>
      <c r="F23" s="7">
        <v>25.0</v>
      </c>
      <c r="G23" s="7">
        <v>40817.0</v>
      </c>
      <c r="H23" s="7">
        <v>100.0</v>
      </c>
      <c r="I23" s="7">
        <v>0.5</v>
      </c>
      <c r="J23" s="7">
        <v>96.47</v>
      </c>
      <c r="K23" s="7">
        <v>75.708683787705</v>
      </c>
      <c r="L23" s="12">
        <v>20.761316212295</v>
      </c>
    </row>
    <row r="24">
      <c r="A24" s="5" t="s">
        <v>17</v>
      </c>
      <c r="B24" s="6">
        <v>45931.0</v>
      </c>
      <c r="C24" s="7">
        <v>4098415.0</v>
      </c>
      <c r="D24" s="6">
        <v>45901.0</v>
      </c>
      <c r="E24" s="7">
        <v>10.0</v>
      </c>
      <c r="F24" s="7">
        <v>10.0</v>
      </c>
      <c r="G24" s="7">
        <v>21318.82</v>
      </c>
      <c r="H24" s="7">
        <v>0.0</v>
      </c>
      <c r="I24" s="8"/>
      <c r="J24" s="7">
        <v>-0.79</v>
      </c>
      <c r="K24" s="7">
        <v>-1.0031882</v>
      </c>
      <c r="L24" s="12">
        <v>0.2131882</v>
      </c>
    </row>
    <row r="25">
      <c r="A25" s="5" t="s">
        <v>17</v>
      </c>
      <c r="B25" s="6">
        <v>45931.0</v>
      </c>
      <c r="C25" s="7">
        <v>4079020.0</v>
      </c>
      <c r="D25" s="6">
        <v>45901.0</v>
      </c>
      <c r="E25" s="7">
        <v>1.0</v>
      </c>
      <c r="F25" s="7">
        <v>1.0</v>
      </c>
      <c r="G25" s="7">
        <v>3000.0</v>
      </c>
      <c r="H25" s="7">
        <v>0.0</v>
      </c>
      <c r="I25" s="8"/>
      <c r="J25" s="7">
        <v>-0.06</v>
      </c>
      <c r="K25" s="7">
        <v>-0.5300440407</v>
      </c>
      <c r="L25" s="12">
        <v>0.4700440407</v>
      </c>
    </row>
    <row r="26">
      <c r="A26" s="5" t="s">
        <v>488</v>
      </c>
      <c r="B26" s="6">
        <v>45931.0</v>
      </c>
      <c r="C26" s="7">
        <v>4008827.0</v>
      </c>
      <c r="D26" s="6">
        <v>45870.0</v>
      </c>
      <c r="E26" s="7">
        <v>12.0</v>
      </c>
      <c r="F26" s="7">
        <v>12.0</v>
      </c>
      <c r="G26" s="7">
        <v>75505.0</v>
      </c>
      <c r="H26" s="7">
        <v>506.97</v>
      </c>
      <c r="I26" s="8"/>
      <c r="J26" s="7">
        <v>504.979999999999</v>
      </c>
      <c r="K26" s="7">
        <v>374.018808429231</v>
      </c>
      <c r="L26" s="12">
        <v>130.961191570768</v>
      </c>
    </row>
    <row r="27">
      <c r="A27" s="5" t="s">
        <v>19</v>
      </c>
      <c r="B27" s="6">
        <v>45931.0</v>
      </c>
      <c r="C27" s="7">
        <v>4018525.0</v>
      </c>
      <c r="D27" s="6">
        <v>45839.0</v>
      </c>
      <c r="E27" s="7">
        <v>88.0</v>
      </c>
      <c r="F27" s="7">
        <v>88.0</v>
      </c>
      <c r="G27" s="7">
        <v>294574.43</v>
      </c>
      <c r="H27" s="7">
        <v>77.033472</v>
      </c>
      <c r="I27" s="8"/>
      <c r="J27" s="7">
        <v>36.2134999999999</v>
      </c>
      <c r="K27" s="7">
        <v>-8.444965554701</v>
      </c>
      <c r="L27" s="12">
        <v>44.6584655547009</v>
      </c>
    </row>
    <row r="28">
      <c r="A28" s="5" t="s">
        <v>488</v>
      </c>
      <c r="B28" s="6">
        <v>45931.0</v>
      </c>
      <c r="C28" s="7">
        <v>3906405.0</v>
      </c>
      <c r="D28" s="6">
        <v>45778.0</v>
      </c>
      <c r="E28" s="7">
        <v>14.0</v>
      </c>
      <c r="F28" s="7">
        <v>14.0</v>
      </c>
      <c r="G28" s="7">
        <v>29820.44</v>
      </c>
      <c r="H28" s="7">
        <v>0.0</v>
      </c>
      <c r="I28" s="8"/>
      <c r="J28" s="7">
        <v>-1.59</v>
      </c>
      <c r="K28" s="7">
        <v>-6.26230670434999</v>
      </c>
      <c r="L28" s="12">
        <v>4.67230670434999</v>
      </c>
    </row>
    <row r="29">
      <c r="A29" s="5" t="s">
        <v>19</v>
      </c>
      <c r="B29" s="6">
        <v>45931.0</v>
      </c>
      <c r="C29" s="7">
        <v>4031652.0</v>
      </c>
      <c r="D29" s="6">
        <v>45901.0</v>
      </c>
      <c r="E29" s="7">
        <v>123.0</v>
      </c>
      <c r="F29" s="7">
        <v>123.0</v>
      </c>
      <c r="G29" s="7">
        <v>1349719.82</v>
      </c>
      <c r="H29" s="7">
        <v>673.99375</v>
      </c>
      <c r="I29" s="7">
        <v>0.5</v>
      </c>
      <c r="J29" s="7">
        <v>656.7738</v>
      </c>
      <c r="K29" s="7">
        <v>387.07216962269</v>
      </c>
      <c r="L29" s="12">
        <v>269.70163037731</v>
      </c>
    </row>
    <row r="30">
      <c r="A30" s="5" t="s">
        <v>19</v>
      </c>
      <c r="B30" s="6">
        <v>45931.0</v>
      </c>
      <c r="C30" s="7">
        <v>3946131.0</v>
      </c>
      <c r="D30" s="6">
        <v>45809.0</v>
      </c>
      <c r="E30" s="7">
        <v>95.0</v>
      </c>
      <c r="F30" s="7">
        <v>95.0</v>
      </c>
      <c r="G30" s="7">
        <v>206098.88</v>
      </c>
      <c r="H30" s="7">
        <v>138.77</v>
      </c>
      <c r="I30" s="7">
        <v>0.5</v>
      </c>
      <c r="J30" s="7">
        <v>88.8</v>
      </c>
      <c r="K30" s="7">
        <v>52.802121892906</v>
      </c>
      <c r="L30" s="12">
        <v>35.9978781070939</v>
      </c>
    </row>
    <row r="31">
      <c r="A31" s="5" t="s">
        <v>19</v>
      </c>
      <c r="B31" s="6">
        <v>45931.0</v>
      </c>
      <c r="C31" s="7">
        <v>3968250.0</v>
      </c>
      <c r="D31" s="6">
        <v>45809.0</v>
      </c>
      <c r="E31" s="7">
        <v>25.0</v>
      </c>
      <c r="F31" s="7">
        <v>25.0</v>
      </c>
      <c r="G31" s="7">
        <v>30237.96</v>
      </c>
      <c r="H31" s="7">
        <v>0.0</v>
      </c>
      <c r="I31" s="8"/>
      <c r="J31" s="7">
        <v>-1.7</v>
      </c>
      <c r="K31" s="7">
        <v>-6.43772430030799</v>
      </c>
      <c r="L31" s="12">
        <v>4.73772430030799</v>
      </c>
    </row>
    <row r="32">
      <c r="A32" s="5" t="s">
        <v>19</v>
      </c>
      <c r="B32" s="6">
        <v>45931.0</v>
      </c>
      <c r="C32" s="7">
        <v>4010351.0</v>
      </c>
      <c r="D32" s="6">
        <v>45839.0</v>
      </c>
      <c r="E32" s="7">
        <v>28.0</v>
      </c>
      <c r="F32" s="7">
        <v>22.0</v>
      </c>
      <c r="G32" s="7">
        <v>205121.03</v>
      </c>
      <c r="H32" s="7">
        <v>5556.28</v>
      </c>
      <c r="I32" s="8"/>
      <c r="J32" s="7">
        <v>728.8372</v>
      </c>
      <c r="K32" s="7">
        <v>594.764185467314</v>
      </c>
      <c r="L32" s="12">
        <v>134.073014532686</v>
      </c>
    </row>
    <row r="33">
      <c r="A33" s="5" t="s">
        <v>17</v>
      </c>
      <c r="B33" s="6">
        <v>45931.0</v>
      </c>
      <c r="C33" s="7">
        <v>3997416.0</v>
      </c>
      <c r="D33" s="6">
        <v>45839.0</v>
      </c>
      <c r="E33" s="7">
        <v>1.0</v>
      </c>
      <c r="F33" s="7">
        <v>0.0</v>
      </c>
      <c r="G33" s="7">
        <v>5700.0</v>
      </c>
      <c r="H33" s="7">
        <v>165.3</v>
      </c>
      <c r="I33" s="8"/>
      <c r="J33" s="7">
        <v>14.11</v>
      </c>
      <c r="K33" s="7">
        <v>14.053</v>
      </c>
      <c r="L33" s="12">
        <v>0.0569999999999986</v>
      </c>
    </row>
    <row r="34">
      <c r="A34" s="5" t="s">
        <v>488</v>
      </c>
      <c r="B34" s="6">
        <v>45931.0</v>
      </c>
      <c r="C34" s="7">
        <v>3785914.0</v>
      </c>
      <c r="D34" s="6">
        <v>45778.0</v>
      </c>
      <c r="E34" s="7">
        <v>9.0</v>
      </c>
      <c r="F34" s="7">
        <v>7.0</v>
      </c>
      <c r="G34" s="7">
        <v>24827.1</v>
      </c>
      <c r="H34" s="7">
        <v>386.35</v>
      </c>
      <c r="I34" s="8"/>
      <c r="J34" s="7">
        <v>85.6287</v>
      </c>
      <c r="K34" s="7">
        <v>81.2020763410639</v>
      </c>
      <c r="L34" s="12">
        <v>4.426623658936</v>
      </c>
    </row>
    <row r="35">
      <c r="A35" s="5" t="s">
        <v>489</v>
      </c>
      <c r="B35" s="6">
        <v>45931.0</v>
      </c>
      <c r="C35" s="7">
        <v>3024156.0</v>
      </c>
      <c r="D35" s="6">
        <v>45901.0</v>
      </c>
      <c r="E35" s="7">
        <v>27.0</v>
      </c>
      <c r="F35" s="7">
        <v>27.0</v>
      </c>
      <c r="G35" s="7">
        <v>151270.1</v>
      </c>
      <c r="H35" s="7">
        <v>86.985417</v>
      </c>
      <c r="I35" s="8"/>
      <c r="J35" s="7">
        <v>79.1454</v>
      </c>
      <c r="K35" s="7">
        <v>55.8024974863029</v>
      </c>
      <c r="L35" s="12">
        <v>23.342902513697</v>
      </c>
    </row>
    <row r="36">
      <c r="A36" s="5" t="s">
        <v>488</v>
      </c>
      <c r="B36" s="6">
        <v>45931.0</v>
      </c>
      <c r="C36" s="7">
        <v>3275131.0</v>
      </c>
      <c r="D36" s="6">
        <v>45839.0</v>
      </c>
      <c r="E36" s="7">
        <v>2.0</v>
      </c>
      <c r="F36" s="7">
        <v>2.0</v>
      </c>
      <c r="G36" s="7">
        <v>4730.04</v>
      </c>
      <c r="H36" s="7">
        <v>0.0</v>
      </c>
      <c r="I36" s="8"/>
      <c r="J36" s="7">
        <v>-0.12</v>
      </c>
      <c r="K36" s="7">
        <v>-0.1673004</v>
      </c>
      <c r="L36" s="12">
        <v>0.0473004</v>
      </c>
    </row>
    <row r="37">
      <c r="A37" s="5" t="s">
        <v>488</v>
      </c>
      <c r="B37" s="6">
        <v>45931.0</v>
      </c>
      <c r="C37" s="7">
        <v>4039652.0</v>
      </c>
      <c r="D37" s="6">
        <v>45870.0</v>
      </c>
      <c r="E37" s="7">
        <v>6.0</v>
      </c>
      <c r="F37" s="7">
        <v>6.0</v>
      </c>
      <c r="G37" s="7">
        <v>7057.5</v>
      </c>
      <c r="H37" s="7">
        <v>13.8</v>
      </c>
      <c r="I37" s="8"/>
      <c r="J37" s="7">
        <v>13.05</v>
      </c>
      <c r="K37" s="7">
        <v>11.033614081997</v>
      </c>
      <c r="L37" s="12">
        <v>2.016385918003</v>
      </c>
    </row>
    <row r="38">
      <c r="A38" s="5" t="s">
        <v>19</v>
      </c>
      <c r="B38" s="6">
        <v>45931.0</v>
      </c>
      <c r="C38" s="7">
        <v>3935770.0</v>
      </c>
      <c r="D38" s="6">
        <v>45778.0</v>
      </c>
      <c r="E38" s="7">
        <v>75.0</v>
      </c>
      <c r="F38" s="7">
        <v>66.0</v>
      </c>
      <c r="G38" s="7">
        <v>329436.14</v>
      </c>
      <c r="H38" s="7">
        <v>3046.680073</v>
      </c>
      <c r="I38" s="8"/>
      <c r="J38" s="7">
        <v>407.6263</v>
      </c>
      <c r="K38" s="7">
        <v>312.263274291112</v>
      </c>
      <c r="L38" s="12">
        <v>95.363025708887</v>
      </c>
    </row>
    <row r="39">
      <c r="A39" s="5" t="s">
        <v>488</v>
      </c>
      <c r="B39" s="6">
        <v>45901.0</v>
      </c>
      <c r="C39" s="7">
        <v>3977410.0</v>
      </c>
      <c r="D39" s="6">
        <v>45809.0</v>
      </c>
      <c r="E39" s="7">
        <v>4.0</v>
      </c>
      <c r="F39" s="7">
        <v>4.0</v>
      </c>
      <c r="G39" s="7">
        <v>10560.0</v>
      </c>
      <c r="H39" s="7">
        <v>0.0</v>
      </c>
      <c r="I39" s="8"/>
      <c r="J39" s="7">
        <v>-0.28</v>
      </c>
      <c r="K39" s="7">
        <v>-0.3856</v>
      </c>
      <c r="L39" s="12">
        <v>0.1056</v>
      </c>
    </row>
    <row r="40">
      <c r="A40" s="5" t="s">
        <v>488</v>
      </c>
      <c r="B40" s="6">
        <v>45901.0</v>
      </c>
      <c r="C40" s="7">
        <v>4136460.0</v>
      </c>
      <c r="D40" s="6">
        <v>45901.0</v>
      </c>
      <c r="E40" s="7">
        <v>3.0</v>
      </c>
      <c r="F40" s="7">
        <v>0.0</v>
      </c>
      <c r="G40" s="7">
        <v>5550.0</v>
      </c>
      <c r="H40" s="7">
        <v>160.95</v>
      </c>
      <c r="I40" s="8"/>
      <c r="J40" s="7">
        <v>12.1047</v>
      </c>
      <c r="K40" s="7">
        <v>9.160686788505</v>
      </c>
      <c r="L40" s="12">
        <v>2.94401321149499</v>
      </c>
    </row>
    <row r="41">
      <c r="A41" s="5" t="s">
        <v>488</v>
      </c>
      <c r="B41" s="6">
        <v>45901.0</v>
      </c>
      <c r="C41" s="7">
        <v>4030970.0</v>
      </c>
      <c r="D41" s="6">
        <v>45870.0</v>
      </c>
      <c r="E41" s="7">
        <v>28.0</v>
      </c>
      <c r="F41" s="7">
        <v>1.0</v>
      </c>
      <c r="G41" s="7">
        <v>16236.57</v>
      </c>
      <c r="H41" s="7">
        <v>450.89</v>
      </c>
      <c r="I41" s="8"/>
      <c r="J41" s="7">
        <v>54.6394</v>
      </c>
      <c r="K41" s="7">
        <v>46.547118310295</v>
      </c>
      <c r="L41" s="12">
        <v>8.092281689705</v>
      </c>
    </row>
    <row r="42">
      <c r="A42" s="5" t="s">
        <v>489</v>
      </c>
      <c r="B42" s="6">
        <v>45901.0</v>
      </c>
      <c r="C42" s="7">
        <v>3328212.0</v>
      </c>
      <c r="D42" s="6">
        <v>45901.0</v>
      </c>
      <c r="E42" s="7">
        <v>14.0</v>
      </c>
      <c r="F42" s="7">
        <v>4.0</v>
      </c>
      <c r="G42" s="7">
        <v>4141.35</v>
      </c>
      <c r="H42" s="7">
        <v>55.04</v>
      </c>
      <c r="I42" s="8"/>
      <c r="J42" s="7">
        <v>0.2439</v>
      </c>
      <c r="K42" s="7">
        <v>0.2024865</v>
      </c>
      <c r="L42" s="12">
        <v>0.0414134999999999</v>
      </c>
    </row>
    <row r="43">
      <c r="A43" s="5" t="s">
        <v>17</v>
      </c>
      <c r="B43" s="6">
        <v>45901.0</v>
      </c>
      <c r="C43" s="7">
        <v>4109396.0</v>
      </c>
      <c r="D43" s="6">
        <v>45901.0</v>
      </c>
      <c r="E43" s="7">
        <v>1.0</v>
      </c>
      <c r="F43" s="7">
        <v>0.0</v>
      </c>
      <c r="G43" s="7">
        <v>1185.0</v>
      </c>
      <c r="H43" s="7">
        <v>34.36</v>
      </c>
      <c r="I43" s="8"/>
      <c r="J43" s="7">
        <v>2.4394</v>
      </c>
      <c r="K43" s="7">
        <v>1.810813395383</v>
      </c>
      <c r="L43" s="12">
        <v>0.628586604617</v>
      </c>
    </row>
    <row r="44">
      <c r="A44" s="5" t="s">
        <v>488</v>
      </c>
      <c r="B44" s="6">
        <v>45901.0</v>
      </c>
      <c r="C44" s="7">
        <v>3785914.0</v>
      </c>
      <c r="D44" s="6">
        <v>45778.0</v>
      </c>
      <c r="E44" s="7">
        <v>14.0</v>
      </c>
      <c r="F44" s="7">
        <v>11.0</v>
      </c>
      <c r="G44" s="7">
        <v>42809.0</v>
      </c>
      <c r="H44" s="7">
        <v>718.31</v>
      </c>
      <c r="I44" s="8"/>
      <c r="J44" s="7">
        <v>115.7321</v>
      </c>
      <c r="K44" s="7">
        <v>112.669088974155</v>
      </c>
      <c r="L44" s="12">
        <v>3.063011025845</v>
      </c>
    </row>
    <row r="45">
      <c r="A45" s="5" t="s">
        <v>17</v>
      </c>
      <c r="B45" s="6">
        <v>45901.0</v>
      </c>
      <c r="C45" s="7">
        <v>3942346.0</v>
      </c>
      <c r="D45" s="6">
        <v>45809.0</v>
      </c>
      <c r="E45" s="7">
        <v>3.0</v>
      </c>
      <c r="F45" s="7">
        <v>3.0</v>
      </c>
      <c r="G45" s="7">
        <v>8973.67</v>
      </c>
      <c r="H45" s="7">
        <v>135.01</v>
      </c>
      <c r="I45" s="8"/>
      <c r="J45" s="7">
        <v>119.32</v>
      </c>
      <c r="K45" s="7">
        <v>117.892839749119</v>
      </c>
      <c r="L45" s="12">
        <v>1.42716025088098</v>
      </c>
    </row>
    <row r="46">
      <c r="A46" s="5" t="s">
        <v>488</v>
      </c>
      <c r="B46" s="6">
        <v>45901.0</v>
      </c>
      <c r="C46" s="7">
        <v>3952865.0</v>
      </c>
      <c r="D46" s="6">
        <v>45809.0</v>
      </c>
      <c r="E46" s="7">
        <v>8.0</v>
      </c>
      <c r="F46" s="7">
        <v>8.0</v>
      </c>
      <c r="G46" s="7">
        <v>40939.46</v>
      </c>
      <c r="H46" s="7">
        <v>0.0</v>
      </c>
      <c r="I46" s="8"/>
      <c r="J46" s="7">
        <v>-1.15</v>
      </c>
      <c r="K46" s="7">
        <v>-7.564449734159</v>
      </c>
      <c r="L46" s="12">
        <v>6.414449734159</v>
      </c>
    </row>
    <row r="47">
      <c r="A47" s="5" t="s">
        <v>17</v>
      </c>
      <c r="B47" s="6">
        <v>45901.0</v>
      </c>
      <c r="C47" s="7">
        <v>3997416.0</v>
      </c>
      <c r="D47" s="6">
        <v>45839.0</v>
      </c>
      <c r="E47" s="7">
        <v>3.0</v>
      </c>
      <c r="F47" s="7">
        <v>2.0</v>
      </c>
      <c r="G47" s="7">
        <v>8800.0</v>
      </c>
      <c r="H47" s="7">
        <v>115.0</v>
      </c>
      <c r="I47" s="8"/>
      <c r="J47" s="7">
        <v>34.3555</v>
      </c>
      <c r="K47" s="7">
        <v>13.5005606068</v>
      </c>
      <c r="L47" s="12">
        <v>20.8549393932</v>
      </c>
    </row>
    <row r="48">
      <c r="A48" s="5" t="s">
        <v>19</v>
      </c>
      <c r="B48" s="6">
        <v>45901.0</v>
      </c>
      <c r="C48" s="7">
        <v>4031652.0</v>
      </c>
      <c r="D48" s="6">
        <v>45901.0</v>
      </c>
      <c r="E48" s="7">
        <v>165.0</v>
      </c>
      <c r="F48" s="7">
        <v>165.0</v>
      </c>
      <c r="G48" s="7">
        <v>947140.97</v>
      </c>
      <c r="H48" s="7">
        <v>513.34</v>
      </c>
      <c r="I48" s="8"/>
      <c r="J48" s="7">
        <v>490.21</v>
      </c>
      <c r="K48" s="7">
        <v>307.938931128185</v>
      </c>
      <c r="L48" s="12">
        <v>182.271068871814</v>
      </c>
    </row>
    <row r="49">
      <c r="A49" s="5" t="s">
        <v>488</v>
      </c>
      <c r="B49" s="6">
        <v>45901.0</v>
      </c>
      <c r="C49" s="7">
        <v>3934664.0</v>
      </c>
      <c r="D49" s="6">
        <v>45809.0</v>
      </c>
      <c r="E49" s="7">
        <v>1.0</v>
      </c>
      <c r="F49" s="7">
        <v>0.0</v>
      </c>
      <c r="G49" s="7">
        <v>858.95</v>
      </c>
      <c r="H49" s="7">
        <v>24.91</v>
      </c>
      <c r="I49" s="8"/>
      <c r="J49" s="7">
        <v>4.3164</v>
      </c>
      <c r="K49" s="7">
        <v>4.3078105</v>
      </c>
      <c r="L49" s="12">
        <v>0.00858949999999936</v>
      </c>
    </row>
    <row r="50">
      <c r="A50" s="5" t="s">
        <v>17</v>
      </c>
      <c r="B50" s="6">
        <v>45901.0</v>
      </c>
      <c r="C50" s="7">
        <v>4098415.0</v>
      </c>
      <c r="D50" s="6">
        <v>45901.0</v>
      </c>
      <c r="E50" s="7">
        <v>12.0</v>
      </c>
      <c r="F50" s="7">
        <v>11.0</v>
      </c>
      <c r="G50" s="7">
        <v>43169.63</v>
      </c>
      <c r="H50" s="7">
        <v>38.11</v>
      </c>
      <c r="I50" s="8"/>
      <c r="J50" s="7">
        <v>12.1379</v>
      </c>
      <c r="K50" s="7">
        <v>11.7062037</v>
      </c>
      <c r="L50" s="12">
        <v>0.4316963</v>
      </c>
    </row>
    <row r="51">
      <c r="A51" s="5" t="s">
        <v>488</v>
      </c>
      <c r="B51" s="6">
        <v>45901.0</v>
      </c>
      <c r="C51" s="7">
        <v>4008827.0</v>
      </c>
      <c r="D51" s="6">
        <v>45870.0</v>
      </c>
      <c r="E51" s="7">
        <v>12.0</v>
      </c>
      <c r="F51" s="7">
        <v>12.0</v>
      </c>
      <c r="G51" s="7">
        <v>18769.0</v>
      </c>
      <c r="H51" s="7">
        <v>0.0</v>
      </c>
      <c r="I51" s="8"/>
      <c r="J51" s="7">
        <v>-1.54</v>
      </c>
      <c r="K51" s="7">
        <v>-4.480752199968</v>
      </c>
      <c r="L51" s="12">
        <v>2.940752199968</v>
      </c>
    </row>
    <row r="52">
      <c r="A52" s="5" t="s">
        <v>488</v>
      </c>
      <c r="B52" s="6">
        <v>45901.0</v>
      </c>
      <c r="C52" s="7">
        <v>4031755.0</v>
      </c>
      <c r="D52" s="6">
        <v>45901.0</v>
      </c>
      <c r="E52" s="7">
        <v>12.0</v>
      </c>
      <c r="F52" s="7">
        <v>12.0</v>
      </c>
      <c r="G52" s="7">
        <v>352558.59</v>
      </c>
      <c r="H52" s="7">
        <v>0.46</v>
      </c>
      <c r="I52" s="8"/>
      <c r="J52" s="7">
        <v>-1.29999999999999</v>
      </c>
      <c r="K52" s="7">
        <v>-56.574258202882</v>
      </c>
      <c r="L52" s="12">
        <v>55.274258202882</v>
      </c>
    </row>
    <row r="53">
      <c r="A53" s="5" t="s">
        <v>489</v>
      </c>
      <c r="B53" s="6">
        <v>45901.0</v>
      </c>
      <c r="C53" s="7">
        <v>3024156.0</v>
      </c>
      <c r="D53" s="6">
        <v>45901.0</v>
      </c>
      <c r="E53" s="7">
        <v>40.0</v>
      </c>
      <c r="F53" s="7">
        <v>40.0</v>
      </c>
      <c r="G53" s="7">
        <v>121976.62</v>
      </c>
      <c r="H53" s="7">
        <v>18.0</v>
      </c>
      <c r="I53" s="8"/>
      <c r="J53" s="7">
        <v>3.67</v>
      </c>
      <c r="K53" s="7">
        <v>-14.8957602119099</v>
      </c>
      <c r="L53" s="12">
        <v>18.5657602119099</v>
      </c>
    </row>
    <row r="54">
      <c r="A54" s="5" t="s">
        <v>489</v>
      </c>
      <c r="B54" s="6">
        <v>45901.0</v>
      </c>
      <c r="C54" s="7">
        <v>4038405.0</v>
      </c>
      <c r="D54" s="6">
        <v>45870.0</v>
      </c>
      <c r="E54" s="7">
        <v>84.0</v>
      </c>
      <c r="F54" s="7">
        <v>84.0</v>
      </c>
      <c r="G54" s="7">
        <v>682963.46</v>
      </c>
      <c r="H54" s="7">
        <v>197.978082</v>
      </c>
      <c r="I54" s="7">
        <v>11.0</v>
      </c>
      <c r="J54" s="7">
        <v>186.108099999999</v>
      </c>
      <c r="K54" s="7">
        <v>-9.91801074163299</v>
      </c>
      <c r="L54" s="12">
        <v>196.026110741632</v>
      </c>
    </row>
    <row r="55">
      <c r="A55" s="5" t="s">
        <v>488</v>
      </c>
      <c r="B55" s="6">
        <v>45901.0</v>
      </c>
      <c r="C55" s="7">
        <v>4115795.0</v>
      </c>
      <c r="D55" s="6">
        <v>45901.0</v>
      </c>
      <c r="E55" s="7">
        <v>1.0</v>
      </c>
      <c r="F55" s="7">
        <v>0.0</v>
      </c>
      <c r="G55" s="7">
        <v>3532.38</v>
      </c>
      <c r="H55" s="7">
        <v>102.44</v>
      </c>
      <c r="I55" s="8"/>
      <c r="J55" s="7">
        <v>7.3899</v>
      </c>
      <c r="K55" s="7">
        <v>5.551462829185</v>
      </c>
      <c r="L55" s="12">
        <v>1.838437170815</v>
      </c>
    </row>
    <row r="56">
      <c r="A56" s="5" t="s">
        <v>488</v>
      </c>
      <c r="B56" s="6">
        <v>45901.0</v>
      </c>
      <c r="C56" s="7">
        <v>4011819.0</v>
      </c>
      <c r="D56" s="6">
        <v>45839.0</v>
      </c>
      <c r="E56" s="7">
        <v>6.0</v>
      </c>
      <c r="F56" s="7">
        <v>0.0</v>
      </c>
      <c r="G56" s="7">
        <v>13272.8</v>
      </c>
      <c r="H56" s="7">
        <v>384.9</v>
      </c>
      <c r="I56" s="8"/>
      <c r="J56" s="7">
        <v>51.5494</v>
      </c>
      <c r="K56" s="7">
        <v>44.508805666029</v>
      </c>
      <c r="L56" s="12">
        <v>7.040594333971</v>
      </c>
    </row>
    <row r="57">
      <c r="A57" s="5" t="s">
        <v>489</v>
      </c>
      <c r="B57" s="6">
        <v>45901.0</v>
      </c>
      <c r="C57" s="7">
        <v>4080340.0</v>
      </c>
      <c r="D57" s="6">
        <v>45901.0</v>
      </c>
      <c r="E57" s="7">
        <v>1.0</v>
      </c>
      <c r="F57" s="7">
        <v>1.0</v>
      </c>
      <c r="G57" s="7">
        <v>2473.05</v>
      </c>
      <c r="H57" s="7">
        <v>0.0</v>
      </c>
      <c r="I57" s="8"/>
      <c r="J57" s="7">
        <v>-0.15</v>
      </c>
      <c r="K57" s="7">
        <v>-0.1747305</v>
      </c>
      <c r="L57" s="12">
        <v>0.0247305</v>
      </c>
    </row>
    <row r="58">
      <c r="A58" s="5" t="s">
        <v>17</v>
      </c>
      <c r="B58" s="6">
        <v>45901.0</v>
      </c>
      <c r="C58" s="7">
        <v>3958943.0</v>
      </c>
      <c r="D58" s="6">
        <v>45839.0</v>
      </c>
      <c r="E58" s="7">
        <v>4.0</v>
      </c>
      <c r="F58" s="7">
        <v>3.0</v>
      </c>
      <c r="G58" s="7">
        <v>2154.12</v>
      </c>
      <c r="H58" s="7">
        <v>7.25</v>
      </c>
      <c r="I58" s="8"/>
      <c r="J58" s="7">
        <v>4.6479</v>
      </c>
      <c r="K58" s="7">
        <v>4.6263588</v>
      </c>
      <c r="L58" s="12">
        <v>0.0215411999999997</v>
      </c>
    </row>
    <row r="59">
      <c r="A59" s="5" t="s">
        <v>17</v>
      </c>
      <c r="B59" s="6">
        <v>45901.0</v>
      </c>
      <c r="C59" s="7">
        <v>4079539.0</v>
      </c>
      <c r="D59" s="6">
        <v>45870.0</v>
      </c>
      <c r="E59" s="7">
        <v>2.0</v>
      </c>
      <c r="F59" s="7">
        <v>0.0</v>
      </c>
      <c r="G59" s="7">
        <v>16343.88</v>
      </c>
      <c r="H59" s="7">
        <v>473.97</v>
      </c>
      <c r="I59" s="8"/>
      <c r="J59" s="7">
        <v>59.4417</v>
      </c>
      <c r="K59" s="7">
        <v>50.77204258611</v>
      </c>
      <c r="L59" s="12">
        <v>8.66965741389</v>
      </c>
    </row>
    <row r="60">
      <c r="A60" s="5" t="s">
        <v>17</v>
      </c>
      <c r="B60" s="6">
        <v>45901.0</v>
      </c>
      <c r="C60" s="7">
        <v>3942651.0</v>
      </c>
      <c r="D60" s="6">
        <v>45809.0</v>
      </c>
      <c r="E60" s="7">
        <v>6.0</v>
      </c>
      <c r="F60" s="7">
        <v>6.0</v>
      </c>
      <c r="G60" s="7">
        <v>3790.0</v>
      </c>
      <c r="H60" s="7">
        <v>0.0</v>
      </c>
      <c r="I60" s="8"/>
      <c r="J60" s="7">
        <v>-0.5</v>
      </c>
      <c r="K60" s="7">
        <v>-0.5379</v>
      </c>
      <c r="L60" s="12">
        <v>0.0379</v>
      </c>
    </row>
    <row r="61">
      <c r="A61" s="5" t="s">
        <v>19</v>
      </c>
      <c r="B61" s="6">
        <v>45901.0</v>
      </c>
      <c r="C61" s="7">
        <v>3935770.0</v>
      </c>
      <c r="D61" s="6">
        <v>45778.0</v>
      </c>
      <c r="E61" s="7">
        <v>64.0</v>
      </c>
      <c r="F61" s="7">
        <v>56.0</v>
      </c>
      <c r="G61" s="7">
        <v>251464.68</v>
      </c>
      <c r="H61" s="7">
        <v>1816.597063</v>
      </c>
      <c r="I61" s="8"/>
      <c r="J61" s="7">
        <v>479.294099999999</v>
      </c>
      <c r="K61" s="7">
        <v>402.263511253242</v>
      </c>
      <c r="L61" s="12">
        <v>77.0305887467579</v>
      </c>
    </row>
    <row r="62">
      <c r="A62" s="5" t="s">
        <v>17</v>
      </c>
      <c r="B62" s="6">
        <v>45901.0</v>
      </c>
      <c r="C62" s="7">
        <v>3962143.0</v>
      </c>
      <c r="D62" s="6">
        <v>45809.0</v>
      </c>
      <c r="E62" s="7">
        <v>2.0</v>
      </c>
      <c r="F62" s="7">
        <v>0.0</v>
      </c>
      <c r="G62" s="7">
        <v>2453.86</v>
      </c>
      <c r="H62" s="7">
        <v>81.16</v>
      </c>
      <c r="I62" s="8"/>
      <c r="J62" s="7">
        <v>9.9488</v>
      </c>
      <c r="K62" s="7">
        <v>7.896243016368</v>
      </c>
      <c r="L62" s="12">
        <v>2.052556983632</v>
      </c>
    </row>
    <row r="63">
      <c r="A63" s="5" t="s">
        <v>17</v>
      </c>
      <c r="B63" s="6">
        <v>45901.0</v>
      </c>
      <c r="C63" s="7">
        <v>4079020.0</v>
      </c>
      <c r="D63" s="6">
        <v>45901.0</v>
      </c>
      <c r="E63" s="7">
        <v>1.0</v>
      </c>
      <c r="F63" s="7">
        <v>1.0</v>
      </c>
      <c r="G63" s="7">
        <v>1700.0</v>
      </c>
      <c r="H63" s="7">
        <v>0.0</v>
      </c>
      <c r="I63" s="8"/>
      <c r="J63" s="7">
        <v>-0.15</v>
      </c>
      <c r="K63" s="7">
        <v>-0.41635828973</v>
      </c>
      <c r="L63" s="12">
        <v>0.26635828973</v>
      </c>
    </row>
    <row r="64">
      <c r="A64" s="5" t="s">
        <v>19</v>
      </c>
      <c r="B64" s="6">
        <v>45901.0</v>
      </c>
      <c r="C64" s="7">
        <v>4018525.0</v>
      </c>
      <c r="D64" s="6">
        <v>45839.0</v>
      </c>
      <c r="E64" s="7">
        <v>81.0</v>
      </c>
      <c r="F64" s="7">
        <v>81.0</v>
      </c>
      <c r="G64" s="7">
        <v>247276.77</v>
      </c>
      <c r="H64" s="7">
        <v>77.899883</v>
      </c>
      <c r="I64" s="7">
        <v>0.5</v>
      </c>
      <c r="J64" s="7">
        <v>40.0999</v>
      </c>
      <c r="K64" s="7">
        <v>1.990295119318</v>
      </c>
      <c r="L64" s="12">
        <v>38.109604880682</v>
      </c>
    </row>
    <row r="65">
      <c r="A65" s="5" t="s">
        <v>488</v>
      </c>
      <c r="B65" s="6">
        <v>45901.0</v>
      </c>
      <c r="C65" s="7">
        <v>3906405.0</v>
      </c>
      <c r="D65" s="6">
        <v>45778.0</v>
      </c>
      <c r="E65" s="7">
        <v>6.0</v>
      </c>
      <c r="F65" s="7">
        <v>6.0</v>
      </c>
      <c r="G65" s="7">
        <v>20977.0</v>
      </c>
      <c r="H65" s="7">
        <v>0.0</v>
      </c>
      <c r="I65" s="8"/>
      <c r="J65" s="7">
        <v>-0.77</v>
      </c>
      <c r="K65" s="7">
        <v>-4.056704613922</v>
      </c>
      <c r="L65" s="12">
        <v>3.286704613922</v>
      </c>
    </row>
    <row r="66">
      <c r="A66" s="5" t="s">
        <v>19</v>
      </c>
      <c r="B66" s="6">
        <v>45901.0</v>
      </c>
      <c r="C66" s="7">
        <v>3946131.0</v>
      </c>
      <c r="D66" s="6">
        <v>45809.0</v>
      </c>
      <c r="E66" s="7">
        <v>141.0</v>
      </c>
      <c r="F66" s="7">
        <v>141.0</v>
      </c>
      <c r="G66" s="7">
        <v>419825.53</v>
      </c>
      <c r="H66" s="7">
        <v>384.28</v>
      </c>
      <c r="I66" s="7">
        <v>2.0</v>
      </c>
      <c r="J66" s="7">
        <v>300.863399999999</v>
      </c>
      <c r="K66" s="7">
        <v>194.996569229324</v>
      </c>
      <c r="L66" s="12">
        <v>105.866830770675</v>
      </c>
    </row>
    <row r="67">
      <c r="A67" s="5" t="s">
        <v>17</v>
      </c>
      <c r="B67" s="6">
        <v>45901.0</v>
      </c>
      <c r="C67" s="7">
        <v>4138622.0</v>
      </c>
      <c r="D67" s="6">
        <v>45901.0</v>
      </c>
      <c r="E67" s="7">
        <v>1.0</v>
      </c>
      <c r="F67" s="7">
        <v>1.0</v>
      </c>
      <c r="G67" s="7">
        <v>5.0</v>
      </c>
      <c r="H67" s="7">
        <v>0.0</v>
      </c>
      <c r="I67" s="8"/>
      <c r="J67" s="7">
        <v>-0.1</v>
      </c>
      <c r="K67" s="7">
        <v>-0.10005</v>
      </c>
      <c r="L67" s="78">
        <v>4.99999999999944E-5</v>
      </c>
    </row>
    <row r="68">
      <c r="A68" s="5" t="s">
        <v>488</v>
      </c>
      <c r="B68" s="6">
        <v>45901.0</v>
      </c>
      <c r="C68" s="7">
        <v>3275131.0</v>
      </c>
      <c r="D68" s="6">
        <v>45839.0</v>
      </c>
      <c r="E68" s="7">
        <v>3.0</v>
      </c>
      <c r="F68" s="7">
        <v>3.0</v>
      </c>
      <c r="G68" s="7">
        <v>8968.14</v>
      </c>
      <c r="H68" s="7">
        <v>0.0</v>
      </c>
      <c r="I68" s="8"/>
      <c r="J68" s="7">
        <v>-0.25</v>
      </c>
      <c r="K68" s="7">
        <v>-0.3396814</v>
      </c>
      <c r="L68" s="12">
        <v>0.0896814</v>
      </c>
    </row>
    <row r="69">
      <c r="A69" s="5" t="s">
        <v>488</v>
      </c>
      <c r="B69" s="6">
        <v>45901.0</v>
      </c>
      <c r="C69" s="7">
        <v>4068848.0</v>
      </c>
      <c r="D69" s="6">
        <v>45870.0</v>
      </c>
      <c r="E69" s="7">
        <v>3.0</v>
      </c>
      <c r="F69" s="7">
        <v>3.0</v>
      </c>
      <c r="G69" s="7">
        <v>13678.25</v>
      </c>
      <c r="H69" s="7">
        <v>0.0</v>
      </c>
      <c r="I69" s="8"/>
      <c r="J69" s="7">
        <v>-0.27</v>
      </c>
      <c r="K69" s="7">
        <v>-2.385623880691</v>
      </c>
      <c r="L69" s="12">
        <v>2.115623880691</v>
      </c>
    </row>
    <row r="70">
      <c r="A70" s="5" t="s">
        <v>19</v>
      </c>
      <c r="B70" s="6">
        <v>45901.0</v>
      </c>
      <c r="C70" s="7">
        <v>3968250.0</v>
      </c>
      <c r="D70" s="6">
        <v>45809.0</v>
      </c>
      <c r="E70" s="7">
        <v>28.0</v>
      </c>
      <c r="F70" s="7">
        <v>28.0</v>
      </c>
      <c r="G70" s="7">
        <v>173562.49</v>
      </c>
      <c r="H70" s="7">
        <v>0.0</v>
      </c>
      <c r="I70" s="8"/>
      <c r="J70" s="7">
        <v>-4.05</v>
      </c>
      <c r="K70" s="7">
        <v>-31.24400470452</v>
      </c>
      <c r="L70" s="12">
        <v>27.1940047045199</v>
      </c>
    </row>
    <row r="71">
      <c r="A71" s="5" t="s">
        <v>19</v>
      </c>
      <c r="B71" s="6">
        <v>45901.0</v>
      </c>
      <c r="C71" s="7">
        <v>3825826.0</v>
      </c>
      <c r="D71" s="6">
        <v>45839.0</v>
      </c>
      <c r="E71" s="7">
        <v>25.0</v>
      </c>
      <c r="F71" s="7">
        <v>23.0</v>
      </c>
      <c r="G71" s="7">
        <v>114519.0</v>
      </c>
      <c r="H71" s="7">
        <v>270.27</v>
      </c>
      <c r="I71" s="8"/>
      <c r="J71" s="7">
        <v>19.9089</v>
      </c>
      <c r="K71" s="7">
        <v>18.76371</v>
      </c>
      <c r="L71" s="12">
        <v>1.14518999999999</v>
      </c>
    </row>
    <row r="72">
      <c r="A72" s="5" t="s">
        <v>489</v>
      </c>
      <c r="B72" s="6">
        <v>45901.0</v>
      </c>
      <c r="C72" s="7">
        <v>3947424.0</v>
      </c>
      <c r="D72" s="6">
        <v>45809.0</v>
      </c>
      <c r="E72" s="7">
        <v>72.0</v>
      </c>
      <c r="F72" s="7">
        <v>72.0</v>
      </c>
      <c r="G72" s="7">
        <v>176525.28</v>
      </c>
      <c r="H72" s="7">
        <v>131.182721</v>
      </c>
      <c r="I72" s="7">
        <v>9.5</v>
      </c>
      <c r="J72" s="7">
        <v>120.4128</v>
      </c>
      <c r="K72" s="7">
        <v>92.754581367698</v>
      </c>
      <c r="L72" s="12">
        <v>27.6582186323019</v>
      </c>
    </row>
    <row r="73">
      <c r="A73" s="5" t="s">
        <v>17</v>
      </c>
      <c r="B73" s="6">
        <v>45901.0</v>
      </c>
      <c r="C73" s="7">
        <v>4100689.0</v>
      </c>
      <c r="D73" s="6">
        <v>45901.0</v>
      </c>
      <c r="E73" s="7">
        <v>8.0</v>
      </c>
      <c r="F73" s="7">
        <v>0.0</v>
      </c>
      <c r="G73" s="7">
        <v>97930.0</v>
      </c>
      <c r="H73" s="7">
        <v>2839.97</v>
      </c>
      <c r="I73" s="8"/>
      <c r="J73" s="7">
        <v>338.0304</v>
      </c>
      <c r="K73" s="7">
        <v>337.0511</v>
      </c>
      <c r="L73" s="12">
        <v>0.979300000000023</v>
      </c>
    </row>
    <row r="74">
      <c r="A74" s="5" t="s">
        <v>489</v>
      </c>
      <c r="B74" s="6">
        <v>45901.0</v>
      </c>
      <c r="C74" s="7">
        <v>3543707.0</v>
      </c>
      <c r="D74" s="6">
        <v>45901.0</v>
      </c>
      <c r="E74" s="7">
        <v>1.0</v>
      </c>
      <c r="F74" s="7">
        <v>1.0</v>
      </c>
      <c r="G74" s="7">
        <v>400.0</v>
      </c>
      <c r="H74" s="7">
        <v>0.0</v>
      </c>
      <c r="I74" s="8"/>
      <c r="J74" s="7">
        <v>-0.13</v>
      </c>
      <c r="K74" s="7">
        <v>-0.19267253876</v>
      </c>
      <c r="L74" s="12">
        <v>0.06267253876</v>
      </c>
    </row>
    <row r="75">
      <c r="A75" s="5" t="s">
        <v>488</v>
      </c>
      <c r="B75" s="6">
        <v>45901.0</v>
      </c>
      <c r="C75" s="7">
        <v>3959338.0</v>
      </c>
      <c r="D75" s="6">
        <v>45839.0</v>
      </c>
      <c r="E75" s="7">
        <v>26.0</v>
      </c>
      <c r="F75" s="7">
        <v>26.0</v>
      </c>
      <c r="G75" s="7">
        <v>35734.0</v>
      </c>
      <c r="H75" s="7">
        <v>52.58</v>
      </c>
      <c r="I75" s="7">
        <v>7.0</v>
      </c>
      <c r="J75" s="7">
        <v>46.7461</v>
      </c>
      <c r="K75" s="7">
        <v>32.4135034353379</v>
      </c>
      <c r="L75" s="12">
        <v>14.332596564662</v>
      </c>
    </row>
    <row r="76">
      <c r="A76" s="5" t="s">
        <v>17</v>
      </c>
      <c r="B76" s="6">
        <v>45901.0</v>
      </c>
      <c r="C76" s="7">
        <v>4111269.0</v>
      </c>
      <c r="D76" s="6">
        <v>45901.0</v>
      </c>
      <c r="E76" s="7">
        <v>1.0</v>
      </c>
      <c r="F76" s="7">
        <v>1.0</v>
      </c>
      <c r="G76" s="7">
        <v>5580.0</v>
      </c>
      <c r="H76" s="7">
        <v>20.0</v>
      </c>
      <c r="I76" s="8"/>
      <c r="J76" s="7">
        <v>19.94</v>
      </c>
      <c r="K76" s="7">
        <v>19.065718084298</v>
      </c>
      <c r="L76" s="12">
        <v>0.874281915702003</v>
      </c>
    </row>
    <row r="77">
      <c r="A77" s="5" t="s">
        <v>489</v>
      </c>
      <c r="B77" s="6">
        <v>45901.0</v>
      </c>
      <c r="C77" s="7">
        <v>4103219.0</v>
      </c>
      <c r="D77" s="6">
        <v>45901.0</v>
      </c>
      <c r="E77" s="7">
        <v>12.0</v>
      </c>
      <c r="F77" s="7">
        <v>12.0</v>
      </c>
      <c r="G77" s="7">
        <v>18861.81</v>
      </c>
      <c r="H77" s="7">
        <v>18.345519</v>
      </c>
      <c r="I77" s="8"/>
      <c r="J77" s="7">
        <v>17.2955</v>
      </c>
      <c r="K77" s="7">
        <v>14.340206204228</v>
      </c>
      <c r="L77" s="12">
        <v>2.955293795772</v>
      </c>
    </row>
    <row r="78">
      <c r="A78" s="5" t="s">
        <v>488</v>
      </c>
      <c r="B78" s="6">
        <v>45901.0</v>
      </c>
      <c r="C78" s="7">
        <v>4039652.0</v>
      </c>
      <c r="D78" s="6">
        <v>45870.0</v>
      </c>
      <c r="E78" s="7">
        <v>9.0</v>
      </c>
      <c r="F78" s="7">
        <v>8.0</v>
      </c>
      <c r="G78" s="7">
        <v>9912.5</v>
      </c>
      <c r="H78" s="7">
        <v>73.52</v>
      </c>
      <c r="I78" s="7">
        <v>0.5</v>
      </c>
      <c r="J78" s="7">
        <v>28.4807</v>
      </c>
      <c r="K78" s="7">
        <v>24.765161485193</v>
      </c>
      <c r="L78" s="12">
        <v>3.715538514807</v>
      </c>
    </row>
    <row r="79">
      <c r="A79" s="5" t="s">
        <v>488</v>
      </c>
      <c r="B79" s="6">
        <v>45901.0</v>
      </c>
      <c r="C79" s="7">
        <v>4132416.0</v>
      </c>
      <c r="D79" s="6">
        <v>45901.0</v>
      </c>
      <c r="E79" s="7">
        <v>1.0</v>
      </c>
      <c r="F79" s="7">
        <v>0.0</v>
      </c>
      <c r="G79" s="7">
        <v>11100.0</v>
      </c>
      <c r="H79" s="7">
        <v>331.9</v>
      </c>
      <c r="I79" s="8"/>
      <c r="J79" s="7">
        <v>62.5941</v>
      </c>
      <c r="K79" s="7">
        <v>52.53857857701</v>
      </c>
      <c r="L79" s="12">
        <v>10.0555214229899</v>
      </c>
    </row>
    <row r="80">
      <c r="A80" s="5" t="s">
        <v>488</v>
      </c>
      <c r="B80" s="6">
        <v>45901.0</v>
      </c>
      <c r="C80" s="7">
        <v>3934711.0</v>
      </c>
      <c r="D80" s="6">
        <v>45839.0</v>
      </c>
      <c r="E80" s="7">
        <v>47.0</v>
      </c>
      <c r="F80" s="7">
        <v>47.0</v>
      </c>
      <c r="G80" s="7">
        <v>6204.9</v>
      </c>
      <c r="H80" s="7">
        <v>23.85</v>
      </c>
      <c r="I80" s="7">
        <v>4.0</v>
      </c>
      <c r="J80" s="7">
        <v>15.5799999999999</v>
      </c>
      <c r="K80" s="7">
        <v>10.655514661699</v>
      </c>
      <c r="L80" s="12">
        <v>4.92448533830099</v>
      </c>
    </row>
    <row r="81">
      <c r="A81" s="5" t="s">
        <v>19</v>
      </c>
      <c r="B81" s="6">
        <v>45901.0</v>
      </c>
      <c r="C81" s="7">
        <v>4010351.0</v>
      </c>
      <c r="D81" s="6">
        <v>45839.0</v>
      </c>
      <c r="E81" s="7">
        <v>30.0</v>
      </c>
      <c r="F81" s="7">
        <v>28.0</v>
      </c>
      <c r="G81" s="7">
        <v>151200.27</v>
      </c>
      <c r="H81" s="7">
        <v>3594.99</v>
      </c>
      <c r="I81" s="8"/>
      <c r="J81" s="7">
        <v>423.2863</v>
      </c>
      <c r="K81" s="7">
        <v>352.572168800717</v>
      </c>
      <c r="L81" s="12">
        <v>70.714131199283</v>
      </c>
    </row>
    <row r="82">
      <c r="A82" s="5" t="s">
        <v>17</v>
      </c>
      <c r="B82" s="6">
        <v>45870.0</v>
      </c>
      <c r="C82" s="7">
        <v>3942651.0</v>
      </c>
      <c r="D82" s="6">
        <v>45809.0</v>
      </c>
      <c r="E82" s="7">
        <v>3.0</v>
      </c>
      <c r="F82" s="7">
        <v>3.0</v>
      </c>
      <c r="G82" s="7">
        <v>2850.0</v>
      </c>
      <c r="H82" s="7">
        <v>0.0</v>
      </c>
      <c r="I82" s="8"/>
      <c r="J82" s="7">
        <v>-0.43</v>
      </c>
      <c r="K82" s="7">
        <v>-0.4585</v>
      </c>
      <c r="L82" s="12">
        <v>0.0285</v>
      </c>
    </row>
    <row r="83">
      <c r="A83" s="5" t="s">
        <v>17</v>
      </c>
      <c r="B83" s="6">
        <v>45870.0</v>
      </c>
      <c r="C83" s="7">
        <v>4064786.0</v>
      </c>
      <c r="D83" s="6">
        <v>45870.0</v>
      </c>
      <c r="E83" s="7">
        <v>2.0</v>
      </c>
      <c r="F83" s="7">
        <v>0.0</v>
      </c>
      <c r="G83" s="7">
        <v>2.0</v>
      </c>
      <c r="H83" s="7">
        <v>0.06</v>
      </c>
      <c r="I83" s="8"/>
      <c r="J83" s="7">
        <v>-3.2106</v>
      </c>
      <c r="K83" s="7">
        <v>-3.21062</v>
      </c>
      <c r="L83" s="78">
        <v>2.0000000000131E-5</v>
      </c>
    </row>
    <row r="84">
      <c r="A84" s="5" t="s">
        <v>17</v>
      </c>
      <c r="B84" s="6">
        <v>45870.0</v>
      </c>
      <c r="C84" s="7">
        <v>3997416.0</v>
      </c>
      <c r="D84" s="6">
        <v>45839.0</v>
      </c>
      <c r="E84" s="7">
        <v>1.0</v>
      </c>
      <c r="F84" s="7">
        <v>0.0</v>
      </c>
      <c r="G84" s="7">
        <v>6700.0</v>
      </c>
      <c r="H84" s="7">
        <v>194.3</v>
      </c>
      <c r="I84" s="8"/>
      <c r="J84" s="7">
        <v>48.3878</v>
      </c>
      <c r="K84" s="7">
        <v>48.3208</v>
      </c>
      <c r="L84" s="12">
        <v>0.0670000000000001</v>
      </c>
    </row>
    <row r="85">
      <c r="A85" s="5" t="s">
        <v>17</v>
      </c>
      <c r="B85" s="6">
        <v>45870.0</v>
      </c>
      <c r="C85" s="7">
        <v>4079539.0</v>
      </c>
      <c r="D85" s="6">
        <v>45870.0</v>
      </c>
      <c r="E85" s="7">
        <v>1.0</v>
      </c>
      <c r="F85" s="7">
        <v>0.0</v>
      </c>
      <c r="G85" s="7">
        <v>9128.82</v>
      </c>
      <c r="H85" s="7">
        <v>264.74</v>
      </c>
      <c r="I85" s="8"/>
      <c r="J85" s="7">
        <v>17.6899</v>
      </c>
      <c r="K85" s="7">
        <v>12.847491588223</v>
      </c>
      <c r="L85" s="12">
        <v>4.842408411777</v>
      </c>
    </row>
    <row r="86">
      <c r="A86" s="5" t="s">
        <v>488</v>
      </c>
      <c r="B86" s="6">
        <v>45870.0</v>
      </c>
      <c r="C86" s="7">
        <v>3275131.0</v>
      </c>
      <c r="D86" s="6">
        <v>45839.0</v>
      </c>
      <c r="E86" s="7">
        <v>4.0</v>
      </c>
      <c r="F86" s="7">
        <v>2.0</v>
      </c>
      <c r="G86" s="7">
        <v>10780.08</v>
      </c>
      <c r="H86" s="7">
        <v>63.8</v>
      </c>
      <c r="I86" s="8"/>
      <c r="J86" s="7">
        <v>-5.4366</v>
      </c>
      <c r="K86" s="7">
        <v>-5.5444008</v>
      </c>
      <c r="L86" s="12">
        <v>0.107800799999999</v>
      </c>
    </row>
    <row r="87">
      <c r="A87" s="79"/>
      <c r="B87" s="6">
        <v>45870.0</v>
      </c>
      <c r="C87" s="7">
        <v>4044926.0</v>
      </c>
      <c r="D87" s="6">
        <v>45870.0</v>
      </c>
      <c r="E87" s="7">
        <v>3.0</v>
      </c>
      <c r="F87" s="7">
        <v>3.0</v>
      </c>
      <c r="G87" s="7">
        <v>1542.64</v>
      </c>
      <c r="H87" s="7">
        <v>1.5</v>
      </c>
      <c r="I87" s="8"/>
      <c r="J87" s="7">
        <v>0.28</v>
      </c>
      <c r="K87" s="7">
        <v>0.0410734870189999</v>
      </c>
      <c r="L87" s="12">
        <v>0.238926512981</v>
      </c>
    </row>
    <row r="88">
      <c r="A88" s="5" t="s">
        <v>17</v>
      </c>
      <c r="B88" s="6">
        <v>45870.0</v>
      </c>
      <c r="C88" s="7">
        <v>3942346.0</v>
      </c>
      <c r="D88" s="6">
        <v>45809.0</v>
      </c>
      <c r="E88" s="7">
        <v>1.0</v>
      </c>
      <c r="F88" s="7">
        <v>1.0</v>
      </c>
      <c r="G88" s="7">
        <v>123.19</v>
      </c>
      <c r="H88" s="7">
        <v>1.92</v>
      </c>
      <c r="I88" s="8"/>
      <c r="J88" s="7">
        <v>1.61</v>
      </c>
      <c r="K88" s="7">
        <v>1.590397596689</v>
      </c>
      <c r="L88" s="12">
        <v>0.019602403311</v>
      </c>
    </row>
    <row r="89">
      <c r="A89" s="5" t="s">
        <v>488</v>
      </c>
      <c r="B89" s="6">
        <v>45870.0</v>
      </c>
      <c r="C89" s="7">
        <v>4008827.0</v>
      </c>
      <c r="D89" s="6">
        <v>45870.0</v>
      </c>
      <c r="E89" s="7">
        <v>2.0</v>
      </c>
      <c r="F89" s="7">
        <v>2.0</v>
      </c>
      <c r="G89" s="7">
        <v>9880.0</v>
      </c>
      <c r="H89" s="7">
        <v>0.0</v>
      </c>
      <c r="I89" s="8"/>
      <c r="J89" s="7">
        <v>-0.16</v>
      </c>
      <c r="K89" s="7">
        <v>-1.708011707372</v>
      </c>
      <c r="L89" s="12">
        <v>1.548011707372</v>
      </c>
    </row>
    <row r="90">
      <c r="A90" s="5" t="s">
        <v>488</v>
      </c>
      <c r="B90" s="6">
        <v>45870.0</v>
      </c>
      <c r="C90" s="7">
        <v>3952865.0</v>
      </c>
      <c r="D90" s="6">
        <v>45809.0</v>
      </c>
      <c r="E90" s="7">
        <v>10.0</v>
      </c>
      <c r="F90" s="7">
        <v>10.0</v>
      </c>
      <c r="G90" s="7">
        <v>44578.63</v>
      </c>
      <c r="H90" s="7">
        <v>0.0</v>
      </c>
      <c r="I90" s="8"/>
      <c r="J90" s="7">
        <v>-1.42</v>
      </c>
      <c r="K90" s="7">
        <v>-8.404639791357</v>
      </c>
      <c r="L90" s="12">
        <v>6.984639791357</v>
      </c>
    </row>
    <row r="91">
      <c r="A91" s="5" t="s">
        <v>19</v>
      </c>
      <c r="B91" s="6">
        <v>45870.0</v>
      </c>
      <c r="C91" s="7">
        <v>3968250.0</v>
      </c>
      <c r="D91" s="6">
        <v>45809.0</v>
      </c>
      <c r="E91" s="7">
        <v>33.0</v>
      </c>
      <c r="F91" s="7">
        <v>32.0</v>
      </c>
      <c r="G91" s="7">
        <v>139376.22</v>
      </c>
      <c r="H91" s="7">
        <v>1460.0</v>
      </c>
      <c r="I91" s="8"/>
      <c r="J91" s="7">
        <v>103.888999999999</v>
      </c>
      <c r="K91" s="7">
        <v>61.1907936745659</v>
      </c>
      <c r="L91" s="12">
        <v>42.6982063254339</v>
      </c>
    </row>
    <row r="92">
      <c r="A92" s="5" t="s">
        <v>489</v>
      </c>
      <c r="B92" s="6">
        <v>45870.0</v>
      </c>
      <c r="C92" s="7">
        <v>3947424.0</v>
      </c>
      <c r="D92" s="6">
        <v>45809.0</v>
      </c>
      <c r="E92" s="7">
        <v>80.0</v>
      </c>
      <c r="F92" s="7">
        <v>80.0</v>
      </c>
      <c r="G92" s="7">
        <v>138111.17</v>
      </c>
      <c r="H92" s="7">
        <v>124.671347</v>
      </c>
      <c r="I92" s="7">
        <v>11.0</v>
      </c>
      <c r="J92" s="7">
        <v>113.9313</v>
      </c>
      <c r="K92" s="7">
        <v>92.291855862464</v>
      </c>
      <c r="L92" s="12">
        <v>21.639444137536</v>
      </c>
    </row>
    <row r="93">
      <c r="A93" s="5" t="s">
        <v>19</v>
      </c>
      <c r="B93" s="6">
        <v>45870.0</v>
      </c>
      <c r="C93" s="7">
        <v>3946131.0</v>
      </c>
      <c r="D93" s="6">
        <v>45809.0</v>
      </c>
      <c r="E93" s="7">
        <v>159.0</v>
      </c>
      <c r="F93" s="7">
        <v>159.0</v>
      </c>
      <c r="G93" s="7">
        <v>377736.73</v>
      </c>
      <c r="H93" s="7">
        <v>456.23</v>
      </c>
      <c r="I93" s="7">
        <v>5.5</v>
      </c>
      <c r="J93" s="7">
        <v>350.6199</v>
      </c>
      <c r="K93" s="7">
        <v>273.02308586831</v>
      </c>
      <c r="L93" s="12">
        <v>77.59681413169</v>
      </c>
    </row>
    <row r="94">
      <c r="A94" s="5" t="s">
        <v>488</v>
      </c>
      <c r="B94" s="6">
        <v>45870.0</v>
      </c>
      <c r="C94" s="7">
        <v>3785914.0</v>
      </c>
      <c r="D94" s="6">
        <v>45778.0</v>
      </c>
      <c r="E94" s="7">
        <v>7.0</v>
      </c>
      <c r="F94" s="7">
        <v>6.0</v>
      </c>
      <c r="G94" s="7">
        <v>9852.21</v>
      </c>
      <c r="H94" s="7">
        <v>124.15</v>
      </c>
      <c r="I94" s="8"/>
      <c r="J94" s="7">
        <v>41.9035</v>
      </c>
      <c r="K94" s="7">
        <v>38.497578427978</v>
      </c>
      <c r="L94" s="12">
        <v>3.40592157202199</v>
      </c>
    </row>
    <row r="95">
      <c r="A95" s="5" t="s">
        <v>19</v>
      </c>
      <c r="B95" s="6">
        <v>45870.0</v>
      </c>
      <c r="C95" s="7">
        <v>3935770.0</v>
      </c>
      <c r="D95" s="6">
        <v>45778.0</v>
      </c>
      <c r="E95" s="7">
        <v>58.0</v>
      </c>
      <c r="F95" s="7">
        <v>49.0</v>
      </c>
      <c r="G95" s="7">
        <v>230305.74</v>
      </c>
      <c r="H95" s="7">
        <v>2776.492248</v>
      </c>
      <c r="I95" s="8"/>
      <c r="J95" s="7">
        <v>220.8655</v>
      </c>
      <c r="K95" s="7">
        <v>158.718298739891</v>
      </c>
      <c r="L95" s="12">
        <v>62.147201260109</v>
      </c>
    </row>
    <row r="96">
      <c r="A96" s="5" t="s">
        <v>488</v>
      </c>
      <c r="B96" s="6">
        <v>45870.0</v>
      </c>
      <c r="C96" s="7">
        <v>3934664.0</v>
      </c>
      <c r="D96" s="6">
        <v>45809.0</v>
      </c>
      <c r="E96" s="7">
        <v>2.0</v>
      </c>
      <c r="F96" s="7">
        <v>0.0</v>
      </c>
      <c r="G96" s="7">
        <v>839.46</v>
      </c>
      <c r="H96" s="7">
        <v>24.35</v>
      </c>
      <c r="I96" s="8"/>
      <c r="J96" s="7">
        <v>1.027</v>
      </c>
      <c r="K96" s="7">
        <v>1.0186054</v>
      </c>
      <c r="L96" s="12">
        <v>0.00839460000000014</v>
      </c>
    </row>
    <row r="97">
      <c r="A97" s="5" t="s">
        <v>488</v>
      </c>
      <c r="B97" s="6">
        <v>45870.0</v>
      </c>
      <c r="C97" s="7">
        <v>3959338.0</v>
      </c>
      <c r="D97" s="6">
        <v>45839.0</v>
      </c>
      <c r="E97" s="7">
        <v>23.0</v>
      </c>
      <c r="F97" s="7">
        <v>23.0</v>
      </c>
      <c r="G97" s="7">
        <v>28059.0</v>
      </c>
      <c r="H97" s="7">
        <v>56.38</v>
      </c>
      <c r="I97" s="7">
        <v>1.0</v>
      </c>
      <c r="J97" s="7">
        <v>49.69</v>
      </c>
      <c r="K97" s="7">
        <v>38.208872367537</v>
      </c>
      <c r="L97" s="12">
        <v>11.481127632463</v>
      </c>
    </row>
    <row r="98">
      <c r="A98" s="5" t="s">
        <v>488</v>
      </c>
      <c r="B98" s="6">
        <v>45870.0</v>
      </c>
      <c r="C98" s="7">
        <v>3906405.0</v>
      </c>
      <c r="D98" s="6">
        <v>45778.0</v>
      </c>
      <c r="E98" s="7">
        <v>15.0</v>
      </c>
      <c r="F98" s="7">
        <v>15.0</v>
      </c>
      <c r="G98" s="7">
        <v>29374.4</v>
      </c>
      <c r="H98" s="7">
        <v>0.0</v>
      </c>
      <c r="I98" s="8"/>
      <c r="J98" s="7">
        <v>-1.71999999999999</v>
      </c>
      <c r="K98" s="7">
        <v>-6.32242055638099</v>
      </c>
      <c r="L98" s="12">
        <v>4.60242055638099</v>
      </c>
    </row>
    <row r="99">
      <c r="A99" s="5" t="s">
        <v>19</v>
      </c>
      <c r="B99" s="6">
        <v>45870.0</v>
      </c>
      <c r="C99" s="7">
        <v>4010351.0</v>
      </c>
      <c r="D99" s="6">
        <v>45839.0</v>
      </c>
      <c r="E99" s="7">
        <v>4.0</v>
      </c>
      <c r="F99" s="7">
        <v>1.0</v>
      </c>
      <c r="G99" s="7">
        <v>213782.0</v>
      </c>
      <c r="H99" s="7">
        <v>6149.02</v>
      </c>
      <c r="I99" s="8"/>
      <c r="J99" s="7">
        <v>810.0707</v>
      </c>
      <c r="K99" s="7">
        <v>661.650793363895</v>
      </c>
      <c r="L99" s="12">
        <v>148.419906636104</v>
      </c>
    </row>
    <row r="100">
      <c r="A100" s="5" t="s">
        <v>17</v>
      </c>
      <c r="B100" s="6">
        <v>45870.0</v>
      </c>
      <c r="C100" s="7">
        <v>3958943.0</v>
      </c>
      <c r="D100" s="6">
        <v>45839.0</v>
      </c>
      <c r="E100" s="7">
        <v>5.0</v>
      </c>
      <c r="F100" s="7">
        <v>3.0</v>
      </c>
      <c r="G100" s="7">
        <v>1953.75</v>
      </c>
      <c r="H100" s="7">
        <v>53.25</v>
      </c>
      <c r="I100" s="8"/>
      <c r="J100" s="7">
        <v>2.7538</v>
      </c>
      <c r="K100" s="7">
        <v>2.7342625</v>
      </c>
      <c r="L100" s="12">
        <v>0.0195375000000002</v>
      </c>
    </row>
    <row r="101">
      <c r="A101" s="5" t="s">
        <v>488</v>
      </c>
      <c r="B101" s="6">
        <v>45870.0</v>
      </c>
      <c r="C101" s="7">
        <v>4011819.0</v>
      </c>
      <c r="D101" s="6">
        <v>45839.0</v>
      </c>
      <c r="E101" s="7">
        <v>2.0</v>
      </c>
      <c r="F101" s="7">
        <v>0.0</v>
      </c>
      <c r="G101" s="7">
        <v>3364.6</v>
      </c>
      <c r="H101" s="7">
        <v>97.57</v>
      </c>
      <c r="I101" s="8"/>
      <c r="J101" s="7">
        <v>12.9591</v>
      </c>
      <c r="K101" s="7">
        <v>11.174338405153</v>
      </c>
      <c r="L101" s="12">
        <v>1.784761594847</v>
      </c>
    </row>
    <row r="102">
      <c r="A102" s="5" t="s">
        <v>488</v>
      </c>
      <c r="B102" s="6">
        <v>45870.0</v>
      </c>
      <c r="C102" s="7">
        <v>3977410.0</v>
      </c>
      <c r="D102" s="6">
        <v>45809.0</v>
      </c>
      <c r="E102" s="7">
        <v>2.0</v>
      </c>
      <c r="F102" s="7">
        <v>2.0</v>
      </c>
      <c r="G102" s="7">
        <v>8400.0</v>
      </c>
      <c r="H102" s="7">
        <v>0.0</v>
      </c>
      <c r="I102" s="8"/>
      <c r="J102" s="7">
        <v>-0.23</v>
      </c>
      <c r="K102" s="7">
        <v>-0.313999999999999</v>
      </c>
      <c r="L102" s="12">
        <v>0.0839999999999999</v>
      </c>
    </row>
    <row r="103">
      <c r="A103" s="5" t="s">
        <v>488</v>
      </c>
      <c r="B103" s="6">
        <v>45870.0</v>
      </c>
      <c r="C103" s="7">
        <v>4075965.0</v>
      </c>
      <c r="D103" s="6">
        <v>45870.0</v>
      </c>
      <c r="E103" s="7">
        <v>5.0</v>
      </c>
      <c r="F103" s="7">
        <v>0.0</v>
      </c>
      <c r="G103" s="7">
        <v>66600.0</v>
      </c>
      <c r="H103" s="7">
        <v>1931.4</v>
      </c>
      <c r="I103" s="8"/>
      <c r="J103" s="7">
        <v>293.5805</v>
      </c>
      <c r="K103" s="7">
        <v>258.25234146206</v>
      </c>
      <c r="L103" s="12">
        <v>35.32815853794</v>
      </c>
    </row>
    <row r="104">
      <c r="A104" s="5" t="s">
        <v>488</v>
      </c>
      <c r="B104" s="6">
        <v>45870.0</v>
      </c>
      <c r="C104" s="7">
        <v>3934711.0</v>
      </c>
      <c r="D104" s="6">
        <v>45839.0</v>
      </c>
      <c r="E104" s="7">
        <v>27.0</v>
      </c>
      <c r="F104" s="7">
        <v>27.0</v>
      </c>
      <c r="G104" s="7">
        <v>3932.5</v>
      </c>
      <c r="H104" s="7">
        <v>7.55</v>
      </c>
      <c r="I104" s="7">
        <v>0.5</v>
      </c>
      <c r="J104" s="7">
        <v>3.56</v>
      </c>
      <c r="K104" s="7">
        <v>2.063061601977</v>
      </c>
      <c r="L104" s="12">
        <v>1.496938398023</v>
      </c>
    </row>
    <row r="105">
      <c r="A105" s="5" t="s">
        <v>19</v>
      </c>
      <c r="B105" s="6">
        <v>45870.0</v>
      </c>
      <c r="C105" s="7">
        <v>4018525.0</v>
      </c>
      <c r="D105" s="6">
        <v>45839.0</v>
      </c>
      <c r="E105" s="7">
        <v>76.0</v>
      </c>
      <c r="F105" s="7">
        <v>76.0</v>
      </c>
      <c r="G105" s="7">
        <v>277390.54</v>
      </c>
      <c r="H105" s="7">
        <v>77.320593</v>
      </c>
      <c r="I105" s="8"/>
      <c r="J105" s="7">
        <v>33.1705999999999</v>
      </c>
      <c r="K105" s="7">
        <v>-8.873638624521</v>
      </c>
      <c r="L105" s="12">
        <v>42.0442386245209</v>
      </c>
    </row>
    <row r="106">
      <c r="A106" s="5" t="s">
        <v>488</v>
      </c>
      <c r="B106" s="6">
        <v>45870.0</v>
      </c>
      <c r="C106" s="7">
        <v>4039652.0</v>
      </c>
      <c r="D106" s="6">
        <v>45870.0</v>
      </c>
      <c r="E106" s="7">
        <v>6.0</v>
      </c>
      <c r="F106" s="7">
        <v>2.0</v>
      </c>
      <c r="G106" s="7">
        <v>7078.75</v>
      </c>
      <c r="H106" s="7">
        <v>111.9</v>
      </c>
      <c r="I106" s="8"/>
      <c r="J106" s="7">
        <v>12.9026</v>
      </c>
      <c r="K106" s="7">
        <v>10.351201201747</v>
      </c>
      <c r="L106" s="12">
        <v>2.551398798253</v>
      </c>
    </row>
    <row r="107">
      <c r="A107" s="5" t="s">
        <v>19</v>
      </c>
      <c r="B107" s="6">
        <v>45870.0</v>
      </c>
      <c r="C107" s="7">
        <v>3825826.0</v>
      </c>
      <c r="D107" s="6">
        <v>45839.0</v>
      </c>
      <c r="E107" s="7">
        <v>28.0</v>
      </c>
      <c r="F107" s="7">
        <v>26.0</v>
      </c>
      <c r="G107" s="7">
        <v>134882.0</v>
      </c>
      <c r="H107" s="7">
        <v>270.27</v>
      </c>
      <c r="I107" s="8"/>
      <c r="J107" s="7">
        <v>18.3265</v>
      </c>
      <c r="K107" s="7">
        <v>16.97768</v>
      </c>
      <c r="L107" s="12">
        <v>1.34882</v>
      </c>
    </row>
    <row r="108">
      <c r="A108" s="5" t="s">
        <v>489</v>
      </c>
      <c r="B108" s="6">
        <v>45870.0</v>
      </c>
      <c r="C108" s="7">
        <v>4038405.0</v>
      </c>
      <c r="D108" s="6">
        <v>45870.0</v>
      </c>
      <c r="E108" s="7">
        <v>84.0</v>
      </c>
      <c r="F108" s="7">
        <v>84.0</v>
      </c>
      <c r="G108" s="7">
        <v>814334.14</v>
      </c>
      <c r="H108" s="7">
        <v>328.461063</v>
      </c>
      <c r="I108" s="7">
        <v>12.0</v>
      </c>
      <c r="J108" s="7">
        <v>312.3911</v>
      </c>
      <c r="K108" s="7">
        <v>140.638637825224</v>
      </c>
      <c r="L108" s="12">
        <v>171.752462174775</v>
      </c>
    </row>
    <row r="109">
      <c r="A109" s="5" t="s">
        <v>488</v>
      </c>
      <c r="B109" s="6">
        <v>45870.0</v>
      </c>
      <c r="C109" s="7">
        <v>4030970.0</v>
      </c>
      <c r="D109" s="6">
        <v>45870.0</v>
      </c>
      <c r="E109" s="7">
        <v>25.0</v>
      </c>
      <c r="F109" s="7">
        <v>0.0</v>
      </c>
      <c r="G109" s="7">
        <v>14075.6</v>
      </c>
      <c r="H109" s="7">
        <v>408.2</v>
      </c>
      <c r="I109" s="8"/>
      <c r="J109" s="7">
        <v>42.8984</v>
      </c>
      <c r="K109" s="7">
        <v>35.431958133381</v>
      </c>
      <c r="L109" s="12">
        <v>7.466441866619</v>
      </c>
    </row>
    <row r="110">
      <c r="A110" s="5" t="s">
        <v>488</v>
      </c>
      <c r="B110" s="6">
        <v>45870.0</v>
      </c>
      <c r="C110" s="7">
        <v>4068848.0</v>
      </c>
      <c r="D110" s="6">
        <v>45870.0</v>
      </c>
      <c r="E110" s="7">
        <v>1.0</v>
      </c>
      <c r="F110" s="7">
        <v>0.0</v>
      </c>
      <c r="G110" s="7">
        <v>1591.92</v>
      </c>
      <c r="H110" s="7">
        <v>46.17</v>
      </c>
      <c r="I110" s="8"/>
      <c r="J110" s="7">
        <v>5.2951</v>
      </c>
      <c r="K110" s="7">
        <v>4.450661529434</v>
      </c>
      <c r="L110" s="12">
        <v>0.844438470565999</v>
      </c>
    </row>
    <row r="111">
      <c r="A111" s="5" t="s">
        <v>17</v>
      </c>
      <c r="B111" s="6">
        <v>45870.0</v>
      </c>
      <c r="C111" s="7">
        <v>3962143.0</v>
      </c>
      <c r="D111" s="6">
        <v>45809.0</v>
      </c>
      <c r="E111" s="7">
        <v>1.0</v>
      </c>
      <c r="F111" s="7">
        <v>0.0</v>
      </c>
      <c r="G111" s="7">
        <v>451.78</v>
      </c>
      <c r="H111" s="7">
        <v>13.1</v>
      </c>
      <c r="I111" s="8"/>
      <c r="J111" s="7">
        <v>0.6636</v>
      </c>
      <c r="K111" s="7">
        <v>0.423952020056</v>
      </c>
      <c r="L111" s="12">
        <v>0.239647979943999</v>
      </c>
    </row>
    <row r="112">
      <c r="A112" s="5" t="s">
        <v>488</v>
      </c>
      <c r="B112" s="6">
        <v>45839.0</v>
      </c>
      <c r="C112" s="7">
        <v>3785914.0</v>
      </c>
      <c r="D112" s="6">
        <v>45778.0</v>
      </c>
      <c r="E112" s="7">
        <v>6.0</v>
      </c>
      <c r="F112" s="7">
        <v>6.0</v>
      </c>
      <c r="G112" s="7">
        <v>12484.85</v>
      </c>
      <c r="H112" s="7">
        <v>56.33</v>
      </c>
      <c r="I112" s="7">
        <v>0.5</v>
      </c>
      <c r="J112" s="7">
        <v>55.06</v>
      </c>
      <c r="K112" s="7">
        <v>50.17197970811</v>
      </c>
      <c r="L112" s="12">
        <v>4.88802029189</v>
      </c>
    </row>
    <row r="113">
      <c r="A113" s="5" t="s">
        <v>17</v>
      </c>
      <c r="B113" s="6">
        <v>45839.0</v>
      </c>
      <c r="C113" s="7">
        <v>3942346.0</v>
      </c>
      <c r="D113" s="6">
        <v>45809.0</v>
      </c>
      <c r="E113" s="7">
        <v>3.0</v>
      </c>
      <c r="F113" s="7">
        <v>3.0</v>
      </c>
      <c r="G113" s="7">
        <v>10435.59</v>
      </c>
      <c r="H113" s="7">
        <v>157.0</v>
      </c>
      <c r="I113" s="8"/>
      <c r="J113" s="7">
        <v>138.95</v>
      </c>
      <c r="K113" s="7">
        <v>137.29033873164</v>
      </c>
      <c r="L113" s="12">
        <v>1.65966126835999</v>
      </c>
    </row>
    <row r="114">
      <c r="A114" s="5" t="s">
        <v>489</v>
      </c>
      <c r="B114" s="6">
        <v>45839.0</v>
      </c>
      <c r="C114" s="7">
        <v>3947424.0</v>
      </c>
      <c r="D114" s="6">
        <v>45809.0</v>
      </c>
      <c r="E114" s="7">
        <v>62.0</v>
      </c>
      <c r="F114" s="7">
        <v>62.0</v>
      </c>
      <c r="G114" s="7">
        <v>149121.04</v>
      </c>
      <c r="H114" s="7">
        <v>30.604162</v>
      </c>
      <c r="I114" s="7">
        <v>4.0</v>
      </c>
      <c r="J114" s="7">
        <v>22.6142</v>
      </c>
      <c r="K114" s="7">
        <v>-0.750285398330998</v>
      </c>
      <c r="L114" s="12">
        <v>23.364485398331</v>
      </c>
    </row>
    <row r="115">
      <c r="A115" s="5" t="s">
        <v>17</v>
      </c>
      <c r="B115" s="6">
        <v>45839.0</v>
      </c>
      <c r="C115" s="7">
        <v>3993022.0</v>
      </c>
      <c r="D115" s="6">
        <v>45839.0</v>
      </c>
      <c r="E115" s="7">
        <v>1.0</v>
      </c>
      <c r="F115" s="7">
        <v>0.0</v>
      </c>
      <c r="G115" s="7">
        <v>5700.0</v>
      </c>
      <c r="H115" s="7">
        <v>175.3</v>
      </c>
      <c r="I115" s="8"/>
      <c r="J115" s="7">
        <v>64.1767</v>
      </c>
      <c r="K115" s="7">
        <v>59.01305386387</v>
      </c>
      <c r="L115" s="12">
        <v>5.16364613612999</v>
      </c>
    </row>
    <row r="116">
      <c r="A116" s="5" t="s">
        <v>19</v>
      </c>
      <c r="B116" s="6">
        <v>45839.0</v>
      </c>
      <c r="C116" s="7">
        <v>4018525.0</v>
      </c>
      <c r="D116" s="6">
        <v>45839.0</v>
      </c>
      <c r="E116" s="7">
        <v>14.0</v>
      </c>
      <c r="F116" s="7">
        <v>14.0</v>
      </c>
      <c r="G116" s="7">
        <v>157106.27</v>
      </c>
      <c r="H116" s="7">
        <v>9.969429</v>
      </c>
      <c r="I116" s="8"/>
      <c r="J116" s="7">
        <v>3.8394</v>
      </c>
      <c r="K116" s="7">
        <v>-19.810961990037</v>
      </c>
      <c r="L116" s="12">
        <v>23.650361990037</v>
      </c>
    </row>
    <row r="117">
      <c r="A117" s="5" t="s">
        <v>488</v>
      </c>
      <c r="B117" s="6">
        <v>45839.0</v>
      </c>
      <c r="C117" s="7">
        <v>3906405.0</v>
      </c>
      <c r="D117" s="6">
        <v>45778.0</v>
      </c>
      <c r="E117" s="7">
        <v>19.0</v>
      </c>
      <c r="F117" s="7">
        <v>19.0</v>
      </c>
      <c r="G117" s="7">
        <v>40621.29</v>
      </c>
      <c r="H117" s="7">
        <v>0.0</v>
      </c>
      <c r="I117" s="8"/>
      <c r="J117" s="7">
        <v>-1.95</v>
      </c>
      <c r="K117" s="7">
        <v>-8.314598430014</v>
      </c>
      <c r="L117" s="12">
        <v>6.36459843001399</v>
      </c>
    </row>
    <row r="118">
      <c r="A118" s="5" t="s">
        <v>19</v>
      </c>
      <c r="B118" s="6">
        <v>45839.0</v>
      </c>
      <c r="C118" s="7">
        <v>3825826.0</v>
      </c>
      <c r="D118" s="6">
        <v>45839.0</v>
      </c>
      <c r="E118" s="7">
        <v>29.0</v>
      </c>
      <c r="F118" s="7">
        <v>26.0</v>
      </c>
      <c r="G118" s="7">
        <v>135586.5</v>
      </c>
      <c r="H118" s="7">
        <v>442.02</v>
      </c>
      <c r="I118" s="8"/>
      <c r="J118" s="7">
        <v>13.6657999999999</v>
      </c>
      <c r="K118" s="7">
        <v>12.309935</v>
      </c>
      <c r="L118" s="12">
        <v>1.35586499999999</v>
      </c>
    </row>
    <row r="119">
      <c r="A119" s="5" t="s">
        <v>17</v>
      </c>
      <c r="B119" s="6">
        <v>45839.0</v>
      </c>
      <c r="C119" s="7">
        <v>3782339.0</v>
      </c>
      <c r="D119" s="6">
        <v>45839.0</v>
      </c>
      <c r="E119" s="7">
        <v>1.0</v>
      </c>
      <c r="F119" s="7">
        <v>1.0</v>
      </c>
      <c r="G119" s="7">
        <v>289.91</v>
      </c>
      <c r="H119" s="7">
        <v>2.9</v>
      </c>
      <c r="I119" s="8"/>
      <c r="J119" s="7">
        <v>2.53</v>
      </c>
      <c r="K119" s="7">
        <v>1.641473187114</v>
      </c>
      <c r="L119" s="12">
        <v>0.888526812885999</v>
      </c>
    </row>
    <row r="120">
      <c r="A120" s="5" t="s">
        <v>17</v>
      </c>
      <c r="B120" s="6">
        <v>45839.0</v>
      </c>
      <c r="C120" s="7">
        <v>3962143.0</v>
      </c>
      <c r="D120" s="6">
        <v>45809.0</v>
      </c>
      <c r="E120" s="7">
        <v>3.0</v>
      </c>
      <c r="F120" s="7">
        <v>0.0</v>
      </c>
      <c r="G120" s="7">
        <v>12928.92</v>
      </c>
      <c r="H120" s="7">
        <v>404.94</v>
      </c>
      <c r="I120" s="8"/>
      <c r="J120" s="7">
        <v>54.8811</v>
      </c>
      <c r="K120" s="7">
        <v>46.41715192602</v>
      </c>
      <c r="L120" s="12">
        <v>8.46394807398</v>
      </c>
    </row>
    <row r="121">
      <c r="A121" s="5" t="s">
        <v>19</v>
      </c>
      <c r="B121" s="6">
        <v>45839.0</v>
      </c>
      <c r="C121" s="7">
        <v>3935770.0</v>
      </c>
      <c r="D121" s="6">
        <v>45778.0</v>
      </c>
      <c r="E121" s="7">
        <v>34.0</v>
      </c>
      <c r="F121" s="7">
        <v>32.0</v>
      </c>
      <c r="G121" s="7">
        <v>136784.62</v>
      </c>
      <c r="H121" s="7">
        <v>16.937386</v>
      </c>
      <c r="I121" s="8"/>
      <c r="J121" s="7">
        <v>-0.2927</v>
      </c>
      <c r="K121" s="7">
        <v>-14.214283942571</v>
      </c>
      <c r="L121" s="12">
        <v>13.921583942571</v>
      </c>
    </row>
    <row r="122">
      <c r="A122" s="5" t="s">
        <v>488</v>
      </c>
      <c r="B122" s="6">
        <v>45839.0</v>
      </c>
      <c r="C122" s="7">
        <v>3934664.0</v>
      </c>
      <c r="D122" s="6">
        <v>45809.0</v>
      </c>
      <c r="E122" s="7">
        <v>8.0</v>
      </c>
      <c r="F122" s="7">
        <v>0.0</v>
      </c>
      <c r="G122" s="7">
        <v>3096.81</v>
      </c>
      <c r="H122" s="7">
        <v>89.81</v>
      </c>
      <c r="I122" s="8"/>
      <c r="J122" s="7">
        <v>4.1557</v>
      </c>
      <c r="K122" s="7">
        <v>4.1247319</v>
      </c>
      <c r="L122" s="12">
        <v>0.0309681000000008</v>
      </c>
    </row>
    <row r="123">
      <c r="A123" s="5" t="s">
        <v>17</v>
      </c>
      <c r="B123" s="6">
        <v>45839.0</v>
      </c>
      <c r="C123" s="7">
        <v>3958943.0</v>
      </c>
      <c r="D123" s="6">
        <v>45839.0</v>
      </c>
      <c r="E123" s="7">
        <v>3.0</v>
      </c>
      <c r="F123" s="7">
        <v>1.0</v>
      </c>
      <c r="G123" s="7">
        <v>509.5</v>
      </c>
      <c r="H123" s="7">
        <v>8.25</v>
      </c>
      <c r="I123" s="8"/>
      <c r="J123" s="7">
        <v>5.1106</v>
      </c>
      <c r="K123" s="7">
        <v>5.105505</v>
      </c>
      <c r="L123" s="12">
        <v>0.00509499999999985</v>
      </c>
    </row>
    <row r="124">
      <c r="A124" s="5" t="s">
        <v>17</v>
      </c>
      <c r="B124" s="6">
        <v>45839.0</v>
      </c>
      <c r="C124" s="7">
        <v>3987123.0</v>
      </c>
      <c r="D124" s="6">
        <v>45839.0</v>
      </c>
      <c r="E124" s="7">
        <v>3.0</v>
      </c>
      <c r="F124" s="7">
        <v>3.0</v>
      </c>
      <c r="G124" s="7">
        <v>10182.71</v>
      </c>
      <c r="H124" s="7">
        <v>0.0</v>
      </c>
      <c r="I124" s="8"/>
      <c r="J124" s="7">
        <v>-0.43</v>
      </c>
      <c r="K124" s="7">
        <v>-0.5318271</v>
      </c>
      <c r="L124" s="12">
        <v>0.101827099999999</v>
      </c>
    </row>
    <row r="125">
      <c r="A125" s="5" t="s">
        <v>19</v>
      </c>
      <c r="B125" s="6">
        <v>45839.0</v>
      </c>
      <c r="C125" s="7">
        <v>4010351.0</v>
      </c>
      <c r="D125" s="6">
        <v>45839.0</v>
      </c>
      <c r="E125" s="7">
        <v>5.0</v>
      </c>
      <c r="F125" s="7">
        <v>0.0</v>
      </c>
      <c r="G125" s="7">
        <v>122970.0</v>
      </c>
      <c r="H125" s="7">
        <v>3566.14</v>
      </c>
      <c r="I125" s="8"/>
      <c r="J125" s="7">
        <v>685.6292</v>
      </c>
      <c r="K125" s="7">
        <v>620.399415384226</v>
      </c>
      <c r="L125" s="12">
        <v>65.229784615773</v>
      </c>
    </row>
    <row r="126">
      <c r="A126" s="5" t="s">
        <v>488</v>
      </c>
      <c r="B126" s="6">
        <v>45839.0</v>
      </c>
      <c r="C126" s="7">
        <v>3959338.0</v>
      </c>
      <c r="D126" s="6">
        <v>45839.0</v>
      </c>
      <c r="E126" s="7">
        <v>14.0</v>
      </c>
      <c r="F126" s="7">
        <v>14.0</v>
      </c>
      <c r="G126" s="7">
        <v>22154.0</v>
      </c>
      <c r="H126" s="7">
        <v>4.5</v>
      </c>
      <c r="I126" s="8"/>
      <c r="J126" s="7">
        <v>0.2</v>
      </c>
      <c r="K126" s="7">
        <v>-3.223418559223</v>
      </c>
      <c r="L126" s="12">
        <v>3.423418559223</v>
      </c>
    </row>
    <row r="127">
      <c r="A127" s="5" t="s">
        <v>488</v>
      </c>
      <c r="B127" s="6">
        <v>45839.0</v>
      </c>
      <c r="C127" s="7">
        <v>3952865.0</v>
      </c>
      <c r="D127" s="6">
        <v>45809.0</v>
      </c>
      <c r="E127" s="7">
        <v>10.0</v>
      </c>
      <c r="F127" s="7">
        <v>10.0</v>
      </c>
      <c r="G127" s="7">
        <v>31165.76</v>
      </c>
      <c r="H127" s="7">
        <v>0.5</v>
      </c>
      <c r="I127" s="7">
        <v>0.5</v>
      </c>
      <c r="J127" s="7">
        <v>-0.399999999999999</v>
      </c>
      <c r="K127" s="7">
        <v>-5.283093253964</v>
      </c>
      <c r="L127" s="12">
        <v>4.883093253964</v>
      </c>
    </row>
    <row r="128">
      <c r="A128" s="5" t="s">
        <v>17</v>
      </c>
      <c r="B128" s="6">
        <v>45839.0</v>
      </c>
      <c r="C128" s="7">
        <v>3942651.0</v>
      </c>
      <c r="D128" s="6">
        <v>45809.0</v>
      </c>
      <c r="E128" s="7">
        <v>4.0</v>
      </c>
      <c r="F128" s="7">
        <v>4.0</v>
      </c>
      <c r="G128" s="7">
        <v>2850.0</v>
      </c>
      <c r="H128" s="7">
        <v>0.0</v>
      </c>
      <c r="I128" s="8"/>
      <c r="J128" s="7">
        <v>-0.56</v>
      </c>
      <c r="K128" s="7">
        <v>-0.5885</v>
      </c>
      <c r="L128" s="12">
        <v>0.0284999999999999</v>
      </c>
    </row>
    <row r="129">
      <c r="A129" s="5" t="s">
        <v>17</v>
      </c>
      <c r="B129" s="6">
        <v>45839.0</v>
      </c>
      <c r="C129" s="7">
        <v>4027648.0</v>
      </c>
      <c r="D129" s="6">
        <v>45839.0</v>
      </c>
      <c r="E129" s="7">
        <v>1.0</v>
      </c>
      <c r="F129" s="7">
        <v>1.0</v>
      </c>
      <c r="G129" s="7">
        <v>150.0</v>
      </c>
      <c r="H129" s="7">
        <v>0.0</v>
      </c>
      <c r="I129" s="8"/>
      <c r="J129" s="7">
        <v>-0.06</v>
      </c>
      <c r="K129" s="7">
        <v>-0.083502202035</v>
      </c>
      <c r="L129" s="12">
        <v>0.023502202035</v>
      </c>
    </row>
    <row r="130">
      <c r="A130" s="5" t="s">
        <v>19</v>
      </c>
      <c r="B130" s="6">
        <v>45839.0</v>
      </c>
      <c r="C130" s="7">
        <v>3946131.0</v>
      </c>
      <c r="D130" s="6">
        <v>45809.0</v>
      </c>
      <c r="E130" s="7">
        <v>192.0</v>
      </c>
      <c r="F130" s="7">
        <v>192.0</v>
      </c>
      <c r="G130" s="7">
        <v>970426.69</v>
      </c>
      <c r="H130" s="7">
        <v>694.36</v>
      </c>
      <c r="I130" s="7">
        <v>3.0</v>
      </c>
      <c r="J130" s="7">
        <v>602.34</v>
      </c>
      <c r="K130" s="7">
        <v>398.982771373468</v>
      </c>
      <c r="L130" s="12">
        <v>203.357228626531</v>
      </c>
    </row>
    <row r="131">
      <c r="A131" s="5" t="s">
        <v>488</v>
      </c>
      <c r="B131" s="6">
        <v>45839.0</v>
      </c>
      <c r="C131" s="7">
        <v>3934711.0</v>
      </c>
      <c r="D131" s="6">
        <v>45839.0</v>
      </c>
      <c r="E131" s="7">
        <v>20.0</v>
      </c>
      <c r="F131" s="7">
        <v>20.0</v>
      </c>
      <c r="G131" s="7">
        <v>2410.31</v>
      </c>
      <c r="H131" s="7">
        <v>0.0</v>
      </c>
      <c r="I131" s="8"/>
      <c r="J131" s="7">
        <v>-2.36</v>
      </c>
      <c r="K131" s="7">
        <v>-2.73765061725</v>
      </c>
      <c r="L131" s="12">
        <v>0.37765061725</v>
      </c>
    </row>
    <row r="132">
      <c r="A132" s="5" t="s">
        <v>488</v>
      </c>
      <c r="B132" s="6">
        <v>45839.0</v>
      </c>
      <c r="C132" s="7">
        <v>3275131.0</v>
      </c>
      <c r="D132" s="6">
        <v>45839.0</v>
      </c>
      <c r="E132" s="7">
        <v>2.0</v>
      </c>
      <c r="F132" s="7">
        <v>2.0</v>
      </c>
      <c r="G132" s="7">
        <v>8506.71</v>
      </c>
      <c r="H132" s="7">
        <v>0.0</v>
      </c>
      <c r="I132" s="8"/>
      <c r="J132" s="7">
        <v>-0.26</v>
      </c>
      <c r="K132" s="7">
        <v>-0.3450671</v>
      </c>
      <c r="L132" s="12">
        <v>0.0850671</v>
      </c>
    </row>
    <row r="133">
      <c r="A133" s="5" t="s">
        <v>19</v>
      </c>
      <c r="B133" s="6">
        <v>45839.0</v>
      </c>
      <c r="C133" s="7">
        <v>3968250.0</v>
      </c>
      <c r="D133" s="6">
        <v>45809.0</v>
      </c>
      <c r="E133" s="7">
        <v>25.0</v>
      </c>
      <c r="F133" s="7">
        <v>25.0</v>
      </c>
      <c r="G133" s="7">
        <v>87861.35</v>
      </c>
      <c r="H133" s="7">
        <v>10.37</v>
      </c>
      <c r="I133" s="8"/>
      <c r="J133" s="7">
        <v>6.83</v>
      </c>
      <c r="K133" s="7">
        <v>-8.474230642432</v>
      </c>
      <c r="L133" s="12">
        <v>15.304230642432</v>
      </c>
    </row>
    <row r="134">
      <c r="A134" s="5" t="s">
        <v>488</v>
      </c>
      <c r="B134" s="6">
        <v>45839.0</v>
      </c>
      <c r="C134" s="7">
        <v>3977410.0</v>
      </c>
      <c r="D134" s="6">
        <v>45809.0</v>
      </c>
      <c r="E134" s="7">
        <v>5.0</v>
      </c>
      <c r="F134" s="7">
        <v>5.0</v>
      </c>
      <c r="G134" s="7">
        <v>16440.0</v>
      </c>
      <c r="H134" s="7">
        <v>0.0</v>
      </c>
      <c r="I134" s="8"/>
      <c r="J134" s="7">
        <v>-0.41</v>
      </c>
      <c r="K134" s="7">
        <v>-0.5744</v>
      </c>
      <c r="L134" s="12">
        <v>0.1644</v>
      </c>
    </row>
    <row r="135">
      <c r="A135" s="5" t="s">
        <v>19</v>
      </c>
      <c r="B135" s="6">
        <v>45839.0</v>
      </c>
      <c r="C135" s="7">
        <v>4011251.0</v>
      </c>
      <c r="D135" s="6">
        <v>45839.0</v>
      </c>
      <c r="E135" s="7">
        <v>12.0</v>
      </c>
      <c r="F135" s="7">
        <v>12.0</v>
      </c>
      <c r="G135" s="7">
        <v>23004.8</v>
      </c>
      <c r="H135" s="7">
        <v>178.89</v>
      </c>
      <c r="I135" s="8"/>
      <c r="J135" s="7">
        <v>174.41</v>
      </c>
      <c r="K135" s="7">
        <v>168.492322534254</v>
      </c>
      <c r="L135" s="12">
        <v>5.91767746574601</v>
      </c>
    </row>
    <row r="136">
      <c r="A136" s="5" t="s">
        <v>17</v>
      </c>
      <c r="B136" s="6">
        <v>45839.0</v>
      </c>
      <c r="C136" s="7">
        <v>3970546.0</v>
      </c>
      <c r="D136" s="6">
        <v>45809.0</v>
      </c>
      <c r="E136" s="7">
        <v>30.0</v>
      </c>
      <c r="F136" s="7">
        <v>0.0</v>
      </c>
      <c r="G136" s="7">
        <v>41041.02</v>
      </c>
      <c r="H136" s="7">
        <v>1237.66</v>
      </c>
      <c r="I136" s="8"/>
      <c r="J136" s="7">
        <v>119.042499999999</v>
      </c>
      <c r="K136" s="7">
        <v>95.483051497757</v>
      </c>
      <c r="L136" s="12">
        <v>23.5594485022429</v>
      </c>
    </row>
    <row r="137">
      <c r="A137" s="5" t="s">
        <v>17</v>
      </c>
      <c r="B137" s="6">
        <v>45839.0</v>
      </c>
      <c r="C137" s="7">
        <v>3991830.0</v>
      </c>
      <c r="D137" s="6">
        <v>45839.0</v>
      </c>
      <c r="E137" s="7">
        <v>1.0</v>
      </c>
      <c r="F137" s="7">
        <v>1.0</v>
      </c>
      <c r="G137" s="7">
        <v>100.0</v>
      </c>
      <c r="H137" s="7">
        <v>0.0</v>
      </c>
      <c r="I137" s="8"/>
      <c r="J137" s="7">
        <v>-0.06</v>
      </c>
      <c r="K137" s="7">
        <v>-0.07566813469</v>
      </c>
      <c r="L137" s="12">
        <v>0.01566813469</v>
      </c>
    </row>
    <row r="138">
      <c r="A138" s="5" t="s">
        <v>488</v>
      </c>
      <c r="B138" s="6">
        <v>45839.0</v>
      </c>
      <c r="C138" s="7">
        <v>4011819.0</v>
      </c>
      <c r="D138" s="6">
        <v>45839.0</v>
      </c>
      <c r="E138" s="7">
        <v>3.0</v>
      </c>
      <c r="F138" s="7">
        <v>0.0</v>
      </c>
      <c r="G138" s="7">
        <v>470.0</v>
      </c>
      <c r="H138" s="7">
        <v>13.62</v>
      </c>
      <c r="I138" s="8"/>
      <c r="J138" s="7">
        <v>0.0687999999999999</v>
      </c>
      <c r="K138" s="7">
        <v>-0.180512830524</v>
      </c>
      <c r="L138" s="12">
        <v>0.249312830524</v>
      </c>
    </row>
    <row r="139">
      <c r="A139" s="5" t="s">
        <v>17</v>
      </c>
      <c r="B139" s="6">
        <v>45839.0</v>
      </c>
      <c r="C139" s="7">
        <v>3997416.0</v>
      </c>
      <c r="D139" s="6">
        <v>45839.0</v>
      </c>
      <c r="E139" s="7">
        <v>1.0</v>
      </c>
      <c r="F139" s="7">
        <v>0.0</v>
      </c>
      <c r="G139" s="7">
        <v>7400.0</v>
      </c>
      <c r="H139" s="7">
        <v>214.6</v>
      </c>
      <c r="I139" s="8"/>
      <c r="J139" s="7">
        <v>57.1369</v>
      </c>
      <c r="K139" s="7">
        <v>57.0629</v>
      </c>
      <c r="L139" s="12">
        <v>0.073999999999998</v>
      </c>
    </row>
    <row r="140">
      <c r="A140" s="5" t="s">
        <v>488</v>
      </c>
      <c r="B140" s="6">
        <v>45809.0</v>
      </c>
      <c r="C140" s="7">
        <v>3906405.0</v>
      </c>
      <c r="D140" s="6">
        <v>45778.0</v>
      </c>
      <c r="E140" s="7">
        <v>8.0</v>
      </c>
      <c r="F140" s="7">
        <v>8.0</v>
      </c>
      <c r="G140" s="7">
        <v>1405.0</v>
      </c>
      <c r="H140" s="7">
        <v>3.25</v>
      </c>
      <c r="I140" s="8"/>
      <c r="J140" s="7">
        <v>2.28</v>
      </c>
      <c r="K140" s="7">
        <v>1.312150560929</v>
      </c>
      <c r="L140" s="12">
        <v>0.967849439070999</v>
      </c>
    </row>
    <row r="141">
      <c r="A141" s="5" t="s">
        <v>17</v>
      </c>
      <c r="B141" s="6">
        <v>45809.0</v>
      </c>
      <c r="C141" s="7">
        <v>3970546.0</v>
      </c>
      <c r="D141" s="6">
        <v>45809.0</v>
      </c>
      <c r="E141" s="7">
        <v>3.0</v>
      </c>
      <c r="F141" s="7">
        <v>0.0</v>
      </c>
      <c r="G141" s="7">
        <v>3250.67</v>
      </c>
      <c r="H141" s="7">
        <v>94.27</v>
      </c>
      <c r="I141" s="8"/>
      <c r="J141" s="7">
        <v>6.4137</v>
      </c>
      <c r="K141" s="7">
        <v>4.696322896178</v>
      </c>
      <c r="L141" s="12">
        <v>1.71737710382199</v>
      </c>
    </row>
    <row r="142">
      <c r="A142" s="5" t="s">
        <v>488</v>
      </c>
      <c r="B142" s="6">
        <v>45809.0</v>
      </c>
      <c r="C142" s="7">
        <v>3977410.0</v>
      </c>
      <c r="D142" s="6">
        <v>45809.0</v>
      </c>
      <c r="E142" s="7">
        <v>1.0</v>
      </c>
      <c r="F142" s="7">
        <v>1.0</v>
      </c>
      <c r="G142" s="7">
        <v>6320.0</v>
      </c>
      <c r="H142" s="7">
        <v>0.0</v>
      </c>
      <c r="I142" s="8"/>
      <c r="J142" s="7">
        <v>-0.06</v>
      </c>
      <c r="K142" s="7">
        <v>-0.1232</v>
      </c>
      <c r="L142" s="12">
        <v>0.0632</v>
      </c>
    </row>
    <row r="143">
      <c r="A143" s="5" t="s">
        <v>488</v>
      </c>
      <c r="B143" s="6">
        <v>45809.0</v>
      </c>
      <c r="C143" s="7">
        <v>3934664.0</v>
      </c>
      <c r="D143" s="6">
        <v>45809.0</v>
      </c>
      <c r="E143" s="7">
        <v>2.0</v>
      </c>
      <c r="F143" s="7">
        <v>0.0</v>
      </c>
      <c r="G143" s="7">
        <v>298.66</v>
      </c>
      <c r="H143" s="7">
        <v>8.66</v>
      </c>
      <c r="I143" s="8"/>
      <c r="J143" s="7">
        <v>-0.0901</v>
      </c>
      <c r="K143" s="7">
        <v>-0.0930865999999999</v>
      </c>
      <c r="L143" s="12">
        <v>0.00298659999999997</v>
      </c>
    </row>
    <row r="144">
      <c r="A144" s="5" t="s">
        <v>19</v>
      </c>
      <c r="B144" s="6">
        <v>45809.0</v>
      </c>
      <c r="C144" s="7">
        <v>3968250.0</v>
      </c>
      <c r="D144" s="6">
        <v>45809.0</v>
      </c>
      <c r="E144" s="7">
        <v>8.0</v>
      </c>
      <c r="F144" s="7">
        <v>8.0</v>
      </c>
      <c r="G144" s="7">
        <v>203882.02</v>
      </c>
      <c r="H144" s="7">
        <v>10.0</v>
      </c>
      <c r="I144" s="8"/>
      <c r="J144" s="7">
        <v>3.72</v>
      </c>
      <c r="K144" s="7">
        <v>-39.818780952293</v>
      </c>
      <c r="L144" s="12">
        <v>43.538780952293</v>
      </c>
    </row>
    <row r="145">
      <c r="A145" s="5" t="s">
        <v>17</v>
      </c>
      <c r="B145" s="6">
        <v>45809.0</v>
      </c>
      <c r="C145" s="7">
        <v>492746.0</v>
      </c>
      <c r="D145" s="6">
        <v>45809.0</v>
      </c>
      <c r="E145" s="7">
        <v>1.0</v>
      </c>
      <c r="F145" s="7">
        <v>0.0</v>
      </c>
      <c r="G145" s="7">
        <v>561.22</v>
      </c>
      <c r="H145" s="7">
        <v>16.28</v>
      </c>
      <c r="I145" s="8"/>
      <c r="J145" s="7">
        <v>1.8662</v>
      </c>
      <c r="K145" s="7">
        <v>1.8605878</v>
      </c>
      <c r="L145" s="12">
        <v>0.00561220000000006</v>
      </c>
    </row>
    <row r="146">
      <c r="A146" s="5" t="s">
        <v>17</v>
      </c>
      <c r="B146" s="6">
        <v>45809.0</v>
      </c>
      <c r="C146" s="7">
        <v>3942651.0</v>
      </c>
      <c r="D146" s="6">
        <v>45809.0</v>
      </c>
      <c r="E146" s="7">
        <v>2.0</v>
      </c>
      <c r="F146" s="7">
        <v>2.0</v>
      </c>
      <c r="G146" s="7">
        <v>2850.0</v>
      </c>
      <c r="H146" s="7">
        <v>0.0</v>
      </c>
      <c r="I146" s="8"/>
      <c r="J146" s="7">
        <v>-0.26</v>
      </c>
      <c r="K146" s="7">
        <v>-0.2885</v>
      </c>
      <c r="L146" s="12">
        <v>0.0284999999999999</v>
      </c>
    </row>
    <row r="147">
      <c r="A147" s="5" t="s">
        <v>19</v>
      </c>
      <c r="B147" s="6">
        <v>45809.0</v>
      </c>
      <c r="C147" s="7">
        <v>3935770.0</v>
      </c>
      <c r="D147" s="6">
        <v>45778.0</v>
      </c>
      <c r="E147" s="7">
        <v>9.0</v>
      </c>
      <c r="F147" s="7">
        <v>8.0</v>
      </c>
      <c r="G147" s="7">
        <v>45084.13</v>
      </c>
      <c r="H147" s="7">
        <v>52.402</v>
      </c>
      <c r="I147" s="8"/>
      <c r="J147" s="7">
        <v>5.9889</v>
      </c>
      <c r="K147" s="7">
        <v>1.78455050624899</v>
      </c>
      <c r="L147" s="12">
        <v>4.204349493751</v>
      </c>
    </row>
    <row r="148">
      <c r="A148" s="5" t="s">
        <v>488</v>
      </c>
      <c r="B148" s="6">
        <v>45809.0</v>
      </c>
      <c r="C148" s="7">
        <v>3785914.0</v>
      </c>
      <c r="D148" s="6">
        <v>45778.0</v>
      </c>
      <c r="E148" s="7">
        <v>1.0</v>
      </c>
      <c r="F148" s="7">
        <v>1.0</v>
      </c>
      <c r="G148" s="7">
        <v>10368.0</v>
      </c>
      <c r="H148" s="7">
        <v>0.0</v>
      </c>
      <c r="I148" s="8"/>
      <c r="J148" s="7">
        <v>-0.22</v>
      </c>
      <c r="K148" s="7">
        <v>-0.32368</v>
      </c>
      <c r="L148" s="12">
        <v>0.10368</v>
      </c>
    </row>
    <row r="149">
      <c r="A149" s="5" t="s">
        <v>488</v>
      </c>
      <c r="B149" s="6">
        <v>45809.0</v>
      </c>
      <c r="C149" s="7">
        <v>3952865.0</v>
      </c>
      <c r="D149" s="6">
        <v>45809.0</v>
      </c>
      <c r="E149" s="7">
        <v>7.0</v>
      </c>
      <c r="F149" s="7">
        <v>7.0</v>
      </c>
      <c r="G149" s="7">
        <v>25.0</v>
      </c>
      <c r="H149" s="7">
        <v>0.5</v>
      </c>
      <c r="I149" s="7">
        <v>0.5</v>
      </c>
      <c r="J149" s="7">
        <v>-0.22</v>
      </c>
      <c r="K149" s="7">
        <v>-0.223917033673</v>
      </c>
      <c r="L149" s="12">
        <v>0.003917033673</v>
      </c>
    </row>
    <row r="150">
      <c r="A150" s="5" t="s">
        <v>17</v>
      </c>
      <c r="B150" s="6">
        <v>45809.0</v>
      </c>
      <c r="C150" s="7">
        <v>3942346.0</v>
      </c>
      <c r="D150" s="6">
        <v>45809.0</v>
      </c>
      <c r="E150" s="7">
        <v>2.0</v>
      </c>
      <c r="F150" s="7">
        <v>2.0</v>
      </c>
      <c r="G150" s="7">
        <v>809.89</v>
      </c>
      <c r="H150" s="7">
        <v>12.31</v>
      </c>
      <c r="I150" s="8"/>
      <c r="J150" s="7">
        <v>10.66</v>
      </c>
      <c r="K150" s="7">
        <v>10.531176596579</v>
      </c>
      <c r="L150" s="12">
        <v>0.128823403421</v>
      </c>
    </row>
    <row r="151">
      <c r="A151" s="5" t="s">
        <v>17</v>
      </c>
      <c r="B151" s="6">
        <v>45809.0</v>
      </c>
      <c r="C151" s="7">
        <v>3962143.0</v>
      </c>
      <c r="D151" s="6">
        <v>45809.0</v>
      </c>
      <c r="E151" s="7">
        <v>1.0</v>
      </c>
      <c r="F151" s="7">
        <v>0.0</v>
      </c>
      <c r="G151" s="7">
        <v>451.78</v>
      </c>
      <c r="H151" s="7">
        <v>13.1</v>
      </c>
      <c r="I151" s="8"/>
      <c r="J151" s="7">
        <v>0.6236</v>
      </c>
      <c r="K151" s="7">
        <v>0.383952020056</v>
      </c>
      <c r="L151" s="12">
        <v>0.239647979944</v>
      </c>
    </row>
    <row r="152">
      <c r="A152" s="5" t="s">
        <v>19</v>
      </c>
      <c r="B152" s="6">
        <v>45809.0</v>
      </c>
      <c r="C152" s="7">
        <v>3946131.0</v>
      </c>
      <c r="D152" s="6">
        <v>45809.0</v>
      </c>
      <c r="E152" s="7">
        <v>85.0</v>
      </c>
      <c r="F152" s="7">
        <v>85.0</v>
      </c>
      <c r="G152" s="7">
        <v>455152.48</v>
      </c>
      <c r="H152" s="7">
        <v>231.48</v>
      </c>
      <c r="I152" s="8"/>
      <c r="J152" s="7">
        <v>203.35</v>
      </c>
      <c r="K152" s="7">
        <v>103.392448121167</v>
      </c>
      <c r="L152" s="12">
        <v>99.957551878832</v>
      </c>
    </row>
    <row r="153">
      <c r="A153" s="5" t="s">
        <v>489</v>
      </c>
      <c r="B153" s="6">
        <v>45809.0</v>
      </c>
      <c r="C153" s="7">
        <v>3947424.0</v>
      </c>
      <c r="D153" s="6">
        <v>45809.0</v>
      </c>
      <c r="E153" s="7">
        <v>2.0</v>
      </c>
      <c r="F153" s="7">
        <v>2.0</v>
      </c>
      <c r="G153" s="7">
        <v>2597.64</v>
      </c>
      <c r="H153" s="7">
        <v>0.0</v>
      </c>
      <c r="I153" s="8"/>
      <c r="J153" s="7">
        <v>-0.12</v>
      </c>
      <c r="K153" s="7">
        <v>-0.527001733961</v>
      </c>
      <c r="L153" s="12">
        <v>0.407001733961</v>
      </c>
    </row>
    <row r="154">
      <c r="A154" s="5" t="s">
        <v>17</v>
      </c>
      <c r="B154" s="6">
        <v>45778.0</v>
      </c>
      <c r="C154" s="7">
        <v>3916711.0</v>
      </c>
      <c r="D154" s="6">
        <v>45778.0</v>
      </c>
      <c r="E154" s="7">
        <v>1.0</v>
      </c>
      <c r="F154" s="7">
        <v>1.0</v>
      </c>
      <c r="G154" s="7">
        <v>1.25</v>
      </c>
      <c r="H154" s="7">
        <v>0.0</v>
      </c>
      <c r="I154" s="8"/>
      <c r="J154" s="7">
        <v>-0.06</v>
      </c>
      <c r="K154" s="7">
        <v>-0.0600125</v>
      </c>
      <c r="L154" s="78">
        <v>1.25000000000055E-5</v>
      </c>
    </row>
    <row r="155">
      <c r="A155" s="5" t="s">
        <v>19</v>
      </c>
      <c r="B155" s="6">
        <v>45778.0</v>
      </c>
      <c r="C155" s="7">
        <v>3935770.0</v>
      </c>
      <c r="D155" s="6">
        <v>45778.0</v>
      </c>
      <c r="E155" s="7">
        <v>1.0</v>
      </c>
      <c r="F155" s="7">
        <v>1.0</v>
      </c>
      <c r="G155" s="7">
        <v>18981.58</v>
      </c>
      <c r="H155" s="7">
        <v>0.0</v>
      </c>
      <c r="I155" s="8"/>
      <c r="J155" s="7">
        <v>-0.2</v>
      </c>
      <c r="K155" s="7">
        <v>-3.17405952069</v>
      </c>
      <c r="L155" s="12">
        <v>2.97405952069</v>
      </c>
    </row>
    <row r="156">
      <c r="A156" s="5" t="s">
        <v>488</v>
      </c>
      <c r="B156" s="6">
        <v>45778.0</v>
      </c>
      <c r="C156" s="7">
        <v>3906405.0</v>
      </c>
      <c r="D156" s="6">
        <v>45778.0</v>
      </c>
      <c r="E156" s="7">
        <v>1.0</v>
      </c>
      <c r="F156" s="7">
        <v>1.0</v>
      </c>
      <c r="G156" s="7">
        <v>3640.99</v>
      </c>
      <c r="H156" s="7">
        <v>0.0</v>
      </c>
      <c r="I156" s="8"/>
      <c r="J156" s="7">
        <v>-0.06</v>
      </c>
      <c r="K156" s="7">
        <v>-0.630475217249</v>
      </c>
      <c r="L156" s="12">
        <v>0.570475217249</v>
      </c>
    </row>
    <row r="157">
      <c r="A157" s="5" t="s">
        <v>488</v>
      </c>
      <c r="B157" s="6">
        <v>45778.0</v>
      </c>
      <c r="C157" s="7">
        <v>3785914.0</v>
      </c>
      <c r="D157" s="6">
        <v>45778.0</v>
      </c>
      <c r="E157" s="7">
        <v>2.0</v>
      </c>
      <c r="F157" s="7">
        <v>2.0</v>
      </c>
      <c r="G157" s="7">
        <v>742.2</v>
      </c>
      <c r="H157" s="7">
        <v>0.0</v>
      </c>
      <c r="I157" s="8"/>
      <c r="J157" s="7">
        <v>-0.12</v>
      </c>
      <c r="K157" s="7">
        <v>-0.23628889567</v>
      </c>
      <c r="L157" s="12">
        <v>0.11628889567</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4" t="s">
        <v>11</v>
      </c>
    </row>
    <row r="2">
      <c r="A2" s="5" t="s">
        <v>488</v>
      </c>
      <c r="B2" s="6">
        <v>45870.0</v>
      </c>
      <c r="C2" s="7">
        <v>4075965.0</v>
      </c>
      <c r="D2" s="6">
        <v>45870.0</v>
      </c>
      <c r="E2" s="7">
        <v>5.0</v>
      </c>
      <c r="F2" s="7">
        <v>0.0</v>
      </c>
      <c r="G2" s="7">
        <v>66600.0</v>
      </c>
      <c r="H2" s="7">
        <v>1931.4</v>
      </c>
      <c r="I2" s="8"/>
      <c r="J2" s="7">
        <v>293.5805</v>
      </c>
      <c r="K2" s="7">
        <v>258.25234146206</v>
      </c>
      <c r="L2" s="12">
        <v>35.3281585379399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25.5"/>
    <col customWidth="1" min="10" max="11" width="11.63"/>
    <col customWidth="1" min="14" max="14" width="15.5"/>
  </cols>
  <sheetData>
    <row r="1">
      <c r="A1" s="13" t="s">
        <v>3</v>
      </c>
      <c r="B1" s="80" t="s">
        <v>490</v>
      </c>
      <c r="C1" s="14" t="s">
        <v>491</v>
      </c>
      <c r="D1" s="14" t="s">
        <v>492</v>
      </c>
      <c r="E1" s="14" t="s">
        <v>23</v>
      </c>
      <c r="F1" s="14" t="s">
        <v>493</v>
      </c>
      <c r="G1" s="14"/>
      <c r="K1" s="23" t="s">
        <v>494</v>
      </c>
      <c r="L1" s="19" t="s">
        <v>33</v>
      </c>
      <c r="M1" s="20">
        <f>IFERROR(__xludf.DUMMYFUNCTION("COUNTUNIQUE(A2:A47)"),22.0)</f>
        <v>22</v>
      </c>
      <c r="O1" s="21" t="s">
        <v>34</v>
      </c>
      <c r="P1" s="22">
        <v>45944.0</v>
      </c>
    </row>
    <row r="2">
      <c r="A2" s="81">
        <v>43983.0</v>
      </c>
      <c r="B2" s="80">
        <v>1.0</v>
      </c>
      <c r="C2" s="14">
        <v>0.0</v>
      </c>
      <c r="D2" s="14" t="e">
        <v>#DIV/0!</v>
      </c>
      <c r="E2" s="14">
        <v>696078.99</v>
      </c>
      <c r="F2" s="14">
        <v>116013.165</v>
      </c>
      <c r="G2" s="14"/>
      <c r="K2" s="23"/>
      <c r="L2" s="19" t="s">
        <v>36</v>
      </c>
      <c r="M2" s="20">
        <f>COUNTIF(J:J,"Active")</f>
        <v>0</v>
      </c>
    </row>
    <row r="3">
      <c r="A3" s="81">
        <v>44805.0</v>
      </c>
      <c r="B3" s="80">
        <v>1.0</v>
      </c>
      <c r="C3" s="14">
        <v>0.0</v>
      </c>
      <c r="D3" s="14" t="e">
        <v>#DIV/0!</v>
      </c>
      <c r="E3" s="14">
        <v>970336.53</v>
      </c>
      <c r="F3" s="14">
        <v>161722.755</v>
      </c>
      <c r="G3" s="14"/>
      <c r="K3" s="23"/>
      <c r="L3" s="19" t="s">
        <v>42</v>
      </c>
      <c r="M3" s="20" t="str">
        <f>B48</f>
        <v/>
      </c>
    </row>
    <row r="4">
      <c r="A4" s="81">
        <v>45200.0</v>
      </c>
      <c r="B4" s="80">
        <v>1.0</v>
      </c>
      <c r="C4" s="14">
        <v>0.5</v>
      </c>
      <c r="D4" s="14">
        <v>0.5</v>
      </c>
      <c r="E4" s="14">
        <v>4463107.130000001</v>
      </c>
      <c r="F4" s="14">
        <v>557888.3912500001</v>
      </c>
      <c r="G4" s="14"/>
      <c r="K4" s="23"/>
      <c r="L4" s="19" t="s">
        <v>43</v>
      </c>
      <c r="M4" s="28" t="str">
        <f>D48</f>
        <v/>
      </c>
    </row>
    <row r="5">
      <c r="A5" s="81">
        <v>45292.0</v>
      </c>
      <c r="B5" s="80">
        <v>3.0</v>
      </c>
      <c r="C5" s="14">
        <v>0.0</v>
      </c>
      <c r="D5" s="14" t="e">
        <v>#DIV/0!</v>
      </c>
      <c r="E5" s="14">
        <v>1740116.4799999997</v>
      </c>
      <c r="F5" s="14">
        <v>66927.55692307692</v>
      </c>
      <c r="G5" s="14"/>
      <c r="K5" s="23"/>
      <c r="L5" s="19" t="s">
        <v>51</v>
      </c>
      <c r="M5" s="28" t="str">
        <f>C48</f>
        <v/>
      </c>
    </row>
    <row r="6">
      <c r="A6" s="81">
        <v>45323.0</v>
      </c>
      <c r="B6" s="80">
        <v>1.0</v>
      </c>
      <c r="C6" s="14">
        <v>0.0</v>
      </c>
      <c r="D6" s="14" t="e">
        <v>#DIV/0!</v>
      </c>
      <c r="E6" s="14">
        <v>1001.0</v>
      </c>
      <c r="F6" s="14">
        <v>500.5</v>
      </c>
      <c r="G6" s="14"/>
      <c r="K6" s="23"/>
      <c r="L6" s="19" t="s">
        <v>41</v>
      </c>
      <c r="M6" s="28" t="str">
        <f>E48</f>
        <v/>
      </c>
    </row>
    <row r="7">
      <c r="A7" s="81">
        <v>45474.0</v>
      </c>
      <c r="B7" s="80">
        <v>1.0</v>
      </c>
      <c r="C7" s="14">
        <v>0.0</v>
      </c>
      <c r="D7" s="14" t="e">
        <v>#DIV/0!</v>
      </c>
      <c r="E7" s="14">
        <v>11859.55</v>
      </c>
      <c r="F7" s="14">
        <v>3953.183333333333</v>
      </c>
      <c r="G7" s="14"/>
      <c r="K7" s="23"/>
      <c r="L7" s="19" t="s">
        <v>39</v>
      </c>
      <c r="M7" s="28">
        <f>SUMIF(A:A,"&lt;&gt;"&amp;"Grand Total",C:C)</f>
        <v>496</v>
      </c>
    </row>
    <row r="8">
      <c r="A8" s="81">
        <v>45748.0</v>
      </c>
      <c r="B8" s="80">
        <v>1.0</v>
      </c>
      <c r="C8" s="14">
        <v>0.0</v>
      </c>
      <c r="D8" s="14" t="e">
        <v>#DIV/0!</v>
      </c>
      <c r="E8" s="14">
        <v>6506.719999999999</v>
      </c>
      <c r="F8" s="14">
        <v>1301.3439999999998</v>
      </c>
      <c r="G8" s="14"/>
      <c r="K8" s="23"/>
      <c r="L8" s="19" t="s">
        <v>38</v>
      </c>
      <c r="M8" s="28">
        <f>SUMIF(A:A,"&lt;&gt;"&amp;"Grand Total",E:E)</f>
        <v>111690242</v>
      </c>
    </row>
    <row r="9">
      <c r="A9" s="81">
        <v>45778.0</v>
      </c>
      <c r="B9" s="80">
        <v>3.0</v>
      </c>
      <c r="C9" s="14">
        <v>50.0</v>
      </c>
      <c r="D9" s="14">
        <v>7.142857142857143</v>
      </c>
      <c r="E9" s="14">
        <v>3389334.5100000007</v>
      </c>
      <c r="F9" s="14">
        <v>99686.30911764708</v>
      </c>
      <c r="G9" s="14"/>
      <c r="K9" s="23"/>
      <c r="L9" s="19" t="s">
        <v>45</v>
      </c>
      <c r="M9" s="28">
        <f>MEDIAN(C2:C47)</f>
        <v>7.25</v>
      </c>
    </row>
    <row r="10">
      <c r="A10" s="81">
        <v>45809.0</v>
      </c>
      <c r="B10" s="80">
        <v>12.0</v>
      </c>
      <c r="C10" s="14">
        <v>70.5</v>
      </c>
      <c r="D10" s="14">
        <v>4.7</v>
      </c>
      <c r="E10" s="14">
        <v>8201559.4899999965</v>
      </c>
      <c r="F10" s="14">
        <v>83689.38255102038</v>
      </c>
      <c r="G10" s="14"/>
      <c r="K10" s="23"/>
      <c r="L10" s="19" t="s">
        <v>44</v>
      </c>
      <c r="M10" s="28">
        <f>MEDIAN(E2:E47)</f>
        <v>3348060.365</v>
      </c>
    </row>
    <row r="11">
      <c r="A11" s="81">
        <v>45839.0</v>
      </c>
      <c r="B11" s="80">
        <v>14.0</v>
      </c>
      <c r="C11" s="14">
        <v>184.5</v>
      </c>
      <c r="D11" s="14">
        <v>7.6875</v>
      </c>
      <c r="E11" s="14">
        <v>6365230.529999999</v>
      </c>
      <c r="F11" s="14">
        <v>78583.09296296295</v>
      </c>
      <c r="G11" s="14"/>
      <c r="K11" s="23"/>
    </row>
    <row r="12">
      <c r="A12" s="81">
        <v>45870.0</v>
      </c>
      <c r="B12" s="80">
        <v>8.0</v>
      </c>
      <c r="C12" s="14">
        <v>68.5</v>
      </c>
      <c r="D12" s="14">
        <v>8.5625</v>
      </c>
      <c r="E12" s="14">
        <v>9639406.77</v>
      </c>
      <c r="F12" s="14">
        <v>169112.3994736842</v>
      </c>
      <c r="G12" s="14"/>
      <c r="K12" s="23"/>
    </row>
    <row r="13">
      <c r="A13" s="81">
        <v>45901.0</v>
      </c>
      <c r="B13" s="80">
        <v>16.0</v>
      </c>
      <c r="C13" s="14">
        <v>6.5</v>
      </c>
      <c r="D13" s="14">
        <v>0.8125</v>
      </c>
      <c r="E13" s="14">
        <v>1.5783630220000006E7</v>
      </c>
      <c r="F13" s="14">
        <v>194859.6323456791</v>
      </c>
      <c r="G13" s="14"/>
      <c r="K13" s="23"/>
    </row>
    <row r="14">
      <c r="A14" s="81">
        <v>45931.0</v>
      </c>
      <c r="B14" s="80">
        <v>18.0</v>
      </c>
      <c r="C14" s="14">
        <v>14.5</v>
      </c>
      <c r="D14" s="14">
        <v>1.45</v>
      </c>
      <c r="E14" s="14">
        <v>4686273.3</v>
      </c>
      <c r="F14" s="14">
        <v>47336.09393939394</v>
      </c>
      <c r="G14" s="14"/>
      <c r="K14" s="23"/>
    </row>
    <row r="15">
      <c r="A15" s="81">
        <v>45962.0</v>
      </c>
      <c r="B15" s="80">
        <v>17.0</v>
      </c>
      <c r="C15" s="14">
        <v>4.0</v>
      </c>
      <c r="D15" s="14">
        <v>4.0</v>
      </c>
      <c r="E15" s="14">
        <v>3306786.2200000007</v>
      </c>
      <c r="F15" s="14">
        <v>48629.20911764707</v>
      </c>
      <c r="G15" s="14"/>
      <c r="K15" s="23"/>
    </row>
    <row r="16">
      <c r="A16" s="81">
        <v>45992.0</v>
      </c>
      <c r="B16" s="80">
        <v>32.0</v>
      </c>
      <c r="C16" s="14">
        <v>8.0</v>
      </c>
      <c r="D16" s="14">
        <v>0.8888888888888888</v>
      </c>
      <c r="E16" s="14">
        <v>3.39764002E7</v>
      </c>
      <c r="F16" s="14">
        <v>248002.92116788324</v>
      </c>
      <c r="G16" s="14"/>
      <c r="K16" s="23"/>
    </row>
    <row r="17">
      <c r="A17" s="81">
        <v>46023.0</v>
      </c>
      <c r="B17" s="80">
        <v>23.0</v>
      </c>
      <c r="C17" s="14">
        <v>18.5</v>
      </c>
      <c r="D17" s="14">
        <v>3.0833333333333335</v>
      </c>
      <c r="E17" s="14">
        <v>4540033.93</v>
      </c>
      <c r="F17" s="14">
        <v>52184.29804597701</v>
      </c>
      <c r="G17" s="14"/>
      <c r="K17" s="23"/>
    </row>
    <row r="18">
      <c r="A18" s="81">
        <v>46054.0</v>
      </c>
      <c r="B18" s="80">
        <v>11.0</v>
      </c>
      <c r="C18" s="14">
        <v>25.5</v>
      </c>
      <c r="D18" s="14">
        <v>25.5</v>
      </c>
      <c r="E18" s="14">
        <v>4976856.99</v>
      </c>
      <c r="F18" s="14">
        <v>130969.92078947369</v>
      </c>
      <c r="G18" s="14"/>
      <c r="K18" s="23"/>
    </row>
    <row r="19">
      <c r="A19" s="81">
        <v>46082.0</v>
      </c>
      <c r="B19" s="80">
        <v>20.0</v>
      </c>
      <c r="C19" s="14">
        <v>20.5</v>
      </c>
      <c r="D19" s="14">
        <v>5.125</v>
      </c>
      <c r="E19" s="14">
        <v>2428950.63</v>
      </c>
      <c r="F19" s="14">
        <v>40482.5105</v>
      </c>
      <c r="G19" s="14"/>
      <c r="K19" s="23"/>
    </row>
    <row r="20">
      <c r="A20" s="81">
        <v>46113.0</v>
      </c>
      <c r="B20" s="80">
        <v>16.0</v>
      </c>
      <c r="C20" s="14">
        <v>23.5</v>
      </c>
      <c r="D20" s="14">
        <v>4.7</v>
      </c>
      <c r="E20" s="14">
        <v>3145161.33</v>
      </c>
      <c r="F20" s="14">
        <v>98286.2915625</v>
      </c>
      <c r="G20" s="14"/>
      <c r="K20" s="23"/>
    </row>
    <row r="21">
      <c r="A21" s="81">
        <v>46143.0</v>
      </c>
      <c r="B21" s="80">
        <v>12.0</v>
      </c>
      <c r="C21" s="14">
        <v>1.0</v>
      </c>
      <c r="D21" s="14">
        <v>0.5</v>
      </c>
      <c r="E21" s="14">
        <v>1372741.9800000002</v>
      </c>
      <c r="F21" s="14">
        <v>68637.09900000002</v>
      </c>
      <c r="G21" s="14"/>
      <c r="K21" s="23"/>
    </row>
    <row r="22">
      <c r="A22" s="81">
        <v>46174.0</v>
      </c>
      <c r="B22" s="80">
        <v>5.0</v>
      </c>
      <c r="C22" s="14">
        <v>0.0</v>
      </c>
      <c r="D22" s="14" t="e">
        <v>#DIV/0!</v>
      </c>
      <c r="E22" s="14">
        <v>1988869.4999999998</v>
      </c>
      <c r="F22" s="14">
        <v>397773.89999999997</v>
      </c>
      <c r="G22" s="14"/>
      <c r="K22" s="23"/>
    </row>
    <row r="23">
      <c r="A23" s="13" t="s">
        <v>495</v>
      </c>
      <c r="B23" s="80">
        <v>216.0</v>
      </c>
      <c r="C23" s="14">
        <v>496.0</v>
      </c>
      <c r="D23" s="14">
        <v>4.910891089108911</v>
      </c>
      <c r="E23" s="14">
        <v>1.1169024200000003E8</v>
      </c>
      <c r="F23" s="14">
        <v>117198.57502623298</v>
      </c>
      <c r="G23" s="14"/>
      <c r="K23" s="23"/>
    </row>
    <row r="24">
      <c r="B24" s="80"/>
      <c r="C24" s="14"/>
      <c r="D24" s="14"/>
      <c r="E24" s="14"/>
      <c r="F24" s="14"/>
      <c r="G24" s="14"/>
      <c r="K24" s="23"/>
    </row>
    <row r="25">
      <c r="B25" s="80"/>
      <c r="C25" s="14"/>
      <c r="D25" s="14"/>
      <c r="E25" s="14"/>
      <c r="F25" s="14"/>
      <c r="G25" s="14"/>
      <c r="K25" s="23"/>
    </row>
    <row r="26">
      <c r="B26" s="80"/>
      <c r="C26" s="14"/>
      <c r="D26" s="14"/>
      <c r="E26" s="14"/>
      <c r="F26" s="14"/>
      <c r="G26" s="14"/>
      <c r="K26" s="23"/>
    </row>
    <row r="27">
      <c r="B27" s="80"/>
      <c r="C27" s="14"/>
      <c r="D27" s="14"/>
      <c r="E27" s="14"/>
      <c r="F27" s="14"/>
      <c r="G27" s="14"/>
      <c r="K27" s="23"/>
    </row>
    <row r="28">
      <c r="B28" s="80"/>
      <c r="C28" s="14"/>
      <c r="D28" s="14"/>
      <c r="E28" s="14"/>
      <c r="F28" s="14"/>
      <c r="G28" s="14"/>
      <c r="K28" s="23"/>
    </row>
    <row r="29">
      <c r="B29" s="80"/>
      <c r="C29" s="14"/>
      <c r="D29" s="14"/>
      <c r="E29" s="14"/>
      <c r="F29" s="14"/>
      <c r="G29" s="14"/>
      <c r="K29" s="23"/>
    </row>
    <row r="30">
      <c r="B30" s="80"/>
      <c r="C30" s="14"/>
      <c r="D30" s="14"/>
      <c r="E30" s="14"/>
      <c r="F30" s="14"/>
      <c r="G30" s="14"/>
      <c r="K30" s="23"/>
    </row>
    <row r="31">
      <c r="B31" s="80"/>
      <c r="C31" s="14"/>
      <c r="D31" s="14"/>
      <c r="E31" s="14"/>
      <c r="F31" s="14"/>
      <c r="G31" s="14"/>
      <c r="K31" s="23"/>
    </row>
    <row r="32">
      <c r="B32" s="80"/>
      <c r="C32" s="14"/>
      <c r="D32" s="14"/>
      <c r="E32" s="14"/>
      <c r="F32" s="14"/>
      <c r="G32" s="14"/>
      <c r="K32" s="23"/>
    </row>
    <row r="33">
      <c r="B33" s="80"/>
      <c r="C33" s="14"/>
      <c r="D33" s="14"/>
      <c r="E33" s="14"/>
      <c r="F33" s="14"/>
      <c r="G33" s="14"/>
      <c r="K33" s="23"/>
    </row>
    <row r="34">
      <c r="B34" s="80"/>
      <c r="C34" s="14"/>
      <c r="D34" s="14"/>
      <c r="E34" s="14"/>
      <c r="F34" s="14"/>
      <c r="G34" s="14"/>
      <c r="K34" s="23"/>
    </row>
    <row r="35">
      <c r="B35" s="80"/>
      <c r="C35" s="14"/>
      <c r="D35" s="14"/>
      <c r="E35" s="14"/>
      <c r="F35" s="14"/>
      <c r="G35" s="14"/>
      <c r="K35" s="23"/>
    </row>
    <row r="36">
      <c r="B36" s="80"/>
      <c r="C36" s="14"/>
      <c r="D36" s="14"/>
      <c r="E36" s="14"/>
      <c r="F36" s="14"/>
      <c r="G36" s="14"/>
      <c r="K36" s="23"/>
    </row>
    <row r="37">
      <c r="B37" s="80"/>
      <c r="C37" s="14"/>
      <c r="D37" s="14"/>
      <c r="E37" s="14"/>
      <c r="F37" s="14"/>
      <c r="G37" s="14"/>
      <c r="K37" s="23"/>
    </row>
    <row r="38">
      <c r="B38" s="80"/>
      <c r="C38" s="14"/>
      <c r="D38" s="14"/>
      <c r="E38" s="14"/>
      <c r="F38" s="14"/>
      <c r="G38" s="14"/>
      <c r="K38" s="23"/>
    </row>
    <row r="39">
      <c r="B39" s="80"/>
      <c r="C39" s="14"/>
      <c r="D39" s="14"/>
      <c r="E39" s="14"/>
      <c r="F39" s="14"/>
      <c r="G39" s="14"/>
      <c r="K39" s="23"/>
    </row>
    <row r="40">
      <c r="B40" s="80"/>
      <c r="C40" s="14"/>
      <c r="D40" s="14"/>
      <c r="E40" s="14"/>
      <c r="F40" s="14"/>
      <c r="G40" s="14"/>
      <c r="K40" s="23"/>
    </row>
    <row r="41">
      <c r="B41" s="80"/>
      <c r="C41" s="14"/>
      <c r="D41" s="14"/>
      <c r="E41" s="14"/>
      <c r="F41" s="14"/>
      <c r="G41" s="14"/>
      <c r="K41" s="23"/>
    </row>
    <row r="42">
      <c r="B42" s="80"/>
      <c r="C42" s="14"/>
      <c r="D42" s="14"/>
      <c r="E42" s="14"/>
      <c r="F42" s="14"/>
      <c r="G42" s="14"/>
      <c r="K42" s="23"/>
    </row>
    <row r="43">
      <c r="B43" s="80"/>
      <c r="C43" s="14"/>
      <c r="D43" s="14"/>
      <c r="E43" s="14"/>
      <c r="F43" s="14"/>
      <c r="G43" s="14"/>
      <c r="K43" s="23"/>
    </row>
    <row r="44">
      <c r="B44" s="80"/>
      <c r="C44" s="14"/>
      <c r="D44" s="14"/>
      <c r="E44" s="14"/>
      <c r="F44" s="14"/>
      <c r="G44" s="14"/>
      <c r="K44" s="23"/>
    </row>
    <row r="45">
      <c r="B45" s="80"/>
      <c r="C45" s="14"/>
      <c r="D45" s="14"/>
      <c r="E45" s="14"/>
      <c r="F45" s="14"/>
      <c r="G45" s="14"/>
      <c r="K45" s="23"/>
    </row>
    <row r="46">
      <c r="B46" s="80"/>
      <c r="C46" s="14"/>
      <c r="D46" s="14"/>
      <c r="E46" s="14"/>
      <c r="F46" s="14"/>
      <c r="G46" s="14"/>
      <c r="K46" s="23"/>
    </row>
    <row r="47">
      <c r="B47" s="80"/>
      <c r="C47" s="14"/>
      <c r="D47" s="14"/>
      <c r="E47" s="14"/>
      <c r="F47" s="14"/>
      <c r="G47" s="14"/>
      <c r="K47" s="23"/>
    </row>
    <row r="48">
      <c r="B48" s="80"/>
      <c r="C48" s="14"/>
      <c r="D48" s="14"/>
      <c r="E48" s="14"/>
      <c r="F48" s="14"/>
      <c r="G48" s="14"/>
      <c r="K48" s="23"/>
    </row>
    <row r="49">
      <c r="B49" s="80"/>
      <c r="C49" s="14"/>
      <c r="D49" s="14"/>
      <c r="E49" s="14"/>
      <c r="F49" s="14"/>
      <c r="G49" s="14"/>
    </row>
    <row r="50">
      <c r="B50" s="80"/>
      <c r="C50" s="14"/>
      <c r="D50" s="14"/>
      <c r="E50" s="14"/>
      <c r="F50" s="14"/>
      <c r="G50" s="14"/>
    </row>
    <row r="51">
      <c r="B51" s="80"/>
      <c r="C51" s="14"/>
      <c r="D51" s="14"/>
      <c r="E51" s="14"/>
      <c r="F51" s="14"/>
      <c r="G51" s="14"/>
    </row>
    <row r="52">
      <c r="B52" s="80"/>
      <c r="C52" s="14"/>
      <c r="D52" s="14"/>
      <c r="E52" s="14"/>
      <c r="F52" s="14"/>
      <c r="G52" s="14"/>
    </row>
    <row r="53">
      <c r="B53" s="80"/>
      <c r="C53" s="14"/>
      <c r="D53" s="14"/>
      <c r="E53" s="14"/>
      <c r="F53" s="14"/>
      <c r="G53" s="14"/>
    </row>
    <row r="54">
      <c r="B54" s="80"/>
      <c r="C54" s="14"/>
      <c r="D54" s="14"/>
      <c r="E54" s="14"/>
      <c r="F54" s="14"/>
      <c r="G54" s="14"/>
    </row>
    <row r="55">
      <c r="B55" s="80"/>
      <c r="C55" s="14"/>
      <c r="D55" s="14"/>
      <c r="E55" s="14"/>
      <c r="F55" s="14"/>
      <c r="G55" s="14"/>
    </row>
    <row r="56">
      <c r="B56" s="80"/>
      <c r="C56" s="14"/>
      <c r="D56" s="14"/>
      <c r="E56" s="14"/>
      <c r="F56" s="14"/>
      <c r="G56" s="14"/>
    </row>
    <row r="57">
      <c r="B57" s="80"/>
      <c r="C57" s="14"/>
      <c r="D57" s="14"/>
      <c r="E57" s="14"/>
      <c r="F57" s="14"/>
      <c r="G57" s="14"/>
    </row>
    <row r="58">
      <c r="B58" s="80"/>
      <c r="C58" s="14"/>
      <c r="D58" s="14"/>
      <c r="E58" s="14"/>
      <c r="F58" s="14"/>
      <c r="G58" s="14"/>
    </row>
    <row r="59">
      <c r="B59" s="80"/>
      <c r="C59" s="14"/>
      <c r="D59" s="14"/>
      <c r="E59" s="14"/>
      <c r="F59" s="14"/>
      <c r="G59" s="14"/>
    </row>
    <row r="60">
      <c r="B60" s="80"/>
      <c r="C60" s="14"/>
      <c r="D60" s="14"/>
      <c r="E60" s="14"/>
      <c r="F60" s="14"/>
      <c r="G60" s="14"/>
    </row>
    <row r="61">
      <c r="B61" s="80"/>
      <c r="C61" s="14"/>
      <c r="D61" s="14"/>
      <c r="E61" s="14"/>
      <c r="F61" s="14"/>
      <c r="G61" s="14"/>
    </row>
    <row r="62">
      <c r="B62" s="80"/>
      <c r="C62" s="14"/>
      <c r="D62" s="14"/>
      <c r="E62" s="14"/>
      <c r="F62" s="14"/>
      <c r="G62" s="14"/>
    </row>
    <row r="63">
      <c r="B63" s="80"/>
      <c r="C63" s="14"/>
      <c r="D63" s="14"/>
      <c r="E63" s="14"/>
      <c r="F63" s="14"/>
      <c r="G63" s="14"/>
    </row>
    <row r="64">
      <c r="B64" s="80"/>
      <c r="C64" s="14"/>
      <c r="D64" s="14"/>
      <c r="E64" s="14"/>
      <c r="F64" s="14"/>
      <c r="G64" s="14"/>
    </row>
    <row r="65">
      <c r="B65" s="80"/>
      <c r="C65" s="14"/>
      <c r="D65" s="14"/>
      <c r="E65" s="14"/>
      <c r="F65" s="14"/>
      <c r="G65" s="14"/>
    </row>
    <row r="66">
      <c r="B66" s="80"/>
      <c r="C66" s="14"/>
      <c r="D66" s="14"/>
      <c r="E66" s="14"/>
      <c r="F66" s="14"/>
      <c r="G66" s="14"/>
    </row>
    <row r="67">
      <c r="B67" s="80"/>
      <c r="C67" s="14"/>
      <c r="D67" s="14"/>
      <c r="E67" s="14"/>
      <c r="F67" s="14"/>
      <c r="G67" s="14"/>
    </row>
    <row r="68">
      <c r="B68" s="80"/>
      <c r="C68" s="14"/>
      <c r="D68" s="14"/>
      <c r="E68" s="14"/>
      <c r="F68" s="14"/>
      <c r="G68" s="14"/>
    </row>
    <row r="69">
      <c r="B69" s="80"/>
      <c r="C69" s="14"/>
      <c r="D69" s="14"/>
      <c r="E69" s="14"/>
      <c r="F69" s="14"/>
      <c r="G69" s="14"/>
    </row>
    <row r="70">
      <c r="B70" s="80"/>
      <c r="C70" s="14"/>
      <c r="D70" s="14"/>
      <c r="E70" s="14"/>
      <c r="F70" s="14"/>
      <c r="G70" s="14"/>
    </row>
    <row r="71">
      <c r="B71" s="80"/>
      <c r="C71" s="14"/>
      <c r="D71" s="14"/>
      <c r="E71" s="14"/>
      <c r="F71" s="14"/>
      <c r="G71" s="14"/>
    </row>
    <row r="72">
      <c r="B72" s="80"/>
      <c r="C72" s="14"/>
      <c r="D72" s="14"/>
      <c r="E72" s="14"/>
      <c r="F72" s="14"/>
      <c r="G72" s="14"/>
    </row>
    <row r="73">
      <c r="B73" s="80"/>
      <c r="C73" s="14"/>
      <c r="D73" s="14"/>
      <c r="E73" s="14"/>
      <c r="F73" s="14"/>
      <c r="G73" s="14"/>
    </row>
    <row r="74">
      <c r="B74" s="80"/>
      <c r="C74" s="14"/>
      <c r="D74" s="14"/>
      <c r="E74" s="14"/>
      <c r="F74" s="14"/>
      <c r="G74" s="14"/>
    </row>
    <row r="75">
      <c r="B75" s="80"/>
      <c r="C75" s="14"/>
      <c r="D75" s="14"/>
      <c r="E75" s="14"/>
      <c r="F75" s="14"/>
      <c r="G75" s="14"/>
    </row>
    <row r="76">
      <c r="B76" s="80"/>
      <c r="C76" s="14"/>
      <c r="D76" s="14"/>
      <c r="E76" s="14"/>
      <c r="F76" s="14"/>
      <c r="G76" s="14"/>
    </row>
    <row r="77">
      <c r="B77" s="80"/>
      <c r="C77" s="14"/>
      <c r="D77" s="14"/>
      <c r="E77" s="14"/>
      <c r="F77" s="14"/>
      <c r="G77" s="14"/>
    </row>
    <row r="78">
      <c r="B78" s="80"/>
      <c r="C78" s="14"/>
      <c r="D78" s="14"/>
      <c r="E78" s="14"/>
      <c r="F78" s="14"/>
      <c r="G78" s="14"/>
    </row>
    <row r="79">
      <c r="B79" s="80"/>
      <c r="C79" s="14"/>
      <c r="D79" s="14"/>
      <c r="E79" s="14"/>
      <c r="F79" s="14"/>
      <c r="G79" s="14"/>
    </row>
    <row r="80">
      <c r="B80" s="80"/>
      <c r="C80" s="14"/>
      <c r="D80" s="14"/>
      <c r="E80" s="14"/>
      <c r="F80" s="14"/>
      <c r="G80" s="14"/>
    </row>
    <row r="81">
      <c r="B81" s="80"/>
      <c r="C81" s="14"/>
      <c r="D81" s="14"/>
      <c r="E81" s="14"/>
      <c r="F81" s="14"/>
      <c r="G81" s="14"/>
    </row>
    <row r="82">
      <c r="B82" s="80"/>
      <c r="C82" s="14"/>
      <c r="D82" s="14"/>
      <c r="E82" s="14"/>
      <c r="F82" s="14"/>
      <c r="G82" s="14"/>
    </row>
    <row r="83">
      <c r="B83" s="80"/>
      <c r="C83" s="14"/>
      <c r="D83" s="14"/>
      <c r="E83" s="14"/>
      <c r="F83" s="14"/>
      <c r="G83" s="14"/>
    </row>
    <row r="84">
      <c r="B84" s="80"/>
      <c r="C84" s="14"/>
      <c r="D84" s="14"/>
      <c r="E84" s="14"/>
      <c r="F84" s="14"/>
      <c r="G84" s="14"/>
    </row>
    <row r="85">
      <c r="B85" s="80"/>
      <c r="C85" s="14"/>
      <c r="D85" s="14"/>
      <c r="E85" s="14"/>
      <c r="F85" s="14"/>
      <c r="G85" s="14"/>
    </row>
    <row r="86">
      <c r="B86" s="80"/>
      <c r="C86" s="14"/>
      <c r="D86" s="14"/>
      <c r="E86" s="14"/>
      <c r="F86" s="14"/>
      <c r="G86" s="14"/>
    </row>
    <row r="87">
      <c r="B87" s="80"/>
      <c r="C87" s="14"/>
      <c r="D87" s="14"/>
      <c r="E87" s="14"/>
      <c r="F87" s="14"/>
      <c r="G87" s="14"/>
    </row>
    <row r="88">
      <c r="B88" s="80"/>
      <c r="C88" s="14"/>
      <c r="D88" s="14"/>
      <c r="E88" s="14"/>
      <c r="F88" s="14"/>
      <c r="G88" s="14"/>
    </row>
    <row r="89">
      <c r="B89" s="80"/>
      <c r="C89" s="14"/>
      <c r="D89" s="14"/>
      <c r="E89" s="14"/>
      <c r="F89" s="14"/>
      <c r="G89" s="14"/>
    </row>
    <row r="90">
      <c r="B90" s="80"/>
      <c r="C90" s="14"/>
      <c r="D90" s="14"/>
      <c r="E90" s="14"/>
      <c r="F90" s="14"/>
      <c r="G90" s="14"/>
    </row>
    <row r="91">
      <c r="B91" s="80"/>
      <c r="C91" s="14"/>
      <c r="D91" s="14"/>
      <c r="E91" s="14"/>
      <c r="F91" s="14"/>
      <c r="G91" s="14"/>
    </row>
    <row r="92">
      <c r="B92" s="80"/>
      <c r="C92" s="14"/>
      <c r="D92" s="14"/>
      <c r="E92" s="14"/>
      <c r="F92" s="14"/>
      <c r="G92" s="14"/>
    </row>
    <row r="93">
      <c r="B93" s="80"/>
      <c r="C93" s="14"/>
      <c r="D93" s="14"/>
      <c r="E93" s="14"/>
      <c r="F93" s="14"/>
      <c r="G93" s="14"/>
    </row>
    <row r="94">
      <c r="B94" s="80"/>
      <c r="C94" s="14"/>
      <c r="D94" s="14"/>
      <c r="E94" s="14"/>
      <c r="F94" s="14"/>
      <c r="G94" s="14"/>
    </row>
    <row r="95">
      <c r="B95" s="80"/>
      <c r="C95" s="14"/>
      <c r="D95" s="14"/>
      <c r="E95" s="14"/>
      <c r="F95" s="14"/>
      <c r="G95" s="14"/>
    </row>
    <row r="96">
      <c r="B96" s="80"/>
      <c r="C96" s="14"/>
      <c r="D96" s="14"/>
      <c r="E96" s="14"/>
      <c r="F96" s="14"/>
      <c r="G96" s="14"/>
    </row>
    <row r="97">
      <c r="B97" s="80"/>
      <c r="C97" s="14"/>
      <c r="D97" s="14"/>
      <c r="E97" s="14"/>
      <c r="F97" s="14"/>
      <c r="G97" s="14"/>
    </row>
    <row r="98">
      <c r="B98" s="80"/>
      <c r="C98" s="14"/>
      <c r="D98" s="14"/>
      <c r="E98" s="14"/>
      <c r="F98" s="14"/>
      <c r="G98" s="14"/>
    </row>
    <row r="99">
      <c r="B99" s="80"/>
      <c r="C99" s="14"/>
      <c r="D99" s="14"/>
      <c r="E99" s="14"/>
      <c r="F99" s="14"/>
      <c r="G99" s="14"/>
    </row>
    <row r="100">
      <c r="B100" s="80"/>
      <c r="C100" s="14"/>
      <c r="D100" s="14"/>
      <c r="E100" s="14"/>
      <c r="F100" s="14"/>
      <c r="G100" s="14"/>
    </row>
    <row r="101">
      <c r="B101" s="80"/>
      <c r="C101" s="14"/>
      <c r="D101" s="14"/>
      <c r="E101" s="14"/>
      <c r="F101" s="14"/>
      <c r="G101" s="14"/>
    </row>
    <row r="102">
      <c r="B102" s="80"/>
      <c r="C102" s="14"/>
      <c r="D102" s="14"/>
      <c r="E102" s="14"/>
      <c r="F102" s="14"/>
      <c r="G102" s="14"/>
    </row>
    <row r="103">
      <c r="B103" s="80"/>
      <c r="C103" s="14"/>
      <c r="D103" s="14"/>
      <c r="E103" s="14"/>
      <c r="F103" s="14"/>
      <c r="G103" s="14"/>
    </row>
    <row r="104">
      <c r="B104" s="80"/>
      <c r="C104" s="14"/>
      <c r="D104" s="14"/>
      <c r="E104" s="14"/>
      <c r="F104" s="14"/>
      <c r="G104" s="14"/>
    </row>
    <row r="105">
      <c r="B105" s="80"/>
      <c r="C105" s="14"/>
      <c r="D105" s="14"/>
      <c r="E105" s="14"/>
      <c r="F105" s="14"/>
      <c r="G105" s="14"/>
    </row>
    <row r="106">
      <c r="B106" s="80"/>
      <c r="C106" s="14"/>
      <c r="D106" s="14"/>
      <c r="E106" s="14"/>
      <c r="F106" s="14"/>
      <c r="G106" s="14"/>
    </row>
    <row r="107">
      <c r="B107" s="80"/>
      <c r="C107" s="14"/>
      <c r="D107" s="14"/>
      <c r="E107" s="14"/>
      <c r="F107" s="14"/>
      <c r="G107" s="14"/>
    </row>
    <row r="108">
      <c r="B108" s="80"/>
      <c r="C108" s="14"/>
      <c r="D108" s="14"/>
      <c r="E108" s="14"/>
      <c r="F108" s="14"/>
      <c r="G108" s="14"/>
    </row>
    <row r="109">
      <c r="B109" s="80"/>
      <c r="C109" s="14"/>
      <c r="D109" s="14"/>
      <c r="E109" s="14"/>
      <c r="F109" s="14"/>
      <c r="G109" s="14"/>
    </row>
    <row r="110">
      <c r="B110" s="80"/>
      <c r="C110" s="14"/>
      <c r="D110" s="14"/>
      <c r="E110" s="14"/>
      <c r="F110" s="14"/>
      <c r="G110" s="14"/>
    </row>
    <row r="111">
      <c r="B111" s="80"/>
      <c r="C111" s="14"/>
      <c r="D111" s="14"/>
      <c r="E111" s="14"/>
      <c r="F111" s="14"/>
      <c r="G111" s="14"/>
    </row>
    <row r="112">
      <c r="B112" s="80"/>
      <c r="C112" s="14"/>
      <c r="D112" s="14"/>
      <c r="E112" s="14"/>
      <c r="F112" s="14"/>
      <c r="G112" s="14"/>
    </row>
    <row r="113">
      <c r="B113" s="80"/>
      <c r="C113" s="14"/>
      <c r="D113" s="14"/>
      <c r="E113" s="14"/>
      <c r="F113" s="14"/>
      <c r="G113" s="14"/>
    </row>
    <row r="114">
      <c r="B114" s="80"/>
      <c r="C114" s="14"/>
      <c r="D114" s="14"/>
      <c r="E114" s="14"/>
      <c r="F114" s="14"/>
      <c r="G114" s="14"/>
    </row>
    <row r="115">
      <c r="B115" s="80"/>
      <c r="C115" s="14"/>
      <c r="D115" s="14"/>
      <c r="E115" s="14"/>
      <c r="F115" s="14"/>
      <c r="G115" s="14"/>
    </row>
    <row r="116">
      <c r="B116" s="80"/>
      <c r="C116" s="14"/>
      <c r="D116" s="14"/>
      <c r="E116" s="14"/>
      <c r="F116" s="14"/>
      <c r="G116" s="14"/>
    </row>
    <row r="117">
      <c r="B117" s="80"/>
      <c r="C117" s="14"/>
      <c r="D117" s="14"/>
      <c r="E117" s="14"/>
      <c r="F117" s="14"/>
      <c r="G117" s="14"/>
    </row>
    <row r="118">
      <c r="B118" s="80"/>
      <c r="C118" s="14"/>
      <c r="D118" s="14"/>
      <c r="E118" s="14"/>
      <c r="F118" s="14"/>
      <c r="G118" s="14"/>
    </row>
    <row r="119">
      <c r="B119" s="80"/>
      <c r="C119" s="14"/>
      <c r="D119" s="14"/>
      <c r="E119" s="14"/>
      <c r="F119" s="14"/>
      <c r="G119" s="14"/>
    </row>
    <row r="120">
      <c r="B120" s="80"/>
      <c r="C120" s="14"/>
      <c r="D120" s="14"/>
      <c r="E120" s="14"/>
      <c r="F120" s="14"/>
      <c r="G120" s="14"/>
    </row>
    <row r="121">
      <c r="B121" s="80"/>
      <c r="C121" s="14"/>
      <c r="D121" s="14"/>
      <c r="E121" s="14"/>
      <c r="F121" s="14"/>
      <c r="G121" s="14"/>
    </row>
    <row r="122">
      <c r="B122" s="80"/>
      <c r="C122" s="14"/>
      <c r="D122" s="14"/>
      <c r="E122" s="14"/>
      <c r="F122" s="14"/>
      <c r="G122" s="14"/>
    </row>
    <row r="123">
      <c r="B123" s="80"/>
      <c r="C123" s="14"/>
      <c r="D123" s="14"/>
      <c r="E123" s="14"/>
      <c r="F123" s="14"/>
      <c r="G123" s="14"/>
    </row>
    <row r="124">
      <c r="B124" s="80"/>
      <c r="C124" s="14"/>
      <c r="D124" s="14"/>
      <c r="E124" s="14"/>
      <c r="F124" s="14"/>
      <c r="G124" s="14"/>
    </row>
    <row r="125">
      <c r="B125" s="80"/>
      <c r="C125" s="14"/>
      <c r="D125" s="14"/>
      <c r="E125" s="14"/>
      <c r="F125" s="14"/>
      <c r="G125" s="14"/>
    </row>
    <row r="126">
      <c r="B126" s="80"/>
      <c r="C126" s="14"/>
      <c r="D126" s="14"/>
      <c r="E126" s="14"/>
      <c r="F126" s="14"/>
      <c r="G126" s="14"/>
    </row>
    <row r="127">
      <c r="B127" s="80"/>
      <c r="C127" s="14"/>
      <c r="D127" s="14"/>
      <c r="E127" s="14"/>
      <c r="F127" s="14"/>
      <c r="G127" s="14"/>
    </row>
    <row r="128">
      <c r="B128" s="80"/>
      <c r="C128" s="14"/>
      <c r="D128" s="14"/>
      <c r="E128" s="14"/>
      <c r="F128" s="14"/>
      <c r="G128" s="14"/>
    </row>
    <row r="129">
      <c r="B129" s="80"/>
      <c r="C129" s="14"/>
      <c r="D129" s="14"/>
      <c r="E129" s="14"/>
      <c r="F129" s="14"/>
      <c r="G129" s="14"/>
    </row>
    <row r="130">
      <c r="B130" s="80"/>
      <c r="C130" s="14"/>
      <c r="D130" s="14"/>
      <c r="E130" s="14"/>
      <c r="F130" s="14"/>
      <c r="G130" s="14"/>
    </row>
    <row r="131">
      <c r="B131" s="80"/>
      <c r="C131" s="14"/>
      <c r="D131" s="14"/>
      <c r="E131" s="14"/>
      <c r="F131" s="14"/>
      <c r="G131" s="14"/>
    </row>
    <row r="132">
      <c r="B132" s="80"/>
      <c r="C132" s="14"/>
      <c r="D132" s="14"/>
      <c r="E132" s="14"/>
      <c r="F132" s="14"/>
      <c r="G132" s="14"/>
    </row>
    <row r="133">
      <c r="B133" s="80"/>
      <c r="C133" s="14"/>
      <c r="D133" s="14"/>
      <c r="E133" s="14"/>
      <c r="F133" s="14"/>
      <c r="G133" s="14"/>
    </row>
    <row r="134">
      <c r="B134" s="80"/>
      <c r="C134" s="14"/>
      <c r="D134" s="14"/>
      <c r="E134" s="14"/>
      <c r="F134" s="14"/>
      <c r="G134" s="14"/>
    </row>
    <row r="135">
      <c r="B135" s="80"/>
      <c r="C135" s="14"/>
      <c r="D135" s="14"/>
      <c r="E135" s="14"/>
      <c r="F135" s="14"/>
      <c r="G135" s="14"/>
    </row>
    <row r="136">
      <c r="B136" s="80"/>
      <c r="C136" s="14"/>
      <c r="D136" s="14"/>
      <c r="E136" s="14"/>
      <c r="F136" s="14"/>
      <c r="G136" s="14"/>
    </row>
    <row r="137">
      <c r="B137" s="80"/>
      <c r="C137" s="14"/>
      <c r="D137" s="14"/>
      <c r="E137" s="14"/>
      <c r="F137" s="14"/>
      <c r="G137" s="14"/>
    </row>
    <row r="138">
      <c r="B138" s="80"/>
      <c r="C138" s="14"/>
      <c r="D138" s="14"/>
      <c r="E138" s="14"/>
      <c r="F138" s="14"/>
      <c r="G138" s="14"/>
    </row>
    <row r="139">
      <c r="B139" s="80"/>
      <c r="C139" s="14"/>
      <c r="D139" s="14"/>
      <c r="E139" s="14"/>
      <c r="F139" s="14"/>
      <c r="G139" s="14"/>
    </row>
    <row r="140">
      <c r="B140" s="80"/>
      <c r="C140" s="14"/>
      <c r="D140" s="14"/>
      <c r="E140" s="14"/>
      <c r="F140" s="14"/>
      <c r="G140" s="14"/>
    </row>
    <row r="141">
      <c r="B141" s="80"/>
      <c r="C141" s="14"/>
      <c r="D141" s="14"/>
      <c r="E141" s="14"/>
      <c r="F141" s="14"/>
      <c r="G141" s="14"/>
    </row>
    <row r="142">
      <c r="B142" s="80"/>
      <c r="C142" s="14"/>
      <c r="D142" s="14"/>
      <c r="E142" s="14"/>
      <c r="F142" s="14"/>
      <c r="G142" s="14"/>
    </row>
    <row r="143">
      <c r="B143" s="80"/>
      <c r="C143" s="14"/>
      <c r="D143" s="14"/>
      <c r="E143" s="14"/>
      <c r="F143" s="14"/>
      <c r="G143" s="14"/>
    </row>
    <row r="144">
      <c r="B144" s="80"/>
      <c r="C144" s="14"/>
      <c r="D144" s="14"/>
      <c r="E144" s="14"/>
      <c r="F144" s="14"/>
      <c r="G144" s="14"/>
    </row>
    <row r="145">
      <c r="B145" s="80"/>
      <c r="C145" s="14"/>
      <c r="D145" s="14"/>
      <c r="E145" s="14"/>
      <c r="F145" s="14"/>
      <c r="G145" s="14"/>
    </row>
    <row r="146">
      <c r="B146" s="80"/>
      <c r="C146" s="14"/>
      <c r="D146" s="14"/>
      <c r="E146" s="14"/>
      <c r="F146" s="14"/>
      <c r="G146" s="14"/>
    </row>
    <row r="147">
      <c r="B147" s="80"/>
      <c r="C147" s="14"/>
      <c r="D147" s="14"/>
      <c r="E147" s="14"/>
      <c r="F147" s="14"/>
      <c r="G147" s="14"/>
    </row>
    <row r="148">
      <c r="B148" s="80"/>
      <c r="C148" s="14"/>
      <c r="D148" s="14"/>
      <c r="E148" s="14"/>
      <c r="F148" s="14"/>
      <c r="G148" s="14"/>
    </row>
    <row r="149">
      <c r="B149" s="80"/>
      <c r="C149" s="14"/>
      <c r="D149" s="14"/>
      <c r="E149" s="14"/>
      <c r="F149" s="14"/>
      <c r="G149" s="14"/>
    </row>
    <row r="150">
      <c r="B150" s="80"/>
      <c r="C150" s="14"/>
      <c r="D150" s="14"/>
      <c r="E150" s="14"/>
      <c r="F150" s="14"/>
      <c r="G150" s="14"/>
    </row>
    <row r="151">
      <c r="B151" s="80"/>
      <c r="C151" s="14"/>
      <c r="D151" s="14"/>
      <c r="E151" s="14"/>
      <c r="F151" s="14"/>
      <c r="G151" s="14"/>
    </row>
    <row r="152">
      <c r="B152" s="80"/>
      <c r="C152" s="14"/>
      <c r="D152" s="14"/>
      <c r="E152" s="14"/>
      <c r="F152" s="14"/>
      <c r="G152" s="14"/>
    </row>
    <row r="153">
      <c r="B153" s="80"/>
      <c r="C153" s="14"/>
      <c r="D153" s="14"/>
      <c r="E153" s="14"/>
      <c r="F153" s="14"/>
      <c r="G153" s="14"/>
    </row>
    <row r="154">
      <c r="B154" s="80"/>
      <c r="C154" s="14"/>
      <c r="D154" s="14"/>
      <c r="E154" s="14"/>
      <c r="F154" s="14"/>
      <c r="G154" s="14"/>
    </row>
    <row r="155">
      <c r="B155" s="80"/>
      <c r="C155" s="14"/>
      <c r="D155" s="14"/>
      <c r="E155" s="14"/>
      <c r="F155" s="14"/>
      <c r="G155" s="14"/>
    </row>
    <row r="156">
      <c r="B156" s="80"/>
      <c r="C156" s="14"/>
      <c r="D156" s="14"/>
      <c r="E156" s="14"/>
      <c r="F156" s="14"/>
      <c r="G156" s="14"/>
    </row>
    <row r="157">
      <c r="B157" s="80"/>
      <c r="C157" s="14"/>
      <c r="D157" s="14"/>
      <c r="E157" s="14"/>
      <c r="F157" s="14"/>
      <c r="G157" s="14"/>
    </row>
    <row r="158">
      <c r="B158" s="80"/>
      <c r="C158" s="14"/>
      <c r="D158" s="14"/>
      <c r="E158" s="14"/>
      <c r="F158" s="14"/>
      <c r="G158" s="14"/>
    </row>
    <row r="159">
      <c r="B159" s="80"/>
      <c r="C159" s="14"/>
      <c r="D159" s="14"/>
      <c r="E159" s="14"/>
      <c r="F159" s="14"/>
      <c r="G159" s="14"/>
    </row>
    <row r="160">
      <c r="B160" s="80"/>
      <c r="C160" s="14"/>
      <c r="D160" s="14"/>
      <c r="E160" s="14"/>
      <c r="F160" s="14"/>
      <c r="G160" s="14"/>
    </row>
    <row r="161">
      <c r="B161" s="80"/>
      <c r="C161" s="14"/>
      <c r="D161" s="14"/>
      <c r="E161" s="14"/>
      <c r="F161" s="14"/>
      <c r="G161" s="14"/>
    </row>
    <row r="162">
      <c r="B162" s="80"/>
      <c r="C162" s="14"/>
      <c r="D162" s="14"/>
      <c r="E162" s="14"/>
      <c r="F162" s="14"/>
      <c r="G162" s="14"/>
    </row>
    <row r="163">
      <c r="B163" s="80"/>
      <c r="C163" s="14"/>
      <c r="D163" s="14"/>
      <c r="E163" s="14"/>
      <c r="F163" s="14"/>
      <c r="G163" s="14"/>
    </row>
    <row r="164">
      <c r="B164" s="80"/>
      <c r="C164" s="14"/>
      <c r="D164" s="14"/>
      <c r="E164" s="14"/>
      <c r="F164" s="14"/>
      <c r="G164" s="14"/>
    </row>
    <row r="165">
      <c r="B165" s="80"/>
      <c r="C165" s="14"/>
      <c r="D165" s="14"/>
      <c r="E165" s="14"/>
      <c r="F165" s="14"/>
      <c r="G165" s="14"/>
    </row>
    <row r="166">
      <c r="B166" s="80"/>
      <c r="C166" s="14"/>
      <c r="D166" s="14"/>
      <c r="E166" s="14"/>
      <c r="F166" s="14"/>
      <c r="G166" s="14"/>
    </row>
    <row r="167">
      <c r="B167" s="80"/>
      <c r="C167" s="14"/>
      <c r="D167" s="14"/>
      <c r="E167" s="14"/>
      <c r="F167" s="14"/>
      <c r="G167" s="14"/>
    </row>
    <row r="168">
      <c r="B168" s="80"/>
      <c r="C168" s="14"/>
      <c r="D168" s="14"/>
      <c r="E168" s="14"/>
      <c r="F168" s="14"/>
      <c r="G168" s="14"/>
    </row>
    <row r="169">
      <c r="B169" s="80"/>
      <c r="C169" s="14"/>
      <c r="D169" s="14"/>
      <c r="E169" s="14"/>
      <c r="F169" s="14"/>
      <c r="G169" s="14"/>
    </row>
    <row r="170">
      <c r="B170" s="80"/>
      <c r="C170" s="14"/>
      <c r="D170" s="14"/>
      <c r="E170" s="14"/>
      <c r="F170" s="14"/>
      <c r="G170" s="14"/>
    </row>
    <row r="171">
      <c r="B171" s="80"/>
      <c r="C171" s="14"/>
      <c r="D171" s="14"/>
      <c r="E171" s="14"/>
      <c r="F171" s="14"/>
      <c r="G171" s="14"/>
    </row>
    <row r="172">
      <c r="B172" s="80"/>
      <c r="C172" s="14"/>
      <c r="D172" s="14"/>
      <c r="E172" s="14"/>
      <c r="F172" s="14"/>
      <c r="G172" s="14"/>
    </row>
    <row r="173">
      <c r="B173" s="80"/>
      <c r="C173" s="14"/>
      <c r="D173" s="14"/>
      <c r="E173" s="14"/>
      <c r="F173" s="14"/>
      <c r="G173" s="14"/>
    </row>
    <row r="174">
      <c r="B174" s="80"/>
      <c r="C174" s="14"/>
      <c r="D174" s="14"/>
      <c r="E174" s="14"/>
      <c r="F174" s="14"/>
      <c r="G174" s="14"/>
    </row>
    <row r="175">
      <c r="B175" s="80"/>
      <c r="C175" s="14"/>
      <c r="D175" s="14"/>
      <c r="E175" s="14"/>
      <c r="F175" s="14"/>
      <c r="G175" s="14"/>
    </row>
    <row r="176">
      <c r="B176" s="80"/>
      <c r="C176" s="14"/>
      <c r="D176" s="14"/>
      <c r="E176" s="14"/>
      <c r="F176" s="14"/>
      <c r="G176" s="14"/>
    </row>
    <row r="177">
      <c r="B177" s="80"/>
      <c r="C177" s="14"/>
      <c r="D177" s="14"/>
      <c r="E177" s="14"/>
      <c r="F177" s="14"/>
      <c r="G177" s="14"/>
    </row>
    <row r="178">
      <c r="B178" s="80"/>
      <c r="C178" s="14"/>
      <c r="D178" s="14"/>
      <c r="E178" s="14"/>
      <c r="F178" s="14"/>
      <c r="G178" s="14"/>
    </row>
    <row r="179">
      <c r="B179" s="80"/>
      <c r="C179" s="14"/>
      <c r="D179" s="14"/>
      <c r="E179" s="14"/>
      <c r="F179" s="14"/>
      <c r="G179" s="14"/>
    </row>
    <row r="180">
      <c r="B180" s="80"/>
      <c r="C180" s="14"/>
      <c r="D180" s="14"/>
      <c r="E180" s="14"/>
      <c r="F180" s="14"/>
      <c r="G180" s="14"/>
    </row>
    <row r="181">
      <c r="B181" s="80"/>
      <c r="C181" s="14"/>
      <c r="D181" s="14"/>
      <c r="E181" s="14"/>
      <c r="F181" s="14"/>
      <c r="G181" s="14"/>
    </row>
    <row r="182">
      <c r="B182" s="80"/>
      <c r="C182" s="14"/>
      <c r="D182" s="14"/>
      <c r="E182" s="14"/>
      <c r="F182" s="14"/>
      <c r="G182" s="14"/>
    </row>
    <row r="183">
      <c r="B183" s="80"/>
      <c r="C183" s="14"/>
      <c r="D183" s="14"/>
      <c r="E183" s="14"/>
      <c r="F183" s="14"/>
      <c r="G183" s="14"/>
    </row>
    <row r="184">
      <c r="B184" s="80"/>
      <c r="C184" s="14"/>
      <c r="D184" s="14"/>
      <c r="E184" s="14"/>
      <c r="F184" s="14"/>
      <c r="G184" s="14"/>
    </row>
    <row r="185">
      <c r="B185" s="80"/>
      <c r="C185" s="14"/>
      <c r="D185" s="14"/>
      <c r="E185" s="14"/>
      <c r="F185" s="14"/>
      <c r="G185" s="14"/>
    </row>
    <row r="186">
      <c r="B186" s="80"/>
      <c r="C186" s="14"/>
      <c r="D186" s="14"/>
      <c r="E186" s="14"/>
      <c r="F186" s="14"/>
      <c r="G186" s="14"/>
    </row>
    <row r="187">
      <c r="B187" s="80"/>
      <c r="C187" s="14"/>
      <c r="D187" s="14"/>
      <c r="E187" s="14"/>
      <c r="F187" s="14"/>
      <c r="G187" s="14"/>
    </row>
    <row r="188">
      <c r="B188" s="80"/>
      <c r="C188" s="14"/>
      <c r="D188" s="14"/>
      <c r="E188" s="14"/>
      <c r="F188" s="14"/>
      <c r="G188" s="14"/>
    </row>
    <row r="189">
      <c r="B189" s="80"/>
      <c r="C189" s="14"/>
      <c r="D189" s="14"/>
      <c r="E189" s="14"/>
      <c r="F189" s="14"/>
      <c r="G189" s="14"/>
    </row>
    <row r="190">
      <c r="B190" s="80"/>
      <c r="C190" s="14"/>
      <c r="D190" s="14"/>
      <c r="E190" s="14"/>
      <c r="F190" s="14"/>
      <c r="G190" s="14"/>
    </row>
    <row r="191">
      <c r="B191" s="80"/>
      <c r="C191" s="14"/>
      <c r="D191" s="14"/>
      <c r="E191" s="14"/>
      <c r="F191" s="14"/>
      <c r="G191" s="14"/>
    </row>
    <row r="192">
      <c r="B192" s="80"/>
      <c r="C192" s="14"/>
      <c r="D192" s="14"/>
      <c r="E192" s="14"/>
      <c r="F192" s="14"/>
      <c r="G192" s="14"/>
    </row>
    <row r="193">
      <c r="B193" s="80"/>
      <c r="C193" s="14"/>
      <c r="D193" s="14"/>
      <c r="E193" s="14"/>
      <c r="F193" s="14"/>
      <c r="G193" s="14"/>
    </row>
    <row r="194">
      <c r="B194" s="80"/>
      <c r="C194" s="14"/>
      <c r="D194" s="14"/>
      <c r="E194" s="14"/>
      <c r="F194" s="14"/>
      <c r="G194" s="14"/>
    </row>
    <row r="195">
      <c r="B195" s="80"/>
      <c r="C195" s="14"/>
      <c r="D195" s="14"/>
      <c r="E195" s="14"/>
      <c r="F195" s="14"/>
      <c r="G195" s="14"/>
    </row>
    <row r="196">
      <c r="B196" s="80"/>
      <c r="C196" s="14"/>
      <c r="D196" s="14"/>
      <c r="E196" s="14"/>
      <c r="F196" s="14"/>
      <c r="G196" s="14"/>
    </row>
    <row r="197">
      <c r="B197" s="80"/>
      <c r="C197" s="14"/>
      <c r="D197" s="14"/>
      <c r="E197" s="14"/>
      <c r="F197" s="14"/>
      <c r="G197" s="14"/>
    </row>
    <row r="198">
      <c r="B198" s="80"/>
      <c r="C198" s="14"/>
      <c r="D198" s="14"/>
      <c r="E198" s="14"/>
      <c r="F198" s="14"/>
      <c r="G198" s="14"/>
    </row>
    <row r="199">
      <c r="B199" s="80"/>
      <c r="C199" s="14"/>
      <c r="D199" s="14"/>
      <c r="E199" s="14"/>
      <c r="F199" s="14"/>
      <c r="G199" s="14"/>
    </row>
    <row r="200">
      <c r="B200" s="80"/>
      <c r="C200" s="14"/>
      <c r="D200" s="14"/>
      <c r="E200" s="14"/>
      <c r="F200" s="14"/>
      <c r="G200" s="14"/>
    </row>
    <row r="201">
      <c r="B201" s="80"/>
      <c r="C201" s="14"/>
      <c r="D201" s="14"/>
      <c r="E201" s="14"/>
      <c r="F201" s="14"/>
      <c r="G201" s="14"/>
    </row>
    <row r="202">
      <c r="B202" s="80"/>
      <c r="C202" s="14"/>
      <c r="D202" s="14"/>
      <c r="E202" s="14"/>
      <c r="F202" s="14"/>
      <c r="G202" s="14"/>
    </row>
    <row r="203">
      <c r="B203" s="80"/>
      <c r="C203" s="14"/>
      <c r="D203" s="14"/>
      <c r="E203" s="14"/>
      <c r="F203" s="14"/>
      <c r="G203" s="14"/>
    </row>
    <row r="204">
      <c r="B204" s="80"/>
      <c r="C204" s="14"/>
      <c r="D204" s="14"/>
      <c r="E204" s="14"/>
      <c r="F204" s="14"/>
      <c r="G204" s="14"/>
    </row>
    <row r="205">
      <c r="B205" s="80"/>
      <c r="C205" s="14"/>
      <c r="D205" s="14"/>
      <c r="E205" s="14"/>
      <c r="F205" s="14"/>
      <c r="G205" s="14"/>
    </row>
    <row r="206">
      <c r="B206" s="80"/>
      <c r="C206" s="14"/>
      <c r="D206" s="14"/>
      <c r="E206" s="14"/>
      <c r="F206" s="14"/>
      <c r="G206" s="14"/>
    </row>
    <row r="207">
      <c r="B207" s="80"/>
      <c r="C207" s="14"/>
      <c r="D207" s="14"/>
      <c r="E207" s="14"/>
      <c r="F207" s="14"/>
      <c r="G207" s="14"/>
    </row>
    <row r="208">
      <c r="B208" s="80"/>
      <c r="C208" s="14"/>
      <c r="D208" s="14"/>
      <c r="E208" s="14"/>
      <c r="F208" s="14"/>
      <c r="G208" s="14"/>
    </row>
    <row r="209">
      <c r="B209" s="80"/>
      <c r="C209" s="14"/>
      <c r="D209" s="14"/>
      <c r="E209" s="14"/>
      <c r="F209" s="14"/>
      <c r="G209" s="14"/>
    </row>
    <row r="210">
      <c r="B210" s="80"/>
      <c r="C210" s="14"/>
      <c r="D210" s="14"/>
      <c r="E210" s="14"/>
      <c r="F210" s="14"/>
      <c r="G210" s="14"/>
    </row>
    <row r="211">
      <c r="B211" s="80"/>
      <c r="C211" s="14"/>
      <c r="D211" s="14"/>
      <c r="E211" s="14"/>
      <c r="F211" s="14"/>
      <c r="G211" s="14"/>
    </row>
    <row r="212">
      <c r="B212" s="80"/>
      <c r="C212" s="14"/>
      <c r="D212" s="14"/>
      <c r="E212" s="14"/>
      <c r="F212" s="14"/>
      <c r="G212" s="14"/>
    </row>
    <row r="213">
      <c r="B213" s="80"/>
      <c r="C213" s="14"/>
      <c r="D213" s="14"/>
      <c r="E213" s="14"/>
      <c r="F213" s="14"/>
      <c r="G213" s="14"/>
    </row>
    <row r="214">
      <c r="B214" s="80"/>
      <c r="C214" s="14"/>
      <c r="D214" s="14"/>
      <c r="E214" s="14"/>
      <c r="F214" s="14"/>
      <c r="G214" s="14"/>
    </row>
    <row r="215">
      <c r="B215" s="80"/>
      <c r="C215" s="14"/>
      <c r="D215" s="14"/>
      <c r="E215" s="14"/>
      <c r="F215" s="14"/>
      <c r="G215" s="14"/>
    </row>
    <row r="216">
      <c r="B216" s="80"/>
      <c r="C216" s="14"/>
      <c r="D216" s="14"/>
      <c r="E216" s="14"/>
      <c r="F216" s="14"/>
      <c r="G216" s="14"/>
    </row>
    <row r="217">
      <c r="B217" s="80"/>
      <c r="C217" s="14"/>
      <c r="D217" s="14"/>
      <c r="E217" s="14"/>
      <c r="F217" s="14"/>
      <c r="G217" s="14"/>
    </row>
    <row r="218">
      <c r="B218" s="80"/>
      <c r="C218" s="14"/>
      <c r="D218" s="14"/>
      <c r="E218" s="14"/>
      <c r="F218" s="14"/>
      <c r="G218" s="14"/>
    </row>
    <row r="219">
      <c r="B219" s="80"/>
      <c r="C219" s="14"/>
      <c r="D219" s="14"/>
      <c r="E219" s="14"/>
      <c r="F219" s="14"/>
      <c r="G219" s="14"/>
    </row>
    <row r="220">
      <c r="B220" s="80"/>
      <c r="C220" s="14"/>
      <c r="D220" s="14"/>
      <c r="E220" s="14"/>
      <c r="F220" s="14"/>
      <c r="G220" s="14"/>
    </row>
    <row r="221">
      <c r="B221" s="80"/>
      <c r="C221" s="14"/>
      <c r="D221" s="14"/>
      <c r="E221" s="14"/>
      <c r="F221" s="14"/>
      <c r="G221" s="14"/>
    </row>
    <row r="222">
      <c r="B222" s="80"/>
      <c r="C222" s="14"/>
      <c r="D222" s="14"/>
      <c r="E222" s="14"/>
      <c r="F222" s="14"/>
      <c r="G222" s="14"/>
    </row>
    <row r="223">
      <c r="B223" s="80"/>
      <c r="C223" s="14"/>
      <c r="D223" s="14"/>
      <c r="E223" s="14"/>
      <c r="F223" s="14"/>
      <c r="G223" s="14"/>
    </row>
    <row r="224">
      <c r="B224" s="80"/>
      <c r="C224" s="14"/>
      <c r="D224" s="14"/>
      <c r="E224" s="14"/>
      <c r="F224" s="14"/>
      <c r="G224" s="14"/>
    </row>
    <row r="225">
      <c r="B225" s="80"/>
      <c r="C225" s="14"/>
      <c r="D225" s="14"/>
      <c r="E225" s="14"/>
      <c r="F225" s="14"/>
      <c r="G225" s="14"/>
    </row>
    <row r="226">
      <c r="B226" s="80"/>
      <c r="C226" s="14"/>
      <c r="D226" s="14"/>
      <c r="E226" s="14"/>
      <c r="F226" s="14"/>
      <c r="G226" s="14"/>
    </row>
    <row r="227">
      <c r="B227" s="80"/>
      <c r="C227" s="14"/>
      <c r="D227" s="14"/>
      <c r="E227" s="14"/>
      <c r="F227" s="14"/>
      <c r="G227" s="14"/>
    </row>
    <row r="228">
      <c r="B228" s="80"/>
      <c r="C228" s="14"/>
      <c r="D228" s="14"/>
      <c r="E228" s="14"/>
      <c r="F228" s="14"/>
      <c r="G228" s="14"/>
    </row>
    <row r="229">
      <c r="B229" s="80"/>
      <c r="C229" s="14"/>
      <c r="D229" s="14"/>
      <c r="E229" s="14"/>
      <c r="F229" s="14"/>
      <c r="G229" s="14"/>
    </row>
    <row r="230">
      <c r="B230" s="80"/>
      <c r="C230" s="14"/>
      <c r="D230" s="14"/>
      <c r="E230" s="14"/>
      <c r="F230" s="14"/>
      <c r="G230" s="14"/>
    </row>
    <row r="231">
      <c r="B231" s="80"/>
      <c r="C231" s="14"/>
      <c r="D231" s="14"/>
      <c r="E231" s="14"/>
      <c r="F231" s="14"/>
      <c r="G231" s="14"/>
    </row>
    <row r="232">
      <c r="B232" s="80"/>
      <c r="C232" s="14"/>
      <c r="D232" s="14"/>
      <c r="E232" s="14"/>
      <c r="F232" s="14"/>
      <c r="G232" s="14"/>
    </row>
    <row r="233">
      <c r="B233" s="80"/>
      <c r="C233" s="14"/>
      <c r="D233" s="14"/>
      <c r="E233" s="14"/>
      <c r="F233" s="14"/>
      <c r="G233" s="14"/>
    </row>
    <row r="234">
      <c r="B234" s="80"/>
      <c r="C234" s="14"/>
      <c r="D234" s="14"/>
      <c r="E234" s="14"/>
      <c r="F234" s="14"/>
      <c r="G234" s="14"/>
    </row>
    <row r="235">
      <c r="B235" s="80"/>
      <c r="C235" s="14"/>
      <c r="D235" s="14"/>
      <c r="E235" s="14"/>
      <c r="F235" s="14"/>
      <c r="G235" s="14"/>
    </row>
    <row r="236">
      <c r="B236" s="80"/>
      <c r="C236" s="14"/>
      <c r="D236" s="14"/>
      <c r="E236" s="14"/>
      <c r="F236" s="14"/>
      <c r="G236" s="14"/>
    </row>
    <row r="237">
      <c r="B237" s="80"/>
      <c r="C237" s="14"/>
      <c r="D237" s="14"/>
      <c r="E237" s="14"/>
      <c r="F237" s="14"/>
      <c r="G237" s="14"/>
    </row>
    <row r="238">
      <c r="B238" s="80"/>
      <c r="C238" s="14"/>
      <c r="D238" s="14"/>
      <c r="E238" s="14"/>
      <c r="F238" s="14"/>
      <c r="G238" s="14"/>
    </row>
    <row r="239">
      <c r="B239" s="80"/>
      <c r="C239" s="14"/>
      <c r="D239" s="14"/>
      <c r="E239" s="14"/>
      <c r="F239" s="14"/>
      <c r="G239" s="14"/>
    </row>
    <row r="240">
      <c r="B240" s="80"/>
      <c r="C240" s="14"/>
      <c r="D240" s="14"/>
      <c r="E240" s="14"/>
      <c r="F240" s="14"/>
      <c r="G240" s="14"/>
    </row>
    <row r="241">
      <c r="B241" s="80"/>
      <c r="C241" s="14"/>
      <c r="D241" s="14"/>
      <c r="E241" s="14"/>
      <c r="F241" s="14"/>
      <c r="G241" s="14"/>
    </row>
    <row r="242">
      <c r="B242" s="80"/>
      <c r="C242" s="14"/>
      <c r="D242" s="14"/>
      <c r="E242" s="14"/>
      <c r="F242" s="14"/>
      <c r="G242" s="14"/>
    </row>
    <row r="243">
      <c r="B243" s="80"/>
      <c r="C243" s="14"/>
      <c r="D243" s="14"/>
      <c r="E243" s="14"/>
      <c r="F243" s="14"/>
      <c r="G243" s="14"/>
    </row>
    <row r="244">
      <c r="B244" s="80"/>
      <c r="C244" s="14"/>
      <c r="D244" s="14"/>
      <c r="E244" s="14"/>
      <c r="F244" s="14"/>
      <c r="G244" s="14"/>
    </row>
    <row r="245">
      <c r="B245" s="80"/>
      <c r="C245" s="14"/>
      <c r="D245" s="14"/>
      <c r="E245" s="14"/>
      <c r="F245" s="14"/>
      <c r="G245" s="14"/>
    </row>
    <row r="246">
      <c r="B246" s="80"/>
      <c r="C246" s="14"/>
      <c r="D246" s="14"/>
      <c r="E246" s="14"/>
      <c r="F246" s="14"/>
      <c r="G246" s="14"/>
    </row>
    <row r="247">
      <c r="B247" s="80"/>
      <c r="C247" s="14"/>
      <c r="D247" s="14"/>
      <c r="E247" s="14"/>
      <c r="F247" s="14"/>
      <c r="G247" s="14"/>
    </row>
    <row r="248">
      <c r="B248" s="80"/>
      <c r="C248" s="14"/>
      <c r="D248" s="14"/>
      <c r="E248" s="14"/>
      <c r="F248" s="14"/>
      <c r="G248" s="14"/>
    </row>
    <row r="249">
      <c r="B249" s="80"/>
      <c r="C249" s="14"/>
      <c r="D249" s="14"/>
      <c r="E249" s="14"/>
      <c r="F249" s="14"/>
      <c r="G249" s="14"/>
    </row>
    <row r="250">
      <c r="B250" s="80"/>
      <c r="C250" s="14"/>
      <c r="D250" s="14"/>
      <c r="E250" s="14"/>
      <c r="F250" s="14"/>
      <c r="G250" s="14"/>
    </row>
    <row r="251">
      <c r="B251" s="80"/>
      <c r="C251" s="14"/>
      <c r="D251" s="14"/>
      <c r="E251" s="14"/>
      <c r="F251" s="14"/>
      <c r="G251" s="14"/>
    </row>
    <row r="252">
      <c r="B252" s="80"/>
      <c r="C252" s="14"/>
      <c r="D252" s="14"/>
      <c r="E252" s="14"/>
      <c r="F252" s="14"/>
      <c r="G252" s="14"/>
    </row>
    <row r="253">
      <c r="B253" s="80"/>
      <c r="C253" s="14"/>
      <c r="D253" s="14"/>
      <c r="E253" s="14"/>
      <c r="F253" s="14"/>
      <c r="G253" s="14"/>
    </row>
    <row r="254">
      <c r="B254" s="80"/>
      <c r="C254" s="14"/>
      <c r="D254" s="14"/>
      <c r="E254" s="14"/>
      <c r="F254" s="14"/>
      <c r="G254" s="14"/>
    </row>
    <row r="255">
      <c r="B255" s="80"/>
      <c r="C255" s="14"/>
      <c r="D255" s="14"/>
      <c r="E255" s="14"/>
      <c r="F255" s="14"/>
      <c r="G255" s="14"/>
    </row>
    <row r="256">
      <c r="B256" s="80"/>
      <c r="C256" s="14"/>
      <c r="D256" s="14"/>
      <c r="E256" s="14"/>
      <c r="F256" s="14"/>
      <c r="G256" s="14"/>
    </row>
    <row r="257">
      <c r="B257" s="80"/>
      <c r="C257" s="14"/>
      <c r="D257" s="14"/>
      <c r="E257" s="14"/>
      <c r="F257" s="14"/>
      <c r="G257" s="14"/>
    </row>
    <row r="258">
      <c r="B258" s="80"/>
      <c r="C258" s="14"/>
      <c r="D258" s="14"/>
      <c r="E258" s="14"/>
      <c r="F258" s="14"/>
      <c r="G258" s="14"/>
    </row>
    <row r="259">
      <c r="B259" s="80"/>
      <c r="C259" s="14"/>
      <c r="D259" s="14"/>
      <c r="E259" s="14"/>
      <c r="F259" s="14"/>
      <c r="G259" s="14"/>
    </row>
    <row r="260">
      <c r="B260" s="80"/>
      <c r="C260" s="14"/>
      <c r="D260" s="14"/>
      <c r="E260" s="14"/>
      <c r="F260" s="14"/>
      <c r="G260" s="14"/>
    </row>
    <row r="261">
      <c r="B261" s="80"/>
      <c r="C261" s="14"/>
      <c r="D261" s="14"/>
      <c r="E261" s="14"/>
      <c r="F261" s="14"/>
      <c r="G261" s="14"/>
    </row>
    <row r="262">
      <c r="B262" s="80"/>
      <c r="C262" s="14"/>
      <c r="D262" s="14"/>
      <c r="E262" s="14"/>
      <c r="F262" s="14"/>
      <c r="G262" s="14"/>
    </row>
    <row r="263">
      <c r="B263" s="80"/>
      <c r="C263" s="14"/>
      <c r="D263" s="14"/>
      <c r="E263" s="14"/>
      <c r="F263" s="14"/>
      <c r="G263" s="14"/>
    </row>
    <row r="264">
      <c r="B264" s="80"/>
      <c r="C264" s="14"/>
      <c r="D264" s="14"/>
      <c r="E264" s="14"/>
      <c r="F264" s="14"/>
      <c r="G264" s="14"/>
    </row>
    <row r="265">
      <c r="B265" s="80"/>
      <c r="C265" s="14"/>
      <c r="D265" s="14"/>
      <c r="E265" s="14"/>
      <c r="F265" s="14"/>
      <c r="G265" s="14"/>
    </row>
    <row r="266">
      <c r="B266" s="80"/>
      <c r="C266" s="14"/>
      <c r="D266" s="14"/>
      <c r="E266" s="14"/>
      <c r="F266" s="14"/>
      <c r="G266" s="14"/>
    </row>
    <row r="267">
      <c r="B267" s="80"/>
      <c r="C267" s="14"/>
      <c r="D267" s="14"/>
      <c r="E267" s="14"/>
      <c r="F267" s="14"/>
      <c r="G267" s="14"/>
    </row>
    <row r="268">
      <c r="B268" s="80"/>
      <c r="C268" s="14"/>
      <c r="D268" s="14"/>
      <c r="E268" s="14"/>
      <c r="F268" s="14"/>
      <c r="G268" s="14"/>
    </row>
    <row r="269">
      <c r="B269" s="80"/>
      <c r="C269" s="14"/>
      <c r="D269" s="14"/>
      <c r="E269" s="14"/>
      <c r="F269" s="14"/>
      <c r="G269" s="14"/>
    </row>
    <row r="270">
      <c r="B270" s="80"/>
      <c r="C270" s="14"/>
      <c r="D270" s="14"/>
      <c r="E270" s="14"/>
      <c r="F270" s="14"/>
      <c r="G270" s="14"/>
    </row>
    <row r="271">
      <c r="B271" s="80"/>
      <c r="C271" s="14"/>
      <c r="D271" s="14"/>
      <c r="E271" s="14"/>
      <c r="F271" s="14"/>
      <c r="G271" s="14"/>
    </row>
    <row r="272">
      <c r="B272" s="80"/>
      <c r="C272" s="14"/>
      <c r="D272" s="14"/>
      <c r="E272" s="14"/>
      <c r="F272" s="14"/>
      <c r="G272" s="14"/>
    </row>
    <row r="273">
      <c r="B273" s="80"/>
      <c r="C273" s="14"/>
      <c r="D273" s="14"/>
      <c r="E273" s="14"/>
      <c r="F273" s="14"/>
      <c r="G273" s="14"/>
    </row>
    <row r="274">
      <c r="B274" s="80"/>
      <c r="C274" s="14"/>
      <c r="D274" s="14"/>
      <c r="E274" s="14"/>
      <c r="F274" s="14"/>
      <c r="G274" s="14"/>
    </row>
    <row r="275">
      <c r="B275" s="80"/>
      <c r="C275" s="14"/>
      <c r="D275" s="14"/>
      <c r="E275" s="14"/>
      <c r="F275" s="14"/>
      <c r="G275" s="14"/>
    </row>
    <row r="276">
      <c r="B276" s="80"/>
      <c r="C276" s="14"/>
      <c r="D276" s="14"/>
      <c r="E276" s="14"/>
      <c r="F276" s="14"/>
      <c r="G276" s="14"/>
    </row>
    <row r="277">
      <c r="B277" s="80"/>
      <c r="C277" s="14"/>
      <c r="D277" s="14"/>
      <c r="E277" s="14"/>
      <c r="F277" s="14"/>
      <c r="G277" s="14"/>
    </row>
    <row r="278">
      <c r="B278" s="80"/>
      <c r="C278" s="14"/>
      <c r="D278" s="14"/>
      <c r="E278" s="14"/>
      <c r="F278" s="14"/>
      <c r="G278" s="14"/>
    </row>
    <row r="279">
      <c r="B279" s="80"/>
      <c r="C279" s="14"/>
      <c r="D279" s="14"/>
      <c r="E279" s="14"/>
      <c r="F279" s="14"/>
      <c r="G279" s="14"/>
    </row>
    <row r="280">
      <c r="B280" s="80"/>
      <c r="C280" s="14"/>
      <c r="D280" s="14"/>
      <c r="E280" s="14"/>
      <c r="F280" s="14"/>
      <c r="G280" s="14"/>
    </row>
    <row r="281">
      <c r="B281" s="80"/>
      <c r="C281" s="14"/>
      <c r="D281" s="14"/>
      <c r="E281" s="14"/>
      <c r="F281" s="14"/>
      <c r="G281" s="14"/>
    </row>
    <row r="282">
      <c r="B282" s="80"/>
      <c r="C282" s="14"/>
      <c r="D282" s="14"/>
      <c r="E282" s="14"/>
      <c r="F282" s="14"/>
      <c r="G282" s="14"/>
    </row>
    <row r="283">
      <c r="B283" s="80"/>
      <c r="C283" s="14"/>
      <c r="D283" s="14"/>
      <c r="E283" s="14"/>
      <c r="F283" s="14"/>
      <c r="G283" s="14"/>
    </row>
    <row r="284">
      <c r="B284" s="80"/>
      <c r="C284" s="14"/>
      <c r="D284" s="14"/>
      <c r="E284" s="14"/>
      <c r="F284" s="14"/>
      <c r="G284" s="14"/>
    </row>
    <row r="285">
      <c r="B285" s="80"/>
      <c r="C285" s="14"/>
      <c r="D285" s="14"/>
      <c r="E285" s="14"/>
      <c r="F285" s="14"/>
      <c r="G285" s="14"/>
    </row>
    <row r="286">
      <c r="B286" s="80"/>
      <c r="C286" s="14"/>
      <c r="D286" s="14"/>
      <c r="E286" s="14"/>
      <c r="F286" s="14"/>
      <c r="G286" s="14"/>
    </row>
    <row r="287">
      <c r="B287" s="80"/>
      <c r="C287" s="14"/>
      <c r="D287" s="14"/>
      <c r="E287" s="14"/>
      <c r="F287" s="14"/>
      <c r="G287" s="14"/>
    </row>
    <row r="288">
      <c r="B288" s="80"/>
      <c r="C288" s="14"/>
      <c r="D288" s="14"/>
      <c r="E288" s="14"/>
      <c r="F288" s="14"/>
      <c r="G288" s="14"/>
    </row>
    <row r="289">
      <c r="B289" s="80"/>
      <c r="C289" s="14"/>
      <c r="D289" s="14"/>
      <c r="E289" s="14"/>
      <c r="F289" s="14"/>
      <c r="G289" s="14"/>
    </row>
    <row r="290">
      <c r="B290" s="80"/>
      <c r="C290" s="14"/>
      <c r="D290" s="14"/>
      <c r="E290" s="14"/>
      <c r="F290" s="14"/>
      <c r="G290" s="14"/>
    </row>
    <row r="291">
      <c r="B291" s="80"/>
      <c r="C291" s="14"/>
      <c r="D291" s="14"/>
      <c r="E291" s="14"/>
      <c r="F291" s="14"/>
      <c r="G291" s="14"/>
    </row>
    <row r="292">
      <c r="B292" s="80"/>
      <c r="C292" s="14"/>
      <c r="D292" s="14"/>
      <c r="E292" s="14"/>
      <c r="F292" s="14"/>
      <c r="G292" s="14"/>
    </row>
    <row r="293">
      <c r="B293" s="80"/>
      <c r="C293" s="14"/>
      <c r="D293" s="14"/>
      <c r="E293" s="14"/>
      <c r="F293" s="14"/>
      <c r="G293" s="14"/>
    </row>
    <row r="294">
      <c r="B294" s="80"/>
      <c r="C294" s="14"/>
      <c r="D294" s="14"/>
      <c r="E294" s="14"/>
      <c r="F294" s="14"/>
      <c r="G294" s="14"/>
    </row>
    <row r="295">
      <c r="B295" s="80"/>
      <c r="C295" s="14"/>
      <c r="D295" s="14"/>
      <c r="E295" s="14"/>
      <c r="F295" s="14"/>
      <c r="G295" s="14"/>
    </row>
    <row r="296">
      <c r="B296" s="80"/>
      <c r="C296" s="14"/>
      <c r="D296" s="14"/>
      <c r="E296" s="14"/>
      <c r="F296" s="14"/>
      <c r="G296" s="14"/>
    </row>
    <row r="297">
      <c r="B297" s="80"/>
      <c r="C297" s="14"/>
      <c r="D297" s="14"/>
      <c r="E297" s="14"/>
      <c r="F297" s="14"/>
      <c r="G297" s="14"/>
    </row>
    <row r="298">
      <c r="B298" s="80"/>
      <c r="C298" s="14"/>
      <c r="D298" s="14"/>
      <c r="E298" s="14"/>
      <c r="F298" s="14"/>
      <c r="G298" s="14"/>
    </row>
    <row r="299">
      <c r="B299" s="80"/>
      <c r="C299" s="14"/>
      <c r="D299" s="14"/>
      <c r="E299" s="14"/>
      <c r="F299" s="14"/>
      <c r="G299" s="14"/>
    </row>
    <row r="300">
      <c r="B300" s="80"/>
      <c r="C300" s="14"/>
      <c r="D300" s="14"/>
      <c r="E300" s="14"/>
      <c r="F300" s="14"/>
      <c r="G300" s="14"/>
    </row>
    <row r="301">
      <c r="B301" s="80"/>
      <c r="C301" s="14"/>
      <c r="D301" s="14"/>
      <c r="E301" s="14"/>
      <c r="F301" s="14"/>
      <c r="G301" s="14"/>
    </row>
    <row r="302">
      <c r="B302" s="80"/>
      <c r="C302" s="14"/>
      <c r="D302" s="14"/>
      <c r="E302" s="14"/>
      <c r="F302" s="14"/>
      <c r="G302" s="14"/>
    </row>
    <row r="303">
      <c r="B303" s="80"/>
      <c r="C303" s="14"/>
      <c r="D303" s="14"/>
      <c r="E303" s="14"/>
      <c r="F303" s="14"/>
      <c r="G303" s="14"/>
    </row>
    <row r="304">
      <c r="B304" s="80"/>
      <c r="C304" s="14"/>
      <c r="D304" s="14"/>
      <c r="E304" s="14"/>
      <c r="F304" s="14"/>
      <c r="G304" s="14"/>
    </row>
    <row r="305">
      <c r="B305" s="80"/>
      <c r="C305" s="14"/>
      <c r="D305" s="14"/>
      <c r="E305" s="14"/>
      <c r="F305" s="14"/>
      <c r="G305" s="14"/>
    </row>
    <row r="306">
      <c r="B306" s="80"/>
      <c r="C306" s="14"/>
      <c r="D306" s="14"/>
      <c r="E306" s="14"/>
      <c r="F306" s="14"/>
      <c r="G306" s="14"/>
    </row>
    <row r="307">
      <c r="B307" s="80"/>
      <c r="C307" s="14"/>
      <c r="D307" s="14"/>
      <c r="E307" s="14"/>
      <c r="F307" s="14"/>
      <c r="G307" s="14"/>
    </row>
    <row r="308">
      <c r="B308" s="80"/>
      <c r="C308" s="14"/>
      <c r="D308" s="14"/>
      <c r="E308" s="14"/>
      <c r="F308" s="14"/>
      <c r="G308" s="14"/>
    </row>
    <row r="309">
      <c r="B309" s="80"/>
      <c r="C309" s="14"/>
      <c r="D309" s="14"/>
      <c r="E309" s="14"/>
      <c r="F309" s="14"/>
      <c r="G309" s="14"/>
    </row>
    <row r="310">
      <c r="B310" s="80"/>
      <c r="C310" s="14"/>
      <c r="D310" s="14"/>
      <c r="E310" s="14"/>
      <c r="F310" s="14"/>
      <c r="G310" s="14"/>
    </row>
    <row r="311">
      <c r="B311" s="80"/>
      <c r="C311" s="14"/>
      <c r="D311" s="14"/>
      <c r="E311" s="14"/>
      <c r="F311" s="14"/>
      <c r="G311" s="14"/>
    </row>
    <row r="312">
      <c r="B312" s="80"/>
      <c r="C312" s="14"/>
      <c r="D312" s="14"/>
      <c r="E312" s="14"/>
      <c r="F312" s="14"/>
      <c r="G312" s="14"/>
    </row>
    <row r="313">
      <c r="B313" s="80"/>
      <c r="C313" s="14"/>
      <c r="D313" s="14"/>
      <c r="E313" s="14"/>
      <c r="F313" s="14"/>
      <c r="G313" s="14"/>
    </row>
    <row r="314">
      <c r="B314" s="80"/>
      <c r="C314" s="14"/>
      <c r="D314" s="14"/>
      <c r="E314" s="14"/>
      <c r="F314" s="14"/>
      <c r="G314" s="14"/>
    </row>
    <row r="315">
      <c r="B315" s="80"/>
      <c r="C315" s="14"/>
      <c r="D315" s="14"/>
      <c r="E315" s="14"/>
      <c r="F315" s="14"/>
      <c r="G315" s="14"/>
    </row>
    <row r="316">
      <c r="B316" s="80"/>
      <c r="C316" s="14"/>
      <c r="D316" s="14"/>
      <c r="E316" s="14"/>
      <c r="F316" s="14"/>
      <c r="G316" s="14"/>
    </row>
    <row r="317">
      <c r="B317" s="80"/>
      <c r="C317" s="14"/>
      <c r="D317" s="14"/>
      <c r="E317" s="14"/>
      <c r="F317" s="14"/>
      <c r="G317" s="14"/>
    </row>
    <row r="318">
      <c r="B318" s="80"/>
      <c r="C318" s="14"/>
      <c r="D318" s="14"/>
      <c r="E318" s="14"/>
      <c r="F318" s="14"/>
      <c r="G318" s="14"/>
    </row>
    <row r="319">
      <c r="B319" s="80"/>
      <c r="C319" s="14"/>
      <c r="D319" s="14"/>
      <c r="E319" s="14"/>
      <c r="F319" s="14"/>
      <c r="G319" s="14"/>
    </row>
    <row r="320">
      <c r="B320" s="80"/>
      <c r="C320" s="14"/>
      <c r="D320" s="14"/>
      <c r="E320" s="14"/>
      <c r="F320" s="14"/>
      <c r="G320" s="14"/>
    </row>
    <row r="321">
      <c r="B321" s="80"/>
      <c r="C321" s="14"/>
      <c r="D321" s="14"/>
      <c r="E321" s="14"/>
      <c r="F321" s="14"/>
      <c r="G321" s="14"/>
    </row>
    <row r="322">
      <c r="B322" s="80"/>
      <c r="C322" s="14"/>
      <c r="D322" s="14"/>
      <c r="E322" s="14"/>
      <c r="F322" s="14"/>
      <c r="G322" s="14"/>
    </row>
    <row r="323">
      <c r="B323" s="80"/>
      <c r="C323" s="14"/>
      <c r="D323" s="14"/>
      <c r="E323" s="14"/>
      <c r="F323" s="14"/>
      <c r="G323" s="14"/>
    </row>
    <row r="324">
      <c r="B324" s="80"/>
      <c r="C324" s="14"/>
      <c r="D324" s="14"/>
      <c r="E324" s="14"/>
      <c r="F324" s="14"/>
      <c r="G324" s="14"/>
    </row>
    <row r="325">
      <c r="B325" s="80"/>
      <c r="C325" s="14"/>
      <c r="D325" s="14"/>
      <c r="E325" s="14"/>
      <c r="F325" s="14"/>
      <c r="G325" s="14"/>
    </row>
    <row r="326">
      <c r="B326" s="80"/>
      <c r="C326" s="14"/>
      <c r="D326" s="14"/>
      <c r="E326" s="14"/>
      <c r="F326" s="14"/>
      <c r="G326" s="14"/>
    </row>
    <row r="327">
      <c r="B327" s="80"/>
      <c r="C327" s="14"/>
      <c r="D327" s="14"/>
      <c r="E327" s="14"/>
      <c r="F327" s="14"/>
      <c r="G327" s="14"/>
    </row>
    <row r="328">
      <c r="B328" s="80"/>
      <c r="C328" s="14"/>
      <c r="D328" s="14"/>
      <c r="E328" s="14"/>
      <c r="F328" s="14"/>
      <c r="G328" s="14"/>
    </row>
    <row r="329">
      <c r="B329" s="80"/>
      <c r="C329" s="14"/>
      <c r="D329" s="14"/>
      <c r="E329" s="14"/>
      <c r="F329" s="14"/>
      <c r="G329" s="14"/>
    </row>
    <row r="330">
      <c r="B330" s="80"/>
      <c r="C330" s="14"/>
      <c r="D330" s="14"/>
      <c r="E330" s="14"/>
      <c r="F330" s="14"/>
      <c r="G330" s="14"/>
    </row>
    <row r="331">
      <c r="B331" s="80"/>
      <c r="C331" s="14"/>
      <c r="D331" s="14"/>
      <c r="E331" s="14"/>
      <c r="F331" s="14"/>
      <c r="G331" s="14"/>
    </row>
    <row r="332">
      <c r="B332" s="80"/>
      <c r="C332" s="14"/>
      <c r="D332" s="14"/>
      <c r="E332" s="14"/>
      <c r="F332" s="14"/>
      <c r="G332" s="14"/>
    </row>
    <row r="333">
      <c r="B333" s="80"/>
      <c r="C333" s="14"/>
      <c r="D333" s="14"/>
      <c r="E333" s="14"/>
      <c r="F333" s="14"/>
      <c r="G333" s="14"/>
    </row>
    <row r="334">
      <c r="B334" s="80"/>
      <c r="C334" s="14"/>
      <c r="D334" s="14"/>
      <c r="E334" s="14"/>
      <c r="F334" s="14"/>
      <c r="G334" s="14"/>
    </row>
    <row r="335">
      <c r="B335" s="80"/>
      <c r="C335" s="14"/>
      <c r="D335" s="14"/>
      <c r="E335" s="14"/>
      <c r="F335" s="14"/>
      <c r="G335" s="14"/>
    </row>
    <row r="336">
      <c r="B336" s="80"/>
      <c r="C336" s="14"/>
      <c r="D336" s="14"/>
      <c r="E336" s="14"/>
      <c r="F336" s="14"/>
      <c r="G336" s="14"/>
    </row>
    <row r="337">
      <c r="B337" s="80"/>
      <c r="C337" s="14"/>
      <c r="D337" s="14"/>
      <c r="E337" s="14"/>
      <c r="F337" s="14"/>
      <c r="G337" s="14"/>
    </row>
    <row r="338">
      <c r="B338" s="80"/>
      <c r="C338" s="14"/>
      <c r="D338" s="14"/>
      <c r="E338" s="14"/>
      <c r="F338" s="14"/>
      <c r="G338" s="14"/>
    </row>
    <row r="339">
      <c r="B339" s="80"/>
      <c r="C339" s="14"/>
      <c r="D339" s="14"/>
      <c r="E339" s="14"/>
      <c r="F339" s="14"/>
      <c r="G339" s="14"/>
    </row>
    <row r="340">
      <c r="B340" s="80"/>
      <c r="C340" s="14"/>
      <c r="D340" s="14"/>
      <c r="E340" s="14"/>
      <c r="F340" s="14"/>
      <c r="G340" s="14"/>
    </row>
    <row r="341">
      <c r="B341" s="80"/>
      <c r="C341" s="14"/>
      <c r="D341" s="14"/>
      <c r="E341" s="14"/>
      <c r="F341" s="14"/>
      <c r="G341" s="14"/>
    </row>
    <row r="342">
      <c r="B342" s="80"/>
      <c r="C342" s="14"/>
      <c r="D342" s="14"/>
      <c r="E342" s="14"/>
      <c r="F342" s="14"/>
      <c r="G342" s="14"/>
    </row>
    <row r="343">
      <c r="B343" s="80"/>
      <c r="C343" s="14"/>
      <c r="D343" s="14"/>
      <c r="E343" s="14"/>
      <c r="F343" s="14"/>
      <c r="G343" s="14"/>
    </row>
    <row r="344">
      <c r="B344" s="80"/>
      <c r="C344" s="14"/>
      <c r="D344" s="14"/>
      <c r="E344" s="14"/>
      <c r="F344" s="14"/>
      <c r="G344" s="14"/>
    </row>
    <row r="345">
      <c r="B345" s="80"/>
      <c r="C345" s="14"/>
      <c r="D345" s="14"/>
      <c r="E345" s="14"/>
      <c r="F345" s="14"/>
      <c r="G345" s="14"/>
    </row>
    <row r="346">
      <c r="B346" s="80"/>
      <c r="C346" s="14"/>
      <c r="D346" s="14"/>
      <c r="E346" s="14"/>
      <c r="F346" s="14"/>
      <c r="G346" s="14"/>
    </row>
    <row r="347">
      <c r="B347" s="80"/>
      <c r="C347" s="14"/>
      <c r="D347" s="14"/>
      <c r="E347" s="14"/>
      <c r="F347" s="14"/>
      <c r="G347" s="14"/>
    </row>
    <row r="348">
      <c r="B348" s="80"/>
      <c r="C348" s="14"/>
      <c r="D348" s="14"/>
      <c r="E348" s="14"/>
      <c r="F348" s="14"/>
      <c r="G348" s="14"/>
    </row>
    <row r="349">
      <c r="B349" s="80"/>
      <c r="C349" s="14"/>
      <c r="D349" s="14"/>
      <c r="E349" s="14"/>
      <c r="F349" s="14"/>
      <c r="G349" s="14"/>
    </row>
    <row r="350">
      <c r="B350" s="80"/>
      <c r="C350" s="14"/>
      <c r="D350" s="14"/>
      <c r="E350" s="14"/>
      <c r="F350" s="14"/>
      <c r="G350" s="14"/>
    </row>
    <row r="351">
      <c r="B351" s="80"/>
      <c r="C351" s="14"/>
      <c r="D351" s="14"/>
      <c r="E351" s="14"/>
      <c r="F351" s="14"/>
      <c r="G351" s="14"/>
    </row>
    <row r="352">
      <c r="B352" s="80"/>
      <c r="C352" s="14"/>
      <c r="D352" s="14"/>
      <c r="E352" s="14"/>
      <c r="F352" s="14"/>
      <c r="G352" s="14"/>
    </row>
    <row r="353">
      <c r="B353" s="80"/>
      <c r="C353" s="14"/>
      <c r="D353" s="14"/>
      <c r="E353" s="14"/>
      <c r="F353" s="14"/>
      <c r="G353" s="14"/>
    </row>
    <row r="354">
      <c r="B354" s="80"/>
      <c r="C354" s="14"/>
      <c r="D354" s="14"/>
      <c r="E354" s="14"/>
      <c r="F354" s="14"/>
      <c r="G354" s="14"/>
    </row>
    <row r="355">
      <c r="B355" s="80"/>
      <c r="C355" s="14"/>
      <c r="D355" s="14"/>
      <c r="E355" s="14"/>
      <c r="F355" s="14"/>
      <c r="G355" s="14"/>
    </row>
    <row r="356">
      <c r="B356" s="80"/>
      <c r="C356" s="14"/>
      <c r="D356" s="14"/>
      <c r="E356" s="14"/>
      <c r="F356" s="14"/>
      <c r="G356" s="14"/>
    </row>
    <row r="357">
      <c r="B357" s="80"/>
      <c r="C357" s="14"/>
      <c r="D357" s="14"/>
      <c r="E357" s="14"/>
      <c r="F357" s="14"/>
      <c r="G357" s="14"/>
    </row>
    <row r="358">
      <c r="B358" s="80"/>
      <c r="C358" s="14"/>
      <c r="D358" s="14"/>
      <c r="E358" s="14"/>
      <c r="F358" s="14"/>
      <c r="G358" s="14"/>
    </row>
    <row r="359">
      <c r="B359" s="80"/>
      <c r="C359" s="14"/>
      <c r="D359" s="14"/>
      <c r="E359" s="14"/>
      <c r="F359" s="14"/>
      <c r="G359" s="14"/>
    </row>
    <row r="360">
      <c r="B360" s="80"/>
      <c r="C360" s="14"/>
      <c r="D360" s="14"/>
      <c r="E360" s="14"/>
      <c r="F360" s="14"/>
      <c r="G360" s="14"/>
    </row>
    <row r="361">
      <c r="B361" s="80"/>
      <c r="C361" s="14"/>
      <c r="D361" s="14"/>
      <c r="E361" s="14"/>
      <c r="F361" s="14"/>
      <c r="G361" s="14"/>
    </row>
    <row r="362">
      <c r="B362" s="80"/>
      <c r="C362" s="14"/>
      <c r="D362" s="14"/>
      <c r="E362" s="14"/>
      <c r="F362" s="14"/>
      <c r="G362" s="14"/>
    </row>
    <row r="363">
      <c r="B363" s="80"/>
      <c r="C363" s="14"/>
      <c r="D363" s="14"/>
      <c r="E363" s="14"/>
      <c r="F363" s="14"/>
      <c r="G363" s="14"/>
    </row>
    <row r="364">
      <c r="B364" s="80"/>
      <c r="C364" s="14"/>
      <c r="D364" s="14"/>
      <c r="E364" s="14"/>
      <c r="F364" s="14"/>
      <c r="G364" s="14"/>
    </row>
    <row r="365">
      <c r="B365" s="80"/>
      <c r="C365" s="14"/>
      <c r="D365" s="14"/>
      <c r="E365" s="14"/>
      <c r="F365" s="14"/>
      <c r="G365" s="14"/>
    </row>
    <row r="366">
      <c r="B366" s="80"/>
      <c r="C366" s="14"/>
      <c r="D366" s="14"/>
      <c r="E366" s="14"/>
      <c r="F366" s="14"/>
      <c r="G366" s="14"/>
    </row>
    <row r="367">
      <c r="B367" s="80"/>
      <c r="C367" s="14"/>
      <c r="D367" s="14"/>
      <c r="E367" s="14"/>
      <c r="F367" s="14"/>
      <c r="G367" s="14"/>
    </row>
    <row r="368">
      <c r="B368" s="80"/>
      <c r="C368" s="14"/>
      <c r="D368" s="14"/>
      <c r="E368" s="14"/>
      <c r="F368" s="14"/>
      <c r="G368" s="14"/>
    </row>
    <row r="369">
      <c r="B369" s="80"/>
      <c r="C369" s="14"/>
      <c r="D369" s="14"/>
      <c r="E369" s="14"/>
      <c r="F369" s="14"/>
      <c r="G369" s="14"/>
    </row>
    <row r="370">
      <c r="B370" s="80"/>
      <c r="C370" s="14"/>
      <c r="D370" s="14"/>
      <c r="E370" s="14"/>
      <c r="F370" s="14"/>
      <c r="G370" s="14"/>
    </row>
    <row r="371">
      <c r="B371" s="80"/>
      <c r="C371" s="14"/>
      <c r="D371" s="14"/>
      <c r="E371" s="14"/>
      <c r="F371" s="14"/>
      <c r="G371" s="14"/>
    </row>
    <row r="372">
      <c r="B372" s="80"/>
      <c r="C372" s="14"/>
      <c r="D372" s="14"/>
      <c r="E372" s="14"/>
      <c r="F372" s="14"/>
      <c r="G372" s="14"/>
    </row>
    <row r="373">
      <c r="B373" s="80"/>
      <c r="C373" s="14"/>
      <c r="D373" s="14"/>
      <c r="E373" s="14"/>
      <c r="F373" s="14"/>
      <c r="G373" s="14"/>
    </row>
    <row r="374">
      <c r="B374" s="80"/>
      <c r="C374" s="14"/>
      <c r="D374" s="14"/>
      <c r="E374" s="14"/>
      <c r="F374" s="14"/>
      <c r="G374" s="14"/>
    </row>
    <row r="375">
      <c r="B375" s="80"/>
      <c r="C375" s="14"/>
      <c r="D375" s="14"/>
      <c r="E375" s="14"/>
      <c r="F375" s="14"/>
      <c r="G375" s="14"/>
    </row>
    <row r="376">
      <c r="B376" s="80"/>
      <c r="C376" s="14"/>
      <c r="D376" s="14"/>
      <c r="E376" s="14"/>
      <c r="F376" s="14"/>
      <c r="G376" s="14"/>
    </row>
    <row r="377">
      <c r="B377" s="80"/>
      <c r="C377" s="14"/>
      <c r="D377" s="14"/>
      <c r="E377" s="14"/>
      <c r="F377" s="14"/>
      <c r="G377" s="14"/>
    </row>
    <row r="378">
      <c r="B378" s="80"/>
      <c r="C378" s="14"/>
      <c r="D378" s="14"/>
      <c r="E378" s="14"/>
      <c r="F378" s="14"/>
      <c r="G378" s="14"/>
    </row>
    <row r="379">
      <c r="B379" s="80"/>
      <c r="C379" s="14"/>
      <c r="D379" s="14"/>
      <c r="E379" s="14"/>
      <c r="F379" s="14"/>
      <c r="G379" s="14"/>
    </row>
    <row r="380">
      <c r="B380" s="80"/>
      <c r="C380" s="14"/>
      <c r="D380" s="14"/>
      <c r="E380" s="14"/>
      <c r="F380" s="14"/>
      <c r="G380" s="14"/>
    </row>
    <row r="381">
      <c r="B381" s="80"/>
      <c r="C381" s="14"/>
      <c r="D381" s="14"/>
      <c r="E381" s="14"/>
      <c r="F381" s="14"/>
      <c r="G381" s="14"/>
    </row>
    <row r="382">
      <c r="B382" s="80"/>
      <c r="C382" s="14"/>
      <c r="D382" s="14"/>
      <c r="E382" s="14"/>
      <c r="F382" s="14"/>
      <c r="G382" s="14"/>
    </row>
    <row r="383">
      <c r="B383" s="80"/>
      <c r="C383" s="14"/>
      <c r="D383" s="14"/>
      <c r="E383" s="14"/>
      <c r="F383" s="14"/>
      <c r="G383" s="14"/>
    </row>
    <row r="384">
      <c r="B384" s="80"/>
      <c r="C384" s="14"/>
      <c r="D384" s="14"/>
      <c r="E384" s="14"/>
      <c r="F384" s="14"/>
      <c r="G384" s="14"/>
    </row>
    <row r="385">
      <c r="B385" s="80"/>
      <c r="C385" s="14"/>
      <c r="D385" s="14"/>
      <c r="E385" s="14"/>
      <c r="F385" s="14"/>
      <c r="G385" s="14"/>
    </row>
    <row r="386">
      <c r="B386" s="80"/>
      <c r="C386" s="14"/>
      <c r="D386" s="14"/>
      <c r="E386" s="14"/>
      <c r="F386" s="14"/>
      <c r="G386" s="14"/>
    </row>
    <row r="387">
      <c r="B387" s="80"/>
      <c r="C387" s="14"/>
      <c r="D387" s="14"/>
      <c r="E387" s="14"/>
      <c r="F387" s="14"/>
      <c r="G387" s="14"/>
    </row>
    <row r="388">
      <c r="B388" s="80"/>
      <c r="C388" s="14"/>
      <c r="D388" s="14"/>
      <c r="E388" s="14"/>
      <c r="F388" s="14"/>
      <c r="G388" s="14"/>
    </row>
    <row r="389">
      <c r="B389" s="80"/>
      <c r="C389" s="14"/>
      <c r="D389" s="14"/>
      <c r="E389" s="14"/>
      <c r="F389" s="14"/>
      <c r="G389" s="14"/>
    </row>
    <row r="390">
      <c r="B390" s="80"/>
      <c r="C390" s="14"/>
      <c r="D390" s="14"/>
      <c r="E390" s="14"/>
      <c r="F390" s="14"/>
      <c r="G390" s="14"/>
    </row>
    <row r="391">
      <c r="B391" s="80"/>
      <c r="C391" s="14"/>
      <c r="D391" s="14"/>
      <c r="E391" s="14"/>
      <c r="F391" s="14"/>
      <c r="G391" s="14"/>
    </row>
    <row r="392">
      <c r="B392" s="80"/>
      <c r="C392" s="14"/>
      <c r="D392" s="14"/>
      <c r="E392" s="14"/>
      <c r="F392" s="14"/>
      <c r="G392" s="14"/>
    </row>
    <row r="393">
      <c r="B393" s="80"/>
      <c r="C393" s="14"/>
      <c r="D393" s="14"/>
      <c r="E393" s="14"/>
      <c r="F393" s="14"/>
      <c r="G393" s="14"/>
    </row>
    <row r="394">
      <c r="B394" s="80"/>
      <c r="C394" s="14"/>
      <c r="D394" s="14"/>
      <c r="E394" s="14"/>
      <c r="F394" s="14"/>
      <c r="G394" s="14"/>
    </row>
    <row r="395">
      <c r="B395" s="80"/>
      <c r="C395" s="14"/>
      <c r="D395" s="14"/>
      <c r="E395" s="14"/>
      <c r="F395" s="14"/>
      <c r="G395" s="14"/>
    </row>
    <row r="396">
      <c r="B396" s="80"/>
      <c r="C396" s="14"/>
      <c r="D396" s="14"/>
      <c r="E396" s="14"/>
      <c r="F396" s="14"/>
      <c r="G396" s="14"/>
    </row>
    <row r="397">
      <c r="B397" s="80"/>
      <c r="C397" s="14"/>
      <c r="D397" s="14"/>
      <c r="E397" s="14"/>
      <c r="F397" s="14"/>
      <c r="G397" s="14"/>
    </row>
    <row r="398">
      <c r="B398" s="80"/>
      <c r="C398" s="14"/>
      <c r="D398" s="14"/>
      <c r="E398" s="14"/>
      <c r="F398" s="14"/>
      <c r="G398" s="14"/>
    </row>
    <row r="399">
      <c r="B399" s="80"/>
      <c r="C399" s="14"/>
      <c r="D399" s="14"/>
      <c r="E399" s="14"/>
      <c r="F399" s="14"/>
      <c r="G399" s="14"/>
    </row>
    <row r="400">
      <c r="B400" s="80"/>
      <c r="C400" s="14"/>
      <c r="D400" s="14"/>
      <c r="E400" s="14"/>
      <c r="F400" s="14"/>
      <c r="G400" s="14"/>
    </row>
    <row r="401">
      <c r="B401" s="80"/>
      <c r="C401" s="14"/>
      <c r="D401" s="14"/>
      <c r="E401" s="14"/>
      <c r="F401" s="14"/>
      <c r="G401" s="14"/>
    </row>
    <row r="402">
      <c r="B402" s="80"/>
      <c r="C402" s="14"/>
      <c r="D402" s="14"/>
      <c r="E402" s="14"/>
      <c r="F402" s="14"/>
      <c r="G402" s="14"/>
    </row>
    <row r="403">
      <c r="B403" s="80"/>
      <c r="C403" s="14"/>
      <c r="D403" s="14"/>
      <c r="E403" s="14"/>
      <c r="F403" s="14"/>
      <c r="G403" s="14"/>
    </row>
    <row r="404">
      <c r="B404" s="80"/>
      <c r="C404" s="14"/>
      <c r="D404" s="14"/>
      <c r="E404" s="14"/>
      <c r="F404" s="14"/>
      <c r="G404" s="14"/>
    </row>
    <row r="405">
      <c r="B405" s="80"/>
      <c r="C405" s="14"/>
      <c r="D405" s="14"/>
      <c r="E405" s="14"/>
      <c r="F405" s="14"/>
      <c r="G405" s="14"/>
    </row>
    <row r="406">
      <c r="B406" s="80"/>
      <c r="C406" s="14"/>
      <c r="D406" s="14"/>
      <c r="E406" s="14"/>
      <c r="F406" s="14"/>
      <c r="G406" s="14"/>
    </row>
    <row r="407">
      <c r="B407" s="80"/>
      <c r="C407" s="14"/>
      <c r="D407" s="14"/>
      <c r="E407" s="14"/>
      <c r="F407" s="14"/>
      <c r="G407" s="14"/>
    </row>
    <row r="408">
      <c r="B408" s="80"/>
      <c r="C408" s="14"/>
      <c r="D408" s="14"/>
      <c r="E408" s="14"/>
      <c r="F408" s="14"/>
      <c r="G408" s="14"/>
    </row>
    <row r="409">
      <c r="B409" s="80"/>
      <c r="C409" s="14"/>
      <c r="D409" s="14"/>
      <c r="E409" s="14"/>
      <c r="F409" s="14"/>
      <c r="G409" s="14"/>
    </row>
    <row r="410">
      <c r="B410" s="80"/>
      <c r="C410" s="14"/>
      <c r="D410" s="14"/>
      <c r="E410" s="14"/>
      <c r="F410" s="14"/>
      <c r="G410" s="14"/>
    </row>
    <row r="411">
      <c r="B411" s="80"/>
      <c r="C411" s="14"/>
      <c r="D411" s="14"/>
      <c r="E411" s="14"/>
      <c r="F411" s="14"/>
      <c r="G411" s="14"/>
    </row>
    <row r="412">
      <c r="B412" s="80"/>
      <c r="C412" s="14"/>
      <c r="D412" s="14"/>
      <c r="E412" s="14"/>
      <c r="F412" s="14"/>
      <c r="G412" s="14"/>
    </row>
    <row r="413">
      <c r="B413" s="80"/>
      <c r="C413" s="14"/>
      <c r="D413" s="14"/>
      <c r="E413" s="14"/>
      <c r="F413" s="14"/>
      <c r="G413" s="14"/>
    </row>
    <row r="414">
      <c r="B414" s="80"/>
      <c r="C414" s="14"/>
      <c r="D414" s="14"/>
      <c r="E414" s="14"/>
      <c r="F414" s="14"/>
      <c r="G414" s="14"/>
    </row>
    <row r="415">
      <c r="B415" s="80"/>
      <c r="C415" s="14"/>
      <c r="D415" s="14"/>
      <c r="E415" s="14"/>
      <c r="F415" s="14"/>
      <c r="G415" s="14"/>
    </row>
    <row r="416">
      <c r="B416" s="80"/>
      <c r="C416" s="14"/>
      <c r="D416" s="14"/>
      <c r="E416" s="14"/>
      <c r="F416" s="14"/>
      <c r="G416" s="14"/>
    </row>
    <row r="417">
      <c r="B417" s="80"/>
      <c r="C417" s="14"/>
      <c r="D417" s="14"/>
      <c r="E417" s="14"/>
      <c r="F417" s="14"/>
      <c r="G417" s="14"/>
    </row>
    <row r="418">
      <c r="B418" s="80"/>
      <c r="C418" s="14"/>
      <c r="D418" s="14"/>
      <c r="E418" s="14"/>
      <c r="F418" s="14"/>
      <c r="G418" s="14"/>
    </row>
    <row r="419">
      <c r="B419" s="80"/>
      <c r="C419" s="14"/>
      <c r="D419" s="14"/>
      <c r="E419" s="14"/>
      <c r="F419" s="14"/>
      <c r="G419" s="14"/>
    </row>
    <row r="420">
      <c r="B420" s="80"/>
      <c r="C420" s="14"/>
      <c r="D420" s="14"/>
      <c r="E420" s="14"/>
      <c r="F420" s="14"/>
      <c r="G420" s="14"/>
    </row>
    <row r="421">
      <c r="B421" s="80"/>
      <c r="C421" s="14"/>
      <c r="D421" s="14"/>
      <c r="E421" s="14"/>
      <c r="F421" s="14"/>
      <c r="G421" s="14"/>
    </row>
    <row r="422">
      <c r="B422" s="80"/>
      <c r="C422" s="14"/>
      <c r="D422" s="14"/>
      <c r="E422" s="14"/>
      <c r="F422" s="14"/>
      <c r="G422" s="14"/>
    </row>
    <row r="423">
      <c r="B423" s="80"/>
      <c r="C423" s="14"/>
      <c r="D423" s="14"/>
      <c r="E423" s="14"/>
      <c r="F423" s="14"/>
      <c r="G423" s="14"/>
    </row>
    <row r="424">
      <c r="B424" s="80"/>
      <c r="C424" s="14"/>
      <c r="D424" s="14"/>
      <c r="E424" s="14"/>
      <c r="F424" s="14"/>
      <c r="G424" s="14"/>
    </row>
    <row r="425">
      <c r="B425" s="80"/>
      <c r="C425" s="14"/>
      <c r="D425" s="14"/>
      <c r="E425" s="14"/>
      <c r="F425" s="14"/>
      <c r="G425" s="14"/>
    </row>
    <row r="426">
      <c r="B426" s="80"/>
      <c r="C426" s="14"/>
      <c r="D426" s="14"/>
      <c r="E426" s="14"/>
      <c r="F426" s="14"/>
      <c r="G426" s="14"/>
    </row>
    <row r="427">
      <c r="B427" s="80"/>
      <c r="C427" s="14"/>
      <c r="D427" s="14"/>
      <c r="E427" s="14"/>
      <c r="F427" s="14"/>
      <c r="G427" s="14"/>
    </row>
    <row r="428">
      <c r="B428" s="80"/>
      <c r="C428" s="14"/>
      <c r="D428" s="14"/>
      <c r="E428" s="14"/>
      <c r="F428" s="14"/>
      <c r="G428" s="14"/>
    </row>
    <row r="429">
      <c r="B429" s="80"/>
      <c r="C429" s="14"/>
      <c r="D429" s="14"/>
      <c r="E429" s="14"/>
      <c r="F429" s="14"/>
      <c r="G429" s="14"/>
    </row>
    <row r="430">
      <c r="B430" s="80"/>
      <c r="C430" s="14"/>
      <c r="D430" s="14"/>
      <c r="E430" s="14"/>
      <c r="F430" s="14"/>
      <c r="G430" s="14"/>
    </row>
    <row r="431">
      <c r="B431" s="80"/>
      <c r="C431" s="14"/>
      <c r="D431" s="14"/>
      <c r="E431" s="14"/>
      <c r="F431" s="14"/>
      <c r="G431" s="14"/>
    </row>
    <row r="432">
      <c r="B432" s="80"/>
      <c r="C432" s="14"/>
      <c r="D432" s="14"/>
      <c r="E432" s="14"/>
      <c r="F432" s="14"/>
      <c r="G432" s="14"/>
    </row>
    <row r="433">
      <c r="B433" s="80"/>
      <c r="C433" s="14"/>
      <c r="D433" s="14"/>
      <c r="E433" s="14"/>
      <c r="F433" s="14"/>
      <c r="G433" s="14"/>
    </row>
    <row r="434">
      <c r="B434" s="80"/>
      <c r="C434" s="14"/>
      <c r="D434" s="14"/>
      <c r="E434" s="14"/>
      <c r="F434" s="14"/>
      <c r="G434" s="14"/>
    </row>
    <row r="435">
      <c r="B435" s="80"/>
      <c r="C435" s="14"/>
      <c r="D435" s="14"/>
      <c r="E435" s="14"/>
      <c r="F435" s="14"/>
      <c r="G435" s="14"/>
    </row>
    <row r="436">
      <c r="B436" s="80"/>
      <c r="C436" s="14"/>
      <c r="D436" s="14"/>
      <c r="E436" s="14"/>
      <c r="F436" s="14"/>
      <c r="G436" s="14"/>
    </row>
    <row r="437">
      <c r="B437" s="80"/>
      <c r="C437" s="14"/>
      <c r="D437" s="14"/>
      <c r="E437" s="14"/>
      <c r="F437" s="14"/>
      <c r="G437" s="14"/>
    </row>
    <row r="438">
      <c r="B438" s="80"/>
      <c r="C438" s="14"/>
      <c r="D438" s="14"/>
      <c r="E438" s="14"/>
      <c r="F438" s="14"/>
      <c r="G438" s="14"/>
    </row>
    <row r="439">
      <c r="B439" s="80"/>
      <c r="C439" s="14"/>
      <c r="D439" s="14"/>
      <c r="E439" s="14"/>
      <c r="F439" s="14"/>
      <c r="G439" s="14"/>
    </row>
    <row r="440">
      <c r="B440" s="80"/>
      <c r="C440" s="14"/>
      <c r="D440" s="14"/>
      <c r="E440" s="14"/>
      <c r="F440" s="14"/>
      <c r="G440" s="14"/>
    </row>
    <row r="441">
      <c r="B441" s="80"/>
      <c r="C441" s="14"/>
      <c r="D441" s="14"/>
      <c r="E441" s="14"/>
      <c r="F441" s="14"/>
      <c r="G441" s="14"/>
    </row>
    <row r="442">
      <c r="B442" s="80"/>
      <c r="C442" s="14"/>
      <c r="D442" s="14"/>
      <c r="E442" s="14"/>
      <c r="F442" s="14"/>
      <c r="G442" s="14"/>
    </row>
    <row r="443">
      <c r="B443" s="80"/>
      <c r="C443" s="14"/>
      <c r="D443" s="14"/>
      <c r="E443" s="14"/>
      <c r="F443" s="14"/>
      <c r="G443" s="14"/>
    </row>
    <row r="444">
      <c r="B444" s="80"/>
      <c r="C444" s="14"/>
      <c r="D444" s="14"/>
      <c r="E444" s="14"/>
      <c r="F444" s="14"/>
      <c r="G444" s="14"/>
    </row>
    <row r="445">
      <c r="B445" s="80"/>
      <c r="C445" s="14"/>
      <c r="D445" s="14"/>
      <c r="E445" s="14"/>
      <c r="F445" s="14"/>
      <c r="G445" s="14"/>
    </row>
    <row r="446">
      <c r="B446" s="80"/>
      <c r="C446" s="14"/>
      <c r="D446" s="14"/>
      <c r="E446" s="14"/>
      <c r="F446" s="14"/>
      <c r="G446" s="14"/>
    </row>
    <row r="447">
      <c r="B447" s="80"/>
      <c r="C447" s="14"/>
      <c r="D447" s="14"/>
      <c r="E447" s="14"/>
      <c r="F447" s="14"/>
      <c r="G447" s="14"/>
    </row>
    <row r="448">
      <c r="B448" s="80"/>
      <c r="C448" s="14"/>
      <c r="D448" s="14"/>
      <c r="E448" s="14"/>
      <c r="F448" s="14"/>
      <c r="G448" s="14"/>
    </row>
    <row r="449">
      <c r="B449" s="80"/>
      <c r="C449" s="14"/>
      <c r="D449" s="14"/>
      <c r="E449" s="14"/>
      <c r="F449" s="14"/>
      <c r="G449" s="14"/>
    </row>
    <row r="450">
      <c r="B450" s="80"/>
      <c r="C450" s="14"/>
      <c r="D450" s="14"/>
      <c r="E450" s="14"/>
      <c r="F450" s="14"/>
      <c r="G450" s="14"/>
    </row>
    <row r="451">
      <c r="B451" s="80"/>
      <c r="C451" s="14"/>
      <c r="D451" s="14"/>
      <c r="E451" s="14"/>
      <c r="F451" s="14"/>
      <c r="G451" s="14"/>
    </row>
    <row r="452">
      <c r="B452" s="80"/>
      <c r="C452" s="14"/>
      <c r="D452" s="14"/>
      <c r="E452" s="14"/>
      <c r="F452" s="14"/>
      <c r="G452" s="14"/>
    </row>
    <row r="453">
      <c r="B453" s="80"/>
      <c r="C453" s="14"/>
      <c r="D453" s="14"/>
      <c r="E453" s="14"/>
      <c r="F453" s="14"/>
      <c r="G453" s="14"/>
    </row>
    <row r="454">
      <c r="B454" s="80"/>
      <c r="C454" s="14"/>
      <c r="D454" s="14"/>
      <c r="E454" s="14"/>
      <c r="F454" s="14"/>
      <c r="G454" s="14"/>
    </row>
    <row r="455">
      <c r="B455" s="80"/>
      <c r="C455" s="14"/>
      <c r="D455" s="14"/>
      <c r="E455" s="14"/>
      <c r="F455" s="14"/>
      <c r="G455" s="14"/>
    </row>
    <row r="456">
      <c r="B456" s="80"/>
      <c r="C456" s="14"/>
      <c r="D456" s="14"/>
      <c r="E456" s="14"/>
      <c r="F456" s="14"/>
      <c r="G456" s="14"/>
    </row>
    <row r="457">
      <c r="B457" s="80"/>
      <c r="C457" s="14"/>
      <c r="D457" s="14"/>
      <c r="E457" s="14"/>
      <c r="F457" s="14"/>
      <c r="G457" s="14"/>
    </row>
    <row r="458">
      <c r="B458" s="80"/>
      <c r="C458" s="14"/>
      <c r="D458" s="14"/>
      <c r="E458" s="14"/>
      <c r="F458" s="14"/>
      <c r="G458" s="14"/>
    </row>
    <row r="459">
      <c r="B459" s="80"/>
      <c r="C459" s="14"/>
      <c r="D459" s="14"/>
      <c r="E459" s="14"/>
      <c r="F459" s="14"/>
      <c r="G459" s="14"/>
    </row>
    <row r="460">
      <c r="B460" s="80"/>
      <c r="C460" s="14"/>
      <c r="D460" s="14"/>
      <c r="E460" s="14"/>
      <c r="F460" s="14"/>
      <c r="G460" s="14"/>
    </row>
    <row r="461">
      <c r="B461" s="80"/>
      <c r="C461" s="14"/>
      <c r="D461" s="14"/>
      <c r="E461" s="14"/>
      <c r="F461" s="14"/>
      <c r="G461" s="14"/>
    </row>
    <row r="462">
      <c r="B462" s="80"/>
      <c r="C462" s="14"/>
      <c r="D462" s="14"/>
      <c r="E462" s="14"/>
      <c r="F462" s="14"/>
      <c r="G462" s="14"/>
    </row>
    <row r="463">
      <c r="B463" s="80"/>
      <c r="C463" s="14"/>
      <c r="D463" s="14"/>
      <c r="E463" s="14"/>
      <c r="F463" s="14"/>
      <c r="G463" s="14"/>
    </row>
    <row r="464">
      <c r="B464" s="80"/>
      <c r="C464" s="14"/>
      <c r="D464" s="14"/>
      <c r="E464" s="14"/>
      <c r="F464" s="14"/>
      <c r="G464" s="14"/>
    </row>
    <row r="465">
      <c r="B465" s="80"/>
      <c r="C465" s="14"/>
      <c r="D465" s="14"/>
      <c r="E465" s="14"/>
      <c r="F465" s="14"/>
      <c r="G465" s="14"/>
    </row>
    <row r="466">
      <c r="B466" s="80"/>
      <c r="C466" s="14"/>
      <c r="D466" s="14"/>
      <c r="E466" s="14"/>
      <c r="F466" s="14"/>
      <c r="G466" s="14"/>
    </row>
    <row r="467">
      <c r="B467" s="80"/>
      <c r="C467" s="14"/>
      <c r="D467" s="14"/>
      <c r="E467" s="14"/>
      <c r="F467" s="14"/>
      <c r="G467" s="14"/>
    </row>
    <row r="468">
      <c r="B468" s="80"/>
      <c r="C468" s="14"/>
      <c r="D468" s="14"/>
      <c r="E468" s="14"/>
      <c r="F468" s="14"/>
      <c r="G468" s="14"/>
    </row>
    <row r="469">
      <c r="B469" s="80"/>
      <c r="C469" s="14"/>
      <c r="D469" s="14"/>
      <c r="E469" s="14"/>
      <c r="F469" s="14"/>
      <c r="G469" s="14"/>
    </row>
    <row r="470">
      <c r="B470" s="80"/>
      <c r="C470" s="14"/>
      <c r="D470" s="14"/>
      <c r="E470" s="14"/>
      <c r="F470" s="14"/>
      <c r="G470" s="14"/>
    </row>
    <row r="471">
      <c r="B471" s="80"/>
      <c r="C471" s="14"/>
      <c r="D471" s="14"/>
      <c r="E471" s="14"/>
      <c r="F471" s="14"/>
      <c r="G471" s="14"/>
    </row>
    <row r="472">
      <c r="B472" s="80"/>
      <c r="C472" s="14"/>
      <c r="D472" s="14"/>
      <c r="E472" s="14"/>
      <c r="F472" s="14"/>
      <c r="G472" s="14"/>
    </row>
    <row r="473">
      <c r="B473" s="80"/>
      <c r="C473" s="14"/>
      <c r="D473" s="14"/>
      <c r="E473" s="14"/>
      <c r="F473" s="14"/>
      <c r="G473" s="14"/>
    </row>
    <row r="474">
      <c r="B474" s="80"/>
      <c r="C474" s="14"/>
      <c r="D474" s="14"/>
      <c r="E474" s="14"/>
      <c r="F474" s="14"/>
      <c r="G474" s="14"/>
    </row>
    <row r="475">
      <c r="B475" s="80"/>
      <c r="C475" s="14"/>
      <c r="D475" s="14"/>
      <c r="E475" s="14"/>
      <c r="F475" s="14"/>
      <c r="G475" s="14"/>
    </row>
    <row r="476">
      <c r="B476" s="80"/>
      <c r="C476" s="14"/>
      <c r="D476" s="14"/>
      <c r="E476" s="14"/>
      <c r="F476" s="14"/>
      <c r="G476" s="14"/>
    </row>
    <row r="477">
      <c r="B477" s="80"/>
      <c r="C477" s="14"/>
      <c r="D477" s="14"/>
      <c r="E477" s="14"/>
      <c r="F477" s="14"/>
      <c r="G477" s="14"/>
    </row>
    <row r="478">
      <c r="B478" s="80"/>
      <c r="C478" s="14"/>
      <c r="D478" s="14"/>
      <c r="E478" s="14"/>
      <c r="F478" s="14"/>
      <c r="G478" s="14"/>
    </row>
    <row r="479">
      <c r="B479" s="80"/>
      <c r="C479" s="14"/>
      <c r="D479" s="14"/>
      <c r="E479" s="14"/>
      <c r="F479" s="14"/>
      <c r="G479" s="14"/>
    </row>
    <row r="480">
      <c r="B480" s="80"/>
      <c r="C480" s="14"/>
      <c r="D480" s="14"/>
      <c r="E480" s="14"/>
      <c r="F480" s="14"/>
      <c r="G480" s="14"/>
    </row>
    <row r="481">
      <c r="B481" s="80"/>
      <c r="C481" s="14"/>
      <c r="D481" s="14"/>
      <c r="E481" s="14"/>
      <c r="F481" s="14"/>
      <c r="G481" s="14"/>
    </row>
    <row r="482">
      <c r="B482" s="80"/>
      <c r="C482" s="14"/>
      <c r="D482" s="14"/>
      <c r="E482" s="14"/>
      <c r="F482" s="14"/>
      <c r="G482" s="14"/>
    </row>
    <row r="483">
      <c r="B483" s="80"/>
      <c r="C483" s="14"/>
      <c r="D483" s="14"/>
      <c r="E483" s="14"/>
      <c r="F483" s="14"/>
      <c r="G483" s="14"/>
    </row>
    <row r="484">
      <c r="B484" s="80"/>
      <c r="C484" s="14"/>
      <c r="D484" s="14"/>
      <c r="E484" s="14"/>
      <c r="F484" s="14"/>
      <c r="G484" s="14"/>
    </row>
    <row r="485">
      <c r="B485" s="80"/>
      <c r="C485" s="14"/>
      <c r="D485" s="14"/>
      <c r="E485" s="14"/>
      <c r="F485" s="14"/>
      <c r="G485" s="14"/>
    </row>
    <row r="486">
      <c r="B486" s="80"/>
      <c r="C486" s="14"/>
      <c r="D486" s="14"/>
      <c r="E486" s="14"/>
      <c r="F486" s="14"/>
      <c r="G486" s="14"/>
    </row>
    <row r="487">
      <c r="B487" s="80"/>
      <c r="C487" s="14"/>
      <c r="D487" s="14"/>
      <c r="E487" s="14"/>
      <c r="F487" s="14"/>
      <c r="G487" s="14"/>
    </row>
    <row r="488">
      <c r="B488" s="80"/>
      <c r="C488" s="14"/>
      <c r="D488" s="14"/>
      <c r="E488" s="14"/>
      <c r="F488" s="14"/>
      <c r="G488" s="14"/>
    </row>
    <row r="489">
      <c r="B489" s="80"/>
      <c r="C489" s="14"/>
      <c r="D489" s="14"/>
      <c r="E489" s="14"/>
      <c r="F489" s="14"/>
      <c r="G489" s="14"/>
    </row>
    <row r="490">
      <c r="B490" s="80"/>
      <c r="C490" s="14"/>
      <c r="D490" s="14"/>
      <c r="E490" s="14"/>
      <c r="F490" s="14"/>
      <c r="G490" s="14"/>
    </row>
    <row r="491">
      <c r="B491" s="80"/>
      <c r="C491" s="14"/>
      <c r="D491" s="14"/>
      <c r="E491" s="14"/>
      <c r="F491" s="14"/>
      <c r="G491" s="14"/>
    </row>
    <row r="492">
      <c r="B492" s="80"/>
      <c r="C492" s="14"/>
      <c r="D492" s="14"/>
      <c r="E492" s="14"/>
      <c r="F492" s="14"/>
      <c r="G492" s="14"/>
    </row>
    <row r="493">
      <c r="B493" s="80"/>
      <c r="C493" s="14"/>
      <c r="D493" s="14"/>
      <c r="E493" s="14"/>
      <c r="F493" s="14"/>
      <c r="G493" s="14"/>
    </row>
    <row r="494">
      <c r="B494" s="80"/>
      <c r="C494" s="14"/>
      <c r="D494" s="14"/>
      <c r="E494" s="14"/>
      <c r="F494" s="14"/>
      <c r="G494" s="14"/>
    </row>
    <row r="495">
      <c r="B495" s="80"/>
      <c r="C495" s="14"/>
      <c r="D495" s="14"/>
      <c r="E495" s="14"/>
      <c r="F495" s="14"/>
      <c r="G495" s="14"/>
    </row>
    <row r="496">
      <c r="B496" s="80"/>
      <c r="C496" s="14"/>
      <c r="D496" s="14"/>
      <c r="E496" s="14"/>
      <c r="F496" s="14"/>
      <c r="G496" s="14"/>
    </row>
    <row r="497">
      <c r="B497" s="80"/>
      <c r="C497" s="14"/>
      <c r="D497" s="14"/>
      <c r="E497" s="14"/>
      <c r="F497" s="14"/>
      <c r="G497" s="14"/>
    </row>
    <row r="498">
      <c r="B498" s="80"/>
      <c r="C498" s="14"/>
      <c r="D498" s="14"/>
      <c r="E498" s="14"/>
      <c r="F498" s="14"/>
      <c r="G498" s="14"/>
    </row>
    <row r="499">
      <c r="B499" s="80"/>
      <c r="C499" s="14"/>
      <c r="D499" s="14"/>
      <c r="E499" s="14"/>
      <c r="F499" s="14"/>
      <c r="G499" s="14"/>
    </row>
    <row r="500">
      <c r="B500" s="80"/>
      <c r="C500" s="14"/>
      <c r="D500" s="14"/>
      <c r="E500" s="14"/>
      <c r="F500" s="14"/>
      <c r="G500" s="14"/>
    </row>
    <row r="501">
      <c r="B501" s="80"/>
      <c r="C501" s="14"/>
      <c r="D501" s="14"/>
      <c r="E501" s="14"/>
      <c r="F501" s="14"/>
      <c r="G501" s="14"/>
    </row>
    <row r="502">
      <c r="B502" s="80"/>
      <c r="C502" s="14"/>
      <c r="D502" s="14"/>
      <c r="E502" s="14"/>
      <c r="F502" s="14"/>
      <c r="G502" s="14"/>
    </row>
    <row r="503">
      <c r="B503" s="80"/>
      <c r="C503" s="14"/>
      <c r="D503" s="14"/>
      <c r="E503" s="14"/>
      <c r="F503" s="14"/>
      <c r="G503" s="14"/>
    </row>
    <row r="504">
      <c r="B504" s="80"/>
      <c r="C504" s="14"/>
      <c r="D504" s="14"/>
      <c r="E504" s="14"/>
      <c r="F504" s="14"/>
      <c r="G504" s="14"/>
    </row>
    <row r="505">
      <c r="B505" s="80"/>
      <c r="C505" s="14"/>
      <c r="D505" s="14"/>
      <c r="E505" s="14"/>
      <c r="F505" s="14"/>
      <c r="G505" s="14"/>
    </row>
    <row r="506">
      <c r="B506" s="80"/>
      <c r="C506" s="14"/>
      <c r="D506" s="14"/>
      <c r="E506" s="14"/>
      <c r="F506" s="14"/>
      <c r="G506" s="14"/>
    </row>
    <row r="507">
      <c r="B507" s="80"/>
      <c r="C507" s="14"/>
      <c r="D507" s="14"/>
      <c r="E507" s="14"/>
      <c r="F507" s="14"/>
      <c r="G507" s="14"/>
    </row>
    <row r="508">
      <c r="B508" s="80"/>
      <c r="C508" s="14"/>
      <c r="D508" s="14"/>
      <c r="E508" s="14"/>
      <c r="F508" s="14"/>
      <c r="G508" s="14"/>
    </row>
    <row r="509">
      <c r="B509" s="80"/>
      <c r="C509" s="14"/>
      <c r="D509" s="14"/>
      <c r="E509" s="14"/>
      <c r="F509" s="14"/>
      <c r="G509" s="14"/>
    </row>
    <row r="510">
      <c r="B510" s="80"/>
      <c r="C510" s="14"/>
      <c r="D510" s="14"/>
      <c r="E510" s="14"/>
      <c r="F510" s="14"/>
      <c r="G510" s="14"/>
    </row>
    <row r="511">
      <c r="B511" s="80"/>
      <c r="C511" s="14"/>
      <c r="D511" s="14"/>
      <c r="E511" s="14"/>
      <c r="F511" s="14"/>
      <c r="G511" s="14"/>
    </row>
    <row r="512">
      <c r="B512" s="80"/>
      <c r="C512" s="14"/>
      <c r="D512" s="14"/>
      <c r="E512" s="14"/>
      <c r="F512" s="14"/>
      <c r="G512" s="14"/>
    </row>
    <row r="513">
      <c r="B513" s="80"/>
      <c r="C513" s="14"/>
      <c r="D513" s="14"/>
      <c r="E513" s="14"/>
      <c r="F513" s="14"/>
      <c r="G513" s="14"/>
    </row>
    <row r="514">
      <c r="B514" s="80"/>
      <c r="C514" s="14"/>
      <c r="D514" s="14"/>
      <c r="E514" s="14"/>
      <c r="F514" s="14"/>
      <c r="G514" s="14"/>
    </row>
    <row r="515">
      <c r="B515" s="80"/>
      <c r="C515" s="14"/>
      <c r="D515" s="14"/>
      <c r="E515" s="14"/>
      <c r="F515" s="14"/>
      <c r="G515" s="14"/>
    </row>
    <row r="516">
      <c r="B516" s="80"/>
      <c r="C516" s="14"/>
      <c r="D516" s="14"/>
      <c r="E516" s="14"/>
      <c r="F516" s="14"/>
      <c r="G516" s="14"/>
    </row>
    <row r="517">
      <c r="B517" s="80"/>
      <c r="C517" s="14"/>
      <c r="D517" s="14"/>
      <c r="E517" s="14"/>
      <c r="F517" s="14"/>
      <c r="G517" s="14"/>
    </row>
    <row r="518">
      <c r="B518" s="80"/>
      <c r="C518" s="14"/>
      <c r="D518" s="14"/>
      <c r="E518" s="14"/>
      <c r="F518" s="14"/>
      <c r="G518" s="14"/>
    </row>
    <row r="519">
      <c r="B519" s="80"/>
      <c r="C519" s="14"/>
      <c r="D519" s="14"/>
      <c r="E519" s="14"/>
      <c r="F519" s="14"/>
      <c r="G519" s="14"/>
    </row>
    <row r="520">
      <c r="B520" s="80"/>
      <c r="C520" s="14"/>
      <c r="D520" s="14"/>
      <c r="E520" s="14"/>
      <c r="F520" s="14"/>
      <c r="G520" s="14"/>
    </row>
    <row r="521">
      <c r="B521" s="80"/>
      <c r="C521" s="14"/>
      <c r="D521" s="14"/>
      <c r="E521" s="14"/>
      <c r="F521" s="14"/>
      <c r="G521" s="14"/>
    </row>
    <row r="522">
      <c r="B522" s="80"/>
      <c r="C522" s="14"/>
      <c r="D522" s="14"/>
      <c r="E522" s="14"/>
      <c r="F522" s="14"/>
      <c r="G522" s="14"/>
    </row>
    <row r="523">
      <c r="B523" s="80"/>
      <c r="C523" s="14"/>
      <c r="D523" s="14"/>
      <c r="E523" s="14"/>
      <c r="F523" s="14"/>
      <c r="G523" s="14"/>
    </row>
    <row r="524">
      <c r="B524" s="80"/>
      <c r="C524" s="14"/>
      <c r="D524" s="14"/>
      <c r="E524" s="14"/>
      <c r="F524" s="14"/>
      <c r="G524" s="14"/>
    </row>
    <row r="525">
      <c r="B525" s="80"/>
      <c r="C525" s="14"/>
      <c r="D525" s="14"/>
      <c r="E525" s="14"/>
      <c r="F525" s="14"/>
      <c r="G525" s="14"/>
    </row>
    <row r="526">
      <c r="B526" s="80"/>
      <c r="C526" s="14"/>
      <c r="D526" s="14"/>
      <c r="E526" s="14"/>
      <c r="F526" s="14"/>
      <c r="G526" s="14"/>
    </row>
    <row r="527">
      <c r="B527" s="80"/>
      <c r="C527" s="14"/>
      <c r="D527" s="14"/>
      <c r="E527" s="14"/>
      <c r="F527" s="14"/>
      <c r="G527" s="14"/>
    </row>
    <row r="528">
      <c r="B528" s="80"/>
      <c r="C528" s="14"/>
      <c r="D528" s="14"/>
      <c r="E528" s="14"/>
      <c r="F528" s="14"/>
      <c r="G528" s="14"/>
    </row>
    <row r="529">
      <c r="B529" s="80"/>
      <c r="C529" s="14"/>
      <c r="D529" s="14"/>
      <c r="E529" s="14"/>
      <c r="F529" s="14"/>
      <c r="G529" s="14"/>
    </row>
    <row r="530">
      <c r="B530" s="80"/>
      <c r="C530" s="14"/>
      <c r="D530" s="14"/>
      <c r="E530" s="14"/>
      <c r="F530" s="14"/>
      <c r="G530" s="14"/>
    </row>
    <row r="531">
      <c r="B531" s="80"/>
      <c r="C531" s="14"/>
      <c r="D531" s="14"/>
      <c r="E531" s="14"/>
      <c r="F531" s="14"/>
      <c r="G531" s="14"/>
    </row>
    <row r="532">
      <c r="B532" s="80"/>
      <c r="C532" s="14"/>
      <c r="D532" s="14"/>
      <c r="E532" s="14"/>
      <c r="F532" s="14"/>
      <c r="G532" s="14"/>
    </row>
    <row r="533">
      <c r="B533" s="80"/>
      <c r="C533" s="14"/>
      <c r="D533" s="14"/>
      <c r="E533" s="14"/>
      <c r="F533" s="14"/>
      <c r="G533" s="14"/>
    </row>
    <row r="534">
      <c r="B534" s="80"/>
      <c r="C534" s="14"/>
      <c r="D534" s="14"/>
      <c r="E534" s="14"/>
      <c r="F534" s="14"/>
      <c r="G534" s="14"/>
    </row>
    <row r="535">
      <c r="B535" s="80"/>
      <c r="C535" s="14"/>
      <c r="D535" s="14"/>
      <c r="E535" s="14"/>
      <c r="F535" s="14"/>
      <c r="G535" s="14"/>
    </row>
    <row r="536">
      <c r="B536" s="80"/>
      <c r="C536" s="14"/>
      <c r="D536" s="14"/>
      <c r="E536" s="14"/>
      <c r="F536" s="14"/>
      <c r="G536" s="14"/>
    </row>
    <row r="537">
      <c r="B537" s="80"/>
      <c r="C537" s="14"/>
      <c r="D537" s="14"/>
      <c r="E537" s="14"/>
      <c r="F537" s="14"/>
      <c r="G537" s="14"/>
    </row>
    <row r="538">
      <c r="B538" s="80"/>
      <c r="C538" s="14"/>
      <c r="D538" s="14"/>
      <c r="E538" s="14"/>
      <c r="F538" s="14"/>
      <c r="G538" s="14"/>
    </row>
    <row r="539">
      <c r="B539" s="80"/>
      <c r="C539" s="14"/>
      <c r="D539" s="14"/>
      <c r="E539" s="14"/>
      <c r="F539" s="14"/>
      <c r="G539" s="14"/>
    </row>
    <row r="540">
      <c r="B540" s="80"/>
      <c r="C540" s="14"/>
      <c r="D540" s="14"/>
      <c r="E540" s="14"/>
      <c r="F540" s="14"/>
      <c r="G540" s="14"/>
    </row>
    <row r="541">
      <c r="B541" s="80"/>
      <c r="C541" s="14"/>
      <c r="D541" s="14"/>
      <c r="E541" s="14"/>
      <c r="F541" s="14"/>
      <c r="G541" s="14"/>
    </row>
    <row r="542">
      <c r="B542" s="80"/>
      <c r="C542" s="14"/>
      <c r="D542" s="14"/>
      <c r="E542" s="14"/>
      <c r="F542" s="14"/>
      <c r="G542" s="14"/>
    </row>
    <row r="543">
      <c r="B543" s="80"/>
      <c r="C543" s="14"/>
      <c r="D543" s="14"/>
      <c r="E543" s="14"/>
      <c r="F543" s="14"/>
      <c r="G543" s="14"/>
    </row>
    <row r="544">
      <c r="B544" s="80"/>
      <c r="C544" s="14"/>
      <c r="D544" s="14"/>
      <c r="E544" s="14"/>
      <c r="F544" s="14"/>
      <c r="G544" s="14"/>
    </row>
    <row r="545">
      <c r="B545" s="80"/>
      <c r="C545" s="14"/>
      <c r="D545" s="14"/>
      <c r="E545" s="14"/>
      <c r="F545" s="14"/>
      <c r="G545" s="14"/>
    </row>
    <row r="546">
      <c r="B546" s="80"/>
      <c r="C546" s="14"/>
      <c r="D546" s="14"/>
      <c r="E546" s="14"/>
      <c r="F546" s="14"/>
      <c r="G546" s="14"/>
    </row>
    <row r="547">
      <c r="B547" s="80"/>
      <c r="C547" s="14"/>
      <c r="D547" s="14"/>
      <c r="E547" s="14"/>
      <c r="F547" s="14"/>
      <c r="G547" s="14"/>
    </row>
    <row r="548">
      <c r="B548" s="80"/>
      <c r="C548" s="14"/>
      <c r="D548" s="14"/>
      <c r="E548" s="14"/>
      <c r="F548" s="14"/>
      <c r="G548" s="14"/>
    </row>
    <row r="549">
      <c r="B549" s="80"/>
      <c r="C549" s="14"/>
      <c r="D549" s="14"/>
      <c r="E549" s="14"/>
      <c r="F549" s="14"/>
      <c r="G549" s="14"/>
    </row>
    <row r="550">
      <c r="B550" s="80"/>
      <c r="C550" s="14"/>
      <c r="D550" s="14"/>
      <c r="E550" s="14"/>
      <c r="F550" s="14"/>
      <c r="G550" s="14"/>
    </row>
    <row r="551">
      <c r="B551" s="80"/>
      <c r="C551" s="14"/>
      <c r="D551" s="14"/>
      <c r="E551" s="14"/>
      <c r="F551" s="14"/>
      <c r="G551" s="14"/>
    </row>
    <row r="552">
      <c r="B552" s="80"/>
      <c r="C552" s="14"/>
      <c r="D552" s="14"/>
      <c r="E552" s="14"/>
      <c r="F552" s="14"/>
      <c r="G552" s="14"/>
    </row>
    <row r="553">
      <c r="B553" s="80"/>
      <c r="C553" s="14"/>
      <c r="D553" s="14"/>
      <c r="E553" s="14"/>
      <c r="F553" s="14"/>
      <c r="G553" s="14"/>
    </row>
    <row r="554">
      <c r="B554" s="80"/>
      <c r="C554" s="14"/>
      <c r="D554" s="14"/>
      <c r="E554" s="14"/>
      <c r="F554" s="14"/>
      <c r="G554" s="14"/>
    </row>
    <row r="555">
      <c r="B555" s="80"/>
      <c r="C555" s="14"/>
      <c r="D555" s="14"/>
      <c r="E555" s="14"/>
      <c r="F555" s="14"/>
      <c r="G555" s="14"/>
    </row>
    <row r="556">
      <c r="B556" s="80"/>
      <c r="C556" s="14"/>
      <c r="D556" s="14"/>
      <c r="E556" s="14"/>
      <c r="F556" s="14"/>
      <c r="G556" s="14"/>
    </row>
    <row r="557">
      <c r="B557" s="80"/>
      <c r="C557" s="14"/>
      <c r="D557" s="14"/>
      <c r="E557" s="14"/>
      <c r="F557" s="14"/>
      <c r="G557" s="14"/>
    </row>
    <row r="558">
      <c r="B558" s="80"/>
      <c r="C558" s="14"/>
      <c r="D558" s="14"/>
      <c r="E558" s="14"/>
      <c r="F558" s="14"/>
      <c r="G558" s="14"/>
    </row>
    <row r="559">
      <c r="B559" s="80"/>
      <c r="C559" s="14"/>
      <c r="D559" s="14"/>
      <c r="E559" s="14"/>
      <c r="F559" s="14"/>
      <c r="G559" s="14"/>
    </row>
    <row r="560">
      <c r="B560" s="80"/>
      <c r="C560" s="14"/>
      <c r="D560" s="14"/>
      <c r="E560" s="14"/>
      <c r="F560" s="14"/>
      <c r="G560" s="14"/>
    </row>
    <row r="561">
      <c r="B561" s="80"/>
      <c r="C561" s="14"/>
      <c r="D561" s="14"/>
      <c r="E561" s="14"/>
      <c r="F561" s="14"/>
      <c r="G561" s="14"/>
    </row>
    <row r="562">
      <c r="B562" s="80"/>
      <c r="C562" s="14"/>
      <c r="D562" s="14"/>
      <c r="E562" s="14"/>
      <c r="F562" s="14"/>
      <c r="G562" s="14"/>
    </row>
    <row r="563">
      <c r="B563" s="80"/>
      <c r="C563" s="14"/>
      <c r="D563" s="14"/>
      <c r="E563" s="14"/>
      <c r="F563" s="14"/>
      <c r="G563" s="14"/>
    </row>
    <row r="564">
      <c r="B564" s="80"/>
      <c r="C564" s="14"/>
      <c r="D564" s="14"/>
      <c r="E564" s="14"/>
      <c r="F564" s="14"/>
      <c r="G564" s="14"/>
    </row>
    <row r="565">
      <c r="B565" s="80"/>
      <c r="C565" s="14"/>
      <c r="D565" s="14"/>
      <c r="E565" s="14"/>
      <c r="F565" s="14"/>
      <c r="G565" s="14"/>
    </row>
    <row r="566">
      <c r="B566" s="80"/>
      <c r="C566" s="14"/>
      <c r="D566" s="14"/>
      <c r="E566" s="14"/>
      <c r="F566" s="14"/>
      <c r="G566" s="14"/>
    </row>
    <row r="567">
      <c r="B567" s="80"/>
      <c r="C567" s="14"/>
      <c r="D567" s="14"/>
      <c r="E567" s="14"/>
      <c r="F567" s="14"/>
      <c r="G567" s="14"/>
    </row>
    <row r="568">
      <c r="B568" s="80"/>
      <c r="C568" s="14"/>
      <c r="D568" s="14"/>
      <c r="E568" s="14"/>
      <c r="F568" s="14"/>
      <c r="G568" s="14"/>
    </row>
    <row r="569">
      <c r="B569" s="80"/>
      <c r="C569" s="14"/>
      <c r="D569" s="14"/>
      <c r="E569" s="14"/>
      <c r="F569" s="14"/>
      <c r="G569" s="14"/>
    </row>
    <row r="570">
      <c r="B570" s="80"/>
      <c r="C570" s="14"/>
      <c r="D570" s="14"/>
      <c r="E570" s="14"/>
      <c r="F570" s="14"/>
      <c r="G570" s="14"/>
    </row>
    <row r="571">
      <c r="B571" s="80"/>
      <c r="C571" s="14"/>
      <c r="D571" s="14"/>
      <c r="E571" s="14"/>
      <c r="F571" s="14"/>
      <c r="G571" s="14"/>
    </row>
    <row r="572">
      <c r="B572" s="80"/>
      <c r="C572" s="14"/>
      <c r="D572" s="14"/>
      <c r="E572" s="14"/>
      <c r="F572" s="14"/>
      <c r="G572" s="14"/>
    </row>
    <row r="573">
      <c r="B573" s="80"/>
      <c r="C573" s="14"/>
      <c r="D573" s="14"/>
      <c r="E573" s="14"/>
      <c r="F573" s="14"/>
      <c r="G573" s="14"/>
    </row>
    <row r="574">
      <c r="B574" s="80"/>
      <c r="C574" s="14"/>
      <c r="D574" s="14"/>
      <c r="E574" s="14"/>
      <c r="F574" s="14"/>
      <c r="G574" s="14"/>
    </row>
    <row r="575">
      <c r="B575" s="80"/>
      <c r="C575" s="14"/>
      <c r="D575" s="14"/>
      <c r="E575" s="14"/>
      <c r="F575" s="14"/>
      <c r="G575" s="14"/>
    </row>
    <row r="576">
      <c r="B576" s="80"/>
      <c r="C576" s="14"/>
      <c r="D576" s="14"/>
      <c r="E576" s="14"/>
      <c r="F576" s="14"/>
      <c r="G576" s="14"/>
    </row>
    <row r="577">
      <c r="B577" s="80"/>
      <c r="C577" s="14"/>
      <c r="D577" s="14"/>
      <c r="E577" s="14"/>
      <c r="F577" s="14"/>
      <c r="G577" s="14"/>
    </row>
    <row r="578">
      <c r="B578" s="80"/>
      <c r="C578" s="14"/>
      <c r="D578" s="14"/>
      <c r="E578" s="14"/>
      <c r="F578" s="14"/>
      <c r="G578" s="14"/>
    </row>
    <row r="579">
      <c r="B579" s="80"/>
      <c r="C579" s="14"/>
      <c r="D579" s="14"/>
      <c r="E579" s="14"/>
      <c r="F579" s="14"/>
      <c r="G579" s="14"/>
    </row>
    <row r="580">
      <c r="B580" s="80"/>
      <c r="C580" s="14"/>
      <c r="D580" s="14"/>
      <c r="E580" s="14"/>
      <c r="F580" s="14"/>
      <c r="G580" s="14"/>
    </row>
    <row r="581">
      <c r="B581" s="80"/>
      <c r="C581" s="14"/>
      <c r="D581" s="14"/>
      <c r="E581" s="14"/>
      <c r="F581" s="14"/>
      <c r="G581" s="14"/>
    </row>
    <row r="582">
      <c r="B582" s="80"/>
      <c r="C582" s="14"/>
      <c r="D582" s="14"/>
      <c r="E582" s="14"/>
      <c r="F582" s="14"/>
      <c r="G582" s="14"/>
    </row>
    <row r="583">
      <c r="B583" s="80"/>
      <c r="C583" s="14"/>
      <c r="D583" s="14"/>
      <c r="E583" s="14"/>
      <c r="F583" s="14"/>
      <c r="G583" s="14"/>
    </row>
    <row r="584">
      <c r="B584" s="80"/>
      <c r="C584" s="14"/>
      <c r="D584" s="14"/>
      <c r="E584" s="14"/>
      <c r="F584" s="14"/>
      <c r="G584" s="14"/>
    </row>
    <row r="585">
      <c r="B585" s="80"/>
      <c r="C585" s="14"/>
      <c r="D585" s="14"/>
      <c r="E585" s="14"/>
      <c r="F585" s="14"/>
      <c r="G585" s="14"/>
    </row>
    <row r="586">
      <c r="B586" s="80"/>
      <c r="C586" s="14"/>
      <c r="D586" s="14"/>
      <c r="E586" s="14"/>
      <c r="F586" s="14"/>
      <c r="G586" s="14"/>
    </row>
    <row r="587">
      <c r="B587" s="80"/>
      <c r="C587" s="14"/>
      <c r="D587" s="14"/>
      <c r="E587" s="14"/>
      <c r="F587" s="14"/>
      <c r="G587" s="14"/>
    </row>
    <row r="588">
      <c r="B588" s="80"/>
      <c r="C588" s="14"/>
      <c r="D588" s="14"/>
      <c r="E588" s="14"/>
      <c r="F588" s="14"/>
      <c r="G588" s="14"/>
    </row>
    <row r="589">
      <c r="B589" s="80"/>
      <c r="C589" s="14"/>
      <c r="D589" s="14"/>
      <c r="E589" s="14"/>
      <c r="F589" s="14"/>
      <c r="G589" s="14"/>
    </row>
    <row r="590">
      <c r="B590" s="80"/>
      <c r="C590" s="14"/>
      <c r="D590" s="14"/>
      <c r="E590" s="14"/>
      <c r="F590" s="14"/>
      <c r="G590" s="14"/>
    </row>
    <row r="591">
      <c r="B591" s="80"/>
      <c r="C591" s="14"/>
      <c r="D591" s="14"/>
      <c r="E591" s="14"/>
      <c r="F591" s="14"/>
      <c r="G591" s="14"/>
    </row>
    <row r="592">
      <c r="B592" s="80"/>
      <c r="C592" s="14"/>
      <c r="D592" s="14"/>
      <c r="E592" s="14"/>
      <c r="F592" s="14"/>
      <c r="G592" s="14"/>
    </row>
    <row r="593">
      <c r="B593" s="80"/>
      <c r="C593" s="14"/>
      <c r="D593" s="14"/>
      <c r="E593" s="14"/>
      <c r="F593" s="14"/>
      <c r="G593" s="14"/>
    </row>
    <row r="594">
      <c r="B594" s="80"/>
      <c r="C594" s="14"/>
      <c r="D594" s="14"/>
      <c r="E594" s="14"/>
      <c r="F594" s="14"/>
      <c r="G594" s="14"/>
    </row>
    <row r="595">
      <c r="B595" s="80"/>
      <c r="C595" s="14"/>
      <c r="D595" s="14"/>
      <c r="E595" s="14"/>
      <c r="F595" s="14"/>
      <c r="G595" s="14"/>
    </row>
    <row r="596">
      <c r="B596" s="80"/>
      <c r="C596" s="14"/>
      <c r="D596" s="14"/>
      <c r="E596" s="14"/>
      <c r="F596" s="14"/>
      <c r="G596" s="14"/>
    </row>
    <row r="597">
      <c r="B597" s="80"/>
      <c r="C597" s="14"/>
      <c r="D597" s="14"/>
      <c r="E597" s="14"/>
      <c r="F597" s="14"/>
      <c r="G597" s="14"/>
    </row>
    <row r="598">
      <c r="B598" s="80"/>
      <c r="C598" s="14"/>
      <c r="D598" s="14"/>
      <c r="E598" s="14"/>
      <c r="F598" s="14"/>
      <c r="G598" s="14"/>
    </row>
    <row r="599">
      <c r="B599" s="80"/>
      <c r="C599" s="14"/>
      <c r="D599" s="14"/>
      <c r="E599" s="14"/>
      <c r="F599" s="14"/>
      <c r="G599" s="14"/>
    </row>
    <row r="600">
      <c r="B600" s="80"/>
      <c r="C600" s="14"/>
      <c r="D600" s="14"/>
      <c r="E600" s="14"/>
      <c r="F600" s="14"/>
      <c r="G600" s="14"/>
    </row>
    <row r="601">
      <c r="B601" s="80"/>
      <c r="C601" s="14"/>
      <c r="D601" s="14"/>
      <c r="E601" s="14"/>
      <c r="F601" s="14"/>
      <c r="G601" s="14"/>
    </row>
    <row r="602">
      <c r="B602" s="80"/>
      <c r="C602" s="14"/>
      <c r="D602" s="14"/>
      <c r="E602" s="14"/>
      <c r="F602" s="14"/>
      <c r="G602" s="14"/>
    </row>
    <row r="603">
      <c r="B603" s="80"/>
      <c r="C603" s="14"/>
      <c r="D603" s="14"/>
      <c r="E603" s="14"/>
      <c r="F603" s="14"/>
      <c r="G603" s="14"/>
    </row>
    <row r="604">
      <c r="B604" s="80"/>
      <c r="C604" s="14"/>
      <c r="D604" s="14"/>
      <c r="E604" s="14"/>
      <c r="F604" s="14"/>
      <c r="G604" s="14"/>
    </row>
    <row r="605">
      <c r="B605" s="80"/>
      <c r="C605" s="14"/>
      <c r="D605" s="14"/>
      <c r="E605" s="14"/>
      <c r="F605" s="14"/>
      <c r="G605" s="14"/>
    </row>
    <row r="606">
      <c r="B606" s="80"/>
      <c r="C606" s="14"/>
      <c r="D606" s="14"/>
      <c r="E606" s="14"/>
      <c r="F606" s="14"/>
      <c r="G606" s="14"/>
    </row>
    <row r="607">
      <c r="B607" s="80"/>
      <c r="C607" s="14"/>
      <c r="D607" s="14"/>
      <c r="E607" s="14"/>
      <c r="F607" s="14"/>
      <c r="G607" s="14"/>
    </row>
    <row r="608">
      <c r="B608" s="80"/>
      <c r="C608" s="14"/>
      <c r="D608" s="14"/>
      <c r="E608" s="14"/>
      <c r="F608" s="14"/>
      <c r="G608" s="14"/>
    </row>
    <row r="609">
      <c r="B609" s="80"/>
      <c r="C609" s="14"/>
      <c r="D609" s="14"/>
      <c r="E609" s="14"/>
      <c r="F609" s="14"/>
      <c r="G609" s="14"/>
    </row>
    <row r="610">
      <c r="B610" s="80"/>
      <c r="C610" s="14"/>
      <c r="D610" s="14"/>
      <c r="E610" s="14"/>
      <c r="F610" s="14"/>
      <c r="G610" s="14"/>
    </row>
    <row r="611">
      <c r="B611" s="80"/>
      <c r="C611" s="14"/>
      <c r="D611" s="14"/>
      <c r="E611" s="14"/>
      <c r="F611" s="14"/>
      <c r="G611" s="14"/>
    </row>
    <row r="612">
      <c r="B612" s="80"/>
      <c r="C612" s="14"/>
      <c r="D612" s="14"/>
      <c r="E612" s="14"/>
      <c r="F612" s="14"/>
      <c r="G612" s="14"/>
    </row>
    <row r="613">
      <c r="B613" s="80"/>
      <c r="C613" s="14"/>
      <c r="D613" s="14"/>
      <c r="E613" s="14"/>
      <c r="F613" s="14"/>
      <c r="G613" s="14"/>
    </row>
    <row r="614">
      <c r="B614" s="80"/>
      <c r="C614" s="14"/>
      <c r="D614" s="14"/>
      <c r="E614" s="14"/>
      <c r="F614" s="14"/>
      <c r="G614" s="14"/>
    </row>
    <row r="615">
      <c r="B615" s="80"/>
      <c r="C615" s="14"/>
      <c r="D615" s="14"/>
      <c r="E615" s="14"/>
      <c r="F615" s="14"/>
      <c r="G615" s="14"/>
    </row>
    <row r="616">
      <c r="B616" s="80"/>
      <c r="C616" s="14"/>
      <c r="D616" s="14"/>
      <c r="E616" s="14"/>
      <c r="F616" s="14"/>
      <c r="G616" s="14"/>
    </row>
    <row r="617">
      <c r="B617" s="80"/>
      <c r="C617" s="14"/>
      <c r="D617" s="14"/>
      <c r="E617" s="14"/>
      <c r="F617" s="14"/>
      <c r="G617" s="14"/>
    </row>
    <row r="618">
      <c r="B618" s="80"/>
      <c r="C618" s="14"/>
      <c r="D618" s="14"/>
      <c r="E618" s="14"/>
      <c r="F618" s="14"/>
      <c r="G618" s="14"/>
    </row>
    <row r="619">
      <c r="B619" s="80"/>
      <c r="C619" s="14"/>
      <c r="D619" s="14"/>
      <c r="E619" s="14"/>
      <c r="F619" s="14"/>
      <c r="G619" s="14"/>
    </row>
    <row r="620">
      <c r="B620" s="80"/>
      <c r="C620" s="14"/>
      <c r="D620" s="14"/>
      <c r="E620" s="14"/>
      <c r="F620" s="14"/>
      <c r="G620" s="14"/>
    </row>
    <row r="621">
      <c r="B621" s="80"/>
      <c r="C621" s="14"/>
      <c r="D621" s="14"/>
      <c r="E621" s="14"/>
      <c r="F621" s="14"/>
      <c r="G621" s="14"/>
    </row>
    <row r="622">
      <c r="B622" s="80"/>
      <c r="C622" s="14"/>
      <c r="D622" s="14"/>
      <c r="E622" s="14"/>
      <c r="F622" s="14"/>
      <c r="G622" s="14"/>
    </row>
    <row r="623">
      <c r="B623" s="80"/>
      <c r="C623" s="14"/>
      <c r="D623" s="14"/>
      <c r="E623" s="14"/>
      <c r="F623" s="14"/>
      <c r="G623" s="14"/>
    </row>
    <row r="624">
      <c r="B624" s="80"/>
      <c r="C624" s="14"/>
      <c r="D624" s="14"/>
      <c r="E624" s="14"/>
      <c r="F624" s="14"/>
      <c r="G624" s="14"/>
    </row>
    <row r="625">
      <c r="B625" s="80"/>
      <c r="C625" s="14"/>
      <c r="D625" s="14"/>
      <c r="E625" s="14"/>
      <c r="F625" s="14"/>
      <c r="G625" s="14"/>
    </row>
    <row r="626">
      <c r="B626" s="80"/>
      <c r="C626" s="14"/>
      <c r="D626" s="14"/>
      <c r="E626" s="14"/>
      <c r="F626" s="14"/>
      <c r="G626" s="14"/>
    </row>
    <row r="627">
      <c r="B627" s="80"/>
      <c r="C627" s="14"/>
      <c r="D627" s="14"/>
      <c r="E627" s="14"/>
      <c r="F627" s="14"/>
      <c r="G627" s="14"/>
    </row>
    <row r="628">
      <c r="B628" s="80"/>
      <c r="C628" s="14"/>
      <c r="D628" s="14"/>
      <c r="E628" s="14"/>
      <c r="F628" s="14"/>
      <c r="G628" s="14"/>
    </row>
    <row r="629">
      <c r="B629" s="80"/>
      <c r="C629" s="14"/>
      <c r="D629" s="14"/>
      <c r="E629" s="14"/>
      <c r="F629" s="14"/>
      <c r="G629" s="14"/>
    </row>
    <row r="630">
      <c r="B630" s="80"/>
      <c r="C630" s="14"/>
      <c r="D630" s="14"/>
      <c r="E630" s="14"/>
      <c r="F630" s="14"/>
      <c r="G630" s="14"/>
    </row>
    <row r="631">
      <c r="B631" s="80"/>
      <c r="C631" s="14"/>
      <c r="D631" s="14"/>
      <c r="E631" s="14"/>
      <c r="F631" s="14"/>
      <c r="G631" s="14"/>
    </row>
    <row r="632">
      <c r="B632" s="80"/>
      <c r="C632" s="14"/>
      <c r="D632" s="14"/>
      <c r="E632" s="14"/>
      <c r="F632" s="14"/>
      <c r="G632" s="14"/>
    </row>
    <row r="633">
      <c r="B633" s="80"/>
      <c r="C633" s="14"/>
      <c r="D633" s="14"/>
      <c r="E633" s="14"/>
      <c r="F633" s="14"/>
      <c r="G633" s="14"/>
    </row>
    <row r="634">
      <c r="B634" s="80"/>
      <c r="C634" s="14"/>
      <c r="D634" s="14"/>
      <c r="E634" s="14"/>
      <c r="F634" s="14"/>
      <c r="G634" s="14"/>
    </row>
    <row r="635">
      <c r="B635" s="80"/>
      <c r="C635" s="14"/>
      <c r="D635" s="14"/>
      <c r="E635" s="14"/>
      <c r="F635" s="14"/>
      <c r="G635" s="14"/>
    </row>
    <row r="636">
      <c r="B636" s="80"/>
      <c r="C636" s="14"/>
      <c r="D636" s="14"/>
      <c r="E636" s="14"/>
      <c r="F636" s="14"/>
      <c r="G636" s="14"/>
    </row>
    <row r="637">
      <c r="B637" s="80"/>
      <c r="C637" s="14"/>
      <c r="D637" s="14"/>
      <c r="E637" s="14"/>
      <c r="F637" s="14"/>
      <c r="G637" s="14"/>
    </row>
    <row r="638">
      <c r="B638" s="80"/>
      <c r="C638" s="14"/>
      <c r="D638" s="14"/>
      <c r="E638" s="14"/>
      <c r="F638" s="14"/>
      <c r="G638" s="14"/>
    </row>
    <row r="639">
      <c r="B639" s="80"/>
      <c r="C639" s="14"/>
      <c r="D639" s="14"/>
      <c r="E639" s="14"/>
      <c r="F639" s="14"/>
      <c r="G639" s="14"/>
    </row>
    <row r="640">
      <c r="B640" s="80"/>
      <c r="C640" s="14"/>
      <c r="D640" s="14"/>
      <c r="E640" s="14"/>
      <c r="F640" s="14"/>
      <c r="G640" s="14"/>
    </row>
    <row r="641">
      <c r="B641" s="80"/>
      <c r="C641" s="14"/>
      <c r="D641" s="14"/>
      <c r="E641" s="14"/>
      <c r="F641" s="14"/>
      <c r="G641" s="14"/>
    </row>
    <row r="642">
      <c r="B642" s="80"/>
      <c r="C642" s="14"/>
      <c r="D642" s="14"/>
      <c r="E642" s="14"/>
      <c r="F642" s="14"/>
      <c r="G642" s="14"/>
    </row>
    <row r="643">
      <c r="B643" s="80"/>
      <c r="C643" s="14"/>
      <c r="D643" s="14"/>
      <c r="E643" s="14"/>
      <c r="F643" s="14"/>
      <c r="G643" s="14"/>
    </row>
    <row r="644">
      <c r="B644" s="80"/>
      <c r="C644" s="14"/>
      <c r="D644" s="14"/>
      <c r="E644" s="14"/>
      <c r="F644" s="14"/>
      <c r="G644" s="14"/>
    </row>
    <row r="645">
      <c r="B645" s="80"/>
      <c r="C645" s="14"/>
      <c r="D645" s="14"/>
      <c r="E645" s="14"/>
      <c r="F645" s="14"/>
      <c r="G645" s="14"/>
    </row>
    <row r="646">
      <c r="B646" s="80"/>
      <c r="C646" s="14"/>
      <c r="D646" s="14"/>
      <c r="E646" s="14"/>
      <c r="F646" s="14"/>
      <c r="G646" s="14"/>
    </row>
    <row r="647">
      <c r="B647" s="80"/>
      <c r="C647" s="14"/>
      <c r="D647" s="14"/>
      <c r="E647" s="14"/>
      <c r="F647" s="14"/>
      <c r="G647" s="14"/>
    </row>
    <row r="648">
      <c r="B648" s="80"/>
      <c r="C648" s="14"/>
      <c r="D648" s="14"/>
      <c r="E648" s="14"/>
      <c r="F648" s="14"/>
      <c r="G648" s="14"/>
    </row>
    <row r="649">
      <c r="B649" s="80"/>
      <c r="C649" s="14"/>
      <c r="D649" s="14"/>
      <c r="E649" s="14"/>
      <c r="F649" s="14"/>
      <c r="G649" s="14"/>
    </row>
    <row r="650">
      <c r="B650" s="80"/>
      <c r="C650" s="14"/>
      <c r="D650" s="14"/>
      <c r="E650" s="14"/>
      <c r="F650" s="14"/>
      <c r="G650" s="14"/>
    </row>
    <row r="651">
      <c r="B651" s="80"/>
      <c r="C651" s="14"/>
      <c r="D651" s="14"/>
      <c r="E651" s="14"/>
      <c r="F651" s="14"/>
      <c r="G651" s="14"/>
    </row>
    <row r="652">
      <c r="B652" s="80"/>
      <c r="C652" s="14"/>
      <c r="D652" s="14"/>
      <c r="E652" s="14"/>
      <c r="F652" s="14"/>
      <c r="G652" s="14"/>
    </row>
    <row r="653">
      <c r="B653" s="80"/>
      <c r="C653" s="14"/>
      <c r="D653" s="14"/>
      <c r="E653" s="14"/>
      <c r="F653" s="14"/>
      <c r="G653" s="14"/>
    </row>
    <row r="654">
      <c r="B654" s="80"/>
      <c r="C654" s="14"/>
      <c r="D654" s="14"/>
      <c r="E654" s="14"/>
      <c r="F654" s="14"/>
      <c r="G654" s="14"/>
    </row>
    <row r="655">
      <c r="B655" s="80"/>
      <c r="C655" s="14"/>
      <c r="D655" s="14"/>
      <c r="E655" s="14"/>
      <c r="F655" s="14"/>
      <c r="G655" s="14"/>
    </row>
    <row r="656">
      <c r="B656" s="80"/>
      <c r="C656" s="14"/>
      <c r="D656" s="14"/>
      <c r="E656" s="14"/>
      <c r="F656" s="14"/>
      <c r="G656" s="14"/>
    </row>
    <row r="657">
      <c r="B657" s="80"/>
      <c r="C657" s="14"/>
      <c r="D657" s="14"/>
      <c r="E657" s="14"/>
      <c r="F657" s="14"/>
      <c r="G657" s="14"/>
    </row>
    <row r="658">
      <c r="B658" s="80"/>
      <c r="C658" s="14"/>
      <c r="D658" s="14"/>
      <c r="E658" s="14"/>
      <c r="F658" s="14"/>
      <c r="G658" s="14"/>
    </row>
    <row r="659">
      <c r="B659" s="80"/>
      <c r="C659" s="14"/>
      <c r="D659" s="14"/>
      <c r="E659" s="14"/>
      <c r="F659" s="14"/>
      <c r="G659" s="14"/>
    </row>
    <row r="660">
      <c r="B660" s="80"/>
      <c r="C660" s="14"/>
      <c r="D660" s="14"/>
      <c r="E660" s="14"/>
      <c r="F660" s="14"/>
      <c r="G660" s="14"/>
    </row>
    <row r="661">
      <c r="B661" s="80"/>
      <c r="C661" s="14"/>
      <c r="D661" s="14"/>
      <c r="E661" s="14"/>
      <c r="F661" s="14"/>
      <c r="G661" s="14"/>
    </row>
    <row r="662">
      <c r="B662" s="80"/>
      <c r="C662" s="14"/>
      <c r="D662" s="14"/>
      <c r="E662" s="14"/>
      <c r="F662" s="14"/>
      <c r="G662" s="14"/>
    </row>
    <row r="663">
      <c r="B663" s="80"/>
      <c r="C663" s="14"/>
      <c r="D663" s="14"/>
      <c r="E663" s="14"/>
      <c r="F663" s="14"/>
      <c r="G663" s="14"/>
    </row>
    <row r="664">
      <c r="B664" s="80"/>
      <c r="C664" s="14"/>
      <c r="D664" s="14"/>
      <c r="E664" s="14"/>
      <c r="F664" s="14"/>
      <c r="G664" s="14"/>
    </row>
    <row r="665">
      <c r="B665" s="80"/>
      <c r="C665" s="14"/>
      <c r="D665" s="14"/>
      <c r="E665" s="14"/>
      <c r="F665" s="14"/>
      <c r="G665" s="14"/>
    </row>
    <row r="666">
      <c r="B666" s="80"/>
      <c r="C666" s="14"/>
      <c r="D666" s="14"/>
      <c r="E666" s="14"/>
      <c r="F666" s="14"/>
      <c r="G666" s="14"/>
    </row>
    <row r="667">
      <c r="B667" s="80"/>
      <c r="C667" s="14"/>
      <c r="D667" s="14"/>
      <c r="E667" s="14"/>
      <c r="F667" s="14"/>
      <c r="G667" s="14"/>
    </row>
    <row r="668">
      <c r="B668" s="80"/>
      <c r="C668" s="14"/>
      <c r="D668" s="14"/>
      <c r="E668" s="14"/>
      <c r="F668" s="14"/>
      <c r="G668" s="14"/>
    </row>
    <row r="669">
      <c r="B669" s="80"/>
      <c r="C669" s="14"/>
      <c r="D669" s="14"/>
      <c r="E669" s="14"/>
      <c r="F669" s="14"/>
      <c r="G669" s="14"/>
    </row>
    <row r="670">
      <c r="B670" s="80"/>
      <c r="C670" s="14"/>
      <c r="D670" s="14"/>
      <c r="E670" s="14"/>
      <c r="F670" s="14"/>
      <c r="G670" s="14"/>
    </row>
    <row r="671">
      <c r="B671" s="80"/>
      <c r="C671" s="14"/>
      <c r="D671" s="14"/>
      <c r="E671" s="14"/>
      <c r="F671" s="14"/>
      <c r="G671" s="14"/>
    </row>
    <row r="672">
      <c r="B672" s="80"/>
      <c r="C672" s="14"/>
      <c r="D672" s="14"/>
      <c r="E672" s="14"/>
      <c r="F672" s="14"/>
      <c r="G672" s="14"/>
    </row>
    <row r="673">
      <c r="B673" s="80"/>
      <c r="C673" s="14"/>
      <c r="D673" s="14"/>
      <c r="E673" s="14"/>
      <c r="F673" s="14"/>
      <c r="G673" s="14"/>
    </row>
    <row r="674">
      <c r="B674" s="80"/>
      <c r="C674" s="14"/>
      <c r="D674" s="14"/>
      <c r="E674" s="14"/>
      <c r="F674" s="14"/>
      <c r="G674" s="14"/>
    </row>
    <row r="675">
      <c r="B675" s="80"/>
      <c r="C675" s="14"/>
      <c r="D675" s="14"/>
      <c r="E675" s="14"/>
      <c r="F675" s="14"/>
      <c r="G675" s="14"/>
    </row>
    <row r="676">
      <c r="B676" s="80"/>
      <c r="C676" s="14"/>
      <c r="D676" s="14"/>
      <c r="E676" s="14"/>
      <c r="F676" s="14"/>
      <c r="G676" s="14"/>
    </row>
    <row r="677">
      <c r="B677" s="80"/>
      <c r="C677" s="14"/>
      <c r="D677" s="14"/>
      <c r="E677" s="14"/>
      <c r="F677" s="14"/>
      <c r="G677" s="14"/>
    </row>
    <row r="678">
      <c r="B678" s="80"/>
      <c r="C678" s="14"/>
      <c r="D678" s="14"/>
      <c r="E678" s="14"/>
      <c r="F678" s="14"/>
      <c r="G678" s="14"/>
    </row>
    <row r="679">
      <c r="B679" s="80"/>
      <c r="C679" s="14"/>
      <c r="D679" s="14"/>
      <c r="E679" s="14"/>
      <c r="F679" s="14"/>
      <c r="G679" s="14"/>
    </row>
    <row r="680">
      <c r="B680" s="80"/>
      <c r="C680" s="14"/>
      <c r="D680" s="14"/>
      <c r="E680" s="14"/>
      <c r="F680" s="14"/>
      <c r="G680" s="14"/>
    </row>
    <row r="681">
      <c r="B681" s="80"/>
      <c r="C681" s="14"/>
      <c r="D681" s="14"/>
      <c r="E681" s="14"/>
      <c r="F681" s="14"/>
      <c r="G681" s="14"/>
    </row>
    <row r="682">
      <c r="B682" s="80"/>
      <c r="C682" s="14"/>
      <c r="D682" s="14"/>
      <c r="E682" s="14"/>
      <c r="F682" s="14"/>
      <c r="G682" s="14"/>
    </row>
    <row r="683">
      <c r="B683" s="80"/>
      <c r="C683" s="14"/>
      <c r="D683" s="14"/>
      <c r="E683" s="14"/>
      <c r="F683" s="14"/>
      <c r="G683" s="14"/>
    </row>
    <row r="684">
      <c r="B684" s="80"/>
      <c r="C684" s="14"/>
      <c r="D684" s="14"/>
      <c r="E684" s="14"/>
      <c r="F684" s="14"/>
      <c r="G684" s="14"/>
    </row>
    <row r="685">
      <c r="B685" s="80"/>
      <c r="C685" s="14"/>
      <c r="D685" s="14"/>
      <c r="E685" s="14"/>
      <c r="F685" s="14"/>
      <c r="G685" s="14"/>
    </row>
    <row r="686">
      <c r="B686" s="80"/>
      <c r="C686" s="14"/>
      <c r="D686" s="14"/>
      <c r="E686" s="14"/>
      <c r="F686" s="14"/>
      <c r="G686" s="14"/>
    </row>
    <row r="687">
      <c r="B687" s="80"/>
      <c r="C687" s="14"/>
      <c r="D687" s="14"/>
      <c r="E687" s="14"/>
      <c r="F687" s="14"/>
      <c r="G687" s="14"/>
    </row>
    <row r="688">
      <c r="B688" s="80"/>
      <c r="C688" s="14"/>
      <c r="D688" s="14"/>
      <c r="E688" s="14"/>
      <c r="F688" s="14"/>
      <c r="G688" s="14"/>
    </row>
    <row r="689">
      <c r="B689" s="80"/>
      <c r="C689" s="14"/>
      <c r="D689" s="14"/>
      <c r="E689" s="14"/>
      <c r="F689" s="14"/>
      <c r="G689" s="14"/>
    </row>
    <row r="690">
      <c r="B690" s="80"/>
      <c r="C690" s="14"/>
      <c r="D690" s="14"/>
      <c r="E690" s="14"/>
      <c r="F690" s="14"/>
      <c r="G690" s="14"/>
    </row>
    <row r="691">
      <c r="B691" s="80"/>
      <c r="C691" s="14"/>
      <c r="D691" s="14"/>
      <c r="E691" s="14"/>
      <c r="F691" s="14"/>
      <c r="G691" s="14"/>
    </row>
    <row r="692">
      <c r="B692" s="80"/>
      <c r="C692" s="14"/>
      <c r="D692" s="14"/>
      <c r="E692" s="14"/>
      <c r="F692" s="14"/>
      <c r="G692" s="14"/>
    </row>
    <row r="693">
      <c r="B693" s="80"/>
      <c r="C693" s="14"/>
      <c r="D693" s="14"/>
      <c r="E693" s="14"/>
      <c r="F693" s="14"/>
      <c r="G693" s="14"/>
    </row>
    <row r="694">
      <c r="B694" s="80"/>
      <c r="C694" s="14"/>
      <c r="D694" s="14"/>
      <c r="E694" s="14"/>
      <c r="F694" s="14"/>
      <c r="G694" s="14"/>
    </row>
    <row r="695">
      <c r="B695" s="80"/>
      <c r="C695" s="14"/>
      <c r="D695" s="14"/>
      <c r="E695" s="14"/>
      <c r="F695" s="14"/>
      <c r="G695" s="14"/>
    </row>
    <row r="696">
      <c r="B696" s="80"/>
      <c r="C696" s="14"/>
      <c r="D696" s="14"/>
      <c r="E696" s="14"/>
      <c r="F696" s="14"/>
      <c r="G696" s="14"/>
    </row>
    <row r="697">
      <c r="B697" s="80"/>
      <c r="C697" s="14"/>
      <c r="D697" s="14"/>
      <c r="E697" s="14"/>
      <c r="F697" s="14"/>
      <c r="G697" s="14"/>
    </row>
    <row r="698">
      <c r="B698" s="80"/>
      <c r="C698" s="14"/>
      <c r="D698" s="14"/>
      <c r="E698" s="14"/>
      <c r="F698" s="14"/>
      <c r="G698" s="14"/>
    </row>
    <row r="699">
      <c r="B699" s="80"/>
      <c r="C699" s="14"/>
      <c r="D699" s="14"/>
      <c r="E699" s="14"/>
      <c r="F699" s="14"/>
      <c r="G699" s="14"/>
    </row>
    <row r="700">
      <c r="B700" s="80"/>
      <c r="C700" s="14"/>
      <c r="D700" s="14"/>
      <c r="E700" s="14"/>
      <c r="F700" s="14"/>
      <c r="G700" s="14"/>
    </row>
    <row r="701">
      <c r="B701" s="80"/>
      <c r="C701" s="14"/>
      <c r="D701" s="14"/>
      <c r="E701" s="14"/>
      <c r="F701" s="14"/>
      <c r="G701" s="14"/>
    </row>
    <row r="702">
      <c r="B702" s="80"/>
      <c r="C702" s="14"/>
      <c r="D702" s="14"/>
      <c r="E702" s="14"/>
      <c r="F702" s="14"/>
      <c r="G702" s="14"/>
    </row>
    <row r="703">
      <c r="B703" s="80"/>
      <c r="C703" s="14"/>
      <c r="D703" s="14"/>
      <c r="E703" s="14"/>
      <c r="F703" s="14"/>
      <c r="G703" s="14"/>
    </row>
    <row r="704">
      <c r="B704" s="80"/>
      <c r="C704" s="14"/>
      <c r="D704" s="14"/>
      <c r="E704" s="14"/>
      <c r="F704" s="14"/>
      <c r="G704" s="14"/>
    </row>
    <row r="705">
      <c r="B705" s="80"/>
      <c r="C705" s="14"/>
      <c r="D705" s="14"/>
      <c r="E705" s="14"/>
      <c r="F705" s="14"/>
      <c r="G705" s="14"/>
    </row>
    <row r="706">
      <c r="B706" s="80"/>
      <c r="C706" s="14"/>
      <c r="D706" s="14"/>
      <c r="E706" s="14"/>
      <c r="F706" s="14"/>
      <c r="G706" s="14"/>
    </row>
    <row r="707">
      <c r="B707" s="80"/>
      <c r="C707" s="14"/>
      <c r="D707" s="14"/>
      <c r="E707" s="14"/>
      <c r="F707" s="14"/>
      <c r="G707" s="14"/>
    </row>
    <row r="708">
      <c r="B708" s="80"/>
      <c r="C708" s="14"/>
      <c r="D708" s="14"/>
      <c r="E708" s="14"/>
      <c r="F708" s="14"/>
      <c r="G708" s="14"/>
    </row>
    <row r="709">
      <c r="B709" s="80"/>
      <c r="C709" s="14"/>
      <c r="D709" s="14"/>
      <c r="E709" s="14"/>
      <c r="F709" s="14"/>
      <c r="G709" s="14"/>
    </row>
    <row r="710">
      <c r="B710" s="80"/>
      <c r="C710" s="14"/>
      <c r="D710" s="14"/>
      <c r="E710" s="14"/>
      <c r="F710" s="14"/>
      <c r="G710" s="14"/>
    </row>
    <row r="711">
      <c r="B711" s="80"/>
      <c r="C711" s="14"/>
      <c r="D711" s="14"/>
      <c r="E711" s="14"/>
      <c r="F711" s="14"/>
      <c r="G711" s="14"/>
    </row>
    <row r="712">
      <c r="B712" s="80"/>
      <c r="C712" s="14"/>
      <c r="D712" s="14"/>
      <c r="E712" s="14"/>
      <c r="F712" s="14"/>
      <c r="G712" s="14"/>
    </row>
    <row r="713">
      <c r="B713" s="80"/>
      <c r="C713" s="14"/>
      <c r="D713" s="14"/>
      <c r="E713" s="14"/>
      <c r="F713" s="14"/>
      <c r="G713" s="14"/>
    </row>
    <row r="714">
      <c r="B714" s="80"/>
      <c r="C714" s="14"/>
      <c r="D714" s="14"/>
      <c r="E714" s="14"/>
      <c r="F714" s="14"/>
      <c r="G714" s="14"/>
    </row>
    <row r="715">
      <c r="B715" s="80"/>
      <c r="C715" s="14"/>
      <c r="D715" s="14"/>
      <c r="E715" s="14"/>
      <c r="F715" s="14"/>
      <c r="G715" s="14"/>
    </row>
    <row r="716">
      <c r="B716" s="80"/>
      <c r="C716" s="14"/>
      <c r="D716" s="14"/>
      <c r="E716" s="14"/>
      <c r="F716" s="14"/>
      <c r="G716" s="14"/>
    </row>
    <row r="717">
      <c r="B717" s="80"/>
      <c r="C717" s="14"/>
      <c r="D717" s="14"/>
      <c r="E717" s="14"/>
      <c r="F717" s="14"/>
      <c r="G717" s="14"/>
    </row>
    <row r="718">
      <c r="B718" s="80"/>
      <c r="C718" s="14"/>
      <c r="D718" s="14"/>
      <c r="E718" s="14"/>
      <c r="F718" s="14"/>
      <c r="G718" s="14"/>
    </row>
    <row r="719">
      <c r="B719" s="80"/>
      <c r="C719" s="14"/>
      <c r="D719" s="14"/>
      <c r="E719" s="14"/>
      <c r="F719" s="14"/>
      <c r="G719" s="14"/>
    </row>
    <row r="720">
      <c r="B720" s="80"/>
      <c r="C720" s="14"/>
      <c r="D720" s="14"/>
      <c r="E720" s="14"/>
      <c r="F720" s="14"/>
      <c r="G720" s="14"/>
    </row>
    <row r="721">
      <c r="B721" s="80"/>
      <c r="C721" s="14"/>
      <c r="D721" s="14"/>
      <c r="E721" s="14"/>
      <c r="F721" s="14"/>
      <c r="G721" s="14"/>
    </row>
    <row r="722">
      <c r="B722" s="80"/>
      <c r="C722" s="14"/>
      <c r="D722" s="14"/>
      <c r="E722" s="14"/>
      <c r="F722" s="14"/>
      <c r="G722" s="14"/>
    </row>
    <row r="723">
      <c r="B723" s="80"/>
      <c r="C723" s="14"/>
      <c r="D723" s="14"/>
      <c r="E723" s="14"/>
      <c r="F723" s="14"/>
      <c r="G723" s="14"/>
    </row>
    <row r="724">
      <c r="B724" s="80"/>
      <c r="C724" s="14"/>
      <c r="D724" s="14"/>
      <c r="E724" s="14"/>
      <c r="F724" s="14"/>
      <c r="G724" s="14"/>
    </row>
    <row r="725">
      <c r="B725" s="80"/>
      <c r="C725" s="14"/>
      <c r="D725" s="14"/>
      <c r="E725" s="14"/>
      <c r="F725" s="14"/>
      <c r="G725" s="14"/>
    </row>
    <row r="726">
      <c r="B726" s="80"/>
      <c r="C726" s="14"/>
      <c r="D726" s="14"/>
      <c r="E726" s="14"/>
      <c r="F726" s="14"/>
      <c r="G726" s="14"/>
    </row>
    <row r="727">
      <c r="B727" s="80"/>
      <c r="C727" s="14"/>
      <c r="D727" s="14"/>
      <c r="E727" s="14"/>
      <c r="F727" s="14"/>
      <c r="G727" s="14"/>
    </row>
    <row r="728">
      <c r="B728" s="80"/>
      <c r="C728" s="14"/>
      <c r="D728" s="14"/>
      <c r="E728" s="14"/>
      <c r="F728" s="14"/>
      <c r="G728" s="14"/>
    </row>
    <row r="729">
      <c r="B729" s="80"/>
      <c r="C729" s="14"/>
      <c r="D729" s="14"/>
      <c r="E729" s="14"/>
      <c r="F729" s="14"/>
      <c r="G729" s="14"/>
    </row>
    <row r="730">
      <c r="B730" s="80"/>
      <c r="C730" s="14"/>
      <c r="D730" s="14"/>
      <c r="E730" s="14"/>
      <c r="F730" s="14"/>
      <c r="G730" s="14"/>
    </row>
    <row r="731">
      <c r="B731" s="80"/>
      <c r="C731" s="14"/>
      <c r="D731" s="14"/>
      <c r="E731" s="14"/>
      <c r="F731" s="14"/>
      <c r="G731" s="14"/>
    </row>
    <row r="732">
      <c r="B732" s="80"/>
      <c r="C732" s="14"/>
      <c r="D732" s="14"/>
      <c r="E732" s="14"/>
      <c r="F732" s="14"/>
      <c r="G732" s="14"/>
    </row>
    <row r="733">
      <c r="B733" s="80"/>
      <c r="C733" s="14"/>
      <c r="D733" s="14"/>
      <c r="E733" s="14"/>
      <c r="F733" s="14"/>
      <c r="G733" s="14"/>
    </row>
    <row r="734">
      <c r="B734" s="80"/>
      <c r="C734" s="14"/>
      <c r="D734" s="14"/>
      <c r="E734" s="14"/>
      <c r="F734" s="14"/>
      <c r="G734" s="14"/>
    </row>
    <row r="735">
      <c r="B735" s="80"/>
      <c r="C735" s="14"/>
      <c r="D735" s="14"/>
      <c r="E735" s="14"/>
      <c r="F735" s="14"/>
      <c r="G735" s="14"/>
    </row>
    <row r="736">
      <c r="B736" s="80"/>
      <c r="C736" s="14"/>
      <c r="D736" s="14"/>
      <c r="E736" s="14"/>
      <c r="F736" s="14"/>
      <c r="G736" s="14"/>
    </row>
    <row r="737">
      <c r="B737" s="80"/>
      <c r="C737" s="14"/>
      <c r="D737" s="14"/>
      <c r="E737" s="14"/>
      <c r="F737" s="14"/>
      <c r="G737" s="14"/>
    </row>
    <row r="738">
      <c r="B738" s="80"/>
      <c r="C738" s="14"/>
      <c r="D738" s="14"/>
      <c r="E738" s="14"/>
      <c r="F738" s="14"/>
      <c r="G738" s="14"/>
    </row>
    <row r="739">
      <c r="B739" s="80"/>
      <c r="C739" s="14"/>
      <c r="D739" s="14"/>
      <c r="E739" s="14"/>
      <c r="F739" s="14"/>
      <c r="G739" s="14"/>
    </row>
    <row r="740">
      <c r="B740" s="80"/>
      <c r="C740" s="14"/>
      <c r="D740" s="14"/>
      <c r="E740" s="14"/>
      <c r="F740" s="14"/>
      <c r="G740" s="14"/>
    </row>
    <row r="741">
      <c r="B741" s="80"/>
      <c r="C741" s="14"/>
      <c r="D741" s="14"/>
      <c r="E741" s="14"/>
      <c r="F741" s="14"/>
      <c r="G741" s="14"/>
    </row>
    <row r="742">
      <c r="B742" s="80"/>
      <c r="C742" s="14"/>
      <c r="D742" s="14"/>
      <c r="E742" s="14"/>
      <c r="F742" s="14"/>
      <c r="G742" s="14"/>
    </row>
    <row r="743">
      <c r="B743" s="80"/>
      <c r="C743" s="14"/>
      <c r="D743" s="14"/>
      <c r="E743" s="14"/>
      <c r="F743" s="14"/>
      <c r="G743" s="14"/>
    </row>
    <row r="744">
      <c r="B744" s="80"/>
      <c r="C744" s="14"/>
      <c r="D744" s="14"/>
      <c r="E744" s="14"/>
      <c r="F744" s="14"/>
      <c r="G744" s="14"/>
    </row>
    <row r="745">
      <c r="B745" s="80"/>
      <c r="C745" s="14"/>
      <c r="D745" s="14"/>
      <c r="E745" s="14"/>
      <c r="F745" s="14"/>
      <c r="G745" s="14"/>
    </row>
    <row r="746">
      <c r="B746" s="80"/>
      <c r="C746" s="14"/>
      <c r="D746" s="14"/>
      <c r="E746" s="14"/>
      <c r="F746" s="14"/>
      <c r="G746" s="14"/>
    </row>
    <row r="747">
      <c r="B747" s="80"/>
      <c r="C747" s="14"/>
      <c r="D747" s="14"/>
      <c r="E747" s="14"/>
      <c r="F747" s="14"/>
      <c r="G747" s="14"/>
    </row>
    <row r="748">
      <c r="B748" s="80"/>
      <c r="C748" s="14"/>
      <c r="D748" s="14"/>
      <c r="E748" s="14"/>
      <c r="F748" s="14"/>
      <c r="G748" s="14"/>
    </row>
    <row r="749">
      <c r="B749" s="80"/>
      <c r="C749" s="14"/>
      <c r="D749" s="14"/>
      <c r="E749" s="14"/>
      <c r="F749" s="14"/>
      <c r="G749" s="14"/>
    </row>
    <row r="750">
      <c r="B750" s="80"/>
      <c r="C750" s="14"/>
      <c r="D750" s="14"/>
      <c r="E750" s="14"/>
      <c r="F750" s="14"/>
      <c r="G750" s="14"/>
    </row>
    <row r="751">
      <c r="B751" s="80"/>
      <c r="C751" s="14"/>
      <c r="D751" s="14"/>
      <c r="E751" s="14"/>
      <c r="F751" s="14"/>
      <c r="G751" s="14"/>
    </row>
    <row r="752">
      <c r="B752" s="80"/>
      <c r="C752" s="14"/>
      <c r="D752" s="14"/>
      <c r="E752" s="14"/>
      <c r="F752" s="14"/>
      <c r="G752" s="14"/>
    </row>
    <row r="753">
      <c r="B753" s="80"/>
      <c r="C753" s="14"/>
      <c r="D753" s="14"/>
      <c r="E753" s="14"/>
      <c r="F753" s="14"/>
      <c r="G753" s="14"/>
    </row>
    <row r="754">
      <c r="B754" s="80"/>
      <c r="C754" s="14"/>
      <c r="D754" s="14"/>
      <c r="E754" s="14"/>
      <c r="F754" s="14"/>
      <c r="G754" s="14"/>
    </row>
    <row r="755">
      <c r="B755" s="80"/>
      <c r="C755" s="14"/>
      <c r="D755" s="14"/>
      <c r="E755" s="14"/>
      <c r="F755" s="14"/>
      <c r="G755" s="14"/>
    </row>
    <row r="756">
      <c r="B756" s="80"/>
      <c r="C756" s="14"/>
      <c r="D756" s="14"/>
      <c r="E756" s="14"/>
      <c r="F756" s="14"/>
      <c r="G756" s="14"/>
    </row>
    <row r="757">
      <c r="B757" s="80"/>
      <c r="C757" s="14"/>
      <c r="D757" s="14"/>
      <c r="E757" s="14"/>
      <c r="F757" s="14"/>
      <c r="G757" s="14"/>
    </row>
    <row r="758">
      <c r="B758" s="80"/>
      <c r="C758" s="14"/>
      <c r="D758" s="14"/>
      <c r="E758" s="14"/>
      <c r="F758" s="14"/>
      <c r="G758" s="14"/>
    </row>
    <row r="759">
      <c r="B759" s="80"/>
      <c r="C759" s="14"/>
      <c r="D759" s="14"/>
      <c r="E759" s="14"/>
      <c r="F759" s="14"/>
      <c r="G759" s="14"/>
    </row>
    <row r="760">
      <c r="B760" s="80"/>
      <c r="C760" s="14"/>
      <c r="D760" s="14"/>
      <c r="E760" s="14"/>
      <c r="F760" s="14"/>
      <c r="G760" s="14"/>
    </row>
    <row r="761">
      <c r="B761" s="80"/>
      <c r="C761" s="14"/>
      <c r="D761" s="14"/>
      <c r="E761" s="14"/>
      <c r="F761" s="14"/>
      <c r="G761" s="14"/>
    </row>
    <row r="762">
      <c r="B762" s="80"/>
      <c r="C762" s="14"/>
      <c r="D762" s="14"/>
      <c r="E762" s="14"/>
      <c r="F762" s="14"/>
      <c r="G762" s="14"/>
    </row>
    <row r="763">
      <c r="B763" s="80"/>
      <c r="C763" s="14"/>
      <c r="D763" s="14"/>
      <c r="E763" s="14"/>
      <c r="F763" s="14"/>
      <c r="G763" s="14"/>
    </row>
    <row r="764">
      <c r="B764" s="80"/>
      <c r="C764" s="14"/>
      <c r="D764" s="14"/>
      <c r="E764" s="14"/>
      <c r="F764" s="14"/>
      <c r="G764" s="14"/>
    </row>
    <row r="765">
      <c r="B765" s="80"/>
      <c r="C765" s="14"/>
      <c r="D765" s="14"/>
      <c r="E765" s="14"/>
      <c r="F765" s="14"/>
      <c r="G765" s="14"/>
    </row>
    <row r="766">
      <c r="B766" s="80"/>
      <c r="C766" s="14"/>
      <c r="D766" s="14"/>
      <c r="E766" s="14"/>
      <c r="F766" s="14"/>
      <c r="G766" s="14"/>
    </row>
    <row r="767">
      <c r="B767" s="80"/>
      <c r="C767" s="14"/>
      <c r="D767" s="14"/>
      <c r="E767" s="14"/>
      <c r="F767" s="14"/>
      <c r="G767" s="14"/>
    </row>
    <row r="768">
      <c r="B768" s="80"/>
      <c r="C768" s="14"/>
      <c r="D768" s="14"/>
      <c r="E768" s="14"/>
      <c r="F768" s="14"/>
      <c r="G768" s="14"/>
    </row>
    <row r="769">
      <c r="B769" s="80"/>
      <c r="C769" s="14"/>
      <c r="D769" s="14"/>
      <c r="E769" s="14"/>
      <c r="F769" s="14"/>
      <c r="G769" s="14"/>
    </row>
    <row r="770">
      <c r="B770" s="80"/>
      <c r="C770" s="14"/>
      <c r="D770" s="14"/>
      <c r="E770" s="14"/>
      <c r="F770" s="14"/>
      <c r="G770" s="14"/>
    </row>
    <row r="771">
      <c r="B771" s="80"/>
      <c r="C771" s="14"/>
      <c r="D771" s="14"/>
      <c r="E771" s="14"/>
      <c r="F771" s="14"/>
      <c r="G771" s="14"/>
    </row>
    <row r="772">
      <c r="B772" s="80"/>
      <c r="C772" s="14"/>
      <c r="D772" s="14"/>
      <c r="E772" s="14"/>
      <c r="F772" s="14"/>
      <c r="G772" s="14"/>
    </row>
    <row r="773">
      <c r="B773" s="80"/>
      <c r="C773" s="14"/>
      <c r="D773" s="14"/>
      <c r="E773" s="14"/>
      <c r="F773" s="14"/>
      <c r="G773" s="14"/>
    </row>
    <row r="774">
      <c r="B774" s="80"/>
      <c r="C774" s="14"/>
      <c r="D774" s="14"/>
      <c r="E774" s="14"/>
      <c r="F774" s="14"/>
      <c r="G774" s="14"/>
    </row>
    <row r="775">
      <c r="B775" s="80"/>
      <c r="C775" s="14"/>
      <c r="D775" s="14"/>
      <c r="E775" s="14"/>
      <c r="F775" s="14"/>
      <c r="G775" s="14"/>
    </row>
    <row r="776">
      <c r="B776" s="80"/>
      <c r="C776" s="14"/>
      <c r="D776" s="14"/>
      <c r="E776" s="14"/>
      <c r="F776" s="14"/>
      <c r="G776" s="14"/>
    </row>
    <row r="777">
      <c r="B777" s="80"/>
      <c r="C777" s="14"/>
      <c r="D777" s="14"/>
      <c r="E777" s="14"/>
      <c r="F777" s="14"/>
      <c r="G777" s="14"/>
    </row>
    <row r="778">
      <c r="B778" s="80"/>
      <c r="C778" s="14"/>
      <c r="D778" s="14"/>
      <c r="E778" s="14"/>
      <c r="F778" s="14"/>
      <c r="G778" s="14"/>
    </row>
    <row r="779">
      <c r="B779" s="80"/>
      <c r="C779" s="14"/>
      <c r="D779" s="14"/>
      <c r="E779" s="14"/>
      <c r="F779" s="14"/>
      <c r="G779" s="14"/>
    </row>
    <row r="780">
      <c r="B780" s="80"/>
      <c r="C780" s="14"/>
      <c r="D780" s="14"/>
      <c r="E780" s="14"/>
      <c r="F780" s="14"/>
      <c r="G780" s="14"/>
    </row>
    <row r="781">
      <c r="B781" s="80"/>
      <c r="C781" s="14"/>
      <c r="D781" s="14"/>
      <c r="E781" s="14"/>
      <c r="F781" s="14"/>
      <c r="G781" s="14"/>
    </row>
    <row r="782">
      <c r="B782" s="80"/>
      <c r="C782" s="14"/>
      <c r="D782" s="14"/>
      <c r="E782" s="14"/>
      <c r="F782" s="14"/>
      <c r="G782" s="14"/>
    </row>
    <row r="783">
      <c r="B783" s="80"/>
      <c r="C783" s="14"/>
      <c r="D783" s="14"/>
      <c r="E783" s="14"/>
      <c r="F783" s="14"/>
      <c r="G783" s="14"/>
    </row>
    <row r="784">
      <c r="B784" s="80"/>
      <c r="C784" s="14"/>
      <c r="D784" s="14"/>
      <c r="E784" s="14"/>
      <c r="F784" s="14"/>
      <c r="G784" s="14"/>
    </row>
    <row r="785">
      <c r="B785" s="80"/>
      <c r="C785" s="14"/>
      <c r="D785" s="14"/>
      <c r="E785" s="14"/>
      <c r="F785" s="14"/>
      <c r="G785" s="14"/>
    </row>
    <row r="786">
      <c r="B786" s="80"/>
      <c r="C786" s="14"/>
      <c r="D786" s="14"/>
      <c r="E786" s="14"/>
      <c r="F786" s="14"/>
      <c r="G786" s="14"/>
    </row>
    <row r="787">
      <c r="B787" s="80"/>
      <c r="C787" s="14"/>
      <c r="D787" s="14"/>
      <c r="E787" s="14"/>
      <c r="F787" s="14"/>
      <c r="G787" s="14"/>
    </row>
    <row r="788">
      <c r="B788" s="80"/>
      <c r="C788" s="14"/>
      <c r="D788" s="14"/>
      <c r="E788" s="14"/>
      <c r="F788" s="14"/>
      <c r="G788" s="14"/>
    </row>
    <row r="789">
      <c r="B789" s="80"/>
      <c r="C789" s="14"/>
      <c r="D789" s="14"/>
      <c r="E789" s="14"/>
      <c r="F789" s="14"/>
      <c r="G789" s="14"/>
    </row>
    <row r="790">
      <c r="B790" s="80"/>
      <c r="C790" s="14"/>
      <c r="D790" s="14"/>
      <c r="E790" s="14"/>
      <c r="F790" s="14"/>
      <c r="G790" s="14"/>
    </row>
    <row r="791">
      <c r="B791" s="80"/>
      <c r="C791" s="14"/>
      <c r="D791" s="14"/>
      <c r="E791" s="14"/>
      <c r="F791" s="14"/>
      <c r="G791" s="14"/>
    </row>
    <row r="792">
      <c r="B792" s="80"/>
      <c r="C792" s="14"/>
      <c r="D792" s="14"/>
      <c r="E792" s="14"/>
      <c r="F792" s="14"/>
      <c r="G792" s="14"/>
    </row>
    <row r="793">
      <c r="B793" s="80"/>
      <c r="C793" s="14"/>
      <c r="D793" s="14"/>
      <c r="E793" s="14"/>
      <c r="F793" s="14"/>
      <c r="G793" s="14"/>
    </row>
    <row r="794">
      <c r="B794" s="80"/>
      <c r="C794" s="14"/>
      <c r="D794" s="14"/>
      <c r="E794" s="14"/>
      <c r="F794" s="14"/>
      <c r="G794" s="14"/>
    </row>
    <row r="795">
      <c r="B795" s="80"/>
      <c r="C795" s="14"/>
      <c r="D795" s="14"/>
      <c r="E795" s="14"/>
      <c r="F795" s="14"/>
      <c r="G795" s="14"/>
    </row>
    <row r="796">
      <c r="B796" s="80"/>
      <c r="C796" s="14"/>
      <c r="D796" s="14"/>
      <c r="E796" s="14"/>
      <c r="F796" s="14"/>
      <c r="G796" s="14"/>
    </row>
    <row r="797">
      <c r="B797" s="80"/>
      <c r="C797" s="14"/>
      <c r="D797" s="14"/>
      <c r="E797" s="14"/>
      <c r="F797" s="14"/>
      <c r="G797" s="14"/>
    </row>
    <row r="798">
      <c r="B798" s="80"/>
      <c r="C798" s="14"/>
      <c r="D798" s="14"/>
      <c r="E798" s="14"/>
      <c r="F798" s="14"/>
      <c r="G798" s="14"/>
    </row>
    <row r="799">
      <c r="B799" s="80"/>
      <c r="C799" s="14"/>
      <c r="D799" s="14"/>
      <c r="E799" s="14"/>
      <c r="F799" s="14"/>
      <c r="G799" s="14"/>
    </row>
    <row r="800">
      <c r="B800" s="80"/>
      <c r="C800" s="14"/>
      <c r="D800" s="14"/>
      <c r="E800" s="14"/>
      <c r="F800" s="14"/>
      <c r="G800" s="14"/>
    </row>
    <row r="801">
      <c r="B801" s="80"/>
      <c r="C801" s="14"/>
      <c r="D801" s="14"/>
      <c r="E801" s="14"/>
      <c r="F801" s="14"/>
      <c r="G801" s="14"/>
    </row>
    <row r="802">
      <c r="B802" s="80"/>
      <c r="C802" s="14"/>
      <c r="D802" s="14"/>
      <c r="E802" s="14"/>
      <c r="F802" s="14"/>
      <c r="G802" s="14"/>
    </row>
    <row r="803">
      <c r="B803" s="80"/>
      <c r="C803" s="14"/>
      <c r="D803" s="14"/>
      <c r="E803" s="14"/>
      <c r="F803" s="14"/>
      <c r="G803" s="14"/>
    </row>
    <row r="804">
      <c r="B804" s="80"/>
      <c r="C804" s="14"/>
      <c r="D804" s="14"/>
      <c r="E804" s="14"/>
      <c r="F804" s="14"/>
      <c r="G804" s="14"/>
    </row>
    <row r="805">
      <c r="B805" s="80"/>
      <c r="C805" s="14"/>
      <c r="D805" s="14"/>
      <c r="E805" s="14"/>
      <c r="F805" s="14"/>
      <c r="G805" s="14"/>
    </row>
    <row r="806">
      <c r="B806" s="80"/>
      <c r="C806" s="14"/>
      <c r="D806" s="14"/>
      <c r="E806" s="14"/>
      <c r="F806" s="14"/>
      <c r="G806" s="14"/>
    </row>
    <row r="807">
      <c r="B807" s="80"/>
      <c r="C807" s="14"/>
      <c r="D807" s="14"/>
      <c r="E807" s="14"/>
      <c r="F807" s="14"/>
      <c r="G807" s="14"/>
    </row>
    <row r="808">
      <c r="B808" s="80"/>
      <c r="C808" s="14"/>
      <c r="D808" s="14"/>
      <c r="E808" s="14"/>
      <c r="F808" s="14"/>
      <c r="G808" s="14"/>
    </row>
    <row r="809">
      <c r="B809" s="80"/>
      <c r="C809" s="14"/>
      <c r="D809" s="14"/>
      <c r="E809" s="14"/>
      <c r="F809" s="14"/>
      <c r="G809" s="14"/>
    </row>
    <row r="810">
      <c r="B810" s="80"/>
      <c r="C810" s="14"/>
      <c r="D810" s="14"/>
      <c r="E810" s="14"/>
      <c r="F810" s="14"/>
      <c r="G810" s="14"/>
    </row>
    <row r="811">
      <c r="B811" s="80"/>
      <c r="C811" s="14"/>
      <c r="D811" s="14"/>
      <c r="E811" s="14"/>
      <c r="F811" s="14"/>
      <c r="G811" s="14"/>
    </row>
    <row r="812">
      <c r="B812" s="80"/>
      <c r="C812" s="14"/>
      <c r="D812" s="14"/>
      <c r="E812" s="14"/>
      <c r="F812" s="14"/>
      <c r="G812" s="14"/>
    </row>
    <row r="813">
      <c r="B813" s="80"/>
      <c r="C813" s="14"/>
      <c r="D813" s="14"/>
      <c r="E813" s="14"/>
      <c r="F813" s="14"/>
      <c r="G813" s="14"/>
    </row>
    <row r="814">
      <c r="B814" s="80"/>
      <c r="C814" s="14"/>
      <c r="D814" s="14"/>
      <c r="E814" s="14"/>
      <c r="F814" s="14"/>
      <c r="G814" s="14"/>
    </row>
    <row r="815">
      <c r="B815" s="80"/>
      <c r="C815" s="14"/>
      <c r="D815" s="14"/>
      <c r="E815" s="14"/>
      <c r="F815" s="14"/>
      <c r="G815" s="14"/>
    </row>
    <row r="816">
      <c r="B816" s="80"/>
      <c r="C816" s="14"/>
      <c r="D816" s="14"/>
      <c r="E816" s="14"/>
      <c r="F816" s="14"/>
      <c r="G816" s="14"/>
    </row>
    <row r="817">
      <c r="B817" s="80"/>
      <c r="C817" s="14"/>
      <c r="D817" s="14"/>
      <c r="E817" s="14"/>
      <c r="F817" s="14"/>
      <c r="G817" s="14"/>
    </row>
    <row r="818">
      <c r="B818" s="80"/>
      <c r="C818" s="14"/>
      <c r="D818" s="14"/>
      <c r="E818" s="14"/>
      <c r="F818" s="14"/>
      <c r="G818" s="14"/>
    </row>
    <row r="819">
      <c r="B819" s="80"/>
      <c r="C819" s="14"/>
      <c r="D819" s="14"/>
      <c r="E819" s="14"/>
      <c r="F819" s="14"/>
      <c r="G819" s="14"/>
    </row>
    <row r="820">
      <c r="B820" s="80"/>
      <c r="C820" s="14"/>
      <c r="D820" s="14"/>
      <c r="E820" s="14"/>
      <c r="F820" s="14"/>
      <c r="G820" s="14"/>
    </row>
    <row r="821">
      <c r="B821" s="80"/>
      <c r="C821" s="14"/>
      <c r="D821" s="14"/>
      <c r="E821" s="14"/>
      <c r="F821" s="14"/>
      <c r="G821" s="14"/>
    </row>
    <row r="822">
      <c r="B822" s="80"/>
      <c r="C822" s="14"/>
      <c r="D822" s="14"/>
      <c r="E822" s="14"/>
      <c r="F822" s="14"/>
      <c r="G822" s="14"/>
    </row>
    <row r="823">
      <c r="B823" s="80"/>
      <c r="C823" s="14"/>
      <c r="D823" s="14"/>
      <c r="E823" s="14"/>
      <c r="F823" s="14"/>
      <c r="G823" s="14"/>
    </row>
    <row r="824">
      <c r="B824" s="80"/>
      <c r="C824" s="14"/>
      <c r="D824" s="14"/>
      <c r="E824" s="14"/>
      <c r="F824" s="14"/>
      <c r="G824" s="14"/>
    </row>
    <row r="825">
      <c r="B825" s="80"/>
      <c r="C825" s="14"/>
      <c r="D825" s="14"/>
      <c r="E825" s="14"/>
      <c r="F825" s="14"/>
      <c r="G825" s="14"/>
    </row>
    <row r="826">
      <c r="B826" s="80"/>
      <c r="C826" s="14"/>
      <c r="D826" s="14"/>
      <c r="E826" s="14"/>
      <c r="F826" s="14"/>
      <c r="G826" s="14"/>
    </row>
    <row r="827">
      <c r="B827" s="80"/>
      <c r="C827" s="14"/>
      <c r="D827" s="14"/>
      <c r="E827" s="14"/>
      <c r="F827" s="14"/>
      <c r="G827" s="14"/>
    </row>
    <row r="828">
      <c r="B828" s="80"/>
      <c r="C828" s="14"/>
      <c r="D828" s="14"/>
      <c r="E828" s="14"/>
      <c r="F828" s="14"/>
      <c r="G828" s="14"/>
    </row>
    <row r="829">
      <c r="B829" s="80"/>
      <c r="C829" s="14"/>
      <c r="D829" s="14"/>
      <c r="E829" s="14"/>
      <c r="F829" s="14"/>
      <c r="G829" s="14"/>
    </row>
    <row r="830">
      <c r="B830" s="80"/>
      <c r="C830" s="14"/>
      <c r="D830" s="14"/>
      <c r="E830" s="14"/>
      <c r="F830" s="14"/>
      <c r="G830" s="14"/>
    </row>
    <row r="831">
      <c r="B831" s="80"/>
      <c r="C831" s="14"/>
      <c r="D831" s="14"/>
      <c r="E831" s="14"/>
      <c r="F831" s="14"/>
      <c r="G831" s="14"/>
    </row>
    <row r="832">
      <c r="B832" s="80"/>
      <c r="C832" s="14"/>
      <c r="D832" s="14"/>
      <c r="E832" s="14"/>
      <c r="F832" s="14"/>
      <c r="G832" s="14"/>
    </row>
    <row r="833">
      <c r="B833" s="80"/>
      <c r="C833" s="14"/>
      <c r="D833" s="14"/>
      <c r="E833" s="14"/>
      <c r="F833" s="14"/>
      <c r="G833" s="14"/>
    </row>
    <row r="834">
      <c r="B834" s="80"/>
      <c r="C834" s="14"/>
      <c r="D834" s="14"/>
      <c r="E834" s="14"/>
      <c r="F834" s="14"/>
      <c r="G834" s="14"/>
    </row>
    <row r="835">
      <c r="B835" s="80"/>
      <c r="C835" s="14"/>
      <c r="D835" s="14"/>
      <c r="E835" s="14"/>
      <c r="F835" s="14"/>
      <c r="G835" s="14"/>
    </row>
    <row r="836">
      <c r="B836" s="80"/>
      <c r="C836" s="14"/>
      <c r="D836" s="14"/>
      <c r="E836" s="14"/>
      <c r="F836" s="14"/>
      <c r="G836" s="14"/>
    </row>
    <row r="837">
      <c r="B837" s="80"/>
      <c r="C837" s="14"/>
      <c r="D837" s="14"/>
      <c r="E837" s="14"/>
      <c r="F837" s="14"/>
      <c r="G837" s="14"/>
    </row>
    <row r="838">
      <c r="B838" s="80"/>
      <c r="C838" s="14"/>
      <c r="D838" s="14"/>
      <c r="E838" s="14"/>
      <c r="F838" s="14"/>
      <c r="G838" s="14"/>
    </row>
    <row r="839">
      <c r="B839" s="80"/>
      <c r="C839" s="14"/>
      <c r="D839" s="14"/>
      <c r="E839" s="14"/>
      <c r="F839" s="14"/>
      <c r="G839" s="14"/>
    </row>
    <row r="840">
      <c r="B840" s="80"/>
      <c r="C840" s="14"/>
      <c r="D840" s="14"/>
      <c r="E840" s="14"/>
      <c r="F840" s="14"/>
      <c r="G840" s="14"/>
    </row>
    <row r="841">
      <c r="B841" s="80"/>
      <c r="C841" s="14"/>
      <c r="D841" s="14"/>
      <c r="E841" s="14"/>
      <c r="F841" s="14"/>
      <c r="G841" s="14"/>
    </row>
    <row r="842">
      <c r="B842" s="80"/>
      <c r="C842" s="14"/>
      <c r="D842" s="14"/>
      <c r="E842" s="14"/>
      <c r="F842" s="14"/>
      <c r="G842" s="14"/>
    </row>
    <row r="843">
      <c r="B843" s="80"/>
      <c r="C843" s="14"/>
      <c r="D843" s="14"/>
      <c r="E843" s="14"/>
      <c r="F843" s="14"/>
      <c r="G843" s="14"/>
    </row>
    <row r="844">
      <c r="B844" s="80"/>
      <c r="C844" s="14"/>
      <c r="D844" s="14"/>
      <c r="E844" s="14"/>
      <c r="F844" s="14"/>
      <c r="G844" s="14"/>
    </row>
    <row r="845">
      <c r="B845" s="80"/>
      <c r="C845" s="14"/>
      <c r="D845" s="14"/>
      <c r="E845" s="14"/>
      <c r="F845" s="14"/>
      <c r="G845" s="14"/>
    </row>
    <row r="846">
      <c r="B846" s="80"/>
      <c r="C846" s="14"/>
      <c r="D846" s="14"/>
      <c r="E846" s="14"/>
      <c r="F846" s="14"/>
      <c r="G846" s="14"/>
    </row>
    <row r="847">
      <c r="B847" s="80"/>
      <c r="C847" s="14"/>
      <c r="D847" s="14"/>
      <c r="E847" s="14"/>
      <c r="F847" s="14"/>
      <c r="G847" s="14"/>
    </row>
    <row r="848">
      <c r="B848" s="80"/>
      <c r="C848" s="14"/>
      <c r="D848" s="14"/>
      <c r="E848" s="14"/>
      <c r="F848" s="14"/>
      <c r="G848" s="14"/>
    </row>
    <row r="849">
      <c r="B849" s="80"/>
      <c r="C849" s="14"/>
      <c r="D849" s="14"/>
      <c r="E849" s="14"/>
      <c r="F849" s="14"/>
      <c r="G849" s="14"/>
    </row>
    <row r="850">
      <c r="B850" s="80"/>
      <c r="C850" s="14"/>
      <c r="D850" s="14"/>
      <c r="E850" s="14"/>
      <c r="F850" s="14"/>
      <c r="G850" s="14"/>
    </row>
    <row r="851">
      <c r="B851" s="80"/>
      <c r="C851" s="14"/>
      <c r="D851" s="14"/>
      <c r="E851" s="14"/>
      <c r="F851" s="14"/>
      <c r="G851" s="14"/>
    </row>
    <row r="852">
      <c r="B852" s="80"/>
      <c r="C852" s="14"/>
      <c r="D852" s="14"/>
      <c r="E852" s="14"/>
      <c r="F852" s="14"/>
      <c r="G852" s="14"/>
    </row>
    <row r="853">
      <c r="B853" s="80"/>
      <c r="C853" s="14"/>
      <c r="D853" s="14"/>
      <c r="E853" s="14"/>
      <c r="F853" s="14"/>
      <c r="G853" s="14"/>
    </row>
    <row r="854">
      <c r="B854" s="80"/>
      <c r="C854" s="14"/>
      <c r="D854" s="14"/>
      <c r="E854" s="14"/>
      <c r="F854" s="14"/>
      <c r="G854" s="14"/>
    </row>
    <row r="855">
      <c r="B855" s="80"/>
      <c r="C855" s="14"/>
      <c r="D855" s="14"/>
      <c r="E855" s="14"/>
      <c r="F855" s="14"/>
      <c r="G855" s="14"/>
    </row>
    <row r="856">
      <c r="B856" s="80"/>
      <c r="C856" s="14"/>
      <c r="D856" s="14"/>
      <c r="E856" s="14"/>
      <c r="F856" s="14"/>
      <c r="G856" s="14"/>
    </row>
    <row r="857">
      <c r="B857" s="80"/>
      <c r="C857" s="14"/>
      <c r="D857" s="14"/>
      <c r="E857" s="14"/>
      <c r="F857" s="14"/>
      <c r="G857" s="14"/>
    </row>
    <row r="858">
      <c r="B858" s="80"/>
      <c r="C858" s="14"/>
      <c r="D858" s="14"/>
      <c r="E858" s="14"/>
      <c r="F858" s="14"/>
      <c r="G858" s="14"/>
    </row>
    <row r="859">
      <c r="B859" s="80"/>
      <c r="C859" s="14"/>
      <c r="D859" s="14"/>
      <c r="E859" s="14"/>
      <c r="F859" s="14"/>
      <c r="G859" s="14"/>
    </row>
    <row r="860">
      <c r="B860" s="80"/>
      <c r="C860" s="14"/>
      <c r="D860" s="14"/>
      <c r="E860" s="14"/>
      <c r="F860" s="14"/>
      <c r="G860" s="14"/>
    </row>
    <row r="861">
      <c r="B861" s="80"/>
      <c r="C861" s="14"/>
      <c r="D861" s="14"/>
      <c r="E861" s="14"/>
      <c r="F861" s="14"/>
      <c r="G861" s="14"/>
    </row>
    <row r="862">
      <c r="B862" s="80"/>
      <c r="C862" s="14"/>
      <c r="D862" s="14"/>
      <c r="E862" s="14"/>
      <c r="F862" s="14"/>
      <c r="G862" s="14"/>
    </row>
    <row r="863">
      <c r="B863" s="80"/>
      <c r="C863" s="14"/>
      <c r="D863" s="14"/>
      <c r="E863" s="14"/>
      <c r="F863" s="14"/>
      <c r="G863" s="14"/>
    </row>
    <row r="864">
      <c r="B864" s="80"/>
      <c r="C864" s="14"/>
      <c r="D864" s="14"/>
      <c r="E864" s="14"/>
      <c r="F864" s="14"/>
      <c r="G864" s="14"/>
    </row>
    <row r="865">
      <c r="B865" s="80"/>
      <c r="C865" s="14"/>
      <c r="D865" s="14"/>
      <c r="E865" s="14"/>
      <c r="F865" s="14"/>
      <c r="G865" s="14"/>
    </row>
    <row r="866">
      <c r="B866" s="80"/>
      <c r="C866" s="14"/>
      <c r="D866" s="14"/>
      <c r="E866" s="14"/>
      <c r="F866" s="14"/>
      <c r="G866" s="14"/>
    </row>
    <row r="867">
      <c r="B867" s="80"/>
      <c r="C867" s="14"/>
      <c r="D867" s="14"/>
      <c r="E867" s="14"/>
      <c r="F867" s="14"/>
      <c r="G867" s="14"/>
    </row>
    <row r="868">
      <c r="B868" s="80"/>
      <c r="C868" s="14"/>
      <c r="D868" s="14"/>
      <c r="E868" s="14"/>
      <c r="F868" s="14"/>
      <c r="G868" s="14"/>
    </row>
    <row r="869">
      <c r="B869" s="80"/>
      <c r="C869" s="14"/>
      <c r="D869" s="14"/>
      <c r="E869" s="14"/>
      <c r="F869" s="14"/>
      <c r="G869" s="14"/>
    </row>
    <row r="870">
      <c r="B870" s="80"/>
      <c r="C870" s="14"/>
      <c r="D870" s="14"/>
      <c r="E870" s="14"/>
      <c r="F870" s="14"/>
      <c r="G870" s="14"/>
    </row>
    <row r="871">
      <c r="B871" s="80"/>
      <c r="C871" s="14"/>
      <c r="D871" s="14"/>
      <c r="E871" s="14"/>
      <c r="F871" s="14"/>
      <c r="G871" s="14"/>
    </row>
    <row r="872">
      <c r="B872" s="80"/>
      <c r="C872" s="14"/>
      <c r="D872" s="14"/>
      <c r="E872" s="14"/>
      <c r="F872" s="14"/>
      <c r="G872" s="14"/>
    </row>
    <row r="873">
      <c r="B873" s="80"/>
      <c r="C873" s="14"/>
      <c r="D873" s="14"/>
      <c r="E873" s="14"/>
      <c r="F873" s="14"/>
      <c r="G873" s="14"/>
    </row>
    <row r="874">
      <c r="B874" s="80"/>
      <c r="C874" s="14"/>
      <c r="D874" s="14"/>
      <c r="E874" s="14"/>
      <c r="F874" s="14"/>
      <c r="G874" s="14"/>
    </row>
    <row r="875">
      <c r="B875" s="80"/>
      <c r="C875" s="14"/>
      <c r="D875" s="14"/>
      <c r="E875" s="14"/>
      <c r="F875" s="14"/>
      <c r="G875" s="14"/>
    </row>
    <row r="876">
      <c r="B876" s="80"/>
      <c r="C876" s="14"/>
      <c r="D876" s="14"/>
      <c r="E876" s="14"/>
      <c r="F876" s="14"/>
      <c r="G876" s="14"/>
    </row>
    <row r="877">
      <c r="B877" s="80"/>
      <c r="C877" s="14"/>
      <c r="D877" s="14"/>
      <c r="E877" s="14"/>
      <c r="F877" s="14"/>
      <c r="G877" s="14"/>
    </row>
    <row r="878">
      <c r="B878" s="80"/>
      <c r="C878" s="14"/>
      <c r="D878" s="14"/>
      <c r="E878" s="14"/>
      <c r="F878" s="14"/>
      <c r="G878" s="14"/>
    </row>
    <row r="879">
      <c r="B879" s="80"/>
      <c r="C879" s="14"/>
      <c r="D879" s="14"/>
      <c r="E879" s="14"/>
      <c r="F879" s="14"/>
      <c r="G879" s="14"/>
    </row>
    <row r="880">
      <c r="B880" s="80"/>
      <c r="C880" s="14"/>
      <c r="D880" s="14"/>
      <c r="E880" s="14"/>
      <c r="F880" s="14"/>
      <c r="G880" s="14"/>
    </row>
    <row r="881">
      <c r="B881" s="80"/>
      <c r="C881" s="14"/>
      <c r="D881" s="14"/>
      <c r="E881" s="14"/>
      <c r="F881" s="14"/>
      <c r="G881" s="14"/>
    </row>
    <row r="882">
      <c r="B882" s="80"/>
      <c r="C882" s="14"/>
      <c r="D882" s="14"/>
      <c r="E882" s="14"/>
      <c r="F882" s="14"/>
      <c r="G882" s="14"/>
    </row>
    <row r="883">
      <c r="B883" s="80"/>
      <c r="C883" s="14"/>
      <c r="D883" s="14"/>
      <c r="E883" s="14"/>
      <c r="F883" s="14"/>
      <c r="G883" s="14"/>
    </row>
    <row r="884">
      <c r="B884" s="80"/>
      <c r="C884" s="14"/>
      <c r="D884" s="14"/>
      <c r="E884" s="14"/>
      <c r="F884" s="14"/>
      <c r="G884" s="14"/>
    </row>
    <row r="885">
      <c r="B885" s="80"/>
      <c r="C885" s="14"/>
      <c r="D885" s="14"/>
      <c r="E885" s="14"/>
      <c r="F885" s="14"/>
      <c r="G885" s="14"/>
    </row>
    <row r="886">
      <c r="B886" s="80"/>
      <c r="C886" s="14"/>
      <c r="D886" s="14"/>
      <c r="E886" s="14"/>
      <c r="F886" s="14"/>
      <c r="G886" s="14"/>
    </row>
    <row r="887">
      <c r="B887" s="80"/>
      <c r="C887" s="14"/>
      <c r="D887" s="14"/>
      <c r="E887" s="14"/>
      <c r="F887" s="14"/>
      <c r="G887" s="14"/>
    </row>
    <row r="888">
      <c r="B888" s="80"/>
      <c r="C888" s="14"/>
      <c r="D888" s="14"/>
      <c r="E888" s="14"/>
      <c r="F888" s="14"/>
      <c r="G888" s="14"/>
    </row>
    <row r="889">
      <c r="B889" s="80"/>
      <c r="C889" s="14"/>
      <c r="D889" s="14"/>
      <c r="E889" s="14"/>
      <c r="F889" s="14"/>
      <c r="G889" s="14"/>
    </row>
    <row r="890">
      <c r="B890" s="80"/>
      <c r="C890" s="14"/>
      <c r="D890" s="14"/>
      <c r="E890" s="14"/>
      <c r="F890" s="14"/>
      <c r="G890" s="14"/>
    </row>
    <row r="891">
      <c r="B891" s="80"/>
      <c r="C891" s="14"/>
      <c r="D891" s="14"/>
      <c r="E891" s="14"/>
      <c r="F891" s="14"/>
      <c r="G891" s="14"/>
    </row>
    <row r="892">
      <c r="B892" s="80"/>
      <c r="C892" s="14"/>
      <c r="D892" s="14"/>
      <c r="E892" s="14"/>
      <c r="F892" s="14"/>
      <c r="G892" s="14"/>
    </row>
    <row r="893">
      <c r="B893" s="80"/>
      <c r="C893" s="14"/>
      <c r="D893" s="14"/>
      <c r="E893" s="14"/>
      <c r="F893" s="14"/>
      <c r="G893" s="14"/>
    </row>
    <row r="894">
      <c r="B894" s="80"/>
      <c r="C894" s="14"/>
      <c r="D894" s="14"/>
      <c r="E894" s="14"/>
      <c r="F894" s="14"/>
      <c r="G894" s="14"/>
    </row>
    <row r="895">
      <c r="B895" s="80"/>
      <c r="C895" s="14"/>
      <c r="D895" s="14"/>
      <c r="E895" s="14"/>
      <c r="F895" s="14"/>
      <c r="G895" s="14"/>
    </row>
    <row r="896">
      <c r="B896" s="80"/>
      <c r="C896" s="14"/>
      <c r="D896" s="14"/>
      <c r="E896" s="14"/>
      <c r="F896" s="14"/>
      <c r="G896" s="14"/>
    </row>
    <row r="897">
      <c r="B897" s="80"/>
      <c r="C897" s="14"/>
      <c r="D897" s="14"/>
      <c r="E897" s="14"/>
      <c r="F897" s="14"/>
      <c r="G897" s="14"/>
    </row>
    <row r="898">
      <c r="B898" s="80"/>
      <c r="C898" s="14"/>
      <c r="D898" s="14"/>
      <c r="E898" s="14"/>
      <c r="F898" s="14"/>
      <c r="G898" s="14"/>
    </row>
    <row r="899">
      <c r="B899" s="80"/>
      <c r="C899" s="14"/>
      <c r="D899" s="14"/>
      <c r="E899" s="14"/>
      <c r="F899" s="14"/>
      <c r="G899" s="14"/>
    </row>
    <row r="900">
      <c r="B900" s="80"/>
      <c r="C900" s="14"/>
      <c r="D900" s="14"/>
      <c r="E900" s="14"/>
      <c r="F900" s="14"/>
      <c r="G900" s="14"/>
    </row>
    <row r="901">
      <c r="B901" s="80"/>
      <c r="C901" s="14"/>
      <c r="D901" s="14"/>
      <c r="E901" s="14"/>
      <c r="F901" s="14"/>
      <c r="G901" s="14"/>
    </row>
    <row r="902">
      <c r="B902" s="80"/>
      <c r="C902" s="14"/>
      <c r="D902" s="14"/>
      <c r="E902" s="14"/>
      <c r="F902" s="14"/>
      <c r="G902" s="14"/>
    </row>
    <row r="903">
      <c r="B903" s="80"/>
      <c r="C903" s="14"/>
      <c r="D903" s="14"/>
      <c r="E903" s="14"/>
      <c r="F903" s="14"/>
      <c r="G903" s="14"/>
    </row>
    <row r="904">
      <c r="B904" s="80"/>
      <c r="C904" s="14"/>
      <c r="D904" s="14"/>
      <c r="E904" s="14"/>
      <c r="F904" s="14"/>
      <c r="G904" s="14"/>
    </row>
    <row r="905">
      <c r="B905" s="80"/>
      <c r="C905" s="14"/>
      <c r="D905" s="14"/>
      <c r="E905" s="14"/>
      <c r="F905" s="14"/>
      <c r="G905" s="14"/>
    </row>
    <row r="906">
      <c r="B906" s="80"/>
      <c r="C906" s="14"/>
      <c r="D906" s="14"/>
      <c r="E906" s="14"/>
      <c r="F906" s="14"/>
      <c r="G906" s="14"/>
    </row>
    <row r="907">
      <c r="B907" s="80"/>
      <c r="C907" s="14"/>
      <c r="D907" s="14"/>
      <c r="E907" s="14"/>
      <c r="F907" s="14"/>
      <c r="G907" s="14"/>
    </row>
    <row r="908">
      <c r="B908" s="80"/>
      <c r="C908" s="14"/>
      <c r="D908" s="14"/>
      <c r="E908" s="14"/>
      <c r="F908" s="14"/>
      <c r="G908" s="14"/>
    </row>
    <row r="909">
      <c r="B909" s="80"/>
      <c r="C909" s="14"/>
      <c r="D909" s="14"/>
      <c r="E909" s="14"/>
      <c r="F909" s="14"/>
      <c r="G909" s="14"/>
    </row>
    <row r="910">
      <c r="B910" s="80"/>
      <c r="C910" s="14"/>
      <c r="D910" s="14"/>
      <c r="E910" s="14"/>
      <c r="F910" s="14"/>
      <c r="G910" s="14"/>
    </row>
    <row r="911">
      <c r="B911" s="80"/>
      <c r="C911" s="14"/>
      <c r="D911" s="14"/>
      <c r="E911" s="14"/>
      <c r="F911" s="14"/>
      <c r="G911" s="14"/>
    </row>
    <row r="912">
      <c r="B912" s="80"/>
      <c r="C912" s="14"/>
      <c r="D912" s="14"/>
      <c r="E912" s="14"/>
      <c r="F912" s="14"/>
      <c r="G912" s="14"/>
    </row>
    <row r="913">
      <c r="B913" s="80"/>
      <c r="C913" s="14"/>
      <c r="D913" s="14"/>
      <c r="E913" s="14"/>
      <c r="F913" s="14"/>
      <c r="G913" s="14"/>
    </row>
    <row r="914">
      <c r="B914" s="80"/>
      <c r="C914" s="14"/>
      <c r="D914" s="14"/>
      <c r="E914" s="14"/>
      <c r="F914" s="14"/>
      <c r="G914" s="14"/>
    </row>
    <row r="915">
      <c r="B915" s="80"/>
      <c r="C915" s="14"/>
      <c r="D915" s="14"/>
      <c r="E915" s="14"/>
      <c r="F915" s="14"/>
      <c r="G915" s="14"/>
    </row>
    <row r="916">
      <c r="B916" s="80"/>
      <c r="C916" s="14"/>
      <c r="D916" s="14"/>
      <c r="E916" s="14"/>
      <c r="F916" s="14"/>
      <c r="G916" s="14"/>
    </row>
    <row r="917">
      <c r="B917" s="80"/>
      <c r="C917" s="14"/>
      <c r="D917" s="14"/>
      <c r="E917" s="14"/>
      <c r="F917" s="14"/>
      <c r="G917" s="14"/>
    </row>
    <row r="918">
      <c r="B918" s="80"/>
      <c r="C918" s="14"/>
      <c r="D918" s="14"/>
      <c r="E918" s="14"/>
      <c r="F918" s="14"/>
      <c r="G918" s="14"/>
    </row>
    <row r="919">
      <c r="B919" s="80"/>
      <c r="C919" s="14"/>
      <c r="D919" s="14"/>
      <c r="E919" s="14"/>
      <c r="F919" s="14"/>
      <c r="G919" s="14"/>
    </row>
    <row r="920">
      <c r="B920" s="80"/>
      <c r="C920" s="14"/>
      <c r="D920" s="14"/>
      <c r="E920" s="14"/>
      <c r="F920" s="14"/>
      <c r="G920" s="14"/>
    </row>
    <row r="921">
      <c r="B921" s="80"/>
      <c r="C921" s="14"/>
      <c r="D921" s="14"/>
      <c r="E921" s="14"/>
      <c r="F921" s="14"/>
      <c r="G921" s="14"/>
    </row>
    <row r="922">
      <c r="B922" s="80"/>
      <c r="C922" s="14"/>
      <c r="D922" s="14"/>
      <c r="E922" s="14"/>
      <c r="F922" s="14"/>
      <c r="G922" s="14"/>
    </row>
    <row r="923">
      <c r="B923" s="80"/>
      <c r="C923" s="14"/>
      <c r="D923" s="14"/>
      <c r="E923" s="14"/>
      <c r="F923" s="14"/>
      <c r="G923" s="14"/>
    </row>
    <row r="924">
      <c r="B924" s="80"/>
      <c r="C924" s="14"/>
      <c r="D924" s="14"/>
      <c r="E924" s="14"/>
      <c r="F924" s="14"/>
      <c r="G924" s="14"/>
    </row>
    <row r="925">
      <c r="B925" s="80"/>
      <c r="C925" s="14"/>
      <c r="D925" s="14"/>
      <c r="E925" s="14"/>
      <c r="F925" s="14"/>
      <c r="G925" s="14"/>
    </row>
    <row r="926">
      <c r="B926" s="80"/>
      <c r="C926" s="14"/>
      <c r="D926" s="14"/>
      <c r="E926" s="14"/>
      <c r="F926" s="14"/>
      <c r="G926" s="14"/>
    </row>
    <row r="927">
      <c r="B927" s="80"/>
      <c r="C927" s="14"/>
      <c r="D927" s="14"/>
      <c r="E927" s="14"/>
      <c r="F927" s="14"/>
      <c r="G927" s="14"/>
    </row>
    <row r="928">
      <c r="B928" s="80"/>
      <c r="C928" s="14"/>
      <c r="D928" s="14"/>
      <c r="E928" s="14"/>
      <c r="F928" s="14"/>
      <c r="G928" s="14"/>
    </row>
    <row r="929">
      <c r="B929" s="80"/>
      <c r="C929" s="14"/>
      <c r="D929" s="14"/>
      <c r="E929" s="14"/>
      <c r="F929" s="14"/>
      <c r="G929" s="14"/>
    </row>
    <row r="930">
      <c r="B930" s="80"/>
      <c r="C930" s="14"/>
      <c r="D930" s="14"/>
      <c r="E930" s="14"/>
      <c r="F930" s="14"/>
      <c r="G930" s="14"/>
    </row>
    <row r="931">
      <c r="B931" s="80"/>
      <c r="C931" s="14"/>
      <c r="D931" s="14"/>
      <c r="E931" s="14"/>
      <c r="F931" s="14"/>
      <c r="G931" s="14"/>
    </row>
    <row r="932">
      <c r="B932" s="80"/>
      <c r="C932" s="14"/>
      <c r="D932" s="14"/>
      <c r="E932" s="14"/>
      <c r="F932" s="14"/>
      <c r="G932" s="14"/>
    </row>
    <row r="933">
      <c r="B933" s="80"/>
      <c r="C933" s="14"/>
      <c r="D933" s="14"/>
      <c r="E933" s="14"/>
      <c r="F933" s="14"/>
      <c r="G933" s="14"/>
    </row>
    <row r="934">
      <c r="B934" s="80"/>
      <c r="C934" s="14"/>
      <c r="D934" s="14"/>
      <c r="E934" s="14"/>
      <c r="F934" s="14"/>
      <c r="G934" s="14"/>
    </row>
    <row r="935">
      <c r="B935" s="80"/>
      <c r="C935" s="14"/>
      <c r="D935" s="14"/>
      <c r="E935" s="14"/>
      <c r="F935" s="14"/>
      <c r="G935" s="14"/>
    </row>
    <row r="936">
      <c r="B936" s="80"/>
      <c r="C936" s="14"/>
      <c r="D936" s="14"/>
      <c r="E936" s="14"/>
      <c r="F936" s="14"/>
      <c r="G936" s="14"/>
    </row>
    <row r="937">
      <c r="B937" s="80"/>
      <c r="C937" s="14"/>
      <c r="D937" s="14"/>
      <c r="E937" s="14"/>
      <c r="F937" s="14"/>
      <c r="G937" s="14"/>
    </row>
    <row r="938">
      <c r="B938" s="80"/>
      <c r="C938" s="14"/>
      <c r="D938" s="14"/>
      <c r="E938" s="14"/>
      <c r="F938" s="14"/>
      <c r="G938" s="14"/>
    </row>
    <row r="939">
      <c r="B939" s="80"/>
      <c r="C939" s="14"/>
      <c r="D939" s="14"/>
      <c r="E939" s="14"/>
      <c r="F939" s="14"/>
      <c r="G939" s="14"/>
    </row>
    <row r="940">
      <c r="B940" s="80"/>
      <c r="C940" s="14"/>
      <c r="D940" s="14"/>
      <c r="E940" s="14"/>
      <c r="F940" s="14"/>
      <c r="G940" s="14"/>
    </row>
    <row r="941">
      <c r="B941" s="80"/>
      <c r="C941" s="14"/>
      <c r="D941" s="14"/>
      <c r="E941" s="14"/>
      <c r="F941" s="14"/>
      <c r="G941" s="14"/>
    </row>
    <row r="942">
      <c r="B942" s="80"/>
      <c r="C942" s="14"/>
      <c r="D942" s="14"/>
      <c r="E942" s="14"/>
      <c r="F942" s="14"/>
      <c r="G942" s="14"/>
    </row>
    <row r="943">
      <c r="B943" s="80"/>
      <c r="C943" s="14"/>
      <c r="D943" s="14"/>
      <c r="E943" s="14"/>
      <c r="F943" s="14"/>
      <c r="G943" s="14"/>
    </row>
    <row r="944">
      <c r="B944" s="80"/>
      <c r="C944" s="14"/>
      <c r="D944" s="14"/>
      <c r="E944" s="14"/>
      <c r="F944" s="14"/>
      <c r="G944" s="14"/>
    </row>
    <row r="945">
      <c r="B945" s="80"/>
      <c r="C945" s="14"/>
      <c r="D945" s="14"/>
      <c r="E945" s="14"/>
      <c r="F945" s="14"/>
      <c r="G945" s="14"/>
    </row>
    <row r="946">
      <c r="B946" s="80"/>
      <c r="C946" s="14"/>
      <c r="D946" s="14"/>
      <c r="E946" s="14"/>
      <c r="F946" s="14"/>
      <c r="G946" s="14"/>
    </row>
    <row r="947">
      <c r="B947" s="80"/>
      <c r="C947" s="14"/>
      <c r="D947" s="14"/>
      <c r="E947" s="14"/>
      <c r="F947" s="14"/>
      <c r="G947" s="14"/>
    </row>
    <row r="948">
      <c r="B948" s="80"/>
      <c r="C948" s="14"/>
      <c r="D948" s="14"/>
      <c r="E948" s="14"/>
      <c r="F948" s="14"/>
      <c r="G948" s="14"/>
    </row>
    <row r="949">
      <c r="B949" s="80"/>
      <c r="C949" s="14"/>
      <c r="D949" s="14"/>
      <c r="E949" s="14"/>
      <c r="F949" s="14"/>
      <c r="G949" s="14"/>
    </row>
    <row r="950">
      <c r="B950" s="80"/>
      <c r="C950" s="14"/>
      <c r="D950" s="14"/>
      <c r="E950" s="14"/>
      <c r="F950" s="14"/>
      <c r="G950" s="14"/>
    </row>
    <row r="951">
      <c r="B951" s="80"/>
      <c r="C951" s="14"/>
      <c r="D951" s="14"/>
      <c r="E951" s="14"/>
      <c r="F951" s="14"/>
      <c r="G951" s="14"/>
    </row>
    <row r="952">
      <c r="B952" s="80"/>
      <c r="C952" s="14"/>
      <c r="D952" s="14"/>
      <c r="E952" s="14"/>
      <c r="F952" s="14"/>
      <c r="G952" s="14"/>
    </row>
    <row r="953">
      <c r="B953" s="80"/>
      <c r="C953" s="14"/>
      <c r="D953" s="14"/>
      <c r="E953" s="14"/>
      <c r="F953" s="14"/>
      <c r="G953" s="14"/>
    </row>
    <row r="954">
      <c r="B954" s="80"/>
      <c r="C954" s="14"/>
      <c r="D954" s="14"/>
      <c r="E954" s="14"/>
      <c r="F954" s="14"/>
      <c r="G954" s="14"/>
    </row>
    <row r="955">
      <c r="B955" s="80"/>
      <c r="C955" s="14"/>
      <c r="D955" s="14"/>
      <c r="E955" s="14"/>
      <c r="F955" s="14"/>
      <c r="G955" s="14"/>
    </row>
    <row r="956">
      <c r="B956" s="80"/>
      <c r="C956" s="14"/>
      <c r="D956" s="14"/>
      <c r="E956" s="14"/>
      <c r="F956" s="14"/>
      <c r="G956" s="14"/>
    </row>
    <row r="957">
      <c r="B957" s="80"/>
      <c r="C957" s="14"/>
      <c r="D957" s="14"/>
      <c r="E957" s="14"/>
      <c r="F957" s="14"/>
      <c r="G957" s="14"/>
    </row>
    <row r="958">
      <c r="B958" s="80"/>
      <c r="C958" s="14"/>
      <c r="D958" s="14"/>
      <c r="E958" s="14"/>
      <c r="F958" s="14"/>
      <c r="G958" s="14"/>
    </row>
    <row r="959">
      <c r="B959" s="80"/>
      <c r="C959" s="14"/>
      <c r="D959" s="14"/>
      <c r="E959" s="14"/>
      <c r="F959" s="14"/>
      <c r="G959" s="14"/>
    </row>
    <row r="960">
      <c r="B960" s="80"/>
      <c r="C960" s="14"/>
      <c r="D960" s="14"/>
      <c r="E960" s="14"/>
      <c r="F960" s="14"/>
      <c r="G960" s="14"/>
    </row>
    <row r="961">
      <c r="B961" s="80"/>
      <c r="C961" s="14"/>
      <c r="D961" s="14"/>
      <c r="E961" s="14"/>
      <c r="F961" s="14"/>
      <c r="G961" s="14"/>
    </row>
    <row r="962">
      <c r="B962" s="80"/>
      <c r="C962" s="14"/>
      <c r="D962" s="14"/>
      <c r="E962" s="14"/>
      <c r="F962" s="14"/>
      <c r="G962" s="14"/>
    </row>
    <row r="963">
      <c r="B963" s="80"/>
      <c r="C963" s="14"/>
      <c r="D963" s="14"/>
      <c r="E963" s="14"/>
      <c r="F963" s="14"/>
      <c r="G963" s="14"/>
    </row>
    <row r="964">
      <c r="B964" s="80"/>
      <c r="C964" s="14"/>
      <c r="D964" s="14"/>
      <c r="E964" s="14"/>
      <c r="F964" s="14"/>
      <c r="G964" s="14"/>
    </row>
    <row r="965">
      <c r="B965" s="80"/>
      <c r="C965" s="14"/>
      <c r="D965" s="14"/>
      <c r="E965" s="14"/>
      <c r="F965" s="14"/>
      <c r="G965" s="14"/>
    </row>
    <row r="966">
      <c r="B966" s="80"/>
      <c r="C966" s="14"/>
      <c r="D966" s="14"/>
      <c r="E966" s="14"/>
      <c r="F966" s="14"/>
      <c r="G966" s="14"/>
    </row>
    <row r="967">
      <c r="B967" s="80"/>
      <c r="C967" s="14"/>
      <c r="D967" s="14"/>
      <c r="E967" s="14"/>
      <c r="F967" s="14"/>
      <c r="G967" s="14"/>
    </row>
    <row r="968">
      <c r="B968" s="80"/>
      <c r="C968" s="14"/>
      <c r="D968" s="14"/>
      <c r="E968" s="14"/>
      <c r="F968" s="14"/>
      <c r="G968" s="14"/>
    </row>
    <row r="969">
      <c r="B969" s="80"/>
      <c r="C969" s="14"/>
      <c r="D969" s="14"/>
      <c r="E969" s="14"/>
      <c r="F969" s="14"/>
      <c r="G969" s="14"/>
    </row>
    <row r="970">
      <c r="B970" s="80"/>
      <c r="C970" s="14"/>
      <c r="D970" s="14"/>
      <c r="E970" s="14"/>
      <c r="F970" s="14"/>
      <c r="G970" s="14"/>
    </row>
    <row r="971">
      <c r="B971" s="80"/>
      <c r="C971" s="14"/>
      <c r="D971" s="14"/>
      <c r="E971" s="14"/>
      <c r="F971" s="14"/>
      <c r="G971" s="14"/>
    </row>
    <row r="972">
      <c r="B972" s="80"/>
      <c r="C972" s="14"/>
      <c r="D972" s="14"/>
      <c r="E972" s="14"/>
      <c r="F972" s="14"/>
      <c r="G972" s="14"/>
    </row>
    <row r="973">
      <c r="B973" s="80"/>
      <c r="C973" s="14"/>
      <c r="D973" s="14"/>
      <c r="E973" s="14"/>
      <c r="F973" s="14"/>
      <c r="G973" s="14"/>
    </row>
    <row r="974">
      <c r="B974" s="80"/>
      <c r="C974" s="14"/>
      <c r="D974" s="14"/>
      <c r="E974" s="14"/>
      <c r="F974" s="14"/>
      <c r="G974" s="14"/>
    </row>
    <row r="975">
      <c r="B975" s="80"/>
      <c r="C975" s="14"/>
      <c r="D975" s="14"/>
      <c r="E975" s="14"/>
      <c r="F975" s="14"/>
      <c r="G975" s="14"/>
    </row>
    <row r="976">
      <c r="B976" s="80"/>
      <c r="C976" s="14"/>
      <c r="D976" s="14"/>
      <c r="E976" s="14"/>
      <c r="F976" s="14"/>
      <c r="G976" s="14"/>
    </row>
    <row r="977">
      <c r="B977" s="80"/>
      <c r="C977" s="14"/>
      <c r="D977" s="14"/>
      <c r="E977" s="14"/>
      <c r="F977" s="14"/>
      <c r="G977" s="14"/>
    </row>
    <row r="978">
      <c r="B978" s="80"/>
      <c r="C978" s="14"/>
      <c r="D978" s="14"/>
      <c r="E978" s="14"/>
      <c r="F978" s="14"/>
      <c r="G978" s="14"/>
    </row>
    <row r="979">
      <c r="B979" s="80"/>
      <c r="C979" s="14"/>
      <c r="D979" s="14"/>
      <c r="E979" s="14"/>
      <c r="F979" s="14"/>
      <c r="G979" s="14"/>
    </row>
    <row r="980">
      <c r="B980" s="80"/>
      <c r="C980" s="14"/>
      <c r="D980" s="14"/>
      <c r="E980" s="14"/>
      <c r="F980" s="14"/>
      <c r="G980" s="14"/>
    </row>
    <row r="981">
      <c r="B981" s="80"/>
      <c r="C981" s="14"/>
      <c r="D981" s="14"/>
      <c r="E981" s="14"/>
      <c r="F981" s="14"/>
      <c r="G981" s="14"/>
    </row>
    <row r="982">
      <c r="B982" s="80"/>
      <c r="C982" s="14"/>
      <c r="D982" s="14"/>
      <c r="E982" s="14"/>
      <c r="F982" s="14"/>
      <c r="G982" s="14"/>
    </row>
    <row r="983">
      <c r="B983" s="80"/>
      <c r="C983" s="14"/>
      <c r="D983" s="14"/>
      <c r="E983" s="14"/>
      <c r="F983" s="14"/>
      <c r="G983" s="14"/>
    </row>
    <row r="984">
      <c r="B984" s="80"/>
      <c r="C984" s="14"/>
      <c r="D984" s="14"/>
      <c r="E984" s="14"/>
      <c r="F984" s="14"/>
      <c r="G984" s="14"/>
    </row>
    <row r="985">
      <c r="B985" s="80"/>
      <c r="C985" s="14"/>
      <c r="D985" s="14"/>
      <c r="E985" s="14"/>
      <c r="F985" s="14"/>
      <c r="G985" s="14"/>
    </row>
    <row r="986">
      <c r="B986" s="80"/>
      <c r="C986" s="14"/>
      <c r="D986" s="14"/>
      <c r="E986" s="14"/>
      <c r="F986" s="14"/>
      <c r="G986" s="14"/>
    </row>
    <row r="987">
      <c r="B987" s="80"/>
      <c r="C987" s="14"/>
      <c r="D987" s="14"/>
      <c r="E987" s="14"/>
      <c r="F987" s="14"/>
      <c r="G987" s="14"/>
    </row>
    <row r="988">
      <c r="B988" s="80"/>
      <c r="C988" s="14"/>
      <c r="D988" s="14"/>
      <c r="E988" s="14"/>
      <c r="F988" s="14"/>
      <c r="G988" s="14"/>
    </row>
    <row r="989">
      <c r="B989" s="80"/>
      <c r="C989" s="14"/>
      <c r="D989" s="14"/>
      <c r="E989" s="14"/>
      <c r="F989" s="14"/>
      <c r="G989" s="14"/>
    </row>
    <row r="990">
      <c r="B990" s="80"/>
      <c r="C990" s="14"/>
      <c r="D990" s="14"/>
      <c r="E990" s="14"/>
      <c r="F990" s="14"/>
      <c r="G990" s="14"/>
    </row>
    <row r="991">
      <c r="B991" s="80"/>
      <c r="C991" s="14"/>
      <c r="D991" s="14"/>
      <c r="E991" s="14"/>
      <c r="F991" s="14"/>
      <c r="G991" s="14"/>
    </row>
    <row r="992">
      <c r="B992" s="80"/>
      <c r="C992" s="14"/>
      <c r="D992" s="14"/>
      <c r="E992" s="14"/>
      <c r="F992" s="14"/>
      <c r="G992" s="14"/>
    </row>
    <row r="993">
      <c r="B993" s="80"/>
      <c r="C993" s="14"/>
      <c r="D993" s="14"/>
      <c r="E993" s="14"/>
      <c r="F993" s="14"/>
      <c r="G993" s="14"/>
    </row>
    <row r="994">
      <c r="B994" s="80"/>
      <c r="C994" s="14"/>
      <c r="D994" s="14"/>
      <c r="E994" s="14"/>
      <c r="F994" s="14"/>
      <c r="G994" s="14"/>
    </row>
    <row r="995">
      <c r="B995" s="80"/>
      <c r="C995" s="14"/>
      <c r="D995" s="14"/>
      <c r="E995" s="14"/>
      <c r="F995" s="14"/>
      <c r="G995" s="14"/>
    </row>
    <row r="996">
      <c r="B996" s="80"/>
      <c r="C996" s="14"/>
      <c r="D996" s="14"/>
      <c r="E996" s="14"/>
      <c r="F996" s="14"/>
      <c r="G996" s="14"/>
    </row>
    <row r="997">
      <c r="B997" s="80"/>
      <c r="C997" s="14"/>
      <c r="D997" s="14"/>
      <c r="E997" s="14"/>
      <c r="F997" s="14"/>
      <c r="G997" s="14"/>
    </row>
    <row r="998">
      <c r="B998" s="80"/>
      <c r="C998" s="14"/>
      <c r="D998" s="14"/>
      <c r="E998" s="14"/>
      <c r="F998" s="14"/>
      <c r="G998" s="14"/>
    </row>
    <row r="999">
      <c r="B999" s="80"/>
      <c r="C999" s="14"/>
      <c r="D999" s="14"/>
      <c r="E999" s="14"/>
      <c r="F999" s="14"/>
      <c r="G999" s="14"/>
    </row>
    <row r="1000">
      <c r="B1000" s="80"/>
      <c r="C1000" s="14"/>
      <c r="D1000" s="14"/>
      <c r="E1000" s="14"/>
      <c r="F1000" s="14"/>
      <c r="G1000" s="1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4" t="s">
        <v>11</v>
      </c>
    </row>
    <row r="2">
      <c r="A2" s="5" t="s">
        <v>19</v>
      </c>
      <c r="B2" s="6">
        <v>45901.0</v>
      </c>
      <c r="C2" s="7">
        <v>4031652.0</v>
      </c>
      <c r="D2" s="6">
        <v>45901.0</v>
      </c>
      <c r="E2" s="7">
        <v>25.0</v>
      </c>
      <c r="F2" s="7">
        <v>25.0</v>
      </c>
      <c r="G2" s="7">
        <v>4.25</v>
      </c>
      <c r="H2" s="7">
        <v>0.0</v>
      </c>
      <c r="I2" s="8"/>
      <c r="J2" s="7">
        <v>-1.74</v>
      </c>
      <c r="K2" s="7">
        <v>-1.740665895725</v>
      </c>
      <c r="L2" s="12">
        <v>6.65895725000087E-4</v>
      </c>
    </row>
    <row r="3">
      <c r="A3" s="5" t="s">
        <v>488</v>
      </c>
      <c r="B3" s="6">
        <v>45901.0</v>
      </c>
      <c r="C3" s="7">
        <v>3959338.0</v>
      </c>
      <c r="D3" s="6">
        <v>45839.0</v>
      </c>
      <c r="E3" s="7">
        <v>4.0</v>
      </c>
      <c r="F3" s="7">
        <v>4.0</v>
      </c>
      <c r="G3" s="7">
        <v>5565.0</v>
      </c>
      <c r="H3" s="7">
        <v>25.88</v>
      </c>
      <c r="I3" s="8"/>
      <c r="J3" s="7">
        <v>24.35</v>
      </c>
      <c r="K3" s="7">
        <v>20.532625216648</v>
      </c>
      <c r="L3" s="12">
        <v>3.817374783352</v>
      </c>
    </row>
    <row r="4">
      <c r="A4" s="5" t="s">
        <v>489</v>
      </c>
      <c r="B4" s="6">
        <v>45901.0</v>
      </c>
      <c r="C4" s="7">
        <v>3328212.0</v>
      </c>
      <c r="D4" s="6">
        <v>45901.0</v>
      </c>
      <c r="E4" s="7">
        <v>6.0</v>
      </c>
      <c r="F4" s="7">
        <v>0.0</v>
      </c>
      <c r="G4" s="7">
        <v>1147.75</v>
      </c>
      <c r="H4" s="7">
        <v>33.29</v>
      </c>
      <c r="I4" s="8"/>
      <c r="J4" s="7">
        <v>0.4346</v>
      </c>
      <c r="K4" s="7">
        <v>0.4231225</v>
      </c>
      <c r="L4" s="12">
        <v>0.0114774999999999</v>
      </c>
    </row>
    <row r="5">
      <c r="A5" s="5" t="s">
        <v>17</v>
      </c>
      <c r="B5" s="6">
        <v>45901.0</v>
      </c>
      <c r="C5" s="7">
        <v>3958943.0</v>
      </c>
      <c r="D5" s="6">
        <v>45839.0</v>
      </c>
      <c r="E5" s="7">
        <v>1.0</v>
      </c>
      <c r="F5" s="7">
        <v>1.0</v>
      </c>
      <c r="G5" s="7">
        <v>462.72</v>
      </c>
      <c r="H5" s="7">
        <v>0.0</v>
      </c>
      <c r="I5" s="8"/>
      <c r="J5" s="7">
        <v>-0.06</v>
      </c>
      <c r="K5" s="7">
        <v>-0.0646272</v>
      </c>
      <c r="L5" s="12">
        <v>0.00462719999999999</v>
      </c>
    </row>
    <row r="6">
      <c r="A6" s="5" t="s">
        <v>17</v>
      </c>
      <c r="B6" s="6">
        <v>45901.0</v>
      </c>
      <c r="C6" s="7">
        <v>4011819.0</v>
      </c>
      <c r="D6" s="6">
        <v>45839.0</v>
      </c>
      <c r="E6" s="7">
        <v>1.0</v>
      </c>
      <c r="F6" s="7">
        <v>0.0</v>
      </c>
      <c r="G6" s="7">
        <v>3554.4</v>
      </c>
      <c r="H6" s="7">
        <v>103.08</v>
      </c>
      <c r="I6" s="8"/>
      <c r="J6" s="7">
        <v>14.0952</v>
      </c>
      <c r="K6" s="7">
        <v>12.209758457849</v>
      </c>
      <c r="L6" s="12">
        <v>1.88544154215099</v>
      </c>
    </row>
    <row r="7">
      <c r="A7" s="5" t="s">
        <v>489</v>
      </c>
      <c r="B7" s="6">
        <v>45901.0</v>
      </c>
      <c r="C7" s="7">
        <v>3947424.0</v>
      </c>
      <c r="D7" s="6">
        <v>45809.0</v>
      </c>
      <c r="E7" s="7">
        <v>9.0</v>
      </c>
      <c r="F7" s="7">
        <v>9.0</v>
      </c>
      <c r="G7" s="7">
        <v>27897.01</v>
      </c>
      <c r="H7" s="7">
        <v>88.285376</v>
      </c>
      <c r="I7" s="7">
        <v>2.0</v>
      </c>
      <c r="J7" s="7">
        <v>86.8854</v>
      </c>
      <c r="K7" s="7">
        <v>82.514458898717</v>
      </c>
      <c r="L7" s="12">
        <v>4.370941101283</v>
      </c>
    </row>
    <row r="8">
      <c r="A8" s="5" t="s">
        <v>19</v>
      </c>
      <c r="B8" s="6">
        <v>45901.0</v>
      </c>
      <c r="C8" s="7">
        <v>3946131.0</v>
      </c>
      <c r="D8" s="6">
        <v>45809.0</v>
      </c>
      <c r="E8" s="7">
        <v>32.0</v>
      </c>
      <c r="F8" s="7">
        <v>32.0</v>
      </c>
      <c r="G8" s="7">
        <v>87343.65</v>
      </c>
      <c r="H8" s="7">
        <v>41.5</v>
      </c>
      <c r="I8" s="7">
        <v>1.5</v>
      </c>
      <c r="J8" s="7">
        <v>25.44</v>
      </c>
      <c r="K8" s="7">
        <v>9.656589438144</v>
      </c>
      <c r="L8" s="12">
        <v>15.783410561856</v>
      </c>
    </row>
    <row r="9">
      <c r="A9" s="5" t="s">
        <v>489</v>
      </c>
      <c r="B9" s="6">
        <v>45901.0</v>
      </c>
      <c r="C9" s="7">
        <v>4080340.0</v>
      </c>
      <c r="D9" s="6">
        <v>45901.0</v>
      </c>
      <c r="E9" s="7">
        <v>1.0</v>
      </c>
      <c r="F9" s="7">
        <v>1.0</v>
      </c>
      <c r="G9" s="7">
        <v>2473.05</v>
      </c>
      <c r="H9" s="7">
        <v>0.0</v>
      </c>
      <c r="I9" s="8"/>
      <c r="J9" s="7">
        <v>-0.15</v>
      </c>
      <c r="K9" s="7">
        <v>-0.1747305</v>
      </c>
      <c r="L9" s="12">
        <v>0.0247305</v>
      </c>
    </row>
    <row r="10">
      <c r="A10" s="5" t="s">
        <v>488</v>
      </c>
      <c r="B10" s="6">
        <v>45901.0</v>
      </c>
      <c r="C10" s="7">
        <v>3934711.0</v>
      </c>
      <c r="D10" s="6">
        <v>45839.0</v>
      </c>
      <c r="E10" s="7">
        <v>12.0</v>
      </c>
      <c r="F10" s="7">
        <v>12.0</v>
      </c>
      <c r="G10" s="7">
        <v>1937.2</v>
      </c>
      <c r="H10" s="7">
        <v>3.5</v>
      </c>
      <c r="I10" s="7">
        <v>1.5</v>
      </c>
      <c r="J10" s="7">
        <v>2.06</v>
      </c>
      <c r="K10" s="7">
        <v>1.57793659193899</v>
      </c>
      <c r="L10" s="12">
        <v>0.482063408061</v>
      </c>
    </row>
    <row r="11">
      <c r="A11" s="5" t="s">
        <v>489</v>
      </c>
      <c r="B11" s="6">
        <v>45901.0</v>
      </c>
      <c r="C11" s="7">
        <v>4038405.0</v>
      </c>
      <c r="D11" s="6">
        <v>45870.0</v>
      </c>
      <c r="E11" s="7">
        <v>22.0</v>
      </c>
      <c r="F11" s="7">
        <v>22.0</v>
      </c>
      <c r="G11" s="7">
        <v>168362.99</v>
      </c>
      <c r="H11" s="7">
        <v>68.157709</v>
      </c>
      <c r="I11" s="8"/>
      <c r="J11" s="7">
        <v>66.2277</v>
      </c>
      <c r="K11" s="7">
        <v>35.8059544375319</v>
      </c>
      <c r="L11" s="12">
        <v>30.421745562468</v>
      </c>
    </row>
    <row r="12">
      <c r="A12" s="5" t="s">
        <v>19</v>
      </c>
      <c r="B12" s="6">
        <v>45901.0</v>
      </c>
      <c r="C12" s="7">
        <v>3935770.0</v>
      </c>
      <c r="D12" s="6">
        <v>45778.0</v>
      </c>
      <c r="E12" s="7">
        <v>16.0</v>
      </c>
      <c r="F12" s="7">
        <v>16.0</v>
      </c>
      <c r="G12" s="7">
        <v>67729.44</v>
      </c>
      <c r="H12" s="7">
        <v>64.277713</v>
      </c>
      <c r="I12" s="8"/>
      <c r="J12" s="7">
        <v>62.5977</v>
      </c>
      <c r="K12" s="7">
        <v>51.829520985333</v>
      </c>
      <c r="L12" s="12">
        <v>10.7681790146669</v>
      </c>
    </row>
    <row r="13">
      <c r="A13" s="5" t="s">
        <v>488</v>
      </c>
      <c r="B13" s="6">
        <v>45901.0</v>
      </c>
      <c r="C13" s="7">
        <v>4030970.0</v>
      </c>
      <c r="D13" s="6">
        <v>45870.0</v>
      </c>
      <c r="E13" s="7">
        <v>4.0</v>
      </c>
      <c r="F13" s="7">
        <v>0.0</v>
      </c>
      <c r="G13" s="7">
        <v>5518.02</v>
      </c>
      <c r="H13" s="7">
        <v>160.03</v>
      </c>
      <c r="I13" s="8"/>
      <c r="J13" s="7">
        <v>159.57</v>
      </c>
      <c r="K13" s="7">
        <v>156.642950670037</v>
      </c>
      <c r="L13" s="12">
        <v>2.92704932996298</v>
      </c>
    </row>
    <row r="14">
      <c r="A14" s="5" t="s">
        <v>488</v>
      </c>
      <c r="B14" s="6">
        <v>45901.0</v>
      </c>
      <c r="C14" s="7">
        <v>3977410.0</v>
      </c>
      <c r="D14" s="6">
        <v>45809.0</v>
      </c>
      <c r="E14" s="7">
        <v>1.0</v>
      </c>
      <c r="F14" s="7">
        <v>1.0</v>
      </c>
      <c r="G14" s="7">
        <v>3360.0</v>
      </c>
      <c r="H14" s="7">
        <v>0.0</v>
      </c>
      <c r="I14" s="8"/>
      <c r="J14" s="7">
        <v>-0.1</v>
      </c>
      <c r="K14" s="7">
        <v>-0.1336</v>
      </c>
      <c r="L14" s="12">
        <v>0.0335999999999999</v>
      </c>
    </row>
    <row r="15">
      <c r="A15" s="5" t="s">
        <v>19</v>
      </c>
      <c r="B15" s="6">
        <v>45901.0</v>
      </c>
      <c r="C15" s="7">
        <v>3825826.0</v>
      </c>
      <c r="D15" s="6">
        <v>45839.0</v>
      </c>
      <c r="E15" s="7">
        <v>15.0</v>
      </c>
      <c r="F15" s="7">
        <v>13.0</v>
      </c>
      <c r="G15" s="7">
        <v>70496.0</v>
      </c>
      <c r="H15" s="7">
        <v>270.27</v>
      </c>
      <c r="I15" s="8"/>
      <c r="J15" s="7">
        <v>20.2827</v>
      </c>
      <c r="K15" s="7">
        <v>19.71628</v>
      </c>
      <c r="L15" s="12">
        <v>0.566419999999997</v>
      </c>
    </row>
    <row r="16">
      <c r="A16" s="5" t="s">
        <v>488</v>
      </c>
      <c r="B16" s="6">
        <v>45901.0</v>
      </c>
      <c r="C16" s="7">
        <v>3785914.0</v>
      </c>
      <c r="D16" s="6">
        <v>45778.0</v>
      </c>
      <c r="E16" s="7">
        <v>5.0</v>
      </c>
      <c r="F16" s="7">
        <v>5.0</v>
      </c>
      <c r="G16" s="7">
        <v>11205.3</v>
      </c>
      <c r="H16" s="7">
        <v>6.47</v>
      </c>
      <c r="I16" s="8"/>
      <c r="J16" s="7">
        <v>5.54</v>
      </c>
      <c r="K16" s="7">
        <v>4.68918015095999</v>
      </c>
      <c r="L16" s="12">
        <v>0.85081984904</v>
      </c>
    </row>
    <row r="17">
      <c r="A17" s="5" t="s">
        <v>19</v>
      </c>
      <c r="B17" s="6">
        <v>45901.0</v>
      </c>
      <c r="C17" s="7">
        <v>4010351.0</v>
      </c>
      <c r="D17" s="6">
        <v>45839.0</v>
      </c>
      <c r="E17" s="7">
        <v>3.0</v>
      </c>
      <c r="F17" s="7">
        <v>3.0</v>
      </c>
      <c r="G17" s="7">
        <v>1061.36</v>
      </c>
      <c r="H17" s="7">
        <v>4.5</v>
      </c>
      <c r="I17" s="8"/>
      <c r="J17" s="7">
        <v>1.98</v>
      </c>
      <c r="K17" s="7">
        <v>1.824318285655</v>
      </c>
      <c r="L17" s="12">
        <v>0.155681714345</v>
      </c>
    </row>
    <row r="18">
      <c r="A18" s="5" t="s">
        <v>19</v>
      </c>
      <c r="B18" s="6">
        <v>45901.0</v>
      </c>
      <c r="C18" s="7">
        <v>4018525.0</v>
      </c>
      <c r="D18" s="6">
        <v>45839.0</v>
      </c>
      <c r="E18" s="7">
        <v>20.0</v>
      </c>
      <c r="F18" s="7">
        <v>20.0</v>
      </c>
      <c r="G18" s="7">
        <v>36586.67</v>
      </c>
      <c r="H18" s="7">
        <v>18.0</v>
      </c>
      <c r="I18" s="8"/>
      <c r="J18" s="7">
        <v>7.95</v>
      </c>
      <c r="K18" s="7">
        <v>2.318830765815</v>
      </c>
      <c r="L18" s="12">
        <v>5.631169234185</v>
      </c>
    </row>
    <row r="19">
      <c r="A19" s="5" t="s">
        <v>488</v>
      </c>
      <c r="B19" s="6">
        <v>45901.0</v>
      </c>
      <c r="C19" s="7">
        <v>4039652.0</v>
      </c>
      <c r="D19" s="6">
        <v>45870.0</v>
      </c>
      <c r="E19" s="7">
        <v>2.0</v>
      </c>
      <c r="F19" s="7">
        <v>2.0</v>
      </c>
      <c r="G19" s="7">
        <v>1012.5</v>
      </c>
      <c r="H19" s="7">
        <v>0.5</v>
      </c>
      <c r="I19" s="7">
        <v>0.5</v>
      </c>
      <c r="J19" s="7">
        <v>-0.0499999999999999</v>
      </c>
      <c r="K19" s="7">
        <v>-0.208639863736</v>
      </c>
      <c r="L19" s="12">
        <v>0.158639863736</v>
      </c>
    </row>
    <row r="20">
      <c r="A20" s="5" t="s">
        <v>17</v>
      </c>
      <c r="B20" s="6">
        <v>45870.0</v>
      </c>
      <c r="C20" s="7">
        <v>4079539.0</v>
      </c>
      <c r="D20" s="6">
        <v>45870.0</v>
      </c>
      <c r="E20" s="7">
        <v>1.0</v>
      </c>
      <c r="F20" s="7">
        <v>0.0</v>
      </c>
      <c r="G20" s="7">
        <v>9128.82</v>
      </c>
      <c r="H20" s="7">
        <v>264.74</v>
      </c>
      <c r="I20" s="8"/>
      <c r="J20" s="7">
        <v>17.6899</v>
      </c>
      <c r="K20" s="7">
        <v>12.847491588223</v>
      </c>
      <c r="L20" s="12">
        <v>4.842408411777</v>
      </c>
    </row>
    <row r="21">
      <c r="A21" s="5" t="s">
        <v>489</v>
      </c>
      <c r="B21" s="6">
        <v>45870.0</v>
      </c>
      <c r="C21" s="7">
        <v>3947424.0</v>
      </c>
      <c r="D21" s="6">
        <v>45809.0</v>
      </c>
      <c r="E21" s="7">
        <v>80.0</v>
      </c>
      <c r="F21" s="7">
        <v>80.0</v>
      </c>
      <c r="G21" s="7">
        <v>138111.17</v>
      </c>
      <c r="H21" s="7">
        <v>124.671347</v>
      </c>
      <c r="I21" s="7">
        <v>11.0</v>
      </c>
      <c r="J21" s="7">
        <v>113.9313</v>
      </c>
      <c r="K21" s="7">
        <v>92.291855862464</v>
      </c>
      <c r="L21" s="12">
        <v>21.6394441375359</v>
      </c>
    </row>
    <row r="22">
      <c r="A22" s="5" t="s">
        <v>19</v>
      </c>
      <c r="B22" s="6">
        <v>45870.0</v>
      </c>
      <c r="C22" s="7">
        <v>3946131.0</v>
      </c>
      <c r="D22" s="6">
        <v>45809.0</v>
      </c>
      <c r="E22" s="7">
        <v>165.0</v>
      </c>
      <c r="F22" s="7">
        <v>165.0</v>
      </c>
      <c r="G22" s="7">
        <v>387192.43</v>
      </c>
      <c r="H22" s="7">
        <v>465.23</v>
      </c>
      <c r="I22" s="7">
        <v>5.5</v>
      </c>
      <c r="J22" s="7">
        <v>358.0799</v>
      </c>
      <c r="K22" s="7">
        <v>279.096111056426</v>
      </c>
      <c r="L22" s="12">
        <v>78.983788943573</v>
      </c>
    </row>
    <row r="23">
      <c r="A23" s="5" t="s">
        <v>488</v>
      </c>
      <c r="B23" s="6">
        <v>45870.0</v>
      </c>
      <c r="C23" s="7">
        <v>4030970.0</v>
      </c>
      <c r="D23" s="6">
        <v>45870.0</v>
      </c>
      <c r="E23" s="7">
        <v>25.0</v>
      </c>
      <c r="F23" s="7">
        <v>0.0</v>
      </c>
      <c r="G23" s="7">
        <v>14075.6</v>
      </c>
      <c r="H23" s="7">
        <v>408.2</v>
      </c>
      <c r="I23" s="8"/>
      <c r="J23" s="7">
        <v>42.8984</v>
      </c>
      <c r="K23" s="7">
        <v>35.431958133381</v>
      </c>
      <c r="L23" s="12">
        <v>7.46644186661899</v>
      </c>
    </row>
    <row r="24">
      <c r="A24" s="5" t="s">
        <v>17</v>
      </c>
      <c r="B24" s="6">
        <v>45870.0</v>
      </c>
      <c r="C24" s="7">
        <v>4011819.0</v>
      </c>
      <c r="D24" s="6">
        <v>45839.0</v>
      </c>
      <c r="E24" s="7">
        <v>2.0</v>
      </c>
      <c r="F24" s="7">
        <v>0.0</v>
      </c>
      <c r="G24" s="7">
        <v>3364.6</v>
      </c>
      <c r="H24" s="7">
        <v>97.57</v>
      </c>
      <c r="I24" s="8"/>
      <c r="J24" s="7">
        <v>12.9591</v>
      </c>
      <c r="K24" s="7">
        <v>11.174338405153</v>
      </c>
      <c r="L24" s="12">
        <v>1.784761594847</v>
      </c>
    </row>
    <row r="25">
      <c r="A25" s="5" t="s">
        <v>488</v>
      </c>
      <c r="B25" s="6">
        <v>45870.0</v>
      </c>
      <c r="C25" s="7">
        <v>4075965.0</v>
      </c>
      <c r="D25" s="6">
        <v>45870.0</v>
      </c>
      <c r="E25" s="7">
        <v>5.0</v>
      </c>
      <c r="F25" s="7">
        <v>0.0</v>
      </c>
      <c r="G25" s="7">
        <v>66600.0</v>
      </c>
      <c r="H25" s="7">
        <v>1931.4</v>
      </c>
      <c r="I25" s="8"/>
      <c r="J25" s="7">
        <v>293.5805</v>
      </c>
      <c r="K25" s="7">
        <v>258.25234146206</v>
      </c>
      <c r="L25" s="12">
        <v>35.3281585379399</v>
      </c>
    </row>
    <row r="26">
      <c r="A26" s="5" t="s">
        <v>488</v>
      </c>
      <c r="B26" s="6">
        <v>45870.0</v>
      </c>
      <c r="C26" s="7">
        <v>4039652.0</v>
      </c>
      <c r="D26" s="6">
        <v>45870.0</v>
      </c>
      <c r="E26" s="7">
        <v>6.0</v>
      </c>
      <c r="F26" s="7">
        <v>2.0</v>
      </c>
      <c r="G26" s="7">
        <v>7078.75</v>
      </c>
      <c r="H26" s="7">
        <v>111.9</v>
      </c>
      <c r="I26" s="8"/>
      <c r="J26" s="7">
        <v>12.9026</v>
      </c>
      <c r="K26" s="7">
        <v>10.351201201747</v>
      </c>
      <c r="L26" s="12">
        <v>2.551398798253</v>
      </c>
    </row>
    <row r="27">
      <c r="A27" s="5" t="s">
        <v>17</v>
      </c>
      <c r="B27" s="6">
        <v>45870.0</v>
      </c>
      <c r="C27" s="7">
        <v>3997416.0</v>
      </c>
      <c r="D27" s="6">
        <v>45839.0</v>
      </c>
      <c r="E27" s="7">
        <v>1.0</v>
      </c>
      <c r="F27" s="7">
        <v>0.0</v>
      </c>
      <c r="G27" s="7">
        <v>6700.0</v>
      </c>
      <c r="H27" s="7">
        <v>194.3</v>
      </c>
      <c r="I27" s="8"/>
      <c r="J27" s="7">
        <v>48.3878</v>
      </c>
      <c r="K27" s="7">
        <v>48.3208</v>
      </c>
      <c r="L27" s="12">
        <v>0.0670000000000001</v>
      </c>
    </row>
    <row r="28">
      <c r="A28" s="5" t="s">
        <v>489</v>
      </c>
      <c r="B28" s="6">
        <v>45870.0</v>
      </c>
      <c r="C28" s="7">
        <v>4038405.0</v>
      </c>
      <c r="D28" s="6">
        <v>45870.0</v>
      </c>
      <c r="E28" s="7">
        <v>84.0</v>
      </c>
      <c r="F28" s="7">
        <v>84.0</v>
      </c>
      <c r="G28" s="7">
        <v>814334.14</v>
      </c>
      <c r="H28" s="7">
        <v>328.461063</v>
      </c>
      <c r="I28" s="7">
        <v>12.0</v>
      </c>
      <c r="J28" s="7">
        <v>312.3911</v>
      </c>
      <c r="K28" s="7">
        <v>140.638637825224</v>
      </c>
      <c r="L28" s="12">
        <v>171.752462174775</v>
      </c>
    </row>
    <row r="29">
      <c r="A29" s="5" t="s">
        <v>488</v>
      </c>
      <c r="B29" s="6">
        <v>45870.0</v>
      </c>
      <c r="C29" s="7">
        <v>3959338.0</v>
      </c>
      <c r="D29" s="6">
        <v>45839.0</v>
      </c>
      <c r="E29" s="7">
        <v>23.0</v>
      </c>
      <c r="F29" s="7">
        <v>23.0</v>
      </c>
      <c r="G29" s="7">
        <v>28059.0</v>
      </c>
      <c r="H29" s="7">
        <v>56.38</v>
      </c>
      <c r="I29" s="7">
        <v>1.0</v>
      </c>
      <c r="J29" s="7">
        <v>49.69</v>
      </c>
      <c r="K29" s="7">
        <v>38.208872367537</v>
      </c>
      <c r="L29" s="12">
        <v>11.481127632463</v>
      </c>
    </row>
    <row r="30">
      <c r="A30" s="5" t="s">
        <v>19</v>
      </c>
      <c r="B30" s="6">
        <v>45870.0</v>
      </c>
      <c r="C30" s="7">
        <v>3825826.0</v>
      </c>
      <c r="D30" s="6">
        <v>45839.0</v>
      </c>
      <c r="E30" s="7">
        <v>28.0</v>
      </c>
      <c r="F30" s="7">
        <v>26.0</v>
      </c>
      <c r="G30" s="7">
        <v>134882.0</v>
      </c>
      <c r="H30" s="7">
        <v>270.27</v>
      </c>
      <c r="I30" s="8"/>
      <c r="J30" s="7">
        <v>18.3265</v>
      </c>
      <c r="K30" s="7">
        <v>16.9776799999999</v>
      </c>
      <c r="L30" s="12">
        <v>1.34882</v>
      </c>
    </row>
    <row r="31">
      <c r="A31" s="5" t="s">
        <v>19</v>
      </c>
      <c r="B31" s="6">
        <v>45870.0</v>
      </c>
      <c r="C31" s="7">
        <v>3968250.0</v>
      </c>
      <c r="D31" s="6">
        <v>45809.0</v>
      </c>
      <c r="E31" s="7">
        <v>33.0</v>
      </c>
      <c r="F31" s="7">
        <v>32.0</v>
      </c>
      <c r="G31" s="7">
        <v>139376.22</v>
      </c>
      <c r="H31" s="7">
        <v>1460.0</v>
      </c>
      <c r="I31" s="8"/>
      <c r="J31" s="7">
        <v>103.889</v>
      </c>
      <c r="K31" s="7">
        <v>61.190793674566</v>
      </c>
      <c r="L31" s="12">
        <v>42.6982063254339</v>
      </c>
    </row>
    <row r="32">
      <c r="A32" s="5" t="s">
        <v>17</v>
      </c>
      <c r="B32" s="6">
        <v>45870.0</v>
      </c>
      <c r="C32" s="7">
        <v>3958943.0</v>
      </c>
      <c r="D32" s="6">
        <v>45839.0</v>
      </c>
      <c r="E32" s="7">
        <v>5.0</v>
      </c>
      <c r="F32" s="7">
        <v>3.0</v>
      </c>
      <c r="G32" s="7">
        <v>1953.75</v>
      </c>
      <c r="H32" s="7">
        <v>53.25</v>
      </c>
      <c r="I32" s="8"/>
      <c r="J32" s="7">
        <v>2.75379999999999</v>
      </c>
      <c r="K32" s="7">
        <v>2.7342625</v>
      </c>
      <c r="L32" s="12">
        <v>0.0195374999999993</v>
      </c>
    </row>
    <row r="33">
      <c r="A33" s="5" t="s">
        <v>19</v>
      </c>
      <c r="B33" s="6">
        <v>45870.0</v>
      </c>
      <c r="C33" s="7">
        <v>4010351.0</v>
      </c>
      <c r="D33" s="6">
        <v>45839.0</v>
      </c>
      <c r="E33" s="7">
        <v>4.0</v>
      </c>
      <c r="F33" s="7">
        <v>1.0</v>
      </c>
      <c r="G33" s="7">
        <v>213782.0</v>
      </c>
      <c r="H33" s="7">
        <v>6149.02</v>
      </c>
      <c r="I33" s="8"/>
      <c r="J33" s="7">
        <v>810.170699999999</v>
      </c>
      <c r="K33" s="7">
        <v>661.750793363896</v>
      </c>
      <c r="L33" s="12">
        <v>148.419906636103</v>
      </c>
    </row>
    <row r="34">
      <c r="A34" s="5" t="s">
        <v>19</v>
      </c>
      <c r="B34" s="6">
        <v>45870.0</v>
      </c>
      <c r="C34" s="7">
        <v>4064786.0</v>
      </c>
      <c r="D34" s="6">
        <v>45870.0</v>
      </c>
      <c r="E34" s="7">
        <v>2.0</v>
      </c>
      <c r="F34" s="7">
        <v>0.0</v>
      </c>
      <c r="G34" s="7">
        <v>2.0</v>
      </c>
      <c r="H34" s="7">
        <v>0.06</v>
      </c>
      <c r="I34" s="8"/>
      <c r="J34" s="7">
        <v>-3.2106</v>
      </c>
      <c r="K34" s="7">
        <v>-3.21062</v>
      </c>
      <c r="L34" s="78">
        <v>2.0000000000131E-5</v>
      </c>
    </row>
    <row r="35">
      <c r="A35" s="5" t="s">
        <v>17</v>
      </c>
      <c r="B35" s="6">
        <v>45870.0</v>
      </c>
      <c r="C35" s="7">
        <v>3942651.0</v>
      </c>
      <c r="D35" s="6">
        <v>45809.0</v>
      </c>
      <c r="E35" s="7">
        <v>3.0</v>
      </c>
      <c r="F35" s="7">
        <v>3.0</v>
      </c>
      <c r="G35" s="7">
        <v>2850.0</v>
      </c>
      <c r="H35" s="7">
        <v>0.0</v>
      </c>
      <c r="I35" s="8"/>
      <c r="J35" s="7">
        <v>-0.43</v>
      </c>
      <c r="K35" s="7">
        <v>-0.4585</v>
      </c>
      <c r="L35" s="12">
        <v>0.0284999999999999</v>
      </c>
    </row>
    <row r="36">
      <c r="A36" s="5" t="s">
        <v>19</v>
      </c>
      <c r="B36" s="6">
        <v>45870.0</v>
      </c>
      <c r="C36" s="7">
        <v>4018525.0</v>
      </c>
      <c r="D36" s="6">
        <v>45839.0</v>
      </c>
      <c r="E36" s="7">
        <v>76.0</v>
      </c>
      <c r="F36" s="7">
        <v>76.0</v>
      </c>
      <c r="G36" s="7">
        <v>277390.54</v>
      </c>
      <c r="H36" s="7">
        <v>77.320593</v>
      </c>
      <c r="I36" s="8"/>
      <c r="J36" s="7">
        <v>34.1705999999999</v>
      </c>
      <c r="K36" s="7">
        <v>-7.87363862452099</v>
      </c>
      <c r="L36" s="12">
        <v>42.0442386245209</v>
      </c>
    </row>
    <row r="37">
      <c r="A37" s="5" t="s">
        <v>488</v>
      </c>
      <c r="B37" s="6">
        <v>45870.0</v>
      </c>
      <c r="C37" s="7">
        <v>3934711.0</v>
      </c>
      <c r="D37" s="6">
        <v>45839.0</v>
      </c>
      <c r="E37" s="7">
        <v>27.0</v>
      </c>
      <c r="F37" s="7">
        <v>27.0</v>
      </c>
      <c r="G37" s="7">
        <v>3932.5</v>
      </c>
      <c r="H37" s="7">
        <v>7.55</v>
      </c>
      <c r="I37" s="7">
        <v>0.5</v>
      </c>
      <c r="J37" s="7">
        <v>3.56</v>
      </c>
      <c r="K37" s="7">
        <v>2.063061601977</v>
      </c>
      <c r="L37" s="12">
        <v>1.496938398023</v>
      </c>
    </row>
    <row r="38">
      <c r="A38" s="5" t="s">
        <v>488</v>
      </c>
      <c r="B38" s="6">
        <v>45870.0</v>
      </c>
      <c r="C38" s="7">
        <v>4008827.0</v>
      </c>
      <c r="D38" s="6">
        <v>45870.0</v>
      </c>
      <c r="E38" s="7">
        <v>2.0</v>
      </c>
      <c r="F38" s="7">
        <v>2.0</v>
      </c>
      <c r="G38" s="7">
        <v>9880.0</v>
      </c>
      <c r="H38" s="7">
        <v>0.0</v>
      </c>
      <c r="I38" s="8"/>
      <c r="J38" s="7">
        <v>-0.16</v>
      </c>
      <c r="K38" s="7">
        <v>-1.708011707372</v>
      </c>
      <c r="L38" s="12">
        <v>1.548011707372</v>
      </c>
    </row>
    <row r="39">
      <c r="A39" s="5" t="s">
        <v>17</v>
      </c>
      <c r="B39" s="6">
        <v>45870.0</v>
      </c>
      <c r="C39" s="7">
        <v>3942346.0</v>
      </c>
      <c r="D39" s="6">
        <v>45809.0</v>
      </c>
      <c r="E39" s="7">
        <v>1.0</v>
      </c>
      <c r="F39" s="7">
        <v>1.0</v>
      </c>
      <c r="G39" s="7">
        <v>123.19</v>
      </c>
      <c r="H39" s="7">
        <v>1.92</v>
      </c>
      <c r="I39" s="8"/>
      <c r="J39" s="7">
        <v>1.61</v>
      </c>
      <c r="K39" s="7">
        <v>1.590397596689</v>
      </c>
      <c r="L39" s="12">
        <v>0.019602403311</v>
      </c>
    </row>
    <row r="40">
      <c r="A40" s="5" t="s">
        <v>488</v>
      </c>
      <c r="B40" s="6">
        <v>45870.0</v>
      </c>
      <c r="C40" s="7">
        <v>3977410.0</v>
      </c>
      <c r="D40" s="6">
        <v>45809.0</v>
      </c>
      <c r="E40" s="7">
        <v>2.0</v>
      </c>
      <c r="F40" s="7">
        <v>2.0</v>
      </c>
      <c r="G40" s="7">
        <v>8400.0</v>
      </c>
      <c r="H40" s="7">
        <v>0.0</v>
      </c>
      <c r="I40" s="8"/>
      <c r="J40" s="7">
        <v>-0.23</v>
      </c>
      <c r="K40" s="7">
        <v>-0.313999999999999</v>
      </c>
      <c r="L40" s="12">
        <v>0.0839999999999999</v>
      </c>
    </row>
    <row r="41">
      <c r="A41" s="5" t="s">
        <v>488</v>
      </c>
      <c r="B41" s="6">
        <v>45870.0</v>
      </c>
      <c r="C41" s="7">
        <v>3934664.0</v>
      </c>
      <c r="D41" s="6">
        <v>45809.0</v>
      </c>
      <c r="E41" s="7">
        <v>2.0</v>
      </c>
      <c r="F41" s="7">
        <v>0.0</v>
      </c>
      <c r="G41" s="7">
        <v>839.46</v>
      </c>
      <c r="H41" s="7">
        <v>24.35</v>
      </c>
      <c r="I41" s="8"/>
      <c r="J41" s="7">
        <v>1.027</v>
      </c>
      <c r="K41" s="7">
        <v>1.0186054</v>
      </c>
      <c r="L41" s="12">
        <v>0.00839460000000014</v>
      </c>
    </row>
    <row r="42">
      <c r="A42" s="5" t="s">
        <v>17</v>
      </c>
      <c r="B42" s="6">
        <v>45870.0</v>
      </c>
      <c r="C42" s="7">
        <v>3962143.0</v>
      </c>
      <c r="D42" s="6">
        <v>45809.0</v>
      </c>
      <c r="E42" s="7">
        <v>1.0</v>
      </c>
      <c r="F42" s="7">
        <v>0.0</v>
      </c>
      <c r="G42" s="7">
        <v>451.78</v>
      </c>
      <c r="H42" s="7">
        <v>13.1</v>
      </c>
      <c r="I42" s="8"/>
      <c r="J42" s="7">
        <v>0.6636</v>
      </c>
      <c r="K42" s="7">
        <v>0.423952020056</v>
      </c>
      <c r="L42" s="12">
        <v>0.239647979943999</v>
      </c>
    </row>
    <row r="43">
      <c r="A43" s="5" t="s">
        <v>19</v>
      </c>
      <c r="B43" s="6">
        <v>45870.0</v>
      </c>
      <c r="C43" s="7">
        <v>3935770.0</v>
      </c>
      <c r="D43" s="6">
        <v>45778.0</v>
      </c>
      <c r="E43" s="7">
        <v>58.0</v>
      </c>
      <c r="F43" s="7">
        <v>49.0</v>
      </c>
      <c r="G43" s="7">
        <v>230305.74</v>
      </c>
      <c r="H43" s="7">
        <v>2776.492248</v>
      </c>
      <c r="I43" s="8"/>
      <c r="J43" s="7">
        <v>220.8655</v>
      </c>
      <c r="K43" s="7">
        <v>158.718298739891</v>
      </c>
      <c r="L43" s="12">
        <v>62.147201260109</v>
      </c>
    </row>
    <row r="44">
      <c r="A44" s="5" t="s">
        <v>488</v>
      </c>
      <c r="B44" s="6">
        <v>45870.0</v>
      </c>
      <c r="C44" s="7">
        <v>3785914.0</v>
      </c>
      <c r="D44" s="6">
        <v>45778.0</v>
      </c>
      <c r="E44" s="7">
        <v>7.0</v>
      </c>
      <c r="F44" s="7">
        <v>6.0</v>
      </c>
      <c r="G44" s="7">
        <v>9852.21</v>
      </c>
      <c r="H44" s="7">
        <v>124.15</v>
      </c>
      <c r="I44" s="8"/>
      <c r="J44" s="7">
        <v>41.9034999999999</v>
      </c>
      <c r="K44" s="7">
        <v>38.497578427978</v>
      </c>
      <c r="L44" s="12">
        <v>3.40592157202198</v>
      </c>
    </row>
    <row r="45">
      <c r="A45" s="5" t="s">
        <v>488</v>
      </c>
      <c r="B45" s="6">
        <v>45870.0</v>
      </c>
      <c r="C45" s="7">
        <v>3952865.0</v>
      </c>
      <c r="D45" s="6">
        <v>45809.0</v>
      </c>
      <c r="E45" s="7">
        <v>10.0</v>
      </c>
      <c r="F45" s="7">
        <v>10.0</v>
      </c>
      <c r="G45" s="7">
        <v>44578.63</v>
      </c>
      <c r="H45" s="7">
        <v>0.0</v>
      </c>
      <c r="I45" s="8"/>
      <c r="J45" s="7">
        <v>-1.42</v>
      </c>
      <c r="K45" s="7">
        <v>-8.404639791357</v>
      </c>
      <c r="L45" s="12">
        <v>6.984639791357</v>
      </c>
    </row>
    <row r="46">
      <c r="A46" s="5" t="s">
        <v>488</v>
      </c>
      <c r="B46" s="6">
        <v>45870.0</v>
      </c>
      <c r="C46" s="7">
        <v>3906405.0</v>
      </c>
      <c r="D46" s="6">
        <v>45778.0</v>
      </c>
      <c r="E46" s="7">
        <v>15.0</v>
      </c>
      <c r="F46" s="7">
        <v>15.0</v>
      </c>
      <c r="G46" s="7">
        <v>29374.4</v>
      </c>
      <c r="H46" s="7">
        <v>0.0</v>
      </c>
      <c r="I46" s="8"/>
      <c r="J46" s="7">
        <v>-1.72</v>
      </c>
      <c r="K46" s="7">
        <v>-6.322420556381</v>
      </c>
      <c r="L46" s="12">
        <v>4.602420556381</v>
      </c>
    </row>
    <row r="47">
      <c r="A47" s="5" t="s">
        <v>19</v>
      </c>
      <c r="B47" s="6">
        <v>45870.0</v>
      </c>
      <c r="C47" s="7">
        <v>4044926.0</v>
      </c>
      <c r="D47" s="6">
        <v>45870.0</v>
      </c>
      <c r="E47" s="7">
        <v>3.0</v>
      </c>
      <c r="F47" s="7">
        <v>3.0</v>
      </c>
      <c r="G47" s="7">
        <v>1542.64</v>
      </c>
      <c r="H47" s="7">
        <v>1.5</v>
      </c>
      <c r="I47" s="8"/>
      <c r="J47" s="7">
        <v>0.28</v>
      </c>
      <c r="K47" s="7">
        <v>0.041073487019</v>
      </c>
      <c r="L47" s="12">
        <v>0.238926512981</v>
      </c>
    </row>
    <row r="48">
      <c r="A48" s="5" t="s">
        <v>488</v>
      </c>
      <c r="B48" s="6">
        <v>45870.0</v>
      </c>
      <c r="C48" s="7">
        <v>3275131.0</v>
      </c>
      <c r="D48" s="6">
        <v>45839.0</v>
      </c>
      <c r="E48" s="7">
        <v>4.0</v>
      </c>
      <c r="F48" s="7">
        <v>2.0</v>
      </c>
      <c r="G48" s="7">
        <v>10780.08</v>
      </c>
      <c r="H48" s="7">
        <v>63.8</v>
      </c>
      <c r="I48" s="8"/>
      <c r="J48" s="7">
        <v>-5.4366</v>
      </c>
      <c r="K48" s="7">
        <v>-5.54440079999999</v>
      </c>
      <c r="L48" s="12">
        <v>0.107800799999998</v>
      </c>
    </row>
    <row r="49">
      <c r="A49" s="5" t="s">
        <v>17</v>
      </c>
      <c r="B49" s="6">
        <v>45839.0</v>
      </c>
      <c r="C49" s="7">
        <v>3962143.0</v>
      </c>
      <c r="D49" s="6">
        <v>45809.0</v>
      </c>
      <c r="E49" s="7">
        <v>3.0</v>
      </c>
      <c r="F49" s="7">
        <v>0.0</v>
      </c>
      <c r="G49" s="7">
        <v>12928.92</v>
      </c>
      <c r="H49" s="7">
        <v>404.94</v>
      </c>
      <c r="I49" s="8"/>
      <c r="J49" s="7">
        <v>54.8811</v>
      </c>
      <c r="K49" s="7">
        <v>46.41715192602</v>
      </c>
      <c r="L49" s="12">
        <v>8.46394807398</v>
      </c>
    </row>
    <row r="50">
      <c r="A50" s="5" t="s">
        <v>17</v>
      </c>
      <c r="B50" s="6">
        <v>45839.0</v>
      </c>
      <c r="C50" s="7">
        <v>4011819.0</v>
      </c>
      <c r="D50" s="6">
        <v>45839.0</v>
      </c>
      <c r="E50" s="7">
        <v>3.0</v>
      </c>
      <c r="F50" s="7">
        <v>0.0</v>
      </c>
      <c r="G50" s="7">
        <v>470.0</v>
      </c>
      <c r="H50" s="7">
        <v>13.62</v>
      </c>
      <c r="I50" s="8"/>
      <c r="J50" s="7">
        <v>0.0687999999999999</v>
      </c>
      <c r="K50" s="7">
        <v>-0.180512830524</v>
      </c>
      <c r="L50" s="12">
        <v>0.249312830524</v>
      </c>
    </row>
    <row r="51">
      <c r="A51" s="5" t="s">
        <v>19</v>
      </c>
      <c r="B51" s="6">
        <v>45839.0</v>
      </c>
      <c r="C51" s="7">
        <v>3970546.0</v>
      </c>
      <c r="D51" s="6">
        <v>45809.0</v>
      </c>
      <c r="E51" s="7">
        <v>31.0</v>
      </c>
      <c r="F51" s="7">
        <v>0.0</v>
      </c>
      <c r="G51" s="7">
        <v>41261.73</v>
      </c>
      <c r="H51" s="7">
        <v>1244.06</v>
      </c>
      <c r="I51" s="8"/>
      <c r="J51" s="7">
        <v>118.8725</v>
      </c>
      <c r="K51" s="7">
        <v>95.1981823534489</v>
      </c>
      <c r="L51" s="12">
        <v>23.674317646551</v>
      </c>
    </row>
    <row r="52">
      <c r="A52" s="5" t="s">
        <v>19</v>
      </c>
      <c r="B52" s="6">
        <v>45839.0</v>
      </c>
      <c r="C52" s="7">
        <v>4018525.0</v>
      </c>
      <c r="D52" s="6">
        <v>45839.0</v>
      </c>
      <c r="E52" s="7">
        <v>14.0</v>
      </c>
      <c r="F52" s="7">
        <v>14.0</v>
      </c>
      <c r="G52" s="7">
        <v>157106.27</v>
      </c>
      <c r="H52" s="7">
        <v>9.969429</v>
      </c>
      <c r="I52" s="8"/>
      <c r="J52" s="7">
        <v>3.83939999999999</v>
      </c>
      <c r="K52" s="7">
        <v>-19.810961990037</v>
      </c>
      <c r="L52" s="12">
        <v>23.650361990037</v>
      </c>
    </row>
    <row r="53">
      <c r="A53" s="5" t="s">
        <v>19</v>
      </c>
      <c r="B53" s="6">
        <v>45839.0</v>
      </c>
      <c r="C53" s="7">
        <v>3825826.0</v>
      </c>
      <c r="D53" s="6">
        <v>45839.0</v>
      </c>
      <c r="E53" s="7">
        <v>29.0</v>
      </c>
      <c r="F53" s="7">
        <v>26.0</v>
      </c>
      <c r="G53" s="7">
        <v>135586.5</v>
      </c>
      <c r="H53" s="7">
        <v>442.02</v>
      </c>
      <c r="I53" s="8"/>
      <c r="J53" s="7">
        <v>13.6657999999999</v>
      </c>
      <c r="K53" s="7">
        <v>12.309935</v>
      </c>
      <c r="L53" s="12">
        <v>1.35586499999999</v>
      </c>
    </row>
    <row r="54">
      <c r="A54" s="5" t="s">
        <v>17</v>
      </c>
      <c r="B54" s="6">
        <v>45839.0</v>
      </c>
      <c r="C54" s="7">
        <v>3993022.0</v>
      </c>
      <c r="D54" s="6">
        <v>45839.0</v>
      </c>
      <c r="E54" s="7">
        <v>1.0</v>
      </c>
      <c r="F54" s="7">
        <v>0.0</v>
      </c>
      <c r="G54" s="7">
        <v>5700.0</v>
      </c>
      <c r="H54" s="7">
        <v>175.3</v>
      </c>
      <c r="I54" s="8"/>
      <c r="J54" s="7">
        <v>64.1767</v>
      </c>
      <c r="K54" s="7">
        <v>59.01305386387</v>
      </c>
      <c r="L54" s="12">
        <v>5.16364613612999</v>
      </c>
    </row>
    <row r="55">
      <c r="A55" s="5" t="s">
        <v>17</v>
      </c>
      <c r="B55" s="6">
        <v>45839.0</v>
      </c>
      <c r="C55" s="7">
        <v>3997416.0</v>
      </c>
      <c r="D55" s="6">
        <v>45839.0</v>
      </c>
      <c r="E55" s="7">
        <v>1.0</v>
      </c>
      <c r="F55" s="7">
        <v>0.0</v>
      </c>
      <c r="G55" s="7">
        <v>7400.0</v>
      </c>
      <c r="H55" s="7">
        <v>214.6</v>
      </c>
      <c r="I55" s="8"/>
      <c r="J55" s="7">
        <v>57.1369</v>
      </c>
      <c r="K55" s="7">
        <v>57.0629</v>
      </c>
      <c r="L55" s="12">
        <v>0.073999999999998</v>
      </c>
    </row>
    <row r="56">
      <c r="A56" s="5" t="s">
        <v>488</v>
      </c>
      <c r="B56" s="6">
        <v>45839.0</v>
      </c>
      <c r="C56" s="7">
        <v>3991830.0</v>
      </c>
      <c r="D56" s="6">
        <v>45839.0</v>
      </c>
      <c r="E56" s="7">
        <v>1.0</v>
      </c>
      <c r="F56" s="7">
        <v>1.0</v>
      </c>
      <c r="G56" s="7">
        <v>100.0</v>
      </c>
      <c r="H56" s="7">
        <v>0.0</v>
      </c>
      <c r="I56" s="8"/>
      <c r="J56" s="7">
        <v>-0.06</v>
      </c>
      <c r="K56" s="7">
        <v>-0.07566813469</v>
      </c>
      <c r="L56" s="12">
        <v>0.01566813469</v>
      </c>
    </row>
    <row r="57">
      <c r="A57" s="5" t="s">
        <v>19</v>
      </c>
      <c r="B57" s="6">
        <v>45839.0</v>
      </c>
      <c r="C57" s="7">
        <v>3782339.0</v>
      </c>
      <c r="D57" s="6">
        <v>45839.0</v>
      </c>
      <c r="E57" s="7">
        <v>1.0</v>
      </c>
      <c r="F57" s="7">
        <v>1.0</v>
      </c>
      <c r="G57" s="7">
        <v>289.91</v>
      </c>
      <c r="H57" s="7">
        <v>2.9</v>
      </c>
      <c r="I57" s="8"/>
      <c r="J57" s="7">
        <v>2.53</v>
      </c>
      <c r="K57" s="7">
        <v>1.641473187114</v>
      </c>
      <c r="L57" s="12">
        <v>0.888526812885999</v>
      </c>
    </row>
    <row r="58">
      <c r="A58" s="5" t="s">
        <v>19</v>
      </c>
      <c r="B58" s="6">
        <v>45839.0</v>
      </c>
      <c r="C58" s="7">
        <v>3935770.0</v>
      </c>
      <c r="D58" s="6">
        <v>45778.0</v>
      </c>
      <c r="E58" s="7">
        <v>34.0</v>
      </c>
      <c r="F58" s="7">
        <v>32.0</v>
      </c>
      <c r="G58" s="7">
        <v>136784.62</v>
      </c>
      <c r="H58" s="7">
        <v>16.937386</v>
      </c>
      <c r="I58" s="8"/>
      <c r="J58" s="7">
        <v>-0.292699999999999</v>
      </c>
      <c r="K58" s="7">
        <v>-14.214283942571</v>
      </c>
      <c r="L58" s="12">
        <v>13.921583942571</v>
      </c>
    </row>
    <row r="59">
      <c r="A59" s="5" t="s">
        <v>488</v>
      </c>
      <c r="B59" s="6">
        <v>45839.0</v>
      </c>
      <c r="C59" s="7">
        <v>3952865.0</v>
      </c>
      <c r="D59" s="6">
        <v>45809.0</v>
      </c>
      <c r="E59" s="7">
        <v>10.0</v>
      </c>
      <c r="F59" s="7">
        <v>10.0</v>
      </c>
      <c r="G59" s="7">
        <v>31165.76</v>
      </c>
      <c r="H59" s="7">
        <v>0.5</v>
      </c>
      <c r="I59" s="7">
        <v>0.5</v>
      </c>
      <c r="J59" s="7">
        <v>-0.4</v>
      </c>
      <c r="K59" s="7">
        <v>-5.283093253964</v>
      </c>
      <c r="L59" s="12">
        <v>4.883093253964</v>
      </c>
    </row>
    <row r="60">
      <c r="A60" s="5" t="s">
        <v>488</v>
      </c>
      <c r="B60" s="6">
        <v>45839.0</v>
      </c>
      <c r="C60" s="7">
        <v>3785914.0</v>
      </c>
      <c r="D60" s="6">
        <v>45778.0</v>
      </c>
      <c r="E60" s="7">
        <v>6.0</v>
      </c>
      <c r="F60" s="7">
        <v>6.0</v>
      </c>
      <c r="G60" s="7">
        <v>12484.85</v>
      </c>
      <c r="H60" s="7">
        <v>56.33</v>
      </c>
      <c r="I60" s="7">
        <v>0.5</v>
      </c>
      <c r="J60" s="7">
        <v>55.06</v>
      </c>
      <c r="K60" s="7">
        <v>50.17197970811</v>
      </c>
      <c r="L60" s="12">
        <v>4.88802029189</v>
      </c>
    </row>
    <row r="61">
      <c r="A61" s="5" t="s">
        <v>17</v>
      </c>
      <c r="B61" s="6">
        <v>45839.0</v>
      </c>
      <c r="C61" s="7">
        <v>3987123.0</v>
      </c>
      <c r="D61" s="6">
        <v>45839.0</v>
      </c>
      <c r="E61" s="7">
        <v>3.0</v>
      </c>
      <c r="F61" s="7">
        <v>3.0</v>
      </c>
      <c r="G61" s="7">
        <v>10182.71</v>
      </c>
      <c r="H61" s="7">
        <v>0.0</v>
      </c>
      <c r="I61" s="8"/>
      <c r="J61" s="7">
        <v>-0.43</v>
      </c>
      <c r="K61" s="7">
        <v>-0.5318271</v>
      </c>
      <c r="L61" s="12">
        <v>0.1018271</v>
      </c>
    </row>
    <row r="62">
      <c r="A62" s="5" t="s">
        <v>488</v>
      </c>
      <c r="B62" s="6">
        <v>45839.0</v>
      </c>
      <c r="C62" s="7">
        <v>3275131.0</v>
      </c>
      <c r="D62" s="6">
        <v>45839.0</v>
      </c>
      <c r="E62" s="7">
        <v>2.0</v>
      </c>
      <c r="F62" s="7">
        <v>2.0</v>
      </c>
      <c r="G62" s="7">
        <v>8506.71</v>
      </c>
      <c r="H62" s="7">
        <v>0.0</v>
      </c>
      <c r="I62" s="8"/>
      <c r="J62" s="7">
        <v>-0.26</v>
      </c>
      <c r="K62" s="7">
        <v>-0.3450671</v>
      </c>
      <c r="L62" s="12">
        <v>0.0850671</v>
      </c>
    </row>
    <row r="63">
      <c r="A63" s="5" t="s">
        <v>489</v>
      </c>
      <c r="B63" s="6">
        <v>45839.0</v>
      </c>
      <c r="C63" s="7">
        <v>3947424.0</v>
      </c>
      <c r="D63" s="6">
        <v>45809.0</v>
      </c>
      <c r="E63" s="7">
        <v>62.0</v>
      </c>
      <c r="F63" s="7">
        <v>62.0</v>
      </c>
      <c r="G63" s="7">
        <v>149121.04</v>
      </c>
      <c r="H63" s="7">
        <v>30.604162</v>
      </c>
      <c r="I63" s="7">
        <v>4.0</v>
      </c>
      <c r="J63" s="7">
        <v>22.6141999999999</v>
      </c>
      <c r="K63" s="7">
        <v>-0.750285398331003</v>
      </c>
      <c r="L63" s="12">
        <v>23.364485398331</v>
      </c>
    </row>
    <row r="64">
      <c r="A64" s="5" t="s">
        <v>488</v>
      </c>
      <c r="B64" s="6">
        <v>45839.0</v>
      </c>
      <c r="C64" s="7">
        <v>3959338.0</v>
      </c>
      <c r="D64" s="6">
        <v>45839.0</v>
      </c>
      <c r="E64" s="7">
        <v>14.0</v>
      </c>
      <c r="F64" s="7">
        <v>14.0</v>
      </c>
      <c r="G64" s="7">
        <v>22154.0</v>
      </c>
      <c r="H64" s="7">
        <v>4.5</v>
      </c>
      <c r="I64" s="8"/>
      <c r="J64" s="7">
        <v>0.2</v>
      </c>
      <c r="K64" s="7">
        <v>-3.22341855922299</v>
      </c>
      <c r="L64" s="12">
        <v>3.42341855922299</v>
      </c>
    </row>
    <row r="65">
      <c r="A65" s="5" t="s">
        <v>19</v>
      </c>
      <c r="B65" s="6">
        <v>45839.0</v>
      </c>
      <c r="C65" s="7">
        <v>4011251.0</v>
      </c>
      <c r="D65" s="6">
        <v>45839.0</v>
      </c>
      <c r="E65" s="7">
        <v>12.0</v>
      </c>
      <c r="F65" s="7">
        <v>12.0</v>
      </c>
      <c r="G65" s="7">
        <v>23004.8</v>
      </c>
      <c r="H65" s="7">
        <v>178.89</v>
      </c>
      <c r="I65" s="8"/>
      <c r="J65" s="7">
        <v>174.41</v>
      </c>
      <c r="K65" s="7">
        <v>168.492322534254</v>
      </c>
      <c r="L65" s="12">
        <v>5.91767746574603</v>
      </c>
    </row>
    <row r="66">
      <c r="A66" s="5" t="s">
        <v>17</v>
      </c>
      <c r="B66" s="6">
        <v>45839.0</v>
      </c>
      <c r="C66" s="7">
        <v>3942651.0</v>
      </c>
      <c r="D66" s="6">
        <v>45809.0</v>
      </c>
      <c r="E66" s="7">
        <v>4.0</v>
      </c>
      <c r="F66" s="7">
        <v>4.0</v>
      </c>
      <c r="G66" s="7">
        <v>2850.0</v>
      </c>
      <c r="H66" s="7">
        <v>0.0</v>
      </c>
      <c r="I66" s="8"/>
      <c r="J66" s="7">
        <v>-0.56</v>
      </c>
      <c r="K66" s="7">
        <v>-0.5885</v>
      </c>
      <c r="L66" s="12">
        <v>0.0284999999999999</v>
      </c>
    </row>
    <row r="67">
      <c r="A67" s="5" t="s">
        <v>19</v>
      </c>
      <c r="B67" s="6">
        <v>45839.0</v>
      </c>
      <c r="C67" s="7">
        <v>3946131.0</v>
      </c>
      <c r="D67" s="6">
        <v>45809.0</v>
      </c>
      <c r="E67" s="7">
        <v>193.0</v>
      </c>
      <c r="F67" s="7">
        <v>193.0</v>
      </c>
      <c r="G67" s="7">
        <v>971856.69</v>
      </c>
      <c r="H67" s="7">
        <v>695.86</v>
      </c>
      <c r="I67" s="7">
        <v>3.0</v>
      </c>
      <c r="J67" s="7">
        <v>603.4</v>
      </c>
      <c r="K67" s="7">
        <v>399.833017047402</v>
      </c>
      <c r="L67" s="12">
        <v>203.566982952597</v>
      </c>
    </row>
    <row r="68">
      <c r="A68" s="5" t="s">
        <v>488</v>
      </c>
      <c r="B68" s="6">
        <v>45839.0</v>
      </c>
      <c r="C68" s="7">
        <v>3934664.0</v>
      </c>
      <c r="D68" s="6">
        <v>45809.0</v>
      </c>
      <c r="E68" s="7">
        <v>8.0</v>
      </c>
      <c r="F68" s="7">
        <v>0.0</v>
      </c>
      <c r="G68" s="7">
        <v>3096.81</v>
      </c>
      <c r="H68" s="7">
        <v>89.81</v>
      </c>
      <c r="I68" s="8"/>
      <c r="J68" s="7">
        <v>4.1557</v>
      </c>
      <c r="K68" s="7">
        <v>4.1247319</v>
      </c>
      <c r="L68" s="12">
        <v>0.0309680999999999</v>
      </c>
    </row>
    <row r="69">
      <c r="A69" s="5" t="s">
        <v>19</v>
      </c>
      <c r="B69" s="6">
        <v>45839.0</v>
      </c>
      <c r="C69" s="7">
        <v>4010351.0</v>
      </c>
      <c r="D69" s="6">
        <v>45839.0</v>
      </c>
      <c r="E69" s="7">
        <v>5.0</v>
      </c>
      <c r="F69" s="7">
        <v>0.0</v>
      </c>
      <c r="G69" s="7">
        <v>122970.0</v>
      </c>
      <c r="H69" s="7">
        <v>3566.14</v>
      </c>
      <c r="I69" s="8"/>
      <c r="J69" s="7">
        <v>685.6292</v>
      </c>
      <c r="K69" s="7">
        <v>620.399415384226</v>
      </c>
      <c r="L69" s="12">
        <v>65.2297846157731</v>
      </c>
    </row>
    <row r="70">
      <c r="A70" s="5" t="s">
        <v>19</v>
      </c>
      <c r="B70" s="6">
        <v>45839.0</v>
      </c>
      <c r="C70" s="7">
        <v>3968250.0</v>
      </c>
      <c r="D70" s="6">
        <v>45809.0</v>
      </c>
      <c r="E70" s="7">
        <v>25.0</v>
      </c>
      <c r="F70" s="7">
        <v>25.0</v>
      </c>
      <c r="G70" s="7">
        <v>87861.35</v>
      </c>
      <c r="H70" s="7">
        <v>10.37</v>
      </c>
      <c r="I70" s="8"/>
      <c r="J70" s="7">
        <v>6.82999999999999</v>
      </c>
      <c r="K70" s="7">
        <v>-8.474230642432</v>
      </c>
      <c r="L70" s="12">
        <v>15.304230642432</v>
      </c>
    </row>
    <row r="71">
      <c r="A71" s="5" t="s">
        <v>17</v>
      </c>
      <c r="B71" s="6">
        <v>45839.0</v>
      </c>
      <c r="C71" s="7">
        <v>3958943.0</v>
      </c>
      <c r="D71" s="6">
        <v>45839.0</v>
      </c>
      <c r="E71" s="7">
        <v>3.0</v>
      </c>
      <c r="F71" s="7">
        <v>1.0</v>
      </c>
      <c r="G71" s="7">
        <v>509.5</v>
      </c>
      <c r="H71" s="7">
        <v>8.25</v>
      </c>
      <c r="I71" s="8"/>
      <c r="J71" s="7">
        <v>5.1106</v>
      </c>
      <c r="K71" s="7">
        <v>5.105505</v>
      </c>
      <c r="L71" s="12">
        <v>0.00509499999999985</v>
      </c>
    </row>
    <row r="72">
      <c r="A72" s="5" t="s">
        <v>488</v>
      </c>
      <c r="B72" s="6">
        <v>45839.0</v>
      </c>
      <c r="C72" s="7">
        <v>3906405.0</v>
      </c>
      <c r="D72" s="6">
        <v>45778.0</v>
      </c>
      <c r="E72" s="7">
        <v>19.0</v>
      </c>
      <c r="F72" s="7">
        <v>19.0</v>
      </c>
      <c r="G72" s="7">
        <v>40621.29</v>
      </c>
      <c r="H72" s="7">
        <v>0.0</v>
      </c>
      <c r="I72" s="8"/>
      <c r="J72" s="7">
        <v>-1.94999999999999</v>
      </c>
      <c r="K72" s="7">
        <v>-8.314598430014</v>
      </c>
      <c r="L72" s="12">
        <v>6.364598430014</v>
      </c>
    </row>
    <row r="73">
      <c r="A73" s="5" t="s">
        <v>488</v>
      </c>
      <c r="B73" s="6">
        <v>45839.0</v>
      </c>
      <c r="C73" s="7">
        <v>3934711.0</v>
      </c>
      <c r="D73" s="6">
        <v>45839.0</v>
      </c>
      <c r="E73" s="7">
        <v>20.0</v>
      </c>
      <c r="F73" s="7">
        <v>20.0</v>
      </c>
      <c r="G73" s="7">
        <v>2410.31</v>
      </c>
      <c r="H73" s="7">
        <v>0.0</v>
      </c>
      <c r="I73" s="8"/>
      <c r="J73" s="7">
        <v>-2.36</v>
      </c>
      <c r="K73" s="7">
        <v>-2.73765061725</v>
      </c>
      <c r="L73" s="12">
        <v>0.377650617249999</v>
      </c>
    </row>
    <row r="74">
      <c r="A74" s="5" t="s">
        <v>488</v>
      </c>
      <c r="B74" s="6">
        <v>45839.0</v>
      </c>
      <c r="C74" s="7">
        <v>3977410.0</v>
      </c>
      <c r="D74" s="6">
        <v>45809.0</v>
      </c>
      <c r="E74" s="7">
        <v>5.0</v>
      </c>
      <c r="F74" s="7">
        <v>5.0</v>
      </c>
      <c r="G74" s="7">
        <v>16440.0</v>
      </c>
      <c r="H74" s="7">
        <v>0.0</v>
      </c>
      <c r="I74" s="8"/>
      <c r="J74" s="7">
        <v>-0.41</v>
      </c>
      <c r="K74" s="7">
        <v>-0.5744</v>
      </c>
      <c r="L74" s="12">
        <v>0.1644</v>
      </c>
    </row>
    <row r="75">
      <c r="A75" s="5" t="s">
        <v>17</v>
      </c>
      <c r="B75" s="6">
        <v>45839.0</v>
      </c>
      <c r="C75" s="7">
        <v>4027648.0</v>
      </c>
      <c r="D75" s="6">
        <v>45839.0</v>
      </c>
      <c r="E75" s="7">
        <v>1.0</v>
      </c>
      <c r="F75" s="7">
        <v>1.0</v>
      </c>
      <c r="G75" s="7">
        <v>150.0</v>
      </c>
      <c r="H75" s="7">
        <v>0.0</v>
      </c>
      <c r="I75" s="8"/>
      <c r="J75" s="7">
        <v>-0.06</v>
      </c>
      <c r="K75" s="7">
        <v>-0.083502202035</v>
      </c>
      <c r="L75" s="12">
        <v>0.023502202035</v>
      </c>
    </row>
    <row r="76">
      <c r="A76" s="5" t="s">
        <v>17</v>
      </c>
      <c r="B76" s="6">
        <v>45839.0</v>
      </c>
      <c r="C76" s="7">
        <v>3942346.0</v>
      </c>
      <c r="D76" s="6">
        <v>45809.0</v>
      </c>
      <c r="E76" s="7">
        <v>3.0</v>
      </c>
      <c r="F76" s="7">
        <v>3.0</v>
      </c>
      <c r="G76" s="7">
        <v>10435.59</v>
      </c>
      <c r="H76" s="7">
        <v>157.0</v>
      </c>
      <c r="I76" s="8"/>
      <c r="J76" s="7">
        <v>138.95</v>
      </c>
      <c r="K76" s="7">
        <v>137.29033873164</v>
      </c>
      <c r="L76" s="12">
        <v>1.65966126835999</v>
      </c>
    </row>
    <row r="77">
      <c r="A77" s="5" t="s">
        <v>489</v>
      </c>
      <c r="B77" s="6">
        <v>45809.0</v>
      </c>
      <c r="C77" s="7">
        <v>3947424.0</v>
      </c>
      <c r="D77" s="6">
        <v>45809.0</v>
      </c>
      <c r="E77" s="7">
        <v>2.0</v>
      </c>
      <c r="F77" s="7">
        <v>2.0</v>
      </c>
      <c r="G77" s="7">
        <v>2597.64</v>
      </c>
      <c r="H77" s="7">
        <v>0.0</v>
      </c>
      <c r="I77" s="8"/>
      <c r="J77" s="7">
        <v>-0.12</v>
      </c>
      <c r="K77" s="7">
        <v>-0.527001733961</v>
      </c>
      <c r="L77" s="12">
        <v>0.407001733961</v>
      </c>
    </row>
    <row r="78">
      <c r="A78" s="5" t="s">
        <v>488</v>
      </c>
      <c r="B78" s="6">
        <v>45809.0</v>
      </c>
      <c r="C78" s="7">
        <v>3785914.0</v>
      </c>
      <c r="D78" s="6">
        <v>45778.0</v>
      </c>
      <c r="E78" s="7">
        <v>1.0</v>
      </c>
      <c r="F78" s="7">
        <v>1.0</v>
      </c>
      <c r="G78" s="7">
        <v>10368.0</v>
      </c>
      <c r="H78" s="7">
        <v>0.0</v>
      </c>
      <c r="I78" s="8"/>
      <c r="J78" s="7">
        <v>-0.22</v>
      </c>
      <c r="K78" s="7">
        <v>-0.32368</v>
      </c>
      <c r="L78" s="12">
        <v>0.10368</v>
      </c>
    </row>
    <row r="79">
      <c r="A79" s="5" t="s">
        <v>488</v>
      </c>
      <c r="B79" s="6">
        <v>45809.0</v>
      </c>
      <c r="C79" s="7">
        <v>3934664.0</v>
      </c>
      <c r="D79" s="6">
        <v>45809.0</v>
      </c>
      <c r="E79" s="7">
        <v>2.0</v>
      </c>
      <c r="F79" s="7">
        <v>0.0</v>
      </c>
      <c r="G79" s="7">
        <v>298.66</v>
      </c>
      <c r="H79" s="7">
        <v>8.66</v>
      </c>
      <c r="I79" s="8"/>
      <c r="J79" s="7">
        <v>-0.0901</v>
      </c>
      <c r="K79" s="7">
        <v>-0.0930865999999999</v>
      </c>
      <c r="L79" s="12">
        <v>0.00298659999999997</v>
      </c>
    </row>
    <row r="80">
      <c r="A80" s="5" t="s">
        <v>488</v>
      </c>
      <c r="B80" s="6">
        <v>45809.0</v>
      </c>
      <c r="C80" s="7">
        <v>3977410.0</v>
      </c>
      <c r="D80" s="6">
        <v>45809.0</v>
      </c>
      <c r="E80" s="7">
        <v>1.0</v>
      </c>
      <c r="F80" s="7">
        <v>1.0</v>
      </c>
      <c r="G80" s="7">
        <v>6320.0</v>
      </c>
      <c r="H80" s="7">
        <v>0.0</v>
      </c>
      <c r="I80" s="8"/>
      <c r="J80" s="7">
        <v>-0.06</v>
      </c>
      <c r="K80" s="7">
        <v>-0.1232</v>
      </c>
      <c r="L80" s="12">
        <v>0.0632</v>
      </c>
    </row>
    <row r="81">
      <c r="A81" s="5" t="s">
        <v>19</v>
      </c>
      <c r="B81" s="6">
        <v>45809.0</v>
      </c>
      <c r="C81" s="7">
        <v>3935770.0</v>
      </c>
      <c r="D81" s="6">
        <v>45778.0</v>
      </c>
      <c r="E81" s="7">
        <v>9.0</v>
      </c>
      <c r="F81" s="7">
        <v>8.0</v>
      </c>
      <c r="G81" s="7">
        <v>45084.13</v>
      </c>
      <c r="H81" s="7">
        <v>52.402</v>
      </c>
      <c r="I81" s="8"/>
      <c r="J81" s="7">
        <v>5.9889</v>
      </c>
      <c r="K81" s="7">
        <v>1.784550506249</v>
      </c>
      <c r="L81" s="12">
        <v>4.204349493751</v>
      </c>
    </row>
    <row r="82">
      <c r="A82" s="5" t="s">
        <v>17</v>
      </c>
      <c r="B82" s="6">
        <v>45809.0</v>
      </c>
      <c r="C82" s="7">
        <v>3942346.0</v>
      </c>
      <c r="D82" s="6">
        <v>45809.0</v>
      </c>
      <c r="E82" s="7">
        <v>2.0</v>
      </c>
      <c r="F82" s="7">
        <v>2.0</v>
      </c>
      <c r="G82" s="7">
        <v>809.89</v>
      </c>
      <c r="H82" s="7">
        <v>12.31</v>
      </c>
      <c r="I82" s="8"/>
      <c r="J82" s="7">
        <v>10.66</v>
      </c>
      <c r="K82" s="7">
        <v>10.531176596579</v>
      </c>
      <c r="L82" s="12">
        <v>0.128823403421</v>
      </c>
    </row>
    <row r="83">
      <c r="A83" s="5" t="s">
        <v>488</v>
      </c>
      <c r="B83" s="6">
        <v>45809.0</v>
      </c>
      <c r="C83" s="7">
        <v>3906405.0</v>
      </c>
      <c r="D83" s="6">
        <v>45778.0</v>
      </c>
      <c r="E83" s="7">
        <v>8.0</v>
      </c>
      <c r="F83" s="7">
        <v>8.0</v>
      </c>
      <c r="G83" s="7">
        <v>1405.0</v>
      </c>
      <c r="H83" s="7">
        <v>3.25</v>
      </c>
      <c r="I83" s="8"/>
      <c r="J83" s="7">
        <v>2.28</v>
      </c>
      <c r="K83" s="7">
        <v>1.312150560929</v>
      </c>
      <c r="L83" s="12">
        <v>0.967849439070999</v>
      </c>
    </row>
    <row r="84">
      <c r="A84" s="5" t="s">
        <v>19</v>
      </c>
      <c r="B84" s="6">
        <v>45809.0</v>
      </c>
      <c r="C84" s="7">
        <v>3970546.0</v>
      </c>
      <c r="D84" s="6">
        <v>45809.0</v>
      </c>
      <c r="E84" s="7">
        <v>3.0</v>
      </c>
      <c r="F84" s="7">
        <v>0.0</v>
      </c>
      <c r="G84" s="7">
        <v>3250.67</v>
      </c>
      <c r="H84" s="7">
        <v>94.27</v>
      </c>
      <c r="I84" s="8"/>
      <c r="J84" s="7">
        <v>6.4137</v>
      </c>
      <c r="K84" s="7">
        <v>4.696322896178</v>
      </c>
      <c r="L84" s="12">
        <v>1.717377103822</v>
      </c>
    </row>
    <row r="85">
      <c r="A85" s="5" t="s">
        <v>489</v>
      </c>
      <c r="B85" s="6">
        <v>45809.0</v>
      </c>
      <c r="C85" s="7">
        <v>492746.0</v>
      </c>
      <c r="D85" s="6">
        <v>45809.0</v>
      </c>
      <c r="E85" s="7">
        <v>1.0</v>
      </c>
      <c r="F85" s="7">
        <v>0.0</v>
      </c>
      <c r="G85" s="7">
        <v>561.22</v>
      </c>
      <c r="H85" s="7">
        <v>16.28</v>
      </c>
      <c r="I85" s="8"/>
      <c r="J85" s="7">
        <v>1.8662</v>
      </c>
      <c r="K85" s="7">
        <v>1.8605878</v>
      </c>
      <c r="L85" s="12">
        <v>0.00561220000000006</v>
      </c>
    </row>
    <row r="86">
      <c r="A86" s="5" t="s">
        <v>19</v>
      </c>
      <c r="B86" s="6">
        <v>45809.0</v>
      </c>
      <c r="C86" s="7">
        <v>3968250.0</v>
      </c>
      <c r="D86" s="6">
        <v>45809.0</v>
      </c>
      <c r="E86" s="7">
        <v>8.0</v>
      </c>
      <c r="F86" s="7">
        <v>8.0</v>
      </c>
      <c r="G86" s="7">
        <v>203882.02</v>
      </c>
      <c r="H86" s="7">
        <v>10.0</v>
      </c>
      <c r="I86" s="8"/>
      <c r="J86" s="7">
        <v>3.72</v>
      </c>
      <c r="K86" s="7">
        <v>-39.818780952293</v>
      </c>
      <c r="L86" s="12">
        <v>43.5387809522929</v>
      </c>
    </row>
    <row r="87">
      <c r="A87" s="5" t="s">
        <v>488</v>
      </c>
      <c r="B87" s="6">
        <v>45809.0</v>
      </c>
      <c r="C87" s="7">
        <v>3952865.0</v>
      </c>
      <c r="D87" s="6">
        <v>45809.0</v>
      </c>
      <c r="E87" s="7">
        <v>7.0</v>
      </c>
      <c r="F87" s="7">
        <v>7.0</v>
      </c>
      <c r="G87" s="7">
        <v>25.0</v>
      </c>
      <c r="H87" s="7">
        <v>0.5</v>
      </c>
      <c r="I87" s="7">
        <v>0.5</v>
      </c>
      <c r="J87" s="7">
        <v>-0.22</v>
      </c>
      <c r="K87" s="7">
        <v>-0.223917033672999</v>
      </c>
      <c r="L87" s="12">
        <v>0.00391703367299997</v>
      </c>
    </row>
    <row r="88">
      <c r="A88" s="5" t="s">
        <v>17</v>
      </c>
      <c r="B88" s="6">
        <v>45809.0</v>
      </c>
      <c r="C88" s="7">
        <v>3942651.0</v>
      </c>
      <c r="D88" s="6">
        <v>45809.0</v>
      </c>
      <c r="E88" s="7">
        <v>2.0</v>
      </c>
      <c r="F88" s="7">
        <v>2.0</v>
      </c>
      <c r="G88" s="7">
        <v>2850.0</v>
      </c>
      <c r="H88" s="7">
        <v>0.0</v>
      </c>
      <c r="I88" s="8"/>
      <c r="J88" s="7">
        <v>-0.26</v>
      </c>
      <c r="K88" s="7">
        <v>-0.2885</v>
      </c>
      <c r="L88" s="12">
        <v>0.0284999999999999</v>
      </c>
    </row>
    <row r="89">
      <c r="A89" s="5" t="s">
        <v>17</v>
      </c>
      <c r="B89" s="6">
        <v>45809.0</v>
      </c>
      <c r="C89" s="7">
        <v>3962143.0</v>
      </c>
      <c r="D89" s="6">
        <v>45809.0</v>
      </c>
      <c r="E89" s="7">
        <v>1.0</v>
      </c>
      <c r="F89" s="7">
        <v>0.0</v>
      </c>
      <c r="G89" s="7">
        <v>451.78</v>
      </c>
      <c r="H89" s="7">
        <v>13.1</v>
      </c>
      <c r="I89" s="8"/>
      <c r="J89" s="7">
        <v>0.6236</v>
      </c>
      <c r="K89" s="7">
        <v>0.383952020056</v>
      </c>
      <c r="L89" s="12">
        <v>0.239647979944</v>
      </c>
    </row>
    <row r="90">
      <c r="A90" s="5" t="s">
        <v>19</v>
      </c>
      <c r="B90" s="6">
        <v>45809.0</v>
      </c>
      <c r="C90" s="7">
        <v>3946131.0</v>
      </c>
      <c r="D90" s="6">
        <v>45809.0</v>
      </c>
      <c r="E90" s="7">
        <v>85.0</v>
      </c>
      <c r="F90" s="7">
        <v>85.0</v>
      </c>
      <c r="G90" s="7">
        <v>455152.48</v>
      </c>
      <c r="H90" s="7">
        <v>231.48</v>
      </c>
      <c r="I90" s="8"/>
      <c r="J90" s="7">
        <v>203.35</v>
      </c>
      <c r="K90" s="7">
        <v>103.392448121168</v>
      </c>
      <c r="L90" s="12">
        <v>99.9575518788319</v>
      </c>
    </row>
    <row r="91">
      <c r="A91" s="5" t="s">
        <v>19</v>
      </c>
      <c r="B91" s="6">
        <v>45778.0</v>
      </c>
      <c r="C91" s="7">
        <v>3935770.0</v>
      </c>
      <c r="D91" s="6">
        <v>45778.0</v>
      </c>
      <c r="E91" s="7">
        <v>1.0</v>
      </c>
      <c r="F91" s="7">
        <v>1.0</v>
      </c>
      <c r="G91" s="7">
        <v>18981.58</v>
      </c>
      <c r="H91" s="7">
        <v>0.0</v>
      </c>
      <c r="I91" s="8"/>
      <c r="J91" s="7">
        <v>-0.2</v>
      </c>
      <c r="K91" s="7">
        <v>-3.17405952069</v>
      </c>
      <c r="L91" s="12">
        <v>2.97405952069</v>
      </c>
    </row>
    <row r="92">
      <c r="A92" s="5" t="s">
        <v>17</v>
      </c>
      <c r="B92" s="6">
        <v>45778.0</v>
      </c>
      <c r="C92" s="7">
        <v>3916711.0</v>
      </c>
      <c r="D92" s="6">
        <v>45778.0</v>
      </c>
      <c r="E92" s="7">
        <v>1.0</v>
      </c>
      <c r="F92" s="7">
        <v>1.0</v>
      </c>
      <c r="G92" s="7">
        <v>1.25</v>
      </c>
      <c r="H92" s="7">
        <v>0.0</v>
      </c>
      <c r="I92" s="8"/>
      <c r="J92" s="7">
        <v>-0.06</v>
      </c>
      <c r="K92" s="7">
        <v>-0.0600125</v>
      </c>
      <c r="L92" s="78">
        <v>1.25000000000055E-5</v>
      </c>
    </row>
    <row r="93">
      <c r="A93" s="5" t="s">
        <v>488</v>
      </c>
      <c r="B93" s="6">
        <v>45778.0</v>
      </c>
      <c r="C93" s="7">
        <v>3906405.0</v>
      </c>
      <c r="D93" s="6">
        <v>45778.0</v>
      </c>
      <c r="E93" s="7">
        <v>1.0</v>
      </c>
      <c r="F93" s="7">
        <v>1.0</v>
      </c>
      <c r="G93" s="7">
        <v>3640.99</v>
      </c>
      <c r="H93" s="7">
        <v>0.0</v>
      </c>
      <c r="I93" s="8"/>
      <c r="J93" s="7">
        <v>-0.06</v>
      </c>
      <c r="K93" s="7">
        <v>-0.630475217249</v>
      </c>
      <c r="L93" s="12">
        <v>0.570475217249</v>
      </c>
    </row>
    <row r="94">
      <c r="A94" s="5" t="s">
        <v>488</v>
      </c>
      <c r="B94" s="6">
        <v>45778.0</v>
      </c>
      <c r="C94" s="7">
        <v>3785914.0</v>
      </c>
      <c r="D94" s="6">
        <v>45778.0</v>
      </c>
      <c r="E94" s="7">
        <v>2.0</v>
      </c>
      <c r="F94" s="7">
        <v>2.0</v>
      </c>
      <c r="G94" s="7">
        <v>742.2</v>
      </c>
      <c r="H94" s="7">
        <v>0.0</v>
      </c>
      <c r="I94" s="8"/>
      <c r="J94" s="7">
        <v>-0.12</v>
      </c>
      <c r="K94" s="7">
        <v>-0.23628889567</v>
      </c>
      <c r="L94" s="12">
        <v>0.11628889567</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82" t="s">
        <v>107</v>
      </c>
      <c r="B1" s="82" t="s">
        <v>122</v>
      </c>
      <c r="C1" s="82" t="s">
        <v>29</v>
      </c>
      <c r="D1" s="82" t="s">
        <v>496</v>
      </c>
      <c r="E1" s="82" t="s">
        <v>497</v>
      </c>
      <c r="F1" s="82" t="s">
        <v>498</v>
      </c>
      <c r="G1" s="82" t="s">
        <v>499</v>
      </c>
      <c r="H1" s="82" t="s">
        <v>25</v>
      </c>
      <c r="I1" s="82" t="s">
        <v>500</v>
      </c>
      <c r="J1" s="82" t="s">
        <v>501</v>
      </c>
      <c r="K1" s="82" t="s">
        <v>502</v>
      </c>
      <c r="L1" s="82" t="s">
        <v>26</v>
      </c>
      <c r="M1" s="82" t="s">
        <v>503</v>
      </c>
      <c r="N1" s="82" t="s">
        <v>504</v>
      </c>
      <c r="O1" s="82" t="s">
        <v>505</v>
      </c>
      <c r="P1" s="82" t="s">
        <v>506</v>
      </c>
      <c r="Q1" s="82" t="s">
        <v>507</v>
      </c>
      <c r="R1" s="82" t="s">
        <v>108</v>
      </c>
      <c r="S1" s="82" t="s">
        <v>30</v>
      </c>
      <c r="T1" s="82" t="s">
        <v>105</v>
      </c>
      <c r="U1" s="82" t="s">
        <v>106</v>
      </c>
      <c r="V1" s="82" t="s">
        <v>508</v>
      </c>
      <c r="W1" s="82" t="s">
        <v>123</v>
      </c>
      <c r="X1" s="82" t="s">
        <v>28</v>
      </c>
      <c r="Y1" s="82" t="s">
        <v>32</v>
      </c>
      <c r="Z1" s="82" t="s">
        <v>112</v>
      </c>
    </row>
    <row r="2">
      <c r="A2" s="82" t="s">
        <v>509</v>
      </c>
      <c r="B2" s="82">
        <v>4496196.0</v>
      </c>
      <c r="C2" s="82" t="s">
        <v>510</v>
      </c>
      <c r="D2" s="83">
        <v>46112.0</v>
      </c>
      <c r="E2" s="82"/>
      <c r="F2" s="82"/>
      <c r="G2" s="82"/>
      <c r="H2" s="82"/>
      <c r="I2" s="83"/>
      <c r="J2" s="83"/>
      <c r="K2" s="83"/>
      <c r="L2" s="82"/>
      <c r="M2" s="83"/>
      <c r="N2" s="84"/>
      <c r="O2" s="83"/>
      <c r="P2" s="82">
        <v>654775.0</v>
      </c>
      <c r="Q2" s="82" t="s">
        <v>511</v>
      </c>
      <c r="R2" s="82">
        <v>330.0</v>
      </c>
      <c r="S2" s="82">
        <v>365.0</v>
      </c>
      <c r="T2" s="82" t="s">
        <v>512</v>
      </c>
      <c r="U2" s="82" t="s">
        <v>513</v>
      </c>
      <c r="V2" s="83"/>
      <c r="W2" s="82" t="s">
        <v>514</v>
      </c>
      <c r="X2" s="82" t="s">
        <v>515</v>
      </c>
      <c r="Y2" s="83">
        <v>46112.0</v>
      </c>
      <c r="Z2" s="83">
        <v>46098.0</v>
      </c>
    </row>
    <row r="3">
      <c r="A3" s="82" t="s">
        <v>516</v>
      </c>
      <c r="B3" s="82">
        <v>4215639.0</v>
      </c>
      <c r="C3" s="82" t="s">
        <v>517</v>
      </c>
      <c r="D3" s="83">
        <v>46104.0</v>
      </c>
      <c r="E3" s="82"/>
      <c r="F3" s="82"/>
      <c r="G3" s="84"/>
      <c r="H3" s="82"/>
      <c r="I3" s="83"/>
      <c r="J3" s="83"/>
      <c r="K3" s="83"/>
      <c r="L3" s="82"/>
      <c r="M3" s="83"/>
      <c r="N3" s="83"/>
      <c r="O3" s="83"/>
      <c r="P3" s="82">
        <v>420164.0</v>
      </c>
      <c r="Q3" s="82" t="s">
        <v>511</v>
      </c>
      <c r="R3" s="82">
        <v>106.32</v>
      </c>
      <c r="S3" s="82">
        <v>116.32</v>
      </c>
      <c r="T3" s="82" t="s">
        <v>518</v>
      </c>
      <c r="U3" s="82" t="s">
        <v>519</v>
      </c>
      <c r="V3" s="83"/>
      <c r="W3" s="82" t="s">
        <v>514</v>
      </c>
      <c r="X3" s="82" t="s">
        <v>515</v>
      </c>
      <c r="Y3" s="83">
        <v>46118.0</v>
      </c>
      <c r="Z3" s="83">
        <v>45936.0</v>
      </c>
    </row>
    <row r="4">
      <c r="A4" s="82" t="s">
        <v>520</v>
      </c>
      <c r="B4" s="82">
        <v>4471409.0</v>
      </c>
      <c r="C4" s="82" t="s">
        <v>521</v>
      </c>
      <c r="D4" s="83">
        <v>46175.0</v>
      </c>
      <c r="E4" s="82" t="s">
        <v>522</v>
      </c>
      <c r="F4" s="82"/>
      <c r="G4" s="82"/>
      <c r="H4" s="82" t="s">
        <v>138</v>
      </c>
      <c r="I4" s="83">
        <v>46210.0</v>
      </c>
      <c r="J4" s="83">
        <v>46098.0</v>
      </c>
      <c r="K4" s="83">
        <v>46191.0</v>
      </c>
      <c r="L4" s="82"/>
      <c r="M4" s="83"/>
      <c r="N4" s="83"/>
      <c r="O4" s="83"/>
      <c r="P4" s="82">
        <v>649340.0</v>
      </c>
      <c r="Q4" s="82" t="s">
        <v>523</v>
      </c>
      <c r="R4" s="82">
        <v>600.0</v>
      </c>
      <c r="S4" s="82">
        <v>600.0</v>
      </c>
      <c r="T4" s="82" t="s">
        <v>524</v>
      </c>
      <c r="U4" s="82" t="s">
        <v>525</v>
      </c>
      <c r="V4" s="83">
        <v>46191.0</v>
      </c>
      <c r="W4" s="82" t="s">
        <v>132</v>
      </c>
      <c r="X4" s="82" t="s">
        <v>515</v>
      </c>
      <c r="Y4" s="83">
        <v>46132.0</v>
      </c>
      <c r="Z4" s="83">
        <v>46092.0</v>
      </c>
    </row>
    <row r="5">
      <c r="A5" s="82" t="s">
        <v>526</v>
      </c>
      <c r="B5" s="82">
        <v>4496376.0</v>
      </c>
      <c r="C5" s="82" t="s">
        <v>527</v>
      </c>
      <c r="D5" s="83">
        <v>46111.0</v>
      </c>
      <c r="E5" s="82" t="s">
        <v>522</v>
      </c>
      <c r="F5" s="82"/>
      <c r="G5" s="84"/>
      <c r="H5" s="82"/>
      <c r="I5" s="83">
        <v>46094.0</v>
      </c>
      <c r="J5" s="83"/>
      <c r="K5" s="83"/>
      <c r="L5" s="82"/>
      <c r="M5" s="83"/>
      <c r="N5" s="83"/>
      <c r="O5" s="83"/>
      <c r="P5" s="82">
        <v>628023.0</v>
      </c>
      <c r="Q5" s="82" t="s">
        <v>511</v>
      </c>
      <c r="R5" s="82">
        <v>655.0</v>
      </c>
      <c r="S5" s="82">
        <v>635.0</v>
      </c>
      <c r="T5" s="82" t="s">
        <v>528</v>
      </c>
      <c r="U5" s="82" t="s">
        <v>529</v>
      </c>
      <c r="V5" s="83"/>
      <c r="W5" s="82" t="s">
        <v>514</v>
      </c>
      <c r="X5" s="82" t="s">
        <v>515</v>
      </c>
      <c r="Y5" s="83">
        <v>46118.0</v>
      </c>
      <c r="Z5" s="83">
        <v>46092.0</v>
      </c>
    </row>
    <row r="6">
      <c r="A6" s="82" t="s">
        <v>530</v>
      </c>
      <c r="B6" s="82">
        <v>4496271.0</v>
      </c>
      <c r="C6" s="82" t="s">
        <v>531</v>
      </c>
      <c r="D6" s="83">
        <v>46198.0</v>
      </c>
      <c r="E6" s="82" t="s">
        <v>522</v>
      </c>
      <c r="F6" s="82"/>
      <c r="G6" s="82"/>
      <c r="H6" s="82" t="s">
        <v>138</v>
      </c>
      <c r="I6" s="83">
        <v>46202.0</v>
      </c>
      <c r="J6" s="83">
        <v>46101.0</v>
      </c>
      <c r="K6" s="83">
        <v>46199.0</v>
      </c>
      <c r="L6" s="82"/>
      <c r="M6" s="83"/>
      <c r="N6" s="83"/>
      <c r="O6" s="83"/>
      <c r="P6" s="82">
        <v>654971.0</v>
      </c>
      <c r="Q6" s="82" t="s">
        <v>532</v>
      </c>
      <c r="R6" s="82">
        <v>286.95</v>
      </c>
      <c r="S6" s="82">
        <v>316.95</v>
      </c>
      <c r="T6" s="82" t="s">
        <v>533</v>
      </c>
      <c r="U6" s="82" t="s">
        <v>534</v>
      </c>
      <c r="V6" s="83">
        <v>46199.0</v>
      </c>
      <c r="W6" s="82" t="s">
        <v>132</v>
      </c>
      <c r="X6" s="82" t="s">
        <v>515</v>
      </c>
      <c r="Y6" s="83">
        <v>46132.0</v>
      </c>
      <c r="Z6" s="83">
        <v>46092.0</v>
      </c>
    </row>
    <row r="7">
      <c r="A7" s="82" t="s">
        <v>535</v>
      </c>
      <c r="B7" s="82">
        <v>4491049.0</v>
      </c>
      <c r="C7" s="82" t="s">
        <v>536</v>
      </c>
      <c r="D7" s="83"/>
      <c r="E7" s="82"/>
      <c r="F7" s="82" t="s">
        <v>537</v>
      </c>
      <c r="G7" s="82"/>
      <c r="H7" s="82"/>
      <c r="I7" s="83"/>
      <c r="J7" s="83"/>
      <c r="K7" s="83"/>
      <c r="L7" s="82" t="s">
        <v>138</v>
      </c>
      <c r="M7" s="83">
        <v>46092.0</v>
      </c>
      <c r="N7" s="83">
        <v>46202.0</v>
      </c>
      <c r="O7" s="83">
        <v>46111.0</v>
      </c>
      <c r="P7" s="82">
        <v>656761.0</v>
      </c>
      <c r="Q7" s="82" t="s">
        <v>511</v>
      </c>
      <c r="R7" s="82">
        <v>0.0</v>
      </c>
      <c r="S7" s="82">
        <v>0.0</v>
      </c>
      <c r="T7" s="82" t="s">
        <v>538</v>
      </c>
      <c r="U7" s="82" t="s">
        <v>539</v>
      </c>
      <c r="V7" s="83">
        <v>46199.0</v>
      </c>
      <c r="W7" s="82" t="s">
        <v>132</v>
      </c>
      <c r="X7" s="82" t="s">
        <v>515</v>
      </c>
      <c r="Y7" s="83">
        <v>46132.0</v>
      </c>
      <c r="Z7" s="83">
        <v>46104.0</v>
      </c>
    </row>
    <row r="8">
      <c r="A8" s="82" t="s">
        <v>540</v>
      </c>
      <c r="B8" s="82">
        <v>4425284.0</v>
      </c>
      <c r="C8" s="82" t="s">
        <v>541</v>
      </c>
      <c r="D8" s="83">
        <v>46111.0</v>
      </c>
      <c r="E8" s="82"/>
      <c r="F8" s="82"/>
      <c r="G8" s="82"/>
      <c r="H8" s="82"/>
      <c r="I8" s="83"/>
      <c r="J8" s="83"/>
      <c r="K8" s="83"/>
      <c r="L8" s="82"/>
      <c r="M8" s="83"/>
      <c r="N8" s="83"/>
      <c r="O8" s="83"/>
      <c r="P8" s="82">
        <v>627796.0</v>
      </c>
      <c r="Q8" s="82" t="s">
        <v>511</v>
      </c>
      <c r="R8" s="82">
        <v>329.43</v>
      </c>
      <c r="S8" s="82">
        <v>304.43</v>
      </c>
      <c r="T8" s="82" t="s">
        <v>542</v>
      </c>
      <c r="U8" s="82" t="s">
        <v>543</v>
      </c>
      <c r="V8" s="83"/>
      <c r="W8" s="82" t="s">
        <v>514</v>
      </c>
      <c r="X8" s="82" t="s">
        <v>515</v>
      </c>
      <c r="Y8" s="83">
        <v>46132.0</v>
      </c>
      <c r="Z8" s="83">
        <v>46105.0</v>
      </c>
    </row>
    <row r="9">
      <c r="A9" s="82" t="s">
        <v>544</v>
      </c>
      <c r="B9" s="82">
        <v>4525003.0</v>
      </c>
      <c r="C9" s="82" t="s">
        <v>545</v>
      </c>
      <c r="D9" s="83">
        <v>46140.0</v>
      </c>
      <c r="E9" s="82" t="s">
        <v>546</v>
      </c>
      <c r="F9" s="82" t="s">
        <v>547</v>
      </c>
      <c r="G9" s="82" t="s">
        <v>548</v>
      </c>
      <c r="H9" s="82"/>
      <c r="I9" s="83"/>
      <c r="J9" s="83"/>
      <c r="K9" s="83"/>
      <c r="L9" s="82"/>
      <c r="M9" s="83">
        <v>46112.0</v>
      </c>
      <c r="N9" s="83"/>
      <c r="O9" s="83"/>
      <c r="P9" s="82">
        <v>649335.0</v>
      </c>
      <c r="Q9" s="82" t="s">
        <v>523</v>
      </c>
      <c r="R9" s="82">
        <v>600.0</v>
      </c>
      <c r="S9" s="82">
        <v>610.0</v>
      </c>
      <c r="T9" s="82" t="s">
        <v>549</v>
      </c>
      <c r="U9" s="82" t="s">
        <v>550</v>
      </c>
      <c r="V9" s="83"/>
      <c r="W9" s="82" t="s">
        <v>514</v>
      </c>
      <c r="X9" s="82" t="s">
        <v>515</v>
      </c>
      <c r="Y9" s="83">
        <v>46132.0</v>
      </c>
      <c r="Z9" s="83">
        <v>46106.0</v>
      </c>
    </row>
    <row r="10">
      <c r="A10" s="82" t="s">
        <v>551</v>
      </c>
      <c r="B10" s="82">
        <v>4441269.0</v>
      </c>
      <c r="C10" s="82" t="s">
        <v>552</v>
      </c>
      <c r="D10" s="83">
        <v>46108.0</v>
      </c>
      <c r="E10" s="82"/>
      <c r="F10" s="82"/>
      <c r="G10" s="82"/>
      <c r="H10" s="82"/>
      <c r="I10" s="83"/>
      <c r="J10" s="83"/>
      <c r="K10" s="83"/>
      <c r="L10" s="82"/>
      <c r="M10" s="83"/>
      <c r="N10" s="83"/>
      <c r="O10" s="83"/>
      <c r="P10" s="82">
        <v>634259.0</v>
      </c>
      <c r="Q10" s="82" t="s">
        <v>511</v>
      </c>
      <c r="R10" s="82">
        <v>350.0</v>
      </c>
      <c r="S10" s="82">
        <v>325.0</v>
      </c>
      <c r="T10" s="82" t="s">
        <v>553</v>
      </c>
      <c r="U10" s="82" t="s">
        <v>554</v>
      </c>
      <c r="V10" s="83"/>
      <c r="W10" s="82" t="s">
        <v>514</v>
      </c>
      <c r="X10" s="82" t="s">
        <v>515</v>
      </c>
      <c r="Y10" s="83">
        <v>46132.0</v>
      </c>
      <c r="Z10" s="83">
        <v>46107.0</v>
      </c>
    </row>
    <row r="11">
      <c r="A11" s="82" t="s">
        <v>555</v>
      </c>
      <c r="B11" s="82">
        <v>4525842.0</v>
      </c>
      <c r="C11" s="82" t="s">
        <v>556</v>
      </c>
      <c r="D11" s="83">
        <v>46191.0</v>
      </c>
      <c r="E11" s="82" t="s">
        <v>522</v>
      </c>
      <c r="F11" s="82" t="s">
        <v>537</v>
      </c>
      <c r="G11" s="82"/>
      <c r="H11" s="82" t="s">
        <v>138</v>
      </c>
      <c r="I11" s="83">
        <v>46184.0</v>
      </c>
      <c r="J11" s="83">
        <v>46189.0</v>
      </c>
      <c r="K11" s="83">
        <v>46189.0</v>
      </c>
      <c r="L11" s="82" t="s">
        <v>138</v>
      </c>
      <c r="M11" s="83">
        <v>46113.0</v>
      </c>
      <c r="N11" s="83">
        <v>46203.0</v>
      </c>
      <c r="O11" s="83">
        <v>46121.0</v>
      </c>
      <c r="P11" s="82">
        <v>672509.0</v>
      </c>
      <c r="Q11" s="82" t="s">
        <v>557</v>
      </c>
      <c r="R11" s="82">
        <v>380.3</v>
      </c>
      <c r="S11" s="82">
        <v>300.3</v>
      </c>
      <c r="T11" s="82" t="s">
        <v>558</v>
      </c>
      <c r="U11" s="82" t="s">
        <v>559</v>
      </c>
      <c r="V11" s="83">
        <v>46200.0</v>
      </c>
      <c r="W11" s="82" t="s">
        <v>132</v>
      </c>
      <c r="X11" s="82" t="s">
        <v>515</v>
      </c>
      <c r="Y11" s="83">
        <v>46140.0</v>
      </c>
      <c r="Z11" s="83">
        <v>46111.0</v>
      </c>
    </row>
    <row r="12">
      <c r="A12" s="82" t="s">
        <v>560</v>
      </c>
      <c r="B12" s="82">
        <v>4516557.0</v>
      </c>
      <c r="C12" s="82" t="s">
        <v>561</v>
      </c>
      <c r="D12" s="83">
        <v>46114.0</v>
      </c>
      <c r="E12" s="82" t="s">
        <v>522</v>
      </c>
      <c r="F12" s="82"/>
      <c r="G12" s="82"/>
      <c r="H12" s="82" t="s">
        <v>131</v>
      </c>
      <c r="I12" s="83">
        <v>46114.0</v>
      </c>
      <c r="J12" s="83">
        <v>46119.0</v>
      </c>
      <c r="K12" s="83">
        <v>46119.0</v>
      </c>
      <c r="L12" s="82"/>
      <c r="M12" s="83"/>
      <c r="N12" s="83"/>
      <c r="O12" s="83"/>
      <c r="P12" s="82">
        <v>667572.0</v>
      </c>
      <c r="Q12" s="82" t="s">
        <v>511</v>
      </c>
      <c r="R12" s="82">
        <v>365.75</v>
      </c>
      <c r="S12" s="82">
        <v>320.75</v>
      </c>
      <c r="T12" s="82" t="s">
        <v>562</v>
      </c>
      <c r="U12" s="82" t="s">
        <v>563</v>
      </c>
      <c r="V12" s="83">
        <v>46119.0</v>
      </c>
      <c r="W12" s="82" t="s">
        <v>514</v>
      </c>
      <c r="X12" s="82" t="s">
        <v>515</v>
      </c>
      <c r="Y12" s="83">
        <v>46118.0</v>
      </c>
      <c r="Z12" s="83">
        <v>46111.0</v>
      </c>
    </row>
    <row r="13">
      <c r="A13" s="82" t="s">
        <v>564</v>
      </c>
      <c r="B13" s="82">
        <v>4582595.0</v>
      </c>
      <c r="C13" s="82" t="s">
        <v>565</v>
      </c>
      <c r="D13" s="83">
        <v>46135.0</v>
      </c>
      <c r="E13" s="82"/>
      <c r="F13" s="82"/>
      <c r="G13" s="82"/>
      <c r="H13" s="82"/>
      <c r="I13" s="83"/>
      <c r="J13" s="83"/>
      <c r="K13" s="83"/>
      <c r="L13" s="82"/>
      <c r="M13" s="83"/>
      <c r="N13" s="83"/>
      <c r="O13" s="83"/>
      <c r="P13" s="82">
        <v>697335.0</v>
      </c>
      <c r="Q13" s="82" t="s">
        <v>511</v>
      </c>
      <c r="R13" s="82">
        <v>286.85</v>
      </c>
      <c r="S13" s="82">
        <v>286.85</v>
      </c>
      <c r="T13" s="82" t="s">
        <v>566</v>
      </c>
      <c r="U13" s="82" t="s">
        <v>567</v>
      </c>
      <c r="V13" s="83"/>
      <c r="W13" s="82" t="s">
        <v>514</v>
      </c>
      <c r="X13" s="82" t="s">
        <v>515</v>
      </c>
      <c r="Y13" s="83">
        <v>46141.0</v>
      </c>
      <c r="Z13" s="83">
        <v>46134.0</v>
      </c>
    </row>
    <row r="14">
      <c r="A14" s="82" t="s">
        <v>568</v>
      </c>
      <c r="B14" s="82">
        <v>4525429.0</v>
      </c>
      <c r="C14" s="82" t="s">
        <v>569</v>
      </c>
      <c r="D14" s="83">
        <v>46162.0</v>
      </c>
      <c r="E14" s="82" t="s">
        <v>570</v>
      </c>
      <c r="F14" s="82"/>
      <c r="G14" s="84"/>
      <c r="H14" s="82" t="s">
        <v>131</v>
      </c>
      <c r="I14" s="83">
        <v>46150.0</v>
      </c>
      <c r="J14" s="83">
        <v>46113.0</v>
      </c>
      <c r="K14" s="83">
        <v>46136.0</v>
      </c>
      <c r="L14" s="82"/>
      <c r="M14" s="83"/>
      <c r="N14" s="83"/>
      <c r="O14" s="83"/>
      <c r="P14" s="82">
        <v>686540.0</v>
      </c>
      <c r="Q14" s="82" t="s">
        <v>511</v>
      </c>
      <c r="R14" s="82">
        <v>340.75</v>
      </c>
      <c r="S14" s="82">
        <v>350.75</v>
      </c>
      <c r="T14" s="82" t="s">
        <v>571</v>
      </c>
      <c r="U14" s="82" t="s">
        <v>572</v>
      </c>
      <c r="V14" s="83">
        <v>46136.0</v>
      </c>
      <c r="W14" s="82" t="s">
        <v>514</v>
      </c>
      <c r="X14" s="82" t="s">
        <v>515</v>
      </c>
      <c r="Y14" s="83">
        <v>46170.0</v>
      </c>
      <c r="Z14" s="83">
        <v>46100.0</v>
      </c>
    </row>
    <row r="15">
      <c r="A15" s="82" t="s">
        <v>573</v>
      </c>
      <c r="B15" s="82">
        <v>4412994.0</v>
      </c>
      <c r="C15" s="82" t="s">
        <v>574</v>
      </c>
      <c r="D15" s="83">
        <v>46155.0</v>
      </c>
      <c r="E15" s="82"/>
      <c r="F15" s="82"/>
      <c r="G15" s="82"/>
      <c r="H15" s="82"/>
      <c r="I15" s="83"/>
      <c r="J15" s="83"/>
      <c r="K15" s="83"/>
      <c r="L15" s="82"/>
      <c r="M15" s="83"/>
      <c r="N15" s="83"/>
      <c r="O15" s="83"/>
      <c r="P15" s="82">
        <v>622532.0</v>
      </c>
      <c r="Q15" s="82" t="s">
        <v>511</v>
      </c>
      <c r="R15" s="82">
        <v>355.0</v>
      </c>
      <c r="S15" s="82">
        <v>300.0</v>
      </c>
      <c r="T15" s="82" t="s">
        <v>575</v>
      </c>
      <c r="U15" s="82" t="s">
        <v>576</v>
      </c>
      <c r="V15" s="83"/>
      <c r="W15" s="82" t="s">
        <v>514</v>
      </c>
      <c r="X15" s="82" t="s">
        <v>515</v>
      </c>
      <c r="Y15" s="83">
        <v>46155.0</v>
      </c>
      <c r="Z15" s="83">
        <v>46108.0</v>
      </c>
    </row>
    <row r="16">
      <c r="A16" s="82" t="s">
        <v>577</v>
      </c>
      <c r="B16" s="82">
        <v>4548015.0</v>
      </c>
      <c r="C16" s="82" t="s">
        <v>578</v>
      </c>
      <c r="D16" s="83">
        <v>46196.0</v>
      </c>
      <c r="E16" s="82" t="s">
        <v>570</v>
      </c>
      <c r="F16" s="82"/>
      <c r="G16" s="84"/>
      <c r="H16" s="82" t="s">
        <v>138</v>
      </c>
      <c r="I16" s="83">
        <v>46184.0</v>
      </c>
      <c r="J16" s="83">
        <v>46135.0</v>
      </c>
      <c r="K16" s="83">
        <v>46184.0</v>
      </c>
      <c r="L16" s="82"/>
      <c r="M16" s="83"/>
      <c r="N16" s="83"/>
      <c r="O16" s="83"/>
      <c r="P16" s="82">
        <v>654953.0</v>
      </c>
      <c r="Q16" s="82" t="s">
        <v>532</v>
      </c>
      <c r="R16" s="82">
        <v>585.0</v>
      </c>
      <c r="S16" s="82">
        <v>625.0</v>
      </c>
      <c r="T16" s="82" t="s">
        <v>579</v>
      </c>
      <c r="U16" s="82" t="s">
        <v>580</v>
      </c>
      <c r="V16" s="83">
        <v>46184.0</v>
      </c>
      <c r="W16" s="82" t="s">
        <v>132</v>
      </c>
      <c r="X16" s="82" t="s">
        <v>515</v>
      </c>
      <c r="Y16" s="83">
        <v>46148.0</v>
      </c>
      <c r="Z16" s="83">
        <v>46119.0</v>
      </c>
    </row>
    <row r="17">
      <c r="A17" s="82" t="s">
        <v>581</v>
      </c>
      <c r="B17" s="82">
        <v>4522488.0</v>
      </c>
      <c r="C17" s="82" t="s">
        <v>582</v>
      </c>
      <c r="D17" s="83"/>
      <c r="E17" s="82" t="s">
        <v>522</v>
      </c>
      <c r="F17" s="82"/>
      <c r="G17" s="82" t="s">
        <v>583</v>
      </c>
      <c r="H17" s="82" t="s">
        <v>138</v>
      </c>
      <c r="I17" s="83">
        <v>46199.0</v>
      </c>
      <c r="J17" s="83"/>
      <c r="K17" s="83"/>
      <c r="L17" s="82"/>
      <c r="M17" s="83"/>
      <c r="N17" s="84"/>
      <c r="O17" s="83"/>
      <c r="P17" s="82"/>
      <c r="Q17" s="82"/>
      <c r="R17" s="82">
        <v>567.7</v>
      </c>
      <c r="S17" s="82">
        <v>732.7</v>
      </c>
      <c r="T17" s="82" t="s">
        <v>584</v>
      </c>
      <c r="U17" s="82" t="s">
        <v>585</v>
      </c>
      <c r="V17" s="83"/>
      <c r="W17" s="82" t="s">
        <v>514</v>
      </c>
      <c r="X17" s="82" t="s">
        <v>515</v>
      </c>
      <c r="Y17" s="83">
        <v>46155.0</v>
      </c>
      <c r="Z17" s="83">
        <v>46119.0</v>
      </c>
    </row>
    <row r="18">
      <c r="A18" s="82" t="s">
        <v>586</v>
      </c>
      <c r="B18" s="82">
        <v>4530037.0</v>
      </c>
      <c r="C18" s="82" t="s">
        <v>587</v>
      </c>
      <c r="D18" s="83">
        <v>46182.0</v>
      </c>
      <c r="E18" s="82" t="s">
        <v>522</v>
      </c>
      <c r="F18" s="82"/>
      <c r="G18" s="82"/>
      <c r="H18" s="82" t="s">
        <v>163</v>
      </c>
      <c r="I18" s="83">
        <v>46147.0</v>
      </c>
      <c r="J18" s="83">
        <v>46136.0</v>
      </c>
      <c r="K18" s="83">
        <v>46150.0</v>
      </c>
      <c r="L18" s="82"/>
      <c r="M18" s="83"/>
      <c r="N18" s="83"/>
      <c r="O18" s="83"/>
      <c r="P18" s="82">
        <v>712340.0</v>
      </c>
      <c r="Q18" s="82" t="s">
        <v>511</v>
      </c>
      <c r="R18" s="82">
        <v>327.8</v>
      </c>
      <c r="S18" s="82">
        <v>327.8</v>
      </c>
      <c r="T18" s="82" t="s">
        <v>588</v>
      </c>
      <c r="U18" s="82" t="s">
        <v>589</v>
      </c>
      <c r="V18" s="83">
        <v>46150.0</v>
      </c>
      <c r="W18" s="82" t="s">
        <v>132</v>
      </c>
      <c r="X18" s="82" t="s">
        <v>515</v>
      </c>
      <c r="Y18" s="83">
        <v>46154.0</v>
      </c>
      <c r="Z18" s="83">
        <v>46119.0</v>
      </c>
    </row>
    <row r="19">
      <c r="A19" s="82" t="s">
        <v>590</v>
      </c>
      <c r="B19" s="82">
        <v>4539135.0</v>
      </c>
      <c r="C19" s="82" t="s">
        <v>591</v>
      </c>
      <c r="D19" s="83">
        <v>46177.0</v>
      </c>
      <c r="E19" s="82" t="s">
        <v>522</v>
      </c>
      <c r="F19" s="82"/>
      <c r="G19" s="82"/>
      <c r="H19" s="82" t="s">
        <v>131</v>
      </c>
      <c r="I19" s="83">
        <v>46149.0</v>
      </c>
      <c r="J19" s="83">
        <v>46129.0</v>
      </c>
      <c r="K19" s="83">
        <v>46150.0</v>
      </c>
      <c r="L19" s="82"/>
      <c r="M19" s="83"/>
      <c r="N19" s="83"/>
      <c r="O19" s="83"/>
      <c r="P19" s="82">
        <v>684235.0</v>
      </c>
      <c r="Q19" s="82"/>
      <c r="R19" s="82">
        <v>442.7</v>
      </c>
      <c r="S19" s="82">
        <v>442.7</v>
      </c>
      <c r="T19" s="82" t="s">
        <v>592</v>
      </c>
      <c r="U19" s="82" t="s">
        <v>593</v>
      </c>
      <c r="V19" s="83">
        <v>46150.0</v>
      </c>
      <c r="W19" s="82" t="s">
        <v>132</v>
      </c>
      <c r="X19" s="82" t="s">
        <v>515</v>
      </c>
      <c r="Y19" s="83">
        <v>46154.0</v>
      </c>
      <c r="Z19" s="83">
        <v>46121.0</v>
      </c>
    </row>
    <row r="20">
      <c r="A20" s="82" t="s">
        <v>594</v>
      </c>
      <c r="B20" s="82">
        <v>4363463.0</v>
      </c>
      <c r="C20" s="82" t="s">
        <v>595</v>
      </c>
      <c r="D20" s="83">
        <v>46155.0</v>
      </c>
      <c r="E20" s="82"/>
      <c r="F20" s="82"/>
      <c r="G20" s="82"/>
      <c r="H20" s="82"/>
      <c r="I20" s="83"/>
      <c r="J20" s="83"/>
      <c r="K20" s="83"/>
      <c r="L20" s="82"/>
      <c r="M20" s="83"/>
      <c r="N20" s="83"/>
      <c r="O20" s="83"/>
      <c r="P20" s="82">
        <v>607651.0</v>
      </c>
      <c r="Q20" s="82" t="s">
        <v>511</v>
      </c>
      <c r="R20" s="82">
        <v>135.04</v>
      </c>
      <c r="S20" s="82">
        <v>215.04</v>
      </c>
      <c r="T20" s="82" t="s">
        <v>596</v>
      </c>
      <c r="U20" s="82" t="s">
        <v>597</v>
      </c>
      <c r="V20" s="83"/>
      <c r="W20" s="82" t="s">
        <v>514</v>
      </c>
      <c r="X20" s="82" t="s">
        <v>515</v>
      </c>
      <c r="Y20" s="83">
        <v>46155.0</v>
      </c>
      <c r="Z20" s="83">
        <v>46129.0</v>
      </c>
    </row>
    <row r="21">
      <c r="A21" s="82" t="s">
        <v>598</v>
      </c>
      <c r="B21" s="82">
        <v>4528120.0</v>
      </c>
      <c r="C21" s="82" t="s">
        <v>599</v>
      </c>
      <c r="D21" s="83">
        <v>46182.0</v>
      </c>
      <c r="E21" s="82" t="s">
        <v>522</v>
      </c>
      <c r="F21" s="82"/>
      <c r="G21" s="84"/>
      <c r="H21" s="82" t="s">
        <v>131</v>
      </c>
      <c r="I21" s="83">
        <v>46120.0</v>
      </c>
      <c r="J21" s="83">
        <v>46112.0</v>
      </c>
      <c r="K21" s="83">
        <v>46120.0</v>
      </c>
      <c r="L21" s="82"/>
      <c r="M21" s="83"/>
      <c r="N21" s="83"/>
      <c r="O21" s="83"/>
      <c r="P21" s="82">
        <v>671882.0</v>
      </c>
      <c r="Q21" s="82" t="s">
        <v>511</v>
      </c>
      <c r="R21" s="82">
        <v>412.16</v>
      </c>
      <c r="S21" s="82">
        <v>412.16</v>
      </c>
      <c r="T21" s="82" t="s">
        <v>600</v>
      </c>
      <c r="U21" s="82" t="s">
        <v>601</v>
      </c>
      <c r="V21" s="83">
        <v>46120.0</v>
      </c>
      <c r="W21" s="82" t="s">
        <v>514</v>
      </c>
      <c r="X21" s="82" t="s">
        <v>515</v>
      </c>
      <c r="Y21" s="83">
        <v>46188.0</v>
      </c>
      <c r="Z21" s="83">
        <v>46115.0</v>
      </c>
    </row>
    <row r="22">
      <c r="A22" s="82" t="s">
        <v>602</v>
      </c>
      <c r="B22" s="82">
        <v>4533194.0</v>
      </c>
      <c r="C22" s="82" t="s">
        <v>603</v>
      </c>
      <c r="D22" s="83">
        <v>46147.0</v>
      </c>
      <c r="E22" s="82" t="s">
        <v>604</v>
      </c>
      <c r="F22" s="82"/>
      <c r="G22" s="82"/>
      <c r="H22" s="82" t="s">
        <v>138</v>
      </c>
      <c r="I22" s="83">
        <v>46177.0</v>
      </c>
      <c r="J22" s="83">
        <v>46142.0</v>
      </c>
      <c r="K22" s="83">
        <v>46178.0</v>
      </c>
      <c r="L22" s="82"/>
      <c r="M22" s="83"/>
      <c r="N22" s="84"/>
      <c r="O22" s="83"/>
      <c r="P22" s="82">
        <v>674955.0</v>
      </c>
      <c r="Q22" s="82" t="s">
        <v>511</v>
      </c>
      <c r="R22" s="82">
        <v>226.16</v>
      </c>
      <c r="S22" s="82">
        <v>326.16</v>
      </c>
      <c r="T22" s="82" t="s">
        <v>605</v>
      </c>
      <c r="U22" s="82" t="s">
        <v>606</v>
      </c>
      <c r="V22" s="83">
        <v>46178.0</v>
      </c>
      <c r="W22" s="82" t="s">
        <v>514</v>
      </c>
      <c r="X22" s="82" t="s">
        <v>515</v>
      </c>
      <c r="Y22" s="83">
        <v>46174.0</v>
      </c>
      <c r="Z22" s="83">
        <v>46119.0</v>
      </c>
    </row>
    <row r="23">
      <c r="A23" s="82" t="s">
        <v>607</v>
      </c>
      <c r="B23" s="82">
        <v>4556248.0</v>
      </c>
      <c r="C23" s="82" t="s">
        <v>608</v>
      </c>
      <c r="D23" s="83">
        <v>46182.0</v>
      </c>
      <c r="E23" s="82" t="s">
        <v>522</v>
      </c>
      <c r="F23" s="82"/>
      <c r="G23" s="82"/>
      <c r="H23" s="82" t="s">
        <v>131</v>
      </c>
      <c r="I23" s="83">
        <v>46126.0</v>
      </c>
      <c r="J23" s="83">
        <v>46122.0</v>
      </c>
      <c r="K23" s="83">
        <v>46126.0</v>
      </c>
      <c r="L23" s="82"/>
      <c r="M23" s="83"/>
      <c r="N23" s="83"/>
      <c r="O23" s="83"/>
      <c r="P23" s="82">
        <v>686801.0</v>
      </c>
      <c r="Q23" s="82" t="s">
        <v>511</v>
      </c>
      <c r="R23" s="82">
        <v>400.0</v>
      </c>
      <c r="S23" s="82">
        <v>465.0</v>
      </c>
      <c r="T23" s="82" t="s">
        <v>609</v>
      </c>
      <c r="U23" s="82" t="s">
        <v>610</v>
      </c>
      <c r="V23" s="83">
        <v>46126.0</v>
      </c>
      <c r="W23" s="82" t="s">
        <v>611</v>
      </c>
      <c r="X23" s="82" t="s">
        <v>515</v>
      </c>
      <c r="Y23" s="83">
        <v>46202.0</v>
      </c>
      <c r="Z23" s="83">
        <v>46120.0</v>
      </c>
    </row>
    <row r="24">
      <c r="A24" s="82" t="s">
        <v>612</v>
      </c>
      <c r="B24" s="82">
        <v>4022041.0</v>
      </c>
      <c r="C24" s="82" t="s">
        <v>613</v>
      </c>
      <c r="D24" s="83">
        <v>46155.0</v>
      </c>
      <c r="E24" s="82" t="s">
        <v>604</v>
      </c>
      <c r="F24" s="82"/>
      <c r="G24" s="84"/>
      <c r="H24" s="82" t="s">
        <v>138</v>
      </c>
      <c r="I24" s="83">
        <v>46199.0</v>
      </c>
      <c r="J24" s="83">
        <v>46146.0</v>
      </c>
      <c r="K24" s="83">
        <v>46199.0</v>
      </c>
      <c r="L24" s="82"/>
      <c r="M24" s="83"/>
      <c r="N24" s="84"/>
      <c r="O24" s="83"/>
      <c r="P24" s="82">
        <v>697858.0</v>
      </c>
      <c r="Q24" s="82" t="s">
        <v>557</v>
      </c>
      <c r="R24" s="82">
        <v>383.1</v>
      </c>
      <c r="S24" s="82">
        <v>448.1</v>
      </c>
      <c r="T24" s="82" t="s">
        <v>614</v>
      </c>
      <c r="U24" s="82" t="s">
        <v>615</v>
      </c>
      <c r="V24" s="83">
        <v>46199.0</v>
      </c>
      <c r="W24" s="82" t="s">
        <v>611</v>
      </c>
      <c r="X24" s="82" t="s">
        <v>515</v>
      </c>
      <c r="Y24" s="83">
        <v>46203.0</v>
      </c>
      <c r="Z24" s="83">
        <v>46141.0</v>
      </c>
    </row>
    <row r="25">
      <c r="A25" s="82" t="s">
        <v>616</v>
      </c>
      <c r="B25" s="82">
        <v>4653751.0</v>
      </c>
      <c r="C25" s="82" t="s">
        <v>617</v>
      </c>
      <c r="D25" s="83">
        <v>46176.0</v>
      </c>
      <c r="E25" s="82" t="s">
        <v>604</v>
      </c>
      <c r="F25" s="82"/>
      <c r="G25" s="84"/>
      <c r="H25" s="82" t="s">
        <v>138</v>
      </c>
      <c r="I25" s="83">
        <v>46174.0</v>
      </c>
      <c r="J25" s="83">
        <v>46170.0</v>
      </c>
      <c r="K25" s="83">
        <v>46175.0</v>
      </c>
      <c r="L25" s="82"/>
      <c r="M25" s="83"/>
      <c r="N25" s="83"/>
      <c r="O25" s="83"/>
      <c r="P25" s="82">
        <v>726060.0</v>
      </c>
      <c r="Q25" s="82" t="s">
        <v>511</v>
      </c>
      <c r="R25" s="82">
        <v>263.13</v>
      </c>
      <c r="S25" s="82">
        <v>328.13</v>
      </c>
      <c r="T25" s="82" t="s">
        <v>618</v>
      </c>
      <c r="U25" s="82" t="s">
        <v>619</v>
      </c>
      <c r="V25" s="83">
        <v>46175.0</v>
      </c>
      <c r="W25" s="82" t="s">
        <v>514</v>
      </c>
      <c r="X25" s="82" t="s">
        <v>515</v>
      </c>
      <c r="Y25" s="83">
        <v>46181.0</v>
      </c>
      <c r="Z25" s="83">
        <v>46150.0</v>
      </c>
    </row>
    <row r="26">
      <c r="A26" s="82" t="s">
        <v>620</v>
      </c>
      <c r="B26" s="82">
        <v>4541584.0</v>
      </c>
      <c r="C26" s="82" t="s">
        <v>621</v>
      </c>
      <c r="D26" s="83">
        <v>46171.0</v>
      </c>
      <c r="E26" s="82"/>
      <c r="F26" s="82"/>
      <c r="G26" s="82"/>
      <c r="H26" s="82"/>
      <c r="I26" s="83"/>
      <c r="J26" s="83"/>
      <c r="K26" s="83"/>
      <c r="L26" s="82"/>
      <c r="M26" s="83"/>
      <c r="N26" s="83"/>
      <c r="O26" s="83"/>
      <c r="P26" s="82"/>
      <c r="Q26" s="82"/>
      <c r="R26" s="82">
        <v>339.73</v>
      </c>
      <c r="S26" s="82">
        <v>324.73</v>
      </c>
      <c r="T26" s="82" t="s">
        <v>622</v>
      </c>
      <c r="U26" s="82" t="s">
        <v>623</v>
      </c>
      <c r="V26" s="83"/>
      <c r="W26" s="82" t="s">
        <v>514</v>
      </c>
      <c r="X26" s="82" t="s">
        <v>515</v>
      </c>
      <c r="Y26" s="83">
        <v>46174.0</v>
      </c>
      <c r="Z26" s="83">
        <v>46164.0</v>
      </c>
    </row>
    <row r="27">
      <c r="A27" s="82" t="s">
        <v>624</v>
      </c>
      <c r="B27" s="82">
        <v>4686225.0</v>
      </c>
      <c r="C27" s="82" t="s">
        <v>625</v>
      </c>
      <c r="D27" s="83">
        <v>46195.0</v>
      </c>
      <c r="E27" s="82" t="s">
        <v>546</v>
      </c>
      <c r="F27" s="82"/>
      <c r="G27" s="82" t="s">
        <v>548</v>
      </c>
      <c r="H27" s="82" t="s">
        <v>138</v>
      </c>
      <c r="I27" s="83">
        <v>46181.0</v>
      </c>
      <c r="J27" s="83">
        <v>46177.0</v>
      </c>
      <c r="K27" s="83">
        <v>46177.0</v>
      </c>
      <c r="L27" s="82"/>
      <c r="M27" s="83"/>
      <c r="N27" s="83"/>
      <c r="O27" s="83"/>
      <c r="P27" s="82">
        <v>716010.0</v>
      </c>
      <c r="Q27" s="82" t="s">
        <v>511</v>
      </c>
      <c r="R27" s="82">
        <v>337.75</v>
      </c>
      <c r="S27" s="82">
        <v>337.75</v>
      </c>
      <c r="T27" s="82" t="s">
        <v>626</v>
      </c>
      <c r="U27" s="82" t="s">
        <v>627</v>
      </c>
      <c r="V27" s="83">
        <v>46177.0</v>
      </c>
      <c r="W27" s="82" t="s">
        <v>514</v>
      </c>
      <c r="X27" s="82" t="s">
        <v>515</v>
      </c>
      <c r="Y27" s="83">
        <v>46181.0</v>
      </c>
      <c r="Z27" s="83">
        <v>46176.0</v>
      </c>
    </row>
    <row r="28">
      <c r="A28" s="82" t="s">
        <v>628</v>
      </c>
      <c r="B28" s="82">
        <v>4690708.0</v>
      </c>
      <c r="C28" s="82" t="s">
        <v>629</v>
      </c>
      <c r="D28" s="83">
        <v>46191.0</v>
      </c>
      <c r="E28" s="82"/>
      <c r="F28" s="82"/>
      <c r="G28" s="84"/>
      <c r="H28" s="82"/>
      <c r="I28" s="83"/>
      <c r="J28" s="83"/>
      <c r="K28" s="83"/>
      <c r="L28" s="82"/>
      <c r="M28" s="83"/>
      <c r="N28" s="83"/>
      <c r="O28" s="83"/>
      <c r="P28" s="82">
        <v>713932.0</v>
      </c>
      <c r="Q28" s="82" t="s">
        <v>557</v>
      </c>
      <c r="R28" s="82">
        <v>1020.76</v>
      </c>
      <c r="S28" s="82">
        <v>1110.76</v>
      </c>
      <c r="T28" s="82" t="s">
        <v>630</v>
      </c>
      <c r="U28" s="82" t="s">
        <v>631</v>
      </c>
      <c r="V28" s="83"/>
      <c r="W28" s="82" t="s">
        <v>514</v>
      </c>
      <c r="X28" s="82" t="s">
        <v>515</v>
      </c>
      <c r="Y28" s="83">
        <v>46197.0</v>
      </c>
      <c r="Z28" s="83">
        <v>46191.0</v>
      </c>
    </row>
    <row r="29">
      <c r="A29" s="82" t="s">
        <v>632</v>
      </c>
      <c r="B29" s="82">
        <v>489723.0</v>
      </c>
      <c r="C29" s="82" t="s">
        <v>633</v>
      </c>
      <c r="D29" s="83">
        <v>46189.0</v>
      </c>
      <c r="E29" s="82" t="s">
        <v>604</v>
      </c>
      <c r="F29" s="82"/>
      <c r="G29" s="82"/>
      <c r="H29" s="82" t="s">
        <v>131</v>
      </c>
      <c r="I29" s="83">
        <v>45621.0</v>
      </c>
      <c r="J29" s="83">
        <v>45209.0</v>
      </c>
      <c r="K29" s="83">
        <v>45625.0</v>
      </c>
      <c r="L29" s="82"/>
      <c r="M29" s="83"/>
      <c r="N29" s="83"/>
      <c r="O29" s="83"/>
      <c r="P29" s="82">
        <v>415602.0</v>
      </c>
      <c r="Q29" s="82" t="s">
        <v>511</v>
      </c>
      <c r="R29" s="82">
        <v>372.7</v>
      </c>
      <c r="S29" s="82">
        <v>372.7</v>
      </c>
      <c r="T29" s="82" t="s">
        <v>634</v>
      </c>
      <c r="U29" s="82" t="s">
        <v>635</v>
      </c>
      <c r="V29" s="83">
        <v>45625.0</v>
      </c>
      <c r="W29" s="82" t="s">
        <v>611</v>
      </c>
      <c r="X29" s="82" t="s">
        <v>515</v>
      </c>
      <c r="Y29" s="83">
        <v>46204.0</v>
      </c>
      <c r="Z29" s="83">
        <v>46112.0</v>
      </c>
    </row>
    <row r="30">
      <c r="A30" s="82" t="s">
        <v>636</v>
      </c>
      <c r="B30" s="82">
        <v>4490170.0</v>
      </c>
      <c r="C30" s="82" t="s">
        <v>637</v>
      </c>
      <c r="D30" s="83">
        <v>46170.0</v>
      </c>
      <c r="E30" s="82"/>
      <c r="F30" s="82"/>
      <c r="G30" s="82"/>
      <c r="H30" s="82" t="s">
        <v>138</v>
      </c>
      <c r="I30" s="83">
        <v>46182.0</v>
      </c>
      <c r="J30" s="83">
        <v>46098.0</v>
      </c>
      <c r="K30" s="83">
        <v>46183.0</v>
      </c>
      <c r="L30" s="82"/>
      <c r="M30" s="83"/>
      <c r="N30" s="83"/>
      <c r="O30" s="83"/>
      <c r="P30" s="82">
        <v>718223.0</v>
      </c>
      <c r="Q30" s="82" t="s">
        <v>511</v>
      </c>
      <c r="R30" s="82">
        <v>185.0</v>
      </c>
      <c r="S30" s="82">
        <v>195.0</v>
      </c>
      <c r="T30" s="82" t="s">
        <v>638</v>
      </c>
      <c r="U30" s="82" t="s">
        <v>639</v>
      </c>
      <c r="V30" s="83">
        <v>46183.0</v>
      </c>
      <c r="W30" s="82" t="s">
        <v>611</v>
      </c>
      <c r="X30" s="82" t="s">
        <v>515</v>
      </c>
      <c r="Y30" s="83">
        <v>46251.0</v>
      </c>
      <c r="Z30" s="83">
        <v>46092.0</v>
      </c>
    </row>
    <row r="31">
      <c r="A31" s="82" t="s">
        <v>640</v>
      </c>
      <c r="B31" s="82">
        <v>4299613.0</v>
      </c>
      <c r="C31" s="82" t="s">
        <v>641</v>
      </c>
      <c r="D31" s="83">
        <v>46170.0</v>
      </c>
      <c r="E31" s="82" t="s">
        <v>604</v>
      </c>
      <c r="F31" s="82"/>
      <c r="G31" s="82"/>
      <c r="H31" s="82"/>
      <c r="I31" s="83"/>
      <c r="J31" s="83"/>
      <c r="K31" s="83"/>
      <c r="L31" s="82" t="s">
        <v>163</v>
      </c>
      <c r="M31" s="83">
        <v>46165.0</v>
      </c>
      <c r="N31" s="83"/>
      <c r="O31" s="83">
        <v>46168.0</v>
      </c>
      <c r="P31" s="82">
        <v>653338.0</v>
      </c>
      <c r="Q31" s="82" t="s">
        <v>511</v>
      </c>
      <c r="R31" s="82">
        <v>330.0</v>
      </c>
      <c r="S31" s="82">
        <v>340.0</v>
      </c>
      <c r="T31" s="82" t="s">
        <v>642</v>
      </c>
      <c r="U31" s="82" t="s">
        <v>643</v>
      </c>
      <c r="V31" s="83">
        <v>46168.0</v>
      </c>
      <c r="W31" s="82" t="s">
        <v>611</v>
      </c>
      <c r="X31" s="82" t="s">
        <v>515</v>
      </c>
      <c r="Y31" s="83">
        <v>46251.0</v>
      </c>
      <c r="Z31" s="83">
        <v>46099.0</v>
      </c>
    </row>
    <row r="32">
      <c r="A32" s="82" t="s">
        <v>644</v>
      </c>
      <c r="B32" s="82">
        <v>4496351.0</v>
      </c>
      <c r="C32" s="82" t="s">
        <v>645</v>
      </c>
      <c r="D32" s="83">
        <v>46182.0</v>
      </c>
      <c r="E32" s="82" t="s">
        <v>522</v>
      </c>
      <c r="F32" s="82"/>
      <c r="G32" s="82"/>
      <c r="H32" s="82" t="s">
        <v>138</v>
      </c>
      <c r="I32" s="83">
        <v>46171.0</v>
      </c>
      <c r="J32" s="83">
        <v>46107.0</v>
      </c>
      <c r="K32" s="83">
        <v>46171.0</v>
      </c>
      <c r="L32" s="82"/>
      <c r="M32" s="83"/>
      <c r="N32" s="84"/>
      <c r="O32" s="83"/>
      <c r="P32" s="82">
        <v>657566.0</v>
      </c>
      <c r="Q32" s="82" t="s">
        <v>511</v>
      </c>
      <c r="R32" s="82">
        <v>355.0</v>
      </c>
      <c r="S32" s="82">
        <v>325.0</v>
      </c>
      <c r="T32" s="82" t="s">
        <v>646</v>
      </c>
      <c r="U32" s="82" t="s">
        <v>647</v>
      </c>
      <c r="V32" s="83">
        <v>46171.0</v>
      </c>
      <c r="W32" s="82" t="s">
        <v>611</v>
      </c>
      <c r="X32" s="82" t="s">
        <v>515</v>
      </c>
      <c r="Y32" s="83">
        <v>46237.0</v>
      </c>
      <c r="Z32" s="83">
        <v>46099.0</v>
      </c>
    </row>
    <row r="33">
      <c r="A33" s="82" t="s">
        <v>648</v>
      </c>
      <c r="B33" s="82">
        <v>4646113.0</v>
      </c>
      <c r="C33" s="82" t="s">
        <v>649</v>
      </c>
      <c r="D33" s="83">
        <v>46183.0</v>
      </c>
      <c r="E33" s="82" t="s">
        <v>522</v>
      </c>
      <c r="F33" s="82"/>
      <c r="G33" s="84"/>
      <c r="H33" s="82" t="s">
        <v>138</v>
      </c>
      <c r="I33" s="83">
        <v>46199.0</v>
      </c>
      <c r="J33" s="83">
        <v>46164.0</v>
      </c>
      <c r="K33" s="83">
        <v>46197.0</v>
      </c>
      <c r="L33" s="82"/>
      <c r="M33" s="83"/>
      <c r="N33" s="83"/>
      <c r="O33" s="83"/>
      <c r="P33" s="82">
        <v>717415.0</v>
      </c>
      <c r="Q33" s="82" t="s">
        <v>557</v>
      </c>
      <c r="R33" s="82">
        <v>876.5</v>
      </c>
      <c r="S33" s="82">
        <v>876.5</v>
      </c>
      <c r="T33" s="82" t="s">
        <v>650</v>
      </c>
      <c r="U33" s="82" t="s">
        <v>651</v>
      </c>
      <c r="V33" s="83">
        <v>46197.0</v>
      </c>
      <c r="W33" s="82" t="s">
        <v>611</v>
      </c>
      <c r="X33" s="82" t="s">
        <v>515</v>
      </c>
      <c r="Y33" s="83">
        <v>46258.0</v>
      </c>
      <c r="Z33" s="83">
        <v>46099.0</v>
      </c>
    </row>
    <row r="34">
      <c r="A34" s="82" t="s">
        <v>652</v>
      </c>
      <c r="B34" s="82">
        <v>4520048.0</v>
      </c>
      <c r="C34" s="82" t="s">
        <v>653</v>
      </c>
      <c r="D34" s="83">
        <v>46170.0</v>
      </c>
      <c r="E34" s="82" t="s">
        <v>522</v>
      </c>
      <c r="F34" s="82"/>
      <c r="G34" s="82"/>
      <c r="H34" s="82" t="s">
        <v>163</v>
      </c>
      <c r="I34" s="83">
        <v>46142.0</v>
      </c>
      <c r="J34" s="83">
        <v>46113.0</v>
      </c>
      <c r="K34" s="83">
        <v>46147.0</v>
      </c>
      <c r="L34" s="82"/>
      <c r="M34" s="83"/>
      <c r="N34" s="83"/>
      <c r="O34" s="83"/>
      <c r="P34" s="82">
        <v>730846.0</v>
      </c>
      <c r="Q34" s="82" t="s">
        <v>511</v>
      </c>
      <c r="R34" s="82">
        <v>330.98</v>
      </c>
      <c r="S34" s="82">
        <v>330.98</v>
      </c>
      <c r="T34" s="82" t="s">
        <v>654</v>
      </c>
      <c r="U34" s="82" t="s">
        <v>655</v>
      </c>
      <c r="V34" s="83">
        <v>46147.0</v>
      </c>
      <c r="W34" s="82" t="s">
        <v>611</v>
      </c>
      <c r="X34" s="82" t="s">
        <v>515</v>
      </c>
      <c r="Y34" s="83">
        <v>46258.0</v>
      </c>
      <c r="Z34" s="83">
        <v>46104.0</v>
      </c>
    </row>
    <row r="35">
      <c r="A35" s="82" t="s">
        <v>656</v>
      </c>
      <c r="B35" s="82">
        <v>4531933.0</v>
      </c>
      <c r="C35" s="82" t="s">
        <v>657</v>
      </c>
      <c r="D35" s="83">
        <v>46198.0</v>
      </c>
      <c r="E35" s="82" t="s">
        <v>604</v>
      </c>
      <c r="F35" s="82"/>
      <c r="G35" s="82"/>
      <c r="H35" s="82" t="s">
        <v>138</v>
      </c>
      <c r="I35" s="83">
        <v>46198.0</v>
      </c>
      <c r="J35" s="83">
        <v>46121.0</v>
      </c>
      <c r="K35" s="83">
        <v>46199.0</v>
      </c>
      <c r="L35" s="82"/>
      <c r="M35" s="83"/>
      <c r="N35" s="83"/>
      <c r="O35" s="83"/>
      <c r="P35" s="82">
        <v>674485.0</v>
      </c>
      <c r="Q35" s="82" t="s">
        <v>511</v>
      </c>
      <c r="R35" s="82">
        <v>281.77</v>
      </c>
      <c r="S35" s="82">
        <v>281.77</v>
      </c>
      <c r="T35" s="82" t="s">
        <v>658</v>
      </c>
      <c r="U35" s="82" t="s">
        <v>659</v>
      </c>
      <c r="V35" s="83">
        <v>46199.0</v>
      </c>
      <c r="W35" s="82" t="s">
        <v>611</v>
      </c>
      <c r="X35" s="82" t="s">
        <v>515</v>
      </c>
      <c r="Y35" s="83">
        <v>46237.0</v>
      </c>
      <c r="Z35" s="83">
        <v>46113.0</v>
      </c>
    </row>
    <row r="36">
      <c r="A36" s="82" t="s">
        <v>660</v>
      </c>
      <c r="B36" s="82">
        <v>4601844.0</v>
      </c>
      <c r="C36" s="82" t="s">
        <v>661</v>
      </c>
      <c r="D36" s="83">
        <v>46182.0</v>
      </c>
      <c r="E36" s="82" t="s">
        <v>522</v>
      </c>
      <c r="F36" s="82"/>
      <c r="G36" s="84"/>
      <c r="H36" s="82" t="s">
        <v>138</v>
      </c>
      <c r="I36" s="83">
        <v>46202.0</v>
      </c>
      <c r="J36" s="83">
        <v>46146.0</v>
      </c>
      <c r="K36" s="83">
        <v>46197.0</v>
      </c>
      <c r="L36" s="82"/>
      <c r="M36" s="83"/>
      <c r="N36" s="83"/>
      <c r="O36" s="83"/>
      <c r="P36" s="82">
        <v>711830.0</v>
      </c>
      <c r="Q36" s="82" t="s">
        <v>532</v>
      </c>
      <c r="R36" s="82">
        <v>425.0</v>
      </c>
      <c r="S36" s="82">
        <v>435.0</v>
      </c>
      <c r="T36" s="82" t="s">
        <v>662</v>
      </c>
      <c r="U36" s="82" t="s">
        <v>663</v>
      </c>
      <c r="V36" s="83">
        <v>46197.0</v>
      </c>
      <c r="W36" s="82" t="s">
        <v>611</v>
      </c>
      <c r="X36" s="82" t="s">
        <v>515</v>
      </c>
      <c r="Y36" s="83">
        <v>46251.0</v>
      </c>
      <c r="Z36" s="83">
        <v>46134.0</v>
      </c>
    </row>
    <row r="37">
      <c r="A37" s="82" t="s">
        <v>664</v>
      </c>
      <c r="B37" s="82">
        <v>4613356.0</v>
      </c>
      <c r="C37" s="82" t="s">
        <v>665</v>
      </c>
      <c r="D37" s="83">
        <v>46182.0</v>
      </c>
      <c r="E37" s="82" t="s">
        <v>522</v>
      </c>
      <c r="F37" s="82"/>
      <c r="G37" s="82"/>
      <c r="H37" s="82" t="s">
        <v>138</v>
      </c>
      <c r="I37" s="83">
        <v>46199.0</v>
      </c>
      <c r="J37" s="83">
        <v>46146.0</v>
      </c>
      <c r="K37" s="83">
        <v>46199.0</v>
      </c>
      <c r="L37" s="82"/>
      <c r="M37" s="83"/>
      <c r="N37" s="83"/>
      <c r="O37" s="83"/>
      <c r="P37" s="82">
        <v>709797.0</v>
      </c>
      <c r="Q37" s="82" t="s">
        <v>511</v>
      </c>
      <c r="R37" s="82">
        <v>385.0</v>
      </c>
      <c r="S37" s="82">
        <v>385.0</v>
      </c>
      <c r="T37" s="82" t="s">
        <v>666</v>
      </c>
      <c r="U37" s="82" t="s">
        <v>667</v>
      </c>
      <c r="V37" s="83">
        <v>46199.0</v>
      </c>
      <c r="W37" s="82" t="s">
        <v>611</v>
      </c>
      <c r="X37" s="82" t="s">
        <v>515</v>
      </c>
      <c r="Y37" s="83">
        <v>46244.0</v>
      </c>
      <c r="Z37" s="83">
        <v>46136.0</v>
      </c>
    </row>
    <row r="38">
      <c r="A38" s="82" t="s">
        <v>668</v>
      </c>
      <c r="B38" s="82">
        <v>4595676.0</v>
      </c>
      <c r="C38" s="82" t="s">
        <v>669</v>
      </c>
      <c r="D38" s="83">
        <v>46189.0</v>
      </c>
      <c r="E38" s="82" t="s">
        <v>522</v>
      </c>
      <c r="F38" s="82" t="s">
        <v>537</v>
      </c>
      <c r="G38" s="82"/>
      <c r="H38" s="82" t="s">
        <v>138</v>
      </c>
      <c r="I38" s="83">
        <v>46196.0</v>
      </c>
      <c r="J38" s="83">
        <v>46140.0</v>
      </c>
      <c r="K38" s="83">
        <v>46198.0</v>
      </c>
      <c r="L38" s="82" t="s">
        <v>138</v>
      </c>
      <c r="M38" s="83">
        <v>46154.0</v>
      </c>
      <c r="N38" s="83"/>
      <c r="O38" s="83">
        <v>46155.0</v>
      </c>
      <c r="P38" s="82">
        <v>702579.0</v>
      </c>
      <c r="Q38" s="82" t="s">
        <v>523</v>
      </c>
      <c r="R38" s="82">
        <v>206.27</v>
      </c>
      <c r="S38" s="82">
        <v>231.27</v>
      </c>
      <c r="T38" s="82" t="s">
        <v>670</v>
      </c>
      <c r="U38" s="82" t="s">
        <v>671</v>
      </c>
      <c r="V38" s="83">
        <v>46198.0</v>
      </c>
      <c r="W38" s="82" t="s">
        <v>611</v>
      </c>
      <c r="X38" s="82" t="s">
        <v>515</v>
      </c>
      <c r="Y38" s="83">
        <v>46258.0</v>
      </c>
      <c r="Z38" s="83">
        <v>46139.0</v>
      </c>
    </row>
    <row r="39">
      <c r="A39" s="82" t="s">
        <v>672</v>
      </c>
      <c r="B39" s="82">
        <v>4622664.0</v>
      </c>
      <c r="C39" s="82" t="s">
        <v>673</v>
      </c>
      <c r="D39" s="83">
        <v>46197.0</v>
      </c>
      <c r="E39" s="82" t="s">
        <v>522</v>
      </c>
      <c r="F39" s="82"/>
      <c r="G39" s="82"/>
      <c r="H39" s="82" t="s">
        <v>138</v>
      </c>
      <c r="I39" s="83">
        <v>46188.0</v>
      </c>
      <c r="J39" s="83">
        <v>46191.0</v>
      </c>
      <c r="K39" s="83">
        <v>46191.0</v>
      </c>
      <c r="L39" s="82"/>
      <c r="M39" s="83"/>
      <c r="N39" s="83"/>
      <c r="O39" s="83"/>
      <c r="P39" s="82">
        <v>713356.0</v>
      </c>
      <c r="Q39" s="82" t="s">
        <v>511</v>
      </c>
      <c r="R39" s="82">
        <v>403.54</v>
      </c>
      <c r="S39" s="82">
        <v>348.54</v>
      </c>
      <c r="T39" s="82" t="s">
        <v>674</v>
      </c>
      <c r="U39" s="82" t="s">
        <v>675</v>
      </c>
      <c r="V39" s="83">
        <v>46191.0</v>
      </c>
      <c r="W39" s="82" t="s">
        <v>611</v>
      </c>
      <c r="X39" s="82" t="s">
        <v>515</v>
      </c>
      <c r="Y39" s="83">
        <v>46251.0</v>
      </c>
      <c r="Z39" s="83">
        <v>46139.0</v>
      </c>
    </row>
    <row r="40">
      <c r="A40" s="82" t="s">
        <v>676</v>
      </c>
      <c r="B40" s="82">
        <v>4643229.0</v>
      </c>
      <c r="C40" s="82" t="s">
        <v>677</v>
      </c>
      <c r="D40" s="83">
        <v>46198.0</v>
      </c>
      <c r="E40" s="82" t="s">
        <v>604</v>
      </c>
      <c r="F40" s="82"/>
      <c r="G40" s="82"/>
      <c r="H40" s="82" t="s">
        <v>138</v>
      </c>
      <c r="I40" s="83">
        <v>46196.0</v>
      </c>
      <c r="J40" s="83">
        <v>46160.0</v>
      </c>
      <c r="K40" s="83">
        <v>46196.0</v>
      </c>
      <c r="L40" s="82"/>
      <c r="M40" s="83"/>
      <c r="N40" s="83"/>
      <c r="O40" s="83"/>
      <c r="P40" s="82">
        <v>721598.0</v>
      </c>
      <c r="Q40" s="82" t="s">
        <v>511</v>
      </c>
      <c r="R40" s="82">
        <v>160.0</v>
      </c>
      <c r="S40" s="82">
        <v>160.0</v>
      </c>
      <c r="T40" s="82" t="s">
        <v>678</v>
      </c>
      <c r="U40" s="82" t="s">
        <v>679</v>
      </c>
      <c r="V40" s="83">
        <v>46196.0</v>
      </c>
      <c r="W40" s="82" t="s">
        <v>611</v>
      </c>
      <c r="X40" s="82" t="s">
        <v>515</v>
      </c>
      <c r="Y40" s="83">
        <v>46258.0</v>
      </c>
      <c r="Z40" s="83">
        <v>46148.0</v>
      </c>
    </row>
    <row r="41">
      <c r="A41" s="82" t="s">
        <v>680</v>
      </c>
      <c r="B41" s="82">
        <v>4585208.0</v>
      </c>
      <c r="C41" s="82" t="s">
        <v>681</v>
      </c>
      <c r="D41" s="83">
        <v>46174.0</v>
      </c>
      <c r="E41" s="82" t="s">
        <v>522</v>
      </c>
      <c r="F41" s="82"/>
      <c r="G41" s="82"/>
      <c r="H41" s="82" t="s">
        <v>138</v>
      </c>
      <c r="I41" s="83">
        <v>46190.0</v>
      </c>
      <c r="J41" s="83">
        <v>46153.0</v>
      </c>
      <c r="K41" s="83">
        <v>46190.0</v>
      </c>
      <c r="L41" s="82"/>
      <c r="M41" s="83"/>
      <c r="N41" s="83"/>
      <c r="O41" s="83"/>
      <c r="P41" s="82">
        <v>688737.0</v>
      </c>
      <c r="Q41" s="82" t="s">
        <v>532</v>
      </c>
      <c r="R41" s="82">
        <v>231.6</v>
      </c>
      <c r="S41" s="82">
        <v>241.6</v>
      </c>
      <c r="T41" s="82" t="s">
        <v>682</v>
      </c>
      <c r="U41" s="82" t="s">
        <v>683</v>
      </c>
      <c r="V41" s="83">
        <v>46190.0</v>
      </c>
      <c r="W41" s="82" t="s">
        <v>611</v>
      </c>
      <c r="X41" s="82" t="s">
        <v>515</v>
      </c>
      <c r="Y41" s="83">
        <v>46251.0</v>
      </c>
      <c r="Z41" s="83">
        <v>46148.0</v>
      </c>
    </row>
    <row r="42">
      <c r="A42" s="82" t="s">
        <v>684</v>
      </c>
      <c r="B42" s="82">
        <v>4659388.0</v>
      </c>
      <c r="C42" s="82" t="s">
        <v>685</v>
      </c>
      <c r="D42" s="83">
        <v>46189.0</v>
      </c>
      <c r="E42" s="82" t="s">
        <v>604</v>
      </c>
      <c r="F42" s="82"/>
      <c r="G42" s="82"/>
      <c r="H42" s="82" t="s">
        <v>138</v>
      </c>
      <c r="I42" s="83">
        <v>46199.0</v>
      </c>
      <c r="J42" s="83">
        <v>46171.0</v>
      </c>
      <c r="K42" s="83">
        <v>46171.0</v>
      </c>
      <c r="L42" s="82"/>
      <c r="M42" s="83"/>
      <c r="N42" s="83"/>
      <c r="O42" s="83"/>
      <c r="P42" s="82">
        <v>733530.0</v>
      </c>
      <c r="Q42" s="82" t="s">
        <v>532</v>
      </c>
      <c r="R42" s="82">
        <v>251.55</v>
      </c>
      <c r="S42" s="82">
        <v>226.55</v>
      </c>
      <c r="T42" s="82" t="s">
        <v>686</v>
      </c>
      <c r="U42" s="82" t="s">
        <v>687</v>
      </c>
      <c r="V42" s="83">
        <v>46171.0</v>
      </c>
      <c r="W42" s="82" t="s">
        <v>611</v>
      </c>
      <c r="X42" s="82" t="s">
        <v>515</v>
      </c>
      <c r="Y42" s="83">
        <v>46251.0</v>
      </c>
      <c r="Z42" s="83">
        <v>46150.0</v>
      </c>
    </row>
    <row r="43">
      <c r="A43" s="82" t="s">
        <v>688</v>
      </c>
      <c r="B43" s="82">
        <v>4643465.0</v>
      </c>
      <c r="C43" s="82" t="s">
        <v>689</v>
      </c>
      <c r="D43" s="83">
        <v>46197.0</v>
      </c>
      <c r="E43" s="82" t="s">
        <v>604</v>
      </c>
      <c r="F43" s="82"/>
      <c r="G43" s="82"/>
      <c r="H43" s="82" t="s">
        <v>138</v>
      </c>
      <c r="I43" s="83">
        <v>46199.0</v>
      </c>
      <c r="J43" s="83">
        <v>46161.0</v>
      </c>
      <c r="K43" s="83">
        <v>46189.0</v>
      </c>
      <c r="L43" s="82"/>
      <c r="M43" s="83"/>
      <c r="N43" s="84"/>
      <c r="O43" s="83"/>
      <c r="P43" s="82">
        <v>721632.0</v>
      </c>
      <c r="Q43" s="82" t="s">
        <v>511</v>
      </c>
      <c r="R43" s="82">
        <v>400.0</v>
      </c>
      <c r="S43" s="82">
        <v>400.0</v>
      </c>
      <c r="T43" s="82" t="s">
        <v>690</v>
      </c>
      <c r="U43" s="82" t="s">
        <v>691</v>
      </c>
      <c r="V43" s="83">
        <v>46189.0</v>
      </c>
      <c r="W43" s="82" t="s">
        <v>611</v>
      </c>
      <c r="X43" s="82" t="s">
        <v>515</v>
      </c>
      <c r="Y43" s="83">
        <v>46258.0</v>
      </c>
      <c r="Z43" s="83">
        <v>46154.0</v>
      </c>
    </row>
    <row r="44">
      <c r="A44" s="82" t="s">
        <v>692</v>
      </c>
      <c r="B44" s="82">
        <v>4645494.0</v>
      </c>
      <c r="C44" s="82" t="s">
        <v>693</v>
      </c>
      <c r="D44" s="83">
        <v>46198.0</v>
      </c>
      <c r="E44" s="82" t="s">
        <v>522</v>
      </c>
      <c r="F44" s="82"/>
      <c r="G44" s="82"/>
      <c r="H44" s="82" t="s">
        <v>138</v>
      </c>
      <c r="I44" s="83">
        <v>46198.0</v>
      </c>
      <c r="J44" s="83">
        <v>46191.0</v>
      </c>
      <c r="K44" s="83">
        <v>46191.0</v>
      </c>
      <c r="L44" s="82"/>
      <c r="M44" s="83"/>
      <c r="N44" s="83"/>
      <c r="O44" s="83"/>
      <c r="P44" s="82">
        <v>693150.0</v>
      </c>
      <c r="Q44" s="82" t="s">
        <v>511</v>
      </c>
      <c r="R44" s="82">
        <v>1200.0</v>
      </c>
      <c r="S44" s="82">
        <v>1235.0</v>
      </c>
      <c r="T44" s="82" t="s">
        <v>694</v>
      </c>
      <c r="U44" s="82" t="s">
        <v>695</v>
      </c>
      <c r="V44" s="83">
        <v>46191.0</v>
      </c>
      <c r="W44" s="82" t="s">
        <v>611</v>
      </c>
      <c r="X44" s="82" t="s">
        <v>515</v>
      </c>
      <c r="Y44" s="83">
        <v>46258.0</v>
      </c>
      <c r="Z44" s="83">
        <v>46155.0</v>
      </c>
    </row>
    <row r="45">
      <c r="A45" s="82" t="s">
        <v>696</v>
      </c>
      <c r="B45" s="82">
        <v>4687230.0</v>
      </c>
      <c r="C45" s="82" t="s">
        <v>697</v>
      </c>
      <c r="D45" s="83">
        <v>46182.0</v>
      </c>
      <c r="E45" s="82"/>
      <c r="F45" s="82"/>
      <c r="G45" s="82"/>
      <c r="H45" s="82" t="s">
        <v>433</v>
      </c>
      <c r="I45" s="83">
        <v>46198.0</v>
      </c>
      <c r="J45" s="83"/>
      <c r="K45" s="83"/>
      <c r="L45" s="82"/>
      <c r="M45" s="83"/>
      <c r="N45" s="83"/>
      <c r="O45" s="83"/>
      <c r="P45" s="82">
        <v>732577.0</v>
      </c>
      <c r="Q45" s="82"/>
      <c r="R45" s="82">
        <v>644.75</v>
      </c>
      <c r="S45" s="82">
        <v>644.75</v>
      </c>
      <c r="T45" s="82" t="s">
        <v>698</v>
      </c>
      <c r="U45" s="82" t="s">
        <v>699</v>
      </c>
      <c r="V45" s="83"/>
      <c r="W45" s="82" t="s">
        <v>611</v>
      </c>
      <c r="X45" s="82" t="s">
        <v>515</v>
      </c>
      <c r="Y45" s="83">
        <v>46251.0</v>
      </c>
      <c r="Z45" s="83">
        <v>46157.0</v>
      </c>
    </row>
    <row r="46">
      <c r="A46" s="82" t="s">
        <v>700</v>
      </c>
      <c r="B46" s="82">
        <v>4027774.0</v>
      </c>
      <c r="C46" s="82" t="s">
        <v>701</v>
      </c>
      <c r="D46" s="83">
        <v>46199.0</v>
      </c>
      <c r="E46" s="82" t="s">
        <v>522</v>
      </c>
      <c r="F46" s="82"/>
      <c r="G46" s="82"/>
      <c r="H46" s="82" t="s">
        <v>138</v>
      </c>
      <c r="I46" s="83">
        <v>46202.0</v>
      </c>
      <c r="J46" s="83">
        <v>46177.0</v>
      </c>
      <c r="K46" s="83">
        <v>46200.0</v>
      </c>
      <c r="L46" s="82"/>
      <c r="M46" s="83"/>
      <c r="N46" s="83"/>
      <c r="O46" s="83"/>
      <c r="P46" s="82">
        <v>707611.0</v>
      </c>
      <c r="Q46" s="82" t="s">
        <v>557</v>
      </c>
      <c r="R46" s="82">
        <v>305.9</v>
      </c>
      <c r="S46" s="82">
        <v>315.9</v>
      </c>
      <c r="T46" s="82" t="s">
        <v>702</v>
      </c>
      <c r="U46" s="82" t="s">
        <v>703</v>
      </c>
      <c r="V46" s="83">
        <v>46200.0</v>
      </c>
      <c r="W46" s="82" t="s">
        <v>611</v>
      </c>
      <c r="X46" s="82" t="s">
        <v>515</v>
      </c>
      <c r="Y46" s="83">
        <v>46258.0</v>
      </c>
      <c r="Z46" s="83">
        <v>46170.0</v>
      </c>
    </row>
    <row r="47">
      <c r="A47" s="82" t="s">
        <v>704</v>
      </c>
      <c r="B47" s="82">
        <v>4671107.0</v>
      </c>
      <c r="C47" s="82" t="s">
        <v>705</v>
      </c>
      <c r="D47" s="83">
        <v>46196.0</v>
      </c>
      <c r="E47" s="82"/>
      <c r="F47" s="82"/>
      <c r="G47" s="82"/>
      <c r="H47" s="82"/>
      <c r="I47" s="83"/>
      <c r="J47" s="83"/>
      <c r="K47" s="83"/>
      <c r="L47" s="82"/>
      <c r="M47" s="83"/>
      <c r="N47" s="83"/>
      <c r="O47" s="83"/>
      <c r="P47" s="82">
        <v>733056.0</v>
      </c>
      <c r="Q47" s="82" t="s">
        <v>511</v>
      </c>
      <c r="R47" s="82">
        <v>600.0</v>
      </c>
      <c r="S47" s="82">
        <v>635.0</v>
      </c>
      <c r="T47" s="82" t="s">
        <v>706</v>
      </c>
      <c r="U47" s="82" t="s">
        <v>707</v>
      </c>
      <c r="V47" s="83"/>
      <c r="W47" s="82" t="s">
        <v>611</v>
      </c>
      <c r="X47" s="82" t="s">
        <v>515</v>
      </c>
      <c r="Y47" s="83">
        <v>46266.0</v>
      </c>
      <c r="Z47" s="83">
        <v>46150.0</v>
      </c>
    </row>
    <row r="48">
      <c r="A48" s="82" t="s">
        <v>708</v>
      </c>
      <c r="B48" s="82">
        <v>4733200.0</v>
      </c>
      <c r="C48" s="82" t="s">
        <v>709</v>
      </c>
      <c r="D48" s="83">
        <v>46198.0</v>
      </c>
      <c r="E48" s="82"/>
      <c r="F48" s="82"/>
      <c r="G48" s="82"/>
      <c r="H48" s="82"/>
      <c r="I48" s="83"/>
      <c r="J48" s="83"/>
      <c r="K48" s="83"/>
      <c r="L48" s="82"/>
      <c r="M48" s="83"/>
      <c r="N48" s="84"/>
      <c r="O48" s="83"/>
      <c r="P48" s="82">
        <v>730537.0</v>
      </c>
      <c r="Q48" s="82" t="s">
        <v>557</v>
      </c>
      <c r="R48" s="82">
        <v>434.0</v>
      </c>
      <c r="S48" s="82">
        <v>444.0</v>
      </c>
      <c r="T48" s="82" t="s">
        <v>710</v>
      </c>
      <c r="U48" s="82" t="s">
        <v>711</v>
      </c>
      <c r="V48" s="83"/>
      <c r="W48" s="82" t="s">
        <v>611</v>
      </c>
      <c r="X48" s="82" t="s">
        <v>515</v>
      </c>
      <c r="Y48" s="83">
        <v>46286.0</v>
      </c>
      <c r="Z48" s="83">
        <v>46168.0</v>
      </c>
    </row>
    <row r="49">
      <c r="A49" s="82" t="s">
        <v>712</v>
      </c>
      <c r="B49" s="82">
        <v>4671781.0</v>
      </c>
      <c r="C49" s="82" t="s">
        <v>713</v>
      </c>
      <c r="D49" s="83">
        <v>46189.0</v>
      </c>
      <c r="E49" s="82" t="s">
        <v>522</v>
      </c>
      <c r="F49" s="82"/>
      <c r="G49" s="82"/>
      <c r="H49" s="82" t="s">
        <v>138</v>
      </c>
      <c r="I49" s="83">
        <v>46178.0</v>
      </c>
      <c r="J49" s="83">
        <v>46174.0</v>
      </c>
      <c r="K49" s="83">
        <v>46174.0</v>
      </c>
      <c r="L49" s="82"/>
      <c r="M49" s="83"/>
      <c r="N49" s="83"/>
      <c r="O49" s="83"/>
      <c r="P49" s="82">
        <v>733116.0</v>
      </c>
      <c r="Q49" s="82" t="s">
        <v>511</v>
      </c>
      <c r="R49" s="82">
        <v>319.3</v>
      </c>
      <c r="S49" s="82">
        <v>319.3</v>
      </c>
      <c r="T49" s="82" t="s">
        <v>714</v>
      </c>
      <c r="U49" s="82" t="s">
        <v>715</v>
      </c>
      <c r="V49" s="83">
        <v>46174.0</v>
      </c>
      <c r="W49" s="82" t="s">
        <v>611</v>
      </c>
      <c r="X49" s="82" t="s">
        <v>515</v>
      </c>
      <c r="Y49" s="83">
        <v>46279.0</v>
      </c>
      <c r="Z49" s="83">
        <v>46169.0</v>
      </c>
    </row>
    <row r="50">
      <c r="A50" s="82" t="s">
        <v>716</v>
      </c>
      <c r="B50" s="82">
        <v>4585024.0</v>
      </c>
      <c r="C50" s="82" t="s">
        <v>717</v>
      </c>
      <c r="D50" s="83">
        <v>46177.0</v>
      </c>
      <c r="E50" s="82" t="s">
        <v>522</v>
      </c>
      <c r="F50" s="82"/>
      <c r="G50" s="82"/>
      <c r="H50" s="82" t="s">
        <v>433</v>
      </c>
      <c r="I50" s="83">
        <v>46202.0</v>
      </c>
      <c r="J50" s="83"/>
      <c r="K50" s="83"/>
      <c r="L50" s="82"/>
      <c r="M50" s="83"/>
      <c r="N50" s="83"/>
      <c r="O50" s="83"/>
      <c r="P50" s="82">
        <v>724386.0</v>
      </c>
      <c r="Q50" s="82" t="s">
        <v>557</v>
      </c>
      <c r="R50" s="82">
        <v>318.13</v>
      </c>
      <c r="S50" s="82">
        <v>318.13</v>
      </c>
      <c r="T50" s="82" t="s">
        <v>718</v>
      </c>
      <c r="U50" s="82" t="s">
        <v>719</v>
      </c>
      <c r="V50" s="83"/>
      <c r="W50" s="82" t="s">
        <v>611</v>
      </c>
      <c r="X50" s="82" t="s">
        <v>515</v>
      </c>
      <c r="Y50" s="83">
        <v>46289.0</v>
      </c>
      <c r="Z50" s="83">
        <v>46174.0</v>
      </c>
    </row>
    <row r="51">
      <c r="A51" s="82" t="s">
        <v>720</v>
      </c>
      <c r="B51" s="82">
        <v>4693674.0</v>
      </c>
      <c r="C51" s="82" t="s">
        <v>721</v>
      </c>
      <c r="D51" s="83">
        <v>46199.0</v>
      </c>
      <c r="E51" s="82" t="s">
        <v>604</v>
      </c>
      <c r="F51" s="82"/>
      <c r="G51" s="82"/>
      <c r="H51" s="82" t="s">
        <v>138</v>
      </c>
      <c r="I51" s="83">
        <v>46223.0</v>
      </c>
      <c r="J51" s="83">
        <v>46189.0</v>
      </c>
      <c r="K51" s="83">
        <v>46199.0</v>
      </c>
      <c r="L51" s="82"/>
      <c r="M51" s="83"/>
      <c r="N51" s="83"/>
      <c r="O51" s="83"/>
      <c r="P51" s="82">
        <v>714038.0</v>
      </c>
      <c r="Q51" s="82" t="s">
        <v>557</v>
      </c>
      <c r="R51" s="82">
        <v>345.14</v>
      </c>
      <c r="S51" s="82">
        <v>355.14</v>
      </c>
      <c r="T51" s="82" t="s">
        <v>722</v>
      </c>
      <c r="U51" s="82" t="s">
        <v>723</v>
      </c>
      <c r="V51" s="83">
        <v>46199.0</v>
      </c>
      <c r="W51" s="82" t="s">
        <v>611</v>
      </c>
      <c r="X51" s="82" t="s">
        <v>515</v>
      </c>
      <c r="Y51" s="83">
        <v>46279.0</v>
      </c>
      <c r="Z51" s="83">
        <v>46175.0</v>
      </c>
    </row>
    <row r="52">
      <c r="A52" s="82" t="s">
        <v>724</v>
      </c>
      <c r="B52" s="82">
        <v>4637594.0</v>
      </c>
      <c r="C52" s="82" t="s">
        <v>725</v>
      </c>
      <c r="D52" s="83">
        <v>46198.0</v>
      </c>
      <c r="E52" s="82"/>
      <c r="F52" s="82"/>
      <c r="G52" s="82"/>
      <c r="H52" s="82"/>
      <c r="I52" s="83"/>
      <c r="J52" s="83"/>
      <c r="K52" s="83"/>
      <c r="L52" s="82"/>
      <c r="M52" s="83"/>
      <c r="N52" s="83"/>
      <c r="O52" s="83"/>
      <c r="P52" s="82">
        <v>719455.0</v>
      </c>
      <c r="Q52" s="82" t="s">
        <v>511</v>
      </c>
      <c r="R52" s="82">
        <v>403.54</v>
      </c>
      <c r="S52" s="82">
        <v>413.54</v>
      </c>
      <c r="T52" s="82" t="s">
        <v>726</v>
      </c>
      <c r="U52" s="82" t="s">
        <v>727</v>
      </c>
      <c r="V52" s="83"/>
      <c r="W52" s="82" t="s">
        <v>611</v>
      </c>
      <c r="X52" s="82" t="s">
        <v>515</v>
      </c>
      <c r="Y52" s="83">
        <v>46279.0</v>
      </c>
      <c r="Z52" s="83">
        <v>46181.0</v>
      </c>
    </row>
    <row r="53">
      <c r="A53" s="82" t="s">
        <v>728</v>
      </c>
      <c r="B53" s="82">
        <v>4735126.0</v>
      </c>
      <c r="C53" s="82" t="s">
        <v>729</v>
      </c>
      <c r="D53" s="83">
        <v>46198.0</v>
      </c>
      <c r="E53" s="82"/>
      <c r="F53" s="82"/>
      <c r="G53" s="82"/>
      <c r="H53" s="82"/>
      <c r="I53" s="83"/>
      <c r="J53" s="83"/>
      <c r="K53" s="83"/>
      <c r="L53" s="82"/>
      <c r="M53" s="83"/>
      <c r="N53" s="83"/>
      <c r="O53" s="83"/>
      <c r="P53" s="82">
        <v>731240.0</v>
      </c>
      <c r="Q53" s="82" t="s">
        <v>557</v>
      </c>
      <c r="R53" s="82">
        <v>520.0</v>
      </c>
      <c r="S53" s="82">
        <v>450.0</v>
      </c>
      <c r="T53" s="82" t="s">
        <v>730</v>
      </c>
      <c r="U53" s="82" t="s">
        <v>731</v>
      </c>
      <c r="V53" s="83"/>
      <c r="W53" s="82" t="s">
        <v>611</v>
      </c>
      <c r="X53" s="82" t="s">
        <v>515</v>
      </c>
      <c r="Y53" s="83">
        <v>46286.0</v>
      </c>
      <c r="Z53" s="83">
        <v>46182.0</v>
      </c>
    </row>
    <row r="54">
      <c r="A54" s="82" t="s">
        <v>555</v>
      </c>
      <c r="B54" s="82">
        <v>4525842.0</v>
      </c>
      <c r="C54" s="82" t="s">
        <v>556</v>
      </c>
      <c r="D54" s="83">
        <v>46191.0</v>
      </c>
      <c r="E54" s="82" t="s">
        <v>522</v>
      </c>
      <c r="F54" s="82" t="s">
        <v>537</v>
      </c>
      <c r="G54" s="82"/>
      <c r="H54" s="82" t="s">
        <v>138</v>
      </c>
      <c r="I54" s="83">
        <v>46184.0</v>
      </c>
      <c r="J54" s="83">
        <v>46189.0</v>
      </c>
      <c r="K54" s="83">
        <v>46189.0</v>
      </c>
      <c r="L54" s="82" t="s">
        <v>138</v>
      </c>
      <c r="M54" s="83">
        <v>46113.0</v>
      </c>
      <c r="N54" s="83">
        <v>46203.0</v>
      </c>
      <c r="O54" s="83">
        <v>46121.0</v>
      </c>
      <c r="P54" s="82">
        <v>672509.0</v>
      </c>
      <c r="Q54" s="82" t="s">
        <v>557</v>
      </c>
      <c r="R54" s="82">
        <v>300.3</v>
      </c>
      <c r="S54" s="82">
        <v>300.3</v>
      </c>
      <c r="T54" s="82" t="s">
        <v>732</v>
      </c>
      <c r="U54" s="82" t="s">
        <v>559</v>
      </c>
      <c r="V54" s="83">
        <v>46200.0</v>
      </c>
      <c r="W54" s="82" t="s">
        <v>611</v>
      </c>
      <c r="X54" s="82" t="s">
        <v>515</v>
      </c>
      <c r="Y54" s="83">
        <v>46361.0</v>
      </c>
      <c r="Z54" s="83">
        <v>46197.0</v>
      </c>
    </row>
    <row r="55">
      <c r="A55" s="82" t="s">
        <v>733</v>
      </c>
      <c r="B55" s="82">
        <v>3383444.0</v>
      </c>
      <c r="C55" s="82" t="s">
        <v>734</v>
      </c>
      <c r="D55" s="83">
        <v>46196.0</v>
      </c>
      <c r="E55" s="82" t="s">
        <v>570</v>
      </c>
      <c r="F55" s="82"/>
      <c r="G55" s="82"/>
      <c r="H55" s="82" t="s">
        <v>138</v>
      </c>
      <c r="I55" s="83">
        <v>46197.0</v>
      </c>
      <c r="J55" s="83">
        <v>46099.0</v>
      </c>
      <c r="K55" s="83">
        <v>46197.0</v>
      </c>
      <c r="L55" s="82"/>
      <c r="M55" s="83"/>
      <c r="N55" s="83"/>
      <c r="O55" s="83"/>
      <c r="P55" s="82">
        <v>373486.0</v>
      </c>
      <c r="Q55" s="82" t="s">
        <v>511</v>
      </c>
      <c r="R55" s="82">
        <v>500.0</v>
      </c>
      <c r="S55" s="82">
        <v>500.0</v>
      </c>
      <c r="T55" s="82" t="s">
        <v>735</v>
      </c>
      <c r="U55" s="82" t="s">
        <v>736</v>
      </c>
      <c r="V55" s="83">
        <v>46197.0</v>
      </c>
      <c r="W55" s="82" t="s">
        <v>611</v>
      </c>
      <c r="X55" s="82" t="s">
        <v>515</v>
      </c>
      <c r="Y55" s="83">
        <v>46361.0</v>
      </c>
      <c r="Z55" s="83">
        <v>46197.0</v>
      </c>
    </row>
    <row r="56">
      <c r="A56" s="82" t="s">
        <v>737</v>
      </c>
      <c r="B56" s="82">
        <v>4440958.0</v>
      </c>
      <c r="C56" s="82" t="s">
        <v>738</v>
      </c>
      <c r="D56" s="83">
        <v>46174.0</v>
      </c>
      <c r="E56" s="82" t="s">
        <v>522</v>
      </c>
      <c r="F56" s="82"/>
      <c r="G56" s="84"/>
      <c r="H56" s="82" t="s">
        <v>138</v>
      </c>
      <c r="I56" s="83">
        <v>46198.0</v>
      </c>
      <c r="J56" s="83">
        <v>46073.0</v>
      </c>
      <c r="K56" s="83">
        <v>46198.0</v>
      </c>
      <c r="L56" s="82"/>
      <c r="M56" s="83"/>
      <c r="N56" s="83"/>
      <c r="O56" s="83"/>
      <c r="P56" s="82">
        <v>638692.0</v>
      </c>
      <c r="Q56" s="82" t="s">
        <v>557</v>
      </c>
      <c r="R56" s="82">
        <v>661.95</v>
      </c>
      <c r="S56" s="82">
        <v>671.95</v>
      </c>
      <c r="T56" s="82" t="s">
        <v>739</v>
      </c>
      <c r="U56" s="82" t="s">
        <v>740</v>
      </c>
      <c r="V56" s="83">
        <v>46198.0</v>
      </c>
      <c r="W56" s="82" t="s">
        <v>611</v>
      </c>
      <c r="X56" s="82" t="s">
        <v>515</v>
      </c>
      <c r="Y56" s="83">
        <v>46361.0</v>
      </c>
      <c r="Z56" s="83">
        <v>46197.0</v>
      </c>
    </row>
    <row r="57">
      <c r="A57" s="82" t="s">
        <v>741</v>
      </c>
      <c r="B57" s="82">
        <v>4443098.0</v>
      </c>
      <c r="C57" s="82" t="s">
        <v>742</v>
      </c>
      <c r="D57" s="83">
        <v>46164.0</v>
      </c>
      <c r="E57" s="82" t="s">
        <v>522</v>
      </c>
      <c r="F57" s="82"/>
      <c r="G57" s="82"/>
      <c r="H57" s="82" t="s">
        <v>138</v>
      </c>
      <c r="I57" s="83">
        <v>46177.0</v>
      </c>
      <c r="J57" s="83">
        <v>46073.0</v>
      </c>
      <c r="K57" s="83">
        <v>46177.0</v>
      </c>
      <c r="L57" s="82"/>
      <c r="M57" s="83"/>
      <c r="N57" s="83"/>
      <c r="O57" s="83"/>
      <c r="P57" s="82">
        <v>706776.0</v>
      </c>
      <c r="Q57" s="82" t="s">
        <v>532</v>
      </c>
      <c r="R57" s="82">
        <v>322.13</v>
      </c>
      <c r="S57" s="82">
        <v>357.13</v>
      </c>
      <c r="T57" s="82" t="s">
        <v>743</v>
      </c>
      <c r="U57" s="82" t="s">
        <v>744</v>
      </c>
      <c r="V57" s="83">
        <v>46177.0</v>
      </c>
      <c r="W57" s="82" t="s">
        <v>611</v>
      </c>
      <c r="X57" s="82" t="s">
        <v>515</v>
      </c>
      <c r="Y57" s="83">
        <v>46361.0</v>
      </c>
      <c r="Z57" s="83">
        <v>46197.0</v>
      </c>
    </row>
    <row r="58">
      <c r="A58" s="82" t="s">
        <v>745</v>
      </c>
      <c r="B58" s="82">
        <v>4374819.0</v>
      </c>
      <c r="C58" s="82" t="s">
        <v>746</v>
      </c>
      <c r="D58" s="83">
        <v>46175.0</v>
      </c>
      <c r="E58" s="82" t="s">
        <v>522</v>
      </c>
      <c r="F58" s="82"/>
      <c r="G58" s="82"/>
      <c r="H58" s="82" t="s">
        <v>138</v>
      </c>
      <c r="I58" s="83">
        <v>46191.0</v>
      </c>
      <c r="J58" s="83">
        <v>46063.0</v>
      </c>
      <c r="K58" s="83">
        <v>46176.0</v>
      </c>
      <c r="L58" s="82"/>
      <c r="M58" s="83"/>
      <c r="N58" s="83"/>
      <c r="O58" s="83"/>
      <c r="P58" s="82">
        <v>615946.0</v>
      </c>
      <c r="Q58" s="82" t="s">
        <v>557</v>
      </c>
      <c r="R58" s="82">
        <v>177.0</v>
      </c>
      <c r="S58" s="82">
        <v>267.0</v>
      </c>
      <c r="T58" s="82" t="s">
        <v>747</v>
      </c>
      <c r="U58" s="82" t="s">
        <v>748</v>
      </c>
      <c r="V58" s="83">
        <v>46176.0</v>
      </c>
      <c r="W58" s="82" t="s">
        <v>611</v>
      </c>
      <c r="X58" s="82" t="s">
        <v>515</v>
      </c>
      <c r="Y58" s="83">
        <v>46361.0</v>
      </c>
      <c r="Z58" s="83">
        <v>46197.0</v>
      </c>
    </row>
    <row r="59">
      <c r="A59" s="82" t="s">
        <v>749</v>
      </c>
      <c r="B59" s="82">
        <v>4332104.0</v>
      </c>
      <c r="C59" s="82" t="s">
        <v>750</v>
      </c>
      <c r="D59" s="83">
        <v>46170.0</v>
      </c>
      <c r="E59" s="82" t="s">
        <v>522</v>
      </c>
      <c r="F59" s="82"/>
      <c r="G59" s="82"/>
      <c r="H59" s="82" t="s">
        <v>138</v>
      </c>
      <c r="I59" s="83">
        <v>46197.0</v>
      </c>
      <c r="J59" s="83">
        <v>46036.0</v>
      </c>
      <c r="K59" s="83">
        <v>46200.0</v>
      </c>
      <c r="L59" s="82"/>
      <c r="M59" s="83"/>
      <c r="N59" s="83"/>
      <c r="O59" s="83"/>
      <c r="P59" s="82">
        <v>596436.0</v>
      </c>
      <c r="Q59" s="82"/>
      <c r="R59" s="82">
        <v>123.9</v>
      </c>
      <c r="S59" s="82">
        <v>208.9</v>
      </c>
      <c r="T59" s="82" t="s">
        <v>751</v>
      </c>
      <c r="U59" s="82" t="s">
        <v>752</v>
      </c>
      <c r="V59" s="83">
        <v>46200.0</v>
      </c>
      <c r="W59" s="82" t="s">
        <v>611</v>
      </c>
      <c r="X59" s="82" t="s">
        <v>515</v>
      </c>
      <c r="Y59" s="83">
        <v>46361.0</v>
      </c>
      <c r="Z59" s="83">
        <v>46197.0</v>
      </c>
    </row>
    <row r="60">
      <c r="A60" s="82" t="s">
        <v>753</v>
      </c>
      <c r="B60" s="82">
        <v>4329147.0</v>
      </c>
      <c r="C60" s="82" t="s">
        <v>754</v>
      </c>
      <c r="D60" s="83">
        <v>46196.0</v>
      </c>
      <c r="E60" s="82" t="s">
        <v>522</v>
      </c>
      <c r="F60" s="82"/>
      <c r="G60" s="82"/>
      <c r="H60" s="82" t="s">
        <v>138</v>
      </c>
      <c r="I60" s="83">
        <v>46195.0</v>
      </c>
      <c r="J60" s="83">
        <v>46035.0</v>
      </c>
      <c r="K60" s="83">
        <v>46195.0</v>
      </c>
      <c r="L60" s="82"/>
      <c r="M60" s="83"/>
      <c r="N60" s="83"/>
      <c r="O60" s="83"/>
      <c r="P60" s="82">
        <v>596524.0</v>
      </c>
      <c r="Q60" s="82" t="s">
        <v>532</v>
      </c>
      <c r="R60" s="82">
        <v>280.0</v>
      </c>
      <c r="S60" s="82">
        <v>390.0</v>
      </c>
      <c r="T60" s="82" t="s">
        <v>755</v>
      </c>
      <c r="U60" s="82" t="s">
        <v>756</v>
      </c>
      <c r="V60" s="83">
        <v>46195.0</v>
      </c>
      <c r="W60" s="82" t="s">
        <v>611</v>
      </c>
      <c r="X60" s="82" t="s">
        <v>515</v>
      </c>
      <c r="Y60" s="83">
        <v>46361.0</v>
      </c>
      <c r="Z60" s="83">
        <v>46197.0</v>
      </c>
    </row>
    <row r="61">
      <c r="A61" s="82" t="s">
        <v>757</v>
      </c>
      <c r="B61" s="82">
        <v>4299448.0</v>
      </c>
      <c r="C61" s="82" t="s">
        <v>758</v>
      </c>
      <c r="D61" s="83">
        <v>46176.0</v>
      </c>
      <c r="E61" s="82" t="s">
        <v>522</v>
      </c>
      <c r="F61" s="82"/>
      <c r="G61" s="82"/>
      <c r="H61" s="82" t="s">
        <v>138</v>
      </c>
      <c r="I61" s="83">
        <v>46209.0</v>
      </c>
      <c r="J61" s="83">
        <v>46013.0</v>
      </c>
      <c r="K61" s="83">
        <v>46199.0</v>
      </c>
      <c r="L61" s="82"/>
      <c r="M61" s="83"/>
      <c r="N61" s="83"/>
      <c r="O61" s="83"/>
      <c r="P61" s="82">
        <v>717469.0</v>
      </c>
      <c r="Q61" s="82" t="s">
        <v>532</v>
      </c>
      <c r="R61" s="82">
        <v>417.7</v>
      </c>
      <c r="S61" s="82">
        <v>452.7</v>
      </c>
      <c r="T61" s="82" t="s">
        <v>759</v>
      </c>
      <c r="U61" s="82" t="s">
        <v>760</v>
      </c>
      <c r="V61" s="83">
        <v>46199.0</v>
      </c>
      <c r="W61" s="82" t="s">
        <v>611</v>
      </c>
      <c r="X61" s="82" t="s">
        <v>515</v>
      </c>
      <c r="Y61" s="83">
        <v>46361.0</v>
      </c>
      <c r="Z61" s="83">
        <v>46197.0</v>
      </c>
    </row>
    <row r="62">
      <c r="A62" s="82" t="s">
        <v>590</v>
      </c>
      <c r="B62" s="82">
        <v>4539135.0</v>
      </c>
      <c r="C62" s="82" t="s">
        <v>591</v>
      </c>
      <c r="D62" s="83">
        <v>46177.0</v>
      </c>
      <c r="E62" s="82" t="s">
        <v>522</v>
      </c>
      <c r="F62" s="82"/>
      <c r="G62" s="82"/>
      <c r="H62" s="82" t="s">
        <v>131</v>
      </c>
      <c r="I62" s="83">
        <v>46149.0</v>
      </c>
      <c r="J62" s="83">
        <v>46129.0</v>
      </c>
      <c r="K62" s="83">
        <v>46150.0</v>
      </c>
      <c r="L62" s="82"/>
      <c r="M62" s="83"/>
      <c r="N62" s="83"/>
      <c r="O62" s="83"/>
      <c r="P62" s="82">
        <v>684235.0</v>
      </c>
      <c r="Q62" s="82"/>
      <c r="R62" s="82">
        <v>417.7</v>
      </c>
      <c r="S62" s="82">
        <v>442.7</v>
      </c>
      <c r="T62" s="82" t="s">
        <v>761</v>
      </c>
      <c r="U62" s="82" t="s">
        <v>593</v>
      </c>
      <c r="V62" s="83">
        <v>46150.0</v>
      </c>
      <c r="W62" s="82" t="s">
        <v>611</v>
      </c>
      <c r="X62" s="82" t="s">
        <v>515</v>
      </c>
      <c r="Y62" s="83">
        <v>46361.0</v>
      </c>
      <c r="Z62" s="83">
        <v>46197.0</v>
      </c>
    </row>
    <row r="63">
      <c r="A63" s="82" t="s">
        <v>762</v>
      </c>
      <c r="B63" s="82">
        <v>3683365.0</v>
      </c>
      <c r="C63" s="82" t="s">
        <v>763</v>
      </c>
      <c r="D63" s="83">
        <v>46183.0</v>
      </c>
      <c r="E63" s="82"/>
      <c r="F63" s="82" t="s">
        <v>537</v>
      </c>
      <c r="G63" s="82"/>
      <c r="H63" s="82" t="s">
        <v>163</v>
      </c>
      <c r="I63" s="83">
        <v>46155.0</v>
      </c>
      <c r="J63" s="83">
        <v>46156.0</v>
      </c>
      <c r="K63" s="83">
        <v>46156.0</v>
      </c>
      <c r="L63" s="82" t="s">
        <v>138</v>
      </c>
      <c r="M63" s="83">
        <v>46000.0</v>
      </c>
      <c r="N63" s="83"/>
      <c r="O63" s="83">
        <v>46001.0</v>
      </c>
      <c r="P63" s="82">
        <v>296748.0</v>
      </c>
      <c r="Q63" s="82" t="s">
        <v>523</v>
      </c>
      <c r="R63" s="82">
        <v>424.8</v>
      </c>
      <c r="S63" s="82">
        <v>489.8</v>
      </c>
      <c r="T63" s="82" t="s">
        <v>764</v>
      </c>
      <c r="U63" s="82" t="s">
        <v>765</v>
      </c>
      <c r="V63" s="83">
        <v>46199.0</v>
      </c>
      <c r="W63" s="82" t="s">
        <v>611</v>
      </c>
      <c r="X63" s="82" t="s">
        <v>515</v>
      </c>
      <c r="Y63" s="83">
        <v>46361.0</v>
      </c>
      <c r="Z63" s="83">
        <v>46197.0</v>
      </c>
    </row>
    <row r="64">
      <c r="A64" s="82" t="s">
        <v>126</v>
      </c>
      <c r="B64" s="82">
        <v>3916711.0</v>
      </c>
      <c r="C64" s="82" t="s">
        <v>127</v>
      </c>
      <c r="D64" s="83">
        <v>45799.0</v>
      </c>
      <c r="E64" s="82"/>
      <c r="F64" s="82" t="s">
        <v>537</v>
      </c>
      <c r="G64" s="82"/>
      <c r="H64" s="82"/>
      <c r="I64" s="83"/>
      <c r="J64" s="83"/>
      <c r="K64" s="83"/>
      <c r="L64" s="82" t="s">
        <v>131</v>
      </c>
      <c r="M64" s="83">
        <v>45786.0</v>
      </c>
      <c r="N64" s="83"/>
      <c r="O64" s="83">
        <v>45791.0</v>
      </c>
      <c r="P64" s="82">
        <v>387699.0</v>
      </c>
      <c r="Q64" s="82" t="s">
        <v>511</v>
      </c>
      <c r="R64" s="82">
        <v>50.0</v>
      </c>
      <c r="S64" s="82">
        <v>50.0</v>
      </c>
      <c r="T64" s="82" t="s">
        <v>124</v>
      </c>
      <c r="U64" s="82" t="s">
        <v>125</v>
      </c>
      <c r="V64" s="83">
        <v>45791.0</v>
      </c>
      <c r="W64" s="82" t="s">
        <v>132</v>
      </c>
      <c r="X64" s="82" t="s">
        <v>128</v>
      </c>
      <c r="Y64" s="83">
        <v>45791.0</v>
      </c>
      <c r="Z64" s="83">
        <v>45778.0</v>
      </c>
    </row>
    <row r="65">
      <c r="A65" s="82" t="s">
        <v>135</v>
      </c>
      <c r="B65" s="82">
        <v>3935770.0</v>
      </c>
      <c r="C65" s="82" t="s">
        <v>136</v>
      </c>
      <c r="D65" s="83">
        <v>46121.0</v>
      </c>
      <c r="E65" s="82" t="s">
        <v>522</v>
      </c>
      <c r="F65" s="82" t="s">
        <v>537</v>
      </c>
      <c r="G65" s="82"/>
      <c r="H65" s="82" t="s">
        <v>138</v>
      </c>
      <c r="I65" s="83">
        <v>46202.0</v>
      </c>
      <c r="J65" s="83">
        <v>45807.0</v>
      </c>
      <c r="K65" s="83">
        <v>46198.0</v>
      </c>
      <c r="L65" s="82" t="s">
        <v>138</v>
      </c>
      <c r="M65" s="83">
        <v>45821.0</v>
      </c>
      <c r="N65" s="83">
        <v>46203.0</v>
      </c>
      <c r="O65" s="83">
        <v>45826.0</v>
      </c>
      <c r="P65" s="82">
        <v>307484.0</v>
      </c>
      <c r="Q65" s="82" t="s">
        <v>523</v>
      </c>
      <c r="R65" s="82">
        <v>267.5</v>
      </c>
      <c r="S65" s="82">
        <v>168.5</v>
      </c>
      <c r="T65" s="82" t="s">
        <v>133</v>
      </c>
      <c r="U65" s="82" t="s">
        <v>134</v>
      </c>
      <c r="V65" s="83">
        <v>46199.0</v>
      </c>
      <c r="W65" s="82" t="s">
        <v>132</v>
      </c>
      <c r="X65" s="82" t="s">
        <v>128</v>
      </c>
      <c r="Y65" s="83">
        <v>45797.0</v>
      </c>
      <c r="Z65" s="83">
        <v>45797.0</v>
      </c>
    </row>
    <row r="66">
      <c r="A66" s="82" t="s">
        <v>766</v>
      </c>
      <c r="B66" s="82">
        <v>3906405.0</v>
      </c>
      <c r="C66" s="82" t="s">
        <v>767</v>
      </c>
      <c r="D66" s="83">
        <v>46174.0</v>
      </c>
      <c r="E66" s="82" t="s">
        <v>604</v>
      </c>
      <c r="F66" s="82"/>
      <c r="G66" s="82"/>
      <c r="H66" s="82" t="s">
        <v>138</v>
      </c>
      <c r="I66" s="83">
        <v>46199.0</v>
      </c>
      <c r="J66" s="83">
        <v>45807.0</v>
      </c>
      <c r="K66" s="83">
        <v>46198.0</v>
      </c>
      <c r="L66" s="82" t="s">
        <v>131</v>
      </c>
      <c r="M66" s="83">
        <v>46000.0</v>
      </c>
      <c r="N66" s="83"/>
      <c r="O66" s="83">
        <v>46003.0</v>
      </c>
      <c r="P66" s="82">
        <v>555318.0</v>
      </c>
      <c r="Q66" s="82" t="s">
        <v>532</v>
      </c>
      <c r="R66" s="82">
        <v>1000.0</v>
      </c>
      <c r="S66" s="82">
        <v>16.09</v>
      </c>
      <c r="T66" s="82" t="s">
        <v>768</v>
      </c>
      <c r="U66" s="82" t="s">
        <v>769</v>
      </c>
      <c r="V66" s="83">
        <v>46198.0</v>
      </c>
      <c r="W66" s="82" t="s">
        <v>132</v>
      </c>
      <c r="X66" s="82" t="s">
        <v>128</v>
      </c>
      <c r="Y66" s="83">
        <v>45807.0</v>
      </c>
      <c r="Z66" s="83">
        <v>45798.0</v>
      </c>
    </row>
    <row r="67">
      <c r="A67" s="82" t="s">
        <v>141</v>
      </c>
      <c r="B67" s="82">
        <v>3945715.0</v>
      </c>
      <c r="C67" s="82" t="s">
        <v>142</v>
      </c>
      <c r="D67" s="83">
        <v>46181.0</v>
      </c>
      <c r="E67" s="82" t="s">
        <v>522</v>
      </c>
      <c r="F67" s="82"/>
      <c r="G67" s="82"/>
      <c r="H67" s="82" t="s">
        <v>131</v>
      </c>
      <c r="I67" s="83">
        <v>46136.0</v>
      </c>
      <c r="J67" s="83">
        <v>45812.0</v>
      </c>
      <c r="K67" s="83">
        <v>46136.0</v>
      </c>
      <c r="L67" s="82"/>
      <c r="M67" s="83"/>
      <c r="N67" s="83"/>
      <c r="O67" s="83"/>
      <c r="P67" s="82">
        <v>244474.0</v>
      </c>
      <c r="Q67" s="82" t="s">
        <v>557</v>
      </c>
      <c r="R67" s="82">
        <v>130.0</v>
      </c>
      <c r="S67" s="82">
        <v>130.0</v>
      </c>
      <c r="T67" s="82" t="s">
        <v>139</v>
      </c>
      <c r="U67" s="82" t="s">
        <v>140</v>
      </c>
      <c r="V67" s="83">
        <v>46136.0</v>
      </c>
      <c r="W67" s="82" t="s">
        <v>132</v>
      </c>
      <c r="X67" s="82" t="s">
        <v>128</v>
      </c>
      <c r="Y67" s="83">
        <v>45804.0</v>
      </c>
      <c r="Z67" s="83">
        <v>45804.0</v>
      </c>
    </row>
    <row r="68">
      <c r="A68" s="82" t="s">
        <v>146</v>
      </c>
      <c r="B68" s="82">
        <v>3946131.0</v>
      </c>
      <c r="C68" s="82" t="s">
        <v>147</v>
      </c>
      <c r="D68" s="83">
        <v>46196.0</v>
      </c>
      <c r="E68" s="82" t="s">
        <v>522</v>
      </c>
      <c r="F68" s="82"/>
      <c r="G68" s="82"/>
      <c r="H68" s="82" t="s">
        <v>138</v>
      </c>
      <c r="I68" s="83">
        <v>46198.0</v>
      </c>
      <c r="J68" s="83">
        <v>45811.0</v>
      </c>
      <c r="K68" s="83">
        <v>46200.0</v>
      </c>
      <c r="L68" s="82"/>
      <c r="M68" s="83"/>
      <c r="N68" s="83"/>
      <c r="O68" s="83"/>
      <c r="P68" s="82">
        <v>709158.0</v>
      </c>
      <c r="Q68" s="82" t="s">
        <v>557</v>
      </c>
      <c r="R68" s="82">
        <v>601.63</v>
      </c>
      <c r="S68" s="82">
        <v>288.85</v>
      </c>
      <c r="T68" s="82" t="s">
        <v>144</v>
      </c>
      <c r="U68" s="82" t="s">
        <v>145</v>
      </c>
      <c r="V68" s="83">
        <v>46200.0</v>
      </c>
      <c r="W68" s="82" t="s">
        <v>132</v>
      </c>
      <c r="X68" s="82" t="s">
        <v>128</v>
      </c>
      <c r="Y68" s="83">
        <v>45805.0</v>
      </c>
      <c r="Z68" s="83">
        <v>45805.0</v>
      </c>
    </row>
    <row r="69">
      <c r="A69" s="82" t="s">
        <v>151</v>
      </c>
      <c r="B69" s="82">
        <v>3947424.0</v>
      </c>
      <c r="C69" s="82" t="s">
        <v>152</v>
      </c>
      <c r="D69" s="83">
        <v>46155.0</v>
      </c>
      <c r="E69" s="82" t="s">
        <v>522</v>
      </c>
      <c r="F69" s="82"/>
      <c r="G69" s="82"/>
      <c r="H69" s="82" t="s">
        <v>163</v>
      </c>
      <c r="I69" s="83">
        <v>46140.0</v>
      </c>
      <c r="J69" s="83">
        <v>45838.0</v>
      </c>
      <c r="K69" s="83">
        <v>46143.0</v>
      </c>
      <c r="L69" s="82"/>
      <c r="M69" s="83"/>
      <c r="N69" s="83"/>
      <c r="O69" s="83"/>
      <c r="P69" s="82">
        <v>691169.0</v>
      </c>
      <c r="Q69" s="82" t="s">
        <v>557</v>
      </c>
      <c r="R69" s="82">
        <v>105.0</v>
      </c>
      <c r="S69" s="82">
        <v>105.0</v>
      </c>
      <c r="T69" s="82" t="s">
        <v>149</v>
      </c>
      <c r="U69" s="82" t="s">
        <v>150</v>
      </c>
      <c r="V69" s="83">
        <v>46143.0</v>
      </c>
      <c r="W69" s="82" t="s">
        <v>132</v>
      </c>
      <c r="X69" s="82" t="s">
        <v>128</v>
      </c>
      <c r="Y69" s="83">
        <v>45805.0</v>
      </c>
      <c r="Z69" s="83">
        <v>45805.0</v>
      </c>
    </row>
    <row r="70">
      <c r="A70" s="82" t="s">
        <v>156</v>
      </c>
      <c r="B70" s="82">
        <v>3785914.0</v>
      </c>
      <c r="C70" s="82" t="s">
        <v>157</v>
      </c>
      <c r="D70" s="83"/>
      <c r="E70" s="82" t="s">
        <v>604</v>
      </c>
      <c r="F70" s="82" t="s">
        <v>537</v>
      </c>
      <c r="G70" s="82"/>
      <c r="H70" s="82" t="s">
        <v>138</v>
      </c>
      <c r="I70" s="83">
        <v>46199.0</v>
      </c>
      <c r="J70" s="83">
        <v>45805.0</v>
      </c>
      <c r="K70" s="83">
        <v>46201.0</v>
      </c>
      <c r="L70" s="82" t="s">
        <v>138</v>
      </c>
      <c r="M70" s="83">
        <v>45812.0</v>
      </c>
      <c r="N70" s="83">
        <v>46202.0</v>
      </c>
      <c r="O70" s="83">
        <v>45818.0</v>
      </c>
      <c r="P70" s="82">
        <v>296794.0</v>
      </c>
      <c r="Q70" s="82" t="s">
        <v>532</v>
      </c>
      <c r="R70" s="82">
        <v>115.73</v>
      </c>
      <c r="S70" s="82">
        <v>115.73</v>
      </c>
      <c r="T70" s="82" t="s">
        <v>154</v>
      </c>
      <c r="U70" s="82" t="s">
        <v>155</v>
      </c>
      <c r="V70" s="83">
        <v>46201.0</v>
      </c>
      <c r="W70" s="82" t="s">
        <v>132</v>
      </c>
      <c r="X70" s="82" t="s">
        <v>128</v>
      </c>
      <c r="Y70" s="83">
        <v>45806.0</v>
      </c>
      <c r="Z70" s="83">
        <v>45806.0</v>
      </c>
    </row>
    <row r="71">
      <c r="A71" s="82" t="s">
        <v>161</v>
      </c>
      <c r="B71" s="82">
        <v>3738104.0</v>
      </c>
      <c r="C71" s="82" t="s">
        <v>162</v>
      </c>
      <c r="D71" s="83">
        <v>45813.0</v>
      </c>
      <c r="E71" s="82" t="s">
        <v>604</v>
      </c>
      <c r="F71" s="82" t="s">
        <v>537</v>
      </c>
      <c r="G71" s="82"/>
      <c r="H71" s="82" t="s">
        <v>138</v>
      </c>
      <c r="I71" s="83">
        <v>46171.0</v>
      </c>
      <c r="J71" s="83">
        <v>45759.0</v>
      </c>
      <c r="K71" s="83">
        <v>46171.0</v>
      </c>
      <c r="L71" s="82" t="s">
        <v>131</v>
      </c>
      <c r="M71" s="83">
        <v>45853.0</v>
      </c>
      <c r="N71" s="83"/>
      <c r="O71" s="83">
        <v>45854.0</v>
      </c>
      <c r="P71" s="82">
        <v>520455.0</v>
      </c>
      <c r="Q71" s="82" t="s">
        <v>511</v>
      </c>
      <c r="R71" s="82">
        <v>50.0</v>
      </c>
      <c r="S71" s="82">
        <v>50.0</v>
      </c>
      <c r="T71" s="82" t="s">
        <v>159</v>
      </c>
      <c r="U71" s="82" t="s">
        <v>160</v>
      </c>
      <c r="V71" s="83">
        <v>46171.0</v>
      </c>
      <c r="W71" s="82" t="s">
        <v>132</v>
      </c>
      <c r="X71" s="82" t="s">
        <v>128</v>
      </c>
      <c r="Y71" s="83">
        <v>45806.0</v>
      </c>
      <c r="Z71" s="83">
        <v>45806.0</v>
      </c>
    </row>
    <row r="72">
      <c r="A72" s="82" t="s">
        <v>176</v>
      </c>
      <c r="B72" s="82">
        <v>3952865.0</v>
      </c>
      <c r="C72" s="82" t="s">
        <v>177</v>
      </c>
      <c r="D72" s="83">
        <v>45974.0</v>
      </c>
      <c r="E72" s="82" t="s">
        <v>522</v>
      </c>
      <c r="F72" s="82"/>
      <c r="G72" s="82"/>
      <c r="H72" s="82" t="s">
        <v>138</v>
      </c>
      <c r="I72" s="83">
        <v>46176.0</v>
      </c>
      <c r="J72" s="83">
        <v>45821.0</v>
      </c>
      <c r="K72" s="83">
        <v>46181.0</v>
      </c>
      <c r="L72" s="82"/>
      <c r="M72" s="83"/>
      <c r="N72" s="83"/>
      <c r="O72" s="83"/>
      <c r="P72" s="82">
        <v>250582.0</v>
      </c>
      <c r="Q72" s="82" t="s">
        <v>532</v>
      </c>
      <c r="R72" s="82">
        <v>50.0</v>
      </c>
      <c r="S72" s="82">
        <v>50.0</v>
      </c>
      <c r="T72" s="82" t="s">
        <v>174</v>
      </c>
      <c r="U72" s="82" t="s">
        <v>175</v>
      </c>
      <c r="V72" s="83">
        <v>46181.0</v>
      </c>
      <c r="W72" s="82" t="s">
        <v>132</v>
      </c>
      <c r="X72" s="82" t="s">
        <v>128</v>
      </c>
      <c r="Y72" s="83">
        <v>45818.0</v>
      </c>
      <c r="Z72" s="83">
        <v>45799.0</v>
      </c>
    </row>
    <row r="73">
      <c r="A73" s="82" t="s">
        <v>166</v>
      </c>
      <c r="B73" s="82">
        <v>3942346.0</v>
      </c>
      <c r="C73" s="82" t="s">
        <v>167</v>
      </c>
      <c r="D73" s="83">
        <v>46198.0</v>
      </c>
      <c r="E73" s="82" t="s">
        <v>522</v>
      </c>
      <c r="F73" s="82"/>
      <c r="G73" s="82"/>
      <c r="H73" s="82" t="s">
        <v>138</v>
      </c>
      <c r="I73" s="83">
        <v>46191.0</v>
      </c>
      <c r="J73" s="83">
        <v>45812.0</v>
      </c>
      <c r="K73" s="83">
        <v>46191.0</v>
      </c>
      <c r="L73" s="82"/>
      <c r="M73" s="83"/>
      <c r="N73" s="83"/>
      <c r="O73" s="83"/>
      <c r="P73" s="82">
        <v>442570.0</v>
      </c>
      <c r="Q73" s="82" t="s">
        <v>511</v>
      </c>
      <c r="R73" s="82">
        <v>442.68</v>
      </c>
      <c r="S73" s="82">
        <v>19.59</v>
      </c>
      <c r="T73" s="82" t="s">
        <v>164</v>
      </c>
      <c r="U73" s="82" t="s">
        <v>770</v>
      </c>
      <c r="V73" s="83">
        <v>46191.0</v>
      </c>
      <c r="W73" s="82" t="s">
        <v>132</v>
      </c>
      <c r="X73" s="82" t="s">
        <v>128</v>
      </c>
      <c r="Y73" s="83">
        <v>45812.0</v>
      </c>
      <c r="Z73" s="83">
        <v>45809.0</v>
      </c>
    </row>
    <row r="74">
      <c r="A74" s="82" t="s">
        <v>181</v>
      </c>
      <c r="B74" s="82">
        <v>3942651.0</v>
      </c>
      <c r="C74" s="82" t="s">
        <v>182</v>
      </c>
      <c r="D74" s="83">
        <v>45993.0</v>
      </c>
      <c r="E74" s="82" t="s">
        <v>522</v>
      </c>
      <c r="F74" s="82" t="s">
        <v>537</v>
      </c>
      <c r="G74" s="84"/>
      <c r="H74" s="82" t="s">
        <v>131</v>
      </c>
      <c r="I74" s="83">
        <v>46042.0</v>
      </c>
      <c r="J74" s="83">
        <v>46045.0</v>
      </c>
      <c r="K74" s="83">
        <v>46045.0</v>
      </c>
      <c r="L74" s="82" t="s">
        <v>163</v>
      </c>
      <c r="M74" s="83">
        <v>45814.0</v>
      </c>
      <c r="N74" s="83"/>
      <c r="O74" s="83">
        <v>45819.0</v>
      </c>
      <c r="P74" s="82">
        <v>378909.0</v>
      </c>
      <c r="Q74" s="82" t="s">
        <v>511</v>
      </c>
      <c r="R74" s="82">
        <v>50.0</v>
      </c>
      <c r="S74" s="82">
        <v>50.0</v>
      </c>
      <c r="T74" s="82" t="s">
        <v>179</v>
      </c>
      <c r="U74" s="82" t="s">
        <v>180</v>
      </c>
      <c r="V74" s="83">
        <v>46156.0</v>
      </c>
      <c r="W74" s="82" t="s">
        <v>132</v>
      </c>
      <c r="X74" s="82" t="s">
        <v>128</v>
      </c>
      <c r="Y74" s="83">
        <v>45819.0</v>
      </c>
      <c r="Z74" s="83">
        <v>45809.0</v>
      </c>
    </row>
    <row r="75">
      <c r="A75" s="82" t="s">
        <v>185</v>
      </c>
      <c r="B75" s="82">
        <v>3968250.0</v>
      </c>
      <c r="C75" s="82" t="s">
        <v>186</v>
      </c>
      <c r="D75" s="83">
        <v>46150.0</v>
      </c>
      <c r="E75" s="82" t="s">
        <v>522</v>
      </c>
      <c r="F75" s="82"/>
      <c r="G75" s="82"/>
      <c r="H75" s="82" t="s">
        <v>138</v>
      </c>
      <c r="I75" s="83">
        <v>46185.0</v>
      </c>
      <c r="J75" s="83">
        <v>45826.0</v>
      </c>
      <c r="K75" s="83">
        <v>46190.0</v>
      </c>
      <c r="L75" s="82"/>
      <c r="M75" s="83"/>
      <c r="N75" s="83"/>
      <c r="O75" s="83"/>
      <c r="P75" s="82">
        <v>720790.0</v>
      </c>
      <c r="Q75" s="82" t="s">
        <v>532</v>
      </c>
      <c r="R75" s="82">
        <v>103.89</v>
      </c>
      <c r="S75" s="82">
        <v>103.89</v>
      </c>
      <c r="T75" s="82" t="s">
        <v>183</v>
      </c>
      <c r="U75" s="82" t="s">
        <v>184</v>
      </c>
      <c r="V75" s="83">
        <v>46190.0</v>
      </c>
      <c r="W75" s="82" t="s">
        <v>132</v>
      </c>
      <c r="X75" s="82" t="s">
        <v>128</v>
      </c>
      <c r="Y75" s="83">
        <v>45826.0</v>
      </c>
      <c r="Z75" s="83">
        <v>45809.0</v>
      </c>
    </row>
    <row r="76">
      <c r="A76" s="82" t="s">
        <v>207</v>
      </c>
      <c r="B76" s="82">
        <v>3977410.0</v>
      </c>
      <c r="C76" s="82" t="s">
        <v>208</v>
      </c>
      <c r="D76" s="83"/>
      <c r="E76" s="82"/>
      <c r="F76" s="82" t="s">
        <v>537</v>
      </c>
      <c r="G76" s="82"/>
      <c r="H76" s="82"/>
      <c r="I76" s="83"/>
      <c r="J76" s="83"/>
      <c r="K76" s="83"/>
      <c r="L76" s="82" t="s">
        <v>131</v>
      </c>
      <c r="M76" s="83">
        <v>45833.0</v>
      </c>
      <c r="N76" s="83"/>
      <c r="O76" s="83">
        <v>45838.0</v>
      </c>
      <c r="P76" s="82">
        <v>323839.0</v>
      </c>
      <c r="Q76" s="82" t="s">
        <v>511</v>
      </c>
      <c r="R76" s="82">
        <v>50.0</v>
      </c>
      <c r="S76" s="82">
        <v>50.0</v>
      </c>
      <c r="T76" s="82" t="s">
        <v>205</v>
      </c>
      <c r="U76" s="82" t="s">
        <v>206</v>
      </c>
      <c r="V76" s="83">
        <v>45967.0</v>
      </c>
      <c r="W76" s="82" t="s">
        <v>132</v>
      </c>
      <c r="X76" s="82" t="s">
        <v>128</v>
      </c>
      <c r="Y76" s="83">
        <v>45838.0</v>
      </c>
      <c r="Z76" s="83">
        <v>45809.0</v>
      </c>
    </row>
    <row r="77">
      <c r="A77" s="82" t="s">
        <v>171</v>
      </c>
      <c r="B77" s="82">
        <v>3934711.0</v>
      </c>
      <c r="C77" s="82" t="s">
        <v>172</v>
      </c>
      <c r="D77" s="83"/>
      <c r="E77" s="82" t="s">
        <v>522</v>
      </c>
      <c r="F77" s="82"/>
      <c r="G77" s="82"/>
      <c r="H77" s="82" t="s">
        <v>138</v>
      </c>
      <c r="I77" s="83">
        <v>46176.0</v>
      </c>
      <c r="J77" s="83">
        <v>45841.0</v>
      </c>
      <c r="K77" s="83">
        <v>46181.0</v>
      </c>
      <c r="L77" s="82"/>
      <c r="M77" s="83"/>
      <c r="N77" s="83"/>
      <c r="O77" s="83"/>
      <c r="P77" s="82">
        <v>680930.0</v>
      </c>
      <c r="Q77" s="82" t="s">
        <v>557</v>
      </c>
      <c r="R77" s="82">
        <v>50.0</v>
      </c>
      <c r="S77" s="82">
        <v>50.0</v>
      </c>
      <c r="T77" s="82" t="s">
        <v>169</v>
      </c>
      <c r="U77" s="82" t="s">
        <v>170</v>
      </c>
      <c r="V77" s="83">
        <v>46181.0</v>
      </c>
      <c r="W77" s="82" t="s">
        <v>132</v>
      </c>
      <c r="X77" s="82" t="s">
        <v>128</v>
      </c>
      <c r="Y77" s="83">
        <v>45817.0</v>
      </c>
      <c r="Z77" s="83">
        <v>45817.0</v>
      </c>
    </row>
    <row r="78">
      <c r="A78" s="82" t="s">
        <v>193</v>
      </c>
      <c r="B78" s="82">
        <v>492746.0</v>
      </c>
      <c r="C78" s="82" t="s">
        <v>194</v>
      </c>
      <c r="D78" s="83">
        <v>46007.0</v>
      </c>
      <c r="E78" s="82" t="s">
        <v>604</v>
      </c>
      <c r="F78" s="82"/>
      <c r="G78" s="82"/>
      <c r="H78" s="82"/>
      <c r="I78" s="83"/>
      <c r="J78" s="83"/>
      <c r="K78" s="83"/>
      <c r="L78" s="82" t="s">
        <v>131</v>
      </c>
      <c r="M78" s="83">
        <v>45832.0</v>
      </c>
      <c r="N78" s="83"/>
      <c r="O78" s="83">
        <v>45832.0</v>
      </c>
      <c r="P78" s="82">
        <v>418323.0</v>
      </c>
      <c r="Q78" s="82" t="s">
        <v>511</v>
      </c>
      <c r="R78" s="82">
        <v>50.0</v>
      </c>
      <c r="S78" s="82">
        <v>50.0</v>
      </c>
      <c r="T78" s="82" t="s">
        <v>191</v>
      </c>
      <c r="U78" s="82" t="s">
        <v>192</v>
      </c>
      <c r="V78" s="83">
        <v>45832.0</v>
      </c>
      <c r="W78" s="82" t="s">
        <v>132</v>
      </c>
      <c r="X78" s="82" t="s">
        <v>128</v>
      </c>
      <c r="Y78" s="83">
        <v>45832.0</v>
      </c>
      <c r="Z78" s="83">
        <v>45820.0</v>
      </c>
    </row>
    <row r="79">
      <c r="A79" s="82" t="s">
        <v>189</v>
      </c>
      <c r="B79" s="82">
        <v>3934664.0</v>
      </c>
      <c r="C79" s="82" t="s">
        <v>190</v>
      </c>
      <c r="D79" s="83">
        <v>45832.0</v>
      </c>
      <c r="E79" s="82"/>
      <c r="F79" s="82" t="s">
        <v>537</v>
      </c>
      <c r="G79" s="82"/>
      <c r="H79" s="82"/>
      <c r="I79" s="83"/>
      <c r="J79" s="83"/>
      <c r="K79" s="83"/>
      <c r="L79" s="82" t="s">
        <v>138</v>
      </c>
      <c r="M79" s="83">
        <v>45831.0</v>
      </c>
      <c r="N79" s="83"/>
      <c r="O79" s="83">
        <v>45833.0</v>
      </c>
      <c r="P79" s="82">
        <v>243297.0</v>
      </c>
      <c r="Q79" s="82" t="s">
        <v>532</v>
      </c>
      <c r="R79" s="82">
        <v>100.0</v>
      </c>
      <c r="S79" s="82">
        <v>100.0</v>
      </c>
      <c r="T79" s="82" t="s">
        <v>187</v>
      </c>
      <c r="U79" s="82" t="s">
        <v>188</v>
      </c>
      <c r="V79" s="83">
        <v>46197.0</v>
      </c>
      <c r="W79" s="82" t="s">
        <v>132</v>
      </c>
      <c r="X79" s="82" t="s">
        <v>128</v>
      </c>
      <c r="Y79" s="83">
        <v>45829.0</v>
      </c>
      <c r="Z79" s="83">
        <v>45820.0</v>
      </c>
    </row>
    <row r="80">
      <c r="A80" s="82" t="s">
        <v>203</v>
      </c>
      <c r="B80" s="82">
        <v>3970546.0</v>
      </c>
      <c r="C80" s="82" t="s">
        <v>204</v>
      </c>
      <c r="D80" s="83">
        <v>46000.0</v>
      </c>
      <c r="E80" s="82" t="s">
        <v>522</v>
      </c>
      <c r="F80" s="82"/>
      <c r="G80" s="82"/>
      <c r="H80" s="82" t="s">
        <v>131</v>
      </c>
      <c r="I80" s="83">
        <v>45951.0</v>
      </c>
      <c r="J80" s="83">
        <v>45838.0</v>
      </c>
      <c r="K80" s="83">
        <v>45867.0</v>
      </c>
      <c r="L80" s="82"/>
      <c r="M80" s="83"/>
      <c r="N80" s="83"/>
      <c r="O80" s="83"/>
      <c r="P80" s="82">
        <v>533162.0</v>
      </c>
      <c r="Q80" s="82" t="s">
        <v>511</v>
      </c>
      <c r="R80" s="82">
        <v>119.04</v>
      </c>
      <c r="S80" s="82">
        <v>119.04</v>
      </c>
      <c r="T80" s="82" t="s">
        <v>201</v>
      </c>
      <c r="U80" s="82" t="s">
        <v>202</v>
      </c>
      <c r="V80" s="83">
        <v>45867.0</v>
      </c>
      <c r="W80" s="82" t="s">
        <v>132</v>
      </c>
      <c r="X80" s="82" t="s">
        <v>128</v>
      </c>
      <c r="Y80" s="83">
        <v>45838.0</v>
      </c>
      <c r="Z80" s="83">
        <v>45825.0</v>
      </c>
    </row>
    <row r="81">
      <c r="A81" s="82" t="s">
        <v>198</v>
      </c>
      <c r="B81" s="82">
        <v>3962143.0</v>
      </c>
      <c r="C81" s="82" t="s">
        <v>199</v>
      </c>
      <c r="D81" s="83">
        <v>45966.0</v>
      </c>
      <c r="E81" s="82" t="s">
        <v>604</v>
      </c>
      <c r="F81" s="82"/>
      <c r="G81" s="82"/>
      <c r="H81" s="82" t="s">
        <v>138</v>
      </c>
      <c r="I81" s="83">
        <v>46171.0</v>
      </c>
      <c r="J81" s="83">
        <v>45833.0</v>
      </c>
      <c r="K81" s="83">
        <v>46171.0</v>
      </c>
      <c r="L81" s="82"/>
      <c r="M81" s="83"/>
      <c r="N81" s="83"/>
      <c r="O81" s="83"/>
      <c r="P81" s="82">
        <v>370560.0</v>
      </c>
      <c r="Q81" s="82" t="s">
        <v>511</v>
      </c>
      <c r="R81" s="82">
        <v>54.88</v>
      </c>
      <c r="S81" s="82">
        <v>54.88</v>
      </c>
      <c r="T81" s="82" t="s">
        <v>196</v>
      </c>
      <c r="U81" s="82" t="s">
        <v>197</v>
      </c>
      <c r="V81" s="83">
        <v>46171.0</v>
      </c>
      <c r="W81" s="82" t="s">
        <v>132</v>
      </c>
      <c r="X81" s="82" t="s">
        <v>128</v>
      </c>
      <c r="Y81" s="83">
        <v>45833.0</v>
      </c>
      <c r="Z81" s="83">
        <v>45876.0</v>
      </c>
    </row>
    <row r="82">
      <c r="A82" s="82" t="s">
        <v>218</v>
      </c>
      <c r="B82" s="82">
        <v>3825826.0</v>
      </c>
      <c r="C82" s="82" t="s">
        <v>219</v>
      </c>
      <c r="D82" s="83">
        <v>45875.0</v>
      </c>
      <c r="E82" s="82"/>
      <c r="F82" s="82" t="s">
        <v>537</v>
      </c>
      <c r="G82" s="82"/>
      <c r="H82" s="82"/>
      <c r="I82" s="83"/>
      <c r="J82" s="83"/>
      <c r="K82" s="83"/>
      <c r="L82" s="82" t="s">
        <v>131</v>
      </c>
      <c r="M82" s="83">
        <v>45838.0</v>
      </c>
      <c r="N82" s="83"/>
      <c r="O82" s="83">
        <v>45842.0</v>
      </c>
      <c r="P82" s="82">
        <v>709944.0</v>
      </c>
      <c r="Q82" s="82" t="s">
        <v>511</v>
      </c>
      <c r="R82" s="82">
        <v>80.0</v>
      </c>
      <c r="S82" s="82">
        <v>80.0</v>
      </c>
      <c r="T82" s="82" t="s">
        <v>216</v>
      </c>
      <c r="U82" s="82" t="s">
        <v>217</v>
      </c>
      <c r="V82" s="83">
        <v>45989.0</v>
      </c>
      <c r="W82" s="82" t="s">
        <v>132</v>
      </c>
      <c r="X82" s="82" t="s">
        <v>128</v>
      </c>
      <c r="Y82" s="83">
        <v>45842.0</v>
      </c>
      <c r="Z82" s="83">
        <v>45810.0</v>
      </c>
    </row>
    <row r="83">
      <c r="A83" s="82" t="s">
        <v>771</v>
      </c>
      <c r="B83" s="82">
        <v>3952041.0</v>
      </c>
      <c r="C83" s="82" t="s">
        <v>772</v>
      </c>
      <c r="D83" s="83"/>
      <c r="E83" s="82" t="s">
        <v>546</v>
      </c>
      <c r="F83" s="82"/>
      <c r="G83" s="82" t="s">
        <v>548</v>
      </c>
      <c r="H83" s="82"/>
      <c r="I83" s="83">
        <v>45819.0</v>
      </c>
      <c r="J83" s="83"/>
      <c r="K83" s="83"/>
      <c r="L83" s="82"/>
      <c r="M83" s="83"/>
      <c r="N83" s="83"/>
      <c r="O83" s="83"/>
      <c r="P83" s="82">
        <v>366884.0</v>
      </c>
      <c r="Q83" s="82" t="s">
        <v>511</v>
      </c>
      <c r="R83" s="82">
        <v>50.0</v>
      </c>
      <c r="S83" s="82">
        <v>50.0</v>
      </c>
      <c r="T83" s="82" t="s">
        <v>773</v>
      </c>
      <c r="U83" s="82" t="s">
        <v>774</v>
      </c>
      <c r="V83" s="83"/>
      <c r="W83" s="82" t="s">
        <v>514</v>
      </c>
      <c r="X83" s="82" t="s">
        <v>128</v>
      </c>
      <c r="Y83" s="83">
        <v>45868.0</v>
      </c>
      <c r="Z83" s="83">
        <v>45813.0</v>
      </c>
    </row>
    <row r="84">
      <c r="A84" s="82" t="s">
        <v>226</v>
      </c>
      <c r="B84" s="82">
        <v>3275131.0</v>
      </c>
      <c r="C84" s="82" t="s">
        <v>227</v>
      </c>
      <c r="D84" s="83">
        <v>46007.0</v>
      </c>
      <c r="E84" s="82"/>
      <c r="F84" s="82" t="s">
        <v>537</v>
      </c>
      <c r="G84" s="82"/>
      <c r="H84" s="82"/>
      <c r="I84" s="83"/>
      <c r="J84" s="83"/>
      <c r="K84" s="83"/>
      <c r="L84" s="82" t="s">
        <v>131</v>
      </c>
      <c r="M84" s="83">
        <v>45841.0</v>
      </c>
      <c r="N84" s="83"/>
      <c r="O84" s="83">
        <v>45848.0</v>
      </c>
      <c r="P84" s="82">
        <v>452530.0</v>
      </c>
      <c r="Q84" s="82" t="s">
        <v>511</v>
      </c>
      <c r="R84" s="82">
        <v>50.0</v>
      </c>
      <c r="S84" s="82">
        <v>50.0</v>
      </c>
      <c r="T84" s="82" t="s">
        <v>224</v>
      </c>
      <c r="U84" s="82" t="s">
        <v>225</v>
      </c>
      <c r="V84" s="83">
        <v>45950.0</v>
      </c>
      <c r="W84" s="82" t="s">
        <v>132</v>
      </c>
      <c r="X84" s="82" t="s">
        <v>128</v>
      </c>
      <c r="Y84" s="83">
        <v>45848.0</v>
      </c>
      <c r="Z84" s="83">
        <v>45817.0</v>
      </c>
    </row>
    <row r="85">
      <c r="A85" s="82" t="s">
        <v>251</v>
      </c>
      <c r="B85" s="82">
        <v>4018525.0</v>
      </c>
      <c r="C85" s="82" t="s">
        <v>252</v>
      </c>
      <c r="D85" s="83">
        <v>46162.0</v>
      </c>
      <c r="E85" s="82" t="s">
        <v>522</v>
      </c>
      <c r="F85" s="82"/>
      <c r="G85" s="82"/>
      <c r="H85" s="82" t="s">
        <v>138</v>
      </c>
      <c r="I85" s="83">
        <v>46196.0</v>
      </c>
      <c r="J85" s="83">
        <v>45859.0</v>
      </c>
      <c r="K85" s="83">
        <v>46199.0</v>
      </c>
      <c r="L85" s="82"/>
      <c r="M85" s="83"/>
      <c r="N85" s="83"/>
      <c r="O85" s="83"/>
      <c r="P85" s="82">
        <v>253164.0</v>
      </c>
      <c r="Q85" s="82" t="s">
        <v>557</v>
      </c>
      <c r="R85" s="82">
        <v>292.51</v>
      </c>
      <c r="S85" s="82">
        <v>292.51</v>
      </c>
      <c r="T85" s="82" t="s">
        <v>249</v>
      </c>
      <c r="U85" s="82" t="s">
        <v>250</v>
      </c>
      <c r="V85" s="83">
        <v>46199.0</v>
      </c>
      <c r="W85" s="82" t="s">
        <v>132</v>
      </c>
      <c r="X85" s="82" t="s">
        <v>128</v>
      </c>
      <c r="Y85" s="83">
        <v>45859.0</v>
      </c>
      <c r="Z85" s="83">
        <v>45818.0</v>
      </c>
    </row>
    <row r="86">
      <c r="A86" s="82" t="s">
        <v>775</v>
      </c>
      <c r="B86" s="82">
        <v>3947422.0</v>
      </c>
      <c r="C86" s="82" t="s">
        <v>776</v>
      </c>
      <c r="D86" s="83">
        <v>45861.0</v>
      </c>
      <c r="E86" s="82"/>
      <c r="F86" s="82"/>
      <c r="G86" s="82"/>
      <c r="H86" s="82"/>
      <c r="I86" s="83"/>
      <c r="J86" s="83"/>
      <c r="K86" s="83"/>
      <c r="L86" s="82"/>
      <c r="M86" s="83"/>
      <c r="N86" s="83"/>
      <c r="O86" s="83"/>
      <c r="P86" s="82">
        <v>332019.0</v>
      </c>
      <c r="Q86" s="82" t="s">
        <v>511</v>
      </c>
      <c r="R86" s="82">
        <v>100.0</v>
      </c>
      <c r="S86" s="82">
        <v>100.0</v>
      </c>
      <c r="T86" s="82" t="s">
        <v>777</v>
      </c>
      <c r="U86" s="82" t="s">
        <v>778</v>
      </c>
      <c r="V86" s="83"/>
      <c r="W86" s="82" t="s">
        <v>514</v>
      </c>
      <c r="X86" s="82" t="s">
        <v>128</v>
      </c>
      <c r="Y86" s="83">
        <v>45861.0</v>
      </c>
      <c r="Z86" s="83">
        <v>45820.0</v>
      </c>
    </row>
    <row r="87">
      <c r="A87" s="82" t="s">
        <v>247</v>
      </c>
      <c r="B87" s="82">
        <v>3782339.0</v>
      </c>
      <c r="C87" s="82" t="s">
        <v>248</v>
      </c>
      <c r="D87" s="83">
        <v>46000.0</v>
      </c>
      <c r="E87" s="82" t="s">
        <v>546</v>
      </c>
      <c r="F87" s="82"/>
      <c r="G87" s="82" t="s">
        <v>548</v>
      </c>
      <c r="H87" s="82" t="s">
        <v>131</v>
      </c>
      <c r="I87" s="83">
        <v>45859.0</v>
      </c>
      <c r="J87" s="83">
        <v>45856.0</v>
      </c>
      <c r="K87" s="83">
        <v>45856.0</v>
      </c>
      <c r="L87" s="82"/>
      <c r="M87" s="83"/>
      <c r="N87" s="83"/>
      <c r="O87" s="83"/>
      <c r="P87" s="82">
        <v>394861.0</v>
      </c>
      <c r="Q87" s="82" t="s">
        <v>511</v>
      </c>
      <c r="R87" s="82">
        <v>50.0</v>
      </c>
      <c r="S87" s="82">
        <v>50.0</v>
      </c>
      <c r="T87" s="82" t="s">
        <v>245</v>
      </c>
      <c r="U87" s="82" t="s">
        <v>246</v>
      </c>
      <c r="V87" s="83">
        <v>45856.0</v>
      </c>
      <c r="W87" s="82" t="s">
        <v>132</v>
      </c>
      <c r="X87" s="82" t="s">
        <v>128</v>
      </c>
      <c r="Y87" s="83">
        <v>45856.0</v>
      </c>
      <c r="Z87" s="83">
        <v>45824.0</v>
      </c>
    </row>
    <row r="88">
      <c r="A88" s="82" t="s">
        <v>779</v>
      </c>
      <c r="B88" s="82">
        <v>3938002.0</v>
      </c>
      <c r="C88" s="82" t="s">
        <v>780</v>
      </c>
      <c r="D88" s="83">
        <v>45861.0</v>
      </c>
      <c r="E88" s="82"/>
      <c r="F88" s="82" t="s">
        <v>781</v>
      </c>
      <c r="G88" s="82"/>
      <c r="H88" s="82"/>
      <c r="I88" s="83"/>
      <c r="J88" s="83"/>
      <c r="K88" s="83"/>
      <c r="L88" s="82"/>
      <c r="M88" s="83"/>
      <c r="N88" s="83"/>
      <c r="O88" s="83"/>
      <c r="P88" s="82">
        <v>340939.0</v>
      </c>
      <c r="Q88" s="82" t="s">
        <v>511</v>
      </c>
      <c r="R88" s="82">
        <v>300.0</v>
      </c>
      <c r="S88" s="82">
        <v>300.0</v>
      </c>
      <c r="T88" s="82" t="s">
        <v>782</v>
      </c>
      <c r="U88" s="82" t="s">
        <v>783</v>
      </c>
      <c r="V88" s="83"/>
      <c r="W88" s="82" t="s">
        <v>514</v>
      </c>
      <c r="X88" s="82" t="s">
        <v>128</v>
      </c>
      <c r="Y88" s="83">
        <v>45861.0</v>
      </c>
      <c r="Z88" s="83">
        <v>45832.0</v>
      </c>
    </row>
    <row r="89">
      <c r="A89" s="82" t="s">
        <v>242</v>
      </c>
      <c r="B89" s="82">
        <v>4011251.0</v>
      </c>
      <c r="C89" s="82" t="s">
        <v>243</v>
      </c>
      <c r="D89" s="83">
        <v>45953.0</v>
      </c>
      <c r="E89" s="82" t="s">
        <v>522</v>
      </c>
      <c r="F89" s="82"/>
      <c r="G89" s="82"/>
      <c r="H89" s="82" t="s">
        <v>131</v>
      </c>
      <c r="I89" s="83">
        <v>45856.0</v>
      </c>
      <c r="J89" s="83">
        <v>45854.0</v>
      </c>
      <c r="K89" s="83">
        <v>45861.0</v>
      </c>
      <c r="L89" s="82"/>
      <c r="M89" s="83"/>
      <c r="N89" s="83"/>
      <c r="O89" s="83"/>
      <c r="P89" s="82">
        <v>449150.0</v>
      </c>
      <c r="Q89" s="82" t="s">
        <v>511</v>
      </c>
      <c r="R89" s="82">
        <v>174.41</v>
      </c>
      <c r="S89" s="82">
        <v>174.41</v>
      </c>
      <c r="T89" s="82" t="s">
        <v>240</v>
      </c>
      <c r="U89" s="82" t="s">
        <v>241</v>
      </c>
      <c r="V89" s="83">
        <v>45861.0</v>
      </c>
      <c r="W89" s="82" t="s">
        <v>132</v>
      </c>
      <c r="X89" s="82" t="s">
        <v>128</v>
      </c>
      <c r="Y89" s="83">
        <v>45854.0</v>
      </c>
      <c r="Z89" s="83">
        <v>45838.0</v>
      </c>
    </row>
    <row r="90">
      <c r="A90" s="82" t="s">
        <v>255</v>
      </c>
      <c r="B90" s="82">
        <v>3958943.0</v>
      </c>
      <c r="C90" s="82" t="s">
        <v>256</v>
      </c>
      <c r="D90" s="83">
        <v>45860.0</v>
      </c>
      <c r="E90" s="82"/>
      <c r="F90" s="82" t="s">
        <v>537</v>
      </c>
      <c r="G90" s="82"/>
      <c r="H90" s="82"/>
      <c r="I90" s="83"/>
      <c r="J90" s="83"/>
      <c r="K90" s="83"/>
      <c r="L90" s="82" t="s">
        <v>138</v>
      </c>
      <c r="M90" s="83">
        <v>45839.0</v>
      </c>
      <c r="N90" s="83">
        <v>46203.0</v>
      </c>
      <c r="O90" s="83">
        <v>45862.0</v>
      </c>
      <c r="P90" s="82">
        <v>386863.0</v>
      </c>
      <c r="Q90" s="82" t="s">
        <v>511</v>
      </c>
      <c r="R90" s="82">
        <v>50.0</v>
      </c>
      <c r="S90" s="82">
        <v>50.0</v>
      </c>
      <c r="T90" s="82" t="s">
        <v>253</v>
      </c>
      <c r="U90" s="82" t="s">
        <v>254</v>
      </c>
      <c r="V90" s="83">
        <v>46196.0</v>
      </c>
      <c r="W90" s="82" t="s">
        <v>132</v>
      </c>
      <c r="X90" s="82" t="s">
        <v>128</v>
      </c>
      <c r="Y90" s="83">
        <v>45862.0</v>
      </c>
      <c r="Z90" s="83">
        <v>45839.0</v>
      </c>
    </row>
    <row r="91">
      <c r="A91" s="82" t="s">
        <v>214</v>
      </c>
      <c r="B91" s="82">
        <v>3959338.0</v>
      </c>
      <c r="C91" s="82" t="s">
        <v>215</v>
      </c>
      <c r="D91" s="83">
        <v>45993.0</v>
      </c>
      <c r="E91" s="82" t="s">
        <v>522</v>
      </c>
      <c r="F91" s="82"/>
      <c r="G91" s="82"/>
      <c r="H91" s="82" t="s">
        <v>138</v>
      </c>
      <c r="I91" s="83">
        <v>46203.0</v>
      </c>
      <c r="J91" s="83">
        <v>45841.0</v>
      </c>
      <c r="K91" s="83">
        <v>46199.0</v>
      </c>
      <c r="L91" s="82"/>
      <c r="M91" s="83"/>
      <c r="N91" s="83"/>
      <c r="O91" s="83"/>
      <c r="P91" s="82">
        <v>245929.0</v>
      </c>
      <c r="Q91" s="82" t="s">
        <v>532</v>
      </c>
      <c r="R91" s="82">
        <v>96.47</v>
      </c>
      <c r="S91" s="82">
        <v>96.47</v>
      </c>
      <c r="T91" s="82" t="s">
        <v>212</v>
      </c>
      <c r="U91" s="82" t="s">
        <v>213</v>
      </c>
      <c r="V91" s="83">
        <v>46199.0</v>
      </c>
      <c r="W91" s="82" t="s">
        <v>132</v>
      </c>
      <c r="X91" s="82" t="s">
        <v>128</v>
      </c>
      <c r="Y91" s="83">
        <v>45841.0</v>
      </c>
      <c r="Z91" s="83">
        <v>45839.0</v>
      </c>
    </row>
    <row r="92">
      <c r="A92" s="82" t="s">
        <v>210</v>
      </c>
      <c r="B92" s="82">
        <v>3987123.0</v>
      </c>
      <c r="C92" s="82" t="s">
        <v>211</v>
      </c>
      <c r="D92" s="83"/>
      <c r="E92" s="82"/>
      <c r="F92" s="82" t="s">
        <v>537</v>
      </c>
      <c r="G92" s="82"/>
      <c r="H92" s="82"/>
      <c r="I92" s="83"/>
      <c r="J92" s="83"/>
      <c r="K92" s="83"/>
      <c r="L92" s="82" t="s">
        <v>131</v>
      </c>
      <c r="M92" s="83">
        <v>45833.0</v>
      </c>
      <c r="N92" s="84"/>
      <c r="O92" s="83">
        <v>45839.0</v>
      </c>
      <c r="P92" s="82">
        <v>363220.0</v>
      </c>
      <c r="Q92" s="82" t="s">
        <v>511</v>
      </c>
      <c r="R92" s="82">
        <v>50.0</v>
      </c>
      <c r="S92" s="82">
        <v>50.0</v>
      </c>
      <c r="T92" s="82" t="s">
        <v>209</v>
      </c>
      <c r="U92" s="82" t="s">
        <v>165</v>
      </c>
      <c r="V92" s="83">
        <v>45931.0</v>
      </c>
      <c r="W92" s="82" t="s">
        <v>132</v>
      </c>
      <c r="X92" s="82" t="s">
        <v>128</v>
      </c>
      <c r="Y92" s="83">
        <v>45839.0</v>
      </c>
      <c r="Z92" s="83">
        <v>45839.0</v>
      </c>
    </row>
    <row r="93">
      <c r="A93" s="82" t="s">
        <v>238</v>
      </c>
      <c r="B93" s="82">
        <v>4010351.0</v>
      </c>
      <c r="C93" s="82" t="s">
        <v>239</v>
      </c>
      <c r="D93" s="83">
        <v>46177.0</v>
      </c>
      <c r="E93" s="82" t="s">
        <v>522</v>
      </c>
      <c r="F93" s="82"/>
      <c r="G93" s="82"/>
      <c r="H93" s="82" t="s">
        <v>131</v>
      </c>
      <c r="I93" s="83">
        <v>46174.0</v>
      </c>
      <c r="J93" s="83">
        <v>45853.0</v>
      </c>
      <c r="K93" s="83">
        <v>46087.0</v>
      </c>
      <c r="L93" s="82"/>
      <c r="M93" s="83"/>
      <c r="N93" s="83"/>
      <c r="O93" s="83"/>
      <c r="P93" s="82">
        <v>700438.0</v>
      </c>
      <c r="Q93" s="82"/>
      <c r="R93" s="82">
        <v>810.07</v>
      </c>
      <c r="S93" s="82">
        <v>810.07</v>
      </c>
      <c r="T93" s="82" t="s">
        <v>236</v>
      </c>
      <c r="U93" s="82" t="s">
        <v>237</v>
      </c>
      <c r="V93" s="83">
        <v>46087.0</v>
      </c>
      <c r="W93" s="82" t="s">
        <v>132</v>
      </c>
      <c r="X93" s="82" t="s">
        <v>128</v>
      </c>
      <c r="Y93" s="83">
        <v>45853.0</v>
      </c>
      <c r="Z93" s="83">
        <v>45839.0</v>
      </c>
    </row>
    <row r="94">
      <c r="A94" s="82" t="s">
        <v>222</v>
      </c>
      <c r="B94" s="82">
        <v>3991830.0</v>
      </c>
      <c r="C94" s="82" t="s">
        <v>223</v>
      </c>
      <c r="D94" s="83">
        <v>46000.0</v>
      </c>
      <c r="E94" s="82" t="s">
        <v>522</v>
      </c>
      <c r="F94" s="82"/>
      <c r="G94" s="82"/>
      <c r="H94" s="82" t="s">
        <v>131</v>
      </c>
      <c r="I94" s="83">
        <v>45841.0</v>
      </c>
      <c r="J94" s="83">
        <v>45847.0</v>
      </c>
      <c r="K94" s="83">
        <v>45847.0</v>
      </c>
      <c r="L94" s="82"/>
      <c r="M94" s="83"/>
      <c r="N94" s="83"/>
      <c r="O94" s="83"/>
      <c r="P94" s="82">
        <v>376177.0</v>
      </c>
      <c r="Q94" s="82" t="s">
        <v>511</v>
      </c>
      <c r="R94" s="82">
        <v>50.0</v>
      </c>
      <c r="S94" s="82">
        <v>50.0</v>
      </c>
      <c r="T94" s="82" t="s">
        <v>220</v>
      </c>
      <c r="U94" s="82" t="s">
        <v>221</v>
      </c>
      <c r="V94" s="83">
        <v>45847.0</v>
      </c>
      <c r="W94" s="82" t="s">
        <v>132</v>
      </c>
      <c r="X94" s="82" t="s">
        <v>128</v>
      </c>
      <c r="Y94" s="83">
        <v>45847.0</v>
      </c>
      <c r="Z94" s="83">
        <v>45848.0</v>
      </c>
    </row>
    <row r="95">
      <c r="A95" s="82" t="s">
        <v>234</v>
      </c>
      <c r="B95" s="82">
        <v>4011819.0</v>
      </c>
      <c r="C95" s="82" t="s">
        <v>235</v>
      </c>
      <c r="D95" s="83">
        <v>45958.0</v>
      </c>
      <c r="E95" s="82" t="s">
        <v>604</v>
      </c>
      <c r="F95" s="82" t="s">
        <v>537</v>
      </c>
      <c r="G95" s="82"/>
      <c r="H95" s="82" t="s">
        <v>131</v>
      </c>
      <c r="I95" s="83">
        <v>46099.0</v>
      </c>
      <c r="J95" s="83">
        <v>45849.0</v>
      </c>
      <c r="K95" s="83">
        <v>46099.0</v>
      </c>
      <c r="L95" s="82" t="s">
        <v>131</v>
      </c>
      <c r="M95" s="83">
        <v>45979.0</v>
      </c>
      <c r="N95" s="83"/>
      <c r="O95" s="83">
        <v>45980.0</v>
      </c>
      <c r="P95" s="82">
        <v>687594.0</v>
      </c>
      <c r="Q95" s="82" t="s">
        <v>511</v>
      </c>
      <c r="R95" s="82">
        <v>86.27</v>
      </c>
      <c r="S95" s="82">
        <v>86.27</v>
      </c>
      <c r="T95" s="82" t="s">
        <v>232</v>
      </c>
      <c r="U95" s="82" t="s">
        <v>233</v>
      </c>
      <c r="V95" s="83">
        <v>46099.0</v>
      </c>
      <c r="W95" s="82" t="s">
        <v>132</v>
      </c>
      <c r="X95" s="82" t="s">
        <v>128</v>
      </c>
      <c r="Y95" s="83">
        <v>45849.0</v>
      </c>
      <c r="Z95" s="83">
        <v>45849.0</v>
      </c>
    </row>
    <row r="96">
      <c r="A96" s="82" t="s">
        <v>259</v>
      </c>
      <c r="B96" s="82">
        <v>4027648.0</v>
      </c>
      <c r="C96" s="82" t="s">
        <v>260</v>
      </c>
      <c r="D96" s="83">
        <v>46045.0</v>
      </c>
      <c r="E96" s="82" t="s">
        <v>604</v>
      </c>
      <c r="F96" s="82"/>
      <c r="G96" s="82"/>
      <c r="H96" s="82" t="s">
        <v>138</v>
      </c>
      <c r="I96" s="83">
        <v>46225.0</v>
      </c>
      <c r="J96" s="83">
        <v>45869.0</v>
      </c>
      <c r="K96" s="83">
        <v>46198.0</v>
      </c>
      <c r="L96" s="82"/>
      <c r="M96" s="83"/>
      <c r="N96" s="83"/>
      <c r="O96" s="83"/>
      <c r="P96" s="82">
        <v>692088.0</v>
      </c>
      <c r="Q96" s="82" t="s">
        <v>532</v>
      </c>
      <c r="R96" s="82">
        <v>55.0</v>
      </c>
      <c r="S96" s="82">
        <v>55.89</v>
      </c>
      <c r="T96" s="82" t="s">
        <v>257</v>
      </c>
      <c r="U96" s="82" t="s">
        <v>258</v>
      </c>
      <c r="V96" s="83">
        <v>46198.0</v>
      </c>
      <c r="W96" s="82" t="s">
        <v>132</v>
      </c>
      <c r="X96" s="82" t="s">
        <v>128</v>
      </c>
      <c r="Y96" s="83">
        <v>45869.0</v>
      </c>
      <c r="Z96" s="83">
        <v>45869.0</v>
      </c>
    </row>
    <row r="97">
      <c r="A97" s="82" t="s">
        <v>784</v>
      </c>
      <c r="B97" s="82">
        <v>3993022.0</v>
      </c>
      <c r="C97" s="82" t="s">
        <v>785</v>
      </c>
      <c r="D97" s="83">
        <v>46000.0</v>
      </c>
      <c r="E97" s="82" t="s">
        <v>522</v>
      </c>
      <c r="F97" s="82"/>
      <c r="G97" s="82"/>
      <c r="H97" s="82" t="s">
        <v>131</v>
      </c>
      <c r="I97" s="83">
        <v>45841.0</v>
      </c>
      <c r="J97" s="83">
        <v>45841.0</v>
      </c>
      <c r="K97" s="83">
        <v>45841.0</v>
      </c>
      <c r="L97" s="82"/>
      <c r="M97" s="83"/>
      <c r="N97" s="83"/>
      <c r="O97" s="83"/>
      <c r="P97" s="82">
        <v>505893.0</v>
      </c>
      <c r="Q97" s="82" t="s">
        <v>511</v>
      </c>
      <c r="R97" s="82">
        <v>113.0</v>
      </c>
      <c r="S97" s="82">
        <v>113.0</v>
      </c>
      <c r="T97" s="82" t="s">
        <v>786</v>
      </c>
      <c r="U97" s="82" t="s">
        <v>787</v>
      </c>
      <c r="V97" s="83">
        <v>45841.0</v>
      </c>
      <c r="W97" s="82" t="s">
        <v>132</v>
      </c>
      <c r="X97" s="82" t="s">
        <v>128</v>
      </c>
      <c r="Y97" s="83">
        <v>45841.0</v>
      </c>
      <c r="Z97" s="83">
        <v>45874.0</v>
      </c>
    </row>
    <row r="98">
      <c r="A98" s="82" t="s">
        <v>230</v>
      </c>
      <c r="B98" s="82">
        <v>3997416.0</v>
      </c>
      <c r="C98" s="82" t="s">
        <v>231</v>
      </c>
      <c r="D98" s="83">
        <v>45915.0</v>
      </c>
      <c r="E98" s="82"/>
      <c r="F98" s="82" t="s">
        <v>537</v>
      </c>
      <c r="G98" s="82"/>
      <c r="H98" s="82"/>
      <c r="I98" s="83"/>
      <c r="J98" s="83"/>
      <c r="K98" s="83"/>
      <c r="L98" s="82" t="s">
        <v>138</v>
      </c>
      <c r="M98" s="83">
        <v>45848.0</v>
      </c>
      <c r="N98" s="83"/>
      <c r="O98" s="83">
        <v>45849.0</v>
      </c>
      <c r="P98" s="82">
        <v>355172.0</v>
      </c>
      <c r="Q98" s="82" t="s">
        <v>511</v>
      </c>
      <c r="R98" s="82">
        <v>68.82</v>
      </c>
      <c r="S98" s="82">
        <v>68.82</v>
      </c>
      <c r="T98" s="82" t="s">
        <v>228</v>
      </c>
      <c r="U98" s="82" t="s">
        <v>229</v>
      </c>
      <c r="V98" s="83">
        <v>46190.0</v>
      </c>
      <c r="W98" s="82" t="s">
        <v>132</v>
      </c>
      <c r="X98" s="82" t="s">
        <v>128</v>
      </c>
      <c r="Y98" s="83">
        <v>45849.0</v>
      </c>
      <c r="Z98" s="83">
        <v>45876.0</v>
      </c>
    </row>
    <row r="99">
      <c r="A99" s="82" t="s">
        <v>275</v>
      </c>
      <c r="B99" s="82">
        <v>4044926.0</v>
      </c>
      <c r="C99" s="82" t="s">
        <v>276</v>
      </c>
      <c r="D99" s="83">
        <v>45908.0</v>
      </c>
      <c r="E99" s="82"/>
      <c r="F99" s="82"/>
      <c r="G99" s="82" t="s">
        <v>788</v>
      </c>
      <c r="H99" s="82" t="s">
        <v>131</v>
      </c>
      <c r="I99" s="83">
        <v>45883.0</v>
      </c>
      <c r="J99" s="83">
        <v>45880.0</v>
      </c>
      <c r="K99" s="83">
        <v>45888.0</v>
      </c>
      <c r="L99" s="82"/>
      <c r="M99" s="83"/>
      <c r="N99" s="83"/>
      <c r="O99" s="83"/>
      <c r="P99" s="82">
        <v>255674.0</v>
      </c>
      <c r="Q99" s="82" t="s">
        <v>557</v>
      </c>
      <c r="R99" s="82">
        <v>80.0</v>
      </c>
      <c r="S99" s="82">
        <v>80.0</v>
      </c>
      <c r="T99" s="82" t="s">
        <v>273</v>
      </c>
      <c r="U99" s="82" t="s">
        <v>274</v>
      </c>
      <c r="V99" s="83">
        <v>45888.0</v>
      </c>
      <c r="W99" s="82" t="s">
        <v>132</v>
      </c>
      <c r="X99" s="82" t="s">
        <v>128</v>
      </c>
      <c r="Y99" s="83">
        <v>45880.0</v>
      </c>
      <c r="Z99" s="83">
        <v>45826.0</v>
      </c>
    </row>
    <row r="100">
      <c r="A100" s="82" t="s">
        <v>267</v>
      </c>
      <c r="B100" s="82">
        <v>4038405.0</v>
      </c>
      <c r="C100" s="82" t="s">
        <v>268</v>
      </c>
      <c r="D100" s="83">
        <v>46105.0</v>
      </c>
      <c r="E100" s="82" t="s">
        <v>604</v>
      </c>
      <c r="F100" s="82"/>
      <c r="G100" s="82"/>
      <c r="H100" s="82" t="s">
        <v>138</v>
      </c>
      <c r="I100" s="83">
        <v>46202.0</v>
      </c>
      <c r="J100" s="83">
        <v>45877.0</v>
      </c>
      <c r="K100" s="83">
        <v>46199.0</v>
      </c>
      <c r="L100" s="82"/>
      <c r="M100" s="83"/>
      <c r="N100" s="83"/>
      <c r="O100" s="83"/>
      <c r="P100" s="82">
        <v>255447.0</v>
      </c>
      <c r="Q100" s="82"/>
      <c r="R100" s="82">
        <v>338.01</v>
      </c>
      <c r="S100" s="82">
        <v>338.01</v>
      </c>
      <c r="T100" s="82" t="s">
        <v>265</v>
      </c>
      <c r="U100" s="82" t="s">
        <v>266</v>
      </c>
      <c r="V100" s="83">
        <v>46199.0</v>
      </c>
      <c r="W100" s="82" t="s">
        <v>132</v>
      </c>
      <c r="X100" s="82" t="s">
        <v>128</v>
      </c>
      <c r="Y100" s="83">
        <v>45877.0</v>
      </c>
      <c r="Z100" s="83">
        <v>45839.0</v>
      </c>
    </row>
    <row r="101">
      <c r="A101" s="82" t="s">
        <v>271</v>
      </c>
      <c r="B101" s="82">
        <v>4039652.0</v>
      </c>
      <c r="C101" s="82" t="s">
        <v>272</v>
      </c>
      <c r="D101" s="83">
        <v>45867.0</v>
      </c>
      <c r="E101" s="82" t="s">
        <v>522</v>
      </c>
      <c r="F101" s="82"/>
      <c r="G101" s="82"/>
      <c r="H101" s="82" t="s">
        <v>138</v>
      </c>
      <c r="I101" s="83">
        <v>46199.0</v>
      </c>
      <c r="J101" s="83">
        <v>45880.0</v>
      </c>
      <c r="K101" s="83">
        <v>46197.0</v>
      </c>
      <c r="L101" s="82"/>
      <c r="M101" s="83"/>
      <c r="N101" s="83"/>
      <c r="O101" s="83"/>
      <c r="P101" s="82">
        <v>255350.0</v>
      </c>
      <c r="Q101" s="82" t="s">
        <v>532</v>
      </c>
      <c r="R101" s="82">
        <v>50.0</v>
      </c>
      <c r="S101" s="82">
        <v>50.0</v>
      </c>
      <c r="T101" s="82" t="s">
        <v>269</v>
      </c>
      <c r="U101" s="82" t="s">
        <v>270</v>
      </c>
      <c r="V101" s="83">
        <v>46197.0</v>
      </c>
      <c r="W101" s="82" t="s">
        <v>132</v>
      </c>
      <c r="X101" s="82" t="s">
        <v>128</v>
      </c>
      <c r="Y101" s="83">
        <v>45880.0</v>
      </c>
      <c r="Z101" s="83">
        <v>45863.0</v>
      </c>
    </row>
    <row r="102">
      <c r="A102" s="82" t="s">
        <v>280</v>
      </c>
      <c r="B102" s="82">
        <v>4008827.0</v>
      </c>
      <c r="C102" s="82" t="s">
        <v>281</v>
      </c>
      <c r="D102" s="83">
        <v>46196.0</v>
      </c>
      <c r="E102" s="82" t="s">
        <v>522</v>
      </c>
      <c r="F102" s="82"/>
      <c r="G102" s="84"/>
      <c r="H102" s="82" t="s">
        <v>138</v>
      </c>
      <c r="I102" s="83">
        <v>46183.0</v>
      </c>
      <c r="J102" s="83">
        <v>45884.0</v>
      </c>
      <c r="K102" s="83">
        <v>46188.0</v>
      </c>
      <c r="L102" s="82"/>
      <c r="M102" s="83"/>
      <c r="N102" s="83"/>
      <c r="O102" s="83"/>
      <c r="P102" s="82">
        <v>252361.0</v>
      </c>
      <c r="Q102" s="82" t="s">
        <v>532</v>
      </c>
      <c r="R102" s="82">
        <v>504.98</v>
      </c>
      <c r="S102" s="82">
        <v>504.98</v>
      </c>
      <c r="T102" s="82" t="s">
        <v>278</v>
      </c>
      <c r="U102" s="82" t="s">
        <v>279</v>
      </c>
      <c r="V102" s="83">
        <v>46188.0</v>
      </c>
      <c r="W102" s="82" t="s">
        <v>132</v>
      </c>
      <c r="X102" s="82" t="s">
        <v>128</v>
      </c>
      <c r="Y102" s="83">
        <v>45884.0</v>
      </c>
      <c r="Z102" s="83">
        <v>45870.0</v>
      </c>
    </row>
    <row r="103">
      <c r="A103" s="82" t="s">
        <v>263</v>
      </c>
      <c r="B103" s="82">
        <v>4030970.0</v>
      </c>
      <c r="C103" s="82" t="s">
        <v>264</v>
      </c>
      <c r="D103" s="83">
        <v>45982.0</v>
      </c>
      <c r="E103" s="82" t="s">
        <v>522</v>
      </c>
      <c r="F103" s="82" t="s">
        <v>537</v>
      </c>
      <c r="G103" s="82"/>
      <c r="H103" s="82" t="s">
        <v>138</v>
      </c>
      <c r="I103" s="83">
        <v>46200.0</v>
      </c>
      <c r="J103" s="83">
        <v>45876.0</v>
      </c>
      <c r="K103" s="83">
        <v>46200.0</v>
      </c>
      <c r="L103" s="82" t="s">
        <v>131</v>
      </c>
      <c r="M103" s="83">
        <v>45938.0</v>
      </c>
      <c r="N103" s="83"/>
      <c r="O103" s="83">
        <v>45945.0</v>
      </c>
      <c r="P103" s="82">
        <v>708407.0</v>
      </c>
      <c r="Q103" s="82"/>
      <c r="R103" s="82">
        <v>55.61</v>
      </c>
      <c r="S103" s="82">
        <v>55.61</v>
      </c>
      <c r="T103" s="82" t="s">
        <v>261</v>
      </c>
      <c r="U103" s="82" t="s">
        <v>262</v>
      </c>
      <c r="V103" s="83">
        <v>46200.0</v>
      </c>
      <c r="W103" s="82" t="s">
        <v>132</v>
      </c>
      <c r="X103" s="82" t="s">
        <v>128</v>
      </c>
      <c r="Y103" s="83">
        <v>45876.0</v>
      </c>
      <c r="Z103" s="83">
        <v>45870.0</v>
      </c>
    </row>
    <row r="104">
      <c r="A104" s="82" t="s">
        <v>284</v>
      </c>
      <c r="B104" s="82">
        <v>4064786.0</v>
      </c>
      <c r="C104" s="82" t="s">
        <v>285</v>
      </c>
      <c r="D104" s="83">
        <v>46174.0</v>
      </c>
      <c r="E104" s="82" t="s">
        <v>546</v>
      </c>
      <c r="F104" s="82" t="s">
        <v>547</v>
      </c>
      <c r="G104" s="82" t="s">
        <v>548</v>
      </c>
      <c r="H104" s="82"/>
      <c r="I104" s="83"/>
      <c r="J104" s="83"/>
      <c r="K104" s="83"/>
      <c r="L104" s="82" t="s">
        <v>131</v>
      </c>
      <c r="M104" s="83">
        <v>45883.0</v>
      </c>
      <c r="N104" s="83"/>
      <c r="O104" s="83">
        <v>45884.0</v>
      </c>
      <c r="P104" s="82">
        <v>356798.0</v>
      </c>
      <c r="Q104" s="82" t="s">
        <v>511</v>
      </c>
      <c r="R104" s="82">
        <v>1963.5</v>
      </c>
      <c r="S104" s="82">
        <v>276.35</v>
      </c>
      <c r="T104" s="82" t="s">
        <v>282</v>
      </c>
      <c r="U104" s="82" t="s">
        <v>283</v>
      </c>
      <c r="V104" s="83">
        <v>45884.0</v>
      </c>
      <c r="W104" s="82" t="s">
        <v>132</v>
      </c>
      <c r="X104" s="82" t="s">
        <v>128</v>
      </c>
      <c r="Y104" s="83">
        <v>45884.0</v>
      </c>
      <c r="Z104" s="83">
        <v>45870.0</v>
      </c>
    </row>
    <row r="105">
      <c r="A105" s="82" t="s">
        <v>288</v>
      </c>
      <c r="B105" s="82">
        <v>4068848.0</v>
      </c>
      <c r="C105" s="82" t="s">
        <v>289</v>
      </c>
      <c r="D105" s="83">
        <v>46161.0</v>
      </c>
      <c r="E105" s="82" t="s">
        <v>522</v>
      </c>
      <c r="F105" s="82" t="s">
        <v>537</v>
      </c>
      <c r="G105" s="82"/>
      <c r="H105" s="82" t="s">
        <v>138</v>
      </c>
      <c r="I105" s="83">
        <v>46197.0</v>
      </c>
      <c r="J105" s="83">
        <v>45896.0</v>
      </c>
      <c r="K105" s="83">
        <v>46197.0</v>
      </c>
      <c r="L105" s="82" t="s">
        <v>138</v>
      </c>
      <c r="M105" s="83">
        <v>45888.0</v>
      </c>
      <c r="N105" s="83"/>
      <c r="O105" s="83">
        <v>45908.0</v>
      </c>
      <c r="P105" s="82">
        <v>309077.0</v>
      </c>
      <c r="Q105" s="82" t="s">
        <v>532</v>
      </c>
      <c r="R105" s="82">
        <v>355.0</v>
      </c>
      <c r="S105" s="82">
        <v>385.0</v>
      </c>
      <c r="T105" s="82" t="s">
        <v>286</v>
      </c>
      <c r="U105" s="82" t="s">
        <v>287</v>
      </c>
      <c r="V105" s="83">
        <v>46197.0</v>
      </c>
      <c r="W105" s="82" t="s">
        <v>132</v>
      </c>
      <c r="X105" s="82" t="s">
        <v>128</v>
      </c>
      <c r="Y105" s="83">
        <v>45896.0</v>
      </c>
      <c r="Z105" s="83">
        <v>45880.0</v>
      </c>
    </row>
    <row r="106">
      <c r="A106" s="82" t="s">
        <v>298</v>
      </c>
      <c r="B106" s="82">
        <v>3328212.0</v>
      </c>
      <c r="C106" s="82" t="s">
        <v>299</v>
      </c>
      <c r="D106" s="83">
        <v>46119.0</v>
      </c>
      <c r="E106" s="82"/>
      <c r="F106" s="82" t="s">
        <v>537</v>
      </c>
      <c r="G106" s="82"/>
      <c r="H106" s="82"/>
      <c r="I106" s="83"/>
      <c r="J106" s="83"/>
      <c r="K106" s="83"/>
      <c r="L106" s="82" t="s">
        <v>131</v>
      </c>
      <c r="M106" s="83">
        <v>45902.0</v>
      </c>
      <c r="N106" s="83"/>
      <c r="O106" s="83">
        <v>45903.0</v>
      </c>
      <c r="P106" s="82">
        <v>279151.0</v>
      </c>
      <c r="Q106" s="82" t="s">
        <v>523</v>
      </c>
      <c r="R106" s="82">
        <v>55.0</v>
      </c>
      <c r="S106" s="82">
        <v>55.0</v>
      </c>
      <c r="T106" s="82" t="s">
        <v>296</v>
      </c>
      <c r="U106" s="82" t="s">
        <v>297</v>
      </c>
      <c r="V106" s="83">
        <v>45993.0</v>
      </c>
      <c r="W106" s="82" t="s">
        <v>132</v>
      </c>
      <c r="X106" s="82" t="s">
        <v>128</v>
      </c>
      <c r="Y106" s="83">
        <v>45903.0</v>
      </c>
      <c r="Z106" s="83">
        <v>45816.0</v>
      </c>
    </row>
    <row r="107">
      <c r="A107" s="82" t="s">
        <v>292</v>
      </c>
      <c r="B107" s="82">
        <v>4031755.0</v>
      </c>
      <c r="C107" s="82" t="s">
        <v>293</v>
      </c>
      <c r="D107" s="83">
        <v>46030.0</v>
      </c>
      <c r="E107" s="82" t="s">
        <v>522</v>
      </c>
      <c r="F107" s="82"/>
      <c r="G107" s="84"/>
      <c r="H107" s="82" t="s">
        <v>138</v>
      </c>
      <c r="I107" s="83">
        <v>46199.0</v>
      </c>
      <c r="J107" s="83">
        <v>45911.0</v>
      </c>
      <c r="K107" s="83">
        <v>46198.0</v>
      </c>
      <c r="L107" s="82"/>
      <c r="M107" s="83"/>
      <c r="N107" s="83"/>
      <c r="O107" s="83"/>
      <c r="P107" s="82">
        <v>315601.0</v>
      </c>
      <c r="Q107" s="82" t="s">
        <v>532</v>
      </c>
      <c r="R107" s="82">
        <v>175.0</v>
      </c>
      <c r="S107" s="82">
        <v>95.8</v>
      </c>
      <c r="T107" s="82" t="s">
        <v>290</v>
      </c>
      <c r="U107" s="82" t="s">
        <v>291</v>
      </c>
      <c r="V107" s="83">
        <v>46198.0</v>
      </c>
      <c r="W107" s="82" t="s">
        <v>132</v>
      </c>
      <c r="X107" s="82" t="s">
        <v>128</v>
      </c>
      <c r="Y107" s="83">
        <v>45901.0</v>
      </c>
      <c r="Z107" s="83">
        <v>45856.0</v>
      </c>
    </row>
    <row r="108">
      <c r="A108" s="82" t="s">
        <v>789</v>
      </c>
      <c r="B108" s="82">
        <v>2402714.0</v>
      </c>
      <c r="C108" s="82" t="s">
        <v>790</v>
      </c>
      <c r="D108" s="83"/>
      <c r="E108" s="82" t="s">
        <v>522</v>
      </c>
      <c r="F108" s="82"/>
      <c r="G108" s="82"/>
      <c r="H108" s="82" t="s">
        <v>138</v>
      </c>
      <c r="I108" s="83">
        <v>46209.0</v>
      </c>
      <c r="J108" s="83">
        <v>45931.0</v>
      </c>
      <c r="K108" s="83">
        <v>46198.0</v>
      </c>
      <c r="L108" s="82"/>
      <c r="M108" s="83"/>
      <c r="N108" s="83"/>
      <c r="O108" s="83"/>
      <c r="P108" s="82">
        <v>256253.0</v>
      </c>
      <c r="Q108" s="82" t="s">
        <v>557</v>
      </c>
      <c r="R108" s="82">
        <v>246.0</v>
      </c>
      <c r="S108" s="82">
        <v>366.0</v>
      </c>
      <c r="T108" s="82" t="s">
        <v>791</v>
      </c>
      <c r="U108" s="82" t="s">
        <v>792</v>
      </c>
      <c r="V108" s="83">
        <v>46198.0</v>
      </c>
      <c r="W108" s="82" t="s">
        <v>132</v>
      </c>
      <c r="X108" s="82" t="s">
        <v>128</v>
      </c>
      <c r="Y108" s="83">
        <v>45931.0</v>
      </c>
      <c r="Z108" s="83">
        <v>45856.0</v>
      </c>
    </row>
    <row r="109">
      <c r="A109" s="82" t="s">
        <v>793</v>
      </c>
      <c r="B109" s="82">
        <v>4180991.0</v>
      </c>
      <c r="C109" s="82" t="s">
        <v>794</v>
      </c>
      <c r="D109" s="83">
        <v>45954.0</v>
      </c>
      <c r="E109" s="82"/>
      <c r="F109" s="82"/>
      <c r="G109" s="82" t="s">
        <v>795</v>
      </c>
      <c r="H109" s="82"/>
      <c r="I109" s="83">
        <v>45952.0</v>
      </c>
      <c r="J109" s="83"/>
      <c r="K109" s="83"/>
      <c r="L109" s="82"/>
      <c r="M109" s="83"/>
      <c r="N109" s="83"/>
      <c r="O109" s="83"/>
      <c r="P109" s="82"/>
      <c r="Q109" s="82"/>
      <c r="R109" s="82">
        <v>117.5</v>
      </c>
      <c r="S109" s="82">
        <v>115.62</v>
      </c>
      <c r="T109" s="82" t="s">
        <v>796</v>
      </c>
      <c r="U109" s="82" t="s">
        <v>797</v>
      </c>
      <c r="V109" s="83"/>
      <c r="W109" s="82" t="s">
        <v>514</v>
      </c>
      <c r="X109" s="82" t="s">
        <v>128</v>
      </c>
      <c r="Y109" s="83">
        <v>45959.0</v>
      </c>
      <c r="Z109" s="83">
        <v>45954.0</v>
      </c>
    </row>
    <row r="110">
      <c r="A110" s="82" t="s">
        <v>798</v>
      </c>
      <c r="B110" s="82">
        <v>100325.0</v>
      </c>
      <c r="C110" s="82" t="s">
        <v>799</v>
      </c>
      <c r="D110" s="83">
        <v>45940.0</v>
      </c>
      <c r="E110" s="82" t="s">
        <v>522</v>
      </c>
      <c r="F110" s="82"/>
      <c r="G110" s="82"/>
      <c r="H110" s="82" t="s">
        <v>138</v>
      </c>
      <c r="I110" s="83">
        <v>46218.0</v>
      </c>
      <c r="J110" s="83">
        <v>45209.0</v>
      </c>
      <c r="K110" s="83">
        <v>46199.0</v>
      </c>
      <c r="L110" s="82"/>
      <c r="M110" s="83"/>
      <c r="N110" s="83"/>
      <c r="O110" s="83"/>
      <c r="P110" s="82">
        <v>732543.0</v>
      </c>
      <c r="Q110" s="82" t="s">
        <v>557</v>
      </c>
      <c r="R110" s="82">
        <v>0.0</v>
      </c>
      <c r="S110" s="82">
        <v>0.0</v>
      </c>
      <c r="T110" s="82" t="s">
        <v>800</v>
      </c>
      <c r="U110" s="82" t="s">
        <v>801</v>
      </c>
      <c r="V110" s="83">
        <v>46199.0</v>
      </c>
      <c r="W110" s="82" t="s">
        <v>132</v>
      </c>
      <c r="X110" s="82" t="s">
        <v>128</v>
      </c>
      <c r="Y110" s="83">
        <v>45933.0</v>
      </c>
      <c r="Z110" s="83">
        <v>45974.0</v>
      </c>
    </row>
    <row r="111">
      <c r="A111" s="82" t="s">
        <v>802</v>
      </c>
      <c r="B111" s="82">
        <v>1838093.0</v>
      </c>
      <c r="C111" s="82" t="s">
        <v>803</v>
      </c>
      <c r="D111" s="83">
        <v>45845.0</v>
      </c>
      <c r="E111" s="82"/>
      <c r="F111" s="82"/>
      <c r="G111" s="82"/>
      <c r="H111" s="82"/>
      <c r="I111" s="83"/>
      <c r="J111" s="83"/>
      <c r="K111" s="83"/>
      <c r="L111" s="82"/>
      <c r="M111" s="83"/>
      <c r="N111" s="83"/>
      <c r="O111" s="83"/>
      <c r="P111" s="82"/>
      <c r="Q111" s="82"/>
      <c r="R111" s="82">
        <v>286.0</v>
      </c>
      <c r="S111" s="82">
        <v>286.0</v>
      </c>
      <c r="T111" s="82" t="s">
        <v>804</v>
      </c>
      <c r="U111" s="82" t="s">
        <v>805</v>
      </c>
      <c r="V111" s="83"/>
      <c r="W111" s="82" t="s">
        <v>514</v>
      </c>
      <c r="X111" s="82" t="s">
        <v>128</v>
      </c>
      <c r="Y111" s="83">
        <v>45987.0</v>
      </c>
      <c r="Z111" s="83">
        <v>45833.0</v>
      </c>
    </row>
    <row r="112">
      <c r="A112" s="82" t="s">
        <v>806</v>
      </c>
      <c r="B112" s="82">
        <v>4011131.0</v>
      </c>
      <c r="C112" s="82" t="s">
        <v>807</v>
      </c>
      <c r="D112" s="83">
        <v>45978.0</v>
      </c>
      <c r="E112" s="82"/>
      <c r="F112" s="82"/>
      <c r="G112" s="82"/>
      <c r="H112" s="82"/>
      <c r="I112" s="83"/>
      <c r="J112" s="83"/>
      <c r="K112" s="83"/>
      <c r="L112" s="82"/>
      <c r="M112" s="83"/>
      <c r="N112" s="83"/>
      <c r="O112" s="83"/>
      <c r="P112" s="82"/>
      <c r="Q112" s="82"/>
      <c r="R112" s="82">
        <v>173.75</v>
      </c>
      <c r="S112" s="82">
        <v>124.25</v>
      </c>
      <c r="T112" s="82" t="s">
        <v>808</v>
      </c>
      <c r="U112" s="82" t="s">
        <v>809</v>
      </c>
      <c r="V112" s="83"/>
      <c r="W112" s="82" t="s">
        <v>514</v>
      </c>
      <c r="X112" s="82" t="s">
        <v>128</v>
      </c>
      <c r="Y112" s="83">
        <v>45978.0</v>
      </c>
      <c r="Z112" s="83">
        <v>45870.0</v>
      </c>
    </row>
    <row r="113">
      <c r="A113" s="82" t="s">
        <v>810</v>
      </c>
      <c r="B113" s="82">
        <v>2710123.0</v>
      </c>
      <c r="C113" s="82" t="s">
        <v>811</v>
      </c>
      <c r="D113" s="83">
        <v>45905.0</v>
      </c>
      <c r="E113" s="82" t="s">
        <v>522</v>
      </c>
      <c r="F113" s="82"/>
      <c r="G113" s="84"/>
      <c r="H113" s="82" t="s">
        <v>138</v>
      </c>
      <c r="I113" s="83">
        <v>46189.0</v>
      </c>
      <c r="J113" s="83">
        <v>45300.0</v>
      </c>
      <c r="K113" s="83">
        <v>46189.0</v>
      </c>
      <c r="L113" s="82"/>
      <c r="M113" s="83"/>
      <c r="N113" s="83"/>
      <c r="O113" s="83"/>
      <c r="P113" s="82">
        <v>260001.0</v>
      </c>
      <c r="Q113" s="82" t="s">
        <v>557</v>
      </c>
      <c r="R113" s="82">
        <v>80.0</v>
      </c>
      <c r="S113" s="82">
        <v>130.0</v>
      </c>
      <c r="T113" s="82" t="s">
        <v>812</v>
      </c>
      <c r="U113" s="82" t="s">
        <v>813</v>
      </c>
      <c r="V113" s="83">
        <v>46189.0</v>
      </c>
      <c r="W113" s="82" t="s">
        <v>132</v>
      </c>
      <c r="X113" s="82" t="s">
        <v>128</v>
      </c>
      <c r="Y113" s="83">
        <v>45980.0</v>
      </c>
      <c r="Z113" s="83">
        <v>45873.0</v>
      </c>
    </row>
    <row r="114">
      <c r="A114" s="82" t="s">
        <v>814</v>
      </c>
      <c r="B114" s="82">
        <v>4222088.0</v>
      </c>
      <c r="C114" s="82" t="s">
        <v>815</v>
      </c>
      <c r="D114" s="83"/>
      <c r="E114" s="82" t="s">
        <v>522</v>
      </c>
      <c r="F114" s="82"/>
      <c r="G114" s="82"/>
      <c r="H114" s="82" t="s">
        <v>138</v>
      </c>
      <c r="I114" s="83">
        <v>46195.0</v>
      </c>
      <c r="J114" s="83">
        <v>45982.0</v>
      </c>
      <c r="K114" s="83">
        <v>46195.0</v>
      </c>
      <c r="L114" s="82"/>
      <c r="M114" s="83"/>
      <c r="N114" s="83"/>
      <c r="O114" s="83"/>
      <c r="P114" s="82">
        <v>664000.0</v>
      </c>
      <c r="Q114" s="82" t="s">
        <v>532</v>
      </c>
      <c r="R114" s="82">
        <v>26.49</v>
      </c>
      <c r="S114" s="82">
        <v>1.49</v>
      </c>
      <c r="T114" s="82" t="s">
        <v>816</v>
      </c>
      <c r="U114" s="82" t="s">
        <v>817</v>
      </c>
      <c r="V114" s="83">
        <v>46195.0</v>
      </c>
      <c r="W114" s="82" t="s">
        <v>132</v>
      </c>
      <c r="X114" s="82" t="s">
        <v>128</v>
      </c>
      <c r="Y114" s="83">
        <v>45985.0</v>
      </c>
      <c r="Z114" s="83">
        <v>45954.0</v>
      </c>
    </row>
    <row r="115">
      <c r="A115" s="82" t="s">
        <v>818</v>
      </c>
      <c r="B115" s="82">
        <v>4214998.0</v>
      </c>
      <c r="C115" s="82" t="s">
        <v>819</v>
      </c>
      <c r="D115" s="83">
        <v>45996.0</v>
      </c>
      <c r="E115" s="82"/>
      <c r="F115" s="82"/>
      <c r="G115" s="82"/>
      <c r="H115" s="82"/>
      <c r="I115" s="83"/>
      <c r="J115" s="83"/>
      <c r="K115" s="83"/>
      <c r="L115" s="82" t="s">
        <v>131</v>
      </c>
      <c r="M115" s="83">
        <v>45973.0</v>
      </c>
      <c r="N115" s="83"/>
      <c r="O115" s="83">
        <v>45981.0</v>
      </c>
      <c r="P115" s="82">
        <v>363496.0</v>
      </c>
      <c r="Q115" s="82" t="s">
        <v>511</v>
      </c>
      <c r="R115" s="82">
        <v>190.0</v>
      </c>
      <c r="S115" s="82">
        <v>210.0</v>
      </c>
      <c r="T115" s="82" t="s">
        <v>820</v>
      </c>
      <c r="U115" s="82" t="s">
        <v>821</v>
      </c>
      <c r="V115" s="83">
        <v>45981.0</v>
      </c>
      <c r="W115" s="82" t="s">
        <v>132</v>
      </c>
      <c r="X115" s="82" t="s">
        <v>128</v>
      </c>
      <c r="Y115" s="83">
        <v>45981.0</v>
      </c>
      <c r="Z115" s="83">
        <v>45959.0</v>
      </c>
    </row>
    <row r="116">
      <c r="A116" s="82" t="s">
        <v>822</v>
      </c>
      <c r="B116" s="82">
        <v>4221007.0</v>
      </c>
      <c r="C116" s="82" t="s">
        <v>823</v>
      </c>
      <c r="D116" s="83">
        <v>46197.0</v>
      </c>
      <c r="E116" s="82" t="s">
        <v>604</v>
      </c>
      <c r="F116" s="82"/>
      <c r="G116" s="82"/>
      <c r="H116" s="82" t="s">
        <v>138</v>
      </c>
      <c r="I116" s="83">
        <v>46182.0</v>
      </c>
      <c r="J116" s="83">
        <v>45971.0</v>
      </c>
      <c r="K116" s="83">
        <v>46183.0</v>
      </c>
      <c r="L116" s="82"/>
      <c r="M116" s="83"/>
      <c r="N116" s="83"/>
      <c r="O116" s="83"/>
      <c r="P116" s="82">
        <v>546473.0</v>
      </c>
      <c r="Q116" s="82" t="s">
        <v>511</v>
      </c>
      <c r="R116" s="82">
        <v>200.0</v>
      </c>
      <c r="S116" s="82">
        <v>202.08</v>
      </c>
      <c r="T116" s="82" t="s">
        <v>824</v>
      </c>
      <c r="U116" s="82" t="s">
        <v>825</v>
      </c>
      <c r="V116" s="83">
        <v>46183.0</v>
      </c>
      <c r="W116" s="82" t="s">
        <v>132</v>
      </c>
      <c r="X116" s="82" t="s">
        <v>128</v>
      </c>
      <c r="Y116" s="83">
        <v>45971.0</v>
      </c>
      <c r="Z116" s="83">
        <v>45966.0</v>
      </c>
    </row>
    <row r="117">
      <c r="A117" s="82" t="s">
        <v>826</v>
      </c>
      <c r="B117" s="82">
        <v>4235707.0</v>
      </c>
      <c r="C117" s="82" t="s">
        <v>827</v>
      </c>
      <c r="D117" s="83">
        <v>45975.0</v>
      </c>
      <c r="E117" s="82"/>
      <c r="F117" s="82"/>
      <c r="G117" s="84"/>
      <c r="H117" s="82"/>
      <c r="I117" s="83"/>
      <c r="J117" s="83"/>
      <c r="K117" s="83"/>
      <c r="L117" s="82"/>
      <c r="M117" s="83"/>
      <c r="N117" s="83"/>
      <c r="O117" s="83"/>
      <c r="P117" s="82">
        <v>544795.0</v>
      </c>
      <c r="Q117" s="82" t="s">
        <v>511</v>
      </c>
      <c r="R117" s="82">
        <v>148.75</v>
      </c>
      <c r="S117" s="82">
        <v>109.25</v>
      </c>
      <c r="T117" s="82" t="s">
        <v>828</v>
      </c>
      <c r="U117" s="82" t="s">
        <v>829</v>
      </c>
      <c r="V117" s="83"/>
      <c r="W117" s="82" t="s">
        <v>514</v>
      </c>
      <c r="X117" s="82" t="s">
        <v>128</v>
      </c>
      <c r="Y117" s="83">
        <v>45975.0</v>
      </c>
      <c r="Z117" s="83">
        <v>45975.0</v>
      </c>
    </row>
    <row r="118">
      <c r="A118" s="82" t="s">
        <v>830</v>
      </c>
      <c r="B118" s="82">
        <v>4117067.0</v>
      </c>
      <c r="C118" s="82" t="s">
        <v>831</v>
      </c>
      <c r="D118" s="83">
        <v>46122.0</v>
      </c>
      <c r="E118" s="82" t="s">
        <v>522</v>
      </c>
      <c r="F118" s="82"/>
      <c r="G118" s="82"/>
      <c r="H118" s="82" t="s">
        <v>138</v>
      </c>
      <c r="I118" s="83">
        <v>46202.0</v>
      </c>
      <c r="J118" s="83">
        <v>45992.0</v>
      </c>
      <c r="K118" s="83">
        <v>46200.0</v>
      </c>
      <c r="L118" s="82"/>
      <c r="M118" s="83"/>
      <c r="N118" s="83"/>
      <c r="O118" s="83"/>
      <c r="P118" s="82">
        <v>271032.0</v>
      </c>
      <c r="Q118" s="82" t="s">
        <v>557</v>
      </c>
      <c r="R118" s="82">
        <v>400.0</v>
      </c>
      <c r="S118" s="82">
        <v>400.0</v>
      </c>
      <c r="T118" s="82" t="s">
        <v>832</v>
      </c>
      <c r="U118" s="82" t="s">
        <v>833</v>
      </c>
      <c r="V118" s="83">
        <v>46200.0</v>
      </c>
      <c r="W118" s="82" t="s">
        <v>132</v>
      </c>
      <c r="X118" s="82" t="s">
        <v>128</v>
      </c>
      <c r="Y118" s="83">
        <v>45992.0</v>
      </c>
      <c r="Z118" s="83">
        <v>45831.0</v>
      </c>
    </row>
    <row r="119">
      <c r="A119" s="82" t="s">
        <v>834</v>
      </c>
      <c r="B119" s="82">
        <v>4307473.0</v>
      </c>
      <c r="C119" s="82" t="s">
        <v>835</v>
      </c>
      <c r="D119" s="83">
        <v>46196.0</v>
      </c>
      <c r="E119" s="82"/>
      <c r="F119" s="82" t="s">
        <v>537</v>
      </c>
      <c r="G119" s="82"/>
      <c r="H119" s="82"/>
      <c r="I119" s="83"/>
      <c r="J119" s="83"/>
      <c r="K119" s="83"/>
      <c r="L119" s="82" t="s">
        <v>138</v>
      </c>
      <c r="M119" s="83">
        <v>46017.0</v>
      </c>
      <c r="N119" s="83">
        <v>46203.0</v>
      </c>
      <c r="O119" s="83">
        <v>46021.0</v>
      </c>
      <c r="P119" s="82">
        <v>578459.0</v>
      </c>
      <c r="Q119" s="82" t="s">
        <v>511</v>
      </c>
      <c r="R119" s="82">
        <v>462.0</v>
      </c>
      <c r="S119" s="82">
        <v>462.0</v>
      </c>
      <c r="T119" s="82" t="s">
        <v>836</v>
      </c>
      <c r="U119" s="82" t="s">
        <v>837</v>
      </c>
      <c r="V119" s="83">
        <v>46184.0</v>
      </c>
      <c r="W119" s="82" t="s">
        <v>132</v>
      </c>
      <c r="X119" s="82" t="s">
        <v>128</v>
      </c>
      <c r="Y119" s="83">
        <v>46021.0</v>
      </c>
      <c r="Z119" s="83">
        <v>45841.0</v>
      </c>
    </row>
    <row r="120">
      <c r="A120" s="82" t="s">
        <v>838</v>
      </c>
      <c r="B120" s="82">
        <v>4068754.0</v>
      </c>
      <c r="C120" s="82" t="s">
        <v>839</v>
      </c>
      <c r="D120" s="83">
        <v>45980.0</v>
      </c>
      <c r="E120" s="82"/>
      <c r="F120" s="82"/>
      <c r="G120" s="82"/>
      <c r="H120" s="82"/>
      <c r="I120" s="83"/>
      <c r="J120" s="83"/>
      <c r="K120" s="83"/>
      <c r="L120" s="82"/>
      <c r="M120" s="83"/>
      <c r="N120" s="83"/>
      <c r="O120" s="83"/>
      <c r="P120" s="82">
        <v>691811.0</v>
      </c>
      <c r="Q120" s="82" t="s">
        <v>511</v>
      </c>
      <c r="R120" s="82">
        <v>41.41</v>
      </c>
      <c r="S120" s="82">
        <v>32.74</v>
      </c>
      <c r="T120" s="82" t="s">
        <v>840</v>
      </c>
      <c r="U120" s="82" t="s">
        <v>841</v>
      </c>
      <c r="V120" s="83"/>
      <c r="W120" s="82" t="s">
        <v>514</v>
      </c>
      <c r="X120" s="82" t="s">
        <v>128</v>
      </c>
      <c r="Y120" s="83">
        <v>46006.0</v>
      </c>
      <c r="Z120" s="83">
        <v>45852.0</v>
      </c>
    </row>
    <row r="121">
      <c r="A121" s="82" t="s">
        <v>842</v>
      </c>
      <c r="B121" s="82">
        <v>4099073.0</v>
      </c>
      <c r="C121" s="82" t="s">
        <v>843</v>
      </c>
      <c r="D121" s="83">
        <v>46196.0</v>
      </c>
      <c r="E121" s="82" t="s">
        <v>522</v>
      </c>
      <c r="F121" s="82"/>
      <c r="G121" s="82"/>
      <c r="H121" s="82" t="s">
        <v>138</v>
      </c>
      <c r="I121" s="83">
        <v>46199.0</v>
      </c>
      <c r="J121" s="83">
        <v>45931.0</v>
      </c>
      <c r="K121" s="83">
        <v>46198.0</v>
      </c>
      <c r="L121" s="82"/>
      <c r="M121" s="83"/>
      <c r="N121" s="83"/>
      <c r="O121" s="83"/>
      <c r="P121" s="82">
        <v>654788.0</v>
      </c>
      <c r="Q121" s="82" t="s">
        <v>523</v>
      </c>
      <c r="R121" s="82">
        <v>305.0</v>
      </c>
      <c r="S121" s="82">
        <v>206.2</v>
      </c>
      <c r="T121" s="82" t="s">
        <v>844</v>
      </c>
      <c r="U121" s="82" t="s">
        <v>845</v>
      </c>
      <c r="V121" s="83">
        <v>46198.0</v>
      </c>
      <c r="W121" s="82" t="s">
        <v>132</v>
      </c>
      <c r="X121" s="82" t="s">
        <v>128</v>
      </c>
      <c r="Y121" s="83">
        <v>45999.0</v>
      </c>
      <c r="Z121" s="83">
        <v>45870.0</v>
      </c>
    </row>
    <row r="122">
      <c r="A122" s="82" t="s">
        <v>846</v>
      </c>
      <c r="B122" s="82">
        <v>4134744.0</v>
      </c>
      <c r="C122" s="82" t="s">
        <v>847</v>
      </c>
      <c r="D122" s="83">
        <v>46028.0</v>
      </c>
      <c r="E122" s="82" t="s">
        <v>522</v>
      </c>
      <c r="F122" s="82" t="s">
        <v>781</v>
      </c>
      <c r="G122" s="82"/>
      <c r="H122" s="82" t="s">
        <v>138</v>
      </c>
      <c r="I122" s="83">
        <v>46351.0</v>
      </c>
      <c r="J122" s="83">
        <v>46008.0</v>
      </c>
      <c r="K122" s="83">
        <v>46199.0</v>
      </c>
      <c r="L122" s="82" t="s">
        <v>163</v>
      </c>
      <c r="M122" s="83">
        <v>46042.0</v>
      </c>
      <c r="N122" s="83"/>
      <c r="O122" s="83">
        <v>46048.0</v>
      </c>
      <c r="P122" s="82">
        <v>306196.0</v>
      </c>
      <c r="Q122" s="82" t="s">
        <v>557</v>
      </c>
      <c r="R122" s="82">
        <v>150.5</v>
      </c>
      <c r="S122" s="82">
        <v>131.0</v>
      </c>
      <c r="T122" s="82" t="s">
        <v>848</v>
      </c>
      <c r="U122" s="82" t="s">
        <v>849</v>
      </c>
      <c r="V122" s="83">
        <v>46199.0</v>
      </c>
      <c r="W122" s="82" t="s">
        <v>132</v>
      </c>
      <c r="X122" s="82" t="s">
        <v>128</v>
      </c>
      <c r="Y122" s="83">
        <v>46009.0</v>
      </c>
      <c r="Z122" s="83">
        <v>45896.0</v>
      </c>
    </row>
    <row r="123">
      <c r="A123" s="82" t="s">
        <v>850</v>
      </c>
      <c r="B123" s="82">
        <v>4263325.0</v>
      </c>
      <c r="C123" s="82" t="s">
        <v>851</v>
      </c>
      <c r="D123" s="83">
        <v>46160.0</v>
      </c>
      <c r="E123" s="82" t="s">
        <v>604</v>
      </c>
      <c r="F123" s="82"/>
      <c r="G123" s="82"/>
      <c r="H123" s="82" t="s">
        <v>138</v>
      </c>
      <c r="I123" s="83">
        <v>46195.0</v>
      </c>
      <c r="J123" s="83">
        <v>46009.0</v>
      </c>
      <c r="K123" s="83">
        <v>46198.0</v>
      </c>
      <c r="L123" s="82"/>
      <c r="M123" s="83"/>
      <c r="N123" s="83"/>
      <c r="O123" s="83"/>
      <c r="P123" s="82">
        <v>558207.0</v>
      </c>
      <c r="Q123" s="82" t="s">
        <v>557</v>
      </c>
      <c r="R123" s="82">
        <v>342.5</v>
      </c>
      <c r="S123" s="82">
        <v>423.9</v>
      </c>
      <c r="T123" s="82" t="s">
        <v>852</v>
      </c>
      <c r="U123" s="82" t="s">
        <v>853</v>
      </c>
      <c r="V123" s="83">
        <v>46198.0</v>
      </c>
      <c r="W123" s="82" t="s">
        <v>132</v>
      </c>
      <c r="X123" s="82" t="s">
        <v>128</v>
      </c>
      <c r="Y123" s="83">
        <v>46013.0</v>
      </c>
      <c r="Z123" s="83">
        <v>45961.0</v>
      </c>
    </row>
    <row r="124">
      <c r="A124" s="82" t="s">
        <v>854</v>
      </c>
      <c r="B124" s="82">
        <v>4255268.0</v>
      </c>
      <c r="C124" s="82" t="s">
        <v>855</v>
      </c>
      <c r="D124" s="83">
        <v>45986.0</v>
      </c>
      <c r="E124" s="82" t="s">
        <v>522</v>
      </c>
      <c r="F124" s="82"/>
      <c r="G124" s="82" t="s">
        <v>788</v>
      </c>
      <c r="H124" s="82" t="s">
        <v>131</v>
      </c>
      <c r="I124" s="83">
        <v>45987.0</v>
      </c>
      <c r="J124" s="83">
        <v>45993.0</v>
      </c>
      <c r="K124" s="83">
        <v>45993.0</v>
      </c>
      <c r="L124" s="82"/>
      <c r="M124" s="83"/>
      <c r="N124" s="83"/>
      <c r="O124" s="83"/>
      <c r="P124" s="82">
        <v>302836.0</v>
      </c>
      <c r="Q124" s="82"/>
      <c r="R124" s="82">
        <v>267.5</v>
      </c>
      <c r="S124" s="82">
        <v>168.5</v>
      </c>
      <c r="T124" s="82" t="s">
        <v>856</v>
      </c>
      <c r="U124" s="82" t="s">
        <v>857</v>
      </c>
      <c r="V124" s="83">
        <v>45993.0</v>
      </c>
      <c r="W124" s="82" t="s">
        <v>132</v>
      </c>
      <c r="X124" s="82" t="s">
        <v>128</v>
      </c>
      <c r="Y124" s="83">
        <v>45995.0</v>
      </c>
      <c r="Z124" s="83">
        <v>45973.0</v>
      </c>
    </row>
    <row r="125">
      <c r="A125" s="82" t="s">
        <v>858</v>
      </c>
      <c r="B125" s="82">
        <v>4233905.0</v>
      </c>
      <c r="C125" s="82" t="s">
        <v>859</v>
      </c>
      <c r="D125" s="83">
        <v>45999.0</v>
      </c>
      <c r="E125" s="82"/>
      <c r="F125" s="82" t="s">
        <v>537</v>
      </c>
      <c r="G125" s="82"/>
      <c r="H125" s="82"/>
      <c r="I125" s="83"/>
      <c r="J125" s="83"/>
      <c r="K125" s="83"/>
      <c r="L125" s="82" t="s">
        <v>138</v>
      </c>
      <c r="M125" s="83">
        <v>45993.0</v>
      </c>
      <c r="N125" s="83">
        <v>46202.0</v>
      </c>
      <c r="O125" s="83">
        <v>45996.0</v>
      </c>
      <c r="P125" s="82">
        <v>470017.0</v>
      </c>
      <c r="Q125" s="82" t="s">
        <v>511</v>
      </c>
      <c r="R125" s="82">
        <v>99.0</v>
      </c>
      <c r="S125" s="82">
        <v>34.9</v>
      </c>
      <c r="T125" s="82" t="s">
        <v>860</v>
      </c>
      <c r="U125" s="82" t="s">
        <v>861</v>
      </c>
      <c r="V125" s="83">
        <v>46199.0</v>
      </c>
      <c r="W125" s="82" t="s">
        <v>132</v>
      </c>
      <c r="X125" s="82" t="s">
        <v>128</v>
      </c>
      <c r="Y125" s="83">
        <v>45999.0</v>
      </c>
      <c r="Z125" s="83">
        <v>45974.0</v>
      </c>
    </row>
    <row r="126">
      <c r="A126" s="82" t="s">
        <v>862</v>
      </c>
      <c r="B126" s="82">
        <v>4239920.0</v>
      </c>
      <c r="C126" s="82" t="s">
        <v>863</v>
      </c>
      <c r="D126" s="83"/>
      <c r="E126" s="82" t="s">
        <v>522</v>
      </c>
      <c r="F126" s="82"/>
      <c r="G126" s="82"/>
      <c r="H126" s="82" t="s">
        <v>138</v>
      </c>
      <c r="I126" s="83">
        <v>46203.0</v>
      </c>
      <c r="J126" s="83">
        <v>46006.0</v>
      </c>
      <c r="K126" s="83">
        <v>46188.0</v>
      </c>
      <c r="L126" s="82"/>
      <c r="M126" s="83"/>
      <c r="N126" s="83"/>
      <c r="O126" s="83"/>
      <c r="P126" s="82">
        <v>562334.0</v>
      </c>
      <c r="Q126" s="82" t="s">
        <v>532</v>
      </c>
      <c r="R126" s="82">
        <v>25.0</v>
      </c>
      <c r="S126" s="82">
        <v>0.0</v>
      </c>
      <c r="T126" s="82" t="s">
        <v>864</v>
      </c>
      <c r="U126" s="82" t="s">
        <v>865</v>
      </c>
      <c r="V126" s="83">
        <v>46188.0</v>
      </c>
      <c r="W126" s="82" t="s">
        <v>132</v>
      </c>
      <c r="X126" s="82" t="s">
        <v>128</v>
      </c>
      <c r="Y126" s="83">
        <v>46007.0</v>
      </c>
      <c r="Z126" s="83">
        <v>45979.0</v>
      </c>
    </row>
    <row r="127">
      <c r="A127" s="82" t="s">
        <v>866</v>
      </c>
      <c r="B127" s="82">
        <v>4239966.0</v>
      </c>
      <c r="C127" s="82" t="s">
        <v>867</v>
      </c>
      <c r="D127" s="83"/>
      <c r="E127" s="82" t="s">
        <v>522</v>
      </c>
      <c r="F127" s="82"/>
      <c r="G127" s="82"/>
      <c r="H127" s="82" t="s">
        <v>138</v>
      </c>
      <c r="I127" s="83">
        <v>46198.0</v>
      </c>
      <c r="J127" s="83">
        <v>45992.0</v>
      </c>
      <c r="K127" s="83">
        <v>46175.0</v>
      </c>
      <c r="L127" s="82"/>
      <c r="M127" s="83"/>
      <c r="N127" s="83"/>
      <c r="O127" s="83"/>
      <c r="P127" s="82">
        <v>557105.0</v>
      </c>
      <c r="Q127" s="82" t="s">
        <v>557</v>
      </c>
      <c r="R127" s="82">
        <v>0.0</v>
      </c>
      <c r="S127" s="82">
        <v>0.0</v>
      </c>
      <c r="T127" s="82" t="s">
        <v>868</v>
      </c>
      <c r="U127" s="82" t="s">
        <v>869</v>
      </c>
      <c r="V127" s="83">
        <v>46175.0</v>
      </c>
      <c r="W127" s="82" t="s">
        <v>132</v>
      </c>
      <c r="X127" s="82" t="s">
        <v>128</v>
      </c>
      <c r="Y127" s="83">
        <v>45995.0</v>
      </c>
      <c r="Z127" s="83">
        <v>45979.0</v>
      </c>
    </row>
    <row r="128">
      <c r="A128" s="82" t="s">
        <v>870</v>
      </c>
      <c r="B128" s="82">
        <v>4239924.0</v>
      </c>
      <c r="C128" s="82" t="s">
        <v>871</v>
      </c>
      <c r="D128" s="83"/>
      <c r="E128" s="82" t="s">
        <v>522</v>
      </c>
      <c r="F128" s="82"/>
      <c r="G128" s="84"/>
      <c r="H128" s="82" t="s">
        <v>138</v>
      </c>
      <c r="I128" s="83">
        <v>46198.0</v>
      </c>
      <c r="J128" s="83">
        <v>45992.0</v>
      </c>
      <c r="K128" s="83">
        <v>46199.0</v>
      </c>
      <c r="L128" s="82"/>
      <c r="M128" s="83"/>
      <c r="N128" s="83"/>
      <c r="O128" s="83"/>
      <c r="P128" s="82">
        <v>557104.0</v>
      </c>
      <c r="Q128" s="82" t="s">
        <v>557</v>
      </c>
      <c r="R128" s="82">
        <v>0.0</v>
      </c>
      <c r="S128" s="82">
        <v>0.0</v>
      </c>
      <c r="T128" s="82" t="s">
        <v>872</v>
      </c>
      <c r="U128" s="82" t="s">
        <v>873</v>
      </c>
      <c r="V128" s="83">
        <v>46199.0</v>
      </c>
      <c r="W128" s="82" t="s">
        <v>132</v>
      </c>
      <c r="X128" s="82" t="s">
        <v>128</v>
      </c>
      <c r="Y128" s="83">
        <v>45995.0</v>
      </c>
      <c r="Z128" s="83">
        <v>45979.0</v>
      </c>
    </row>
    <row r="129">
      <c r="A129" s="82" t="s">
        <v>874</v>
      </c>
      <c r="B129" s="82">
        <v>4239927.0</v>
      </c>
      <c r="C129" s="82" t="s">
        <v>875</v>
      </c>
      <c r="D129" s="83"/>
      <c r="E129" s="82" t="s">
        <v>522</v>
      </c>
      <c r="F129" s="82"/>
      <c r="G129" s="82"/>
      <c r="H129" s="82" t="s">
        <v>138</v>
      </c>
      <c r="I129" s="83">
        <v>46198.0</v>
      </c>
      <c r="J129" s="83">
        <v>45992.0</v>
      </c>
      <c r="K129" s="83">
        <v>46175.0</v>
      </c>
      <c r="L129" s="82"/>
      <c r="M129" s="83"/>
      <c r="N129" s="83"/>
      <c r="O129" s="83"/>
      <c r="P129" s="82">
        <v>557090.0</v>
      </c>
      <c r="Q129" s="82" t="s">
        <v>557</v>
      </c>
      <c r="R129" s="82">
        <v>50.0</v>
      </c>
      <c r="S129" s="82">
        <v>50.0</v>
      </c>
      <c r="T129" s="82" t="s">
        <v>876</v>
      </c>
      <c r="U129" s="82" t="s">
        <v>877</v>
      </c>
      <c r="V129" s="83">
        <v>46175.0</v>
      </c>
      <c r="W129" s="82" t="s">
        <v>132</v>
      </c>
      <c r="X129" s="82" t="s">
        <v>128</v>
      </c>
      <c r="Y129" s="83">
        <v>45999.0</v>
      </c>
      <c r="Z129" s="83">
        <v>45979.0</v>
      </c>
    </row>
    <row r="130">
      <c r="A130" s="82" t="s">
        <v>878</v>
      </c>
      <c r="B130" s="82">
        <v>4266723.0</v>
      </c>
      <c r="C130" s="82" t="s">
        <v>879</v>
      </c>
      <c r="D130" s="83">
        <v>46197.0</v>
      </c>
      <c r="E130" s="82"/>
      <c r="F130" s="82" t="s">
        <v>537</v>
      </c>
      <c r="G130" s="82"/>
      <c r="H130" s="82"/>
      <c r="I130" s="83"/>
      <c r="J130" s="83"/>
      <c r="K130" s="83"/>
      <c r="L130" s="82" t="s">
        <v>138</v>
      </c>
      <c r="M130" s="83">
        <v>46000.0</v>
      </c>
      <c r="N130" s="83"/>
      <c r="O130" s="83">
        <v>46003.0</v>
      </c>
      <c r="P130" s="82">
        <v>560654.0</v>
      </c>
      <c r="Q130" s="82" t="s">
        <v>532</v>
      </c>
      <c r="R130" s="82">
        <v>540.0</v>
      </c>
      <c r="S130" s="82">
        <v>534.56</v>
      </c>
      <c r="T130" s="82" t="s">
        <v>880</v>
      </c>
      <c r="U130" s="82" t="s">
        <v>881</v>
      </c>
      <c r="V130" s="83">
        <v>46196.0</v>
      </c>
      <c r="W130" s="82" t="s">
        <v>132</v>
      </c>
      <c r="X130" s="82" t="s">
        <v>128</v>
      </c>
      <c r="Y130" s="83">
        <v>46008.0</v>
      </c>
      <c r="Z130" s="83">
        <v>45987.0</v>
      </c>
    </row>
    <row r="131">
      <c r="A131" s="82" t="s">
        <v>882</v>
      </c>
      <c r="B131" s="82">
        <v>4254984.0</v>
      </c>
      <c r="C131" s="82" t="s">
        <v>883</v>
      </c>
      <c r="D131" s="83"/>
      <c r="E131" s="82" t="s">
        <v>522</v>
      </c>
      <c r="F131" s="82"/>
      <c r="G131" s="84"/>
      <c r="H131" s="82" t="s">
        <v>138</v>
      </c>
      <c r="I131" s="83">
        <v>46196.0</v>
      </c>
      <c r="J131" s="83">
        <v>46002.0</v>
      </c>
      <c r="K131" s="83">
        <v>46198.0</v>
      </c>
      <c r="L131" s="82"/>
      <c r="M131" s="83"/>
      <c r="N131" s="83"/>
      <c r="O131" s="83"/>
      <c r="P131" s="82">
        <v>557115.0</v>
      </c>
      <c r="Q131" s="82" t="s">
        <v>557</v>
      </c>
      <c r="R131" s="82">
        <v>25.0</v>
      </c>
      <c r="S131" s="82">
        <v>25.0</v>
      </c>
      <c r="T131" s="82" t="s">
        <v>884</v>
      </c>
      <c r="U131" s="82" t="s">
        <v>885</v>
      </c>
      <c r="V131" s="83">
        <v>46198.0</v>
      </c>
      <c r="W131" s="82" t="s">
        <v>132</v>
      </c>
      <c r="X131" s="82" t="s">
        <v>128</v>
      </c>
      <c r="Y131" s="83">
        <v>46007.0</v>
      </c>
      <c r="Z131" s="83">
        <v>45992.0</v>
      </c>
    </row>
    <row r="132">
      <c r="A132" s="82" t="s">
        <v>886</v>
      </c>
      <c r="B132" s="82">
        <v>4239923.0</v>
      </c>
      <c r="C132" s="82" t="s">
        <v>887</v>
      </c>
      <c r="D132" s="83"/>
      <c r="E132" s="82" t="s">
        <v>522</v>
      </c>
      <c r="F132" s="82"/>
      <c r="G132" s="82"/>
      <c r="H132" s="82" t="s">
        <v>138</v>
      </c>
      <c r="I132" s="83">
        <v>46198.0</v>
      </c>
      <c r="J132" s="83">
        <v>45992.0</v>
      </c>
      <c r="K132" s="83">
        <v>46184.0</v>
      </c>
      <c r="L132" s="82"/>
      <c r="M132" s="83"/>
      <c r="N132" s="83"/>
      <c r="O132" s="83"/>
      <c r="P132" s="82">
        <v>566119.0</v>
      </c>
      <c r="Q132" s="82" t="s">
        <v>557</v>
      </c>
      <c r="R132" s="82">
        <v>0.0</v>
      </c>
      <c r="S132" s="82">
        <v>25.0</v>
      </c>
      <c r="T132" s="82" t="s">
        <v>888</v>
      </c>
      <c r="U132" s="82" t="s">
        <v>889</v>
      </c>
      <c r="V132" s="83">
        <v>46184.0</v>
      </c>
      <c r="W132" s="82" t="s">
        <v>132</v>
      </c>
      <c r="X132" s="82" t="s">
        <v>128</v>
      </c>
      <c r="Y132" s="83">
        <v>45999.0</v>
      </c>
      <c r="Z132" s="83">
        <v>45992.0</v>
      </c>
    </row>
    <row r="133">
      <c r="A133" s="82" t="s">
        <v>890</v>
      </c>
      <c r="B133" s="82">
        <v>4294933.0</v>
      </c>
      <c r="C133" s="82" t="s">
        <v>891</v>
      </c>
      <c r="D133" s="83">
        <v>46155.0</v>
      </c>
      <c r="E133" s="82" t="s">
        <v>522</v>
      </c>
      <c r="F133" s="82" t="s">
        <v>781</v>
      </c>
      <c r="G133" s="84"/>
      <c r="H133" s="82" t="s">
        <v>131</v>
      </c>
      <c r="I133" s="83">
        <v>46059.0</v>
      </c>
      <c r="J133" s="83">
        <v>46059.0</v>
      </c>
      <c r="K133" s="83">
        <v>46059.0</v>
      </c>
      <c r="L133" s="82" t="s">
        <v>163</v>
      </c>
      <c r="M133" s="83">
        <v>46010.0</v>
      </c>
      <c r="N133" s="83"/>
      <c r="O133" s="83">
        <v>46015.0</v>
      </c>
      <c r="P133" s="82">
        <v>691288.0</v>
      </c>
      <c r="Q133" s="82" t="s">
        <v>523</v>
      </c>
      <c r="R133" s="82">
        <v>131.5</v>
      </c>
      <c r="S133" s="82">
        <v>137.54</v>
      </c>
      <c r="T133" s="82" t="s">
        <v>892</v>
      </c>
      <c r="U133" s="82" t="s">
        <v>893</v>
      </c>
      <c r="V133" s="83">
        <v>46142.0</v>
      </c>
      <c r="W133" s="82" t="s">
        <v>132</v>
      </c>
      <c r="X133" s="82" t="s">
        <v>128</v>
      </c>
      <c r="Y133" s="83">
        <v>46017.0</v>
      </c>
      <c r="Z133" s="83">
        <v>45992.0</v>
      </c>
    </row>
    <row r="134">
      <c r="A134" s="82" t="s">
        <v>894</v>
      </c>
      <c r="B134" s="82">
        <v>4220322.0</v>
      </c>
      <c r="C134" s="82" t="s">
        <v>895</v>
      </c>
      <c r="D134" s="83">
        <v>45999.0</v>
      </c>
      <c r="E134" s="82"/>
      <c r="F134" s="82"/>
      <c r="G134" s="82"/>
      <c r="H134" s="82"/>
      <c r="I134" s="83"/>
      <c r="J134" s="83"/>
      <c r="K134" s="83"/>
      <c r="L134" s="82"/>
      <c r="M134" s="83"/>
      <c r="N134" s="83"/>
      <c r="O134" s="83"/>
      <c r="P134" s="82">
        <v>530621.0</v>
      </c>
      <c r="Q134" s="82" t="s">
        <v>511</v>
      </c>
      <c r="R134" s="82">
        <v>66.0</v>
      </c>
      <c r="S134" s="82">
        <v>141.0</v>
      </c>
      <c r="T134" s="82" t="s">
        <v>896</v>
      </c>
      <c r="U134" s="82" t="s">
        <v>897</v>
      </c>
      <c r="V134" s="83"/>
      <c r="W134" s="82" t="s">
        <v>514</v>
      </c>
      <c r="X134" s="82" t="s">
        <v>128</v>
      </c>
      <c r="Y134" s="83">
        <v>46001.0</v>
      </c>
      <c r="Z134" s="83">
        <v>45999.0</v>
      </c>
    </row>
    <row r="135">
      <c r="A135" s="82" t="s">
        <v>898</v>
      </c>
      <c r="B135" s="82">
        <v>3869676.0</v>
      </c>
      <c r="C135" s="82" t="s">
        <v>899</v>
      </c>
      <c r="D135" s="83">
        <v>46008.0</v>
      </c>
      <c r="E135" s="82" t="s">
        <v>546</v>
      </c>
      <c r="F135" s="82"/>
      <c r="G135" s="82" t="s">
        <v>548</v>
      </c>
      <c r="H135" s="82" t="s">
        <v>131</v>
      </c>
      <c r="I135" s="83">
        <v>46007.0</v>
      </c>
      <c r="J135" s="83">
        <v>46007.0</v>
      </c>
      <c r="K135" s="83">
        <v>46007.0</v>
      </c>
      <c r="L135" s="82"/>
      <c r="M135" s="83"/>
      <c r="N135" s="83"/>
      <c r="O135" s="83"/>
      <c r="P135" s="82">
        <v>405164.0</v>
      </c>
      <c r="Q135" s="82" t="s">
        <v>511</v>
      </c>
      <c r="R135" s="82">
        <v>60.0</v>
      </c>
      <c r="S135" s="82">
        <v>125.0</v>
      </c>
      <c r="T135" s="82" t="s">
        <v>900</v>
      </c>
      <c r="U135" s="82" t="s">
        <v>901</v>
      </c>
      <c r="V135" s="83">
        <v>46007.0</v>
      </c>
      <c r="W135" s="82" t="s">
        <v>132</v>
      </c>
      <c r="X135" s="82" t="s">
        <v>128</v>
      </c>
      <c r="Y135" s="83">
        <v>46013.0</v>
      </c>
      <c r="Z135" s="83">
        <v>46000.0</v>
      </c>
    </row>
    <row r="136">
      <c r="A136" s="82" t="s">
        <v>902</v>
      </c>
      <c r="B136" s="82">
        <v>4277302.0</v>
      </c>
      <c r="C136" s="82" t="s">
        <v>903</v>
      </c>
      <c r="D136" s="83"/>
      <c r="E136" s="82" t="s">
        <v>522</v>
      </c>
      <c r="F136" s="82"/>
      <c r="G136" s="84"/>
      <c r="H136" s="82" t="s">
        <v>131</v>
      </c>
      <c r="I136" s="83">
        <v>46007.0</v>
      </c>
      <c r="J136" s="83">
        <v>46010.0</v>
      </c>
      <c r="K136" s="83">
        <v>46010.0</v>
      </c>
      <c r="L136" s="82"/>
      <c r="M136" s="83"/>
      <c r="N136" s="83"/>
      <c r="O136" s="83"/>
      <c r="P136" s="82">
        <v>388704.0</v>
      </c>
      <c r="Q136" s="82" t="s">
        <v>511</v>
      </c>
      <c r="R136" s="82">
        <v>0.0</v>
      </c>
      <c r="S136" s="82">
        <v>25.0</v>
      </c>
      <c r="T136" s="82" t="s">
        <v>904</v>
      </c>
      <c r="U136" s="82" t="s">
        <v>905</v>
      </c>
      <c r="V136" s="83">
        <v>46010.0</v>
      </c>
      <c r="W136" s="82" t="s">
        <v>132</v>
      </c>
      <c r="X136" s="82" t="s">
        <v>128</v>
      </c>
      <c r="Y136" s="83">
        <v>46013.0</v>
      </c>
      <c r="Z136" s="83">
        <v>46006.0</v>
      </c>
    </row>
    <row r="137">
      <c r="A137" s="82" t="s">
        <v>906</v>
      </c>
      <c r="B137" s="82">
        <v>4277306.0</v>
      </c>
      <c r="C137" s="82" t="s">
        <v>907</v>
      </c>
      <c r="D137" s="83"/>
      <c r="E137" s="82" t="s">
        <v>522</v>
      </c>
      <c r="F137" s="82"/>
      <c r="G137" s="84"/>
      <c r="H137" s="82" t="s">
        <v>131</v>
      </c>
      <c r="I137" s="83">
        <v>46006.0</v>
      </c>
      <c r="J137" s="83">
        <v>46009.0</v>
      </c>
      <c r="K137" s="83">
        <v>46009.0</v>
      </c>
      <c r="L137" s="82"/>
      <c r="M137" s="83"/>
      <c r="N137" s="83"/>
      <c r="O137" s="83"/>
      <c r="P137" s="82">
        <v>516060.0</v>
      </c>
      <c r="Q137" s="82" t="s">
        <v>511</v>
      </c>
      <c r="R137" s="82">
        <v>25.0</v>
      </c>
      <c r="S137" s="82">
        <v>0.0</v>
      </c>
      <c r="T137" s="82" t="s">
        <v>908</v>
      </c>
      <c r="U137" s="82" t="s">
        <v>909</v>
      </c>
      <c r="V137" s="83">
        <v>46009.0</v>
      </c>
      <c r="W137" s="82" t="s">
        <v>132</v>
      </c>
      <c r="X137" s="82" t="s">
        <v>128</v>
      </c>
      <c r="Y137" s="83">
        <v>46013.0</v>
      </c>
      <c r="Z137" s="83">
        <v>46006.0</v>
      </c>
    </row>
    <row r="138">
      <c r="A138" s="82" t="s">
        <v>910</v>
      </c>
      <c r="B138" s="82">
        <v>4301071.0</v>
      </c>
      <c r="C138" s="82" t="s">
        <v>911</v>
      </c>
      <c r="D138" s="83"/>
      <c r="E138" s="82" t="s">
        <v>522</v>
      </c>
      <c r="F138" s="82" t="s">
        <v>537</v>
      </c>
      <c r="G138" s="84"/>
      <c r="H138" s="82"/>
      <c r="I138" s="83"/>
      <c r="J138" s="83"/>
      <c r="K138" s="83"/>
      <c r="L138" s="82" t="s">
        <v>138</v>
      </c>
      <c r="M138" s="83">
        <v>46017.0</v>
      </c>
      <c r="N138" s="84"/>
      <c r="O138" s="83">
        <v>46022.0</v>
      </c>
      <c r="P138" s="82">
        <v>603256.0</v>
      </c>
      <c r="Q138" s="82" t="s">
        <v>532</v>
      </c>
      <c r="R138" s="82">
        <v>82.97</v>
      </c>
      <c r="S138" s="82">
        <v>25.3</v>
      </c>
      <c r="T138" s="82" t="s">
        <v>912</v>
      </c>
      <c r="U138" s="82" t="s">
        <v>913</v>
      </c>
      <c r="V138" s="83">
        <v>46195.0</v>
      </c>
      <c r="W138" s="82" t="s">
        <v>132</v>
      </c>
      <c r="X138" s="82" t="s">
        <v>128</v>
      </c>
      <c r="Y138" s="83">
        <v>46022.0</v>
      </c>
      <c r="Z138" s="83">
        <v>46014.0</v>
      </c>
    </row>
    <row r="139">
      <c r="A139" s="82" t="s">
        <v>914</v>
      </c>
      <c r="B139" s="82">
        <v>4069142.0</v>
      </c>
      <c r="C139" s="82" t="s">
        <v>915</v>
      </c>
      <c r="D139" s="83">
        <v>46006.0</v>
      </c>
      <c r="E139" s="82"/>
      <c r="F139" s="82"/>
      <c r="G139" s="82"/>
      <c r="H139" s="82"/>
      <c r="I139" s="83">
        <v>45890.0</v>
      </c>
      <c r="J139" s="83"/>
      <c r="K139" s="83"/>
      <c r="L139" s="82"/>
      <c r="M139" s="83"/>
      <c r="N139" s="83"/>
      <c r="O139" s="83"/>
      <c r="P139" s="82">
        <v>531312.0</v>
      </c>
      <c r="Q139" s="82" t="s">
        <v>511</v>
      </c>
      <c r="R139" s="82">
        <v>80.0</v>
      </c>
      <c r="S139" s="82">
        <v>200.0</v>
      </c>
      <c r="T139" s="82" t="s">
        <v>916</v>
      </c>
      <c r="U139" s="82" t="s">
        <v>917</v>
      </c>
      <c r="V139" s="83"/>
      <c r="W139" s="82" t="s">
        <v>514</v>
      </c>
      <c r="X139" s="82" t="s">
        <v>128</v>
      </c>
      <c r="Y139" s="83">
        <v>46031.0</v>
      </c>
      <c r="Z139" s="83">
        <v>45880.0</v>
      </c>
    </row>
    <row r="140">
      <c r="A140" s="82" t="s">
        <v>918</v>
      </c>
      <c r="B140" s="82">
        <v>4096547.0</v>
      </c>
      <c r="C140" s="82" t="s">
        <v>919</v>
      </c>
      <c r="D140" s="83">
        <v>45993.0</v>
      </c>
      <c r="E140" s="82"/>
      <c r="F140" s="82" t="s">
        <v>537</v>
      </c>
      <c r="G140" s="84"/>
      <c r="H140" s="82"/>
      <c r="I140" s="83"/>
      <c r="J140" s="83"/>
      <c r="K140" s="83"/>
      <c r="L140" s="82" t="s">
        <v>131</v>
      </c>
      <c r="M140" s="83">
        <v>46029.0</v>
      </c>
      <c r="N140" s="83"/>
      <c r="O140" s="83">
        <v>46029.0</v>
      </c>
      <c r="P140" s="82">
        <v>260257.0</v>
      </c>
      <c r="Q140" s="82" t="s">
        <v>532</v>
      </c>
      <c r="R140" s="82">
        <v>124.0</v>
      </c>
      <c r="S140" s="82">
        <v>134.0</v>
      </c>
      <c r="T140" s="82" t="s">
        <v>920</v>
      </c>
      <c r="U140" s="82" t="s">
        <v>921</v>
      </c>
      <c r="V140" s="83">
        <v>46139.0</v>
      </c>
      <c r="W140" s="82" t="s">
        <v>132</v>
      </c>
      <c r="X140" s="82" t="s">
        <v>128</v>
      </c>
      <c r="Y140" s="83">
        <v>46030.0</v>
      </c>
      <c r="Z140" s="83">
        <v>45924.0</v>
      </c>
    </row>
    <row r="141">
      <c r="A141" s="82" t="s">
        <v>922</v>
      </c>
      <c r="B141" s="82">
        <v>4176631.0</v>
      </c>
      <c r="C141" s="82" t="s">
        <v>923</v>
      </c>
      <c r="D141" s="83">
        <v>46024.0</v>
      </c>
      <c r="E141" s="82"/>
      <c r="F141" s="82"/>
      <c r="G141" s="84"/>
      <c r="H141" s="82"/>
      <c r="I141" s="83"/>
      <c r="J141" s="83"/>
      <c r="K141" s="83"/>
      <c r="L141" s="82"/>
      <c r="M141" s="83"/>
      <c r="N141" s="83"/>
      <c r="O141" s="83"/>
      <c r="P141" s="82">
        <v>425482.0</v>
      </c>
      <c r="Q141" s="82" t="s">
        <v>511</v>
      </c>
      <c r="R141" s="82">
        <v>405.0</v>
      </c>
      <c r="S141" s="82">
        <v>415.0</v>
      </c>
      <c r="T141" s="82" t="s">
        <v>924</v>
      </c>
      <c r="U141" s="82" t="s">
        <v>925</v>
      </c>
      <c r="V141" s="83"/>
      <c r="W141" s="82" t="s">
        <v>514</v>
      </c>
      <c r="X141" s="82" t="s">
        <v>128</v>
      </c>
      <c r="Y141" s="83">
        <v>46031.0</v>
      </c>
      <c r="Z141" s="83">
        <v>45929.0</v>
      </c>
    </row>
    <row r="142">
      <c r="A142" s="82" t="s">
        <v>926</v>
      </c>
      <c r="B142" s="82">
        <v>3265302.0</v>
      </c>
      <c r="C142" s="82" t="s">
        <v>927</v>
      </c>
      <c r="D142" s="83">
        <v>46029.0</v>
      </c>
      <c r="E142" s="82" t="s">
        <v>604</v>
      </c>
      <c r="F142" s="82"/>
      <c r="G142" s="84"/>
      <c r="H142" s="82" t="s">
        <v>131</v>
      </c>
      <c r="I142" s="83">
        <v>45593.0</v>
      </c>
      <c r="J142" s="83">
        <v>45357.0</v>
      </c>
      <c r="K142" s="83">
        <v>45596.0</v>
      </c>
      <c r="L142" s="82"/>
      <c r="M142" s="83"/>
      <c r="N142" s="83"/>
      <c r="O142" s="83"/>
      <c r="P142" s="82">
        <v>535989.0</v>
      </c>
      <c r="Q142" s="82" t="s">
        <v>511</v>
      </c>
      <c r="R142" s="82">
        <v>210.25</v>
      </c>
      <c r="S142" s="82">
        <v>111.45</v>
      </c>
      <c r="T142" s="82" t="s">
        <v>928</v>
      </c>
      <c r="U142" s="82" t="s">
        <v>929</v>
      </c>
      <c r="V142" s="83">
        <v>45596.0</v>
      </c>
      <c r="W142" s="82" t="s">
        <v>514</v>
      </c>
      <c r="X142" s="82" t="s">
        <v>128</v>
      </c>
      <c r="Y142" s="83">
        <v>46031.0</v>
      </c>
      <c r="Z142" s="83">
        <v>45936.0</v>
      </c>
    </row>
    <row r="143">
      <c r="A143" s="82" t="s">
        <v>355</v>
      </c>
      <c r="B143" s="82">
        <v>4140778.0</v>
      </c>
      <c r="C143" s="82" t="s">
        <v>356</v>
      </c>
      <c r="D143" s="83"/>
      <c r="E143" s="82"/>
      <c r="F143" s="82"/>
      <c r="G143" s="84"/>
      <c r="H143" s="82"/>
      <c r="I143" s="83"/>
      <c r="J143" s="83"/>
      <c r="K143" s="83"/>
      <c r="L143" s="82"/>
      <c r="M143" s="83"/>
      <c r="N143" s="83"/>
      <c r="O143" s="83"/>
      <c r="P143" s="82">
        <v>536099.0</v>
      </c>
      <c r="Q143" s="82" t="s">
        <v>511</v>
      </c>
      <c r="R143" s="82">
        <v>50.0</v>
      </c>
      <c r="S143" s="82">
        <v>100.0</v>
      </c>
      <c r="T143" s="82" t="s">
        <v>353</v>
      </c>
      <c r="U143" s="82" t="s">
        <v>354</v>
      </c>
      <c r="V143" s="83"/>
      <c r="W143" s="82" t="s">
        <v>514</v>
      </c>
      <c r="X143" s="82" t="s">
        <v>128</v>
      </c>
      <c r="Y143" s="83">
        <v>46029.0</v>
      </c>
      <c r="Z143" s="83">
        <v>45960.0</v>
      </c>
    </row>
    <row r="144">
      <c r="A144" s="82" t="s">
        <v>930</v>
      </c>
      <c r="B144" s="82">
        <v>4140768.0</v>
      </c>
      <c r="C144" s="82" t="s">
        <v>931</v>
      </c>
      <c r="D144" s="83"/>
      <c r="E144" s="82"/>
      <c r="F144" s="82"/>
      <c r="G144" s="84"/>
      <c r="H144" s="82"/>
      <c r="I144" s="83">
        <v>45933.0</v>
      </c>
      <c r="J144" s="83"/>
      <c r="K144" s="83"/>
      <c r="L144" s="82"/>
      <c r="M144" s="83"/>
      <c r="N144" s="84"/>
      <c r="O144" s="83"/>
      <c r="P144" s="82">
        <v>273035.0</v>
      </c>
      <c r="Q144" s="82" t="s">
        <v>523</v>
      </c>
      <c r="R144" s="82">
        <v>55.0</v>
      </c>
      <c r="S144" s="82">
        <v>35.0</v>
      </c>
      <c r="T144" s="82" t="s">
        <v>932</v>
      </c>
      <c r="U144" s="82" t="s">
        <v>933</v>
      </c>
      <c r="V144" s="83"/>
      <c r="W144" s="82" t="s">
        <v>514</v>
      </c>
      <c r="X144" s="82" t="s">
        <v>128</v>
      </c>
      <c r="Y144" s="83">
        <v>46029.0</v>
      </c>
      <c r="Z144" s="83">
        <v>45960.0</v>
      </c>
    </row>
    <row r="145">
      <c r="A145" s="82" t="s">
        <v>934</v>
      </c>
      <c r="B145" s="82">
        <v>4140709.0</v>
      </c>
      <c r="C145" s="82" t="s">
        <v>935</v>
      </c>
      <c r="D145" s="83"/>
      <c r="E145" s="82"/>
      <c r="F145" s="82"/>
      <c r="G145" s="84"/>
      <c r="H145" s="82"/>
      <c r="I145" s="83"/>
      <c r="J145" s="83"/>
      <c r="K145" s="83"/>
      <c r="L145" s="82"/>
      <c r="M145" s="83"/>
      <c r="N145" s="84"/>
      <c r="O145" s="83"/>
      <c r="P145" s="82">
        <v>273033.0</v>
      </c>
      <c r="Q145" s="82" t="s">
        <v>532</v>
      </c>
      <c r="R145" s="82">
        <v>50.0</v>
      </c>
      <c r="S145" s="82">
        <v>35.0</v>
      </c>
      <c r="T145" s="82" t="s">
        <v>936</v>
      </c>
      <c r="U145" s="82" t="s">
        <v>937</v>
      </c>
      <c r="V145" s="83"/>
      <c r="W145" s="82" t="s">
        <v>514</v>
      </c>
      <c r="X145" s="82" t="s">
        <v>128</v>
      </c>
      <c r="Y145" s="83">
        <v>46029.0</v>
      </c>
      <c r="Z145" s="83">
        <v>45960.0</v>
      </c>
    </row>
    <row r="146">
      <c r="A146" s="82" t="s">
        <v>938</v>
      </c>
      <c r="B146" s="82">
        <v>4140775.0</v>
      </c>
      <c r="C146" s="82" t="s">
        <v>939</v>
      </c>
      <c r="D146" s="83"/>
      <c r="E146" s="82"/>
      <c r="F146" s="82"/>
      <c r="G146" s="84"/>
      <c r="H146" s="82"/>
      <c r="I146" s="83"/>
      <c r="J146" s="83"/>
      <c r="K146" s="83"/>
      <c r="L146" s="82"/>
      <c r="M146" s="83"/>
      <c r="N146" s="84"/>
      <c r="O146" s="83"/>
      <c r="P146" s="82">
        <v>273034.0</v>
      </c>
      <c r="Q146" s="82" t="s">
        <v>557</v>
      </c>
      <c r="R146" s="82">
        <v>80.0</v>
      </c>
      <c r="S146" s="82">
        <v>10.0</v>
      </c>
      <c r="T146" s="82" t="s">
        <v>940</v>
      </c>
      <c r="U146" s="82" t="s">
        <v>941</v>
      </c>
      <c r="V146" s="83"/>
      <c r="W146" s="82" t="s">
        <v>514</v>
      </c>
      <c r="X146" s="82" t="s">
        <v>128</v>
      </c>
      <c r="Y146" s="83">
        <v>46029.0</v>
      </c>
      <c r="Z146" s="83">
        <v>45960.0</v>
      </c>
    </row>
    <row r="147">
      <c r="A147" s="82" t="s">
        <v>942</v>
      </c>
      <c r="B147" s="82">
        <v>4136517.0</v>
      </c>
      <c r="C147" s="82" t="s">
        <v>943</v>
      </c>
      <c r="D147" s="83">
        <v>46002.0</v>
      </c>
      <c r="E147" s="82"/>
      <c r="F147" s="82"/>
      <c r="G147" s="82"/>
      <c r="H147" s="82"/>
      <c r="I147" s="83">
        <v>45951.0</v>
      </c>
      <c r="J147" s="83"/>
      <c r="K147" s="83"/>
      <c r="L147" s="82"/>
      <c r="M147" s="83"/>
      <c r="N147" s="83"/>
      <c r="O147" s="83"/>
      <c r="P147" s="82">
        <v>701624.0</v>
      </c>
      <c r="Q147" s="82" t="s">
        <v>511</v>
      </c>
      <c r="R147" s="82">
        <v>80.0</v>
      </c>
      <c r="S147" s="82">
        <v>10.0</v>
      </c>
      <c r="T147" s="82" t="s">
        <v>944</v>
      </c>
      <c r="U147" s="82" t="s">
        <v>945</v>
      </c>
      <c r="V147" s="83"/>
      <c r="W147" s="82" t="s">
        <v>514</v>
      </c>
      <c r="X147" s="82" t="s">
        <v>128</v>
      </c>
      <c r="Y147" s="83">
        <v>46029.0</v>
      </c>
      <c r="Z147" s="83">
        <v>45960.0</v>
      </c>
    </row>
    <row r="148">
      <c r="A148" s="82" t="s">
        <v>946</v>
      </c>
      <c r="B148" s="82">
        <v>3090633.0</v>
      </c>
      <c r="C148" s="82" t="s">
        <v>947</v>
      </c>
      <c r="D148" s="83">
        <v>45999.0</v>
      </c>
      <c r="E148" s="82"/>
      <c r="F148" s="82"/>
      <c r="G148" s="82"/>
      <c r="H148" s="82" t="s">
        <v>163</v>
      </c>
      <c r="I148" s="83">
        <v>46161.0</v>
      </c>
      <c r="J148" s="83">
        <v>45490.0</v>
      </c>
      <c r="K148" s="83">
        <v>46164.0</v>
      </c>
      <c r="L148" s="82"/>
      <c r="M148" s="83"/>
      <c r="N148" s="83"/>
      <c r="O148" s="83"/>
      <c r="P148" s="82">
        <v>355204.0</v>
      </c>
      <c r="Q148" s="82" t="s">
        <v>511</v>
      </c>
      <c r="R148" s="82">
        <v>124.0</v>
      </c>
      <c r="S148" s="82">
        <v>144.0</v>
      </c>
      <c r="T148" s="82" t="s">
        <v>948</v>
      </c>
      <c r="U148" s="82" t="s">
        <v>949</v>
      </c>
      <c r="V148" s="83">
        <v>46164.0</v>
      </c>
      <c r="W148" s="82" t="s">
        <v>514</v>
      </c>
      <c r="X148" s="82" t="s">
        <v>128</v>
      </c>
      <c r="Y148" s="83">
        <v>46051.0</v>
      </c>
      <c r="Z148" s="83">
        <v>45961.0</v>
      </c>
    </row>
    <row r="149">
      <c r="A149" s="82" t="s">
        <v>950</v>
      </c>
      <c r="B149" s="82">
        <v>4287245.0</v>
      </c>
      <c r="C149" s="82" t="s">
        <v>951</v>
      </c>
      <c r="D149" s="83">
        <v>46034.0</v>
      </c>
      <c r="E149" s="82" t="s">
        <v>522</v>
      </c>
      <c r="F149" s="82"/>
      <c r="G149" s="82"/>
      <c r="H149" s="82" t="s">
        <v>131</v>
      </c>
      <c r="I149" s="83">
        <v>46104.0</v>
      </c>
      <c r="J149" s="83">
        <v>46024.0</v>
      </c>
      <c r="K149" s="83">
        <v>46079.0</v>
      </c>
      <c r="L149" s="82"/>
      <c r="M149" s="83"/>
      <c r="N149" s="83"/>
      <c r="O149" s="83"/>
      <c r="P149" s="82">
        <v>569344.0</v>
      </c>
      <c r="Q149" s="82" t="s">
        <v>557</v>
      </c>
      <c r="R149" s="82">
        <v>151.75</v>
      </c>
      <c r="S149" s="82">
        <v>72.55</v>
      </c>
      <c r="T149" s="82" t="s">
        <v>952</v>
      </c>
      <c r="U149" s="82" t="s">
        <v>953</v>
      </c>
      <c r="V149" s="83">
        <v>46079.0</v>
      </c>
      <c r="W149" s="82" t="s">
        <v>132</v>
      </c>
      <c r="X149" s="82" t="s">
        <v>128</v>
      </c>
      <c r="Y149" s="83">
        <v>46051.0</v>
      </c>
      <c r="Z149" s="83">
        <v>45978.0</v>
      </c>
    </row>
    <row r="150">
      <c r="A150" s="82" t="s">
        <v>954</v>
      </c>
      <c r="B150" s="82">
        <v>4125771.0</v>
      </c>
      <c r="C150" s="82" t="s">
        <v>955</v>
      </c>
      <c r="D150" s="83">
        <v>46158.0</v>
      </c>
      <c r="E150" s="82"/>
      <c r="F150" s="82" t="s">
        <v>537</v>
      </c>
      <c r="G150" s="82"/>
      <c r="H150" s="82"/>
      <c r="I150" s="83"/>
      <c r="J150" s="83"/>
      <c r="K150" s="83"/>
      <c r="L150" s="82" t="s">
        <v>138</v>
      </c>
      <c r="M150" s="83">
        <v>45992.0</v>
      </c>
      <c r="N150" s="83"/>
      <c r="O150" s="83">
        <v>46034.0</v>
      </c>
      <c r="P150" s="82">
        <v>491268.0</v>
      </c>
      <c r="Q150" s="82" t="s">
        <v>511</v>
      </c>
      <c r="R150" s="82">
        <v>330.0</v>
      </c>
      <c r="S150" s="82">
        <v>825.0</v>
      </c>
      <c r="T150" s="82" t="s">
        <v>956</v>
      </c>
      <c r="U150" s="82" t="s">
        <v>957</v>
      </c>
      <c r="V150" s="83">
        <v>46190.0</v>
      </c>
      <c r="W150" s="82" t="s">
        <v>132</v>
      </c>
      <c r="X150" s="82" t="s">
        <v>128</v>
      </c>
      <c r="Y150" s="83">
        <v>46037.0</v>
      </c>
      <c r="Z150" s="83">
        <v>45979.0</v>
      </c>
    </row>
    <row r="151">
      <c r="A151" s="82" t="s">
        <v>958</v>
      </c>
      <c r="B151" s="82">
        <v>3499607.0</v>
      </c>
      <c r="C151" s="82" t="s">
        <v>959</v>
      </c>
      <c r="D151" s="83">
        <v>45996.0</v>
      </c>
      <c r="E151" s="82" t="s">
        <v>604</v>
      </c>
      <c r="F151" s="82"/>
      <c r="G151" s="84"/>
      <c r="H151" s="82" t="s">
        <v>138</v>
      </c>
      <c r="I151" s="83">
        <v>46203.0</v>
      </c>
      <c r="J151" s="83">
        <v>46024.0</v>
      </c>
      <c r="K151" s="83">
        <v>46200.0</v>
      </c>
      <c r="L151" s="82"/>
      <c r="M151" s="83"/>
      <c r="N151" s="83"/>
      <c r="O151" s="83"/>
      <c r="P151" s="82">
        <v>569717.0</v>
      </c>
      <c r="Q151" s="82" t="s">
        <v>523</v>
      </c>
      <c r="R151" s="82">
        <v>100.0</v>
      </c>
      <c r="S151" s="82">
        <v>100.4</v>
      </c>
      <c r="T151" s="82" t="s">
        <v>960</v>
      </c>
      <c r="U151" s="82" t="s">
        <v>961</v>
      </c>
      <c r="V151" s="83">
        <v>46200.0</v>
      </c>
      <c r="W151" s="82" t="s">
        <v>132</v>
      </c>
      <c r="X151" s="82" t="s">
        <v>128</v>
      </c>
      <c r="Y151" s="83">
        <v>46024.0</v>
      </c>
      <c r="Z151" s="83">
        <v>45981.0</v>
      </c>
    </row>
    <row r="152">
      <c r="A152" s="82" t="s">
        <v>962</v>
      </c>
      <c r="B152" s="82">
        <v>4269437.0</v>
      </c>
      <c r="C152" s="82" t="s">
        <v>859</v>
      </c>
      <c r="D152" s="83"/>
      <c r="E152" s="82"/>
      <c r="F152" s="82" t="s">
        <v>537</v>
      </c>
      <c r="G152" s="84"/>
      <c r="H152" s="82"/>
      <c r="I152" s="83"/>
      <c r="J152" s="83"/>
      <c r="K152" s="83"/>
      <c r="L152" s="82" t="s">
        <v>138</v>
      </c>
      <c r="M152" s="83">
        <v>46027.0</v>
      </c>
      <c r="N152" s="83">
        <v>46202.0</v>
      </c>
      <c r="O152" s="83">
        <v>46030.0</v>
      </c>
      <c r="P152" s="82">
        <v>552948.0</v>
      </c>
      <c r="Q152" s="82" t="s">
        <v>532</v>
      </c>
      <c r="R152" s="82">
        <v>25.0</v>
      </c>
      <c r="S152" s="82">
        <v>25.0</v>
      </c>
      <c r="T152" s="82" t="s">
        <v>963</v>
      </c>
      <c r="U152" s="82" t="s">
        <v>964</v>
      </c>
      <c r="V152" s="83">
        <v>46200.0</v>
      </c>
      <c r="W152" s="82" t="s">
        <v>132</v>
      </c>
      <c r="X152" s="82" t="s">
        <v>128</v>
      </c>
      <c r="Y152" s="83">
        <v>46031.0</v>
      </c>
      <c r="Z152" s="83">
        <v>46007.0</v>
      </c>
    </row>
    <row r="153">
      <c r="A153" s="82" t="s">
        <v>965</v>
      </c>
      <c r="B153" s="82">
        <v>4299558.0</v>
      </c>
      <c r="C153" s="82" t="s">
        <v>966</v>
      </c>
      <c r="D153" s="83"/>
      <c r="E153" s="82"/>
      <c r="F153" s="82" t="s">
        <v>537</v>
      </c>
      <c r="G153" s="84"/>
      <c r="H153" s="82"/>
      <c r="I153" s="83"/>
      <c r="J153" s="83"/>
      <c r="K153" s="83"/>
      <c r="L153" s="82" t="s">
        <v>163</v>
      </c>
      <c r="M153" s="83">
        <v>46033.0</v>
      </c>
      <c r="N153" s="83">
        <v>46202.0</v>
      </c>
      <c r="O153" s="83">
        <v>46034.0</v>
      </c>
      <c r="P153" s="82">
        <v>575773.0</v>
      </c>
      <c r="Q153" s="82" t="s">
        <v>523</v>
      </c>
      <c r="R153" s="82">
        <v>187.0</v>
      </c>
      <c r="S153" s="82">
        <v>68.2</v>
      </c>
      <c r="T153" s="82" t="s">
        <v>967</v>
      </c>
      <c r="U153" s="82" t="s">
        <v>968</v>
      </c>
      <c r="V153" s="83">
        <v>46156.0</v>
      </c>
      <c r="W153" s="82" t="s">
        <v>132</v>
      </c>
      <c r="X153" s="82" t="s">
        <v>128</v>
      </c>
      <c r="Y153" s="83">
        <v>46036.0</v>
      </c>
      <c r="Z153" s="83">
        <v>46013.0</v>
      </c>
    </row>
    <row r="154">
      <c r="A154" s="82" t="s">
        <v>749</v>
      </c>
      <c r="B154" s="82">
        <v>4332104.0</v>
      </c>
      <c r="C154" s="82" t="s">
        <v>750</v>
      </c>
      <c r="D154" s="83">
        <v>46170.0</v>
      </c>
      <c r="E154" s="82" t="s">
        <v>522</v>
      </c>
      <c r="F154" s="82"/>
      <c r="G154" s="82"/>
      <c r="H154" s="82" t="s">
        <v>138</v>
      </c>
      <c r="I154" s="83">
        <v>46197.0</v>
      </c>
      <c r="J154" s="83">
        <v>46036.0</v>
      </c>
      <c r="K154" s="83">
        <v>46200.0</v>
      </c>
      <c r="L154" s="82"/>
      <c r="M154" s="83"/>
      <c r="N154" s="83"/>
      <c r="O154" s="83"/>
      <c r="P154" s="82">
        <v>596436.0</v>
      </c>
      <c r="Q154" s="82"/>
      <c r="R154" s="82">
        <v>317.5</v>
      </c>
      <c r="S154" s="82">
        <v>208.9</v>
      </c>
      <c r="T154" s="82" t="s">
        <v>969</v>
      </c>
      <c r="U154" s="82" t="s">
        <v>752</v>
      </c>
      <c r="V154" s="83">
        <v>46200.0</v>
      </c>
      <c r="W154" s="82" t="s">
        <v>132</v>
      </c>
      <c r="X154" s="82" t="s">
        <v>128</v>
      </c>
      <c r="Y154" s="83">
        <v>46037.0</v>
      </c>
      <c r="Z154" s="83">
        <v>46027.0</v>
      </c>
    </row>
    <row r="155">
      <c r="A155" s="82" t="s">
        <v>970</v>
      </c>
      <c r="B155" s="82">
        <v>4369936.0</v>
      </c>
      <c r="C155" s="82" t="s">
        <v>971</v>
      </c>
      <c r="D155" s="83"/>
      <c r="E155" s="82" t="s">
        <v>522</v>
      </c>
      <c r="F155" s="82" t="s">
        <v>537</v>
      </c>
      <c r="G155" s="84"/>
      <c r="H155" s="82" t="s">
        <v>131</v>
      </c>
      <c r="I155" s="83">
        <v>46059.0</v>
      </c>
      <c r="J155" s="83">
        <v>46059.0</v>
      </c>
      <c r="K155" s="83">
        <v>46059.0</v>
      </c>
      <c r="L155" s="82" t="s">
        <v>138</v>
      </c>
      <c r="M155" s="83">
        <v>46055.0</v>
      </c>
      <c r="N155" s="83"/>
      <c r="O155" s="83">
        <v>46056.0</v>
      </c>
      <c r="P155" s="82">
        <v>610023.0</v>
      </c>
      <c r="Q155" s="82" t="s">
        <v>532</v>
      </c>
      <c r="R155" s="82">
        <v>0.0</v>
      </c>
      <c r="S155" s="82">
        <v>25.0</v>
      </c>
      <c r="T155" s="82" t="s">
        <v>972</v>
      </c>
      <c r="U155" s="82" t="s">
        <v>973</v>
      </c>
      <c r="V155" s="83">
        <v>46176.0</v>
      </c>
      <c r="W155" s="82" t="s">
        <v>132</v>
      </c>
      <c r="X155" s="82" t="s">
        <v>128</v>
      </c>
      <c r="Y155" s="83">
        <v>46059.0</v>
      </c>
      <c r="Z155" s="83">
        <v>46059.0</v>
      </c>
    </row>
    <row r="156">
      <c r="A156" s="82" t="s">
        <v>974</v>
      </c>
      <c r="B156" s="82">
        <v>4247210.0</v>
      </c>
      <c r="C156" s="82" t="s">
        <v>975</v>
      </c>
      <c r="D156" s="83">
        <v>46087.0</v>
      </c>
      <c r="E156" s="82"/>
      <c r="F156" s="82"/>
      <c r="G156" s="82"/>
      <c r="H156" s="82"/>
      <c r="I156" s="83"/>
      <c r="J156" s="83"/>
      <c r="K156" s="83"/>
      <c r="L156" s="82"/>
      <c r="M156" s="83"/>
      <c r="N156" s="84"/>
      <c r="O156" s="83"/>
      <c r="P156" s="82">
        <v>505601.0</v>
      </c>
      <c r="Q156" s="82" t="s">
        <v>511</v>
      </c>
      <c r="R156" s="82">
        <v>400.0</v>
      </c>
      <c r="S156" s="82">
        <v>277.0</v>
      </c>
      <c r="T156" s="82" t="s">
        <v>976</v>
      </c>
      <c r="U156" s="82" t="s">
        <v>977</v>
      </c>
      <c r="V156" s="83"/>
      <c r="W156" s="82" t="s">
        <v>514</v>
      </c>
      <c r="X156" s="82" t="s">
        <v>128</v>
      </c>
      <c r="Y156" s="83">
        <v>46087.0</v>
      </c>
      <c r="Z156" s="83">
        <v>45986.0</v>
      </c>
    </row>
    <row r="157">
      <c r="A157" s="82" t="s">
        <v>978</v>
      </c>
      <c r="B157" s="82">
        <v>4271562.0</v>
      </c>
      <c r="C157" s="82" t="s">
        <v>979</v>
      </c>
      <c r="D157" s="83">
        <v>46017.0</v>
      </c>
      <c r="E157" s="82"/>
      <c r="F157" s="82"/>
      <c r="G157" s="82"/>
      <c r="H157" s="82"/>
      <c r="I157" s="83"/>
      <c r="J157" s="83"/>
      <c r="K157" s="83"/>
      <c r="L157" s="82"/>
      <c r="M157" s="83"/>
      <c r="N157" s="83"/>
      <c r="O157" s="83"/>
      <c r="P157" s="82">
        <v>561252.0</v>
      </c>
      <c r="Q157" s="82" t="s">
        <v>511</v>
      </c>
      <c r="R157" s="82">
        <v>355.0</v>
      </c>
      <c r="S157" s="82">
        <v>365.0</v>
      </c>
      <c r="T157" s="82" t="s">
        <v>980</v>
      </c>
      <c r="U157" s="82" t="s">
        <v>981</v>
      </c>
      <c r="V157" s="83"/>
      <c r="W157" s="82" t="s">
        <v>514</v>
      </c>
      <c r="X157" s="82" t="s">
        <v>128</v>
      </c>
      <c r="Y157" s="83">
        <v>46098.0</v>
      </c>
      <c r="Z157" s="83">
        <v>45995.0</v>
      </c>
    </row>
    <row r="158">
      <c r="A158" s="82" t="s">
        <v>982</v>
      </c>
      <c r="B158" s="82">
        <v>4428477.0</v>
      </c>
      <c r="C158" s="82" t="s">
        <v>983</v>
      </c>
      <c r="D158" s="83">
        <v>45987.0</v>
      </c>
      <c r="E158" s="82" t="s">
        <v>522</v>
      </c>
      <c r="F158" s="82" t="s">
        <v>537</v>
      </c>
      <c r="G158" s="82"/>
      <c r="H158" s="82" t="s">
        <v>138</v>
      </c>
      <c r="I158" s="83">
        <v>46209.0</v>
      </c>
      <c r="J158" s="83">
        <v>46086.0</v>
      </c>
      <c r="K158" s="83">
        <v>46184.0</v>
      </c>
      <c r="L158" s="82" t="s">
        <v>138</v>
      </c>
      <c r="M158" s="83">
        <v>46122.0</v>
      </c>
      <c r="N158" s="83"/>
      <c r="O158" s="83">
        <v>46127.0</v>
      </c>
      <c r="P158" s="82">
        <v>638525.0</v>
      </c>
      <c r="Q158" s="82" t="s">
        <v>532</v>
      </c>
      <c r="R158" s="82">
        <v>13.2</v>
      </c>
      <c r="S158" s="82">
        <v>13.2</v>
      </c>
      <c r="T158" s="82" t="s">
        <v>984</v>
      </c>
      <c r="U158" s="82" t="s">
        <v>985</v>
      </c>
      <c r="V158" s="83">
        <v>46184.0</v>
      </c>
      <c r="W158" s="82" t="s">
        <v>132</v>
      </c>
      <c r="X158" s="82" t="s">
        <v>128</v>
      </c>
      <c r="Y158" s="83">
        <v>46114.0</v>
      </c>
      <c r="Z158" s="83">
        <v>45987.0</v>
      </c>
    </row>
    <row r="159">
      <c r="A159" s="82" t="s">
        <v>986</v>
      </c>
      <c r="B159" s="82">
        <v>4509013.0</v>
      </c>
      <c r="C159" s="82" t="s">
        <v>987</v>
      </c>
      <c r="D159" s="83">
        <v>46139.0</v>
      </c>
      <c r="E159" s="82" t="s">
        <v>522</v>
      </c>
      <c r="F159" s="82"/>
      <c r="G159" s="84"/>
      <c r="H159" s="82" t="s">
        <v>138</v>
      </c>
      <c r="I159" s="83">
        <v>46197.0</v>
      </c>
      <c r="J159" s="83">
        <v>46128.0</v>
      </c>
      <c r="K159" s="83">
        <v>46195.0</v>
      </c>
      <c r="L159" s="82"/>
      <c r="M159" s="83"/>
      <c r="N159" s="83"/>
      <c r="O159" s="83"/>
      <c r="P159" s="82">
        <v>672976.0</v>
      </c>
      <c r="Q159" s="82" t="s">
        <v>532</v>
      </c>
      <c r="R159" s="82">
        <v>767.7</v>
      </c>
      <c r="S159" s="82">
        <v>1067.7</v>
      </c>
      <c r="T159" s="82" t="s">
        <v>988</v>
      </c>
      <c r="U159" s="82" t="s">
        <v>989</v>
      </c>
      <c r="V159" s="83">
        <v>46195.0</v>
      </c>
      <c r="W159" s="82" t="s">
        <v>132</v>
      </c>
      <c r="X159" s="82" t="s">
        <v>128</v>
      </c>
      <c r="Y159" s="83">
        <v>46139.0</v>
      </c>
      <c r="Z159" s="83">
        <v>46077.0</v>
      </c>
    </row>
    <row r="160">
      <c r="A160" s="82" t="s">
        <v>733</v>
      </c>
      <c r="B160" s="82">
        <v>3383444.0</v>
      </c>
      <c r="C160" s="82" t="s">
        <v>734</v>
      </c>
      <c r="D160" s="83">
        <v>46196.0</v>
      </c>
      <c r="E160" s="82" t="s">
        <v>570</v>
      </c>
      <c r="F160" s="82"/>
      <c r="G160" s="84"/>
      <c r="H160" s="82" t="s">
        <v>138</v>
      </c>
      <c r="I160" s="83">
        <v>46197.0</v>
      </c>
      <c r="J160" s="83">
        <v>46099.0</v>
      </c>
      <c r="K160" s="83">
        <v>46197.0</v>
      </c>
      <c r="L160" s="82"/>
      <c r="M160" s="83"/>
      <c r="N160" s="83"/>
      <c r="O160" s="83"/>
      <c r="P160" s="82">
        <v>373486.0</v>
      </c>
      <c r="Q160" s="82" t="s">
        <v>511</v>
      </c>
      <c r="R160" s="82">
        <v>500.0</v>
      </c>
      <c r="S160" s="82">
        <v>500.0</v>
      </c>
      <c r="T160" s="82" t="s">
        <v>990</v>
      </c>
      <c r="U160" s="82" t="s">
        <v>736</v>
      </c>
      <c r="V160" s="83">
        <v>46197.0</v>
      </c>
      <c r="W160" s="82" t="s">
        <v>132</v>
      </c>
      <c r="X160" s="82" t="s">
        <v>128</v>
      </c>
      <c r="Y160" s="83">
        <v>46141.0</v>
      </c>
      <c r="Z160" s="83">
        <v>46098.0</v>
      </c>
    </row>
    <row r="161">
      <c r="A161" s="82" t="s">
        <v>991</v>
      </c>
      <c r="B161" s="82">
        <v>4654585.0</v>
      </c>
      <c r="C161" s="82" t="s">
        <v>992</v>
      </c>
      <c r="D161" s="83">
        <v>46169.0</v>
      </c>
      <c r="E161" s="82" t="s">
        <v>522</v>
      </c>
      <c r="F161" s="82"/>
      <c r="G161" s="84"/>
      <c r="H161" s="82" t="s">
        <v>138</v>
      </c>
      <c r="I161" s="83">
        <v>46199.0</v>
      </c>
      <c r="J161" s="83">
        <v>46168.0</v>
      </c>
      <c r="K161" s="83">
        <v>46199.0</v>
      </c>
      <c r="L161" s="82"/>
      <c r="M161" s="83"/>
      <c r="N161" s="83"/>
      <c r="O161" s="83"/>
      <c r="P161" s="82">
        <v>725247.0</v>
      </c>
      <c r="Q161" s="82" t="s">
        <v>557</v>
      </c>
      <c r="R161" s="82">
        <v>386.94</v>
      </c>
      <c r="S161" s="82">
        <v>461.94</v>
      </c>
      <c r="T161" s="82" t="s">
        <v>993</v>
      </c>
      <c r="U161" s="82" t="s">
        <v>994</v>
      </c>
      <c r="V161" s="83">
        <v>46199.0</v>
      </c>
      <c r="W161" s="82" t="s">
        <v>611</v>
      </c>
      <c r="X161" s="82" t="s">
        <v>128</v>
      </c>
      <c r="Y161" s="83">
        <v>46286.0</v>
      </c>
      <c r="Z161" s="83">
        <v>46155.0</v>
      </c>
    </row>
    <row r="162">
      <c r="A162" s="82" t="s">
        <v>302</v>
      </c>
      <c r="B162" s="82">
        <v>4136460.0</v>
      </c>
      <c r="C162" s="82" t="s">
        <v>303</v>
      </c>
      <c r="D162" s="83">
        <v>46029.0</v>
      </c>
      <c r="E162" s="82" t="s">
        <v>522</v>
      </c>
      <c r="F162" s="82"/>
      <c r="G162" s="84"/>
      <c r="H162" s="82" t="s">
        <v>131</v>
      </c>
      <c r="I162" s="83">
        <v>45924.0</v>
      </c>
      <c r="J162" s="83">
        <v>45924.0</v>
      </c>
      <c r="K162" s="83">
        <v>45924.0</v>
      </c>
      <c r="L162" s="82"/>
      <c r="M162" s="83"/>
      <c r="N162" s="83"/>
      <c r="O162" s="83"/>
      <c r="P162" s="82">
        <v>272595.0</v>
      </c>
      <c r="Q162" s="82" t="s">
        <v>532</v>
      </c>
      <c r="R162" s="82">
        <v>151.88</v>
      </c>
      <c r="S162" s="82">
        <v>188.81</v>
      </c>
      <c r="T162" s="82" t="s">
        <v>300</v>
      </c>
      <c r="U162" s="82" t="s">
        <v>301</v>
      </c>
      <c r="V162" s="83">
        <v>45924.0</v>
      </c>
      <c r="W162" s="82" t="s">
        <v>132</v>
      </c>
      <c r="X162" s="82" t="s">
        <v>295</v>
      </c>
      <c r="Y162" s="83">
        <v>45910.0</v>
      </c>
      <c r="Z162" s="83">
        <v>45909.0</v>
      </c>
    </row>
    <row r="163">
      <c r="A163" s="82" t="s">
        <v>995</v>
      </c>
      <c r="B163" s="82">
        <v>2668654.0</v>
      </c>
      <c r="C163" s="82" t="s">
        <v>996</v>
      </c>
      <c r="D163" s="83">
        <v>45923.0</v>
      </c>
      <c r="E163" s="82"/>
      <c r="F163" s="82"/>
      <c r="G163" s="82" t="s">
        <v>583</v>
      </c>
      <c r="H163" s="82"/>
      <c r="I163" s="83"/>
      <c r="J163" s="83"/>
      <c r="K163" s="83"/>
      <c r="L163" s="82"/>
      <c r="M163" s="83"/>
      <c r="N163" s="83"/>
      <c r="O163" s="83"/>
      <c r="P163" s="82"/>
      <c r="Q163" s="82"/>
      <c r="R163" s="82">
        <v>243.25</v>
      </c>
      <c r="S163" s="82">
        <v>104.75</v>
      </c>
      <c r="T163" s="82" t="s">
        <v>997</v>
      </c>
      <c r="U163" s="82" t="s">
        <v>998</v>
      </c>
      <c r="V163" s="83"/>
      <c r="W163" s="82" t="s">
        <v>514</v>
      </c>
      <c r="X163" s="82" t="s">
        <v>295</v>
      </c>
      <c r="Y163" s="83">
        <v>45924.0</v>
      </c>
      <c r="Z163" s="83">
        <v>45918.0</v>
      </c>
    </row>
    <row r="164">
      <c r="A164" s="82" t="s">
        <v>307</v>
      </c>
      <c r="B164" s="82">
        <v>4111269.0</v>
      </c>
      <c r="C164" s="82" t="s">
        <v>308</v>
      </c>
      <c r="D164" s="83">
        <v>45925.0</v>
      </c>
      <c r="E164" s="82" t="s">
        <v>522</v>
      </c>
      <c r="F164" s="82"/>
      <c r="G164" s="82"/>
      <c r="H164" s="82" t="s">
        <v>131</v>
      </c>
      <c r="I164" s="83">
        <v>45915.0</v>
      </c>
      <c r="J164" s="83">
        <v>45918.0</v>
      </c>
      <c r="K164" s="83">
        <v>45918.0</v>
      </c>
      <c r="L164" s="82"/>
      <c r="M164" s="83"/>
      <c r="N164" s="83"/>
      <c r="O164" s="83"/>
      <c r="P164" s="82">
        <v>412936.0</v>
      </c>
      <c r="Q164" s="82" t="s">
        <v>511</v>
      </c>
      <c r="R164" s="82">
        <v>50.0</v>
      </c>
      <c r="S164" s="82">
        <v>50.0</v>
      </c>
      <c r="T164" s="82" t="s">
        <v>305</v>
      </c>
      <c r="U164" s="82" t="s">
        <v>306</v>
      </c>
      <c r="V164" s="83">
        <v>45918.0</v>
      </c>
      <c r="W164" s="82" t="s">
        <v>132</v>
      </c>
      <c r="X164" s="82" t="s">
        <v>295</v>
      </c>
      <c r="Y164" s="83">
        <v>45918.0</v>
      </c>
      <c r="Z164" s="83">
        <v>45924.0</v>
      </c>
    </row>
    <row r="165">
      <c r="A165" s="82" t="s">
        <v>324</v>
      </c>
      <c r="B165" s="82">
        <v>4016001.0</v>
      </c>
      <c r="C165" s="82" t="s">
        <v>325</v>
      </c>
      <c r="D165" s="83">
        <v>45953.0</v>
      </c>
      <c r="E165" s="82" t="s">
        <v>546</v>
      </c>
      <c r="F165" s="82"/>
      <c r="G165" s="82" t="s">
        <v>788</v>
      </c>
      <c r="H165" s="82" t="s">
        <v>131</v>
      </c>
      <c r="I165" s="83">
        <v>46160.0</v>
      </c>
      <c r="J165" s="83">
        <v>45931.0</v>
      </c>
      <c r="K165" s="83">
        <v>45931.0</v>
      </c>
      <c r="L165" s="82"/>
      <c r="M165" s="83"/>
      <c r="N165" s="83"/>
      <c r="O165" s="83"/>
      <c r="P165" s="82">
        <v>252955.0</v>
      </c>
      <c r="Q165" s="82"/>
      <c r="R165" s="82">
        <v>125.0</v>
      </c>
      <c r="S165" s="82">
        <v>135.0</v>
      </c>
      <c r="T165" s="82" t="s">
        <v>322</v>
      </c>
      <c r="U165" s="82" t="s">
        <v>323</v>
      </c>
      <c r="V165" s="83">
        <v>45931.0</v>
      </c>
      <c r="W165" s="82" t="s">
        <v>132</v>
      </c>
      <c r="X165" s="82" t="s">
        <v>295</v>
      </c>
      <c r="Y165" s="83">
        <v>45953.0</v>
      </c>
      <c r="Z165" s="83">
        <v>45884.0</v>
      </c>
    </row>
    <row r="166">
      <c r="A166" s="82" t="s">
        <v>346</v>
      </c>
      <c r="B166" s="82">
        <v>4161378.0</v>
      </c>
      <c r="C166" s="82" t="s">
        <v>347</v>
      </c>
      <c r="D166" s="83">
        <v>45974.0</v>
      </c>
      <c r="E166" s="82" t="s">
        <v>522</v>
      </c>
      <c r="F166" s="82"/>
      <c r="G166" s="82"/>
      <c r="H166" s="82" t="s">
        <v>131</v>
      </c>
      <c r="I166" s="83">
        <v>46086.0</v>
      </c>
      <c r="J166" s="83">
        <v>45946.0</v>
      </c>
      <c r="K166" s="83">
        <v>46086.0</v>
      </c>
      <c r="L166" s="82"/>
      <c r="M166" s="83"/>
      <c r="N166" s="84"/>
      <c r="O166" s="83"/>
      <c r="P166" s="82">
        <v>379860.0</v>
      </c>
      <c r="Q166" s="82" t="s">
        <v>511</v>
      </c>
      <c r="R166" s="82">
        <v>75.0</v>
      </c>
      <c r="S166" s="82">
        <v>0.0</v>
      </c>
      <c r="T166" s="82" t="s">
        <v>344</v>
      </c>
      <c r="U166" s="82" t="s">
        <v>345</v>
      </c>
      <c r="V166" s="83">
        <v>46086.0</v>
      </c>
      <c r="W166" s="82" t="s">
        <v>132</v>
      </c>
      <c r="X166" s="82" t="s">
        <v>295</v>
      </c>
      <c r="Y166" s="83">
        <v>45958.0</v>
      </c>
      <c r="Z166" s="83">
        <v>45931.0</v>
      </c>
    </row>
    <row r="167">
      <c r="A167" s="82" t="s">
        <v>312</v>
      </c>
      <c r="B167" s="82">
        <v>4161223.0</v>
      </c>
      <c r="C167" s="82" t="s">
        <v>999</v>
      </c>
      <c r="D167" s="83">
        <v>45982.0</v>
      </c>
      <c r="E167" s="82" t="s">
        <v>604</v>
      </c>
      <c r="F167" s="82"/>
      <c r="G167" s="84"/>
      <c r="H167" s="82" t="s">
        <v>138</v>
      </c>
      <c r="I167" s="83">
        <v>46189.0</v>
      </c>
      <c r="J167" s="83">
        <v>45940.0</v>
      </c>
      <c r="K167" s="83">
        <v>46195.0</v>
      </c>
      <c r="L167" s="82"/>
      <c r="M167" s="83"/>
      <c r="N167" s="84"/>
      <c r="O167" s="83"/>
      <c r="P167" s="82">
        <v>398126.0</v>
      </c>
      <c r="Q167" s="82" t="s">
        <v>511</v>
      </c>
      <c r="R167" s="82">
        <v>85.0</v>
      </c>
      <c r="S167" s="82">
        <v>89.16</v>
      </c>
      <c r="T167" s="82" t="s">
        <v>310</v>
      </c>
      <c r="U167" s="82" t="s">
        <v>311</v>
      </c>
      <c r="V167" s="83">
        <v>46195.0</v>
      </c>
      <c r="W167" s="82" t="s">
        <v>132</v>
      </c>
      <c r="X167" s="82" t="s">
        <v>295</v>
      </c>
      <c r="Y167" s="83">
        <v>45947.0</v>
      </c>
      <c r="Z167" s="83">
        <v>45937.0</v>
      </c>
    </row>
    <row r="168">
      <c r="A168" s="82" t="s">
        <v>319</v>
      </c>
      <c r="B168" s="82">
        <v>4174641.0</v>
      </c>
      <c r="C168" s="82" t="s">
        <v>320</v>
      </c>
      <c r="D168" s="83">
        <v>46196.0</v>
      </c>
      <c r="E168" s="82"/>
      <c r="F168" s="82"/>
      <c r="G168" s="84"/>
      <c r="H168" s="82"/>
      <c r="I168" s="83"/>
      <c r="J168" s="83"/>
      <c r="K168" s="83"/>
      <c r="L168" s="82"/>
      <c r="M168" s="83"/>
      <c r="N168" s="84"/>
      <c r="O168" s="83"/>
      <c r="P168" s="82">
        <v>365168.0</v>
      </c>
      <c r="Q168" s="82" t="s">
        <v>511</v>
      </c>
      <c r="R168" s="82">
        <v>425.0</v>
      </c>
      <c r="S168" s="82">
        <v>435.0</v>
      </c>
      <c r="T168" s="82" t="s">
        <v>317</v>
      </c>
      <c r="U168" s="82" t="s">
        <v>318</v>
      </c>
      <c r="V168" s="83"/>
      <c r="W168" s="82" t="s">
        <v>132</v>
      </c>
      <c r="X168" s="82" t="s">
        <v>295</v>
      </c>
      <c r="Y168" s="83">
        <v>45950.0</v>
      </c>
      <c r="Z168" s="83">
        <v>45939.0</v>
      </c>
    </row>
    <row r="169">
      <c r="A169" s="82" t="s">
        <v>335</v>
      </c>
      <c r="B169" s="82">
        <v>4169152.0</v>
      </c>
      <c r="C169" s="82" t="s">
        <v>336</v>
      </c>
      <c r="D169" s="83">
        <v>46196.0</v>
      </c>
      <c r="E169" s="82" t="s">
        <v>522</v>
      </c>
      <c r="F169" s="82"/>
      <c r="G169" s="84"/>
      <c r="H169" s="82" t="s">
        <v>138</v>
      </c>
      <c r="I169" s="83">
        <v>46190.0</v>
      </c>
      <c r="J169" s="83">
        <v>45946.0</v>
      </c>
      <c r="K169" s="83">
        <v>46190.0</v>
      </c>
      <c r="L169" s="82"/>
      <c r="M169" s="83"/>
      <c r="N169" s="84"/>
      <c r="O169" s="83"/>
      <c r="P169" s="82">
        <v>699918.0</v>
      </c>
      <c r="Q169" s="82" t="s">
        <v>511</v>
      </c>
      <c r="R169" s="82">
        <v>464.6</v>
      </c>
      <c r="S169" s="82">
        <v>474.6</v>
      </c>
      <c r="T169" s="82" t="s">
        <v>333</v>
      </c>
      <c r="U169" s="82" t="s">
        <v>334</v>
      </c>
      <c r="V169" s="83">
        <v>46190.0</v>
      </c>
      <c r="W169" s="82" t="s">
        <v>132</v>
      </c>
      <c r="X169" s="82" t="s">
        <v>295</v>
      </c>
      <c r="Y169" s="83">
        <v>45958.0</v>
      </c>
      <c r="Z169" s="83">
        <v>45940.0</v>
      </c>
    </row>
    <row r="170">
      <c r="A170" s="82" t="s">
        <v>340</v>
      </c>
      <c r="B170" s="82">
        <v>4172812.0</v>
      </c>
      <c r="C170" s="82" t="s">
        <v>341</v>
      </c>
      <c r="D170" s="83">
        <v>45974.0</v>
      </c>
      <c r="E170" s="82"/>
      <c r="F170" s="82" t="s">
        <v>537</v>
      </c>
      <c r="G170" s="82"/>
      <c r="H170" s="82"/>
      <c r="I170" s="83"/>
      <c r="J170" s="83"/>
      <c r="K170" s="83"/>
      <c r="L170" s="82" t="s">
        <v>131</v>
      </c>
      <c r="M170" s="83">
        <v>45944.0</v>
      </c>
      <c r="N170" s="83"/>
      <c r="O170" s="83">
        <v>45946.0</v>
      </c>
      <c r="P170" s="82">
        <v>352514.0</v>
      </c>
      <c r="Q170" s="82" t="s">
        <v>511</v>
      </c>
      <c r="R170" s="82">
        <v>190.0</v>
      </c>
      <c r="S170" s="82">
        <v>200.0</v>
      </c>
      <c r="T170" s="82" t="s">
        <v>338</v>
      </c>
      <c r="U170" s="82" t="s">
        <v>339</v>
      </c>
      <c r="V170" s="83">
        <v>45946.0</v>
      </c>
      <c r="W170" s="82" t="s">
        <v>132</v>
      </c>
      <c r="X170" s="82" t="s">
        <v>295</v>
      </c>
      <c r="Y170" s="83">
        <v>45958.0</v>
      </c>
      <c r="Z170" s="83">
        <v>45945.0</v>
      </c>
    </row>
    <row r="171">
      <c r="A171" s="82" t="s">
        <v>329</v>
      </c>
      <c r="B171" s="82">
        <v>3085000.0</v>
      </c>
      <c r="C171" s="82" t="s">
        <v>330</v>
      </c>
      <c r="D171" s="83">
        <v>46177.0</v>
      </c>
      <c r="E171" s="82" t="s">
        <v>522</v>
      </c>
      <c r="F171" s="82" t="s">
        <v>781</v>
      </c>
      <c r="G171" s="82"/>
      <c r="H171" s="82" t="s">
        <v>131</v>
      </c>
      <c r="I171" s="83">
        <v>45953.0</v>
      </c>
      <c r="J171" s="83">
        <v>45954.0</v>
      </c>
      <c r="K171" s="83">
        <v>45954.0</v>
      </c>
      <c r="L171" s="82" t="s">
        <v>131</v>
      </c>
      <c r="M171" s="83">
        <v>45287.0</v>
      </c>
      <c r="N171" s="83"/>
      <c r="O171" s="83">
        <v>45294.0</v>
      </c>
      <c r="P171" s="82">
        <v>616750.0</v>
      </c>
      <c r="Q171" s="82" t="s">
        <v>532</v>
      </c>
      <c r="R171" s="82">
        <v>555.0</v>
      </c>
      <c r="S171" s="82">
        <v>525.4</v>
      </c>
      <c r="T171" s="82" t="s">
        <v>327</v>
      </c>
      <c r="U171" s="82" t="s">
        <v>328</v>
      </c>
      <c r="V171" s="83">
        <v>46099.0</v>
      </c>
      <c r="W171" s="82" t="s">
        <v>132</v>
      </c>
      <c r="X171" s="82" t="s">
        <v>295</v>
      </c>
      <c r="Y171" s="83">
        <v>45958.0</v>
      </c>
      <c r="Z171" s="83">
        <v>45947.0</v>
      </c>
    </row>
    <row r="172">
      <c r="A172" s="82" t="s">
        <v>351</v>
      </c>
      <c r="B172" s="82">
        <v>4161412.0</v>
      </c>
      <c r="C172" s="82" t="s">
        <v>352</v>
      </c>
      <c r="D172" s="83"/>
      <c r="E172" s="82" t="s">
        <v>522</v>
      </c>
      <c r="F172" s="82"/>
      <c r="G172" s="84"/>
      <c r="H172" s="82" t="s">
        <v>131</v>
      </c>
      <c r="I172" s="83">
        <v>45947.0</v>
      </c>
      <c r="J172" s="83">
        <v>45944.0</v>
      </c>
      <c r="K172" s="83">
        <v>45952.0</v>
      </c>
      <c r="L172" s="82"/>
      <c r="M172" s="83"/>
      <c r="N172" s="84"/>
      <c r="O172" s="83"/>
      <c r="P172" s="82">
        <v>406010.0</v>
      </c>
      <c r="Q172" s="82" t="s">
        <v>511</v>
      </c>
      <c r="R172" s="82">
        <v>0.0</v>
      </c>
      <c r="S172" s="82">
        <v>0.0</v>
      </c>
      <c r="T172" s="82" t="s">
        <v>349</v>
      </c>
      <c r="U172" s="82" t="s">
        <v>350</v>
      </c>
      <c r="V172" s="83">
        <v>45952.0</v>
      </c>
      <c r="W172" s="82" t="s">
        <v>132</v>
      </c>
      <c r="X172" s="82" t="s">
        <v>295</v>
      </c>
      <c r="Y172" s="83">
        <v>45959.0</v>
      </c>
      <c r="Z172" s="83">
        <v>45959.0</v>
      </c>
    </row>
    <row r="173">
      <c r="A173" s="82" t="s">
        <v>1000</v>
      </c>
      <c r="B173" s="82">
        <v>3356399.0</v>
      </c>
      <c r="C173" s="82" t="s">
        <v>1001</v>
      </c>
      <c r="D173" s="83"/>
      <c r="E173" s="82" t="s">
        <v>522</v>
      </c>
      <c r="F173" s="82"/>
      <c r="G173" s="82" t="s">
        <v>788</v>
      </c>
      <c r="H173" s="82" t="s">
        <v>131</v>
      </c>
      <c r="I173" s="83">
        <v>45915.0</v>
      </c>
      <c r="J173" s="83"/>
      <c r="K173" s="83"/>
      <c r="L173" s="82"/>
      <c r="M173" s="83"/>
      <c r="N173" s="83"/>
      <c r="O173" s="83"/>
      <c r="P173" s="82"/>
      <c r="Q173" s="82"/>
      <c r="R173" s="82">
        <v>55.0</v>
      </c>
      <c r="S173" s="82">
        <v>55.0</v>
      </c>
      <c r="T173" s="82" t="s">
        <v>1002</v>
      </c>
      <c r="U173" s="82" t="s">
        <v>1003</v>
      </c>
      <c r="V173" s="83"/>
      <c r="W173" s="82" t="s">
        <v>514</v>
      </c>
      <c r="X173" s="82" t="s">
        <v>295</v>
      </c>
      <c r="Y173" s="83">
        <v>45975.0</v>
      </c>
      <c r="Z173" s="83">
        <v>45890.0</v>
      </c>
    </row>
    <row r="174">
      <c r="A174" s="82" t="s">
        <v>359</v>
      </c>
      <c r="B174" s="82">
        <v>4166316.0</v>
      </c>
      <c r="C174" s="82" t="s">
        <v>360</v>
      </c>
      <c r="D174" s="83"/>
      <c r="E174" s="82" t="s">
        <v>522</v>
      </c>
      <c r="F174" s="82"/>
      <c r="G174" s="84"/>
      <c r="H174" s="82" t="s">
        <v>138</v>
      </c>
      <c r="I174" s="83">
        <v>45939.0</v>
      </c>
      <c r="J174" s="83">
        <v>45940.0</v>
      </c>
      <c r="K174" s="83">
        <v>45940.0</v>
      </c>
      <c r="L174" s="82"/>
      <c r="M174" s="83"/>
      <c r="N174" s="84"/>
      <c r="O174" s="83"/>
      <c r="P174" s="82">
        <v>503797.0</v>
      </c>
      <c r="Q174" s="82"/>
      <c r="R174" s="82">
        <v>0.0</v>
      </c>
      <c r="S174" s="82">
        <v>0.0</v>
      </c>
      <c r="T174" s="82" t="s">
        <v>357</v>
      </c>
      <c r="U174" s="82" t="s">
        <v>358</v>
      </c>
      <c r="V174" s="83">
        <v>45940.0</v>
      </c>
      <c r="W174" s="82" t="s">
        <v>132</v>
      </c>
      <c r="X174" s="82" t="s">
        <v>295</v>
      </c>
      <c r="Y174" s="83">
        <v>45964.0</v>
      </c>
      <c r="Z174" s="83">
        <v>45958.0</v>
      </c>
    </row>
    <row r="175">
      <c r="A175" s="82" t="s">
        <v>1004</v>
      </c>
      <c r="B175" s="82">
        <v>3956509.0</v>
      </c>
      <c r="C175" s="82" t="s">
        <v>1005</v>
      </c>
      <c r="D175" s="83">
        <v>45911.0</v>
      </c>
      <c r="E175" s="82" t="s">
        <v>604</v>
      </c>
      <c r="F175" s="82"/>
      <c r="G175" s="84"/>
      <c r="H175" s="82" t="s">
        <v>138</v>
      </c>
      <c r="I175" s="83">
        <v>46199.0</v>
      </c>
      <c r="J175" s="83">
        <v>45905.0</v>
      </c>
      <c r="K175" s="83">
        <v>46199.0</v>
      </c>
      <c r="L175" s="82" t="s">
        <v>131</v>
      </c>
      <c r="M175" s="83">
        <v>46000.0</v>
      </c>
      <c r="N175" s="83"/>
      <c r="O175" s="83">
        <v>46003.0</v>
      </c>
      <c r="P175" s="82">
        <v>375244.0</v>
      </c>
      <c r="Q175" s="82" t="s">
        <v>511</v>
      </c>
      <c r="R175" s="82">
        <v>140.0</v>
      </c>
      <c r="S175" s="82">
        <v>150.0</v>
      </c>
      <c r="T175" s="82" t="s">
        <v>1006</v>
      </c>
      <c r="U175" s="82" t="s">
        <v>1007</v>
      </c>
      <c r="V175" s="83">
        <v>46199.0</v>
      </c>
      <c r="W175" s="82" t="s">
        <v>132</v>
      </c>
      <c r="X175" s="82" t="s">
        <v>295</v>
      </c>
      <c r="Y175" s="83">
        <v>46009.0</v>
      </c>
      <c r="Z175" s="83">
        <v>45890.0</v>
      </c>
    </row>
    <row r="176">
      <c r="A176" s="82" t="s">
        <v>363</v>
      </c>
      <c r="B176" s="82">
        <v>4031652.0</v>
      </c>
      <c r="C176" s="82" t="s">
        <v>364</v>
      </c>
      <c r="D176" s="83">
        <v>46098.0</v>
      </c>
      <c r="E176" s="82" t="s">
        <v>522</v>
      </c>
      <c r="F176" s="82"/>
      <c r="G176" s="84"/>
      <c r="H176" s="82" t="s">
        <v>138</v>
      </c>
      <c r="I176" s="83">
        <v>46202.0</v>
      </c>
      <c r="J176" s="83">
        <v>45901.0</v>
      </c>
      <c r="K176" s="83">
        <v>46199.0</v>
      </c>
      <c r="L176" s="82"/>
      <c r="M176" s="83"/>
      <c r="N176" s="83"/>
      <c r="O176" s="83"/>
      <c r="P176" s="82">
        <v>258498.0</v>
      </c>
      <c r="Q176" s="82" t="s">
        <v>557</v>
      </c>
      <c r="R176" s="82">
        <v>140.0</v>
      </c>
      <c r="S176" s="82">
        <v>287.0</v>
      </c>
      <c r="T176" s="82" t="s">
        <v>361</v>
      </c>
      <c r="U176" s="82" t="s">
        <v>362</v>
      </c>
      <c r="V176" s="83">
        <v>46199.0</v>
      </c>
      <c r="W176" s="82" t="s">
        <v>132</v>
      </c>
      <c r="X176" s="82" t="s">
        <v>365</v>
      </c>
      <c r="Y176" s="83">
        <v>45889.0</v>
      </c>
      <c r="Z176" s="83">
        <v>45881.0</v>
      </c>
    </row>
    <row r="177">
      <c r="A177" s="82" t="s">
        <v>368</v>
      </c>
      <c r="B177" s="82">
        <v>4075965.0</v>
      </c>
      <c r="C177" s="82" t="s">
        <v>369</v>
      </c>
      <c r="D177" s="83">
        <v>45887.0</v>
      </c>
      <c r="E177" s="82" t="s">
        <v>522</v>
      </c>
      <c r="F177" s="82"/>
      <c r="G177" s="84"/>
      <c r="H177" s="82" t="s">
        <v>131</v>
      </c>
      <c r="I177" s="83">
        <v>46010.0</v>
      </c>
      <c r="J177" s="83">
        <v>45890.0</v>
      </c>
      <c r="K177" s="83">
        <v>46013.0</v>
      </c>
      <c r="L177" s="82"/>
      <c r="M177" s="83"/>
      <c r="N177" s="83"/>
      <c r="O177" s="83"/>
      <c r="P177" s="82">
        <v>604928.0</v>
      </c>
      <c r="Q177" s="82" t="s">
        <v>511</v>
      </c>
      <c r="R177" s="82">
        <v>133.75</v>
      </c>
      <c r="S177" s="82">
        <v>149.69</v>
      </c>
      <c r="T177" s="82" t="s">
        <v>366</v>
      </c>
      <c r="U177" s="82" t="s">
        <v>367</v>
      </c>
      <c r="V177" s="83">
        <v>46013.0</v>
      </c>
      <c r="W177" s="82" t="s">
        <v>132</v>
      </c>
      <c r="X177" s="82" t="s">
        <v>365</v>
      </c>
      <c r="Y177" s="83">
        <v>45891.0</v>
      </c>
      <c r="Z177" s="83">
        <v>45887.0</v>
      </c>
    </row>
    <row r="178">
      <c r="A178" s="82" t="s">
        <v>373</v>
      </c>
      <c r="B178" s="82">
        <v>4079539.0</v>
      </c>
      <c r="C178" s="82" t="s">
        <v>374</v>
      </c>
      <c r="D178" s="83">
        <v>45974.0</v>
      </c>
      <c r="E178" s="82" t="s">
        <v>1008</v>
      </c>
      <c r="F178" s="82"/>
      <c r="G178" s="84"/>
      <c r="H178" s="82" t="s">
        <v>138</v>
      </c>
      <c r="I178" s="83">
        <v>46196.0</v>
      </c>
      <c r="J178" s="83">
        <v>45895.0</v>
      </c>
      <c r="K178" s="83">
        <v>46197.0</v>
      </c>
      <c r="L178" s="82"/>
      <c r="M178" s="83"/>
      <c r="N178" s="83"/>
      <c r="O178" s="83"/>
      <c r="P178" s="82">
        <v>624154.0</v>
      </c>
      <c r="Q178" s="82" t="s">
        <v>532</v>
      </c>
      <c r="R178" s="82">
        <v>633.0</v>
      </c>
      <c r="S178" s="82">
        <v>643.0</v>
      </c>
      <c r="T178" s="82" t="s">
        <v>371</v>
      </c>
      <c r="U178" s="82" t="s">
        <v>372</v>
      </c>
      <c r="V178" s="83">
        <v>46197.0</v>
      </c>
      <c r="W178" s="82" t="s">
        <v>132</v>
      </c>
      <c r="X178" s="82" t="s">
        <v>365</v>
      </c>
      <c r="Y178" s="83">
        <v>45899.0</v>
      </c>
      <c r="Z178" s="83">
        <v>45890.0</v>
      </c>
    </row>
    <row r="179">
      <c r="A179" s="82" t="s">
        <v>377</v>
      </c>
      <c r="B179" s="82">
        <v>4080340.0</v>
      </c>
      <c r="C179" s="82" t="s">
        <v>378</v>
      </c>
      <c r="D179" s="83">
        <v>45985.0</v>
      </c>
      <c r="E179" s="82"/>
      <c r="F179" s="82" t="s">
        <v>547</v>
      </c>
      <c r="G179" s="82" t="s">
        <v>1009</v>
      </c>
      <c r="H179" s="82"/>
      <c r="I179" s="83"/>
      <c r="J179" s="83"/>
      <c r="K179" s="83"/>
      <c r="L179" s="82" t="s">
        <v>131</v>
      </c>
      <c r="M179" s="83">
        <v>45898.0</v>
      </c>
      <c r="N179" s="83"/>
      <c r="O179" s="83">
        <v>45907.0</v>
      </c>
      <c r="P179" s="82">
        <v>578523.0</v>
      </c>
      <c r="Q179" s="82" t="s">
        <v>511</v>
      </c>
      <c r="R179" s="82">
        <v>55.0</v>
      </c>
      <c r="S179" s="82">
        <v>55.0</v>
      </c>
      <c r="T179" s="82" t="s">
        <v>375</v>
      </c>
      <c r="U179" s="82" t="s">
        <v>376</v>
      </c>
      <c r="V179" s="83">
        <v>45907.0</v>
      </c>
      <c r="W179" s="82" t="s">
        <v>132</v>
      </c>
      <c r="X179" s="82" t="s">
        <v>365</v>
      </c>
      <c r="Y179" s="83">
        <v>45907.0</v>
      </c>
      <c r="Z179" s="83">
        <v>45895.0</v>
      </c>
    </row>
    <row r="180">
      <c r="A180" s="82" t="s">
        <v>390</v>
      </c>
      <c r="B180" s="82">
        <v>4098415.0</v>
      </c>
      <c r="C180" s="82" t="s">
        <v>391</v>
      </c>
      <c r="D180" s="83">
        <v>46002.0</v>
      </c>
      <c r="E180" s="82"/>
      <c r="F180" s="82" t="s">
        <v>537</v>
      </c>
      <c r="G180" s="84"/>
      <c r="H180" s="82"/>
      <c r="I180" s="83"/>
      <c r="J180" s="83"/>
      <c r="K180" s="83"/>
      <c r="L180" s="82" t="s">
        <v>138</v>
      </c>
      <c r="M180" s="83">
        <v>45905.0</v>
      </c>
      <c r="N180" s="83">
        <v>46204.0</v>
      </c>
      <c r="O180" s="83">
        <v>45910.0</v>
      </c>
      <c r="P180" s="82">
        <v>344417.0</v>
      </c>
      <c r="Q180" s="82" t="s">
        <v>511</v>
      </c>
      <c r="R180" s="82">
        <v>105.0</v>
      </c>
      <c r="S180" s="82">
        <v>105.0</v>
      </c>
      <c r="T180" s="82" t="s">
        <v>388</v>
      </c>
      <c r="U180" s="82" t="s">
        <v>389</v>
      </c>
      <c r="V180" s="83">
        <v>46188.0</v>
      </c>
      <c r="W180" s="82" t="s">
        <v>132</v>
      </c>
      <c r="X180" s="82" t="s">
        <v>365</v>
      </c>
      <c r="Y180" s="83">
        <v>45910.0</v>
      </c>
      <c r="Z180" s="83">
        <v>45895.0</v>
      </c>
    </row>
    <row r="181">
      <c r="A181" s="82" t="s">
        <v>381</v>
      </c>
      <c r="B181" s="82">
        <v>4095111.0</v>
      </c>
      <c r="C181" s="82" t="s">
        <v>382</v>
      </c>
      <c r="D181" s="83">
        <v>46164.0</v>
      </c>
      <c r="E181" s="82"/>
      <c r="F181" s="82" t="s">
        <v>547</v>
      </c>
      <c r="G181" s="82" t="s">
        <v>1009</v>
      </c>
      <c r="H181" s="82"/>
      <c r="I181" s="83"/>
      <c r="J181" s="83"/>
      <c r="K181" s="83"/>
      <c r="L181" s="82"/>
      <c r="M181" s="83">
        <v>45904.0</v>
      </c>
      <c r="N181" s="84"/>
      <c r="O181" s="83"/>
      <c r="P181" s="82">
        <v>409405.0</v>
      </c>
      <c r="Q181" s="82" t="s">
        <v>511</v>
      </c>
      <c r="R181" s="82">
        <v>996.0</v>
      </c>
      <c r="S181" s="82">
        <v>996.0</v>
      </c>
      <c r="T181" s="82" t="s">
        <v>379</v>
      </c>
      <c r="U181" s="82" t="s">
        <v>380</v>
      </c>
      <c r="V181" s="83"/>
      <c r="W181" s="82" t="s">
        <v>132</v>
      </c>
      <c r="X181" s="82" t="s">
        <v>365</v>
      </c>
      <c r="Y181" s="83">
        <v>45908.0</v>
      </c>
      <c r="Z181" s="83">
        <v>45896.0</v>
      </c>
    </row>
    <row r="182">
      <c r="A182" s="82" t="s">
        <v>395</v>
      </c>
      <c r="B182" s="82">
        <v>3024156.0</v>
      </c>
      <c r="C182" s="82" t="s">
        <v>396</v>
      </c>
      <c r="D182" s="83"/>
      <c r="E182" s="82" t="s">
        <v>522</v>
      </c>
      <c r="F182" s="82"/>
      <c r="G182" s="84"/>
      <c r="H182" s="82" t="s">
        <v>138</v>
      </c>
      <c r="I182" s="83">
        <v>46216.0</v>
      </c>
      <c r="J182" s="83">
        <v>45908.0</v>
      </c>
      <c r="K182" s="83">
        <v>46185.0</v>
      </c>
      <c r="L182" s="82"/>
      <c r="M182" s="83"/>
      <c r="N182" s="83"/>
      <c r="O182" s="83"/>
      <c r="P182" s="82">
        <v>732657.0</v>
      </c>
      <c r="Q182" s="82" t="s">
        <v>523</v>
      </c>
      <c r="R182" s="82">
        <v>102.0</v>
      </c>
      <c r="S182" s="82">
        <v>72.0</v>
      </c>
      <c r="T182" s="82" t="s">
        <v>393</v>
      </c>
      <c r="U182" s="82" t="s">
        <v>394</v>
      </c>
      <c r="V182" s="83">
        <v>46185.0</v>
      </c>
      <c r="W182" s="82" t="s">
        <v>132</v>
      </c>
      <c r="X182" s="82" t="s">
        <v>365</v>
      </c>
      <c r="Y182" s="83">
        <v>45916.0</v>
      </c>
      <c r="Z182" s="83">
        <v>45897.0</v>
      </c>
    </row>
    <row r="183">
      <c r="A183" s="82" t="s">
        <v>399</v>
      </c>
      <c r="B183" s="82">
        <v>4103219.0</v>
      </c>
      <c r="C183" s="82" t="s">
        <v>400</v>
      </c>
      <c r="D183" s="83">
        <v>45994.0</v>
      </c>
      <c r="E183" s="82" t="s">
        <v>522</v>
      </c>
      <c r="F183" s="84"/>
      <c r="G183" s="84"/>
      <c r="H183" s="82" t="s">
        <v>138</v>
      </c>
      <c r="I183" s="83">
        <v>46196.0</v>
      </c>
      <c r="J183" s="83">
        <v>45919.0</v>
      </c>
      <c r="K183" s="83">
        <v>46199.0</v>
      </c>
      <c r="L183" s="84"/>
      <c r="M183" s="84"/>
      <c r="N183" s="84"/>
      <c r="O183" s="84"/>
      <c r="P183" s="82">
        <v>271379.0</v>
      </c>
      <c r="Q183" s="82" t="s">
        <v>523</v>
      </c>
      <c r="R183" s="82">
        <v>66.61</v>
      </c>
      <c r="S183" s="82">
        <v>66.61</v>
      </c>
      <c r="T183" s="82" t="s">
        <v>397</v>
      </c>
      <c r="U183" s="82" t="s">
        <v>398</v>
      </c>
      <c r="V183" s="83">
        <v>46199.0</v>
      </c>
      <c r="W183" s="82" t="s">
        <v>132</v>
      </c>
      <c r="X183" s="82" t="s">
        <v>365</v>
      </c>
      <c r="Y183" s="83">
        <v>45919.0</v>
      </c>
      <c r="Z183" s="83">
        <v>45901.0</v>
      </c>
    </row>
    <row r="184">
      <c r="A184" s="82" t="s">
        <v>386</v>
      </c>
      <c r="B184" s="82">
        <v>4100689.0</v>
      </c>
      <c r="C184" s="82" t="s">
        <v>387</v>
      </c>
      <c r="D184" s="83">
        <v>46104.0</v>
      </c>
      <c r="E184" s="82"/>
      <c r="F184" s="82" t="s">
        <v>537</v>
      </c>
      <c r="G184" s="84"/>
      <c r="H184" s="82"/>
      <c r="I184" s="83"/>
      <c r="J184" s="83"/>
      <c r="K184" s="83"/>
      <c r="L184" s="82" t="s">
        <v>138</v>
      </c>
      <c r="M184" s="83">
        <v>45904.0</v>
      </c>
      <c r="N184" s="83">
        <v>46205.0</v>
      </c>
      <c r="O184" s="83">
        <v>45909.0</v>
      </c>
      <c r="P184" s="82">
        <v>358350.0</v>
      </c>
      <c r="Q184" s="82" t="s">
        <v>511</v>
      </c>
      <c r="R184" s="82">
        <v>940.0</v>
      </c>
      <c r="S184" s="82">
        <v>940.0</v>
      </c>
      <c r="T184" s="82" t="s">
        <v>384</v>
      </c>
      <c r="U184" s="82" t="s">
        <v>385</v>
      </c>
      <c r="V184" s="83">
        <v>46200.0</v>
      </c>
      <c r="W184" s="82" t="s">
        <v>132</v>
      </c>
      <c r="X184" s="82" t="s">
        <v>365</v>
      </c>
      <c r="Y184" s="83">
        <v>45908.0</v>
      </c>
      <c r="Z184" s="83">
        <v>45903.0</v>
      </c>
    </row>
    <row r="185">
      <c r="A185" s="82" t="s">
        <v>403</v>
      </c>
      <c r="B185" s="82">
        <v>4115795.0</v>
      </c>
      <c r="C185" s="82" t="s">
        <v>404</v>
      </c>
      <c r="D185" s="83">
        <v>46174.0</v>
      </c>
      <c r="E185" s="82" t="s">
        <v>522</v>
      </c>
      <c r="F185" s="82"/>
      <c r="G185" s="84"/>
      <c r="H185" s="82" t="s">
        <v>131</v>
      </c>
      <c r="I185" s="83">
        <v>45916.0</v>
      </c>
      <c r="J185" s="83">
        <v>45917.0</v>
      </c>
      <c r="K185" s="83">
        <v>45917.0</v>
      </c>
      <c r="L185" s="82"/>
      <c r="M185" s="83"/>
      <c r="N185" s="83"/>
      <c r="O185" s="83"/>
      <c r="P185" s="82">
        <v>270971.0</v>
      </c>
      <c r="Q185" s="82" t="s">
        <v>532</v>
      </c>
      <c r="R185" s="82">
        <v>1120.0</v>
      </c>
      <c r="S185" s="82">
        <v>1150.0</v>
      </c>
      <c r="T185" s="82" t="s">
        <v>401</v>
      </c>
      <c r="U185" s="82" t="s">
        <v>402</v>
      </c>
      <c r="V185" s="83">
        <v>45917.0</v>
      </c>
      <c r="W185" s="82" t="s">
        <v>132</v>
      </c>
      <c r="X185" s="82" t="s">
        <v>365</v>
      </c>
      <c r="Y185" s="83">
        <v>45920.0</v>
      </c>
      <c r="Z185" s="83">
        <v>45903.0</v>
      </c>
    </row>
    <row r="186">
      <c r="A186" s="82" t="s">
        <v>466</v>
      </c>
      <c r="B186" s="82">
        <v>3707279.0</v>
      </c>
      <c r="C186" s="82" t="s">
        <v>467</v>
      </c>
      <c r="D186" s="83">
        <v>46100.0</v>
      </c>
      <c r="E186" s="82" t="s">
        <v>604</v>
      </c>
      <c r="F186" s="82"/>
      <c r="G186" s="82" t="s">
        <v>583</v>
      </c>
      <c r="H186" s="82" t="s">
        <v>138</v>
      </c>
      <c r="I186" s="83">
        <v>46209.0</v>
      </c>
      <c r="J186" s="83"/>
      <c r="K186" s="83"/>
      <c r="L186" s="82"/>
      <c r="M186" s="83"/>
      <c r="N186" s="83"/>
      <c r="O186" s="83"/>
      <c r="P186" s="82"/>
      <c r="Q186" s="82"/>
      <c r="R186" s="82">
        <v>230.0</v>
      </c>
      <c r="S186" s="82">
        <v>240.0</v>
      </c>
      <c r="T186" s="82" t="s">
        <v>464</v>
      </c>
      <c r="U186" s="82" t="s">
        <v>465</v>
      </c>
      <c r="V186" s="83"/>
      <c r="W186" s="82" t="s">
        <v>132</v>
      </c>
      <c r="X186" s="82" t="s">
        <v>365</v>
      </c>
      <c r="Y186" s="83">
        <v>45958.0</v>
      </c>
      <c r="Z186" s="83">
        <v>45880.0</v>
      </c>
    </row>
    <row r="187">
      <c r="A187" s="82" t="s">
        <v>413</v>
      </c>
      <c r="B187" s="82">
        <v>4079020.0</v>
      </c>
      <c r="C187" s="82" t="s">
        <v>414</v>
      </c>
      <c r="D187" s="83">
        <v>45993.0</v>
      </c>
      <c r="E187" s="82" t="s">
        <v>604</v>
      </c>
      <c r="F187" s="82" t="s">
        <v>537</v>
      </c>
      <c r="G187" s="84"/>
      <c r="H187" s="82" t="s">
        <v>138</v>
      </c>
      <c r="I187" s="83">
        <v>46196.0</v>
      </c>
      <c r="J187" s="83">
        <v>45909.0</v>
      </c>
      <c r="K187" s="83">
        <v>46197.0</v>
      </c>
      <c r="L187" s="82" t="s">
        <v>131</v>
      </c>
      <c r="M187" s="83">
        <v>45985.0</v>
      </c>
      <c r="N187" s="83"/>
      <c r="O187" s="83">
        <v>45985.0</v>
      </c>
      <c r="P187" s="82">
        <v>376911.0</v>
      </c>
      <c r="Q187" s="82" t="s">
        <v>511</v>
      </c>
      <c r="R187" s="82">
        <v>140.0</v>
      </c>
      <c r="S187" s="82">
        <v>140.0</v>
      </c>
      <c r="T187" s="82" t="s">
        <v>411</v>
      </c>
      <c r="U187" s="82" t="s">
        <v>412</v>
      </c>
      <c r="V187" s="83">
        <v>46197.0</v>
      </c>
      <c r="W187" s="82" t="s">
        <v>132</v>
      </c>
      <c r="X187" s="82" t="s">
        <v>365</v>
      </c>
      <c r="Y187" s="83">
        <v>45937.0</v>
      </c>
      <c r="Z187" s="83">
        <v>45894.0</v>
      </c>
    </row>
    <row r="188">
      <c r="A188" s="82" t="s">
        <v>436</v>
      </c>
      <c r="B188" s="82">
        <v>4148405.0</v>
      </c>
      <c r="C188" s="82" t="s">
        <v>437</v>
      </c>
      <c r="D188" s="83">
        <v>46156.0</v>
      </c>
      <c r="E188" s="82"/>
      <c r="F188" s="82" t="s">
        <v>537</v>
      </c>
      <c r="G188" s="84"/>
      <c r="H188" s="82"/>
      <c r="I188" s="83"/>
      <c r="J188" s="83"/>
      <c r="K188" s="83"/>
      <c r="L188" s="82" t="s">
        <v>138</v>
      </c>
      <c r="M188" s="83">
        <v>45937.0</v>
      </c>
      <c r="N188" s="83">
        <v>46202.0</v>
      </c>
      <c r="O188" s="83">
        <v>45947.0</v>
      </c>
      <c r="P188" s="82">
        <v>358548.0</v>
      </c>
      <c r="Q188" s="82" t="s">
        <v>511</v>
      </c>
      <c r="R188" s="82">
        <v>0.0</v>
      </c>
      <c r="S188" s="82">
        <v>0.0</v>
      </c>
      <c r="T188" s="82" t="s">
        <v>434</v>
      </c>
      <c r="U188" s="82" t="s">
        <v>435</v>
      </c>
      <c r="V188" s="83">
        <v>46199.0</v>
      </c>
      <c r="W188" s="82" t="s">
        <v>132</v>
      </c>
      <c r="X188" s="82" t="s">
        <v>365</v>
      </c>
      <c r="Y188" s="83">
        <v>45954.0</v>
      </c>
      <c r="Z188" s="83">
        <v>45895.0</v>
      </c>
    </row>
    <row r="189">
      <c r="A189" s="82" t="s">
        <v>441</v>
      </c>
      <c r="B189" s="82">
        <v>3514759.0</v>
      </c>
      <c r="C189" s="82" t="s">
        <v>442</v>
      </c>
      <c r="D189" s="83">
        <v>45999.0</v>
      </c>
      <c r="E189" s="82" t="s">
        <v>522</v>
      </c>
      <c r="F189" s="82" t="s">
        <v>537</v>
      </c>
      <c r="G189" s="84"/>
      <c r="H189" s="82"/>
      <c r="I189" s="83"/>
      <c r="J189" s="83"/>
      <c r="K189" s="83"/>
      <c r="L189" s="82" t="s">
        <v>138</v>
      </c>
      <c r="M189" s="83">
        <v>45937.0</v>
      </c>
      <c r="N189" s="83"/>
      <c r="O189" s="83">
        <v>45938.0</v>
      </c>
      <c r="P189" s="82">
        <v>517330.0</v>
      </c>
      <c r="Q189" s="82" t="s">
        <v>511</v>
      </c>
      <c r="R189" s="82">
        <v>111.0</v>
      </c>
      <c r="S189" s="82">
        <v>11.0</v>
      </c>
      <c r="T189" s="82" t="s">
        <v>439</v>
      </c>
      <c r="U189" s="82" t="s">
        <v>440</v>
      </c>
      <c r="V189" s="83">
        <v>46171.0</v>
      </c>
      <c r="W189" s="82" t="s">
        <v>132</v>
      </c>
      <c r="X189" s="82" t="s">
        <v>365</v>
      </c>
      <c r="Y189" s="83">
        <v>45954.0</v>
      </c>
      <c r="Z189" s="83">
        <v>45895.0</v>
      </c>
    </row>
    <row r="190">
      <c r="A190" s="82" t="s">
        <v>445</v>
      </c>
      <c r="B190" s="82">
        <v>4162423.0</v>
      </c>
      <c r="C190" s="82" t="s">
        <v>446</v>
      </c>
      <c r="D190" s="83"/>
      <c r="E190" s="82"/>
      <c r="F190" s="82" t="s">
        <v>537</v>
      </c>
      <c r="G190" s="84"/>
      <c r="H190" s="82"/>
      <c r="I190" s="83"/>
      <c r="J190" s="83"/>
      <c r="K190" s="83"/>
      <c r="L190" s="82" t="s">
        <v>138</v>
      </c>
      <c r="M190" s="83">
        <v>45967.0</v>
      </c>
      <c r="N190" s="84"/>
      <c r="O190" s="83">
        <v>45968.0</v>
      </c>
      <c r="P190" s="82">
        <v>431164.0</v>
      </c>
      <c r="Q190" s="82" t="s">
        <v>511</v>
      </c>
      <c r="R190" s="82">
        <v>0.0</v>
      </c>
      <c r="S190" s="82">
        <v>0.0</v>
      </c>
      <c r="T190" s="82" t="s">
        <v>443</v>
      </c>
      <c r="U190" s="82" t="s">
        <v>444</v>
      </c>
      <c r="V190" s="83">
        <v>46199.0</v>
      </c>
      <c r="W190" s="82" t="s">
        <v>132</v>
      </c>
      <c r="X190" s="82" t="s">
        <v>365</v>
      </c>
      <c r="Y190" s="83">
        <v>45954.0</v>
      </c>
      <c r="Z190" s="83">
        <v>45895.0</v>
      </c>
    </row>
    <row r="191">
      <c r="A191" s="82" t="s">
        <v>449</v>
      </c>
      <c r="B191" s="82">
        <v>4154266.0</v>
      </c>
      <c r="C191" s="82" t="s">
        <v>450</v>
      </c>
      <c r="D191" s="83"/>
      <c r="E191" s="82" t="s">
        <v>604</v>
      </c>
      <c r="F191" s="82" t="s">
        <v>537</v>
      </c>
      <c r="G191" s="82"/>
      <c r="H191" s="82"/>
      <c r="I191" s="83"/>
      <c r="J191" s="83"/>
      <c r="K191" s="83"/>
      <c r="L191" s="82" t="s">
        <v>138</v>
      </c>
      <c r="M191" s="83">
        <v>45960.0</v>
      </c>
      <c r="N191" s="83">
        <v>46183.0</v>
      </c>
      <c r="O191" s="83">
        <v>45961.0</v>
      </c>
      <c r="P191" s="82">
        <v>392470.0</v>
      </c>
      <c r="Q191" s="82" t="s">
        <v>511</v>
      </c>
      <c r="R191" s="82">
        <v>0.0</v>
      </c>
      <c r="S191" s="82">
        <v>0.0</v>
      </c>
      <c r="T191" s="82" t="s">
        <v>447</v>
      </c>
      <c r="U191" s="82" t="s">
        <v>448</v>
      </c>
      <c r="V191" s="83">
        <v>46200.0</v>
      </c>
      <c r="W191" s="82" t="s">
        <v>132</v>
      </c>
      <c r="X191" s="82" t="s">
        <v>365</v>
      </c>
      <c r="Y191" s="83">
        <v>45954.0</v>
      </c>
      <c r="Z191" s="83">
        <v>45895.0</v>
      </c>
    </row>
    <row r="192">
      <c r="A192" s="82" t="s">
        <v>462</v>
      </c>
      <c r="B192" s="82">
        <v>4132416.0</v>
      </c>
      <c r="C192" s="82" t="s">
        <v>463</v>
      </c>
      <c r="D192" s="83">
        <v>46164.0</v>
      </c>
      <c r="E192" s="82" t="s">
        <v>522</v>
      </c>
      <c r="F192" s="82"/>
      <c r="G192" s="84"/>
      <c r="H192" s="82" t="s">
        <v>131</v>
      </c>
      <c r="I192" s="83">
        <v>45923.0</v>
      </c>
      <c r="J192" s="83">
        <v>45924.0</v>
      </c>
      <c r="K192" s="83">
        <v>45924.0</v>
      </c>
      <c r="L192" s="82"/>
      <c r="M192" s="83"/>
      <c r="N192" s="83"/>
      <c r="O192" s="83"/>
      <c r="P192" s="82">
        <v>414266.0</v>
      </c>
      <c r="Q192" s="82" t="s">
        <v>511</v>
      </c>
      <c r="R192" s="82">
        <v>355.0</v>
      </c>
      <c r="S192" s="82">
        <v>410.0</v>
      </c>
      <c r="T192" s="82" t="s">
        <v>460</v>
      </c>
      <c r="U192" s="82" t="s">
        <v>461</v>
      </c>
      <c r="V192" s="83">
        <v>45924.0</v>
      </c>
      <c r="W192" s="82" t="s">
        <v>132</v>
      </c>
      <c r="X192" s="82" t="s">
        <v>365</v>
      </c>
      <c r="Y192" s="83">
        <v>45958.0</v>
      </c>
      <c r="Z192" s="83">
        <v>45905.0</v>
      </c>
    </row>
    <row r="193">
      <c r="A193" s="82" t="s">
        <v>422</v>
      </c>
      <c r="B193" s="82">
        <v>4112463.0</v>
      </c>
      <c r="C193" s="82" t="s">
        <v>423</v>
      </c>
      <c r="D193" s="83">
        <v>46155.0</v>
      </c>
      <c r="E193" s="82" t="s">
        <v>522</v>
      </c>
      <c r="F193" s="82"/>
      <c r="G193" s="82"/>
      <c r="H193" s="82" t="s">
        <v>138</v>
      </c>
      <c r="I193" s="83">
        <v>46198.0</v>
      </c>
      <c r="J193" s="83">
        <v>45945.0</v>
      </c>
      <c r="K193" s="83">
        <v>46199.0</v>
      </c>
      <c r="L193" s="82"/>
      <c r="M193" s="83"/>
      <c r="N193" s="84"/>
      <c r="O193" s="83"/>
      <c r="P193" s="82">
        <v>277427.0</v>
      </c>
      <c r="Q193" s="82" t="s">
        <v>557</v>
      </c>
      <c r="R193" s="82">
        <v>162.0</v>
      </c>
      <c r="S193" s="82">
        <v>107.0</v>
      </c>
      <c r="T193" s="82" t="s">
        <v>420</v>
      </c>
      <c r="U193" s="82" t="s">
        <v>421</v>
      </c>
      <c r="V193" s="83">
        <v>46199.0</v>
      </c>
      <c r="W193" s="82" t="s">
        <v>132</v>
      </c>
      <c r="X193" s="82" t="s">
        <v>365</v>
      </c>
      <c r="Y193" s="83">
        <v>45945.0</v>
      </c>
      <c r="Z193" s="83">
        <v>45911.0</v>
      </c>
    </row>
    <row r="194">
      <c r="A194" s="82" t="s">
        <v>457</v>
      </c>
      <c r="B194" s="82">
        <v>3543707.0</v>
      </c>
      <c r="C194" s="82" t="s">
        <v>458</v>
      </c>
      <c r="D194" s="83"/>
      <c r="E194" s="82" t="s">
        <v>604</v>
      </c>
      <c r="F194" s="82" t="s">
        <v>537</v>
      </c>
      <c r="G194" s="82"/>
      <c r="H194" s="82" t="s">
        <v>138</v>
      </c>
      <c r="I194" s="83">
        <v>46198.0</v>
      </c>
      <c r="J194" s="83">
        <v>45930.0</v>
      </c>
      <c r="K194" s="83">
        <v>46197.0</v>
      </c>
      <c r="L194" s="82" t="s">
        <v>163</v>
      </c>
      <c r="M194" s="83">
        <v>45960.0</v>
      </c>
      <c r="N194" s="84"/>
      <c r="O194" s="83">
        <v>45965.0</v>
      </c>
      <c r="P194" s="82">
        <v>271510.0</v>
      </c>
      <c r="Q194" s="82" t="s">
        <v>523</v>
      </c>
      <c r="R194" s="82">
        <v>165.0</v>
      </c>
      <c r="S194" s="82">
        <v>190.0</v>
      </c>
      <c r="T194" s="82" t="s">
        <v>455</v>
      </c>
      <c r="U194" s="82" t="s">
        <v>456</v>
      </c>
      <c r="V194" s="83">
        <v>46197.0</v>
      </c>
      <c r="W194" s="82" t="s">
        <v>132</v>
      </c>
      <c r="X194" s="82" t="s">
        <v>365</v>
      </c>
      <c r="Y194" s="83">
        <v>45958.0</v>
      </c>
      <c r="Z194" s="83">
        <v>45915.0</v>
      </c>
    </row>
    <row r="195">
      <c r="A195" s="82" t="s">
        <v>430</v>
      </c>
      <c r="B195" s="82">
        <v>4117708.0</v>
      </c>
      <c r="C195" s="82" t="s">
        <v>431</v>
      </c>
      <c r="D195" s="83">
        <v>46177.0</v>
      </c>
      <c r="E195" s="82" t="s">
        <v>522</v>
      </c>
      <c r="F195" s="82"/>
      <c r="G195" s="84"/>
      <c r="H195" s="82" t="s">
        <v>131</v>
      </c>
      <c r="I195" s="83">
        <v>45951.0</v>
      </c>
      <c r="J195" s="83">
        <v>45951.0</v>
      </c>
      <c r="K195" s="83">
        <v>45951.0</v>
      </c>
      <c r="L195" s="82"/>
      <c r="M195" s="83"/>
      <c r="N195" s="84"/>
      <c r="O195" s="83"/>
      <c r="P195" s="82">
        <v>402126.0</v>
      </c>
      <c r="Q195" s="82" t="s">
        <v>511</v>
      </c>
      <c r="R195" s="82">
        <v>800.0</v>
      </c>
      <c r="S195" s="82">
        <v>800.0</v>
      </c>
      <c r="T195" s="82" t="s">
        <v>428</v>
      </c>
      <c r="U195" s="82" t="s">
        <v>429</v>
      </c>
      <c r="V195" s="83">
        <v>45951.0</v>
      </c>
      <c r="W195" s="82" t="s">
        <v>132</v>
      </c>
      <c r="X195" s="82" t="s">
        <v>365</v>
      </c>
      <c r="Y195" s="83">
        <v>45951.0</v>
      </c>
      <c r="Z195" s="83">
        <v>45916.0</v>
      </c>
    </row>
    <row r="196">
      <c r="A196" s="82" t="s">
        <v>407</v>
      </c>
      <c r="B196" s="82">
        <v>2340816.0</v>
      </c>
      <c r="C196" s="82" t="s">
        <v>408</v>
      </c>
      <c r="D196" s="83">
        <v>45974.0</v>
      </c>
      <c r="E196" s="82" t="s">
        <v>522</v>
      </c>
      <c r="F196" s="82"/>
      <c r="G196" s="84"/>
      <c r="H196" s="82" t="s">
        <v>138</v>
      </c>
      <c r="I196" s="83">
        <v>46199.0</v>
      </c>
      <c r="J196" s="83">
        <v>45937.0</v>
      </c>
      <c r="K196" s="83">
        <v>46199.0</v>
      </c>
      <c r="L196" s="82"/>
      <c r="M196" s="83"/>
      <c r="N196" s="84"/>
      <c r="O196" s="83"/>
      <c r="P196" s="82">
        <v>294209.0</v>
      </c>
      <c r="Q196" s="82" t="s">
        <v>532</v>
      </c>
      <c r="R196" s="82">
        <v>50.0</v>
      </c>
      <c r="S196" s="82">
        <v>50.0</v>
      </c>
      <c r="T196" s="82" t="s">
        <v>405</v>
      </c>
      <c r="U196" s="82" t="s">
        <v>406</v>
      </c>
      <c r="V196" s="83">
        <v>46199.0</v>
      </c>
      <c r="W196" s="82" t="s">
        <v>132</v>
      </c>
      <c r="X196" s="82" t="s">
        <v>365</v>
      </c>
      <c r="Y196" s="83">
        <v>45936.0</v>
      </c>
      <c r="Z196" s="83">
        <v>45929.0</v>
      </c>
    </row>
    <row r="197">
      <c r="A197" s="82" t="s">
        <v>417</v>
      </c>
      <c r="B197" s="82">
        <v>4136952.0</v>
      </c>
      <c r="C197" s="82" t="s">
        <v>418</v>
      </c>
      <c r="D197" s="83">
        <v>45993.0</v>
      </c>
      <c r="E197" s="82" t="s">
        <v>522</v>
      </c>
      <c r="F197" s="82"/>
      <c r="G197" s="84"/>
      <c r="H197" s="82" t="s">
        <v>138</v>
      </c>
      <c r="I197" s="83">
        <v>46202.0</v>
      </c>
      <c r="J197" s="83">
        <v>45937.0</v>
      </c>
      <c r="K197" s="83">
        <v>46196.0</v>
      </c>
      <c r="L197" s="82"/>
      <c r="M197" s="83"/>
      <c r="N197" s="84"/>
      <c r="O197" s="83"/>
      <c r="P197" s="82">
        <v>578179.0</v>
      </c>
      <c r="Q197" s="82" t="s">
        <v>532</v>
      </c>
      <c r="R197" s="82">
        <v>50.0</v>
      </c>
      <c r="S197" s="82">
        <v>25.0</v>
      </c>
      <c r="T197" s="82" t="s">
        <v>415</v>
      </c>
      <c r="U197" s="82" t="s">
        <v>416</v>
      </c>
      <c r="V197" s="83">
        <v>46196.0</v>
      </c>
      <c r="W197" s="82" t="s">
        <v>132</v>
      </c>
      <c r="X197" s="82" t="s">
        <v>365</v>
      </c>
      <c r="Y197" s="83">
        <v>45938.0</v>
      </c>
      <c r="Z197" s="83">
        <v>45930.0</v>
      </c>
    </row>
    <row r="198">
      <c r="A198" s="82" t="s">
        <v>426</v>
      </c>
      <c r="B198" s="82">
        <v>4107679.0</v>
      </c>
      <c r="C198" s="82" t="s">
        <v>427</v>
      </c>
      <c r="D198" s="83">
        <v>46028.0</v>
      </c>
      <c r="E198" s="82" t="s">
        <v>522</v>
      </c>
      <c r="F198" s="82"/>
      <c r="G198" s="84"/>
      <c r="H198" s="82" t="s">
        <v>138</v>
      </c>
      <c r="I198" s="83">
        <v>46195.0</v>
      </c>
      <c r="J198" s="83">
        <v>45950.0</v>
      </c>
      <c r="K198" s="83">
        <v>46195.0</v>
      </c>
      <c r="L198" s="82"/>
      <c r="M198" s="83"/>
      <c r="N198" s="84"/>
      <c r="O198" s="83"/>
      <c r="P198" s="82">
        <v>623211.0</v>
      </c>
      <c r="Q198" s="82"/>
      <c r="R198" s="82">
        <v>118.13</v>
      </c>
      <c r="S198" s="82">
        <v>119.52</v>
      </c>
      <c r="T198" s="82" t="s">
        <v>424</v>
      </c>
      <c r="U198" s="82" t="s">
        <v>425</v>
      </c>
      <c r="V198" s="83">
        <v>46195.0</v>
      </c>
      <c r="W198" s="82" t="s">
        <v>132</v>
      </c>
      <c r="X198" s="82" t="s">
        <v>365</v>
      </c>
      <c r="Y198" s="83">
        <v>45950.0</v>
      </c>
      <c r="Z198" s="83">
        <v>45930.0</v>
      </c>
    </row>
    <row r="199">
      <c r="A199" s="82" t="s">
        <v>453</v>
      </c>
      <c r="B199" s="82">
        <v>4186958.0</v>
      </c>
      <c r="C199" s="82" t="s">
        <v>1010</v>
      </c>
      <c r="D199" s="83">
        <v>45993.0</v>
      </c>
      <c r="E199" s="82" t="s">
        <v>522</v>
      </c>
      <c r="F199" s="82"/>
      <c r="G199" s="84"/>
      <c r="H199" s="82" t="s">
        <v>138</v>
      </c>
      <c r="I199" s="83">
        <v>46230.0</v>
      </c>
      <c r="J199" s="83">
        <v>45957.0</v>
      </c>
      <c r="K199" s="83">
        <v>46199.0</v>
      </c>
      <c r="L199" s="82"/>
      <c r="M199" s="83"/>
      <c r="N199" s="84"/>
      <c r="O199" s="83"/>
      <c r="P199" s="82">
        <v>395725.0</v>
      </c>
      <c r="Q199" s="82" t="s">
        <v>511</v>
      </c>
      <c r="R199" s="82">
        <v>55.0</v>
      </c>
      <c r="S199" s="82">
        <v>84.16</v>
      </c>
      <c r="T199" s="82" t="s">
        <v>451</v>
      </c>
      <c r="U199" s="82" t="s">
        <v>452</v>
      </c>
      <c r="V199" s="83">
        <v>46199.0</v>
      </c>
      <c r="W199" s="82" t="s">
        <v>132</v>
      </c>
      <c r="X199" s="82" t="s">
        <v>365</v>
      </c>
      <c r="Y199" s="83">
        <v>45957.0</v>
      </c>
      <c r="Z199" s="83">
        <v>45931.0</v>
      </c>
    </row>
    <row r="200">
      <c r="A200" s="82" t="s">
        <v>1011</v>
      </c>
      <c r="B200" s="82">
        <v>4159804.0</v>
      </c>
      <c r="C200" s="82" t="s">
        <v>1012</v>
      </c>
      <c r="D200" s="83">
        <v>45945.0</v>
      </c>
      <c r="E200" s="82" t="s">
        <v>522</v>
      </c>
      <c r="F200" s="82"/>
      <c r="G200" s="82"/>
      <c r="H200" s="82" t="s">
        <v>131</v>
      </c>
      <c r="I200" s="83">
        <v>45937.0</v>
      </c>
      <c r="J200" s="83">
        <v>45939.0</v>
      </c>
      <c r="K200" s="83">
        <v>45939.0</v>
      </c>
      <c r="L200" s="82"/>
      <c r="M200" s="83"/>
      <c r="N200" s="84"/>
      <c r="O200" s="83"/>
      <c r="P200" s="82">
        <v>464720.0</v>
      </c>
      <c r="Q200" s="82" t="s">
        <v>511</v>
      </c>
      <c r="R200" s="82">
        <v>263.0</v>
      </c>
      <c r="S200" s="82">
        <v>94.8</v>
      </c>
      <c r="T200" s="82" t="s">
        <v>1013</v>
      </c>
      <c r="U200" s="82" t="s">
        <v>1014</v>
      </c>
      <c r="V200" s="83">
        <v>45939.0</v>
      </c>
      <c r="W200" s="82" t="s">
        <v>132</v>
      </c>
      <c r="X200" s="82" t="s">
        <v>365</v>
      </c>
      <c r="Y200" s="83">
        <v>45939.0</v>
      </c>
      <c r="Z200" s="83">
        <v>45937.0</v>
      </c>
    </row>
    <row r="201">
      <c r="A201" s="82" t="s">
        <v>472</v>
      </c>
      <c r="B201" s="82">
        <v>4185373.0</v>
      </c>
      <c r="C201" s="82" t="s">
        <v>473</v>
      </c>
      <c r="D201" s="83">
        <v>46196.0</v>
      </c>
      <c r="E201" s="82"/>
      <c r="F201" s="82" t="s">
        <v>537</v>
      </c>
      <c r="G201" s="82"/>
      <c r="H201" s="82"/>
      <c r="I201" s="83"/>
      <c r="J201" s="83"/>
      <c r="K201" s="83"/>
      <c r="L201" s="82" t="s">
        <v>138</v>
      </c>
      <c r="M201" s="83">
        <v>45951.0</v>
      </c>
      <c r="N201" s="83"/>
      <c r="O201" s="83">
        <v>45953.0</v>
      </c>
      <c r="P201" s="82">
        <v>329174.0</v>
      </c>
      <c r="Q201" s="82" t="s">
        <v>511</v>
      </c>
      <c r="R201" s="82">
        <v>355.0</v>
      </c>
      <c r="S201" s="82">
        <v>365.0</v>
      </c>
      <c r="T201" s="82" t="s">
        <v>470</v>
      </c>
      <c r="U201" s="82" t="s">
        <v>471</v>
      </c>
      <c r="V201" s="83">
        <v>46199.0</v>
      </c>
      <c r="W201" s="82" t="s">
        <v>132</v>
      </c>
      <c r="X201" s="82" t="s">
        <v>365</v>
      </c>
      <c r="Y201" s="83">
        <v>45958.0</v>
      </c>
      <c r="Z201" s="83">
        <v>45940.0</v>
      </c>
    </row>
    <row r="202">
      <c r="A202" s="82" t="s">
        <v>481</v>
      </c>
      <c r="B202" s="82">
        <v>1938612.0</v>
      </c>
      <c r="C202" s="82" t="s">
        <v>482</v>
      </c>
      <c r="D202" s="83">
        <v>46160.0</v>
      </c>
      <c r="E202" s="82" t="s">
        <v>522</v>
      </c>
      <c r="F202" s="82" t="s">
        <v>537</v>
      </c>
      <c r="G202" s="82"/>
      <c r="H202" s="82" t="s">
        <v>138</v>
      </c>
      <c r="I202" s="83">
        <v>46202.0</v>
      </c>
      <c r="J202" s="83">
        <v>45965.0</v>
      </c>
      <c r="K202" s="83">
        <v>46199.0</v>
      </c>
      <c r="L202" s="82" t="s">
        <v>131</v>
      </c>
      <c r="M202" s="83">
        <v>46010.0</v>
      </c>
      <c r="N202" s="84"/>
      <c r="O202" s="83">
        <v>46013.0</v>
      </c>
      <c r="P202" s="82">
        <v>294009.0</v>
      </c>
      <c r="Q202" s="82" t="s">
        <v>557</v>
      </c>
      <c r="R202" s="82">
        <v>226.0</v>
      </c>
      <c r="S202" s="82">
        <v>146.0</v>
      </c>
      <c r="T202" s="82" t="s">
        <v>479</v>
      </c>
      <c r="U202" s="82" t="s">
        <v>480</v>
      </c>
      <c r="V202" s="83">
        <v>46199.0</v>
      </c>
      <c r="W202" s="82" t="s">
        <v>132</v>
      </c>
      <c r="X202" s="82" t="s">
        <v>365</v>
      </c>
      <c r="Y202" s="83">
        <v>45966.0</v>
      </c>
      <c r="Z202" s="83">
        <v>45904.0</v>
      </c>
    </row>
    <row r="203">
      <c r="A203" s="82" t="s">
        <v>1015</v>
      </c>
      <c r="B203" s="82">
        <v>4008768.0</v>
      </c>
      <c r="C203" s="82" t="s">
        <v>1016</v>
      </c>
      <c r="D203" s="83">
        <v>45954.0</v>
      </c>
      <c r="E203" s="82"/>
      <c r="F203" s="84"/>
      <c r="G203" s="84"/>
      <c r="H203" s="82"/>
      <c r="I203" s="83"/>
      <c r="J203" s="83"/>
      <c r="K203" s="83"/>
      <c r="L203" s="84"/>
      <c r="M203" s="84"/>
      <c r="N203" s="84"/>
      <c r="O203" s="84"/>
      <c r="P203" s="82">
        <v>442326.0</v>
      </c>
      <c r="Q203" s="82" t="s">
        <v>511</v>
      </c>
      <c r="R203" s="82">
        <v>130.0</v>
      </c>
      <c r="S203" s="82">
        <v>130.0</v>
      </c>
      <c r="T203" s="82" t="s">
        <v>1017</v>
      </c>
      <c r="U203" s="82" t="s">
        <v>1018</v>
      </c>
      <c r="V203" s="83"/>
      <c r="W203" s="82" t="s">
        <v>514</v>
      </c>
      <c r="X203" s="82" t="s">
        <v>365</v>
      </c>
      <c r="Y203" s="83">
        <v>45982.0</v>
      </c>
      <c r="Z203" s="83">
        <v>45911.0</v>
      </c>
    </row>
    <row r="204">
      <c r="A204" s="82" t="s">
        <v>1019</v>
      </c>
      <c r="B204" s="82">
        <v>2080510.0</v>
      </c>
      <c r="C204" s="82" t="s">
        <v>1020</v>
      </c>
      <c r="D204" s="83">
        <v>45979.0</v>
      </c>
      <c r="E204" s="82" t="s">
        <v>522</v>
      </c>
      <c r="F204" s="82"/>
      <c r="G204" s="84"/>
      <c r="H204" s="82"/>
      <c r="I204" s="83"/>
      <c r="J204" s="83"/>
      <c r="K204" s="83"/>
      <c r="L204" s="82"/>
      <c r="M204" s="83"/>
      <c r="N204" s="83"/>
      <c r="O204" s="83"/>
      <c r="P204" s="82">
        <v>464231.0</v>
      </c>
      <c r="Q204" s="82" t="s">
        <v>511</v>
      </c>
      <c r="R204" s="82">
        <v>92.0</v>
      </c>
      <c r="S204" s="82">
        <v>92.0</v>
      </c>
      <c r="T204" s="82" t="s">
        <v>1021</v>
      </c>
      <c r="U204" s="82" t="s">
        <v>1022</v>
      </c>
      <c r="V204" s="83"/>
      <c r="W204" s="82" t="s">
        <v>514</v>
      </c>
      <c r="X204" s="82" t="s">
        <v>365</v>
      </c>
      <c r="Y204" s="83">
        <v>45979.0</v>
      </c>
      <c r="Z204" s="83">
        <v>45911.0</v>
      </c>
    </row>
    <row r="205">
      <c r="A205" s="82" t="s">
        <v>1023</v>
      </c>
      <c r="B205" s="82">
        <v>3460424.0</v>
      </c>
      <c r="C205" s="82" t="s">
        <v>1024</v>
      </c>
      <c r="D205" s="83">
        <v>45966.0</v>
      </c>
      <c r="E205" s="82"/>
      <c r="F205" s="82"/>
      <c r="G205" s="82"/>
      <c r="H205" s="82"/>
      <c r="I205" s="83"/>
      <c r="J205" s="83"/>
      <c r="K205" s="83"/>
      <c r="L205" s="82"/>
      <c r="M205" s="83"/>
      <c r="N205" s="83"/>
      <c r="O205" s="83"/>
      <c r="P205" s="82">
        <v>367510.0</v>
      </c>
      <c r="Q205" s="82" t="s">
        <v>511</v>
      </c>
      <c r="R205" s="82">
        <v>55.0</v>
      </c>
      <c r="S205" s="82">
        <v>55.0</v>
      </c>
      <c r="T205" s="82" t="s">
        <v>1025</v>
      </c>
      <c r="U205" s="82" t="s">
        <v>1026</v>
      </c>
      <c r="V205" s="83"/>
      <c r="W205" s="82" t="s">
        <v>514</v>
      </c>
      <c r="X205" s="82" t="s">
        <v>365</v>
      </c>
      <c r="Y205" s="83">
        <v>45982.0</v>
      </c>
      <c r="Z205" s="83">
        <v>45915.0</v>
      </c>
    </row>
    <row r="206">
      <c r="A206" s="82" t="s">
        <v>1027</v>
      </c>
      <c r="B206" s="82">
        <v>4112502.0</v>
      </c>
      <c r="C206" s="82" t="s">
        <v>1028</v>
      </c>
      <c r="D206" s="83">
        <v>45945.0</v>
      </c>
      <c r="E206" s="82" t="s">
        <v>604</v>
      </c>
      <c r="F206" s="82"/>
      <c r="G206" s="84"/>
      <c r="H206" s="82"/>
      <c r="I206" s="83"/>
      <c r="J206" s="83"/>
      <c r="K206" s="83"/>
      <c r="L206" s="82"/>
      <c r="M206" s="83"/>
      <c r="N206" s="83"/>
      <c r="O206" s="83"/>
      <c r="P206" s="82">
        <v>530195.0</v>
      </c>
      <c r="Q206" s="82" t="s">
        <v>511</v>
      </c>
      <c r="R206" s="82">
        <v>55.0</v>
      </c>
      <c r="S206" s="82">
        <v>55.0</v>
      </c>
      <c r="T206" s="82" t="s">
        <v>1029</v>
      </c>
      <c r="U206" s="82" t="s">
        <v>1030</v>
      </c>
      <c r="V206" s="83"/>
      <c r="W206" s="82" t="s">
        <v>514</v>
      </c>
      <c r="X206" s="82" t="s">
        <v>365</v>
      </c>
      <c r="Y206" s="83">
        <v>45966.0</v>
      </c>
      <c r="Z206" s="83">
        <v>45915.0</v>
      </c>
    </row>
    <row r="207">
      <c r="A207" s="82" t="s">
        <v>476</v>
      </c>
      <c r="B207" s="82">
        <v>4138622.0</v>
      </c>
      <c r="C207" s="82" t="s">
        <v>477</v>
      </c>
      <c r="D207" s="83">
        <v>45993.0</v>
      </c>
      <c r="E207" s="82" t="s">
        <v>522</v>
      </c>
      <c r="F207" s="82" t="s">
        <v>537</v>
      </c>
      <c r="G207" s="84"/>
      <c r="H207" s="82"/>
      <c r="I207" s="83"/>
      <c r="J207" s="83"/>
      <c r="K207" s="83"/>
      <c r="L207" s="82" t="s">
        <v>138</v>
      </c>
      <c r="M207" s="83">
        <v>45925.0</v>
      </c>
      <c r="N207" s="83">
        <v>46202.0</v>
      </c>
      <c r="O207" s="83">
        <v>45930.0</v>
      </c>
      <c r="P207" s="82">
        <v>506581.0</v>
      </c>
      <c r="Q207" s="82" t="s">
        <v>511</v>
      </c>
      <c r="R207" s="82">
        <v>52.0</v>
      </c>
      <c r="S207" s="82">
        <v>52.0</v>
      </c>
      <c r="T207" s="82" t="s">
        <v>474</v>
      </c>
      <c r="U207" s="82" t="s">
        <v>475</v>
      </c>
      <c r="V207" s="83">
        <v>46197.0</v>
      </c>
      <c r="W207" s="82" t="s">
        <v>132</v>
      </c>
      <c r="X207" s="82" t="s">
        <v>365</v>
      </c>
      <c r="Y207" s="83">
        <v>45966.0</v>
      </c>
      <c r="Z207" s="83">
        <v>45916.0</v>
      </c>
    </row>
    <row r="208">
      <c r="A208" s="82" t="s">
        <v>1031</v>
      </c>
      <c r="B208" s="82">
        <v>4133938.0</v>
      </c>
      <c r="C208" s="82" t="s">
        <v>1032</v>
      </c>
      <c r="D208" s="83">
        <v>45966.0</v>
      </c>
      <c r="E208" s="82"/>
      <c r="F208" s="82"/>
      <c r="G208" s="84"/>
      <c r="H208" s="82"/>
      <c r="I208" s="83"/>
      <c r="J208" s="83"/>
      <c r="K208" s="83"/>
      <c r="L208" s="82"/>
      <c r="M208" s="83"/>
      <c r="N208" s="83"/>
      <c r="O208" s="83"/>
      <c r="P208" s="82">
        <v>272446.0</v>
      </c>
      <c r="Q208" s="82" t="s">
        <v>557</v>
      </c>
      <c r="R208" s="82">
        <v>340.0</v>
      </c>
      <c r="S208" s="82">
        <v>340.0</v>
      </c>
      <c r="T208" s="82" t="s">
        <v>1033</v>
      </c>
      <c r="U208" s="82" t="s">
        <v>1034</v>
      </c>
      <c r="V208" s="83"/>
      <c r="W208" s="82" t="s">
        <v>514</v>
      </c>
      <c r="X208" s="82" t="s">
        <v>365</v>
      </c>
      <c r="Y208" s="83">
        <v>45979.0</v>
      </c>
      <c r="Z208" s="83">
        <v>45916.0</v>
      </c>
    </row>
    <row r="209">
      <c r="A209" s="82" t="s">
        <v>1035</v>
      </c>
      <c r="B209" s="82">
        <v>1891978.0</v>
      </c>
      <c r="C209" s="82" t="s">
        <v>1036</v>
      </c>
      <c r="D209" s="83">
        <v>45937.0</v>
      </c>
      <c r="E209" s="82" t="s">
        <v>522</v>
      </c>
      <c r="F209" s="82"/>
      <c r="G209" s="84"/>
      <c r="H209" s="82"/>
      <c r="I209" s="83"/>
      <c r="J209" s="83"/>
      <c r="K209" s="83"/>
      <c r="L209" s="82"/>
      <c r="M209" s="83"/>
      <c r="N209" s="83"/>
      <c r="O209" s="83"/>
      <c r="P209" s="82"/>
      <c r="Q209" s="82"/>
      <c r="R209" s="82">
        <v>242.5</v>
      </c>
      <c r="S209" s="82">
        <v>258.5</v>
      </c>
      <c r="T209" s="82" t="s">
        <v>1037</v>
      </c>
      <c r="U209" s="82" t="s">
        <v>1038</v>
      </c>
      <c r="V209" s="83"/>
      <c r="W209" s="82" t="s">
        <v>514</v>
      </c>
      <c r="X209" s="82" t="s">
        <v>365</v>
      </c>
      <c r="Y209" s="83">
        <v>45966.0</v>
      </c>
      <c r="Z209" s="83">
        <v>45937.0</v>
      </c>
    </row>
    <row r="210">
      <c r="A210" s="82" t="s">
        <v>1039</v>
      </c>
      <c r="B210" s="82">
        <v>4208610.0</v>
      </c>
      <c r="C210" s="82" t="s">
        <v>1040</v>
      </c>
      <c r="D210" s="83">
        <v>46160.0</v>
      </c>
      <c r="E210" s="82" t="s">
        <v>604</v>
      </c>
      <c r="F210" s="82"/>
      <c r="G210" s="82"/>
      <c r="H210" s="82" t="s">
        <v>138</v>
      </c>
      <c r="I210" s="83">
        <v>46230.0</v>
      </c>
      <c r="J210" s="83">
        <v>45987.0</v>
      </c>
      <c r="K210" s="83">
        <v>46175.0</v>
      </c>
      <c r="L210" s="82"/>
      <c r="M210" s="83"/>
      <c r="N210" s="83"/>
      <c r="O210" s="83"/>
      <c r="P210" s="82">
        <v>305029.0</v>
      </c>
      <c r="Q210" s="82" t="s">
        <v>557</v>
      </c>
      <c r="R210" s="82">
        <v>190.5</v>
      </c>
      <c r="S210" s="82">
        <v>145.7</v>
      </c>
      <c r="T210" s="82" t="s">
        <v>1041</v>
      </c>
      <c r="U210" s="82" t="s">
        <v>1042</v>
      </c>
      <c r="V210" s="83">
        <v>46175.0</v>
      </c>
      <c r="W210" s="82" t="s">
        <v>132</v>
      </c>
      <c r="X210" s="82" t="s">
        <v>365</v>
      </c>
      <c r="Y210" s="83">
        <v>45987.0</v>
      </c>
      <c r="Z210" s="83">
        <v>45947.0</v>
      </c>
    </row>
    <row r="211">
      <c r="A211" s="82" t="s">
        <v>1043</v>
      </c>
      <c r="B211" s="82">
        <v>4213771.0</v>
      </c>
      <c r="C211" s="82" t="s">
        <v>1044</v>
      </c>
      <c r="D211" s="83">
        <v>45957.0</v>
      </c>
      <c r="E211" s="82" t="s">
        <v>570</v>
      </c>
      <c r="F211" s="82"/>
      <c r="G211" s="84"/>
      <c r="H211" s="82" t="s">
        <v>131</v>
      </c>
      <c r="I211" s="83">
        <v>45966.0</v>
      </c>
      <c r="J211" s="83">
        <v>45967.0</v>
      </c>
      <c r="K211" s="83">
        <v>45967.0</v>
      </c>
      <c r="L211" s="82"/>
      <c r="M211" s="83"/>
      <c r="N211" s="83"/>
      <c r="O211" s="83"/>
      <c r="P211" s="82">
        <v>445868.0</v>
      </c>
      <c r="Q211" s="82" t="s">
        <v>511</v>
      </c>
      <c r="R211" s="82">
        <v>98.63</v>
      </c>
      <c r="S211" s="82">
        <v>68.04</v>
      </c>
      <c r="T211" s="82" t="s">
        <v>1045</v>
      </c>
      <c r="U211" s="82" t="s">
        <v>1046</v>
      </c>
      <c r="V211" s="83">
        <v>45967.0</v>
      </c>
      <c r="W211" s="82" t="s">
        <v>132</v>
      </c>
      <c r="X211" s="82" t="s">
        <v>365</v>
      </c>
      <c r="Y211" s="83">
        <v>45974.0</v>
      </c>
      <c r="Z211" s="83">
        <v>45957.0</v>
      </c>
    </row>
    <row r="212">
      <c r="A212" s="82" t="s">
        <v>1047</v>
      </c>
      <c r="B212" s="82">
        <v>4219847.0</v>
      </c>
      <c r="C212" s="82" t="s">
        <v>1048</v>
      </c>
      <c r="D212" s="83">
        <v>45975.0</v>
      </c>
      <c r="E212" s="82"/>
      <c r="F212" s="82" t="s">
        <v>537</v>
      </c>
      <c r="G212" s="84"/>
      <c r="H212" s="82"/>
      <c r="I212" s="83"/>
      <c r="J212" s="83"/>
      <c r="K212" s="83"/>
      <c r="L212" s="82" t="s">
        <v>131</v>
      </c>
      <c r="M212" s="83">
        <v>45973.0</v>
      </c>
      <c r="N212" s="83"/>
      <c r="O212" s="83">
        <v>45985.0</v>
      </c>
      <c r="P212" s="82">
        <v>383969.0</v>
      </c>
      <c r="Q212" s="82" t="s">
        <v>511</v>
      </c>
      <c r="R212" s="82">
        <v>99.0</v>
      </c>
      <c r="S212" s="82">
        <v>164.0</v>
      </c>
      <c r="T212" s="82" t="s">
        <v>1049</v>
      </c>
      <c r="U212" s="82" t="s">
        <v>1050</v>
      </c>
      <c r="V212" s="83">
        <v>45985.0</v>
      </c>
      <c r="W212" s="82" t="s">
        <v>132</v>
      </c>
      <c r="X212" s="82" t="s">
        <v>365</v>
      </c>
      <c r="Y212" s="83">
        <v>45985.0</v>
      </c>
      <c r="Z212" s="83">
        <v>45964.0</v>
      </c>
    </row>
    <row r="213">
      <c r="A213" s="82" t="s">
        <v>1051</v>
      </c>
      <c r="B213" s="82">
        <v>4233333.0</v>
      </c>
      <c r="C213" s="82" t="s">
        <v>1052</v>
      </c>
      <c r="D213" s="83">
        <v>46174.0</v>
      </c>
      <c r="E213" s="82" t="s">
        <v>604</v>
      </c>
      <c r="F213" s="82"/>
      <c r="G213" s="84"/>
      <c r="H213" s="82" t="s">
        <v>131</v>
      </c>
      <c r="I213" s="83">
        <v>45993.0</v>
      </c>
      <c r="J213" s="83">
        <v>45979.0</v>
      </c>
      <c r="K213" s="83">
        <v>45985.0</v>
      </c>
      <c r="L213" s="82"/>
      <c r="M213" s="83"/>
      <c r="N213" s="83"/>
      <c r="O213" s="83"/>
      <c r="P213" s="82">
        <v>529601.0</v>
      </c>
      <c r="Q213" s="82" t="s">
        <v>511</v>
      </c>
      <c r="R213" s="82">
        <v>805.0</v>
      </c>
      <c r="S213" s="82">
        <v>419.0</v>
      </c>
      <c r="T213" s="82" t="s">
        <v>1053</v>
      </c>
      <c r="U213" s="82" t="s">
        <v>1054</v>
      </c>
      <c r="V213" s="83">
        <v>45985.0</v>
      </c>
      <c r="W213" s="82" t="s">
        <v>132</v>
      </c>
      <c r="X213" s="82" t="s">
        <v>365</v>
      </c>
      <c r="Y213" s="83">
        <v>45979.0</v>
      </c>
      <c r="Z213" s="83">
        <v>45965.0</v>
      </c>
    </row>
    <row r="214">
      <c r="A214" s="82" t="s">
        <v>485</v>
      </c>
      <c r="B214" s="82">
        <v>4213575.0</v>
      </c>
      <c r="C214" s="82" t="s">
        <v>486</v>
      </c>
      <c r="D214" s="83">
        <v>45966.0</v>
      </c>
      <c r="E214" s="82" t="s">
        <v>604</v>
      </c>
      <c r="F214" s="84"/>
      <c r="G214" s="84"/>
      <c r="H214" s="82" t="s">
        <v>131</v>
      </c>
      <c r="I214" s="83">
        <v>46118.0</v>
      </c>
      <c r="J214" s="83">
        <v>45965.0</v>
      </c>
      <c r="K214" s="83">
        <v>46118.0</v>
      </c>
      <c r="L214" s="84"/>
      <c r="M214" s="84"/>
      <c r="N214" s="84"/>
      <c r="O214" s="84"/>
      <c r="P214" s="82">
        <v>338663.0</v>
      </c>
      <c r="Q214" s="82" t="s">
        <v>511</v>
      </c>
      <c r="R214" s="82">
        <v>131.0</v>
      </c>
      <c r="S214" s="82">
        <v>141.0</v>
      </c>
      <c r="T214" s="82" t="s">
        <v>483</v>
      </c>
      <c r="U214" s="82" t="s">
        <v>484</v>
      </c>
      <c r="V214" s="83">
        <v>46118.0</v>
      </c>
      <c r="W214" s="82" t="s">
        <v>132</v>
      </c>
      <c r="X214" s="82" t="s">
        <v>365</v>
      </c>
      <c r="Y214" s="83">
        <v>45966.0</v>
      </c>
      <c r="Z214" s="83">
        <v>45965.0</v>
      </c>
    </row>
    <row r="215">
      <c r="A215" s="82" t="s">
        <v>1055</v>
      </c>
      <c r="B215" s="82">
        <v>4155276.0</v>
      </c>
      <c r="C215" s="82" t="s">
        <v>1056</v>
      </c>
      <c r="D215" s="83"/>
      <c r="E215" s="82" t="s">
        <v>522</v>
      </c>
      <c r="F215" s="84"/>
      <c r="G215" s="84"/>
      <c r="H215" s="82" t="s">
        <v>131</v>
      </c>
      <c r="I215" s="83">
        <v>45966.0</v>
      </c>
      <c r="J215" s="83">
        <v>45966.0</v>
      </c>
      <c r="K215" s="83">
        <v>45966.0</v>
      </c>
      <c r="L215" s="84"/>
      <c r="M215" s="84"/>
      <c r="N215" s="84"/>
      <c r="O215" s="84"/>
      <c r="P215" s="82">
        <v>336141.0</v>
      </c>
      <c r="Q215" s="82" t="s">
        <v>511</v>
      </c>
      <c r="R215" s="82">
        <v>0.0</v>
      </c>
      <c r="S215" s="82">
        <v>25.0</v>
      </c>
      <c r="T215" s="82" t="s">
        <v>1057</v>
      </c>
      <c r="U215" s="82" t="s">
        <v>1058</v>
      </c>
      <c r="V215" s="83">
        <v>45966.0</v>
      </c>
      <c r="W215" s="82" t="s">
        <v>132</v>
      </c>
      <c r="X215" s="82" t="s">
        <v>365</v>
      </c>
      <c r="Y215" s="83">
        <v>45966.0</v>
      </c>
      <c r="Z215" s="83">
        <v>45965.0</v>
      </c>
    </row>
    <row r="216">
      <c r="A216" s="82" t="s">
        <v>1059</v>
      </c>
      <c r="B216" s="82">
        <v>4231672.0</v>
      </c>
      <c r="C216" s="82" t="s">
        <v>1060</v>
      </c>
      <c r="D216" s="83">
        <v>45973.0</v>
      </c>
      <c r="E216" s="82" t="s">
        <v>522</v>
      </c>
      <c r="F216" s="82"/>
      <c r="G216" s="82" t="s">
        <v>788</v>
      </c>
      <c r="H216" s="82" t="s">
        <v>131</v>
      </c>
      <c r="I216" s="83">
        <v>46024.0</v>
      </c>
      <c r="J216" s="83">
        <v>45980.0</v>
      </c>
      <c r="K216" s="83">
        <v>45994.0</v>
      </c>
      <c r="L216" s="82"/>
      <c r="M216" s="83"/>
      <c r="N216" s="83"/>
      <c r="O216" s="83"/>
      <c r="P216" s="82">
        <v>296401.0</v>
      </c>
      <c r="Q216" s="82"/>
      <c r="R216" s="82">
        <v>176.0</v>
      </c>
      <c r="S216" s="82">
        <v>225.16</v>
      </c>
      <c r="T216" s="82" t="s">
        <v>1061</v>
      </c>
      <c r="U216" s="82" t="s">
        <v>1062</v>
      </c>
      <c r="V216" s="83">
        <v>45994.0</v>
      </c>
      <c r="W216" s="82" t="s">
        <v>132</v>
      </c>
      <c r="X216" s="82" t="s">
        <v>365</v>
      </c>
      <c r="Y216" s="83">
        <v>45980.0</v>
      </c>
      <c r="Z216" s="83">
        <v>45965.0</v>
      </c>
    </row>
    <row r="217">
      <c r="A217" s="82" t="s">
        <v>1063</v>
      </c>
      <c r="B217" s="82">
        <v>3716437.0</v>
      </c>
      <c r="C217" s="82" t="s">
        <v>1064</v>
      </c>
      <c r="D217" s="83">
        <v>45973.0</v>
      </c>
      <c r="E217" s="82"/>
      <c r="F217" s="82"/>
      <c r="G217" s="84"/>
      <c r="H217" s="82"/>
      <c r="I217" s="83"/>
      <c r="J217" s="83"/>
      <c r="K217" s="83"/>
      <c r="L217" s="82"/>
      <c r="M217" s="83"/>
      <c r="N217" s="83"/>
      <c r="O217" s="83"/>
      <c r="P217" s="82"/>
      <c r="Q217" s="82"/>
      <c r="R217" s="82">
        <v>305.0</v>
      </c>
      <c r="S217" s="82">
        <v>196.2</v>
      </c>
      <c r="T217" s="82" t="s">
        <v>1065</v>
      </c>
      <c r="U217" s="82" t="s">
        <v>1066</v>
      </c>
      <c r="V217" s="83"/>
      <c r="W217" s="82" t="s">
        <v>514</v>
      </c>
      <c r="X217" s="82" t="s">
        <v>365</v>
      </c>
      <c r="Y217" s="83">
        <v>45973.0</v>
      </c>
      <c r="Z217" s="83">
        <v>45967.0</v>
      </c>
    </row>
    <row r="218">
      <c r="A218" s="82" t="s">
        <v>1067</v>
      </c>
      <c r="B218" s="82">
        <v>4245113.0</v>
      </c>
      <c r="C218" s="82" t="s">
        <v>1068</v>
      </c>
      <c r="D218" s="83">
        <v>46177.0</v>
      </c>
      <c r="E218" s="82" t="s">
        <v>604</v>
      </c>
      <c r="F218" s="82"/>
      <c r="G218" s="84"/>
      <c r="H218" s="82" t="s">
        <v>131</v>
      </c>
      <c r="I218" s="83">
        <v>45985.0</v>
      </c>
      <c r="J218" s="83">
        <v>45982.0</v>
      </c>
      <c r="K218" s="83">
        <v>45985.0</v>
      </c>
      <c r="L218" s="82"/>
      <c r="M218" s="83"/>
      <c r="N218" s="84"/>
      <c r="O218" s="83"/>
      <c r="P218" s="82">
        <v>508214.0</v>
      </c>
      <c r="Q218" s="82" t="s">
        <v>511</v>
      </c>
      <c r="R218" s="82">
        <v>525.35</v>
      </c>
      <c r="S218" s="82">
        <v>479.91</v>
      </c>
      <c r="T218" s="82" t="s">
        <v>1069</v>
      </c>
      <c r="U218" s="82" t="s">
        <v>1070</v>
      </c>
      <c r="V218" s="83">
        <v>45985.0</v>
      </c>
      <c r="W218" s="82" t="s">
        <v>132</v>
      </c>
      <c r="X218" s="82" t="s">
        <v>365</v>
      </c>
      <c r="Y218" s="83">
        <v>45982.0</v>
      </c>
      <c r="Z218" s="83">
        <v>45971.0</v>
      </c>
    </row>
    <row r="219">
      <c r="A219" s="82" t="s">
        <v>1071</v>
      </c>
      <c r="B219" s="82">
        <v>4203213.0</v>
      </c>
      <c r="C219" s="82" t="s">
        <v>1072</v>
      </c>
      <c r="D219" s="83">
        <v>45973.0</v>
      </c>
      <c r="E219" s="82"/>
      <c r="F219" s="82"/>
      <c r="G219" s="84"/>
      <c r="H219" s="82"/>
      <c r="I219" s="83">
        <v>45987.0</v>
      </c>
      <c r="J219" s="83"/>
      <c r="K219" s="83"/>
      <c r="L219" s="82"/>
      <c r="M219" s="83"/>
      <c r="N219" s="84"/>
      <c r="O219" s="83"/>
      <c r="P219" s="82">
        <v>304936.0</v>
      </c>
      <c r="Q219" s="82" t="s">
        <v>532</v>
      </c>
      <c r="R219" s="82">
        <v>95.0</v>
      </c>
      <c r="S219" s="82">
        <v>105.0</v>
      </c>
      <c r="T219" s="82" t="s">
        <v>1073</v>
      </c>
      <c r="U219" s="82" t="s">
        <v>1074</v>
      </c>
      <c r="V219" s="83"/>
      <c r="W219" s="82" t="s">
        <v>132</v>
      </c>
      <c r="X219" s="82" t="s">
        <v>365</v>
      </c>
      <c r="Y219" s="83">
        <v>45979.0</v>
      </c>
      <c r="Z219" s="83">
        <v>45973.0</v>
      </c>
    </row>
    <row r="220">
      <c r="A220" s="82" t="s">
        <v>1075</v>
      </c>
      <c r="B220" s="82">
        <v>4214658.0</v>
      </c>
      <c r="C220" s="82" t="s">
        <v>1076</v>
      </c>
      <c r="D220" s="83">
        <v>46174.0</v>
      </c>
      <c r="E220" s="82"/>
      <c r="F220" s="82" t="s">
        <v>537</v>
      </c>
      <c r="G220" s="84"/>
      <c r="H220" s="82" t="s">
        <v>131</v>
      </c>
      <c r="I220" s="83">
        <v>45965.0</v>
      </c>
      <c r="J220" s="83">
        <v>45968.0</v>
      </c>
      <c r="K220" s="83">
        <v>45968.0</v>
      </c>
      <c r="L220" s="82" t="s">
        <v>138</v>
      </c>
      <c r="M220" s="83">
        <v>45992.0</v>
      </c>
      <c r="N220" s="83">
        <v>46202.0</v>
      </c>
      <c r="O220" s="83">
        <v>45995.0</v>
      </c>
      <c r="P220" s="82">
        <v>412419.0</v>
      </c>
      <c r="Q220" s="82" t="s">
        <v>511</v>
      </c>
      <c r="R220" s="82">
        <v>6600.0</v>
      </c>
      <c r="S220" s="82">
        <v>6635.0</v>
      </c>
      <c r="T220" s="82" t="s">
        <v>1077</v>
      </c>
      <c r="U220" s="82" t="s">
        <v>1078</v>
      </c>
      <c r="V220" s="83">
        <v>46198.0</v>
      </c>
      <c r="W220" s="82" t="s">
        <v>132</v>
      </c>
      <c r="X220" s="82" t="s">
        <v>365</v>
      </c>
      <c r="Y220" s="83">
        <v>45968.0</v>
      </c>
      <c r="Z220" s="83">
        <v>45973.0</v>
      </c>
    </row>
    <row r="221">
      <c r="A221" s="82" t="s">
        <v>1079</v>
      </c>
      <c r="B221" s="82">
        <v>4178047.0</v>
      </c>
      <c r="C221" s="82" t="s">
        <v>1080</v>
      </c>
      <c r="D221" s="83">
        <v>46015.0</v>
      </c>
      <c r="E221" s="82" t="s">
        <v>522</v>
      </c>
      <c r="F221" s="84"/>
      <c r="G221" s="84"/>
      <c r="H221" s="82" t="s">
        <v>138</v>
      </c>
      <c r="I221" s="83">
        <v>46202.0</v>
      </c>
      <c r="J221" s="83">
        <v>45967.0</v>
      </c>
      <c r="K221" s="83">
        <v>46198.0</v>
      </c>
      <c r="L221" s="84"/>
      <c r="M221" s="84"/>
      <c r="N221" s="84"/>
      <c r="O221" s="84"/>
      <c r="P221" s="82">
        <v>299946.0</v>
      </c>
      <c r="Q221" s="82" t="s">
        <v>523</v>
      </c>
      <c r="R221" s="82">
        <v>75.0</v>
      </c>
      <c r="S221" s="82">
        <v>795.4</v>
      </c>
      <c r="T221" s="82" t="s">
        <v>1081</v>
      </c>
      <c r="U221" s="82" t="s">
        <v>1082</v>
      </c>
      <c r="V221" s="83">
        <v>46198.0</v>
      </c>
      <c r="W221" s="82" t="s">
        <v>132</v>
      </c>
      <c r="X221" s="82" t="s">
        <v>365</v>
      </c>
      <c r="Y221" s="83">
        <v>45967.0</v>
      </c>
      <c r="Z221" s="83">
        <v>45974.0</v>
      </c>
    </row>
    <row r="222">
      <c r="A222" s="82" t="s">
        <v>1083</v>
      </c>
      <c r="B222" s="82">
        <v>4248506.0</v>
      </c>
      <c r="C222" s="82" t="s">
        <v>1084</v>
      </c>
      <c r="D222" s="83">
        <v>45981.0</v>
      </c>
      <c r="E222" s="82" t="s">
        <v>604</v>
      </c>
      <c r="F222" s="82"/>
      <c r="G222" s="84"/>
      <c r="H222" s="82" t="s">
        <v>131</v>
      </c>
      <c r="I222" s="83">
        <v>46112.0</v>
      </c>
      <c r="J222" s="83">
        <v>45987.0</v>
      </c>
      <c r="K222" s="83">
        <v>46115.0</v>
      </c>
      <c r="L222" s="82"/>
      <c r="M222" s="83"/>
      <c r="N222" s="84"/>
      <c r="O222" s="83"/>
      <c r="P222" s="82">
        <v>314795.0</v>
      </c>
      <c r="Q222" s="82" t="s">
        <v>523</v>
      </c>
      <c r="R222" s="82">
        <v>150.0</v>
      </c>
      <c r="S222" s="82">
        <v>135.8</v>
      </c>
      <c r="T222" s="82" t="s">
        <v>1085</v>
      </c>
      <c r="U222" s="82" t="s">
        <v>1086</v>
      </c>
      <c r="V222" s="83">
        <v>46115.0</v>
      </c>
      <c r="W222" s="82" t="s">
        <v>132</v>
      </c>
      <c r="X222" s="82" t="s">
        <v>365</v>
      </c>
      <c r="Y222" s="83">
        <v>45987.0</v>
      </c>
      <c r="Z222" s="83">
        <v>45974.0</v>
      </c>
    </row>
    <row r="223">
      <c r="A223" s="82" t="s">
        <v>1087</v>
      </c>
      <c r="B223" s="82">
        <v>4233219.0</v>
      </c>
      <c r="C223" s="82" t="s">
        <v>1088</v>
      </c>
      <c r="D223" s="83">
        <v>46036.0</v>
      </c>
      <c r="E223" s="82" t="s">
        <v>604</v>
      </c>
      <c r="F223" s="82"/>
      <c r="G223" s="84"/>
      <c r="H223" s="82" t="s">
        <v>138</v>
      </c>
      <c r="I223" s="83">
        <v>46230.0</v>
      </c>
      <c r="J223" s="83">
        <v>45989.0</v>
      </c>
      <c r="K223" s="83">
        <v>46197.0</v>
      </c>
      <c r="L223" s="82"/>
      <c r="M223" s="83"/>
      <c r="N223" s="84"/>
      <c r="O223" s="83"/>
      <c r="P223" s="82">
        <v>310955.0</v>
      </c>
      <c r="Q223" s="82" t="s">
        <v>532</v>
      </c>
      <c r="R223" s="82">
        <v>91.25</v>
      </c>
      <c r="S223" s="82">
        <v>120.31</v>
      </c>
      <c r="T223" s="82" t="s">
        <v>1089</v>
      </c>
      <c r="U223" s="82" t="s">
        <v>1090</v>
      </c>
      <c r="V223" s="83">
        <v>46197.0</v>
      </c>
      <c r="W223" s="82" t="s">
        <v>132</v>
      </c>
      <c r="X223" s="82" t="s">
        <v>365</v>
      </c>
      <c r="Y223" s="83">
        <v>45989.0</v>
      </c>
      <c r="Z223" s="83">
        <v>45978.0</v>
      </c>
    </row>
    <row r="224">
      <c r="A224" s="82" t="s">
        <v>1091</v>
      </c>
      <c r="B224" s="82">
        <v>4223822.0</v>
      </c>
      <c r="C224" s="82" t="s">
        <v>1092</v>
      </c>
      <c r="D224" s="83">
        <v>45979.0</v>
      </c>
      <c r="E224" s="82" t="s">
        <v>604</v>
      </c>
      <c r="F224" s="82"/>
      <c r="G224" s="84"/>
      <c r="H224" s="82" t="s">
        <v>131</v>
      </c>
      <c r="I224" s="83">
        <v>46119.0</v>
      </c>
      <c r="J224" s="83">
        <v>45985.0</v>
      </c>
      <c r="K224" s="83">
        <v>46119.0</v>
      </c>
      <c r="L224" s="82"/>
      <c r="M224" s="83"/>
      <c r="N224" s="84"/>
      <c r="O224" s="83"/>
      <c r="P224" s="82">
        <v>428842.0</v>
      </c>
      <c r="Q224" s="82" t="s">
        <v>511</v>
      </c>
      <c r="R224" s="82">
        <v>62.4</v>
      </c>
      <c r="S224" s="82">
        <v>103.64</v>
      </c>
      <c r="T224" s="82" t="s">
        <v>1093</v>
      </c>
      <c r="U224" s="82" t="s">
        <v>1094</v>
      </c>
      <c r="V224" s="83">
        <v>46119.0</v>
      </c>
      <c r="W224" s="82" t="s">
        <v>132</v>
      </c>
      <c r="X224" s="82" t="s">
        <v>365</v>
      </c>
      <c r="Y224" s="83">
        <v>45985.0</v>
      </c>
      <c r="Z224" s="83">
        <v>45979.0</v>
      </c>
    </row>
    <row r="225">
      <c r="A225" s="82" t="s">
        <v>1095</v>
      </c>
      <c r="B225" s="82">
        <v>4269343.0</v>
      </c>
      <c r="C225" s="82" t="s">
        <v>1096</v>
      </c>
      <c r="D225" s="83">
        <v>45999.0</v>
      </c>
      <c r="E225" s="82"/>
      <c r="F225" s="82" t="s">
        <v>537</v>
      </c>
      <c r="G225" s="84"/>
      <c r="H225" s="82"/>
      <c r="I225" s="83"/>
      <c r="J225" s="83"/>
      <c r="K225" s="83"/>
      <c r="L225" s="82" t="s">
        <v>138</v>
      </c>
      <c r="M225" s="83">
        <v>45995.0</v>
      </c>
      <c r="N225" s="84"/>
      <c r="O225" s="83">
        <v>45995.0</v>
      </c>
      <c r="P225" s="82">
        <v>588498.0</v>
      </c>
      <c r="Q225" s="82" t="s">
        <v>532</v>
      </c>
      <c r="R225" s="82">
        <v>239.5</v>
      </c>
      <c r="S225" s="82">
        <v>269.5</v>
      </c>
      <c r="T225" s="82" t="s">
        <v>1097</v>
      </c>
      <c r="U225" s="82" t="s">
        <v>1098</v>
      </c>
      <c r="V225" s="83">
        <v>46191.0</v>
      </c>
      <c r="W225" s="82" t="s">
        <v>132</v>
      </c>
      <c r="X225" s="82" t="s">
        <v>365</v>
      </c>
      <c r="Y225" s="83">
        <v>46001.0</v>
      </c>
      <c r="Z225" s="83">
        <v>45918.0</v>
      </c>
    </row>
    <row r="226">
      <c r="A226" s="82" t="s">
        <v>1099</v>
      </c>
      <c r="B226" s="82">
        <v>4175733.0</v>
      </c>
      <c r="C226" s="82" t="s">
        <v>1100</v>
      </c>
      <c r="D226" s="83">
        <v>45973.0</v>
      </c>
      <c r="E226" s="82"/>
      <c r="F226" s="82"/>
      <c r="G226" s="84"/>
      <c r="H226" s="82"/>
      <c r="I226" s="83"/>
      <c r="J226" s="83"/>
      <c r="K226" s="83"/>
      <c r="L226" s="82"/>
      <c r="M226" s="83"/>
      <c r="N226" s="83"/>
      <c r="O226" s="83"/>
      <c r="P226" s="82">
        <v>466445.0</v>
      </c>
      <c r="Q226" s="82" t="s">
        <v>511</v>
      </c>
      <c r="R226" s="82">
        <v>18.75</v>
      </c>
      <c r="S226" s="82">
        <v>98.85</v>
      </c>
      <c r="T226" s="82" t="s">
        <v>1101</v>
      </c>
      <c r="U226" s="82" t="s">
        <v>1102</v>
      </c>
      <c r="V226" s="83"/>
      <c r="W226" s="82" t="s">
        <v>514</v>
      </c>
      <c r="X226" s="82" t="s">
        <v>365</v>
      </c>
      <c r="Y226" s="83">
        <v>45992.0</v>
      </c>
      <c r="Z226" s="83">
        <v>45938.0</v>
      </c>
    </row>
    <row r="227">
      <c r="A227" s="82" t="s">
        <v>1103</v>
      </c>
      <c r="B227" s="82">
        <v>4200783.0</v>
      </c>
      <c r="C227" s="82" t="s">
        <v>1104</v>
      </c>
      <c r="D227" s="83">
        <v>45979.0</v>
      </c>
      <c r="E227" s="82"/>
      <c r="F227" s="82"/>
      <c r="G227" s="84"/>
      <c r="H227" s="82"/>
      <c r="I227" s="83"/>
      <c r="J227" s="83"/>
      <c r="K227" s="83"/>
      <c r="L227" s="82"/>
      <c r="M227" s="83"/>
      <c r="N227" s="83"/>
      <c r="O227" s="83"/>
      <c r="P227" s="82">
        <v>407642.0</v>
      </c>
      <c r="Q227" s="82" t="s">
        <v>511</v>
      </c>
      <c r="R227" s="82">
        <v>170.38</v>
      </c>
      <c r="S227" s="82">
        <v>204.39</v>
      </c>
      <c r="T227" s="82" t="s">
        <v>1105</v>
      </c>
      <c r="U227" s="82" t="s">
        <v>1106</v>
      </c>
      <c r="V227" s="83"/>
      <c r="W227" s="82" t="s">
        <v>514</v>
      </c>
      <c r="X227" s="82" t="s">
        <v>365</v>
      </c>
      <c r="Y227" s="83">
        <v>46001.0</v>
      </c>
      <c r="Z227" s="83">
        <v>45954.0</v>
      </c>
    </row>
    <row r="228">
      <c r="A228" s="82" t="s">
        <v>762</v>
      </c>
      <c r="B228" s="82">
        <v>3683365.0</v>
      </c>
      <c r="C228" s="82" t="s">
        <v>763</v>
      </c>
      <c r="D228" s="83">
        <v>46183.0</v>
      </c>
      <c r="E228" s="82"/>
      <c r="F228" s="82" t="s">
        <v>537</v>
      </c>
      <c r="G228" s="84"/>
      <c r="H228" s="82" t="s">
        <v>163</v>
      </c>
      <c r="I228" s="83">
        <v>46155.0</v>
      </c>
      <c r="J228" s="83">
        <v>46156.0</v>
      </c>
      <c r="K228" s="83">
        <v>46156.0</v>
      </c>
      <c r="L228" s="82" t="s">
        <v>138</v>
      </c>
      <c r="M228" s="83">
        <v>46000.0</v>
      </c>
      <c r="N228" s="84"/>
      <c r="O228" s="83">
        <v>46001.0</v>
      </c>
      <c r="P228" s="82">
        <v>296748.0</v>
      </c>
      <c r="Q228" s="82" t="s">
        <v>523</v>
      </c>
      <c r="R228" s="82">
        <v>980.0</v>
      </c>
      <c r="S228" s="82">
        <v>489.8</v>
      </c>
      <c r="T228" s="82" t="s">
        <v>1107</v>
      </c>
      <c r="U228" s="82" t="s">
        <v>765</v>
      </c>
      <c r="V228" s="83">
        <v>46199.0</v>
      </c>
      <c r="W228" s="82" t="s">
        <v>132</v>
      </c>
      <c r="X228" s="82" t="s">
        <v>365</v>
      </c>
      <c r="Y228" s="83">
        <v>46009.0</v>
      </c>
      <c r="Z228" s="83">
        <v>45957.0</v>
      </c>
    </row>
    <row r="229">
      <c r="A229" s="82" t="s">
        <v>1108</v>
      </c>
      <c r="B229" s="82">
        <v>4220233.0</v>
      </c>
      <c r="C229" s="82" t="s">
        <v>1109</v>
      </c>
      <c r="D229" s="83">
        <v>46051.0</v>
      </c>
      <c r="E229" s="82" t="s">
        <v>522</v>
      </c>
      <c r="F229" s="84"/>
      <c r="G229" s="84"/>
      <c r="H229" s="82" t="s">
        <v>138</v>
      </c>
      <c r="I229" s="83">
        <v>46199.0</v>
      </c>
      <c r="J229" s="83">
        <v>46003.0</v>
      </c>
      <c r="K229" s="83">
        <v>46199.0</v>
      </c>
      <c r="L229" s="84"/>
      <c r="M229" s="84"/>
      <c r="N229" s="84"/>
      <c r="O229" s="84"/>
      <c r="P229" s="82">
        <v>652584.0</v>
      </c>
      <c r="Q229" s="82" t="s">
        <v>523</v>
      </c>
      <c r="R229" s="82">
        <v>92.5</v>
      </c>
      <c r="S229" s="82">
        <v>147.7</v>
      </c>
      <c r="T229" s="82" t="s">
        <v>1110</v>
      </c>
      <c r="U229" s="82" t="s">
        <v>1111</v>
      </c>
      <c r="V229" s="83">
        <v>46199.0</v>
      </c>
      <c r="W229" s="82" t="s">
        <v>132</v>
      </c>
      <c r="X229" s="82" t="s">
        <v>365</v>
      </c>
      <c r="Y229" s="83">
        <v>46006.0</v>
      </c>
      <c r="Z229" s="83">
        <v>45960.0</v>
      </c>
    </row>
    <row r="230">
      <c r="A230" s="82" t="s">
        <v>1112</v>
      </c>
      <c r="B230" s="82">
        <v>4270780.0</v>
      </c>
      <c r="C230" s="82" t="s">
        <v>1113</v>
      </c>
      <c r="D230" s="83">
        <v>46160.0</v>
      </c>
      <c r="E230" s="82" t="s">
        <v>522</v>
      </c>
      <c r="F230" s="84"/>
      <c r="G230" s="84"/>
      <c r="H230" s="82" t="s">
        <v>138</v>
      </c>
      <c r="I230" s="83">
        <v>46199.0</v>
      </c>
      <c r="J230" s="83">
        <v>46009.0</v>
      </c>
      <c r="K230" s="83">
        <v>46200.0</v>
      </c>
      <c r="L230" s="84"/>
      <c r="M230" s="84"/>
      <c r="N230" s="84"/>
      <c r="O230" s="84"/>
      <c r="P230" s="82">
        <v>563136.0</v>
      </c>
      <c r="Q230" s="82" t="s">
        <v>557</v>
      </c>
      <c r="R230" s="82">
        <v>167.5</v>
      </c>
      <c r="S230" s="82">
        <v>128.1</v>
      </c>
      <c r="T230" s="82" t="s">
        <v>1114</v>
      </c>
      <c r="U230" s="82" t="s">
        <v>1115</v>
      </c>
      <c r="V230" s="83">
        <v>46200.0</v>
      </c>
      <c r="W230" s="82" t="s">
        <v>132</v>
      </c>
      <c r="X230" s="82" t="s">
        <v>365</v>
      </c>
      <c r="Y230" s="83">
        <v>46013.0</v>
      </c>
      <c r="Z230" s="83">
        <v>45961.0</v>
      </c>
    </row>
    <row r="231">
      <c r="A231" s="82" t="s">
        <v>1116</v>
      </c>
      <c r="B231" s="82">
        <v>4271363.0</v>
      </c>
      <c r="C231" s="82" t="s">
        <v>1117</v>
      </c>
      <c r="D231" s="83">
        <v>46006.0</v>
      </c>
      <c r="E231" s="82" t="s">
        <v>522</v>
      </c>
      <c r="F231" s="84"/>
      <c r="G231" s="84"/>
      <c r="H231" s="82" t="s">
        <v>138</v>
      </c>
      <c r="I231" s="83">
        <v>46202.0</v>
      </c>
      <c r="J231" s="83">
        <v>46006.0</v>
      </c>
      <c r="K231" s="83">
        <v>46199.0</v>
      </c>
      <c r="L231" s="84"/>
      <c r="M231" s="84"/>
      <c r="N231" s="84"/>
      <c r="O231" s="84"/>
      <c r="P231" s="82">
        <v>310029.0</v>
      </c>
      <c r="Q231" s="82" t="s">
        <v>523</v>
      </c>
      <c r="R231" s="82">
        <v>182.5</v>
      </c>
      <c r="S231" s="82">
        <v>175.62</v>
      </c>
      <c r="T231" s="82" t="s">
        <v>1118</v>
      </c>
      <c r="U231" s="82" t="s">
        <v>1119</v>
      </c>
      <c r="V231" s="83">
        <v>46199.0</v>
      </c>
      <c r="W231" s="82" t="s">
        <v>132</v>
      </c>
      <c r="X231" s="82" t="s">
        <v>365</v>
      </c>
      <c r="Y231" s="83">
        <v>46007.0</v>
      </c>
      <c r="Z231" s="83">
        <v>45964.0</v>
      </c>
    </row>
    <row r="232">
      <c r="A232" s="82" t="s">
        <v>1120</v>
      </c>
      <c r="B232" s="82">
        <v>4247168.0</v>
      </c>
      <c r="C232" s="82" t="s">
        <v>1121</v>
      </c>
      <c r="D232" s="83">
        <v>45980.0</v>
      </c>
      <c r="E232" s="82"/>
      <c r="F232" s="82" t="s">
        <v>537</v>
      </c>
      <c r="G232" s="84"/>
      <c r="H232" s="84"/>
      <c r="I232" s="83"/>
      <c r="J232" s="84"/>
      <c r="K232" s="84"/>
      <c r="L232" s="82" t="s">
        <v>138</v>
      </c>
      <c r="M232" s="83">
        <v>45994.0</v>
      </c>
      <c r="N232" s="83"/>
      <c r="O232" s="83">
        <v>46002.0</v>
      </c>
      <c r="P232" s="82">
        <v>412997.0</v>
      </c>
      <c r="Q232" s="82" t="s">
        <v>511</v>
      </c>
      <c r="R232" s="82">
        <v>196.7</v>
      </c>
      <c r="S232" s="82">
        <v>125.62</v>
      </c>
      <c r="T232" s="82" t="s">
        <v>1122</v>
      </c>
      <c r="U232" s="82" t="s">
        <v>1123</v>
      </c>
      <c r="V232" s="83">
        <v>46200.0</v>
      </c>
      <c r="W232" s="82" t="s">
        <v>132</v>
      </c>
      <c r="X232" s="82" t="s">
        <v>365</v>
      </c>
      <c r="Y232" s="83">
        <v>46006.0</v>
      </c>
      <c r="Z232" s="83">
        <v>45968.0</v>
      </c>
    </row>
    <row r="233">
      <c r="A233" s="82" t="s">
        <v>1124</v>
      </c>
      <c r="B233" s="82">
        <v>2573893.0</v>
      </c>
      <c r="C233" s="82" t="s">
        <v>1125</v>
      </c>
      <c r="D233" s="83">
        <v>45979.0</v>
      </c>
      <c r="E233" s="82"/>
      <c r="F233" s="84"/>
      <c r="G233" s="84"/>
      <c r="H233" s="82"/>
      <c r="I233" s="83"/>
      <c r="J233" s="83"/>
      <c r="K233" s="83"/>
      <c r="L233" s="84"/>
      <c r="M233" s="84"/>
      <c r="N233" s="84"/>
      <c r="O233" s="84"/>
      <c r="P233" s="82">
        <v>472914.0</v>
      </c>
      <c r="Q233" s="82" t="s">
        <v>511</v>
      </c>
      <c r="R233" s="82">
        <v>112.5</v>
      </c>
      <c r="S233" s="82">
        <v>143.1</v>
      </c>
      <c r="T233" s="82" t="s">
        <v>1126</v>
      </c>
      <c r="U233" s="82" t="s">
        <v>1127</v>
      </c>
      <c r="V233" s="83"/>
      <c r="W233" s="82" t="s">
        <v>514</v>
      </c>
      <c r="X233" s="82" t="s">
        <v>365</v>
      </c>
      <c r="Y233" s="83">
        <v>46013.0</v>
      </c>
      <c r="Z233" s="83">
        <v>45978.0</v>
      </c>
    </row>
    <row r="234">
      <c r="A234" s="82" t="s">
        <v>1128</v>
      </c>
      <c r="B234" s="82">
        <v>4252854.0</v>
      </c>
      <c r="C234" s="82" t="s">
        <v>1129</v>
      </c>
      <c r="D234" s="83">
        <v>45995.0</v>
      </c>
      <c r="E234" s="82" t="s">
        <v>604</v>
      </c>
      <c r="F234" s="84"/>
      <c r="G234" s="84"/>
      <c r="H234" s="82" t="s">
        <v>131</v>
      </c>
      <c r="I234" s="83">
        <v>46024.0</v>
      </c>
      <c r="J234" s="83">
        <v>46001.0</v>
      </c>
      <c r="K234" s="83">
        <v>46010.0</v>
      </c>
      <c r="L234" s="84"/>
      <c r="M234" s="84"/>
      <c r="N234" s="84"/>
      <c r="O234" s="84"/>
      <c r="P234" s="82">
        <v>553377.0</v>
      </c>
      <c r="Q234" s="82" t="s">
        <v>511</v>
      </c>
      <c r="R234" s="82">
        <v>136.25</v>
      </c>
      <c r="S234" s="82">
        <v>91.55</v>
      </c>
      <c r="T234" s="82" t="s">
        <v>1130</v>
      </c>
      <c r="U234" s="82" t="s">
        <v>1131</v>
      </c>
      <c r="V234" s="83">
        <v>46010.0</v>
      </c>
      <c r="W234" s="82" t="s">
        <v>132</v>
      </c>
      <c r="X234" s="82" t="s">
        <v>365</v>
      </c>
      <c r="Y234" s="83">
        <v>46008.0</v>
      </c>
      <c r="Z234" s="83">
        <v>45979.0</v>
      </c>
    </row>
    <row r="235">
      <c r="A235" s="82" t="s">
        <v>1132</v>
      </c>
      <c r="B235" s="82">
        <v>4268726.0</v>
      </c>
      <c r="C235" s="82" t="s">
        <v>1133</v>
      </c>
      <c r="D235" s="83">
        <v>46197.0</v>
      </c>
      <c r="E235" s="82"/>
      <c r="F235" s="82" t="s">
        <v>537</v>
      </c>
      <c r="G235" s="84"/>
      <c r="H235" s="82"/>
      <c r="I235" s="83"/>
      <c r="J235" s="84"/>
      <c r="K235" s="84"/>
      <c r="L235" s="82" t="s">
        <v>138</v>
      </c>
      <c r="M235" s="83">
        <v>45995.0</v>
      </c>
      <c r="N235" s="84"/>
      <c r="O235" s="83">
        <v>45996.0</v>
      </c>
      <c r="P235" s="82">
        <v>560210.0</v>
      </c>
      <c r="Q235" s="82" t="s">
        <v>511</v>
      </c>
      <c r="R235" s="82">
        <v>385.0</v>
      </c>
      <c r="S235" s="82">
        <v>395.0</v>
      </c>
      <c r="T235" s="82" t="s">
        <v>1134</v>
      </c>
      <c r="U235" s="82" t="s">
        <v>1135</v>
      </c>
      <c r="V235" s="83">
        <v>46198.0</v>
      </c>
      <c r="W235" s="82" t="s">
        <v>132</v>
      </c>
      <c r="X235" s="82" t="s">
        <v>365</v>
      </c>
      <c r="Y235" s="83">
        <v>46000.0</v>
      </c>
      <c r="Z235" s="83">
        <v>45992.0</v>
      </c>
    </row>
    <row r="236">
      <c r="A236" s="82" t="s">
        <v>1136</v>
      </c>
      <c r="B236" s="82">
        <v>4265889.0</v>
      </c>
      <c r="C236" s="82" t="s">
        <v>1137</v>
      </c>
      <c r="D236" s="83">
        <v>45999.0</v>
      </c>
      <c r="E236" s="82" t="s">
        <v>522</v>
      </c>
      <c r="F236" s="82"/>
      <c r="G236" s="84"/>
      <c r="H236" s="82" t="s">
        <v>138</v>
      </c>
      <c r="I236" s="83">
        <v>46199.0</v>
      </c>
      <c r="J236" s="83">
        <v>45994.0</v>
      </c>
      <c r="K236" s="83">
        <v>46199.0</v>
      </c>
      <c r="L236" s="82"/>
      <c r="M236" s="83"/>
      <c r="N236" s="84"/>
      <c r="O236" s="83"/>
      <c r="P236" s="82">
        <v>562438.0</v>
      </c>
      <c r="Q236" s="82" t="s">
        <v>532</v>
      </c>
      <c r="R236" s="82">
        <v>100.0</v>
      </c>
      <c r="S236" s="82">
        <v>190.0</v>
      </c>
      <c r="T236" s="82" t="s">
        <v>1138</v>
      </c>
      <c r="U236" s="82" t="s">
        <v>1139</v>
      </c>
      <c r="V236" s="83">
        <v>46199.0</v>
      </c>
      <c r="W236" s="82" t="s">
        <v>132</v>
      </c>
      <c r="X236" s="82" t="s">
        <v>365</v>
      </c>
      <c r="Y236" s="83">
        <v>45999.0</v>
      </c>
      <c r="Z236" s="83">
        <v>45993.0</v>
      </c>
    </row>
    <row r="237">
      <c r="A237" s="82" t="s">
        <v>1140</v>
      </c>
      <c r="B237" s="82">
        <v>4265985.0</v>
      </c>
      <c r="C237" s="82" t="s">
        <v>1141</v>
      </c>
      <c r="D237" s="83">
        <v>45993.0</v>
      </c>
      <c r="E237" s="82" t="s">
        <v>522</v>
      </c>
      <c r="F237" s="82"/>
      <c r="G237" s="82"/>
      <c r="H237" s="82" t="s">
        <v>131</v>
      </c>
      <c r="I237" s="83">
        <v>46070.0</v>
      </c>
      <c r="J237" s="83">
        <v>45999.0</v>
      </c>
      <c r="K237" s="83">
        <v>46072.0</v>
      </c>
      <c r="L237" s="82"/>
      <c r="M237" s="83"/>
      <c r="N237" s="84"/>
      <c r="O237" s="83"/>
      <c r="P237" s="82">
        <v>645880.0</v>
      </c>
      <c r="Q237" s="82" t="s">
        <v>511</v>
      </c>
      <c r="R237" s="82">
        <v>60.63</v>
      </c>
      <c r="S237" s="82">
        <v>197.66</v>
      </c>
      <c r="T237" s="82" t="s">
        <v>1142</v>
      </c>
      <c r="U237" s="82" t="s">
        <v>1143</v>
      </c>
      <c r="V237" s="83">
        <v>46072.0</v>
      </c>
      <c r="W237" s="82" t="s">
        <v>132</v>
      </c>
      <c r="X237" s="82" t="s">
        <v>365</v>
      </c>
      <c r="Y237" s="83">
        <v>46001.0</v>
      </c>
      <c r="Z237" s="83">
        <v>45993.0</v>
      </c>
    </row>
    <row r="238">
      <c r="A238" s="82" t="s">
        <v>1144</v>
      </c>
      <c r="B238" s="82">
        <v>4253915.0</v>
      </c>
      <c r="C238" s="82" t="s">
        <v>1145</v>
      </c>
      <c r="D238" s="83">
        <v>46044.0</v>
      </c>
      <c r="E238" s="84"/>
      <c r="F238" s="84"/>
      <c r="G238" s="82"/>
      <c r="H238" s="82"/>
      <c r="I238" s="83"/>
      <c r="J238" s="83"/>
      <c r="K238" s="83"/>
      <c r="L238" s="84"/>
      <c r="M238" s="84"/>
      <c r="N238" s="84"/>
      <c r="O238" s="84"/>
      <c r="P238" s="82">
        <v>554379.0</v>
      </c>
      <c r="Q238" s="82" t="s">
        <v>511</v>
      </c>
      <c r="R238" s="82">
        <v>535.0</v>
      </c>
      <c r="S238" s="82">
        <v>437.0</v>
      </c>
      <c r="T238" s="82" t="s">
        <v>1146</v>
      </c>
      <c r="U238" s="82" t="s">
        <v>1147</v>
      </c>
      <c r="V238" s="83"/>
      <c r="W238" s="82" t="s">
        <v>132</v>
      </c>
      <c r="X238" s="82" t="s">
        <v>365</v>
      </c>
      <c r="Y238" s="83">
        <v>46014.0</v>
      </c>
      <c r="Z238" s="83">
        <v>45999.0</v>
      </c>
    </row>
    <row r="239">
      <c r="A239" s="82" t="s">
        <v>1148</v>
      </c>
      <c r="B239" s="82">
        <v>3221188.0</v>
      </c>
      <c r="C239" s="82" t="s">
        <v>1149</v>
      </c>
      <c r="D239" s="83">
        <v>46001.0</v>
      </c>
      <c r="E239" s="82" t="s">
        <v>522</v>
      </c>
      <c r="F239" s="82" t="s">
        <v>537</v>
      </c>
      <c r="G239" s="84"/>
      <c r="H239" s="82" t="s">
        <v>131</v>
      </c>
      <c r="I239" s="83">
        <v>46024.0</v>
      </c>
      <c r="J239" s="83">
        <v>45344.0</v>
      </c>
      <c r="K239" s="83">
        <v>46020.0</v>
      </c>
      <c r="L239" s="82" t="s">
        <v>131</v>
      </c>
      <c r="M239" s="83">
        <v>46064.0</v>
      </c>
      <c r="N239" s="84"/>
      <c r="O239" s="83">
        <v>46065.0</v>
      </c>
      <c r="P239" s="82">
        <v>428778.0</v>
      </c>
      <c r="Q239" s="82" t="s">
        <v>511</v>
      </c>
      <c r="R239" s="82">
        <v>171.0</v>
      </c>
      <c r="S239" s="82">
        <v>191.0</v>
      </c>
      <c r="T239" s="82" t="s">
        <v>1150</v>
      </c>
      <c r="U239" s="82" t="s">
        <v>1151</v>
      </c>
      <c r="V239" s="83">
        <v>46065.0</v>
      </c>
      <c r="W239" s="82" t="s">
        <v>132</v>
      </c>
      <c r="X239" s="82" t="s">
        <v>365</v>
      </c>
      <c r="Y239" s="83">
        <v>46021.0</v>
      </c>
      <c r="Z239" s="83">
        <v>46000.0</v>
      </c>
    </row>
    <row r="240">
      <c r="A240" s="82" t="s">
        <v>1152</v>
      </c>
      <c r="B240" s="82">
        <v>4276526.0</v>
      </c>
      <c r="C240" s="82" t="s">
        <v>1153</v>
      </c>
      <c r="D240" s="83">
        <v>46013.0</v>
      </c>
      <c r="E240" s="82"/>
      <c r="F240" s="84"/>
      <c r="G240" s="84"/>
      <c r="H240" s="82"/>
      <c r="I240" s="83"/>
      <c r="J240" s="83"/>
      <c r="K240" s="83"/>
      <c r="L240" s="84"/>
      <c r="M240" s="84"/>
      <c r="N240" s="84"/>
      <c r="O240" s="84"/>
      <c r="P240" s="82">
        <v>564880.0</v>
      </c>
      <c r="Q240" s="82" t="s">
        <v>511</v>
      </c>
      <c r="R240" s="82">
        <v>280.0</v>
      </c>
      <c r="S240" s="82">
        <v>345.0</v>
      </c>
      <c r="T240" s="82" t="s">
        <v>1154</v>
      </c>
      <c r="U240" s="82" t="s">
        <v>1155</v>
      </c>
      <c r="V240" s="83"/>
      <c r="W240" s="82" t="s">
        <v>514</v>
      </c>
      <c r="X240" s="82" t="s">
        <v>365</v>
      </c>
      <c r="Y240" s="83">
        <v>46013.0</v>
      </c>
      <c r="Z240" s="83">
        <v>46003.0</v>
      </c>
    </row>
    <row r="241">
      <c r="A241" s="82" t="s">
        <v>1156</v>
      </c>
      <c r="B241" s="82">
        <v>4271411.0</v>
      </c>
      <c r="C241" s="82" t="s">
        <v>1157</v>
      </c>
      <c r="D241" s="83"/>
      <c r="E241" s="82" t="s">
        <v>522</v>
      </c>
      <c r="F241" s="84"/>
      <c r="G241" s="84"/>
      <c r="H241" s="82" t="s">
        <v>138</v>
      </c>
      <c r="I241" s="83">
        <v>46196.0</v>
      </c>
      <c r="J241" s="83">
        <v>46006.0</v>
      </c>
      <c r="K241" s="83">
        <v>46199.0</v>
      </c>
      <c r="L241" s="84"/>
      <c r="M241" s="84"/>
      <c r="N241" s="84"/>
      <c r="O241" s="84"/>
      <c r="P241" s="82">
        <v>557182.0</v>
      </c>
      <c r="Q241" s="82" t="s">
        <v>532</v>
      </c>
      <c r="R241" s="82">
        <v>92.5</v>
      </c>
      <c r="S241" s="82">
        <v>72.7</v>
      </c>
      <c r="T241" s="82" t="s">
        <v>1158</v>
      </c>
      <c r="U241" s="82" t="s">
        <v>1159</v>
      </c>
      <c r="V241" s="83">
        <v>46199.0</v>
      </c>
      <c r="W241" s="82" t="s">
        <v>132</v>
      </c>
      <c r="X241" s="82" t="s">
        <v>365</v>
      </c>
      <c r="Y241" s="83">
        <v>46007.0</v>
      </c>
      <c r="Z241" s="83">
        <v>46007.0</v>
      </c>
    </row>
    <row r="242">
      <c r="A242" s="82" t="s">
        <v>1160</v>
      </c>
      <c r="B242" s="82">
        <v>2153287.0</v>
      </c>
      <c r="C242" s="82" t="s">
        <v>1161</v>
      </c>
      <c r="D242" s="83">
        <v>46196.0</v>
      </c>
      <c r="E242" s="82" t="s">
        <v>522</v>
      </c>
      <c r="F242" s="82" t="s">
        <v>537</v>
      </c>
      <c r="G242" s="84"/>
      <c r="H242" s="82" t="s">
        <v>138</v>
      </c>
      <c r="I242" s="83">
        <v>46183.0</v>
      </c>
      <c r="J242" s="83">
        <v>44832.0</v>
      </c>
      <c r="K242" s="83">
        <v>46183.0</v>
      </c>
      <c r="L242" s="82" t="s">
        <v>138</v>
      </c>
      <c r="M242" s="83">
        <v>46021.0</v>
      </c>
      <c r="N242" s="83">
        <v>46202.0</v>
      </c>
      <c r="O242" s="83">
        <v>46021.0</v>
      </c>
      <c r="P242" s="82">
        <v>575451.0</v>
      </c>
      <c r="Q242" s="82" t="s">
        <v>523</v>
      </c>
      <c r="R242" s="82">
        <v>681.25</v>
      </c>
      <c r="S242" s="82">
        <v>691.55</v>
      </c>
      <c r="T242" s="82" t="s">
        <v>1162</v>
      </c>
      <c r="U242" s="82" t="s">
        <v>1163</v>
      </c>
      <c r="V242" s="83">
        <v>46198.0</v>
      </c>
      <c r="W242" s="82" t="s">
        <v>132</v>
      </c>
      <c r="X242" s="82" t="s">
        <v>365</v>
      </c>
      <c r="Y242" s="83">
        <v>46021.0</v>
      </c>
      <c r="Z242" s="83">
        <v>46007.0</v>
      </c>
    </row>
    <row r="243">
      <c r="A243" s="82" t="s">
        <v>1164</v>
      </c>
      <c r="B243" s="82">
        <v>4302067.0</v>
      </c>
      <c r="C243" s="82" t="s">
        <v>1165</v>
      </c>
      <c r="D243" s="83"/>
      <c r="E243" s="82" t="s">
        <v>604</v>
      </c>
      <c r="F243" s="84"/>
      <c r="G243" s="84"/>
      <c r="H243" s="82" t="s">
        <v>131</v>
      </c>
      <c r="I243" s="83">
        <v>46013.0</v>
      </c>
      <c r="J243" s="83">
        <v>46013.0</v>
      </c>
      <c r="K243" s="83">
        <v>46013.0</v>
      </c>
      <c r="L243" s="84"/>
      <c r="M243" s="84"/>
      <c r="N243" s="84"/>
      <c r="O243" s="84"/>
      <c r="P243" s="82">
        <v>575719.0</v>
      </c>
      <c r="Q243" s="82" t="s">
        <v>511</v>
      </c>
      <c r="R243" s="82">
        <v>62.5</v>
      </c>
      <c r="S243" s="82">
        <v>27.7</v>
      </c>
      <c r="T243" s="82" t="s">
        <v>1166</v>
      </c>
      <c r="U243" s="82" t="s">
        <v>1167</v>
      </c>
      <c r="V243" s="83">
        <v>46013.0</v>
      </c>
      <c r="W243" s="82" t="s">
        <v>132</v>
      </c>
      <c r="X243" s="82" t="s">
        <v>365</v>
      </c>
      <c r="Y243" s="83">
        <v>46021.0</v>
      </c>
      <c r="Z243" s="83">
        <v>46027.0</v>
      </c>
    </row>
    <row r="244">
      <c r="A244" s="82" t="s">
        <v>1168</v>
      </c>
      <c r="B244" s="82">
        <v>4277145.0</v>
      </c>
      <c r="C244" s="82" t="s">
        <v>1169</v>
      </c>
      <c r="D244" s="83"/>
      <c r="E244" s="82" t="s">
        <v>604</v>
      </c>
      <c r="F244" s="82"/>
      <c r="G244" s="84"/>
      <c r="H244" s="82" t="s">
        <v>131</v>
      </c>
      <c r="I244" s="83">
        <v>46020.0</v>
      </c>
      <c r="J244" s="83">
        <v>46020.0</v>
      </c>
      <c r="K244" s="83">
        <v>46021.0</v>
      </c>
      <c r="L244" s="82"/>
      <c r="M244" s="83"/>
      <c r="N244" s="83"/>
      <c r="O244" s="83"/>
      <c r="P244" s="82">
        <v>564835.0</v>
      </c>
      <c r="Q244" s="82" t="s">
        <v>511</v>
      </c>
      <c r="R244" s="82">
        <v>37.5</v>
      </c>
      <c r="S244" s="82">
        <v>27.7</v>
      </c>
      <c r="T244" s="82" t="s">
        <v>1170</v>
      </c>
      <c r="U244" s="82" t="s">
        <v>1171</v>
      </c>
      <c r="V244" s="83">
        <v>46021.0</v>
      </c>
      <c r="W244" s="82" t="s">
        <v>132</v>
      </c>
      <c r="X244" s="82" t="s">
        <v>365</v>
      </c>
      <c r="Y244" s="83">
        <v>46021.0</v>
      </c>
      <c r="Z244" s="83">
        <v>46027.0</v>
      </c>
    </row>
    <row r="245">
      <c r="A245" s="82" t="s">
        <v>1172</v>
      </c>
      <c r="B245" s="82">
        <v>2428419.0</v>
      </c>
      <c r="C245" s="82" t="s">
        <v>1173</v>
      </c>
      <c r="D245" s="83">
        <v>46174.0</v>
      </c>
      <c r="E245" s="82" t="s">
        <v>604</v>
      </c>
      <c r="F245" s="82"/>
      <c r="G245" s="84"/>
      <c r="H245" s="82" t="s">
        <v>138</v>
      </c>
      <c r="I245" s="83">
        <v>46202.0</v>
      </c>
      <c r="J245" s="83">
        <v>46023.0</v>
      </c>
      <c r="K245" s="83">
        <v>46200.0</v>
      </c>
      <c r="L245" s="82"/>
      <c r="M245" s="83"/>
      <c r="N245" s="83"/>
      <c r="O245" s="83"/>
      <c r="P245" s="82">
        <v>252500.0</v>
      </c>
      <c r="Q245" s="82" t="s">
        <v>557</v>
      </c>
      <c r="R245" s="82">
        <v>171.0</v>
      </c>
      <c r="S245" s="82">
        <v>171.0</v>
      </c>
      <c r="T245" s="82" t="s">
        <v>1174</v>
      </c>
      <c r="U245" s="82" t="s">
        <v>1175</v>
      </c>
      <c r="V245" s="83">
        <v>46200.0</v>
      </c>
      <c r="W245" s="82" t="s">
        <v>132</v>
      </c>
      <c r="X245" s="82" t="s">
        <v>365</v>
      </c>
      <c r="Y245" s="83">
        <v>46029.0</v>
      </c>
      <c r="Z245" s="83">
        <v>45891.0</v>
      </c>
    </row>
    <row r="246">
      <c r="A246" s="82" t="s">
        <v>1176</v>
      </c>
      <c r="B246" s="82">
        <v>4188267.0</v>
      </c>
      <c r="C246" s="82" t="s">
        <v>1177</v>
      </c>
      <c r="D246" s="83">
        <v>46140.0</v>
      </c>
      <c r="E246" s="82" t="s">
        <v>522</v>
      </c>
      <c r="F246" s="84"/>
      <c r="G246" s="84"/>
      <c r="H246" s="82" t="s">
        <v>131</v>
      </c>
      <c r="I246" s="83">
        <v>46058.0</v>
      </c>
      <c r="J246" s="83">
        <v>46038.0</v>
      </c>
      <c r="K246" s="83">
        <v>46063.0</v>
      </c>
      <c r="L246" s="84"/>
      <c r="M246" s="84"/>
      <c r="N246" s="84"/>
      <c r="O246" s="84"/>
      <c r="P246" s="82">
        <v>566409.0</v>
      </c>
      <c r="Q246" s="82" t="s">
        <v>557</v>
      </c>
      <c r="R246" s="82">
        <v>212.5</v>
      </c>
      <c r="S246" s="82">
        <v>168.5</v>
      </c>
      <c r="T246" s="82" t="s">
        <v>1178</v>
      </c>
      <c r="U246" s="82" t="s">
        <v>1179</v>
      </c>
      <c r="V246" s="83">
        <v>46063.0</v>
      </c>
      <c r="W246" s="82" t="s">
        <v>132</v>
      </c>
      <c r="X246" s="82" t="s">
        <v>365</v>
      </c>
      <c r="Y246" s="83">
        <v>46037.0</v>
      </c>
      <c r="Z246" s="83">
        <v>45917.0</v>
      </c>
    </row>
    <row r="247">
      <c r="A247" s="82" t="s">
        <v>1180</v>
      </c>
      <c r="B247" s="82">
        <v>4143143.0</v>
      </c>
      <c r="C247" s="82" t="s">
        <v>1181</v>
      </c>
      <c r="D247" s="83">
        <v>45965.0</v>
      </c>
      <c r="E247" s="82"/>
      <c r="F247" s="84"/>
      <c r="G247" s="84"/>
      <c r="H247" s="82"/>
      <c r="I247" s="83"/>
      <c r="J247" s="83"/>
      <c r="K247" s="83"/>
      <c r="L247" s="84"/>
      <c r="M247" s="84"/>
      <c r="N247" s="84"/>
      <c r="O247" s="84"/>
      <c r="P247" s="82">
        <v>358153.0</v>
      </c>
      <c r="Q247" s="82" t="s">
        <v>511</v>
      </c>
      <c r="R247" s="82">
        <v>105.0</v>
      </c>
      <c r="S247" s="82">
        <v>115.0</v>
      </c>
      <c r="T247" s="82" t="s">
        <v>1182</v>
      </c>
      <c r="U247" s="82" t="s">
        <v>1183</v>
      </c>
      <c r="V247" s="83"/>
      <c r="W247" s="82" t="s">
        <v>514</v>
      </c>
      <c r="X247" s="82" t="s">
        <v>365</v>
      </c>
      <c r="Y247" s="83">
        <v>46027.0</v>
      </c>
      <c r="Z247" s="83">
        <v>45951.0</v>
      </c>
    </row>
    <row r="248">
      <c r="A248" s="82" t="s">
        <v>1184</v>
      </c>
      <c r="B248" s="82">
        <v>4164946.0</v>
      </c>
      <c r="C248" s="82" t="s">
        <v>1185</v>
      </c>
      <c r="D248" s="83">
        <v>46008.0</v>
      </c>
      <c r="E248" s="82" t="s">
        <v>522</v>
      </c>
      <c r="F248" s="82"/>
      <c r="G248" s="84"/>
      <c r="H248" s="82"/>
      <c r="I248" s="83">
        <v>45954.0</v>
      </c>
      <c r="J248" s="83"/>
      <c r="K248" s="83"/>
      <c r="L248" s="82"/>
      <c r="M248" s="83"/>
      <c r="N248" s="84"/>
      <c r="O248" s="83"/>
      <c r="P248" s="82">
        <v>530838.0</v>
      </c>
      <c r="Q248" s="82" t="s">
        <v>511</v>
      </c>
      <c r="R248" s="82">
        <v>108.28</v>
      </c>
      <c r="S248" s="82">
        <v>118.53</v>
      </c>
      <c r="T248" s="82" t="s">
        <v>1186</v>
      </c>
      <c r="U248" s="82" t="s">
        <v>1187</v>
      </c>
      <c r="V248" s="83"/>
      <c r="W248" s="82" t="s">
        <v>514</v>
      </c>
      <c r="X248" s="82" t="s">
        <v>365</v>
      </c>
      <c r="Y248" s="83">
        <v>46028.0</v>
      </c>
      <c r="Z248" s="83">
        <v>45957.0</v>
      </c>
    </row>
    <row r="249">
      <c r="A249" s="82" t="s">
        <v>1188</v>
      </c>
      <c r="B249" s="82">
        <v>4161417.0</v>
      </c>
      <c r="C249" s="82" t="s">
        <v>1189</v>
      </c>
      <c r="D249" s="83"/>
      <c r="E249" s="82" t="s">
        <v>522</v>
      </c>
      <c r="F249" s="82"/>
      <c r="G249" s="84"/>
      <c r="H249" s="82" t="s">
        <v>131</v>
      </c>
      <c r="I249" s="83">
        <v>46080.0</v>
      </c>
      <c r="J249" s="83">
        <v>46080.0</v>
      </c>
      <c r="K249" s="83">
        <v>46080.0</v>
      </c>
      <c r="L249" s="82"/>
      <c r="M249" s="83"/>
      <c r="N249" s="84"/>
      <c r="O249" s="83"/>
      <c r="P249" s="82">
        <v>537418.0</v>
      </c>
      <c r="Q249" s="82" t="s">
        <v>511</v>
      </c>
      <c r="R249" s="82">
        <v>55.0</v>
      </c>
      <c r="S249" s="82">
        <v>35.0</v>
      </c>
      <c r="T249" s="82" t="s">
        <v>1190</v>
      </c>
      <c r="U249" s="82" t="s">
        <v>1191</v>
      </c>
      <c r="V249" s="83">
        <v>46080.0</v>
      </c>
      <c r="W249" s="82" t="s">
        <v>514</v>
      </c>
      <c r="X249" s="82" t="s">
        <v>365</v>
      </c>
      <c r="Y249" s="83">
        <v>46034.0</v>
      </c>
      <c r="Z249" s="83">
        <v>45964.0</v>
      </c>
    </row>
    <row r="250">
      <c r="A250" s="82" t="s">
        <v>1192</v>
      </c>
      <c r="B250" s="82">
        <v>4134562.0</v>
      </c>
      <c r="C250" s="82" t="s">
        <v>1193</v>
      </c>
      <c r="D250" s="83">
        <v>46013.0</v>
      </c>
      <c r="E250" s="82"/>
      <c r="F250" s="84"/>
      <c r="G250" s="84"/>
      <c r="H250" s="82"/>
      <c r="I250" s="83"/>
      <c r="J250" s="83"/>
      <c r="K250" s="83"/>
      <c r="L250" s="84"/>
      <c r="M250" s="84"/>
      <c r="N250" s="84"/>
      <c r="O250" s="84"/>
      <c r="P250" s="82">
        <v>511851.0</v>
      </c>
      <c r="Q250" s="82" t="s">
        <v>511</v>
      </c>
      <c r="R250" s="82">
        <v>216.38</v>
      </c>
      <c r="S250" s="82">
        <v>119.71</v>
      </c>
      <c r="T250" s="82" t="s">
        <v>1194</v>
      </c>
      <c r="U250" s="82" t="s">
        <v>1195</v>
      </c>
      <c r="V250" s="83"/>
      <c r="W250" s="82" t="s">
        <v>514</v>
      </c>
      <c r="X250" s="82" t="s">
        <v>365</v>
      </c>
      <c r="Y250" s="83">
        <v>46027.0</v>
      </c>
      <c r="Z250" s="83">
        <v>45966.0</v>
      </c>
    </row>
    <row r="251">
      <c r="A251" s="82" t="s">
        <v>1196</v>
      </c>
      <c r="B251" s="82">
        <v>3333750.0</v>
      </c>
      <c r="C251" s="82" t="s">
        <v>1197</v>
      </c>
      <c r="D251" s="83">
        <v>46070.0</v>
      </c>
      <c r="E251" s="82" t="s">
        <v>522</v>
      </c>
      <c r="F251" s="84"/>
      <c r="G251" s="84"/>
      <c r="H251" s="82" t="s">
        <v>138</v>
      </c>
      <c r="I251" s="83">
        <v>46199.0</v>
      </c>
      <c r="J251" s="83"/>
      <c r="K251" s="83"/>
      <c r="L251" s="84"/>
      <c r="M251" s="84"/>
      <c r="N251" s="84"/>
      <c r="O251" s="84"/>
      <c r="P251" s="82"/>
      <c r="Q251" s="82"/>
      <c r="R251" s="82">
        <v>280.0</v>
      </c>
      <c r="S251" s="82">
        <v>245.0</v>
      </c>
      <c r="T251" s="82" t="s">
        <v>1198</v>
      </c>
      <c r="U251" s="82" t="s">
        <v>1199</v>
      </c>
      <c r="V251" s="83"/>
      <c r="W251" s="82" t="s">
        <v>132</v>
      </c>
      <c r="X251" s="82" t="s">
        <v>365</v>
      </c>
      <c r="Y251" s="83">
        <v>46034.0</v>
      </c>
      <c r="Z251" s="83">
        <v>45971.0</v>
      </c>
    </row>
    <row r="252">
      <c r="A252" s="82" t="s">
        <v>1200</v>
      </c>
      <c r="B252" s="82">
        <v>4477095.0</v>
      </c>
      <c r="C252" s="82" t="s">
        <v>1201</v>
      </c>
      <c r="D252" s="83">
        <v>46154.0</v>
      </c>
      <c r="E252" s="82"/>
      <c r="F252" s="82" t="s">
        <v>537</v>
      </c>
      <c r="G252" s="84"/>
      <c r="H252" s="82"/>
      <c r="I252" s="83"/>
      <c r="J252" s="83"/>
      <c r="K252" s="83"/>
      <c r="L252" s="82" t="s">
        <v>131</v>
      </c>
      <c r="M252" s="83">
        <v>46086.0</v>
      </c>
      <c r="N252" s="84"/>
      <c r="O252" s="83">
        <v>46087.0</v>
      </c>
      <c r="P252" s="82">
        <v>647552.0</v>
      </c>
      <c r="Q252" s="82" t="s">
        <v>511</v>
      </c>
      <c r="R252" s="82">
        <v>222.5</v>
      </c>
      <c r="S252" s="82">
        <v>183.1</v>
      </c>
      <c r="T252" s="82" t="s">
        <v>1202</v>
      </c>
      <c r="U252" s="82" t="s">
        <v>1203</v>
      </c>
      <c r="V252" s="83">
        <v>46106.0</v>
      </c>
      <c r="W252" s="82" t="s">
        <v>514</v>
      </c>
      <c r="X252" s="82" t="s">
        <v>365</v>
      </c>
      <c r="Y252" s="83">
        <v>46034.0</v>
      </c>
      <c r="Z252" s="83">
        <v>45992.0</v>
      </c>
    </row>
    <row r="253">
      <c r="A253" s="82" t="s">
        <v>1204</v>
      </c>
      <c r="B253" s="82">
        <v>1995033.0</v>
      </c>
      <c r="C253" s="82" t="s">
        <v>1205</v>
      </c>
      <c r="D253" s="83">
        <v>46002.0</v>
      </c>
      <c r="E253" s="84"/>
      <c r="F253" s="82"/>
      <c r="G253" s="82" t="s">
        <v>583</v>
      </c>
      <c r="H253" s="84"/>
      <c r="I253" s="84"/>
      <c r="J253" s="84"/>
      <c r="K253" s="84"/>
      <c r="L253" s="82"/>
      <c r="M253" s="83"/>
      <c r="N253" s="84"/>
      <c r="O253" s="83"/>
      <c r="P253" s="82">
        <v>63437.0</v>
      </c>
      <c r="Q253" s="82" t="s">
        <v>523</v>
      </c>
      <c r="R253" s="82">
        <v>125.0</v>
      </c>
      <c r="S253" s="82">
        <v>86.24</v>
      </c>
      <c r="T253" s="82" t="s">
        <v>1206</v>
      </c>
      <c r="U253" s="82" t="s">
        <v>1207</v>
      </c>
      <c r="V253" s="83"/>
      <c r="W253" s="82" t="s">
        <v>514</v>
      </c>
      <c r="X253" s="82" t="s">
        <v>365</v>
      </c>
      <c r="Y253" s="83">
        <v>46034.0</v>
      </c>
      <c r="Z253" s="83">
        <v>45993.0</v>
      </c>
    </row>
    <row r="254">
      <c r="A254" s="82" t="s">
        <v>1208</v>
      </c>
      <c r="B254" s="82">
        <v>4272922.0</v>
      </c>
      <c r="C254" s="82" t="s">
        <v>1169</v>
      </c>
      <c r="D254" s="83">
        <v>46009.0</v>
      </c>
      <c r="E254" s="84"/>
      <c r="F254" s="84"/>
      <c r="G254" s="84"/>
      <c r="H254" s="82" t="s">
        <v>131</v>
      </c>
      <c r="I254" s="83">
        <v>46045.0</v>
      </c>
      <c r="J254" s="83">
        <v>46044.0</v>
      </c>
      <c r="K254" s="83">
        <v>46045.0</v>
      </c>
      <c r="L254" s="84"/>
      <c r="M254" s="84"/>
      <c r="N254" s="84"/>
      <c r="O254" s="84"/>
      <c r="P254" s="82">
        <v>561947.0</v>
      </c>
      <c r="Q254" s="82" t="s">
        <v>511</v>
      </c>
      <c r="R254" s="82">
        <v>255.0</v>
      </c>
      <c r="S254" s="82">
        <v>255.0</v>
      </c>
      <c r="T254" s="82" t="s">
        <v>1209</v>
      </c>
      <c r="U254" s="82" t="s">
        <v>1171</v>
      </c>
      <c r="V254" s="83">
        <v>46045.0</v>
      </c>
      <c r="W254" s="82" t="s">
        <v>132</v>
      </c>
      <c r="X254" s="82" t="s">
        <v>365</v>
      </c>
      <c r="Y254" s="83">
        <v>46028.0</v>
      </c>
      <c r="Z254" s="83">
        <v>45994.0</v>
      </c>
    </row>
    <row r="255">
      <c r="A255" s="82" t="s">
        <v>1210</v>
      </c>
      <c r="B255" s="82">
        <v>4101042.0</v>
      </c>
      <c r="C255" s="82" t="s">
        <v>1211</v>
      </c>
      <c r="D255" s="83">
        <v>46013.0</v>
      </c>
      <c r="E255" s="84"/>
      <c r="F255" s="84"/>
      <c r="G255" s="84"/>
      <c r="H255" s="84"/>
      <c r="I255" s="84"/>
      <c r="J255" s="84"/>
      <c r="K255" s="84"/>
      <c r="L255" s="84"/>
      <c r="M255" s="84"/>
      <c r="N255" s="84"/>
      <c r="O255" s="84"/>
      <c r="P255" s="82">
        <v>472799.0</v>
      </c>
      <c r="Q255" s="82" t="s">
        <v>511</v>
      </c>
      <c r="R255" s="82">
        <v>317.5</v>
      </c>
      <c r="S255" s="82">
        <v>208.9</v>
      </c>
      <c r="T255" s="82" t="s">
        <v>1212</v>
      </c>
      <c r="U255" s="82" t="s">
        <v>1213</v>
      </c>
      <c r="V255" s="84"/>
      <c r="W255" s="82" t="s">
        <v>514</v>
      </c>
      <c r="X255" s="82" t="s">
        <v>365</v>
      </c>
      <c r="Y255" s="83">
        <v>46028.0</v>
      </c>
      <c r="Z255" s="83">
        <v>45995.0</v>
      </c>
    </row>
    <row r="256">
      <c r="A256" s="82" t="s">
        <v>1214</v>
      </c>
      <c r="B256" s="82">
        <v>4308093.0</v>
      </c>
      <c r="C256" s="82" t="s">
        <v>1215</v>
      </c>
      <c r="D256" s="83">
        <v>46021.0</v>
      </c>
      <c r="E256" s="82" t="s">
        <v>1008</v>
      </c>
      <c r="F256" s="84"/>
      <c r="G256" s="84"/>
      <c r="H256" s="82" t="s">
        <v>138</v>
      </c>
      <c r="I256" s="83">
        <v>46203.0</v>
      </c>
      <c r="J256" s="83">
        <v>46049.0</v>
      </c>
      <c r="K256" s="83">
        <v>46190.0</v>
      </c>
      <c r="L256" s="84"/>
      <c r="M256" s="84"/>
      <c r="N256" s="84"/>
      <c r="O256" s="84"/>
      <c r="P256" s="82">
        <v>566201.0</v>
      </c>
      <c r="Q256" s="82" t="s">
        <v>532</v>
      </c>
      <c r="R256" s="82">
        <v>141.88</v>
      </c>
      <c r="S256" s="82">
        <v>182.97</v>
      </c>
      <c r="T256" s="82" t="s">
        <v>1216</v>
      </c>
      <c r="U256" s="82" t="s">
        <v>1217</v>
      </c>
      <c r="V256" s="83">
        <v>46190.0</v>
      </c>
      <c r="W256" s="82" t="s">
        <v>132</v>
      </c>
      <c r="X256" s="82" t="s">
        <v>365</v>
      </c>
      <c r="Y256" s="83">
        <v>46049.0</v>
      </c>
      <c r="Z256" s="83">
        <v>46001.0</v>
      </c>
    </row>
    <row r="257">
      <c r="A257" s="82" t="s">
        <v>1218</v>
      </c>
      <c r="B257" s="82">
        <v>47426.0</v>
      </c>
      <c r="C257" s="82" t="s">
        <v>1219</v>
      </c>
      <c r="D257" s="83">
        <v>46086.0</v>
      </c>
      <c r="E257" s="82" t="s">
        <v>522</v>
      </c>
      <c r="F257" s="82"/>
      <c r="G257" s="84"/>
      <c r="H257" s="82" t="s">
        <v>138</v>
      </c>
      <c r="I257" s="83">
        <v>46227.0</v>
      </c>
      <c r="J257" s="83">
        <v>44011.0</v>
      </c>
      <c r="K257" s="83">
        <v>46199.0</v>
      </c>
      <c r="L257" s="82"/>
      <c r="M257" s="83"/>
      <c r="N257" s="84"/>
      <c r="O257" s="83"/>
      <c r="P257" s="82">
        <v>579319.0</v>
      </c>
      <c r="Q257" s="82" t="s">
        <v>557</v>
      </c>
      <c r="R257" s="82">
        <v>380.0</v>
      </c>
      <c r="S257" s="82">
        <v>251.6</v>
      </c>
      <c r="T257" s="82" t="s">
        <v>1220</v>
      </c>
      <c r="U257" s="82" t="s">
        <v>1221</v>
      </c>
      <c r="V257" s="83">
        <v>46199.0</v>
      </c>
      <c r="W257" s="82" t="s">
        <v>132</v>
      </c>
      <c r="X257" s="82" t="s">
        <v>365</v>
      </c>
      <c r="Y257" s="83">
        <v>46028.0</v>
      </c>
      <c r="Z257" s="83">
        <v>46001.0</v>
      </c>
    </row>
    <row r="258">
      <c r="A258" s="82" t="s">
        <v>1222</v>
      </c>
      <c r="B258" s="82">
        <v>4283232.0</v>
      </c>
      <c r="C258" s="82" t="s">
        <v>1223</v>
      </c>
      <c r="D258" s="83">
        <v>46029.0</v>
      </c>
      <c r="E258" s="82"/>
      <c r="F258" s="82"/>
      <c r="G258" s="84"/>
      <c r="H258" s="82"/>
      <c r="I258" s="83"/>
      <c r="J258" s="83"/>
      <c r="K258" s="83"/>
      <c r="L258" s="82"/>
      <c r="M258" s="83"/>
      <c r="N258" s="84"/>
      <c r="O258" s="83"/>
      <c r="P258" s="82">
        <v>566765.0</v>
      </c>
      <c r="Q258" s="82" t="s">
        <v>511</v>
      </c>
      <c r="R258" s="82">
        <v>425.0</v>
      </c>
      <c r="S258" s="82">
        <v>441.6</v>
      </c>
      <c r="T258" s="82" t="s">
        <v>1224</v>
      </c>
      <c r="U258" s="82" t="s">
        <v>1225</v>
      </c>
      <c r="V258" s="83"/>
      <c r="W258" s="82" t="s">
        <v>514</v>
      </c>
      <c r="X258" s="82" t="s">
        <v>365</v>
      </c>
      <c r="Y258" s="83">
        <v>46037.0</v>
      </c>
      <c r="Z258" s="83">
        <v>46003.0</v>
      </c>
    </row>
    <row r="259">
      <c r="A259" s="82" t="s">
        <v>757</v>
      </c>
      <c r="B259" s="82">
        <v>4299448.0</v>
      </c>
      <c r="C259" s="82" t="s">
        <v>758</v>
      </c>
      <c r="D259" s="83">
        <v>46176.0</v>
      </c>
      <c r="E259" s="82" t="s">
        <v>522</v>
      </c>
      <c r="F259" s="84"/>
      <c r="G259" s="84"/>
      <c r="H259" s="82" t="s">
        <v>138</v>
      </c>
      <c r="I259" s="83">
        <v>46209.0</v>
      </c>
      <c r="J259" s="83">
        <v>46013.0</v>
      </c>
      <c r="K259" s="83">
        <v>46199.0</v>
      </c>
      <c r="L259" s="84"/>
      <c r="M259" s="84"/>
      <c r="N259" s="84"/>
      <c r="O259" s="84"/>
      <c r="P259" s="82">
        <v>717469.0</v>
      </c>
      <c r="Q259" s="82" t="s">
        <v>532</v>
      </c>
      <c r="R259" s="82">
        <v>437.5</v>
      </c>
      <c r="S259" s="82">
        <v>452.7</v>
      </c>
      <c r="T259" s="82" t="s">
        <v>1226</v>
      </c>
      <c r="U259" s="82" t="s">
        <v>760</v>
      </c>
      <c r="V259" s="83">
        <v>46199.0</v>
      </c>
      <c r="W259" s="82" t="s">
        <v>132</v>
      </c>
      <c r="X259" s="82" t="s">
        <v>365</v>
      </c>
      <c r="Y259" s="83">
        <v>46029.0</v>
      </c>
      <c r="Z259" s="83">
        <v>46008.0</v>
      </c>
    </row>
    <row r="260">
      <c r="A260" s="82" t="s">
        <v>1227</v>
      </c>
      <c r="B260" s="82">
        <v>4327510.0</v>
      </c>
      <c r="C260" s="82" t="s">
        <v>1228</v>
      </c>
      <c r="D260" s="83">
        <v>46059.0</v>
      </c>
      <c r="E260" s="84"/>
      <c r="F260" s="82" t="s">
        <v>537</v>
      </c>
      <c r="G260" s="84"/>
      <c r="H260" s="84"/>
      <c r="I260" s="84"/>
      <c r="J260" s="84"/>
      <c r="K260" s="84"/>
      <c r="L260" s="82" t="s">
        <v>138</v>
      </c>
      <c r="M260" s="83">
        <v>46031.0</v>
      </c>
      <c r="N260" s="83">
        <v>46203.0</v>
      </c>
      <c r="O260" s="83">
        <v>46036.0</v>
      </c>
      <c r="P260" s="82">
        <v>590443.0</v>
      </c>
      <c r="Q260" s="82"/>
      <c r="R260" s="82">
        <v>66.0</v>
      </c>
      <c r="S260" s="82">
        <v>156.0</v>
      </c>
      <c r="T260" s="82" t="s">
        <v>1229</v>
      </c>
      <c r="U260" s="82" t="s">
        <v>1230</v>
      </c>
      <c r="V260" s="83">
        <v>46198.0</v>
      </c>
      <c r="W260" s="82" t="s">
        <v>132</v>
      </c>
      <c r="X260" s="82" t="s">
        <v>365</v>
      </c>
      <c r="Y260" s="83">
        <v>46037.0</v>
      </c>
      <c r="Z260" s="83">
        <v>46021.0</v>
      </c>
    </row>
    <row r="261">
      <c r="A261" s="82" t="s">
        <v>1231</v>
      </c>
      <c r="B261" s="82">
        <v>3408624.0</v>
      </c>
      <c r="C261" s="82" t="s">
        <v>1232</v>
      </c>
      <c r="D261" s="83">
        <v>46034.0</v>
      </c>
      <c r="E261" s="82" t="s">
        <v>522</v>
      </c>
      <c r="F261" s="84"/>
      <c r="G261" s="84"/>
      <c r="H261" s="82" t="s">
        <v>131</v>
      </c>
      <c r="I261" s="83">
        <v>46031.0</v>
      </c>
      <c r="J261" s="83">
        <v>46036.0</v>
      </c>
      <c r="K261" s="83">
        <v>46036.0</v>
      </c>
      <c r="L261" s="84"/>
      <c r="M261" s="84"/>
      <c r="N261" s="84"/>
      <c r="O261" s="84"/>
      <c r="P261" s="82">
        <v>576426.0</v>
      </c>
      <c r="Q261" s="82" t="s">
        <v>511</v>
      </c>
      <c r="R261" s="82">
        <v>11.25</v>
      </c>
      <c r="S261" s="82">
        <v>50.31</v>
      </c>
      <c r="T261" s="82" t="s">
        <v>1233</v>
      </c>
      <c r="U261" s="82" t="s">
        <v>1234</v>
      </c>
      <c r="V261" s="83">
        <v>46036.0</v>
      </c>
      <c r="W261" s="82" t="s">
        <v>132</v>
      </c>
      <c r="X261" s="82" t="s">
        <v>365</v>
      </c>
      <c r="Y261" s="83">
        <v>46036.0</v>
      </c>
      <c r="Z261" s="83">
        <v>46021.0</v>
      </c>
    </row>
    <row r="262">
      <c r="A262" s="82" t="s">
        <v>753</v>
      </c>
      <c r="B262" s="82">
        <v>4329147.0</v>
      </c>
      <c r="C262" s="82" t="s">
        <v>754</v>
      </c>
      <c r="D262" s="83">
        <v>46196.0</v>
      </c>
      <c r="E262" s="82" t="s">
        <v>522</v>
      </c>
      <c r="F262" s="84"/>
      <c r="G262" s="84"/>
      <c r="H262" s="82" t="s">
        <v>138</v>
      </c>
      <c r="I262" s="83">
        <v>46195.0</v>
      </c>
      <c r="J262" s="83">
        <v>46035.0</v>
      </c>
      <c r="K262" s="83">
        <v>46195.0</v>
      </c>
      <c r="L262" s="84"/>
      <c r="M262" s="84"/>
      <c r="N262" s="84"/>
      <c r="O262" s="84"/>
      <c r="P262" s="82">
        <v>596524.0</v>
      </c>
      <c r="Q262" s="82" t="s">
        <v>532</v>
      </c>
      <c r="R262" s="82">
        <v>305.0</v>
      </c>
      <c r="S262" s="82">
        <v>390.0</v>
      </c>
      <c r="T262" s="82" t="s">
        <v>1235</v>
      </c>
      <c r="U262" s="82" t="s">
        <v>756</v>
      </c>
      <c r="V262" s="83">
        <v>46195.0</v>
      </c>
      <c r="W262" s="82" t="s">
        <v>132</v>
      </c>
      <c r="X262" s="82" t="s">
        <v>365</v>
      </c>
      <c r="Y262" s="83">
        <v>46043.0</v>
      </c>
      <c r="Z262" s="83">
        <v>46027.0</v>
      </c>
    </row>
    <row r="263">
      <c r="A263" s="82" t="s">
        <v>1236</v>
      </c>
      <c r="B263" s="82">
        <v>4314059.0</v>
      </c>
      <c r="C263" s="82" t="s">
        <v>1237</v>
      </c>
      <c r="D263" s="83">
        <v>46175.0</v>
      </c>
      <c r="E263" s="82" t="s">
        <v>522</v>
      </c>
      <c r="F263" s="84"/>
      <c r="G263" s="84"/>
      <c r="H263" s="82" t="s">
        <v>138</v>
      </c>
      <c r="I263" s="83">
        <v>46199.0</v>
      </c>
      <c r="J263" s="83">
        <v>46036.0</v>
      </c>
      <c r="K263" s="83">
        <v>46199.0</v>
      </c>
      <c r="L263" s="84"/>
      <c r="M263" s="84"/>
      <c r="N263" s="84"/>
      <c r="O263" s="84"/>
      <c r="P263" s="82">
        <v>590712.0</v>
      </c>
      <c r="Q263" s="82" t="s">
        <v>532</v>
      </c>
      <c r="R263" s="82">
        <v>400.0</v>
      </c>
      <c r="S263" s="82">
        <v>435.0</v>
      </c>
      <c r="T263" s="82" t="s">
        <v>1238</v>
      </c>
      <c r="U263" s="82" t="s">
        <v>1239</v>
      </c>
      <c r="V263" s="83">
        <v>46199.0</v>
      </c>
      <c r="W263" s="82" t="s">
        <v>132</v>
      </c>
      <c r="X263" s="82" t="s">
        <v>365</v>
      </c>
      <c r="Y263" s="83">
        <v>46043.0</v>
      </c>
      <c r="Z263" s="83">
        <v>46027.0</v>
      </c>
    </row>
    <row r="264">
      <c r="A264" s="82" t="s">
        <v>1240</v>
      </c>
      <c r="B264" s="82">
        <v>4318853.0</v>
      </c>
      <c r="C264" s="82" t="s">
        <v>1241</v>
      </c>
      <c r="D264" s="83">
        <v>46091.0</v>
      </c>
      <c r="E264" s="82" t="s">
        <v>522</v>
      </c>
      <c r="F264" s="82" t="s">
        <v>537</v>
      </c>
      <c r="G264" s="84"/>
      <c r="H264" s="82" t="s">
        <v>138</v>
      </c>
      <c r="I264" s="83">
        <v>46188.0</v>
      </c>
      <c r="J264" s="83">
        <v>46042.0</v>
      </c>
      <c r="K264" s="83">
        <v>46191.0</v>
      </c>
      <c r="L264" s="82" t="s">
        <v>131</v>
      </c>
      <c r="M264" s="83">
        <v>46073.0</v>
      </c>
      <c r="N264" s="84"/>
      <c r="O264" s="83">
        <v>46073.0</v>
      </c>
      <c r="P264" s="82">
        <v>585669.0</v>
      </c>
      <c r="Q264" s="82" t="s">
        <v>511</v>
      </c>
      <c r="R264" s="82">
        <v>258.0</v>
      </c>
      <c r="S264" s="82">
        <v>403.0</v>
      </c>
      <c r="T264" s="82" t="s">
        <v>1242</v>
      </c>
      <c r="U264" s="82" t="s">
        <v>1243</v>
      </c>
      <c r="V264" s="83">
        <v>46191.0</v>
      </c>
      <c r="W264" s="82" t="s">
        <v>132</v>
      </c>
      <c r="X264" s="82" t="s">
        <v>365</v>
      </c>
      <c r="Y264" s="83">
        <v>46042.0</v>
      </c>
      <c r="Z264" s="83">
        <v>46027.0</v>
      </c>
    </row>
    <row r="265">
      <c r="A265" s="82" t="s">
        <v>1244</v>
      </c>
      <c r="B265" s="82">
        <v>4342016.0</v>
      </c>
      <c r="C265" s="82" t="s">
        <v>1245</v>
      </c>
      <c r="D265" s="83">
        <v>46121.0</v>
      </c>
      <c r="E265" s="82" t="s">
        <v>604</v>
      </c>
      <c r="F265" s="82"/>
      <c r="G265" s="84"/>
      <c r="H265" s="82" t="s">
        <v>131</v>
      </c>
      <c r="I265" s="83">
        <v>46125.0</v>
      </c>
      <c r="J265" s="83">
        <v>46050.0</v>
      </c>
      <c r="K265" s="83">
        <v>46128.0</v>
      </c>
      <c r="L265" s="84"/>
      <c r="M265" s="83"/>
      <c r="N265" s="83"/>
      <c r="O265" s="84"/>
      <c r="P265" s="82">
        <v>601451.0</v>
      </c>
      <c r="Q265" s="82" t="s">
        <v>532</v>
      </c>
      <c r="R265" s="82">
        <v>103.75</v>
      </c>
      <c r="S265" s="82">
        <v>361.77</v>
      </c>
      <c r="T265" s="82" t="s">
        <v>1246</v>
      </c>
      <c r="U265" s="82" t="s">
        <v>1247</v>
      </c>
      <c r="V265" s="83">
        <v>46128.0</v>
      </c>
      <c r="W265" s="82" t="s">
        <v>132</v>
      </c>
      <c r="X265" s="82" t="s">
        <v>365</v>
      </c>
      <c r="Y265" s="83">
        <v>46050.0</v>
      </c>
      <c r="Z265" s="83">
        <v>46036.0</v>
      </c>
    </row>
    <row r="266">
      <c r="A266" s="82" t="s">
        <v>1248</v>
      </c>
      <c r="B266" s="82">
        <v>4345385.0</v>
      </c>
      <c r="C266" s="82" t="s">
        <v>1249</v>
      </c>
      <c r="D266" s="83">
        <v>46122.0</v>
      </c>
      <c r="E266" s="82" t="s">
        <v>522</v>
      </c>
      <c r="F266" s="82"/>
      <c r="G266" s="84"/>
      <c r="H266" s="82" t="s">
        <v>131</v>
      </c>
      <c r="I266" s="83">
        <v>46154.0</v>
      </c>
      <c r="J266" s="83">
        <v>46037.0</v>
      </c>
      <c r="K266" s="83">
        <v>46043.0</v>
      </c>
      <c r="L266" s="82"/>
      <c r="M266" s="83"/>
      <c r="N266" s="83"/>
      <c r="O266" s="83"/>
      <c r="P266" s="82">
        <v>599267.0</v>
      </c>
      <c r="Q266" s="82" t="s">
        <v>511</v>
      </c>
      <c r="R266" s="82">
        <v>336.25</v>
      </c>
      <c r="S266" s="82">
        <v>148.94</v>
      </c>
      <c r="T266" s="82" t="s">
        <v>1250</v>
      </c>
      <c r="U266" s="82" t="s">
        <v>1251</v>
      </c>
      <c r="V266" s="83">
        <v>46043.0</v>
      </c>
      <c r="W266" s="82" t="s">
        <v>132</v>
      </c>
      <c r="X266" s="82" t="s">
        <v>365</v>
      </c>
      <c r="Y266" s="83">
        <v>46038.0</v>
      </c>
      <c r="Z266" s="83">
        <v>46037.0</v>
      </c>
    </row>
    <row r="267">
      <c r="A267" s="82" t="s">
        <v>1252</v>
      </c>
      <c r="B267" s="82">
        <v>4380860.0</v>
      </c>
      <c r="C267" s="82" t="s">
        <v>1253</v>
      </c>
      <c r="D267" s="83">
        <v>46107.0</v>
      </c>
      <c r="E267" s="82" t="s">
        <v>522</v>
      </c>
      <c r="F267" s="84"/>
      <c r="G267" s="84"/>
      <c r="H267" s="82" t="s">
        <v>138</v>
      </c>
      <c r="I267" s="83">
        <v>46196.0</v>
      </c>
      <c r="J267" s="83">
        <v>46051.0</v>
      </c>
      <c r="K267" s="83">
        <v>46196.0</v>
      </c>
      <c r="L267" s="84"/>
      <c r="M267" s="84"/>
      <c r="N267" s="84"/>
      <c r="O267" s="84"/>
      <c r="P267" s="82">
        <v>612791.0</v>
      </c>
      <c r="Q267" s="82" t="s">
        <v>511</v>
      </c>
      <c r="R267" s="82">
        <v>274.38</v>
      </c>
      <c r="S267" s="82">
        <v>367.35</v>
      </c>
      <c r="T267" s="82" t="s">
        <v>1254</v>
      </c>
      <c r="U267" s="82" t="s">
        <v>1255</v>
      </c>
      <c r="V267" s="83">
        <v>46196.0</v>
      </c>
      <c r="W267" s="82" t="s">
        <v>132</v>
      </c>
      <c r="X267" s="82" t="s">
        <v>365</v>
      </c>
      <c r="Y267" s="83">
        <v>46051.0</v>
      </c>
      <c r="Z267" s="83">
        <v>46049.0</v>
      </c>
    </row>
    <row r="268">
      <c r="A268" s="82" t="s">
        <v>1256</v>
      </c>
      <c r="B268" s="82">
        <v>4309608.0</v>
      </c>
      <c r="C268" s="82" t="s">
        <v>1257</v>
      </c>
      <c r="D268" s="83">
        <v>46105.0</v>
      </c>
      <c r="E268" s="82"/>
      <c r="F268" s="82" t="s">
        <v>537</v>
      </c>
      <c r="G268" s="84"/>
      <c r="H268" s="82"/>
      <c r="I268" s="83"/>
      <c r="J268" s="83"/>
      <c r="K268" s="83"/>
      <c r="L268" s="82" t="s">
        <v>131</v>
      </c>
      <c r="M268" s="83">
        <v>46036.0</v>
      </c>
      <c r="N268" s="84"/>
      <c r="O268" s="83">
        <v>46037.0</v>
      </c>
      <c r="P268" s="82">
        <v>579728.0</v>
      </c>
      <c r="Q268" s="82" t="s">
        <v>511</v>
      </c>
      <c r="R268" s="82">
        <v>103.5</v>
      </c>
      <c r="S268" s="82">
        <v>168.7</v>
      </c>
      <c r="T268" s="82" t="s">
        <v>1258</v>
      </c>
      <c r="U268" s="82" t="s">
        <v>1259</v>
      </c>
      <c r="V268" s="83">
        <v>46070.0</v>
      </c>
      <c r="W268" s="82" t="s">
        <v>132</v>
      </c>
      <c r="X268" s="82" t="s">
        <v>365</v>
      </c>
      <c r="Y268" s="83">
        <v>46037.0</v>
      </c>
      <c r="Z268" s="83">
        <v>46056.0</v>
      </c>
    </row>
    <row r="269">
      <c r="A269" s="82" t="s">
        <v>1260</v>
      </c>
      <c r="B269" s="82">
        <v>4177905.0</v>
      </c>
      <c r="C269" s="82" t="s">
        <v>1261</v>
      </c>
      <c r="D269" s="83">
        <v>46034.0</v>
      </c>
      <c r="E269" s="82"/>
      <c r="F269" s="82"/>
      <c r="G269" s="84"/>
      <c r="H269" s="82"/>
      <c r="I269" s="83"/>
      <c r="J269" s="83"/>
      <c r="K269" s="83"/>
      <c r="L269" s="82"/>
      <c r="M269" s="83"/>
      <c r="N269" s="84"/>
      <c r="O269" s="83"/>
      <c r="P269" s="82">
        <v>462506.0</v>
      </c>
      <c r="Q269" s="82" t="s">
        <v>511</v>
      </c>
      <c r="R269" s="82">
        <v>786.25</v>
      </c>
      <c r="S269" s="82">
        <v>726.95</v>
      </c>
      <c r="T269" s="82" t="s">
        <v>1262</v>
      </c>
      <c r="U269" s="82" t="s">
        <v>1263</v>
      </c>
      <c r="V269" s="83"/>
      <c r="W269" s="82" t="s">
        <v>514</v>
      </c>
      <c r="X269" s="82" t="s">
        <v>365</v>
      </c>
      <c r="Y269" s="83">
        <v>46057.0</v>
      </c>
      <c r="Z269" s="83">
        <v>45940.0</v>
      </c>
    </row>
    <row r="270">
      <c r="A270" s="82" t="s">
        <v>1264</v>
      </c>
      <c r="B270" s="82">
        <v>4174961.0</v>
      </c>
      <c r="C270" s="82" t="s">
        <v>1265</v>
      </c>
      <c r="D270" s="83"/>
      <c r="E270" s="82"/>
      <c r="F270" s="82"/>
      <c r="G270" s="84"/>
      <c r="H270" s="82"/>
      <c r="I270" s="83"/>
      <c r="J270" s="83"/>
      <c r="K270" s="83"/>
      <c r="L270" s="82"/>
      <c r="M270" s="83"/>
      <c r="N270" s="84"/>
      <c r="O270" s="83"/>
      <c r="P270" s="82">
        <v>534948.0</v>
      </c>
      <c r="Q270" s="82" t="s">
        <v>511</v>
      </c>
      <c r="R270" s="82">
        <v>55.0</v>
      </c>
      <c r="S270" s="82">
        <v>35.0</v>
      </c>
      <c r="T270" s="82" t="s">
        <v>1266</v>
      </c>
      <c r="U270" s="82" t="s">
        <v>1267</v>
      </c>
      <c r="V270" s="83"/>
      <c r="W270" s="82" t="s">
        <v>514</v>
      </c>
      <c r="X270" s="82" t="s">
        <v>365</v>
      </c>
      <c r="Y270" s="83">
        <v>46057.0</v>
      </c>
      <c r="Z270" s="83">
        <v>45965.0</v>
      </c>
    </row>
    <row r="271">
      <c r="A271" s="82" t="s">
        <v>1268</v>
      </c>
      <c r="B271" s="82">
        <v>2927825.0</v>
      </c>
      <c r="C271" s="82" t="s">
        <v>1269</v>
      </c>
      <c r="D271" s="83">
        <v>46057.0</v>
      </c>
      <c r="E271" s="82"/>
      <c r="F271" s="84"/>
      <c r="G271" s="84"/>
      <c r="H271" s="82"/>
      <c r="I271" s="83"/>
      <c r="J271" s="83"/>
      <c r="K271" s="83"/>
      <c r="L271" s="84"/>
      <c r="M271" s="84"/>
      <c r="N271" s="84"/>
      <c r="O271" s="84"/>
      <c r="P271" s="82">
        <v>586646.0</v>
      </c>
      <c r="Q271" s="82" t="s">
        <v>511</v>
      </c>
      <c r="R271" s="82">
        <v>295.0</v>
      </c>
      <c r="S271" s="82">
        <v>370.0</v>
      </c>
      <c r="T271" s="82" t="s">
        <v>1270</v>
      </c>
      <c r="U271" s="82" t="s">
        <v>1271</v>
      </c>
      <c r="V271" s="83"/>
      <c r="W271" s="82" t="s">
        <v>514</v>
      </c>
      <c r="X271" s="82" t="s">
        <v>365</v>
      </c>
      <c r="Y271" s="83">
        <v>46058.0</v>
      </c>
      <c r="Z271" s="83">
        <v>46006.0</v>
      </c>
    </row>
    <row r="272">
      <c r="A272" s="82" t="s">
        <v>1272</v>
      </c>
      <c r="B272" s="82">
        <v>3777388.0</v>
      </c>
      <c r="C272" s="82" t="s">
        <v>1273</v>
      </c>
      <c r="D272" s="83">
        <v>46035.0</v>
      </c>
      <c r="E272" s="82" t="s">
        <v>604</v>
      </c>
      <c r="F272" s="84"/>
      <c r="G272" s="84"/>
      <c r="H272" s="82"/>
      <c r="I272" s="83"/>
      <c r="J272" s="83"/>
      <c r="K272" s="83"/>
      <c r="L272" s="84"/>
      <c r="M272" s="84"/>
      <c r="N272" s="84"/>
      <c r="O272" s="84"/>
      <c r="P272" s="82"/>
      <c r="Q272" s="82"/>
      <c r="R272" s="82">
        <v>103.3</v>
      </c>
      <c r="S272" s="82">
        <v>135.33</v>
      </c>
      <c r="T272" s="82" t="s">
        <v>1274</v>
      </c>
      <c r="U272" s="82" t="s">
        <v>1275</v>
      </c>
      <c r="V272" s="83"/>
      <c r="W272" s="82" t="s">
        <v>514</v>
      </c>
      <c r="X272" s="82" t="s">
        <v>365</v>
      </c>
      <c r="Y272" s="83">
        <v>46058.0</v>
      </c>
      <c r="Z272" s="83">
        <v>46007.0</v>
      </c>
    </row>
    <row r="273">
      <c r="A273" s="82" t="s">
        <v>1276</v>
      </c>
      <c r="B273" s="82">
        <v>4334745.0</v>
      </c>
      <c r="C273" s="82" t="s">
        <v>1277</v>
      </c>
      <c r="D273" s="83"/>
      <c r="E273" s="82" t="s">
        <v>522</v>
      </c>
      <c r="F273" s="82" t="s">
        <v>537</v>
      </c>
      <c r="G273" s="84"/>
      <c r="H273" s="82" t="s">
        <v>138</v>
      </c>
      <c r="I273" s="83">
        <v>46198.0</v>
      </c>
      <c r="J273" s="83">
        <v>46051.0</v>
      </c>
      <c r="K273" s="83">
        <v>46199.0</v>
      </c>
      <c r="L273" s="82" t="s">
        <v>138</v>
      </c>
      <c r="M273" s="83">
        <v>46051.0</v>
      </c>
      <c r="N273" s="83">
        <v>46203.0</v>
      </c>
      <c r="O273" s="83">
        <v>46062.0</v>
      </c>
      <c r="P273" s="82">
        <v>586564.0</v>
      </c>
      <c r="Q273" s="82" t="s">
        <v>523</v>
      </c>
      <c r="R273" s="82">
        <v>153.72</v>
      </c>
      <c r="S273" s="82">
        <v>0.0</v>
      </c>
      <c r="T273" s="82" t="s">
        <v>1278</v>
      </c>
      <c r="U273" s="82" t="s">
        <v>1279</v>
      </c>
      <c r="V273" s="83">
        <v>46199.0</v>
      </c>
      <c r="W273" s="82" t="s">
        <v>132</v>
      </c>
      <c r="X273" s="82" t="s">
        <v>365</v>
      </c>
      <c r="Y273" s="83">
        <v>46058.0</v>
      </c>
      <c r="Z273" s="83">
        <v>46009.0</v>
      </c>
    </row>
    <row r="274">
      <c r="A274" s="82" t="s">
        <v>1280</v>
      </c>
      <c r="B274" s="82">
        <v>4359669.0</v>
      </c>
      <c r="C274" s="82" t="s">
        <v>1281</v>
      </c>
      <c r="D274" s="83">
        <v>46119.0</v>
      </c>
      <c r="E274" s="82" t="s">
        <v>604</v>
      </c>
      <c r="F274" s="82"/>
      <c r="G274" s="84"/>
      <c r="H274" s="82" t="s">
        <v>138</v>
      </c>
      <c r="I274" s="83">
        <v>46199.0</v>
      </c>
      <c r="J274" s="83">
        <v>46057.0</v>
      </c>
      <c r="K274" s="83">
        <v>46199.0</v>
      </c>
      <c r="L274" s="82"/>
      <c r="M274" s="83"/>
      <c r="N274" s="83"/>
      <c r="O274" s="83"/>
      <c r="P274" s="82">
        <v>606617.0</v>
      </c>
      <c r="Q274" s="82" t="s">
        <v>557</v>
      </c>
      <c r="R274" s="82">
        <v>437.75</v>
      </c>
      <c r="S274" s="82">
        <v>155.65</v>
      </c>
      <c r="T274" s="82" t="s">
        <v>1282</v>
      </c>
      <c r="U274" s="82" t="s">
        <v>1283</v>
      </c>
      <c r="V274" s="83">
        <v>46199.0</v>
      </c>
      <c r="W274" s="82" t="s">
        <v>132</v>
      </c>
      <c r="X274" s="82" t="s">
        <v>365</v>
      </c>
      <c r="Y274" s="83">
        <v>46079.0</v>
      </c>
      <c r="Z274" s="83">
        <v>46028.0</v>
      </c>
    </row>
    <row r="275">
      <c r="A275" s="82" t="s">
        <v>1284</v>
      </c>
      <c r="B275" s="82">
        <v>4331215.0</v>
      </c>
      <c r="C275" s="82" t="s">
        <v>1285</v>
      </c>
      <c r="D275" s="83">
        <v>46031.0</v>
      </c>
      <c r="E275" s="82"/>
      <c r="F275" s="84"/>
      <c r="G275" s="84"/>
      <c r="H275" s="82"/>
      <c r="I275" s="83"/>
      <c r="J275" s="83"/>
      <c r="K275" s="83"/>
      <c r="L275" s="84"/>
      <c r="M275" s="84"/>
      <c r="N275" s="84"/>
      <c r="O275" s="84"/>
      <c r="P275" s="82">
        <v>592418.0</v>
      </c>
      <c r="Q275" s="82" t="s">
        <v>511</v>
      </c>
      <c r="R275" s="82">
        <v>1418.0</v>
      </c>
      <c r="S275" s="82">
        <v>225.25</v>
      </c>
      <c r="T275" s="82" t="s">
        <v>1286</v>
      </c>
      <c r="U275" s="82" t="s">
        <v>1287</v>
      </c>
      <c r="V275" s="83"/>
      <c r="W275" s="82" t="s">
        <v>514</v>
      </c>
      <c r="X275" s="82" t="s">
        <v>365</v>
      </c>
      <c r="Y275" s="83">
        <v>46079.0</v>
      </c>
      <c r="Z275" s="83">
        <v>46034.0</v>
      </c>
    </row>
    <row r="276">
      <c r="A276" s="82" t="s">
        <v>1288</v>
      </c>
      <c r="B276" s="82">
        <v>4315944.0</v>
      </c>
      <c r="C276" s="82" t="s">
        <v>1289</v>
      </c>
      <c r="D276" s="83">
        <v>46036.0</v>
      </c>
      <c r="E276" s="82"/>
      <c r="F276" s="82"/>
      <c r="G276" s="84"/>
      <c r="H276" s="82"/>
      <c r="I276" s="83"/>
      <c r="J276" s="83"/>
      <c r="K276" s="83"/>
      <c r="L276" s="82"/>
      <c r="M276" s="83"/>
      <c r="N276" s="84"/>
      <c r="O276" s="83"/>
      <c r="P276" s="82">
        <v>598272.0</v>
      </c>
      <c r="Q276" s="82" t="s">
        <v>511</v>
      </c>
      <c r="R276" s="82">
        <v>567.5</v>
      </c>
      <c r="S276" s="82">
        <v>441.82</v>
      </c>
      <c r="T276" s="82" t="s">
        <v>1290</v>
      </c>
      <c r="U276" s="82" t="s">
        <v>1291</v>
      </c>
      <c r="V276" s="83"/>
      <c r="W276" s="82" t="s">
        <v>514</v>
      </c>
      <c r="X276" s="82" t="s">
        <v>365</v>
      </c>
      <c r="Y276" s="83">
        <v>46057.0</v>
      </c>
      <c r="Z276" s="83">
        <v>46036.0</v>
      </c>
    </row>
    <row r="277">
      <c r="A277" s="82" t="s">
        <v>1292</v>
      </c>
      <c r="B277" s="82">
        <v>4339749.0</v>
      </c>
      <c r="C277" s="82" t="s">
        <v>1293</v>
      </c>
      <c r="D277" s="83">
        <v>46181.0</v>
      </c>
      <c r="E277" s="82" t="s">
        <v>522</v>
      </c>
      <c r="F277" s="82"/>
      <c r="G277" s="84"/>
      <c r="H277" s="82" t="s">
        <v>138</v>
      </c>
      <c r="I277" s="83">
        <v>46199.0</v>
      </c>
      <c r="J277" s="83">
        <v>46043.0</v>
      </c>
      <c r="K277" s="83">
        <v>46199.0</v>
      </c>
      <c r="L277" s="82"/>
      <c r="M277" s="83"/>
      <c r="N277" s="84"/>
      <c r="O277" s="83"/>
      <c r="P277" s="82">
        <v>597450.0</v>
      </c>
      <c r="Q277" s="82" t="s">
        <v>523</v>
      </c>
      <c r="R277" s="82">
        <v>345.0</v>
      </c>
      <c r="S277" s="82">
        <v>375.0</v>
      </c>
      <c r="T277" s="82" t="s">
        <v>1294</v>
      </c>
      <c r="U277" s="82" t="s">
        <v>1295</v>
      </c>
      <c r="V277" s="83">
        <v>46199.0</v>
      </c>
      <c r="W277" s="82" t="s">
        <v>132</v>
      </c>
      <c r="X277" s="82" t="s">
        <v>365</v>
      </c>
      <c r="Y277" s="83">
        <v>46057.0</v>
      </c>
      <c r="Z277" s="83">
        <v>46037.0</v>
      </c>
    </row>
    <row r="278">
      <c r="A278" s="82" t="s">
        <v>1296</v>
      </c>
      <c r="B278" s="82">
        <v>4359494.0</v>
      </c>
      <c r="C278" s="82" t="s">
        <v>1297</v>
      </c>
      <c r="D278" s="84"/>
      <c r="E278" s="82" t="s">
        <v>604</v>
      </c>
      <c r="F278" s="84"/>
      <c r="G278" s="84"/>
      <c r="H278" s="82" t="s">
        <v>138</v>
      </c>
      <c r="I278" s="83">
        <v>46202.0</v>
      </c>
      <c r="J278" s="83">
        <v>46051.0</v>
      </c>
      <c r="K278" s="83">
        <v>46190.0</v>
      </c>
      <c r="L278" s="84"/>
      <c r="M278" s="84"/>
      <c r="N278" s="84"/>
      <c r="O278" s="84"/>
      <c r="P278" s="82">
        <v>601459.0</v>
      </c>
      <c r="Q278" s="82" t="s">
        <v>532</v>
      </c>
      <c r="R278" s="82">
        <v>55.0</v>
      </c>
      <c r="S278" s="82">
        <v>0.0</v>
      </c>
      <c r="T278" s="82" t="s">
        <v>1298</v>
      </c>
      <c r="U278" s="82" t="s">
        <v>1299</v>
      </c>
      <c r="V278" s="83">
        <v>46190.0</v>
      </c>
      <c r="W278" s="82" t="s">
        <v>132</v>
      </c>
      <c r="X278" s="82" t="s">
        <v>365</v>
      </c>
      <c r="Y278" s="83">
        <v>46057.0</v>
      </c>
      <c r="Z278" s="83">
        <v>46057.0</v>
      </c>
    </row>
    <row r="279">
      <c r="A279" s="82" t="s">
        <v>1300</v>
      </c>
      <c r="B279" s="82">
        <v>4383851.0</v>
      </c>
      <c r="C279" s="82" t="s">
        <v>1301</v>
      </c>
      <c r="D279" s="83">
        <v>46058.0</v>
      </c>
      <c r="E279" s="82"/>
      <c r="F279" s="84"/>
      <c r="G279" s="84"/>
      <c r="H279" s="82"/>
      <c r="I279" s="83"/>
      <c r="J279" s="83"/>
      <c r="K279" s="83"/>
      <c r="L279" s="84"/>
      <c r="M279" s="84"/>
      <c r="N279" s="84"/>
      <c r="O279" s="84"/>
      <c r="P279" s="82">
        <v>613729.0</v>
      </c>
      <c r="Q279" s="82" t="s">
        <v>511</v>
      </c>
      <c r="R279" s="82">
        <v>547.4</v>
      </c>
      <c r="S279" s="82">
        <v>464.24</v>
      </c>
      <c r="T279" s="82" t="s">
        <v>1302</v>
      </c>
      <c r="U279" s="82" t="s">
        <v>1303</v>
      </c>
      <c r="V279" s="83"/>
      <c r="W279" s="82" t="s">
        <v>514</v>
      </c>
      <c r="X279" s="82" t="s">
        <v>365</v>
      </c>
      <c r="Y279" s="83">
        <v>46079.0</v>
      </c>
      <c r="Z279" s="83">
        <v>46058.0</v>
      </c>
    </row>
    <row r="280">
      <c r="A280" s="82" t="s">
        <v>1304</v>
      </c>
      <c r="B280" s="82">
        <v>4178150.0</v>
      </c>
      <c r="C280" s="82" t="s">
        <v>1305</v>
      </c>
      <c r="D280" s="83">
        <v>46028.0</v>
      </c>
      <c r="E280" s="82"/>
      <c r="F280" s="82"/>
      <c r="G280" s="84"/>
      <c r="H280" s="82"/>
      <c r="I280" s="83"/>
      <c r="J280" s="83"/>
      <c r="K280" s="83"/>
      <c r="L280" s="82"/>
      <c r="M280" s="83"/>
      <c r="N280" s="84"/>
      <c r="O280" s="83"/>
      <c r="P280" s="82">
        <v>384541.0</v>
      </c>
      <c r="Q280" s="82" t="s">
        <v>511</v>
      </c>
      <c r="R280" s="82">
        <v>80.2</v>
      </c>
      <c r="S280" s="82">
        <v>100.2</v>
      </c>
      <c r="T280" s="82" t="s">
        <v>1306</v>
      </c>
      <c r="U280" s="82" t="s">
        <v>1307</v>
      </c>
      <c r="V280" s="83"/>
      <c r="W280" s="82" t="s">
        <v>132</v>
      </c>
      <c r="X280" s="82" t="s">
        <v>365</v>
      </c>
      <c r="Y280" s="83">
        <v>46108.0</v>
      </c>
      <c r="Z280" s="83">
        <v>45940.0</v>
      </c>
    </row>
    <row r="281">
      <c r="A281" s="82" t="s">
        <v>1308</v>
      </c>
      <c r="B281" s="82">
        <v>4359265.0</v>
      </c>
      <c r="C281" s="82" t="s">
        <v>1309</v>
      </c>
      <c r="D281" s="83">
        <v>46101.0</v>
      </c>
      <c r="E281" s="82" t="s">
        <v>522</v>
      </c>
      <c r="F281" s="82" t="s">
        <v>537</v>
      </c>
      <c r="G281" s="84"/>
      <c r="H281" s="82" t="s">
        <v>138</v>
      </c>
      <c r="I281" s="83">
        <v>46198.0</v>
      </c>
      <c r="J281" s="83">
        <v>46153.0</v>
      </c>
      <c r="K281" s="83">
        <v>46199.0</v>
      </c>
      <c r="L281" s="82" t="s">
        <v>138</v>
      </c>
      <c r="M281" s="83">
        <v>46185.0</v>
      </c>
      <c r="N281" s="83"/>
      <c r="O281" s="83">
        <v>46190.0</v>
      </c>
      <c r="P281" s="82">
        <v>578062.0</v>
      </c>
      <c r="Q281" s="82"/>
      <c r="R281" s="82">
        <v>358.75</v>
      </c>
      <c r="S281" s="82">
        <v>312.17</v>
      </c>
      <c r="T281" s="82" t="s">
        <v>1310</v>
      </c>
      <c r="U281" s="82" t="s">
        <v>1311</v>
      </c>
      <c r="V281" s="83">
        <v>46199.0</v>
      </c>
      <c r="W281" s="82" t="s">
        <v>514</v>
      </c>
      <c r="X281" s="82" t="s">
        <v>365</v>
      </c>
      <c r="Y281" s="83">
        <v>46086.0</v>
      </c>
      <c r="Z281" s="83">
        <v>46028.0</v>
      </c>
    </row>
    <row r="282">
      <c r="A282" s="82" t="s">
        <v>745</v>
      </c>
      <c r="B282" s="82">
        <v>4374819.0</v>
      </c>
      <c r="C282" s="82" t="s">
        <v>746</v>
      </c>
      <c r="D282" s="83">
        <v>46175.0</v>
      </c>
      <c r="E282" s="82" t="s">
        <v>522</v>
      </c>
      <c r="F282" s="84"/>
      <c r="G282" s="84"/>
      <c r="H282" s="82" t="s">
        <v>138</v>
      </c>
      <c r="I282" s="83">
        <v>46191.0</v>
      </c>
      <c r="J282" s="83">
        <v>46063.0</v>
      </c>
      <c r="K282" s="83">
        <v>46176.0</v>
      </c>
      <c r="L282" s="84"/>
      <c r="M282" s="84"/>
      <c r="N282" s="84"/>
      <c r="O282" s="84"/>
      <c r="P282" s="82">
        <v>615946.0</v>
      </c>
      <c r="Q282" s="82" t="s">
        <v>557</v>
      </c>
      <c r="R282" s="82">
        <v>387.0</v>
      </c>
      <c r="S282" s="82">
        <v>267.0</v>
      </c>
      <c r="T282" s="82" t="s">
        <v>1312</v>
      </c>
      <c r="U282" s="82" t="s">
        <v>748</v>
      </c>
      <c r="V282" s="83">
        <v>46176.0</v>
      </c>
      <c r="W282" s="82" t="s">
        <v>132</v>
      </c>
      <c r="X282" s="82" t="s">
        <v>365</v>
      </c>
      <c r="Y282" s="83">
        <v>46098.0</v>
      </c>
      <c r="Z282" s="83">
        <v>46029.0</v>
      </c>
    </row>
    <row r="283">
      <c r="A283" s="82" t="s">
        <v>1313</v>
      </c>
      <c r="B283" s="82">
        <v>4310103.0</v>
      </c>
      <c r="C283" s="82" t="s">
        <v>1314</v>
      </c>
      <c r="D283" s="83">
        <v>46057.0</v>
      </c>
      <c r="E283" s="82" t="s">
        <v>604</v>
      </c>
      <c r="F283" s="84"/>
      <c r="G283" s="84"/>
      <c r="H283" s="82" t="s">
        <v>138</v>
      </c>
      <c r="I283" s="83">
        <v>46195.0</v>
      </c>
      <c r="J283" s="83">
        <v>46090.0</v>
      </c>
      <c r="K283" s="83">
        <v>46195.0</v>
      </c>
      <c r="L283" s="84"/>
      <c r="M283" s="84"/>
      <c r="N283" s="84"/>
      <c r="O283" s="84"/>
      <c r="P283" s="82">
        <v>579739.0</v>
      </c>
      <c r="Q283" s="82" t="s">
        <v>511</v>
      </c>
      <c r="R283" s="82">
        <v>243.54</v>
      </c>
      <c r="S283" s="82">
        <v>318.54</v>
      </c>
      <c r="T283" s="82" t="s">
        <v>1315</v>
      </c>
      <c r="U283" s="82" t="s">
        <v>1316</v>
      </c>
      <c r="V283" s="83">
        <v>46195.0</v>
      </c>
      <c r="W283" s="82" t="s">
        <v>132</v>
      </c>
      <c r="X283" s="82" t="s">
        <v>365</v>
      </c>
      <c r="Y283" s="83">
        <v>46108.0</v>
      </c>
      <c r="Z283" s="83">
        <v>46037.0</v>
      </c>
    </row>
    <row r="284">
      <c r="A284" s="82" t="s">
        <v>1317</v>
      </c>
      <c r="B284" s="82">
        <v>4410846.0</v>
      </c>
      <c r="C284" s="82" t="s">
        <v>1318</v>
      </c>
      <c r="D284" s="83">
        <v>46120.0</v>
      </c>
      <c r="E284" s="82" t="s">
        <v>522</v>
      </c>
      <c r="F284" s="84"/>
      <c r="G284" s="84"/>
      <c r="H284" s="82" t="s">
        <v>138</v>
      </c>
      <c r="I284" s="83">
        <v>46199.0</v>
      </c>
      <c r="J284" s="83">
        <v>46100.0</v>
      </c>
      <c r="K284" s="83">
        <v>46182.0</v>
      </c>
      <c r="L284" s="84"/>
      <c r="M284" s="84"/>
      <c r="N284" s="84"/>
      <c r="O284" s="84"/>
      <c r="P284" s="82">
        <v>625053.0</v>
      </c>
      <c r="Q284" s="82" t="s">
        <v>532</v>
      </c>
      <c r="R284" s="82">
        <v>134.18</v>
      </c>
      <c r="S284" s="82">
        <v>331.41</v>
      </c>
      <c r="T284" s="82" t="s">
        <v>1319</v>
      </c>
      <c r="U284" s="82" t="s">
        <v>1320</v>
      </c>
      <c r="V284" s="83">
        <v>46182.0</v>
      </c>
      <c r="W284" s="82" t="s">
        <v>132</v>
      </c>
      <c r="X284" s="82" t="s">
        <v>365</v>
      </c>
      <c r="Y284" s="83">
        <v>46091.0</v>
      </c>
      <c r="Z284" s="83">
        <v>46048.0</v>
      </c>
    </row>
    <row r="285">
      <c r="A285" s="82" t="s">
        <v>1321</v>
      </c>
      <c r="B285" s="82">
        <v>4378644.0</v>
      </c>
      <c r="C285" s="82" t="s">
        <v>1322</v>
      </c>
      <c r="D285" s="83">
        <v>46058.0</v>
      </c>
      <c r="E285" s="82" t="s">
        <v>522</v>
      </c>
      <c r="F285" s="82" t="s">
        <v>537</v>
      </c>
      <c r="G285" s="84"/>
      <c r="H285" s="82" t="s">
        <v>138</v>
      </c>
      <c r="I285" s="83">
        <v>46189.0</v>
      </c>
      <c r="J285" s="83">
        <v>46070.0</v>
      </c>
      <c r="K285" s="83">
        <v>46189.0</v>
      </c>
      <c r="L285" s="82" t="s">
        <v>131</v>
      </c>
      <c r="M285" s="83">
        <v>46058.0</v>
      </c>
      <c r="N285" s="84"/>
      <c r="O285" s="83">
        <v>46059.0</v>
      </c>
      <c r="P285" s="82">
        <v>612404.0</v>
      </c>
      <c r="Q285" s="82" t="s">
        <v>511</v>
      </c>
      <c r="R285" s="82">
        <v>294.9</v>
      </c>
      <c r="S285" s="82">
        <v>333.23</v>
      </c>
      <c r="T285" s="82" t="s">
        <v>1323</v>
      </c>
      <c r="U285" s="82" t="s">
        <v>1324</v>
      </c>
      <c r="V285" s="83">
        <v>46189.0</v>
      </c>
      <c r="W285" s="82" t="s">
        <v>132</v>
      </c>
      <c r="X285" s="82" t="s">
        <v>365</v>
      </c>
      <c r="Y285" s="83">
        <v>46086.0</v>
      </c>
      <c r="Z285" s="83">
        <v>46056.0</v>
      </c>
    </row>
    <row r="286">
      <c r="A286" s="82" t="s">
        <v>1325</v>
      </c>
      <c r="B286" s="82">
        <v>4359468.0</v>
      </c>
      <c r="C286" s="82" t="s">
        <v>1326</v>
      </c>
      <c r="D286" s="83"/>
      <c r="E286" s="82" t="s">
        <v>522</v>
      </c>
      <c r="F286" s="82"/>
      <c r="G286" s="84"/>
      <c r="H286" s="82" t="s">
        <v>138</v>
      </c>
      <c r="I286" s="83">
        <v>46198.0</v>
      </c>
      <c r="J286" s="83">
        <v>46056.0</v>
      </c>
      <c r="K286" s="83">
        <v>46198.0</v>
      </c>
      <c r="L286" s="82"/>
      <c r="M286" s="83"/>
      <c r="N286" s="84"/>
      <c r="O286" s="83"/>
      <c r="P286" s="82">
        <v>601467.0</v>
      </c>
      <c r="Q286" s="82" t="s">
        <v>532</v>
      </c>
      <c r="R286" s="82">
        <v>55.0</v>
      </c>
      <c r="S286" s="82">
        <v>0.0</v>
      </c>
      <c r="T286" s="82" t="s">
        <v>1327</v>
      </c>
      <c r="U286" s="82" t="s">
        <v>1328</v>
      </c>
      <c r="V286" s="83">
        <v>46198.0</v>
      </c>
      <c r="W286" s="82" t="s">
        <v>132</v>
      </c>
      <c r="X286" s="82" t="s">
        <v>365</v>
      </c>
      <c r="Y286" s="83">
        <v>46091.0</v>
      </c>
      <c r="Z286" s="83">
        <v>46057.0</v>
      </c>
    </row>
    <row r="287">
      <c r="A287" s="82" t="s">
        <v>1329</v>
      </c>
      <c r="B287" s="82">
        <v>4405027.0</v>
      </c>
      <c r="C287" s="82" t="s">
        <v>1330</v>
      </c>
      <c r="D287" s="83">
        <v>46195.0</v>
      </c>
      <c r="E287" s="82" t="s">
        <v>522</v>
      </c>
      <c r="F287" s="82"/>
      <c r="G287" s="84"/>
      <c r="H287" s="82" t="s">
        <v>138</v>
      </c>
      <c r="I287" s="83">
        <v>46198.0</v>
      </c>
      <c r="J287" s="83">
        <v>46058.0</v>
      </c>
      <c r="K287" s="83">
        <v>46198.0</v>
      </c>
      <c r="L287" s="82"/>
      <c r="M287" s="83"/>
      <c r="N287" s="84"/>
      <c r="O287" s="83"/>
      <c r="P287" s="82">
        <v>620133.0</v>
      </c>
      <c r="Q287" s="82" t="s">
        <v>511</v>
      </c>
      <c r="R287" s="82">
        <v>403.54</v>
      </c>
      <c r="S287" s="82">
        <v>428.54</v>
      </c>
      <c r="T287" s="82" t="s">
        <v>1331</v>
      </c>
      <c r="U287" s="82" t="s">
        <v>1332</v>
      </c>
      <c r="V287" s="83">
        <v>46198.0</v>
      </c>
      <c r="W287" s="82" t="s">
        <v>132</v>
      </c>
      <c r="X287" s="82" t="s">
        <v>365</v>
      </c>
      <c r="Y287" s="83">
        <v>46098.0</v>
      </c>
      <c r="Z287" s="83">
        <v>46059.0</v>
      </c>
    </row>
    <row r="288">
      <c r="A288" s="82" t="s">
        <v>1333</v>
      </c>
      <c r="B288" s="82">
        <v>4404380.0</v>
      </c>
      <c r="C288" s="82" t="s">
        <v>1334</v>
      </c>
      <c r="D288" s="83">
        <v>46196.0</v>
      </c>
      <c r="E288" s="82" t="s">
        <v>522</v>
      </c>
      <c r="F288" s="84"/>
      <c r="G288" s="84"/>
      <c r="H288" s="82" t="s">
        <v>163</v>
      </c>
      <c r="I288" s="83">
        <v>46156.0</v>
      </c>
      <c r="J288" s="83">
        <v>46080.0</v>
      </c>
      <c r="K288" s="83">
        <v>46157.0</v>
      </c>
      <c r="L288" s="84"/>
      <c r="M288" s="84"/>
      <c r="N288" s="84"/>
      <c r="O288" s="84"/>
      <c r="P288" s="82">
        <v>619685.0</v>
      </c>
      <c r="Q288" s="82" t="s">
        <v>511</v>
      </c>
      <c r="R288" s="82">
        <v>400.0</v>
      </c>
      <c r="S288" s="82">
        <v>455.0</v>
      </c>
      <c r="T288" s="82" t="s">
        <v>1335</v>
      </c>
      <c r="U288" s="82" t="s">
        <v>1336</v>
      </c>
      <c r="V288" s="83">
        <v>46157.0</v>
      </c>
      <c r="W288" s="82" t="s">
        <v>132</v>
      </c>
      <c r="X288" s="82" t="s">
        <v>365</v>
      </c>
      <c r="Y288" s="83">
        <v>46101.0</v>
      </c>
      <c r="Z288" s="83">
        <v>46059.0</v>
      </c>
    </row>
    <row r="289">
      <c r="A289" s="82" t="s">
        <v>1337</v>
      </c>
      <c r="B289" s="82">
        <v>4442279.0</v>
      </c>
      <c r="C289" s="82" t="s">
        <v>1338</v>
      </c>
      <c r="D289" s="83">
        <v>46197.0</v>
      </c>
      <c r="E289" s="82"/>
      <c r="F289" s="82" t="s">
        <v>537</v>
      </c>
      <c r="G289" s="84"/>
      <c r="H289" s="82"/>
      <c r="I289" s="83"/>
      <c r="J289" s="83"/>
      <c r="K289" s="83"/>
      <c r="L289" s="82" t="s">
        <v>138</v>
      </c>
      <c r="M289" s="83">
        <v>46079.0</v>
      </c>
      <c r="N289" s="83">
        <v>46203.0</v>
      </c>
      <c r="O289" s="83">
        <v>46080.0</v>
      </c>
      <c r="P289" s="82">
        <v>634026.0</v>
      </c>
      <c r="Q289" s="82" t="s">
        <v>511</v>
      </c>
      <c r="R289" s="82">
        <v>740.0</v>
      </c>
      <c r="S289" s="82">
        <v>745.0</v>
      </c>
      <c r="T289" s="82" t="s">
        <v>1339</v>
      </c>
      <c r="U289" s="82" t="s">
        <v>1340</v>
      </c>
      <c r="V289" s="83">
        <v>46199.0</v>
      </c>
      <c r="W289" s="82" t="s">
        <v>132</v>
      </c>
      <c r="X289" s="82" t="s">
        <v>365</v>
      </c>
      <c r="Y289" s="83">
        <v>46108.0</v>
      </c>
      <c r="Z289" s="83">
        <v>46063.0</v>
      </c>
    </row>
    <row r="290">
      <c r="A290" s="82" t="s">
        <v>741</v>
      </c>
      <c r="B290" s="82">
        <v>4443098.0</v>
      </c>
      <c r="C290" s="82" t="s">
        <v>742</v>
      </c>
      <c r="D290" s="83">
        <v>46164.0</v>
      </c>
      <c r="E290" s="82" t="s">
        <v>522</v>
      </c>
      <c r="F290" s="82"/>
      <c r="G290" s="84"/>
      <c r="H290" s="82" t="s">
        <v>138</v>
      </c>
      <c r="I290" s="83">
        <v>46177.0</v>
      </c>
      <c r="J290" s="83">
        <v>46073.0</v>
      </c>
      <c r="K290" s="83">
        <v>46177.0</v>
      </c>
      <c r="L290" s="82"/>
      <c r="M290" s="83"/>
      <c r="N290" s="84"/>
      <c r="O290" s="83"/>
      <c r="P290" s="82">
        <v>706776.0</v>
      </c>
      <c r="Q290" s="82" t="s">
        <v>532</v>
      </c>
      <c r="R290" s="82">
        <v>402.13</v>
      </c>
      <c r="S290" s="82">
        <v>357.13</v>
      </c>
      <c r="T290" s="82" t="s">
        <v>1341</v>
      </c>
      <c r="U290" s="82" t="s">
        <v>744</v>
      </c>
      <c r="V290" s="83">
        <v>46177.0</v>
      </c>
      <c r="W290" s="82" t="s">
        <v>132</v>
      </c>
      <c r="X290" s="82" t="s">
        <v>365</v>
      </c>
      <c r="Y290" s="83">
        <v>46108.0</v>
      </c>
      <c r="Z290" s="83">
        <v>46071.0</v>
      </c>
    </row>
    <row r="291">
      <c r="A291" s="82" t="s">
        <v>737</v>
      </c>
      <c r="B291" s="82">
        <v>4440958.0</v>
      </c>
      <c r="C291" s="82" t="s">
        <v>738</v>
      </c>
      <c r="D291" s="83">
        <v>46174.0</v>
      </c>
      <c r="E291" s="82" t="s">
        <v>522</v>
      </c>
      <c r="F291" s="82"/>
      <c r="G291" s="82"/>
      <c r="H291" s="82" t="s">
        <v>138</v>
      </c>
      <c r="I291" s="83">
        <v>46198.0</v>
      </c>
      <c r="J291" s="83">
        <v>46073.0</v>
      </c>
      <c r="K291" s="83">
        <v>46198.0</v>
      </c>
      <c r="L291" s="82"/>
      <c r="M291" s="83"/>
      <c r="N291" s="84"/>
      <c r="O291" s="83"/>
      <c r="P291" s="82">
        <v>638692.0</v>
      </c>
      <c r="Q291" s="82" t="s">
        <v>557</v>
      </c>
      <c r="R291" s="82">
        <v>741.95</v>
      </c>
      <c r="S291" s="82">
        <v>671.95</v>
      </c>
      <c r="T291" s="82" t="s">
        <v>1342</v>
      </c>
      <c r="U291" s="82" t="s">
        <v>740</v>
      </c>
      <c r="V291" s="83">
        <v>46198.0</v>
      </c>
      <c r="W291" s="82" t="s">
        <v>132</v>
      </c>
      <c r="X291" s="82" t="s">
        <v>365</v>
      </c>
      <c r="Y291" s="83">
        <v>46108.0</v>
      </c>
      <c r="Z291" s="83">
        <v>46072.0</v>
      </c>
    </row>
    <row r="292">
      <c r="A292" s="82" t="s">
        <v>1343</v>
      </c>
      <c r="B292" s="82">
        <v>4443037.0</v>
      </c>
      <c r="C292" s="82" t="s">
        <v>1344</v>
      </c>
      <c r="D292" s="83">
        <v>46197.0</v>
      </c>
      <c r="E292" s="82"/>
      <c r="F292" s="82" t="s">
        <v>537</v>
      </c>
      <c r="G292" s="82"/>
      <c r="H292" s="82"/>
      <c r="I292" s="83"/>
      <c r="J292" s="83"/>
      <c r="K292" s="83"/>
      <c r="L292" s="82" t="s">
        <v>138</v>
      </c>
      <c r="M292" s="83">
        <v>46101.0</v>
      </c>
      <c r="N292" s="83"/>
      <c r="O292" s="83">
        <v>46104.0</v>
      </c>
      <c r="P292" s="82">
        <v>635623.0</v>
      </c>
      <c r="Q292" s="82" t="s">
        <v>532</v>
      </c>
      <c r="R292" s="82">
        <v>449.43</v>
      </c>
      <c r="S292" s="82">
        <v>394.43</v>
      </c>
      <c r="T292" s="82" t="s">
        <v>1345</v>
      </c>
      <c r="U292" s="82" t="s">
        <v>1346</v>
      </c>
      <c r="V292" s="83">
        <v>46199.0</v>
      </c>
      <c r="W292" s="82" t="s">
        <v>132</v>
      </c>
      <c r="X292" s="82" t="s">
        <v>365</v>
      </c>
      <c r="Y292" s="83">
        <v>46108.0</v>
      </c>
      <c r="Z292" s="83">
        <v>46073.0</v>
      </c>
    </row>
    <row r="293">
      <c r="A293" s="82" t="s">
        <v>1347</v>
      </c>
      <c r="B293" s="82">
        <v>4400582.0</v>
      </c>
      <c r="C293" s="82" t="s">
        <v>1348</v>
      </c>
      <c r="D293" s="83"/>
      <c r="E293" s="82" t="s">
        <v>522</v>
      </c>
      <c r="F293" s="84"/>
      <c r="G293" s="84"/>
      <c r="H293" s="82" t="s">
        <v>138</v>
      </c>
      <c r="I293" s="83">
        <v>46183.0</v>
      </c>
      <c r="J293" s="83">
        <v>46091.0</v>
      </c>
      <c r="K293" s="83">
        <v>46185.0</v>
      </c>
      <c r="L293" s="84"/>
      <c r="M293" s="84"/>
      <c r="N293" s="84"/>
      <c r="O293" s="84"/>
      <c r="P293" s="82">
        <v>589839.0</v>
      </c>
      <c r="Q293" s="82"/>
      <c r="R293" s="82">
        <v>0.0</v>
      </c>
      <c r="S293" s="82">
        <v>0.0</v>
      </c>
      <c r="T293" s="82" t="s">
        <v>1349</v>
      </c>
      <c r="U293" s="82" t="s">
        <v>1350</v>
      </c>
      <c r="V293" s="83">
        <v>46185.0</v>
      </c>
      <c r="W293" s="82" t="s">
        <v>132</v>
      </c>
      <c r="X293" s="82" t="s">
        <v>365</v>
      </c>
      <c r="Y293" s="83">
        <v>46087.0</v>
      </c>
      <c r="Z293" s="83">
        <v>46099.0</v>
      </c>
    </row>
    <row r="294">
      <c r="A294" s="82" t="s">
        <v>1351</v>
      </c>
      <c r="B294" s="82">
        <v>4410826.0</v>
      </c>
      <c r="C294" s="82" t="s">
        <v>1352</v>
      </c>
      <c r="D294" s="84"/>
      <c r="E294" s="82" t="s">
        <v>522</v>
      </c>
      <c r="F294" s="84"/>
      <c r="G294" s="84"/>
      <c r="H294" s="82" t="s">
        <v>131</v>
      </c>
      <c r="I294" s="83">
        <v>46084.0</v>
      </c>
      <c r="J294" s="83">
        <v>46085.0</v>
      </c>
      <c r="K294" s="83">
        <v>46085.0</v>
      </c>
      <c r="L294" s="84"/>
      <c r="M294" s="84"/>
      <c r="N294" s="84"/>
      <c r="O294" s="84"/>
      <c r="P294" s="82">
        <v>621745.0</v>
      </c>
      <c r="Q294" s="82" t="s">
        <v>511</v>
      </c>
      <c r="R294" s="82">
        <v>0.0</v>
      </c>
      <c r="S294" s="82">
        <v>10.0</v>
      </c>
      <c r="T294" s="82" t="s">
        <v>1353</v>
      </c>
      <c r="U294" s="82" t="s">
        <v>1354</v>
      </c>
      <c r="V294" s="83">
        <v>46085.0</v>
      </c>
      <c r="W294" s="82" t="s">
        <v>132</v>
      </c>
      <c r="X294" s="82" t="s">
        <v>365</v>
      </c>
      <c r="Y294" s="83">
        <v>46108.0</v>
      </c>
      <c r="Z294" s="83">
        <v>46099.0</v>
      </c>
    </row>
    <row r="295">
      <c r="A295" s="82" t="s">
        <v>1355</v>
      </c>
      <c r="B295" s="82">
        <v>4410778.0</v>
      </c>
      <c r="C295" s="82" t="s">
        <v>1356</v>
      </c>
      <c r="D295" s="83"/>
      <c r="E295" s="82" t="s">
        <v>522</v>
      </c>
      <c r="F295" s="84"/>
      <c r="G295" s="84"/>
      <c r="H295" s="82" t="s">
        <v>138</v>
      </c>
      <c r="I295" s="83">
        <v>46196.0</v>
      </c>
      <c r="J295" s="83">
        <v>46099.0</v>
      </c>
      <c r="K295" s="83">
        <v>46197.0</v>
      </c>
      <c r="L295" s="84"/>
      <c r="M295" s="84"/>
      <c r="N295" s="84"/>
      <c r="O295" s="84"/>
      <c r="P295" s="82">
        <v>625055.0</v>
      </c>
      <c r="Q295" s="82" t="s">
        <v>532</v>
      </c>
      <c r="R295" s="82">
        <v>0.0</v>
      </c>
      <c r="S295" s="82">
        <v>364.0</v>
      </c>
      <c r="T295" s="82" t="s">
        <v>1357</v>
      </c>
      <c r="U295" s="82" t="s">
        <v>1358</v>
      </c>
      <c r="V295" s="83">
        <v>46197.0</v>
      </c>
      <c r="W295" s="82" t="s">
        <v>132</v>
      </c>
      <c r="X295" s="82" t="s">
        <v>365</v>
      </c>
      <c r="Y295" s="83">
        <v>46101.0</v>
      </c>
      <c r="Z295" s="83">
        <v>46099.0</v>
      </c>
    </row>
    <row r="296">
      <c r="A296" s="82" t="s">
        <v>1359</v>
      </c>
      <c r="B296" s="82">
        <v>4356919.0</v>
      </c>
      <c r="C296" s="82" t="s">
        <v>1360</v>
      </c>
      <c r="D296" s="83">
        <v>46007.0</v>
      </c>
      <c r="E296" s="82" t="s">
        <v>604</v>
      </c>
      <c r="F296" s="82" t="s">
        <v>537</v>
      </c>
      <c r="G296" s="84"/>
      <c r="H296" s="82"/>
      <c r="I296" s="83"/>
      <c r="J296" s="83"/>
      <c r="K296" s="83"/>
      <c r="L296" s="82" t="s">
        <v>138</v>
      </c>
      <c r="M296" s="83">
        <v>46087.0</v>
      </c>
      <c r="N296" s="83">
        <v>46204.0</v>
      </c>
      <c r="O296" s="83">
        <v>46092.0</v>
      </c>
      <c r="P296" s="82">
        <v>604942.0</v>
      </c>
      <c r="Q296" s="82"/>
      <c r="R296" s="82">
        <v>1650.0</v>
      </c>
      <c r="S296" s="82">
        <v>1685.0</v>
      </c>
      <c r="T296" s="82" t="s">
        <v>1361</v>
      </c>
      <c r="U296" s="82" t="s">
        <v>1362</v>
      </c>
      <c r="V296" s="83">
        <v>46200.0</v>
      </c>
      <c r="W296" s="82" t="s">
        <v>514</v>
      </c>
      <c r="X296" s="82" t="s">
        <v>365</v>
      </c>
      <c r="Y296" s="83">
        <v>46139.0</v>
      </c>
      <c r="Z296" s="83">
        <v>45973.0</v>
      </c>
    </row>
    <row r="297">
      <c r="A297" s="82" t="s">
        <v>1363</v>
      </c>
      <c r="B297" s="82">
        <v>4328946.0</v>
      </c>
      <c r="C297" s="82" t="s">
        <v>1364</v>
      </c>
      <c r="D297" s="83">
        <v>46079.0</v>
      </c>
      <c r="E297" s="84"/>
      <c r="F297" s="84"/>
      <c r="G297" s="84"/>
      <c r="H297" s="84"/>
      <c r="I297" s="84"/>
      <c r="J297" s="84"/>
      <c r="K297" s="84"/>
      <c r="L297" s="84"/>
      <c r="M297" s="84"/>
      <c r="N297" s="84"/>
      <c r="O297" s="84"/>
      <c r="P297" s="82">
        <v>591489.0</v>
      </c>
      <c r="Q297" s="82" t="s">
        <v>511</v>
      </c>
      <c r="R297" s="82">
        <v>425.43</v>
      </c>
      <c r="S297" s="82">
        <v>445.43</v>
      </c>
      <c r="T297" s="82" t="s">
        <v>1365</v>
      </c>
      <c r="U297" s="82" t="s">
        <v>1366</v>
      </c>
      <c r="V297" s="84"/>
      <c r="W297" s="82" t="s">
        <v>514</v>
      </c>
      <c r="X297" s="82" t="s">
        <v>365</v>
      </c>
      <c r="Y297" s="83">
        <v>46139.0</v>
      </c>
      <c r="Z297" s="83">
        <v>46027.0</v>
      </c>
    </row>
    <row r="298">
      <c r="A298" s="82" t="s">
        <v>1367</v>
      </c>
      <c r="B298" s="82">
        <v>4371075.0</v>
      </c>
      <c r="C298" s="82" t="s">
        <v>1368</v>
      </c>
      <c r="D298" s="83">
        <v>46076.0</v>
      </c>
      <c r="E298" s="84"/>
      <c r="F298" s="84"/>
      <c r="G298" s="84"/>
      <c r="H298" s="84"/>
      <c r="I298" s="84"/>
      <c r="J298" s="84"/>
      <c r="K298" s="84"/>
      <c r="L298" s="84"/>
      <c r="M298" s="84"/>
      <c r="N298" s="84"/>
      <c r="O298" s="84"/>
      <c r="P298" s="82">
        <v>609990.0</v>
      </c>
      <c r="Q298" s="82" t="s">
        <v>511</v>
      </c>
      <c r="R298" s="82">
        <v>262.5</v>
      </c>
      <c r="S298" s="82">
        <v>292.5</v>
      </c>
      <c r="T298" s="82" t="s">
        <v>1369</v>
      </c>
      <c r="U298" s="82" t="s">
        <v>1370</v>
      </c>
      <c r="V298" s="84"/>
      <c r="W298" s="82" t="s">
        <v>514</v>
      </c>
      <c r="X298" s="82" t="s">
        <v>365</v>
      </c>
      <c r="Y298" s="83">
        <v>46118.0</v>
      </c>
      <c r="Z298" s="83">
        <v>46051.0</v>
      </c>
    </row>
    <row r="299">
      <c r="A299" s="82" t="s">
        <v>1371</v>
      </c>
      <c r="B299" s="82">
        <v>4462029.0</v>
      </c>
      <c r="C299" s="82" t="s">
        <v>1372</v>
      </c>
      <c r="D299" s="83">
        <v>46111.0</v>
      </c>
      <c r="E299" s="82" t="s">
        <v>522</v>
      </c>
      <c r="F299" s="84"/>
      <c r="G299" s="84"/>
      <c r="H299" s="82" t="s">
        <v>138</v>
      </c>
      <c r="I299" s="83">
        <v>46199.0</v>
      </c>
      <c r="J299" s="83">
        <v>46086.0</v>
      </c>
      <c r="K299" s="83">
        <v>46199.0</v>
      </c>
      <c r="L299" s="84"/>
      <c r="M299" s="84"/>
      <c r="N299" s="84"/>
      <c r="O299" s="84"/>
      <c r="P299" s="82">
        <v>643127.0</v>
      </c>
      <c r="Q299" s="82" t="s">
        <v>557</v>
      </c>
      <c r="R299" s="82">
        <v>280.89</v>
      </c>
      <c r="S299" s="82">
        <v>280.89</v>
      </c>
      <c r="T299" s="82" t="s">
        <v>1373</v>
      </c>
      <c r="U299" s="82" t="s">
        <v>1374</v>
      </c>
      <c r="V299" s="83">
        <v>46199.0</v>
      </c>
      <c r="W299" s="82" t="s">
        <v>132</v>
      </c>
      <c r="X299" s="82" t="s">
        <v>365</v>
      </c>
      <c r="Y299" s="83">
        <v>46118.0</v>
      </c>
      <c r="Z299" s="83">
        <v>46058.0</v>
      </c>
    </row>
    <row r="300">
      <c r="A300" s="82" t="s">
        <v>1375</v>
      </c>
      <c r="B300" s="82">
        <v>4489894.0</v>
      </c>
      <c r="C300" s="82" t="s">
        <v>1376</v>
      </c>
      <c r="D300" s="83">
        <v>46160.0</v>
      </c>
      <c r="E300" s="82" t="s">
        <v>522</v>
      </c>
      <c r="F300" s="84"/>
      <c r="G300" s="84"/>
      <c r="H300" s="82" t="s">
        <v>138</v>
      </c>
      <c r="I300" s="83">
        <v>46198.0</v>
      </c>
      <c r="J300" s="83">
        <v>46119.0</v>
      </c>
      <c r="K300" s="83">
        <v>46195.0</v>
      </c>
      <c r="L300" s="84"/>
      <c r="M300" s="84"/>
      <c r="N300" s="84"/>
      <c r="O300" s="84"/>
      <c r="P300" s="82">
        <v>655185.0</v>
      </c>
      <c r="Q300" s="82" t="s">
        <v>557</v>
      </c>
      <c r="R300" s="82">
        <v>80.0</v>
      </c>
      <c r="S300" s="82">
        <v>0.0</v>
      </c>
      <c r="T300" s="82" t="s">
        <v>1377</v>
      </c>
      <c r="U300" s="82" t="s">
        <v>1378</v>
      </c>
      <c r="V300" s="83">
        <v>46195.0</v>
      </c>
      <c r="W300" s="82" t="s">
        <v>132</v>
      </c>
      <c r="X300" s="82" t="s">
        <v>365</v>
      </c>
      <c r="Y300" s="83">
        <v>46141.0</v>
      </c>
      <c r="Z300" s="83">
        <v>46071.0</v>
      </c>
    </row>
    <row r="301">
      <c r="A301" s="82" t="s">
        <v>1379</v>
      </c>
      <c r="B301" s="82">
        <v>4181210.0</v>
      </c>
      <c r="C301" s="82" t="s">
        <v>1380</v>
      </c>
      <c r="D301" s="83">
        <v>46196.0</v>
      </c>
      <c r="E301" s="82" t="s">
        <v>522</v>
      </c>
      <c r="F301" s="84"/>
      <c r="G301" s="84"/>
      <c r="H301" s="82" t="s">
        <v>138</v>
      </c>
      <c r="I301" s="83">
        <v>46196.0</v>
      </c>
      <c r="J301" s="83">
        <v>46087.0</v>
      </c>
      <c r="K301" s="83">
        <v>46197.0</v>
      </c>
      <c r="L301" s="84"/>
      <c r="M301" s="84"/>
      <c r="N301" s="84"/>
      <c r="O301" s="84"/>
      <c r="P301" s="82">
        <v>660068.0</v>
      </c>
      <c r="Q301" s="84"/>
      <c r="R301" s="82">
        <v>345.0</v>
      </c>
      <c r="S301" s="82">
        <v>355.0</v>
      </c>
      <c r="T301" s="82" t="s">
        <v>1381</v>
      </c>
      <c r="U301" s="82" t="s">
        <v>1382</v>
      </c>
      <c r="V301" s="83">
        <v>46197.0</v>
      </c>
      <c r="W301" s="82" t="s">
        <v>132</v>
      </c>
      <c r="X301" s="82" t="s">
        <v>365</v>
      </c>
      <c r="Y301" s="83">
        <v>46118.0</v>
      </c>
      <c r="Z301" s="83">
        <v>46077.0</v>
      </c>
    </row>
    <row r="302">
      <c r="A302" s="82" t="s">
        <v>1383</v>
      </c>
      <c r="B302" s="82">
        <v>4485019.0</v>
      </c>
      <c r="C302" s="82" t="s">
        <v>1384</v>
      </c>
      <c r="D302" s="83">
        <v>46169.0</v>
      </c>
      <c r="E302" s="84"/>
      <c r="F302" s="82" t="s">
        <v>537</v>
      </c>
      <c r="G302" s="84"/>
      <c r="H302" s="84"/>
      <c r="I302" s="84"/>
      <c r="J302" s="84"/>
      <c r="K302" s="84"/>
      <c r="L302" s="82" t="s">
        <v>138</v>
      </c>
      <c r="M302" s="83">
        <v>46105.0</v>
      </c>
      <c r="N302" s="84"/>
      <c r="O302" s="83">
        <v>46107.0</v>
      </c>
      <c r="P302" s="82">
        <v>651135.0</v>
      </c>
      <c r="Q302" s="82" t="s">
        <v>511</v>
      </c>
      <c r="R302" s="82">
        <v>330.0</v>
      </c>
      <c r="S302" s="82">
        <v>410.0</v>
      </c>
      <c r="T302" s="82" t="s">
        <v>1385</v>
      </c>
      <c r="U302" s="82" t="s">
        <v>1386</v>
      </c>
      <c r="V302" s="83">
        <v>46185.0</v>
      </c>
      <c r="W302" s="82" t="s">
        <v>132</v>
      </c>
      <c r="X302" s="82" t="s">
        <v>365</v>
      </c>
      <c r="Y302" s="83">
        <v>46139.0</v>
      </c>
      <c r="Z302" s="83">
        <v>46077.0</v>
      </c>
    </row>
    <row r="303">
      <c r="A303" s="82" t="s">
        <v>1387</v>
      </c>
      <c r="B303" s="82">
        <v>4456847.0</v>
      </c>
      <c r="C303" s="82" t="s">
        <v>1388</v>
      </c>
      <c r="D303" s="83">
        <v>46080.0</v>
      </c>
      <c r="E303" s="82" t="s">
        <v>522</v>
      </c>
      <c r="F303" s="84"/>
      <c r="G303" s="84"/>
      <c r="H303" s="84"/>
      <c r="I303" s="83">
        <v>46083.0</v>
      </c>
      <c r="J303" s="84"/>
      <c r="K303" s="84"/>
      <c r="L303" s="84"/>
      <c r="M303" s="84"/>
      <c r="N303" s="84"/>
      <c r="O303" s="84"/>
      <c r="P303" s="82">
        <v>639212.0</v>
      </c>
      <c r="Q303" s="82" t="s">
        <v>511</v>
      </c>
      <c r="R303" s="82">
        <v>341.95</v>
      </c>
      <c r="S303" s="82">
        <v>286.95</v>
      </c>
      <c r="T303" s="82" t="s">
        <v>1389</v>
      </c>
      <c r="U303" s="82" t="s">
        <v>1390</v>
      </c>
      <c r="V303" s="84"/>
      <c r="W303" s="82" t="s">
        <v>514</v>
      </c>
      <c r="X303" s="82" t="s">
        <v>365</v>
      </c>
      <c r="Y303" s="83">
        <v>46139.0</v>
      </c>
      <c r="Z303" s="83">
        <v>46079.0</v>
      </c>
    </row>
    <row r="304">
      <c r="A304" s="82" t="s">
        <v>1391</v>
      </c>
      <c r="B304" s="82">
        <v>4484079.0</v>
      </c>
      <c r="C304" s="82" t="s">
        <v>1392</v>
      </c>
      <c r="D304" s="83">
        <v>46111.0</v>
      </c>
      <c r="E304" s="84"/>
      <c r="F304" s="84"/>
      <c r="G304" s="84"/>
      <c r="H304" s="84"/>
      <c r="I304" s="84"/>
      <c r="J304" s="84"/>
      <c r="K304" s="84"/>
      <c r="L304" s="84"/>
      <c r="M304" s="84"/>
      <c r="N304" s="84"/>
      <c r="O304" s="84"/>
      <c r="P304" s="82">
        <v>623023.0</v>
      </c>
      <c r="Q304" s="82" t="s">
        <v>511</v>
      </c>
      <c r="R304" s="82">
        <v>242.5</v>
      </c>
      <c r="S304" s="82">
        <v>287.5</v>
      </c>
      <c r="T304" s="82" t="s">
        <v>1393</v>
      </c>
      <c r="U304" s="82" t="s">
        <v>1394</v>
      </c>
      <c r="V304" s="84"/>
      <c r="W304" s="82" t="s">
        <v>514</v>
      </c>
      <c r="X304" s="82" t="s">
        <v>365</v>
      </c>
      <c r="Y304" s="83">
        <v>46139.0</v>
      </c>
      <c r="Z304" s="83">
        <v>46086.0</v>
      </c>
    </row>
    <row r="305">
      <c r="A305" s="82" t="s">
        <v>1395</v>
      </c>
      <c r="B305" s="82">
        <v>4520936.0</v>
      </c>
      <c r="C305" s="82" t="s">
        <v>1396</v>
      </c>
      <c r="D305" s="84"/>
      <c r="E305" s="82" t="s">
        <v>604</v>
      </c>
      <c r="F305" s="84"/>
      <c r="G305" s="84"/>
      <c r="H305" s="82" t="s">
        <v>138</v>
      </c>
      <c r="I305" s="83">
        <v>46189.0</v>
      </c>
      <c r="J305" s="83">
        <v>46111.0</v>
      </c>
      <c r="K305" s="83">
        <v>46178.0</v>
      </c>
      <c r="L305" s="84"/>
      <c r="M305" s="84"/>
      <c r="N305" s="84"/>
      <c r="O305" s="84"/>
      <c r="P305" s="82">
        <v>668576.0</v>
      </c>
      <c r="Q305" s="82" t="s">
        <v>511</v>
      </c>
      <c r="R305" s="82">
        <v>600.0</v>
      </c>
      <c r="S305" s="82">
        <v>0.0</v>
      </c>
      <c r="T305" s="82" t="s">
        <v>1397</v>
      </c>
      <c r="U305" s="82" t="s">
        <v>1398</v>
      </c>
      <c r="V305" s="83">
        <v>46178.0</v>
      </c>
      <c r="W305" s="82" t="s">
        <v>132</v>
      </c>
      <c r="X305" s="82" t="s">
        <v>365</v>
      </c>
      <c r="Y305" s="83">
        <v>46141.0</v>
      </c>
      <c r="Z305" s="83">
        <v>46098.0</v>
      </c>
    </row>
    <row r="306">
      <c r="A306" s="82" t="s">
        <v>1399</v>
      </c>
      <c r="B306" s="82">
        <v>4474354.0</v>
      </c>
      <c r="C306" s="82" t="s">
        <v>1400</v>
      </c>
      <c r="D306" s="84"/>
      <c r="E306" s="82" t="s">
        <v>522</v>
      </c>
      <c r="F306" s="82" t="s">
        <v>537</v>
      </c>
      <c r="G306" s="84"/>
      <c r="H306" s="84"/>
      <c r="I306" s="84"/>
      <c r="J306" s="84"/>
      <c r="K306" s="84"/>
      <c r="L306" s="82" t="s">
        <v>138</v>
      </c>
      <c r="M306" s="83">
        <v>46086.0</v>
      </c>
      <c r="N306" s="84"/>
      <c r="O306" s="83">
        <v>46090.0</v>
      </c>
      <c r="P306" s="82">
        <v>646130.0</v>
      </c>
      <c r="Q306" s="82" t="s">
        <v>511</v>
      </c>
      <c r="R306" s="82">
        <v>0.0</v>
      </c>
      <c r="S306" s="82">
        <v>10.0</v>
      </c>
      <c r="T306" s="82" t="s">
        <v>1401</v>
      </c>
      <c r="U306" s="82" t="s">
        <v>1402</v>
      </c>
      <c r="V306" s="83">
        <v>46177.0</v>
      </c>
      <c r="W306" s="82" t="s">
        <v>132</v>
      </c>
      <c r="X306" s="82" t="s">
        <v>365</v>
      </c>
      <c r="Y306" s="83">
        <v>46118.0</v>
      </c>
      <c r="Z306" s="83">
        <v>46099.0</v>
      </c>
    </row>
    <row r="307">
      <c r="A307" s="82" t="s">
        <v>1403</v>
      </c>
      <c r="B307" s="82">
        <v>4367158.0</v>
      </c>
      <c r="C307" s="82" t="s">
        <v>1404</v>
      </c>
      <c r="D307" s="84"/>
      <c r="E307" s="82" t="s">
        <v>604</v>
      </c>
      <c r="F307" s="84"/>
      <c r="G307" s="82" t="s">
        <v>583</v>
      </c>
      <c r="H307" s="82" t="s">
        <v>138</v>
      </c>
      <c r="I307" s="83">
        <v>46190.0</v>
      </c>
      <c r="J307" s="84"/>
      <c r="K307" s="84"/>
      <c r="L307" s="84"/>
      <c r="M307" s="84"/>
      <c r="N307" s="84"/>
      <c r="O307" s="84"/>
      <c r="P307" s="84"/>
      <c r="Q307" s="84"/>
      <c r="R307" s="82">
        <v>80.0</v>
      </c>
      <c r="S307" s="82">
        <v>0.0</v>
      </c>
      <c r="T307" s="82" t="s">
        <v>1405</v>
      </c>
      <c r="U307" s="82" t="s">
        <v>1406</v>
      </c>
      <c r="V307" s="84"/>
      <c r="W307" s="82" t="s">
        <v>514</v>
      </c>
      <c r="X307" s="82" t="s">
        <v>365</v>
      </c>
      <c r="Y307" s="83">
        <v>46121.0</v>
      </c>
      <c r="Z307" s="83">
        <v>46100.0</v>
      </c>
    </row>
    <row r="308">
      <c r="A308" s="82" t="s">
        <v>1407</v>
      </c>
      <c r="B308" s="82">
        <v>4522341.0</v>
      </c>
      <c r="C308" s="82" t="s">
        <v>1408</v>
      </c>
      <c r="D308" s="83">
        <v>46163.0</v>
      </c>
      <c r="E308" s="82" t="s">
        <v>522</v>
      </c>
      <c r="F308" s="84"/>
      <c r="G308" s="84"/>
      <c r="H308" s="82" t="s">
        <v>138</v>
      </c>
      <c r="I308" s="83">
        <v>46213.0</v>
      </c>
      <c r="J308" s="83">
        <v>46113.0</v>
      </c>
      <c r="K308" s="83">
        <v>46198.0</v>
      </c>
      <c r="L308" s="84"/>
      <c r="M308" s="84"/>
      <c r="N308" s="84"/>
      <c r="O308" s="84"/>
      <c r="P308" s="82">
        <v>671252.0</v>
      </c>
      <c r="Q308" s="82" t="s">
        <v>557</v>
      </c>
      <c r="R308" s="82">
        <v>221.6</v>
      </c>
      <c r="S308" s="82">
        <v>681.6</v>
      </c>
      <c r="T308" s="82" t="s">
        <v>1409</v>
      </c>
      <c r="U308" s="82" t="s">
        <v>1410</v>
      </c>
      <c r="V308" s="83">
        <v>46198.0</v>
      </c>
      <c r="W308" s="82" t="s">
        <v>132</v>
      </c>
      <c r="X308" s="82" t="s">
        <v>365</v>
      </c>
      <c r="Y308" s="83">
        <v>46143.0</v>
      </c>
      <c r="Z308" s="83">
        <v>46086.0</v>
      </c>
    </row>
    <row r="309">
      <c r="A309" s="82" t="s">
        <v>1411</v>
      </c>
      <c r="B309" s="82">
        <v>4521114.0</v>
      </c>
      <c r="C309" s="82" t="s">
        <v>1412</v>
      </c>
      <c r="D309" s="84"/>
      <c r="E309" s="82" t="s">
        <v>522</v>
      </c>
      <c r="F309" s="84"/>
      <c r="G309" s="84"/>
      <c r="H309" s="82" t="s">
        <v>138</v>
      </c>
      <c r="I309" s="83">
        <v>46202.0</v>
      </c>
      <c r="J309" s="83">
        <v>46115.0</v>
      </c>
      <c r="K309" s="83">
        <v>46198.0</v>
      </c>
      <c r="L309" s="84"/>
      <c r="M309" s="84"/>
      <c r="N309" s="84"/>
      <c r="O309" s="84"/>
      <c r="P309" s="82">
        <v>673023.0</v>
      </c>
      <c r="Q309" s="82" t="s">
        <v>532</v>
      </c>
      <c r="R309" s="82">
        <v>25.0</v>
      </c>
      <c r="S309" s="82">
        <v>25.0</v>
      </c>
      <c r="T309" s="82" t="s">
        <v>1413</v>
      </c>
      <c r="U309" s="82" t="s">
        <v>1414</v>
      </c>
      <c r="V309" s="83">
        <v>46198.0</v>
      </c>
      <c r="W309" s="82" t="s">
        <v>132</v>
      </c>
      <c r="X309" s="82" t="s">
        <v>365</v>
      </c>
      <c r="Y309" s="83">
        <v>46147.0</v>
      </c>
      <c r="Z309" s="83">
        <v>46119.0</v>
      </c>
    </row>
    <row r="310">
      <c r="A310" s="82" t="s">
        <v>1415</v>
      </c>
      <c r="B310" s="82">
        <v>4521121.0</v>
      </c>
      <c r="C310" s="82" t="s">
        <v>1416</v>
      </c>
      <c r="D310" s="84"/>
      <c r="E310" s="82" t="s">
        <v>522</v>
      </c>
      <c r="F310" s="84"/>
      <c r="G310" s="84"/>
      <c r="H310" s="82" t="s">
        <v>138</v>
      </c>
      <c r="I310" s="83">
        <v>46197.0</v>
      </c>
      <c r="J310" s="83">
        <v>46113.0</v>
      </c>
      <c r="K310" s="83">
        <v>46200.0</v>
      </c>
      <c r="L310" s="84"/>
      <c r="M310" s="84"/>
      <c r="N310" s="84"/>
      <c r="O310" s="84"/>
      <c r="P310" s="82">
        <v>673007.0</v>
      </c>
      <c r="Q310" s="82" t="s">
        <v>532</v>
      </c>
      <c r="R310" s="82">
        <v>25.0</v>
      </c>
      <c r="S310" s="82">
        <v>35.0</v>
      </c>
      <c r="T310" s="82" t="s">
        <v>1417</v>
      </c>
      <c r="U310" s="82" t="s">
        <v>1418</v>
      </c>
      <c r="V310" s="83">
        <v>46200.0</v>
      </c>
      <c r="W310" s="82" t="s">
        <v>132</v>
      </c>
      <c r="X310" s="82" t="s">
        <v>365</v>
      </c>
      <c r="Y310" s="83">
        <v>46147.0</v>
      </c>
      <c r="Z310" s="83">
        <v>46120.0</v>
      </c>
    </row>
    <row r="311">
      <c r="A311" s="82" t="s">
        <v>1419</v>
      </c>
      <c r="B311" s="82">
        <v>2967694.0</v>
      </c>
      <c r="C311" s="82" t="s">
        <v>1420</v>
      </c>
      <c r="D311" s="83">
        <v>45923.0</v>
      </c>
      <c r="E311" s="82" t="s">
        <v>522</v>
      </c>
      <c r="F311" s="84"/>
      <c r="G311" s="84"/>
      <c r="H311" s="82" t="s">
        <v>138</v>
      </c>
      <c r="I311" s="83">
        <v>46196.0</v>
      </c>
      <c r="J311" s="83">
        <v>45300.0</v>
      </c>
      <c r="K311" s="83">
        <v>46196.0</v>
      </c>
      <c r="L311" s="84"/>
      <c r="M311" s="84"/>
      <c r="N311" s="84"/>
      <c r="O311" s="84"/>
      <c r="P311" s="82">
        <v>376954.0</v>
      </c>
      <c r="Q311" s="82" t="s">
        <v>511</v>
      </c>
      <c r="R311" s="82">
        <v>655.0</v>
      </c>
      <c r="S311" s="82">
        <v>665.0</v>
      </c>
      <c r="T311" s="82" t="s">
        <v>1421</v>
      </c>
      <c r="U311" s="82" t="s">
        <v>1422</v>
      </c>
      <c r="V311" s="83">
        <v>46196.0</v>
      </c>
      <c r="W311" s="82" t="s">
        <v>514</v>
      </c>
      <c r="X311" s="82" t="s">
        <v>309</v>
      </c>
      <c r="Y311" s="83">
        <v>46055.0</v>
      </c>
      <c r="Z311" s="83">
        <v>45924.0</v>
      </c>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s>
  <sheetData>
    <row r="1">
      <c r="A1" s="13" t="str">
        <f t="array" ref="A1:A302">UNIQUE('Download of SFDC Activation Rep'!B:B)</f>
        <v>Organization Id</v>
      </c>
      <c r="B1" s="17" t="s">
        <v>1423</v>
      </c>
      <c r="E1" s="17" t="s">
        <v>1424</v>
      </c>
    </row>
    <row r="2">
      <c r="A2" s="13">
        <v>4496196.0</v>
      </c>
      <c r="B2" s="13" t="str">
        <f t="shared" ref="B2:B1000" si="1">A2&amp;","</f>
        <v>4496196,</v>
      </c>
      <c r="E2" s="13" t="str">
        <f t="array" ref="E2">XLOOKUP(A2,Sheet5!G:G,Sheet5!G:G)</f>
        <v>#N/A</v>
      </c>
    </row>
    <row r="3">
      <c r="A3" s="13">
        <v>4215639.0</v>
      </c>
      <c r="B3" s="13" t="str">
        <f t="shared" si="1"/>
        <v>4215639,</v>
      </c>
      <c r="E3" s="13" t="str">
        <f t="array" ref="E3">XLOOKUP(A3,Sheet5!G:G,Sheet5!G:G)</f>
        <v>#N/A</v>
      </c>
    </row>
    <row r="4">
      <c r="A4" s="13">
        <v>4471409.0</v>
      </c>
      <c r="B4" s="13" t="str">
        <f t="shared" si="1"/>
        <v>4471409,</v>
      </c>
      <c r="E4" s="13" t="str">
        <f t="array" ref="E4">XLOOKUP(A4,Sheet5!G:G,Sheet5!G:G)</f>
        <v>#N/A</v>
      </c>
    </row>
    <row r="5">
      <c r="A5" s="13">
        <v>4496376.0</v>
      </c>
      <c r="B5" s="13" t="str">
        <f t="shared" si="1"/>
        <v>4496376,</v>
      </c>
      <c r="E5" s="13" t="str">
        <f t="array" ref="E5">XLOOKUP(A5,Sheet5!G:G,Sheet5!G:G)</f>
        <v>#N/A</v>
      </c>
    </row>
    <row r="6">
      <c r="A6" s="13">
        <v>4496271.0</v>
      </c>
      <c r="B6" s="13" t="str">
        <f t="shared" si="1"/>
        <v>4496271,</v>
      </c>
      <c r="E6" s="13" t="str">
        <f t="array" ref="E6">XLOOKUP(A6,Sheet5!G:G,Sheet5!G:G)</f>
        <v>#N/A</v>
      </c>
    </row>
    <row r="7">
      <c r="A7" s="13">
        <v>4491049.0</v>
      </c>
      <c r="B7" s="13" t="str">
        <f t="shared" si="1"/>
        <v>4491049,</v>
      </c>
      <c r="E7" s="13" t="str">
        <f t="array" ref="E7">XLOOKUP(A7,Sheet5!G:G,Sheet5!G:G)</f>
        <v>#N/A</v>
      </c>
    </row>
    <row r="8">
      <c r="A8" s="13">
        <v>4425284.0</v>
      </c>
      <c r="B8" s="13" t="str">
        <f t="shared" si="1"/>
        <v>4425284,</v>
      </c>
      <c r="E8" s="13" t="str">
        <f t="array" ref="E8">XLOOKUP(A8,Sheet5!G:G,Sheet5!G:G)</f>
        <v>#N/A</v>
      </c>
    </row>
    <row r="9">
      <c r="A9" s="13">
        <v>4525003.0</v>
      </c>
      <c r="B9" s="13" t="str">
        <f t="shared" si="1"/>
        <v>4525003,</v>
      </c>
      <c r="E9" s="13" t="str">
        <f t="array" ref="E9">XLOOKUP(A9,Sheet5!G:G,Sheet5!G:G)</f>
        <v>#N/A</v>
      </c>
    </row>
    <row r="10">
      <c r="A10" s="13">
        <v>4441269.0</v>
      </c>
      <c r="B10" s="13" t="str">
        <f t="shared" si="1"/>
        <v>4441269,</v>
      </c>
      <c r="E10" s="13" t="str">
        <f t="array" ref="E10">XLOOKUP(A10,Sheet5!G:G,Sheet5!G:G)</f>
        <v>#N/A</v>
      </c>
    </row>
    <row r="11">
      <c r="A11" s="13">
        <v>4525842.0</v>
      </c>
      <c r="B11" s="13" t="str">
        <f t="shared" si="1"/>
        <v>4525842,</v>
      </c>
      <c r="E11" s="13" t="str">
        <f t="array" ref="E11">XLOOKUP(A11,Sheet5!G:G,Sheet5!G:G)</f>
        <v>#N/A</v>
      </c>
    </row>
    <row r="12">
      <c r="A12" s="13">
        <v>4516557.0</v>
      </c>
      <c r="B12" s="13" t="str">
        <f t="shared" si="1"/>
        <v>4516557,</v>
      </c>
      <c r="E12" s="13" t="str">
        <f t="array" ref="E12">XLOOKUP(A12,Sheet5!G:G,Sheet5!G:G)</f>
        <v>#N/A</v>
      </c>
    </row>
    <row r="13">
      <c r="A13" s="13">
        <v>4582595.0</v>
      </c>
      <c r="B13" s="13" t="str">
        <f t="shared" si="1"/>
        <v>4582595,</v>
      </c>
      <c r="E13" s="13" t="str">
        <f t="array" ref="E13">XLOOKUP(A13,Sheet5!G:G,Sheet5!G:G)</f>
        <v>#N/A</v>
      </c>
    </row>
    <row r="14">
      <c r="A14" s="13">
        <v>4525429.0</v>
      </c>
      <c r="B14" s="13" t="str">
        <f t="shared" si="1"/>
        <v>4525429,</v>
      </c>
      <c r="E14" s="13" t="str">
        <f t="array" ref="E14">XLOOKUP(A14,Sheet5!G:G,Sheet5!G:G)</f>
        <v>#N/A</v>
      </c>
    </row>
    <row r="15">
      <c r="A15" s="13">
        <v>4412994.0</v>
      </c>
      <c r="B15" s="13" t="str">
        <f t="shared" si="1"/>
        <v>4412994,</v>
      </c>
      <c r="E15" s="13" t="str">
        <f t="array" ref="E15">XLOOKUP(A15,Sheet5!G:G,Sheet5!G:G)</f>
        <v>#N/A</v>
      </c>
    </row>
    <row r="16">
      <c r="A16" s="13">
        <v>4548015.0</v>
      </c>
      <c r="B16" s="13" t="str">
        <f t="shared" si="1"/>
        <v>4548015,</v>
      </c>
      <c r="E16" s="13" t="str">
        <f t="array" ref="E16">XLOOKUP(A16,Sheet5!G:G,Sheet5!G:G)</f>
        <v>#N/A</v>
      </c>
    </row>
    <row r="17">
      <c r="A17" s="13">
        <v>4522488.0</v>
      </c>
      <c r="B17" s="13" t="str">
        <f t="shared" si="1"/>
        <v>4522488,</v>
      </c>
      <c r="E17" s="13" t="str">
        <f t="array" ref="E17">XLOOKUP(A17,Sheet5!G:G,Sheet5!G:G)</f>
        <v>#N/A</v>
      </c>
    </row>
    <row r="18">
      <c r="A18" s="13">
        <v>4530037.0</v>
      </c>
      <c r="B18" s="13" t="str">
        <f t="shared" si="1"/>
        <v>4530037,</v>
      </c>
      <c r="E18" s="13" t="str">
        <f t="array" ref="E18">XLOOKUP(A18,Sheet5!G:G,Sheet5!G:G)</f>
        <v>#N/A</v>
      </c>
    </row>
    <row r="19">
      <c r="A19" s="13">
        <v>4539135.0</v>
      </c>
      <c r="B19" s="13" t="str">
        <f t="shared" si="1"/>
        <v>4539135,</v>
      </c>
      <c r="E19" s="13" t="str">
        <f t="array" ref="E19">XLOOKUP(A19,Sheet5!G:G,Sheet5!G:G)</f>
        <v>#N/A</v>
      </c>
    </row>
    <row r="20">
      <c r="A20" s="13">
        <v>4363463.0</v>
      </c>
      <c r="B20" s="13" t="str">
        <f t="shared" si="1"/>
        <v>4363463,</v>
      </c>
      <c r="E20" s="13" t="str">
        <f t="array" ref="E20">XLOOKUP(A20,Sheet5!G:G,Sheet5!G:G)</f>
        <v>#N/A</v>
      </c>
    </row>
    <row r="21">
      <c r="A21" s="13">
        <v>4528120.0</v>
      </c>
      <c r="B21" s="13" t="str">
        <f t="shared" si="1"/>
        <v>4528120,</v>
      </c>
      <c r="E21" s="13" t="str">
        <f t="array" ref="E21">XLOOKUP(A21,Sheet5!G:G,Sheet5!G:G)</f>
        <v>#N/A</v>
      </c>
    </row>
    <row r="22">
      <c r="A22" s="13">
        <v>4533194.0</v>
      </c>
      <c r="B22" s="13" t="str">
        <f t="shared" si="1"/>
        <v>4533194,</v>
      </c>
      <c r="E22" s="13" t="str">
        <f t="array" ref="E22">XLOOKUP(A22,Sheet5!G:G,Sheet5!G:G)</f>
        <v>#N/A</v>
      </c>
    </row>
    <row r="23">
      <c r="A23" s="13">
        <v>4556248.0</v>
      </c>
      <c r="B23" s="13" t="str">
        <f t="shared" si="1"/>
        <v>4556248,</v>
      </c>
      <c r="E23" s="13" t="str">
        <f t="array" ref="E23">XLOOKUP(A23,Sheet5!G:G,Sheet5!G:G)</f>
        <v>#N/A</v>
      </c>
    </row>
    <row r="24">
      <c r="A24" s="13">
        <v>4022041.0</v>
      </c>
      <c r="B24" s="13" t="str">
        <f t="shared" si="1"/>
        <v>4022041,</v>
      </c>
      <c r="E24" s="13" t="str">
        <f t="array" ref="E24">XLOOKUP(A24,Sheet5!G:G,Sheet5!G:G)</f>
        <v>#N/A</v>
      </c>
    </row>
    <row r="25">
      <c r="A25" s="13">
        <v>4653751.0</v>
      </c>
      <c r="B25" s="13" t="str">
        <f t="shared" si="1"/>
        <v>4653751,</v>
      </c>
      <c r="E25" s="13" t="str">
        <f t="array" ref="E25">XLOOKUP(A25,Sheet5!G:G,Sheet5!G:G)</f>
        <v>#N/A</v>
      </c>
    </row>
    <row r="26">
      <c r="A26" s="13">
        <v>4541584.0</v>
      </c>
      <c r="B26" s="13" t="str">
        <f t="shared" si="1"/>
        <v>4541584,</v>
      </c>
      <c r="E26" s="13" t="str">
        <f t="array" ref="E26">XLOOKUP(A26,Sheet5!G:G,Sheet5!G:G)</f>
        <v>#N/A</v>
      </c>
    </row>
    <row r="27">
      <c r="A27" s="13">
        <v>4686225.0</v>
      </c>
      <c r="B27" s="13" t="str">
        <f t="shared" si="1"/>
        <v>4686225,</v>
      </c>
      <c r="E27" s="13" t="str">
        <f t="array" ref="E27">XLOOKUP(A27,Sheet5!G:G,Sheet5!G:G)</f>
        <v>#N/A</v>
      </c>
    </row>
    <row r="28">
      <c r="A28" s="13">
        <v>4690708.0</v>
      </c>
      <c r="B28" s="13" t="str">
        <f t="shared" si="1"/>
        <v>4690708,</v>
      </c>
      <c r="E28" s="13" t="str">
        <f t="array" ref="E28">XLOOKUP(A28,Sheet5!G:G,Sheet5!G:G)</f>
        <v>#N/A</v>
      </c>
    </row>
    <row r="29">
      <c r="A29" s="13">
        <v>489723.0</v>
      </c>
      <c r="B29" s="13" t="str">
        <f t="shared" si="1"/>
        <v>489723,</v>
      </c>
      <c r="E29" s="13" t="str">
        <f t="array" ref="E29">XLOOKUP(A29,Sheet5!G:G,Sheet5!G:G)</f>
        <v>#N/A</v>
      </c>
    </row>
    <row r="30">
      <c r="A30" s="13">
        <v>4490170.0</v>
      </c>
      <c r="B30" s="13" t="str">
        <f t="shared" si="1"/>
        <v>4490170,</v>
      </c>
      <c r="E30" s="13" t="str">
        <f t="array" ref="E30">XLOOKUP(A30,Sheet5!G:G,Sheet5!G:G)</f>
        <v>#N/A</v>
      </c>
    </row>
    <row r="31">
      <c r="A31" s="13">
        <v>4299613.0</v>
      </c>
      <c r="B31" s="13" t="str">
        <f t="shared" si="1"/>
        <v>4299613,</v>
      </c>
      <c r="E31" s="13" t="str">
        <f t="array" ref="E31">XLOOKUP(A31,Sheet5!G:G,Sheet5!G:G)</f>
        <v>#N/A</v>
      </c>
    </row>
    <row r="32">
      <c r="A32" s="13">
        <v>4496351.0</v>
      </c>
      <c r="B32" s="13" t="str">
        <f t="shared" si="1"/>
        <v>4496351,</v>
      </c>
      <c r="E32" s="13" t="str">
        <f t="array" ref="E32">XLOOKUP(A32,Sheet5!G:G,Sheet5!G:G)</f>
        <v>#N/A</v>
      </c>
    </row>
    <row r="33">
      <c r="A33" s="13">
        <v>4646113.0</v>
      </c>
      <c r="B33" s="13" t="str">
        <f t="shared" si="1"/>
        <v>4646113,</v>
      </c>
      <c r="E33" s="13" t="str">
        <f t="array" ref="E33">XLOOKUP(A33,Sheet5!G:G,Sheet5!G:G)</f>
        <v>#N/A</v>
      </c>
    </row>
    <row r="34">
      <c r="A34" s="13">
        <v>4520048.0</v>
      </c>
      <c r="B34" s="13" t="str">
        <f t="shared" si="1"/>
        <v>4520048,</v>
      </c>
      <c r="E34" s="13" t="str">
        <f t="array" ref="E34">XLOOKUP(A34,Sheet5!G:G,Sheet5!G:G)</f>
        <v>#N/A</v>
      </c>
    </row>
    <row r="35">
      <c r="A35" s="13">
        <v>4531933.0</v>
      </c>
      <c r="B35" s="13" t="str">
        <f t="shared" si="1"/>
        <v>4531933,</v>
      </c>
      <c r="E35" s="13" t="str">
        <f t="array" ref="E35">XLOOKUP(A35,Sheet5!G:G,Sheet5!G:G)</f>
        <v>#N/A</v>
      </c>
    </row>
    <row r="36">
      <c r="A36" s="13">
        <v>4601844.0</v>
      </c>
      <c r="B36" s="13" t="str">
        <f t="shared" si="1"/>
        <v>4601844,</v>
      </c>
      <c r="E36" s="13" t="str">
        <f t="array" ref="E36">XLOOKUP(A36,Sheet5!G:G,Sheet5!G:G)</f>
        <v>#N/A</v>
      </c>
    </row>
    <row r="37">
      <c r="A37" s="13">
        <v>4613356.0</v>
      </c>
      <c r="B37" s="13" t="str">
        <f t="shared" si="1"/>
        <v>4613356,</v>
      </c>
      <c r="E37" s="13" t="str">
        <f t="array" ref="E37">XLOOKUP(A37,Sheet5!G:G,Sheet5!G:G)</f>
        <v>#N/A</v>
      </c>
    </row>
    <row r="38">
      <c r="A38" s="13">
        <v>4595676.0</v>
      </c>
      <c r="B38" s="13" t="str">
        <f t="shared" si="1"/>
        <v>4595676,</v>
      </c>
      <c r="E38" s="13" t="str">
        <f t="array" ref="E38">XLOOKUP(A38,Sheet5!G:G,Sheet5!G:G)</f>
        <v>#N/A</v>
      </c>
    </row>
    <row r="39">
      <c r="A39" s="13">
        <v>4622664.0</v>
      </c>
      <c r="B39" s="13" t="str">
        <f t="shared" si="1"/>
        <v>4622664,</v>
      </c>
      <c r="E39" s="13" t="str">
        <f t="array" ref="E39">XLOOKUP(A39,Sheet5!G:G,Sheet5!G:G)</f>
        <v>#N/A</v>
      </c>
    </row>
    <row r="40">
      <c r="A40" s="13">
        <v>4643229.0</v>
      </c>
      <c r="B40" s="13" t="str">
        <f t="shared" si="1"/>
        <v>4643229,</v>
      </c>
      <c r="E40" s="13" t="str">
        <f t="array" ref="E40">XLOOKUP(A40,Sheet5!G:G,Sheet5!G:G)</f>
        <v>#N/A</v>
      </c>
    </row>
    <row r="41">
      <c r="A41" s="13">
        <v>4585208.0</v>
      </c>
      <c r="B41" s="13" t="str">
        <f t="shared" si="1"/>
        <v>4585208,</v>
      </c>
      <c r="E41" s="13" t="str">
        <f t="array" ref="E41">XLOOKUP(A41,Sheet5!G:G,Sheet5!G:G)</f>
        <v>#N/A</v>
      </c>
    </row>
    <row r="42">
      <c r="A42" s="13">
        <v>4659388.0</v>
      </c>
      <c r="B42" s="13" t="str">
        <f t="shared" si="1"/>
        <v>4659388,</v>
      </c>
      <c r="E42" s="13" t="str">
        <f t="array" ref="E42">XLOOKUP(A42,Sheet5!G:G,Sheet5!G:G)</f>
        <v>#N/A</v>
      </c>
    </row>
    <row r="43">
      <c r="A43" s="13">
        <v>4643465.0</v>
      </c>
      <c r="B43" s="13" t="str">
        <f t="shared" si="1"/>
        <v>4643465,</v>
      </c>
      <c r="E43" s="13" t="str">
        <f t="array" ref="E43">XLOOKUP(A43,Sheet5!G:G,Sheet5!G:G)</f>
        <v>#N/A</v>
      </c>
    </row>
    <row r="44">
      <c r="A44" s="13">
        <v>4645494.0</v>
      </c>
      <c r="B44" s="13" t="str">
        <f t="shared" si="1"/>
        <v>4645494,</v>
      </c>
      <c r="E44" s="13" t="str">
        <f t="array" ref="E44">XLOOKUP(A44,Sheet5!G:G,Sheet5!G:G)</f>
        <v>#N/A</v>
      </c>
    </row>
    <row r="45">
      <c r="A45" s="13">
        <v>4687230.0</v>
      </c>
      <c r="B45" s="13" t="str">
        <f t="shared" si="1"/>
        <v>4687230,</v>
      </c>
      <c r="E45" s="13" t="str">
        <f t="array" ref="E45">XLOOKUP(A45,Sheet5!G:G,Sheet5!G:G)</f>
        <v>#N/A</v>
      </c>
    </row>
    <row r="46">
      <c r="A46" s="13">
        <v>4027774.0</v>
      </c>
      <c r="B46" s="13" t="str">
        <f t="shared" si="1"/>
        <v>4027774,</v>
      </c>
      <c r="E46" s="13" t="str">
        <f t="array" ref="E46">XLOOKUP(A46,Sheet5!G:G,Sheet5!G:G)</f>
        <v>#N/A</v>
      </c>
    </row>
    <row r="47">
      <c r="A47" s="13">
        <v>4671107.0</v>
      </c>
      <c r="B47" s="13" t="str">
        <f t="shared" si="1"/>
        <v>4671107,</v>
      </c>
      <c r="E47" s="13" t="str">
        <f t="array" ref="E47">XLOOKUP(A47,Sheet5!G:G,Sheet5!G:G)</f>
        <v>#N/A</v>
      </c>
    </row>
    <row r="48">
      <c r="A48" s="13">
        <v>4733200.0</v>
      </c>
      <c r="B48" s="13" t="str">
        <f t="shared" si="1"/>
        <v>4733200,</v>
      </c>
      <c r="E48" s="13" t="str">
        <f t="array" ref="E48">XLOOKUP(A48,Sheet5!G:G,Sheet5!G:G)</f>
        <v>#N/A</v>
      </c>
    </row>
    <row r="49">
      <c r="A49" s="13">
        <v>4671781.0</v>
      </c>
      <c r="B49" s="13" t="str">
        <f t="shared" si="1"/>
        <v>4671781,</v>
      </c>
      <c r="E49" s="13" t="str">
        <f t="array" ref="E49">XLOOKUP(A49,Sheet5!G:G,Sheet5!G:G)</f>
        <v>#N/A</v>
      </c>
    </row>
    <row r="50">
      <c r="A50" s="13">
        <v>4585024.0</v>
      </c>
      <c r="B50" s="13" t="str">
        <f t="shared" si="1"/>
        <v>4585024,</v>
      </c>
      <c r="E50" s="13" t="str">
        <f t="array" ref="E50">XLOOKUP(A50,Sheet5!G:G,Sheet5!G:G)</f>
        <v>#N/A</v>
      </c>
    </row>
    <row r="51">
      <c r="A51" s="13">
        <v>4693674.0</v>
      </c>
      <c r="B51" s="13" t="str">
        <f t="shared" si="1"/>
        <v>4693674,</v>
      </c>
      <c r="E51" s="13" t="str">
        <f t="array" ref="E51">XLOOKUP(A51,Sheet5!G:G,Sheet5!G:G)</f>
        <v>#N/A</v>
      </c>
    </row>
    <row r="52">
      <c r="A52" s="13">
        <v>4637594.0</v>
      </c>
      <c r="B52" s="13" t="str">
        <f t="shared" si="1"/>
        <v>4637594,</v>
      </c>
      <c r="E52" s="13" t="str">
        <f t="array" ref="E52">XLOOKUP(A52,Sheet5!G:G,Sheet5!G:G)</f>
        <v>#N/A</v>
      </c>
    </row>
    <row r="53">
      <c r="A53" s="13">
        <v>4735126.0</v>
      </c>
      <c r="B53" s="13" t="str">
        <f t="shared" si="1"/>
        <v>4735126,</v>
      </c>
      <c r="E53" s="13" t="str">
        <f t="array" ref="E53">XLOOKUP(A53,Sheet5!G:G,Sheet5!G:G)</f>
        <v>#N/A</v>
      </c>
    </row>
    <row r="54">
      <c r="A54" s="13">
        <v>3383444.0</v>
      </c>
      <c r="B54" s="13" t="str">
        <f t="shared" si="1"/>
        <v>3383444,</v>
      </c>
      <c r="E54" s="13" t="str">
        <f t="array" ref="E54">XLOOKUP(A54,Sheet5!G:G,Sheet5!G:G)</f>
        <v>#N/A</v>
      </c>
    </row>
    <row r="55">
      <c r="A55" s="13">
        <v>4440958.0</v>
      </c>
      <c r="B55" s="13" t="str">
        <f t="shared" si="1"/>
        <v>4440958,</v>
      </c>
      <c r="E55" s="13" t="str">
        <f t="array" ref="E55">XLOOKUP(A55,Sheet5!G:G,Sheet5!G:G)</f>
        <v>#N/A</v>
      </c>
    </row>
    <row r="56">
      <c r="A56" s="13">
        <v>4443098.0</v>
      </c>
      <c r="B56" s="13" t="str">
        <f t="shared" si="1"/>
        <v>4443098,</v>
      </c>
      <c r="E56" s="13" t="str">
        <f t="array" ref="E56">XLOOKUP(A56,Sheet5!G:G,Sheet5!G:G)</f>
        <v>#N/A</v>
      </c>
    </row>
    <row r="57">
      <c r="A57" s="13">
        <v>4374819.0</v>
      </c>
      <c r="B57" s="13" t="str">
        <f t="shared" si="1"/>
        <v>4374819,</v>
      </c>
      <c r="E57" s="13" t="str">
        <f t="array" ref="E57">XLOOKUP(A57,Sheet5!G:G,Sheet5!G:G)</f>
        <v>#N/A</v>
      </c>
    </row>
    <row r="58">
      <c r="A58" s="13">
        <v>4332104.0</v>
      </c>
      <c r="B58" s="13" t="str">
        <f t="shared" si="1"/>
        <v>4332104,</v>
      </c>
      <c r="E58" s="13" t="str">
        <f t="array" ref="E58">XLOOKUP(A58,Sheet5!G:G,Sheet5!G:G)</f>
        <v>#N/A</v>
      </c>
    </row>
    <row r="59">
      <c r="A59" s="13">
        <v>4329147.0</v>
      </c>
      <c r="B59" s="13" t="str">
        <f t="shared" si="1"/>
        <v>4329147,</v>
      </c>
      <c r="E59" s="13" t="str">
        <f t="array" ref="E59">XLOOKUP(A59,Sheet5!G:G,Sheet5!G:G)</f>
        <v>#N/A</v>
      </c>
    </row>
    <row r="60">
      <c r="A60" s="13">
        <v>4299448.0</v>
      </c>
      <c r="B60" s="13" t="str">
        <f t="shared" si="1"/>
        <v>4299448,</v>
      </c>
      <c r="E60" s="13" t="str">
        <f t="array" ref="E60">XLOOKUP(A60,Sheet5!G:G,Sheet5!G:G)</f>
        <v>#N/A</v>
      </c>
    </row>
    <row r="61">
      <c r="A61" s="13">
        <v>3683365.0</v>
      </c>
      <c r="B61" s="13" t="str">
        <f t="shared" si="1"/>
        <v>3683365,</v>
      </c>
      <c r="E61" s="13" t="str">
        <f t="array" ref="E61">XLOOKUP(A61,Sheet5!G:G,Sheet5!G:G)</f>
        <v>#N/A</v>
      </c>
    </row>
    <row r="62">
      <c r="A62" s="13">
        <v>3916711.0</v>
      </c>
      <c r="B62" s="13" t="str">
        <f t="shared" si="1"/>
        <v>3916711,</v>
      </c>
      <c r="E62" s="13" t="str">
        <f t="array" ref="E62">XLOOKUP(A62,Sheet5!G:G,Sheet5!G:G)</f>
        <v>#N/A</v>
      </c>
    </row>
    <row r="63">
      <c r="A63" s="13">
        <v>3935770.0</v>
      </c>
      <c r="B63" s="13" t="str">
        <f t="shared" si="1"/>
        <v>3935770,</v>
      </c>
      <c r="E63" s="13">
        <f t="array" ref="E63">XLOOKUP(A63,Sheet5!G:G,Sheet5!G:G)</f>
        <v>3935770</v>
      </c>
    </row>
    <row r="64">
      <c r="A64" s="13">
        <v>3906405.0</v>
      </c>
      <c r="B64" s="13" t="str">
        <f t="shared" si="1"/>
        <v>3906405,</v>
      </c>
      <c r="E64" s="13">
        <f t="array" ref="E64">XLOOKUP(A64,Sheet5!G:G,Sheet5!G:G)</f>
        <v>3906405</v>
      </c>
    </row>
    <row r="65">
      <c r="A65" s="13">
        <v>3945715.0</v>
      </c>
      <c r="B65" s="13" t="str">
        <f t="shared" si="1"/>
        <v>3945715,</v>
      </c>
      <c r="E65" s="13" t="str">
        <f t="array" ref="E65">XLOOKUP(A65,Sheet5!G:G,Sheet5!G:G)</f>
        <v>#N/A</v>
      </c>
    </row>
    <row r="66">
      <c r="A66" s="13">
        <v>3946131.0</v>
      </c>
      <c r="B66" s="13" t="str">
        <f t="shared" si="1"/>
        <v>3946131,</v>
      </c>
      <c r="E66" s="13">
        <f t="array" ref="E66">XLOOKUP(A66,Sheet5!G:G,Sheet5!G:G)</f>
        <v>3946131</v>
      </c>
    </row>
    <row r="67">
      <c r="A67" s="13">
        <v>3947424.0</v>
      </c>
      <c r="B67" s="13" t="str">
        <f t="shared" si="1"/>
        <v>3947424,</v>
      </c>
      <c r="E67" s="13">
        <f t="array" ref="E67">XLOOKUP(A67,Sheet5!G:G,Sheet5!G:G)</f>
        <v>3947424</v>
      </c>
    </row>
    <row r="68">
      <c r="A68" s="13">
        <v>3785914.0</v>
      </c>
      <c r="B68" s="13" t="str">
        <f t="shared" si="1"/>
        <v>3785914,</v>
      </c>
      <c r="E68" s="13">
        <f t="array" ref="E68">XLOOKUP(A68,Sheet5!G:G,Sheet5!G:G)</f>
        <v>3785914</v>
      </c>
    </row>
    <row r="69">
      <c r="A69" s="13">
        <v>3738104.0</v>
      </c>
      <c r="B69" s="13" t="str">
        <f t="shared" si="1"/>
        <v>3738104,</v>
      </c>
      <c r="E69" s="13" t="str">
        <f t="array" ref="E69">XLOOKUP(A69,Sheet5!G:G,Sheet5!G:G)</f>
        <v>#N/A</v>
      </c>
    </row>
    <row r="70">
      <c r="A70" s="13">
        <v>3952865.0</v>
      </c>
      <c r="B70" s="13" t="str">
        <f t="shared" si="1"/>
        <v>3952865,</v>
      </c>
      <c r="E70" s="13">
        <f t="array" ref="E70">XLOOKUP(A70,Sheet5!G:G,Sheet5!G:G)</f>
        <v>3952865</v>
      </c>
    </row>
    <row r="71">
      <c r="A71" s="13">
        <v>3942346.0</v>
      </c>
      <c r="B71" s="13" t="str">
        <f t="shared" si="1"/>
        <v>3942346,</v>
      </c>
      <c r="E71" s="13" t="str">
        <f t="array" ref="E71">XLOOKUP(A71,Sheet5!G:G,Sheet5!G:G)</f>
        <v>#N/A</v>
      </c>
    </row>
    <row r="72">
      <c r="A72" s="13">
        <v>3942651.0</v>
      </c>
      <c r="B72" s="13" t="str">
        <f t="shared" si="1"/>
        <v>3942651,</v>
      </c>
      <c r="E72" s="13" t="str">
        <f t="array" ref="E72">XLOOKUP(A72,Sheet5!G:G,Sheet5!G:G)</f>
        <v>#N/A</v>
      </c>
    </row>
    <row r="73">
      <c r="A73" s="13">
        <v>3968250.0</v>
      </c>
      <c r="B73" s="13" t="str">
        <f t="shared" si="1"/>
        <v>3968250,</v>
      </c>
      <c r="E73" s="13" t="str">
        <f t="array" ref="E73">XLOOKUP(A73,Sheet5!G:G,Sheet5!G:G)</f>
        <v>#N/A</v>
      </c>
    </row>
    <row r="74">
      <c r="A74" s="13">
        <v>3977410.0</v>
      </c>
      <c r="B74" s="13" t="str">
        <f t="shared" si="1"/>
        <v>3977410,</v>
      </c>
      <c r="E74" s="13" t="str">
        <f t="array" ref="E74">XLOOKUP(A74,Sheet5!G:G,Sheet5!G:G)</f>
        <v>#N/A</v>
      </c>
    </row>
    <row r="75">
      <c r="A75" s="13">
        <v>3934711.0</v>
      </c>
      <c r="B75" s="13" t="str">
        <f t="shared" si="1"/>
        <v>3934711,</v>
      </c>
      <c r="E75" s="13">
        <f t="array" ref="E75">XLOOKUP(A75,Sheet5!G:G,Sheet5!G:G)</f>
        <v>3934711</v>
      </c>
    </row>
    <row r="76">
      <c r="A76" s="13">
        <v>492746.0</v>
      </c>
      <c r="B76" s="13" t="str">
        <f t="shared" si="1"/>
        <v>492746,</v>
      </c>
      <c r="E76" s="13" t="str">
        <f t="array" ref="E76">XLOOKUP(A76,Sheet5!G:G,Sheet5!G:G)</f>
        <v>#N/A</v>
      </c>
    </row>
    <row r="77">
      <c r="A77" s="13">
        <v>3934664.0</v>
      </c>
      <c r="B77" s="13" t="str">
        <f t="shared" si="1"/>
        <v>3934664,</v>
      </c>
      <c r="E77" s="13">
        <f t="array" ref="E77">XLOOKUP(A77,Sheet5!G:G,Sheet5!G:G)</f>
        <v>3934664</v>
      </c>
    </row>
    <row r="78">
      <c r="A78" s="13">
        <v>3970546.0</v>
      </c>
      <c r="B78" s="13" t="str">
        <f t="shared" si="1"/>
        <v>3970546,</v>
      </c>
    </row>
    <row r="79">
      <c r="A79" s="13">
        <v>3962143.0</v>
      </c>
      <c r="B79" s="13" t="str">
        <f t="shared" si="1"/>
        <v>3962143,</v>
      </c>
    </row>
    <row r="80">
      <c r="A80" s="13">
        <v>3825826.0</v>
      </c>
      <c r="B80" s="13" t="str">
        <f t="shared" si="1"/>
        <v>3825826,</v>
      </c>
    </row>
    <row r="81">
      <c r="A81" s="13">
        <v>3952041.0</v>
      </c>
      <c r="B81" s="13" t="str">
        <f t="shared" si="1"/>
        <v>3952041,</v>
      </c>
    </row>
    <row r="82">
      <c r="A82" s="13">
        <v>3275131.0</v>
      </c>
      <c r="B82" s="13" t="str">
        <f t="shared" si="1"/>
        <v>3275131,</v>
      </c>
    </row>
    <row r="83">
      <c r="A83" s="13">
        <v>4018525.0</v>
      </c>
      <c r="B83" s="13" t="str">
        <f t="shared" si="1"/>
        <v>4018525,</v>
      </c>
    </row>
    <row r="84">
      <c r="A84" s="13">
        <v>3947422.0</v>
      </c>
      <c r="B84" s="13" t="str">
        <f t="shared" si="1"/>
        <v>3947422,</v>
      </c>
    </row>
    <row r="85">
      <c r="A85" s="13">
        <v>3782339.0</v>
      </c>
      <c r="B85" s="13" t="str">
        <f t="shared" si="1"/>
        <v>3782339,</v>
      </c>
    </row>
    <row r="86">
      <c r="A86" s="13">
        <v>3938002.0</v>
      </c>
      <c r="B86" s="13" t="str">
        <f t="shared" si="1"/>
        <v>3938002,</v>
      </c>
    </row>
    <row r="87">
      <c r="A87" s="13">
        <v>4011251.0</v>
      </c>
      <c r="B87" s="13" t="str">
        <f t="shared" si="1"/>
        <v>4011251,</v>
      </c>
    </row>
    <row r="88">
      <c r="A88" s="13">
        <v>3958943.0</v>
      </c>
      <c r="B88" s="13" t="str">
        <f t="shared" si="1"/>
        <v>3958943,</v>
      </c>
    </row>
    <row r="89">
      <c r="A89" s="13">
        <v>3959338.0</v>
      </c>
      <c r="B89" s="13" t="str">
        <f t="shared" si="1"/>
        <v>3959338,</v>
      </c>
    </row>
    <row r="90">
      <c r="A90" s="13">
        <v>3987123.0</v>
      </c>
      <c r="B90" s="13" t="str">
        <f t="shared" si="1"/>
        <v>3987123,</v>
      </c>
    </row>
    <row r="91">
      <c r="A91" s="13">
        <v>4010351.0</v>
      </c>
      <c r="B91" s="13" t="str">
        <f t="shared" si="1"/>
        <v>4010351,</v>
      </c>
    </row>
    <row r="92">
      <c r="A92" s="13">
        <v>3991830.0</v>
      </c>
      <c r="B92" s="13" t="str">
        <f t="shared" si="1"/>
        <v>3991830,</v>
      </c>
    </row>
    <row r="93">
      <c r="A93" s="13">
        <v>4011819.0</v>
      </c>
      <c r="B93" s="13" t="str">
        <f t="shared" si="1"/>
        <v>4011819,</v>
      </c>
    </row>
    <row r="94">
      <c r="A94" s="13">
        <v>4027648.0</v>
      </c>
      <c r="B94" s="13" t="str">
        <f t="shared" si="1"/>
        <v>4027648,</v>
      </c>
    </row>
    <row r="95">
      <c r="A95" s="13">
        <v>3993022.0</v>
      </c>
      <c r="B95" s="13" t="str">
        <f t="shared" si="1"/>
        <v>3993022,</v>
      </c>
    </row>
    <row r="96">
      <c r="A96" s="13">
        <v>3997416.0</v>
      </c>
      <c r="B96" s="13" t="str">
        <f t="shared" si="1"/>
        <v>3997416,</v>
      </c>
    </row>
    <row r="97">
      <c r="A97" s="13">
        <v>4044926.0</v>
      </c>
      <c r="B97" s="13" t="str">
        <f t="shared" si="1"/>
        <v>4044926,</v>
      </c>
    </row>
    <row r="98">
      <c r="A98" s="13">
        <v>4038405.0</v>
      </c>
      <c r="B98" s="13" t="str">
        <f t="shared" si="1"/>
        <v>4038405,</v>
      </c>
    </row>
    <row r="99">
      <c r="A99" s="13">
        <v>4039652.0</v>
      </c>
      <c r="B99" s="13" t="str">
        <f t="shared" si="1"/>
        <v>4039652,</v>
      </c>
    </row>
    <row r="100">
      <c r="A100" s="13">
        <v>4008827.0</v>
      </c>
      <c r="B100" s="13" t="str">
        <f t="shared" si="1"/>
        <v>4008827,</v>
      </c>
    </row>
    <row r="101">
      <c r="A101" s="13">
        <v>4030970.0</v>
      </c>
      <c r="B101" s="13" t="str">
        <f t="shared" si="1"/>
        <v>4030970,</v>
      </c>
    </row>
    <row r="102">
      <c r="A102" s="13">
        <v>4064786.0</v>
      </c>
      <c r="B102" s="13" t="str">
        <f t="shared" si="1"/>
        <v>4064786,</v>
      </c>
    </row>
    <row r="103">
      <c r="A103" s="13">
        <v>4068848.0</v>
      </c>
      <c r="B103" s="13" t="str">
        <f t="shared" si="1"/>
        <v>4068848,</v>
      </c>
    </row>
    <row r="104">
      <c r="A104" s="13">
        <v>3328212.0</v>
      </c>
      <c r="B104" s="13" t="str">
        <f t="shared" si="1"/>
        <v>3328212,</v>
      </c>
    </row>
    <row r="105">
      <c r="A105" s="13">
        <v>4031755.0</v>
      </c>
      <c r="B105" s="13" t="str">
        <f t="shared" si="1"/>
        <v>4031755,</v>
      </c>
    </row>
    <row r="106">
      <c r="A106" s="13">
        <v>2402714.0</v>
      </c>
      <c r="B106" s="13" t="str">
        <f t="shared" si="1"/>
        <v>2402714,</v>
      </c>
    </row>
    <row r="107">
      <c r="A107" s="13">
        <v>4180991.0</v>
      </c>
      <c r="B107" s="13" t="str">
        <f t="shared" si="1"/>
        <v>4180991,</v>
      </c>
    </row>
    <row r="108">
      <c r="A108" s="13">
        <v>100325.0</v>
      </c>
      <c r="B108" s="13" t="str">
        <f t="shared" si="1"/>
        <v>100325,</v>
      </c>
    </row>
    <row r="109">
      <c r="A109" s="13">
        <v>1838093.0</v>
      </c>
      <c r="B109" s="13" t="str">
        <f t="shared" si="1"/>
        <v>1838093,</v>
      </c>
    </row>
    <row r="110">
      <c r="A110" s="13">
        <v>4011131.0</v>
      </c>
      <c r="B110" s="13" t="str">
        <f t="shared" si="1"/>
        <v>4011131,</v>
      </c>
    </row>
    <row r="111">
      <c r="A111" s="13">
        <v>2710123.0</v>
      </c>
      <c r="B111" s="13" t="str">
        <f t="shared" si="1"/>
        <v>2710123,</v>
      </c>
    </row>
    <row r="112">
      <c r="A112" s="13">
        <v>4222088.0</v>
      </c>
      <c r="B112" s="13" t="str">
        <f t="shared" si="1"/>
        <v>4222088,</v>
      </c>
    </row>
    <row r="113">
      <c r="A113" s="13">
        <v>4214998.0</v>
      </c>
      <c r="B113" s="13" t="str">
        <f t="shared" si="1"/>
        <v>4214998,</v>
      </c>
    </row>
    <row r="114">
      <c r="A114" s="13">
        <v>4221007.0</v>
      </c>
      <c r="B114" s="13" t="str">
        <f t="shared" si="1"/>
        <v>4221007,</v>
      </c>
    </row>
    <row r="115">
      <c r="A115" s="13">
        <v>4235707.0</v>
      </c>
      <c r="B115" s="13" t="str">
        <f t="shared" si="1"/>
        <v>4235707,</v>
      </c>
    </row>
    <row r="116">
      <c r="A116" s="13">
        <v>4117067.0</v>
      </c>
      <c r="B116" s="13" t="str">
        <f t="shared" si="1"/>
        <v>4117067,</v>
      </c>
    </row>
    <row r="117">
      <c r="A117" s="13">
        <v>4307473.0</v>
      </c>
      <c r="B117" s="13" t="str">
        <f t="shared" si="1"/>
        <v>4307473,</v>
      </c>
    </row>
    <row r="118">
      <c r="A118" s="13">
        <v>4068754.0</v>
      </c>
      <c r="B118" s="13" t="str">
        <f t="shared" si="1"/>
        <v>4068754,</v>
      </c>
    </row>
    <row r="119">
      <c r="A119" s="13">
        <v>4099073.0</v>
      </c>
      <c r="B119" s="13" t="str">
        <f t="shared" si="1"/>
        <v>4099073,</v>
      </c>
    </row>
    <row r="120">
      <c r="A120" s="13">
        <v>4134744.0</v>
      </c>
      <c r="B120" s="13" t="str">
        <f t="shared" si="1"/>
        <v>4134744,</v>
      </c>
    </row>
    <row r="121">
      <c r="A121" s="13">
        <v>4263325.0</v>
      </c>
      <c r="B121" s="13" t="str">
        <f t="shared" si="1"/>
        <v>4263325,</v>
      </c>
    </row>
    <row r="122">
      <c r="A122" s="13">
        <v>4255268.0</v>
      </c>
      <c r="B122" s="13" t="str">
        <f t="shared" si="1"/>
        <v>4255268,</v>
      </c>
    </row>
    <row r="123">
      <c r="A123" s="13">
        <v>4233905.0</v>
      </c>
      <c r="B123" s="13" t="str">
        <f t="shared" si="1"/>
        <v>4233905,</v>
      </c>
    </row>
    <row r="124">
      <c r="A124" s="13">
        <v>4239920.0</v>
      </c>
      <c r="B124" s="13" t="str">
        <f t="shared" si="1"/>
        <v>4239920,</v>
      </c>
    </row>
    <row r="125">
      <c r="A125" s="13">
        <v>4239966.0</v>
      </c>
      <c r="B125" s="13" t="str">
        <f t="shared" si="1"/>
        <v>4239966,</v>
      </c>
    </row>
    <row r="126">
      <c r="A126" s="13">
        <v>4239924.0</v>
      </c>
      <c r="B126" s="13" t="str">
        <f t="shared" si="1"/>
        <v>4239924,</v>
      </c>
    </row>
    <row r="127">
      <c r="A127" s="13">
        <v>4239927.0</v>
      </c>
      <c r="B127" s="13" t="str">
        <f t="shared" si="1"/>
        <v>4239927,</v>
      </c>
    </row>
    <row r="128">
      <c r="A128" s="13">
        <v>4266723.0</v>
      </c>
      <c r="B128" s="13" t="str">
        <f t="shared" si="1"/>
        <v>4266723,</v>
      </c>
    </row>
    <row r="129">
      <c r="A129" s="13">
        <v>4254984.0</v>
      </c>
      <c r="B129" s="13" t="str">
        <f t="shared" si="1"/>
        <v>4254984,</v>
      </c>
    </row>
    <row r="130">
      <c r="A130" s="13">
        <v>4239923.0</v>
      </c>
      <c r="B130" s="13" t="str">
        <f t="shared" si="1"/>
        <v>4239923,</v>
      </c>
    </row>
    <row r="131">
      <c r="A131" s="13">
        <v>4294933.0</v>
      </c>
      <c r="B131" s="13" t="str">
        <f t="shared" si="1"/>
        <v>4294933,</v>
      </c>
    </row>
    <row r="132">
      <c r="A132" s="13">
        <v>4220322.0</v>
      </c>
      <c r="B132" s="13" t="str">
        <f t="shared" si="1"/>
        <v>4220322,</v>
      </c>
    </row>
    <row r="133">
      <c r="A133" s="13">
        <v>3869676.0</v>
      </c>
      <c r="B133" s="13" t="str">
        <f t="shared" si="1"/>
        <v>3869676,</v>
      </c>
    </row>
    <row r="134">
      <c r="A134" s="13">
        <v>4277302.0</v>
      </c>
      <c r="B134" s="13" t="str">
        <f t="shared" si="1"/>
        <v>4277302,</v>
      </c>
    </row>
    <row r="135">
      <c r="A135" s="13">
        <v>4277306.0</v>
      </c>
      <c r="B135" s="13" t="str">
        <f t="shared" si="1"/>
        <v>4277306,</v>
      </c>
    </row>
    <row r="136">
      <c r="A136" s="13">
        <v>4301071.0</v>
      </c>
      <c r="B136" s="13" t="str">
        <f t="shared" si="1"/>
        <v>4301071,</v>
      </c>
    </row>
    <row r="137">
      <c r="A137" s="13">
        <v>4069142.0</v>
      </c>
      <c r="B137" s="13" t="str">
        <f t="shared" si="1"/>
        <v>4069142,</v>
      </c>
    </row>
    <row r="138">
      <c r="A138" s="13">
        <v>4096547.0</v>
      </c>
      <c r="B138" s="13" t="str">
        <f t="shared" si="1"/>
        <v>4096547,</v>
      </c>
    </row>
    <row r="139">
      <c r="A139" s="13">
        <v>4176631.0</v>
      </c>
      <c r="B139" s="13" t="str">
        <f t="shared" si="1"/>
        <v>4176631,</v>
      </c>
    </row>
    <row r="140">
      <c r="A140" s="13">
        <v>3265302.0</v>
      </c>
      <c r="B140" s="13" t="str">
        <f t="shared" si="1"/>
        <v>3265302,</v>
      </c>
    </row>
    <row r="141">
      <c r="A141" s="13">
        <v>4140778.0</v>
      </c>
      <c r="B141" s="13" t="str">
        <f t="shared" si="1"/>
        <v>4140778,</v>
      </c>
    </row>
    <row r="142">
      <c r="A142" s="13">
        <v>4140768.0</v>
      </c>
      <c r="B142" s="13" t="str">
        <f t="shared" si="1"/>
        <v>4140768,</v>
      </c>
    </row>
    <row r="143">
      <c r="A143" s="13">
        <v>4140709.0</v>
      </c>
      <c r="B143" s="13" t="str">
        <f t="shared" si="1"/>
        <v>4140709,</v>
      </c>
    </row>
    <row r="144">
      <c r="A144" s="13">
        <v>4140775.0</v>
      </c>
      <c r="B144" s="13" t="str">
        <f t="shared" si="1"/>
        <v>4140775,</v>
      </c>
    </row>
    <row r="145">
      <c r="A145" s="13">
        <v>4136517.0</v>
      </c>
      <c r="B145" s="13" t="str">
        <f t="shared" si="1"/>
        <v>4136517,</v>
      </c>
    </row>
    <row r="146">
      <c r="A146" s="13">
        <v>3090633.0</v>
      </c>
      <c r="B146" s="13" t="str">
        <f t="shared" si="1"/>
        <v>3090633,</v>
      </c>
    </row>
    <row r="147">
      <c r="A147" s="13">
        <v>4287245.0</v>
      </c>
      <c r="B147" s="13" t="str">
        <f t="shared" si="1"/>
        <v>4287245,</v>
      </c>
    </row>
    <row r="148">
      <c r="A148" s="13">
        <v>4125771.0</v>
      </c>
      <c r="B148" s="13" t="str">
        <f t="shared" si="1"/>
        <v>4125771,</v>
      </c>
    </row>
    <row r="149">
      <c r="A149" s="13">
        <v>3499607.0</v>
      </c>
      <c r="B149" s="13" t="str">
        <f t="shared" si="1"/>
        <v>3499607,</v>
      </c>
    </row>
    <row r="150">
      <c r="A150" s="13">
        <v>4269437.0</v>
      </c>
      <c r="B150" s="13" t="str">
        <f t="shared" si="1"/>
        <v>4269437,</v>
      </c>
    </row>
    <row r="151">
      <c r="A151" s="13">
        <v>4299558.0</v>
      </c>
      <c r="B151" s="13" t="str">
        <f t="shared" si="1"/>
        <v>4299558,</v>
      </c>
    </row>
    <row r="152">
      <c r="A152" s="13">
        <v>4369936.0</v>
      </c>
      <c r="B152" s="13" t="str">
        <f t="shared" si="1"/>
        <v>4369936,</v>
      </c>
    </row>
    <row r="153">
      <c r="A153" s="13">
        <v>4247210.0</v>
      </c>
      <c r="B153" s="13" t="str">
        <f t="shared" si="1"/>
        <v>4247210,</v>
      </c>
    </row>
    <row r="154">
      <c r="A154" s="13">
        <v>4271562.0</v>
      </c>
      <c r="B154" s="13" t="str">
        <f t="shared" si="1"/>
        <v>4271562,</v>
      </c>
    </row>
    <row r="155">
      <c r="A155" s="13">
        <v>4428477.0</v>
      </c>
      <c r="B155" s="13" t="str">
        <f t="shared" si="1"/>
        <v>4428477,</v>
      </c>
    </row>
    <row r="156">
      <c r="A156" s="13">
        <v>4509013.0</v>
      </c>
      <c r="B156" s="13" t="str">
        <f t="shared" si="1"/>
        <v>4509013,</v>
      </c>
    </row>
    <row r="157">
      <c r="A157" s="13">
        <v>4654585.0</v>
      </c>
      <c r="B157" s="13" t="str">
        <f t="shared" si="1"/>
        <v>4654585,</v>
      </c>
    </row>
    <row r="158">
      <c r="A158" s="13">
        <v>4136460.0</v>
      </c>
      <c r="B158" s="13" t="str">
        <f t="shared" si="1"/>
        <v>4136460,</v>
      </c>
    </row>
    <row r="159">
      <c r="A159" s="13">
        <v>2668654.0</v>
      </c>
      <c r="B159" s="13" t="str">
        <f t="shared" si="1"/>
        <v>2668654,</v>
      </c>
    </row>
    <row r="160">
      <c r="A160" s="13">
        <v>4111269.0</v>
      </c>
      <c r="B160" s="13" t="str">
        <f t="shared" si="1"/>
        <v>4111269,</v>
      </c>
    </row>
    <row r="161">
      <c r="A161" s="13">
        <v>4016001.0</v>
      </c>
      <c r="B161" s="13" t="str">
        <f t="shared" si="1"/>
        <v>4016001,</v>
      </c>
    </row>
    <row r="162">
      <c r="A162" s="13">
        <v>4161378.0</v>
      </c>
      <c r="B162" s="13" t="str">
        <f t="shared" si="1"/>
        <v>4161378,</v>
      </c>
    </row>
    <row r="163">
      <c r="A163" s="13">
        <v>4161223.0</v>
      </c>
      <c r="B163" s="13" t="str">
        <f t="shared" si="1"/>
        <v>4161223,</v>
      </c>
    </row>
    <row r="164">
      <c r="A164" s="13">
        <v>4174641.0</v>
      </c>
      <c r="B164" s="13" t="str">
        <f t="shared" si="1"/>
        <v>4174641,</v>
      </c>
    </row>
    <row r="165">
      <c r="A165" s="13">
        <v>4169152.0</v>
      </c>
      <c r="B165" s="13" t="str">
        <f t="shared" si="1"/>
        <v>4169152,</v>
      </c>
    </row>
    <row r="166">
      <c r="A166" s="13">
        <v>4172812.0</v>
      </c>
      <c r="B166" s="13" t="str">
        <f t="shared" si="1"/>
        <v>4172812,</v>
      </c>
    </row>
    <row r="167">
      <c r="A167" s="13">
        <v>3085000.0</v>
      </c>
      <c r="B167" s="13" t="str">
        <f t="shared" si="1"/>
        <v>3085000,</v>
      </c>
    </row>
    <row r="168">
      <c r="A168" s="13">
        <v>4161412.0</v>
      </c>
      <c r="B168" s="13" t="str">
        <f t="shared" si="1"/>
        <v>4161412,</v>
      </c>
    </row>
    <row r="169">
      <c r="A169" s="13">
        <v>3356399.0</v>
      </c>
      <c r="B169" s="13" t="str">
        <f t="shared" si="1"/>
        <v>3356399,</v>
      </c>
    </row>
    <row r="170">
      <c r="A170" s="13">
        <v>4166316.0</v>
      </c>
      <c r="B170" s="13" t="str">
        <f t="shared" si="1"/>
        <v>4166316,</v>
      </c>
    </row>
    <row r="171">
      <c r="A171" s="13">
        <v>3956509.0</v>
      </c>
      <c r="B171" s="13" t="str">
        <f t="shared" si="1"/>
        <v>3956509,</v>
      </c>
    </row>
    <row r="172">
      <c r="A172" s="13">
        <v>4031652.0</v>
      </c>
      <c r="B172" s="13" t="str">
        <f t="shared" si="1"/>
        <v>4031652,</v>
      </c>
    </row>
    <row r="173">
      <c r="A173" s="13">
        <v>4075965.0</v>
      </c>
      <c r="B173" s="13" t="str">
        <f t="shared" si="1"/>
        <v>4075965,</v>
      </c>
    </row>
    <row r="174">
      <c r="A174" s="13">
        <v>4079539.0</v>
      </c>
      <c r="B174" s="13" t="str">
        <f t="shared" si="1"/>
        <v>4079539,</v>
      </c>
    </row>
    <row r="175">
      <c r="A175" s="13">
        <v>4080340.0</v>
      </c>
      <c r="B175" s="13" t="str">
        <f t="shared" si="1"/>
        <v>4080340,</v>
      </c>
    </row>
    <row r="176">
      <c r="A176" s="13">
        <v>4098415.0</v>
      </c>
      <c r="B176" s="13" t="str">
        <f t="shared" si="1"/>
        <v>4098415,</v>
      </c>
    </row>
    <row r="177">
      <c r="A177" s="13">
        <v>4095111.0</v>
      </c>
      <c r="B177" s="13" t="str">
        <f t="shared" si="1"/>
        <v>4095111,</v>
      </c>
    </row>
    <row r="178">
      <c r="A178" s="13">
        <v>3024156.0</v>
      </c>
      <c r="B178" s="13" t="str">
        <f t="shared" si="1"/>
        <v>3024156,</v>
      </c>
    </row>
    <row r="179">
      <c r="A179" s="13">
        <v>4103219.0</v>
      </c>
      <c r="B179" s="13" t="str">
        <f t="shared" si="1"/>
        <v>4103219,</v>
      </c>
    </row>
    <row r="180">
      <c r="A180" s="13">
        <v>4100689.0</v>
      </c>
      <c r="B180" s="13" t="str">
        <f t="shared" si="1"/>
        <v>4100689,</v>
      </c>
    </row>
    <row r="181">
      <c r="A181" s="13">
        <v>4115795.0</v>
      </c>
      <c r="B181" s="13" t="str">
        <f t="shared" si="1"/>
        <v>4115795,</v>
      </c>
    </row>
    <row r="182">
      <c r="A182" s="13">
        <v>3707279.0</v>
      </c>
      <c r="B182" s="13" t="str">
        <f t="shared" si="1"/>
        <v>3707279,</v>
      </c>
    </row>
    <row r="183">
      <c r="A183" s="13">
        <v>4079020.0</v>
      </c>
      <c r="B183" s="13" t="str">
        <f t="shared" si="1"/>
        <v>4079020,</v>
      </c>
    </row>
    <row r="184">
      <c r="A184" s="13">
        <v>4148405.0</v>
      </c>
      <c r="B184" s="13" t="str">
        <f t="shared" si="1"/>
        <v>4148405,</v>
      </c>
    </row>
    <row r="185">
      <c r="A185" s="13">
        <v>3514759.0</v>
      </c>
      <c r="B185" s="13" t="str">
        <f t="shared" si="1"/>
        <v>3514759,</v>
      </c>
    </row>
    <row r="186">
      <c r="A186" s="13">
        <v>4162423.0</v>
      </c>
      <c r="B186" s="13" t="str">
        <f t="shared" si="1"/>
        <v>4162423,</v>
      </c>
    </row>
    <row r="187">
      <c r="A187" s="13">
        <v>4154266.0</v>
      </c>
      <c r="B187" s="13" t="str">
        <f t="shared" si="1"/>
        <v>4154266,</v>
      </c>
    </row>
    <row r="188">
      <c r="A188" s="13">
        <v>4132416.0</v>
      </c>
      <c r="B188" s="13" t="str">
        <f t="shared" si="1"/>
        <v>4132416,</v>
      </c>
    </row>
    <row r="189">
      <c r="A189" s="13">
        <v>4112463.0</v>
      </c>
      <c r="B189" s="13" t="str">
        <f t="shared" si="1"/>
        <v>4112463,</v>
      </c>
    </row>
    <row r="190">
      <c r="A190" s="13">
        <v>3543707.0</v>
      </c>
      <c r="B190" s="13" t="str">
        <f t="shared" si="1"/>
        <v>3543707,</v>
      </c>
    </row>
    <row r="191">
      <c r="A191" s="13">
        <v>4117708.0</v>
      </c>
      <c r="B191" s="13" t="str">
        <f t="shared" si="1"/>
        <v>4117708,</v>
      </c>
    </row>
    <row r="192">
      <c r="A192" s="13">
        <v>2340816.0</v>
      </c>
      <c r="B192" s="13" t="str">
        <f t="shared" si="1"/>
        <v>2340816,</v>
      </c>
    </row>
    <row r="193">
      <c r="A193" s="13">
        <v>4136952.0</v>
      </c>
      <c r="B193" s="13" t="str">
        <f t="shared" si="1"/>
        <v>4136952,</v>
      </c>
    </row>
    <row r="194">
      <c r="A194" s="13">
        <v>4107679.0</v>
      </c>
      <c r="B194" s="13" t="str">
        <f t="shared" si="1"/>
        <v>4107679,</v>
      </c>
    </row>
    <row r="195">
      <c r="A195" s="13">
        <v>4186958.0</v>
      </c>
      <c r="B195" s="13" t="str">
        <f t="shared" si="1"/>
        <v>4186958,</v>
      </c>
    </row>
    <row r="196">
      <c r="A196" s="13">
        <v>4159804.0</v>
      </c>
      <c r="B196" s="13" t="str">
        <f t="shared" si="1"/>
        <v>4159804,</v>
      </c>
    </row>
    <row r="197">
      <c r="A197" s="13">
        <v>4185373.0</v>
      </c>
      <c r="B197" s="13" t="str">
        <f t="shared" si="1"/>
        <v>4185373,</v>
      </c>
    </row>
    <row r="198">
      <c r="A198" s="13">
        <v>1938612.0</v>
      </c>
      <c r="B198" s="13" t="str">
        <f t="shared" si="1"/>
        <v>1938612,</v>
      </c>
    </row>
    <row r="199">
      <c r="A199" s="13">
        <v>4008768.0</v>
      </c>
      <c r="B199" s="13" t="str">
        <f t="shared" si="1"/>
        <v>4008768,</v>
      </c>
    </row>
    <row r="200">
      <c r="A200" s="13">
        <v>2080510.0</v>
      </c>
      <c r="B200" s="13" t="str">
        <f t="shared" si="1"/>
        <v>2080510,</v>
      </c>
    </row>
    <row r="201">
      <c r="A201" s="13">
        <v>3460424.0</v>
      </c>
      <c r="B201" s="13" t="str">
        <f t="shared" si="1"/>
        <v>3460424,</v>
      </c>
    </row>
    <row r="202">
      <c r="A202" s="13">
        <v>4112502.0</v>
      </c>
      <c r="B202" s="13" t="str">
        <f t="shared" si="1"/>
        <v>4112502,</v>
      </c>
    </row>
    <row r="203">
      <c r="A203" s="13">
        <v>4138622.0</v>
      </c>
      <c r="B203" s="13" t="str">
        <f t="shared" si="1"/>
        <v>4138622,</v>
      </c>
    </row>
    <row r="204">
      <c r="A204" s="13">
        <v>4133938.0</v>
      </c>
      <c r="B204" s="13" t="str">
        <f t="shared" si="1"/>
        <v>4133938,</v>
      </c>
    </row>
    <row r="205">
      <c r="A205" s="13">
        <v>1891978.0</v>
      </c>
      <c r="B205" s="13" t="str">
        <f t="shared" si="1"/>
        <v>1891978,</v>
      </c>
    </row>
    <row r="206">
      <c r="A206" s="13">
        <v>4208610.0</v>
      </c>
      <c r="B206" s="13" t="str">
        <f t="shared" si="1"/>
        <v>4208610,</v>
      </c>
    </row>
    <row r="207">
      <c r="A207" s="13">
        <v>4213771.0</v>
      </c>
      <c r="B207" s="13" t="str">
        <f t="shared" si="1"/>
        <v>4213771,</v>
      </c>
    </row>
    <row r="208">
      <c r="A208" s="13">
        <v>4219847.0</v>
      </c>
      <c r="B208" s="13" t="str">
        <f t="shared" si="1"/>
        <v>4219847,</v>
      </c>
    </row>
    <row r="209">
      <c r="A209" s="13">
        <v>4233333.0</v>
      </c>
      <c r="B209" s="13" t="str">
        <f t="shared" si="1"/>
        <v>4233333,</v>
      </c>
    </row>
    <row r="210">
      <c r="A210" s="13">
        <v>4213575.0</v>
      </c>
      <c r="B210" s="13" t="str">
        <f t="shared" si="1"/>
        <v>4213575,</v>
      </c>
    </row>
    <row r="211">
      <c r="A211" s="13">
        <v>4155276.0</v>
      </c>
      <c r="B211" s="13" t="str">
        <f t="shared" si="1"/>
        <v>4155276,</v>
      </c>
    </row>
    <row r="212">
      <c r="A212" s="13">
        <v>4231672.0</v>
      </c>
      <c r="B212" s="13" t="str">
        <f t="shared" si="1"/>
        <v>4231672,</v>
      </c>
    </row>
    <row r="213">
      <c r="A213" s="13">
        <v>3716437.0</v>
      </c>
      <c r="B213" s="13" t="str">
        <f t="shared" si="1"/>
        <v>3716437,</v>
      </c>
    </row>
    <row r="214">
      <c r="A214" s="13">
        <v>4245113.0</v>
      </c>
      <c r="B214" s="13" t="str">
        <f t="shared" si="1"/>
        <v>4245113,</v>
      </c>
    </row>
    <row r="215">
      <c r="A215" s="13">
        <v>4203213.0</v>
      </c>
      <c r="B215" s="13" t="str">
        <f t="shared" si="1"/>
        <v>4203213,</v>
      </c>
    </row>
    <row r="216">
      <c r="A216" s="13">
        <v>4214658.0</v>
      </c>
      <c r="B216" s="13" t="str">
        <f t="shared" si="1"/>
        <v>4214658,</v>
      </c>
    </row>
    <row r="217">
      <c r="A217" s="13">
        <v>4178047.0</v>
      </c>
      <c r="B217" s="13" t="str">
        <f t="shared" si="1"/>
        <v>4178047,</v>
      </c>
    </row>
    <row r="218">
      <c r="A218" s="13">
        <v>4248506.0</v>
      </c>
      <c r="B218" s="13" t="str">
        <f t="shared" si="1"/>
        <v>4248506,</v>
      </c>
    </row>
    <row r="219">
      <c r="A219" s="13">
        <v>4233219.0</v>
      </c>
      <c r="B219" s="13" t="str">
        <f t="shared" si="1"/>
        <v>4233219,</v>
      </c>
    </row>
    <row r="220">
      <c r="A220" s="13">
        <v>4223822.0</v>
      </c>
      <c r="B220" s="13" t="str">
        <f t="shared" si="1"/>
        <v>4223822,</v>
      </c>
    </row>
    <row r="221">
      <c r="A221" s="13">
        <v>4269343.0</v>
      </c>
      <c r="B221" s="13" t="str">
        <f t="shared" si="1"/>
        <v>4269343,</v>
      </c>
    </row>
    <row r="222">
      <c r="A222" s="13">
        <v>4175733.0</v>
      </c>
      <c r="B222" s="13" t="str">
        <f t="shared" si="1"/>
        <v>4175733,</v>
      </c>
    </row>
    <row r="223">
      <c r="A223" s="13">
        <v>4200783.0</v>
      </c>
      <c r="B223" s="13" t="str">
        <f t="shared" si="1"/>
        <v>4200783,</v>
      </c>
    </row>
    <row r="224">
      <c r="A224" s="13">
        <v>4220233.0</v>
      </c>
      <c r="B224" s="13" t="str">
        <f t="shared" si="1"/>
        <v>4220233,</v>
      </c>
    </row>
    <row r="225">
      <c r="A225" s="13">
        <v>4270780.0</v>
      </c>
      <c r="B225" s="13" t="str">
        <f t="shared" si="1"/>
        <v>4270780,</v>
      </c>
    </row>
    <row r="226">
      <c r="A226" s="13">
        <v>4271363.0</v>
      </c>
      <c r="B226" s="13" t="str">
        <f t="shared" si="1"/>
        <v>4271363,</v>
      </c>
    </row>
    <row r="227">
      <c r="A227" s="13">
        <v>4247168.0</v>
      </c>
      <c r="B227" s="13" t="str">
        <f t="shared" si="1"/>
        <v>4247168,</v>
      </c>
    </row>
    <row r="228">
      <c r="A228" s="13">
        <v>2573893.0</v>
      </c>
      <c r="B228" s="13" t="str">
        <f t="shared" si="1"/>
        <v>2573893,</v>
      </c>
    </row>
    <row r="229">
      <c r="A229" s="13">
        <v>4252854.0</v>
      </c>
      <c r="B229" s="13" t="str">
        <f t="shared" si="1"/>
        <v>4252854,</v>
      </c>
    </row>
    <row r="230">
      <c r="A230" s="13">
        <v>4268726.0</v>
      </c>
      <c r="B230" s="13" t="str">
        <f t="shared" si="1"/>
        <v>4268726,</v>
      </c>
    </row>
    <row r="231">
      <c r="A231" s="13">
        <v>4265889.0</v>
      </c>
      <c r="B231" s="13" t="str">
        <f t="shared" si="1"/>
        <v>4265889,</v>
      </c>
    </row>
    <row r="232">
      <c r="A232" s="13">
        <v>4265985.0</v>
      </c>
      <c r="B232" s="13" t="str">
        <f t="shared" si="1"/>
        <v>4265985,</v>
      </c>
    </row>
    <row r="233">
      <c r="A233" s="13">
        <v>4253915.0</v>
      </c>
      <c r="B233" s="13" t="str">
        <f t="shared" si="1"/>
        <v>4253915,</v>
      </c>
    </row>
    <row r="234">
      <c r="A234" s="13">
        <v>3221188.0</v>
      </c>
      <c r="B234" s="13" t="str">
        <f t="shared" si="1"/>
        <v>3221188,</v>
      </c>
    </row>
    <row r="235">
      <c r="A235" s="13">
        <v>4276526.0</v>
      </c>
      <c r="B235" s="13" t="str">
        <f t="shared" si="1"/>
        <v>4276526,</v>
      </c>
    </row>
    <row r="236">
      <c r="A236" s="13">
        <v>4271411.0</v>
      </c>
      <c r="B236" s="13" t="str">
        <f t="shared" si="1"/>
        <v>4271411,</v>
      </c>
    </row>
    <row r="237">
      <c r="A237" s="13">
        <v>2153287.0</v>
      </c>
      <c r="B237" s="13" t="str">
        <f t="shared" si="1"/>
        <v>2153287,</v>
      </c>
    </row>
    <row r="238">
      <c r="A238" s="13">
        <v>4302067.0</v>
      </c>
      <c r="B238" s="13" t="str">
        <f t="shared" si="1"/>
        <v>4302067,</v>
      </c>
    </row>
    <row r="239">
      <c r="A239" s="13">
        <v>4277145.0</v>
      </c>
      <c r="B239" s="13" t="str">
        <f t="shared" si="1"/>
        <v>4277145,</v>
      </c>
    </row>
    <row r="240">
      <c r="A240" s="13">
        <v>2428419.0</v>
      </c>
      <c r="B240" s="13" t="str">
        <f t="shared" si="1"/>
        <v>2428419,</v>
      </c>
    </row>
    <row r="241">
      <c r="A241" s="13">
        <v>4188267.0</v>
      </c>
      <c r="B241" s="13" t="str">
        <f t="shared" si="1"/>
        <v>4188267,</v>
      </c>
    </row>
    <row r="242">
      <c r="A242" s="13">
        <v>4143143.0</v>
      </c>
      <c r="B242" s="13" t="str">
        <f t="shared" si="1"/>
        <v>4143143,</v>
      </c>
    </row>
    <row r="243">
      <c r="A243" s="13">
        <v>4164946.0</v>
      </c>
      <c r="B243" s="13" t="str">
        <f t="shared" si="1"/>
        <v>4164946,</v>
      </c>
    </row>
    <row r="244">
      <c r="A244" s="13">
        <v>4161417.0</v>
      </c>
      <c r="B244" s="13" t="str">
        <f t="shared" si="1"/>
        <v>4161417,</v>
      </c>
    </row>
    <row r="245">
      <c r="A245" s="13">
        <v>4134562.0</v>
      </c>
      <c r="B245" s="13" t="str">
        <f t="shared" si="1"/>
        <v>4134562,</v>
      </c>
    </row>
    <row r="246">
      <c r="A246" s="13">
        <v>3333750.0</v>
      </c>
      <c r="B246" s="13" t="str">
        <f t="shared" si="1"/>
        <v>3333750,</v>
      </c>
    </row>
    <row r="247">
      <c r="A247" s="13">
        <v>4477095.0</v>
      </c>
      <c r="B247" s="13" t="str">
        <f t="shared" si="1"/>
        <v>4477095,</v>
      </c>
    </row>
    <row r="248">
      <c r="A248" s="13">
        <v>1995033.0</v>
      </c>
      <c r="B248" s="13" t="str">
        <f t="shared" si="1"/>
        <v>1995033,</v>
      </c>
    </row>
    <row r="249">
      <c r="A249" s="13">
        <v>4272922.0</v>
      </c>
      <c r="B249" s="13" t="str">
        <f t="shared" si="1"/>
        <v>4272922,</v>
      </c>
    </row>
    <row r="250">
      <c r="A250" s="13">
        <v>4101042.0</v>
      </c>
      <c r="B250" s="13" t="str">
        <f t="shared" si="1"/>
        <v>4101042,</v>
      </c>
    </row>
    <row r="251">
      <c r="A251" s="13">
        <v>4308093.0</v>
      </c>
      <c r="B251" s="13" t="str">
        <f t="shared" si="1"/>
        <v>4308093,</v>
      </c>
    </row>
    <row r="252">
      <c r="A252" s="13">
        <v>47426.0</v>
      </c>
      <c r="B252" s="13" t="str">
        <f t="shared" si="1"/>
        <v>47426,</v>
      </c>
    </row>
    <row r="253">
      <c r="A253" s="13">
        <v>4283232.0</v>
      </c>
      <c r="B253" s="13" t="str">
        <f t="shared" si="1"/>
        <v>4283232,</v>
      </c>
    </row>
    <row r="254">
      <c r="A254" s="13">
        <v>4327510.0</v>
      </c>
      <c r="B254" s="13" t="str">
        <f t="shared" si="1"/>
        <v>4327510,</v>
      </c>
    </row>
    <row r="255">
      <c r="A255" s="13">
        <v>3408624.0</v>
      </c>
      <c r="B255" s="13" t="str">
        <f t="shared" si="1"/>
        <v>3408624,</v>
      </c>
    </row>
    <row r="256">
      <c r="A256" s="13">
        <v>4314059.0</v>
      </c>
      <c r="B256" s="13" t="str">
        <f t="shared" si="1"/>
        <v>4314059,</v>
      </c>
    </row>
    <row r="257">
      <c r="A257" s="13">
        <v>4318853.0</v>
      </c>
      <c r="B257" s="13" t="str">
        <f t="shared" si="1"/>
        <v>4318853,</v>
      </c>
    </row>
    <row r="258">
      <c r="A258" s="13">
        <v>4342016.0</v>
      </c>
      <c r="B258" s="13" t="str">
        <f t="shared" si="1"/>
        <v>4342016,</v>
      </c>
    </row>
    <row r="259">
      <c r="A259" s="13">
        <v>4345385.0</v>
      </c>
      <c r="B259" s="13" t="str">
        <f t="shared" si="1"/>
        <v>4345385,</v>
      </c>
    </row>
    <row r="260">
      <c r="A260" s="13">
        <v>4380860.0</v>
      </c>
      <c r="B260" s="13" t="str">
        <f t="shared" si="1"/>
        <v>4380860,</v>
      </c>
    </row>
    <row r="261">
      <c r="A261" s="13">
        <v>4309608.0</v>
      </c>
      <c r="B261" s="13" t="str">
        <f t="shared" si="1"/>
        <v>4309608,</v>
      </c>
    </row>
    <row r="262">
      <c r="A262" s="13">
        <v>4177905.0</v>
      </c>
      <c r="B262" s="13" t="str">
        <f t="shared" si="1"/>
        <v>4177905,</v>
      </c>
    </row>
    <row r="263">
      <c r="A263" s="13">
        <v>4174961.0</v>
      </c>
      <c r="B263" s="13" t="str">
        <f t="shared" si="1"/>
        <v>4174961,</v>
      </c>
    </row>
    <row r="264">
      <c r="A264" s="13">
        <v>2927825.0</v>
      </c>
      <c r="B264" s="13" t="str">
        <f t="shared" si="1"/>
        <v>2927825,</v>
      </c>
    </row>
    <row r="265">
      <c r="A265" s="13">
        <v>3777388.0</v>
      </c>
      <c r="B265" s="13" t="str">
        <f t="shared" si="1"/>
        <v>3777388,</v>
      </c>
    </row>
    <row r="266">
      <c r="A266" s="13">
        <v>4334745.0</v>
      </c>
      <c r="B266" s="13" t="str">
        <f t="shared" si="1"/>
        <v>4334745,</v>
      </c>
    </row>
    <row r="267">
      <c r="A267" s="13">
        <v>4359669.0</v>
      </c>
      <c r="B267" s="13" t="str">
        <f t="shared" si="1"/>
        <v>4359669,</v>
      </c>
    </row>
    <row r="268">
      <c r="A268" s="13">
        <v>4331215.0</v>
      </c>
      <c r="B268" s="13" t="str">
        <f t="shared" si="1"/>
        <v>4331215,</v>
      </c>
    </row>
    <row r="269">
      <c r="A269" s="13">
        <v>4315944.0</v>
      </c>
      <c r="B269" s="13" t="str">
        <f t="shared" si="1"/>
        <v>4315944,</v>
      </c>
    </row>
    <row r="270">
      <c r="A270" s="13">
        <v>4339749.0</v>
      </c>
      <c r="B270" s="13" t="str">
        <f t="shared" si="1"/>
        <v>4339749,</v>
      </c>
    </row>
    <row r="271">
      <c r="A271" s="13">
        <v>4359494.0</v>
      </c>
      <c r="B271" s="13" t="str">
        <f t="shared" si="1"/>
        <v>4359494,</v>
      </c>
    </row>
    <row r="272">
      <c r="A272" s="13">
        <v>4383851.0</v>
      </c>
      <c r="B272" s="13" t="str">
        <f t="shared" si="1"/>
        <v>4383851,</v>
      </c>
    </row>
    <row r="273">
      <c r="A273" s="13">
        <v>4178150.0</v>
      </c>
      <c r="B273" s="13" t="str">
        <f t="shared" si="1"/>
        <v>4178150,</v>
      </c>
    </row>
    <row r="274">
      <c r="A274" s="13">
        <v>4359265.0</v>
      </c>
      <c r="B274" s="13" t="str">
        <f t="shared" si="1"/>
        <v>4359265,</v>
      </c>
    </row>
    <row r="275">
      <c r="A275" s="13">
        <v>4310103.0</v>
      </c>
      <c r="B275" s="13" t="str">
        <f t="shared" si="1"/>
        <v>4310103,</v>
      </c>
    </row>
    <row r="276">
      <c r="A276" s="13">
        <v>4410846.0</v>
      </c>
      <c r="B276" s="13" t="str">
        <f t="shared" si="1"/>
        <v>4410846,</v>
      </c>
    </row>
    <row r="277">
      <c r="A277" s="13">
        <v>4378644.0</v>
      </c>
      <c r="B277" s="13" t="str">
        <f t="shared" si="1"/>
        <v>4378644,</v>
      </c>
    </row>
    <row r="278">
      <c r="A278" s="13">
        <v>4359468.0</v>
      </c>
      <c r="B278" s="13" t="str">
        <f t="shared" si="1"/>
        <v>4359468,</v>
      </c>
    </row>
    <row r="279">
      <c r="A279" s="13">
        <v>4405027.0</v>
      </c>
      <c r="B279" s="13" t="str">
        <f t="shared" si="1"/>
        <v>4405027,</v>
      </c>
    </row>
    <row r="280">
      <c r="A280" s="13">
        <v>4404380.0</v>
      </c>
      <c r="B280" s="13" t="str">
        <f t="shared" si="1"/>
        <v>4404380,</v>
      </c>
    </row>
    <row r="281">
      <c r="A281" s="13">
        <v>4442279.0</v>
      </c>
      <c r="B281" s="13" t="str">
        <f t="shared" si="1"/>
        <v>4442279,</v>
      </c>
    </row>
    <row r="282">
      <c r="A282" s="13">
        <v>4443037.0</v>
      </c>
      <c r="B282" s="13" t="str">
        <f t="shared" si="1"/>
        <v>4443037,</v>
      </c>
    </row>
    <row r="283">
      <c r="A283" s="13">
        <v>4400582.0</v>
      </c>
      <c r="B283" s="13" t="str">
        <f t="shared" si="1"/>
        <v>4400582,</v>
      </c>
    </row>
    <row r="284">
      <c r="A284" s="13">
        <v>4410826.0</v>
      </c>
      <c r="B284" s="13" t="str">
        <f t="shared" si="1"/>
        <v>4410826,</v>
      </c>
    </row>
    <row r="285">
      <c r="A285" s="13">
        <v>4410778.0</v>
      </c>
      <c r="B285" s="13" t="str">
        <f t="shared" si="1"/>
        <v>4410778,</v>
      </c>
    </row>
    <row r="286">
      <c r="A286" s="13">
        <v>4356919.0</v>
      </c>
      <c r="B286" s="13" t="str">
        <f t="shared" si="1"/>
        <v>4356919,</v>
      </c>
    </row>
    <row r="287">
      <c r="A287" s="13">
        <v>4328946.0</v>
      </c>
      <c r="B287" s="13" t="str">
        <f t="shared" si="1"/>
        <v>4328946,</v>
      </c>
    </row>
    <row r="288">
      <c r="A288" s="13">
        <v>4371075.0</v>
      </c>
      <c r="B288" s="13" t="str">
        <f t="shared" si="1"/>
        <v>4371075,</v>
      </c>
    </row>
    <row r="289">
      <c r="A289" s="13">
        <v>4462029.0</v>
      </c>
      <c r="B289" s="13" t="str">
        <f t="shared" si="1"/>
        <v>4462029,</v>
      </c>
    </row>
    <row r="290">
      <c r="A290" s="13">
        <v>4489894.0</v>
      </c>
      <c r="B290" s="13" t="str">
        <f t="shared" si="1"/>
        <v>4489894,</v>
      </c>
    </row>
    <row r="291">
      <c r="A291" s="13">
        <v>4181210.0</v>
      </c>
      <c r="B291" s="13" t="str">
        <f t="shared" si="1"/>
        <v>4181210,</v>
      </c>
    </row>
    <row r="292">
      <c r="A292" s="13">
        <v>4485019.0</v>
      </c>
      <c r="B292" s="13" t="str">
        <f t="shared" si="1"/>
        <v>4485019,</v>
      </c>
    </row>
    <row r="293">
      <c r="A293" s="13">
        <v>4456847.0</v>
      </c>
      <c r="B293" s="13" t="str">
        <f t="shared" si="1"/>
        <v>4456847,</v>
      </c>
    </row>
    <row r="294">
      <c r="A294" s="13">
        <v>4484079.0</v>
      </c>
      <c r="B294" s="13" t="str">
        <f t="shared" si="1"/>
        <v>4484079,</v>
      </c>
    </row>
    <row r="295">
      <c r="A295" s="13">
        <v>4520936.0</v>
      </c>
      <c r="B295" s="13" t="str">
        <f t="shared" si="1"/>
        <v>4520936,</v>
      </c>
    </row>
    <row r="296">
      <c r="A296" s="13">
        <v>4474354.0</v>
      </c>
      <c r="B296" s="13" t="str">
        <f t="shared" si="1"/>
        <v>4474354,</v>
      </c>
    </row>
    <row r="297">
      <c r="A297" s="13">
        <v>4367158.0</v>
      </c>
      <c r="B297" s="13" t="str">
        <f t="shared" si="1"/>
        <v>4367158,</v>
      </c>
    </row>
    <row r="298">
      <c r="A298" s="13">
        <v>4522341.0</v>
      </c>
      <c r="B298" s="13" t="str">
        <f t="shared" si="1"/>
        <v>4522341,</v>
      </c>
    </row>
    <row r="299">
      <c r="A299" s="13">
        <v>4521114.0</v>
      </c>
      <c r="B299" s="13" t="str">
        <f t="shared" si="1"/>
        <v>4521114,</v>
      </c>
    </row>
    <row r="300">
      <c r="A300" s="13">
        <v>4521121.0</v>
      </c>
      <c r="B300" s="13" t="str">
        <f t="shared" si="1"/>
        <v>4521121,</v>
      </c>
    </row>
    <row r="301">
      <c r="A301" s="13">
        <v>2967694.0</v>
      </c>
      <c r="B301" s="13" t="str">
        <f t="shared" si="1"/>
        <v>2967694,</v>
      </c>
    </row>
    <row r="302">
      <c r="A302" s="13"/>
      <c r="B302" s="13" t="str">
        <f t="shared" si="1"/>
        <v>,</v>
      </c>
    </row>
    <row r="303">
      <c r="B303" s="13" t="str">
        <f t="shared" si="1"/>
        <v>,</v>
      </c>
    </row>
    <row r="304">
      <c r="B304" s="13" t="str">
        <f t="shared" si="1"/>
        <v>,</v>
      </c>
    </row>
    <row r="305">
      <c r="B305" s="13" t="str">
        <f t="shared" si="1"/>
        <v>,</v>
      </c>
    </row>
    <row r="306">
      <c r="B306" s="13" t="str">
        <f t="shared" si="1"/>
        <v>,</v>
      </c>
    </row>
    <row r="307">
      <c r="B307" s="13" t="str">
        <f t="shared" si="1"/>
        <v>,</v>
      </c>
    </row>
    <row r="308">
      <c r="B308" s="13" t="str">
        <f t="shared" si="1"/>
        <v>,</v>
      </c>
    </row>
    <row r="309">
      <c r="B309" s="13" t="str">
        <f t="shared" si="1"/>
        <v>,</v>
      </c>
    </row>
    <row r="310">
      <c r="B310" s="13" t="str">
        <f t="shared" si="1"/>
        <v>,</v>
      </c>
    </row>
    <row r="311">
      <c r="B311" s="13" t="str">
        <f t="shared" si="1"/>
        <v>,</v>
      </c>
    </row>
    <row r="312">
      <c r="B312" s="13" t="str">
        <f t="shared" si="1"/>
        <v>,</v>
      </c>
    </row>
    <row r="313">
      <c r="B313" s="13" t="str">
        <f t="shared" si="1"/>
        <v>,</v>
      </c>
    </row>
    <row r="314">
      <c r="B314" s="13" t="str">
        <f t="shared" si="1"/>
        <v>,</v>
      </c>
    </row>
    <row r="315">
      <c r="B315" s="13" t="str">
        <f t="shared" si="1"/>
        <v>,</v>
      </c>
    </row>
    <row r="316">
      <c r="B316" s="13" t="str">
        <f t="shared" si="1"/>
        <v>,</v>
      </c>
    </row>
    <row r="317">
      <c r="B317" s="13" t="str">
        <f t="shared" si="1"/>
        <v>,</v>
      </c>
    </row>
    <row r="318">
      <c r="B318" s="13" t="str">
        <f t="shared" si="1"/>
        <v>,</v>
      </c>
    </row>
    <row r="319">
      <c r="B319" s="13" t="str">
        <f t="shared" si="1"/>
        <v>,</v>
      </c>
    </row>
    <row r="320">
      <c r="B320" s="13" t="str">
        <f t="shared" si="1"/>
        <v>,</v>
      </c>
    </row>
    <row r="321">
      <c r="B321" s="13" t="str">
        <f t="shared" si="1"/>
        <v>,</v>
      </c>
    </row>
    <row r="322">
      <c r="B322" s="13" t="str">
        <f t="shared" si="1"/>
        <v>,</v>
      </c>
    </row>
    <row r="323">
      <c r="B323" s="13" t="str">
        <f t="shared" si="1"/>
        <v>,</v>
      </c>
    </row>
    <row r="324">
      <c r="B324" s="13" t="str">
        <f t="shared" si="1"/>
        <v>,</v>
      </c>
    </row>
    <row r="325">
      <c r="B325" s="13" t="str">
        <f t="shared" si="1"/>
        <v>,</v>
      </c>
    </row>
    <row r="326">
      <c r="B326" s="13" t="str">
        <f t="shared" si="1"/>
        <v>,</v>
      </c>
    </row>
    <row r="327">
      <c r="B327" s="13" t="str">
        <f t="shared" si="1"/>
        <v>,</v>
      </c>
    </row>
    <row r="328">
      <c r="B328" s="13" t="str">
        <f t="shared" si="1"/>
        <v>,</v>
      </c>
    </row>
    <row r="329">
      <c r="B329" s="13" t="str">
        <f t="shared" si="1"/>
        <v>,</v>
      </c>
    </row>
    <row r="330">
      <c r="B330" s="13" t="str">
        <f t="shared" si="1"/>
        <v>,</v>
      </c>
    </row>
    <row r="331">
      <c r="B331" s="13" t="str">
        <f t="shared" si="1"/>
        <v>,</v>
      </c>
    </row>
    <row r="332">
      <c r="B332" s="13" t="str">
        <f t="shared" si="1"/>
        <v>,</v>
      </c>
    </row>
    <row r="333">
      <c r="B333" s="13" t="str">
        <f t="shared" si="1"/>
        <v>,</v>
      </c>
    </row>
    <row r="334">
      <c r="B334" s="13" t="str">
        <f t="shared" si="1"/>
        <v>,</v>
      </c>
    </row>
    <row r="335">
      <c r="B335" s="13" t="str">
        <f t="shared" si="1"/>
        <v>,</v>
      </c>
    </row>
    <row r="336">
      <c r="B336" s="13" t="str">
        <f t="shared" si="1"/>
        <v>,</v>
      </c>
    </row>
    <row r="337">
      <c r="B337" s="13" t="str">
        <f t="shared" si="1"/>
        <v>,</v>
      </c>
    </row>
    <row r="338">
      <c r="B338" s="13" t="str">
        <f t="shared" si="1"/>
        <v>,</v>
      </c>
    </row>
    <row r="339">
      <c r="B339" s="13" t="str">
        <f t="shared" si="1"/>
        <v>,</v>
      </c>
    </row>
    <row r="340">
      <c r="B340" s="13" t="str">
        <f t="shared" si="1"/>
        <v>,</v>
      </c>
    </row>
    <row r="341">
      <c r="B341" s="13" t="str">
        <f t="shared" si="1"/>
        <v>,</v>
      </c>
    </row>
    <row r="342">
      <c r="B342" s="13" t="str">
        <f t="shared" si="1"/>
        <v>,</v>
      </c>
    </row>
    <row r="343">
      <c r="B343" s="13" t="str">
        <f t="shared" si="1"/>
        <v>,</v>
      </c>
    </row>
    <row r="344">
      <c r="B344" s="13" t="str">
        <f t="shared" si="1"/>
        <v>,</v>
      </c>
    </row>
    <row r="345">
      <c r="B345" s="13" t="str">
        <f t="shared" si="1"/>
        <v>,</v>
      </c>
    </row>
    <row r="346">
      <c r="B346" s="13" t="str">
        <f t="shared" si="1"/>
        <v>,</v>
      </c>
    </row>
    <row r="347">
      <c r="B347" s="13" t="str">
        <f t="shared" si="1"/>
        <v>,</v>
      </c>
    </row>
    <row r="348">
      <c r="B348" s="13" t="str">
        <f t="shared" si="1"/>
        <v>,</v>
      </c>
    </row>
    <row r="349">
      <c r="B349" s="13" t="str">
        <f t="shared" si="1"/>
        <v>,</v>
      </c>
    </row>
    <row r="350">
      <c r="B350" s="13" t="str">
        <f t="shared" si="1"/>
        <v>,</v>
      </c>
    </row>
    <row r="351">
      <c r="B351" s="13" t="str">
        <f t="shared" si="1"/>
        <v>,</v>
      </c>
    </row>
    <row r="352">
      <c r="B352" s="13" t="str">
        <f t="shared" si="1"/>
        <v>,</v>
      </c>
    </row>
    <row r="353">
      <c r="B353" s="13" t="str">
        <f t="shared" si="1"/>
        <v>,</v>
      </c>
    </row>
    <row r="354">
      <c r="B354" s="13" t="str">
        <f t="shared" si="1"/>
        <v>,</v>
      </c>
    </row>
    <row r="355">
      <c r="B355" s="13" t="str">
        <f t="shared" si="1"/>
        <v>,</v>
      </c>
    </row>
    <row r="356">
      <c r="B356" s="13" t="str">
        <f t="shared" si="1"/>
        <v>,</v>
      </c>
    </row>
    <row r="357">
      <c r="B357" s="13" t="str">
        <f t="shared" si="1"/>
        <v>,</v>
      </c>
    </row>
    <row r="358">
      <c r="B358" s="13" t="str">
        <f t="shared" si="1"/>
        <v>,</v>
      </c>
    </row>
    <row r="359">
      <c r="B359" s="13" t="str">
        <f t="shared" si="1"/>
        <v>,</v>
      </c>
    </row>
    <row r="360">
      <c r="B360" s="13" t="str">
        <f t="shared" si="1"/>
        <v>,</v>
      </c>
    </row>
    <row r="361">
      <c r="B361" s="13" t="str">
        <f t="shared" si="1"/>
        <v>,</v>
      </c>
    </row>
    <row r="362">
      <c r="B362" s="13" t="str">
        <f t="shared" si="1"/>
        <v>,</v>
      </c>
    </row>
    <row r="363">
      <c r="B363" s="13" t="str">
        <f t="shared" si="1"/>
        <v>,</v>
      </c>
    </row>
    <row r="364">
      <c r="B364" s="13" t="str">
        <f t="shared" si="1"/>
        <v>,</v>
      </c>
    </row>
    <row r="365">
      <c r="B365" s="13" t="str">
        <f t="shared" si="1"/>
        <v>,</v>
      </c>
    </row>
    <row r="366">
      <c r="B366" s="13" t="str">
        <f t="shared" si="1"/>
        <v>,</v>
      </c>
    </row>
    <row r="367">
      <c r="B367" s="13" t="str">
        <f t="shared" si="1"/>
        <v>,</v>
      </c>
    </row>
    <row r="368">
      <c r="B368" s="13" t="str">
        <f t="shared" si="1"/>
        <v>,</v>
      </c>
    </row>
    <row r="369">
      <c r="B369" s="13" t="str">
        <f t="shared" si="1"/>
        <v>,</v>
      </c>
    </row>
    <row r="370">
      <c r="B370" s="13" t="str">
        <f t="shared" si="1"/>
        <v>,</v>
      </c>
    </row>
    <row r="371">
      <c r="B371" s="13" t="str">
        <f t="shared" si="1"/>
        <v>,</v>
      </c>
    </row>
    <row r="372">
      <c r="B372" s="13" t="str">
        <f t="shared" si="1"/>
        <v>,</v>
      </c>
    </row>
    <row r="373">
      <c r="B373" s="13" t="str">
        <f t="shared" si="1"/>
        <v>,</v>
      </c>
    </row>
    <row r="374">
      <c r="B374" s="13" t="str">
        <f t="shared" si="1"/>
        <v>,</v>
      </c>
    </row>
    <row r="375">
      <c r="B375" s="13" t="str">
        <f t="shared" si="1"/>
        <v>,</v>
      </c>
    </row>
    <row r="376">
      <c r="B376" s="13" t="str">
        <f t="shared" si="1"/>
        <v>,</v>
      </c>
    </row>
    <row r="377">
      <c r="B377" s="13" t="str">
        <f t="shared" si="1"/>
        <v>,</v>
      </c>
    </row>
    <row r="378">
      <c r="B378" s="13" t="str">
        <f t="shared" si="1"/>
        <v>,</v>
      </c>
    </row>
    <row r="379">
      <c r="B379" s="13" t="str">
        <f t="shared" si="1"/>
        <v>,</v>
      </c>
    </row>
    <row r="380">
      <c r="B380" s="13" t="str">
        <f t="shared" si="1"/>
        <v>,</v>
      </c>
    </row>
    <row r="381">
      <c r="B381" s="13" t="str">
        <f t="shared" si="1"/>
        <v>,</v>
      </c>
    </row>
    <row r="382">
      <c r="B382" s="13" t="str">
        <f t="shared" si="1"/>
        <v>,</v>
      </c>
    </row>
    <row r="383">
      <c r="B383" s="13" t="str">
        <f t="shared" si="1"/>
        <v>,</v>
      </c>
    </row>
    <row r="384">
      <c r="B384" s="13" t="str">
        <f t="shared" si="1"/>
        <v>,</v>
      </c>
    </row>
    <row r="385">
      <c r="B385" s="13" t="str">
        <f t="shared" si="1"/>
        <v>,</v>
      </c>
    </row>
    <row r="386">
      <c r="B386" s="13" t="str">
        <f t="shared" si="1"/>
        <v>,</v>
      </c>
    </row>
    <row r="387">
      <c r="B387" s="13" t="str">
        <f t="shared" si="1"/>
        <v>,</v>
      </c>
    </row>
    <row r="388">
      <c r="B388" s="13" t="str">
        <f t="shared" si="1"/>
        <v>,</v>
      </c>
    </row>
    <row r="389">
      <c r="B389" s="13" t="str">
        <f t="shared" si="1"/>
        <v>,</v>
      </c>
    </row>
    <row r="390">
      <c r="B390" s="13" t="str">
        <f t="shared" si="1"/>
        <v>,</v>
      </c>
    </row>
    <row r="391">
      <c r="B391" s="13" t="str">
        <f t="shared" si="1"/>
        <v>,</v>
      </c>
    </row>
    <row r="392">
      <c r="B392" s="13" t="str">
        <f t="shared" si="1"/>
        <v>,</v>
      </c>
    </row>
    <row r="393">
      <c r="B393" s="13" t="str">
        <f t="shared" si="1"/>
        <v>,</v>
      </c>
    </row>
    <row r="394">
      <c r="B394" s="13" t="str">
        <f t="shared" si="1"/>
        <v>,</v>
      </c>
    </row>
    <row r="395">
      <c r="B395" s="13" t="str">
        <f t="shared" si="1"/>
        <v>,</v>
      </c>
    </row>
    <row r="396">
      <c r="B396" s="13" t="str">
        <f t="shared" si="1"/>
        <v>,</v>
      </c>
    </row>
    <row r="397">
      <c r="B397" s="13" t="str">
        <f t="shared" si="1"/>
        <v>,</v>
      </c>
    </row>
    <row r="398">
      <c r="B398" s="13" t="str">
        <f t="shared" si="1"/>
        <v>,</v>
      </c>
    </row>
    <row r="399">
      <c r="B399" s="13" t="str">
        <f t="shared" si="1"/>
        <v>,</v>
      </c>
    </row>
    <row r="400">
      <c r="B400" s="13" t="str">
        <f t="shared" si="1"/>
        <v>,</v>
      </c>
    </row>
    <row r="401">
      <c r="B401" s="13" t="str">
        <f t="shared" si="1"/>
        <v>,</v>
      </c>
    </row>
    <row r="402">
      <c r="B402" s="13" t="str">
        <f t="shared" si="1"/>
        <v>,</v>
      </c>
    </row>
    <row r="403">
      <c r="B403" s="13" t="str">
        <f t="shared" si="1"/>
        <v>,</v>
      </c>
    </row>
    <row r="404">
      <c r="B404" s="13" t="str">
        <f t="shared" si="1"/>
        <v>,</v>
      </c>
    </row>
    <row r="405">
      <c r="B405" s="13" t="str">
        <f t="shared" si="1"/>
        <v>,</v>
      </c>
    </row>
    <row r="406">
      <c r="B406" s="13" t="str">
        <f t="shared" si="1"/>
        <v>,</v>
      </c>
    </row>
    <row r="407">
      <c r="B407" s="13" t="str">
        <f t="shared" si="1"/>
        <v>,</v>
      </c>
    </row>
    <row r="408">
      <c r="B408" s="13" t="str">
        <f t="shared" si="1"/>
        <v>,</v>
      </c>
    </row>
    <row r="409">
      <c r="B409" s="13" t="str">
        <f t="shared" si="1"/>
        <v>,</v>
      </c>
    </row>
    <row r="410">
      <c r="B410" s="13" t="str">
        <f t="shared" si="1"/>
        <v>,</v>
      </c>
    </row>
    <row r="411">
      <c r="B411" s="13" t="str">
        <f t="shared" si="1"/>
        <v>,</v>
      </c>
    </row>
    <row r="412">
      <c r="B412" s="13" t="str">
        <f t="shared" si="1"/>
        <v>,</v>
      </c>
    </row>
    <row r="413">
      <c r="B413" s="13" t="str">
        <f t="shared" si="1"/>
        <v>,</v>
      </c>
    </row>
    <row r="414">
      <c r="B414" s="13" t="str">
        <f t="shared" si="1"/>
        <v>,</v>
      </c>
    </row>
    <row r="415">
      <c r="B415" s="13" t="str">
        <f t="shared" si="1"/>
        <v>,</v>
      </c>
    </row>
    <row r="416">
      <c r="B416" s="13" t="str">
        <f t="shared" si="1"/>
        <v>,</v>
      </c>
    </row>
    <row r="417">
      <c r="B417" s="13" t="str">
        <f t="shared" si="1"/>
        <v>,</v>
      </c>
    </row>
    <row r="418">
      <c r="B418" s="13" t="str">
        <f t="shared" si="1"/>
        <v>,</v>
      </c>
    </row>
    <row r="419">
      <c r="B419" s="13" t="str">
        <f t="shared" si="1"/>
        <v>,</v>
      </c>
    </row>
    <row r="420">
      <c r="B420" s="13" t="str">
        <f t="shared" si="1"/>
        <v>,</v>
      </c>
    </row>
    <row r="421">
      <c r="B421" s="13" t="str">
        <f t="shared" si="1"/>
        <v>,</v>
      </c>
    </row>
    <row r="422">
      <c r="B422" s="13" t="str">
        <f t="shared" si="1"/>
        <v>,</v>
      </c>
    </row>
    <row r="423">
      <c r="B423" s="13" t="str">
        <f t="shared" si="1"/>
        <v>,</v>
      </c>
    </row>
    <row r="424">
      <c r="B424" s="13" t="str">
        <f t="shared" si="1"/>
        <v>,</v>
      </c>
    </row>
    <row r="425">
      <c r="B425" s="13" t="str">
        <f t="shared" si="1"/>
        <v>,</v>
      </c>
    </row>
    <row r="426">
      <c r="B426" s="13" t="str">
        <f t="shared" si="1"/>
        <v>,</v>
      </c>
    </row>
    <row r="427">
      <c r="B427" s="13" t="str">
        <f t="shared" si="1"/>
        <v>,</v>
      </c>
    </row>
    <row r="428">
      <c r="B428" s="13" t="str">
        <f t="shared" si="1"/>
        <v>,</v>
      </c>
    </row>
    <row r="429">
      <c r="B429" s="13" t="str">
        <f t="shared" si="1"/>
        <v>,</v>
      </c>
    </row>
    <row r="430">
      <c r="B430" s="13" t="str">
        <f t="shared" si="1"/>
        <v>,</v>
      </c>
    </row>
    <row r="431">
      <c r="B431" s="13" t="str">
        <f t="shared" si="1"/>
        <v>,</v>
      </c>
    </row>
    <row r="432">
      <c r="B432" s="13" t="str">
        <f t="shared" si="1"/>
        <v>,</v>
      </c>
    </row>
    <row r="433">
      <c r="B433" s="13" t="str">
        <f t="shared" si="1"/>
        <v>,</v>
      </c>
    </row>
    <row r="434">
      <c r="B434" s="13" t="str">
        <f t="shared" si="1"/>
        <v>,</v>
      </c>
    </row>
    <row r="435">
      <c r="B435" s="13" t="str">
        <f t="shared" si="1"/>
        <v>,</v>
      </c>
    </row>
    <row r="436">
      <c r="B436" s="13" t="str">
        <f t="shared" si="1"/>
        <v>,</v>
      </c>
    </row>
    <row r="437">
      <c r="B437" s="13" t="str">
        <f t="shared" si="1"/>
        <v>,</v>
      </c>
    </row>
    <row r="438">
      <c r="B438" s="13" t="str">
        <f t="shared" si="1"/>
        <v>,</v>
      </c>
    </row>
    <row r="439">
      <c r="B439" s="13" t="str">
        <f t="shared" si="1"/>
        <v>,</v>
      </c>
    </row>
    <row r="440">
      <c r="B440" s="13" t="str">
        <f t="shared" si="1"/>
        <v>,</v>
      </c>
    </row>
    <row r="441">
      <c r="B441" s="13" t="str">
        <f t="shared" si="1"/>
        <v>,</v>
      </c>
    </row>
    <row r="442">
      <c r="B442" s="13" t="str">
        <f t="shared" si="1"/>
        <v>,</v>
      </c>
    </row>
    <row r="443">
      <c r="B443" s="13" t="str">
        <f t="shared" si="1"/>
        <v>,</v>
      </c>
    </row>
    <row r="444">
      <c r="B444" s="13" t="str">
        <f t="shared" si="1"/>
        <v>,</v>
      </c>
    </row>
    <row r="445">
      <c r="B445" s="13" t="str">
        <f t="shared" si="1"/>
        <v>,</v>
      </c>
    </row>
    <row r="446">
      <c r="B446" s="13" t="str">
        <f t="shared" si="1"/>
        <v>,</v>
      </c>
    </row>
    <row r="447">
      <c r="B447" s="13" t="str">
        <f t="shared" si="1"/>
        <v>,</v>
      </c>
    </row>
    <row r="448">
      <c r="B448" s="13" t="str">
        <f t="shared" si="1"/>
        <v>,</v>
      </c>
    </row>
    <row r="449">
      <c r="B449" s="13" t="str">
        <f t="shared" si="1"/>
        <v>,</v>
      </c>
    </row>
    <row r="450">
      <c r="B450" s="13" t="str">
        <f t="shared" si="1"/>
        <v>,</v>
      </c>
    </row>
    <row r="451">
      <c r="B451" s="13" t="str">
        <f t="shared" si="1"/>
        <v>,</v>
      </c>
    </row>
    <row r="452">
      <c r="B452" s="13" t="str">
        <f t="shared" si="1"/>
        <v>,</v>
      </c>
    </row>
    <row r="453">
      <c r="B453" s="13" t="str">
        <f t="shared" si="1"/>
        <v>,</v>
      </c>
    </row>
    <row r="454">
      <c r="B454" s="13" t="str">
        <f t="shared" si="1"/>
        <v>,</v>
      </c>
    </row>
    <row r="455">
      <c r="B455" s="13" t="str">
        <f t="shared" si="1"/>
        <v>,</v>
      </c>
    </row>
    <row r="456">
      <c r="B456" s="13" t="str">
        <f t="shared" si="1"/>
        <v>,</v>
      </c>
    </row>
    <row r="457">
      <c r="B457" s="13" t="str">
        <f t="shared" si="1"/>
        <v>,</v>
      </c>
    </row>
    <row r="458">
      <c r="B458" s="13" t="str">
        <f t="shared" si="1"/>
        <v>,</v>
      </c>
    </row>
    <row r="459">
      <c r="B459" s="13" t="str">
        <f t="shared" si="1"/>
        <v>,</v>
      </c>
    </row>
    <row r="460">
      <c r="B460" s="13" t="str">
        <f t="shared" si="1"/>
        <v>,</v>
      </c>
    </row>
    <row r="461">
      <c r="B461" s="13" t="str">
        <f t="shared" si="1"/>
        <v>,</v>
      </c>
    </row>
    <row r="462">
      <c r="B462" s="13" t="str">
        <f t="shared" si="1"/>
        <v>,</v>
      </c>
    </row>
    <row r="463">
      <c r="B463" s="13" t="str">
        <f t="shared" si="1"/>
        <v>,</v>
      </c>
    </row>
    <row r="464">
      <c r="B464" s="13" t="str">
        <f t="shared" si="1"/>
        <v>,</v>
      </c>
    </row>
    <row r="465">
      <c r="B465" s="13" t="str">
        <f t="shared" si="1"/>
        <v>,</v>
      </c>
    </row>
    <row r="466">
      <c r="B466" s="13" t="str">
        <f t="shared" si="1"/>
        <v>,</v>
      </c>
    </row>
    <row r="467">
      <c r="B467" s="13" t="str">
        <f t="shared" si="1"/>
        <v>,</v>
      </c>
    </row>
    <row r="468">
      <c r="B468" s="13" t="str">
        <f t="shared" si="1"/>
        <v>,</v>
      </c>
    </row>
    <row r="469">
      <c r="B469" s="13" t="str">
        <f t="shared" si="1"/>
        <v>,</v>
      </c>
    </row>
    <row r="470">
      <c r="B470" s="13" t="str">
        <f t="shared" si="1"/>
        <v>,</v>
      </c>
    </row>
    <row r="471">
      <c r="B471" s="13" t="str">
        <f t="shared" si="1"/>
        <v>,</v>
      </c>
    </row>
    <row r="472">
      <c r="B472" s="13" t="str">
        <f t="shared" si="1"/>
        <v>,</v>
      </c>
    </row>
    <row r="473">
      <c r="B473" s="13" t="str">
        <f t="shared" si="1"/>
        <v>,</v>
      </c>
    </row>
    <row r="474">
      <c r="B474" s="13" t="str">
        <f t="shared" si="1"/>
        <v>,</v>
      </c>
    </row>
    <row r="475">
      <c r="B475" s="13" t="str">
        <f t="shared" si="1"/>
        <v>,</v>
      </c>
    </row>
    <row r="476">
      <c r="B476" s="13" t="str">
        <f t="shared" si="1"/>
        <v>,</v>
      </c>
    </row>
    <row r="477">
      <c r="B477" s="13" t="str">
        <f t="shared" si="1"/>
        <v>,</v>
      </c>
    </row>
    <row r="478">
      <c r="B478" s="13" t="str">
        <f t="shared" si="1"/>
        <v>,</v>
      </c>
    </row>
    <row r="479">
      <c r="B479" s="13" t="str">
        <f t="shared" si="1"/>
        <v>,</v>
      </c>
    </row>
    <row r="480">
      <c r="B480" s="13" t="str">
        <f t="shared" si="1"/>
        <v>,</v>
      </c>
    </row>
    <row r="481">
      <c r="B481" s="13" t="str">
        <f t="shared" si="1"/>
        <v>,</v>
      </c>
    </row>
    <row r="482">
      <c r="B482" s="13" t="str">
        <f t="shared" si="1"/>
        <v>,</v>
      </c>
    </row>
    <row r="483">
      <c r="B483" s="13" t="str">
        <f t="shared" si="1"/>
        <v>,</v>
      </c>
    </row>
    <row r="484">
      <c r="B484" s="13" t="str">
        <f t="shared" si="1"/>
        <v>,</v>
      </c>
    </row>
    <row r="485">
      <c r="B485" s="13" t="str">
        <f t="shared" si="1"/>
        <v>,</v>
      </c>
    </row>
    <row r="486">
      <c r="B486" s="13" t="str">
        <f t="shared" si="1"/>
        <v>,</v>
      </c>
    </row>
    <row r="487">
      <c r="B487" s="13" t="str">
        <f t="shared" si="1"/>
        <v>,</v>
      </c>
    </row>
    <row r="488">
      <c r="B488" s="13" t="str">
        <f t="shared" si="1"/>
        <v>,</v>
      </c>
    </row>
    <row r="489">
      <c r="B489" s="13" t="str">
        <f t="shared" si="1"/>
        <v>,</v>
      </c>
    </row>
    <row r="490">
      <c r="B490" s="13" t="str">
        <f t="shared" si="1"/>
        <v>,</v>
      </c>
    </row>
    <row r="491">
      <c r="B491" s="13" t="str">
        <f t="shared" si="1"/>
        <v>,</v>
      </c>
    </row>
    <row r="492">
      <c r="B492" s="13" t="str">
        <f t="shared" si="1"/>
        <v>,</v>
      </c>
    </row>
    <row r="493">
      <c r="B493" s="13" t="str">
        <f t="shared" si="1"/>
        <v>,</v>
      </c>
    </row>
    <row r="494">
      <c r="B494" s="13" t="str">
        <f t="shared" si="1"/>
        <v>,</v>
      </c>
    </row>
    <row r="495">
      <c r="B495" s="13" t="str">
        <f t="shared" si="1"/>
        <v>,</v>
      </c>
    </row>
    <row r="496">
      <c r="B496" s="13" t="str">
        <f t="shared" si="1"/>
        <v>,</v>
      </c>
    </row>
    <row r="497">
      <c r="B497" s="13" t="str">
        <f t="shared" si="1"/>
        <v>,</v>
      </c>
    </row>
    <row r="498">
      <c r="B498" s="13" t="str">
        <f t="shared" si="1"/>
        <v>,</v>
      </c>
    </row>
    <row r="499">
      <c r="B499" s="13" t="str">
        <f t="shared" si="1"/>
        <v>,</v>
      </c>
    </row>
    <row r="500">
      <c r="B500" s="13" t="str">
        <f t="shared" si="1"/>
        <v>,</v>
      </c>
    </row>
    <row r="501">
      <c r="B501" s="13" t="str">
        <f t="shared" si="1"/>
        <v>,</v>
      </c>
    </row>
    <row r="502">
      <c r="B502" s="13" t="str">
        <f t="shared" si="1"/>
        <v>,</v>
      </c>
    </row>
    <row r="503">
      <c r="B503" s="13" t="str">
        <f t="shared" si="1"/>
        <v>,</v>
      </c>
    </row>
    <row r="504">
      <c r="B504" s="13" t="str">
        <f t="shared" si="1"/>
        <v>,</v>
      </c>
    </row>
    <row r="505">
      <c r="B505" s="13" t="str">
        <f t="shared" si="1"/>
        <v>,</v>
      </c>
    </row>
    <row r="506">
      <c r="B506" s="13" t="str">
        <f t="shared" si="1"/>
        <v>,</v>
      </c>
    </row>
    <row r="507">
      <c r="B507" s="13" t="str">
        <f t="shared" si="1"/>
        <v>,</v>
      </c>
    </row>
    <row r="508">
      <c r="B508" s="13" t="str">
        <f t="shared" si="1"/>
        <v>,</v>
      </c>
    </row>
    <row r="509">
      <c r="B509" s="13" t="str">
        <f t="shared" si="1"/>
        <v>,</v>
      </c>
    </row>
    <row r="510">
      <c r="B510" s="13" t="str">
        <f t="shared" si="1"/>
        <v>,</v>
      </c>
    </row>
    <row r="511">
      <c r="B511" s="13" t="str">
        <f t="shared" si="1"/>
        <v>,</v>
      </c>
    </row>
    <row r="512">
      <c r="B512" s="13" t="str">
        <f t="shared" si="1"/>
        <v>,</v>
      </c>
    </row>
    <row r="513">
      <c r="B513" s="13" t="str">
        <f t="shared" si="1"/>
        <v>,</v>
      </c>
    </row>
    <row r="514">
      <c r="B514" s="13" t="str">
        <f t="shared" si="1"/>
        <v>,</v>
      </c>
    </row>
    <row r="515">
      <c r="B515" s="13" t="str">
        <f t="shared" si="1"/>
        <v>,</v>
      </c>
    </row>
    <row r="516">
      <c r="B516" s="13" t="str">
        <f t="shared" si="1"/>
        <v>,</v>
      </c>
    </row>
    <row r="517">
      <c r="B517" s="13" t="str">
        <f t="shared" si="1"/>
        <v>,</v>
      </c>
    </row>
    <row r="518">
      <c r="B518" s="13" t="str">
        <f t="shared" si="1"/>
        <v>,</v>
      </c>
    </row>
    <row r="519">
      <c r="B519" s="13" t="str">
        <f t="shared" si="1"/>
        <v>,</v>
      </c>
    </row>
    <row r="520">
      <c r="B520" s="13" t="str">
        <f t="shared" si="1"/>
        <v>,</v>
      </c>
    </row>
    <row r="521">
      <c r="B521" s="13" t="str">
        <f t="shared" si="1"/>
        <v>,</v>
      </c>
    </row>
    <row r="522">
      <c r="B522" s="13" t="str">
        <f t="shared" si="1"/>
        <v>,</v>
      </c>
    </row>
    <row r="523">
      <c r="B523" s="13" t="str">
        <f t="shared" si="1"/>
        <v>,</v>
      </c>
    </row>
    <row r="524">
      <c r="B524" s="13" t="str">
        <f t="shared" si="1"/>
        <v>,</v>
      </c>
    </row>
    <row r="525">
      <c r="B525" s="13" t="str">
        <f t="shared" si="1"/>
        <v>,</v>
      </c>
    </row>
    <row r="526">
      <c r="B526" s="13" t="str">
        <f t="shared" si="1"/>
        <v>,</v>
      </c>
    </row>
    <row r="527">
      <c r="B527" s="13" t="str">
        <f t="shared" si="1"/>
        <v>,</v>
      </c>
    </row>
    <row r="528">
      <c r="B528" s="13" t="str">
        <f t="shared" si="1"/>
        <v>,</v>
      </c>
    </row>
    <row r="529">
      <c r="B529" s="13" t="str">
        <f t="shared" si="1"/>
        <v>,</v>
      </c>
    </row>
    <row r="530">
      <c r="B530" s="13" t="str">
        <f t="shared" si="1"/>
        <v>,</v>
      </c>
    </row>
    <row r="531">
      <c r="B531" s="13" t="str">
        <f t="shared" si="1"/>
        <v>,</v>
      </c>
    </row>
    <row r="532">
      <c r="B532" s="13" t="str">
        <f t="shared" si="1"/>
        <v>,</v>
      </c>
    </row>
    <row r="533">
      <c r="B533" s="13" t="str">
        <f t="shared" si="1"/>
        <v>,</v>
      </c>
    </row>
    <row r="534">
      <c r="B534" s="13" t="str">
        <f t="shared" si="1"/>
        <v>,</v>
      </c>
    </row>
    <row r="535">
      <c r="B535" s="13" t="str">
        <f t="shared" si="1"/>
        <v>,</v>
      </c>
    </row>
    <row r="536">
      <c r="B536" s="13" t="str">
        <f t="shared" si="1"/>
        <v>,</v>
      </c>
    </row>
    <row r="537">
      <c r="B537" s="13" t="str">
        <f t="shared" si="1"/>
        <v>,</v>
      </c>
    </row>
    <row r="538">
      <c r="B538" s="13" t="str">
        <f t="shared" si="1"/>
        <v>,</v>
      </c>
    </row>
    <row r="539">
      <c r="B539" s="13" t="str">
        <f t="shared" si="1"/>
        <v>,</v>
      </c>
    </row>
    <row r="540">
      <c r="B540" s="13" t="str">
        <f t="shared" si="1"/>
        <v>,</v>
      </c>
    </row>
    <row r="541">
      <c r="B541" s="13" t="str">
        <f t="shared" si="1"/>
        <v>,</v>
      </c>
    </row>
    <row r="542">
      <c r="B542" s="13" t="str">
        <f t="shared" si="1"/>
        <v>,</v>
      </c>
    </row>
    <row r="543">
      <c r="B543" s="13" t="str">
        <f t="shared" si="1"/>
        <v>,</v>
      </c>
    </row>
    <row r="544">
      <c r="B544" s="13" t="str">
        <f t="shared" si="1"/>
        <v>,</v>
      </c>
    </row>
    <row r="545">
      <c r="B545" s="13" t="str">
        <f t="shared" si="1"/>
        <v>,</v>
      </c>
    </row>
    <row r="546">
      <c r="B546" s="13" t="str">
        <f t="shared" si="1"/>
        <v>,</v>
      </c>
    </row>
    <row r="547">
      <c r="B547" s="13" t="str">
        <f t="shared" si="1"/>
        <v>,</v>
      </c>
    </row>
    <row r="548">
      <c r="B548" s="13" t="str">
        <f t="shared" si="1"/>
        <v>,</v>
      </c>
    </row>
    <row r="549">
      <c r="B549" s="13" t="str">
        <f t="shared" si="1"/>
        <v>,</v>
      </c>
    </row>
    <row r="550">
      <c r="B550" s="13" t="str">
        <f t="shared" si="1"/>
        <v>,</v>
      </c>
    </row>
    <row r="551">
      <c r="B551" s="13" t="str">
        <f t="shared" si="1"/>
        <v>,</v>
      </c>
    </row>
    <row r="552">
      <c r="B552" s="13" t="str">
        <f t="shared" si="1"/>
        <v>,</v>
      </c>
    </row>
    <row r="553">
      <c r="B553" s="13" t="str">
        <f t="shared" si="1"/>
        <v>,</v>
      </c>
    </row>
    <row r="554">
      <c r="B554" s="13" t="str">
        <f t="shared" si="1"/>
        <v>,</v>
      </c>
    </row>
    <row r="555">
      <c r="B555" s="13" t="str">
        <f t="shared" si="1"/>
        <v>,</v>
      </c>
    </row>
    <row r="556">
      <c r="B556" s="13" t="str">
        <f t="shared" si="1"/>
        <v>,</v>
      </c>
    </row>
    <row r="557">
      <c r="B557" s="13" t="str">
        <f t="shared" si="1"/>
        <v>,</v>
      </c>
    </row>
    <row r="558">
      <c r="B558" s="13" t="str">
        <f t="shared" si="1"/>
        <v>,</v>
      </c>
    </row>
    <row r="559">
      <c r="B559" s="13" t="str">
        <f t="shared" si="1"/>
        <v>,</v>
      </c>
    </row>
    <row r="560">
      <c r="B560" s="13" t="str">
        <f t="shared" si="1"/>
        <v>,</v>
      </c>
    </row>
    <row r="561">
      <c r="B561" s="13" t="str">
        <f t="shared" si="1"/>
        <v>,</v>
      </c>
    </row>
    <row r="562">
      <c r="B562" s="13" t="str">
        <f t="shared" si="1"/>
        <v>,</v>
      </c>
    </row>
    <row r="563">
      <c r="B563" s="13" t="str">
        <f t="shared" si="1"/>
        <v>,</v>
      </c>
    </row>
    <row r="564">
      <c r="B564" s="13" t="str">
        <f t="shared" si="1"/>
        <v>,</v>
      </c>
    </row>
    <row r="565">
      <c r="B565" s="13" t="str">
        <f t="shared" si="1"/>
        <v>,</v>
      </c>
    </row>
    <row r="566">
      <c r="B566" s="13" t="str">
        <f t="shared" si="1"/>
        <v>,</v>
      </c>
    </row>
    <row r="567">
      <c r="B567" s="13" t="str">
        <f t="shared" si="1"/>
        <v>,</v>
      </c>
    </row>
    <row r="568">
      <c r="B568" s="13" t="str">
        <f t="shared" si="1"/>
        <v>,</v>
      </c>
    </row>
    <row r="569">
      <c r="B569" s="13" t="str">
        <f t="shared" si="1"/>
        <v>,</v>
      </c>
    </row>
    <row r="570">
      <c r="B570" s="13" t="str">
        <f t="shared" si="1"/>
        <v>,</v>
      </c>
    </row>
    <row r="571">
      <c r="B571" s="13" t="str">
        <f t="shared" si="1"/>
        <v>,</v>
      </c>
    </row>
    <row r="572">
      <c r="B572" s="13" t="str">
        <f t="shared" si="1"/>
        <v>,</v>
      </c>
    </row>
    <row r="573">
      <c r="B573" s="13" t="str">
        <f t="shared" si="1"/>
        <v>,</v>
      </c>
    </row>
    <row r="574">
      <c r="B574" s="13" t="str">
        <f t="shared" si="1"/>
        <v>,</v>
      </c>
    </row>
    <row r="575">
      <c r="B575" s="13" t="str">
        <f t="shared" si="1"/>
        <v>,</v>
      </c>
    </row>
    <row r="576">
      <c r="B576" s="13" t="str">
        <f t="shared" si="1"/>
        <v>,</v>
      </c>
    </row>
    <row r="577">
      <c r="B577" s="13" t="str">
        <f t="shared" si="1"/>
        <v>,</v>
      </c>
    </row>
    <row r="578">
      <c r="B578" s="13" t="str">
        <f t="shared" si="1"/>
        <v>,</v>
      </c>
    </row>
    <row r="579">
      <c r="B579" s="13" t="str">
        <f t="shared" si="1"/>
        <v>,</v>
      </c>
    </row>
    <row r="580">
      <c r="B580" s="13" t="str">
        <f t="shared" si="1"/>
        <v>,</v>
      </c>
    </row>
    <row r="581">
      <c r="B581" s="13" t="str">
        <f t="shared" si="1"/>
        <v>,</v>
      </c>
    </row>
    <row r="582">
      <c r="B582" s="13" t="str">
        <f t="shared" si="1"/>
        <v>,</v>
      </c>
    </row>
    <row r="583">
      <c r="B583" s="13" t="str">
        <f t="shared" si="1"/>
        <v>,</v>
      </c>
    </row>
    <row r="584">
      <c r="B584" s="13" t="str">
        <f t="shared" si="1"/>
        <v>,</v>
      </c>
    </row>
    <row r="585">
      <c r="B585" s="13" t="str">
        <f t="shared" si="1"/>
        <v>,</v>
      </c>
    </row>
    <row r="586">
      <c r="B586" s="13" t="str">
        <f t="shared" si="1"/>
        <v>,</v>
      </c>
    </row>
    <row r="587">
      <c r="B587" s="13" t="str">
        <f t="shared" si="1"/>
        <v>,</v>
      </c>
    </row>
    <row r="588">
      <c r="B588" s="13" t="str">
        <f t="shared" si="1"/>
        <v>,</v>
      </c>
    </row>
    <row r="589">
      <c r="B589" s="13" t="str">
        <f t="shared" si="1"/>
        <v>,</v>
      </c>
    </row>
    <row r="590">
      <c r="B590" s="13" t="str">
        <f t="shared" si="1"/>
        <v>,</v>
      </c>
    </row>
    <row r="591">
      <c r="B591" s="13" t="str">
        <f t="shared" si="1"/>
        <v>,</v>
      </c>
    </row>
    <row r="592">
      <c r="B592" s="13" t="str">
        <f t="shared" si="1"/>
        <v>,</v>
      </c>
    </row>
    <row r="593">
      <c r="B593" s="13" t="str">
        <f t="shared" si="1"/>
        <v>,</v>
      </c>
    </row>
    <row r="594">
      <c r="B594" s="13" t="str">
        <f t="shared" si="1"/>
        <v>,</v>
      </c>
    </row>
    <row r="595">
      <c r="B595" s="13" t="str">
        <f t="shared" si="1"/>
        <v>,</v>
      </c>
    </row>
    <row r="596">
      <c r="B596" s="13" t="str">
        <f t="shared" si="1"/>
        <v>,</v>
      </c>
    </row>
    <row r="597">
      <c r="B597" s="13" t="str">
        <f t="shared" si="1"/>
        <v>,</v>
      </c>
    </row>
    <row r="598">
      <c r="B598" s="13" t="str">
        <f t="shared" si="1"/>
        <v>,</v>
      </c>
    </row>
    <row r="599">
      <c r="B599" s="13" t="str">
        <f t="shared" si="1"/>
        <v>,</v>
      </c>
    </row>
    <row r="600">
      <c r="B600" s="13" t="str">
        <f t="shared" si="1"/>
        <v>,</v>
      </c>
    </row>
    <row r="601">
      <c r="B601" s="13" t="str">
        <f t="shared" si="1"/>
        <v>,</v>
      </c>
    </row>
    <row r="602">
      <c r="B602" s="13" t="str">
        <f t="shared" si="1"/>
        <v>,</v>
      </c>
    </row>
    <row r="603">
      <c r="B603" s="13" t="str">
        <f t="shared" si="1"/>
        <v>,</v>
      </c>
    </row>
    <row r="604">
      <c r="B604" s="13" t="str">
        <f t="shared" si="1"/>
        <v>,</v>
      </c>
    </row>
    <row r="605">
      <c r="B605" s="13" t="str">
        <f t="shared" si="1"/>
        <v>,</v>
      </c>
    </row>
    <row r="606">
      <c r="B606" s="13" t="str">
        <f t="shared" si="1"/>
        <v>,</v>
      </c>
    </row>
    <row r="607">
      <c r="B607" s="13" t="str">
        <f t="shared" si="1"/>
        <v>,</v>
      </c>
    </row>
    <row r="608">
      <c r="B608" s="13" t="str">
        <f t="shared" si="1"/>
        <v>,</v>
      </c>
    </row>
    <row r="609">
      <c r="B609" s="13" t="str">
        <f t="shared" si="1"/>
        <v>,</v>
      </c>
    </row>
    <row r="610">
      <c r="B610" s="13" t="str">
        <f t="shared" si="1"/>
        <v>,</v>
      </c>
    </row>
    <row r="611">
      <c r="B611" s="13" t="str">
        <f t="shared" si="1"/>
        <v>,</v>
      </c>
    </row>
    <row r="612">
      <c r="B612" s="13" t="str">
        <f t="shared" si="1"/>
        <v>,</v>
      </c>
    </row>
    <row r="613">
      <c r="B613" s="13" t="str">
        <f t="shared" si="1"/>
        <v>,</v>
      </c>
    </row>
    <row r="614">
      <c r="B614" s="13" t="str">
        <f t="shared" si="1"/>
        <v>,</v>
      </c>
    </row>
    <row r="615">
      <c r="B615" s="13" t="str">
        <f t="shared" si="1"/>
        <v>,</v>
      </c>
    </row>
    <row r="616">
      <c r="B616" s="13" t="str">
        <f t="shared" si="1"/>
        <v>,</v>
      </c>
    </row>
    <row r="617">
      <c r="B617" s="13" t="str">
        <f t="shared" si="1"/>
        <v>,</v>
      </c>
    </row>
    <row r="618">
      <c r="B618" s="13" t="str">
        <f t="shared" si="1"/>
        <v>,</v>
      </c>
    </row>
    <row r="619">
      <c r="B619" s="13" t="str">
        <f t="shared" si="1"/>
        <v>,</v>
      </c>
    </row>
    <row r="620">
      <c r="B620" s="13" t="str">
        <f t="shared" si="1"/>
        <v>,</v>
      </c>
    </row>
    <row r="621">
      <c r="B621" s="13" t="str">
        <f t="shared" si="1"/>
        <v>,</v>
      </c>
    </row>
    <row r="622">
      <c r="B622" s="13" t="str">
        <f t="shared" si="1"/>
        <v>,</v>
      </c>
    </row>
    <row r="623">
      <c r="B623" s="13" t="str">
        <f t="shared" si="1"/>
        <v>,</v>
      </c>
    </row>
    <row r="624">
      <c r="B624" s="13" t="str">
        <f t="shared" si="1"/>
        <v>,</v>
      </c>
    </row>
    <row r="625">
      <c r="B625" s="13" t="str">
        <f t="shared" si="1"/>
        <v>,</v>
      </c>
    </row>
    <row r="626">
      <c r="B626" s="13" t="str">
        <f t="shared" si="1"/>
        <v>,</v>
      </c>
    </row>
    <row r="627">
      <c r="B627" s="13" t="str">
        <f t="shared" si="1"/>
        <v>,</v>
      </c>
    </row>
    <row r="628">
      <c r="B628" s="13" t="str">
        <f t="shared" si="1"/>
        <v>,</v>
      </c>
    </row>
    <row r="629">
      <c r="B629" s="13" t="str">
        <f t="shared" si="1"/>
        <v>,</v>
      </c>
    </row>
    <row r="630">
      <c r="B630" s="13" t="str">
        <f t="shared" si="1"/>
        <v>,</v>
      </c>
    </row>
    <row r="631">
      <c r="B631" s="13" t="str">
        <f t="shared" si="1"/>
        <v>,</v>
      </c>
    </row>
    <row r="632">
      <c r="B632" s="13" t="str">
        <f t="shared" si="1"/>
        <v>,</v>
      </c>
    </row>
    <row r="633">
      <c r="B633" s="13" t="str">
        <f t="shared" si="1"/>
        <v>,</v>
      </c>
    </row>
    <row r="634">
      <c r="B634" s="13" t="str">
        <f t="shared" si="1"/>
        <v>,</v>
      </c>
    </row>
    <row r="635">
      <c r="B635" s="13" t="str">
        <f t="shared" si="1"/>
        <v>,</v>
      </c>
    </row>
    <row r="636">
      <c r="B636" s="13" t="str">
        <f t="shared" si="1"/>
        <v>,</v>
      </c>
    </row>
    <row r="637">
      <c r="B637" s="13" t="str">
        <f t="shared" si="1"/>
        <v>,</v>
      </c>
    </row>
    <row r="638">
      <c r="B638" s="13" t="str">
        <f t="shared" si="1"/>
        <v>,</v>
      </c>
    </row>
    <row r="639">
      <c r="B639" s="13" t="str">
        <f t="shared" si="1"/>
        <v>,</v>
      </c>
    </row>
    <row r="640">
      <c r="B640" s="13" t="str">
        <f t="shared" si="1"/>
        <v>,</v>
      </c>
    </row>
    <row r="641">
      <c r="B641" s="13" t="str">
        <f t="shared" si="1"/>
        <v>,</v>
      </c>
    </row>
    <row r="642">
      <c r="B642" s="13" t="str">
        <f t="shared" si="1"/>
        <v>,</v>
      </c>
    </row>
    <row r="643">
      <c r="B643" s="13" t="str">
        <f t="shared" si="1"/>
        <v>,</v>
      </c>
    </row>
    <row r="644">
      <c r="B644" s="13" t="str">
        <f t="shared" si="1"/>
        <v>,</v>
      </c>
    </row>
    <row r="645">
      <c r="B645" s="13" t="str">
        <f t="shared" si="1"/>
        <v>,</v>
      </c>
    </row>
    <row r="646">
      <c r="B646" s="13" t="str">
        <f t="shared" si="1"/>
        <v>,</v>
      </c>
    </row>
    <row r="647">
      <c r="B647" s="13" t="str">
        <f t="shared" si="1"/>
        <v>,</v>
      </c>
    </row>
    <row r="648">
      <c r="B648" s="13" t="str">
        <f t="shared" si="1"/>
        <v>,</v>
      </c>
    </row>
    <row r="649">
      <c r="B649" s="13" t="str">
        <f t="shared" si="1"/>
        <v>,</v>
      </c>
    </row>
    <row r="650">
      <c r="B650" s="13" t="str">
        <f t="shared" si="1"/>
        <v>,</v>
      </c>
    </row>
    <row r="651">
      <c r="B651" s="13" t="str">
        <f t="shared" si="1"/>
        <v>,</v>
      </c>
    </row>
    <row r="652">
      <c r="B652" s="13" t="str">
        <f t="shared" si="1"/>
        <v>,</v>
      </c>
    </row>
    <row r="653">
      <c r="B653" s="13" t="str">
        <f t="shared" si="1"/>
        <v>,</v>
      </c>
    </row>
    <row r="654">
      <c r="B654" s="13" t="str">
        <f t="shared" si="1"/>
        <v>,</v>
      </c>
    </row>
    <row r="655">
      <c r="B655" s="13" t="str">
        <f t="shared" si="1"/>
        <v>,</v>
      </c>
    </row>
    <row r="656">
      <c r="B656" s="13" t="str">
        <f t="shared" si="1"/>
        <v>,</v>
      </c>
    </row>
    <row r="657">
      <c r="B657" s="13" t="str">
        <f t="shared" si="1"/>
        <v>,</v>
      </c>
    </row>
    <row r="658">
      <c r="B658" s="13" t="str">
        <f t="shared" si="1"/>
        <v>,</v>
      </c>
    </row>
    <row r="659">
      <c r="B659" s="13" t="str">
        <f t="shared" si="1"/>
        <v>,</v>
      </c>
    </row>
    <row r="660">
      <c r="B660" s="13" t="str">
        <f t="shared" si="1"/>
        <v>,</v>
      </c>
    </row>
    <row r="661">
      <c r="B661" s="13" t="str">
        <f t="shared" si="1"/>
        <v>,</v>
      </c>
    </row>
    <row r="662">
      <c r="B662" s="13" t="str">
        <f t="shared" si="1"/>
        <v>,</v>
      </c>
    </row>
    <row r="663">
      <c r="B663" s="13" t="str">
        <f t="shared" si="1"/>
        <v>,</v>
      </c>
    </row>
    <row r="664">
      <c r="B664" s="13" t="str">
        <f t="shared" si="1"/>
        <v>,</v>
      </c>
    </row>
    <row r="665">
      <c r="B665" s="13" t="str">
        <f t="shared" si="1"/>
        <v>,</v>
      </c>
    </row>
    <row r="666">
      <c r="B666" s="13" t="str">
        <f t="shared" si="1"/>
        <v>,</v>
      </c>
    </row>
    <row r="667">
      <c r="B667" s="13" t="str">
        <f t="shared" si="1"/>
        <v>,</v>
      </c>
    </row>
    <row r="668">
      <c r="B668" s="13" t="str">
        <f t="shared" si="1"/>
        <v>,</v>
      </c>
    </row>
    <row r="669">
      <c r="B669" s="13" t="str">
        <f t="shared" si="1"/>
        <v>,</v>
      </c>
    </row>
    <row r="670">
      <c r="B670" s="13" t="str">
        <f t="shared" si="1"/>
        <v>,</v>
      </c>
    </row>
    <row r="671">
      <c r="B671" s="13" t="str">
        <f t="shared" si="1"/>
        <v>,</v>
      </c>
    </row>
    <row r="672">
      <c r="B672" s="13" t="str">
        <f t="shared" si="1"/>
        <v>,</v>
      </c>
    </row>
    <row r="673">
      <c r="B673" s="13" t="str">
        <f t="shared" si="1"/>
        <v>,</v>
      </c>
    </row>
    <row r="674">
      <c r="B674" s="13" t="str">
        <f t="shared" si="1"/>
        <v>,</v>
      </c>
    </row>
    <row r="675">
      <c r="B675" s="13" t="str">
        <f t="shared" si="1"/>
        <v>,</v>
      </c>
    </row>
    <row r="676">
      <c r="B676" s="13" t="str">
        <f t="shared" si="1"/>
        <v>,</v>
      </c>
    </row>
    <row r="677">
      <c r="B677" s="13" t="str">
        <f t="shared" si="1"/>
        <v>,</v>
      </c>
    </row>
    <row r="678">
      <c r="B678" s="13" t="str">
        <f t="shared" si="1"/>
        <v>,</v>
      </c>
    </row>
    <row r="679">
      <c r="B679" s="13" t="str">
        <f t="shared" si="1"/>
        <v>,</v>
      </c>
    </row>
    <row r="680">
      <c r="B680" s="13" t="str">
        <f t="shared" si="1"/>
        <v>,</v>
      </c>
    </row>
    <row r="681">
      <c r="B681" s="13" t="str">
        <f t="shared" si="1"/>
        <v>,</v>
      </c>
    </row>
    <row r="682">
      <c r="B682" s="13" t="str">
        <f t="shared" si="1"/>
        <v>,</v>
      </c>
    </row>
    <row r="683">
      <c r="B683" s="13" t="str">
        <f t="shared" si="1"/>
        <v>,</v>
      </c>
    </row>
    <row r="684">
      <c r="B684" s="13" t="str">
        <f t="shared" si="1"/>
        <v>,</v>
      </c>
    </row>
    <row r="685">
      <c r="B685" s="13" t="str">
        <f t="shared" si="1"/>
        <v>,</v>
      </c>
    </row>
    <row r="686">
      <c r="B686" s="13" t="str">
        <f t="shared" si="1"/>
        <v>,</v>
      </c>
    </row>
    <row r="687">
      <c r="B687" s="13" t="str">
        <f t="shared" si="1"/>
        <v>,</v>
      </c>
    </row>
    <row r="688">
      <c r="B688" s="13" t="str">
        <f t="shared" si="1"/>
        <v>,</v>
      </c>
    </row>
    <row r="689">
      <c r="B689" s="13" t="str">
        <f t="shared" si="1"/>
        <v>,</v>
      </c>
    </row>
    <row r="690">
      <c r="B690" s="13" t="str">
        <f t="shared" si="1"/>
        <v>,</v>
      </c>
    </row>
    <row r="691">
      <c r="B691" s="13" t="str">
        <f t="shared" si="1"/>
        <v>,</v>
      </c>
    </row>
    <row r="692">
      <c r="B692" s="13" t="str">
        <f t="shared" si="1"/>
        <v>,</v>
      </c>
    </row>
    <row r="693">
      <c r="B693" s="13" t="str">
        <f t="shared" si="1"/>
        <v>,</v>
      </c>
    </row>
    <row r="694">
      <c r="B694" s="13" t="str">
        <f t="shared" si="1"/>
        <v>,</v>
      </c>
    </row>
    <row r="695">
      <c r="B695" s="13" t="str">
        <f t="shared" si="1"/>
        <v>,</v>
      </c>
    </row>
    <row r="696">
      <c r="B696" s="13" t="str">
        <f t="shared" si="1"/>
        <v>,</v>
      </c>
    </row>
    <row r="697">
      <c r="B697" s="13" t="str">
        <f t="shared" si="1"/>
        <v>,</v>
      </c>
    </row>
    <row r="698">
      <c r="B698" s="13" t="str">
        <f t="shared" si="1"/>
        <v>,</v>
      </c>
    </row>
    <row r="699">
      <c r="B699" s="13" t="str">
        <f t="shared" si="1"/>
        <v>,</v>
      </c>
    </row>
    <row r="700">
      <c r="B700" s="13" t="str">
        <f t="shared" si="1"/>
        <v>,</v>
      </c>
    </row>
    <row r="701">
      <c r="B701" s="13" t="str">
        <f t="shared" si="1"/>
        <v>,</v>
      </c>
    </row>
    <row r="702">
      <c r="B702" s="13" t="str">
        <f t="shared" si="1"/>
        <v>,</v>
      </c>
    </row>
    <row r="703">
      <c r="B703" s="13" t="str">
        <f t="shared" si="1"/>
        <v>,</v>
      </c>
    </row>
    <row r="704">
      <c r="B704" s="13" t="str">
        <f t="shared" si="1"/>
        <v>,</v>
      </c>
    </row>
    <row r="705">
      <c r="B705" s="13" t="str">
        <f t="shared" si="1"/>
        <v>,</v>
      </c>
    </row>
    <row r="706">
      <c r="B706" s="13" t="str">
        <f t="shared" si="1"/>
        <v>,</v>
      </c>
    </row>
    <row r="707">
      <c r="B707" s="13" t="str">
        <f t="shared" si="1"/>
        <v>,</v>
      </c>
    </row>
    <row r="708">
      <c r="B708" s="13" t="str">
        <f t="shared" si="1"/>
        <v>,</v>
      </c>
    </row>
    <row r="709">
      <c r="B709" s="13" t="str">
        <f t="shared" si="1"/>
        <v>,</v>
      </c>
    </row>
    <row r="710">
      <c r="B710" s="13" t="str">
        <f t="shared" si="1"/>
        <v>,</v>
      </c>
    </row>
    <row r="711">
      <c r="B711" s="13" t="str">
        <f t="shared" si="1"/>
        <v>,</v>
      </c>
    </row>
    <row r="712">
      <c r="B712" s="13" t="str">
        <f t="shared" si="1"/>
        <v>,</v>
      </c>
    </row>
    <row r="713">
      <c r="B713" s="13" t="str">
        <f t="shared" si="1"/>
        <v>,</v>
      </c>
    </row>
    <row r="714">
      <c r="B714" s="13" t="str">
        <f t="shared" si="1"/>
        <v>,</v>
      </c>
    </row>
    <row r="715">
      <c r="B715" s="13" t="str">
        <f t="shared" si="1"/>
        <v>,</v>
      </c>
    </row>
    <row r="716">
      <c r="B716" s="13" t="str">
        <f t="shared" si="1"/>
        <v>,</v>
      </c>
    </row>
    <row r="717">
      <c r="B717" s="13" t="str">
        <f t="shared" si="1"/>
        <v>,</v>
      </c>
    </row>
    <row r="718">
      <c r="B718" s="13" t="str">
        <f t="shared" si="1"/>
        <v>,</v>
      </c>
    </row>
    <row r="719">
      <c r="B719" s="13" t="str">
        <f t="shared" si="1"/>
        <v>,</v>
      </c>
    </row>
    <row r="720">
      <c r="B720" s="13" t="str">
        <f t="shared" si="1"/>
        <v>,</v>
      </c>
    </row>
    <row r="721">
      <c r="B721" s="13" t="str">
        <f t="shared" si="1"/>
        <v>,</v>
      </c>
    </row>
    <row r="722">
      <c r="B722" s="13" t="str">
        <f t="shared" si="1"/>
        <v>,</v>
      </c>
    </row>
    <row r="723">
      <c r="B723" s="13" t="str">
        <f t="shared" si="1"/>
        <v>,</v>
      </c>
    </row>
    <row r="724">
      <c r="B724" s="13" t="str">
        <f t="shared" si="1"/>
        <v>,</v>
      </c>
    </row>
    <row r="725">
      <c r="B725" s="13" t="str">
        <f t="shared" si="1"/>
        <v>,</v>
      </c>
    </row>
    <row r="726">
      <c r="B726" s="13" t="str">
        <f t="shared" si="1"/>
        <v>,</v>
      </c>
    </row>
    <row r="727">
      <c r="B727" s="13" t="str">
        <f t="shared" si="1"/>
        <v>,</v>
      </c>
    </row>
    <row r="728">
      <c r="B728" s="13" t="str">
        <f t="shared" si="1"/>
        <v>,</v>
      </c>
    </row>
    <row r="729">
      <c r="B729" s="13" t="str">
        <f t="shared" si="1"/>
        <v>,</v>
      </c>
    </row>
    <row r="730">
      <c r="B730" s="13" t="str">
        <f t="shared" si="1"/>
        <v>,</v>
      </c>
    </row>
    <row r="731">
      <c r="B731" s="13" t="str">
        <f t="shared" si="1"/>
        <v>,</v>
      </c>
    </row>
    <row r="732">
      <c r="B732" s="13" t="str">
        <f t="shared" si="1"/>
        <v>,</v>
      </c>
    </row>
    <row r="733">
      <c r="B733" s="13" t="str">
        <f t="shared" si="1"/>
        <v>,</v>
      </c>
    </row>
    <row r="734">
      <c r="B734" s="13" t="str">
        <f t="shared" si="1"/>
        <v>,</v>
      </c>
    </row>
    <row r="735">
      <c r="B735" s="13" t="str">
        <f t="shared" si="1"/>
        <v>,</v>
      </c>
    </row>
    <row r="736">
      <c r="B736" s="13" t="str">
        <f t="shared" si="1"/>
        <v>,</v>
      </c>
    </row>
    <row r="737">
      <c r="B737" s="13" t="str">
        <f t="shared" si="1"/>
        <v>,</v>
      </c>
    </row>
    <row r="738">
      <c r="B738" s="13" t="str">
        <f t="shared" si="1"/>
        <v>,</v>
      </c>
    </row>
    <row r="739">
      <c r="B739" s="13" t="str">
        <f t="shared" si="1"/>
        <v>,</v>
      </c>
    </row>
    <row r="740">
      <c r="B740" s="13" t="str">
        <f t="shared" si="1"/>
        <v>,</v>
      </c>
    </row>
    <row r="741">
      <c r="B741" s="13" t="str">
        <f t="shared" si="1"/>
        <v>,</v>
      </c>
    </row>
    <row r="742">
      <c r="B742" s="13" t="str">
        <f t="shared" si="1"/>
        <v>,</v>
      </c>
    </row>
    <row r="743">
      <c r="B743" s="13" t="str">
        <f t="shared" si="1"/>
        <v>,</v>
      </c>
    </row>
    <row r="744">
      <c r="B744" s="13" t="str">
        <f t="shared" si="1"/>
        <v>,</v>
      </c>
    </row>
    <row r="745">
      <c r="B745" s="13" t="str">
        <f t="shared" si="1"/>
        <v>,</v>
      </c>
    </row>
    <row r="746">
      <c r="B746" s="13" t="str">
        <f t="shared" si="1"/>
        <v>,</v>
      </c>
    </row>
    <row r="747">
      <c r="B747" s="13" t="str">
        <f t="shared" si="1"/>
        <v>,</v>
      </c>
    </row>
    <row r="748">
      <c r="B748" s="13" t="str">
        <f t="shared" si="1"/>
        <v>,</v>
      </c>
    </row>
    <row r="749">
      <c r="B749" s="13" t="str">
        <f t="shared" si="1"/>
        <v>,</v>
      </c>
    </row>
    <row r="750">
      <c r="B750" s="13" t="str">
        <f t="shared" si="1"/>
        <v>,</v>
      </c>
    </row>
    <row r="751">
      <c r="B751" s="13" t="str">
        <f t="shared" si="1"/>
        <v>,</v>
      </c>
    </row>
    <row r="752">
      <c r="B752" s="13" t="str">
        <f t="shared" si="1"/>
        <v>,</v>
      </c>
    </row>
    <row r="753">
      <c r="B753" s="13" t="str">
        <f t="shared" si="1"/>
        <v>,</v>
      </c>
    </row>
    <row r="754">
      <c r="B754" s="13" t="str">
        <f t="shared" si="1"/>
        <v>,</v>
      </c>
    </row>
    <row r="755">
      <c r="B755" s="13" t="str">
        <f t="shared" si="1"/>
        <v>,</v>
      </c>
    </row>
    <row r="756">
      <c r="B756" s="13" t="str">
        <f t="shared" si="1"/>
        <v>,</v>
      </c>
    </row>
    <row r="757">
      <c r="B757" s="13" t="str">
        <f t="shared" si="1"/>
        <v>,</v>
      </c>
    </row>
    <row r="758">
      <c r="B758" s="13" t="str">
        <f t="shared" si="1"/>
        <v>,</v>
      </c>
    </row>
    <row r="759">
      <c r="B759" s="13" t="str">
        <f t="shared" si="1"/>
        <v>,</v>
      </c>
    </row>
    <row r="760">
      <c r="B760" s="13" t="str">
        <f t="shared" si="1"/>
        <v>,</v>
      </c>
    </row>
    <row r="761">
      <c r="B761" s="13" t="str">
        <f t="shared" si="1"/>
        <v>,</v>
      </c>
    </row>
    <row r="762">
      <c r="B762" s="13" t="str">
        <f t="shared" si="1"/>
        <v>,</v>
      </c>
    </row>
    <row r="763">
      <c r="B763" s="13" t="str">
        <f t="shared" si="1"/>
        <v>,</v>
      </c>
    </row>
    <row r="764">
      <c r="B764" s="13" t="str">
        <f t="shared" si="1"/>
        <v>,</v>
      </c>
    </row>
    <row r="765">
      <c r="B765" s="13" t="str">
        <f t="shared" si="1"/>
        <v>,</v>
      </c>
    </row>
    <row r="766">
      <c r="B766" s="13" t="str">
        <f t="shared" si="1"/>
        <v>,</v>
      </c>
    </row>
    <row r="767">
      <c r="B767" s="13" t="str">
        <f t="shared" si="1"/>
        <v>,</v>
      </c>
    </row>
    <row r="768">
      <c r="B768" s="13" t="str">
        <f t="shared" si="1"/>
        <v>,</v>
      </c>
    </row>
    <row r="769">
      <c r="B769" s="13" t="str">
        <f t="shared" si="1"/>
        <v>,</v>
      </c>
    </row>
    <row r="770">
      <c r="B770" s="13" t="str">
        <f t="shared" si="1"/>
        <v>,</v>
      </c>
    </row>
    <row r="771">
      <c r="B771" s="13" t="str">
        <f t="shared" si="1"/>
        <v>,</v>
      </c>
    </row>
    <row r="772">
      <c r="B772" s="13" t="str">
        <f t="shared" si="1"/>
        <v>,</v>
      </c>
    </row>
    <row r="773">
      <c r="B773" s="13" t="str">
        <f t="shared" si="1"/>
        <v>,</v>
      </c>
    </row>
    <row r="774">
      <c r="B774" s="13" t="str">
        <f t="shared" si="1"/>
        <v>,</v>
      </c>
    </row>
    <row r="775">
      <c r="B775" s="13" t="str">
        <f t="shared" si="1"/>
        <v>,</v>
      </c>
    </row>
    <row r="776">
      <c r="B776" s="13" t="str">
        <f t="shared" si="1"/>
        <v>,</v>
      </c>
    </row>
    <row r="777">
      <c r="B777" s="13" t="str">
        <f t="shared" si="1"/>
        <v>,</v>
      </c>
    </row>
    <row r="778">
      <c r="B778" s="13" t="str">
        <f t="shared" si="1"/>
        <v>,</v>
      </c>
    </row>
    <row r="779">
      <c r="B779" s="13" t="str">
        <f t="shared" si="1"/>
        <v>,</v>
      </c>
    </row>
    <row r="780">
      <c r="B780" s="13" t="str">
        <f t="shared" si="1"/>
        <v>,</v>
      </c>
    </row>
    <row r="781">
      <c r="B781" s="13" t="str">
        <f t="shared" si="1"/>
        <v>,</v>
      </c>
    </row>
    <row r="782">
      <c r="B782" s="13" t="str">
        <f t="shared" si="1"/>
        <v>,</v>
      </c>
    </row>
    <row r="783">
      <c r="B783" s="13" t="str">
        <f t="shared" si="1"/>
        <v>,</v>
      </c>
    </row>
    <row r="784">
      <c r="B784" s="13" t="str">
        <f t="shared" si="1"/>
        <v>,</v>
      </c>
    </row>
    <row r="785">
      <c r="B785" s="13" t="str">
        <f t="shared" si="1"/>
        <v>,</v>
      </c>
    </row>
    <row r="786">
      <c r="B786" s="13" t="str">
        <f t="shared" si="1"/>
        <v>,</v>
      </c>
    </row>
    <row r="787">
      <c r="B787" s="13" t="str">
        <f t="shared" si="1"/>
        <v>,</v>
      </c>
    </row>
    <row r="788">
      <c r="B788" s="13" t="str">
        <f t="shared" si="1"/>
        <v>,</v>
      </c>
    </row>
    <row r="789">
      <c r="B789" s="13" t="str">
        <f t="shared" si="1"/>
        <v>,</v>
      </c>
    </row>
    <row r="790">
      <c r="B790" s="13" t="str">
        <f t="shared" si="1"/>
        <v>,</v>
      </c>
    </row>
    <row r="791">
      <c r="B791" s="13" t="str">
        <f t="shared" si="1"/>
        <v>,</v>
      </c>
    </row>
    <row r="792">
      <c r="B792" s="13" t="str">
        <f t="shared" si="1"/>
        <v>,</v>
      </c>
    </row>
    <row r="793">
      <c r="B793" s="13" t="str">
        <f t="shared" si="1"/>
        <v>,</v>
      </c>
    </row>
    <row r="794">
      <c r="B794" s="13" t="str">
        <f t="shared" si="1"/>
        <v>,</v>
      </c>
    </row>
    <row r="795">
      <c r="B795" s="13" t="str">
        <f t="shared" si="1"/>
        <v>,</v>
      </c>
    </row>
    <row r="796">
      <c r="B796" s="13" t="str">
        <f t="shared" si="1"/>
        <v>,</v>
      </c>
    </row>
    <row r="797">
      <c r="B797" s="13" t="str">
        <f t="shared" si="1"/>
        <v>,</v>
      </c>
    </row>
    <row r="798">
      <c r="B798" s="13" t="str">
        <f t="shared" si="1"/>
        <v>,</v>
      </c>
    </row>
    <row r="799">
      <c r="B799" s="13" t="str">
        <f t="shared" si="1"/>
        <v>,</v>
      </c>
    </row>
    <row r="800">
      <c r="B800" s="13" t="str">
        <f t="shared" si="1"/>
        <v>,</v>
      </c>
    </row>
    <row r="801">
      <c r="B801" s="13" t="str">
        <f t="shared" si="1"/>
        <v>,</v>
      </c>
    </row>
    <row r="802">
      <c r="B802" s="13" t="str">
        <f t="shared" si="1"/>
        <v>,</v>
      </c>
    </row>
    <row r="803">
      <c r="B803" s="13" t="str">
        <f t="shared" si="1"/>
        <v>,</v>
      </c>
    </row>
    <row r="804">
      <c r="B804" s="13" t="str">
        <f t="shared" si="1"/>
        <v>,</v>
      </c>
    </row>
    <row r="805">
      <c r="B805" s="13" t="str">
        <f t="shared" si="1"/>
        <v>,</v>
      </c>
    </row>
    <row r="806">
      <c r="B806" s="13" t="str">
        <f t="shared" si="1"/>
        <v>,</v>
      </c>
    </row>
    <row r="807">
      <c r="B807" s="13" t="str">
        <f t="shared" si="1"/>
        <v>,</v>
      </c>
    </row>
    <row r="808">
      <c r="B808" s="13" t="str">
        <f t="shared" si="1"/>
        <v>,</v>
      </c>
    </row>
    <row r="809">
      <c r="B809" s="13" t="str">
        <f t="shared" si="1"/>
        <v>,</v>
      </c>
    </row>
    <row r="810">
      <c r="B810" s="13" t="str">
        <f t="shared" si="1"/>
        <v>,</v>
      </c>
    </row>
    <row r="811">
      <c r="B811" s="13" t="str">
        <f t="shared" si="1"/>
        <v>,</v>
      </c>
    </row>
    <row r="812">
      <c r="B812" s="13" t="str">
        <f t="shared" si="1"/>
        <v>,</v>
      </c>
    </row>
    <row r="813">
      <c r="B813" s="13" t="str">
        <f t="shared" si="1"/>
        <v>,</v>
      </c>
    </row>
    <row r="814">
      <c r="B814" s="13" t="str">
        <f t="shared" si="1"/>
        <v>,</v>
      </c>
    </row>
    <row r="815">
      <c r="B815" s="13" t="str">
        <f t="shared" si="1"/>
        <v>,</v>
      </c>
    </row>
    <row r="816">
      <c r="B816" s="13" t="str">
        <f t="shared" si="1"/>
        <v>,</v>
      </c>
    </row>
    <row r="817">
      <c r="B817" s="13" t="str">
        <f t="shared" si="1"/>
        <v>,</v>
      </c>
    </row>
    <row r="818">
      <c r="B818" s="13" t="str">
        <f t="shared" si="1"/>
        <v>,</v>
      </c>
    </row>
    <row r="819">
      <c r="B819" s="13" t="str">
        <f t="shared" si="1"/>
        <v>,</v>
      </c>
    </row>
    <row r="820">
      <c r="B820" s="13" t="str">
        <f t="shared" si="1"/>
        <v>,</v>
      </c>
    </row>
    <row r="821">
      <c r="B821" s="13" t="str">
        <f t="shared" si="1"/>
        <v>,</v>
      </c>
    </row>
    <row r="822">
      <c r="B822" s="13" t="str">
        <f t="shared" si="1"/>
        <v>,</v>
      </c>
    </row>
    <row r="823">
      <c r="B823" s="13" t="str">
        <f t="shared" si="1"/>
        <v>,</v>
      </c>
    </row>
    <row r="824">
      <c r="B824" s="13" t="str">
        <f t="shared" si="1"/>
        <v>,</v>
      </c>
    </row>
    <row r="825">
      <c r="B825" s="13" t="str">
        <f t="shared" si="1"/>
        <v>,</v>
      </c>
    </row>
    <row r="826">
      <c r="B826" s="13" t="str">
        <f t="shared" si="1"/>
        <v>,</v>
      </c>
    </row>
    <row r="827">
      <c r="B827" s="13" t="str">
        <f t="shared" si="1"/>
        <v>,</v>
      </c>
    </row>
    <row r="828">
      <c r="B828" s="13" t="str">
        <f t="shared" si="1"/>
        <v>,</v>
      </c>
    </row>
    <row r="829">
      <c r="B829" s="13" t="str">
        <f t="shared" si="1"/>
        <v>,</v>
      </c>
    </row>
    <row r="830">
      <c r="B830" s="13" t="str">
        <f t="shared" si="1"/>
        <v>,</v>
      </c>
    </row>
    <row r="831">
      <c r="B831" s="13" t="str">
        <f t="shared" si="1"/>
        <v>,</v>
      </c>
    </row>
    <row r="832">
      <c r="B832" s="13" t="str">
        <f t="shared" si="1"/>
        <v>,</v>
      </c>
    </row>
    <row r="833">
      <c r="B833" s="13" t="str">
        <f t="shared" si="1"/>
        <v>,</v>
      </c>
    </row>
    <row r="834">
      <c r="B834" s="13" t="str">
        <f t="shared" si="1"/>
        <v>,</v>
      </c>
    </row>
    <row r="835">
      <c r="B835" s="13" t="str">
        <f t="shared" si="1"/>
        <v>,</v>
      </c>
    </row>
    <row r="836">
      <c r="B836" s="13" t="str">
        <f t="shared" si="1"/>
        <v>,</v>
      </c>
    </row>
    <row r="837">
      <c r="B837" s="13" t="str">
        <f t="shared" si="1"/>
        <v>,</v>
      </c>
    </row>
    <row r="838">
      <c r="B838" s="13" t="str">
        <f t="shared" si="1"/>
        <v>,</v>
      </c>
    </row>
    <row r="839">
      <c r="B839" s="13" t="str">
        <f t="shared" si="1"/>
        <v>,</v>
      </c>
    </row>
    <row r="840">
      <c r="B840" s="13" t="str">
        <f t="shared" si="1"/>
        <v>,</v>
      </c>
    </row>
    <row r="841">
      <c r="B841" s="13" t="str">
        <f t="shared" si="1"/>
        <v>,</v>
      </c>
    </row>
    <row r="842">
      <c r="B842" s="13" t="str">
        <f t="shared" si="1"/>
        <v>,</v>
      </c>
    </row>
    <row r="843">
      <c r="B843" s="13" t="str">
        <f t="shared" si="1"/>
        <v>,</v>
      </c>
    </row>
    <row r="844">
      <c r="B844" s="13" t="str">
        <f t="shared" si="1"/>
        <v>,</v>
      </c>
    </row>
    <row r="845">
      <c r="B845" s="13" t="str">
        <f t="shared" si="1"/>
        <v>,</v>
      </c>
    </row>
    <row r="846">
      <c r="B846" s="13" t="str">
        <f t="shared" si="1"/>
        <v>,</v>
      </c>
    </row>
    <row r="847">
      <c r="B847" s="13" t="str">
        <f t="shared" si="1"/>
        <v>,</v>
      </c>
    </row>
    <row r="848">
      <c r="B848" s="13" t="str">
        <f t="shared" si="1"/>
        <v>,</v>
      </c>
    </row>
    <row r="849">
      <c r="B849" s="13" t="str">
        <f t="shared" si="1"/>
        <v>,</v>
      </c>
    </row>
    <row r="850">
      <c r="B850" s="13" t="str">
        <f t="shared" si="1"/>
        <v>,</v>
      </c>
    </row>
    <row r="851">
      <c r="B851" s="13" t="str">
        <f t="shared" si="1"/>
        <v>,</v>
      </c>
    </row>
    <row r="852">
      <c r="B852" s="13" t="str">
        <f t="shared" si="1"/>
        <v>,</v>
      </c>
    </row>
    <row r="853">
      <c r="B853" s="13" t="str">
        <f t="shared" si="1"/>
        <v>,</v>
      </c>
    </row>
    <row r="854">
      <c r="B854" s="13" t="str">
        <f t="shared" si="1"/>
        <v>,</v>
      </c>
    </row>
    <row r="855">
      <c r="B855" s="13" t="str">
        <f t="shared" si="1"/>
        <v>,</v>
      </c>
    </row>
    <row r="856">
      <c r="B856" s="13" t="str">
        <f t="shared" si="1"/>
        <v>,</v>
      </c>
    </row>
    <row r="857">
      <c r="B857" s="13" t="str">
        <f t="shared" si="1"/>
        <v>,</v>
      </c>
    </row>
    <row r="858">
      <c r="B858" s="13" t="str">
        <f t="shared" si="1"/>
        <v>,</v>
      </c>
    </row>
    <row r="859">
      <c r="B859" s="13" t="str">
        <f t="shared" si="1"/>
        <v>,</v>
      </c>
    </row>
    <row r="860">
      <c r="B860" s="13" t="str">
        <f t="shared" si="1"/>
        <v>,</v>
      </c>
    </row>
    <row r="861">
      <c r="B861" s="13" t="str">
        <f t="shared" si="1"/>
        <v>,</v>
      </c>
    </row>
    <row r="862">
      <c r="B862" s="13" t="str">
        <f t="shared" si="1"/>
        <v>,</v>
      </c>
    </row>
    <row r="863">
      <c r="B863" s="13" t="str">
        <f t="shared" si="1"/>
        <v>,</v>
      </c>
    </row>
    <row r="864">
      <c r="B864" s="13" t="str">
        <f t="shared" si="1"/>
        <v>,</v>
      </c>
    </row>
    <row r="865">
      <c r="B865" s="13" t="str">
        <f t="shared" si="1"/>
        <v>,</v>
      </c>
    </row>
    <row r="866">
      <c r="B866" s="13" t="str">
        <f t="shared" si="1"/>
        <v>,</v>
      </c>
    </row>
    <row r="867">
      <c r="B867" s="13" t="str">
        <f t="shared" si="1"/>
        <v>,</v>
      </c>
    </row>
    <row r="868">
      <c r="B868" s="13" t="str">
        <f t="shared" si="1"/>
        <v>,</v>
      </c>
    </row>
    <row r="869">
      <c r="B869" s="13" t="str">
        <f t="shared" si="1"/>
        <v>,</v>
      </c>
    </row>
    <row r="870">
      <c r="B870" s="13" t="str">
        <f t="shared" si="1"/>
        <v>,</v>
      </c>
    </row>
    <row r="871">
      <c r="B871" s="13" t="str">
        <f t="shared" si="1"/>
        <v>,</v>
      </c>
    </row>
    <row r="872">
      <c r="B872" s="13" t="str">
        <f t="shared" si="1"/>
        <v>,</v>
      </c>
    </row>
    <row r="873">
      <c r="B873" s="13" t="str">
        <f t="shared" si="1"/>
        <v>,</v>
      </c>
    </row>
    <row r="874">
      <c r="B874" s="13" t="str">
        <f t="shared" si="1"/>
        <v>,</v>
      </c>
    </row>
    <row r="875">
      <c r="B875" s="13" t="str">
        <f t="shared" si="1"/>
        <v>,</v>
      </c>
    </row>
    <row r="876">
      <c r="B876" s="13" t="str">
        <f t="shared" si="1"/>
        <v>,</v>
      </c>
    </row>
    <row r="877">
      <c r="B877" s="13" t="str">
        <f t="shared" si="1"/>
        <v>,</v>
      </c>
    </row>
    <row r="878">
      <c r="B878" s="13" t="str">
        <f t="shared" si="1"/>
        <v>,</v>
      </c>
    </row>
    <row r="879">
      <c r="B879" s="13" t="str">
        <f t="shared" si="1"/>
        <v>,</v>
      </c>
    </row>
    <row r="880">
      <c r="B880" s="13" t="str">
        <f t="shared" si="1"/>
        <v>,</v>
      </c>
    </row>
    <row r="881">
      <c r="B881" s="13" t="str">
        <f t="shared" si="1"/>
        <v>,</v>
      </c>
    </row>
    <row r="882">
      <c r="B882" s="13" t="str">
        <f t="shared" si="1"/>
        <v>,</v>
      </c>
    </row>
    <row r="883">
      <c r="B883" s="13" t="str">
        <f t="shared" si="1"/>
        <v>,</v>
      </c>
    </row>
    <row r="884">
      <c r="B884" s="13" t="str">
        <f t="shared" si="1"/>
        <v>,</v>
      </c>
    </row>
    <row r="885">
      <c r="B885" s="13" t="str">
        <f t="shared" si="1"/>
        <v>,</v>
      </c>
    </row>
    <row r="886">
      <c r="B886" s="13" t="str">
        <f t="shared" si="1"/>
        <v>,</v>
      </c>
    </row>
    <row r="887">
      <c r="B887" s="13" t="str">
        <f t="shared" si="1"/>
        <v>,</v>
      </c>
    </row>
    <row r="888">
      <c r="B888" s="13" t="str">
        <f t="shared" si="1"/>
        <v>,</v>
      </c>
    </row>
    <row r="889">
      <c r="B889" s="13" t="str">
        <f t="shared" si="1"/>
        <v>,</v>
      </c>
    </row>
    <row r="890">
      <c r="B890" s="13" t="str">
        <f t="shared" si="1"/>
        <v>,</v>
      </c>
    </row>
    <row r="891">
      <c r="B891" s="13" t="str">
        <f t="shared" si="1"/>
        <v>,</v>
      </c>
    </row>
    <row r="892">
      <c r="B892" s="13" t="str">
        <f t="shared" si="1"/>
        <v>,</v>
      </c>
    </row>
    <row r="893">
      <c r="B893" s="13" t="str">
        <f t="shared" si="1"/>
        <v>,</v>
      </c>
    </row>
    <row r="894">
      <c r="B894" s="13" t="str">
        <f t="shared" si="1"/>
        <v>,</v>
      </c>
    </row>
    <row r="895">
      <c r="B895" s="13" t="str">
        <f t="shared" si="1"/>
        <v>,</v>
      </c>
    </row>
    <row r="896">
      <c r="B896" s="13" t="str">
        <f t="shared" si="1"/>
        <v>,</v>
      </c>
    </row>
    <row r="897">
      <c r="B897" s="13" t="str">
        <f t="shared" si="1"/>
        <v>,</v>
      </c>
    </row>
    <row r="898">
      <c r="B898" s="13" t="str">
        <f t="shared" si="1"/>
        <v>,</v>
      </c>
    </row>
    <row r="899">
      <c r="B899" s="13" t="str">
        <f t="shared" si="1"/>
        <v>,</v>
      </c>
    </row>
    <row r="900">
      <c r="B900" s="13" t="str">
        <f t="shared" si="1"/>
        <v>,</v>
      </c>
    </row>
    <row r="901">
      <c r="B901" s="13" t="str">
        <f t="shared" si="1"/>
        <v>,</v>
      </c>
    </row>
    <row r="902">
      <c r="B902" s="13" t="str">
        <f t="shared" si="1"/>
        <v>,</v>
      </c>
    </row>
    <row r="903">
      <c r="B903" s="13" t="str">
        <f t="shared" si="1"/>
        <v>,</v>
      </c>
    </row>
    <row r="904">
      <c r="B904" s="13" t="str">
        <f t="shared" si="1"/>
        <v>,</v>
      </c>
    </row>
    <row r="905">
      <c r="B905" s="13" t="str">
        <f t="shared" si="1"/>
        <v>,</v>
      </c>
    </row>
    <row r="906">
      <c r="B906" s="13" t="str">
        <f t="shared" si="1"/>
        <v>,</v>
      </c>
    </row>
    <row r="907">
      <c r="B907" s="13" t="str">
        <f t="shared" si="1"/>
        <v>,</v>
      </c>
    </row>
    <row r="908">
      <c r="B908" s="13" t="str">
        <f t="shared" si="1"/>
        <v>,</v>
      </c>
    </row>
    <row r="909">
      <c r="B909" s="13" t="str">
        <f t="shared" si="1"/>
        <v>,</v>
      </c>
    </row>
    <row r="910">
      <c r="B910" s="13" t="str">
        <f t="shared" si="1"/>
        <v>,</v>
      </c>
    </row>
    <row r="911">
      <c r="B911" s="13" t="str">
        <f t="shared" si="1"/>
        <v>,</v>
      </c>
    </row>
    <row r="912">
      <c r="B912" s="13" t="str">
        <f t="shared" si="1"/>
        <v>,</v>
      </c>
    </row>
    <row r="913">
      <c r="B913" s="13" t="str">
        <f t="shared" si="1"/>
        <v>,</v>
      </c>
    </row>
    <row r="914">
      <c r="B914" s="13" t="str">
        <f t="shared" si="1"/>
        <v>,</v>
      </c>
    </row>
    <row r="915">
      <c r="B915" s="13" t="str">
        <f t="shared" si="1"/>
        <v>,</v>
      </c>
    </row>
    <row r="916">
      <c r="B916" s="13" t="str">
        <f t="shared" si="1"/>
        <v>,</v>
      </c>
    </row>
    <row r="917">
      <c r="B917" s="13" t="str">
        <f t="shared" si="1"/>
        <v>,</v>
      </c>
    </row>
    <row r="918">
      <c r="B918" s="13" t="str">
        <f t="shared" si="1"/>
        <v>,</v>
      </c>
    </row>
    <row r="919">
      <c r="B919" s="13" t="str">
        <f t="shared" si="1"/>
        <v>,</v>
      </c>
    </row>
    <row r="920">
      <c r="B920" s="13" t="str">
        <f t="shared" si="1"/>
        <v>,</v>
      </c>
    </row>
    <row r="921">
      <c r="B921" s="13" t="str">
        <f t="shared" si="1"/>
        <v>,</v>
      </c>
    </row>
    <row r="922">
      <c r="B922" s="13" t="str">
        <f t="shared" si="1"/>
        <v>,</v>
      </c>
    </row>
    <row r="923">
      <c r="B923" s="13" t="str">
        <f t="shared" si="1"/>
        <v>,</v>
      </c>
    </row>
    <row r="924">
      <c r="B924" s="13" t="str">
        <f t="shared" si="1"/>
        <v>,</v>
      </c>
    </row>
    <row r="925">
      <c r="B925" s="13" t="str">
        <f t="shared" si="1"/>
        <v>,</v>
      </c>
    </row>
    <row r="926">
      <c r="B926" s="13" t="str">
        <f t="shared" si="1"/>
        <v>,</v>
      </c>
    </row>
    <row r="927">
      <c r="B927" s="13" t="str">
        <f t="shared" si="1"/>
        <v>,</v>
      </c>
    </row>
    <row r="928">
      <c r="B928" s="13" t="str">
        <f t="shared" si="1"/>
        <v>,</v>
      </c>
    </row>
    <row r="929">
      <c r="B929" s="13" t="str">
        <f t="shared" si="1"/>
        <v>,</v>
      </c>
    </row>
    <row r="930">
      <c r="B930" s="13" t="str">
        <f t="shared" si="1"/>
        <v>,</v>
      </c>
    </row>
    <row r="931">
      <c r="B931" s="13" t="str">
        <f t="shared" si="1"/>
        <v>,</v>
      </c>
    </row>
    <row r="932">
      <c r="B932" s="13" t="str">
        <f t="shared" si="1"/>
        <v>,</v>
      </c>
    </row>
    <row r="933">
      <c r="B933" s="13" t="str">
        <f t="shared" si="1"/>
        <v>,</v>
      </c>
    </row>
    <row r="934">
      <c r="B934" s="13" t="str">
        <f t="shared" si="1"/>
        <v>,</v>
      </c>
    </row>
    <row r="935">
      <c r="B935" s="13" t="str">
        <f t="shared" si="1"/>
        <v>,</v>
      </c>
    </row>
    <row r="936">
      <c r="B936" s="13" t="str">
        <f t="shared" si="1"/>
        <v>,</v>
      </c>
    </row>
    <row r="937">
      <c r="B937" s="13" t="str">
        <f t="shared" si="1"/>
        <v>,</v>
      </c>
    </row>
    <row r="938">
      <c r="B938" s="13" t="str">
        <f t="shared" si="1"/>
        <v>,</v>
      </c>
    </row>
    <row r="939">
      <c r="B939" s="13" t="str">
        <f t="shared" si="1"/>
        <v>,</v>
      </c>
    </row>
    <row r="940">
      <c r="B940" s="13" t="str">
        <f t="shared" si="1"/>
        <v>,</v>
      </c>
    </row>
    <row r="941">
      <c r="B941" s="13" t="str">
        <f t="shared" si="1"/>
        <v>,</v>
      </c>
    </row>
    <row r="942">
      <c r="B942" s="13" t="str">
        <f t="shared" si="1"/>
        <v>,</v>
      </c>
    </row>
    <row r="943">
      <c r="B943" s="13" t="str">
        <f t="shared" si="1"/>
        <v>,</v>
      </c>
    </row>
    <row r="944">
      <c r="B944" s="13" t="str">
        <f t="shared" si="1"/>
        <v>,</v>
      </c>
    </row>
    <row r="945">
      <c r="B945" s="13" t="str">
        <f t="shared" si="1"/>
        <v>,</v>
      </c>
    </row>
    <row r="946">
      <c r="B946" s="13" t="str">
        <f t="shared" si="1"/>
        <v>,</v>
      </c>
    </row>
    <row r="947">
      <c r="B947" s="13" t="str">
        <f t="shared" si="1"/>
        <v>,</v>
      </c>
    </row>
    <row r="948">
      <c r="B948" s="13" t="str">
        <f t="shared" si="1"/>
        <v>,</v>
      </c>
    </row>
    <row r="949">
      <c r="B949" s="13" t="str">
        <f t="shared" si="1"/>
        <v>,</v>
      </c>
    </row>
    <row r="950">
      <c r="B950" s="13" t="str">
        <f t="shared" si="1"/>
        <v>,</v>
      </c>
    </row>
    <row r="951">
      <c r="B951" s="13" t="str">
        <f t="shared" si="1"/>
        <v>,</v>
      </c>
    </row>
    <row r="952">
      <c r="B952" s="13" t="str">
        <f t="shared" si="1"/>
        <v>,</v>
      </c>
    </row>
    <row r="953">
      <c r="B953" s="13" t="str">
        <f t="shared" si="1"/>
        <v>,</v>
      </c>
    </row>
    <row r="954">
      <c r="B954" s="13" t="str">
        <f t="shared" si="1"/>
        <v>,</v>
      </c>
    </row>
    <row r="955">
      <c r="B955" s="13" t="str">
        <f t="shared" si="1"/>
        <v>,</v>
      </c>
    </row>
    <row r="956">
      <c r="B956" s="13" t="str">
        <f t="shared" si="1"/>
        <v>,</v>
      </c>
    </row>
    <row r="957">
      <c r="B957" s="13" t="str">
        <f t="shared" si="1"/>
        <v>,</v>
      </c>
    </row>
    <row r="958">
      <c r="B958" s="13" t="str">
        <f t="shared" si="1"/>
        <v>,</v>
      </c>
    </row>
    <row r="959">
      <c r="B959" s="13" t="str">
        <f t="shared" si="1"/>
        <v>,</v>
      </c>
    </row>
    <row r="960">
      <c r="B960" s="13" t="str">
        <f t="shared" si="1"/>
        <v>,</v>
      </c>
    </row>
    <row r="961">
      <c r="B961" s="13" t="str">
        <f t="shared" si="1"/>
        <v>,</v>
      </c>
    </row>
    <row r="962">
      <c r="B962" s="13" t="str">
        <f t="shared" si="1"/>
        <v>,</v>
      </c>
    </row>
    <row r="963">
      <c r="B963" s="13" t="str">
        <f t="shared" si="1"/>
        <v>,</v>
      </c>
    </row>
    <row r="964">
      <c r="B964" s="13" t="str">
        <f t="shared" si="1"/>
        <v>,</v>
      </c>
    </row>
    <row r="965">
      <c r="B965" s="13" t="str">
        <f t="shared" si="1"/>
        <v>,</v>
      </c>
    </row>
    <row r="966">
      <c r="B966" s="13" t="str">
        <f t="shared" si="1"/>
        <v>,</v>
      </c>
    </row>
    <row r="967">
      <c r="B967" s="13" t="str">
        <f t="shared" si="1"/>
        <v>,</v>
      </c>
    </row>
    <row r="968">
      <c r="B968" s="13" t="str">
        <f t="shared" si="1"/>
        <v>,</v>
      </c>
    </row>
    <row r="969">
      <c r="B969" s="13" t="str">
        <f t="shared" si="1"/>
        <v>,</v>
      </c>
    </row>
    <row r="970">
      <c r="B970" s="13" t="str">
        <f t="shared" si="1"/>
        <v>,</v>
      </c>
    </row>
    <row r="971">
      <c r="B971" s="13" t="str">
        <f t="shared" si="1"/>
        <v>,</v>
      </c>
    </row>
    <row r="972">
      <c r="B972" s="13" t="str">
        <f t="shared" si="1"/>
        <v>,</v>
      </c>
    </row>
    <row r="973">
      <c r="B973" s="13" t="str">
        <f t="shared" si="1"/>
        <v>,</v>
      </c>
    </row>
    <row r="974">
      <c r="B974" s="13" t="str">
        <f t="shared" si="1"/>
        <v>,</v>
      </c>
    </row>
    <row r="975">
      <c r="B975" s="13" t="str">
        <f t="shared" si="1"/>
        <v>,</v>
      </c>
    </row>
    <row r="976">
      <c r="B976" s="13" t="str">
        <f t="shared" si="1"/>
        <v>,</v>
      </c>
    </row>
    <row r="977">
      <c r="B977" s="13" t="str">
        <f t="shared" si="1"/>
        <v>,</v>
      </c>
    </row>
    <row r="978">
      <c r="B978" s="13" t="str">
        <f t="shared" si="1"/>
        <v>,</v>
      </c>
    </row>
    <row r="979">
      <c r="B979" s="13" t="str">
        <f t="shared" si="1"/>
        <v>,</v>
      </c>
    </row>
    <row r="980">
      <c r="B980" s="13" t="str">
        <f t="shared" si="1"/>
        <v>,</v>
      </c>
    </row>
    <row r="981">
      <c r="B981" s="13" t="str">
        <f t="shared" si="1"/>
        <v>,</v>
      </c>
    </row>
    <row r="982">
      <c r="B982" s="13" t="str">
        <f t="shared" si="1"/>
        <v>,</v>
      </c>
    </row>
    <row r="983">
      <c r="B983" s="13" t="str">
        <f t="shared" si="1"/>
        <v>,</v>
      </c>
    </row>
    <row r="984">
      <c r="B984" s="13" t="str">
        <f t="shared" si="1"/>
        <v>,</v>
      </c>
    </row>
    <row r="985">
      <c r="B985" s="13" t="str">
        <f t="shared" si="1"/>
        <v>,</v>
      </c>
    </row>
    <row r="986">
      <c r="B986" s="13" t="str">
        <f t="shared" si="1"/>
        <v>,</v>
      </c>
    </row>
    <row r="987">
      <c r="B987" s="13" t="str">
        <f t="shared" si="1"/>
        <v>,</v>
      </c>
    </row>
    <row r="988">
      <c r="B988" s="13" t="str">
        <f t="shared" si="1"/>
        <v>,</v>
      </c>
    </row>
    <row r="989">
      <c r="B989" s="13" t="str">
        <f t="shared" si="1"/>
        <v>,</v>
      </c>
    </row>
    <row r="990">
      <c r="B990" s="13" t="str">
        <f t="shared" si="1"/>
        <v>,</v>
      </c>
    </row>
    <row r="991">
      <c r="B991" s="13" t="str">
        <f t="shared" si="1"/>
        <v>,</v>
      </c>
    </row>
    <row r="992">
      <c r="B992" s="13" t="str">
        <f t="shared" si="1"/>
        <v>,</v>
      </c>
    </row>
    <row r="993">
      <c r="B993" s="13" t="str">
        <f t="shared" si="1"/>
        <v>,</v>
      </c>
    </row>
    <row r="994">
      <c r="B994" s="13" t="str">
        <f t="shared" si="1"/>
        <v>,</v>
      </c>
    </row>
    <row r="995">
      <c r="B995" s="13" t="str">
        <f t="shared" si="1"/>
        <v>,</v>
      </c>
    </row>
    <row r="996">
      <c r="B996" s="13" t="str">
        <f t="shared" si="1"/>
        <v>,</v>
      </c>
    </row>
    <row r="997">
      <c r="B997" s="13" t="str">
        <f t="shared" si="1"/>
        <v>,</v>
      </c>
    </row>
    <row r="998">
      <c r="B998" s="13" t="str">
        <f t="shared" si="1"/>
        <v>,</v>
      </c>
    </row>
    <row r="999">
      <c r="B999" s="13" t="str">
        <f t="shared" si="1"/>
        <v>,</v>
      </c>
    </row>
    <row r="1000">
      <c r="B1000" s="13" t="str">
        <f t="shared" si="1"/>
        <v>,</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105</v>
      </c>
      <c r="B1" s="17" t="s">
        <v>106</v>
      </c>
      <c r="C1" s="17" t="s">
        <v>107</v>
      </c>
      <c r="D1" s="17" t="s">
        <v>122</v>
      </c>
      <c r="E1" s="17" t="s">
        <v>29</v>
      </c>
      <c r="F1" s="17" t="s">
        <v>108</v>
      </c>
      <c r="G1" s="17" t="s">
        <v>109</v>
      </c>
      <c r="H1" s="17" t="s">
        <v>110</v>
      </c>
      <c r="I1" s="17" t="s">
        <v>111</v>
      </c>
      <c r="J1" s="17" t="s">
        <v>112</v>
      </c>
      <c r="K1" s="17" t="s">
        <v>113</v>
      </c>
      <c r="L1" s="17" t="s">
        <v>114</v>
      </c>
      <c r="M1" s="17" t="s">
        <v>115</v>
      </c>
      <c r="N1" s="17" t="s">
        <v>116</v>
      </c>
      <c r="O1" s="17" t="s">
        <v>32</v>
      </c>
      <c r="P1" s="17" t="s">
        <v>117</v>
      </c>
      <c r="Q1" s="17" t="s">
        <v>118</v>
      </c>
      <c r="R1" s="17" t="s">
        <v>119</v>
      </c>
      <c r="S1" s="17" t="s">
        <v>120</v>
      </c>
      <c r="T1" s="17" t="s">
        <v>28</v>
      </c>
      <c r="U1" s="17" t="s">
        <v>1425</v>
      </c>
    </row>
    <row r="2">
      <c r="A2" s="17" t="s">
        <v>912</v>
      </c>
      <c r="B2" s="17" t="s">
        <v>913</v>
      </c>
      <c r="C2" s="17" t="s">
        <v>910</v>
      </c>
      <c r="D2" s="17">
        <v>4301071.0</v>
      </c>
      <c r="E2" s="17" t="s">
        <v>911</v>
      </c>
      <c r="F2" s="17">
        <v>80.0</v>
      </c>
      <c r="G2" s="17">
        <v>100.0</v>
      </c>
      <c r="H2" s="17">
        <v>10.0</v>
      </c>
      <c r="I2" s="17">
        <v>0.0</v>
      </c>
      <c r="J2" s="31">
        <v>46014.0</v>
      </c>
      <c r="K2" s="31">
        <v>46014.0</v>
      </c>
      <c r="L2" s="31">
        <v>46014.0</v>
      </c>
      <c r="M2" s="17" t="s">
        <v>1426</v>
      </c>
      <c r="N2" s="31">
        <v>46034.0</v>
      </c>
      <c r="O2" s="31">
        <v>46024.0</v>
      </c>
      <c r="Q2" s="17" t="s">
        <v>128</v>
      </c>
      <c r="S2" s="17" t="s">
        <v>129</v>
      </c>
      <c r="T2" s="17" t="s">
        <v>128</v>
      </c>
      <c r="U2" s="31">
        <v>46023.0</v>
      </c>
    </row>
    <row r="3">
      <c r="A3" s="17" t="s">
        <v>856</v>
      </c>
      <c r="B3" s="17" t="s">
        <v>857</v>
      </c>
      <c r="C3" s="17" t="s">
        <v>854</v>
      </c>
      <c r="D3" s="17">
        <v>4255268.0</v>
      </c>
      <c r="E3" s="17" t="s">
        <v>855</v>
      </c>
      <c r="F3" s="17">
        <v>267.5</v>
      </c>
      <c r="G3" s="17">
        <v>100.0</v>
      </c>
      <c r="H3" s="17">
        <v>22.0</v>
      </c>
      <c r="I3" s="17">
        <v>29.0</v>
      </c>
      <c r="J3" s="31">
        <v>45973.0</v>
      </c>
      <c r="K3" s="31">
        <v>45989.0</v>
      </c>
      <c r="L3" s="31">
        <v>46006.0</v>
      </c>
      <c r="M3" s="17" t="s">
        <v>1427</v>
      </c>
      <c r="N3" s="31">
        <v>45993.0</v>
      </c>
      <c r="O3" s="31">
        <v>45995.0</v>
      </c>
      <c r="P3" s="17" t="s">
        <v>315</v>
      </c>
      <c r="Q3" s="17" t="s">
        <v>343</v>
      </c>
      <c r="S3" s="17" t="s">
        <v>129</v>
      </c>
      <c r="T3" s="17" t="s">
        <v>128</v>
      </c>
      <c r="U3" s="31">
        <v>45992.0</v>
      </c>
    </row>
    <row r="4">
      <c r="A4" s="17" t="s">
        <v>868</v>
      </c>
      <c r="B4" s="17" t="s">
        <v>869</v>
      </c>
      <c r="C4" s="17" t="s">
        <v>866</v>
      </c>
      <c r="D4" s="17">
        <v>4239966.0</v>
      </c>
      <c r="E4" s="17" t="s">
        <v>867</v>
      </c>
      <c r="F4" s="17">
        <v>0.0</v>
      </c>
      <c r="G4" s="17">
        <v>100.0</v>
      </c>
      <c r="H4" s="17">
        <v>16.0</v>
      </c>
      <c r="I4" s="17">
        <v>29.0</v>
      </c>
      <c r="J4" s="31">
        <v>45979.0</v>
      </c>
      <c r="M4" s="17" t="s">
        <v>1428</v>
      </c>
      <c r="O4" s="31">
        <v>45995.0</v>
      </c>
      <c r="Q4" s="17" t="s">
        <v>128</v>
      </c>
      <c r="S4" s="17" t="s">
        <v>129</v>
      </c>
      <c r="T4" s="17" t="s">
        <v>128</v>
      </c>
      <c r="U4" s="31">
        <v>45992.0</v>
      </c>
    </row>
    <row r="5">
      <c r="A5" s="17" t="s">
        <v>872</v>
      </c>
      <c r="B5" s="17" t="s">
        <v>873</v>
      </c>
      <c r="C5" s="17" t="s">
        <v>870</v>
      </c>
      <c r="D5" s="17">
        <v>4239924.0</v>
      </c>
      <c r="E5" s="17" t="s">
        <v>871</v>
      </c>
      <c r="F5" s="17">
        <v>0.0</v>
      </c>
      <c r="G5" s="17">
        <v>100.0</v>
      </c>
      <c r="H5" s="17">
        <v>16.0</v>
      </c>
      <c r="I5" s="17">
        <v>29.0</v>
      </c>
      <c r="J5" s="31">
        <v>45979.0</v>
      </c>
      <c r="M5" s="17" t="s">
        <v>1428</v>
      </c>
      <c r="O5" s="31">
        <v>45995.0</v>
      </c>
      <c r="Q5" s="17" t="s">
        <v>128</v>
      </c>
      <c r="S5" s="17" t="s">
        <v>129</v>
      </c>
      <c r="T5" s="17" t="s">
        <v>128</v>
      </c>
      <c r="U5" s="31">
        <v>45992.0</v>
      </c>
    </row>
    <row r="6">
      <c r="A6" s="17" t="s">
        <v>844</v>
      </c>
      <c r="B6" s="17" t="s">
        <v>845</v>
      </c>
      <c r="C6" s="17" t="s">
        <v>842</v>
      </c>
      <c r="D6" s="17">
        <v>4099073.0</v>
      </c>
      <c r="E6" s="17" t="s">
        <v>843</v>
      </c>
      <c r="F6" s="17">
        <v>305.0</v>
      </c>
      <c r="G6" s="17">
        <v>100.0</v>
      </c>
      <c r="H6" s="17">
        <v>129.0</v>
      </c>
      <c r="I6" s="17">
        <v>25.0</v>
      </c>
      <c r="J6" s="31">
        <v>45870.0</v>
      </c>
      <c r="K6" s="31">
        <v>45982.0</v>
      </c>
      <c r="L6" s="31">
        <v>45982.0</v>
      </c>
      <c r="M6" s="17" t="s">
        <v>1429</v>
      </c>
      <c r="N6" s="31">
        <v>46000.0</v>
      </c>
      <c r="O6" s="31">
        <v>45999.0</v>
      </c>
      <c r="Q6" s="17" t="s">
        <v>295</v>
      </c>
      <c r="S6" s="17" t="s">
        <v>129</v>
      </c>
      <c r="T6" s="17" t="s">
        <v>128</v>
      </c>
      <c r="U6" s="31">
        <v>45992.0</v>
      </c>
    </row>
    <row r="7">
      <c r="A7" s="17" t="s">
        <v>820</v>
      </c>
      <c r="B7" s="17" t="s">
        <v>821</v>
      </c>
      <c r="C7" s="17" t="s">
        <v>818</v>
      </c>
      <c r="D7" s="17">
        <v>4214998.0</v>
      </c>
      <c r="E7" s="17" t="s">
        <v>819</v>
      </c>
      <c r="F7" s="17">
        <v>190.0</v>
      </c>
      <c r="G7" s="17">
        <v>100.0</v>
      </c>
      <c r="H7" s="17">
        <v>40.0</v>
      </c>
      <c r="I7" s="17">
        <v>25.0</v>
      </c>
      <c r="J7" s="31">
        <v>45959.0</v>
      </c>
      <c r="K7" s="31">
        <v>45968.0</v>
      </c>
      <c r="L7" s="31">
        <v>45968.0</v>
      </c>
      <c r="M7" s="17" t="s">
        <v>1430</v>
      </c>
      <c r="N7" s="31">
        <v>46001.0</v>
      </c>
      <c r="O7" s="31">
        <v>45999.0</v>
      </c>
      <c r="P7" s="17" t="s">
        <v>315</v>
      </c>
      <c r="Q7" s="17" t="s">
        <v>343</v>
      </c>
      <c r="S7" s="17" t="s">
        <v>129</v>
      </c>
      <c r="T7" s="17" t="s">
        <v>128</v>
      </c>
      <c r="U7" s="31">
        <v>45992.0</v>
      </c>
    </row>
    <row r="8">
      <c r="A8" s="17" t="s">
        <v>860</v>
      </c>
      <c r="B8" s="17" t="s">
        <v>861</v>
      </c>
      <c r="C8" s="17" t="s">
        <v>858</v>
      </c>
      <c r="D8" s="17">
        <v>4233905.0</v>
      </c>
      <c r="E8" s="17" t="s">
        <v>859</v>
      </c>
      <c r="F8" s="17">
        <v>99.0</v>
      </c>
      <c r="G8" s="17">
        <v>100.0</v>
      </c>
      <c r="H8" s="17">
        <v>25.0</v>
      </c>
      <c r="I8" s="17">
        <v>25.0</v>
      </c>
      <c r="J8" s="31">
        <v>45974.0</v>
      </c>
      <c r="M8" s="17" t="s">
        <v>1431</v>
      </c>
      <c r="N8" s="31">
        <v>45999.0</v>
      </c>
      <c r="O8" s="31">
        <v>45999.0</v>
      </c>
      <c r="P8" s="17" t="s">
        <v>315</v>
      </c>
      <c r="Q8" s="17" t="s">
        <v>128</v>
      </c>
      <c r="S8" s="17" t="s">
        <v>129</v>
      </c>
      <c r="T8" s="17" t="s">
        <v>128</v>
      </c>
      <c r="U8" s="31">
        <v>45992.0</v>
      </c>
    </row>
    <row r="9">
      <c r="A9" s="17" t="s">
        <v>876</v>
      </c>
      <c r="B9" s="17" t="s">
        <v>877</v>
      </c>
      <c r="C9" s="17" t="s">
        <v>874</v>
      </c>
      <c r="D9" s="17">
        <v>4239927.0</v>
      </c>
      <c r="E9" s="17" t="s">
        <v>875</v>
      </c>
      <c r="F9" s="17">
        <v>50.0</v>
      </c>
      <c r="G9" s="17">
        <v>100.0</v>
      </c>
      <c r="H9" s="17">
        <v>20.0</v>
      </c>
      <c r="I9" s="17">
        <v>25.0</v>
      </c>
      <c r="J9" s="31">
        <v>45979.0</v>
      </c>
      <c r="M9" s="17" t="s">
        <v>1432</v>
      </c>
      <c r="O9" s="31">
        <v>45999.0</v>
      </c>
      <c r="Q9" s="17" t="s">
        <v>128</v>
      </c>
      <c r="S9" s="17" t="s">
        <v>129</v>
      </c>
      <c r="T9" s="17" t="s">
        <v>128</v>
      </c>
      <c r="U9" s="31">
        <v>45992.0</v>
      </c>
    </row>
    <row r="10">
      <c r="A10" s="17" t="s">
        <v>888</v>
      </c>
      <c r="B10" s="17" t="s">
        <v>889</v>
      </c>
      <c r="C10" s="17" t="s">
        <v>886</v>
      </c>
      <c r="D10" s="17">
        <v>4239923.0</v>
      </c>
      <c r="E10" s="17" t="s">
        <v>887</v>
      </c>
      <c r="F10" s="17">
        <v>0.0</v>
      </c>
      <c r="G10" s="17">
        <v>100.0</v>
      </c>
      <c r="H10" s="17">
        <v>7.0</v>
      </c>
      <c r="I10" s="17">
        <v>25.0</v>
      </c>
      <c r="J10" s="31">
        <v>45992.0</v>
      </c>
      <c r="O10" s="31">
        <v>45999.0</v>
      </c>
      <c r="Q10" s="17" t="s">
        <v>128</v>
      </c>
      <c r="S10" s="17" t="s">
        <v>129</v>
      </c>
      <c r="T10" s="17" t="s">
        <v>128</v>
      </c>
      <c r="U10" s="31">
        <v>45992.0</v>
      </c>
    </row>
    <row r="11">
      <c r="A11" s="17" t="s">
        <v>824</v>
      </c>
      <c r="B11" s="17" t="s">
        <v>825</v>
      </c>
      <c r="C11" s="17" t="s">
        <v>822</v>
      </c>
      <c r="D11" s="17">
        <v>4221007.0</v>
      </c>
      <c r="E11" s="17" t="s">
        <v>823</v>
      </c>
      <c r="F11" s="17">
        <v>200.0</v>
      </c>
      <c r="G11" s="17">
        <v>100.0</v>
      </c>
      <c r="H11" s="17">
        <v>34.0</v>
      </c>
      <c r="I11" s="17">
        <v>24.0</v>
      </c>
      <c r="J11" s="31">
        <v>45966.0</v>
      </c>
      <c r="K11" s="31">
        <v>45981.0</v>
      </c>
      <c r="L11" s="31">
        <v>45981.0</v>
      </c>
      <c r="M11" s="17" t="s">
        <v>1433</v>
      </c>
      <c r="N11" s="31">
        <v>45974.0</v>
      </c>
      <c r="O11" s="31">
        <v>46000.0</v>
      </c>
      <c r="P11" s="17" t="s">
        <v>315</v>
      </c>
      <c r="Q11" s="17" t="s">
        <v>316</v>
      </c>
      <c r="S11" s="17" t="s">
        <v>129</v>
      </c>
      <c r="T11" s="17" t="s">
        <v>128</v>
      </c>
      <c r="U11" s="31">
        <v>45992.0</v>
      </c>
    </row>
    <row r="12">
      <c r="A12" s="17" t="s">
        <v>864</v>
      </c>
      <c r="B12" s="17" t="s">
        <v>865</v>
      </c>
      <c r="C12" s="17" t="s">
        <v>862</v>
      </c>
      <c r="D12" s="17">
        <v>4239920.0</v>
      </c>
      <c r="E12" s="17" t="s">
        <v>863</v>
      </c>
      <c r="F12" s="17">
        <v>25.0</v>
      </c>
      <c r="G12" s="17">
        <v>100.0</v>
      </c>
      <c r="H12" s="17">
        <v>28.0</v>
      </c>
      <c r="I12" s="17">
        <v>17.0</v>
      </c>
      <c r="J12" s="31">
        <v>45979.0</v>
      </c>
      <c r="M12" s="17" t="s">
        <v>1428</v>
      </c>
      <c r="O12" s="31">
        <v>46007.0</v>
      </c>
      <c r="Q12" s="17" t="s">
        <v>128</v>
      </c>
      <c r="S12" s="17" t="s">
        <v>129</v>
      </c>
      <c r="T12" s="17" t="s">
        <v>128</v>
      </c>
      <c r="U12" s="31">
        <v>45992.0</v>
      </c>
    </row>
    <row r="13">
      <c r="A13" s="17" t="s">
        <v>884</v>
      </c>
      <c r="B13" s="17" t="s">
        <v>885</v>
      </c>
      <c r="C13" s="17" t="s">
        <v>882</v>
      </c>
      <c r="D13" s="17">
        <v>4254984.0</v>
      </c>
      <c r="E13" s="17" t="s">
        <v>883</v>
      </c>
      <c r="F13" s="17">
        <v>25.0</v>
      </c>
      <c r="G13" s="17">
        <v>100.0</v>
      </c>
      <c r="H13" s="17">
        <v>15.0</v>
      </c>
      <c r="I13" s="17">
        <v>17.0</v>
      </c>
      <c r="J13" s="31">
        <v>45992.0</v>
      </c>
      <c r="M13" s="17" t="s">
        <v>1434</v>
      </c>
      <c r="O13" s="31">
        <v>46007.0</v>
      </c>
      <c r="Q13" s="17" t="s">
        <v>128</v>
      </c>
      <c r="S13" s="17" t="s">
        <v>129</v>
      </c>
      <c r="T13" s="17" t="s">
        <v>128</v>
      </c>
      <c r="U13" s="31">
        <v>45992.0</v>
      </c>
    </row>
    <row r="14">
      <c r="A14" s="17" t="s">
        <v>880</v>
      </c>
      <c r="B14" s="17" t="s">
        <v>881</v>
      </c>
      <c r="C14" s="17" t="s">
        <v>878</v>
      </c>
      <c r="D14" s="17">
        <v>4266723.0</v>
      </c>
      <c r="E14" s="17" t="s">
        <v>879</v>
      </c>
      <c r="F14" s="17">
        <v>540.0</v>
      </c>
      <c r="G14" s="17">
        <v>100.0</v>
      </c>
      <c r="H14" s="17">
        <v>21.0</v>
      </c>
      <c r="I14" s="17">
        <v>16.0</v>
      </c>
      <c r="J14" s="31">
        <v>45987.0</v>
      </c>
      <c r="K14" s="31">
        <v>45993.0</v>
      </c>
      <c r="L14" s="31">
        <v>45994.0</v>
      </c>
      <c r="M14" s="17" t="s">
        <v>1435</v>
      </c>
      <c r="N14" s="31">
        <v>46000.0</v>
      </c>
      <c r="O14" s="31">
        <v>46008.0</v>
      </c>
      <c r="P14" s="17" t="s">
        <v>315</v>
      </c>
      <c r="Q14" s="17" t="s">
        <v>343</v>
      </c>
      <c r="S14" s="17" t="s">
        <v>129</v>
      </c>
      <c r="T14" s="17" t="s">
        <v>128</v>
      </c>
      <c r="U14" s="31">
        <v>45992.0</v>
      </c>
    </row>
    <row r="15">
      <c r="A15" s="17" t="s">
        <v>848</v>
      </c>
      <c r="B15" s="17" t="s">
        <v>849</v>
      </c>
      <c r="C15" s="17" t="s">
        <v>846</v>
      </c>
      <c r="D15" s="17">
        <v>4134744.0</v>
      </c>
      <c r="E15" s="17" t="s">
        <v>847</v>
      </c>
      <c r="F15" s="17">
        <v>150.5</v>
      </c>
      <c r="G15" s="17">
        <v>100.0</v>
      </c>
      <c r="H15" s="17">
        <v>113.0</v>
      </c>
      <c r="I15" s="17">
        <v>15.0</v>
      </c>
      <c r="J15" s="31">
        <v>45896.0</v>
      </c>
      <c r="K15" s="31">
        <v>45918.0</v>
      </c>
      <c r="L15" s="31">
        <v>45923.0</v>
      </c>
      <c r="M15" s="17" t="s">
        <v>1436</v>
      </c>
      <c r="N15" s="31">
        <v>46002.0</v>
      </c>
      <c r="O15" s="31">
        <v>46009.0</v>
      </c>
      <c r="P15" s="17" t="s">
        <v>315</v>
      </c>
      <c r="Q15" s="17" t="s">
        <v>295</v>
      </c>
      <c r="S15" s="17" t="s">
        <v>129</v>
      </c>
      <c r="T15" s="17" t="s">
        <v>128</v>
      </c>
      <c r="U15" s="31">
        <v>45992.0</v>
      </c>
    </row>
    <row r="16">
      <c r="A16" s="17" t="s">
        <v>852</v>
      </c>
      <c r="B16" s="17" t="s">
        <v>853</v>
      </c>
      <c r="C16" s="17" t="s">
        <v>850</v>
      </c>
      <c r="D16" s="17">
        <v>4263325.0</v>
      </c>
      <c r="E16" s="17" t="s">
        <v>851</v>
      </c>
      <c r="F16" s="17">
        <v>342.5</v>
      </c>
      <c r="G16" s="17">
        <v>100.0</v>
      </c>
      <c r="H16" s="17">
        <v>52.0</v>
      </c>
      <c r="I16" s="17">
        <v>11.0</v>
      </c>
      <c r="J16" s="31">
        <v>45961.0</v>
      </c>
      <c r="K16" s="31">
        <v>45982.0</v>
      </c>
      <c r="L16" s="31">
        <v>45982.0</v>
      </c>
      <c r="M16" s="17" t="s">
        <v>1437</v>
      </c>
      <c r="N16" s="31">
        <v>46027.0</v>
      </c>
      <c r="O16" s="31">
        <v>46013.0</v>
      </c>
      <c r="P16" s="17" t="s">
        <v>315</v>
      </c>
      <c r="Q16" s="17" t="s">
        <v>343</v>
      </c>
      <c r="S16" s="17" t="s">
        <v>129</v>
      </c>
      <c r="T16" s="17" t="s">
        <v>128</v>
      </c>
      <c r="U16" s="31">
        <v>45992.0</v>
      </c>
    </row>
    <row r="17">
      <c r="A17" s="17" t="s">
        <v>900</v>
      </c>
      <c r="B17" s="17" t="s">
        <v>901</v>
      </c>
      <c r="C17" s="17" t="s">
        <v>898</v>
      </c>
      <c r="D17" s="17">
        <v>3869676.0</v>
      </c>
      <c r="E17" s="17" t="s">
        <v>899</v>
      </c>
      <c r="F17" s="17">
        <v>0.0</v>
      </c>
      <c r="G17" s="17">
        <v>100.0</v>
      </c>
      <c r="H17" s="17">
        <v>13.0</v>
      </c>
      <c r="I17" s="17">
        <v>11.0</v>
      </c>
      <c r="J17" s="31">
        <v>46000.0</v>
      </c>
      <c r="K17" s="31">
        <v>46004.0</v>
      </c>
      <c r="L17" s="31">
        <v>45999.0</v>
      </c>
      <c r="M17" s="17" t="s">
        <v>1438</v>
      </c>
      <c r="N17" s="31">
        <v>46007.0</v>
      </c>
      <c r="O17" s="31">
        <v>46013.0</v>
      </c>
      <c r="P17" s="17" t="s">
        <v>1439</v>
      </c>
      <c r="Q17" s="17" t="s">
        <v>316</v>
      </c>
      <c r="S17" s="17" t="s">
        <v>129</v>
      </c>
      <c r="T17" s="17" t="s">
        <v>128</v>
      </c>
      <c r="U17" s="31">
        <v>45992.0</v>
      </c>
    </row>
    <row r="18">
      <c r="A18" s="17" t="s">
        <v>908</v>
      </c>
      <c r="B18" s="17" t="s">
        <v>909</v>
      </c>
      <c r="C18" s="17" t="s">
        <v>906</v>
      </c>
      <c r="D18" s="17">
        <v>4277306.0</v>
      </c>
      <c r="E18" s="17" t="s">
        <v>907</v>
      </c>
      <c r="F18" s="17">
        <v>25.0</v>
      </c>
      <c r="G18" s="17">
        <v>100.0</v>
      </c>
      <c r="H18" s="17">
        <v>7.0</v>
      </c>
      <c r="I18" s="17">
        <v>11.0</v>
      </c>
      <c r="J18" s="31">
        <v>46006.0</v>
      </c>
      <c r="M18" s="17" t="s">
        <v>1440</v>
      </c>
      <c r="N18" s="31">
        <v>46027.0</v>
      </c>
      <c r="O18" s="31">
        <v>46013.0</v>
      </c>
      <c r="P18" s="17" t="s">
        <v>1439</v>
      </c>
      <c r="Q18" s="17" t="s">
        <v>128</v>
      </c>
      <c r="S18" s="17" t="s">
        <v>129</v>
      </c>
      <c r="T18" s="17" t="s">
        <v>128</v>
      </c>
      <c r="U18" s="31">
        <v>45992.0</v>
      </c>
    </row>
    <row r="19">
      <c r="A19" s="17" t="s">
        <v>904</v>
      </c>
      <c r="B19" s="17" t="s">
        <v>905</v>
      </c>
      <c r="C19" s="17" t="s">
        <v>902</v>
      </c>
      <c r="D19" s="17">
        <v>4277302.0</v>
      </c>
      <c r="E19" s="17" t="s">
        <v>903</v>
      </c>
      <c r="F19" s="17">
        <v>0.0</v>
      </c>
      <c r="G19" s="17">
        <v>100.0</v>
      </c>
      <c r="H19" s="17">
        <v>7.0</v>
      </c>
      <c r="I19" s="17">
        <v>11.0</v>
      </c>
      <c r="J19" s="31">
        <v>46006.0</v>
      </c>
      <c r="M19" s="17" t="s">
        <v>1441</v>
      </c>
      <c r="N19" s="31">
        <v>46027.0</v>
      </c>
      <c r="O19" s="31">
        <v>46013.0</v>
      </c>
      <c r="P19" s="17" t="s">
        <v>1439</v>
      </c>
      <c r="Q19" s="17" t="s">
        <v>128</v>
      </c>
      <c r="S19" s="17" t="s">
        <v>129</v>
      </c>
      <c r="T19" s="17" t="s">
        <v>128</v>
      </c>
      <c r="U19" s="31">
        <v>45992.0</v>
      </c>
    </row>
    <row r="20">
      <c r="A20" s="17" t="s">
        <v>892</v>
      </c>
      <c r="B20" s="17" t="s">
        <v>893</v>
      </c>
      <c r="C20" s="17" t="s">
        <v>890</v>
      </c>
      <c r="D20" s="17">
        <v>4294933.0</v>
      </c>
      <c r="E20" s="17" t="s">
        <v>891</v>
      </c>
      <c r="F20" s="17">
        <v>131.5</v>
      </c>
      <c r="G20" s="17">
        <v>100.0</v>
      </c>
      <c r="H20" s="17">
        <v>25.0</v>
      </c>
      <c r="I20" s="17">
        <v>7.0</v>
      </c>
      <c r="J20" s="31">
        <v>45992.0</v>
      </c>
      <c r="K20" s="31">
        <v>46028.0</v>
      </c>
      <c r="L20" s="31">
        <v>46009.0</v>
      </c>
      <c r="M20" s="17" t="s">
        <v>1442</v>
      </c>
      <c r="N20" s="31">
        <v>46027.0</v>
      </c>
      <c r="O20" s="31">
        <v>46017.0</v>
      </c>
      <c r="P20" s="17" t="s">
        <v>315</v>
      </c>
      <c r="Q20" s="17" t="s">
        <v>343</v>
      </c>
      <c r="S20" s="17" t="s">
        <v>129</v>
      </c>
      <c r="T20" s="17" t="s">
        <v>128</v>
      </c>
      <c r="U20" s="31">
        <v>45992.0</v>
      </c>
    </row>
    <row r="21">
      <c r="A21" s="17" t="s">
        <v>836</v>
      </c>
      <c r="B21" s="17" t="s">
        <v>837</v>
      </c>
      <c r="C21" s="17" t="s">
        <v>834</v>
      </c>
      <c r="D21" s="17">
        <v>4307473.0</v>
      </c>
      <c r="E21" s="17" t="s">
        <v>835</v>
      </c>
      <c r="F21" s="17">
        <v>462.0</v>
      </c>
      <c r="G21" s="17">
        <v>100.0</v>
      </c>
      <c r="H21" s="17">
        <v>180.0</v>
      </c>
      <c r="I21" s="17">
        <v>0.0</v>
      </c>
      <c r="J21" s="31">
        <v>45841.0</v>
      </c>
      <c r="K21" s="31">
        <v>46020.0</v>
      </c>
      <c r="L21" s="31">
        <v>46041.0</v>
      </c>
      <c r="M21" s="17" t="s">
        <v>1443</v>
      </c>
      <c r="N21" s="31">
        <v>46027.0</v>
      </c>
      <c r="O21" s="31">
        <v>46021.0</v>
      </c>
      <c r="P21" s="17" t="s">
        <v>315</v>
      </c>
      <c r="Q21" s="17" t="s">
        <v>295</v>
      </c>
      <c r="S21" s="17" t="s">
        <v>129</v>
      </c>
      <c r="T21" s="17" t="s">
        <v>128</v>
      </c>
      <c r="U21" s="31">
        <v>45992.0</v>
      </c>
    </row>
    <row r="22">
      <c r="A22" s="17" t="s">
        <v>812</v>
      </c>
      <c r="B22" s="17" t="s">
        <v>813</v>
      </c>
      <c r="C22" s="17" t="s">
        <v>810</v>
      </c>
      <c r="D22" s="17">
        <v>2710123.0</v>
      </c>
      <c r="E22" s="17" t="s">
        <v>811</v>
      </c>
      <c r="F22" s="17">
        <v>80.0</v>
      </c>
      <c r="G22" s="17">
        <v>100.0</v>
      </c>
      <c r="H22" s="17">
        <v>107.0</v>
      </c>
      <c r="I22" s="17">
        <v>37.0</v>
      </c>
      <c r="J22" s="31">
        <v>45873.0</v>
      </c>
      <c r="M22" s="17" t="s">
        <v>1444</v>
      </c>
      <c r="N22" s="31">
        <v>45915.0</v>
      </c>
      <c r="O22" s="31">
        <v>45980.0</v>
      </c>
      <c r="Q22" s="17" t="s">
        <v>295</v>
      </c>
      <c r="S22" s="17" t="s">
        <v>129</v>
      </c>
      <c r="T22" s="17" t="s">
        <v>128</v>
      </c>
      <c r="U22" s="31">
        <v>45962.0</v>
      </c>
    </row>
    <row r="23">
      <c r="A23" s="17" t="s">
        <v>832</v>
      </c>
      <c r="B23" s="17" t="s">
        <v>833</v>
      </c>
      <c r="C23" s="17" t="s">
        <v>830</v>
      </c>
      <c r="D23" s="17">
        <v>4117067.0</v>
      </c>
      <c r="E23" s="17" t="s">
        <v>831</v>
      </c>
      <c r="F23" s="17">
        <v>400.0</v>
      </c>
      <c r="G23" s="17">
        <v>100.0</v>
      </c>
      <c r="H23" s="17">
        <v>154.0</v>
      </c>
      <c r="I23" s="17">
        <v>37.0</v>
      </c>
      <c r="J23" s="31">
        <v>45831.0</v>
      </c>
      <c r="K23" s="31">
        <v>45985.0</v>
      </c>
      <c r="L23" s="31">
        <v>45944.0</v>
      </c>
      <c r="M23" s="17" t="s">
        <v>1445</v>
      </c>
      <c r="N23" s="31">
        <v>45994.0</v>
      </c>
      <c r="O23" s="31">
        <v>45985.0</v>
      </c>
      <c r="Q23" s="17" t="s">
        <v>128</v>
      </c>
      <c r="S23" s="17" t="s">
        <v>129</v>
      </c>
      <c r="T23" s="17" t="s">
        <v>128</v>
      </c>
      <c r="U23" s="31">
        <v>45962.0</v>
      </c>
    </row>
    <row r="24">
      <c r="A24" s="17" t="s">
        <v>816</v>
      </c>
      <c r="B24" s="17" t="s">
        <v>817</v>
      </c>
      <c r="C24" s="17" t="s">
        <v>814</v>
      </c>
      <c r="D24" s="17">
        <v>4222088.0</v>
      </c>
      <c r="E24" s="17" t="s">
        <v>815</v>
      </c>
      <c r="F24" s="17">
        <v>26.49</v>
      </c>
      <c r="G24" s="17">
        <v>100.0</v>
      </c>
      <c r="H24" s="17">
        <v>31.0</v>
      </c>
      <c r="I24" s="17">
        <v>37.0</v>
      </c>
      <c r="J24" s="31">
        <v>45954.0</v>
      </c>
      <c r="K24" s="31">
        <v>45961.0</v>
      </c>
      <c r="L24" s="31">
        <v>45989.0</v>
      </c>
      <c r="M24" s="17" t="s">
        <v>1446</v>
      </c>
      <c r="N24" s="31">
        <v>45987.0</v>
      </c>
      <c r="O24" s="31">
        <v>45985.0</v>
      </c>
      <c r="P24" s="17" t="s">
        <v>1439</v>
      </c>
      <c r="Q24" s="17" t="s">
        <v>343</v>
      </c>
      <c r="S24" s="17" t="s">
        <v>129</v>
      </c>
      <c r="T24" s="17" t="s">
        <v>128</v>
      </c>
      <c r="U24" s="31">
        <v>45962.0</v>
      </c>
    </row>
    <row r="25">
      <c r="A25" s="17" t="s">
        <v>791</v>
      </c>
      <c r="B25" s="17" t="s">
        <v>792</v>
      </c>
      <c r="C25" s="17" t="s">
        <v>789</v>
      </c>
      <c r="D25" s="17">
        <v>2402714.0</v>
      </c>
      <c r="E25" s="17" t="s">
        <v>790</v>
      </c>
      <c r="F25" s="17">
        <v>246.0</v>
      </c>
      <c r="G25" s="17">
        <v>100.0</v>
      </c>
      <c r="H25" s="17">
        <v>75.0</v>
      </c>
      <c r="I25" s="17">
        <v>37.0</v>
      </c>
      <c r="J25" s="31">
        <v>45856.0</v>
      </c>
      <c r="K25" s="31">
        <v>45853.0</v>
      </c>
      <c r="L25" s="31">
        <v>45853.0</v>
      </c>
      <c r="N25" s="31">
        <v>45931.0</v>
      </c>
      <c r="O25" s="31">
        <v>45931.0</v>
      </c>
      <c r="Q25" s="17" t="s">
        <v>295</v>
      </c>
      <c r="S25" s="17" t="s">
        <v>129</v>
      </c>
      <c r="T25" s="17" t="s">
        <v>128</v>
      </c>
      <c r="U25" s="31">
        <v>45931.0</v>
      </c>
    </row>
    <row r="26">
      <c r="A26" s="17" t="s">
        <v>800</v>
      </c>
      <c r="B26" s="17" t="s">
        <v>801</v>
      </c>
      <c r="C26" s="17" t="s">
        <v>798</v>
      </c>
      <c r="D26" s="17">
        <v>100325.0</v>
      </c>
      <c r="E26" s="17" t="s">
        <v>799</v>
      </c>
      <c r="F26" s="17">
        <v>0.0</v>
      </c>
      <c r="G26" s="17">
        <v>100.0</v>
      </c>
      <c r="H26" s="17">
        <v>0.0</v>
      </c>
      <c r="I26" s="17">
        <v>37.0</v>
      </c>
      <c r="J26" s="31">
        <v>45974.0</v>
      </c>
      <c r="O26" s="31">
        <v>45933.0</v>
      </c>
      <c r="Q26" s="17" t="s">
        <v>128</v>
      </c>
      <c r="S26" s="17" t="s">
        <v>129</v>
      </c>
      <c r="T26" s="17" t="s">
        <v>128</v>
      </c>
      <c r="U26" s="31">
        <v>45931.0</v>
      </c>
    </row>
    <row r="27">
      <c r="A27" s="17" t="s">
        <v>290</v>
      </c>
      <c r="B27" s="17" t="s">
        <v>291</v>
      </c>
      <c r="C27" s="17" t="s">
        <v>292</v>
      </c>
      <c r="D27" s="17">
        <v>4031755.0</v>
      </c>
      <c r="E27" s="17" t="s">
        <v>293</v>
      </c>
      <c r="F27" s="17">
        <v>175.0</v>
      </c>
      <c r="G27" s="17">
        <v>100.0</v>
      </c>
      <c r="H27" s="17">
        <v>45.0</v>
      </c>
      <c r="I27" s="17">
        <v>37.0</v>
      </c>
      <c r="J27" s="31">
        <v>45856.0</v>
      </c>
      <c r="K27" s="31">
        <v>45870.0</v>
      </c>
      <c r="L27" s="31">
        <v>45899.0</v>
      </c>
      <c r="M27" s="17" t="s">
        <v>294</v>
      </c>
      <c r="N27" s="31">
        <v>45915.0</v>
      </c>
      <c r="O27" s="31">
        <v>45901.0</v>
      </c>
      <c r="Q27" s="17" t="s">
        <v>295</v>
      </c>
      <c r="S27" s="17" t="s">
        <v>129</v>
      </c>
      <c r="T27" s="17" t="s">
        <v>128</v>
      </c>
      <c r="U27" s="31">
        <v>45901.0</v>
      </c>
    </row>
    <row r="28">
      <c r="A28" s="17" t="s">
        <v>296</v>
      </c>
      <c r="B28" s="17" t="s">
        <v>297</v>
      </c>
      <c r="C28" s="17" t="s">
        <v>298</v>
      </c>
      <c r="D28" s="17">
        <v>3328212.0</v>
      </c>
      <c r="E28" s="17" t="s">
        <v>299</v>
      </c>
      <c r="F28" s="17">
        <v>55.0</v>
      </c>
      <c r="G28" s="17">
        <v>100.0</v>
      </c>
      <c r="H28" s="17">
        <v>87.0</v>
      </c>
      <c r="I28" s="17">
        <v>37.0</v>
      </c>
      <c r="J28" s="31">
        <v>45816.0</v>
      </c>
      <c r="O28" s="31">
        <v>45903.0</v>
      </c>
      <c r="Q28" s="17" t="s">
        <v>128</v>
      </c>
      <c r="S28" s="17" t="s">
        <v>129</v>
      </c>
      <c r="T28" s="17" t="s">
        <v>128</v>
      </c>
      <c r="U28" s="31">
        <v>45901.0</v>
      </c>
    </row>
    <row r="29">
      <c r="A29" s="17" t="s">
        <v>261</v>
      </c>
      <c r="B29" s="17" t="s">
        <v>262</v>
      </c>
      <c r="C29" s="17" t="s">
        <v>263</v>
      </c>
      <c r="D29" s="17">
        <v>4030970.0</v>
      </c>
      <c r="E29" s="17" t="s">
        <v>264</v>
      </c>
      <c r="F29" s="17">
        <v>55.61</v>
      </c>
      <c r="G29" s="17">
        <v>100.0</v>
      </c>
      <c r="H29" s="17">
        <v>6.0</v>
      </c>
      <c r="I29" s="17">
        <v>37.0</v>
      </c>
      <c r="J29" s="31">
        <v>45870.0</v>
      </c>
      <c r="O29" s="31">
        <v>45876.0</v>
      </c>
      <c r="Q29" s="17" t="s">
        <v>128</v>
      </c>
      <c r="S29" s="17" t="s">
        <v>129</v>
      </c>
      <c r="T29" s="17" t="s">
        <v>128</v>
      </c>
      <c r="U29" s="31">
        <v>45870.0</v>
      </c>
    </row>
    <row r="30">
      <c r="A30" s="17" t="s">
        <v>265</v>
      </c>
      <c r="B30" s="17" t="s">
        <v>266</v>
      </c>
      <c r="C30" s="17" t="s">
        <v>267</v>
      </c>
      <c r="D30" s="17">
        <v>4038405.0</v>
      </c>
      <c r="E30" s="17" t="s">
        <v>268</v>
      </c>
      <c r="F30" s="17">
        <v>338.01</v>
      </c>
      <c r="G30" s="17">
        <v>100.0</v>
      </c>
      <c r="H30" s="17">
        <v>38.0</v>
      </c>
      <c r="I30" s="17">
        <v>37.0</v>
      </c>
      <c r="J30" s="31">
        <v>45839.0</v>
      </c>
      <c r="O30" s="31">
        <v>45877.0</v>
      </c>
      <c r="Q30" s="17" t="s">
        <v>128</v>
      </c>
      <c r="S30" s="17" t="s">
        <v>129</v>
      </c>
      <c r="T30" s="17" t="s">
        <v>128</v>
      </c>
      <c r="U30" s="31">
        <v>45870.0</v>
      </c>
    </row>
    <row r="31">
      <c r="A31" s="17" t="s">
        <v>273</v>
      </c>
      <c r="B31" s="17" t="s">
        <v>274</v>
      </c>
      <c r="C31" s="17" t="s">
        <v>275</v>
      </c>
      <c r="D31" s="17">
        <v>4044926.0</v>
      </c>
      <c r="E31" s="17" t="s">
        <v>276</v>
      </c>
      <c r="F31" s="17">
        <v>80.0</v>
      </c>
      <c r="G31" s="17">
        <v>100.0</v>
      </c>
      <c r="H31" s="17">
        <v>54.0</v>
      </c>
      <c r="I31" s="17">
        <v>37.0</v>
      </c>
      <c r="J31" s="31">
        <v>45826.0</v>
      </c>
      <c r="O31" s="31">
        <v>45880.0</v>
      </c>
      <c r="Q31" s="17" t="s">
        <v>128</v>
      </c>
      <c r="S31" s="17" t="s">
        <v>129</v>
      </c>
      <c r="T31" s="17" t="s">
        <v>128</v>
      </c>
      <c r="U31" s="31">
        <v>45870.0</v>
      </c>
    </row>
    <row r="32">
      <c r="A32" s="17" t="s">
        <v>269</v>
      </c>
      <c r="B32" s="17" t="s">
        <v>270</v>
      </c>
      <c r="C32" s="17" t="s">
        <v>271</v>
      </c>
      <c r="D32" s="17">
        <v>4039652.0</v>
      </c>
      <c r="E32" s="17" t="s">
        <v>272</v>
      </c>
      <c r="F32" s="17">
        <v>50.0</v>
      </c>
      <c r="G32" s="17">
        <v>100.0</v>
      </c>
      <c r="H32" s="17">
        <v>17.0</v>
      </c>
      <c r="I32" s="17">
        <v>37.0</v>
      </c>
      <c r="J32" s="31">
        <v>45863.0</v>
      </c>
      <c r="O32" s="31">
        <v>45880.0</v>
      </c>
      <c r="Q32" s="17" t="s">
        <v>128</v>
      </c>
      <c r="S32" s="17" t="s">
        <v>129</v>
      </c>
      <c r="T32" s="17" t="s">
        <v>128</v>
      </c>
      <c r="U32" s="31">
        <v>45870.0</v>
      </c>
    </row>
    <row r="33">
      <c r="A33" s="17" t="s">
        <v>282</v>
      </c>
      <c r="B33" s="17" t="s">
        <v>283</v>
      </c>
      <c r="C33" s="17" t="s">
        <v>284</v>
      </c>
      <c r="D33" s="17">
        <v>4064786.0</v>
      </c>
      <c r="E33" s="17" t="s">
        <v>285</v>
      </c>
      <c r="F33" s="17">
        <v>1963.5</v>
      </c>
      <c r="G33" s="17">
        <v>100.0</v>
      </c>
      <c r="H33" s="17">
        <v>14.0</v>
      </c>
      <c r="I33" s="17">
        <v>37.0</v>
      </c>
      <c r="J33" s="31">
        <v>45870.0</v>
      </c>
      <c r="O33" s="31">
        <v>45884.0</v>
      </c>
      <c r="Q33" s="17" t="s">
        <v>128</v>
      </c>
      <c r="S33" s="17" t="s">
        <v>129</v>
      </c>
      <c r="T33" s="17" t="s">
        <v>128</v>
      </c>
      <c r="U33" s="31">
        <v>45870.0</v>
      </c>
    </row>
    <row r="34">
      <c r="A34" s="17" t="s">
        <v>278</v>
      </c>
      <c r="B34" s="17" t="s">
        <v>279</v>
      </c>
      <c r="C34" s="17" t="s">
        <v>280</v>
      </c>
      <c r="D34" s="17">
        <v>4008827.0</v>
      </c>
      <c r="E34" s="17" t="s">
        <v>281</v>
      </c>
      <c r="F34" s="17">
        <v>504.98</v>
      </c>
      <c r="G34" s="17">
        <v>100.0</v>
      </c>
      <c r="H34" s="17">
        <v>14.0</v>
      </c>
      <c r="I34" s="17">
        <v>37.0</v>
      </c>
      <c r="J34" s="31">
        <v>45870.0</v>
      </c>
      <c r="O34" s="31">
        <v>45884.0</v>
      </c>
      <c r="Q34" s="17" t="s">
        <v>128</v>
      </c>
      <c r="S34" s="17" t="s">
        <v>129</v>
      </c>
      <c r="T34" s="17" t="s">
        <v>128</v>
      </c>
      <c r="U34" s="31">
        <v>45870.0</v>
      </c>
    </row>
    <row r="35">
      <c r="A35" s="17" t="s">
        <v>286</v>
      </c>
      <c r="B35" s="17" t="s">
        <v>287</v>
      </c>
      <c r="C35" s="17" t="s">
        <v>288</v>
      </c>
      <c r="D35" s="17">
        <v>4068848.0</v>
      </c>
      <c r="E35" s="17" t="s">
        <v>289</v>
      </c>
      <c r="F35" s="17">
        <v>355.0</v>
      </c>
      <c r="G35" s="17">
        <v>100.0</v>
      </c>
      <c r="H35" s="17">
        <v>16.0</v>
      </c>
      <c r="I35" s="17">
        <v>37.0</v>
      </c>
      <c r="J35" s="31">
        <v>45880.0</v>
      </c>
      <c r="O35" s="31">
        <v>45896.0</v>
      </c>
      <c r="Q35" s="17" t="s">
        <v>128</v>
      </c>
      <c r="S35" s="17" t="s">
        <v>129</v>
      </c>
      <c r="T35" s="17" t="s">
        <v>128</v>
      </c>
      <c r="U35" s="31">
        <v>45870.0</v>
      </c>
    </row>
    <row r="36">
      <c r="A36" s="17" t="s">
        <v>209</v>
      </c>
      <c r="B36" s="17" t="s">
        <v>165</v>
      </c>
      <c r="C36" s="17" t="s">
        <v>210</v>
      </c>
      <c r="D36" s="17">
        <v>3987123.0</v>
      </c>
      <c r="E36" s="17" t="s">
        <v>211</v>
      </c>
      <c r="F36" s="17">
        <v>50.0</v>
      </c>
      <c r="G36" s="17">
        <v>100.0</v>
      </c>
      <c r="H36" s="17">
        <v>0.0</v>
      </c>
      <c r="I36" s="17">
        <v>37.0</v>
      </c>
      <c r="J36" s="31">
        <v>45839.0</v>
      </c>
      <c r="O36" s="31">
        <v>45839.0</v>
      </c>
      <c r="Q36" s="17" t="s">
        <v>128</v>
      </c>
      <c r="S36" s="17" t="s">
        <v>129</v>
      </c>
      <c r="T36" s="17" t="s">
        <v>128</v>
      </c>
      <c r="U36" s="31">
        <v>45839.0</v>
      </c>
    </row>
    <row r="37">
      <c r="A37" s="17" t="s">
        <v>786</v>
      </c>
      <c r="B37" s="17" t="s">
        <v>787</v>
      </c>
      <c r="C37" s="17" t="s">
        <v>784</v>
      </c>
      <c r="D37" s="17">
        <v>3993022.0</v>
      </c>
      <c r="E37" s="17" t="s">
        <v>785</v>
      </c>
      <c r="F37" s="17">
        <v>113.0</v>
      </c>
      <c r="G37" s="17">
        <v>100.0</v>
      </c>
      <c r="H37" s="17">
        <v>0.0</v>
      </c>
      <c r="I37" s="17">
        <v>37.0</v>
      </c>
      <c r="J37" s="31">
        <v>45874.0</v>
      </c>
      <c r="M37" s="17" t="s">
        <v>1447</v>
      </c>
      <c r="N37" s="31">
        <v>45931.0</v>
      </c>
      <c r="O37" s="31">
        <v>45841.0</v>
      </c>
      <c r="Q37" s="17" t="s">
        <v>309</v>
      </c>
      <c r="S37" s="17" t="s">
        <v>129</v>
      </c>
      <c r="T37" s="17" t="s">
        <v>128</v>
      </c>
      <c r="U37" s="31">
        <v>45839.0</v>
      </c>
    </row>
    <row r="38">
      <c r="A38" s="17" t="s">
        <v>212</v>
      </c>
      <c r="B38" s="17" t="s">
        <v>213</v>
      </c>
      <c r="C38" s="17" t="s">
        <v>214</v>
      </c>
      <c r="D38" s="17">
        <v>3959338.0</v>
      </c>
      <c r="E38" s="17" t="s">
        <v>215</v>
      </c>
      <c r="F38" s="17">
        <v>96.47</v>
      </c>
      <c r="G38" s="17">
        <v>100.0</v>
      </c>
      <c r="H38" s="17">
        <v>2.0</v>
      </c>
      <c r="I38" s="17">
        <v>37.0</v>
      </c>
      <c r="J38" s="31">
        <v>45839.0</v>
      </c>
      <c r="O38" s="31">
        <v>45841.0</v>
      </c>
      <c r="Q38" s="17" t="s">
        <v>128</v>
      </c>
      <c r="S38" s="17" t="s">
        <v>129</v>
      </c>
      <c r="T38" s="17" t="s">
        <v>128</v>
      </c>
      <c r="U38" s="31">
        <v>45839.0</v>
      </c>
    </row>
    <row r="39">
      <c r="A39" s="17" t="s">
        <v>216</v>
      </c>
      <c r="B39" s="17" t="s">
        <v>217</v>
      </c>
      <c r="C39" s="17" t="s">
        <v>218</v>
      </c>
      <c r="D39" s="17">
        <v>3825826.0</v>
      </c>
      <c r="E39" s="17" t="s">
        <v>219</v>
      </c>
      <c r="F39" s="17">
        <v>80.0</v>
      </c>
      <c r="G39" s="17">
        <v>100.0</v>
      </c>
      <c r="H39" s="17">
        <v>32.0</v>
      </c>
      <c r="I39" s="17">
        <v>37.0</v>
      </c>
      <c r="J39" s="31">
        <v>45810.0</v>
      </c>
      <c r="O39" s="31">
        <v>45842.0</v>
      </c>
      <c r="Q39" s="17" t="s">
        <v>128</v>
      </c>
      <c r="S39" s="17" t="s">
        <v>129</v>
      </c>
      <c r="T39" s="17" t="s">
        <v>128</v>
      </c>
      <c r="U39" s="31">
        <v>45839.0</v>
      </c>
    </row>
    <row r="40">
      <c r="A40" s="17" t="s">
        <v>220</v>
      </c>
      <c r="B40" s="17" t="s">
        <v>221</v>
      </c>
      <c r="C40" s="17" t="s">
        <v>222</v>
      </c>
      <c r="D40" s="17">
        <v>3991830.0</v>
      </c>
      <c r="E40" s="17" t="s">
        <v>223</v>
      </c>
      <c r="F40" s="17">
        <v>50.0</v>
      </c>
      <c r="G40" s="17">
        <v>100.0</v>
      </c>
      <c r="H40" s="17">
        <v>0.0</v>
      </c>
      <c r="I40" s="17">
        <v>37.0</v>
      </c>
      <c r="J40" s="31">
        <v>45848.0</v>
      </c>
      <c r="O40" s="31">
        <v>45847.0</v>
      </c>
      <c r="Q40" s="17" t="s">
        <v>128</v>
      </c>
      <c r="S40" s="17" t="s">
        <v>129</v>
      </c>
      <c r="T40" s="17" t="s">
        <v>128</v>
      </c>
      <c r="U40" s="31">
        <v>45839.0</v>
      </c>
    </row>
    <row r="41">
      <c r="A41" s="17" t="s">
        <v>224</v>
      </c>
      <c r="B41" s="17" t="s">
        <v>225</v>
      </c>
      <c r="C41" s="17" t="s">
        <v>226</v>
      </c>
      <c r="D41" s="17">
        <v>3275131.0</v>
      </c>
      <c r="E41" s="17" t="s">
        <v>227</v>
      </c>
      <c r="F41" s="17">
        <v>50.0</v>
      </c>
      <c r="G41" s="17">
        <v>100.0</v>
      </c>
      <c r="H41" s="17">
        <v>31.0</v>
      </c>
      <c r="I41" s="17">
        <v>37.0</v>
      </c>
      <c r="J41" s="31">
        <v>45817.0</v>
      </c>
      <c r="O41" s="31">
        <v>45848.0</v>
      </c>
      <c r="Q41" s="17" t="s">
        <v>128</v>
      </c>
      <c r="S41" s="17" t="s">
        <v>129</v>
      </c>
      <c r="T41" s="17" t="s">
        <v>128</v>
      </c>
      <c r="U41" s="31">
        <v>45839.0</v>
      </c>
    </row>
    <row r="42">
      <c r="A42" s="17" t="s">
        <v>232</v>
      </c>
      <c r="B42" s="17" t="s">
        <v>233</v>
      </c>
      <c r="C42" s="17" t="s">
        <v>234</v>
      </c>
      <c r="D42" s="17">
        <v>4011819.0</v>
      </c>
      <c r="E42" s="17" t="s">
        <v>235</v>
      </c>
      <c r="F42" s="17">
        <v>86.27</v>
      </c>
      <c r="G42" s="17">
        <v>100.0</v>
      </c>
      <c r="H42" s="17">
        <v>0.0</v>
      </c>
      <c r="I42" s="17">
        <v>37.0</v>
      </c>
      <c r="J42" s="31">
        <v>45849.0</v>
      </c>
      <c r="O42" s="31">
        <v>45849.0</v>
      </c>
      <c r="Q42" s="17" t="s">
        <v>128</v>
      </c>
      <c r="S42" s="17" t="s">
        <v>129</v>
      </c>
      <c r="T42" s="17" t="s">
        <v>128</v>
      </c>
      <c r="U42" s="31">
        <v>45839.0</v>
      </c>
    </row>
    <row r="43">
      <c r="A43" s="17" t="s">
        <v>228</v>
      </c>
      <c r="B43" s="17" t="s">
        <v>229</v>
      </c>
      <c r="C43" s="17" t="s">
        <v>230</v>
      </c>
      <c r="D43" s="17">
        <v>3997416.0</v>
      </c>
      <c r="E43" s="17" t="s">
        <v>231</v>
      </c>
      <c r="F43" s="17">
        <v>68.82</v>
      </c>
      <c r="G43" s="17">
        <v>100.0</v>
      </c>
      <c r="H43" s="17">
        <v>0.0</v>
      </c>
      <c r="I43" s="17">
        <v>37.0</v>
      </c>
      <c r="J43" s="31">
        <v>45876.0</v>
      </c>
      <c r="O43" s="31">
        <v>45849.0</v>
      </c>
      <c r="Q43" s="17" t="s">
        <v>128</v>
      </c>
      <c r="S43" s="17" t="s">
        <v>129</v>
      </c>
      <c r="T43" s="17" t="s">
        <v>128</v>
      </c>
      <c r="U43" s="31">
        <v>45839.0</v>
      </c>
    </row>
    <row r="44">
      <c r="A44" s="17" t="s">
        <v>236</v>
      </c>
      <c r="B44" s="17" t="s">
        <v>237</v>
      </c>
      <c r="C44" s="17" t="s">
        <v>238</v>
      </c>
      <c r="D44" s="17">
        <v>4010351.0</v>
      </c>
      <c r="E44" s="17" t="s">
        <v>239</v>
      </c>
      <c r="F44" s="17">
        <v>810.07</v>
      </c>
      <c r="G44" s="17">
        <v>100.0</v>
      </c>
      <c r="H44" s="17">
        <v>14.0</v>
      </c>
      <c r="I44" s="17">
        <v>37.0</v>
      </c>
      <c r="J44" s="31">
        <v>45839.0</v>
      </c>
      <c r="O44" s="31">
        <v>45853.0</v>
      </c>
      <c r="Q44" s="17" t="s">
        <v>128</v>
      </c>
      <c r="S44" s="17" t="s">
        <v>129</v>
      </c>
      <c r="T44" s="17" t="s">
        <v>128</v>
      </c>
      <c r="U44" s="31">
        <v>45839.0</v>
      </c>
    </row>
    <row r="45">
      <c r="A45" s="17" t="s">
        <v>240</v>
      </c>
      <c r="B45" s="17" t="s">
        <v>241</v>
      </c>
      <c r="C45" s="17" t="s">
        <v>242</v>
      </c>
      <c r="D45" s="17">
        <v>4011251.0</v>
      </c>
      <c r="E45" s="17" t="s">
        <v>243</v>
      </c>
      <c r="F45" s="17">
        <v>174.41</v>
      </c>
      <c r="G45" s="17">
        <v>100.0</v>
      </c>
      <c r="H45" s="17">
        <v>16.0</v>
      </c>
      <c r="I45" s="17">
        <v>37.0</v>
      </c>
      <c r="J45" s="31">
        <v>45838.0</v>
      </c>
      <c r="O45" s="31">
        <v>45854.0</v>
      </c>
      <c r="Q45" s="17" t="s">
        <v>128</v>
      </c>
      <c r="S45" s="17" t="s">
        <v>129</v>
      </c>
      <c r="T45" s="17" t="s">
        <v>128</v>
      </c>
      <c r="U45" s="31">
        <v>45839.0</v>
      </c>
    </row>
    <row r="46">
      <c r="A46" s="17" t="s">
        <v>245</v>
      </c>
      <c r="B46" s="17" t="s">
        <v>246</v>
      </c>
      <c r="C46" s="17" t="s">
        <v>247</v>
      </c>
      <c r="D46" s="17">
        <v>3782339.0</v>
      </c>
      <c r="E46" s="17" t="s">
        <v>248</v>
      </c>
      <c r="F46" s="17">
        <v>50.0</v>
      </c>
      <c r="G46" s="17">
        <v>100.0</v>
      </c>
      <c r="H46" s="17">
        <v>32.0</v>
      </c>
      <c r="I46" s="17">
        <v>37.0</v>
      </c>
      <c r="J46" s="31">
        <v>45824.0</v>
      </c>
      <c r="O46" s="31">
        <v>45856.0</v>
      </c>
      <c r="Q46" s="17" t="s">
        <v>128</v>
      </c>
      <c r="S46" s="17" t="s">
        <v>129</v>
      </c>
      <c r="T46" s="17" t="s">
        <v>128</v>
      </c>
      <c r="U46" s="31">
        <v>45839.0</v>
      </c>
    </row>
    <row r="47">
      <c r="A47" s="17" t="s">
        <v>249</v>
      </c>
      <c r="B47" s="17" t="s">
        <v>250</v>
      </c>
      <c r="C47" s="17" t="s">
        <v>251</v>
      </c>
      <c r="D47" s="17">
        <v>4018525.0</v>
      </c>
      <c r="E47" s="17" t="s">
        <v>252</v>
      </c>
      <c r="F47" s="17">
        <v>292.51</v>
      </c>
      <c r="G47" s="17">
        <v>100.0</v>
      </c>
      <c r="H47" s="17">
        <v>41.0</v>
      </c>
      <c r="I47" s="17">
        <v>37.0</v>
      </c>
      <c r="J47" s="31">
        <v>45818.0</v>
      </c>
      <c r="O47" s="31">
        <v>45859.0</v>
      </c>
      <c r="Q47" s="17" t="s">
        <v>128</v>
      </c>
      <c r="S47" s="17" t="s">
        <v>129</v>
      </c>
      <c r="T47" s="17" t="s">
        <v>128</v>
      </c>
      <c r="U47" s="31">
        <v>45839.0</v>
      </c>
    </row>
    <row r="48">
      <c r="A48" s="17" t="s">
        <v>253</v>
      </c>
      <c r="B48" s="17" t="s">
        <v>254</v>
      </c>
      <c r="C48" s="17" t="s">
        <v>255</v>
      </c>
      <c r="D48" s="17">
        <v>3958943.0</v>
      </c>
      <c r="E48" s="17" t="s">
        <v>256</v>
      </c>
      <c r="F48" s="17">
        <v>50.0</v>
      </c>
      <c r="G48" s="17">
        <v>100.0</v>
      </c>
      <c r="H48" s="17">
        <v>23.0</v>
      </c>
      <c r="I48" s="17">
        <v>37.0</v>
      </c>
      <c r="J48" s="31">
        <v>45839.0</v>
      </c>
      <c r="O48" s="31">
        <v>45862.0</v>
      </c>
      <c r="Q48" s="17" t="s">
        <v>128</v>
      </c>
      <c r="S48" s="17" t="s">
        <v>129</v>
      </c>
      <c r="T48" s="17" t="s">
        <v>128</v>
      </c>
      <c r="U48" s="31">
        <v>45839.0</v>
      </c>
    </row>
    <row r="49">
      <c r="A49" s="17" t="s">
        <v>257</v>
      </c>
      <c r="B49" s="17" t="s">
        <v>258</v>
      </c>
      <c r="C49" s="17" t="s">
        <v>259</v>
      </c>
      <c r="D49" s="17">
        <v>4027648.0</v>
      </c>
      <c r="E49" s="17" t="s">
        <v>260</v>
      </c>
      <c r="F49" s="17">
        <v>55.0</v>
      </c>
      <c r="G49" s="17">
        <v>100.0</v>
      </c>
      <c r="H49" s="17">
        <v>0.0</v>
      </c>
      <c r="I49" s="17">
        <v>37.0</v>
      </c>
      <c r="J49" s="31">
        <v>45869.0</v>
      </c>
      <c r="O49" s="31">
        <v>45869.0</v>
      </c>
      <c r="Q49" s="17" t="s">
        <v>128</v>
      </c>
      <c r="S49" s="17" t="s">
        <v>129</v>
      </c>
      <c r="T49" s="17" t="s">
        <v>128</v>
      </c>
      <c r="U49" s="31">
        <v>45839.0</v>
      </c>
    </row>
    <row r="50">
      <c r="A50" s="17" t="s">
        <v>164</v>
      </c>
      <c r="B50" s="17" t="s">
        <v>165</v>
      </c>
      <c r="C50" s="17" t="s">
        <v>166</v>
      </c>
      <c r="D50" s="17">
        <v>3942346.0</v>
      </c>
      <c r="E50" s="17" t="s">
        <v>167</v>
      </c>
      <c r="F50" s="17">
        <v>442.68</v>
      </c>
      <c r="G50" s="17">
        <v>100.0</v>
      </c>
      <c r="H50" s="17">
        <v>3.0</v>
      </c>
      <c r="I50" s="17">
        <v>37.0</v>
      </c>
      <c r="J50" s="31">
        <v>45809.0</v>
      </c>
      <c r="O50" s="31">
        <v>45812.0</v>
      </c>
      <c r="Q50" s="17" t="s">
        <v>128</v>
      </c>
      <c r="S50" s="17" t="s">
        <v>129</v>
      </c>
      <c r="T50" s="17" t="s">
        <v>128</v>
      </c>
      <c r="U50" s="31">
        <v>45809.0</v>
      </c>
    </row>
    <row r="51">
      <c r="A51" s="17" t="s">
        <v>169</v>
      </c>
      <c r="B51" s="17" t="s">
        <v>170</v>
      </c>
      <c r="C51" s="17" t="s">
        <v>171</v>
      </c>
      <c r="D51" s="17">
        <v>3934711.0</v>
      </c>
      <c r="E51" s="17" t="s">
        <v>172</v>
      </c>
      <c r="F51" s="17">
        <v>50.0</v>
      </c>
      <c r="G51" s="17">
        <v>100.0</v>
      </c>
      <c r="H51" s="17">
        <v>0.0</v>
      </c>
      <c r="I51" s="17">
        <v>37.0</v>
      </c>
      <c r="J51" s="31">
        <v>45817.0</v>
      </c>
      <c r="M51" s="17" t="s">
        <v>173</v>
      </c>
      <c r="O51" s="31">
        <v>45817.0</v>
      </c>
      <c r="Q51" s="17" t="s">
        <v>128</v>
      </c>
      <c r="S51" s="17" t="s">
        <v>129</v>
      </c>
      <c r="T51" s="17" t="s">
        <v>128</v>
      </c>
      <c r="U51" s="31">
        <v>45809.0</v>
      </c>
    </row>
    <row r="52">
      <c r="A52" s="17" t="s">
        <v>174</v>
      </c>
      <c r="B52" s="17" t="s">
        <v>175</v>
      </c>
      <c r="C52" s="17" t="s">
        <v>176</v>
      </c>
      <c r="D52" s="17">
        <v>3952865.0</v>
      </c>
      <c r="E52" s="17" t="s">
        <v>177</v>
      </c>
      <c r="F52" s="17">
        <v>50.0</v>
      </c>
      <c r="G52" s="17">
        <v>100.0</v>
      </c>
      <c r="H52" s="17">
        <v>19.0</v>
      </c>
      <c r="I52" s="17">
        <v>37.0</v>
      </c>
      <c r="J52" s="31">
        <v>45799.0</v>
      </c>
      <c r="K52" s="31">
        <v>45809.0</v>
      </c>
      <c r="L52" s="31">
        <v>45809.0</v>
      </c>
      <c r="M52" s="17" t="s">
        <v>178</v>
      </c>
      <c r="O52" s="31">
        <v>45818.0</v>
      </c>
      <c r="Q52" s="17" t="s">
        <v>128</v>
      </c>
      <c r="S52" s="17" t="s">
        <v>129</v>
      </c>
      <c r="T52" s="17" t="s">
        <v>128</v>
      </c>
      <c r="U52" s="31">
        <v>45809.0</v>
      </c>
    </row>
    <row r="53">
      <c r="A53" s="17" t="s">
        <v>179</v>
      </c>
      <c r="B53" s="17" t="s">
        <v>180</v>
      </c>
      <c r="C53" s="17" t="s">
        <v>181</v>
      </c>
      <c r="D53" s="17">
        <v>3942651.0</v>
      </c>
      <c r="E53" s="17" t="s">
        <v>182</v>
      </c>
      <c r="F53" s="17">
        <v>50.0</v>
      </c>
      <c r="G53" s="17">
        <v>100.0</v>
      </c>
      <c r="H53" s="17">
        <v>10.0</v>
      </c>
      <c r="I53" s="17">
        <v>37.0</v>
      </c>
      <c r="J53" s="31">
        <v>45809.0</v>
      </c>
      <c r="O53" s="31">
        <v>45819.0</v>
      </c>
      <c r="Q53" s="17" t="s">
        <v>128</v>
      </c>
      <c r="S53" s="17" t="s">
        <v>129</v>
      </c>
      <c r="T53" s="17" t="s">
        <v>128</v>
      </c>
      <c r="U53" s="31">
        <v>45809.0</v>
      </c>
    </row>
    <row r="54">
      <c r="A54" s="17" t="s">
        <v>183</v>
      </c>
      <c r="B54" s="17" t="s">
        <v>184</v>
      </c>
      <c r="C54" s="17" t="s">
        <v>185</v>
      </c>
      <c r="D54" s="17">
        <v>3968250.0</v>
      </c>
      <c r="E54" s="17" t="s">
        <v>186</v>
      </c>
      <c r="F54" s="17">
        <v>103.89</v>
      </c>
      <c r="G54" s="17">
        <v>100.0</v>
      </c>
      <c r="H54" s="17">
        <v>17.0</v>
      </c>
      <c r="I54" s="17">
        <v>37.0</v>
      </c>
      <c r="J54" s="31">
        <v>45809.0</v>
      </c>
      <c r="O54" s="31">
        <v>45826.0</v>
      </c>
      <c r="Q54" s="17" t="s">
        <v>128</v>
      </c>
      <c r="S54" s="17" t="s">
        <v>129</v>
      </c>
      <c r="T54" s="17" t="s">
        <v>128</v>
      </c>
      <c r="U54" s="31">
        <v>45809.0</v>
      </c>
    </row>
    <row r="55">
      <c r="A55" s="17" t="s">
        <v>187</v>
      </c>
      <c r="B55" s="17" t="s">
        <v>188</v>
      </c>
      <c r="C55" s="17" t="s">
        <v>189</v>
      </c>
      <c r="D55" s="17">
        <v>3934664.0</v>
      </c>
      <c r="E55" s="17" t="s">
        <v>190</v>
      </c>
      <c r="F55" s="17">
        <v>100.0</v>
      </c>
      <c r="G55" s="17">
        <v>100.0</v>
      </c>
      <c r="H55" s="17">
        <v>9.0</v>
      </c>
      <c r="I55" s="17">
        <v>37.0</v>
      </c>
      <c r="J55" s="31">
        <v>45820.0</v>
      </c>
      <c r="K55" s="31">
        <v>45821.0</v>
      </c>
      <c r="L55" s="31">
        <v>45821.0</v>
      </c>
      <c r="O55" s="31">
        <v>45829.0</v>
      </c>
      <c r="Q55" s="17" t="s">
        <v>128</v>
      </c>
      <c r="S55" s="17" t="s">
        <v>129</v>
      </c>
      <c r="T55" s="17" t="s">
        <v>128</v>
      </c>
      <c r="U55" s="31">
        <v>45809.0</v>
      </c>
    </row>
    <row r="56">
      <c r="A56" s="17" t="s">
        <v>191</v>
      </c>
      <c r="B56" s="17" t="s">
        <v>192</v>
      </c>
      <c r="C56" s="17" t="s">
        <v>193</v>
      </c>
      <c r="D56" s="17">
        <v>492746.0</v>
      </c>
      <c r="E56" s="17" t="s">
        <v>194</v>
      </c>
      <c r="F56" s="17">
        <v>50.0</v>
      </c>
      <c r="G56" s="17">
        <v>100.0</v>
      </c>
      <c r="H56" s="17">
        <v>12.0</v>
      </c>
      <c r="I56" s="17">
        <v>37.0</v>
      </c>
      <c r="J56" s="31">
        <v>45820.0</v>
      </c>
      <c r="O56" s="31">
        <v>45832.0</v>
      </c>
      <c r="Q56" s="17" t="s">
        <v>128</v>
      </c>
      <c r="S56" s="17" t="s">
        <v>129</v>
      </c>
      <c r="T56" s="17" t="s">
        <v>128</v>
      </c>
      <c r="U56" s="31">
        <v>45809.0</v>
      </c>
    </row>
    <row r="57">
      <c r="A57" s="17" t="s">
        <v>196</v>
      </c>
      <c r="B57" s="17" t="s">
        <v>197</v>
      </c>
      <c r="C57" s="17" t="s">
        <v>198</v>
      </c>
      <c r="D57" s="17">
        <v>3962143.0</v>
      </c>
      <c r="E57" s="17" t="s">
        <v>199</v>
      </c>
      <c r="F57" s="17">
        <v>54.88</v>
      </c>
      <c r="G57" s="17">
        <v>100.0</v>
      </c>
      <c r="H57" s="17">
        <v>0.0</v>
      </c>
      <c r="I57" s="17">
        <v>37.0</v>
      </c>
      <c r="J57" s="31">
        <v>45876.0</v>
      </c>
      <c r="O57" s="31">
        <v>45833.0</v>
      </c>
      <c r="Q57" s="17" t="s">
        <v>128</v>
      </c>
      <c r="S57" s="17" t="s">
        <v>129</v>
      </c>
      <c r="T57" s="17" t="s">
        <v>128</v>
      </c>
      <c r="U57" s="31">
        <v>45809.0</v>
      </c>
    </row>
    <row r="58">
      <c r="A58" s="17" t="s">
        <v>205</v>
      </c>
      <c r="B58" s="17" t="s">
        <v>206</v>
      </c>
      <c r="C58" s="17" t="s">
        <v>207</v>
      </c>
      <c r="D58" s="17">
        <v>3977410.0</v>
      </c>
      <c r="E58" s="17" t="s">
        <v>208</v>
      </c>
      <c r="F58" s="17">
        <v>50.0</v>
      </c>
      <c r="G58" s="17">
        <v>100.0</v>
      </c>
      <c r="H58" s="17">
        <v>29.0</v>
      </c>
      <c r="I58" s="17">
        <v>37.0</v>
      </c>
      <c r="J58" s="31">
        <v>45809.0</v>
      </c>
      <c r="O58" s="31">
        <v>45838.0</v>
      </c>
      <c r="Q58" s="17" t="s">
        <v>128</v>
      </c>
      <c r="S58" s="17" t="s">
        <v>129</v>
      </c>
      <c r="T58" s="17" t="s">
        <v>128</v>
      </c>
      <c r="U58" s="31">
        <v>45809.0</v>
      </c>
    </row>
    <row r="59">
      <c r="A59" s="17" t="s">
        <v>201</v>
      </c>
      <c r="B59" s="17" t="s">
        <v>202</v>
      </c>
      <c r="C59" s="17" t="s">
        <v>203</v>
      </c>
      <c r="D59" s="17">
        <v>3970546.0</v>
      </c>
      <c r="E59" s="17" t="s">
        <v>204</v>
      </c>
      <c r="F59" s="17">
        <v>119.04</v>
      </c>
      <c r="G59" s="17">
        <v>100.0</v>
      </c>
      <c r="H59" s="17">
        <v>13.0</v>
      </c>
      <c r="I59" s="17">
        <v>37.0</v>
      </c>
      <c r="J59" s="31">
        <v>45825.0</v>
      </c>
      <c r="O59" s="31">
        <v>45838.0</v>
      </c>
      <c r="Q59" s="17" t="s">
        <v>128</v>
      </c>
      <c r="S59" s="17" t="s">
        <v>129</v>
      </c>
      <c r="T59" s="17" t="s">
        <v>128</v>
      </c>
      <c r="U59" s="31">
        <v>45809.0</v>
      </c>
    </row>
    <row r="60">
      <c r="A60" s="17" t="s">
        <v>124</v>
      </c>
      <c r="B60" s="17" t="s">
        <v>125</v>
      </c>
      <c r="C60" s="17" t="s">
        <v>126</v>
      </c>
      <c r="D60" s="17">
        <v>3916711.0</v>
      </c>
      <c r="E60" s="17" t="s">
        <v>127</v>
      </c>
      <c r="F60" s="17">
        <v>50.0</v>
      </c>
      <c r="G60" s="17">
        <v>100.0</v>
      </c>
      <c r="H60" s="17">
        <v>13.0</v>
      </c>
      <c r="I60" s="17">
        <v>37.0</v>
      </c>
      <c r="J60" s="31">
        <v>45778.0</v>
      </c>
      <c r="O60" s="31">
        <v>45791.0</v>
      </c>
      <c r="Q60" s="17" t="s">
        <v>128</v>
      </c>
      <c r="S60" s="17" t="s">
        <v>129</v>
      </c>
      <c r="T60" s="17" t="s">
        <v>128</v>
      </c>
      <c r="U60" s="31">
        <v>45778.0</v>
      </c>
    </row>
    <row r="61">
      <c r="A61" s="17" t="s">
        <v>133</v>
      </c>
      <c r="B61" s="17" t="s">
        <v>134</v>
      </c>
      <c r="C61" s="17" t="s">
        <v>135</v>
      </c>
      <c r="D61" s="17">
        <v>3935770.0</v>
      </c>
      <c r="E61" s="17" t="s">
        <v>136</v>
      </c>
      <c r="F61" s="17">
        <v>267.5</v>
      </c>
      <c r="G61" s="17">
        <v>100.0</v>
      </c>
      <c r="H61" s="17">
        <v>0.0</v>
      </c>
      <c r="I61" s="17">
        <v>37.0</v>
      </c>
      <c r="J61" s="31">
        <v>45797.0</v>
      </c>
      <c r="O61" s="31">
        <v>45797.0</v>
      </c>
      <c r="Q61" s="17" t="s">
        <v>128</v>
      </c>
      <c r="S61" s="17" t="s">
        <v>129</v>
      </c>
      <c r="T61" s="17" t="s">
        <v>128</v>
      </c>
      <c r="U61" s="31">
        <v>45778.0</v>
      </c>
    </row>
    <row r="62">
      <c r="A62" s="17" t="s">
        <v>139</v>
      </c>
      <c r="B62" s="17" t="s">
        <v>140</v>
      </c>
      <c r="C62" s="17" t="s">
        <v>141</v>
      </c>
      <c r="D62" s="17">
        <v>3945715.0</v>
      </c>
      <c r="E62" s="17" t="s">
        <v>142</v>
      </c>
      <c r="F62" s="17">
        <v>130.0</v>
      </c>
      <c r="G62" s="17">
        <v>100.0</v>
      </c>
      <c r="H62" s="17">
        <v>0.0</v>
      </c>
      <c r="I62" s="17">
        <v>37.0</v>
      </c>
      <c r="J62" s="31">
        <v>45804.0</v>
      </c>
      <c r="O62" s="31">
        <v>45804.0</v>
      </c>
      <c r="Q62" s="17" t="s">
        <v>128</v>
      </c>
      <c r="S62" s="17" t="s">
        <v>129</v>
      </c>
      <c r="T62" s="17" t="s">
        <v>128</v>
      </c>
      <c r="U62" s="31">
        <v>45778.0</v>
      </c>
    </row>
    <row r="63">
      <c r="A63" s="17" t="s">
        <v>149</v>
      </c>
      <c r="B63" s="17" t="s">
        <v>150</v>
      </c>
      <c r="C63" s="17" t="s">
        <v>151</v>
      </c>
      <c r="D63" s="17">
        <v>3947424.0</v>
      </c>
      <c r="E63" s="17" t="s">
        <v>152</v>
      </c>
      <c r="F63" s="17">
        <v>105.0</v>
      </c>
      <c r="G63" s="17">
        <v>100.0</v>
      </c>
      <c r="H63" s="17">
        <v>0.0</v>
      </c>
      <c r="I63" s="17">
        <v>37.0</v>
      </c>
      <c r="J63" s="31">
        <v>45805.0</v>
      </c>
      <c r="M63" s="17" t="s">
        <v>153</v>
      </c>
      <c r="O63" s="31">
        <v>45805.0</v>
      </c>
      <c r="Q63" s="17" t="s">
        <v>128</v>
      </c>
      <c r="S63" s="17" t="s">
        <v>129</v>
      </c>
      <c r="T63" s="17" t="s">
        <v>128</v>
      </c>
      <c r="U63" s="31">
        <v>45778.0</v>
      </c>
    </row>
    <row r="64">
      <c r="A64" s="17" t="s">
        <v>144</v>
      </c>
      <c r="B64" s="17" t="s">
        <v>145</v>
      </c>
      <c r="C64" s="17" t="s">
        <v>146</v>
      </c>
      <c r="D64" s="17">
        <v>3946131.0</v>
      </c>
      <c r="E64" s="17" t="s">
        <v>147</v>
      </c>
      <c r="F64" s="17">
        <v>601.63</v>
      </c>
      <c r="G64" s="17">
        <v>100.0</v>
      </c>
      <c r="H64" s="17">
        <v>0.0</v>
      </c>
      <c r="I64" s="17">
        <v>37.0</v>
      </c>
      <c r="J64" s="31">
        <v>45805.0</v>
      </c>
      <c r="O64" s="31">
        <v>45805.0</v>
      </c>
      <c r="Q64" s="17" t="s">
        <v>128</v>
      </c>
      <c r="S64" s="17" t="s">
        <v>129</v>
      </c>
      <c r="T64" s="17" t="s">
        <v>128</v>
      </c>
      <c r="U64" s="31">
        <v>45778.0</v>
      </c>
    </row>
    <row r="65">
      <c r="A65" s="17" t="s">
        <v>159</v>
      </c>
      <c r="B65" s="17" t="s">
        <v>160</v>
      </c>
      <c r="C65" s="17" t="s">
        <v>161</v>
      </c>
      <c r="D65" s="17">
        <v>3738104.0</v>
      </c>
      <c r="E65" s="17" t="s">
        <v>162</v>
      </c>
      <c r="F65" s="17">
        <v>50.0</v>
      </c>
      <c r="G65" s="17">
        <v>100.0</v>
      </c>
      <c r="H65" s="17">
        <v>0.0</v>
      </c>
      <c r="I65" s="17">
        <v>37.0</v>
      </c>
      <c r="J65" s="31">
        <v>45806.0</v>
      </c>
      <c r="M65" s="17" t="s">
        <v>158</v>
      </c>
      <c r="O65" s="31">
        <v>45806.0</v>
      </c>
      <c r="Q65" s="17" t="s">
        <v>128</v>
      </c>
      <c r="S65" s="17" t="s">
        <v>129</v>
      </c>
      <c r="T65" s="17" t="s">
        <v>128</v>
      </c>
      <c r="U65" s="31">
        <v>45778.0</v>
      </c>
    </row>
    <row r="66">
      <c r="A66" s="17" t="s">
        <v>154</v>
      </c>
      <c r="B66" s="17" t="s">
        <v>155</v>
      </c>
      <c r="C66" s="17" t="s">
        <v>156</v>
      </c>
      <c r="D66" s="17">
        <v>3785914.0</v>
      </c>
      <c r="E66" s="17" t="s">
        <v>157</v>
      </c>
      <c r="F66" s="17">
        <v>115.73</v>
      </c>
      <c r="G66" s="17">
        <v>100.0</v>
      </c>
      <c r="H66" s="17">
        <v>0.0</v>
      </c>
      <c r="I66" s="17">
        <v>37.0</v>
      </c>
      <c r="J66" s="31">
        <v>45806.0</v>
      </c>
      <c r="M66" s="17" t="s">
        <v>158</v>
      </c>
      <c r="O66" s="31">
        <v>45806.0</v>
      </c>
      <c r="Q66" s="17" t="s">
        <v>128</v>
      </c>
      <c r="S66" s="17" t="s">
        <v>129</v>
      </c>
      <c r="T66" s="17" t="s">
        <v>128</v>
      </c>
      <c r="U66" s="31">
        <v>45778.0</v>
      </c>
    </row>
    <row r="67">
      <c r="A67" s="17" t="s">
        <v>768</v>
      </c>
      <c r="B67" s="17" t="s">
        <v>769</v>
      </c>
      <c r="C67" s="17" t="s">
        <v>766</v>
      </c>
      <c r="D67" s="17">
        <v>3906405.0</v>
      </c>
      <c r="E67" s="17" t="s">
        <v>767</v>
      </c>
      <c r="F67" s="17">
        <v>1000.0</v>
      </c>
      <c r="G67" s="17">
        <v>100.0</v>
      </c>
      <c r="H67" s="17">
        <v>9.0</v>
      </c>
      <c r="I67" s="17">
        <v>37.0</v>
      </c>
      <c r="J67" s="31">
        <v>45798.0</v>
      </c>
      <c r="M67" s="17" t="s">
        <v>1448</v>
      </c>
      <c r="N67" s="31">
        <v>45856.0</v>
      </c>
      <c r="O67" s="31">
        <v>45807.0</v>
      </c>
      <c r="Q67" s="17" t="s">
        <v>128</v>
      </c>
      <c r="S67" s="17" t="s">
        <v>129</v>
      </c>
      <c r="T67" s="17" t="s">
        <v>128</v>
      </c>
      <c r="U67" s="31">
        <v>45778.0</v>
      </c>
    </row>
    <row r="68">
      <c r="A68" s="17" t="s">
        <v>1006</v>
      </c>
      <c r="B68" s="17" t="s">
        <v>1007</v>
      </c>
      <c r="C68" s="17" t="s">
        <v>1004</v>
      </c>
      <c r="D68" s="17">
        <v>3956509.0</v>
      </c>
      <c r="E68" s="17" t="s">
        <v>1005</v>
      </c>
      <c r="F68" s="17">
        <v>140.0</v>
      </c>
      <c r="G68" s="17">
        <v>100.0</v>
      </c>
      <c r="H68" s="17">
        <v>119.0</v>
      </c>
      <c r="I68" s="17">
        <v>15.0</v>
      </c>
      <c r="J68" s="31">
        <v>45890.0</v>
      </c>
      <c r="K68" s="31">
        <v>45904.0</v>
      </c>
      <c r="L68" s="31">
        <v>45908.0</v>
      </c>
      <c r="O68" s="31">
        <v>46009.0</v>
      </c>
      <c r="Q68" s="17" t="s">
        <v>128</v>
      </c>
      <c r="S68" s="17" t="s">
        <v>129</v>
      </c>
      <c r="T68" s="17" t="s">
        <v>295</v>
      </c>
      <c r="U68" s="31">
        <v>45992.0</v>
      </c>
    </row>
    <row r="69">
      <c r="A69" s="17" t="s">
        <v>357</v>
      </c>
      <c r="B69" s="17" t="s">
        <v>358</v>
      </c>
      <c r="C69" s="17" t="s">
        <v>359</v>
      </c>
      <c r="D69" s="17">
        <v>4166316.0</v>
      </c>
      <c r="E69" s="17" t="s">
        <v>360</v>
      </c>
      <c r="F69" s="17">
        <v>0.0</v>
      </c>
      <c r="G69" s="17">
        <v>100.0</v>
      </c>
      <c r="H69" s="17">
        <v>6.0</v>
      </c>
      <c r="I69" s="17">
        <v>37.0</v>
      </c>
      <c r="J69" s="31">
        <v>45958.0</v>
      </c>
      <c r="O69" s="31">
        <v>45964.0</v>
      </c>
      <c r="Q69" s="17" t="s">
        <v>316</v>
      </c>
      <c r="S69" s="17" t="s">
        <v>129</v>
      </c>
      <c r="T69" s="17" t="s">
        <v>295</v>
      </c>
      <c r="U69" s="31">
        <v>45962.0</v>
      </c>
    </row>
    <row r="70">
      <c r="A70" s="17" t="s">
        <v>310</v>
      </c>
      <c r="B70" s="17" t="s">
        <v>311</v>
      </c>
      <c r="C70" s="17" t="s">
        <v>312</v>
      </c>
      <c r="D70" s="17">
        <v>4161223.0</v>
      </c>
      <c r="E70" s="17" t="s">
        <v>999</v>
      </c>
      <c r="F70" s="17">
        <v>85.0</v>
      </c>
      <c r="G70" s="17">
        <v>100.0</v>
      </c>
      <c r="H70" s="17">
        <v>10.0</v>
      </c>
      <c r="I70" s="17">
        <v>37.0</v>
      </c>
      <c r="J70" s="31">
        <v>45937.0</v>
      </c>
      <c r="K70" s="31">
        <v>45951.0</v>
      </c>
      <c r="L70" s="31">
        <v>45951.0</v>
      </c>
      <c r="M70" s="17" t="s">
        <v>314</v>
      </c>
      <c r="N70" s="31">
        <v>45946.0</v>
      </c>
      <c r="O70" s="31">
        <v>45947.0</v>
      </c>
      <c r="P70" s="17" t="s">
        <v>315</v>
      </c>
      <c r="Q70" s="17" t="s">
        <v>316</v>
      </c>
      <c r="S70" s="17" t="s">
        <v>129</v>
      </c>
      <c r="T70" s="17" t="s">
        <v>295</v>
      </c>
      <c r="U70" s="31">
        <v>45931.0</v>
      </c>
    </row>
    <row r="71">
      <c r="A71" s="17" t="s">
        <v>317</v>
      </c>
      <c r="B71" s="17" t="s">
        <v>318</v>
      </c>
      <c r="C71" s="17" t="s">
        <v>319</v>
      </c>
      <c r="D71" s="17">
        <v>4174641.0</v>
      </c>
      <c r="E71" s="17" t="s">
        <v>320</v>
      </c>
      <c r="F71" s="17">
        <v>425.0</v>
      </c>
      <c r="G71" s="17">
        <v>100.0</v>
      </c>
      <c r="H71" s="17">
        <v>11.0</v>
      </c>
      <c r="I71" s="17">
        <v>37.0</v>
      </c>
      <c r="J71" s="31">
        <v>45939.0</v>
      </c>
      <c r="K71" s="31">
        <v>45944.0</v>
      </c>
      <c r="L71" s="31">
        <v>45944.0</v>
      </c>
      <c r="M71" s="17" t="s">
        <v>321</v>
      </c>
      <c r="N71" s="31">
        <v>45947.0</v>
      </c>
      <c r="O71" s="31">
        <v>45950.0</v>
      </c>
      <c r="P71" s="17" t="s">
        <v>315</v>
      </c>
      <c r="Q71" s="17" t="s">
        <v>316</v>
      </c>
      <c r="S71" s="17" t="s">
        <v>129</v>
      </c>
      <c r="T71" s="17" t="s">
        <v>295</v>
      </c>
      <c r="U71" s="31">
        <v>45931.0</v>
      </c>
    </row>
    <row r="72">
      <c r="A72" s="17" t="s">
        <v>322</v>
      </c>
      <c r="B72" s="17" t="s">
        <v>323</v>
      </c>
      <c r="C72" s="17" t="s">
        <v>324</v>
      </c>
      <c r="D72" s="17">
        <v>4016001.0</v>
      </c>
      <c r="E72" s="17" t="s">
        <v>325</v>
      </c>
      <c r="F72" s="17">
        <v>125.0</v>
      </c>
      <c r="G72" s="17">
        <v>100.0</v>
      </c>
      <c r="H72" s="17">
        <v>69.0</v>
      </c>
      <c r="I72" s="17">
        <v>37.0</v>
      </c>
      <c r="J72" s="31">
        <v>45884.0</v>
      </c>
      <c r="M72" s="17" t="s">
        <v>326</v>
      </c>
      <c r="N72" s="31">
        <v>45919.0</v>
      </c>
      <c r="O72" s="31">
        <v>45953.0</v>
      </c>
      <c r="Q72" s="17" t="s">
        <v>309</v>
      </c>
      <c r="S72" s="17" t="s">
        <v>129</v>
      </c>
      <c r="T72" s="17" t="s">
        <v>295</v>
      </c>
      <c r="U72" s="31">
        <v>45931.0</v>
      </c>
    </row>
    <row r="73">
      <c r="A73" s="17" t="s">
        <v>344</v>
      </c>
      <c r="B73" s="17" t="s">
        <v>345</v>
      </c>
      <c r="C73" s="17" t="s">
        <v>346</v>
      </c>
      <c r="D73" s="17">
        <v>4161378.0</v>
      </c>
      <c r="E73" s="17" t="s">
        <v>347</v>
      </c>
      <c r="F73" s="17">
        <v>75.0</v>
      </c>
      <c r="G73" s="17">
        <v>100.0</v>
      </c>
      <c r="H73" s="17">
        <v>27.0</v>
      </c>
      <c r="I73" s="17">
        <v>37.0</v>
      </c>
      <c r="J73" s="31">
        <v>45931.0</v>
      </c>
      <c r="K73" s="31">
        <v>45937.0</v>
      </c>
      <c r="L73" s="31">
        <v>45937.0</v>
      </c>
      <c r="M73" s="17" t="s">
        <v>348</v>
      </c>
      <c r="N73" s="31">
        <v>45954.0</v>
      </c>
      <c r="O73" s="31">
        <v>45958.0</v>
      </c>
      <c r="P73" s="17" t="s">
        <v>315</v>
      </c>
      <c r="Q73" s="17" t="s">
        <v>343</v>
      </c>
      <c r="S73" s="17" t="s">
        <v>129</v>
      </c>
      <c r="T73" s="17" t="s">
        <v>295</v>
      </c>
      <c r="U73" s="31">
        <v>45931.0</v>
      </c>
    </row>
    <row r="74">
      <c r="A74" s="17" t="s">
        <v>333</v>
      </c>
      <c r="B74" s="17" t="s">
        <v>334</v>
      </c>
      <c r="C74" s="17" t="s">
        <v>335</v>
      </c>
      <c r="D74" s="17">
        <v>4169152.0</v>
      </c>
      <c r="E74" s="17" t="s">
        <v>336</v>
      </c>
      <c r="F74" s="17">
        <v>464.6</v>
      </c>
      <c r="G74" s="17">
        <v>100.0</v>
      </c>
      <c r="H74" s="17">
        <v>18.0</v>
      </c>
      <c r="I74" s="17">
        <v>37.0</v>
      </c>
      <c r="J74" s="31">
        <v>45940.0</v>
      </c>
      <c r="K74" s="31">
        <v>45960.0</v>
      </c>
      <c r="L74" s="31">
        <v>45960.0</v>
      </c>
      <c r="M74" s="17" t="s">
        <v>337</v>
      </c>
      <c r="N74" s="31">
        <v>45957.0</v>
      </c>
      <c r="O74" s="31">
        <v>45958.0</v>
      </c>
      <c r="P74" s="17" t="s">
        <v>315</v>
      </c>
      <c r="Q74" s="17" t="s">
        <v>316</v>
      </c>
      <c r="S74" s="17" t="s">
        <v>129</v>
      </c>
      <c r="T74" s="17" t="s">
        <v>295</v>
      </c>
      <c r="U74" s="31">
        <v>45931.0</v>
      </c>
    </row>
    <row r="75">
      <c r="A75" s="17" t="s">
        <v>338</v>
      </c>
      <c r="B75" s="17" t="s">
        <v>339</v>
      </c>
      <c r="C75" s="17" t="s">
        <v>340</v>
      </c>
      <c r="D75" s="17">
        <v>4172812.0</v>
      </c>
      <c r="E75" s="17" t="s">
        <v>341</v>
      </c>
      <c r="F75" s="17">
        <v>190.0</v>
      </c>
      <c r="G75" s="17">
        <v>100.0</v>
      </c>
      <c r="H75" s="17">
        <v>13.0</v>
      </c>
      <c r="I75" s="17">
        <v>37.0</v>
      </c>
      <c r="J75" s="31">
        <v>45945.0</v>
      </c>
      <c r="K75" s="31">
        <v>45960.0</v>
      </c>
      <c r="L75" s="31">
        <v>45960.0</v>
      </c>
      <c r="M75" s="17" t="s">
        <v>342</v>
      </c>
      <c r="N75" s="31">
        <v>45957.0</v>
      </c>
      <c r="O75" s="31">
        <v>45958.0</v>
      </c>
      <c r="P75" s="17" t="s">
        <v>315</v>
      </c>
      <c r="Q75" s="17" t="s">
        <v>343</v>
      </c>
      <c r="S75" s="17" t="s">
        <v>129</v>
      </c>
      <c r="T75" s="17" t="s">
        <v>295</v>
      </c>
      <c r="U75" s="31">
        <v>45931.0</v>
      </c>
    </row>
    <row r="76">
      <c r="A76" s="17" t="s">
        <v>327</v>
      </c>
      <c r="B76" s="17" t="s">
        <v>328</v>
      </c>
      <c r="C76" s="17" t="s">
        <v>329</v>
      </c>
      <c r="D76" s="17">
        <v>3085000.0</v>
      </c>
      <c r="E76" s="17" t="s">
        <v>330</v>
      </c>
      <c r="F76" s="17">
        <v>555.0</v>
      </c>
      <c r="G76" s="17">
        <v>100.0</v>
      </c>
      <c r="H76" s="17">
        <v>11.0</v>
      </c>
      <c r="I76" s="17">
        <v>37.0</v>
      </c>
      <c r="J76" s="31">
        <v>45947.0</v>
      </c>
      <c r="K76" s="31">
        <v>45960.0</v>
      </c>
      <c r="L76" s="31">
        <v>45960.0</v>
      </c>
      <c r="M76" s="17" t="s">
        <v>331</v>
      </c>
      <c r="N76" s="31">
        <v>45957.0</v>
      </c>
      <c r="O76" s="31">
        <v>45958.0</v>
      </c>
      <c r="P76" s="17" t="s">
        <v>332</v>
      </c>
      <c r="Q76" s="17" t="s">
        <v>316</v>
      </c>
      <c r="S76" s="17" t="s">
        <v>129</v>
      </c>
      <c r="T76" s="17" t="s">
        <v>295</v>
      </c>
      <c r="U76" s="31">
        <v>45931.0</v>
      </c>
    </row>
    <row r="77">
      <c r="A77" s="17" t="s">
        <v>349</v>
      </c>
      <c r="B77" s="17" t="s">
        <v>350</v>
      </c>
      <c r="C77" s="17" t="s">
        <v>351</v>
      </c>
      <c r="D77" s="17">
        <v>4161412.0</v>
      </c>
      <c r="E77" s="17" t="s">
        <v>352</v>
      </c>
      <c r="F77" s="17">
        <v>0.0</v>
      </c>
      <c r="G77" s="17">
        <v>100.0</v>
      </c>
      <c r="H77" s="17">
        <v>0.0</v>
      </c>
      <c r="I77" s="17">
        <v>37.0</v>
      </c>
      <c r="J77" s="31">
        <v>45959.0</v>
      </c>
      <c r="O77" s="31">
        <v>45959.0</v>
      </c>
      <c r="Q77" s="17" t="s">
        <v>295</v>
      </c>
      <c r="S77" s="17" t="s">
        <v>129</v>
      </c>
      <c r="T77" s="17" t="s">
        <v>295</v>
      </c>
      <c r="U77" s="31">
        <v>45931.0</v>
      </c>
    </row>
    <row r="78">
      <c r="A78" s="17" t="s">
        <v>300</v>
      </c>
      <c r="B78" s="17" t="s">
        <v>301</v>
      </c>
      <c r="C78" s="17" t="s">
        <v>302</v>
      </c>
      <c r="D78" s="17">
        <v>4136460.0</v>
      </c>
      <c r="E78" s="17" t="s">
        <v>303</v>
      </c>
      <c r="F78" s="17">
        <v>151.88</v>
      </c>
      <c r="G78" s="17">
        <v>100.0</v>
      </c>
      <c r="H78" s="17">
        <v>1.0</v>
      </c>
      <c r="I78" s="17">
        <v>37.0</v>
      </c>
      <c r="J78" s="31">
        <v>45909.0</v>
      </c>
      <c r="K78" s="31">
        <v>45912.0</v>
      </c>
      <c r="L78" s="31">
        <v>45912.0</v>
      </c>
      <c r="N78" s="31">
        <v>45924.0</v>
      </c>
      <c r="O78" s="31">
        <v>45910.0</v>
      </c>
      <c r="P78" s="17" t="s">
        <v>304</v>
      </c>
      <c r="Q78" s="17" t="s">
        <v>295</v>
      </c>
      <c r="S78" s="17" t="s">
        <v>129</v>
      </c>
      <c r="T78" s="17" t="s">
        <v>295</v>
      </c>
      <c r="U78" s="31">
        <v>45901.0</v>
      </c>
    </row>
    <row r="79">
      <c r="A79" s="17" t="s">
        <v>305</v>
      </c>
      <c r="B79" s="17" t="s">
        <v>306</v>
      </c>
      <c r="C79" s="17" t="s">
        <v>307</v>
      </c>
      <c r="D79" s="17">
        <v>4111269.0</v>
      </c>
      <c r="E79" s="17" t="s">
        <v>308</v>
      </c>
      <c r="F79" s="17">
        <v>50.0</v>
      </c>
      <c r="G79" s="17">
        <v>100.0</v>
      </c>
      <c r="H79" s="17">
        <v>0.0</v>
      </c>
      <c r="I79" s="17">
        <v>37.0</v>
      </c>
      <c r="J79" s="31">
        <v>45924.0</v>
      </c>
      <c r="O79" s="31">
        <v>45918.0</v>
      </c>
      <c r="Q79" s="17" t="s">
        <v>309</v>
      </c>
      <c r="S79" s="17" t="s">
        <v>129</v>
      </c>
      <c r="T79" s="17" t="s">
        <v>295</v>
      </c>
      <c r="U79" s="31">
        <v>45901.0</v>
      </c>
    </row>
    <row r="80">
      <c r="A80" s="17" t="s">
        <v>1041</v>
      </c>
      <c r="B80" s="17" t="s">
        <v>1042</v>
      </c>
      <c r="C80" s="17" t="s">
        <v>1039</v>
      </c>
      <c r="D80" s="17">
        <v>4208610.0</v>
      </c>
      <c r="E80" s="17" t="s">
        <v>1040</v>
      </c>
      <c r="F80" s="17">
        <v>190.5</v>
      </c>
      <c r="G80" s="17">
        <v>100.0</v>
      </c>
      <c r="H80" s="17">
        <v>45.0</v>
      </c>
      <c r="I80" s="17">
        <v>32.0</v>
      </c>
      <c r="J80" s="31">
        <v>45947.0</v>
      </c>
      <c r="K80" s="31">
        <v>45966.0</v>
      </c>
      <c r="L80" s="31">
        <v>45971.0</v>
      </c>
      <c r="M80" s="17" t="s">
        <v>1449</v>
      </c>
      <c r="N80" s="31">
        <v>45985.0</v>
      </c>
      <c r="O80" s="31">
        <v>45992.0</v>
      </c>
      <c r="P80" s="17" t="s">
        <v>315</v>
      </c>
      <c r="Q80" s="17" t="s">
        <v>343</v>
      </c>
      <c r="S80" s="17" t="s">
        <v>129</v>
      </c>
      <c r="T80" s="17" t="s">
        <v>365</v>
      </c>
      <c r="U80" s="31">
        <v>45992.0</v>
      </c>
    </row>
    <row r="81">
      <c r="A81" s="17" t="s">
        <v>1049</v>
      </c>
      <c r="B81" s="17" t="s">
        <v>1050</v>
      </c>
      <c r="C81" s="17" t="s">
        <v>1047</v>
      </c>
      <c r="D81" s="17">
        <v>4219847.0</v>
      </c>
      <c r="E81" s="17" t="s">
        <v>1048</v>
      </c>
      <c r="F81" s="17">
        <v>99.0</v>
      </c>
      <c r="G81" s="17">
        <v>100.0</v>
      </c>
      <c r="H81" s="17">
        <v>28.0</v>
      </c>
      <c r="I81" s="17">
        <v>32.0</v>
      </c>
      <c r="J81" s="31">
        <v>45964.0</v>
      </c>
      <c r="K81" s="31">
        <v>45967.0</v>
      </c>
      <c r="L81" s="31">
        <v>45967.0</v>
      </c>
      <c r="M81" s="17" t="s">
        <v>1450</v>
      </c>
      <c r="N81" s="31">
        <v>45985.0</v>
      </c>
      <c r="O81" s="31">
        <v>45992.0</v>
      </c>
      <c r="P81" s="17" t="s">
        <v>315</v>
      </c>
      <c r="Q81" s="17" t="s">
        <v>343</v>
      </c>
      <c r="S81" s="17" t="s">
        <v>129</v>
      </c>
      <c r="T81" s="17" t="s">
        <v>365</v>
      </c>
      <c r="U81" s="31">
        <v>45992.0</v>
      </c>
    </row>
    <row r="82">
      <c r="A82" s="17" t="s">
        <v>1061</v>
      </c>
      <c r="B82" s="17" t="s">
        <v>1062</v>
      </c>
      <c r="C82" s="17" t="s">
        <v>1059</v>
      </c>
      <c r="D82" s="17">
        <v>4231672.0</v>
      </c>
      <c r="E82" s="17" t="s">
        <v>1060</v>
      </c>
      <c r="F82" s="17">
        <v>176.0</v>
      </c>
      <c r="G82" s="17">
        <v>100.0</v>
      </c>
      <c r="H82" s="17">
        <v>27.0</v>
      </c>
      <c r="I82" s="17">
        <v>32.0</v>
      </c>
      <c r="J82" s="31">
        <v>45965.0</v>
      </c>
      <c r="K82" s="31">
        <v>45973.0</v>
      </c>
      <c r="L82" s="31">
        <v>45981.0</v>
      </c>
      <c r="M82" s="17" t="s">
        <v>1451</v>
      </c>
      <c r="N82" s="31">
        <v>45985.0</v>
      </c>
      <c r="O82" s="31">
        <v>45992.0</v>
      </c>
      <c r="P82" s="17" t="s">
        <v>315</v>
      </c>
      <c r="Q82" s="17" t="s">
        <v>343</v>
      </c>
      <c r="S82" s="17" t="s">
        <v>129</v>
      </c>
      <c r="T82" s="17" t="s">
        <v>365</v>
      </c>
      <c r="U82" s="31">
        <v>45992.0</v>
      </c>
    </row>
    <row r="83">
      <c r="A83" s="17" t="s">
        <v>1069</v>
      </c>
      <c r="B83" s="17" t="s">
        <v>1070</v>
      </c>
      <c r="C83" s="17" t="s">
        <v>1067</v>
      </c>
      <c r="D83" s="17">
        <v>4245113.0</v>
      </c>
      <c r="E83" s="17" t="s">
        <v>1068</v>
      </c>
      <c r="F83" s="17">
        <v>525.35</v>
      </c>
      <c r="G83" s="17">
        <v>100.0</v>
      </c>
      <c r="H83" s="17">
        <v>21.0</v>
      </c>
      <c r="I83" s="17">
        <v>32.0</v>
      </c>
      <c r="J83" s="31">
        <v>45971.0</v>
      </c>
      <c r="K83" s="31">
        <v>45980.0</v>
      </c>
      <c r="L83" s="31">
        <v>45979.0</v>
      </c>
      <c r="M83" s="17" t="s">
        <v>1452</v>
      </c>
      <c r="N83" s="31">
        <v>45985.0</v>
      </c>
      <c r="O83" s="31">
        <v>45992.0</v>
      </c>
      <c r="P83" s="17" t="s">
        <v>315</v>
      </c>
      <c r="Q83" s="17" t="s">
        <v>316</v>
      </c>
      <c r="S83" s="17" t="s">
        <v>129</v>
      </c>
      <c r="T83" s="17" t="s">
        <v>365</v>
      </c>
      <c r="U83" s="31">
        <v>45992.0</v>
      </c>
    </row>
    <row r="84">
      <c r="A84" s="17" t="s">
        <v>1077</v>
      </c>
      <c r="B84" s="17" t="s">
        <v>1078</v>
      </c>
      <c r="C84" s="17" t="s">
        <v>1075</v>
      </c>
      <c r="D84" s="17">
        <v>4214658.0</v>
      </c>
      <c r="E84" s="17" t="s">
        <v>1076</v>
      </c>
      <c r="F84" s="17">
        <v>6600.0</v>
      </c>
      <c r="G84" s="17">
        <v>100.0</v>
      </c>
      <c r="H84" s="17">
        <v>21.0</v>
      </c>
      <c r="I84" s="17">
        <v>30.0</v>
      </c>
      <c r="J84" s="31">
        <v>45973.0</v>
      </c>
      <c r="K84" s="31">
        <v>45975.0</v>
      </c>
      <c r="L84" s="31">
        <v>45973.0</v>
      </c>
      <c r="M84" s="17" t="s">
        <v>1453</v>
      </c>
      <c r="N84" s="31">
        <v>45994.0</v>
      </c>
      <c r="O84" s="31">
        <v>45994.0</v>
      </c>
      <c r="P84" s="17" t="s">
        <v>315</v>
      </c>
      <c r="Q84" s="17" t="s">
        <v>316</v>
      </c>
      <c r="S84" s="17" t="s">
        <v>129</v>
      </c>
      <c r="T84" s="17" t="s">
        <v>365</v>
      </c>
      <c r="U84" s="31">
        <v>45992.0</v>
      </c>
    </row>
    <row r="85">
      <c r="A85" s="17" t="s">
        <v>1085</v>
      </c>
      <c r="B85" s="17" t="s">
        <v>1086</v>
      </c>
      <c r="C85" s="17" t="s">
        <v>1083</v>
      </c>
      <c r="D85" s="17">
        <v>4248506.0</v>
      </c>
      <c r="E85" s="17" t="s">
        <v>1084</v>
      </c>
      <c r="F85" s="17">
        <v>150.0</v>
      </c>
      <c r="G85" s="17">
        <v>100.0</v>
      </c>
      <c r="H85" s="17">
        <v>20.0</v>
      </c>
      <c r="I85" s="17">
        <v>30.0</v>
      </c>
      <c r="J85" s="31">
        <v>45974.0</v>
      </c>
      <c r="K85" s="31">
        <v>45985.0</v>
      </c>
      <c r="L85" s="31">
        <v>45995.0</v>
      </c>
      <c r="M85" s="17" t="s">
        <v>1454</v>
      </c>
      <c r="N85" s="31">
        <v>46002.0</v>
      </c>
      <c r="O85" s="31">
        <v>45994.0</v>
      </c>
      <c r="P85" s="17" t="s">
        <v>315</v>
      </c>
      <c r="Q85" s="17" t="s">
        <v>316</v>
      </c>
      <c r="S85" s="17" t="s">
        <v>129</v>
      </c>
      <c r="T85" s="17" t="s">
        <v>365</v>
      </c>
      <c r="U85" s="31">
        <v>45992.0</v>
      </c>
    </row>
    <row r="86">
      <c r="A86" s="17" t="s">
        <v>1093</v>
      </c>
      <c r="B86" s="17" t="s">
        <v>1094</v>
      </c>
      <c r="C86" s="17" t="s">
        <v>1091</v>
      </c>
      <c r="D86" s="17">
        <v>4223822.0</v>
      </c>
      <c r="E86" s="17" t="s">
        <v>1092</v>
      </c>
      <c r="F86" s="17">
        <v>62.4</v>
      </c>
      <c r="G86" s="17">
        <v>100.0</v>
      </c>
      <c r="H86" s="17">
        <v>15.0</v>
      </c>
      <c r="I86" s="17">
        <v>30.0</v>
      </c>
      <c r="J86" s="31">
        <v>45979.0</v>
      </c>
      <c r="K86" s="31">
        <v>45985.0</v>
      </c>
      <c r="L86" s="31">
        <v>45995.0</v>
      </c>
      <c r="M86" s="17" t="s">
        <v>1455</v>
      </c>
      <c r="N86" s="31">
        <v>45995.0</v>
      </c>
      <c r="O86" s="31">
        <v>45994.0</v>
      </c>
      <c r="P86" s="17" t="s">
        <v>315</v>
      </c>
      <c r="Q86" s="17" t="s">
        <v>343</v>
      </c>
      <c r="S86" s="17" t="s">
        <v>129</v>
      </c>
      <c r="T86" s="17" t="s">
        <v>365</v>
      </c>
      <c r="U86" s="31">
        <v>45992.0</v>
      </c>
    </row>
    <row r="87">
      <c r="A87" s="17" t="s">
        <v>1081</v>
      </c>
      <c r="B87" s="17" t="s">
        <v>1082</v>
      </c>
      <c r="C87" s="17" t="s">
        <v>1079</v>
      </c>
      <c r="D87" s="17">
        <v>4178047.0</v>
      </c>
      <c r="E87" s="17" t="s">
        <v>1080</v>
      </c>
      <c r="F87" s="17">
        <v>75.0</v>
      </c>
      <c r="G87" s="17">
        <v>100.0</v>
      </c>
      <c r="H87" s="17">
        <v>25.0</v>
      </c>
      <c r="I87" s="17">
        <v>25.0</v>
      </c>
      <c r="J87" s="31">
        <v>45974.0</v>
      </c>
      <c r="M87" s="17" t="s">
        <v>1456</v>
      </c>
      <c r="N87" s="31">
        <v>45999.0</v>
      </c>
      <c r="O87" s="31">
        <v>45999.0</v>
      </c>
      <c r="Q87" s="17" t="s">
        <v>295</v>
      </c>
      <c r="S87" s="17" t="s">
        <v>129</v>
      </c>
      <c r="T87" s="17" t="s">
        <v>365</v>
      </c>
      <c r="U87" s="31">
        <v>45992.0</v>
      </c>
    </row>
    <row r="88">
      <c r="A88" s="17" t="s">
        <v>1089</v>
      </c>
      <c r="B88" s="17" t="s">
        <v>1090</v>
      </c>
      <c r="C88" s="17" t="s">
        <v>1087</v>
      </c>
      <c r="D88" s="17">
        <v>4233219.0</v>
      </c>
      <c r="E88" s="17" t="s">
        <v>1088</v>
      </c>
      <c r="F88" s="17">
        <v>91.25</v>
      </c>
      <c r="G88" s="17">
        <v>100.0</v>
      </c>
      <c r="H88" s="17">
        <v>21.0</v>
      </c>
      <c r="I88" s="17">
        <v>25.0</v>
      </c>
      <c r="J88" s="31">
        <v>45978.0</v>
      </c>
      <c r="K88" s="31">
        <v>46037.0</v>
      </c>
      <c r="L88" s="31">
        <v>46044.0</v>
      </c>
      <c r="M88" s="17" t="s">
        <v>1457</v>
      </c>
      <c r="N88" s="31">
        <v>46036.0</v>
      </c>
      <c r="O88" s="31">
        <v>45999.0</v>
      </c>
      <c r="P88" s="17" t="s">
        <v>315</v>
      </c>
      <c r="Q88" s="17" t="s">
        <v>316</v>
      </c>
      <c r="S88" s="17" t="s">
        <v>129</v>
      </c>
      <c r="T88" s="17" t="s">
        <v>365</v>
      </c>
      <c r="U88" s="31">
        <v>45992.0</v>
      </c>
    </row>
    <row r="89">
      <c r="A89" s="17" t="s">
        <v>1138</v>
      </c>
      <c r="B89" s="17" t="s">
        <v>1139</v>
      </c>
      <c r="C89" s="17" t="s">
        <v>1136</v>
      </c>
      <c r="D89" s="17">
        <v>4265889.0</v>
      </c>
      <c r="E89" s="17" t="s">
        <v>1137</v>
      </c>
      <c r="F89" s="17">
        <v>100.0</v>
      </c>
      <c r="G89" s="17">
        <v>100.0</v>
      </c>
      <c r="H89" s="17">
        <v>6.0</v>
      </c>
      <c r="I89" s="17">
        <v>25.0</v>
      </c>
      <c r="J89" s="31">
        <v>45993.0</v>
      </c>
      <c r="K89" s="31">
        <v>45996.0</v>
      </c>
      <c r="L89" s="31">
        <v>45996.0</v>
      </c>
      <c r="M89" s="17" t="s">
        <v>1458</v>
      </c>
      <c r="N89" s="31">
        <v>45999.0</v>
      </c>
      <c r="O89" s="31">
        <v>45999.0</v>
      </c>
      <c r="P89" s="17" t="s">
        <v>315</v>
      </c>
      <c r="Q89" s="17" t="s">
        <v>316</v>
      </c>
      <c r="S89" s="17" t="s">
        <v>129</v>
      </c>
      <c r="T89" s="17" t="s">
        <v>365</v>
      </c>
      <c r="U89" s="31">
        <v>45992.0</v>
      </c>
    </row>
    <row r="90">
      <c r="A90" s="17" t="s">
        <v>1134</v>
      </c>
      <c r="B90" s="17" t="s">
        <v>1135</v>
      </c>
      <c r="C90" s="17" t="s">
        <v>1132</v>
      </c>
      <c r="D90" s="17">
        <v>4268726.0</v>
      </c>
      <c r="E90" s="17" t="s">
        <v>1133</v>
      </c>
      <c r="F90" s="17">
        <v>55.0</v>
      </c>
      <c r="G90" s="17">
        <v>100.0</v>
      </c>
      <c r="H90" s="17">
        <v>8.0</v>
      </c>
      <c r="I90" s="17">
        <v>24.0</v>
      </c>
      <c r="J90" s="31">
        <v>45992.0</v>
      </c>
      <c r="K90" s="31">
        <v>45994.0</v>
      </c>
      <c r="L90" s="31">
        <v>45994.0</v>
      </c>
      <c r="M90" s="17" t="s">
        <v>1459</v>
      </c>
      <c r="N90" s="31">
        <v>45994.0</v>
      </c>
      <c r="O90" s="31">
        <v>46000.0</v>
      </c>
      <c r="P90" s="17" t="s">
        <v>315</v>
      </c>
      <c r="Q90" s="17" t="s">
        <v>343</v>
      </c>
      <c r="S90" s="17" t="s">
        <v>129</v>
      </c>
      <c r="T90" s="17" t="s">
        <v>365</v>
      </c>
      <c r="U90" s="31">
        <v>45992.0</v>
      </c>
    </row>
    <row r="91">
      <c r="A91" s="17" t="s">
        <v>1097</v>
      </c>
      <c r="B91" s="17" t="s">
        <v>1098</v>
      </c>
      <c r="C91" s="17" t="s">
        <v>1095</v>
      </c>
      <c r="D91" s="17">
        <v>4269343.0</v>
      </c>
      <c r="E91" s="17" t="s">
        <v>1096</v>
      </c>
      <c r="F91" s="17">
        <v>239.5</v>
      </c>
      <c r="G91" s="17">
        <v>100.0</v>
      </c>
      <c r="H91" s="17">
        <v>83.0</v>
      </c>
      <c r="I91" s="17">
        <v>23.0</v>
      </c>
      <c r="J91" s="31">
        <v>45918.0</v>
      </c>
      <c r="K91" s="31">
        <v>45959.0</v>
      </c>
      <c r="L91" s="31">
        <v>45959.0</v>
      </c>
      <c r="M91" s="17" t="s">
        <v>1460</v>
      </c>
      <c r="N91" s="31">
        <v>45968.0</v>
      </c>
      <c r="O91" s="31">
        <v>46001.0</v>
      </c>
      <c r="P91" s="17" t="s">
        <v>315</v>
      </c>
      <c r="Q91" s="17" t="s">
        <v>295</v>
      </c>
      <c r="S91" s="17" t="s">
        <v>129</v>
      </c>
      <c r="T91" s="17" t="s">
        <v>365</v>
      </c>
      <c r="U91" s="31">
        <v>45992.0</v>
      </c>
    </row>
    <row r="92">
      <c r="A92" s="17" t="s">
        <v>1142</v>
      </c>
      <c r="B92" s="17" t="s">
        <v>1143</v>
      </c>
      <c r="C92" s="17" t="s">
        <v>1140</v>
      </c>
      <c r="D92" s="17">
        <v>4265985.0</v>
      </c>
      <c r="E92" s="17" t="s">
        <v>1141</v>
      </c>
      <c r="F92" s="17">
        <v>60.63</v>
      </c>
      <c r="G92" s="17">
        <v>100.0</v>
      </c>
      <c r="H92" s="17">
        <v>8.0</v>
      </c>
      <c r="I92" s="17">
        <v>23.0</v>
      </c>
      <c r="J92" s="31">
        <v>45993.0</v>
      </c>
      <c r="K92" s="31">
        <v>45996.0</v>
      </c>
      <c r="L92" s="31">
        <v>45996.0</v>
      </c>
      <c r="M92" s="17" t="s">
        <v>1461</v>
      </c>
      <c r="N92" s="31">
        <v>46014.0</v>
      </c>
      <c r="O92" s="31">
        <v>46001.0</v>
      </c>
      <c r="P92" s="17" t="s">
        <v>315</v>
      </c>
      <c r="Q92" s="17" t="s">
        <v>316</v>
      </c>
      <c r="S92" s="17" t="s">
        <v>129</v>
      </c>
      <c r="T92" s="17" t="s">
        <v>365</v>
      </c>
      <c r="U92" s="31">
        <v>45992.0</v>
      </c>
    </row>
    <row r="93">
      <c r="A93" s="17" t="s">
        <v>1110</v>
      </c>
      <c r="B93" s="17" t="s">
        <v>1111</v>
      </c>
      <c r="C93" s="17" t="s">
        <v>1108</v>
      </c>
      <c r="D93" s="17">
        <v>4220233.0</v>
      </c>
      <c r="E93" s="17" t="s">
        <v>1109</v>
      </c>
      <c r="F93" s="17">
        <v>92.5</v>
      </c>
      <c r="G93" s="17">
        <v>100.0</v>
      </c>
      <c r="H93" s="17">
        <v>46.0</v>
      </c>
      <c r="I93" s="17">
        <v>18.0</v>
      </c>
      <c r="J93" s="31">
        <v>45960.0</v>
      </c>
      <c r="K93" s="31">
        <v>45967.0</v>
      </c>
      <c r="L93" s="31">
        <v>45967.0</v>
      </c>
      <c r="M93" s="17" t="s">
        <v>1462</v>
      </c>
      <c r="N93" s="31">
        <v>45999.0</v>
      </c>
      <c r="O93" s="31">
        <v>46006.0</v>
      </c>
      <c r="P93" s="17" t="s">
        <v>315</v>
      </c>
      <c r="Q93" s="17" t="s">
        <v>316</v>
      </c>
      <c r="S93" s="17" t="s">
        <v>129</v>
      </c>
      <c r="T93" s="17" t="s">
        <v>365</v>
      </c>
      <c r="U93" s="31">
        <v>45992.0</v>
      </c>
    </row>
    <row r="94">
      <c r="A94" s="17" t="s">
        <v>1122</v>
      </c>
      <c r="B94" s="17" t="s">
        <v>1123</v>
      </c>
      <c r="C94" s="17" t="s">
        <v>1120</v>
      </c>
      <c r="D94" s="17">
        <v>4247168.0</v>
      </c>
      <c r="E94" s="17" t="s">
        <v>1121</v>
      </c>
      <c r="F94" s="17">
        <v>196.7</v>
      </c>
      <c r="G94" s="17">
        <v>100.0</v>
      </c>
      <c r="H94" s="17">
        <v>38.0</v>
      </c>
      <c r="I94" s="17">
        <v>18.0</v>
      </c>
      <c r="J94" s="31">
        <v>45968.0</v>
      </c>
      <c r="K94" s="31">
        <v>45979.0</v>
      </c>
      <c r="L94" s="31">
        <v>45978.0</v>
      </c>
      <c r="M94" s="17" t="s">
        <v>1463</v>
      </c>
      <c r="N94" s="31">
        <v>45999.0</v>
      </c>
      <c r="O94" s="31">
        <v>46006.0</v>
      </c>
      <c r="P94" s="17" t="s">
        <v>315</v>
      </c>
      <c r="Q94" s="17" t="s">
        <v>343</v>
      </c>
      <c r="S94" s="17" t="s">
        <v>129</v>
      </c>
      <c r="T94" s="17" t="s">
        <v>365</v>
      </c>
      <c r="U94" s="31">
        <v>45992.0</v>
      </c>
    </row>
    <row r="95">
      <c r="A95" s="17" t="s">
        <v>1118</v>
      </c>
      <c r="B95" s="17" t="s">
        <v>1119</v>
      </c>
      <c r="C95" s="17" t="s">
        <v>1116</v>
      </c>
      <c r="D95" s="17">
        <v>4271363.0</v>
      </c>
      <c r="E95" s="17" t="s">
        <v>1117</v>
      </c>
      <c r="F95" s="17">
        <v>182.5</v>
      </c>
      <c r="G95" s="17">
        <v>100.0</v>
      </c>
      <c r="H95" s="17">
        <v>43.0</v>
      </c>
      <c r="I95" s="17">
        <v>17.0</v>
      </c>
      <c r="J95" s="31">
        <v>45964.0</v>
      </c>
      <c r="K95" s="31">
        <v>45972.0</v>
      </c>
      <c r="L95" s="31">
        <v>45986.0</v>
      </c>
      <c r="M95" s="17" t="s">
        <v>1464</v>
      </c>
      <c r="N95" s="31">
        <v>46003.0</v>
      </c>
      <c r="O95" s="31">
        <v>46007.0</v>
      </c>
      <c r="P95" s="17" t="s">
        <v>315</v>
      </c>
      <c r="Q95" s="17" t="s">
        <v>343</v>
      </c>
      <c r="S95" s="17" t="s">
        <v>129</v>
      </c>
      <c r="T95" s="17" t="s">
        <v>365</v>
      </c>
      <c r="U95" s="31">
        <v>45992.0</v>
      </c>
    </row>
    <row r="96">
      <c r="A96" s="17" t="s">
        <v>1158</v>
      </c>
      <c r="B96" s="17" t="s">
        <v>1159</v>
      </c>
      <c r="C96" s="17" t="s">
        <v>1156</v>
      </c>
      <c r="D96" s="17">
        <v>4271411.0</v>
      </c>
      <c r="E96" s="17" t="s">
        <v>1157</v>
      </c>
      <c r="F96" s="17">
        <v>55.0</v>
      </c>
      <c r="G96" s="17">
        <v>100.0</v>
      </c>
      <c r="H96" s="17">
        <v>0.0</v>
      </c>
      <c r="I96" s="17">
        <v>17.0</v>
      </c>
      <c r="J96" s="31">
        <v>46007.0</v>
      </c>
      <c r="M96" s="17" t="s">
        <v>1465</v>
      </c>
      <c r="O96" s="31">
        <v>46007.0</v>
      </c>
      <c r="Q96" s="17" t="s">
        <v>365</v>
      </c>
      <c r="S96" s="17" t="s">
        <v>129</v>
      </c>
      <c r="T96" s="17" t="s">
        <v>365</v>
      </c>
      <c r="U96" s="31">
        <v>45992.0</v>
      </c>
    </row>
    <row r="97">
      <c r="A97" s="17" t="s">
        <v>1130</v>
      </c>
      <c r="B97" s="17" t="s">
        <v>1131</v>
      </c>
      <c r="C97" s="17" t="s">
        <v>1128</v>
      </c>
      <c r="D97" s="17">
        <v>4252854.0</v>
      </c>
      <c r="E97" s="17" t="s">
        <v>1129</v>
      </c>
      <c r="F97" s="17">
        <v>136.25</v>
      </c>
      <c r="G97" s="17">
        <v>100.0</v>
      </c>
      <c r="H97" s="17">
        <v>29.0</v>
      </c>
      <c r="I97" s="17">
        <v>16.0</v>
      </c>
      <c r="J97" s="31">
        <v>45979.0</v>
      </c>
      <c r="K97" s="31">
        <v>45995.0</v>
      </c>
      <c r="L97" s="31">
        <v>45972.0</v>
      </c>
      <c r="M97" s="17" t="s">
        <v>1466</v>
      </c>
      <c r="N97" s="31">
        <v>45992.0</v>
      </c>
      <c r="O97" s="31">
        <v>46008.0</v>
      </c>
      <c r="P97" s="17" t="s">
        <v>315</v>
      </c>
      <c r="Q97" s="17" t="s">
        <v>316</v>
      </c>
      <c r="S97" s="17" t="s">
        <v>129</v>
      </c>
      <c r="T97" s="17" t="s">
        <v>365</v>
      </c>
      <c r="U97" s="31">
        <v>45992.0</v>
      </c>
    </row>
    <row r="98">
      <c r="A98" s="17" t="s">
        <v>1107</v>
      </c>
      <c r="B98" s="17" t="s">
        <v>765</v>
      </c>
      <c r="C98" s="17" t="s">
        <v>762</v>
      </c>
      <c r="D98" s="17">
        <v>3683365.0</v>
      </c>
      <c r="E98" s="17" t="s">
        <v>763</v>
      </c>
      <c r="F98" s="17">
        <v>980.0</v>
      </c>
      <c r="G98" s="17">
        <v>100.0</v>
      </c>
      <c r="H98" s="17">
        <v>52.0</v>
      </c>
      <c r="I98" s="17">
        <v>15.0</v>
      </c>
      <c r="J98" s="31">
        <v>45957.0</v>
      </c>
      <c r="K98" s="31">
        <v>45966.0</v>
      </c>
      <c r="L98" s="31">
        <v>45966.0</v>
      </c>
      <c r="M98" s="17" t="s">
        <v>1467</v>
      </c>
      <c r="N98" s="31">
        <v>46006.0</v>
      </c>
      <c r="O98" s="31">
        <v>46009.0</v>
      </c>
      <c r="P98" s="17" t="s">
        <v>315</v>
      </c>
      <c r="Q98" s="17" t="s">
        <v>316</v>
      </c>
      <c r="S98" s="17" t="s">
        <v>129</v>
      </c>
      <c r="T98" s="17" t="s">
        <v>365</v>
      </c>
      <c r="U98" s="31">
        <v>45992.0</v>
      </c>
    </row>
    <row r="99">
      <c r="A99" s="17" t="s">
        <v>1114</v>
      </c>
      <c r="B99" s="17" t="s">
        <v>1115</v>
      </c>
      <c r="C99" s="17" t="s">
        <v>1112</v>
      </c>
      <c r="D99" s="17">
        <v>4270780.0</v>
      </c>
      <c r="E99" s="17" t="s">
        <v>1113</v>
      </c>
      <c r="F99" s="17">
        <v>167.5</v>
      </c>
      <c r="G99" s="17">
        <v>100.0</v>
      </c>
      <c r="H99" s="17">
        <v>52.0</v>
      </c>
      <c r="I99" s="17">
        <v>11.0</v>
      </c>
      <c r="J99" s="31">
        <v>45961.0</v>
      </c>
      <c r="K99" s="31">
        <v>45975.0</v>
      </c>
      <c r="L99" s="31">
        <v>46009.0</v>
      </c>
      <c r="M99" s="17" t="s">
        <v>1468</v>
      </c>
      <c r="N99" s="31">
        <v>45986.0</v>
      </c>
      <c r="O99" s="31">
        <v>46013.0</v>
      </c>
      <c r="P99" s="17" t="s">
        <v>315</v>
      </c>
      <c r="Q99" s="17" t="s">
        <v>343</v>
      </c>
      <c r="S99" s="17" t="s">
        <v>129</v>
      </c>
      <c r="T99" s="17" t="s">
        <v>365</v>
      </c>
      <c r="U99" s="31">
        <v>45992.0</v>
      </c>
    </row>
    <row r="100">
      <c r="A100" s="17" t="s">
        <v>1146</v>
      </c>
      <c r="B100" s="17" t="s">
        <v>1147</v>
      </c>
      <c r="C100" s="17" t="s">
        <v>1469</v>
      </c>
      <c r="E100" s="17" t="s">
        <v>1470</v>
      </c>
      <c r="F100" s="17">
        <v>160.0</v>
      </c>
      <c r="G100" s="17">
        <v>100.0</v>
      </c>
      <c r="H100" s="17">
        <v>15.0</v>
      </c>
      <c r="I100" s="17">
        <v>10.0</v>
      </c>
      <c r="J100" s="31">
        <v>45999.0</v>
      </c>
      <c r="K100" s="31">
        <v>46013.0</v>
      </c>
      <c r="L100" s="31">
        <v>46002.0</v>
      </c>
      <c r="M100" s="17" t="s">
        <v>1471</v>
      </c>
      <c r="N100" s="31">
        <v>46013.0</v>
      </c>
      <c r="O100" s="31">
        <v>46014.0</v>
      </c>
      <c r="Q100" s="17" t="s">
        <v>316</v>
      </c>
      <c r="S100" s="17" t="s">
        <v>129</v>
      </c>
      <c r="T100" s="17" t="s">
        <v>365</v>
      </c>
      <c r="U100" s="31">
        <v>45992.0</v>
      </c>
    </row>
    <row r="101">
      <c r="A101" s="17" t="s">
        <v>479</v>
      </c>
      <c r="B101" s="17" t="s">
        <v>480</v>
      </c>
      <c r="C101" s="17" t="s">
        <v>481</v>
      </c>
      <c r="D101" s="17">
        <v>1938612.0</v>
      </c>
      <c r="E101" s="17" t="s">
        <v>482</v>
      </c>
      <c r="F101" s="17">
        <v>226.0</v>
      </c>
      <c r="G101" s="17">
        <v>100.0</v>
      </c>
      <c r="H101" s="17">
        <v>62.0</v>
      </c>
      <c r="I101" s="17">
        <v>37.0</v>
      </c>
      <c r="J101" s="31">
        <v>45904.0</v>
      </c>
      <c r="K101" s="31">
        <v>45972.0</v>
      </c>
      <c r="L101" s="31">
        <v>45973.0</v>
      </c>
      <c r="N101" s="31">
        <v>45966.0</v>
      </c>
      <c r="O101" s="31">
        <v>45966.0</v>
      </c>
      <c r="Q101" s="17" t="s">
        <v>365</v>
      </c>
      <c r="S101" s="17" t="s">
        <v>129</v>
      </c>
      <c r="T101" s="17" t="s">
        <v>365</v>
      </c>
      <c r="U101" s="31">
        <v>45962.0</v>
      </c>
    </row>
    <row r="102">
      <c r="A102" s="17" t="s">
        <v>474</v>
      </c>
      <c r="B102" s="17" t="s">
        <v>475</v>
      </c>
      <c r="C102" s="17" t="s">
        <v>476</v>
      </c>
      <c r="D102" s="17">
        <v>4138622.0</v>
      </c>
      <c r="E102" s="17" t="s">
        <v>477</v>
      </c>
      <c r="F102" s="17">
        <v>52.0</v>
      </c>
      <c r="G102" s="17">
        <v>100.0</v>
      </c>
      <c r="H102" s="17">
        <v>50.0</v>
      </c>
      <c r="I102" s="17">
        <v>37.0</v>
      </c>
      <c r="J102" s="31">
        <v>45916.0</v>
      </c>
      <c r="K102" s="31">
        <v>45925.0</v>
      </c>
      <c r="L102" s="31">
        <v>45946.0</v>
      </c>
      <c r="M102" s="17" t="s">
        <v>478</v>
      </c>
      <c r="N102" s="31">
        <v>45923.0</v>
      </c>
      <c r="O102" s="31">
        <v>45966.0</v>
      </c>
      <c r="P102" s="17" t="s">
        <v>315</v>
      </c>
      <c r="Q102" s="17" t="s">
        <v>365</v>
      </c>
      <c r="S102" s="17" t="s">
        <v>129</v>
      </c>
      <c r="T102" s="17" t="s">
        <v>365</v>
      </c>
      <c r="U102" s="31">
        <v>45962.0</v>
      </c>
    </row>
    <row r="103">
      <c r="A103" s="17" t="s">
        <v>483</v>
      </c>
      <c r="B103" s="17" t="s">
        <v>484</v>
      </c>
      <c r="C103" s="17" t="s">
        <v>485</v>
      </c>
      <c r="D103" s="17">
        <v>4213575.0</v>
      </c>
      <c r="E103" s="17" t="s">
        <v>486</v>
      </c>
      <c r="F103" s="17">
        <v>131.0</v>
      </c>
      <c r="G103" s="17">
        <v>100.0</v>
      </c>
      <c r="H103" s="17">
        <v>1.0</v>
      </c>
      <c r="I103" s="17">
        <v>37.0</v>
      </c>
      <c r="J103" s="31">
        <v>45965.0</v>
      </c>
      <c r="K103" s="31">
        <v>45966.0</v>
      </c>
      <c r="L103" s="31">
        <v>45966.0</v>
      </c>
      <c r="M103" s="17" t="s">
        <v>487</v>
      </c>
      <c r="N103" s="31">
        <v>45973.0</v>
      </c>
      <c r="O103" s="31">
        <v>45966.0</v>
      </c>
      <c r="Q103" s="17" t="s">
        <v>343</v>
      </c>
      <c r="S103" s="17" t="s">
        <v>129</v>
      </c>
      <c r="T103" s="17" t="s">
        <v>365</v>
      </c>
      <c r="U103" s="31">
        <v>45962.0</v>
      </c>
    </row>
    <row r="104">
      <c r="A104" s="17" t="s">
        <v>1057</v>
      </c>
      <c r="B104" s="17" t="s">
        <v>1058</v>
      </c>
      <c r="C104" s="17" t="s">
        <v>1055</v>
      </c>
      <c r="D104" s="17">
        <v>4155276.0</v>
      </c>
      <c r="E104" s="17" t="s">
        <v>1056</v>
      </c>
      <c r="F104" s="17">
        <v>0.0</v>
      </c>
      <c r="G104" s="17">
        <v>100.0</v>
      </c>
      <c r="H104" s="17">
        <v>1.0</v>
      </c>
      <c r="I104" s="17">
        <v>37.0</v>
      </c>
      <c r="J104" s="31">
        <v>45965.0</v>
      </c>
      <c r="O104" s="31">
        <v>45966.0</v>
      </c>
      <c r="Q104" s="17" t="s">
        <v>295</v>
      </c>
      <c r="S104" s="17" t="s">
        <v>129</v>
      </c>
      <c r="T104" s="17" t="s">
        <v>365</v>
      </c>
      <c r="U104" s="31">
        <v>45962.0</v>
      </c>
    </row>
    <row r="105">
      <c r="A105" s="17" t="s">
        <v>1045</v>
      </c>
      <c r="B105" s="17" t="s">
        <v>1046</v>
      </c>
      <c r="C105" s="17" t="s">
        <v>1043</v>
      </c>
      <c r="D105" s="17">
        <v>4213771.0</v>
      </c>
      <c r="E105" s="17" t="s">
        <v>1044</v>
      </c>
      <c r="F105" s="17">
        <v>98.63</v>
      </c>
      <c r="G105" s="17">
        <v>100.0</v>
      </c>
      <c r="H105" s="17">
        <v>17.0</v>
      </c>
      <c r="I105" s="17">
        <v>37.0</v>
      </c>
      <c r="J105" s="31">
        <v>45957.0</v>
      </c>
      <c r="M105" s="17" t="s">
        <v>1472</v>
      </c>
      <c r="N105" s="31">
        <v>45958.0</v>
      </c>
      <c r="O105" s="31">
        <v>45974.0</v>
      </c>
      <c r="P105" s="17" t="s">
        <v>315</v>
      </c>
      <c r="Q105" s="17" t="s">
        <v>343</v>
      </c>
      <c r="S105" s="17" t="s">
        <v>129</v>
      </c>
      <c r="T105" s="17" t="s">
        <v>365</v>
      </c>
      <c r="U105" s="31">
        <v>45962.0</v>
      </c>
    </row>
    <row r="106">
      <c r="A106" s="17" t="s">
        <v>1053</v>
      </c>
      <c r="B106" s="17" t="s">
        <v>1054</v>
      </c>
      <c r="C106" s="17" t="s">
        <v>1051</v>
      </c>
      <c r="D106" s="17">
        <v>4233333.0</v>
      </c>
      <c r="E106" s="17" t="s">
        <v>1052</v>
      </c>
      <c r="F106" s="17">
        <v>805.0</v>
      </c>
      <c r="G106" s="17">
        <v>100.0</v>
      </c>
      <c r="H106" s="17">
        <v>14.0</v>
      </c>
      <c r="I106" s="17">
        <v>37.0</v>
      </c>
      <c r="J106" s="31">
        <v>45965.0</v>
      </c>
      <c r="K106" s="31">
        <v>45987.0</v>
      </c>
      <c r="L106" s="31">
        <v>45987.0</v>
      </c>
      <c r="M106" s="17" t="s">
        <v>1473</v>
      </c>
      <c r="N106" s="31">
        <v>45973.0</v>
      </c>
      <c r="O106" s="31">
        <v>45979.0</v>
      </c>
      <c r="Q106" s="17" t="s">
        <v>316</v>
      </c>
      <c r="S106" s="17" t="s">
        <v>129</v>
      </c>
      <c r="T106" s="17" t="s">
        <v>365</v>
      </c>
      <c r="U106" s="31">
        <v>45962.0</v>
      </c>
    </row>
    <row r="107">
      <c r="A107" s="17" t="s">
        <v>1073</v>
      </c>
      <c r="B107" s="17" t="s">
        <v>1074</v>
      </c>
      <c r="C107" s="17" t="s">
        <v>1474</v>
      </c>
      <c r="E107" s="17" t="s">
        <v>1072</v>
      </c>
      <c r="F107" s="17">
        <v>95.0</v>
      </c>
      <c r="G107" s="17">
        <v>100.0</v>
      </c>
      <c r="H107" s="17">
        <v>6.0</v>
      </c>
      <c r="I107" s="17">
        <v>37.0</v>
      </c>
      <c r="J107" s="31">
        <v>45973.0</v>
      </c>
      <c r="K107" s="31">
        <v>45975.0</v>
      </c>
      <c r="L107" s="31">
        <v>45974.0</v>
      </c>
      <c r="M107" s="17" t="s">
        <v>1475</v>
      </c>
      <c r="N107" s="31">
        <v>45979.0</v>
      </c>
      <c r="O107" s="31">
        <v>45979.0</v>
      </c>
      <c r="P107" s="17" t="s">
        <v>315</v>
      </c>
      <c r="Q107" s="17" t="s">
        <v>316</v>
      </c>
      <c r="S107" s="17" t="s">
        <v>129</v>
      </c>
      <c r="T107" s="17" t="s">
        <v>365</v>
      </c>
      <c r="U107" s="31">
        <v>45962.0</v>
      </c>
    </row>
    <row r="108">
      <c r="A108" s="17" t="s">
        <v>405</v>
      </c>
      <c r="B108" s="17" t="s">
        <v>406</v>
      </c>
      <c r="C108" s="17" t="s">
        <v>407</v>
      </c>
      <c r="D108" s="17">
        <v>2340816.0</v>
      </c>
      <c r="E108" s="17" t="s">
        <v>408</v>
      </c>
      <c r="F108" s="17">
        <v>50.0</v>
      </c>
      <c r="G108" s="17">
        <v>100.0</v>
      </c>
      <c r="H108" s="17">
        <v>7.0</v>
      </c>
      <c r="I108" s="17">
        <v>37.0</v>
      </c>
      <c r="J108" s="31">
        <v>45929.0</v>
      </c>
      <c r="K108" s="31">
        <v>45931.0</v>
      </c>
      <c r="M108" s="17" t="s">
        <v>409</v>
      </c>
      <c r="N108" s="31">
        <v>45932.0</v>
      </c>
      <c r="O108" s="31">
        <v>45936.0</v>
      </c>
      <c r="P108" s="17" t="s">
        <v>315</v>
      </c>
      <c r="Q108" s="17" t="s">
        <v>343</v>
      </c>
      <c r="S108" s="17" t="s">
        <v>129</v>
      </c>
      <c r="T108" s="17" t="s">
        <v>365</v>
      </c>
      <c r="U108" s="31">
        <v>45931.0</v>
      </c>
    </row>
    <row r="109">
      <c r="A109" s="17" t="s">
        <v>411</v>
      </c>
      <c r="B109" s="17" t="s">
        <v>412</v>
      </c>
      <c r="C109" s="17" t="s">
        <v>413</v>
      </c>
      <c r="D109" s="17">
        <v>4079020.0</v>
      </c>
      <c r="E109" s="17" t="s">
        <v>414</v>
      </c>
      <c r="F109" s="17">
        <v>140.0</v>
      </c>
      <c r="G109" s="17">
        <v>100.0</v>
      </c>
      <c r="H109" s="17">
        <v>43.0</v>
      </c>
      <c r="I109" s="17">
        <v>37.0</v>
      </c>
      <c r="J109" s="31">
        <v>45894.0</v>
      </c>
      <c r="K109" s="31">
        <v>45925.0</v>
      </c>
      <c r="L109" s="31">
        <v>45931.0</v>
      </c>
      <c r="N109" s="31">
        <v>45896.0</v>
      </c>
      <c r="O109" s="31">
        <v>45937.0</v>
      </c>
      <c r="Q109" s="17" t="s">
        <v>365</v>
      </c>
      <c r="S109" s="17" t="s">
        <v>129</v>
      </c>
      <c r="T109" s="17" t="s">
        <v>365</v>
      </c>
      <c r="U109" s="31">
        <v>45931.0</v>
      </c>
    </row>
    <row r="110">
      <c r="A110" s="17" t="s">
        <v>415</v>
      </c>
      <c r="B110" s="17" t="s">
        <v>416</v>
      </c>
      <c r="C110" s="17" t="s">
        <v>417</v>
      </c>
      <c r="D110" s="17">
        <v>4136952.0</v>
      </c>
      <c r="E110" s="17" t="s">
        <v>418</v>
      </c>
      <c r="F110" s="17">
        <v>50.0</v>
      </c>
      <c r="G110" s="17">
        <v>100.0</v>
      </c>
      <c r="H110" s="17">
        <v>8.0</v>
      </c>
      <c r="I110" s="17">
        <v>37.0</v>
      </c>
      <c r="J110" s="31">
        <v>45930.0</v>
      </c>
      <c r="M110" s="17" t="s">
        <v>419</v>
      </c>
      <c r="N110" s="31">
        <v>45937.0</v>
      </c>
      <c r="O110" s="31">
        <v>45938.0</v>
      </c>
      <c r="P110" s="17" t="s">
        <v>315</v>
      </c>
      <c r="Q110" s="17" t="s">
        <v>365</v>
      </c>
      <c r="S110" s="17" t="s">
        <v>129</v>
      </c>
      <c r="T110" s="17" t="s">
        <v>365</v>
      </c>
      <c r="U110" s="31">
        <v>45931.0</v>
      </c>
    </row>
    <row r="111">
      <c r="A111" s="17" t="s">
        <v>1013</v>
      </c>
      <c r="B111" s="17" t="s">
        <v>1014</v>
      </c>
      <c r="C111" s="17" t="s">
        <v>1011</v>
      </c>
      <c r="D111" s="17">
        <v>4159804.0</v>
      </c>
      <c r="E111" s="17" t="s">
        <v>1012</v>
      </c>
      <c r="F111" s="17">
        <v>263.0</v>
      </c>
      <c r="G111" s="17">
        <v>100.0</v>
      </c>
      <c r="H111" s="17">
        <v>2.0</v>
      </c>
      <c r="I111" s="17">
        <v>37.0</v>
      </c>
      <c r="J111" s="31">
        <v>45937.0</v>
      </c>
      <c r="O111" s="31">
        <v>45939.0</v>
      </c>
      <c r="P111" s="17" t="s">
        <v>1439</v>
      </c>
      <c r="Q111" s="17" t="s">
        <v>343</v>
      </c>
      <c r="S111" s="17" t="s">
        <v>129</v>
      </c>
      <c r="T111" s="17" t="s">
        <v>365</v>
      </c>
      <c r="U111" s="31">
        <v>45931.0</v>
      </c>
    </row>
    <row r="112">
      <c r="A112" s="17" t="s">
        <v>420</v>
      </c>
      <c r="B112" s="17" t="s">
        <v>421</v>
      </c>
      <c r="C112" s="17" t="s">
        <v>422</v>
      </c>
      <c r="D112" s="17">
        <v>4112463.0</v>
      </c>
      <c r="E112" s="17" t="s">
        <v>423</v>
      </c>
      <c r="F112" s="17">
        <v>162.0</v>
      </c>
      <c r="G112" s="17">
        <v>100.0</v>
      </c>
      <c r="H112" s="17">
        <v>34.0</v>
      </c>
      <c r="I112" s="17">
        <v>37.0</v>
      </c>
      <c r="J112" s="31">
        <v>45911.0</v>
      </c>
      <c r="O112" s="31">
        <v>45945.0</v>
      </c>
      <c r="Q112" s="17" t="s">
        <v>365</v>
      </c>
      <c r="S112" s="17" t="s">
        <v>129</v>
      </c>
      <c r="T112" s="17" t="s">
        <v>365</v>
      </c>
      <c r="U112" s="31">
        <v>45931.0</v>
      </c>
    </row>
    <row r="113">
      <c r="A113" s="17" t="s">
        <v>424</v>
      </c>
      <c r="B113" s="17" t="s">
        <v>425</v>
      </c>
      <c r="C113" s="17" t="s">
        <v>426</v>
      </c>
      <c r="D113" s="17">
        <v>4107679.0</v>
      </c>
      <c r="E113" s="17" t="s">
        <v>427</v>
      </c>
      <c r="F113" s="17">
        <v>118.13</v>
      </c>
      <c r="G113" s="17">
        <v>100.0</v>
      </c>
      <c r="H113" s="17">
        <v>20.0</v>
      </c>
      <c r="I113" s="17">
        <v>37.0</v>
      </c>
      <c r="J113" s="31">
        <v>45930.0</v>
      </c>
      <c r="O113" s="31">
        <v>45950.0</v>
      </c>
      <c r="Q113" s="17" t="s">
        <v>316</v>
      </c>
      <c r="S113" s="17" t="s">
        <v>129</v>
      </c>
      <c r="T113" s="17" t="s">
        <v>365</v>
      </c>
      <c r="U113" s="31">
        <v>45931.0</v>
      </c>
    </row>
    <row r="114">
      <c r="A114" s="17" t="s">
        <v>432</v>
      </c>
      <c r="B114" s="17" t="s">
        <v>425</v>
      </c>
      <c r="C114" s="17" t="s">
        <v>426</v>
      </c>
      <c r="D114" s="17">
        <v>4107679.0</v>
      </c>
      <c r="E114" s="17" t="s">
        <v>427</v>
      </c>
      <c r="F114" s="17">
        <v>148.13</v>
      </c>
      <c r="G114" s="17">
        <v>100.0</v>
      </c>
      <c r="H114" s="17">
        <v>26.0</v>
      </c>
      <c r="I114" s="17">
        <v>37.0</v>
      </c>
      <c r="J114" s="31">
        <v>45925.0</v>
      </c>
      <c r="M114" s="17" t="s">
        <v>433</v>
      </c>
      <c r="N114" s="31">
        <v>45946.0</v>
      </c>
      <c r="O114" s="31">
        <v>45951.0</v>
      </c>
      <c r="P114" s="17" t="s">
        <v>315</v>
      </c>
      <c r="Q114" s="17" t="s">
        <v>365</v>
      </c>
      <c r="S114" s="17" t="s">
        <v>129</v>
      </c>
      <c r="T114" s="17" t="s">
        <v>365</v>
      </c>
      <c r="U114" s="31">
        <v>45931.0</v>
      </c>
    </row>
    <row r="115">
      <c r="A115" s="17" t="s">
        <v>428</v>
      </c>
      <c r="B115" s="17" t="s">
        <v>429</v>
      </c>
      <c r="C115" s="17" t="s">
        <v>430</v>
      </c>
      <c r="D115" s="17">
        <v>4117708.0</v>
      </c>
      <c r="E115" s="17" t="s">
        <v>431</v>
      </c>
      <c r="F115" s="17">
        <v>800.0</v>
      </c>
      <c r="G115" s="17">
        <v>100.0</v>
      </c>
      <c r="H115" s="17">
        <v>35.0</v>
      </c>
      <c r="I115" s="17">
        <v>37.0</v>
      </c>
      <c r="J115" s="31">
        <v>45916.0</v>
      </c>
      <c r="O115" s="31">
        <v>45951.0</v>
      </c>
      <c r="Q115" s="17" t="s">
        <v>365</v>
      </c>
      <c r="S115" s="17" t="s">
        <v>129</v>
      </c>
      <c r="T115" s="17" t="s">
        <v>365</v>
      </c>
      <c r="U115" s="31">
        <v>45931.0</v>
      </c>
    </row>
    <row r="116">
      <c r="A116" s="17" t="s">
        <v>447</v>
      </c>
      <c r="B116" s="17" t="s">
        <v>448</v>
      </c>
      <c r="C116" s="17" t="s">
        <v>449</v>
      </c>
      <c r="D116" s="17">
        <v>4154266.0</v>
      </c>
      <c r="E116" s="17" t="s">
        <v>450</v>
      </c>
      <c r="F116" s="17">
        <v>0.0</v>
      </c>
      <c r="G116" s="17">
        <v>100.0</v>
      </c>
      <c r="H116" s="17">
        <v>59.0</v>
      </c>
      <c r="I116" s="17">
        <v>37.0</v>
      </c>
      <c r="J116" s="31">
        <v>45895.0</v>
      </c>
      <c r="K116" s="31">
        <v>45905.0</v>
      </c>
      <c r="L116" s="31">
        <v>45905.0</v>
      </c>
      <c r="M116" s="17" t="s">
        <v>438</v>
      </c>
      <c r="N116" s="31">
        <v>45908.0</v>
      </c>
      <c r="O116" s="31">
        <v>45954.0</v>
      </c>
      <c r="Q116" s="17" t="s">
        <v>365</v>
      </c>
      <c r="S116" s="17" t="s">
        <v>129</v>
      </c>
      <c r="T116" s="17" t="s">
        <v>365</v>
      </c>
      <c r="U116" s="31">
        <v>45931.0</v>
      </c>
    </row>
    <row r="117">
      <c r="A117" s="17" t="s">
        <v>443</v>
      </c>
      <c r="B117" s="17" t="s">
        <v>444</v>
      </c>
      <c r="C117" s="17" t="s">
        <v>445</v>
      </c>
      <c r="D117" s="17">
        <v>4162423.0</v>
      </c>
      <c r="E117" s="17" t="s">
        <v>446</v>
      </c>
      <c r="F117" s="17">
        <v>0.0</v>
      </c>
      <c r="G117" s="17">
        <v>100.0</v>
      </c>
      <c r="H117" s="17">
        <v>59.0</v>
      </c>
      <c r="I117" s="17">
        <v>37.0</v>
      </c>
      <c r="J117" s="31">
        <v>45895.0</v>
      </c>
      <c r="K117" s="31">
        <v>45905.0</v>
      </c>
      <c r="L117" s="31">
        <v>45905.0</v>
      </c>
      <c r="M117" s="17" t="s">
        <v>438</v>
      </c>
      <c r="N117" s="31">
        <v>45908.0</v>
      </c>
      <c r="O117" s="31">
        <v>45954.0</v>
      </c>
      <c r="Q117" s="17" t="s">
        <v>365</v>
      </c>
      <c r="S117" s="17" t="s">
        <v>129</v>
      </c>
      <c r="T117" s="17" t="s">
        <v>365</v>
      </c>
      <c r="U117" s="31">
        <v>45931.0</v>
      </c>
    </row>
    <row r="118">
      <c r="A118" s="17" t="s">
        <v>439</v>
      </c>
      <c r="B118" s="17" t="s">
        <v>440</v>
      </c>
      <c r="C118" s="17" t="s">
        <v>441</v>
      </c>
      <c r="D118" s="17">
        <v>3514759.0</v>
      </c>
      <c r="E118" s="17" t="s">
        <v>442</v>
      </c>
      <c r="F118" s="17">
        <v>111.0</v>
      </c>
      <c r="G118" s="17">
        <v>100.0</v>
      </c>
      <c r="H118" s="17">
        <v>59.0</v>
      </c>
      <c r="I118" s="17">
        <v>37.0</v>
      </c>
      <c r="J118" s="31">
        <v>45895.0</v>
      </c>
      <c r="K118" s="31">
        <v>45905.0</v>
      </c>
      <c r="L118" s="31">
        <v>45905.0</v>
      </c>
      <c r="M118" s="17" t="s">
        <v>438</v>
      </c>
      <c r="N118" s="31">
        <v>45908.0</v>
      </c>
      <c r="O118" s="31">
        <v>45954.0</v>
      </c>
      <c r="Q118" s="17" t="s">
        <v>365</v>
      </c>
      <c r="S118" s="17" t="s">
        <v>129</v>
      </c>
      <c r="T118" s="17" t="s">
        <v>365</v>
      </c>
      <c r="U118" s="31">
        <v>45931.0</v>
      </c>
    </row>
    <row r="119">
      <c r="A119" s="17" t="s">
        <v>434</v>
      </c>
      <c r="B119" s="17" t="s">
        <v>435</v>
      </c>
      <c r="C119" s="17" t="s">
        <v>436</v>
      </c>
      <c r="D119" s="17">
        <v>4148405.0</v>
      </c>
      <c r="E119" s="17" t="s">
        <v>437</v>
      </c>
      <c r="F119" s="17">
        <v>0.0</v>
      </c>
      <c r="G119" s="17">
        <v>100.0</v>
      </c>
      <c r="H119" s="17">
        <v>59.0</v>
      </c>
      <c r="I119" s="17">
        <v>37.0</v>
      </c>
      <c r="J119" s="31">
        <v>45895.0</v>
      </c>
      <c r="K119" s="31">
        <v>45905.0</v>
      </c>
      <c r="L119" s="31">
        <v>45905.0</v>
      </c>
      <c r="M119" s="17" t="s">
        <v>438</v>
      </c>
      <c r="N119" s="31">
        <v>45908.0</v>
      </c>
      <c r="O119" s="31">
        <v>45954.0</v>
      </c>
      <c r="Q119" s="17" t="s">
        <v>365</v>
      </c>
      <c r="S119" s="17" t="s">
        <v>129</v>
      </c>
      <c r="T119" s="17" t="s">
        <v>365</v>
      </c>
      <c r="U119" s="31">
        <v>45931.0</v>
      </c>
    </row>
    <row r="120">
      <c r="A120" s="17" t="s">
        <v>451</v>
      </c>
      <c r="B120" s="17" t="s">
        <v>452</v>
      </c>
      <c r="C120" s="17" t="s">
        <v>453</v>
      </c>
      <c r="D120" s="17">
        <v>4186958.0</v>
      </c>
      <c r="E120" s="17" t="s">
        <v>1010</v>
      </c>
      <c r="F120" s="17">
        <v>55.0</v>
      </c>
      <c r="G120" s="17">
        <v>100.0</v>
      </c>
      <c r="H120" s="17">
        <v>26.0</v>
      </c>
      <c r="I120" s="17">
        <v>37.0</v>
      </c>
      <c r="J120" s="31">
        <v>45931.0</v>
      </c>
      <c r="O120" s="31">
        <v>45957.0</v>
      </c>
      <c r="Q120" s="17" t="s">
        <v>365</v>
      </c>
      <c r="S120" s="17" t="s">
        <v>129</v>
      </c>
      <c r="T120" s="17" t="s">
        <v>365</v>
      </c>
      <c r="U120" s="31">
        <v>45931.0</v>
      </c>
    </row>
    <row r="121">
      <c r="A121" s="17" t="s">
        <v>470</v>
      </c>
      <c r="B121" s="17" t="s">
        <v>471</v>
      </c>
      <c r="C121" s="17" t="s">
        <v>472</v>
      </c>
      <c r="D121" s="17">
        <v>4185373.0</v>
      </c>
      <c r="E121" s="17" t="s">
        <v>473</v>
      </c>
      <c r="F121" s="17">
        <v>355.0</v>
      </c>
      <c r="G121" s="17">
        <v>100.0</v>
      </c>
      <c r="H121" s="17">
        <v>18.0</v>
      </c>
      <c r="I121" s="17">
        <v>37.0</v>
      </c>
      <c r="J121" s="31">
        <v>45940.0</v>
      </c>
      <c r="N121" s="31">
        <v>45953.0</v>
      </c>
      <c r="O121" s="31">
        <v>45958.0</v>
      </c>
      <c r="P121" s="17" t="s">
        <v>315</v>
      </c>
      <c r="Q121" s="17" t="s">
        <v>343</v>
      </c>
      <c r="S121" s="17" t="s">
        <v>129</v>
      </c>
      <c r="T121" s="17" t="s">
        <v>365</v>
      </c>
      <c r="U121" s="31">
        <v>45931.0</v>
      </c>
    </row>
    <row r="122">
      <c r="A122" s="17" t="s">
        <v>464</v>
      </c>
      <c r="B122" s="17" t="s">
        <v>465</v>
      </c>
      <c r="C122" s="17" t="s">
        <v>466</v>
      </c>
      <c r="D122" s="17">
        <v>3707279.0</v>
      </c>
      <c r="E122" s="17" t="s">
        <v>467</v>
      </c>
      <c r="F122" s="17">
        <v>230.0</v>
      </c>
      <c r="G122" s="17">
        <v>100.0</v>
      </c>
      <c r="H122" s="17">
        <v>78.0</v>
      </c>
      <c r="I122" s="17">
        <v>37.0</v>
      </c>
      <c r="J122" s="31">
        <v>45880.0</v>
      </c>
      <c r="K122" s="31">
        <v>45898.0</v>
      </c>
      <c r="L122" s="31">
        <v>45940.0</v>
      </c>
      <c r="M122" s="17" t="s">
        <v>468</v>
      </c>
      <c r="N122" s="31">
        <v>45896.0</v>
      </c>
      <c r="O122" s="31">
        <v>45958.0</v>
      </c>
      <c r="Q122" s="17" t="s">
        <v>365</v>
      </c>
      <c r="S122" s="17" t="s">
        <v>129</v>
      </c>
      <c r="T122" s="17" t="s">
        <v>365</v>
      </c>
      <c r="U122" s="31">
        <v>45931.0</v>
      </c>
    </row>
    <row r="123">
      <c r="A123" s="17" t="s">
        <v>460</v>
      </c>
      <c r="B123" s="17" t="s">
        <v>461</v>
      </c>
      <c r="C123" s="17" t="s">
        <v>462</v>
      </c>
      <c r="D123" s="17">
        <v>4132416.0</v>
      </c>
      <c r="E123" s="17" t="s">
        <v>463</v>
      </c>
      <c r="F123" s="17">
        <v>355.0</v>
      </c>
      <c r="G123" s="17">
        <v>100.0</v>
      </c>
      <c r="H123" s="17">
        <v>53.0</v>
      </c>
      <c r="I123" s="17">
        <v>37.0</v>
      </c>
      <c r="J123" s="31">
        <v>45905.0</v>
      </c>
      <c r="K123" s="31">
        <v>45935.0</v>
      </c>
      <c r="L123" s="31">
        <v>45935.0</v>
      </c>
      <c r="N123" s="31">
        <v>45922.0</v>
      </c>
      <c r="O123" s="31">
        <v>45958.0</v>
      </c>
      <c r="P123" s="17" t="s">
        <v>315</v>
      </c>
      <c r="Q123" s="17" t="s">
        <v>365</v>
      </c>
      <c r="S123" s="17" t="s">
        <v>129</v>
      </c>
      <c r="T123" s="17" t="s">
        <v>365</v>
      </c>
      <c r="U123" s="31">
        <v>45931.0</v>
      </c>
    </row>
    <row r="124">
      <c r="A124" s="17" t="s">
        <v>455</v>
      </c>
      <c r="B124" s="17" t="s">
        <v>456</v>
      </c>
      <c r="C124" s="17" t="s">
        <v>457</v>
      </c>
      <c r="D124" s="17">
        <v>3543707.0</v>
      </c>
      <c r="E124" s="17" t="s">
        <v>458</v>
      </c>
      <c r="F124" s="17">
        <v>165.0</v>
      </c>
      <c r="G124" s="17">
        <v>100.0</v>
      </c>
      <c r="H124" s="17">
        <v>43.0</v>
      </c>
      <c r="I124" s="17">
        <v>37.0</v>
      </c>
      <c r="J124" s="31">
        <v>45915.0</v>
      </c>
      <c r="K124" s="31">
        <v>45921.0</v>
      </c>
      <c r="L124" s="31">
        <v>45918.0</v>
      </c>
      <c r="N124" s="31">
        <v>45922.0</v>
      </c>
      <c r="O124" s="31">
        <v>45958.0</v>
      </c>
      <c r="P124" s="17" t="s">
        <v>459</v>
      </c>
      <c r="Q124" s="17" t="s">
        <v>365</v>
      </c>
      <c r="S124" s="17" t="s">
        <v>129</v>
      </c>
      <c r="T124" s="17" t="s">
        <v>365</v>
      </c>
      <c r="U124" s="31">
        <v>45931.0</v>
      </c>
    </row>
    <row r="125">
      <c r="A125" s="17" t="s">
        <v>375</v>
      </c>
      <c r="B125" s="17" t="s">
        <v>376</v>
      </c>
      <c r="C125" s="17" t="s">
        <v>377</v>
      </c>
      <c r="D125" s="17">
        <v>4080340.0</v>
      </c>
      <c r="E125" s="17" t="s">
        <v>378</v>
      </c>
      <c r="F125" s="17">
        <v>55.0</v>
      </c>
      <c r="G125" s="17">
        <v>100.0</v>
      </c>
      <c r="H125" s="17">
        <v>12.0</v>
      </c>
      <c r="I125" s="17">
        <v>37.0</v>
      </c>
      <c r="J125" s="31">
        <v>45895.0</v>
      </c>
      <c r="O125" s="31">
        <v>45907.0</v>
      </c>
      <c r="Q125" s="17" t="s">
        <v>365</v>
      </c>
      <c r="S125" s="17" t="s">
        <v>129</v>
      </c>
      <c r="T125" s="17" t="s">
        <v>365</v>
      </c>
      <c r="U125" s="31">
        <v>45901.0</v>
      </c>
    </row>
    <row r="126">
      <c r="A126" s="17" t="s">
        <v>384</v>
      </c>
      <c r="B126" s="17" t="s">
        <v>385</v>
      </c>
      <c r="C126" s="17" t="s">
        <v>386</v>
      </c>
      <c r="D126" s="17">
        <v>4100689.0</v>
      </c>
      <c r="E126" s="17" t="s">
        <v>387</v>
      </c>
      <c r="F126" s="17">
        <v>940.0</v>
      </c>
      <c r="G126" s="17">
        <v>100.0</v>
      </c>
      <c r="H126" s="17">
        <v>5.0</v>
      </c>
      <c r="I126" s="17">
        <v>37.0</v>
      </c>
      <c r="J126" s="31">
        <v>45903.0</v>
      </c>
      <c r="K126" s="31">
        <v>45908.0</v>
      </c>
      <c r="L126" s="31">
        <v>45908.0</v>
      </c>
      <c r="N126" s="31">
        <v>45904.0</v>
      </c>
      <c r="O126" s="31">
        <v>45908.0</v>
      </c>
      <c r="P126" s="17" t="s">
        <v>315</v>
      </c>
      <c r="Q126" s="17" t="s">
        <v>365</v>
      </c>
      <c r="S126" s="17" t="s">
        <v>129</v>
      </c>
      <c r="T126" s="17" t="s">
        <v>365</v>
      </c>
      <c r="U126" s="31">
        <v>45901.0</v>
      </c>
    </row>
    <row r="127">
      <c r="A127" s="17" t="s">
        <v>379</v>
      </c>
      <c r="B127" s="17" t="s">
        <v>380</v>
      </c>
      <c r="C127" s="17" t="s">
        <v>381</v>
      </c>
      <c r="D127" s="17">
        <v>4095111.0</v>
      </c>
      <c r="E127" s="17" t="s">
        <v>382</v>
      </c>
      <c r="F127" s="17">
        <v>996.0</v>
      </c>
      <c r="G127" s="17">
        <v>100.0</v>
      </c>
      <c r="H127" s="17">
        <v>12.0</v>
      </c>
      <c r="I127" s="17">
        <v>37.0</v>
      </c>
      <c r="J127" s="31">
        <v>45896.0</v>
      </c>
      <c r="K127" s="31">
        <v>45902.0</v>
      </c>
      <c r="L127" s="31">
        <v>45903.0</v>
      </c>
      <c r="M127" s="17" t="s">
        <v>383</v>
      </c>
      <c r="N127" s="31">
        <v>45902.0</v>
      </c>
      <c r="O127" s="31">
        <v>45908.0</v>
      </c>
      <c r="P127" s="17" t="s">
        <v>315</v>
      </c>
      <c r="Q127" s="17" t="s">
        <v>365</v>
      </c>
      <c r="S127" s="17" t="s">
        <v>129</v>
      </c>
      <c r="T127" s="17" t="s">
        <v>365</v>
      </c>
      <c r="U127" s="31">
        <v>45901.0</v>
      </c>
    </row>
    <row r="128">
      <c r="A128" s="17" t="s">
        <v>388</v>
      </c>
      <c r="B128" s="17" t="s">
        <v>389</v>
      </c>
      <c r="C128" s="17" t="s">
        <v>390</v>
      </c>
      <c r="D128" s="17">
        <v>4098415.0</v>
      </c>
      <c r="E128" s="17" t="s">
        <v>391</v>
      </c>
      <c r="F128" s="17">
        <v>105.0</v>
      </c>
      <c r="G128" s="17">
        <v>100.0</v>
      </c>
      <c r="H128" s="17">
        <v>15.0</v>
      </c>
      <c r="I128" s="17">
        <v>37.0</v>
      </c>
      <c r="J128" s="31">
        <v>45895.0</v>
      </c>
      <c r="K128" s="31">
        <v>45903.0</v>
      </c>
      <c r="L128" s="31">
        <v>45903.0</v>
      </c>
      <c r="M128" s="17" t="s">
        <v>392</v>
      </c>
      <c r="N128" s="31">
        <v>45903.0</v>
      </c>
      <c r="O128" s="31">
        <v>45910.0</v>
      </c>
      <c r="Q128" s="17" t="s">
        <v>365</v>
      </c>
      <c r="S128" s="17" t="s">
        <v>129</v>
      </c>
      <c r="T128" s="17" t="s">
        <v>365</v>
      </c>
      <c r="U128" s="31">
        <v>45901.0</v>
      </c>
    </row>
    <row r="129">
      <c r="A129" s="17" t="s">
        <v>393</v>
      </c>
      <c r="B129" s="17" t="s">
        <v>394</v>
      </c>
      <c r="C129" s="17" t="s">
        <v>395</v>
      </c>
      <c r="D129" s="17">
        <v>3024156.0</v>
      </c>
      <c r="E129" s="17" t="s">
        <v>396</v>
      </c>
      <c r="F129" s="17">
        <v>102.0</v>
      </c>
      <c r="G129" s="17">
        <v>100.0</v>
      </c>
      <c r="H129" s="17">
        <v>19.0</v>
      </c>
      <c r="I129" s="17">
        <v>37.0</v>
      </c>
      <c r="J129" s="31">
        <v>45897.0</v>
      </c>
      <c r="K129" s="31">
        <v>45933.0</v>
      </c>
      <c r="L129" s="31">
        <v>37508.0</v>
      </c>
      <c r="N129" s="31">
        <v>45903.0</v>
      </c>
      <c r="O129" s="31">
        <v>45916.0</v>
      </c>
      <c r="Q129" s="17" t="s">
        <v>365</v>
      </c>
      <c r="S129" s="17" t="s">
        <v>129</v>
      </c>
      <c r="T129" s="17" t="s">
        <v>365</v>
      </c>
      <c r="U129" s="31">
        <v>45901.0</v>
      </c>
    </row>
    <row r="130">
      <c r="A130" s="17" t="s">
        <v>397</v>
      </c>
      <c r="B130" s="17" t="s">
        <v>398</v>
      </c>
      <c r="C130" s="17" t="s">
        <v>399</v>
      </c>
      <c r="D130" s="17">
        <v>4103219.0</v>
      </c>
      <c r="E130" s="17" t="s">
        <v>400</v>
      </c>
      <c r="F130" s="17">
        <v>66.61</v>
      </c>
      <c r="G130" s="17">
        <v>100.0</v>
      </c>
      <c r="H130" s="17">
        <v>18.0</v>
      </c>
      <c r="I130" s="17">
        <v>37.0</v>
      </c>
      <c r="J130" s="31">
        <v>45901.0</v>
      </c>
      <c r="O130" s="31">
        <v>45919.0</v>
      </c>
      <c r="Q130" s="17" t="s">
        <v>365</v>
      </c>
      <c r="S130" s="17" t="s">
        <v>129</v>
      </c>
      <c r="T130" s="17" t="s">
        <v>365</v>
      </c>
      <c r="U130" s="31">
        <v>45901.0</v>
      </c>
    </row>
    <row r="131">
      <c r="A131" s="17" t="s">
        <v>401</v>
      </c>
      <c r="B131" s="17" t="s">
        <v>402</v>
      </c>
      <c r="C131" s="17" t="s">
        <v>403</v>
      </c>
      <c r="D131" s="17">
        <v>4115795.0</v>
      </c>
      <c r="E131" s="17" t="s">
        <v>404</v>
      </c>
      <c r="F131" s="17">
        <v>1120.0</v>
      </c>
      <c r="G131" s="17">
        <v>100.0</v>
      </c>
      <c r="H131" s="17">
        <v>17.0</v>
      </c>
      <c r="I131" s="17">
        <v>37.0</v>
      </c>
      <c r="J131" s="31">
        <v>45903.0</v>
      </c>
      <c r="K131" s="31">
        <v>45915.0</v>
      </c>
      <c r="L131" s="31">
        <v>45920.0</v>
      </c>
      <c r="N131" s="31">
        <v>45905.0</v>
      </c>
      <c r="O131" s="31">
        <v>45920.0</v>
      </c>
      <c r="P131" s="17" t="s">
        <v>315</v>
      </c>
      <c r="Q131" s="17" t="s">
        <v>365</v>
      </c>
      <c r="S131" s="17" t="s">
        <v>129</v>
      </c>
      <c r="T131" s="17" t="s">
        <v>365</v>
      </c>
      <c r="U131" s="31">
        <v>45901.0</v>
      </c>
    </row>
    <row r="132">
      <c r="A132" s="17" t="s">
        <v>361</v>
      </c>
      <c r="B132" s="17" t="s">
        <v>362</v>
      </c>
      <c r="C132" s="17" t="s">
        <v>363</v>
      </c>
      <c r="D132" s="17">
        <v>4031652.0</v>
      </c>
      <c r="E132" s="17" t="s">
        <v>364</v>
      </c>
      <c r="F132" s="17">
        <v>140.0</v>
      </c>
      <c r="G132" s="17">
        <v>100.0</v>
      </c>
      <c r="H132" s="17">
        <v>8.0</v>
      </c>
      <c r="I132" s="17">
        <v>37.0</v>
      </c>
      <c r="J132" s="31">
        <v>45881.0</v>
      </c>
      <c r="N132" s="31">
        <v>45891.0</v>
      </c>
      <c r="O132" s="31">
        <v>45889.0</v>
      </c>
      <c r="P132" s="17" t="s">
        <v>315</v>
      </c>
      <c r="Q132" s="17" t="s">
        <v>365</v>
      </c>
      <c r="S132" s="17" t="s">
        <v>129</v>
      </c>
      <c r="T132" s="17" t="s">
        <v>365</v>
      </c>
      <c r="U132" s="31">
        <v>45870.0</v>
      </c>
    </row>
    <row r="133">
      <c r="A133" s="17" t="s">
        <v>366</v>
      </c>
      <c r="B133" s="17" t="s">
        <v>367</v>
      </c>
      <c r="C133" s="17" t="s">
        <v>368</v>
      </c>
      <c r="D133" s="17">
        <v>4075965.0</v>
      </c>
      <c r="E133" s="17" t="s">
        <v>369</v>
      </c>
      <c r="F133" s="17">
        <v>133.75</v>
      </c>
      <c r="G133" s="17">
        <v>100.0</v>
      </c>
      <c r="H133" s="17">
        <v>4.0</v>
      </c>
      <c r="I133" s="17">
        <v>37.0</v>
      </c>
      <c r="J133" s="31">
        <v>45887.0</v>
      </c>
      <c r="K133" s="31">
        <v>45887.0</v>
      </c>
      <c r="L133" s="31">
        <v>45887.0</v>
      </c>
      <c r="M133" s="17" t="s">
        <v>370</v>
      </c>
      <c r="N133" s="31">
        <v>45887.0</v>
      </c>
      <c r="O133" s="31">
        <v>45891.0</v>
      </c>
      <c r="P133" s="17" t="s">
        <v>315</v>
      </c>
      <c r="Q133" s="17" t="s">
        <v>365</v>
      </c>
      <c r="S133" s="17" t="s">
        <v>129</v>
      </c>
      <c r="T133" s="17" t="s">
        <v>365</v>
      </c>
      <c r="U133" s="31">
        <v>45870.0</v>
      </c>
    </row>
    <row r="134">
      <c r="A134" s="17" t="s">
        <v>371</v>
      </c>
      <c r="B134" s="17" t="s">
        <v>372</v>
      </c>
      <c r="C134" s="17" t="s">
        <v>373</v>
      </c>
      <c r="D134" s="17">
        <v>4079539.0</v>
      </c>
      <c r="E134" s="17" t="s">
        <v>374</v>
      </c>
      <c r="F134" s="17">
        <v>633.0</v>
      </c>
      <c r="G134" s="17">
        <v>100.0</v>
      </c>
      <c r="H134" s="17">
        <v>9.0</v>
      </c>
      <c r="I134" s="17">
        <v>37.0</v>
      </c>
      <c r="J134" s="31">
        <v>45890.0</v>
      </c>
      <c r="N134" s="31">
        <v>45891.0</v>
      </c>
      <c r="O134" s="31">
        <v>45899.0</v>
      </c>
      <c r="P134" s="17" t="s">
        <v>315</v>
      </c>
      <c r="Q134" s="17" t="s">
        <v>365</v>
      </c>
      <c r="S134" s="17" t="s">
        <v>129</v>
      </c>
      <c r="T134" s="17" t="s">
        <v>365</v>
      </c>
      <c r="U134" s="31">
        <v>45870.0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105</v>
      </c>
      <c r="B1" s="17" t="s">
        <v>106</v>
      </c>
      <c r="C1" s="17" t="s">
        <v>28</v>
      </c>
      <c r="D1" s="17" t="s">
        <v>107</v>
      </c>
      <c r="E1" s="17" t="s">
        <v>29</v>
      </c>
      <c r="F1" s="17" t="s">
        <v>47</v>
      </c>
      <c r="G1" s="17" t="s">
        <v>122</v>
      </c>
    </row>
    <row r="2">
      <c r="A2" s="17" t="s">
        <v>405</v>
      </c>
      <c r="B2" s="17" t="s">
        <v>406</v>
      </c>
      <c r="C2" s="17" t="s">
        <v>365</v>
      </c>
      <c r="D2" s="17" t="s">
        <v>407</v>
      </c>
      <c r="E2" s="17" t="s">
        <v>408</v>
      </c>
      <c r="F2" s="17" t="s">
        <v>365</v>
      </c>
      <c r="G2" s="17">
        <v>2340816.0</v>
      </c>
    </row>
    <row r="3">
      <c r="A3" s="17" t="s">
        <v>791</v>
      </c>
      <c r="B3" s="17" t="s">
        <v>792</v>
      </c>
      <c r="C3" s="17" t="s">
        <v>128</v>
      </c>
      <c r="D3" s="17" t="s">
        <v>789</v>
      </c>
      <c r="E3" s="17" t="s">
        <v>790</v>
      </c>
      <c r="F3" s="17" t="s">
        <v>128</v>
      </c>
      <c r="G3" s="17">
        <v>2402714.0</v>
      </c>
    </row>
    <row r="4">
      <c r="A4" s="17" t="s">
        <v>393</v>
      </c>
      <c r="B4" s="17" t="s">
        <v>394</v>
      </c>
      <c r="C4" s="17" t="s">
        <v>365</v>
      </c>
      <c r="D4" s="17" t="s">
        <v>395</v>
      </c>
      <c r="E4" s="17" t="s">
        <v>396</v>
      </c>
      <c r="F4" s="17" t="s">
        <v>365</v>
      </c>
      <c r="G4" s="17">
        <v>3024156.0</v>
      </c>
    </row>
    <row r="5">
      <c r="A5" s="17" t="s">
        <v>439</v>
      </c>
      <c r="B5" s="17" t="s">
        <v>440</v>
      </c>
      <c r="C5" s="17" t="s">
        <v>365</v>
      </c>
      <c r="D5" s="17" t="s">
        <v>441</v>
      </c>
      <c r="E5" s="17" t="s">
        <v>442</v>
      </c>
      <c r="F5" s="17" t="s">
        <v>365</v>
      </c>
      <c r="G5" s="17">
        <v>3514759.0</v>
      </c>
    </row>
    <row r="6">
      <c r="A6" s="17" t="s">
        <v>455</v>
      </c>
      <c r="B6" s="17" t="s">
        <v>456</v>
      </c>
      <c r="C6" s="17" t="s">
        <v>365</v>
      </c>
      <c r="D6" s="17" t="s">
        <v>457</v>
      </c>
      <c r="E6" s="17" t="s">
        <v>458</v>
      </c>
      <c r="F6" s="17" t="s">
        <v>365</v>
      </c>
      <c r="G6" s="17">
        <v>3543707.0</v>
      </c>
    </row>
    <row r="7">
      <c r="A7" s="17" t="s">
        <v>154</v>
      </c>
      <c r="B7" s="17" t="s">
        <v>155</v>
      </c>
      <c r="C7" s="17" t="s">
        <v>128</v>
      </c>
      <c r="D7" s="17" t="s">
        <v>156</v>
      </c>
      <c r="E7" s="17" t="s">
        <v>157</v>
      </c>
      <c r="F7" s="17" t="s">
        <v>128</v>
      </c>
      <c r="G7" s="17">
        <v>3785914.0</v>
      </c>
    </row>
    <row r="8">
      <c r="A8" s="17" t="s">
        <v>768</v>
      </c>
      <c r="B8" s="17" t="s">
        <v>769</v>
      </c>
      <c r="C8" s="17" t="s">
        <v>128</v>
      </c>
      <c r="D8" s="17" t="s">
        <v>766</v>
      </c>
      <c r="E8" s="17" t="s">
        <v>767</v>
      </c>
      <c r="F8" s="17" t="s">
        <v>128</v>
      </c>
      <c r="G8" s="17">
        <v>3906405.0</v>
      </c>
    </row>
    <row r="9">
      <c r="A9" s="17" t="s">
        <v>187</v>
      </c>
      <c r="B9" s="17" t="s">
        <v>188</v>
      </c>
      <c r="C9" s="17" t="s">
        <v>128</v>
      </c>
      <c r="D9" s="17" t="s">
        <v>189</v>
      </c>
      <c r="E9" s="17" t="s">
        <v>190</v>
      </c>
      <c r="F9" s="17" t="s">
        <v>128</v>
      </c>
      <c r="G9" s="17">
        <v>3934664.0</v>
      </c>
    </row>
    <row r="10">
      <c r="A10" s="17" t="s">
        <v>169</v>
      </c>
      <c r="B10" s="17" t="s">
        <v>170</v>
      </c>
      <c r="C10" s="17" t="s">
        <v>128</v>
      </c>
      <c r="D10" s="17" t="s">
        <v>171</v>
      </c>
      <c r="E10" s="17" t="s">
        <v>172</v>
      </c>
      <c r="F10" s="17" t="s">
        <v>128</v>
      </c>
      <c r="G10" s="17">
        <v>3934711.0</v>
      </c>
    </row>
    <row r="11">
      <c r="A11" s="17" t="s">
        <v>133</v>
      </c>
      <c r="B11" s="17" t="s">
        <v>134</v>
      </c>
      <c r="C11" s="17" t="s">
        <v>128</v>
      </c>
      <c r="D11" s="17" t="s">
        <v>135</v>
      </c>
      <c r="E11" s="17" t="s">
        <v>136</v>
      </c>
      <c r="F11" s="17" t="s">
        <v>128</v>
      </c>
      <c r="G11" s="17">
        <v>3935770.0</v>
      </c>
    </row>
    <row r="12">
      <c r="A12" s="17" t="s">
        <v>144</v>
      </c>
      <c r="B12" s="17" t="s">
        <v>145</v>
      </c>
      <c r="C12" s="17" t="s">
        <v>128</v>
      </c>
      <c r="D12" s="17" t="s">
        <v>146</v>
      </c>
      <c r="E12" s="17" t="s">
        <v>147</v>
      </c>
      <c r="F12" s="17" t="s">
        <v>128</v>
      </c>
      <c r="G12" s="17">
        <v>3946131.0</v>
      </c>
    </row>
    <row r="13">
      <c r="A13" s="17" t="s">
        <v>149</v>
      </c>
      <c r="B13" s="17" t="s">
        <v>150</v>
      </c>
      <c r="C13" s="17" t="s">
        <v>128</v>
      </c>
      <c r="D13" s="17" t="s">
        <v>151</v>
      </c>
      <c r="E13" s="17" t="s">
        <v>152</v>
      </c>
      <c r="F13" s="17" t="s">
        <v>128</v>
      </c>
      <c r="G13" s="17">
        <v>3947424.0</v>
      </c>
    </row>
    <row r="14">
      <c r="A14" s="17" t="s">
        <v>174</v>
      </c>
      <c r="B14" s="17" t="s">
        <v>175</v>
      </c>
      <c r="C14" s="17" t="s">
        <v>128</v>
      </c>
      <c r="D14" s="17" t="s">
        <v>176</v>
      </c>
      <c r="E14" s="17" t="s">
        <v>177</v>
      </c>
      <c r="F14" s="17" t="s">
        <v>128</v>
      </c>
      <c r="G14" s="17">
        <v>3952865.0</v>
      </c>
    </row>
    <row r="15">
      <c r="A15" s="17" t="s">
        <v>786</v>
      </c>
      <c r="B15" s="17" t="s">
        <v>787</v>
      </c>
      <c r="C15" s="17" t="s">
        <v>128</v>
      </c>
      <c r="D15" s="17" t="s">
        <v>784</v>
      </c>
      <c r="E15" s="17" t="s">
        <v>785</v>
      </c>
      <c r="F15" s="17" t="s">
        <v>128</v>
      </c>
      <c r="G15" s="17">
        <v>3993022.0</v>
      </c>
    </row>
    <row r="16">
      <c r="A16" s="17" t="s">
        <v>322</v>
      </c>
      <c r="B16" s="17" t="s">
        <v>323</v>
      </c>
      <c r="C16" s="17" t="s">
        <v>295</v>
      </c>
      <c r="D16" s="17" t="s">
        <v>324</v>
      </c>
      <c r="E16" s="17" t="s">
        <v>325</v>
      </c>
      <c r="F16" s="17" t="s">
        <v>295</v>
      </c>
      <c r="G16" s="17">
        <v>4016001.0</v>
      </c>
    </row>
    <row r="17">
      <c r="A17" s="17" t="s">
        <v>361</v>
      </c>
      <c r="B17" s="17" t="s">
        <v>362</v>
      </c>
      <c r="C17" s="17" t="s">
        <v>365</v>
      </c>
      <c r="D17" s="17" t="s">
        <v>363</v>
      </c>
      <c r="E17" s="17" t="s">
        <v>364</v>
      </c>
      <c r="F17" s="17" t="s">
        <v>365</v>
      </c>
      <c r="G17" s="17">
        <v>4031652.0</v>
      </c>
    </row>
    <row r="18">
      <c r="A18" s="17" t="s">
        <v>290</v>
      </c>
      <c r="B18" s="17" t="s">
        <v>291</v>
      </c>
      <c r="C18" s="17" t="s">
        <v>128</v>
      </c>
      <c r="D18" s="17" t="s">
        <v>292</v>
      </c>
      <c r="E18" s="17" t="s">
        <v>293</v>
      </c>
      <c r="F18" s="17" t="s">
        <v>128</v>
      </c>
      <c r="G18" s="17">
        <v>4031755.0</v>
      </c>
    </row>
    <row r="19">
      <c r="A19" s="17" t="s">
        <v>1476</v>
      </c>
      <c r="B19" s="17" t="s">
        <v>1477</v>
      </c>
      <c r="C19" s="17" t="s">
        <v>1478</v>
      </c>
      <c r="D19" s="17" t="s">
        <v>1479</v>
      </c>
      <c r="E19" s="17" t="s">
        <v>1480</v>
      </c>
      <c r="F19" s="17" t="s">
        <v>1478</v>
      </c>
      <c r="G19" s="17">
        <v>4054136.0</v>
      </c>
    </row>
    <row r="20">
      <c r="A20" s="17" t="s">
        <v>411</v>
      </c>
      <c r="B20" s="17" t="s">
        <v>412</v>
      </c>
      <c r="C20" s="17" t="s">
        <v>365</v>
      </c>
      <c r="D20" s="17" t="s">
        <v>413</v>
      </c>
      <c r="E20" s="17" t="s">
        <v>414</v>
      </c>
      <c r="F20" s="17" t="s">
        <v>365</v>
      </c>
      <c r="G20" s="17">
        <v>4079020.0</v>
      </c>
    </row>
    <row r="21">
      <c r="A21" s="17" t="s">
        <v>388</v>
      </c>
      <c r="B21" s="17" t="s">
        <v>389</v>
      </c>
      <c r="C21" s="17" t="s">
        <v>365</v>
      </c>
      <c r="D21" s="17" t="s">
        <v>390</v>
      </c>
      <c r="E21" s="17" t="s">
        <v>391</v>
      </c>
      <c r="F21" s="17" t="s">
        <v>365</v>
      </c>
      <c r="G21" s="17">
        <v>4098415.0</v>
      </c>
    </row>
    <row r="22">
      <c r="A22" s="17" t="s">
        <v>844</v>
      </c>
      <c r="B22" s="17" t="s">
        <v>845</v>
      </c>
      <c r="C22" s="17" t="s">
        <v>128</v>
      </c>
      <c r="D22" s="17" t="s">
        <v>842</v>
      </c>
      <c r="E22" s="17" t="s">
        <v>843</v>
      </c>
      <c r="F22" s="17" t="s">
        <v>128</v>
      </c>
      <c r="G22" s="17">
        <v>4099073.0</v>
      </c>
    </row>
    <row r="23">
      <c r="A23" s="17" t="s">
        <v>384</v>
      </c>
      <c r="B23" s="17" t="s">
        <v>385</v>
      </c>
      <c r="C23" s="17" t="s">
        <v>365</v>
      </c>
      <c r="D23" s="17" t="s">
        <v>386</v>
      </c>
      <c r="E23" s="17" t="s">
        <v>387</v>
      </c>
      <c r="F23" s="17" t="s">
        <v>365</v>
      </c>
      <c r="G23" s="17">
        <v>4100689.0</v>
      </c>
    </row>
    <row r="24">
      <c r="A24" s="17" t="s">
        <v>1481</v>
      </c>
      <c r="B24" s="17" t="s">
        <v>1482</v>
      </c>
      <c r="C24" s="17" t="s">
        <v>365</v>
      </c>
      <c r="D24" s="17" t="s">
        <v>1483</v>
      </c>
      <c r="E24" s="17" t="s">
        <v>1484</v>
      </c>
      <c r="F24" s="17" t="s">
        <v>365</v>
      </c>
      <c r="G24" s="17">
        <v>4109396.0</v>
      </c>
    </row>
    <row r="25">
      <c r="A25" s="17" t="s">
        <v>420</v>
      </c>
      <c r="B25" s="17" t="s">
        <v>421</v>
      </c>
      <c r="C25" s="17" t="s">
        <v>365</v>
      </c>
      <c r="D25" s="17" t="s">
        <v>422</v>
      </c>
      <c r="E25" s="17" t="s">
        <v>423</v>
      </c>
      <c r="F25" s="17" t="s">
        <v>365</v>
      </c>
      <c r="G25" s="17">
        <v>4112463.0</v>
      </c>
    </row>
    <row r="26">
      <c r="A26" s="17" t="s">
        <v>401</v>
      </c>
      <c r="B26" s="17" t="s">
        <v>402</v>
      </c>
      <c r="C26" s="17" t="s">
        <v>365</v>
      </c>
      <c r="D26" s="17" t="s">
        <v>403</v>
      </c>
      <c r="E26" s="17" t="s">
        <v>404</v>
      </c>
      <c r="F26" s="17" t="s">
        <v>1478</v>
      </c>
      <c r="G26" s="17">
        <v>4115795.0</v>
      </c>
    </row>
    <row r="27">
      <c r="A27" s="17" t="s">
        <v>460</v>
      </c>
      <c r="B27" s="17" t="s">
        <v>461</v>
      </c>
      <c r="C27" s="17" t="s">
        <v>365</v>
      </c>
      <c r="D27" s="17" t="s">
        <v>462</v>
      </c>
      <c r="E27" s="17" t="s">
        <v>463</v>
      </c>
      <c r="F27" s="17" t="s">
        <v>365</v>
      </c>
      <c r="G27" s="17">
        <v>4132416.0</v>
      </c>
    </row>
    <row r="28">
      <c r="A28" s="17" t="s">
        <v>300</v>
      </c>
      <c r="B28" s="17" t="s">
        <v>301</v>
      </c>
      <c r="C28" s="17" t="s">
        <v>295</v>
      </c>
      <c r="D28" s="17" t="s">
        <v>302</v>
      </c>
      <c r="E28" s="17" t="s">
        <v>303</v>
      </c>
      <c r="F28" s="17" t="s">
        <v>295</v>
      </c>
      <c r="G28" s="17">
        <v>4136460.0</v>
      </c>
    </row>
    <row r="29">
      <c r="A29" s="17" t="s">
        <v>415</v>
      </c>
      <c r="B29" s="17" t="s">
        <v>416</v>
      </c>
      <c r="C29" s="17" t="s">
        <v>365</v>
      </c>
      <c r="D29" s="17" t="s">
        <v>417</v>
      </c>
      <c r="E29" s="17" t="s">
        <v>418</v>
      </c>
      <c r="F29" s="17" t="s">
        <v>365</v>
      </c>
      <c r="G29" s="17">
        <v>4136952.0</v>
      </c>
    </row>
    <row r="30">
      <c r="A30" s="17" t="s">
        <v>474</v>
      </c>
      <c r="B30" s="17" t="s">
        <v>475</v>
      </c>
      <c r="C30" s="17" t="s">
        <v>365</v>
      </c>
      <c r="D30" s="17" t="s">
        <v>476</v>
      </c>
      <c r="E30" s="17" t="s">
        <v>477</v>
      </c>
      <c r="F30" s="17" t="s">
        <v>365</v>
      </c>
      <c r="G30" s="17">
        <v>4138622.0</v>
      </c>
    </row>
    <row r="31">
      <c r="A31" s="17" t="s">
        <v>434</v>
      </c>
      <c r="B31" s="17" t="s">
        <v>435</v>
      </c>
      <c r="C31" s="17" t="s">
        <v>365</v>
      </c>
      <c r="D31" s="17" t="s">
        <v>436</v>
      </c>
      <c r="E31" s="17" t="s">
        <v>437</v>
      </c>
      <c r="F31" s="17" t="s">
        <v>365</v>
      </c>
      <c r="G31" s="17">
        <v>4148405.0</v>
      </c>
    </row>
    <row r="32">
      <c r="A32" s="17" t="s">
        <v>447</v>
      </c>
      <c r="B32" s="17" t="s">
        <v>448</v>
      </c>
      <c r="C32" s="17" t="s">
        <v>365</v>
      </c>
      <c r="D32" s="17" t="s">
        <v>449</v>
      </c>
      <c r="E32" s="17" t="s">
        <v>450</v>
      </c>
      <c r="F32" s="17" t="s">
        <v>365</v>
      </c>
      <c r="G32" s="17">
        <v>4154266.0</v>
      </c>
    </row>
    <row r="33">
      <c r="A33" s="17" t="s">
        <v>1013</v>
      </c>
      <c r="B33" s="17" t="s">
        <v>1014</v>
      </c>
      <c r="C33" s="17" t="s">
        <v>365</v>
      </c>
      <c r="D33" s="17" t="s">
        <v>1011</v>
      </c>
      <c r="E33" s="17" t="s">
        <v>1012</v>
      </c>
      <c r="F33" s="17" t="s">
        <v>365</v>
      </c>
      <c r="G33" s="17">
        <v>4159804.0</v>
      </c>
    </row>
    <row r="34">
      <c r="A34" s="17" t="s">
        <v>344</v>
      </c>
      <c r="B34" s="17" t="s">
        <v>345</v>
      </c>
      <c r="C34" s="17" t="s">
        <v>295</v>
      </c>
      <c r="D34" s="17" t="s">
        <v>346</v>
      </c>
      <c r="E34" s="17" t="s">
        <v>347</v>
      </c>
      <c r="F34" s="17" t="s">
        <v>295</v>
      </c>
      <c r="G34" s="17">
        <v>4161378.0</v>
      </c>
    </row>
    <row r="35">
      <c r="A35" s="17" t="s">
        <v>349</v>
      </c>
      <c r="B35" s="17" t="s">
        <v>350</v>
      </c>
      <c r="C35" s="17" t="s">
        <v>295</v>
      </c>
      <c r="D35" s="17" t="s">
        <v>351</v>
      </c>
      <c r="E35" s="17" t="s">
        <v>352</v>
      </c>
      <c r="F35" s="17" t="s">
        <v>295</v>
      </c>
      <c r="G35" s="17">
        <v>4161412.0</v>
      </c>
    </row>
    <row r="36">
      <c r="A36" s="17" t="s">
        <v>357</v>
      </c>
      <c r="B36" s="17" t="s">
        <v>358</v>
      </c>
      <c r="C36" s="17" t="s">
        <v>295</v>
      </c>
      <c r="D36" s="17" t="s">
        <v>359</v>
      </c>
      <c r="E36" s="17" t="s">
        <v>360</v>
      </c>
      <c r="F36" s="17" t="s">
        <v>295</v>
      </c>
      <c r="G36" s="17">
        <v>4166316.0</v>
      </c>
    </row>
    <row r="37">
      <c r="A37" s="17" t="s">
        <v>333</v>
      </c>
      <c r="B37" s="17" t="s">
        <v>334</v>
      </c>
      <c r="C37" s="17" t="s">
        <v>295</v>
      </c>
      <c r="D37" s="17" t="s">
        <v>335</v>
      </c>
      <c r="E37" s="17" t="s">
        <v>336</v>
      </c>
      <c r="F37" s="17" t="s">
        <v>295</v>
      </c>
      <c r="G37" s="17">
        <v>4169152.0</v>
      </c>
    </row>
    <row r="38">
      <c r="A38" s="17" t="s">
        <v>338</v>
      </c>
      <c r="B38" s="17" t="s">
        <v>339</v>
      </c>
      <c r="C38" s="17" t="s">
        <v>295</v>
      </c>
      <c r="D38" s="17" t="s">
        <v>340</v>
      </c>
      <c r="E38" s="17" t="s">
        <v>341</v>
      </c>
      <c r="F38" s="17" t="s">
        <v>295</v>
      </c>
      <c r="G38" s="17">
        <v>4172812.0</v>
      </c>
    </row>
    <row r="39">
      <c r="A39" s="17" t="s">
        <v>470</v>
      </c>
      <c r="B39" s="17" t="s">
        <v>471</v>
      </c>
      <c r="C39" s="17" t="s">
        <v>365</v>
      </c>
      <c r="D39" s="17" t="s">
        <v>472</v>
      </c>
      <c r="E39" s="17" t="s">
        <v>473</v>
      </c>
      <c r="F39" s="17" t="s">
        <v>365</v>
      </c>
      <c r="G39" s="17">
        <v>4185373.0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8" width="29.13"/>
  </cols>
  <sheetData>
    <row r="1">
      <c r="A1" s="17" t="s">
        <v>0</v>
      </c>
      <c r="B1" s="17" t="s">
        <v>1</v>
      </c>
      <c r="C1" s="17" t="s">
        <v>2</v>
      </c>
      <c r="D1" s="17" t="s">
        <v>3</v>
      </c>
      <c r="E1" s="17" t="s">
        <v>4</v>
      </c>
      <c r="F1" s="17" t="s">
        <v>5</v>
      </c>
      <c r="G1" s="17" t="s">
        <v>6</v>
      </c>
      <c r="H1" s="17" t="s">
        <v>104</v>
      </c>
      <c r="I1" s="17" t="s">
        <v>7</v>
      </c>
      <c r="J1" s="17" t="s">
        <v>8</v>
      </c>
      <c r="K1" s="17" t="s">
        <v>9</v>
      </c>
      <c r="L1" s="17" t="s">
        <v>10</v>
      </c>
      <c r="M1" s="17" t="s">
        <v>11</v>
      </c>
      <c r="N1" s="17" t="s">
        <v>12</v>
      </c>
      <c r="O1" s="16" t="s">
        <v>13</v>
      </c>
      <c r="P1" s="17" t="s">
        <v>14</v>
      </c>
      <c r="Q1" s="17" t="s">
        <v>15</v>
      </c>
      <c r="R1" s="17" t="s">
        <v>16</v>
      </c>
      <c r="S1" s="17" t="s">
        <v>1485</v>
      </c>
    </row>
    <row r="2">
      <c r="A2" s="17" t="s">
        <v>19</v>
      </c>
      <c r="B2" s="85">
        <v>46174.0</v>
      </c>
      <c r="C2" s="17">
        <v>1938612.0</v>
      </c>
      <c r="D2" s="85">
        <v>45962.0</v>
      </c>
      <c r="E2" s="17">
        <v>12.0</v>
      </c>
      <c r="F2" s="17">
        <v>12.0</v>
      </c>
      <c r="G2" s="17">
        <v>50342.04</v>
      </c>
      <c r="H2" s="17"/>
      <c r="I2" s="17">
        <v>1.5</v>
      </c>
      <c r="J2" s="17"/>
      <c r="K2" s="17">
        <v>-1.0849</v>
      </c>
      <c r="L2" s="17">
        <v>-8.95365627185199</v>
      </c>
      <c r="M2" s="17">
        <v>7.86875627185199</v>
      </c>
      <c r="N2" s="17">
        <v>68.0</v>
      </c>
      <c r="O2" s="14">
        <f t="shared" ref="O2:O3182" si="1">iferror(SUM(K2,N2)+if(and(B2&lt;DATE(2026,5,1),B2&gt;=DATE(2026,1,1)), 0.0065*H2,0),"")</f>
        <v>66.9151</v>
      </c>
      <c r="P2" s="86">
        <f t="array" ref="P2">iferror(XLOOKUP(C2,'Download of SFDC Activation Rep'!B:B,'Download of SFDC Activation Rep'!Z:Z),"")</f>
        <v>45904</v>
      </c>
      <c r="Q2" s="86">
        <f t="shared" ref="Q2:Q3182" si="2">iferror(EOMONTH(P2,-1)+1,"")</f>
        <v>45901</v>
      </c>
      <c r="R2" s="13" t="str">
        <f t="shared" ref="R2:R3182" si="3">if(Q2&lt;=B2,"Yes","No")</f>
        <v>Yes</v>
      </c>
      <c r="S2" s="86">
        <f t="array" ref="S2">iferror(XLOOKUP(C2,'Download of SFDC Activation Rep'!B:B,'Download of SFDC Activation Rep'!Y:Y),"")</f>
        <v>45966</v>
      </c>
    </row>
    <row r="3">
      <c r="A3" s="17" t="s">
        <v>19</v>
      </c>
      <c r="B3" s="85">
        <v>45870.0</v>
      </c>
      <c r="C3" s="17">
        <v>3945715.0</v>
      </c>
      <c r="D3" s="85">
        <v>45809.0</v>
      </c>
      <c r="E3" s="17">
        <v>20.0</v>
      </c>
      <c r="F3" s="17">
        <v>4.0</v>
      </c>
      <c r="G3" s="17">
        <v>221637.92</v>
      </c>
      <c r="H3" s="17">
        <v>149319.6</v>
      </c>
      <c r="I3" s="17">
        <v>5093.73</v>
      </c>
      <c r="J3" s="17"/>
      <c r="K3" s="17">
        <v>760.5243</v>
      </c>
      <c r="L3" s="17">
        <v>653.051089727546</v>
      </c>
      <c r="M3" s="17">
        <v>107.473210272453</v>
      </c>
      <c r="N3" s="17">
        <v>7.99999999999999</v>
      </c>
      <c r="O3" s="14">
        <f t="shared" si="1"/>
        <v>768.5243</v>
      </c>
      <c r="P3" s="86">
        <f t="array" ref="P3">iferror(XLOOKUP(C3,'Download of SFDC Activation Rep'!B:B,'Download of SFDC Activation Rep'!Z:Z),"")</f>
        <v>45804</v>
      </c>
      <c r="Q3" s="86">
        <f t="shared" si="2"/>
        <v>45778</v>
      </c>
      <c r="R3" s="13" t="str">
        <f t="shared" si="3"/>
        <v>Yes</v>
      </c>
      <c r="S3" s="86">
        <f t="array" ref="S3">iferror(XLOOKUP(C3,'Download of SFDC Activation Rep'!B:B,'Download of SFDC Activation Rep'!Y:Y),"")</f>
        <v>45804</v>
      </c>
    </row>
    <row r="4">
      <c r="A4" s="17" t="s">
        <v>19</v>
      </c>
      <c r="B4" s="85">
        <v>46174.0</v>
      </c>
      <c r="C4" s="17">
        <v>4027774.0</v>
      </c>
      <c r="D4" s="85">
        <v>46174.0</v>
      </c>
      <c r="E4" s="17">
        <v>274.0</v>
      </c>
      <c r="F4" s="17">
        <v>274.0</v>
      </c>
      <c r="G4" s="17">
        <v>1866713.88</v>
      </c>
      <c r="H4" s="17"/>
      <c r="I4" s="17">
        <v>2522.7818</v>
      </c>
      <c r="J4" s="17"/>
      <c r="K4" s="17">
        <v>2481.6509</v>
      </c>
      <c r="L4" s="17">
        <v>2189.60829739249</v>
      </c>
      <c r="M4" s="17">
        <v>292.042602607506</v>
      </c>
      <c r="N4" s="17">
        <v>80.0</v>
      </c>
      <c r="O4" s="14">
        <f t="shared" si="1"/>
        <v>2561.6509</v>
      </c>
      <c r="P4" s="86">
        <f t="array" ref="P4">iferror(XLOOKUP(C4,'Download of SFDC Activation Rep'!B:B,'Download of SFDC Activation Rep'!Z:Z),"")</f>
        <v>46170</v>
      </c>
      <c r="Q4" s="86">
        <f t="shared" si="2"/>
        <v>46143</v>
      </c>
      <c r="R4" s="13" t="str">
        <f t="shared" si="3"/>
        <v>Yes</v>
      </c>
      <c r="S4" s="86">
        <f t="array" ref="S4">iferror(XLOOKUP(C4,'Download of SFDC Activation Rep'!B:B,'Download of SFDC Activation Rep'!Y:Y),"")</f>
        <v>46258</v>
      </c>
    </row>
    <row r="5">
      <c r="A5" s="17" t="s">
        <v>19</v>
      </c>
      <c r="B5" s="85">
        <v>46082.0</v>
      </c>
      <c r="C5" s="17">
        <v>4239924.0</v>
      </c>
      <c r="D5" s="85">
        <v>45992.0</v>
      </c>
      <c r="E5" s="17">
        <v>2.0</v>
      </c>
      <c r="F5" s="17">
        <v>2.0</v>
      </c>
      <c r="G5" s="17">
        <v>4808.9</v>
      </c>
      <c r="H5" s="17"/>
      <c r="I5" s="17">
        <v>0.0</v>
      </c>
      <c r="J5" s="17"/>
      <c r="K5" s="17">
        <v>-0.2542</v>
      </c>
      <c r="L5" s="17">
        <v>-1.00766470356999</v>
      </c>
      <c r="M5" s="17">
        <v>0.753464703569999</v>
      </c>
      <c r="N5" s="17">
        <v>24.0</v>
      </c>
      <c r="O5" s="14">
        <f t="shared" si="1"/>
        <v>23.7458</v>
      </c>
      <c r="P5" s="86">
        <f t="array" ref="P5">iferror(XLOOKUP(C5,'Download of SFDC Activation Rep'!B:B,'Download of SFDC Activation Rep'!Z:Z),"")</f>
        <v>45979</v>
      </c>
      <c r="Q5" s="86">
        <f t="shared" si="2"/>
        <v>45962</v>
      </c>
      <c r="R5" s="13" t="str">
        <f t="shared" si="3"/>
        <v>Yes</v>
      </c>
      <c r="S5" s="86">
        <f t="array" ref="S5">iferror(XLOOKUP(C5,'Download of SFDC Activation Rep'!B:B,'Download of SFDC Activation Rep'!Y:Y),"")</f>
        <v>45995</v>
      </c>
    </row>
    <row r="6">
      <c r="A6" s="17" t="s">
        <v>488</v>
      </c>
      <c r="B6" s="85">
        <v>46143.0</v>
      </c>
      <c r="C6" s="17">
        <v>4181210.0</v>
      </c>
      <c r="D6" s="85">
        <v>46082.0</v>
      </c>
      <c r="E6" s="17">
        <v>5.0</v>
      </c>
      <c r="F6" s="17">
        <v>2.0</v>
      </c>
      <c r="G6" s="17">
        <v>15146.75</v>
      </c>
      <c r="H6" s="17"/>
      <c r="I6" s="17">
        <v>374.060808</v>
      </c>
      <c r="J6" s="17"/>
      <c r="K6" s="17">
        <v>136.6066</v>
      </c>
      <c r="L6" s="17">
        <v>131.12195283148</v>
      </c>
      <c r="M6" s="17">
        <v>5.48464716851998</v>
      </c>
      <c r="N6" s="17">
        <v>28.0</v>
      </c>
      <c r="O6" s="14">
        <f t="shared" si="1"/>
        <v>164.6066</v>
      </c>
      <c r="P6" s="86">
        <f t="array" ref="P6">iferror(XLOOKUP(C6,'Download of SFDC Activation Rep'!B:B,'Download of SFDC Activation Rep'!Z:Z),"")</f>
        <v>46077</v>
      </c>
      <c r="Q6" s="86">
        <f t="shared" si="2"/>
        <v>46054</v>
      </c>
      <c r="R6" s="13" t="str">
        <f t="shared" si="3"/>
        <v>Yes</v>
      </c>
      <c r="S6" s="86">
        <f t="array" ref="S6">iferror(XLOOKUP(C6,'Download of SFDC Activation Rep'!B:B,'Download of SFDC Activation Rep'!Y:Y),"")</f>
        <v>46118</v>
      </c>
    </row>
    <row r="7">
      <c r="A7" s="17" t="s">
        <v>488</v>
      </c>
      <c r="B7" s="85">
        <v>46143.0</v>
      </c>
      <c r="C7" s="17">
        <v>4068848.0</v>
      </c>
      <c r="D7" s="85">
        <v>45870.0</v>
      </c>
      <c r="E7" s="17">
        <v>26.0</v>
      </c>
      <c r="F7" s="17">
        <v>1.0</v>
      </c>
      <c r="G7" s="17">
        <v>22035.73</v>
      </c>
      <c r="H7" s="17">
        <v>21461.02</v>
      </c>
      <c r="I7" s="17">
        <v>628.1</v>
      </c>
      <c r="J7" s="17"/>
      <c r="K7" s="17">
        <v>-43.5324</v>
      </c>
      <c r="L7" s="17">
        <v>-54.5535287538559</v>
      </c>
      <c r="M7" s="17">
        <v>11.0211287538559</v>
      </c>
      <c r="N7" s="17">
        <v>0.0</v>
      </c>
      <c r="O7" s="14">
        <f t="shared" si="1"/>
        <v>-43.5324</v>
      </c>
      <c r="P7" s="86">
        <f t="array" ref="P7">iferror(XLOOKUP(C7,'Download of SFDC Activation Rep'!B:B,'Download of SFDC Activation Rep'!Z:Z),"")</f>
        <v>45880</v>
      </c>
      <c r="Q7" s="86">
        <f t="shared" si="2"/>
        <v>45870</v>
      </c>
      <c r="R7" s="13" t="str">
        <f t="shared" si="3"/>
        <v>Yes</v>
      </c>
      <c r="S7" s="86">
        <f t="array" ref="S7">iferror(XLOOKUP(C7,'Download of SFDC Activation Rep'!B:B,'Download of SFDC Activation Rep'!Y:Y),"")</f>
        <v>45896</v>
      </c>
    </row>
    <row r="8">
      <c r="A8" s="17" t="s">
        <v>17</v>
      </c>
      <c r="B8" s="85">
        <v>45901.0</v>
      </c>
      <c r="C8" s="17">
        <v>3275131.0</v>
      </c>
      <c r="D8" s="85">
        <v>45839.0</v>
      </c>
      <c r="E8" s="17">
        <v>3.0</v>
      </c>
      <c r="F8" s="17">
        <v>3.0</v>
      </c>
      <c r="G8" s="17">
        <v>8968.14</v>
      </c>
      <c r="H8" s="17"/>
      <c r="I8" s="17">
        <v>0.0</v>
      </c>
      <c r="J8" s="17"/>
      <c r="K8" s="17">
        <v>-0.25</v>
      </c>
      <c r="L8" s="17">
        <v>-0.3396814</v>
      </c>
      <c r="M8" s="17">
        <v>0.0896814</v>
      </c>
      <c r="N8" s="17">
        <v>25.0</v>
      </c>
      <c r="O8" s="14">
        <f t="shared" si="1"/>
        <v>24.75</v>
      </c>
      <c r="P8" s="86">
        <f t="array" ref="P8">iferror(XLOOKUP(C8,'Download of SFDC Activation Rep'!B:B,'Download of SFDC Activation Rep'!Z:Z),"")</f>
        <v>45817</v>
      </c>
      <c r="Q8" s="86">
        <f t="shared" si="2"/>
        <v>45809</v>
      </c>
      <c r="R8" s="13" t="str">
        <f t="shared" si="3"/>
        <v>Yes</v>
      </c>
      <c r="S8" s="86">
        <f t="array" ref="S8">iferror(XLOOKUP(C8,'Download of SFDC Activation Rep'!B:B,'Download of SFDC Activation Rep'!Y:Y),"")</f>
        <v>45848</v>
      </c>
    </row>
    <row r="9">
      <c r="A9" s="17" t="s">
        <v>489</v>
      </c>
      <c r="B9" s="85">
        <v>46054.0</v>
      </c>
      <c r="C9" s="17">
        <v>3543707.0</v>
      </c>
      <c r="D9" s="85">
        <v>45901.0</v>
      </c>
      <c r="E9" s="17">
        <v>25.0</v>
      </c>
      <c r="F9" s="17">
        <v>25.0</v>
      </c>
      <c r="G9" s="17">
        <v>59668.86</v>
      </c>
      <c r="H9" s="17"/>
      <c r="I9" s="17">
        <v>0.0</v>
      </c>
      <c r="J9" s="17"/>
      <c r="K9" s="17">
        <v>-3.9757</v>
      </c>
      <c r="L9" s="17">
        <v>-13.3246945543179</v>
      </c>
      <c r="M9" s="17">
        <v>9.34899455431799</v>
      </c>
      <c r="N9" s="17">
        <v>4.39999999999999</v>
      </c>
      <c r="O9" s="14">
        <f t="shared" si="1"/>
        <v>0.4243</v>
      </c>
      <c r="P9" s="86">
        <f t="array" ref="P9">iferror(XLOOKUP(C9,'Download of SFDC Activation Rep'!B:B,'Download of SFDC Activation Rep'!Z:Z),"")</f>
        <v>45915</v>
      </c>
      <c r="Q9" s="86">
        <f t="shared" si="2"/>
        <v>45901</v>
      </c>
      <c r="R9" s="13" t="str">
        <f t="shared" si="3"/>
        <v>Yes</v>
      </c>
      <c r="S9" s="86">
        <f t="array" ref="S9">iferror(XLOOKUP(C9,'Download of SFDC Activation Rep'!B:B,'Download of SFDC Activation Rep'!Y:Y),"")</f>
        <v>45958</v>
      </c>
    </row>
    <row r="10">
      <c r="A10" s="17" t="s">
        <v>17</v>
      </c>
      <c r="B10" s="85">
        <v>46082.0</v>
      </c>
      <c r="C10" s="17">
        <v>4405027.0</v>
      </c>
      <c r="D10" s="85">
        <v>46054.0</v>
      </c>
      <c r="E10" s="17">
        <v>1.0</v>
      </c>
      <c r="F10" s="17">
        <v>0.0</v>
      </c>
      <c r="G10" s="17">
        <v>18000.0</v>
      </c>
      <c r="H10" s="17">
        <v>18000.0</v>
      </c>
      <c r="I10" s="17">
        <v>522.0</v>
      </c>
      <c r="J10" s="17"/>
      <c r="K10" s="17">
        <v>-17.1619</v>
      </c>
      <c r="L10" s="17">
        <v>-26.7100504</v>
      </c>
      <c r="M10" s="17">
        <v>9.5481504</v>
      </c>
      <c r="N10" s="17">
        <v>0.0</v>
      </c>
      <c r="O10" s="14">
        <f t="shared" si="1"/>
        <v>99.8381</v>
      </c>
      <c r="P10" s="86">
        <f t="array" ref="P10">iferror(XLOOKUP(C10,'Download of SFDC Activation Rep'!B:B,'Download of SFDC Activation Rep'!Z:Z),"")</f>
        <v>46059</v>
      </c>
      <c r="Q10" s="86">
        <f t="shared" si="2"/>
        <v>46054</v>
      </c>
      <c r="R10" s="13" t="str">
        <f t="shared" si="3"/>
        <v>Yes</v>
      </c>
      <c r="S10" s="86">
        <f t="array" ref="S10">iferror(XLOOKUP(C10,'Download of SFDC Activation Rep'!B:B,'Download of SFDC Activation Rep'!Y:Y),"")</f>
        <v>46098</v>
      </c>
    </row>
    <row r="11">
      <c r="A11" s="17" t="s">
        <v>489</v>
      </c>
      <c r="B11" s="85">
        <v>46113.0</v>
      </c>
      <c r="C11" s="17">
        <v>4248506.0</v>
      </c>
      <c r="D11" s="85">
        <v>45962.0</v>
      </c>
      <c r="E11" s="17">
        <v>2.0</v>
      </c>
      <c r="F11" s="17">
        <v>2.0</v>
      </c>
      <c r="G11" s="17">
        <v>21080.52</v>
      </c>
      <c r="H11" s="17"/>
      <c r="I11" s="17">
        <v>0.0</v>
      </c>
      <c r="J11" s="17"/>
      <c r="K11" s="17">
        <v>-0.2102</v>
      </c>
      <c r="L11" s="17">
        <v>-3.513123278276</v>
      </c>
      <c r="M11" s="17">
        <v>3.302923278276</v>
      </c>
      <c r="N11" s="17">
        <v>44.0</v>
      </c>
      <c r="O11" s="14">
        <f t="shared" si="1"/>
        <v>43.7898</v>
      </c>
      <c r="P11" s="86">
        <f t="array" ref="P11">iferror(XLOOKUP(C11,'Download of SFDC Activation Rep'!B:B,'Download of SFDC Activation Rep'!Z:Z),"")</f>
        <v>45974</v>
      </c>
      <c r="Q11" s="86">
        <f t="shared" si="2"/>
        <v>45962</v>
      </c>
      <c r="R11" s="13" t="str">
        <f t="shared" si="3"/>
        <v>Yes</v>
      </c>
      <c r="S11" s="86">
        <f t="array" ref="S11">iferror(XLOOKUP(C11,'Download of SFDC Activation Rep'!B:B,'Download of SFDC Activation Rep'!Y:Y),"")</f>
        <v>45987</v>
      </c>
    </row>
    <row r="12">
      <c r="A12" s="17" t="s">
        <v>1486</v>
      </c>
      <c r="B12" s="85">
        <v>46113.0</v>
      </c>
      <c r="C12" s="17">
        <v>4308093.0</v>
      </c>
      <c r="D12" s="85">
        <v>46023.0</v>
      </c>
      <c r="E12" s="17">
        <v>22.0</v>
      </c>
      <c r="F12" s="17">
        <v>22.0</v>
      </c>
      <c r="G12" s="17">
        <v>131333.82</v>
      </c>
      <c r="H12" s="17"/>
      <c r="I12" s="17">
        <v>25.66</v>
      </c>
      <c r="J12" s="17"/>
      <c r="K12" s="17">
        <v>22.2341</v>
      </c>
      <c r="L12" s="17">
        <v>-2.28503133316599</v>
      </c>
      <c r="M12" s="17">
        <v>24.519131333166</v>
      </c>
      <c r="N12" s="17">
        <v>17.5</v>
      </c>
      <c r="O12" s="14">
        <f t="shared" si="1"/>
        <v>39.7341</v>
      </c>
      <c r="P12" s="86">
        <f t="array" ref="P12">iferror(XLOOKUP(C12,'Download of SFDC Activation Rep'!B:B,'Download of SFDC Activation Rep'!Z:Z),"")</f>
        <v>46001</v>
      </c>
      <c r="Q12" s="86">
        <f t="shared" si="2"/>
        <v>45992</v>
      </c>
      <c r="R12" s="13" t="str">
        <f t="shared" si="3"/>
        <v>Yes</v>
      </c>
      <c r="S12" s="86">
        <f t="array" ref="S12">iferror(XLOOKUP(C12,'Download of SFDC Activation Rep'!B:B,'Download of SFDC Activation Rep'!Y:Y),"")</f>
        <v>46049</v>
      </c>
    </row>
    <row r="13">
      <c r="A13" s="17" t="s">
        <v>17</v>
      </c>
      <c r="B13" s="85">
        <v>46082.0</v>
      </c>
      <c r="C13" s="17">
        <v>4011819.0</v>
      </c>
      <c r="D13" s="85">
        <v>45839.0</v>
      </c>
      <c r="E13" s="17">
        <v>6.0</v>
      </c>
      <c r="F13" s="17">
        <v>2.0</v>
      </c>
      <c r="G13" s="17">
        <v>1358.14</v>
      </c>
      <c r="H13" s="17">
        <v>838.14</v>
      </c>
      <c r="I13" s="17">
        <v>30.17</v>
      </c>
      <c r="J13" s="17"/>
      <c r="K13" s="17">
        <v>1.90659999999999</v>
      </c>
      <c r="L13" s="17">
        <v>-0.162788218792</v>
      </c>
      <c r="M13" s="17">
        <v>2.06938821879199</v>
      </c>
      <c r="N13" s="17">
        <v>25.0</v>
      </c>
      <c r="O13" s="14">
        <f t="shared" si="1"/>
        <v>32.35451</v>
      </c>
      <c r="P13" s="86">
        <f t="array" ref="P13">iferror(XLOOKUP(C13,'Download of SFDC Activation Rep'!B:B,'Download of SFDC Activation Rep'!Z:Z),"")</f>
        <v>45849</v>
      </c>
      <c r="Q13" s="86">
        <f t="shared" si="2"/>
        <v>45839</v>
      </c>
      <c r="R13" s="13" t="str">
        <f t="shared" si="3"/>
        <v>Yes</v>
      </c>
      <c r="S13" s="86">
        <f t="array" ref="S13">iferror(XLOOKUP(C13,'Download of SFDC Activation Rep'!B:B,'Download of SFDC Activation Rep'!Y:Y),"")</f>
        <v>45849</v>
      </c>
    </row>
    <row r="14">
      <c r="A14" s="17" t="s">
        <v>19</v>
      </c>
      <c r="B14" s="85">
        <v>46023.0</v>
      </c>
      <c r="C14" s="17">
        <v>3946131.0</v>
      </c>
      <c r="D14" s="85">
        <v>45809.0</v>
      </c>
      <c r="E14" s="17">
        <v>67.0</v>
      </c>
      <c r="F14" s="17">
        <v>67.0</v>
      </c>
      <c r="G14" s="17">
        <v>334203.32</v>
      </c>
      <c r="H14" s="17"/>
      <c r="I14" s="17">
        <v>24.5</v>
      </c>
      <c r="J14" s="17">
        <v>0.5</v>
      </c>
      <c r="K14" s="17">
        <v>0.429399999999999</v>
      </c>
      <c r="L14" s="17">
        <v>-75.7341194233233</v>
      </c>
      <c r="M14" s="17">
        <v>76.1635194233233</v>
      </c>
      <c r="N14" s="17">
        <v>6.39999999999999</v>
      </c>
      <c r="O14" s="14">
        <f t="shared" si="1"/>
        <v>6.8294</v>
      </c>
      <c r="P14" s="86">
        <f t="array" ref="P14">iferror(XLOOKUP(C14,'Download of SFDC Activation Rep'!B:B,'Download of SFDC Activation Rep'!Z:Z),"")</f>
        <v>45805</v>
      </c>
      <c r="Q14" s="86">
        <f t="shared" si="2"/>
        <v>45778</v>
      </c>
      <c r="R14" s="13" t="str">
        <f t="shared" si="3"/>
        <v>Yes</v>
      </c>
      <c r="S14" s="86">
        <f t="array" ref="S14">iferror(XLOOKUP(C14,'Download of SFDC Activation Rep'!B:B,'Download of SFDC Activation Rep'!Y:Y),"")</f>
        <v>45805</v>
      </c>
    </row>
    <row r="15">
      <c r="A15" s="17" t="s">
        <v>17</v>
      </c>
      <c r="B15" s="85">
        <v>46174.0</v>
      </c>
      <c r="C15" s="17">
        <v>4622664.0</v>
      </c>
      <c r="D15" s="85">
        <v>46174.0</v>
      </c>
      <c r="E15" s="17">
        <v>1.0</v>
      </c>
      <c r="F15" s="17">
        <v>1.0</v>
      </c>
      <c r="G15" s="17">
        <v>18150.0</v>
      </c>
      <c r="H15" s="17"/>
      <c r="I15" s="17">
        <v>0.0</v>
      </c>
      <c r="J15" s="17"/>
      <c r="K15" s="17">
        <v>-0.1556</v>
      </c>
      <c r="L15" s="17">
        <v>-2.999365595</v>
      </c>
      <c r="M15" s="17">
        <v>2.843765595</v>
      </c>
      <c r="N15" s="17">
        <v>0.0</v>
      </c>
      <c r="O15" s="14">
        <f t="shared" si="1"/>
        <v>-0.1556</v>
      </c>
      <c r="P15" s="86">
        <f t="array" ref="P15">iferror(XLOOKUP(C15,'Download of SFDC Activation Rep'!B:B,'Download of SFDC Activation Rep'!Z:Z),"")</f>
        <v>46139</v>
      </c>
      <c r="Q15" s="86">
        <f t="shared" si="2"/>
        <v>46113</v>
      </c>
      <c r="R15" s="13" t="str">
        <f t="shared" si="3"/>
        <v>Yes</v>
      </c>
      <c r="S15" s="86">
        <f t="array" ref="S15">iferror(XLOOKUP(C15,'Download of SFDC Activation Rep'!B:B,'Download of SFDC Activation Rep'!Y:Y),"")</f>
        <v>46251</v>
      </c>
    </row>
    <row r="16">
      <c r="A16" s="17" t="s">
        <v>488</v>
      </c>
      <c r="B16" s="85">
        <v>46054.0</v>
      </c>
      <c r="C16" s="17">
        <v>4332104.0</v>
      </c>
      <c r="D16" s="85">
        <v>46023.0</v>
      </c>
      <c r="E16" s="17">
        <v>9.0</v>
      </c>
      <c r="F16" s="17">
        <v>9.0</v>
      </c>
      <c r="G16" s="17">
        <v>24262.46</v>
      </c>
      <c r="H16" s="17"/>
      <c r="I16" s="17">
        <v>0.0</v>
      </c>
      <c r="J16" s="17"/>
      <c r="K16" s="17">
        <v>-1.2999</v>
      </c>
      <c r="L16" s="17">
        <v>-5.101373773998</v>
      </c>
      <c r="M16" s="17">
        <v>3.80147377399799</v>
      </c>
      <c r="N16" s="17">
        <v>44.0</v>
      </c>
      <c r="O16" s="14">
        <f t="shared" si="1"/>
        <v>42.7001</v>
      </c>
      <c r="P16" s="86">
        <f t="array" ref="P16">iferror(XLOOKUP(C16,'Download of SFDC Activation Rep'!B:B,'Download of SFDC Activation Rep'!Z:Z),"")</f>
        <v>46197</v>
      </c>
      <c r="Q16" s="86">
        <f t="shared" si="2"/>
        <v>46174</v>
      </c>
      <c r="R16" s="13" t="str">
        <f t="shared" si="3"/>
        <v>No</v>
      </c>
      <c r="S16" s="86">
        <f t="array" ref="S16">iferror(XLOOKUP(C16,'Download of SFDC Activation Rep'!B:B,'Download of SFDC Activation Rep'!Y:Y),"")</f>
        <v>46361</v>
      </c>
    </row>
    <row r="17">
      <c r="A17" s="17" t="s">
        <v>1486</v>
      </c>
      <c r="B17" s="85">
        <v>46143.0</v>
      </c>
      <c r="C17" s="17">
        <v>4308093.0</v>
      </c>
      <c r="D17" s="85">
        <v>46023.0</v>
      </c>
      <c r="E17" s="17">
        <v>20.0</v>
      </c>
      <c r="F17" s="17">
        <v>20.0</v>
      </c>
      <c r="G17" s="17">
        <v>81515.9</v>
      </c>
      <c r="H17" s="17"/>
      <c r="I17" s="17">
        <v>4.2</v>
      </c>
      <c r="J17" s="17"/>
      <c r="K17" s="17">
        <v>-0.3121</v>
      </c>
      <c r="L17" s="17">
        <v>-13.2581294066699</v>
      </c>
      <c r="M17" s="17">
        <v>12.9460294066699</v>
      </c>
      <c r="N17" s="17">
        <v>17.5</v>
      </c>
      <c r="O17" s="14">
        <f t="shared" si="1"/>
        <v>17.1879</v>
      </c>
      <c r="P17" s="86">
        <f t="array" ref="P17">iferror(XLOOKUP(C17,'Download of SFDC Activation Rep'!B:B,'Download of SFDC Activation Rep'!Z:Z),"")</f>
        <v>46001</v>
      </c>
      <c r="Q17" s="86">
        <f t="shared" si="2"/>
        <v>45992</v>
      </c>
      <c r="R17" s="13" t="str">
        <f t="shared" si="3"/>
        <v>Yes</v>
      </c>
      <c r="S17" s="86">
        <f t="array" ref="S17">iferror(XLOOKUP(C17,'Download of SFDC Activation Rep'!B:B,'Download of SFDC Activation Rep'!Y:Y),"")</f>
        <v>46049</v>
      </c>
    </row>
    <row r="18">
      <c r="A18" s="17" t="s">
        <v>489</v>
      </c>
      <c r="B18" s="85">
        <v>46113.0</v>
      </c>
      <c r="C18" s="17">
        <v>4595676.0</v>
      </c>
      <c r="D18" s="85">
        <v>46113.0</v>
      </c>
      <c r="E18" s="17">
        <v>4.0</v>
      </c>
      <c r="F18" s="17">
        <v>0.0</v>
      </c>
      <c r="G18" s="17">
        <v>7706.0</v>
      </c>
      <c r="H18" s="17">
        <v>7706.0</v>
      </c>
      <c r="I18" s="17">
        <v>223.47</v>
      </c>
      <c r="J18" s="17"/>
      <c r="K18" s="17">
        <v>-10.133</v>
      </c>
      <c r="L18" s="17">
        <v>-14.2206692767999</v>
      </c>
      <c r="M18" s="17">
        <v>4.08766927679999</v>
      </c>
      <c r="N18" s="17">
        <v>0.0</v>
      </c>
      <c r="O18" s="14">
        <f t="shared" si="1"/>
        <v>39.956</v>
      </c>
      <c r="P18" s="86">
        <f t="array" ref="P18">iferror(XLOOKUP(C18,'Download of SFDC Activation Rep'!B:B,'Download of SFDC Activation Rep'!Z:Z),"")</f>
        <v>46139</v>
      </c>
      <c r="Q18" s="86">
        <f t="shared" si="2"/>
        <v>46113</v>
      </c>
      <c r="R18" s="13" t="str">
        <f t="shared" si="3"/>
        <v>Yes</v>
      </c>
      <c r="S18" s="86">
        <f t="array" ref="S18">iferror(XLOOKUP(C18,'Download of SFDC Activation Rep'!B:B,'Download of SFDC Activation Rep'!Y:Y),"")</f>
        <v>46258</v>
      </c>
    </row>
    <row r="19">
      <c r="A19" s="17" t="s">
        <v>488</v>
      </c>
      <c r="B19" s="85">
        <v>45931.0</v>
      </c>
      <c r="C19" s="17">
        <v>3906405.0</v>
      </c>
      <c r="D19" s="85">
        <v>45778.0</v>
      </c>
      <c r="E19" s="17">
        <v>26.0</v>
      </c>
      <c r="F19" s="17">
        <v>26.0</v>
      </c>
      <c r="G19" s="17">
        <v>63457.18</v>
      </c>
      <c r="H19" s="17"/>
      <c r="I19" s="17">
        <v>0.0</v>
      </c>
      <c r="J19" s="17"/>
      <c r="K19" s="17">
        <v>-3.30999999999999</v>
      </c>
      <c r="L19" s="17">
        <v>-13.2525564328757</v>
      </c>
      <c r="M19" s="17">
        <v>9.94255643287574</v>
      </c>
      <c r="N19" s="17">
        <v>29.75</v>
      </c>
      <c r="O19" s="14">
        <f t="shared" si="1"/>
        <v>26.44</v>
      </c>
      <c r="P19" s="86">
        <f t="array" ref="P19">iferror(XLOOKUP(C19,'Download of SFDC Activation Rep'!B:B,'Download of SFDC Activation Rep'!Z:Z),"")</f>
        <v>45798</v>
      </c>
      <c r="Q19" s="86">
        <f t="shared" si="2"/>
        <v>45778</v>
      </c>
      <c r="R19" s="13" t="str">
        <f t="shared" si="3"/>
        <v>Yes</v>
      </c>
      <c r="S19" s="86">
        <f t="array" ref="S19">iferror(XLOOKUP(C19,'Download of SFDC Activation Rep'!B:B,'Download of SFDC Activation Rep'!Y:Y),"")</f>
        <v>45807</v>
      </c>
    </row>
    <row r="20">
      <c r="A20" s="17" t="s">
        <v>489</v>
      </c>
      <c r="B20" s="85">
        <v>45992.0</v>
      </c>
      <c r="C20" s="17">
        <v>4271363.0</v>
      </c>
      <c r="D20" s="85">
        <v>45992.0</v>
      </c>
      <c r="E20" s="17">
        <v>22.0</v>
      </c>
      <c r="F20" s="17">
        <v>22.0</v>
      </c>
      <c r="G20" s="17">
        <v>126152.95</v>
      </c>
      <c r="H20" s="17"/>
      <c r="I20" s="17">
        <v>0.0</v>
      </c>
      <c r="J20" s="17"/>
      <c r="K20" s="17">
        <v>-2.98089999999999</v>
      </c>
      <c r="L20" s="17">
        <v>-22.7467141214083</v>
      </c>
      <c r="M20" s="17">
        <v>19.7658141214083</v>
      </c>
      <c r="N20" s="17">
        <v>44.0</v>
      </c>
      <c r="O20" s="14">
        <f t="shared" si="1"/>
        <v>41.0191</v>
      </c>
      <c r="P20" s="86">
        <f t="array" ref="P20">iferror(XLOOKUP(C20,'Download of SFDC Activation Rep'!B:B,'Download of SFDC Activation Rep'!Z:Z),"")</f>
        <v>45964</v>
      </c>
      <c r="Q20" s="86">
        <f t="shared" si="2"/>
        <v>45962</v>
      </c>
      <c r="R20" s="13" t="str">
        <f t="shared" si="3"/>
        <v>Yes</v>
      </c>
      <c r="S20" s="86">
        <f t="array" ref="S20">iferror(XLOOKUP(C20,'Download of SFDC Activation Rep'!B:B,'Download of SFDC Activation Rep'!Y:Y),"")</f>
        <v>46007</v>
      </c>
    </row>
    <row r="21">
      <c r="A21" s="17" t="s">
        <v>489</v>
      </c>
      <c r="B21" s="85">
        <v>46174.0</v>
      </c>
      <c r="C21" s="17">
        <v>4178047.0</v>
      </c>
      <c r="D21" s="85">
        <v>45962.0</v>
      </c>
      <c r="E21" s="17">
        <v>16.0</v>
      </c>
      <c r="F21" s="17">
        <v>16.0</v>
      </c>
      <c r="G21" s="17">
        <v>62813.18</v>
      </c>
      <c r="H21" s="17"/>
      <c r="I21" s="17">
        <v>0.0</v>
      </c>
      <c r="J21" s="17"/>
      <c r="K21" s="17">
        <v>-2.2815</v>
      </c>
      <c r="L21" s="17">
        <v>-12.1231506995339</v>
      </c>
      <c r="M21" s="17">
        <v>9.84165069953399</v>
      </c>
      <c r="N21" s="17">
        <v>85.0</v>
      </c>
      <c r="O21" s="14">
        <f t="shared" si="1"/>
        <v>82.7185</v>
      </c>
      <c r="P21" s="86">
        <f t="array" ref="P21">iferror(XLOOKUP(C21,'Download of SFDC Activation Rep'!B:B,'Download of SFDC Activation Rep'!Z:Z),"")</f>
        <v>45974</v>
      </c>
      <c r="Q21" s="86">
        <f t="shared" si="2"/>
        <v>45962</v>
      </c>
      <c r="R21" s="13" t="str">
        <f t="shared" si="3"/>
        <v>Yes</v>
      </c>
      <c r="S21" s="86">
        <f t="array" ref="S21">iferror(XLOOKUP(C21,'Download of SFDC Activation Rep'!B:B,'Download of SFDC Activation Rep'!Y:Y),"")</f>
        <v>45967</v>
      </c>
    </row>
    <row r="22">
      <c r="A22" s="17" t="s">
        <v>488</v>
      </c>
      <c r="B22" s="85">
        <v>46174.0</v>
      </c>
      <c r="C22" s="17">
        <v>4031755.0</v>
      </c>
      <c r="D22" s="85">
        <v>45901.0</v>
      </c>
      <c r="E22" s="17">
        <v>26.0</v>
      </c>
      <c r="F22" s="17">
        <v>26.0</v>
      </c>
      <c r="G22" s="17">
        <v>419657.78</v>
      </c>
      <c r="H22" s="17"/>
      <c r="I22" s="17">
        <v>38.82</v>
      </c>
      <c r="J22" s="17">
        <v>1.5</v>
      </c>
      <c r="K22" s="17">
        <v>30.0475</v>
      </c>
      <c r="L22" s="17">
        <v>-35.7305993713369</v>
      </c>
      <c r="M22" s="17">
        <v>65.7780993713369</v>
      </c>
      <c r="N22" s="17">
        <v>5.25</v>
      </c>
      <c r="O22" s="14">
        <f t="shared" si="1"/>
        <v>35.2975</v>
      </c>
      <c r="P22" s="86">
        <f t="array" ref="P22">iferror(XLOOKUP(C22,'Download of SFDC Activation Rep'!B:B,'Download of SFDC Activation Rep'!Z:Z),"")</f>
        <v>45856</v>
      </c>
      <c r="Q22" s="86">
        <f t="shared" si="2"/>
        <v>45839</v>
      </c>
      <c r="R22" s="13" t="str">
        <f t="shared" si="3"/>
        <v>Yes</v>
      </c>
      <c r="S22" s="86">
        <f t="array" ref="S22">iferror(XLOOKUP(C22,'Download of SFDC Activation Rep'!B:B,'Download of SFDC Activation Rep'!Y:Y),"")</f>
        <v>45901</v>
      </c>
    </row>
    <row r="23">
      <c r="A23" s="17" t="s">
        <v>488</v>
      </c>
      <c r="B23" s="85">
        <v>45870.0</v>
      </c>
      <c r="C23" s="17">
        <v>4068848.0</v>
      </c>
      <c r="D23" s="85">
        <v>45870.0</v>
      </c>
      <c r="E23" s="17">
        <v>1.0</v>
      </c>
      <c r="F23" s="17">
        <v>0.0</v>
      </c>
      <c r="G23" s="17">
        <v>1591.92</v>
      </c>
      <c r="H23" s="17">
        <v>1591.92</v>
      </c>
      <c r="I23" s="17">
        <v>46.17</v>
      </c>
      <c r="J23" s="17"/>
      <c r="K23" s="17">
        <v>5.2951</v>
      </c>
      <c r="L23" s="17">
        <v>4.45066152943367</v>
      </c>
      <c r="M23" s="17">
        <v>0.844438470566328</v>
      </c>
      <c r="N23" s="17">
        <v>1.99999999999999</v>
      </c>
      <c r="O23" s="14">
        <f t="shared" si="1"/>
        <v>7.2951</v>
      </c>
      <c r="P23" s="86">
        <f t="array" ref="P23">iferror(XLOOKUP(C23,'Download of SFDC Activation Rep'!B:B,'Download of SFDC Activation Rep'!Z:Z),"")</f>
        <v>45880</v>
      </c>
      <c r="Q23" s="86">
        <f t="shared" si="2"/>
        <v>45870</v>
      </c>
      <c r="R23" s="13" t="str">
        <f t="shared" si="3"/>
        <v>Yes</v>
      </c>
      <c r="S23" s="86">
        <f t="array" ref="S23">iferror(XLOOKUP(C23,'Download of SFDC Activation Rep'!B:B,'Download of SFDC Activation Rep'!Y:Y),"")</f>
        <v>45896</v>
      </c>
    </row>
    <row r="24">
      <c r="A24" s="17" t="s">
        <v>488</v>
      </c>
      <c r="B24" s="85">
        <v>46023.0</v>
      </c>
      <c r="C24" s="17">
        <v>4359494.0</v>
      </c>
      <c r="D24" s="85">
        <v>46023.0</v>
      </c>
      <c r="E24" s="17">
        <v>1.0</v>
      </c>
      <c r="F24" s="17">
        <v>1.0</v>
      </c>
      <c r="G24" s="17">
        <v>833.4</v>
      </c>
      <c r="H24" s="17"/>
      <c r="I24" s="17">
        <v>1.5</v>
      </c>
      <c r="J24" s="17"/>
      <c r="K24" s="17">
        <v>0.2255</v>
      </c>
      <c r="L24" s="17">
        <v>-0.0165114341993199</v>
      </c>
      <c r="M24" s="17">
        <v>0.242011434199319</v>
      </c>
      <c r="N24" s="17">
        <v>0.0</v>
      </c>
      <c r="O24" s="14">
        <f t="shared" si="1"/>
        <v>0.2255</v>
      </c>
      <c r="P24" s="86">
        <f t="array" ref="P24">iferror(XLOOKUP(C24,'Download of SFDC Activation Rep'!B:B,'Download of SFDC Activation Rep'!Z:Z),"")</f>
        <v>46057</v>
      </c>
      <c r="Q24" s="86">
        <f t="shared" si="2"/>
        <v>46054</v>
      </c>
      <c r="R24" s="13" t="str">
        <f t="shared" si="3"/>
        <v>No</v>
      </c>
      <c r="S24" s="86">
        <f t="array" ref="S24">iferror(XLOOKUP(C24,'Download of SFDC Activation Rep'!B:B,'Download of SFDC Activation Rep'!Y:Y),"")</f>
        <v>46057</v>
      </c>
    </row>
    <row r="25">
      <c r="A25" s="17" t="s">
        <v>19</v>
      </c>
      <c r="B25" s="85">
        <v>45992.0</v>
      </c>
      <c r="C25" s="17">
        <v>4263325.0</v>
      </c>
      <c r="D25" s="85">
        <v>45992.0</v>
      </c>
      <c r="E25" s="17">
        <v>1.0</v>
      </c>
      <c r="F25" s="17">
        <v>1.0</v>
      </c>
      <c r="G25" s="17">
        <v>2835.0</v>
      </c>
      <c r="H25" s="17"/>
      <c r="I25" s="17">
        <v>0.0</v>
      </c>
      <c r="J25" s="17"/>
      <c r="K25" s="17">
        <v>-0.1495</v>
      </c>
      <c r="L25" s="17">
        <v>-0.5936916184615</v>
      </c>
      <c r="M25" s="17">
        <v>0.4441916184615</v>
      </c>
      <c r="N25" s="17">
        <v>54.4</v>
      </c>
      <c r="O25" s="14">
        <f t="shared" si="1"/>
        <v>54.2505</v>
      </c>
      <c r="P25" s="86">
        <f t="array" ref="P25">iferror(XLOOKUP(C25,'Download of SFDC Activation Rep'!B:B,'Download of SFDC Activation Rep'!Z:Z),"")</f>
        <v>45961</v>
      </c>
      <c r="Q25" s="86">
        <f t="shared" si="2"/>
        <v>45931</v>
      </c>
      <c r="R25" s="13" t="str">
        <f t="shared" si="3"/>
        <v>Yes</v>
      </c>
      <c r="S25" s="86">
        <f t="array" ref="S25">iferror(XLOOKUP(C25,'Download of SFDC Activation Rep'!B:B,'Download of SFDC Activation Rep'!Y:Y),"")</f>
        <v>46013</v>
      </c>
    </row>
    <row r="26">
      <c r="A26" s="17" t="s">
        <v>488</v>
      </c>
      <c r="B26" s="85">
        <v>46054.0</v>
      </c>
      <c r="C26" s="17">
        <v>4039652.0</v>
      </c>
      <c r="D26" s="85">
        <v>45870.0</v>
      </c>
      <c r="E26" s="17">
        <v>8.0</v>
      </c>
      <c r="F26" s="17">
        <v>7.0</v>
      </c>
      <c r="G26" s="17">
        <v>11966.25</v>
      </c>
      <c r="H26" s="17"/>
      <c r="I26" s="17">
        <v>89.32</v>
      </c>
      <c r="J26" s="17"/>
      <c r="K26" s="17">
        <v>10.3597999999999</v>
      </c>
      <c r="L26" s="17">
        <v>7.33369617387499</v>
      </c>
      <c r="M26" s="17">
        <v>3.02610382612499</v>
      </c>
      <c r="N26" s="17">
        <v>25.0</v>
      </c>
      <c r="O26" s="14">
        <f t="shared" si="1"/>
        <v>35.3598</v>
      </c>
      <c r="P26" s="86">
        <f t="array" ref="P26">iferror(XLOOKUP(C26,'Download of SFDC Activation Rep'!B:B,'Download of SFDC Activation Rep'!Z:Z),"")</f>
        <v>45863</v>
      </c>
      <c r="Q26" s="86">
        <f t="shared" si="2"/>
        <v>45839</v>
      </c>
      <c r="R26" s="13" t="str">
        <f t="shared" si="3"/>
        <v>Yes</v>
      </c>
      <c r="S26" s="86">
        <f t="array" ref="S26">iferror(XLOOKUP(C26,'Download of SFDC Activation Rep'!B:B,'Download of SFDC Activation Rep'!Y:Y),"")</f>
        <v>45880</v>
      </c>
    </row>
    <row r="27">
      <c r="A27" s="17" t="s">
        <v>489</v>
      </c>
      <c r="B27" s="85">
        <v>46082.0</v>
      </c>
      <c r="C27" s="17">
        <v>4220233.0</v>
      </c>
      <c r="D27" s="85">
        <v>45992.0</v>
      </c>
      <c r="E27" s="17">
        <v>11.0</v>
      </c>
      <c r="F27" s="17">
        <v>11.0</v>
      </c>
      <c r="G27" s="17">
        <v>34339.89</v>
      </c>
      <c r="H27" s="17"/>
      <c r="I27" s="17">
        <v>75.0</v>
      </c>
      <c r="J27" s="17"/>
      <c r="K27" s="17">
        <v>66.8561</v>
      </c>
      <c r="L27" s="17">
        <v>61.6406813929429</v>
      </c>
      <c r="M27" s="17">
        <v>5.21541860705701</v>
      </c>
      <c r="N27" s="17">
        <v>68.0</v>
      </c>
      <c r="O27" s="14">
        <f t="shared" si="1"/>
        <v>134.8561</v>
      </c>
      <c r="P27" s="86">
        <f t="array" ref="P27">iferror(XLOOKUP(C27,'Download of SFDC Activation Rep'!B:B,'Download of SFDC Activation Rep'!Z:Z),"")</f>
        <v>45960</v>
      </c>
      <c r="Q27" s="86">
        <f t="shared" si="2"/>
        <v>45931</v>
      </c>
      <c r="R27" s="13" t="str">
        <f t="shared" si="3"/>
        <v>Yes</v>
      </c>
      <c r="S27" s="86">
        <f t="array" ref="S27">iferror(XLOOKUP(C27,'Download of SFDC Activation Rep'!B:B,'Download of SFDC Activation Rep'!Y:Y),"")</f>
        <v>46006</v>
      </c>
    </row>
    <row r="28">
      <c r="A28" s="17" t="s">
        <v>489</v>
      </c>
      <c r="B28" s="85">
        <v>46054.0</v>
      </c>
      <c r="C28" s="17">
        <v>4099073.0</v>
      </c>
      <c r="D28" s="85">
        <v>45931.0</v>
      </c>
      <c r="E28" s="17">
        <v>23.0</v>
      </c>
      <c r="F28" s="17">
        <v>23.0</v>
      </c>
      <c r="G28" s="17">
        <v>94368.16</v>
      </c>
      <c r="H28" s="17"/>
      <c r="I28" s="17">
        <v>104.35</v>
      </c>
      <c r="J28" s="17"/>
      <c r="K28" s="17">
        <v>100.157099999999</v>
      </c>
      <c r="L28" s="17">
        <v>78.485730738592</v>
      </c>
      <c r="M28" s="17">
        <v>21.6713692614079</v>
      </c>
      <c r="N28" s="17">
        <v>80.0</v>
      </c>
      <c r="O28" s="14">
        <f t="shared" si="1"/>
        <v>180.1571</v>
      </c>
      <c r="P28" s="86">
        <f t="array" ref="P28">iferror(XLOOKUP(C28,'Download of SFDC Activation Rep'!B:B,'Download of SFDC Activation Rep'!Z:Z),"")</f>
        <v>45870</v>
      </c>
      <c r="Q28" s="86">
        <f t="shared" si="2"/>
        <v>45870</v>
      </c>
      <c r="R28" s="13" t="str">
        <f t="shared" si="3"/>
        <v>Yes</v>
      </c>
      <c r="S28" s="86">
        <f t="array" ref="S28">iferror(XLOOKUP(C28,'Download of SFDC Activation Rep'!B:B,'Download of SFDC Activation Rep'!Y:Y),"")</f>
        <v>45999</v>
      </c>
    </row>
    <row r="29">
      <c r="A29" s="17" t="s">
        <v>19</v>
      </c>
      <c r="B29" s="85">
        <v>46082.0</v>
      </c>
      <c r="C29" s="17">
        <v>4400582.0</v>
      </c>
      <c r="D29" s="85">
        <v>46082.0</v>
      </c>
      <c r="E29" s="17">
        <v>1.0</v>
      </c>
      <c r="F29" s="17">
        <v>1.0</v>
      </c>
      <c r="G29" s="17">
        <v>17288.83</v>
      </c>
      <c r="H29" s="17"/>
      <c r="I29" s="17">
        <v>10.0</v>
      </c>
      <c r="J29" s="17"/>
      <c r="K29" s="17">
        <v>3.4841</v>
      </c>
      <c r="L29" s="17">
        <v>-5.715827583379</v>
      </c>
      <c r="M29" s="17">
        <v>9.199927583379</v>
      </c>
      <c r="N29" s="17">
        <v>54.4</v>
      </c>
      <c r="O29" s="14">
        <f t="shared" si="1"/>
        <v>57.8841</v>
      </c>
      <c r="P29" s="86">
        <f t="array" ref="P29">iferror(XLOOKUP(C29,'Download of SFDC Activation Rep'!B:B,'Download of SFDC Activation Rep'!Z:Z),"")</f>
        <v>46099</v>
      </c>
      <c r="Q29" s="86">
        <f t="shared" si="2"/>
        <v>46082</v>
      </c>
      <c r="R29" s="13" t="str">
        <f t="shared" si="3"/>
        <v>Yes</v>
      </c>
      <c r="S29" s="86">
        <f t="array" ref="S29">iferror(XLOOKUP(C29,'Download of SFDC Activation Rep'!B:B,'Download of SFDC Activation Rep'!Y:Y),"")</f>
        <v>46087</v>
      </c>
    </row>
    <row r="30">
      <c r="A30" s="17" t="s">
        <v>19</v>
      </c>
      <c r="B30" s="85">
        <v>45992.0</v>
      </c>
      <c r="C30" s="17">
        <v>2402714.0</v>
      </c>
      <c r="D30" s="85">
        <v>45931.0</v>
      </c>
      <c r="E30" s="17">
        <v>1.0</v>
      </c>
      <c r="F30" s="17">
        <v>1.0</v>
      </c>
      <c r="G30" s="17">
        <v>0.05</v>
      </c>
      <c r="H30" s="17"/>
      <c r="I30" s="17">
        <v>0.0</v>
      </c>
      <c r="J30" s="17"/>
      <c r="K30" s="17">
        <v>-0.15</v>
      </c>
      <c r="L30" s="17">
        <v>-0.150007834067345</v>
      </c>
      <c r="M30" s="87">
        <v>7.8340673450028E-6</v>
      </c>
      <c r="N30" s="17">
        <v>80.0</v>
      </c>
      <c r="O30" s="14">
        <f t="shared" si="1"/>
        <v>79.85</v>
      </c>
      <c r="P30" s="86">
        <f t="array" ref="P30">iferror(XLOOKUP(C30,'Download of SFDC Activation Rep'!B:B,'Download of SFDC Activation Rep'!Z:Z),"")</f>
        <v>45856</v>
      </c>
      <c r="Q30" s="86">
        <f t="shared" si="2"/>
        <v>45839</v>
      </c>
      <c r="R30" s="13" t="str">
        <f t="shared" si="3"/>
        <v>Yes</v>
      </c>
      <c r="S30" s="86">
        <f t="array" ref="S30">iferror(XLOOKUP(C30,'Download of SFDC Activation Rep'!B:B,'Download of SFDC Activation Rep'!Y:Y),"")</f>
        <v>45931</v>
      </c>
    </row>
    <row r="31">
      <c r="A31" s="17" t="s">
        <v>19</v>
      </c>
      <c r="B31" s="85">
        <v>46174.0</v>
      </c>
      <c r="C31" s="17">
        <v>2402714.0</v>
      </c>
      <c r="D31" s="85">
        <v>45931.0</v>
      </c>
      <c r="E31" s="17">
        <v>28.0</v>
      </c>
      <c r="F31" s="17">
        <v>28.0</v>
      </c>
      <c r="G31" s="17">
        <v>167710.44</v>
      </c>
      <c r="H31" s="17"/>
      <c r="I31" s="17">
        <v>143.954846</v>
      </c>
      <c r="J31" s="17"/>
      <c r="K31" s="17">
        <v>133.5879</v>
      </c>
      <c r="L31" s="17">
        <v>107.393741211116</v>
      </c>
      <c r="M31" s="17">
        <v>26.1941587888839</v>
      </c>
      <c r="N31" s="17">
        <v>80.0</v>
      </c>
      <c r="O31" s="14">
        <f t="shared" si="1"/>
        <v>213.5879</v>
      </c>
      <c r="P31" s="86">
        <f t="array" ref="P31">iferror(XLOOKUP(C31,'Download of SFDC Activation Rep'!B:B,'Download of SFDC Activation Rep'!Z:Z),"")</f>
        <v>45856</v>
      </c>
      <c r="Q31" s="86">
        <f t="shared" si="2"/>
        <v>45839</v>
      </c>
      <c r="R31" s="13" t="str">
        <f t="shared" si="3"/>
        <v>Yes</v>
      </c>
      <c r="S31" s="86">
        <f t="array" ref="S31">iferror(XLOOKUP(C31,'Download of SFDC Activation Rep'!B:B,'Download of SFDC Activation Rep'!Y:Y),"")</f>
        <v>45931</v>
      </c>
    </row>
    <row r="32">
      <c r="A32" s="17" t="s">
        <v>17</v>
      </c>
      <c r="B32" s="85">
        <v>45992.0</v>
      </c>
      <c r="C32" s="17">
        <v>4302067.0</v>
      </c>
      <c r="D32" s="85">
        <v>45992.0</v>
      </c>
      <c r="E32" s="17">
        <v>1.0</v>
      </c>
      <c r="F32" s="17">
        <v>0.0</v>
      </c>
      <c r="G32" s="17">
        <v>400.0</v>
      </c>
      <c r="H32" s="17"/>
      <c r="I32" s="17">
        <v>11.6</v>
      </c>
      <c r="J32" s="17"/>
      <c r="K32" s="17">
        <v>1.0401</v>
      </c>
      <c r="L32" s="17">
        <v>0.82791886764</v>
      </c>
      <c r="M32" s="17">
        <v>0.21218113236</v>
      </c>
      <c r="N32" s="17">
        <v>0.0</v>
      </c>
      <c r="O32" s="14">
        <f t="shared" si="1"/>
        <v>1.0401</v>
      </c>
      <c r="P32" s="86">
        <f t="array" ref="P32">iferror(XLOOKUP(C32,'Download of SFDC Activation Rep'!B:B,'Download of SFDC Activation Rep'!Z:Z),"")</f>
        <v>46027</v>
      </c>
      <c r="Q32" s="86">
        <f t="shared" si="2"/>
        <v>46023</v>
      </c>
      <c r="R32" s="13" t="str">
        <f t="shared" si="3"/>
        <v>No</v>
      </c>
      <c r="S32" s="86">
        <f t="array" ref="S32">iferror(XLOOKUP(C32,'Download of SFDC Activation Rep'!B:B,'Download of SFDC Activation Rep'!Y:Y),"")</f>
        <v>46021</v>
      </c>
    </row>
    <row r="33">
      <c r="A33" s="17" t="s">
        <v>489</v>
      </c>
      <c r="B33" s="85">
        <v>46143.0</v>
      </c>
      <c r="C33" s="17">
        <v>4178047.0</v>
      </c>
      <c r="D33" s="85">
        <v>45962.0</v>
      </c>
      <c r="E33" s="17">
        <v>18.0</v>
      </c>
      <c r="F33" s="17">
        <v>18.0</v>
      </c>
      <c r="G33" s="17">
        <v>62664.01</v>
      </c>
      <c r="H33" s="17"/>
      <c r="I33" s="17">
        <v>0.0</v>
      </c>
      <c r="J33" s="17"/>
      <c r="K33" s="17">
        <v>-2.7029</v>
      </c>
      <c r="L33" s="17">
        <v>-12.521178550013</v>
      </c>
      <c r="M33" s="17">
        <v>9.818278550013</v>
      </c>
      <c r="N33" s="17">
        <v>85.0</v>
      </c>
      <c r="O33" s="14">
        <f t="shared" si="1"/>
        <v>82.2971</v>
      </c>
      <c r="P33" s="86">
        <f t="array" ref="P33">iferror(XLOOKUP(C33,'Download of SFDC Activation Rep'!B:B,'Download of SFDC Activation Rep'!Z:Z),"")</f>
        <v>45974</v>
      </c>
      <c r="Q33" s="86">
        <f t="shared" si="2"/>
        <v>45962</v>
      </c>
      <c r="R33" s="13" t="str">
        <f t="shared" si="3"/>
        <v>Yes</v>
      </c>
      <c r="S33" s="86">
        <f t="array" ref="S33">iferror(XLOOKUP(C33,'Download of SFDC Activation Rep'!B:B,'Download of SFDC Activation Rep'!Y:Y),"")</f>
        <v>45967</v>
      </c>
    </row>
    <row r="34">
      <c r="A34" s="17" t="s">
        <v>489</v>
      </c>
      <c r="B34" s="85">
        <v>46023.0</v>
      </c>
      <c r="C34" s="17">
        <v>4294933.0</v>
      </c>
      <c r="D34" s="85">
        <v>45992.0</v>
      </c>
      <c r="E34" s="17">
        <v>8.0</v>
      </c>
      <c r="F34" s="17">
        <v>7.0</v>
      </c>
      <c r="G34" s="17">
        <v>124823.75</v>
      </c>
      <c r="H34" s="17"/>
      <c r="I34" s="17">
        <v>232.0</v>
      </c>
      <c r="J34" s="17"/>
      <c r="K34" s="17">
        <v>1.7562</v>
      </c>
      <c r="L34" s="17">
        <v>-1.98851249999999</v>
      </c>
      <c r="M34" s="17">
        <v>3.74471249999999</v>
      </c>
      <c r="N34" s="17">
        <v>25.0</v>
      </c>
      <c r="O34" s="14">
        <f t="shared" si="1"/>
        <v>26.7562</v>
      </c>
      <c r="P34" s="86">
        <f t="array" ref="P34">iferror(XLOOKUP(C34,'Download of SFDC Activation Rep'!B:B,'Download of SFDC Activation Rep'!Z:Z),"")</f>
        <v>45992</v>
      </c>
      <c r="Q34" s="86">
        <f t="shared" si="2"/>
        <v>45992</v>
      </c>
      <c r="R34" s="13" t="str">
        <f t="shared" si="3"/>
        <v>Yes</v>
      </c>
      <c r="S34" s="86">
        <f t="array" ref="S34">iferror(XLOOKUP(C34,'Download of SFDC Activation Rep'!B:B,'Download of SFDC Activation Rep'!Y:Y),"")</f>
        <v>46017</v>
      </c>
    </row>
    <row r="35">
      <c r="A35" s="17" t="s">
        <v>17</v>
      </c>
      <c r="B35" s="85">
        <v>46113.0</v>
      </c>
      <c r="C35" s="17">
        <v>4496351.0</v>
      </c>
      <c r="D35" s="85">
        <v>46082.0</v>
      </c>
      <c r="E35" s="17">
        <v>1.0</v>
      </c>
      <c r="F35" s="17">
        <v>0.0</v>
      </c>
      <c r="G35" s="17">
        <v>3000.0</v>
      </c>
      <c r="H35" s="17"/>
      <c r="I35" s="17">
        <v>87.0</v>
      </c>
      <c r="J35" s="17"/>
      <c r="K35" s="17">
        <v>2.44</v>
      </c>
      <c r="L35" s="17">
        <v>0.8486416</v>
      </c>
      <c r="M35" s="17">
        <v>1.59135839999999</v>
      </c>
      <c r="N35" s="17">
        <v>0.0</v>
      </c>
      <c r="O35" s="14">
        <f t="shared" si="1"/>
        <v>2.44</v>
      </c>
      <c r="P35" s="86">
        <f t="array" ref="P35">iferror(XLOOKUP(C35,'Download of SFDC Activation Rep'!B:B,'Download of SFDC Activation Rep'!Z:Z),"")</f>
        <v>46099</v>
      </c>
      <c r="Q35" s="86">
        <f t="shared" si="2"/>
        <v>46082</v>
      </c>
      <c r="R35" s="13" t="str">
        <f t="shared" si="3"/>
        <v>Yes</v>
      </c>
      <c r="S35" s="86">
        <f t="array" ref="S35">iferror(XLOOKUP(C35,'Download of SFDC Activation Rep'!B:B,'Download of SFDC Activation Rep'!Y:Y),"")</f>
        <v>46237</v>
      </c>
    </row>
    <row r="36">
      <c r="A36" s="17" t="s">
        <v>19</v>
      </c>
      <c r="B36" s="85">
        <v>46054.0</v>
      </c>
      <c r="C36" s="17">
        <v>4359669.0</v>
      </c>
      <c r="D36" s="85">
        <v>46054.0</v>
      </c>
      <c r="E36" s="17">
        <v>117.0</v>
      </c>
      <c r="F36" s="17">
        <v>117.0</v>
      </c>
      <c r="G36" s="17">
        <v>320898.79</v>
      </c>
      <c r="H36" s="17"/>
      <c r="I36" s="17">
        <v>1790.19</v>
      </c>
      <c r="J36" s="17"/>
      <c r="K36" s="17">
        <v>1766.4822</v>
      </c>
      <c r="L36" s="17">
        <v>1379.96004183592</v>
      </c>
      <c r="M36" s="17">
        <v>386.522158164079</v>
      </c>
      <c r="N36" s="17">
        <v>64.0</v>
      </c>
      <c r="O36" s="14">
        <f t="shared" si="1"/>
        <v>1830.4822</v>
      </c>
      <c r="P36" s="86">
        <f t="array" ref="P36">iferror(XLOOKUP(C36,'Download of SFDC Activation Rep'!B:B,'Download of SFDC Activation Rep'!Z:Z),"")</f>
        <v>46028</v>
      </c>
      <c r="Q36" s="86">
        <f t="shared" si="2"/>
        <v>46023</v>
      </c>
      <c r="R36" s="13" t="str">
        <f t="shared" si="3"/>
        <v>Yes</v>
      </c>
      <c r="S36" s="86">
        <f t="array" ref="S36">iferror(XLOOKUP(C36,'Download of SFDC Activation Rep'!B:B,'Download of SFDC Activation Rep'!Y:Y),"")</f>
        <v>46079</v>
      </c>
    </row>
    <row r="37">
      <c r="A37" s="17" t="s">
        <v>19</v>
      </c>
      <c r="B37" s="85">
        <v>46113.0</v>
      </c>
      <c r="C37" s="17">
        <v>2710123.0</v>
      </c>
      <c r="D37" s="85">
        <v>45292.0</v>
      </c>
      <c r="E37" s="17">
        <v>2.0</v>
      </c>
      <c r="F37" s="17">
        <v>0.0</v>
      </c>
      <c r="G37" s="17">
        <v>25688.5</v>
      </c>
      <c r="H37" s="17">
        <v>25688.5</v>
      </c>
      <c r="I37" s="17">
        <v>744.96</v>
      </c>
      <c r="J37" s="17"/>
      <c r="K37" s="17">
        <v>68.3154</v>
      </c>
      <c r="L37" s="17">
        <v>54.6888632472</v>
      </c>
      <c r="M37" s="17">
        <v>13.6265367528</v>
      </c>
      <c r="N37" s="17">
        <v>80.0</v>
      </c>
      <c r="O37" s="14">
        <f t="shared" si="1"/>
        <v>315.29065</v>
      </c>
      <c r="P37" s="86">
        <f t="array" ref="P37">iferror(XLOOKUP(C37,'Download of SFDC Activation Rep'!B:B,'Download of SFDC Activation Rep'!Z:Z),"")</f>
        <v>45873</v>
      </c>
      <c r="Q37" s="86">
        <f t="shared" si="2"/>
        <v>45870</v>
      </c>
      <c r="R37" s="13" t="str">
        <f t="shared" si="3"/>
        <v>Yes</v>
      </c>
      <c r="S37" s="86">
        <f t="array" ref="S37">iferror(XLOOKUP(C37,'Download of SFDC Activation Rep'!B:B,'Download of SFDC Activation Rep'!Y:Y),"")</f>
        <v>45980</v>
      </c>
    </row>
    <row r="38">
      <c r="A38" s="17" t="s">
        <v>488</v>
      </c>
      <c r="B38" s="85">
        <v>45901.0</v>
      </c>
      <c r="C38" s="17">
        <v>4136460.0</v>
      </c>
      <c r="D38" s="85">
        <v>45901.0</v>
      </c>
      <c r="E38" s="17">
        <v>3.0</v>
      </c>
      <c r="F38" s="17">
        <v>0.0</v>
      </c>
      <c r="G38" s="17">
        <v>5550.0</v>
      </c>
      <c r="H38" s="17"/>
      <c r="I38" s="17">
        <v>160.95</v>
      </c>
      <c r="J38" s="17"/>
      <c r="K38" s="17">
        <v>12.1047</v>
      </c>
      <c r="L38" s="17">
        <v>9.160686788505</v>
      </c>
      <c r="M38" s="17">
        <v>2.94401321149499</v>
      </c>
      <c r="N38" s="17">
        <v>2.49999999999999</v>
      </c>
      <c r="O38" s="14">
        <f t="shared" si="1"/>
        <v>14.6047</v>
      </c>
      <c r="P38" s="86">
        <f t="array" ref="P38">iferror(XLOOKUP(C38,'Download of SFDC Activation Rep'!B:B,'Download of SFDC Activation Rep'!Z:Z),"")</f>
        <v>45909</v>
      </c>
      <c r="Q38" s="86">
        <f t="shared" si="2"/>
        <v>45901</v>
      </c>
      <c r="R38" s="13" t="str">
        <f t="shared" si="3"/>
        <v>Yes</v>
      </c>
      <c r="S38" s="86">
        <f t="array" ref="S38">iferror(XLOOKUP(C38,'Download of SFDC Activation Rep'!B:B,'Download of SFDC Activation Rep'!Y:Y),"")</f>
        <v>45910</v>
      </c>
    </row>
    <row r="39">
      <c r="A39" s="17" t="s">
        <v>488</v>
      </c>
      <c r="B39" s="85">
        <v>46113.0</v>
      </c>
      <c r="C39" s="17">
        <v>4329147.0</v>
      </c>
      <c r="D39" s="85">
        <v>46023.0</v>
      </c>
      <c r="E39" s="17">
        <v>73.0</v>
      </c>
      <c r="F39" s="17">
        <v>0.0</v>
      </c>
      <c r="G39" s="17">
        <v>39302.54</v>
      </c>
      <c r="H39" s="17">
        <v>36503.29</v>
      </c>
      <c r="I39" s="17">
        <v>1139.71</v>
      </c>
      <c r="J39" s="17"/>
      <c r="K39" s="17">
        <v>59.704</v>
      </c>
      <c r="L39" s="17">
        <v>38.858607609888</v>
      </c>
      <c r="M39" s="17">
        <v>20.845392390112</v>
      </c>
      <c r="N39" s="17">
        <v>25.0</v>
      </c>
      <c r="O39" s="14">
        <f t="shared" si="1"/>
        <v>321.975385</v>
      </c>
      <c r="P39" s="86">
        <f t="array" ref="P39">iferror(XLOOKUP(C39,'Download of SFDC Activation Rep'!B:B,'Download of SFDC Activation Rep'!Z:Z),"")</f>
        <v>46197</v>
      </c>
      <c r="Q39" s="86">
        <f t="shared" si="2"/>
        <v>46174</v>
      </c>
      <c r="R39" s="13" t="str">
        <f t="shared" si="3"/>
        <v>No</v>
      </c>
      <c r="S39" s="86">
        <f t="array" ref="S39">iferror(XLOOKUP(C39,'Download of SFDC Activation Rep'!B:B,'Download of SFDC Activation Rep'!Y:Y),"")</f>
        <v>46361</v>
      </c>
    </row>
    <row r="40">
      <c r="A40" s="17" t="s">
        <v>19</v>
      </c>
      <c r="B40" s="85">
        <v>46082.0</v>
      </c>
      <c r="C40" s="17">
        <v>3945715.0</v>
      </c>
      <c r="D40" s="85">
        <v>45809.0</v>
      </c>
      <c r="E40" s="17">
        <v>3.0</v>
      </c>
      <c r="F40" s="17">
        <v>0.0</v>
      </c>
      <c r="G40" s="17">
        <v>34031.0</v>
      </c>
      <c r="H40" s="17">
        <v>34031.0</v>
      </c>
      <c r="I40" s="17">
        <v>986.9</v>
      </c>
      <c r="J40" s="17"/>
      <c r="K40" s="17">
        <v>-20.7176</v>
      </c>
      <c r="L40" s="17">
        <v>-38.7694392368</v>
      </c>
      <c r="M40" s="17">
        <v>18.0518392367999</v>
      </c>
      <c r="N40" s="17">
        <v>80.0</v>
      </c>
      <c r="O40" s="14">
        <f t="shared" si="1"/>
        <v>280.4839</v>
      </c>
      <c r="P40" s="86">
        <f t="array" ref="P40">iferror(XLOOKUP(C40,'Download of SFDC Activation Rep'!B:B,'Download of SFDC Activation Rep'!Z:Z),"")</f>
        <v>45804</v>
      </c>
      <c r="Q40" s="86">
        <f t="shared" si="2"/>
        <v>45778</v>
      </c>
      <c r="R40" s="13" t="str">
        <f t="shared" si="3"/>
        <v>Yes</v>
      </c>
      <c r="S40" s="86">
        <f t="array" ref="S40">iferror(XLOOKUP(C40,'Download of SFDC Activation Rep'!B:B,'Download of SFDC Activation Rep'!Y:Y),"")</f>
        <v>45804</v>
      </c>
    </row>
    <row r="41">
      <c r="A41" s="17" t="s">
        <v>489</v>
      </c>
      <c r="B41" s="85">
        <v>45992.0</v>
      </c>
      <c r="C41" s="17">
        <v>2153287.0</v>
      </c>
      <c r="D41" s="85">
        <v>44805.0</v>
      </c>
      <c r="E41" s="17">
        <v>6.0</v>
      </c>
      <c r="F41" s="17">
        <v>0.0</v>
      </c>
      <c r="G41" s="17">
        <v>85345.09</v>
      </c>
      <c r="H41" s="17">
        <v>69092.83</v>
      </c>
      <c r="I41" s="17">
        <v>2475.02</v>
      </c>
      <c r="J41" s="17"/>
      <c r="K41" s="17">
        <v>440.7387</v>
      </c>
      <c r="L41" s="17">
        <v>395.78242491293</v>
      </c>
      <c r="M41" s="17">
        <v>44.9562750870693</v>
      </c>
      <c r="N41" s="17">
        <v>0.0</v>
      </c>
      <c r="O41" s="14">
        <f t="shared" si="1"/>
        <v>440.7387</v>
      </c>
      <c r="P41" s="86">
        <f t="array" ref="P41">iferror(XLOOKUP(C41,'Download of SFDC Activation Rep'!B:B,'Download of SFDC Activation Rep'!Z:Z),"")</f>
        <v>46007</v>
      </c>
      <c r="Q41" s="86">
        <f t="shared" si="2"/>
        <v>45992</v>
      </c>
      <c r="R41" s="13" t="str">
        <f t="shared" si="3"/>
        <v>Yes</v>
      </c>
      <c r="S41" s="86">
        <f t="array" ref="S41">iferror(XLOOKUP(C41,'Download of SFDC Activation Rep'!B:B,'Download of SFDC Activation Rep'!Y:Y),"")</f>
        <v>46021</v>
      </c>
    </row>
    <row r="42">
      <c r="A42" s="17" t="s">
        <v>489</v>
      </c>
      <c r="B42" s="85">
        <v>46054.0</v>
      </c>
      <c r="C42" s="17">
        <v>4294933.0</v>
      </c>
      <c r="D42" s="85">
        <v>45992.0</v>
      </c>
      <c r="E42" s="17">
        <v>8.0</v>
      </c>
      <c r="F42" s="17">
        <v>5.0</v>
      </c>
      <c r="G42" s="17">
        <v>139224.5</v>
      </c>
      <c r="H42" s="17">
        <v>80000.0</v>
      </c>
      <c r="I42" s="17">
        <v>2729.63</v>
      </c>
      <c r="J42" s="17"/>
      <c r="K42" s="17">
        <v>-96.9171</v>
      </c>
      <c r="L42" s="17">
        <v>-139.945568999999</v>
      </c>
      <c r="M42" s="17">
        <v>43.0284689999999</v>
      </c>
      <c r="N42" s="17">
        <v>35.0</v>
      </c>
      <c r="O42" s="14">
        <f t="shared" si="1"/>
        <v>458.0829</v>
      </c>
      <c r="P42" s="86">
        <f t="array" ref="P42">iferror(XLOOKUP(C42,'Download of SFDC Activation Rep'!B:B,'Download of SFDC Activation Rep'!Z:Z),"")</f>
        <v>45992</v>
      </c>
      <c r="Q42" s="86">
        <f t="shared" si="2"/>
        <v>45992</v>
      </c>
      <c r="R42" s="13" t="str">
        <f t="shared" si="3"/>
        <v>Yes</v>
      </c>
      <c r="S42" s="86">
        <f t="array" ref="S42">iferror(XLOOKUP(C42,'Download of SFDC Activation Rep'!B:B,'Download of SFDC Activation Rep'!Y:Y),"")</f>
        <v>46017</v>
      </c>
    </row>
    <row r="43">
      <c r="A43" s="17" t="s">
        <v>17</v>
      </c>
      <c r="B43" s="85">
        <v>45870.0</v>
      </c>
      <c r="C43" s="17">
        <v>3825826.0</v>
      </c>
      <c r="D43" s="85">
        <v>45839.0</v>
      </c>
      <c r="E43" s="17">
        <v>28.0</v>
      </c>
      <c r="F43" s="17">
        <v>26.0</v>
      </c>
      <c r="G43" s="17">
        <v>134882.0</v>
      </c>
      <c r="H43" s="17">
        <v>3655.0</v>
      </c>
      <c r="I43" s="17">
        <v>270.27</v>
      </c>
      <c r="J43" s="17"/>
      <c r="K43" s="17">
        <v>18.3265</v>
      </c>
      <c r="L43" s="17">
        <v>16.97768</v>
      </c>
      <c r="M43" s="17">
        <v>1.34882</v>
      </c>
      <c r="N43" s="17">
        <v>6.39999999999999</v>
      </c>
      <c r="O43" s="14">
        <f t="shared" si="1"/>
        <v>24.7265</v>
      </c>
      <c r="P43" s="86">
        <f t="array" ref="P43">iferror(XLOOKUP(C43,'Download of SFDC Activation Rep'!B:B,'Download of SFDC Activation Rep'!Z:Z),"")</f>
        <v>45810</v>
      </c>
      <c r="Q43" s="86">
        <f t="shared" si="2"/>
        <v>45809</v>
      </c>
      <c r="R43" s="13" t="str">
        <f t="shared" si="3"/>
        <v>Yes</v>
      </c>
      <c r="S43" s="86">
        <f t="array" ref="S43">iferror(XLOOKUP(C43,'Download of SFDC Activation Rep'!B:B,'Download of SFDC Activation Rep'!Y:Y),"")</f>
        <v>45842</v>
      </c>
    </row>
    <row r="44">
      <c r="A44" s="17" t="s">
        <v>489</v>
      </c>
      <c r="B44" s="85">
        <v>46082.0</v>
      </c>
      <c r="C44" s="17">
        <v>4099073.0</v>
      </c>
      <c r="D44" s="85">
        <v>45931.0</v>
      </c>
      <c r="E44" s="17">
        <v>33.0</v>
      </c>
      <c r="F44" s="17">
        <v>33.0</v>
      </c>
      <c r="G44" s="17">
        <v>280208.91</v>
      </c>
      <c r="H44" s="17"/>
      <c r="I44" s="17">
        <v>0.0</v>
      </c>
      <c r="J44" s="17"/>
      <c r="K44" s="17">
        <v>-5.57259999999999</v>
      </c>
      <c r="L44" s="17">
        <v>-49.476096290383</v>
      </c>
      <c r="M44" s="17">
        <v>43.9034962903829</v>
      </c>
      <c r="N44" s="17">
        <v>80.0</v>
      </c>
      <c r="O44" s="14">
        <f t="shared" si="1"/>
        <v>74.4274</v>
      </c>
      <c r="P44" s="86">
        <f t="array" ref="P44">iferror(XLOOKUP(C44,'Download of SFDC Activation Rep'!B:B,'Download of SFDC Activation Rep'!Z:Z),"")</f>
        <v>45870</v>
      </c>
      <c r="Q44" s="86">
        <f t="shared" si="2"/>
        <v>45870</v>
      </c>
      <c r="R44" s="13" t="str">
        <f t="shared" si="3"/>
        <v>Yes</v>
      </c>
      <c r="S44" s="86">
        <f t="array" ref="S44">iferror(XLOOKUP(C44,'Download of SFDC Activation Rep'!B:B,'Download of SFDC Activation Rep'!Y:Y),"")</f>
        <v>45999</v>
      </c>
    </row>
    <row r="45">
      <c r="A45" s="17" t="s">
        <v>488</v>
      </c>
      <c r="B45" s="85">
        <v>46113.0</v>
      </c>
      <c r="C45" s="17">
        <v>3952865.0</v>
      </c>
      <c r="D45" s="85">
        <v>45809.0</v>
      </c>
      <c r="E45" s="17">
        <v>7.0</v>
      </c>
      <c r="F45" s="17">
        <v>7.0</v>
      </c>
      <c r="G45" s="17">
        <v>19057.53</v>
      </c>
      <c r="H45" s="17"/>
      <c r="I45" s="17">
        <v>0.0</v>
      </c>
      <c r="J45" s="17"/>
      <c r="K45" s="17">
        <v>-1.09209999999999</v>
      </c>
      <c r="L45" s="17">
        <v>-4.07805857518899</v>
      </c>
      <c r="M45" s="17">
        <v>2.98595857518899</v>
      </c>
      <c r="N45" s="17">
        <v>35.0</v>
      </c>
      <c r="O45" s="14">
        <f t="shared" si="1"/>
        <v>33.9079</v>
      </c>
      <c r="P45" s="86">
        <f t="array" ref="P45">iferror(XLOOKUP(C45,'Download of SFDC Activation Rep'!B:B,'Download of SFDC Activation Rep'!Z:Z),"")</f>
        <v>45799</v>
      </c>
      <c r="Q45" s="86">
        <f t="shared" si="2"/>
        <v>45778</v>
      </c>
      <c r="R45" s="13" t="str">
        <f t="shared" si="3"/>
        <v>Yes</v>
      </c>
      <c r="S45" s="86">
        <f t="array" ref="S45">iferror(XLOOKUP(C45,'Download of SFDC Activation Rep'!B:B,'Download of SFDC Activation Rep'!Y:Y),"")</f>
        <v>45818</v>
      </c>
    </row>
    <row r="46">
      <c r="A46" s="17" t="s">
        <v>489</v>
      </c>
      <c r="B46" s="85">
        <v>46113.0</v>
      </c>
      <c r="C46" s="17">
        <v>4178047.0</v>
      </c>
      <c r="D46" s="85">
        <v>45962.0</v>
      </c>
      <c r="E46" s="17">
        <v>16.0</v>
      </c>
      <c r="F46" s="17">
        <v>16.0</v>
      </c>
      <c r="G46" s="17">
        <v>3588.9</v>
      </c>
      <c r="H46" s="17"/>
      <c r="I46" s="17">
        <v>0.0</v>
      </c>
      <c r="J46" s="17"/>
      <c r="K46" s="17">
        <v>-2.28099999999999</v>
      </c>
      <c r="L46" s="17">
        <v>-2.84331351757</v>
      </c>
      <c r="M46" s="17">
        <v>0.56231351757</v>
      </c>
      <c r="N46" s="17">
        <v>85.0</v>
      </c>
      <c r="O46" s="14">
        <f t="shared" si="1"/>
        <v>82.719</v>
      </c>
      <c r="P46" s="86">
        <f t="array" ref="P46">iferror(XLOOKUP(C46,'Download of SFDC Activation Rep'!B:B,'Download of SFDC Activation Rep'!Z:Z),"")</f>
        <v>45974</v>
      </c>
      <c r="Q46" s="86">
        <f t="shared" si="2"/>
        <v>45962</v>
      </c>
      <c r="R46" s="13" t="str">
        <f t="shared" si="3"/>
        <v>Yes</v>
      </c>
      <c r="S46" s="86">
        <f t="array" ref="S46">iferror(XLOOKUP(C46,'Download of SFDC Activation Rep'!B:B,'Download of SFDC Activation Rep'!Y:Y),"")</f>
        <v>45967</v>
      </c>
    </row>
    <row r="47">
      <c r="A47" s="17" t="s">
        <v>19</v>
      </c>
      <c r="B47" s="85">
        <v>46174.0</v>
      </c>
      <c r="C47" s="17">
        <v>47426.0</v>
      </c>
      <c r="D47" s="85">
        <v>43983.0</v>
      </c>
      <c r="E47" s="17">
        <v>160.0</v>
      </c>
      <c r="F47" s="17">
        <v>160.0</v>
      </c>
      <c r="G47" s="17">
        <v>207175.0</v>
      </c>
      <c r="H47" s="17"/>
      <c r="I47" s="17">
        <v>0.0</v>
      </c>
      <c r="J47" s="17"/>
      <c r="K47" s="17">
        <v>-23.5324</v>
      </c>
      <c r="L47" s="17">
        <v>-55.9928483274999</v>
      </c>
      <c r="M47" s="17">
        <v>32.4604483274999</v>
      </c>
      <c r="N47" s="17">
        <v>54.4</v>
      </c>
      <c r="O47" s="14">
        <f t="shared" si="1"/>
        <v>30.8676</v>
      </c>
      <c r="P47" s="86">
        <f t="array" ref="P47">iferror(XLOOKUP(C47,'Download of SFDC Activation Rep'!B:B,'Download of SFDC Activation Rep'!Z:Z),"")</f>
        <v>46001</v>
      </c>
      <c r="Q47" s="86">
        <f t="shared" si="2"/>
        <v>45992</v>
      </c>
      <c r="R47" s="13" t="str">
        <f t="shared" si="3"/>
        <v>Yes</v>
      </c>
      <c r="S47" s="86">
        <f t="array" ref="S47">iferror(XLOOKUP(C47,'Download of SFDC Activation Rep'!B:B,'Download of SFDC Activation Rep'!Y:Y),"")</f>
        <v>46028</v>
      </c>
    </row>
    <row r="48">
      <c r="A48" s="17" t="s">
        <v>17</v>
      </c>
      <c r="B48" s="85">
        <v>45992.0</v>
      </c>
      <c r="C48" s="17">
        <v>4268726.0</v>
      </c>
      <c r="D48" s="85">
        <v>45992.0</v>
      </c>
      <c r="E48" s="17">
        <v>8.0</v>
      </c>
      <c r="F48" s="17">
        <v>6.0</v>
      </c>
      <c r="G48" s="17">
        <v>50216.6</v>
      </c>
      <c r="H48" s="17"/>
      <c r="I48" s="17">
        <v>424.71</v>
      </c>
      <c r="J48" s="17"/>
      <c r="K48" s="17">
        <v>198.8482</v>
      </c>
      <c r="L48" s="17">
        <v>198.346033999999</v>
      </c>
      <c r="M48" s="17">
        <v>0.502166000000016</v>
      </c>
      <c r="N48" s="17">
        <v>0.0</v>
      </c>
      <c r="O48" s="14">
        <f t="shared" si="1"/>
        <v>198.8482</v>
      </c>
      <c r="P48" s="86">
        <f t="array" ref="P48">iferror(XLOOKUP(C48,'Download of SFDC Activation Rep'!B:B,'Download of SFDC Activation Rep'!Z:Z),"")</f>
        <v>45992</v>
      </c>
      <c r="Q48" s="86">
        <f t="shared" si="2"/>
        <v>45992</v>
      </c>
      <c r="R48" s="13" t="str">
        <f t="shared" si="3"/>
        <v>Yes</v>
      </c>
      <c r="S48" s="86">
        <f t="array" ref="S48">iferror(XLOOKUP(C48,'Download of SFDC Activation Rep'!B:B,'Download of SFDC Activation Rep'!Y:Y),"")</f>
        <v>46000</v>
      </c>
    </row>
    <row r="49">
      <c r="A49" s="17" t="s">
        <v>19</v>
      </c>
      <c r="B49" s="85">
        <v>46113.0</v>
      </c>
      <c r="C49" s="17">
        <v>4489894.0</v>
      </c>
      <c r="D49" s="85">
        <v>46113.0</v>
      </c>
      <c r="E49" s="17">
        <v>21.0</v>
      </c>
      <c r="F49" s="17">
        <v>21.0</v>
      </c>
      <c r="G49" s="17">
        <v>397010.11</v>
      </c>
      <c r="H49" s="17"/>
      <c r="I49" s="17">
        <v>10.002275</v>
      </c>
      <c r="J49" s="17"/>
      <c r="K49" s="17">
        <v>5.9632</v>
      </c>
      <c r="L49" s="17">
        <v>-56.1145133479429</v>
      </c>
      <c r="M49" s="17">
        <v>62.0777133479429</v>
      </c>
      <c r="N49" s="17">
        <v>64.0</v>
      </c>
      <c r="O49" s="14">
        <f t="shared" si="1"/>
        <v>69.9632</v>
      </c>
      <c r="P49" s="86">
        <f t="array" ref="P49">iferror(XLOOKUP(C49,'Download of SFDC Activation Rep'!B:B,'Download of SFDC Activation Rep'!Z:Z),"")</f>
        <v>46071</v>
      </c>
      <c r="Q49" s="86">
        <f t="shared" si="2"/>
        <v>46054</v>
      </c>
      <c r="R49" s="13" t="str">
        <f t="shared" si="3"/>
        <v>Yes</v>
      </c>
      <c r="S49" s="86">
        <f t="array" ref="S49">iferror(XLOOKUP(C49,'Download of SFDC Activation Rep'!B:B,'Download of SFDC Activation Rep'!Y:Y),"")</f>
        <v>46141</v>
      </c>
    </row>
    <row r="50">
      <c r="A50" s="17" t="s">
        <v>17</v>
      </c>
      <c r="B50" s="85">
        <v>46054.0</v>
      </c>
      <c r="C50" s="17">
        <v>4011819.0</v>
      </c>
      <c r="D50" s="85">
        <v>45839.0</v>
      </c>
      <c r="E50" s="17">
        <v>6.0</v>
      </c>
      <c r="F50" s="17">
        <v>0.0</v>
      </c>
      <c r="G50" s="17">
        <v>6803.9</v>
      </c>
      <c r="H50" s="17">
        <v>6311.1</v>
      </c>
      <c r="I50" s="17">
        <v>206.43</v>
      </c>
      <c r="J50" s="17"/>
      <c r="K50" s="17">
        <v>-1.4802</v>
      </c>
      <c r="L50" s="17">
        <v>-7.741265633626</v>
      </c>
      <c r="M50" s="17">
        <v>6.26106563362599</v>
      </c>
      <c r="N50" s="17">
        <v>25.0</v>
      </c>
      <c r="O50" s="14">
        <f t="shared" si="1"/>
        <v>64.54195</v>
      </c>
      <c r="P50" s="86">
        <f t="array" ref="P50">iferror(XLOOKUP(C50,'Download of SFDC Activation Rep'!B:B,'Download of SFDC Activation Rep'!Z:Z),"")</f>
        <v>45849</v>
      </c>
      <c r="Q50" s="86">
        <f t="shared" si="2"/>
        <v>45839</v>
      </c>
      <c r="R50" s="13" t="str">
        <f t="shared" si="3"/>
        <v>Yes</v>
      </c>
      <c r="S50" s="86">
        <f t="array" ref="S50">iferror(XLOOKUP(C50,'Download of SFDC Activation Rep'!B:B,'Download of SFDC Activation Rep'!Y:Y),"")</f>
        <v>45849</v>
      </c>
    </row>
    <row r="51">
      <c r="A51" s="17" t="s">
        <v>488</v>
      </c>
      <c r="B51" s="85">
        <v>46082.0</v>
      </c>
      <c r="C51" s="17">
        <v>4332104.0</v>
      </c>
      <c r="D51" s="85">
        <v>46023.0</v>
      </c>
      <c r="E51" s="17">
        <v>16.0</v>
      </c>
      <c r="F51" s="17">
        <v>16.0</v>
      </c>
      <c r="G51" s="17">
        <v>118635.01</v>
      </c>
      <c r="H51" s="17"/>
      <c r="I51" s="17">
        <v>0.0</v>
      </c>
      <c r="J51" s="17"/>
      <c r="K51" s="17">
        <v>-9.1452</v>
      </c>
      <c r="L51" s="17">
        <v>-27.7330875923129</v>
      </c>
      <c r="M51" s="17">
        <v>18.5878875923129</v>
      </c>
      <c r="N51" s="17">
        <v>44.0</v>
      </c>
      <c r="O51" s="14">
        <f t="shared" si="1"/>
        <v>34.8548</v>
      </c>
      <c r="P51" s="86">
        <f t="array" ref="P51">iferror(XLOOKUP(C51,'Download of SFDC Activation Rep'!B:B,'Download of SFDC Activation Rep'!Z:Z),"")</f>
        <v>46197</v>
      </c>
      <c r="Q51" s="86">
        <f t="shared" si="2"/>
        <v>46174</v>
      </c>
      <c r="R51" s="13" t="str">
        <f t="shared" si="3"/>
        <v>No</v>
      </c>
      <c r="S51" s="86">
        <f t="array" ref="S51">iferror(XLOOKUP(C51,'Download of SFDC Activation Rep'!B:B,'Download of SFDC Activation Rep'!Y:Y),"")</f>
        <v>46361</v>
      </c>
    </row>
    <row r="52">
      <c r="A52" s="17" t="s">
        <v>489</v>
      </c>
      <c r="B52" s="85">
        <v>46082.0</v>
      </c>
      <c r="C52" s="17">
        <v>3683365.0</v>
      </c>
      <c r="D52" s="85">
        <v>45992.0</v>
      </c>
      <c r="E52" s="17">
        <v>7.0</v>
      </c>
      <c r="F52" s="17">
        <v>3.0</v>
      </c>
      <c r="G52" s="17">
        <v>13793.36</v>
      </c>
      <c r="H52" s="17">
        <v>150.52</v>
      </c>
      <c r="I52" s="17">
        <v>380.25</v>
      </c>
      <c r="J52" s="17"/>
      <c r="K52" s="17">
        <v>100.3853</v>
      </c>
      <c r="L52" s="17">
        <v>100.247366399999</v>
      </c>
      <c r="M52" s="17">
        <v>0.13793360000001</v>
      </c>
      <c r="N52" s="17">
        <v>52.0</v>
      </c>
      <c r="O52" s="14">
        <f t="shared" si="1"/>
        <v>153.36368</v>
      </c>
      <c r="P52" s="86">
        <f t="array" ref="P52">iferror(XLOOKUP(C52,'Download of SFDC Activation Rep'!B:B,'Download of SFDC Activation Rep'!Z:Z),"")</f>
        <v>46197</v>
      </c>
      <c r="Q52" s="86">
        <f t="shared" si="2"/>
        <v>46174</v>
      </c>
      <c r="R52" s="13" t="str">
        <f t="shared" si="3"/>
        <v>No</v>
      </c>
      <c r="S52" s="86">
        <f t="array" ref="S52">iferror(XLOOKUP(C52,'Download of SFDC Activation Rep'!B:B,'Download of SFDC Activation Rep'!Y:Y),"")</f>
        <v>46361</v>
      </c>
    </row>
    <row r="53">
      <c r="A53" s="17" t="s">
        <v>488</v>
      </c>
      <c r="B53" s="85">
        <v>45992.0</v>
      </c>
      <c r="C53" s="17">
        <v>4266723.0</v>
      </c>
      <c r="D53" s="85">
        <v>45992.0</v>
      </c>
      <c r="E53" s="17">
        <v>1.0</v>
      </c>
      <c r="F53" s="17">
        <v>1.0</v>
      </c>
      <c r="G53" s="17">
        <v>2677.0</v>
      </c>
      <c r="H53" s="17"/>
      <c r="I53" s="17">
        <v>0.0</v>
      </c>
      <c r="J53" s="17"/>
      <c r="K53" s="17">
        <v>-0.1386</v>
      </c>
      <c r="L53" s="17">
        <v>-0.16537</v>
      </c>
      <c r="M53" s="17">
        <v>0.02677</v>
      </c>
      <c r="N53" s="17">
        <v>0.0</v>
      </c>
      <c r="O53" s="14">
        <f t="shared" si="1"/>
        <v>-0.1386</v>
      </c>
      <c r="P53" s="86">
        <f t="array" ref="P53">iferror(XLOOKUP(C53,'Download of SFDC Activation Rep'!B:B,'Download of SFDC Activation Rep'!Z:Z),"")</f>
        <v>45987</v>
      </c>
      <c r="Q53" s="86">
        <f t="shared" si="2"/>
        <v>45962</v>
      </c>
      <c r="R53" s="13" t="str">
        <f t="shared" si="3"/>
        <v>Yes</v>
      </c>
      <c r="S53" s="86">
        <f t="array" ref="S53">iferror(XLOOKUP(C53,'Download of SFDC Activation Rep'!B:B,'Download of SFDC Activation Rep'!Y:Y),"")</f>
        <v>46008</v>
      </c>
    </row>
    <row r="54">
      <c r="A54" s="17" t="s">
        <v>17</v>
      </c>
      <c r="B54" s="85">
        <v>45992.0</v>
      </c>
      <c r="C54" s="17">
        <v>4252854.0</v>
      </c>
      <c r="D54" s="85">
        <v>45992.0</v>
      </c>
      <c r="E54" s="17">
        <v>2.0</v>
      </c>
      <c r="F54" s="17">
        <v>2.0</v>
      </c>
      <c r="G54" s="17">
        <v>4580.0</v>
      </c>
      <c r="H54" s="17"/>
      <c r="I54" s="17">
        <v>0.0</v>
      </c>
      <c r="J54" s="17"/>
      <c r="K54" s="17">
        <v>-0.3</v>
      </c>
      <c r="L54" s="17">
        <v>-1.017600568802</v>
      </c>
      <c r="M54" s="17">
        <v>0.717600568802</v>
      </c>
      <c r="N54" s="17">
        <v>0.0</v>
      </c>
      <c r="O54" s="14">
        <f t="shared" si="1"/>
        <v>-0.3</v>
      </c>
      <c r="P54" s="86">
        <f t="array" ref="P54">iferror(XLOOKUP(C54,'Download of SFDC Activation Rep'!B:B,'Download of SFDC Activation Rep'!Z:Z),"")</f>
        <v>45979</v>
      </c>
      <c r="Q54" s="86">
        <f t="shared" si="2"/>
        <v>45962</v>
      </c>
      <c r="R54" s="13" t="str">
        <f t="shared" si="3"/>
        <v>Yes</v>
      </c>
      <c r="S54" s="86">
        <f t="array" ref="S54">iferror(XLOOKUP(C54,'Download of SFDC Activation Rep'!B:B,'Download of SFDC Activation Rep'!Y:Y),"")</f>
        <v>46008</v>
      </c>
    </row>
    <row r="55">
      <c r="A55" s="17" t="s">
        <v>19</v>
      </c>
      <c r="B55" s="85">
        <v>46054.0</v>
      </c>
      <c r="C55" s="17">
        <v>4440958.0</v>
      </c>
      <c r="D55" s="85">
        <v>46054.0</v>
      </c>
      <c r="E55" s="17">
        <v>6.0</v>
      </c>
      <c r="F55" s="17">
        <v>0.0</v>
      </c>
      <c r="G55" s="17">
        <v>457283.0</v>
      </c>
      <c r="H55" s="17">
        <v>207283.0</v>
      </c>
      <c r="I55" s="17">
        <v>13231.2</v>
      </c>
      <c r="J55" s="17"/>
      <c r="K55" s="17">
        <v>490.4626</v>
      </c>
      <c r="L55" s="17">
        <v>76.2086499076001</v>
      </c>
      <c r="M55" s="17">
        <v>414.253950092399</v>
      </c>
      <c r="N55" s="17">
        <v>0.0</v>
      </c>
      <c r="O55" s="14">
        <f t="shared" si="1"/>
        <v>1837.8021</v>
      </c>
      <c r="P55" s="86">
        <f t="array" ref="P55">iferror(XLOOKUP(C55,'Download of SFDC Activation Rep'!B:B,'Download of SFDC Activation Rep'!Z:Z),"")</f>
        <v>46197</v>
      </c>
      <c r="Q55" s="86">
        <f t="shared" si="2"/>
        <v>46174</v>
      </c>
      <c r="R55" s="13" t="str">
        <f t="shared" si="3"/>
        <v>No</v>
      </c>
      <c r="S55" s="86">
        <f t="array" ref="S55">iferror(XLOOKUP(C55,'Download of SFDC Activation Rep'!B:B,'Download of SFDC Activation Rep'!Y:Y),"")</f>
        <v>46361</v>
      </c>
    </row>
    <row r="56">
      <c r="A56" s="17" t="s">
        <v>488</v>
      </c>
      <c r="B56" s="85">
        <v>45992.0</v>
      </c>
      <c r="C56" s="17">
        <v>4039652.0</v>
      </c>
      <c r="D56" s="85">
        <v>45870.0</v>
      </c>
      <c r="E56" s="17">
        <v>9.0</v>
      </c>
      <c r="F56" s="17">
        <v>8.0</v>
      </c>
      <c r="G56" s="17">
        <v>10976.25</v>
      </c>
      <c r="H56" s="17"/>
      <c r="I56" s="17">
        <v>26.1</v>
      </c>
      <c r="J56" s="17"/>
      <c r="K56" s="17">
        <v>24.6335</v>
      </c>
      <c r="L56" s="17">
        <v>22.5773320304888</v>
      </c>
      <c r="M56" s="17">
        <v>2.05616796951112</v>
      </c>
      <c r="N56" s="17">
        <v>25.0</v>
      </c>
      <c r="O56" s="14">
        <f t="shared" si="1"/>
        <v>49.6335</v>
      </c>
      <c r="P56" s="86">
        <f t="array" ref="P56">iferror(XLOOKUP(C56,'Download of SFDC Activation Rep'!B:B,'Download of SFDC Activation Rep'!Z:Z),"")</f>
        <v>45863</v>
      </c>
      <c r="Q56" s="86">
        <f t="shared" si="2"/>
        <v>45839</v>
      </c>
      <c r="R56" s="13" t="str">
        <f t="shared" si="3"/>
        <v>Yes</v>
      </c>
      <c r="S56" s="86">
        <f t="array" ref="S56">iferror(XLOOKUP(C56,'Download of SFDC Activation Rep'!B:B,'Download of SFDC Activation Rep'!Y:Y),"")</f>
        <v>45880</v>
      </c>
    </row>
    <row r="57">
      <c r="A57" s="17" t="s">
        <v>17</v>
      </c>
      <c r="B57" s="85">
        <v>46023.0</v>
      </c>
      <c r="C57" s="17">
        <v>4268726.0</v>
      </c>
      <c r="D57" s="85">
        <v>45992.0</v>
      </c>
      <c r="E57" s="17">
        <v>6.0</v>
      </c>
      <c r="F57" s="17">
        <v>0.0</v>
      </c>
      <c r="G57" s="17">
        <v>11637.4</v>
      </c>
      <c r="H57" s="17"/>
      <c r="I57" s="17">
        <v>337.49</v>
      </c>
      <c r="J57" s="17"/>
      <c r="K57" s="17">
        <v>15.1605999999999</v>
      </c>
      <c r="L57" s="17">
        <v>14.811478</v>
      </c>
      <c r="M57" s="17">
        <v>0.349121999999997</v>
      </c>
      <c r="N57" s="17">
        <v>0.0</v>
      </c>
      <c r="O57" s="14">
        <f t="shared" si="1"/>
        <v>15.1606</v>
      </c>
      <c r="P57" s="86">
        <f t="array" ref="P57">iferror(XLOOKUP(C57,'Download of SFDC Activation Rep'!B:B,'Download of SFDC Activation Rep'!Z:Z),"")</f>
        <v>45992</v>
      </c>
      <c r="Q57" s="86">
        <f t="shared" si="2"/>
        <v>45992</v>
      </c>
      <c r="R57" s="13" t="str">
        <f t="shared" si="3"/>
        <v>Yes</v>
      </c>
      <c r="S57" s="86">
        <f t="array" ref="S57">iferror(XLOOKUP(C57,'Download of SFDC Activation Rep'!B:B,'Download of SFDC Activation Rep'!Y:Y),"")</f>
        <v>46000</v>
      </c>
    </row>
    <row r="58">
      <c r="A58" s="17" t="s">
        <v>19</v>
      </c>
      <c r="B58" s="85">
        <v>46174.0</v>
      </c>
      <c r="C58" s="17">
        <v>100325.0</v>
      </c>
      <c r="D58" s="85">
        <v>45200.0</v>
      </c>
      <c r="E58" s="17">
        <v>56.0</v>
      </c>
      <c r="F58" s="17">
        <v>56.0</v>
      </c>
      <c r="G58" s="17">
        <v>836230.87</v>
      </c>
      <c r="H58" s="17"/>
      <c r="I58" s="17">
        <v>127.223263</v>
      </c>
      <c r="J58" s="17">
        <v>0.5</v>
      </c>
      <c r="K58" s="17">
        <v>109.1326</v>
      </c>
      <c r="L58" s="17">
        <v>-23.8618414978429</v>
      </c>
      <c r="M58" s="17">
        <v>132.994441497842</v>
      </c>
      <c r="N58" s="17">
        <v>64.0</v>
      </c>
      <c r="O58" s="14">
        <f t="shared" si="1"/>
        <v>173.1326</v>
      </c>
      <c r="P58" s="86">
        <f t="array" ref="P58">iferror(XLOOKUP(C58,'Download of SFDC Activation Rep'!B:B,'Download of SFDC Activation Rep'!Z:Z),"")</f>
        <v>45974</v>
      </c>
      <c r="Q58" s="86">
        <f t="shared" si="2"/>
        <v>45962</v>
      </c>
      <c r="R58" s="13" t="str">
        <f t="shared" si="3"/>
        <v>Yes</v>
      </c>
      <c r="S58" s="86">
        <f t="array" ref="S58">iferror(XLOOKUP(C58,'Download of SFDC Activation Rep'!B:B,'Download of SFDC Activation Rep'!Y:Y),"")</f>
        <v>45933</v>
      </c>
    </row>
    <row r="59">
      <c r="A59" s="17" t="s">
        <v>19</v>
      </c>
      <c r="B59" s="85">
        <v>46113.0</v>
      </c>
      <c r="C59" s="17">
        <v>4239927.0</v>
      </c>
      <c r="D59" s="85">
        <v>45992.0</v>
      </c>
      <c r="E59" s="17">
        <v>1.0</v>
      </c>
      <c r="F59" s="17">
        <v>1.0</v>
      </c>
      <c r="G59" s="17">
        <v>306.0</v>
      </c>
      <c r="H59" s="17"/>
      <c r="I59" s="17">
        <v>0.0</v>
      </c>
      <c r="J59" s="17"/>
      <c r="K59" s="17">
        <v>-0.15</v>
      </c>
      <c r="L59" s="17">
        <v>-0.1979444778</v>
      </c>
      <c r="M59" s="17">
        <v>0.0479444777999999</v>
      </c>
      <c r="N59" s="17">
        <v>24.0</v>
      </c>
      <c r="O59" s="14">
        <f t="shared" si="1"/>
        <v>23.85</v>
      </c>
      <c r="P59" s="86">
        <f t="array" ref="P59">iferror(XLOOKUP(C59,'Download of SFDC Activation Rep'!B:B,'Download of SFDC Activation Rep'!Z:Z),"")</f>
        <v>45979</v>
      </c>
      <c r="Q59" s="86">
        <f t="shared" si="2"/>
        <v>45962</v>
      </c>
      <c r="R59" s="13" t="str">
        <f t="shared" si="3"/>
        <v>Yes</v>
      </c>
      <c r="S59" s="86">
        <f t="array" ref="S59">iferror(XLOOKUP(C59,'Download of SFDC Activation Rep'!B:B,'Download of SFDC Activation Rep'!Y:Y),"")</f>
        <v>45999</v>
      </c>
    </row>
    <row r="60">
      <c r="A60" s="17" t="s">
        <v>19</v>
      </c>
      <c r="B60" s="85">
        <v>45962.0</v>
      </c>
      <c r="C60" s="17">
        <v>3946131.0</v>
      </c>
      <c r="D60" s="85">
        <v>45809.0</v>
      </c>
      <c r="E60" s="17">
        <v>68.0</v>
      </c>
      <c r="F60" s="17">
        <v>68.0</v>
      </c>
      <c r="G60" s="17">
        <v>171753.41</v>
      </c>
      <c r="H60" s="17"/>
      <c r="I60" s="17">
        <v>56.5</v>
      </c>
      <c r="J60" s="17">
        <v>1.0</v>
      </c>
      <c r="K60" s="17">
        <v>13.2995</v>
      </c>
      <c r="L60" s="17">
        <v>-12.8837978134679</v>
      </c>
      <c r="M60" s="17">
        <v>26.1832978134679</v>
      </c>
      <c r="N60" s="17">
        <v>6.39999999999999</v>
      </c>
      <c r="O60" s="14">
        <f t="shared" si="1"/>
        <v>19.6995</v>
      </c>
      <c r="P60" s="86">
        <f t="array" ref="P60">iferror(XLOOKUP(C60,'Download of SFDC Activation Rep'!B:B,'Download of SFDC Activation Rep'!Z:Z),"")</f>
        <v>45805</v>
      </c>
      <c r="Q60" s="86">
        <f t="shared" si="2"/>
        <v>45778</v>
      </c>
      <c r="R60" s="13" t="str">
        <f t="shared" si="3"/>
        <v>Yes</v>
      </c>
      <c r="S60" s="86">
        <f t="array" ref="S60">iferror(XLOOKUP(C60,'Download of SFDC Activation Rep'!B:B,'Download of SFDC Activation Rep'!Y:Y),"")</f>
        <v>45805</v>
      </c>
    </row>
    <row r="61">
      <c r="A61" s="17" t="s">
        <v>488</v>
      </c>
      <c r="B61" s="85">
        <v>46023.0</v>
      </c>
      <c r="C61" s="17">
        <v>4271411.0</v>
      </c>
      <c r="D61" s="85">
        <v>45992.0</v>
      </c>
      <c r="E61" s="17">
        <v>9.0</v>
      </c>
      <c r="F61" s="17">
        <v>9.0</v>
      </c>
      <c r="G61" s="17">
        <v>88182.85</v>
      </c>
      <c r="H61" s="17"/>
      <c r="I61" s="17">
        <v>0.0</v>
      </c>
      <c r="J61" s="17"/>
      <c r="K61" s="17">
        <v>-1.3335</v>
      </c>
      <c r="L61" s="17">
        <v>-20.0850855072237</v>
      </c>
      <c r="M61" s="17">
        <v>18.7515855072237</v>
      </c>
      <c r="N61" s="17">
        <v>17.0</v>
      </c>
      <c r="O61" s="14">
        <f t="shared" si="1"/>
        <v>15.6665</v>
      </c>
      <c r="P61" s="86">
        <f t="array" ref="P61">iferror(XLOOKUP(C61,'Download of SFDC Activation Rep'!B:B,'Download of SFDC Activation Rep'!Z:Z),"")</f>
        <v>46007</v>
      </c>
      <c r="Q61" s="86">
        <f t="shared" si="2"/>
        <v>45992</v>
      </c>
      <c r="R61" s="13" t="str">
        <f t="shared" si="3"/>
        <v>Yes</v>
      </c>
      <c r="S61" s="86">
        <f t="array" ref="S61">iferror(XLOOKUP(C61,'Download of SFDC Activation Rep'!B:B,'Download of SFDC Activation Rep'!Y:Y),"")</f>
        <v>46007</v>
      </c>
    </row>
    <row r="62">
      <c r="A62" s="17" t="s">
        <v>488</v>
      </c>
      <c r="B62" s="85">
        <v>46054.0</v>
      </c>
      <c r="C62" s="17">
        <v>4233219.0</v>
      </c>
      <c r="D62" s="85">
        <v>45962.0</v>
      </c>
      <c r="E62" s="17">
        <v>11.0</v>
      </c>
      <c r="F62" s="17">
        <v>11.0</v>
      </c>
      <c r="G62" s="17">
        <v>16109.32</v>
      </c>
      <c r="H62" s="17"/>
      <c r="I62" s="17">
        <v>13.5</v>
      </c>
      <c r="J62" s="17"/>
      <c r="K62" s="17">
        <v>4.4237</v>
      </c>
      <c r="L62" s="17">
        <v>1.930764000284</v>
      </c>
      <c r="M62" s="17">
        <v>2.49293599971599</v>
      </c>
      <c r="N62" s="17">
        <v>28.0</v>
      </c>
      <c r="O62" s="14">
        <f t="shared" si="1"/>
        <v>32.4237</v>
      </c>
      <c r="P62" s="86">
        <f t="array" ref="P62">iferror(XLOOKUP(C62,'Download of SFDC Activation Rep'!B:B,'Download of SFDC Activation Rep'!Z:Z),"")</f>
        <v>45978</v>
      </c>
      <c r="Q62" s="86">
        <f t="shared" si="2"/>
        <v>45962</v>
      </c>
      <c r="R62" s="13" t="str">
        <f t="shared" si="3"/>
        <v>Yes</v>
      </c>
      <c r="S62" s="86">
        <f t="array" ref="S62">iferror(XLOOKUP(C62,'Download of SFDC Activation Rep'!B:B,'Download of SFDC Activation Rep'!Y:Y),"")</f>
        <v>45989</v>
      </c>
    </row>
    <row r="63">
      <c r="A63" s="17" t="s">
        <v>17</v>
      </c>
      <c r="B63" s="85">
        <v>45962.0</v>
      </c>
      <c r="C63" s="17">
        <v>4233333.0</v>
      </c>
      <c r="D63" s="85">
        <v>45962.0</v>
      </c>
      <c r="E63" s="17">
        <v>26.0</v>
      </c>
      <c r="F63" s="17">
        <v>26.0</v>
      </c>
      <c r="G63" s="17">
        <v>114616.7</v>
      </c>
      <c r="H63" s="17"/>
      <c r="I63" s="17">
        <v>0.0</v>
      </c>
      <c r="J63" s="17"/>
      <c r="K63" s="17">
        <v>-4.071</v>
      </c>
      <c r="L63" s="17">
        <v>-22.0292989332332</v>
      </c>
      <c r="M63" s="17">
        <v>17.9582989332332</v>
      </c>
      <c r="N63" s="17">
        <v>0.0</v>
      </c>
      <c r="O63" s="14">
        <f t="shared" si="1"/>
        <v>-4.071</v>
      </c>
      <c r="P63" s="86">
        <f t="array" ref="P63">iferror(XLOOKUP(C63,'Download of SFDC Activation Rep'!B:B,'Download of SFDC Activation Rep'!Z:Z),"")</f>
        <v>45965</v>
      </c>
      <c r="Q63" s="86">
        <f t="shared" si="2"/>
        <v>45962</v>
      </c>
      <c r="R63" s="13" t="str">
        <f t="shared" si="3"/>
        <v>Yes</v>
      </c>
      <c r="S63" s="86">
        <f t="array" ref="S63">iferror(XLOOKUP(C63,'Download of SFDC Activation Rep'!B:B,'Download of SFDC Activation Rep'!Y:Y),"")</f>
        <v>45979</v>
      </c>
    </row>
    <row r="64">
      <c r="A64" s="17" t="s">
        <v>19</v>
      </c>
      <c r="B64" s="85">
        <v>46082.0</v>
      </c>
      <c r="C64" s="17">
        <v>4018525.0</v>
      </c>
      <c r="D64" s="85">
        <v>45839.0</v>
      </c>
      <c r="E64" s="17">
        <v>117.0</v>
      </c>
      <c r="F64" s="17">
        <v>117.0</v>
      </c>
      <c r="G64" s="17">
        <v>368358.44</v>
      </c>
      <c r="H64" s="17"/>
      <c r="I64" s="17">
        <v>222.543855</v>
      </c>
      <c r="J64" s="17">
        <v>2.5</v>
      </c>
      <c r="K64" s="17">
        <v>98.4229</v>
      </c>
      <c r="L64" s="17">
        <v>40.762574761548</v>
      </c>
      <c r="M64" s="17">
        <v>57.6603252384519</v>
      </c>
      <c r="N64" s="17">
        <v>6.39999999999999</v>
      </c>
      <c r="O64" s="14">
        <f t="shared" si="1"/>
        <v>104.8229</v>
      </c>
      <c r="P64" s="86">
        <f t="array" ref="P64">iferror(XLOOKUP(C64,'Download of SFDC Activation Rep'!B:B,'Download of SFDC Activation Rep'!Z:Z),"")</f>
        <v>45818</v>
      </c>
      <c r="Q64" s="86">
        <f t="shared" si="2"/>
        <v>45809</v>
      </c>
      <c r="R64" s="13" t="str">
        <f t="shared" si="3"/>
        <v>Yes</v>
      </c>
      <c r="S64" s="86">
        <f t="array" ref="S64">iferror(XLOOKUP(C64,'Download of SFDC Activation Rep'!B:B,'Download of SFDC Activation Rep'!Y:Y),"")</f>
        <v>45859</v>
      </c>
    </row>
    <row r="65">
      <c r="A65" s="17" t="s">
        <v>19</v>
      </c>
      <c r="B65" s="85">
        <v>46143.0</v>
      </c>
      <c r="C65" s="17">
        <v>4134744.0</v>
      </c>
      <c r="D65" s="85">
        <v>45992.0</v>
      </c>
      <c r="E65" s="17">
        <v>73.0</v>
      </c>
      <c r="F65" s="17">
        <v>68.0</v>
      </c>
      <c r="G65" s="17">
        <v>130340.05</v>
      </c>
      <c r="H65" s="17">
        <v>3866.55</v>
      </c>
      <c r="I65" s="17">
        <v>317.99465</v>
      </c>
      <c r="J65" s="17">
        <v>0.5</v>
      </c>
      <c r="K65" s="17">
        <v>173.9305</v>
      </c>
      <c r="L65" s="17">
        <v>149.615734866052</v>
      </c>
      <c r="M65" s="17">
        <v>24.314765133948</v>
      </c>
      <c r="N65" s="17">
        <v>7.99999999999999</v>
      </c>
      <c r="O65" s="14">
        <f t="shared" si="1"/>
        <v>181.9305</v>
      </c>
      <c r="P65" s="86">
        <f t="array" ref="P65">iferror(XLOOKUP(C65,'Download of SFDC Activation Rep'!B:B,'Download of SFDC Activation Rep'!Z:Z),"")</f>
        <v>45896</v>
      </c>
      <c r="Q65" s="86">
        <f t="shared" si="2"/>
        <v>45870</v>
      </c>
      <c r="R65" s="13" t="str">
        <f t="shared" si="3"/>
        <v>Yes</v>
      </c>
      <c r="S65" s="86">
        <f t="array" ref="S65">iferror(XLOOKUP(C65,'Download of SFDC Activation Rep'!B:B,'Download of SFDC Activation Rep'!Y:Y),"")</f>
        <v>46009</v>
      </c>
    </row>
    <row r="66">
      <c r="A66" s="17" t="s">
        <v>19</v>
      </c>
      <c r="B66" s="85">
        <v>46113.0</v>
      </c>
      <c r="C66" s="17">
        <v>4374819.0</v>
      </c>
      <c r="D66" s="85">
        <v>46054.0</v>
      </c>
      <c r="E66" s="17">
        <v>5.0</v>
      </c>
      <c r="F66" s="17">
        <v>5.0</v>
      </c>
      <c r="G66" s="17">
        <v>58714.56</v>
      </c>
      <c r="H66" s="17"/>
      <c r="I66" s="17">
        <v>10.0</v>
      </c>
      <c r="J66" s="17"/>
      <c r="K66" s="17">
        <v>2.578</v>
      </c>
      <c r="L66" s="17">
        <v>-9.73756591872799</v>
      </c>
      <c r="M66" s="17">
        <v>12.3155659187279</v>
      </c>
      <c r="N66" s="17">
        <v>64.0</v>
      </c>
      <c r="O66" s="14">
        <f t="shared" si="1"/>
        <v>66.578</v>
      </c>
      <c r="P66" s="86">
        <f t="array" ref="P66">iferror(XLOOKUP(C66,'Download of SFDC Activation Rep'!B:B,'Download of SFDC Activation Rep'!Z:Z),"")</f>
        <v>46197</v>
      </c>
      <c r="Q66" s="86">
        <f t="shared" si="2"/>
        <v>46174</v>
      </c>
      <c r="R66" s="13" t="str">
        <f t="shared" si="3"/>
        <v>No</v>
      </c>
      <c r="S66" s="86">
        <f t="array" ref="S66">iferror(XLOOKUP(C66,'Download of SFDC Activation Rep'!B:B,'Download of SFDC Activation Rep'!Y:Y),"")</f>
        <v>46361</v>
      </c>
    </row>
    <row r="67">
      <c r="A67" s="17" t="s">
        <v>488</v>
      </c>
      <c r="B67" s="85">
        <v>46023.0</v>
      </c>
      <c r="C67" s="17">
        <v>4136952.0</v>
      </c>
      <c r="D67" s="85">
        <v>45931.0</v>
      </c>
      <c r="E67" s="17">
        <v>6.0</v>
      </c>
      <c r="F67" s="17">
        <v>6.0</v>
      </c>
      <c r="G67" s="17">
        <v>7020.01</v>
      </c>
      <c r="H67" s="17"/>
      <c r="I67" s="17">
        <v>0.0</v>
      </c>
      <c r="J67" s="17"/>
      <c r="K67" s="17">
        <v>-0.9177</v>
      </c>
      <c r="L67" s="17">
        <v>-2.41046551819957</v>
      </c>
      <c r="M67" s="17">
        <v>1.49276551819957</v>
      </c>
      <c r="N67" s="17">
        <v>35.0</v>
      </c>
      <c r="O67" s="14">
        <f t="shared" si="1"/>
        <v>34.0823</v>
      </c>
      <c r="P67" s="86">
        <f t="array" ref="P67">iferror(XLOOKUP(C67,'Download of SFDC Activation Rep'!B:B,'Download of SFDC Activation Rep'!Z:Z),"")</f>
        <v>45930</v>
      </c>
      <c r="Q67" s="86">
        <f t="shared" si="2"/>
        <v>45901</v>
      </c>
      <c r="R67" s="13" t="str">
        <f t="shared" si="3"/>
        <v>Yes</v>
      </c>
      <c r="S67" s="86">
        <f t="array" ref="S67">iferror(XLOOKUP(C67,'Download of SFDC Activation Rep'!B:B,'Download of SFDC Activation Rep'!Y:Y),"")</f>
        <v>45938</v>
      </c>
    </row>
    <row r="68">
      <c r="A68" s="17" t="s">
        <v>17</v>
      </c>
      <c r="B68" s="85">
        <v>45931.0</v>
      </c>
      <c r="C68" s="17">
        <v>4011819.0</v>
      </c>
      <c r="D68" s="85">
        <v>45839.0</v>
      </c>
      <c r="E68" s="17">
        <v>6.0</v>
      </c>
      <c r="F68" s="17">
        <v>0.0</v>
      </c>
      <c r="G68" s="17">
        <v>18936.64</v>
      </c>
      <c r="H68" s="17">
        <v>18936.64</v>
      </c>
      <c r="I68" s="17">
        <v>549.16</v>
      </c>
      <c r="J68" s="17"/>
      <c r="K68" s="17">
        <v>86.2726</v>
      </c>
      <c r="L68" s="17">
        <v>76.2276057042658</v>
      </c>
      <c r="M68" s="17">
        <v>10.0449942957341</v>
      </c>
      <c r="N68" s="17">
        <v>25.0</v>
      </c>
      <c r="O68" s="14">
        <f t="shared" si="1"/>
        <v>111.2726</v>
      </c>
      <c r="P68" s="86">
        <f t="array" ref="P68">iferror(XLOOKUP(C68,'Download of SFDC Activation Rep'!B:B,'Download of SFDC Activation Rep'!Z:Z),"")</f>
        <v>45849</v>
      </c>
      <c r="Q68" s="86">
        <f t="shared" si="2"/>
        <v>45839</v>
      </c>
      <c r="R68" s="13" t="str">
        <f t="shared" si="3"/>
        <v>Yes</v>
      </c>
      <c r="S68" s="86">
        <f t="array" ref="S68">iferror(XLOOKUP(C68,'Download of SFDC Activation Rep'!B:B,'Download of SFDC Activation Rep'!Y:Y),"")</f>
        <v>45849</v>
      </c>
    </row>
    <row r="69">
      <c r="A69" s="17" t="s">
        <v>488</v>
      </c>
      <c r="B69" s="85">
        <v>46113.0</v>
      </c>
      <c r="C69" s="17">
        <v>4031755.0</v>
      </c>
      <c r="D69" s="85">
        <v>45901.0</v>
      </c>
      <c r="E69" s="17">
        <v>17.0</v>
      </c>
      <c r="F69" s="17">
        <v>17.0</v>
      </c>
      <c r="G69" s="17">
        <v>971149.21</v>
      </c>
      <c r="H69" s="17"/>
      <c r="I69" s="17">
        <v>282.06</v>
      </c>
      <c r="J69" s="17"/>
      <c r="K69" s="17">
        <v>274.4848</v>
      </c>
      <c r="L69" s="17">
        <v>106.288581624502</v>
      </c>
      <c r="M69" s="17">
        <v>168.196218375497</v>
      </c>
      <c r="N69" s="17">
        <v>5.25</v>
      </c>
      <c r="O69" s="14">
        <f t="shared" si="1"/>
        <v>279.7348</v>
      </c>
      <c r="P69" s="86">
        <f t="array" ref="P69">iferror(XLOOKUP(C69,'Download of SFDC Activation Rep'!B:B,'Download of SFDC Activation Rep'!Z:Z),"")</f>
        <v>45856</v>
      </c>
      <c r="Q69" s="86">
        <f t="shared" si="2"/>
        <v>45839</v>
      </c>
      <c r="R69" s="13" t="str">
        <f t="shared" si="3"/>
        <v>Yes</v>
      </c>
      <c r="S69" s="86">
        <f t="array" ref="S69">iferror(XLOOKUP(C69,'Download of SFDC Activation Rep'!B:B,'Download of SFDC Activation Rep'!Y:Y),"")</f>
        <v>45901</v>
      </c>
    </row>
    <row r="70">
      <c r="A70" s="17" t="s">
        <v>19</v>
      </c>
      <c r="B70" s="85">
        <v>46174.0</v>
      </c>
      <c r="C70" s="17">
        <v>4359669.0</v>
      </c>
      <c r="D70" s="85">
        <v>46054.0</v>
      </c>
      <c r="E70" s="17">
        <v>79.0</v>
      </c>
      <c r="F70" s="17">
        <v>79.0</v>
      </c>
      <c r="G70" s="17">
        <v>230487.0</v>
      </c>
      <c r="H70" s="17"/>
      <c r="I70" s="17">
        <v>2210.47</v>
      </c>
      <c r="J70" s="17"/>
      <c r="K70" s="17">
        <v>2189.4562</v>
      </c>
      <c r="L70" s="17">
        <v>1615.96965414383</v>
      </c>
      <c r="M70" s="17">
        <v>573.48654585616</v>
      </c>
      <c r="N70" s="17">
        <v>64.0</v>
      </c>
      <c r="O70" s="14">
        <f t="shared" si="1"/>
        <v>2253.4562</v>
      </c>
      <c r="P70" s="86">
        <f t="array" ref="P70">iferror(XLOOKUP(C70,'Download of SFDC Activation Rep'!B:B,'Download of SFDC Activation Rep'!Z:Z),"")</f>
        <v>46028</v>
      </c>
      <c r="Q70" s="86">
        <f t="shared" si="2"/>
        <v>46023</v>
      </c>
      <c r="R70" s="13" t="str">
        <f t="shared" si="3"/>
        <v>Yes</v>
      </c>
      <c r="S70" s="86">
        <f t="array" ref="S70">iferror(XLOOKUP(C70,'Download of SFDC Activation Rep'!B:B,'Download of SFDC Activation Rep'!Y:Y),"")</f>
        <v>46079</v>
      </c>
    </row>
    <row r="71">
      <c r="A71" s="17" t="s">
        <v>488</v>
      </c>
      <c r="B71" s="85">
        <v>46082.0</v>
      </c>
      <c r="C71" s="17">
        <v>4428477.0</v>
      </c>
      <c r="D71" s="85">
        <v>46082.0</v>
      </c>
      <c r="E71" s="17">
        <v>39.0</v>
      </c>
      <c r="F71" s="17">
        <v>39.0</v>
      </c>
      <c r="G71" s="17">
        <v>90151.82</v>
      </c>
      <c r="H71" s="17"/>
      <c r="I71" s="17">
        <v>2.0</v>
      </c>
      <c r="J71" s="17">
        <v>2.0</v>
      </c>
      <c r="K71" s="17">
        <v>-3.203</v>
      </c>
      <c r="L71" s="17">
        <v>-17.3281043549659</v>
      </c>
      <c r="M71" s="17">
        <v>14.1251043549659</v>
      </c>
      <c r="N71" s="17">
        <v>25.0</v>
      </c>
      <c r="O71" s="14">
        <f t="shared" si="1"/>
        <v>21.797</v>
      </c>
      <c r="P71" s="86">
        <f t="array" ref="P71">iferror(XLOOKUP(C71,'Download of SFDC Activation Rep'!B:B,'Download of SFDC Activation Rep'!Z:Z),"")</f>
        <v>45987</v>
      </c>
      <c r="Q71" s="86">
        <f t="shared" si="2"/>
        <v>45962</v>
      </c>
      <c r="R71" s="13" t="str">
        <f t="shared" si="3"/>
        <v>Yes</v>
      </c>
      <c r="S71" s="86">
        <f t="array" ref="S71">iferror(XLOOKUP(C71,'Download of SFDC Activation Rep'!B:B,'Download of SFDC Activation Rep'!Y:Y),"")</f>
        <v>46114</v>
      </c>
    </row>
    <row r="72">
      <c r="A72" s="17" t="s">
        <v>488</v>
      </c>
      <c r="B72" s="85">
        <v>46174.0</v>
      </c>
      <c r="C72" s="17">
        <v>3906405.0</v>
      </c>
      <c r="D72" s="85">
        <v>45778.0</v>
      </c>
      <c r="E72" s="17">
        <v>21.0</v>
      </c>
      <c r="F72" s="17">
        <v>21.0</v>
      </c>
      <c r="G72" s="17">
        <v>21432.9</v>
      </c>
      <c r="H72" s="17"/>
      <c r="I72" s="17">
        <v>4.18</v>
      </c>
      <c r="J72" s="17">
        <v>0.5</v>
      </c>
      <c r="K72" s="17">
        <v>0.0649999999999997</v>
      </c>
      <c r="L72" s="17">
        <v>-3.61278179076999</v>
      </c>
      <c r="M72" s="17">
        <v>3.67778179076999</v>
      </c>
      <c r="N72" s="17">
        <v>29.75</v>
      </c>
      <c r="O72" s="14">
        <f t="shared" si="1"/>
        <v>29.815</v>
      </c>
      <c r="P72" s="86">
        <f t="array" ref="P72">iferror(XLOOKUP(C72,'Download of SFDC Activation Rep'!B:B,'Download of SFDC Activation Rep'!Z:Z),"")</f>
        <v>45798</v>
      </c>
      <c r="Q72" s="86">
        <f t="shared" si="2"/>
        <v>45778</v>
      </c>
      <c r="R72" s="13" t="str">
        <f t="shared" si="3"/>
        <v>Yes</v>
      </c>
      <c r="S72" s="86">
        <f t="array" ref="S72">iferror(XLOOKUP(C72,'Download of SFDC Activation Rep'!B:B,'Download of SFDC Activation Rep'!Y:Y),"")</f>
        <v>45807</v>
      </c>
    </row>
    <row r="73">
      <c r="A73" s="17" t="s">
        <v>19</v>
      </c>
      <c r="B73" s="85">
        <v>45839.0</v>
      </c>
      <c r="C73" s="17">
        <v>4018525.0</v>
      </c>
      <c r="D73" s="85">
        <v>45839.0</v>
      </c>
      <c r="E73" s="17">
        <v>14.0</v>
      </c>
      <c r="F73" s="17">
        <v>14.0</v>
      </c>
      <c r="G73" s="17">
        <v>157106.27</v>
      </c>
      <c r="H73" s="17"/>
      <c r="I73" s="17">
        <v>9.969429</v>
      </c>
      <c r="J73" s="17"/>
      <c r="K73" s="17">
        <v>3.83939999999999</v>
      </c>
      <c r="L73" s="17">
        <v>-19.810961990035</v>
      </c>
      <c r="M73" s="17">
        <v>23.650361990035</v>
      </c>
      <c r="N73" s="17">
        <v>6.39999999999999</v>
      </c>
      <c r="O73" s="14">
        <f t="shared" si="1"/>
        <v>10.2394</v>
      </c>
      <c r="P73" s="86">
        <f t="array" ref="P73">iferror(XLOOKUP(C73,'Download of SFDC Activation Rep'!B:B,'Download of SFDC Activation Rep'!Z:Z),"")</f>
        <v>45818</v>
      </c>
      <c r="Q73" s="86">
        <f t="shared" si="2"/>
        <v>45809</v>
      </c>
      <c r="R73" s="13" t="str">
        <f t="shared" si="3"/>
        <v>Yes</v>
      </c>
      <c r="S73" s="86">
        <f t="array" ref="S73">iferror(XLOOKUP(C73,'Download of SFDC Activation Rep'!B:B,'Download of SFDC Activation Rep'!Y:Y),"")</f>
        <v>45859</v>
      </c>
    </row>
    <row r="74">
      <c r="A74" s="17" t="s">
        <v>489</v>
      </c>
      <c r="B74" s="85">
        <v>46054.0</v>
      </c>
      <c r="C74" s="17">
        <v>4248506.0</v>
      </c>
      <c r="D74" s="85">
        <v>45962.0</v>
      </c>
      <c r="E74" s="17">
        <v>21.0</v>
      </c>
      <c r="F74" s="17">
        <v>21.0</v>
      </c>
      <c r="G74" s="17">
        <v>146487.31</v>
      </c>
      <c r="H74" s="17"/>
      <c r="I74" s="17">
        <v>60.559476</v>
      </c>
      <c r="J74" s="17"/>
      <c r="K74" s="17">
        <v>57.2793</v>
      </c>
      <c r="L74" s="17">
        <v>34.3274778356969</v>
      </c>
      <c r="M74" s="17">
        <v>22.951822164303</v>
      </c>
      <c r="N74" s="17">
        <v>44.0</v>
      </c>
      <c r="O74" s="14">
        <f t="shared" si="1"/>
        <v>101.2793</v>
      </c>
      <c r="P74" s="86">
        <f t="array" ref="P74">iferror(XLOOKUP(C74,'Download of SFDC Activation Rep'!B:B,'Download of SFDC Activation Rep'!Z:Z),"")</f>
        <v>45974</v>
      </c>
      <c r="Q74" s="86">
        <f t="shared" si="2"/>
        <v>45962</v>
      </c>
      <c r="R74" s="13" t="str">
        <f t="shared" si="3"/>
        <v>Yes</v>
      </c>
      <c r="S74" s="86">
        <f t="array" ref="S74">iferror(XLOOKUP(C74,'Download of SFDC Activation Rep'!B:B,'Download of SFDC Activation Rep'!Y:Y),"")</f>
        <v>45987</v>
      </c>
    </row>
    <row r="75">
      <c r="A75" s="17" t="s">
        <v>19</v>
      </c>
      <c r="B75" s="85">
        <v>46113.0</v>
      </c>
      <c r="C75" s="17">
        <v>4018525.0</v>
      </c>
      <c r="D75" s="85">
        <v>45839.0</v>
      </c>
      <c r="E75" s="17">
        <v>95.0</v>
      </c>
      <c r="F75" s="17">
        <v>95.0</v>
      </c>
      <c r="G75" s="17">
        <v>441675.47</v>
      </c>
      <c r="H75" s="17"/>
      <c r="I75" s="17">
        <v>378.71857</v>
      </c>
      <c r="J75" s="17"/>
      <c r="K75" s="17">
        <v>333.0046</v>
      </c>
      <c r="L75" s="17">
        <v>264.886504413404</v>
      </c>
      <c r="M75" s="17">
        <v>68.118095586595</v>
      </c>
      <c r="N75" s="17">
        <v>6.39999999999999</v>
      </c>
      <c r="O75" s="14">
        <f t="shared" si="1"/>
        <v>339.4046</v>
      </c>
      <c r="P75" s="86">
        <f t="array" ref="P75">iferror(XLOOKUP(C75,'Download of SFDC Activation Rep'!B:B,'Download of SFDC Activation Rep'!Z:Z),"")</f>
        <v>45818</v>
      </c>
      <c r="Q75" s="86">
        <f t="shared" si="2"/>
        <v>45809</v>
      </c>
      <c r="R75" s="13" t="str">
        <f t="shared" si="3"/>
        <v>Yes</v>
      </c>
      <c r="S75" s="86">
        <f t="array" ref="S75">iferror(XLOOKUP(C75,'Download of SFDC Activation Rep'!B:B,'Download of SFDC Activation Rep'!Y:Y),"")</f>
        <v>45859</v>
      </c>
    </row>
    <row r="76">
      <c r="A76" s="17" t="s">
        <v>19</v>
      </c>
      <c r="B76" s="85">
        <v>46082.0</v>
      </c>
      <c r="C76" s="17">
        <v>4208610.0</v>
      </c>
      <c r="D76" s="85">
        <v>45962.0</v>
      </c>
      <c r="E76" s="17">
        <v>53.0</v>
      </c>
      <c r="F76" s="17">
        <v>53.0</v>
      </c>
      <c r="G76" s="17">
        <v>17481.0</v>
      </c>
      <c r="H76" s="17"/>
      <c r="I76" s="17">
        <v>56.05</v>
      </c>
      <c r="J76" s="17"/>
      <c r="K76" s="17">
        <v>36.6349</v>
      </c>
      <c r="L76" s="17">
        <v>30.9572763727</v>
      </c>
      <c r="M76" s="17">
        <v>5.6776236273</v>
      </c>
      <c r="N76" s="17">
        <v>64.0</v>
      </c>
      <c r="O76" s="14">
        <f t="shared" si="1"/>
        <v>100.6349</v>
      </c>
      <c r="P76" s="86">
        <f t="array" ref="P76">iferror(XLOOKUP(C76,'Download of SFDC Activation Rep'!B:B,'Download of SFDC Activation Rep'!Z:Z),"")</f>
        <v>45947</v>
      </c>
      <c r="Q76" s="86">
        <f t="shared" si="2"/>
        <v>45931</v>
      </c>
      <c r="R76" s="13" t="str">
        <f t="shared" si="3"/>
        <v>Yes</v>
      </c>
      <c r="S76" s="86">
        <f t="array" ref="S76">iferror(XLOOKUP(C76,'Download of SFDC Activation Rep'!B:B,'Download of SFDC Activation Rep'!Y:Y),"")</f>
        <v>45987</v>
      </c>
    </row>
    <row r="77">
      <c r="A77" s="17" t="s">
        <v>17</v>
      </c>
      <c r="B77" s="85">
        <v>45809.0</v>
      </c>
      <c r="C77" s="17">
        <v>3970546.0</v>
      </c>
      <c r="D77" s="85">
        <v>45809.0</v>
      </c>
      <c r="E77" s="17">
        <v>3.0</v>
      </c>
      <c r="F77" s="17">
        <v>0.0</v>
      </c>
      <c r="G77" s="17">
        <v>3250.67</v>
      </c>
      <c r="H77" s="17">
        <v>3250.67</v>
      </c>
      <c r="I77" s="17">
        <v>94.27</v>
      </c>
      <c r="J77" s="17"/>
      <c r="K77" s="17">
        <v>6.4137</v>
      </c>
      <c r="L77" s="17">
        <v>4.69632289617829</v>
      </c>
      <c r="M77" s="17">
        <v>1.7173771038217</v>
      </c>
      <c r="N77" s="17">
        <v>7.99999999999999</v>
      </c>
      <c r="O77" s="14">
        <f t="shared" si="1"/>
        <v>14.4137</v>
      </c>
      <c r="P77" s="86">
        <f t="array" ref="P77">iferror(XLOOKUP(C77,'Download of SFDC Activation Rep'!B:B,'Download of SFDC Activation Rep'!Z:Z),"")</f>
        <v>45825</v>
      </c>
      <c r="Q77" s="86">
        <f t="shared" si="2"/>
        <v>45809</v>
      </c>
      <c r="R77" s="13" t="str">
        <f t="shared" si="3"/>
        <v>Yes</v>
      </c>
      <c r="S77" s="86">
        <f t="array" ref="S77">iferror(XLOOKUP(C77,'Download of SFDC Activation Rep'!B:B,'Download of SFDC Activation Rep'!Y:Y),"")</f>
        <v>45838</v>
      </c>
    </row>
    <row r="78">
      <c r="A78" s="17" t="s">
        <v>19</v>
      </c>
      <c r="B78" s="85">
        <v>45992.0</v>
      </c>
      <c r="C78" s="17">
        <v>4112463.0</v>
      </c>
      <c r="D78" s="85">
        <v>45931.0</v>
      </c>
      <c r="E78" s="17">
        <v>36.0</v>
      </c>
      <c r="F78" s="17">
        <v>36.0</v>
      </c>
      <c r="G78" s="17">
        <v>50931.46</v>
      </c>
      <c r="H78" s="17"/>
      <c r="I78" s="17">
        <v>11.544655</v>
      </c>
      <c r="J78" s="17"/>
      <c r="K78" s="17">
        <v>1.866</v>
      </c>
      <c r="L78" s="17">
        <v>-6.07859535238347</v>
      </c>
      <c r="M78" s="17">
        <v>7.94459535238347</v>
      </c>
      <c r="N78" s="17">
        <v>64.0</v>
      </c>
      <c r="O78" s="14">
        <f t="shared" si="1"/>
        <v>65.866</v>
      </c>
      <c r="P78" s="86">
        <f t="array" ref="P78">iferror(XLOOKUP(C78,'Download of SFDC Activation Rep'!B:B,'Download of SFDC Activation Rep'!Z:Z),"")</f>
        <v>45911</v>
      </c>
      <c r="Q78" s="86">
        <f t="shared" si="2"/>
        <v>45901</v>
      </c>
      <c r="R78" s="13" t="str">
        <f t="shared" si="3"/>
        <v>Yes</v>
      </c>
      <c r="S78" s="86">
        <f t="array" ref="S78">iferror(XLOOKUP(C78,'Download of SFDC Activation Rep'!B:B,'Download of SFDC Activation Rep'!Y:Y),"")</f>
        <v>45945</v>
      </c>
    </row>
    <row r="79">
      <c r="A79" s="17" t="s">
        <v>488</v>
      </c>
      <c r="B79" s="85">
        <v>46082.0</v>
      </c>
      <c r="C79" s="17">
        <v>4096547.0</v>
      </c>
      <c r="D79" s="85">
        <v>46023.0</v>
      </c>
      <c r="E79" s="17">
        <v>2.0</v>
      </c>
      <c r="F79" s="17">
        <v>1.0</v>
      </c>
      <c r="G79" s="17">
        <v>1236.0</v>
      </c>
      <c r="H79" s="17"/>
      <c r="I79" s="17">
        <v>9.74</v>
      </c>
      <c r="J79" s="17"/>
      <c r="K79" s="17">
        <v>-0.9174</v>
      </c>
      <c r="L79" s="17">
        <v>-0.92976</v>
      </c>
      <c r="M79" s="17">
        <v>0.01236</v>
      </c>
      <c r="N79" s="17">
        <v>25.0</v>
      </c>
      <c r="O79" s="14">
        <f t="shared" si="1"/>
        <v>24.0826</v>
      </c>
      <c r="P79" s="86">
        <f t="array" ref="P79">iferror(XLOOKUP(C79,'Download of SFDC Activation Rep'!B:B,'Download of SFDC Activation Rep'!Z:Z),"")</f>
        <v>45924</v>
      </c>
      <c r="Q79" s="86">
        <f t="shared" si="2"/>
        <v>45901</v>
      </c>
      <c r="R79" s="13" t="str">
        <f t="shared" si="3"/>
        <v>Yes</v>
      </c>
      <c r="S79" s="86">
        <f t="array" ref="S79">iferror(XLOOKUP(C79,'Download of SFDC Activation Rep'!B:B,'Download of SFDC Activation Rep'!Y:Y),"")</f>
        <v>46030</v>
      </c>
    </row>
    <row r="80">
      <c r="A80" s="17" t="s">
        <v>488</v>
      </c>
      <c r="B80" s="85">
        <v>45901.0</v>
      </c>
      <c r="C80" s="17">
        <v>3952865.0</v>
      </c>
      <c r="D80" s="85">
        <v>45809.0</v>
      </c>
      <c r="E80" s="17">
        <v>8.0</v>
      </c>
      <c r="F80" s="17">
        <v>8.0</v>
      </c>
      <c r="G80" s="17">
        <v>40939.46</v>
      </c>
      <c r="H80" s="17"/>
      <c r="I80" s="17">
        <v>0.0</v>
      </c>
      <c r="J80" s="17"/>
      <c r="K80" s="17">
        <v>-1.15</v>
      </c>
      <c r="L80" s="17">
        <v>-7.56444973415867</v>
      </c>
      <c r="M80" s="17">
        <v>6.41444973415867</v>
      </c>
      <c r="N80" s="17">
        <v>35.0</v>
      </c>
      <c r="O80" s="14">
        <f t="shared" si="1"/>
        <v>33.85</v>
      </c>
      <c r="P80" s="86">
        <f t="array" ref="P80">iferror(XLOOKUP(C80,'Download of SFDC Activation Rep'!B:B,'Download of SFDC Activation Rep'!Z:Z),"")</f>
        <v>45799</v>
      </c>
      <c r="Q80" s="86">
        <f t="shared" si="2"/>
        <v>45778</v>
      </c>
      <c r="R80" s="13" t="str">
        <f t="shared" si="3"/>
        <v>Yes</v>
      </c>
      <c r="S80" s="86">
        <f t="array" ref="S80">iferror(XLOOKUP(C80,'Download of SFDC Activation Rep'!B:B,'Download of SFDC Activation Rep'!Y:Y),"")</f>
        <v>45818</v>
      </c>
    </row>
    <row r="81">
      <c r="A81" s="17" t="s">
        <v>488</v>
      </c>
      <c r="B81" s="85">
        <v>46113.0</v>
      </c>
      <c r="C81" s="17">
        <v>4096547.0</v>
      </c>
      <c r="D81" s="85">
        <v>46023.0</v>
      </c>
      <c r="E81" s="17">
        <v>1.0</v>
      </c>
      <c r="F81" s="17">
        <v>0.0</v>
      </c>
      <c r="G81" s="17">
        <v>336.0</v>
      </c>
      <c r="H81" s="17"/>
      <c r="I81" s="17">
        <v>9.74</v>
      </c>
      <c r="J81" s="17"/>
      <c r="K81" s="17">
        <v>-0.5455</v>
      </c>
      <c r="L81" s="17">
        <v>-0.54886</v>
      </c>
      <c r="M81" s="17">
        <v>0.00336000000000002</v>
      </c>
      <c r="N81" s="17">
        <v>25.0</v>
      </c>
      <c r="O81" s="14">
        <f t="shared" si="1"/>
        <v>24.4545</v>
      </c>
      <c r="P81" s="86">
        <f t="array" ref="P81">iferror(XLOOKUP(C81,'Download of SFDC Activation Rep'!B:B,'Download of SFDC Activation Rep'!Z:Z),"")</f>
        <v>45924</v>
      </c>
      <c r="Q81" s="86">
        <f t="shared" si="2"/>
        <v>45901</v>
      </c>
      <c r="R81" s="13" t="str">
        <f t="shared" si="3"/>
        <v>Yes</v>
      </c>
      <c r="S81" s="86">
        <f t="array" ref="S81">iferror(XLOOKUP(C81,'Download of SFDC Activation Rep'!B:B,'Download of SFDC Activation Rep'!Y:Y),"")</f>
        <v>46030</v>
      </c>
    </row>
    <row r="82">
      <c r="A82" s="17" t="s">
        <v>19</v>
      </c>
      <c r="B82" s="85">
        <v>46023.0</v>
      </c>
      <c r="C82" s="17">
        <v>47426.0</v>
      </c>
      <c r="D82" s="85">
        <v>43983.0</v>
      </c>
      <c r="E82" s="17">
        <v>39.0</v>
      </c>
      <c r="F82" s="17">
        <v>39.0</v>
      </c>
      <c r="G82" s="17">
        <v>90468.08</v>
      </c>
      <c r="H82" s="17"/>
      <c r="I82" s="17">
        <v>0.0</v>
      </c>
      <c r="J82" s="17"/>
      <c r="K82" s="17">
        <v>-5.8261</v>
      </c>
      <c r="L82" s="17">
        <v>-25.063626772999</v>
      </c>
      <c r="M82" s="17">
        <v>19.237526772999</v>
      </c>
      <c r="N82" s="17">
        <v>54.4</v>
      </c>
      <c r="O82" s="14">
        <f t="shared" si="1"/>
        <v>48.5739</v>
      </c>
      <c r="P82" s="86">
        <f t="array" ref="P82">iferror(XLOOKUP(C82,'Download of SFDC Activation Rep'!B:B,'Download of SFDC Activation Rep'!Z:Z),"")</f>
        <v>46001</v>
      </c>
      <c r="Q82" s="86">
        <f t="shared" si="2"/>
        <v>45992</v>
      </c>
      <c r="R82" s="13" t="str">
        <f t="shared" si="3"/>
        <v>Yes</v>
      </c>
      <c r="S82" s="86">
        <f t="array" ref="S82">iferror(XLOOKUP(C82,'Download of SFDC Activation Rep'!B:B,'Download of SFDC Activation Rep'!Y:Y),"")</f>
        <v>46028</v>
      </c>
    </row>
    <row r="83">
      <c r="A83" s="17" t="s">
        <v>19</v>
      </c>
      <c r="B83" s="85">
        <v>46174.0</v>
      </c>
      <c r="C83" s="17">
        <v>4270780.0</v>
      </c>
      <c r="D83" s="85">
        <v>45992.0</v>
      </c>
      <c r="E83" s="17">
        <v>31.0</v>
      </c>
      <c r="F83" s="17">
        <v>31.0</v>
      </c>
      <c r="G83" s="17">
        <v>501702.91</v>
      </c>
      <c r="H83" s="17"/>
      <c r="I83" s="17">
        <v>10.5</v>
      </c>
      <c r="J83" s="17"/>
      <c r="K83" s="17">
        <v>0.393799999999999</v>
      </c>
      <c r="L83" s="17">
        <v>-77.7870109025829</v>
      </c>
      <c r="M83" s="17">
        <v>78.1808109025829</v>
      </c>
      <c r="N83" s="17">
        <v>64.0</v>
      </c>
      <c r="O83" s="14">
        <f t="shared" si="1"/>
        <v>64.3938</v>
      </c>
      <c r="P83" s="86">
        <f t="array" ref="P83">iferror(XLOOKUP(C83,'Download of SFDC Activation Rep'!B:B,'Download of SFDC Activation Rep'!Z:Z),"")</f>
        <v>45961</v>
      </c>
      <c r="Q83" s="86">
        <f t="shared" si="2"/>
        <v>45931</v>
      </c>
      <c r="R83" s="13" t="str">
        <f t="shared" si="3"/>
        <v>Yes</v>
      </c>
      <c r="S83" s="86">
        <f t="array" ref="S83">iferror(XLOOKUP(C83,'Download of SFDC Activation Rep'!B:B,'Download of SFDC Activation Rep'!Y:Y),"")</f>
        <v>46013</v>
      </c>
    </row>
    <row r="84">
      <c r="A84" s="17" t="s">
        <v>19</v>
      </c>
      <c r="B84" s="85">
        <v>46174.0</v>
      </c>
      <c r="C84" s="17">
        <v>4440958.0</v>
      </c>
      <c r="D84" s="85">
        <v>46054.0</v>
      </c>
      <c r="E84" s="17">
        <v>6.0</v>
      </c>
      <c r="F84" s="17">
        <v>0.0</v>
      </c>
      <c r="G84" s="17">
        <v>819280.0</v>
      </c>
      <c r="H84" s="17">
        <v>70000.0</v>
      </c>
      <c r="I84" s="17">
        <v>23819.12</v>
      </c>
      <c r="J84" s="17"/>
      <c r="K84" s="17">
        <v>2955.8707</v>
      </c>
      <c r="L84" s="17">
        <v>2213.682654016</v>
      </c>
      <c r="M84" s="17">
        <v>742.188045984</v>
      </c>
      <c r="N84" s="17">
        <v>64.0</v>
      </c>
      <c r="O84" s="14">
        <f t="shared" si="1"/>
        <v>3019.8707</v>
      </c>
      <c r="P84" s="86">
        <f t="array" ref="P84">iferror(XLOOKUP(C84,'Download of SFDC Activation Rep'!B:B,'Download of SFDC Activation Rep'!Z:Z),"")</f>
        <v>46197</v>
      </c>
      <c r="Q84" s="86">
        <f t="shared" si="2"/>
        <v>46174</v>
      </c>
      <c r="R84" s="13" t="str">
        <f t="shared" si="3"/>
        <v>Yes</v>
      </c>
      <c r="S84" s="86">
        <f t="array" ref="S84">iferror(XLOOKUP(C84,'Download of SFDC Activation Rep'!B:B,'Download of SFDC Activation Rep'!Y:Y),"")</f>
        <v>46361</v>
      </c>
    </row>
    <row r="85">
      <c r="A85" s="17" t="s">
        <v>488</v>
      </c>
      <c r="B85" s="85">
        <v>45931.0</v>
      </c>
      <c r="C85" s="17">
        <v>2340816.0</v>
      </c>
      <c r="D85" s="85">
        <v>45931.0</v>
      </c>
      <c r="E85" s="17">
        <v>26.0</v>
      </c>
      <c r="F85" s="17">
        <v>26.0</v>
      </c>
      <c r="G85" s="17">
        <v>3129.96</v>
      </c>
      <c r="H85" s="17"/>
      <c r="I85" s="17">
        <v>11.0</v>
      </c>
      <c r="J85" s="17">
        <v>0.5</v>
      </c>
      <c r="K85" s="17">
        <v>3.13</v>
      </c>
      <c r="L85" s="17">
        <v>2.64897865145687</v>
      </c>
      <c r="M85" s="17">
        <v>0.481021348543124</v>
      </c>
      <c r="N85" s="17">
        <v>0.0</v>
      </c>
      <c r="O85" s="14">
        <f t="shared" si="1"/>
        <v>3.13</v>
      </c>
      <c r="P85" s="86">
        <f t="array" ref="P85">iferror(XLOOKUP(C85,'Download of SFDC Activation Rep'!B:B,'Download of SFDC Activation Rep'!Z:Z),"")</f>
        <v>45929</v>
      </c>
      <c r="Q85" s="86">
        <f t="shared" si="2"/>
        <v>45901</v>
      </c>
      <c r="R85" s="13" t="str">
        <f t="shared" si="3"/>
        <v>Yes</v>
      </c>
      <c r="S85" s="86">
        <f t="array" ref="S85">iferror(XLOOKUP(C85,'Download of SFDC Activation Rep'!B:B,'Download of SFDC Activation Rep'!Y:Y),"")</f>
        <v>45936</v>
      </c>
    </row>
    <row r="86">
      <c r="A86" s="17" t="s">
        <v>17</v>
      </c>
      <c r="B86" s="85">
        <v>46143.0</v>
      </c>
      <c r="C86" s="17">
        <v>4520048.0</v>
      </c>
      <c r="D86" s="85">
        <v>46113.0</v>
      </c>
      <c r="E86" s="17">
        <v>1.0</v>
      </c>
      <c r="F86" s="17">
        <v>1.0</v>
      </c>
      <c r="G86" s="17">
        <v>10.0</v>
      </c>
      <c r="H86" s="17"/>
      <c r="I86" s="17">
        <v>0.0</v>
      </c>
      <c r="J86" s="17"/>
      <c r="K86" s="17">
        <v>-0.1521</v>
      </c>
      <c r="L86" s="17">
        <v>-0.153666813</v>
      </c>
      <c r="M86" s="17">
        <v>0.001566813</v>
      </c>
      <c r="N86" s="17">
        <v>68.0</v>
      </c>
      <c r="O86" s="14">
        <f t="shared" si="1"/>
        <v>67.8479</v>
      </c>
      <c r="P86" s="86">
        <f t="array" ref="P86">iferror(XLOOKUP(C86,'Download of SFDC Activation Rep'!B:B,'Download of SFDC Activation Rep'!Z:Z),"")</f>
        <v>46104</v>
      </c>
      <c r="Q86" s="86">
        <f t="shared" si="2"/>
        <v>46082</v>
      </c>
      <c r="R86" s="13" t="str">
        <f t="shared" si="3"/>
        <v>Yes</v>
      </c>
      <c r="S86" s="86">
        <f t="array" ref="S86">iferror(XLOOKUP(C86,'Download of SFDC Activation Rep'!B:B,'Download of SFDC Activation Rep'!Y:Y),"")</f>
        <v>46258</v>
      </c>
    </row>
    <row r="87">
      <c r="A87" s="17" t="s">
        <v>19</v>
      </c>
      <c r="B87" s="85">
        <v>46143.0</v>
      </c>
      <c r="C87" s="17">
        <v>4018525.0</v>
      </c>
      <c r="D87" s="85">
        <v>45839.0</v>
      </c>
      <c r="E87" s="17">
        <v>116.0</v>
      </c>
      <c r="F87" s="17">
        <v>116.0</v>
      </c>
      <c r="G87" s="17">
        <v>517743.1</v>
      </c>
      <c r="H87" s="17"/>
      <c r="I87" s="17">
        <v>900.838946</v>
      </c>
      <c r="J87" s="17"/>
      <c r="K87" s="17">
        <v>862.1096</v>
      </c>
      <c r="L87" s="17">
        <v>778.946029809654</v>
      </c>
      <c r="M87" s="17">
        <v>83.1635701903458</v>
      </c>
      <c r="N87" s="17">
        <v>6.39999999999999</v>
      </c>
      <c r="O87" s="14">
        <f t="shared" si="1"/>
        <v>868.5096</v>
      </c>
      <c r="P87" s="86">
        <f t="array" ref="P87">iferror(XLOOKUP(C87,'Download of SFDC Activation Rep'!B:B,'Download of SFDC Activation Rep'!Z:Z),"")</f>
        <v>45818</v>
      </c>
      <c r="Q87" s="86">
        <f t="shared" si="2"/>
        <v>45809</v>
      </c>
      <c r="R87" s="13" t="str">
        <f t="shared" si="3"/>
        <v>Yes</v>
      </c>
      <c r="S87" s="86">
        <f t="array" ref="S87">iferror(XLOOKUP(C87,'Download of SFDC Activation Rep'!B:B,'Download of SFDC Activation Rep'!Y:Y),"")</f>
        <v>45859</v>
      </c>
    </row>
    <row r="88">
      <c r="A88" s="17" t="s">
        <v>19</v>
      </c>
      <c r="B88" s="85">
        <v>46054.0</v>
      </c>
      <c r="C88" s="17">
        <v>3947424.0</v>
      </c>
      <c r="D88" s="85">
        <v>45809.0</v>
      </c>
      <c r="E88" s="17">
        <v>69.0</v>
      </c>
      <c r="F88" s="17">
        <v>69.0</v>
      </c>
      <c r="G88" s="17">
        <v>244830.36</v>
      </c>
      <c r="H88" s="17"/>
      <c r="I88" s="17">
        <v>164.37108</v>
      </c>
      <c r="J88" s="17">
        <v>2.0</v>
      </c>
      <c r="K88" s="17">
        <v>155.4668</v>
      </c>
      <c r="L88" s="17">
        <v>117.106460915731</v>
      </c>
      <c r="M88" s="17">
        <v>38.360339084268</v>
      </c>
      <c r="N88" s="17">
        <v>55.0</v>
      </c>
      <c r="O88" s="14">
        <f t="shared" si="1"/>
        <v>210.4668</v>
      </c>
      <c r="P88" s="86">
        <f t="array" ref="P88">iferror(XLOOKUP(C88,'Download of SFDC Activation Rep'!B:B,'Download of SFDC Activation Rep'!Z:Z),"")</f>
        <v>45805</v>
      </c>
      <c r="Q88" s="86">
        <f t="shared" si="2"/>
        <v>45778</v>
      </c>
      <c r="R88" s="13" t="str">
        <f t="shared" si="3"/>
        <v>Yes</v>
      </c>
      <c r="S88" s="86">
        <f t="array" ref="S88">iferror(XLOOKUP(C88,'Download of SFDC Activation Rep'!B:B,'Download of SFDC Activation Rep'!Y:Y),"")</f>
        <v>45805</v>
      </c>
    </row>
    <row r="89">
      <c r="A89" s="17" t="s">
        <v>19</v>
      </c>
      <c r="B89" s="85">
        <v>46143.0</v>
      </c>
      <c r="C89" s="17">
        <v>3946131.0</v>
      </c>
      <c r="D89" s="85">
        <v>45809.0</v>
      </c>
      <c r="E89" s="17">
        <v>58.0</v>
      </c>
      <c r="F89" s="17">
        <v>58.0</v>
      </c>
      <c r="G89" s="17">
        <v>263085.81</v>
      </c>
      <c r="H89" s="17"/>
      <c r="I89" s="17">
        <v>15.0</v>
      </c>
      <c r="J89" s="17"/>
      <c r="K89" s="17">
        <v>-4.3195</v>
      </c>
      <c r="L89" s="17">
        <v>-45.095890122353</v>
      </c>
      <c r="M89" s="17">
        <v>40.776390122353</v>
      </c>
      <c r="N89" s="17">
        <v>0.0</v>
      </c>
      <c r="O89" s="14">
        <f t="shared" si="1"/>
        <v>-4.3195</v>
      </c>
      <c r="P89" s="86">
        <f t="array" ref="P89">iferror(XLOOKUP(C89,'Download of SFDC Activation Rep'!B:B,'Download of SFDC Activation Rep'!Z:Z),"")</f>
        <v>45805</v>
      </c>
      <c r="Q89" s="86">
        <f t="shared" si="2"/>
        <v>45778</v>
      </c>
      <c r="R89" s="13" t="str">
        <f t="shared" si="3"/>
        <v>Yes</v>
      </c>
      <c r="S89" s="86">
        <f t="array" ref="S89">iferror(XLOOKUP(C89,'Download of SFDC Activation Rep'!B:B,'Download of SFDC Activation Rep'!Y:Y),"")</f>
        <v>45805</v>
      </c>
    </row>
    <row r="90">
      <c r="A90" s="17" t="s">
        <v>19</v>
      </c>
      <c r="B90" s="85">
        <v>46023.0</v>
      </c>
      <c r="C90" s="17">
        <v>4254984.0</v>
      </c>
      <c r="D90" s="85">
        <v>45992.0</v>
      </c>
      <c r="E90" s="17">
        <v>4.0</v>
      </c>
      <c r="F90" s="17">
        <v>4.0</v>
      </c>
      <c r="G90" s="17">
        <v>2502.14</v>
      </c>
      <c r="H90" s="17"/>
      <c r="I90" s="17">
        <v>0.0</v>
      </c>
      <c r="J90" s="17"/>
      <c r="K90" s="17">
        <v>-0.5562</v>
      </c>
      <c r="L90" s="17">
        <v>-1.08826595342569</v>
      </c>
      <c r="M90" s="17">
        <v>0.532065953425692</v>
      </c>
      <c r="N90" s="17">
        <v>24.0</v>
      </c>
      <c r="O90" s="14">
        <f t="shared" si="1"/>
        <v>23.4438</v>
      </c>
      <c r="P90" s="86">
        <f t="array" ref="P90">iferror(XLOOKUP(C90,'Download of SFDC Activation Rep'!B:B,'Download of SFDC Activation Rep'!Z:Z),"")</f>
        <v>45992</v>
      </c>
      <c r="Q90" s="86">
        <f t="shared" si="2"/>
        <v>45992</v>
      </c>
      <c r="R90" s="13" t="str">
        <f t="shared" si="3"/>
        <v>Yes</v>
      </c>
      <c r="S90" s="86">
        <f t="array" ref="S90">iferror(XLOOKUP(C90,'Download of SFDC Activation Rep'!B:B,'Download of SFDC Activation Rep'!Y:Y),"")</f>
        <v>46007</v>
      </c>
    </row>
    <row r="91">
      <c r="A91" s="17" t="s">
        <v>17</v>
      </c>
      <c r="B91" s="85">
        <v>45992.0</v>
      </c>
      <c r="C91" s="17">
        <v>4277306.0</v>
      </c>
      <c r="D91" s="85">
        <v>45992.0</v>
      </c>
      <c r="E91" s="17">
        <v>1.0</v>
      </c>
      <c r="F91" s="17">
        <v>1.0</v>
      </c>
      <c r="G91" s="17">
        <v>14858.91</v>
      </c>
      <c r="H91" s="17"/>
      <c r="I91" s="17">
        <v>0.0</v>
      </c>
      <c r="J91" s="17"/>
      <c r="K91" s="17">
        <v>-0.15</v>
      </c>
      <c r="L91" s="17">
        <v>-2.47811403226587</v>
      </c>
      <c r="M91" s="17">
        <v>2.32811403226587</v>
      </c>
      <c r="N91" s="17">
        <v>0.0</v>
      </c>
      <c r="O91" s="14">
        <f t="shared" si="1"/>
        <v>-0.15</v>
      </c>
      <c r="P91" s="86">
        <f t="array" ref="P91">iferror(XLOOKUP(C91,'Download of SFDC Activation Rep'!B:B,'Download of SFDC Activation Rep'!Z:Z),"")</f>
        <v>46006</v>
      </c>
      <c r="Q91" s="86">
        <f t="shared" si="2"/>
        <v>45992</v>
      </c>
      <c r="R91" s="13" t="str">
        <f t="shared" si="3"/>
        <v>Yes</v>
      </c>
      <c r="S91" s="86">
        <f t="array" ref="S91">iferror(XLOOKUP(C91,'Download of SFDC Activation Rep'!B:B,'Download of SFDC Activation Rep'!Y:Y),"")</f>
        <v>46013</v>
      </c>
    </row>
    <row r="92">
      <c r="A92" s="17" t="s">
        <v>489</v>
      </c>
      <c r="B92" s="85">
        <v>46174.0</v>
      </c>
      <c r="C92" s="17">
        <v>3024156.0</v>
      </c>
      <c r="D92" s="85">
        <v>45901.0</v>
      </c>
      <c r="E92" s="17">
        <v>10.0</v>
      </c>
      <c r="F92" s="17">
        <v>10.0</v>
      </c>
      <c r="G92" s="17">
        <v>37280.08</v>
      </c>
      <c r="H92" s="17"/>
      <c r="I92" s="17">
        <v>7.5</v>
      </c>
      <c r="J92" s="17"/>
      <c r="K92" s="17">
        <v>1.8979</v>
      </c>
      <c r="L92" s="17">
        <v>-3.87065989850399</v>
      </c>
      <c r="M92" s="17">
        <v>5.76855989850399</v>
      </c>
      <c r="N92" s="17">
        <v>6.49999999999999</v>
      </c>
      <c r="O92" s="14">
        <f t="shared" si="1"/>
        <v>8.3979</v>
      </c>
      <c r="P92" s="86">
        <f t="array" ref="P92">iferror(XLOOKUP(C92,'Download of SFDC Activation Rep'!B:B,'Download of SFDC Activation Rep'!Z:Z),"")</f>
        <v>45897</v>
      </c>
      <c r="Q92" s="86">
        <f t="shared" si="2"/>
        <v>45870</v>
      </c>
      <c r="R92" s="13" t="str">
        <f t="shared" si="3"/>
        <v>Yes</v>
      </c>
      <c r="S92" s="86">
        <f t="array" ref="S92">iferror(XLOOKUP(C92,'Download of SFDC Activation Rep'!B:B,'Download of SFDC Activation Rep'!Y:Y),"")</f>
        <v>45916</v>
      </c>
    </row>
    <row r="93">
      <c r="A93" s="17" t="s">
        <v>19</v>
      </c>
      <c r="B93" s="85">
        <v>45962.0</v>
      </c>
      <c r="C93" s="17">
        <v>4031652.0</v>
      </c>
      <c r="D93" s="85">
        <v>45901.0</v>
      </c>
      <c r="E93" s="17">
        <v>139.0</v>
      </c>
      <c r="F93" s="17">
        <v>139.0</v>
      </c>
      <c r="G93" s="17">
        <v>1435467.12</v>
      </c>
      <c r="H93" s="17"/>
      <c r="I93" s="17">
        <v>2352.84665</v>
      </c>
      <c r="J93" s="17"/>
      <c r="K93" s="17">
        <v>2330.9254</v>
      </c>
      <c r="L93" s="17">
        <v>1910.41598064102</v>
      </c>
      <c r="M93" s="17">
        <v>420.509419358978</v>
      </c>
      <c r="N93" s="17">
        <v>80.0</v>
      </c>
      <c r="O93" s="14">
        <f t="shared" si="1"/>
        <v>2410.9254</v>
      </c>
      <c r="P93" s="86">
        <f t="array" ref="P93">iferror(XLOOKUP(C93,'Download of SFDC Activation Rep'!B:B,'Download of SFDC Activation Rep'!Z:Z),"")</f>
        <v>45881</v>
      </c>
      <c r="Q93" s="86">
        <f t="shared" si="2"/>
        <v>45870</v>
      </c>
      <c r="R93" s="13" t="str">
        <f t="shared" si="3"/>
        <v>Yes</v>
      </c>
      <c r="S93" s="86">
        <f t="array" ref="S93">iferror(XLOOKUP(C93,'Download of SFDC Activation Rep'!B:B,'Download of SFDC Activation Rep'!Y:Y),"")</f>
        <v>45889</v>
      </c>
    </row>
    <row r="94">
      <c r="A94" s="17" t="s">
        <v>19</v>
      </c>
      <c r="B94" s="85">
        <v>45931.0</v>
      </c>
      <c r="C94" s="17">
        <v>3946131.0</v>
      </c>
      <c r="D94" s="85">
        <v>45809.0</v>
      </c>
      <c r="E94" s="17">
        <v>110.0</v>
      </c>
      <c r="F94" s="17">
        <v>110.0</v>
      </c>
      <c r="G94" s="17">
        <v>232713.88</v>
      </c>
      <c r="H94" s="17"/>
      <c r="I94" s="17">
        <v>146.27</v>
      </c>
      <c r="J94" s="17">
        <v>0.5</v>
      </c>
      <c r="K94" s="17">
        <v>88.17</v>
      </c>
      <c r="L94" s="17">
        <v>47.9582978451678</v>
      </c>
      <c r="M94" s="17">
        <v>40.2117021548321</v>
      </c>
      <c r="N94" s="17">
        <v>6.39999999999999</v>
      </c>
      <c r="O94" s="14">
        <f t="shared" si="1"/>
        <v>94.57</v>
      </c>
      <c r="P94" s="86">
        <f t="array" ref="P94">iferror(XLOOKUP(C94,'Download of SFDC Activation Rep'!B:B,'Download of SFDC Activation Rep'!Z:Z),"")</f>
        <v>45805</v>
      </c>
      <c r="Q94" s="86">
        <f t="shared" si="2"/>
        <v>45778</v>
      </c>
      <c r="R94" s="13" t="str">
        <f t="shared" si="3"/>
        <v>Yes</v>
      </c>
      <c r="S94" s="86">
        <f t="array" ref="S94">iferror(XLOOKUP(C94,'Download of SFDC Activation Rep'!B:B,'Download of SFDC Activation Rep'!Y:Y),"")</f>
        <v>45805</v>
      </c>
    </row>
    <row r="95">
      <c r="A95" s="17" t="s">
        <v>488</v>
      </c>
      <c r="B95" s="85">
        <v>46143.0</v>
      </c>
      <c r="C95" s="17">
        <v>4428477.0</v>
      </c>
      <c r="D95" s="85">
        <v>46082.0</v>
      </c>
      <c r="E95" s="17">
        <v>8.0</v>
      </c>
      <c r="F95" s="17">
        <v>8.0</v>
      </c>
      <c r="G95" s="17">
        <v>12500.87</v>
      </c>
      <c r="H95" s="17"/>
      <c r="I95" s="17">
        <v>2.5</v>
      </c>
      <c r="J95" s="17">
        <v>2.5</v>
      </c>
      <c r="K95" s="17">
        <v>1.1976</v>
      </c>
      <c r="L95" s="17">
        <v>-0.724382237730999</v>
      </c>
      <c r="M95" s="17">
        <v>1.92198223773099</v>
      </c>
      <c r="N95" s="17">
        <v>25.0</v>
      </c>
      <c r="O95" s="14">
        <f t="shared" si="1"/>
        <v>26.1976</v>
      </c>
      <c r="P95" s="86">
        <f t="array" ref="P95">iferror(XLOOKUP(C95,'Download of SFDC Activation Rep'!B:B,'Download of SFDC Activation Rep'!Z:Z),"")</f>
        <v>45987</v>
      </c>
      <c r="Q95" s="86">
        <f t="shared" si="2"/>
        <v>45962</v>
      </c>
      <c r="R95" s="13" t="str">
        <f t="shared" si="3"/>
        <v>Yes</v>
      </c>
      <c r="S95" s="86">
        <f t="array" ref="S95">iferror(XLOOKUP(C95,'Download of SFDC Activation Rep'!B:B,'Download of SFDC Activation Rep'!Y:Y),"")</f>
        <v>46114</v>
      </c>
    </row>
    <row r="96">
      <c r="A96" s="17" t="s">
        <v>17</v>
      </c>
      <c r="B96" s="85">
        <v>46023.0</v>
      </c>
      <c r="C96" s="17">
        <v>3408624.0</v>
      </c>
      <c r="D96" s="85">
        <v>46023.0</v>
      </c>
      <c r="E96" s="17">
        <v>1.0</v>
      </c>
      <c r="F96" s="17">
        <v>1.0</v>
      </c>
      <c r="G96" s="17">
        <v>3257.98</v>
      </c>
      <c r="H96" s="17"/>
      <c r="I96" s="17">
        <v>0.0</v>
      </c>
      <c r="J96" s="17"/>
      <c r="K96" s="17">
        <v>-0.1506</v>
      </c>
      <c r="L96" s="17">
        <v>-0.843391064825244</v>
      </c>
      <c r="M96" s="17">
        <v>0.692791064825244</v>
      </c>
      <c r="N96" s="17">
        <v>0.0</v>
      </c>
      <c r="O96" s="14">
        <f t="shared" si="1"/>
        <v>-0.1506</v>
      </c>
      <c r="P96" s="86">
        <f t="array" ref="P96">iferror(XLOOKUP(C96,'Download of SFDC Activation Rep'!B:B,'Download of SFDC Activation Rep'!Z:Z),"")</f>
        <v>46021</v>
      </c>
      <c r="Q96" s="86">
        <f t="shared" si="2"/>
        <v>45992</v>
      </c>
      <c r="R96" s="13" t="str">
        <f t="shared" si="3"/>
        <v>Yes</v>
      </c>
      <c r="S96" s="86">
        <f t="array" ref="S96">iferror(XLOOKUP(C96,'Download of SFDC Activation Rep'!B:B,'Download of SFDC Activation Rep'!Y:Y),"")</f>
        <v>46036</v>
      </c>
    </row>
    <row r="97">
      <c r="A97" s="17" t="s">
        <v>19</v>
      </c>
      <c r="B97" s="85">
        <v>46113.0</v>
      </c>
      <c r="C97" s="17">
        <v>3946131.0</v>
      </c>
      <c r="D97" s="85">
        <v>45809.0</v>
      </c>
      <c r="E97" s="17">
        <v>24.0</v>
      </c>
      <c r="F97" s="17">
        <v>24.0</v>
      </c>
      <c r="G97" s="17">
        <v>102834.56</v>
      </c>
      <c r="H97" s="17"/>
      <c r="I97" s="17">
        <v>10.5</v>
      </c>
      <c r="J97" s="17"/>
      <c r="K97" s="17">
        <v>-0.694899999999999</v>
      </c>
      <c r="L97" s="17">
        <v>-16.713381745728</v>
      </c>
      <c r="M97" s="17">
        <v>16.018481745728</v>
      </c>
      <c r="N97" s="17">
        <v>6.39999999999999</v>
      </c>
      <c r="O97" s="14">
        <f t="shared" si="1"/>
        <v>5.7051</v>
      </c>
      <c r="P97" s="86">
        <f t="array" ref="P97">iferror(XLOOKUP(C97,'Download of SFDC Activation Rep'!B:B,'Download of SFDC Activation Rep'!Z:Z),"")</f>
        <v>45805</v>
      </c>
      <c r="Q97" s="86">
        <f t="shared" si="2"/>
        <v>45778</v>
      </c>
      <c r="R97" s="13" t="str">
        <f t="shared" si="3"/>
        <v>Yes</v>
      </c>
      <c r="S97" s="86">
        <f t="array" ref="S97">iferror(XLOOKUP(C97,'Download of SFDC Activation Rep'!B:B,'Download of SFDC Activation Rep'!Y:Y),"")</f>
        <v>45805</v>
      </c>
    </row>
    <row r="98">
      <c r="A98" s="17" t="s">
        <v>488</v>
      </c>
      <c r="B98" s="85">
        <v>46143.0</v>
      </c>
      <c r="C98" s="17">
        <v>4509013.0</v>
      </c>
      <c r="D98" s="85">
        <v>46113.0</v>
      </c>
      <c r="E98" s="17">
        <v>17.0</v>
      </c>
      <c r="F98" s="17">
        <v>17.0</v>
      </c>
      <c r="G98" s="17">
        <v>20819.25</v>
      </c>
      <c r="H98" s="17"/>
      <c r="I98" s="17">
        <v>23.37482</v>
      </c>
      <c r="J98" s="17">
        <v>2.5</v>
      </c>
      <c r="K98" s="17">
        <v>18.5967</v>
      </c>
      <c r="L98" s="17">
        <v>15.359260244975</v>
      </c>
      <c r="M98" s="17">
        <v>3.23743975502499</v>
      </c>
      <c r="N98" s="17">
        <v>27.0</v>
      </c>
      <c r="O98" s="14">
        <f t="shared" si="1"/>
        <v>45.5967</v>
      </c>
      <c r="P98" s="86">
        <f t="array" ref="P98">iferror(XLOOKUP(C98,'Download of SFDC Activation Rep'!B:B,'Download of SFDC Activation Rep'!Z:Z),"")</f>
        <v>46077</v>
      </c>
      <c r="Q98" s="86">
        <f t="shared" si="2"/>
        <v>46054</v>
      </c>
      <c r="R98" s="13" t="str">
        <f t="shared" si="3"/>
        <v>Yes</v>
      </c>
      <c r="S98" s="86">
        <f t="array" ref="S98">iferror(XLOOKUP(C98,'Download of SFDC Activation Rep'!B:B,'Download of SFDC Activation Rep'!Y:Y),"")</f>
        <v>46139</v>
      </c>
    </row>
    <row r="99">
      <c r="A99" s="17" t="s">
        <v>17</v>
      </c>
      <c r="B99" s="85">
        <v>46054.0</v>
      </c>
      <c r="C99" s="17">
        <v>3962143.0</v>
      </c>
      <c r="D99" s="85">
        <v>45809.0</v>
      </c>
      <c r="E99" s="17">
        <v>1.0</v>
      </c>
      <c r="F99" s="17">
        <v>0.0</v>
      </c>
      <c r="G99" s="17">
        <v>907.72</v>
      </c>
      <c r="H99" s="17"/>
      <c r="I99" s="17">
        <v>26.32</v>
      </c>
      <c r="J99" s="17"/>
      <c r="K99" s="17">
        <v>0.32</v>
      </c>
      <c r="L99" s="17">
        <v>-0.161502615616</v>
      </c>
      <c r="M99" s="17">
        <v>0.481502615616</v>
      </c>
      <c r="N99" s="17"/>
      <c r="O99" s="14">
        <f t="shared" si="1"/>
        <v>0.32</v>
      </c>
      <c r="P99" s="86">
        <f t="array" ref="P99">iferror(XLOOKUP(C99,'Download of SFDC Activation Rep'!B:B,'Download of SFDC Activation Rep'!Z:Z),"")</f>
        <v>45876</v>
      </c>
      <c r="Q99" s="86">
        <f t="shared" si="2"/>
        <v>45870</v>
      </c>
      <c r="R99" s="13" t="str">
        <f t="shared" si="3"/>
        <v>Yes</v>
      </c>
      <c r="S99" s="86">
        <f t="array" ref="S99">iferror(XLOOKUP(C99,'Download of SFDC Activation Rep'!B:B,'Download of SFDC Activation Rep'!Y:Y),"")</f>
        <v>45833</v>
      </c>
    </row>
    <row r="100">
      <c r="A100" s="17" t="s">
        <v>17</v>
      </c>
      <c r="B100" s="85">
        <v>45352.0</v>
      </c>
      <c r="C100" s="17">
        <v>3265302.0</v>
      </c>
      <c r="D100" s="85">
        <v>45352.0</v>
      </c>
      <c r="E100" s="17">
        <v>4.0</v>
      </c>
      <c r="F100" s="17">
        <v>4.0</v>
      </c>
      <c r="G100" s="17">
        <v>43942.51</v>
      </c>
      <c r="H100" s="17"/>
      <c r="I100" s="17">
        <v>0.0</v>
      </c>
      <c r="J100" s="17"/>
      <c r="K100" s="17">
        <v>-0.98</v>
      </c>
      <c r="L100" s="17">
        <v>-22.4241319476593</v>
      </c>
      <c r="M100" s="17">
        <v>21.4441319476593</v>
      </c>
      <c r="N100" s="17"/>
      <c r="O100" s="14">
        <f t="shared" si="1"/>
        <v>-0.98</v>
      </c>
      <c r="P100" s="86">
        <f t="array" ref="P100">iferror(XLOOKUP(C100,'Download of SFDC Activation Rep'!B:B,'Download of SFDC Activation Rep'!Z:Z),"")</f>
        <v>45936</v>
      </c>
      <c r="Q100" s="86">
        <f t="shared" si="2"/>
        <v>45931</v>
      </c>
      <c r="R100" s="13" t="str">
        <f t="shared" si="3"/>
        <v>No</v>
      </c>
      <c r="S100" s="86">
        <f t="array" ref="S100">iferror(XLOOKUP(C100,'Download of SFDC Activation Rep'!B:B,'Download of SFDC Activation Rep'!Y:Y),"")</f>
        <v>46031</v>
      </c>
    </row>
    <row r="101">
      <c r="A101" s="17" t="s">
        <v>17</v>
      </c>
      <c r="B101" s="85">
        <v>46143.0</v>
      </c>
      <c r="C101" s="17">
        <v>4485019.0</v>
      </c>
      <c r="D101" s="85">
        <v>46082.0</v>
      </c>
      <c r="E101" s="17">
        <v>4.0</v>
      </c>
      <c r="F101" s="17">
        <v>0.0</v>
      </c>
      <c r="G101" s="17">
        <v>5540.0</v>
      </c>
      <c r="H101" s="17">
        <v>1373.0</v>
      </c>
      <c r="I101" s="17">
        <v>160.66</v>
      </c>
      <c r="J101" s="17"/>
      <c r="K101" s="17">
        <v>7.9995</v>
      </c>
      <c r="L101" s="17">
        <v>7.9441</v>
      </c>
      <c r="M101" s="17">
        <v>0.0553999999999996</v>
      </c>
      <c r="N101" s="17"/>
      <c r="O101" s="14">
        <f t="shared" si="1"/>
        <v>7.9995</v>
      </c>
      <c r="P101" s="86">
        <f t="array" ref="P101">iferror(XLOOKUP(C101,'Download of SFDC Activation Rep'!B:B,'Download of SFDC Activation Rep'!Z:Z),"")</f>
        <v>46077</v>
      </c>
      <c r="Q101" s="86">
        <f t="shared" si="2"/>
        <v>46054</v>
      </c>
      <c r="R101" s="13" t="str">
        <f t="shared" si="3"/>
        <v>Yes</v>
      </c>
      <c r="S101" s="86">
        <f t="array" ref="S101">iferror(XLOOKUP(C101,'Download of SFDC Activation Rep'!B:B,'Download of SFDC Activation Rep'!Y:Y),"")</f>
        <v>46139</v>
      </c>
    </row>
    <row r="102">
      <c r="A102" s="17" t="s">
        <v>17</v>
      </c>
      <c r="B102" s="85">
        <v>46143.0</v>
      </c>
      <c r="C102" s="17">
        <v>4491049.0</v>
      </c>
      <c r="D102" s="85">
        <v>46082.0</v>
      </c>
      <c r="E102" s="17">
        <v>8.0</v>
      </c>
      <c r="F102" s="17">
        <v>2.0</v>
      </c>
      <c r="G102" s="17">
        <v>5078.13</v>
      </c>
      <c r="H102" s="17">
        <v>1140.63</v>
      </c>
      <c r="I102" s="17">
        <v>129.15</v>
      </c>
      <c r="J102" s="17"/>
      <c r="K102" s="17">
        <v>39.3044</v>
      </c>
      <c r="L102" s="17">
        <v>39.2536187</v>
      </c>
      <c r="M102" s="17">
        <v>0.0507813000000041</v>
      </c>
      <c r="N102" s="17"/>
      <c r="O102" s="14">
        <f t="shared" si="1"/>
        <v>39.3044</v>
      </c>
      <c r="P102" s="86">
        <f t="array" ref="P102">iferror(XLOOKUP(C102,'Download of SFDC Activation Rep'!B:B,'Download of SFDC Activation Rep'!Z:Z),"")</f>
        <v>46104</v>
      </c>
      <c r="Q102" s="86">
        <f t="shared" si="2"/>
        <v>46082</v>
      </c>
      <c r="R102" s="13" t="str">
        <f t="shared" si="3"/>
        <v>Yes</v>
      </c>
      <c r="S102" s="86">
        <f t="array" ref="S102">iferror(XLOOKUP(C102,'Download of SFDC Activation Rep'!B:B,'Download of SFDC Activation Rep'!Y:Y),"")</f>
        <v>46132</v>
      </c>
    </row>
    <row r="103">
      <c r="A103" s="17" t="s">
        <v>17</v>
      </c>
      <c r="B103" s="85">
        <v>45870.0</v>
      </c>
      <c r="C103" s="17">
        <v>3942346.0</v>
      </c>
      <c r="D103" s="85">
        <v>45809.0</v>
      </c>
      <c r="E103" s="17">
        <v>1.0</v>
      </c>
      <c r="F103" s="17">
        <v>1.0</v>
      </c>
      <c r="G103" s="17">
        <v>123.19</v>
      </c>
      <c r="H103" s="17"/>
      <c r="I103" s="17">
        <v>1.92</v>
      </c>
      <c r="J103" s="17"/>
      <c r="K103" s="17">
        <v>1.3322</v>
      </c>
      <c r="L103" s="17">
        <v>1.31259759668934</v>
      </c>
      <c r="M103" s="17">
        <v>0.0196024033106589</v>
      </c>
      <c r="N103" s="17"/>
      <c r="O103" s="14">
        <f t="shared" si="1"/>
        <v>1.3322</v>
      </c>
      <c r="P103" s="86">
        <f t="array" ref="P103">iferror(XLOOKUP(C103,'Download of SFDC Activation Rep'!B:B,'Download of SFDC Activation Rep'!Z:Z),"")</f>
        <v>45809</v>
      </c>
      <c r="Q103" s="86">
        <f t="shared" si="2"/>
        <v>45809</v>
      </c>
      <c r="R103" s="13" t="str">
        <f t="shared" si="3"/>
        <v>Yes</v>
      </c>
      <c r="S103" s="86">
        <f t="array" ref="S103">iferror(XLOOKUP(C103,'Download of SFDC Activation Rep'!B:B,'Download of SFDC Activation Rep'!Y:Y),"")</f>
        <v>45812</v>
      </c>
    </row>
    <row r="104">
      <c r="A104" s="17" t="s">
        <v>17</v>
      </c>
      <c r="B104" s="85">
        <v>46143.0</v>
      </c>
      <c r="C104" s="17">
        <v>4380860.0</v>
      </c>
      <c r="D104" s="85">
        <v>46023.0</v>
      </c>
      <c r="E104" s="17">
        <v>77.0</v>
      </c>
      <c r="F104" s="17">
        <v>0.0</v>
      </c>
      <c r="G104" s="17">
        <v>14121.13</v>
      </c>
      <c r="H104" s="17">
        <v>13043.13</v>
      </c>
      <c r="I104" s="17">
        <v>660.76</v>
      </c>
      <c r="J104" s="17"/>
      <c r="K104" s="17">
        <v>109.189</v>
      </c>
      <c r="L104" s="17">
        <v>101.568907610272</v>
      </c>
      <c r="M104" s="17">
        <v>7.620092389728</v>
      </c>
      <c r="N104" s="17"/>
      <c r="O104" s="14">
        <f t="shared" si="1"/>
        <v>109.189</v>
      </c>
      <c r="P104" s="86">
        <f t="array" ref="P104">iferror(XLOOKUP(C104,'Download of SFDC Activation Rep'!B:B,'Download of SFDC Activation Rep'!Z:Z),"")</f>
        <v>46049</v>
      </c>
      <c r="Q104" s="86">
        <f t="shared" si="2"/>
        <v>46023</v>
      </c>
      <c r="R104" s="13" t="str">
        <f t="shared" si="3"/>
        <v>Yes</v>
      </c>
      <c r="S104" s="86">
        <f t="array" ref="S104">iferror(XLOOKUP(C104,'Download of SFDC Activation Rep'!B:B,'Download of SFDC Activation Rep'!Y:Y),"")</f>
        <v>46051</v>
      </c>
    </row>
    <row r="105">
      <c r="A105" s="17" t="s">
        <v>17</v>
      </c>
      <c r="B105" s="85">
        <v>46023.0</v>
      </c>
      <c r="C105" s="17">
        <v>3942651.0</v>
      </c>
      <c r="D105" s="85">
        <v>45809.0</v>
      </c>
      <c r="E105" s="17">
        <v>9.0</v>
      </c>
      <c r="F105" s="17">
        <v>9.0</v>
      </c>
      <c r="G105" s="17">
        <v>5943.5</v>
      </c>
      <c r="H105" s="17"/>
      <c r="I105" s="17">
        <v>0.0</v>
      </c>
      <c r="J105" s="17"/>
      <c r="K105" s="17">
        <v>-1.2409</v>
      </c>
      <c r="L105" s="17">
        <v>-1.5105271789</v>
      </c>
      <c r="M105" s="17">
        <v>0.2696271789</v>
      </c>
      <c r="N105" s="17"/>
      <c r="O105" s="14">
        <f t="shared" si="1"/>
        <v>-1.2409</v>
      </c>
      <c r="P105" s="86">
        <f t="array" ref="P105">iferror(XLOOKUP(C105,'Download of SFDC Activation Rep'!B:B,'Download of SFDC Activation Rep'!Z:Z),"")</f>
        <v>45809</v>
      </c>
      <c r="Q105" s="86">
        <f t="shared" si="2"/>
        <v>45809</v>
      </c>
      <c r="R105" s="13" t="str">
        <f t="shared" si="3"/>
        <v>Yes</v>
      </c>
      <c r="S105" s="86">
        <f t="array" ref="S105">iferror(XLOOKUP(C105,'Download of SFDC Activation Rep'!B:B,'Download of SFDC Activation Rep'!Y:Y),"")</f>
        <v>45819</v>
      </c>
    </row>
    <row r="106">
      <c r="A106" s="17" t="s">
        <v>17</v>
      </c>
      <c r="B106" s="85">
        <v>45870.0</v>
      </c>
      <c r="C106" s="17">
        <v>3962143.0</v>
      </c>
      <c r="D106" s="85">
        <v>45809.0</v>
      </c>
      <c r="E106" s="17">
        <v>1.0</v>
      </c>
      <c r="F106" s="17">
        <v>0.0</v>
      </c>
      <c r="G106" s="17">
        <v>451.78</v>
      </c>
      <c r="H106" s="17"/>
      <c r="I106" s="17">
        <v>13.1</v>
      </c>
      <c r="J106" s="17"/>
      <c r="K106" s="17">
        <v>0.6636</v>
      </c>
      <c r="L106" s="17">
        <v>0.423952020055997</v>
      </c>
      <c r="M106" s="17">
        <v>0.239647979944002</v>
      </c>
      <c r="N106" s="17"/>
      <c r="O106" s="14">
        <f t="shared" si="1"/>
        <v>0.6636</v>
      </c>
      <c r="P106" s="86">
        <f t="array" ref="P106">iferror(XLOOKUP(C106,'Download of SFDC Activation Rep'!B:B,'Download of SFDC Activation Rep'!Z:Z),"")</f>
        <v>45876</v>
      </c>
      <c r="Q106" s="86">
        <f t="shared" si="2"/>
        <v>45870</v>
      </c>
      <c r="R106" s="13" t="str">
        <f t="shared" si="3"/>
        <v>Yes</v>
      </c>
      <c r="S106" s="86">
        <f t="array" ref="S106">iferror(XLOOKUP(C106,'Download of SFDC Activation Rep'!B:B,'Download of SFDC Activation Rep'!Y:Y),"")</f>
        <v>45833</v>
      </c>
    </row>
    <row r="107">
      <c r="A107" s="17" t="s">
        <v>17</v>
      </c>
      <c r="B107" s="85">
        <v>45323.0</v>
      </c>
      <c r="C107" s="17">
        <v>2967694.0</v>
      </c>
      <c r="D107" s="85">
        <v>45292.0</v>
      </c>
      <c r="E107" s="17">
        <v>1.0</v>
      </c>
      <c r="F107" s="17">
        <v>0.0</v>
      </c>
      <c r="G107" s="17">
        <v>22000.0</v>
      </c>
      <c r="H107" s="17">
        <v>22000.0</v>
      </c>
      <c r="I107" s="17">
        <v>638.0</v>
      </c>
      <c r="J107" s="17"/>
      <c r="K107" s="17">
        <v>139.6669</v>
      </c>
      <c r="L107" s="17">
        <v>134.1745685928</v>
      </c>
      <c r="M107" s="17">
        <v>5.49233140719999</v>
      </c>
      <c r="N107" s="17"/>
      <c r="O107" s="14">
        <f t="shared" si="1"/>
        <v>139.6669</v>
      </c>
      <c r="P107" s="86">
        <f t="array" ref="P107">iferror(XLOOKUP(C107,'Download of SFDC Activation Rep'!B:B,'Download of SFDC Activation Rep'!Z:Z),"")</f>
        <v>45924</v>
      </c>
      <c r="Q107" s="86">
        <f t="shared" si="2"/>
        <v>45901</v>
      </c>
      <c r="R107" s="13" t="str">
        <f t="shared" si="3"/>
        <v>No</v>
      </c>
      <c r="S107" s="86">
        <f t="array" ref="S107">iferror(XLOOKUP(C107,'Download of SFDC Activation Rep'!B:B,'Download of SFDC Activation Rep'!Y:Y),"")</f>
        <v>46055</v>
      </c>
    </row>
    <row r="108">
      <c r="A108" s="17" t="s">
        <v>17</v>
      </c>
      <c r="B108" s="85">
        <v>45870.0</v>
      </c>
      <c r="C108" s="17">
        <v>3958943.0</v>
      </c>
      <c r="D108" s="85">
        <v>45839.0</v>
      </c>
      <c r="E108" s="17">
        <v>5.0</v>
      </c>
      <c r="F108" s="17">
        <v>3.0</v>
      </c>
      <c r="G108" s="17">
        <v>1953.75</v>
      </c>
      <c r="H108" s="17"/>
      <c r="I108" s="17">
        <v>53.25</v>
      </c>
      <c r="J108" s="17"/>
      <c r="K108" s="17">
        <v>2.7538</v>
      </c>
      <c r="L108" s="17">
        <v>2.7342625</v>
      </c>
      <c r="M108" s="17">
        <v>0.0195375000000002</v>
      </c>
      <c r="N108" s="17"/>
      <c r="O108" s="14">
        <f t="shared" si="1"/>
        <v>2.7538</v>
      </c>
      <c r="P108" s="86">
        <f t="array" ref="P108">iferror(XLOOKUP(C108,'Download of SFDC Activation Rep'!B:B,'Download of SFDC Activation Rep'!Z:Z),"")</f>
        <v>45839</v>
      </c>
      <c r="Q108" s="86">
        <f t="shared" si="2"/>
        <v>45839</v>
      </c>
      <c r="R108" s="13" t="str">
        <f t="shared" si="3"/>
        <v>Yes</v>
      </c>
      <c r="S108" s="86">
        <f t="array" ref="S108">iferror(XLOOKUP(C108,'Download of SFDC Activation Rep'!B:B,'Download of SFDC Activation Rep'!Y:Y),"")</f>
        <v>45862</v>
      </c>
    </row>
    <row r="109">
      <c r="A109" s="17" t="s">
        <v>488</v>
      </c>
      <c r="B109" s="85">
        <v>45962.0</v>
      </c>
      <c r="C109" s="17">
        <v>4079539.0</v>
      </c>
      <c r="D109" s="85">
        <v>45870.0</v>
      </c>
      <c r="E109" s="17">
        <v>4.0</v>
      </c>
      <c r="F109" s="17">
        <v>0.0</v>
      </c>
      <c r="G109" s="17">
        <v>3301.16</v>
      </c>
      <c r="H109" s="17">
        <v>3301.16</v>
      </c>
      <c r="I109" s="17">
        <v>95.74</v>
      </c>
      <c r="J109" s="17"/>
      <c r="K109" s="17">
        <v>14.8893</v>
      </c>
      <c r="L109" s="17">
        <v>13.1381903327461</v>
      </c>
      <c r="M109" s="17">
        <v>1.75110966725384</v>
      </c>
      <c r="N109" s="17"/>
      <c r="O109" s="14">
        <f t="shared" si="1"/>
        <v>14.8893</v>
      </c>
      <c r="P109" s="86">
        <f t="array" ref="P109">iferror(XLOOKUP(C109,'Download of SFDC Activation Rep'!B:B,'Download of SFDC Activation Rep'!Z:Z),"")</f>
        <v>45890</v>
      </c>
      <c r="Q109" s="86">
        <f t="shared" si="2"/>
        <v>45870</v>
      </c>
      <c r="R109" s="13" t="str">
        <f t="shared" si="3"/>
        <v>Yes</v>
      </c>
      <c r="S109" s="86">
        <f t="array" ref="S109">iferror(XLOOKUP(C109,'Download of SFDC Activation Rep'!B:B,'Download of SFDC Activation Rep'!Y:Y),"")</f>
        <v>45899</v>
      </c>
    </row>
    <row r="110">
      <c r="A110" s="17" t="s">
        <v>19</v>
      </c>
      <c r="B110" s="85">
        <v>45839.0</v>
      </c>
      <c r="C110" s="17">
        <v>2710123.0</v>
      </c>
      <c r="D110" s="85">
        <v>45292.0</v>
      </c>
      <c r="E110" s="17">
        <v>1.0</v>
      </c>
      <c r="F110" s="17">
        <v>0.0</v>
      </c>
      <c r="G110" s="17">
        <v>12229.25</v>
      </c>
      <c r="H110" s="17"/>
      <c r="I110" s="17">
        <v>354.65</v>
      </c>
      <c r="J110" s="17"/>
      <c r="K110" s="17">
        <v>28.1755</v>
      </c>
      <c r="L110" s="17">
        <v>21.6884597177161</v>
      </c>
      <c r="M110" s="17">
        <v>6.48704028228382</v>
      </c>
      <c r="N110" s="17"/>
      <c r="O110" s="14">
        <f t="shared" si="1"/>
        <v>28.1755</v>
      </c>
      <c r="P110" s="86">
        <f t="array" ref="P110">iferror(XLOOKUP(C110,'Download of SFDC Activation Rep'!B:B,'Download of SFDC Activation Rep'!Z:Z),"")</f>
        <v>45873</v>
      </c>
      <c r="Q110" s="86">
        <f t="shared" si="2"/>
        <v>45870</v>
      </c>
      <c r="R110" s="13" t="str">
        <f t="shared" si="3"/>
        <v>No</v>
      </c>
      <c r="S110" s="86">
        <f t="array" ref="S110">iferror(XLOOKUP(C110,'Download of SFDC Activation Rep'!B:B,'Download of SFDC Activation Rep'!Y:Y),"")</f>
        <v>45980</v>
      </c>
    </row>
    <row r="111">
      <c r="A111" s="17" t="s">
        <v>19</v>
      </c>
      <c r="B111" s="85">
        <v>45352.0</v>
      </c>
      <c r="C111" s="17">
        <v>2710123.0</v>
      </c>
      <c r="D111" s="85">
        <v>45292.0</v>
      </c>
      <c r="E111" s="17">
        <v>2.0</v>
      </c>
      <c r="F111" s="17">
        <v>0.0</v>
      </c>
      <c r="G111" s="17">
        <v>76075.4</v>
      </c>
      <c r="H111" s="17"/>
      <c r="I111" s="17">
        <v>2206.19</v>
      </c>
      <c r="J111" s="17"/>
      <c r="K111" s="17">
        <v>169.5687</v>
      </c>
      <c r="L111" s="17">
        <v>150.576367784758</v>
      </c>
      <c r="M111" s="17">
        <v>18.992332215241</v>
      </c>
      <c r="N111" s="17"/>
      <c r="O111" s="14">
        <f t="shared" si="1"/>
        <v>169.5687</v>
      </c>
      <c r="P111" s="86">
        <f t="array" ref="P111">iferror(XLOOKUP(C111,'Download of SFDC Activation Rep'!B:B,'Download of SFDC Activation Rep'!Z:Z),"")</f>
        <v>45873</v>
      </c>
      <c r="Q111" s="86">
        <f t="shared" si="2"/>
        <v>45870</v>
      </c>
      <c r="R111" s="13" t="str">
        <f t="shared" si="3"/>
        <v>No</v>
      </c>
      <c r="S111" s="86">
        <f t="array" ref="S111">iferror(XLOOKUP(C111,'Download of SFDC Activation Rep'!B:B,'Download of SFDC Activation Rep'!Y:Y),"")</f>
        <v>45980</v>
      </c>
    </row>
    <row r="112">
      <c r="A112" s="17" t="s">
        <v>17</v>
      </c>
      <c r="B112" s="85">
        <v>46082.0</v>
      </c>
      <c r="C112" s="17">
        <v>4125771.0</v>
      </c>
      <c r="D112" s="85">
        <v>46023.0</v>
      </c>
      <c r="E112" s="17">
        <v>6.0</v>
      </c>
      <c r="F112" s="17">
        <v>0.0</v>
      </c>
      <c r="G112" s="17">
        <v>66255.0</v>
      </c>
      <c r="H112" s="17"/>
      <c r="I112" s="17">
        <v>1921.39</v>
      </c>
      <c r="J112" s="17"/>
      <c r="K112" s="17">
        <v>222.537499999999</v>
      </c>
      <c r="L112" s="17">
        <v>221.874949999999</v>
      </c>
      <c r="M112" s="17">
        <v>0.66255000000001</v>
      </c>
      <c r="N112" s="17"/>
      <c r="O112" s="14">
        <f t="shared" si="1"/>
        <v>222.5375</v>
      </c>
      <c r="P112" s="86">
        <f t="array" ref="P112">iferror(XLOOKUP(C112,'Download of SFDC Activation Rep'!B:B,'Download of SFDC Activation Rep'!Z:Z),"")</f>
        <v>45979</v>
      </c>
      <c r="Q112" s="86">
        <f t="shared" si="2"/>
        <v>45962</v>
      </c>
      <c r="R112" s="13" t="str">
        <f t="shared" si="3"/>
        <v>Yes</v>
      </c>
      <c r="S112" s="86">
        <f t="array" ref="S112">iferror(XLOOKUP(C112,'Download of SFDC Activation Rep'!B:B,'Download of SFDC Activation Rep'!Y:Y),"")</f>
        <v>46037</v>
      </c>
    </row>
    <row r="113">
      <c r="A113" s="17" t="s">
        <v>17</v>
      </c>
      <c r="B113" s="85">
        <v>45962.0</v>
      </c>
      <c r="C113" s="17">
        <v>3997416.0</v>
      </c>
      <c r="D113" s="85">
        <v>45839.0</v>
      </c>
      <c r="E113" s="17">
        <v>2.0</v>
      </c>
      <c r="F113" s="17">
        <v>0.0</v>
      </c>
      <c r="G113" s="17">
        <v>9150.0</v>
      </c>
      <c r="H113" s="17"/>
      <c r="I113" s="17">
        <v>265.35</v>
      </c>
      <c r="J113" s="17"/>
      <c r="K113" s="17">
        <v>68.8222</v>
      </c>
      <c r="L113" s="17">
        <v>68.7307</v>
      </c>
      <c r="M113" s="17">
        <v>0.0915000000000105</v>
      </c>
      <c r="N113" s="17"/>
      <c r="O113" s="14">
        <f t="shared" si="1"/>
        <v>68.8222</v>
      </c>
      <c r="P113" s="86">
        <f t="array" ref="P113">iferror(XLOOKUP(C113,'Download of SFDC Activation Rep'!B:B,'Download of SFDC Activation Rep'!Z:Z),"")</f>
        <v>45876</v>
      </c>
      <c r="Q113" s="86">
        <f t="shared" si="2"/>
        <v>45870</v>
      </c>
      <c r="R113" s="13" t="str">
        <f t="shared" si="3"/>
        <v>Yes</v>
      </c>
      <c r="S113" s="86">
        <f t="array" ref="S113">iferror(XLOOKUP(C113,'Download of SFDC Activation Rep'!B:B,'Download of SFDC Activation Rep'!Y:Y),"")</f>
        <v>45849</v>
      </c>
    </row>
    <row r="114">
      <c r="A114" s="17" t="s">
        <v>17</v>
      </c>
      <c r="B114" s="85">
        <v>46113.0</v>
      </c>
      <c r="C114" s="17">
        <v>4223822.0</v>
      </c>
      <c r="D114" s="85">
        <v>45962.0</v>
      </c>
      <c r="E114" s="17">
        <v>3.0</v>
      </c>
      <c r="F114" s="17">
        <v>3.0</v>
      </c>
      <c r="G114" s="17">
        <v>6989.8</v>
      </c>
      <c r="H114" s="17"/>
      <c r="I114" s="17">
        <v>69.89</v>
      </c>
      <c r="J114" s="17"/>
      <c r="K114" s="17">
        <v>69.1529</v>
      </c>
      <c r="L114" s="17">
        <v>51.9760186052199</v>
      </c>
      <c r="M114" s="17">
        <v>17.17688139478</v>
      </c>
      <c r="N114" s="17"/>
      <c r="O114" s="14">
        <f t="shared" si="1"/>
        <v>69.1529</v>
      </c>
      <c r="P114" s="86">
        <f t="array" ref="P114">iferror(XLOOKUP(C114,'Download of SFDC Activation Rep'!B:B,'Download of SFDC Activation Rep'!Z:Z),"")</f>
        <v>45979</v>
      </c>
      <c r="Q114" s="86">
        <f t="shared" si="2"/>
        <v>45962</v>
      </c>
      <c r="R114" s="13" t="str">
        <f t="shared" si="3"/>
        <v>Yes</v>
      </c>
      <c r="S114" s="86">
        <f t="array" ref="S114">iferror(XLOOKUP(C114,'Download of SFDC Activation Rep'!B:B,'Download of SFDC Activation Rep'!Y:Y),"")</f>
        <v>45985</v>
      </c>
    </row>
    <row r="115">
      <c r="A115" s="17" t="s">
        <v>17</v>
      </c>
      <c r="B115" s="85">
        <v>46143.0</v>
      </c>
      <c r="C115" s="17">
        <v>4214658.0</v>
      </c>
      <c r="D115" s="85">
        <v>45962.0</v>
      </c>
      <c r="E115" s="17">
        <v>57.0</v>
      </c>
      <c r="F115" s="17">
        <v>57.0</v>
      </c>
      <c r="G115" s="17">
        <v>63068.06</v>
      </c>
      <c r="H115" s="17"/>
      <c r="I115" s="17">
        <v>0.0</v>
      </c>
      <c r="J115" s="17"/>
      <c r="K115" s="17">
        <v>-8.8126</v>
      </c>
      <c r="L115" s="17">
        <v>-9.4432806</v>
      </c>
      <c r="M115" s="17">
        <v>0.630680599999999</v>
      </c>
      <c r="N115" s="17"/>
      <c r="O115" s="14">
        <f t="shared" si="1"/>
        <v>-8.8126</v>
      </c>
      <c r="P115" s="86">
        <f t="array" ref="P115">iferror(XLOOKUP(C115,'Download of SFDC Activation Rep'!B:B,'Download of SFDC Activation Rep'!Z:Z),"")</f>
        <v>45973</v>
      </c>
      <c r="Q115" s="86">
        <f t="shared" si="2"/>
        <v>45962</v>
      </c>
      <c r="R115" s="13" t="str">
        <f t="shared" si="3"/>
        <v>Yes</v>
      </c>
      <c r="S115" s="86">
        <f t="array" ref="S115">iferror(XLOOKUP(C115,'Download of SFDC Activation Rep'!B:B,'Download of SFDC Activation Rep'!Y:Y),"")</f>
        <v>45968</v>
      </c>
    </row>
    <row r="116">
      <c r="A116" s="17" t="s">
        <v>17</v>
      </c>
      <c r="B116" s="85">
        <v>45901.0</v>
      </c>
      <c r="C116" s="17">
        <v>3942346.0</v>
      </c>
      <c r="D116" s="85">
        <v>45809.0</v>
      </c>
      <c r="E116" s="17">
        <v>3.0</v>
      </c>
      <c r="F116" s="17">
        <v>3.0</v>
      </c>
      <c r="G116" s="17">
        <v>8973.67</v>
      </c>
      <c r="H116" s="17"/>
      <c r="I116" s="17">
        <v>135.01</v>
      </c>
      <c r="J116" s="17"/>
      <c r="K116" s="17">
        <v>113.9412</v>
      </c>
      <c r="L116" s="17">
        <v>112.514039749118</v>
      </c>
      <c r="M116" s="17">
        <v>1.42716025088108</v>
      </c>
      <c r="N116" s="17"/>
      <c r="O116" s="14">
        <f t="shared" si="1"/>
        <v>113.9412</v>
      </c>
      <c r="P116" s="86">
        <f t="array" ref="P116">iferror(XLOOKUP(C116,'Download of SFDC Activation Rep'!B:B,'Download of SFDC Activation Rep'!Z:Z),"")</f>
        <v>45809</v>
      </c>
      <c r="Q116" s="86">
        <f t="shared" si="2"/>
        <v>45809</v>
      </c>
      <c r="R116" s="13" t="str">
        <f t="shared" si="3"/>
        <v>Yes</v>
      </c>
      <c r="S116" s="86">
        <f t="array" ref="S116">iferror(XLOOKUP(C116,'Download of SFDC Activation Rep'!B:B,'Download of SFDC Activation Rep'!Y:Y),"")</f>
        <v>45812</v>
      </c>
    </row>
    <row r="117">
      <c r="A117" s="17" t="s">
        <v>17</v>
      </c>
      <c r="B117" s="85">
        <v>46143.0</v>
      </c>
      <c r="C117" s="17">
        <v>4162423.0</v>
      </c>
      <c r="D117" s="85">
        <v>45962.0</v>
      </c>
      <c r="E117" s="17">
        <v>5.0</v>
      </c>
      <c r="F117" s="17">
        <v>0.0</v>
      </c>
      <c r="G117" s="17">
        <v>175.33</v>
      </c>
      <c r="H117" s="17"/>
      <c r="I117" s="17">
        <v>5.08</v>
      </c>
      <c r="J117" s="17"/>
      <c r="K117" s="17">
        <v>-1.84989999999999</v>
      </c>
      <c r="L117" s="17">
        <v>-1.85165329999999</v>
      </c>
      <c r="M117" s="17">
        <v>0.00175329999999984</v>
      </c>
      <c r="N117" s="17"/>
      <c r="O117" s="14">
        <f t="shared" si="1"/>
        <v>-1.8499</v>
      </c>
      <c r="P117" s="86">
        <f t="array" ref="P117">iferror(XLOOKUP(C117,'Download of SFDC Activation Rep'!B:B,'Download of SFDC Activation Rep'!Z:Z),"")</f>
        <v>45895</v>
      </c>
      <c r="Q117" s="86">
        <f t="shared" si="2"/>
        <v>45870</v>
      </c>
      <c r="R117" s="13" t="str">
        <f t="shared" si="3"/>
        <v>Yes</v>
      </c>
      <c r="S117" s="86">
        <f t="array" ref="S117">iferror(XLOOKUP(C117,'Download of SFDC Activation Rep'!B:B,'Download of SFDC Activation Rep'!Y:Y),"")</f>
        <v>45954</v>
      </c>
    </row>
    <row r="118">
      <c r="A118" s="17" t="s">
        <v>17</v>
      </c>
      <c r="B118" s="85">
        <v>46023.0</v>
      </c>
      <c r="C118" s="17">
        <v>4214658.0</v>
      </c>
      <c r="D118" s="85">
        <v>45962.0</v>
      </c>
      <c r="E118" s="17">
        <v>65.0</v>
      </c>
      <c r="F118" s="17">
        <v>65.0</v>
      </c>
      <c r="G118" s="17">
        <v>140376.83</v>
      </c>
      <c r="H118" s="17"/>
      <c r="I118" s="17">
        <v>0.0</v>
      </c>
      <c r="J118" s="17"/>
      <c r="K118" s="17">
        <v>-9.7071</v>
      </c>
      <c r="L118" s="17">
        <v>-13.9184048999999</v>
      </c>
      <c r="M118" s="17">
        <v>4.21130489999999</v>
      </c>
      <c r="N118" s="17"/>
      <c r="O118" s="14">
        <f t="shared" si="1"/>
        <v>-9.7071</v>
      </c>
      <c r="P118" s="86">
        <f t="array" ref="P118">iferror(XLOOKUP(C118,'Download of SFDC Activation Rep'!B:B,'Download of SFDC Activation Rep'!Z:Z),"")</f>
        <v>45973</v>
      </c>
      <c r="Q118" s="86">
        <f t="shared" si="2"/>
        <v>45962</v>
      </c>
      <c r="R118" s="13" t="str">
        <f t="shared" si="3"/>
        <v>Yes</v>
      </c>
      <c r="S118" s="86">
        <f t="array" ref="S118">iferror(XLOOKUP(C118,'Download of SFDC Activation Rep'!B:B,'Download of SFDC Activation Rep'!Y:Y),"")</f>
        <v>45968</v>
      </c>
    </row>
    <row r="119">
      <c r="A119" s="17" t="s">
        <v>17</v>
      </c>
      <c r="B119" s="85">
        <v>46082.0</v>
      </c>
      <c r="C119" s="17">
        <v>3383444.0</v>
      </c>
      <c r="D119" s="85">
        <v>46082.0</v>
      </c>
      <c r="E119" s="17">
        <v>1.0</v>
      </c>
      <c r="F119" s="17">
        <v>0.0</v>
      </c>
      <c r="G119" s="17">
        <v>50000.0</v>
      </c>
      <c r="H119" s="17">
        <v>50000.0</v>
      </c>
      <c r="I119" s="17">
        <v>1460.0</v>
      </c>
      <c r="J119" s="17"/>
      <c r="K119" s="17">
        <v>-25.4633</v>
      </c>
      <c r="L119" s="17">
        <v>-70.75844</v>
      </c>
      <c r="M119" s="17">
        <v>45.2951399999999</v>
      </c>
      <c r="N119" s="17"/>
      <c r="O119" s="14">
        <f t="shared" si="1"/>
        <v>299.5367</v>
      </c>
      <c r="P119" s="86">
        <f t="array" ref="P119">iferror(XLOOKUP(C119,'Download of SFDC Activation Rep'!B:B,'Download of SFDC Activation Rep'!Z:Z),"")</f>
        <v>46197</v>
      </c>
      <c r="Q119" s="86">
        <f t="shared" si="2"/>
        <v>46174</v>
      </c>
      <c r="R119" s="13" t="str">
        <f t="shared" si="3"/>
        <v>No</v>
      </c>
      <c r="S119" s="86">
        <f t="array" ref="S119">iferror(XLOOKUP(C119,'Download of SFDC Activation Rep'!B:B,'Download of SFDC Activation Rep'!Y:Y),"")</f>
        <v>46361</v>
      </c>
    </row>
    <row r="120">
      <c r="A120" s="17" t="s">
        <v>19</v>
      </c>
      <c r="B120" s="85">
        <v>45505.0</v>
      </c>
      <c r="C120" s="17">
        <v>2710123.0</v>
      </c>
      <c r="D120" s="85">
        <v>45292.0</v>
      </c>
      <c r="E120" s="17">
        <v>1.0</v>
      </c>
      <c r="F120" s="17">
        <v>0.0</v>
      </c>
      <c r="G120" s="17">
        <v>11075.4</v>
      </c>
      <c r="H120" s="17"/>
      <c r="I120" s="17">
        <v>321.19</v>
      </c>
      <c r="J120" s="17"/>
      <c r="K120" s="17">
        <v>24.3087</v>
      </c>
      <c r="L120" s="17">
        <v>21.5437105787589</v>
      </c>
      <c r="M120" s="17">
        <v>2.76498942124104</v>
      </c>
      <c r="N120" s="17"/>
      <c r="O120" s="14">
        <f t="shared" si="1"/>
        <v>24.3087</v>
      </c>
      <c r="P120" s="86">
        <f t="array" ref="P120">iferror(XLOOKUP(C120,'Download of SFDC Activation Rep'!B:B,'Download of SFDC Activation Rep'!Z:Z),"")</f>
        <v>45873</v>
      </c>
      <c r="Q120" s="86">
        <f t="shared" si="2"/>
        <v>45870</v>
      </c>
      <c r="R120" s="13" t="str">
        <f t="shared" si="3"/>
        <v>No</v>
      </c>
      <c r="S120" s="86">
        <f t="array" ref="S120">iferror(XLOOKUP(C120,'Download of SFDC Activation Rep'!B:B,'Download of SFDC Activation Rep'!Y:Y),"")</f>
        <v>45980</v>
      </c>
    </row>
    <row r="121">
      <c r="A121" s="17" t="s">
        <v>17</v>
      </c>
      <c r="B121" s="85">
        <v>46113.0</v>
      </c>
      <c r="C121" s="17">
        <v>3383444.0</v>
      </c>
      <c r="D121" s="85">
        <v>46082.0</v>
      </c>
      <c r="E121" s="17">
        <v>3.0</v>
      </c>
      <c r="F121" s="17">
        <v>0.0</v>
      </c>
      <c r="G121" s="17">
        <v>107690.0</v>
      </c>
      <c r="H121" s="17">
        <v>107690.0</v>
      </c>
      <c r="I121" s="17">
        <v>3153.01</v>
      </c>
      <c r="J121" s="17"/>
      <c r="K121" s="17">
        <v>-155.4488</v>
      </c>
      <c r="L121" s="17">
        <v>-253.005472532</v>
      </c>
      <c r="M121" s="17">
        <v>97.556672532</v>
      </c>
      <c r="N121" s="17"/>
      <c r="O121" s="14">
        <f t="shared" si="1"/>
        <v>544.5362</v>
      </c>
      <c r="P121" s="86">
        <f t="array" ref="P121">iferror(XLOOKUP(C121,'Download of SFDC Activation Rep'!B:B,'Download of SFDC Activation Rep'!Z:Z),"")</f>
        <v>46197</v>
      </c>
      <c r="Q121" s="86">
        <f t="shared" si="2"/>
        <v>46174</v>
      </c>
      <c r="R121" s="13" t="str">
        <f t="shared" si="3"/>
        <v>No</v>
      </c>
      <c r="S121" s="86">
        <f t="array" ref="S121">iferror(XLOOKUP(C121,'Download of SFDC Activation Rep'!B:B,'Download of SFDC Activation Rep'!Y:Y),"")</f>
        <v>46361</v>
      </c>
    </row>
    <row r="122">
      <c r="A122" s="17" t="s">
        <v>17</v>
      </c>
      <c r="B122" s="85">
        <v>46174.0</v>
      </c>
      <c r="C122" s="17">
        <v>3942346.0</v>
      </c>
      <c r="D122" s="85">
        <v>45809.0</v>
      </c>
      <c r="E122" s="17">
        <v>3.0</v>
      </c>
      <c r="F122" s="17">
        <v>3.0</v>
      </c>
      <c r="G122" s="17">
        <v>4980.34</v>
      </c>
      <c r="H122" s="17"/>
      <c r="I122" s="17">
        <v>75.93</v>
      </c>
      <c r="J122" s="17"/>
      <c r="K122" s="17">
        <v>66.1682999999999</v>
      </c>
      <c r="L122" s="17">
        <v>65.3760770432489</v>
      </c>
      <c r="M122" s="17">
        <v>0.792222956751004</v>
      </c>
      <c r="N122" s="17"/>
      <c r="O122" s="14">
        <f t="shared" si="1"/>
        <v>66.1683</v>
      </c>
      <c r="P122" s="86">
        <f t="array" ref="P122">iferror(XLOOKUP(C122,'Download of SFDC Activation Rep'!B:B,'Download of SFDC Activation Rep'!Z:Z),"")</f>
        <v>45809</v>
      </c>
      <c r="Q122" s="86">
        <f t="shared" si="2"/>
        <v>45809</v>
      </c>
      <c r="R122" s="13" t="str">
        <f t="shared" si="3"/>
        <v>Yes</v>
      </c>
      <c r="S122" s="86">
        <f t="array" ref="S122">iferror(XLOOKUP(C122,'Download of SFDC Activation Rep'!B:B,'Download of SFDC Activation Rep'!Y:Y),"")</f>
        <v>45812</v>
      </c>
    </row>
    <row r="123">
      <c r="A123" s="17" t="s">
        <v>17</v>
      </c>
      <c r="B123" s="85">
        <v>46054.0</v>
      </c>
      <c r="C123" s="17">
        <v>3514759.0</v>
      </c>
      <c r="D123" s="85">
        <v>45931.0</v>
      </c>
      <c r="E123" s="17">
        <v>1.0</v>
      </c>
      <c r="F123" s="17">
        <v>0.0</v>
      </c>
      <c r="G123" s="17">
        <v>338.69</v>
      </c>
      <c r="H123" s="17"/>
      <c r="I123" s="17">
        <v>9.82</v>
      </c>
      <c r="J123" s="17"/>
      <c r="K123" s="17">
        <v>-0.3176</v>
      </c>
      <c r="L123" s="17">
        <v>-0.3209869</v>
      </c>
      <c r="M123" s="17">
        <v>0.00338690000000002</v>
      </c>
      <c r="N123" s="17"/>
      <c r="O123" s="14">
        <f t="shared" si="1"/>
        <v>-0.3176</v>
      </c>
      <c r="P123" s="86">
        <f t="array" ref="P123">iferror(XLOOKUP(C123,'Download of SFDC Activation Rep'!B:B,'Download of SFDC Activation Rep'!Z:Z),"")</f>
        <v>45895</v>
      </c>
      <c r="Q123" s="86">
        <f t="shared" si="2"/>
        <v>45870</v>
      </c>
      <c r="R123" s="13" t="str">
        <f t="shared" si="3"/>
        <v>Yes</v>
      </c>
      <c r="S123" s="86">
        <f t="array" ref="S123">iferror(XLOOKUP(C123,'Download of SFDC Activation Rep'!B:B,'Download of SFDC Activation Rep'!Y:Y),"")</f>
        <v>45954</v>
      </c>
    </row>
    <row r="124">
      <c r="A124" s="17" t="s">
        <v>17</v>
      </c>
      <c r="B124" s="85">
        <v>46023.0</v>
      </c>
      <c r="C124" s="17">
        <v>4079020.0</v>
      </c>
      <c r="D124" s="85">
        <v>45901.0</v>
      </c>
      <c r="E124" s="17">
        <v>3.0</v>
      </c>
      <c r="F124" s="17">
        <v>3.0</v>
      </c>
      <c r="G124" s="17">
        <v>2718.0</v>
      </c>
      <c r="H124" s="17"/>
      <c r="I124" s="17">
        <v>27.18</v>
      </c>
      <c r="J124" s="17"/>
      <c r="K124" s="17">
        <v>26.5922</v>
      </c>
      <c r="L124" s="17">
        <v>24.4618879897497</v>
      </c>
      <c r="M124" s="17">
        <v>2.1303120102502</v>
      </c>
      <c r="N124" s="17"/>
      <c r="O124" s="14">
        <f t="shared" si="1"/>
        <v>26.5922</v>
      </c>
      <c r="P124" s="86">
        <f t="array" ref="P124">iferror(XLOOKUP(C124,'Download of SFDC Activation Rep'!B:B,'Download of SFDC Activation Rep'!Z:Z),"")</f>
        <v>45894</v>
      </c>
      <c r="Q124" s="86">
        <f t="shared" si="2"/>
        <v>45870</v>
      </c>
      <c r="R124" s="13" t="str">
        <f t="shared" si="3"/>
        <v>Yes</v>
      </c>
      <c r="S124" s="86">
        <f t="array" ref="S124">iferror(XLOOKUP(C124,'Download of SFDC Activation Rep'!B:B,'Download of SFDC Activation Rep'!Y:Y),"")</f>
        <v>45937</v>
      </c>
    </row>
    <row r="125">
      <c r="A125" s="17" t="s">
        <v>17</v>
      </c>
      <c r="B125" s="85">
        <v>45292.0</v>
      </c>
      <c r="C125" s="17">
        <v>489723.0</v>
      </c>
      <c r="D125" s="85">
        <v>45200.0</v>
      </c>
      <c r="E125" s="17">
        <v>3.0</v>
      </c>
      <c r="F125" s="17">
        <v>3.0</v>
      </c>
      <c r="G125" s="17">
        <v>3178.2</v>
      </c>
      <c r="H125" s="17"/>
      <c r="I125" s="17">
        <v>0.0</v>
      </c>
      <c r="J125" s="17"/>
      <c r="K125" s="17">
        <v>-0.68</v>
      </c>
      <c r="L125" s="17">
        <v>-2.23097512991522</v>
      </c>
      <c r="M125" s="17">
        <v>1.55097512991522</v>
      </c>
      <c r="N125" s="17"/>
      <c r="O125" s="14">
        <f t="shared" si="1"/>
        <v>-0.68</v>
      </c>
      <c r="P125" s="86">
        <f t="array" ref="P125">iferror(XLOOKUP(C125,'Download of SFDC Activation Rep'!B:B,'Download of SFDC Activation Rep'!Z:Z),"")</f>
        <v>46112</v>
      </c>
      <c r="Q125" s="86">
        <f t="shared" si="2"/>
        <v>46082</v>
      </c>
      <c r="R125" s="13" t="str">
        <f t="shared" si="3"/>
        <v>No</v>
      </c>
      <c r="S125" s="86">
        <f t="array" ref="S125">iferror(XLOOKUP(C125,'Download of SFDC Activation Rep'!B:B,'Download of SFDC Activation Rep'!Y:Y),"")</f>
        <v>46204</v>
      </c>
    </row>
    <row r="126">
      <c r="A126" s="17" t="s">
        <v>17</v>
      </c>
      <c r="B126" s="85">
        <v>46143.0</v>
      </c>
      <c r="C126" s="17">
        <v>3090633.0</v>
      </c>
      <c r="D126" s="85">
        <v>45474.0</v>
      </c>
      <c r="E126" s="17">
        <v>1.0</v>
      </c>
      <c r="F126" s="17">
        <v>1.0</v>
      </c>
      <c r="G126" s="17">
        <v>7530.61</v>
      </c>
      <c r="H126" s="17"/>
      <c r="I126" s="17">
        <v>0.0</v>
      </c>
      <c r="J126" s="17"/>
      <c r="K126" s="17">
        <v>-0.1521</v>
      </c>
      <c r="L126" s="17">
        <v>-1.33200576459299</v>
      </c>
      <c r="M126" s="17">
        <v>1.17990576459299</v>
      </c>
      <c r="N126" s="17"/>
      <c r="O126" s="14">
        <f t="shared" si="1"/>
        <v>-0.1521</v>
      </c>
      <c r="P126" s="86">
        <f t="array" ref="P126">iferror(XLOOKUP(C126,'Download of SFDC Activation Rep'!B:B,'Download of SFDC Activation Rep'!Z:Z),"")</f>
        <v>45961</v>
      </c>
      <c r="Q126" s="86">
        <f t="shared" si="2"/>
        <v>45931</v>
      </c>
      <c r="R126" s="13" t="str">
        <f t="shared" si="3"/>
        <v>Yes</v>
      </c>
      <c r="S126" s="86">
        <f t="array" ref="S126">iferror(XLOOKUP(C126,'Download of SFDC Activation Rep'!B:B,'Download of SFDC Activation Rep'!Y:Y),"")</f>
        <v>46051</v>
      </c>
    </row>
    <row r="127">
      <c r="A127" s="17" t="s">
        <v>17</v>
      </c>
      <c r="B127" s="85">
        <v>45992.0</v>
      </c>
      <c r="C127" s="17">
        <v>3942346.0</v>
      </c>
      <c r="D127" s="85">
        <v>45809.0</v>
      </c>
      <c r="E127" s="17">
        <v>2.0</v>
      </c>
      <c r="F127" s="17">
        <v>2.0</v>
      </c>
      <c r="G127" s="17">
        <v>1247.49</v>
      </c>
      <c r="H127" s="17"/>
      <c r="I127" s="17">
        <v>19.1</v>
      </c>
      <c r="J127" s="17"/>
      <c r="K127" s="17">
        <v>15.5587</v>
      </c>
      <c r="L127" s="17">
        <v>15.3602489728299</v>
      </c>
      <c r="M127" s="17">
        <v>0.198451027170071</v>
      </c>
      <c r="N127" s="17"/>
      <c r="O127" s="14">
        <f t="shared" si="1"/>
        <v>15.5587</v>
      </c>
      <c r="P127" s="86">
        <f t="array" ref="P127">iferror(XLOOKUP(C127,'Download of SFDC Activation Rep'!B:B,'Download of SFDC Activation Rep'!Z:Z),"")</f>
        <v>45809</v>
      </c>
      <c r="Q127" s="86">
        <f t="shared" si="2"/>
        <v>45809</v>
      </c>
      <c r="R127" s="13" t="str">
        <f t="shared" si="3"/>
        <v>Yes</v>
      </c>
      <c r="S127" s="86">
        <f t="array" ref="S127">iferror(XLOOKUP(C127,'Download of SFDC Activation Rep'!B:B,'Download of SFDC Activation Rep'!Y:Y),"")</f>
        <v>45812</v>
      </c>
    </row>
    <row r="128">
      <c r="A128" s="17" t="s">
        <v>17</v>
      </c>
      <c r="B128" s="85">
        <v>45992.0</v>
      </c>
      <c r="C128" s="17">
        <v>4161223.0</v>
      </c>
      <c r="D128" s="85">
        <v>45931.0</v>
      </c>
      <c r="E128" s="17">
        <v>1.0</v>
      </c>
      <c r="F128" s="17">
        <v>1.0</v>
      </c>
      <c r="G128" s="17">
        <v>8000.0</v>
      </c>
      <c r="H128" s="17"/>
      <c r="I128" s="17">
        <v>191.3</v>
      </c>
      <c r="J128" s="17"/>
      <c r="K128" s="17">
        <v>191.27</v>
      </c>
      <c r="L128" s="17">
        <v>190.0165492248</v>
      </c>
      <c r="M128" s="17">
        <v>1.2534507752</v>
      </c>
      <c r="N128" s="17"/>
      <c r="O128" s="14">
        <f t="shared" si="1"/>
        <v>191.27</v>
      </c>
      <c r="P128" s="86">
        <f t="array" ref="P128">iferror(XLOOKUP(C128,'Download of SFDC Activation Rep'!B:B,'Download of SFDC Activation Rep'!Z:Z),"")</f>
        <v>45937</v>
      </c>
      <c r="Q128" s="86">
        <f t="shared" si="2"/>
        <v>45931</v>
      </c>
      <c r="R128" s="13" t="str">
        <f t="shared" si="3"/>
        <v>Yes</v>
      </c>
      <c r="S128" s="86">
        <f t="array" ref="S128">iferror(XLOOKUP(C128,'Download of SFDC Activation Rep'!B:B,'Download of SFDC Activation Rep'!Y:Y),"")</f>
        <v>45947</v>
      </c>
    </row>
    <row r="129">
      <c r="A129" s="17" t="s">
        <v>17</v>
      </c>
      <c r="B129" s="85">
        <v>46113.0</v>
      </c>
      <c r="C129" s="17">
        <v>4213575.0</v>
      </c>
      <c r="D129" s="85">
        <v>45962.0</v>
      </c>
      <c r="E129" s="17">
        <v>1.0</v>
      </c>
      <c r="F129" s="17">
        <v>0.0</v>
      </c>
      <c r="G129" s="17">
        <v>2827.08</v>
      </c>
      <c r="H129" s="17"/>
      <c r="I129" s="17">
        <v>81.99</v>
      </c>
      <c r="J129" s="17"/>
      <c r="K129" s="17">
        <v>7.8</v>
      </c>
      <c r="L129" s="17">
        <v>6.300367498176</v>
      </c>
      <c r="M129" s="17">
        <v>1.499632501824</v>
      </c>
      <c r="N129" s="17"/>
      <c r="O129" s="14">
        <f t="shared" si="1"/>
        <v>7.8</v>
      </c>
      <c r="P129" s="86">
        <f t="array" ref="P129">iferror(XLOOKUP(C129,'Download of SFDC Activation Rep'!B:B,'Download of SFDC Activation Rep'!Z:Z),"")</f>
        <v>45965</v>
      </c>
      <c r="Q129" s="86">
        <f t="shared" si="2"/>
        <v>45962</v>
      </c>
      <c r="R129" s="13" t="str">
        <f t="shared" si="3"/>
        <v>Yes</v>
      </c>
      <c r="S129" s="86">
        <f t="array" ref="S129">iferror(XLOOKUP(C129,'Download of SFDC Activation Rep'!B:B,'Download of SFDC Activation Rep'!Y:Y),"")</f>
        <v>45966</v>
      </c>
    </row>
    <row r="130">
      <c r="A130" s="17" t="s">
        <v>17</v>
      </c>
      <c r="B130" s="85">
        <v>46143.0</v>
      </c>
      <c r="C130" s="17">
        <v>4138622.0</v>
      </c>
      <c r="D130" s="85">
        <v>45901.0</v>
      </c>
      <c r="E130" s="17">
        <v>18.0</v>
      </c>
      <c r="F130" s="17">
        <v>11.0</v>
      </c>
      <c r="G130" s="17">
        <v>71642.1</v>
      </c>
      <c r="H130" s="17">
        <v>250.0</v>
      </c>
      <c r="I130" s="17">
        <v>447.61</v>
      </c>
      <c r="J130" s="17"/>
      <c r="K130" s="17">
        <v>3.02089999999999</v>
      </c>
      <c r="L130" s="17">
        <v>2.304479</v>
      </c>
      <c r="M130" s="17">
        <v>0.716420999999998</v>
      </c>
      <c r="N130" s="17"/>
      <c r="O130" s="14">
        <f t="shared" si="1"/>
        <v>3.0209</v>
      </c>
      <c r="P130" s="86">
        <f t="array" ref="P130">iferror(XLOOKUP(C130,'Download of SFDC Activation Rep'!B:B,'Download of SFDC Activation Rep'!Z:Z),"")</f>
        <v>45916</v>
      </c>
      <c r="Q130" s="86">
        <f t="shared" si="2"/>
        <v>45901</v>
      </c>
      <c r="R130" s="13" t="str">
        <f t="shared" si="3"/>
        <v>Yes</v>
      </c>
      <c r="S130" s="86">
        <f t="array" ref="S130">iferror(XLOOKUP(C130,'Download of SFDC Activation Rep'!B:B,'Download of SFDC Activation Rep'!Y:Y),"")</f>
        <v>45966</v>
      </c>
    </row>
    <row r="131">
      <c r="A131" s="17" t="s">
        <v>17</v>
      </c>
      <c r="B131" s="85">
        <v>46113.0</v>
      </c>
      <c r="C131" s="17">
        <v>4233905.0</v>
      </c>
      <c r="D131" s="85">
        <v>45992.0</v>
      </c>
      <c r="E131" s="17">
        <v>16.0</v>
      </c>
      <c r="F131" s="17">
        <v>15.0</v>
      </c>
      <c r="G131" s="17">
        <v>17568.56</v>
      </c>
      <c r="H131" s="17">
        <v>1458.8</v>
      </c>
      <c r="I131" s="17">
        <v>54.45</v>
      </c>
      <c r="J131" s="17"/>
      <c r="K131" s="17">
        <v>3.3283</v>
      </c>
      <c r="L131" s="17">
        <v>-0.107616956200002</v>
      </c>
      <c r="M131" s="17">
        <v>3.4359169562</v>
      </c>
      <c r="N131" s="17"/>
      <c r="O131" s="14">
        <f t="shared" si="1"/>
        <v>12.8105</v>
      </c>
      <c r="P131" s="86">
        <f t="array" ref="P131">iferror(XLOOKUP(C131,'Download of SFDC Activation Rep'!B:B,'Download of SFDC Activation Rep'!Z:Z),"")</f>
        <v>45974</v>
      </c>
      <c r="Q131" s="86">
        <f t="shared" si="2"/>
        <v>45962</v>
      </c>
      <c r="R131" s="13" t="str">
        <f t="shared" si="3"/>
        <v>Yes</v>
      </c>
      <c r="S131" s="86">
        <f t="array" ref="S131">iferror(XLOOKUP(C131,'Download of SFDC Activation Rep'!B:B,'Download of SFDC Activation Rep'!Y:Y),"")</f>
        <v>45999</v>
      </c>
    </row>
    <row r="132">
      <c r="A132" s="17" t="s">
        <v>17</v>
      </c>
      <c r="B132" s="85">
        <v>46054.0</v>
      </c>
      <c r="C132" s="17">
        <v>4186958.0</v>
      </c>
      <c r="D132" s="85">
        <v>45931.0</v>
      </c>
      <c r="E132" s="17">
        <v>1.0</v>
      </c>
      <c r="F132" s="17">
        <v>1.0</v>
      </c>
      <c r="G132" s="17">
        <v>4500.0</v>
      </c>
      <c r="H132" s="17"/>
      <c r="I132" s="17">
        <v>1.5</v>
      </c>
      <c r="J132" s="17"/>
      <c r="K132" s="17">
        <v>0.5699</v>
      </c>
      <c r="L132" s="17">
        <v>-0.0901658499999999</v>
      </c>
      <c r="M132" s="17">
        <v>0.66006585</v>
      </c>
      <c r="N132" s="17"/>
      <c r="O132" s="14">
        <f t="shared" si="1"/>
        <v>0.5699</v>
      </c>
      <c r="P132" s="86">
        <f t="array" ref="P132">iferror(XLOOKUP(C132,'Download of SFDC Activation Rep'!B:B,'Download of SFDC Activation Rep'!Z:Z),"")</f>
        <v>45931</v>
      </c>
      <c r="Q132" s="86">
        <f t="shared" si="2"/>
        <v>45931</v>
      </c>
      <c r="R132" s="13" t="str">
        <f t="shared" si="3"/>
        <v>Yes</v>
      </c>
      <c r="S132" s="86">
        <f t="array" ref="S132">iferror(XLOOKUP(C132,'Download of SFDC Activation Rep'!B:B,'Download of SFDC Activation Rep'!Y:Y),"")</f>
        <v>45957</v>
      </c>
    </row>
    <row r="133">
      <c r="A133" s="17" t="s">
        <v>17</v>
      </c>
      <c r="B133" s="85">
        <v>46174.0</v>
      </c>
      <c r="C133" s="17">
        <v>4233905.0</v>
      </c>
      <c r="D133" s="85">
        <v>45992.0</v>
      </c>
      <c r="E133" s="17">
        <v>22.0</v>
      </c>
      <c r="F133" s="17">
        <v>20.0</v>
      </c>
      <c r="G133" s="17">
        <v>26378.11</v>
      </c>
      <c r="H133" s="17">
        <v>855.2</v>
      </c>
      <c r="I133" s="17">
        <v>39.44</v>
      </c>
      <c r="J133" s="17"/>
      <c r="K133" s="17">
        <v>18.9643999999999</v>
      </c>
      <c r="L133" s="17">
        <v>18.7006188999999</v>
      </c>
      <c r="M133" s="17">
        <v>0.263781100000002</v>
      </c>
      <c r="N133" s="17"/>
      <c r="O133" s="14">
        <f t="shared" si="1"/>
        <v>18.9644</v>
      </c>
      <c r="P133" s="86">
        <f t="array" ref="P133">iferror(XLOOKUP(C133,'Download of SFDC Activation Rep'!B:B,'Download of SFDC Activation Rep'!Z:Z),"")</f>
        <v>45974</v>
      </c>
      <c r="Q133" s="86">
        <f t="shared" si="2"/>
        <v>45962</v>
      </c>
      <c r="R133" s="13" t="str">
        <f t="shared" si="3"/>
        <v>Yes</v>
      </c>
      <c r="S133" s="86">
        <f t="array" ref="S133">iferror(XLOOKUP(C133,'Download of SFDC Activation Rep'!B:B,'Download of SFDC Activation Rep'!Y:Y),"")</f>
        <v>45999</v>
      </c>
    </row>
    <row r="134">
      <c r="A134" s="17" t="s">
        <v>17</v>
      </c>
      <c r="B134" s="85">
        <v>46174.0</v>
      </c>
      <c r="C134" s="17">
        <v>4162423.0</v>
      </c>
      <c r="D134" s="85">
        <v>45962.0</v>
      </c>
      <c r="E134" s="17">
        <v>8.0</v>
      </c>
      <c r="F134" s="17">
        <v>0.0</v>
      </c>
      <c r="G134" s="17">
        <v>253.97</v>
      </c>
      <c r="H134" s="17"/>
      <c r="I134" s="17">
        <v>7.36</v>
      </c>
      <c r="J134" s="17"/>
      <c r="K134" s="17">
        <v>-4.37939999999999</v>
      </c>
      <c r="L134" s="17">
        <v>-4.3819397</v>
      </c>
      <c r="M134" s="17">
        <v>0.00253970000000069</v>
      </c>
      <c r="N134" s="17"/>
      <c r="O134" s="14">
        <f t="shared" si="1"/>
        <v>-4.3794</v>
      </c>
      <c r="P134" s="86">
        <f t="array" ref="P134">iferror(XLOOKUP(C134,'Download of SFDC Activation Rep'!B:B,'Download of SFDC Activation Rep'!Z:Z),"")</f>
        <v>45895</v>
      </c>
      <c r="Q134" s="86">
        <f t="shared" si="2"/>
        <v>45870</v>
      </c>
      <c r="R134" s="13" t="str">
        <f t="shared" si="3"/>
        <v>Yes</v>
      </c>
      <c r="S134" s="86">
        <f t="array" ref="S134">iferror(XLOOKUP(C134,'Download of SFDC Activation Rep'!B:B,'Download of SFDC Activation Rep'!Y:Y),"")</f>
        <v>45954</v>
      </c>
    </row>
    <row r="135">
      <c r="A135" s="17" t="s">
        <v>17</v>
      </c>
      <c r="B135" s="85">
        <v>45748.0</v>
      </c>
      <c r="C135" s="17">
        <v>3090633.0</v>
      </c>
      <c r="D135" s="85">
        <v>45474.0</v>
      </c>
      <c r="E135" s="17">
        <v>1.0</v>
      </c>
      <c r="F135" s="17">
        <v>1.0</v>
      </c>
      <c r="G135" s="17">
        <v>1739.05</v>
      </c>
      <c r="H135" s="17"/>
      <c r="I135" s="17">
        <v>0.0</v>
      </c>
      <c r="J135" s="17"/>
      <c r="K135" s="17">
        <v>-0.06</v>
      </c>
      <c r="L135" s="17">
        <v>-0.332476696326445</v>
      </c>
      <c r="M135" s="17">
        <v>0.272476696326445</v>
      </c>
      <c r="N135" s="17"/>
      <c r="O135" s="14">
        <f t="shared" si="1"/>
        <v>-0.06</v>
      </c>
      <c r="P135" s="86">
        <f t="array" ref="P135">iferror(XLOOKUP(C135,'Download of SFDC Activation Rep'!B:B,'Download of SFDC Activation Rep'!Z:Z),"")</f>
        <v>45961</v>
      </c>
      <c r="Q135" s="86">
        <f t="shared" si="2"/>
        <v>45931</v>
      </c>
      <c r="R135" s="13" t="str">
        <f t="shared" si="3"/>
        <v>No</v>
      </c>
      <c r="S135" s="86">
        <f t="array" ref="S135">iferror(XLOOKUP(C135,'Download of SFDC Activation Rep'!B:B,'Download of SFDC Activation Rep'!Y:Y),"")</f>
        <v>46051</v>
      </c>
    </row>
    <row r="136">
      <c r="A136" s="17" t="s">
        <v>17</v>
      </c>
      <c r="B136" s="85">
        <v>46082.0</v>
      </c>
      <c r="C136" s="17">
        <v>3942346.0</v>
      </c>
      <c r="D136" s="85">
        <v>45809.0</v>
      </c>
      <c r="E136" s="17">
        <v>4.0</v>
      </c>
      <c r="F136" s="17">
        <v>4.0</v>
      </c>
      <c r="G136" s="17">
        <v>2658.02</v>
      </c>
      <c r="H136" s="17"/>
      <c r="I136" s="17">
        <v>40.68</v>
      </c>
      <c r="J136" s="17"/>
      <c r="K136" s="17">
        <v>32.5311</v>
      </c>
      <c r="L136" s="17">
        <v>32.10826417569</v>
      </c>
      <c r="M136" s="17">
        <v>0.422835824309999</v>
      </c>
      <c r="N136" s="17"/>
      <c r="O136" s="14">
        <f t="shared" si="1"/>
        <v>32.5311</v>
      </c>
      <c r="P136" s="86">
        <f t="array" ref="P136">iferror(XLOOKUP(C136,'Download of SFDC Activation Rep'!B:B,'Download of SFDC Activation Rep'!Z:Z),"")</f>
        <v>45809</v>
      </c>
      <c r="Q136" s="86">
        <f t="shared" si="2"/>
        <v>45809</v>
      </c>
      <c r="R136" s="13" t="str">
        <f t="shared" si="3"/>
        <v>Yes</v>
      </c>
      <c r="S136" s="86">
        <f t="array" ref="S136">iferror(XLOOKUP(C136,'Download of SFDC Activation Rep'!B:B,'Download of SFDC Activation Rep'!Y:Y),"")</f>
        <v>45812</v>
      </c>
    </row>
    <row r="137">
      <c r="A137" s="17" t="s">
        <v>17</v>
      </c>
      <c r="B137" s="85">
        <v>45992.0</v>
      </c>
      <c r="C137" s="17">
        <v>4100689.0</v>
      </c>
      <c r="D137" s="85">
        <v>45901.0</v>
      </c>
      <c r="E137" s="17">
        <v>9.0</v>
      </c>
      <c r="F137" s="17">
        <v>0.0</v>
      </c>
      <c r="G137" s="17">
        <v>141186.0</v>
      </c>
      <c r="H137" s="17">
        <v>107050.0</v>
      </c>
      <c r="I137" s="17">
        <v>4094.39</v>
      </c>
      <c r="J137" s="17"/>
      <c r="K137" s="17">
        <v>1772.83069999999</v>
      </c>
      <c r="L137" s="17">
        <v>1771.41884</v>
      </c>
      <c r="M137" s="17">
        <v>1.4118599999997</v>
      </c>
      <c r="N137" s="17"/>
      <c r="O137" s="14">
        <f t="shared" si="1"/>
        <v>1772.8307</v>
      </c>
      <c r="P137" s="86">
        <f t="array" ref="P137">iferror(XLOOKUP(C137,'Download of SFDC Activation Rep'!B:B,'Download of SFDC Activation Rep'!Z:Z),"")</f>
        <v>45903</v>
      </c>
      <c r="Q137" s="86">
        <f t="shared" si="2"/>
        <v>45901</v>
      </c>
      <c r="R137" s="13" t="str">
        <f t="shared" si="3"/>
        <v>Yes</v>
      </c>
      <c r="S137" s="86">
        <f t="array" ref="S137">iferror(XLOOKUP(C137,'Download of SFDC Activation Rep'!B:B,'Download of SFDC Activation Rep'!Y:Y),"")</f>
        <v>45908</v>
      </c>
    </row>
    <row r="138">
      <c r="A138" s="17" t="s">
        <v>17</v>
      </c>
      <c r="B138" s="85">
        <v>46174.0</v>
      </c>
      <c r="C138" s="17">
        <v>3956509.0</v>
      </c>
      <c r="D138" s="85">
        <v>45901.0</v>
      </c>
      <c r="E138" s="17">
        <v>1.0</v>
      </c>
      <c r="F138" s="17">
        <v>1.0</v>
      </c>
      <c r="G138" s="17">
        <v>477.0</v>
      </c>
      <c r="H138" s="17"/>
      <c r="I138" s="17">
        <v>0.0</v>
      </c>
      <c r="J138" s="17"/>
      <c r="K138" s="17">
        <v>-0.1879</v>
      </c>
      <c r="L138" s="17">
        <v>-0.2626369801</v>
      </c>
      <c r="M138" s="17">
        <v>0.0747369801</v>
      </c>
      <c r="N138" s="17"/>
      <c r="O138" s="14">
        <f t="shared" si="1"/>
        <v>-0.1879</v>
      </c>
      <c r="P138" s="86">
        <f t="array" ref="P138">iferror(XLOOKUP(C138,'Download of SFDC Activation Rep'!B:B,'Download of SFDC Activation Rep'!Z:Z),"")</f>
        <v>45890</v>
      </c>
      <c r="Q138" s="86">
        <f t="shared" si="2"/>
        <v>45870</v>
      </c>
      <c r="R138" s="13" t="str">
        <f t="shared" si="3"/>
        <v>Yes</v>
      </c>
      <c r="S138" s="86">
        <f t="array" ref="S138">iferror(XLOOKUP(C138,'Download of SFDC Activation Rep'!B:B,'Download of SFDC Activation Rep'!Y:Y),"")</f>
        <v>46009</v>
      </c>
    </row>
    <row r="139">
      <c r="A139" s="17" t="s">
        <v>17</v>
      </c>
      <c r="B139" s="85">
        <v>45383.0</v>
      </c>
      <c r="C139" s="17">
        <v>2967694.0</v>
      </c>
      <c r="D139" s="85">
        <v>45292.0</v>
      </c>
      <c r="E139" s="17">
        <v>6.0</v>
      </c>
      <c r="F139" s="17">
        <v>0.0</v>
      </c>
      <c r="G139" s="17">
        <v>36600.0</v>
      </c>
      <c r="H139" s="17">
        <v>36600.0</v>
      </c>
      <c r="I139" s="17">
        <v>1061.39</v>
      </c>
      <c r="J139" s="17"/>
      <c r="K139" s="17">
        <v>152.7009</v>
      </c>
      <c r="L139" s="17">
        <v>143.56365774984</v>
      </c>
      <c r="M139" s="17">
        <v>9.13724225016</v>
      </c>
      <c r="N139" s="17"/>
      <c r="O139" s="14">
        <f t="shared" si="1"/>
        <v>152.7009</v>
      </c>
      <c r="P139" s="86">
        <f t="array" ref="P139">iferror(XLOOKUP(C139,'Download of SFDC Activation Rep'!B:B,'Download of SFDC Activation Rep'!Z:Z),"")</f>
        <v>45924</v>
      </c>
      <c r="Q139" s="86">
        <f t="shared" si="2"/>
        <v>45901</v>
      </c>
      <c r="R139" s="13" t="str">
        <f t="shared" si="3"/>
        <v>No</v>
      </c>
      <c r="S139" s="86">
        <f t="array" ref="S139">iferror(XLOOKUP(C139,'Download of SFDC Activation Rep'!B:B,'Download of SFDC Activation Rep'!Y:Y),"")</f>
        <v>46055</v>
      </c>
    </row>
    <row r="140">
      <c r="A140" s="17" t="s">
        <v>17</v>
      </c>
      <c r="B140" s="85">
        <v>46174.0</v>
      </c>
      <c r="C140" s="17">
        <v>4378644.0</v>
      </c>
      <c r="D140" s="85">
        <v>46054.0</v>
      </c>
      <c r="E140" s="17">
        <v>5.0</v>
      </c>
      <c r="F140" s="17">
        <v>0.0</v>
      </c>
      <c r="G140" s="17">
        <v>3009.02</v>
      </c>
      <c r="H140" s="17"/>
      <c r="I140" s="17">
        <v>87.26</v>
      </c>
      <c r="J140" s="17"/>
      <c r="K140" s="17">
        <v>4.6674</v>
      </c>
      <c r="L140" s="17">
        <v>3.07125691574399</v>
      </c>
      <c r="M140" s="17">
        <v>1.596143084256</v>
      </c>
      <c r="N140" s="17"/>
      <c r="O140" s="14">
        <f t="shared" si="1"/>
        <v>4.6674</v>
      </c>
      <c r="P140" s="86">
        <f t="array" ref="P140">iferror(XLOOKUP(C140,'Download of SFDC Activation Rep'!B:B,'Download of SFDC Activation Rep'!Z:Z),"")</f>
        <v>46056</v>
      </c>
      <c r="Q140" s="86">
        <f t="shared" si="2"/>
        <v>46054</v>
      </c>
      <c r="R140" s="13" t="str">
        <f t="shared" si="3"/>
        <v>Yes</v>
      </c>
      <c r="S140" s="86">
        <f t="array" ref="S140">iferror(XLOOKUP(C140,'Download of SFDC Activation Rep'!B:B,'Download of SFDC Activation Rep'!Y:Y),"")</f>
        <v>46086</v>
      </c>
    </row>
    <row r="141">
      <c r="A141" s="17" t="s">
        <v>17</v>
      </c>
      <c r="B141" s="85">
        <v>46143.0</v>
      </c>
      <c r="C141" s="17">
        <v>4442279.0</v>
      </c>
      <c r="D141" s="85">
        <v>46054.0</v>
      </c>
      <c r="E141" s="17">
        <v>59.0</v>
      </c>
      <c r="F141" s="17">
        <v>10.0</v>
      </c>
      <c r="G141" s="17">
        <v>104295.64</v>
      </c>
      <c r="H141" s="17">
        <v>25197.77</v>
      </c>
      <c r="I141" s="17">
        <v>1891.56</v>
      </c>
      <c r="J141" s="17"/>
      <c r="K141" s="17">
        <v>92.9781</v>
      </c>
      <c r="L141" s="17">
        <v>91.9351436</v>
      </c>
      <c r="M141" s="17">
        <v>1.04295639999999</v>
      </c>
      <c r="N141" s="17"/>
      <c r="O141" s="14">
        <f t="shared" si="1"/>
        <v>92.9781</v>
      </c>
      <c r="P141" s="86">
        <f t="array" ref="P141">iferror(XLOOKUP(C141,'Download of SFDC Activation Rep'!B:B,'Download of SFDC Activation Rep'!Z:Z),"")</f>
        <v>46063</v>
      </c>
      <c r="Q141" s="86">
        <f t="shared" si="2"/>
        <v>46054</v>
      </c>
      <c r="R141" s="13" t="str">
        <f t="shared" si="3"/>
        <v>Yes</v>
      </c>
      <c r="S141" s="86">
        <f t="array" ref="S141">iferror(XLOOKUP(C141,'Download of SFDC Activation Rep'!B:B,'Download of SFDC Activation Rep'!Y:Y),"")</f>
        <v>46108</v>
      </c>
    </row>
    <row r="142">
      <c r="A142" s="17" t="s">
        <v>17</v>
      </c>
      <c r="B142" s="85">
        <v>45901.0</v>
      </c>
      <c r="C142" s="17">
        <v>4079020.0</v>
      </c>
      <c r="D142" s="85">
        <v>45901.0</v>
      </c>
      <c r="E142" s="17">
        <v>1.0</v>
      </c>
      <c r="F142" s="17">
        <v>1.0</v>
      </c>
      <c r="G142" s="17">
        <v>1700.0</v>
      </c>
      <c r="H142" s="17"/>
      <c r="I142" s="17">
        <v>0.0</v>
      </c>
      <c r="J142" s="17"/>
      <c r="K142" s="17">
        <v>-0.15</v>
      </c>
      <c r="L142" s="17">
        <v>-0.41635828973</v>
      </c>
      <c r="M142" s="17">
        <v>0.26635828973</v>
      </c>
      <c r="N142" s="17"/>
      <c r="O142" s="14">
        <f t="shared" si="1"/>
        <v>-0.15</v>
      </c>
      <c r="P142" s="86">
        <f t="array" ref="P142">iferror(XLOOKUP(C142,'Download of SFDC Activation Rep'!B:B,'Download of SFDC Activation Rep'!Z:Z),"")</f>
        <v>45894</v>
      </c>
      <c r="Q142" s="86">
        <f t="shared" si="2"/>
        <v>45870</v>
      </c>
      <c r="R142" s="13" t="str">
        <f t="shared" si="3"/>
        <v>Yes</v>
      </c>
      <c r="S142" s="86">
        <f t="array" ref="S142">iferror(XLOOKUP(C142,'Download of SFDC Activation Rep'!B:B,'Download of SFDC Activation Rep'!Y:Y),"")</f>
        <v>45937</v>
      </c>
    </row>
    <row r="143">
      <c r="A143" s="17" t="s">
        <v>17</v>
      </c>
      <c r="B143" s="85">
        <v>46082.0</v>
      </c>
      <c r="C143" s="17">
        <v>4307473.0</v>
      </c>
      <c r="D143" s="85">
        <v>45992.0</v>
      </c>
      <c r="E143" s="17">
        <v>8.0</v>
      </c>
      <c r="F143" s="17">
        <v>7.0</v>
      </c>
      <c r="G143" s="17">
        <v>82753.45</v>
      </c>
      <c r="H143" s="17"/>
      <c r="I143" s="17">
        <v>152.87</v>
      </c>
      <c r="J143" s="17"/>
      <c r="K143" s="17">
        <v>3.2844</v>
      </c>
      <c r="L143" s="17">
        <v>2.45686549999999</v>
      </c>
      <c r="M143" s="17">
        <v>0.827534500000001</v>
      </c>
      <c r="N143" s="17"/>
      <c r="O143" s="14">
        <f t="shared" si="1"/>
        <v>3.2844</v>
      </c>
      <c r="P143" s="86">
        <f t="array" ref="P143">iferror(XLOOKUP(C143,'Download of SFDC Activation Rep'!B:B,'Download of SFDC Activation Rep'!Z:Z),"")</f>
        <v>45841</v>
      </c>
      <c r="Q143" s="86">
        <f t="shared" si="2"/>
        <v>45839</v>
      </c>
      <c r="R143" s="13" t="str">
        <f t="shared" si="3"/>
        <v>Yes</v>
      </c>
      <c r="S143" s="86">
        <f t="array" ref="S143">iferror(XLOOKUP(C143,'Download of SFDC Activation Rep'!B:B,'Download of SFDC Activation Rep'!Y:Y),"")</f>
        <v>46021</v>
      </c>
    </row>
    <row r="144">
      <c r="A144" s="17" t="s">
        <v>17</v>
      </c>
      <c r="B144" s="85">
        <v>45992.0</v>
      </c>
      <c r="C144" s="17">
        <v>3942651.0</v>
      </c>
      <c r="D144" s="85">
        <v>45809.0</v>
      </c>
      <c r="E144" s="17">
        <v>4.0</v>
      </c>
      <c r="F144" s="17">
        <v>4.0</v>
      </c>
      <c r="G144" s="17">
        <v>2420.0</v>
      </c>
      <c r="H144" s="17"/>
      <c r="I144" s="17">
        <v>0.0</v>
      </c>
      <c r="J144" s="17"/>
      <c r="K144" s="17">
        <v>-0.5995</v>
      </c>
      <c r="L144" s="17">
        <v>-0.6237</v>
      </c>
      <c r="M144" s="17">
        <v>0.0242</v>
      </c>
      <c r="N144" s="17"/>
      <c r="O144" s="14">
        <f t="shared" si="1"/>
        <v>-0.5995</v>
      </c>
      <c r="P144" s="86">
        <f t="array" ref="P144">iferror(XLOOKUP(C144,'Download of SFDC Activation Rep'!B:B,'Download of SFDC Activation Rep'!Z:Z),"")</f>
        <v>45809</v>
      </c>
      <c r="Q144" s="86">
        <f t="shared" si="2"/>
        <v>45809</v>
      </c>
      <c r="R144" s="13" t="str">
        <f t="shared" si="3"/>
        <v>Yes</v>
      </c>
      <c r="S144" s="86">
        <f t="array" ref="S144">iferror(XLOOKUP(C144,'Download of SFDC Activation Rep'!B:B,'Download of SFDC Activation Rep'!Y:Y),"")</f>
        <v>45819</v>
      </c>
    </row>
    <row r="145">
      <c r="A145" s="17" t="s">
        <v>17</v>
      </c>
      <c r="B145" s="85">
        <v>45839.0</v>
      </c>
      <c r="C145" s="17">
        <v>3942346.0</v>
      </c>
      <c r="D145" s="85">
        <v>45809.0</v>
      </c>
      <c r="E145" s="17">
        <v>3.0</v>
      </c>
      <c r="F145" s="17">
        <v>3.0</v>
      </c>
      <c r="G145" s="17">
        <v>10435.59</v>
      </c>
      <c r="H145" s="17"/>
      <c r="I145" s="17">
        <v>157.0</v>
      </c>
      <c r="J145" s="17"/>
      <c r="K145" s="17">
        <v>138.1445</v>
      </c>
      <c r="L145" s="17">
        <v>136.48483873164</v>
      </c>
      <c r="M145" s="17">
        <v>1.65966126835945</v>
      </c>
      <c r="N145" s="17"/>
      <c r="O145" s="14">
        <f t="shared" si="1"/>
        <v>138.1445</v>
      </c>
      <c r="P145" s="86">
        <f t="array" ref="P145">iferror(XLOOKUP(C145,'Download of SFDC Activation Rep'!B:B,'Download of SFDC Activation Rep'!Z:Z),"")</f>
        <v>45809</v>
      </c>
      <c r="Q145" s="86">
        <f t="shared" si="2"/>
        <v>45809</v>
      </c>
      <c r="R145" s="13" t="str">
        <f t="shared" si="3"/>
        <v>Yes</v>
      </c>
      <c r="S145" s="86">
        <f t="array" ref="S145">iferror(XLOOKUP(C145,'Download of SFDC Activation Rep'!B:B,'Download of SFDC Activation Rep'!Y:Y),"")</f>
        <v>45812</v>
      </c>
    </row>
    <row r="146">
      <c r="A146" s="17" t="s">
        <v>17</v>
      </c>
      <c r="B146" s="85">
        <v>45962.0</v>
      </c>
      <c r="C146" s="17">
        <v>4138622.0</v>
      </c>
      <c r="D146" s="85">
        <v>45901.0</v>
      </c>
      <c r="E146" s="17">
        <v>10.0</v>
      </c>
      <c r="F146" s="17">
        <v>6.0</v>
      </c>
      <c r="G146" s="17">
        <v>84695.67</v>
      </c>
      <c r="H146" s="17"/>
      <c r="I146" s="17">
        <v>1158.16</v>
      </c>
      <c r="J146" s="17"/>
      <c r="K146" s="17">
        <v>1151.2482</v>
      </c>
      <c r="L146" s="17">
        <v>1150.4012433</v>
      </c>
      <c r="M146" s="17">
        <v>0.846956699999964</v>
      </c>
      <c r="N146" s="17"/>
      <c r="O146" s="14">
        <f t="shared" si="1"/>
        <v>1151.2482</v>
      </c>
      <c r="P146" s="86">
        <f t="array" ref="P146">iferror(XLOOKUP(C146,'Download of SFDC Activation Rep'!B:B,'Download of SFDC Activation Rep'!Z:Z),"")</f>
        <v>45916</v>
      </c>
      <c r="Q146" s="86">
        <f t="shared" si="2"/>
        <v>45901</v>
      </c>
      <c r="R146" s="13" t="str">
        <f t="shared" si="3"/>
        <v>Yes</v>
      </c>
      <c r="S146" s="86">
        <f t="array" ref="S146">iferror(XLOOKUP(C146,'Download of SFDC Activation Rep'!B:B,'Download of SFDC Activation Rep'!Y:Y),"")</f>
        <v>45966</v>
      </c>
    </row>
    <row r="147">
      <c r="A147" s="17" t="s">
        <v>17</v>
      </c>
      <c r="B147" s="85">
        <v>46082.0</v>
      </c>
      <c r="C147" s="17">
        <v>3738104.0</v>
      </c>
      <c r="D147" s="85">
        <v>45748.0</v>
      </c>
      <c r="E147" s="17">
        <v>1.0</v>
      </c>
      <c r="F147" s="17">
        <v>1.0</v>
      </c>
      <c r="G147" s="17">
        <v>998.55</v>
      </c>
      <c r="H147" s="17"/>
      <c r="I147" s="17">
        <v>9.99</v>
      </c>
      <c r="J147" s="17"/>
      <c r="K147" s="17">
        <v>9.5532</v>
      </c>
      <c r="L147" s="17">
        <v>8.737842285465</v>
      </c>
      <c r="M147" s="17">
        <v>0.815357714535</v>
      </c>
      <c r="N147" s="17"/>
      <c r="O147" s="14">
        <f t="shared" si="1"/>
        <v>9.5532</v>
      </c>
      <c r="P147" s="86">
        <f t="array" ref="P147">iferror(XLOOKUP(C147,'Download of SFDC Activation Rep'!B:B,'Download of SFDC Activation Rep'!Z:Z),"")</f>
        <v>45806</v>
      </c>
      <c r="Q147" s="86">
        <f t="shared" si="2"/>
        <v>45778</v>
      </c>
      <c r="R147" s="13" t="str">
        <f t="shared" si="3"/>
        <v>Yes</v>
      </c>
      <c r="S147" s="86">
        <f t="array" ref="S147">iferror(XLOOKUP(C147,'Download of SFDC Activation Rep'!B:B,'Download of SFDC Activation Rep'!Y:Y),"")</f>
        <v>45806</v>
      </c>
    </row>
    <row r="148">
      <c r="A148" s="17" t="s">
        <v>17</v>
      </c>
      <c r="B148" s="85">
        <v>46023.0</v>
      </c>
      <c r="C148" s="17">
        <v>4138622.0</v>
      </c>
      <c r="D148" s="85">
        <v>45901.0</v>
      </c>
      <c r="E148" s="17">
        <v>15.0</v>
      </c>
      <c r="F148" s="17">
        <v>11.0</v>
      </c>
      <c r="G148" s="17">
        <v>183644.2</v>
      </c>
      <c r="H148" s="17"/>
      <c r="I148" s="17">
        <v>994.52</v>
      </c>
      <c r="J148" s="17"/>
      <c r="K148" s="17">
        <v>160.8303</v>
      </c>
      <c r="L148" s="17">
        <v>155.364399</v>
      </c>
      <c r="M148" s="17">
        <v>5.46590099999997</v>
      </c>
      <c r="N148" s="17"/>
      <c r="O148" s="14">
        <f t="shared" si="1"/>
        <v>160.8303</v>
      </c>
      <c r="P148" s="86">
        <f t="array" ref="P148">iferror(XLOOKUP(C148,'Download of SFDC Activation Rep'!B:B,'Download of SFDC Activation Rep'!Z:Z),"")</f>
        <v>45916</v>
      </c>
      <c r="Q148" s="86">
        <f t="shared" si="2"/>
        <v>45901</v>
      </c>
      <c r="R148" s="13" t="str">
        <f t="shared" si="3"/>
        <v>Yes</v>
      </c>
      <c r="S148" s="86">
        <f t="array" ref="S148">iferror(XLOOKUP(C148,'Download of SFDC Activation Rep'!B:B,'Download of SFDC Activation Rep'!Y:Y),"")</f>
        <v>45966</v>
      </c>
    </row>
    <row r="149">
      <c r="A149" s="17" t="s">
        <v>17</v>
      </c>
      <c r="B149" s="85">
        <v>46143.0</v>
      </c>
      <c r="C149" s="17">
        <v>4310103.0</v>
      </c>
      <c r="D149" s="85">
        <v>46082.0</v>
      </c>
      <c r="E149" s="17">
        <v>4.0</v>
      </c>
      <c r="F149" s="17">
        <v>0.0</v>
      </c>
      <c r="G149" s="17">
        <v>28000.0</v>
      </c>
      <c r="H149" s="17">
        <v>10000.0</v>
      </c>
      <c r="I149" s="17">
        <v>812.0</v>
      </c>
      <c r="J149" s="17"/>
      <c r="K149" s="17">
        <v>57.1538</v>
      </c>
      <c r="L149" s="17">
        <v>42.3011216</v>
      </c>
      <c r="M149" s="17">
        <v>14.8526784</v>
      </c>
      <c r="N149" s="17"/>
      <c r="O149" s="14">
        <f t="shared" si="1"/>
        <v>57.1538</v>
      </c>
      <c r="P149" s="86">
        <f t="array" ref="P149">iferror(XLOOKUP(C149,'Download of SFDC Activation Rep'!B:B,'Download of SFDC Activation Rep'!Z:Z),"")</f>
        <v>46037</v>
      </c>
      <c r="Q149" s="86">
        <f t="shared" si="2"/>
        <v>46023</v>
      </c>
      <c r="R149" s="13" t="str">
        <f t="shared" si="3"/>
        <v>Yes</v>
      </c>
      <c r="S149" s="86">
        <f t="array" ref="S149">iferror(XLOOKUP(C149,'Download of SFDC Activation Rep'!B:B,'Download of SFDC Activation Rep'!Y:Y),"")</f>
        <v>46108</v>
      </c>
    </row>
    <row r="150">
      <c r="A150" s="17" t="s">
        <v>488</v>
      </c>
      <c r="B150" s="85">
        <v>45962.0</v>
      </c>
      <c r="C150" s="17">
        <v>3959338.0</v>
      </c>
      <c r="D150" s="85">
        <v>45839.0</v>
      </c>
      <c r="E150" s="17">
        <v>36.0</v>
      </c>
      <c r="F150" s="17">
        <v>36.0</v>
      </c>
      <c r="G150" s="17">
        <v>50926.0</v>
      </c>
      <c r="H150" s="17"/>
      <c r="I150" s="17">
        <v>127.99</v>
      </c>
      <c r="J150" s="17">
        <v>2.5</v>
      </c>
      <c r="K150" s="17">
        <v>120.0341</v>
      </c>
      <c r="L150" s="17">
        <v>92.7148502490246</v>
      </c>
      <c r="M150" s="17">
        <v>27.3192497509754</v>
      </c>
      <c r="N150" s="17">
        <v>25.0</v>
      </c>
      <c r="O150" s="14">
        <f t="shared" si="1"/>
        <v>145.0341</v>
      </c>
      <c r="P150" s="86">
        <f t="array" ref="P150">iferror(XLOOKUP(C150,'Download of SFDC Activation Rep'!B:B,'Download of SFDC Activation Rep'!Z:Z),"")</f>
        <v>45839</v>
      </c>
      <c r="Q150" s="86">
        <f t="shared" si="2"/>
        <v>45839</v>
      </c>
      <c r="R150" s="13" t="str">
        <f t="shared" si="3"/>
        <v>Yes</v>
      </c>
      <c r="S150" s="86">
        <f t="array" ref="S150">iferror(XLOOKUP(C150,'Download of SFDC Activation Rep'!B:B,'Download of SFDC Activation Rep'!Y:Y),"")</f>
        <v>45841</v>
      </c>
    </row>
    <row r="151">
      <c r="A151" s="17" t="s">
        <v>19</v>
      </c>
      <c r="B151" s="85">
        <v>46023.0</v>
      </c>
      <c r="C151" s="17">
        <v>2402714.0</v>
      </c>
      <c r="D151" s="85">
        <v>45931.0</v>
      </c>
      <c r="E151" s="17">
        <v>28.0</v>
      </c>
      <c r="F151" s="17">
        <v>28.0</v>
      </c>
      <c r="G151" s="17">
        <v>430794.33</v>
      </c>
      <c r="H151" s="17"/>
      <c r="I151" s="17">
        <v>6.0</v>
      </c>
      <c r="J151" s="17"/>
      <c r="K151" s="17">
        <v>-2.0513</v>
      </c>
      <c r="L151" s="17">
        <v>-97.1347079740593</v>
      </c>
      <c r="M151" s="17">
        <v>95.0834079740593</v>
      </c>
      <c r="N151" s="17">
        <v>80.0</v>
      </c>
      <c r="O151" s="14">
        <f t="shared" si="1"/>
        <v>77.9487</v>
      </c>
      <c r="P151" s="86">
        <f t="array" ref="P151">iferror(XLOOKUP(C151,'Download of SFDC Activation Rep'!B:B,'Download of SFDC Activation Rep'!Z:Z),"")</f>
        <v>45856</v>
      </c>
      <c r="Q151" s="86">
        <f t="shared" si="2"/>
        <v>45839</v>
      </c>
      <c r="R151" s="13" t="str">
        <f t="shared" si="3"/>
        <v>Yes</v>
      </c>
      <c r="S151" s="86">
        <f t="array" ref="S151">iferror(XLOOKUP(C151,'Download of SFDC Activation Rep'!B:B,'Download of SFDC Activation Rep'!Y:Y),"")</f>
        <v>45931</v>
      </c>
    </row>
    <row r="152">
      <c r="A152" s="17" t="s">
        <v>489</v>
      </c>
      <c r="B152" s="85">
        <v>46143.0</v>
      </c>
      <c r="C152" s="17">
        <v>4595676.0</v>
      </c>
      <c r="D152" s="85">
        <v>46113.0</v>
      </c>
      <c r="E152" s="17">
        <v>5.0</v>
      </c>
      <c r="F152" s="17">
        <v>0.0</v>
      </c>
      <c r="G152" s="17">
        <v>22683.0</v>
      </c>
      <c r="H152" s="17">
        <v>13022.0</v>
      </c>
      <c r="I152" s="17">
        <v>557.8</v>
      </c>
      <c r="J152" s="17"/>
      <c r="K152" s="17">
        <v>-48.6112</v>
      </c>
      <c r="L152" s="17">
        <v>-60.3311891823999</v>
      </c>
      <c r="M152" s="17">
        <v>11.7199891823999</v>
      </c>
      <c r="N152" s="17">
        <v>46.75</v>
      </c>
      <c r="O152" s="14">
        <f t="shared" si="1"/>
        <v>-1.8612</v>
      </c>
      <c r="P152" s="86">
        <f t="array" ref="P152">iferror(XLOOKUP(C152,'Download of SFDC Activation Rep'!B:B,'Download of SFDC Activation Rep'!Z:Z),"")</f>
        <v>46139</v>
      </c>
      <c r="Q152" s="86">
        <f t="shared" si="2"/>
        <v>46113</v>
      </c>
      <c r="R152" s="13" t="str">
        <f t="shared" si="3"/>
        <v>Yes</v>
      </c>
      <c r="S152" s="86">
        <f t="array" ref="S152">iferror(XLOOKUP(C152,'Download of SFDC Activation Rep'!B:B,'Download of SFDC Activation Rep'!Y:Y),"")</f>
        <v>46258</v>
      </c>
    </row>
    <row r="153">
      <c r="A153" s="17" t="s">
        <v>488</v>
      </c>
      <c r="B153" s="85">
        <v>46054.0</v>
      </c>
      <c r="C153" s="17">
        <v>3785914.0</v>
      </c>
      <c r="D153" s="85">
        <v>45778.0</v>
      </c>
      <c r="E153" s="17">
        <v>17.0</v>
      </c>
      <c r="F153" s="17">
        <v>13.0</v>
      </c>
      <c r="G153" s="17">
        <v>32827.38</v>
      </c>
      <c r="H153" s="17">
        <v>3298.2</v>
      </c>
      <c r="I153" s="17">
        <v>299.13</v>
      </c>
      <c r="J153" s="17"/>
      <c r="K153" s="17">
        <v>68.5782</v>
      </c>
      <c r="L153" s="17">
        <v>63.1942163385539</v>
      </c>
      <c r="M153" s="17">
        <v>5.383983661446</v>
      </c>
      <c r="N153" s="17">
        <v>35.0</v>
      </c>
      <c r="O153" s="14">
        <f t="shared" si="1"/>
        <v>125.0165</v>
      </c>
      <c r="P153" s="86">
        <f t="array" ref="P153">iferror(XLOOKUP(C153,'Download of SFDC Activation Rep'!B:B,'Download of SFDC Activation Rep'!Z:Z),"")</f>
        <v>45806</v>
      </c>
      <c r="Q153" s="86">
        <f t="shared" si="2"/>
        <v>45778</v>
      </c>
      <c r="R153" s="13" t="str">
        <f t="shared" si="3"/>
        <v>Yes</v>
      </c>
      <c r="S153" s="86">
        <f t="array" ref="S153">iferror(XLOOKUP(C153,'Download of SFDC Activation Rep'!B:B,'Download of SFDC Activation Rep'!Y:Y),"")</f>
        <v>45806</v>
      </c>
    </row>
    <row r="154">
      <c r="A154" s="17" t="s">
        <v>19</v>
      </c>
      <c r="B154" s="85">
        <v>45962.0</v>
      </c>
      <c r="C154" s="17">
        <v>2402714.0</v>
      </c>
      <c r="D154" s="85">
        <v>45931.0</v>
      </c>
      <c r="E154" s="17">
        <v>4.0</v>
      </c>
      <c r="F154" s="17">
        <v>4.0</v>
      </c>
      <c r="G154" s="17">
        <v>44.48</v>
      </c>
      <c r="H154" s="17"/>
      <c r="I154" s="17">
        <v>0.0</v>
      </c>
      <c r="J154" s="17"/>
      <c r="K154" s="17">
        <v>-0.589699999999999</v>
      </c>
      <c r="L154" s="17">
        <v>-0.596669186310112</v>
      </c>
      <c r="M154" s="17">
        <v>0.00696918631011211</v>
      </c>
      <c r="N154" s="17">
        <v>80.0</v>
      </c>
      <c r="O154" s="14">
        <f t="shared" si="1"/>
        <v>79.4103</v>
      </c>
      <c r="P154" s="86">
        <f t="array" ref="P154">iferror(XLOOKUP(C154,'Download of SFDC Activation Rep'!B:B,'Download of SFDC Activation Rep'!Z:Z),"")</f>
        <v>45856</v>
      </c>
      <c r="Q154" s="86">
        <f t="shared" si="2"/>
        <v>45839</v>
      </c>
      <c r="R154" s="13" t="str">
        <f t="shared" si="3"/>
        <v>Yes</v>
      </c>
      <c r="S154" s="86">
        <f t="array" ref="S154">iferror(XLOOKUP(C154,'Download of SFDC Activation Rep'!B:B,'Download of SFDC Activation Rep'!Y:Y),"")</f>
        <v>45931</v>
      </c>
    </row>
    <row r="155">
      <c r="A155" s="17" t="s">
        <v>488</v>
      </c>
      <c r="B155" s="85">
        <v>46143.0</v>
      </c>
      <c r="C155" s="17">
        <v>3906405.0</v>
      </c>
      <c r="D155" s="85">
        <v>45778.0</v>
      </c>
      <c r="E155" s="17">
        <v>49.0</v>
      </c>
      <c r="F155" s="17">
        <v>49.0</v>
      </c>
      <c r="G155" s="17">
        <v>72948.79</v>
      </c>
      <c r="H155" s="17"/>
      <c r="I155" s="17">
        <v>20.27</v>
      </c>
      <c r="J155" s="17">
        <v>11.5</v>
      </c>
      <c r="K155" s="17">
        <v>10.6668</v>
      </c>
      <c r="L155" s="17">
        <v>-1.29861802462699</v>
      </c>
      <c r="M155" s="17">
        <v>11.9654180246269</v>
      </c>
      <c r="N155" s="17">
        <v>29.75</v>
      </c>
      <c r="O155" s="14">
        <f t="shared" si="1"/>
        <v>40.4168</v>
      </c>
      <c r="P155" s="86">
        <f t="array" ref="P155">iferror(XLOOKUP(C155,'Download of SFDC Activation Rep'!B:B,'Download of SFDC Activation Rep'!Z:Z),"")</f>
        <v>45798</v>
      </c>
      <c r="Q155" s="86">
        <f t="shared" si="2"/>
        <v>45778</v>
      </c>
      <c r="R155" s="13" t="str">
        <f t="shared" si="3"/>
        <v>Yes</v>
      </c>
      <c r="S155" s="86">
        <f t="array" ref="S155">iferror(XLOOKUP(C155,'Download of SFDC Activation Rep'!B:B,'Download of SFDC Activation Rep'!Y:Y),"")</f>
        <v>45807</v>
      </c>
    </row>
    <row r="156">
      <c r="A156" s="17" t="s">
        <v>488</v>
      </c>
      <c r="B156" s="85">
        <v>46174.0</v>
      </c>
      <c r="C156" s="17">
        <v>4585208.0</v>
      </c>
      <c r="D156" s="85">
        <v>46143.0</v>
      </c>
      <c r="E156" s="17">
        <v>4.0</v>
      </c>
      <c r="F156" s="17">
        <v>0.0</v>
      </c>
      <c r="G156" s="17">
        <v>46375.85</v>
      </c>
      <c r="H156" s="17">
        <v>46375.85</v>
      </c>
      <c r="I156" s="17">
        <v>1419.9</v>
      </c>
      <c r="J156" s="17"/>
      <c r="K156" s="17">
        <v>153.8842</v>
      </c>
      <c r="L156" s="17">
        <v>94.38613571512</v>
      </c>
      <c r="M156" s="17">
        <v>59.4980642848799</v>
      </c>
      <c r="N156" s="17">
        <v>21.25</v>
      </c>
      <c r="O156" s="14">
        <f t="shared" si="1"/>
        <v>175.1342</v>
      </c>
      <c r="P156" s="86">
        <f t="array" ref="P156">iferror(XLOOKUP(C156,'Download of SFDC Activation Rep'!B:B,'Download of SFDC Activation Rep'!Z:Z),"")</f>
        <v>46148</v>
      </c>
      <c r="Q156" s="86">
        <f t="shared" si="2"/>
        <v>46143</v>
      </c>
      <c r="R156" s="13" t="str">
        <f t="shared" si="3"/>
        <v>Yes</v>
      </c>
      <c r="S156" s="86">
        <f t="array" ref="S156">iferror(XLOOKUP(C156,'Download of SFDC Activation Rep'!B:B,'Download of SFDC Activation Rep'!Y:Y),"")</f>
        <v>46251</v>
      </c>
    </row>
    <row r="157">
      <c r="A157" s="17" t="s">
        <v>488</v>
      </c>
      <c r="B157" s="85">
        <v>46174.0</v>
      </c>
      <c r="C157" s="17">
        <v>4314059.0</v>
      </c>
      <c r="D157" s="85">
        <v>46023.0</v>
      </c>
      <c r="E157" s="17">
        <v>10.0</v>
      </c>
      <c r="F157" s="17">
        <v>0.0</v>
      </c>
      <c r="G157" s="17">
        <v>136329.0</v>
      </c>
      <c r="H157" s="17">
        <v>25000.0</v>
      </c>
      <c r="I157" s="17">
        <v>4028.54</v>
      </c>
      <c r="J157" s="17"/>
      <c r="K157" s="17">
        <v>357.797299999999</v>
      </c>
      <c r="L157" s="17">
        <v>212.7773152288</v>
      </c>
      <c r="M157" s="17">
        <v>145.019984771199</v>
      </c>
      <c r="N157" s="17">
        <v>35.0</v>
      </c>
      <c r="O157" s="14">
        <f t="shared" si="1"/>
        <v>392.7973</v>
      </c>
      <c r="P157" s="86">
        <f t="array" ref="P157">iferror(XLOOKUP(C157,'Download of SFDC Activation Rep'!B:B,'Download of SFDC Activation Rep'!Z:Z),"")</f>
        <v>46027</v>
      </c>
      <c r="Q157" s="86">
        <f t="shared" si="2"/>
        <v>46023</v>
      </c>
      <c r="R157" s="13" t="str">
        <f t="shared" si="3"/>
        <v>Yes</v>
      </c>
      <c r="S157" s="86">
        <f t="array" ref="S157">iferror(XLOOKUP(C157,'Download of SFDC Activation Rep'!B:B,'Download of SFDC Activation Rep'!Y:Y),"")</f>
        <v>46043</v>
      </c>
    </row>
    <row r="158">
      <c r="A158" s="17" t="s">
        <v>19</v>
      </c>
      <c r="B158" s="85">
        <v>46082.0</v>
      </c>
      <c r="C158" s="17">
        <v>4263325.0</v>
      </c>
      <c r="D158" s="85">
        <v>45992.0</v>
      </c>
      <c r="E158" s="17">
        <v>31.0</v>
      </c>
      <c r="F158" s="17">
        <v>31.0</v>
      </c>
      <c r="G158" s="17">
        <v>153529.44</v>
      </c>
      <c r="H158" s="17"/>
      <c r="I158" s="17">
        <v>0.0</v>
      </c>
      <c r="J158" s="17"/>
      <c r="K158" s="17">
        <v>-4.214</v>
      </c>
      <c r="L158" s="17">
        <v>-28.269192247472</v>
      </c>
      <c r="M158" s="17">
        <v>24.055192247472</v>
      </c>
      <c r="N158" s="17">
        <v>54.4</v>
      </c>
      <c r="O158" s="14">
        <f t="shared" si="1"/>
        <v>50.186</v>
      </c>
      <c r="P158" s="86">
        <f t="array" ref="P158">iferror(XLOOKUP(C158,'Download of SFDC Activation Rep'!B:B,'Download of SFDC Activation Rep'!Z:Z),"")</f>
        <v>45961</v>
      </c>
      <c r="Q158" s="86">
        <f t="shared" si="2"/>
        <v>45931</v>
      </c>
      <c r="R158" s="13" t="str">
        <f t="shared" si="3"/>
        <v>Yes</v>
      </c>
      <c r="S158" s="86">
        <f t="array" ref="S158">iferror(XLOOKUP(C158,'Download of SFDC Activation Rep'!B:B,'Download of SFDC Activation Rep'!Y:Y),"")</f>
        <v>46013</v>
      </c>
    </row>
    <row r="159">
      <c r="A159" s="17" t="s">
        <v>17</v>
      </c>
      <c r="B159" s="85">
        <v>46113.0</v>
      </c>
      <c r="C159" s="17">
        <v>4528120.0</v>
      </c>
      <c r="D159" s="85">
        <v>46082.0</v>
      </c>
      <c r="E159" s="17">
        <v>2.0</v>
      </c>
      <c r="F159" s="17">
        <v>0.0</v>
      </c>
      <c r="G159" s="17">
        <v>8020.0</v>
      </c>
      <c r="H159" s="17">
        <v>4010.0</v>
      </c>
      <c r="I159" s="17">
        <v>252.58</v>
      </c>
      <c r="J159" s="17"/>
      <c r="K159" s="17">
        <v>16.0702</v>
      </c>
      <c r="L159" s="17">
        <v>8.804859544</v>
      </c>
      <c r="M159" s="17">
        <v>7.265340456</v>
      </c>
      <c r="N159" s="17">
        <v>0.0</v>
      </c>
      <c r="O159" s="14">
        <f t="shared" si="1"/>
        <v>42.1352</v>
      </c>
      <c r="P159" s="86">
        <f t="array" ref="P159">iferror(XLOOKUP(C159,'Download of SFDC Activation Rep'!B:B,'Download of SFDC Activation Rep'!Z:Z),"")</f>
        <v>46115</v>
      </c>
      <c r="Q159" s="86">
        <f t="shared" si="2"/>
        <v>46113</v>
      </c>
      <c r="R159" s="13" t="str">
        <f t="shared" si="3"/>
        <v>Yes</v>
      </c>
      <c r="S159" s="86">
        <f t="array" ref="S159">iferror(XLOOKUP(C159,'Download of SFDC Activation Rep'!B:B,'Download of SFDC Activation Rep'!Y:Y),"")</f>
        <v>46188</v>
      </c>
    </row>
    <row r="160">
      <c r="A160" s="17" t="s">
        <v>19</v>
      </c>
      <c r="B160" s="85">
        <v>46023.0</v>
      </c>
      <c r="C160" s="17">
        <v>4188267.0</v>
      </c>
      <c r="D160" s="85">
        <v>46023.0</v>
      </c>
      <c r="E160" s="17">
        <v>13.0</v>
      </c>
      <c r="F160" s="17">
        <v>13.0</v>
      </c>
      <c r="G160" s="17">
        <v>85539.85</v>
      </c>
      <c r="H160" s="17"/>
      <c r="I160" s="17">
        <v>6.553</v>
      </c>
      <c r="J160" s="17"/>
      <c r="K160" s="17">
        <v>4.48189999999999</v>
      </c>
      <c r="L160" s="17">
        <v>-13.7201011379293</v>
      </c>
      <c r="M160" s="17">
        <v>18.2020011379293</v>
      </c>
      <c r="N160" s="17">
        <v>64.0</v>
      </c>
      <c r="O160" s="14">
        <f t="shared" si="1"/>
        <v>68.4819</v>
      </c>
      <c r="P160" s="86">
        <f t="array" ref="P160">iferror(XLOOKUP(C160,'Download of SFDC Activation Rep'!B:B,'Download of SFDC Activation Rep'!Z:Z),"")</f>
        <v>45917</v>
      </c>
      <c r="Q160" s="86">
        <f t="shared" si="2"/>
        <v>45901</v>
      </c>
      <c r="R160" s="13" t="str">
        <f t="shared" si="3"/>
        <v>Yes</v>
      </c>
      <c r="S160" s="86">
        <f t="array" ref="S160">iferror(XLOOKUP(C160,'Download of SFDC Activation Rep'!B:B,'Download of SFDC Activation Rep'!Y:Y),"")</f>
        <v>46037</v>
      </c>
    </row>
    <row r="161">
      <c r="A161" s="17" t="s">
        <v>489</v>
      </c>
      <c r="B161" s="85">
        <v>45992.0</v>
      </c>
      <c r="C161" s="17">
        <v>4294933.0</v>
      </c>
      <c r="D161" s="85">
        <v>45992.0</v>
      </c>
      <c r="E161" s="17">
        <v>2.0</v>
      </c>
      <c r="F161" s="17">
        <v>2.0</v>
      </c>
      <c r="G161" s="17">
        <v>28968.0</v>
      </c>
      <c r="H161" s="17"/>
      <c r="I161" s="17">
        <v>0.0</v>
      </c>
      <c r="J161" s="17"/>
      <c r="K161" s="17">
        <v>-0.3886</v>
      </c>
      <c r="L161" s="17">
        <v>-0.67828</v>
      </c>
      <c r="M161" s="17">
        <v>0.28968</v>
      </c>
      <c r="N161" s="17">
        <v>0.0</v>
      </c>
      <c r="O161" s="14">
        <f t="shared" si="1"/>
        <v>-0.3886</v>
      </c>
      <c r="P161" s="86">
        <f t="array" ref="P161">iferror(XLOOKUP(C161,'Download of SFDC Activation Rep'!B:B,'Download of SFDC Activation Rep'!Z:Z),"")</f>
        <v>45992</v>
      </c>
      <c r="Q161" s="86">
        <f t="shared" si="2"/>
        <v>45992</v>
      </c>
      <c r="R161" s="13" t="str">
        <f t="shared" si="3"/>
        <v>Yes</v>
      </c>
      <c r="S161" s="86">
        <f t="array" ref="S161">iferror(XLOOKUP(C161,'Download of SFDC Activation Rep'!B:B,'Download of SFDC Activation Rep'!Y:Y),"")</f>
        <v>46017</v>
      </c>
    </row>
    <row r="162">
      <c r="A162" s="17" t="s">
        <v>488</v>
      </c>
      <c r="B162" s="85">
        <v>45992.0</v>
      </c>
      <c r="C162" s="17">
        <v>3968250.0</v>
      </c>
      <c r="D162" s="85">
        <v>45809.0</v>
      </c>
      <c r="E162" s="17">
        <v>24.0</v>
      </c>
      <c r="F162" s="17">
        <v>24.0</v>
      </c>
      <c r="G162" s="17">
        <v>45720.38</v>
      </c>
      <c r="H162" s="17"/>
      <c r="I162" s="17">
        <v>0.0</v>
      </c>
      <c r="J162" s="17"/>
      <c r="K162" s="17">
        <v>-3.5008</v>
      </c>
      <c r="L162" s="17">
        <v>-10.6643307191798</v>
      </c>
      <c r="M162" s="17">
        <v>7.16353071917982</v>
      </c>
      <c r="N162" s="17">
        <v>6.39999999999999</v>
      </c>
      <c r="O162" s="14">
        <f t="shared" si="1"/>
        <v>2.8992</v>
      </c>
      <c r="P162" s="86">
        <f t="array" ref="P162">iferror(XLOOKUP(C162,'Download of SFDC Activation Rep'!B:B,'Download of SFDC Activation Rep'!Z:Z),"")</f>
        <v>45809</v>
      </c>
      <c r="Q162" s="86">
        <f t="shared" si="2"/>
        <v>45809</v>
      </c>
      <c r="R162" s="13" t="str">
        <f t="shared" si="3"/>
        <v>Yes</v>
      </c>
      <c r="S162" s="86">
        <f t="array" ref="S162">iferror(XLOOKUP(C162,'Download of SFDC Activation Rep'!B:B,'Download of SFDC Activation Rep'!Y:Y),"")</f>
        <v>45826</v>
      </c>
    </row>
    <row r="163">
      <c r="A163" s="17" t="s">
        <v>488</v>
      </c>
      <c r="B163" s="85">
        <v>46143.0</v>
      </c>
      <c r="C163" s="17">
        <v>3959338.0</v>
      </c>
      <c r="D163" s="85">
        <v>45839.0</v>
      </c>
      <c r="E163" s="17">
        <v>141.0</v>
      </c>
      <c r="F163" s="17">
        <v>141.0</v>
      </c>
      <c r="G163" s="17">
        <v>134094.0</v>
      </c>
      <c r="H163" s="17"/>
      <c r="I163" s="17">
        <v>578.25</v>
      </c>
      <c r="J163" s="17">
        <v>31.5</v>
      </c>
      <c r="K163" s="17">
        <v>530.599899999999</v>
      </c>
      <c r="L163" s="17">
        <v>410.1776514514</v>
      </c>
      <c r="M163" s="17">
        <v>120.422248548599</v>
      </c>
      <c r="N163" s="17">
        <v>25.0</v>
      </c>
      <c r="O163" s="14">
        <f t="shared" si="1"/>
        <v>555.5999</v>
      </c>
      <c r="P163" s="86">
        <f t="array" ref="P163">iferror(XLOOKUP(C163,'Download of SFDC Activation Rep'!B:B,'Download of SFDC Activation Rep'!Z:Z),"")</f>
        <v>45839</v>
      </c>
      <c r="Q163" s="86">
        <f t="shared" si="2"/>
        <v>45839</v>
      </c>
      <c r="R163" s="13" t="str">
        <f t="shared" si="3"/>
        <v>Yes</v>
      </c>
      <c r="S163" s="86">
        <f t="array" ref="S163">iferror(XLOOKUP(C163,'Download of SFDC Activation Rep'!B:B,'Download of SFDC Activation Rep'!Y:Y),"")</f>
        <v>45841</v>
      </c>
    </row>
    <row r="164">
      <c r="A164" s="17" t="s">
        <v>489</v>
      </c>
      <c r="B164" s="85">
        <v>46054.0</v>
      </c>
      <c r="C164" s="17">
        <v>4271363.0</v>
      </c>
      <c r="D164" s="85">
        <v>45992.0</v>
      </c>
      <c r="E164" s="17">
        <v>17.0</v>
      </c>
      <c r="F164" s="17">
        <v>17.0</v>
      </c>
      <c r="G164" s="17">
        <v>68594.09</v>
      </c>
      <c r="H164" s="17"/>
      <c r="I164" s="17">
        <v>25.4</v>
      </c>
      <c r="J164" s="17"/>
      <c r="K164" s="17">
        <v>23.3172</v>
      </c>
      <c r="L164" s="17">
        <v>12.569788806483</v>
      </c>
      <c r="M164" s="17">
        <v>10.7474111935169</v>
      </c>
      <c r="N164" s="17">
        <v>44.0</v>
      </c>
      <c r="O164" s="14">
        <f t="shared" si="1"/>
        <v>67.3172</v>
      </c>
      <c r="P164" s="86">
        <f t="array" ref="P164">iferror(XLOOKUP(C164,'Download of SFDC Activation Rep'!B:B,'Download of SFDC Activation Rep'!Z:Z),"")</f>
        <v>45964</v>
      </c>
      <c r="Q164" s="86">
        <f t="shared" si="2"/>
        <v>45962</v>
      </c>
      <c r="R164" s="13" t="str">
        <f t="shared" si="3"/>
        <v>Yes</v>
      </c>
      <c r="S164" s="86">
        <f t="array" ref="S164">iferror(XLOOKUP(C164,'Download of SFDC Activation Rep'!B:B,'Download of SFDC Activation Rep'!Y:Y),"")</f>
        <v>46007</v>
      </c>
    </row>
    <row r="165">
      <c r="A165" s="17" t="s">
        <v>19</v>
      </c>
      <c r="B165" s="85">
        <v>45992.0</v>
      </c>
      <c r="C165" s="17">
        <v>3947424.0</v>
      </c>
      <c r="D165" s="85">
        <v>45809.0</v>
      </c>
      <c r="E165" s="17">
        <v>88.0</v>
      </c>
      <c r="F165" s="17">
        <v>88.0</v>
      </c>
      <c r="G165" s="17">
        <v>234412.99</v>
      </c>
      <c r="H165" s="17"/>
      <c r="I165" s="17">
        <v>40.259553</v>
      </c>
      <c r="J165" s="17">
        <v>17.5</v>
      </c>
      <c r="K165" s="17">
        <v>27.4733999999999</v>
      </c>
      <c r="L165" s="17">
        <v>-9.25474300405623</v>
      </c>
      <c r="M165" s="17">
        <v>36.7281430040562</v>
      </c>
      <c r="N165" s="17">
        <v>55.0</v>
      </c>
      <c r="O165" s="14">
        <f t="shared" si="1"/>
        <v>82.4734</v>
      </c>
      <c r="P165" s="86">
        <f t="array" ref="P165">iferror(XLOOKUP(C165,'Download of SFDC Activation Rep'!B:B,'Download of SFDC Activation Rep'!Z:Z),"")</f>
        <v>45805</v>
      </c>
      <c r="Q165" s="86">
        <f t="shared" si="2"/>
        <v>45778</v>
      </c>
      <c r="R165" s="13" t="str">
        <f t="shared" si="3"/>
        <v>Yes</v>
      </c>
      <c r="S165" s="86">
        <f t="array" ref="S165">iferror(XLOOKUP(C165,'Download of SFDC Activation Rep'!B:B,'Download of SFDC Activation Rep'!Y:Y),"")</f>
        <v>45805</v>
      </c>
    </row>
    <row r="166">
      <c r="A166" s="17" t="s">
        <v>488</v>
      </c>
      <c r="B166" s="85">
        <v>46113.0</v>
      </c>
      <c r="C166" s="17">
        <v>4269437.0</v>
      </c>
      <c r="D166" s="85">
        <v>46023.0</v>
      </c>
      <c r="E166" s="17">
        <v>101.0</v>
      </c>
      <c r="F166" s="17">
        <v>101.0</v>
      </c>
      <c r="G166" s="17">
        <v>87763.98</v>
      </c>
      <c r="H166" s="17"/>
      <c r="I166" s="17">
        <v>0.0</v>
      </c>
      <c r="J166" s="17"/>
      <c r="K166" s="17">
        <v>-15.8678999999999</v>
      </c>
      <c r="L166" s="17">
        <v>-16.7455398</v>
      </c>
      <c r="M166" s="17">
        <v>0.877639800000004</v>
      </c>
      <c r="N166" s="17">
        <v>17.0</v>
      </c>
      <c r="O166" s="14">
        <f t="shared" si="1"/>
        <v>1.1321</v>
      </c>
      <c r="P166" s="86">
        <f t="array" ref="P166">iferror(XLOOKUP(C166,'Download of SFDC Activation Rep'!B:B,'Download of SFDC Activation Rep'!Z:Z),"")</f>
        <v>46007</v>
      </c>
      <c r="Q166" s="86">
        <f t="shared" si="2"/>
        <v>45992</v>
      </c>
      <c r="R166" s="13" t="str">
        <f t="shared" si="3"/>
        <v>Yes</v>
      </c>
      <c r="S166" s="86">
        <f t="array" ref="S166">iferror(XLOOKUP(C166,'Download of SFDC Activation Rep'!B:B,'Download of SFDC Activation Rep'!Y:Y),"")</f>
        <v>46031</v>
      </c>
    </row>
    <row r="167">
      <c r="A167" s="17" t="s">
        <v>488</v>
      </c>
      <c r="B167" s="85">
        <v>46113.0</v>
      </c>
      <c r="C167" s="17">
        <v>3968250.0</v>
      </c>
      <c r="D167" s="85">
        <v>45809.0</v>
      </c>
      <c r="E167" s="17">
        <v>26.0</v>
      </c>
      <c r="F167" s="17">
        <v>26.0</v>
      </c>
      <c r="G167" s="17">
        <v>64330.87</v>
      </c>
      <c r="H167" s="17"/>
      <c r="I167" s="17">
        <v>38.53</v>
      </c>
      <c r="J167" s="17"/>
      <c r="K167" s="17">
        <v>33.8587999999999</v>
      </c>
      <c r="L167" s="17">
        <v>21.237091699377</v>
      </c>
      <c r="M167" s="17">
        <v>12.6217083006229</v>
      </c>
      <c r="N167" s="17">
        <v>6.39999999999999</v>
      </c>
      <c r="O167" s="14">
        <f t="shared" si="1"/>
        <v>40.2588</v>
      </c>
      <c r="P167" s="86">
        <f t="array" ref="P167">iferror(XLOOKUP(C167,'Download of SFDC Activation Rep'!B:B,'Download of SFDC Activation Rep'!Z:Z),"")</f>
        <v>45809</v>
      </c>
      <c r="Q167" s="86">
        <f t="shared" si="2"/>
        <v>45809</v>
      </c>
      <c r="R167" s="13" t="str">
        <f t="shared" si="3"/>
        <v>Yes</v>
      </c>
      <c r="S167" s="86">
        <f t="array" ref="S167">iferror(XLOOKUP(C167,'Download of SFDC Activation Rep'!B:B,'Download of SFDC Activation Rep'!Y:Y),"")</f>
        <v>45826</v>
      </c>
    </row>
    <row r="168">
      <c r="A168" s="17" t="s">
        <v>488</v>
      </c>
      <c r="B168" s="85">
        <v>45992.0</v>
      </c>
      <c r="C168" s="17">
        <v>4301071.0</v>
      </c>
      <c r="D168" s="85">
        <v>45992.0</v>
      </c>
      <c r="E168" s="17">
        <v>1.0</v>
      </c>
      <c r="F168" s="17">
        <v>1.0</v>
      </c>
      <c r="G168" s="17">
        <v>172.48</v>
      </c>
      <c r="H168" s="17"/>
      <c r="I168" s="17">
        <v>0.0</v>
      </c>
      <c r="J168" s="17"/>
      <c r="K168" s="17">
        <v>-0.1495</v>
      </c>
      <c r="L168" s="17">
        <v>-0.1512248</v>
      </c>
      <c r="M168" s="17">
        <v>0.00172479999999999</v>
      </c>
      <c r="N168" s="17">
        <v>0.0</v>
      </c>
      <c r="O168" s="14">
        <f t="shared" si="1"/>
        <v>-0.1495</v>
      </c>
      <c r="P168" s="86">
        <f t="array" ref="P168">iferror(XLOOKUP(C168,'Download of SFDC Activation Rep'!B:B,'Download of SFDC Activation Rep'!Z:Z),"")</f>
        <v>46014</v>
      </c>
      <c r="Q168" s="86">
        <f t="shared" si="2"/>
        <v>45992</v>
      </c>
      <c r="R168" s="13" t="str">
        <f t="shared" si="3"/>
        <v>Yes</v>
      </c>
      <c r="S168" s="86">
        <f t="array" ref="S168">iferror(XLOOKUP(C168,'Download of SFDC Activation Rep'!B:B,'Download of SFDC Activation Rep'!Y:Y),"")</f>
        <v>46022</v>
      </c>
    </row>
    <row r="169">
      <c r="A169" s="17" t="s">
        <v>489</v>
      </c>
      <c r="B169" s="85">
        <v>45992.0</v>
      </c>
      <c r="C169" s="17">
        <v>4248506.0</v>
      </c>
      <c r="D169" s="85">
        <v>45962.0</v>
      </c>
      <c r="E169" s="17">
        <v>29.0</v>
      </c>
      <c r="F169" s="17">
        <v>29.0</v>
      </c>
      <c r="G169" s="17">
        <v>180082.67</v>
      </c>
      <c r="H169" s="17"/>
      <c r="I169" s="17">
        <v>5.0</v>
      </c>
      <c r="J169" s="17"/>
      <c r="K169" s="17">
        <v>0.587699999999999</v>
      </c>
      <c r="L169" s="17">
        <v>-28.7782216684482</v>
      </c>
      <c r="M169" s="17">
        <v>29.3659216684482</v>
      </c>
      <c r="N169" s="17">
        <v>44.0</v>
      </c>
      <c r="O169" s="14">
        <f t="shared" si="1"/>
        <v>44.5877</v>
      </c>
      <c r="P169" s="86">
        <f t="array" ref="P169">iferror(XLOOKUP(C169,'Download of SFDC Activation Rep'!B:B,'Download of SFDC Activation Rep'!Z:Z),"")</f>
        <v>45974</v>
      </c>
      <c r="Q169" s="86">
        <f t="shared" si="2"/>
        <v>45962</v>
      </c>
      <c r="R169" s="13" t="str">
        <f t="shared" si="3"/>
        <v>Yes</v>
      </c>
      <c r="S169" s="86">
        <f t="array" ref="S169">iferror(XLOOKUP(C169,'Download of SFDC Activation Rep'!B:B,'Download of SFDC Activation Rep'!Y:Y),"")</f>
        <v>45987</v>
      </c>
    </row>
    <row r="170">
      <c r="A170" s="17" t="s">
        <v>19</v>
      </c>
      <c r="B170" s="85">
        <v>46143.0</v>
      </c>
      <c r="C170" s="17">
        <v>4440958.0</v>
      </c>
      <c r="D170" s="85">
        <v>46054.0</v>
      </c>
      <c r="E170" s="17">
        <v>5.0</v>
      </c>
      <c r="F170" s="17">
        <v>0.0</v>
      </c>
      <c r="G170" s="17">
        <v>615065.0</v>
      </c>
      <c r="H170" s="17">
        <v>175763.0</v>
      </c>
      <c r="I170" s="17">
        <v>16376.89</v>
      </c>
      <c r="J170" s="17"/>
      <c r="K170" s="17">
        <v>1105.5023</v>
      </c>
      <c r="L170" s="17">
        <v>548.313194318</v>
      </c>
      <c r="M170" s="17">
        <v>557.189105682</v>
      </c>
      <c r="N170" s="17">
        <v>64.0</v>
      </c>
      <c r="O170" s="14">
        <f t="shared" si="1"/>
        <v>1169.5023</v>
      </c>
      <c r="P170" s="86">
        <f t="array" ref="P170">iferror(XLOOKUP(C170,'Download of SFDC Activation Rep'!B:B,'Download of SFDC Activation Rep'!Z:Z),"")</f>
        <v>46197</v>
      </c>
      <c r="Q170" s="86">
        <f t="shared" si="2"/>
        <v>46174</v>
      </c>
      <c r="R170" s="13" t="str">
        <f t="shared" si="3"/>
        <v>No</v>
      </c>
      <c r="S170" s="86">
        <f t="array" ref="S170">iferror(XLOOKUP(C170,'Download of SFDC Activation Rep'!B:B,'Download of SFDC Activation Rep'!Y:Y),"")</f>
        <v>46361</v>
      </c>
    </row>
    <row r="171">
      <c r="A171" s="17" t="s">
        <v>488</v>
      </c>
      <c r="B171" s="85">
        <v>46174.0</v>
      </c>
      <c r="C171" s="17">
        <v>4269343.0</v>
      </c>
      <c r="D171" s="85">
        <v>45992.0</v>
      </c>
      <c r="E171" s="17">
        <v>9.0</v>
      </c>
      <c r="F171" s="17">
        <v>8.0</v>
      </c>
      <c r="G171" s="17">
        <v>12677.5</v>
      </c>
      <c r="H171" s="17">
        <v>665.0</v>
      </c>
      <c r="I171" s="17">
        <v>19.29</v>
      </c>
      <c r="J171" s="17"/>
      <c r="K171" s="17">
        <v>14.8664999999999</v>
      </c>
      <c r="L171" s="17">
        <v>14.739725</v>
      </c>
      <c r="M171" s="17">
        <v>0.126774999999998</v>
      </c>
      <c r="N171" s="17">
        <v>36.0</v>
      </c>
      <c r="O171" s="14">
        <f t="shared" si="1"/>
        <v>50.8665</v>
      </c>
      <c r="P171" s="86">
        <f t="array" ref="P171">iferror(XLOOKUP(C171,'Download of SFDC Activation Rep'!B:B,'Download of SFDC Activation Rep'!Z:Z),"")</f>
        <v>45918</v>
      </c>
      <c r="Q171" s="86">
        <f t="shared" si="2"/>
        <v>45901</v>
      </c>
      <c r="R171" s="13" t="str">
        <f t="shared" si="3"/>
        <v>Yes</v>
      </c>
      <c r="S171" s="86">
        <f t="array" ref="S171">iferror(XLOOKUP(C171,'Download of SFDC Activation Rep'!B:B,'Download of SFDC Activation Rep'!Y:Y),"")</f>
        <v>46001</v>
      </c>
    </row>
    <row r="172">
      <c r="A172" s="17" t="s">
        <v>17</v>
      </c>
      <c r="B172" s="85">
        <v>46113.0</v>
      </c>
      <c r="C172" s="17">
        <v>4516557.0</v>
      </c>
      <c r="D172" s="85">
        <v>46113.0</v>
      </c>
      <c r="E172" s="17">
        <v>1.0</v>
      </c>
      <c r="F172" s="17">
        <v>1.0</v>
      </c>
      <c r="G172" s="17">
        <v>2700.0</v>
      </c>
      <c r="H172" s="17"/>
      <c r="I172" s="17">
        <v>0.0</v>
      </c>
      <c r="J172" s="17"/>
      <c r="K172" s="17">
        <v>-0.15</v>
      </c>
      <c r="L172" s="17">
        <v>-0.57303951</v>
      </c>
      <c r="M172" s="17">
        <v>0.423039509999999</v>
      </c>
      <c r="N172" s="17">
        <v>0.0</v>
      </c>
      <c r="O172" s="14">
        <f t="shared" si="1"/>
        <v>-0.15</v>
      </c>
      <c r="P172" s="86">
        <f t="array" ref="P172">iferror(XLOOKUP(C172,'Download of SFDC Activation Rep'!B:B,'Download of SFDC Activation Rep'!Z:Z),"")</f>
        <v>46111</v>
      </c>
      <c r="Q172" s="86">
        <f t="shared" si="2"/>
        <v>46082</v>
      </c>
      <c r="R172" s="13" t="str">
        <f t="shared" si="3"/>
        <v>Yes</v>
      </c>
      <c r="S172" s="86">
        <f t="array" ref="S172">iferror(XLOOKUP(C172,'Download of SFDC Activation Rep'!B:B,'Download of SFDC Activation Rep'!Y:Y),"")</f>
        <v>46118</v>
      </c>
    </row>
    <row r="173">
      <c r="A173" s="17" t="s">
        <v>19</v>
      </c>
      <c r="B173" s="85">
        <v>45962.0</v>
      </c>
      <c r="C173" s="17">
        <v>2710123.0</v>
      </c>
      <c r="D173" s="85">
        <v>45292.0</v>
      </c>
      <c r="E173" s="17">
        <v>1.0</v>
      </c>
      <c r="F173" s="17">
        <v>0.0</v>
      </c>
      <c r="G173" s="17">
        <v>11075.4</v>
      </c>
      <c r="H173" s="17">
        <v>11075.4</v>
      </c>
      <c r="I173" s="17">
        <v>321.19</v>
      </c>
      <c r="J173" s="17"/>
      <c r="K173" s="17">
        <v>30.2587</v>
      </c>
      <c r="L173" s="17">
        <v>24.3837227166501</v>
      </c>
      <c r="M173" s="17">
        <v>5.87497728334986</v>
      </c>
      <c r="N173" s="17">
        <v>7.99999999999999</v>
      </c>
      <c r="O173" s="14">
        <f t="shared" si="1"/>
        <v>38.2587</v>
      </c>
      <c r="P173" s="86">
        <f t="array" ref="P173">iferror(XLOOKUP(C173,'Download of SFDC Activation Rep'!B:B,'Download of SFDC Activation Rep'!Z:Z),"")</f>
        <v>45873</v>
      </c>
      <c r="Q173" s="86">
        <f t="shared" si="2"/>
        <v>45870</v>
      </c>
      <c r="R173" s="13" t="str">
        <f t="shared" si="3"/>
        <v>Yes</v>
      </c>
      <c r="S173" s="86">
        <f t="array" ref="S173">iferror(XLOOKUP(C173,'Download of SFDC Activation Rep'!B:B,'Download of SFDC Activation Rep'!Y:Y),"")</f>
        <v>45980</v>
      </c>
    </row>
    <row r="174">
      <c r="A174" s="17" t="s">
        <v>488</v>
      </c>
      <c r="B174" s="85">
        <v>46113.0</v>
      </c>
      <c r="C174" s="17">
        <v>4332104.0</v>
      </c>
      <c r="D174" s="85">
        <v>46023.0</v>
      </c>
      <c r="E174" s="17">
        <v>9.0</v>
      </c>
      <c r="F174" s="17">
        <v>9.0</v>
      </c>
      <c r="G174" s="17">
        <v>69810.21</v>
      </c>
      <c r="H174" s="17"/>
      <c r="I174" s="17">
        <v>0.0</v>
      </c>
      <c r="J174" s="17"/>
      <c r="K174" s="17">
        <v>-1.56</v>
      </c>
      <c r="L174" s="17">
        <v>-12.4979544560729</v>
      </c>
      <c r="M174" s="17">
        <v>10.9379544560729</v>
      </c>
      <c r="N174" s="17">
        <v>44.0</v>
      </c>
      <c r="O174" s="14">
        <f t="shared" si="1"/>
        <v>42.44</v>
      </c>
      <c r="P174" s="86">
        <f t="array" ref="P174">iferror(XLOOKUP(C174,'Download of SFDC Activation Rep'!B:B,'Download of SFDC Activation Rep'!Z:Z),"")</f>
        <v>46197</v>
      </c>
      <c r="Q174" s="86">
        <f t="shared" si="2"/>
        <v>46174</v>
      </c>
      <c r="R174" s="13" t="str">
        <f t="shared" si="3"/>
        <v>No</v>
      </c>
      <c r="S174" s="86">
        <f t="array" ref="S174">iferror(XLOOKUP(C174,'Download of SFDC Activation Rep'!B:B,'Download of SFDC Activation Rep'!Y:Y),"")</f>
        <v>46361</v>
      </c>
    </row>
    <row r="175">
      <c r="A175" s="17" t="s">
        <v>488</v>
      </c>
      <c r="B175" s="85">
        <v>46174.0</v>
      </c>
      <c r="C175" s="17">
        <v>4548015.0</v>
      </c>
      <c r="D175" s="85">
        <v>46113.0</v>
      </c>
      <c r="E175" s="17">
        <v>2.0</v>
      </c>
      <c r="F175" s="17">
        <v>0.0</v>
      </c>
      <c r="G175" s="17">
        <v>12287.26</v>
      </c>
      <c r="H175" s="17"/>
      <c r="I175" s="17">
        <v>376.33</v>
      </c>
      <c r="J175" s="17"/>
      <c r="K175" s="17">
        <v>13.5171999999999</v>
      </c>
      <c r="L175" s="17">
        <v>2.38613676167199</v>
      </c>
      <c r="M175" s="17">
        <v>11.131063238328</v>
      </c>
      <c r="N175" s="17">
        <v>25.0</v>
      </c>
      <c r="O175" s="14">
        <f t="shared" si="1"/>
        <v>38.5172</v>
      </c>
      <c r="P175" s="86">
        <f t="array" ref="P175">iferror(XLOOKUP(C175,'Download of SFDC Activation Rep'!B:B,'Download of SFDC Activation Rep'!Z:Z),"")</f>
        <v>46119</v>
      </c>
      <c r="Q175" s="86">
        <f t="shared" si="2"/>
        <v>46113</v>
      </c>
      <c r="R175" s="13" t="str">
        <f t="shared" si="3"/>
        <v>Yes</v>
      </c>
      <c r="S175" s="86">
        <f t="array" ref="S175">iferror(XLOOKUP(C175,'Download of SFDC Activation Rep'!B:B,'Download of SFDC Activation Rep'!Y:Y),"")</f>
        <v>46148</v>
      </c>
    </row>
    <row r="176">
      <c r="A176" s="17" t="s">
        <v>488</v>
      </c>
      <c r="B176" s="85">
        <v>46082.0</v>
      </c>
      <c r="C176" s="17">
        <v>3952865.0</v>
      </c>
      <c r="D176" s="85">
        <v>45809.0</v>
      </c>
      <c r="E176" s="17">
        <v>6.0</v>
      </c>
      <c r="F176" s="17">
        <v>6.0</v>
      </c>
      <c r="G176" s="17">
        <v>16762.9</v>
      </c>
      <c r="H176" s="17"/>
      <c r="I176" s="17">
        <v>0.0</v>
      </c>
      <c r="J176" s="17"/>
      <c r="K176" s="17">
        <v>-0.918999999999999</v>
      </c>
      <c r="L176" s="17">
        <v>-3.54543296376999</v>
      </c>
      <c r="M176" s="17">
        <v>2.62643296376999</v>
      </c>
      <c r="N176" s="17">
        <v>35.0</v>
      </c>
      <c r="O176" s="14">
        <f t="shared" si="1"/>
        <v>34.081</v>
      </c>
      <c r="P176" s="86">
        <f t="array" ref="P176">iferror(XLOOKUP(C176,'Download of SFDC Activation Rep'!B:B,'Download of SFDC Activation Rep'!Z:Z),"")</f>
        <v>45799</v>
      </c>
      <c r="Q176" s="86">
        <f t="shared" si="2"/>
        <v>45778</v>
      </c>
      <c r="R176" s="13" t="str">
        <f t="shared" si="3"/>
        <v>Yes</v>
      </c>
      <c r="S176" s="86">
        <f t="array" ref="S176">iferror(XLOOKUP(C176,'Download of SFDC Activation Rep'!B:B,'Download of SFDC Activation Rep'!Y:Y),"")</f>
        <v>45818</v>
      </c>
    </row>
    <row r="177">
      <c r="A177" s="17" t="s">
        <v>489</v>
      </c>
      <c r="B177" s="85">
        <v>45931.0</v>
      </c>
      <c r="C177" s="17">
        <v>4038405.0</v>
      </c>
      <c r="D177" s="85">
        <v>45870.0</v>
      </c>
      <c r="E177" s="17">
        <v>78.0</v>
      </c>
      <c r="F177" s="17">
        <v>78.0</v>
      </c>
      <c r="G177" s="17">
        <v>1228699.61</v>
      </c>
      <c r="H177" s="17"/>
      <c r="I177" s="17">
        <v>347.45853</v>
      </c>
      <c r="J177" s="17">
        <v>10.5</v>
      </c>
      <c r="K177" s="17">
        <v>338.008499999999</v>
      </c>
      <c r="L177" s="17">
        <v>145.443160273383</v>
      </c>
      <c r="M177" s="17">
        <v>192.565339726616</v>
      </c>
      <c r="N177" s="17">
        <v>5.19999999999999</v>
      </c>
      <c r="O177" s="14">
        <f t="shared" si="1"/>
        <v>343.2085</v>
      </c>
      <c r="P177" s="86">
        <f t="array" ref="P177">iferror(XLOOKUP(C177,'Download of SFDC Activation Rep'!B:B,'Download of SFDC Activation Rep'!Z:Z),"")</f>
        <v>45839</v>
      </c>
      <c r="Q177" s="86">
        <f t="shared" si="2"/>
        <v>45839</v>
      </c>
      <c r="R177" s="13" t="str">
        <f t="shared" si="3"/>
        <v>Yes</v>
      </c>
      <c r="S177" s="86">
        <f t="array" ref="S177">iferror(XLOOKUP(C177,'Download of SFDC Activation Rep'!B:B,'Download of SFDC Activation Rep'!Y:Y),"")</f>
        <v>45877</v>
      </c>
    </row>
    <row r="178">
      <c r="A178" s="17" t="s">
        <v>488</v>
      </c>
      <c r="B178" s="85">
        <v>46143.0</v>
      </c>
      <c r="C178" s="17">
        <v>4314059.0</v>
      </c>
      <c r="D178" s="85">
        <v>46023.0</v>
      </c>
      <c r="E178" s="17">
        <v>8.0</v>
      </c>
      <c r="F178" s="17">
        <v>0.0</v>
      </c>
      <c r="G178" s="17">
        <v>110988.5</v>
      </c>
      <c r="H178" s="17">
        <v>15000.0</v>
      </c>
      <c r="I178" s="17">
        <v>3313.66</v>
      </c>
      <c r="J178" s="17"/>
      <c r="K178" s="17">
        <v>359.3017</v>
      </c>
      <c r="L178" s="17">
        <v>236.4481206072</v>
      </c>
      <c r="M178" s="17">
        <v>122.853579392799</v>
      </c>
      <c r="N178" s="17">
        <v>35.0</v>
      </c>
      <c r="O178" s="14">
        <f t="shared" si="1"/>
        <v>394.3017</v>
      </c>
      <c r="P178" s="86">
        <f t="array" ref="P178">iferror(XLOOKUP(C178,'Download of SFDC Activation Rep'!B:B,'Download of SFDC Activation Rep'!Z:Z),"")</f>
        <v>46027</v>
      </c>
      <c r="Q178" s="86">
        <f t="shared" si="2"/>
        <v>46023</v>
      </c>
      <c r="R178" s="13" t="str">
        <f t="shared" si="3"/>
        <v>Yes</v>
      </c>
      <c r="S178" s="86">
        <f t="array" ref="S178">iferror(XLOOKUP(C178,'Download of SFDC Activation Rep'!B:B,'Download of SFDC Activation Rep'!Y:Y),"")</f>
        <v>46043</v>
      </c>
    </row>
    <row r="179">
      <c r="A179" s="17" t="s">
        <v>488</v>
      </c>
      <c r="B179" s="85">
        <v>46023.0</v>
      </c>
      <c r="C179" s="17">
        <v>4265889.0</v>
      </c>
      <c r="D179" s="85">
        <v>45992.0</v>
      </c>
      <c r="E179" s="17">
        <v>75.0</v>
      </c>
      <c r="F179" s="17">
        <v>0.0</v>
      </c>
      <c r="G179" s="17">
        <v>17651.9</v>
      </c>
      <c r="H179" s="17"/>
      <c r="I179" s="17">
        <v>511.84</v>
      </c>
      <c r="J179" s="17"/>
      <c r="K179" s="17">
        <v>-30.5912</v>
      </c>
      <c r="L179" s="17">
        <v>-34.3447769394498</v>
      </c>
      <c r="M179" s="17">
        <v>3.75357693944982</v>
      </c>
      <c r="N179" s="17">
        <v>20.0</v>
      </c>
      <c r="O179" s="14">
        <f t="shared" si="1"/>
        <v>-10.5912</v>
      </c>
      <c r="P179" s="86">
        <f t="array" ref="P179">iferror(XLOOKUP(C179,'Download of SFDC Activation Rep'!B:B,'Download of SFDC Activation Rep'!Z:Z),"")</f>
        <v>45993</v>
      </c>
      <c r="Q179" s="86">
        <f t="shared" si="2"/>
        <v>45992</v>
      </c>
      <c r="R179" s="13" t="str">
        <f t="shared" si="3"/>
        <v>Yes</v>
      </c>
      <c r="S179" s="86">
        <f t="array" ref="S179">iferror(XLOOKUP(C179,'Download of SFDC Activation Rep'!B:B,'Download of SFDC Activation Rep'!Y:Y),"")</f>
        <v>45999</v>
      </c>
    </row>
    <row r="180">
      <c r="A180" s="17" t="s">
        <v>17</v>
      </c>
      <c r="B180" s="85">
        <v>45962.0</v>
      </c>
      <c r="C180" s="17">
        <v>4221007.0</v>
      </c>
      <c r="D180" s="85">
        <v>45962.0</v>
      </c>
      <c r="E180" s="17">
        <v>2.0</v>
      </c>
      <c r="F180" s="17">
        <v>0.0</v>
      </c>
      <c r="G180" s="17">
        <v>48650.95</v>
      </c>
      <c r="H180" s="17">
        <v>48650.95</v>
      </c>
      <c r="I180" s="17">
        <v>1410.88</v>
      </c>
      <c r="J180" s="17"/>
      <c r="K180" s="17">
        <v>252.8783</v>
      </c>
      <c r="L180" s="17">
        <v>227.557775346525</v>
      </c>
      <c r="M180" s="17">
        <v>25.3205246534743</v>
      </c>
      <c r="N180" s="17">
        <v>0.0</v>
      </c>
      <c r="O180" s="14">
        <f t="shared" si="1"/>
        <v>252.8783</v>
      </c>
      <c r="P180" s="86">
        <f t="array" ref="P180">iferror(XLOOKUP(C180,'Download of SFDC Activation Rep'!B:B,'Download of SFDC Activation Rep'!Z:Z),"")</f>
        <v>45966</v>
      </c>
      <c r="Q180" s="86">
        <f t="shared" si="2"/>
        <v>45962</v>
      </c>
      <c r="R180" s="13" t="str">
        <f t="shared" si="3"/>
        <v>Yes</v>
      </c>
      <c r="S180" s="86">
        <f t="array" ref="S180">iferror(XLOOKUP(C180,'Download of SFDC Activation Rep'!B:B,'Download of SFDC Activation Rep'!Y:Y),"")</f>
        <v>45971</v>
      </c>
    </row>
    <row r="181">
      <c r="A181" s="17" t="s">
        <v>19</v>
      </c>
      <c r="B181" s="85">
        <v>46143.0</v>
      </c>
      <c r="C181" s="17">
        <v>4462029.0</v>
      </c>
      <c r="D181" s="85">
        <v>46082.0</v>
      </c>
      <c r="E181" s="17">
        <v>75.0</v>
      </c>
      <c r="F181" s="17">
        <v>75.0</v>
      </c>
      <c r="G181" s="17">
        <v>262116.26</v>
      </c>
      <c r="H181" s="17"/>
      <c r="I181" s="17">
        <v>76.45</v>
      </c>
      <c r="J181" s="17"/>
      <c r="K181" s="17">
        <v>27.7675</v>
      </c>
      <c r="L181" s="17">
        <v>-12.5057429679379</v>
      </c>
      <c r="M181" s="17">
        <v>40.273242967938</v>
      </c>
      <c r="N181" s="17">
        <v>64.0</v>
      </c>
      <c r="O181" s="14">
        <f t="shared" si="1"/>
        <v>91.7675</v>
      </c>
      <c r="P181" s="86">
        <f t="array" ref="P181">iferror(XLOOKUP(C181,'Download of SFDC Activation Rep'!B:B,'Download of SFDC Activation Rep'!Z:Z),"")</f>
        <v>46058</v>
      </c>
      <c r="Q181" s="86">
        <f t="shared" si="2"/>
        <v>46054</v>
      </c>
      <c r="R181" s="13" t="str">
        <f t="shared" si="3"/>
        <v>Yes</v>
      </c>
      <c r="S181" s="86">
        <f t="array" ref="S181">iferror(XLOOKUP(C181,'Download of SFDC Activation Rep'!B:B,'Download of SFDC Activation Rep'!Y:Y),"")</f>
        <v>46118</v>
      </c>
    </row>
    <row r="182">
      <c r="A182" s="17" t="s">
        <v>19</v>
      </c>
      <c r="B182" s="85">
        <v>46054.0</v>
      </c>
      <c r="C182" s="17">
        <v>4134744.0</v>
      </c>
      <c r="D182" s="85">
        <v>45992.0</v>
      </c>
      <c r="E182" s="17">
        <v>58.0</v>
      </c>
      <c r="F182" s="17">
        <v>50.0</v>
      </c>
      <c r="G182" s="17">
        <v>85494.53</v>
      </c>
      <c r="H182" s="17">
        <v>10749.68</v>
      </c>
      <c r="I182" s="17">
        <v>393.313515</v>
      </c>
      <c r="J182" s="17"/>
      <c r="K182" s="17">
        <v>136.6224</v>
      </c>
      <c r="L182" s="17">
        <v>124.899793913195</v>
      </c>
      <c r="M182" s="17">
        <v>11.7226060868049</v>
      </c>
      <c r="N182" s="17">
        <v>7.99999999999999</v>
      </c>
      <c r="O182" s="14">
        <f t="shared" si="1"/>
        <v>214.49532</v>
      </c>
      <c r="P182" s="86">
        <f t="array" ref="P182">iferror(XLOOKUP(C182,'Download of SFDC Activation Rep'!B:B,'Download of SFDC Activation Rep'!Z:Z),"")</f>
        <v>45896</v>
      </c>
      <c r="Q182" s="86">
        <f t="shared" si="2"/>
        <v>45870</v>
      </c>
      <c r="R182" s="13" t="str">
        <f t="shared" si="3"/>
        <v>Yes</v>
      </c>
      <c r="S182" s="86">
        <f t="array" ref="S182">iferror(XLOOKUP(C182,'Download of SFDC Activation Rep'!B:B,'Download of SFDC Activation Rep'!Y:Y),"")</f>
        <v>46009</v>
      </c>
    </row>
    <row r="183">
      <c r="A183" s="17" t="s">
        <v>17</v>
      </c>
      <c r="B183" s="85">
        <v>46113.0</v>
      </c>
      <c r="C183" s="17">
        <v>4485019.0</v>
      </c>
      <c r="D183" s="85">
        <v>46082.0</v>
      </c>
      <c r="E183" s="17">
        <v>6.0</v>
      </c>
      <c r="F183" s="17">
        <v>3.0</v>
      </c>
      <c r="G183" s="17">
        <v>3003.0</v>
      </c>
      <c r="H183" s="17">
        <v>887.0</v>
      </c>
      <c r="I183" s="17">
        <v>32.37</v>
      </c>
      <c r="J183" s="17"/>
      <c r="K183" s="17">
        <v>4.4978</v>
      </c>
      <c r="L183" s="17">
        <v>4.46777</v>
      </c>
      <c r="M183" s="17">
        <v>0.0300300000000008</v>
      </c>
      <c r="N183" s="17">
        <v>0.0</v>
      </c>
      <c r="O183" s="14">
        <f t="shared" si="1"/>
        <v>10.2633</v>
      </c>
      <c r="P183" s="86">
        <f t="array" ref="P183">iferror(XLOOKUP(C183,'Download of SFDC Activation Rep'!B:B,'Download of SFDC Activation Rep'!Z:Z),"")</f>
        <v>46077</v>
      </c>
      <c r="Q183" s="86">
        <f t="shared" si="2"/>
        <v>46054</v>
      </c>
      <c r="R183" s="13" t="str">
        <f t="shared" si="3"/>
        <v>Yes</v>
      </c>
      <c r="S183" s="86">
        <f t="array" ref="S183">iferror(XLOOKUP(C183,'Download of SFDC Activation Rep'!B:B,'Download of SFDC Activation Rep'!Y:Y),"")</f>
        <v>46139</v>
      </c>
    </row>
    <row r="184">
      <c r="A184" s="17" t="s">
        <v>488</v>
      </c>
      <c r="B184" s="85">
        <v>46054.0</v>
      </c>
      <c r="C184" s="17">
        <v>4443098.0</v>
      </c>
      <c r="D184" s="85">
        <v>46054.0</v>
      </c>
      <c r="E184" s="17">
        <v>2.0</v>
      </c>
      <c r="F184" s="17">
        <v>0.0</v>
      </c>
      <c r="G184" s="17">
        <v>85720.8</v>
      </c>
      <c r="H184" s="17">
        <v>85720.8</v>
      </c>
      <c r="I184" s="17">
        <v>2485.9</v>
      </c>
      <c r="J184" s="17"/>
      <c r="K184" s="17">
        <v>-79.981</v>
      </c>
      <c r="L184" s="17">
        <v>-125.451838378239</v>
      </c>
      <c r="M184" s="17">
        <v>45.4708383782399</v>
      </c>
      <c r="N184" s="17">
        <v>0.0</v>
      </c>
      <c r="O184" s="14">
        <f t="shared" si="1"/>
        <v>477.2042</v>
      </c>
      <c r="P184" s="86">
        <f t="array" ref="P184">iferror(XLOOKUP(C184,'Download of SFDC Activation Rep'!B:B,'Download of SFDC Activation Rep'!Z:Z),"")</f>
        <v>46197</v>
      </c>
      <c r="Q184" s="86">
        <f t="shared" si="2"/>
        <v>46174</v>
      </c>
      <c r="R184" s="13" t="str">
        <f t="shared" si="3"/>
        <v>No</v>
      </c>
      <c r="S184" s="86">
        <f t="array" ref="S184">iferror(XLOOKUP(C184,'Download of SFDC Activation Rep'!B:B,'Download of SFDC Activation Rep'!Y:Y),"")</f>
        <v>46361</v>
      </c>
    </row>
    <row r="185">
      <c r="A185" s="17" t="s">
        <v>489</v>
      </c>
      <c r="B185" s="85">
        <v>45992.0</v>
      </c>
      <c r="C185" s="17">
        <v>4220233.0</v>
      </c>
      <c r="D185" s="85">
        <v>45992.0</v>
      </c>
      <c r="E185" s="17">
        <v>8.0</v>
      </c>
      <c r="F185" s="17">
        <v>8.0</v>
      </c>
      <c r="G185" s="17">
        <v>87970.4</v>
      </c>
      <c r="H185" s="17"/>
      <c r="I185" s="17">
        <v>248.21</v>
      </c>
      <c r="J185" s="17"/>
      <c r="K185" s="17">
        <v>218.2276</v>
      </c>
      <c r="L185" s="17">
        <v>204.405389363554</v>
      </c>
      <c r="M185" s="17">
        <v>13.8222106364457</v>
      </c>
      <c r="N185" s="17">
        <v>44.0</v>
      </c>
      <c r="O185" s="14">
        <f t="shared" si="1"/>
        <v>262.2276</v>
      </c>
      <c r="P185" s="86">
        <f t="array" ref="P185">iferror(XLOOKUP(C185,'Download of SFDC Activation Rep'!B:B,'Download of SFDC Activation Rep'!Z:Z),"")</f>
        <v>45960</v>
      </c>
      <c r="Q185" s="86">
        <f t="shared" si="2"/>
        <v>45931</v>
      </c>
      <c r="R185" s="13" t="str">
        <f t="shared" si="3"/>
        <v>Yes</v>
      </c>
      <c r="S185" s="86">
        <f t="array" ref="S185">iferror(XLOOKUP(C185,'Download of SFDC Activation Rep'!B:B,'Download of SFDC Activation Rep'!Y:Y),"")</f>
        <v>46006</v>
      </c>
    </row>
    <row r="186">
      <c r="A186" s="17" t="s">
        <v>488</v>
      </c>
      <c r="B186" s="85">
        <v>46054.0</v>
      </c>
      <c r="C186" s="17">
        <v>4010351.0</v>
      </c>
      <c r="D186" s="85">
        <v>45839.0</v>
      </c>
      <c r="E186" s="17">
        <v>18.0</v>
      </c>
      <c r="F186" s="17">
        <v>15.0</v>
      </c>
      <c r="G186" s="17">
        <v>214953.86</v>
      </c>
      <c r="H186" s="17"/>
      <c r="I186" s="17">
        <v>5150.3</v>
      </c>
      <c r="J186" s="17"/>
      <c r="K186" s="17">
        <v>720.0859</v>
      </c>
      <c r="L186" s="17">
        <v>619.692073951222</v>
      </c>
      <c r="M186" s="17">
        <v>100.393826048778</v>
      </c>
      <c r="N186" s="17">
        <v>64.0</v>
      </c>
      <c r="O186" s="14">
        <f t="shared" si="1"/>
        <v>784.0859</v>
      </c>
      <c r="P186" s="86">
        <f t="array" ref="P186">iferror(XLOOKUP(C186,'Download of SFDC Activation Rep'!B:B,'Download of SFDC Activation Rep'!Z:Z),"")</f>
        <v>45839</v>
      </c>
      <c r="Q186" s="86">
        <f t="shared" si="2"/>
        <v>45839</v>
      </c>
      <c r="R186" s="13" t="str">
        <f t="shared" si="3"/>
        <v>Yes</v>
      </c>
      <c r="S186" s="86">
        <f t="array" ref="S186">iferror(XLOOKUP(C186,'Download of SFDC Activation Rep'!B:B,'Download of SFDC Activation Rep'!Y:Y),"")</f>
        <v>45853</v>
      </c>
    </row>
    <row r="187">
      <c r="A187" s="17" t="s">
        <v>488</v>
      </c>
      <c r="B187" s="85">
        <v>45962.0</v>
      </c>
      <c r="C187" s="17">
        <v>4031755.0</v>
      </c>
      <c r="D187" s="85">
        <v>45901.0</v>
      </c>
      <c r="E187" s="17">
        <v>6.0</v>
      </c>
      <c r="F187" s="17">
        <v>6.0</v>
      </c>
      <c r="G187" s="17">
        <v>54821.43</v>
      </c>
      <c r="H187" s="17"/>
      <c r="I187" s="17">
        <v>37.25</v>
      </c>
      <c r="J187" s="17"/>
      <c r="K187" s="17">
        <v>30.5667999999999</v>
      </c>
      <c r="L187" s="17">
        <v>21.9714681284439</v>
      </c>
      <c r="M187" s="17">
        <v>8.59533187155609</v>
      </c>
      <c r="N187" s="17">
        <v>35.0</v>
      </c>
      <c r="O187" s="14">
        <f t="shared" si="1"/>
        <v>65.5668</v>
      </c>
      <c r="P187" s="86">
        <f t="array" ref="P187">iferror(XLOOKUP(C187,'Download of SFDC Activation Rep'!B:B,'Download of SFDC Activation Rep'!Z:Z),"")</f>
        <v>45856</v>
      </c>
      <c r="Q187" s="86">
        <f t="shared" si="2"/>
        <v>45839</v>
      </c>
      <c r="R187" s="13" t="str">
        <f t="shared" si="3"/>
        <v>Yes</v>
      </c>
      <c r="S187" s="86">
        <f t="array" ref="S187">iferror(XLOOKUP(C187,'Download of SFDC Activation Rep'!B:B,'Download of SFDC Activation Rep'!Y:Y),"")</f>
        <v>45901</v>
      </c>
    </row>
    <row r="188">
      <c r="A188" s="17" t="s">
        <v>19</v>
      </c>
      <c r="B188" s="85">
        <v>46082.0</v>
      </c>
      <c r="C188" s="17">
        <v>4112463.0</v>
      </c>
      <c r="D188" s="85">
        <v>45931.0</v>
      </c>
      <c r="E188" s="17">
        <v>43.0</v>
      </c>
      <c r="F188" s="17">
        <v>43.0</v>
      </c>
      <c r="G188" s="17">
        <v>156337.11</v>
      </c>
      <c r="H188" s="17"/>
      <c r="I188" s="17">
        <v>127.051533</v>
      </c>
      <c r="J188" s="17">
        <v>0.5</v>
      </c>
      <c r="K188" s="17">
        <v>71.354</v>
      </c>
      <c r="L188" s="17">
        <v>40.503521966957</v>
      </c>
      <c r="M188" s="17">
        <v>30.8504780330429</v>
      </c>
      <c r="N188" s="17">
        <v>64.0</v>
      </c>
      <c r="O188" s="14">
        <f t="shared" si="1"/>
        <v>135.354</v>
      </c>
      <c r="P188" s="86">
        <f t="array" ref="P188">iferror(XLOOKUP(C188,'Download of SFDC Activation Rep'!B:B,'Download of SFDC Activation Rep'!Z:Z),"")</f>
        <v>45911</v>
      </c>
      <c r="Q188" s="86">
        <f t="shared" si="2"/>
        <v>45901</v>
      </c>
      <c r="R188" s="13" t="str">
        <f t="shared" si="3"/>
        <v>Yes</v>
      </c>
      <c r="S188" s="86">
        <f t="array" ref="S188">iferror(XLOOKUP(C188,'Download of SFDC Activation Rep'!B:B,'Download of SFDC Activation Rep'!Y:Y),"")</f>
        <v>45945</v>
      </c>
    </row>
    <row r="189">
      <c r="A189" s="17" t="s">
        <v>488</v>
      </c>
      <c r="B189" s="85">
        <v>46054.0</v>
      </c>
      <c r="C189" s="17">
        <v>3085000.0</v>
      </c>
      <c r="D189" s="85">
        <v>45292.0</v>
      </c>
      <c r="E189" s="17">
        <v>11.0</v>
      </c>
      <c r="F189" s="17">
        <v>11.0</v>
      </c>
      <c r="G189" s="17">
        <v>156261.6</v>
      </c>
      <c r="H189" s="17"/>
      <c r="I189" s="17">
        <v>0.0</v>
      </c>
      <c r="J189" s="17"/>
      <c r="K189" s="17">
        <v>-1.67</v>
      </c>
      <c r="L189" s="17">
        <v>-3.232616</v>
      </c>
      <c r="M189" s="17">
        <v>1.562616</v>
      </c>
      <c r="N189" s="17">
        <v>0.0</v>
      </c>
      <c r="O189" s="14">
        <f t="shared" si="1"/>
        <v>-1.67</v>
      </c>
      <c r="P189" s="86">
        <f t="array" ref="P189">iferror(XLOOKUP(C189,'Download of SFDC Activation Rep'!B:B,'Download of SFDC Activation Rep'!Z:Z),"")</f>
        <v>45947</v>
      </c>
      <c r="Q189" s="86">
        <f t="shared" si="2"/>
        <v>45931</v>
      </c>
      <c r="R189" s="13" t="str">
        <f t="shared" si="3"/>
        <v>Yes</v>
      </c>
      <c r="S189" s="86">
        <f t="array" ref="S189">iferror(XLOOKUP(C189,'Download of SFDC Activation Rep'!B:B,'Download of SFDC Activation Rep'!Y:Y),"")</f>
        <v>45958</v>
      </c>
    </row>
    <row r="190">
      <c r="A190" s="17" t="s">
        <v>488</v>
      </c>
      <c r="B190" s="85">
        <v>46023.0</v>
      </c>
      <c r="C190" s="17">
        <v>4266723.0</v>
      </c>
      <c r="D190" s="85">
        <v>45992.0</v>
      </c>
      <c r="E190" s="17">
        <v>2.0</v>
      </c>
      <c r="F190" s="17">
        <v>1.0</v>
      </c>
      <c r="G190" s="17">
        <v>4595.0</v>
      </c>
      <c r="H190" s="17"/>
      <c r="I190" s="17">
        <v>92.66</v>
      </c>
      <c r="J190" s="17"/>
      <c r="K190" s="17">
        <v>81.6133</v>
      </c>
      <c r="L190" s="17">
        <v>81.47545</v>
      </c>
      <c r="M190" s="17">
        <v>0.13785</v>
      </c>
      <c r="N190" s="17">
        <v>20.0</v>
      </c>
      <c r="O190" s="14">
        <f t="shared" si="1"/>
        <v>101.6133</v>
      </c>
      <c r="P190" s="86">
        <f t="array" ref="P190">iferror(XLOOKUP(C190,'Download of SFDC Activation Rep'!B:B,'Download of SFDC Activation Rep'!Z:Z),"")</f>
        <v>45987</v>
      </c>
      <c r="Q190" s="86">
        <f t="shared" si="2"/>
        <v>45962</v>
      </c>
      <c r="R190" s="13" t="str">
        <f t="shared" si="3"/>
        <v>Yes</v>
      </c>
      <c r="S190" s="86">
        <f t="array" ref="S190">iferror(XLOOKUP(C190,'Download of SFDC Activation Rep'!B:B,'Download of SFDC Activation Rep'!Y:Y),"")</f>
        <v>46008</v>
      </c>
    </row>
    <row r="191">
      <c r="A191" s="17" t="s">
        <v>488</v>
      </c>
      <c r="B191" s="85">
        <v>46054.0</v>
      </c>
      <c r="C191" s="17">
        <v>3959338.0</v>
      </c>
      <c r="D191" s="85">
        <v>45839.0</v>
      </c>
      <c r="E191" s="17">
        <v>82.0</v>
      </c>
      <c r="F191" s="17">
        <v>82.0</v>
      </c>
      <c r="G191" s="17">
        <v>90280.0</v>
      </c>
      <c r="H191" s="17"/>
      <c r="I191" s="17">
        <v>394.98</v>
      </c>
      <c r="J191" s="17">
        <v>12.5</v>
      </c>
      <c r="K191" s="17">
        <v>343.586299999999</v>
      </c>
      <c r="L191" s="17">
        <v>271.1159271552</v>
      </c>
      <c r="M191" s="17">
        <v>72.4703728447999</v>
      </c>
      <c r="N191" s="17">
        <v>25.0</v>
      </c>
      <c r="O191" s="14">
        <f t="shared" si="1"/>
        <v>368.5863</v>
      </c>
      <c r="P191" s="86">
        <f t="array" ref="P191">iferror(XLOOKUP(C191,'Download of SFDC Activation Rep'!B:B,'Download of SFDC Activation Rep'!Z:Z),"")</f>
        <v>45839</v>
      </c>
      <c r="Q191" s="86">
        <f t="shared" si="2"/>
        <v>45839</v>
      </c>
      <c r="R191" s="13" t="str">
        <f t="shared" si="3"/>
        <v>Yes</v>
      </c>
      <c r="S191" s="86">
        <f t="array" ref="S191">iferror(XLOOKUP(C191,'Download of SFDC Activation Rep'!B:B,'Download of SFDC Activation Rep'!Y:Y),"")</f>
        <v>45841</v>
      </c>
    </row>
    <row r="192">
      <c r="A192" s="17" t="s">
        <v>488</v>
      </c>
      <c r="B192" s="85">
        <v>45962.0</v>
      </c>
      <c r="C192" s="17">
        <v>4136952.0</v>
      </c>
      <c r="D192" s="85">
        <v>45931.0</v>
      </c>
      <c r="E192" s="17">
        <v>4.0</v>
      </c>
      <c r="F192" s="17">
        <v>4.0</v>
      </c>
      <c r="G192" s="17">
        <v>2608.75</v>
      </c>
      <c r="H192" s="17"/>
      <c r="I192" s="17">
        <v>1.5</v>
      </c>
      <c r="J192" s="17"/>
      <c r="K192" s="17">
        <v>0.1281</v>
      </c>
      <c r="L192" s="17">
        <v>-0.278242463725375</v>
      </c>
      <c r="M192" s="17">
        <v>0.406342463725375</v>
      </c>
      <c r="N192" s="17">
        <v>35.0</v>
      </c>
      <c r="O192" s="14">
        <f t="shared" si="1"/>
        <v>35.1281</v>
      </c>
      <c r="P192" s="86">
        <f t="array" ref="P192">iferror(XLOOKUP(C192,'Download of SFDC Activation Rep'!B:B,'Download of SFDC Activation Rep'!Z:Z),"")</f>
        <v>45930</v>
      </c>
      <c r="Q192" s="86">
        <f t="shared" si="2"/>
        <v>45901</v>
      </c>
      <c r="R192" s="13" t="str">
        <f t="shared" si="3"/>
        <v>Yes</v>
      </c>
      <c r="S192" s="86">
        <f t="array" ref="S192">iferror(XLOOKUP(C192,'Download of SFDC Activation Rep'!B:B,'Download of SFDC Activation Rep'!Y:Y),"")</f>
        <v>45938</v>
      </c>
    </row>
    <row r="193">
      <c r="A193" s="17" t="s">
        <v>488</v>
      </c>
      <c r="B193" s="85">
        <v>45931.0</v>
      </c>
      <c r="C193" s="17">
        <v>4107679.0</v>
      </c>
      <c r="D193" s="85">
        <v>45931.0</v>
      </c>
      <c r="E193" s="17">
        <v>1.0</v>
      </c>
      <c r="F193" s="17">
        <v>1.0</v>
      </c>
      <c r="G193" s="17">
        <v>8333.33</v>
      </c>
      <c r="H193" s="17"/>
      <c r="I193" s="17">
        <v>0.0</v>
      </c>
      <c r="J193" s="17"/>
      <c r="K193" s="17">
        <v>-0.06</v>
      </c>
      <c r="L193" s="17">
        <v>-1.36567736856217</v>
      </c>
      <c r="M193" s="17">
        <v>1.30567736856217</v>
      </c>
      <c r="N193" s="17">
        <v>25.0</v>
      </c>
      <c r="O193" s="14">
        <f t="shared" si="1"/>
        <v>24.94</v>
      </c>
      <c r="P193" s="86">
        <f t="array" ref="P193">iferror(XLOOKUP(C193,'Download of SFDC Activation Rep'!B:B,'Download of SFDC Activation Rep'!Z:Z),"")</f>
        <v>45930</v>
      </c>
      <c r="Q193" s="86">
        <f t="shared" si="2"/>
        <v>45901</v>
      </c>
      <c r="R193" s="13" t="str">
        <f t="shared" si="3"/>
        <v>Yes</v>
      </c>
      <c r="S193" s="86">
        <f t="array" ref="S193">iferror(XLOOKUP(C193,'Download of SFDC Activation Rep'!B:B,'Download of SFDC Activation Rep'!Y:Y),"")</f>
        <v>45950</v>
      </c>
    </row>
    <row r="194">
      <c r="A194" s="17" t="s">
        <v>19</v>
      </c>
      <c r="B194" s="85">
        <v>45992.0</v>
      </c>
      <c r="C194" s="17">
        <v>4239923.0</v>
      </c>
      <c r="D194" s="85">
        <v>45992.0</v>
      </c>
      <c r="E194" s="17">
        <v>1.0</v>
      </c>
      <c r="F194" s="17">
        <v>1.0</v>
      </c>
      <c r="G194" s="17">
        <v>17.47</v>
      </c>
      <c r="H194" s="17"/>
      <c r="I194" s="17">
        <v>0.0</v>
      </c>
      <c r="J194" s="17"/>
      <c r="K194" s="17">
        <v>-0.15</v>
      </c>
      <c r="L194" s="17">
        <v>-0.152737223130343</v>
      </c>
      <c r="M194" s="17">
        <v>0.00273722313034299</v>
      </c>
      <c r="N194" s="17">
        <v>0.0</v>
      </c>
      <c r="O194" s="14">
        <f t="shared" si="1"/>
        <v>-0.15</v>
      </c>
      <c r="P194" s="86">
        <f t="array" ref="P194">iferror(XLOOKUP(C194,'Download of SFDC Activation Rep'!B:B,'Download of SFDC Activation Rep'!Z:Z),"")</f>
        <v>45992</v>
      </c>
      <c r="Q194" s="86">
        <f t="shared" si="2"/>
        <v>45992</v>
      </c>
      <c r="R194" s="13" t="str">
        <f t="shared" si="3"/>
        <v>Yes</v>
      </c>
      <c r="S194" s="86">
        <f t="array" ref="S194">iferror(XLOOKUP(C194,'Download of SFDC Activation Rep'!B:B,'Download of SFDC Activation Rep'!Y:Y),"")</f>
        <v>45999</v>
      </c>
    </row>
    <row r="195">
      <c r="A195" s="17" t="s">
        <v>488</v>
      </c>
      <c r="B195" s="85">
        <v>46143.0</v>
      </c>
      <c r="C195" s="17">
        <v>4327510.0</v>
      </c>
      <c r="D195" s="85">
        <v>46023.0</v>
      </c>
      <c r="E195" s="17">
        <v>20.0</v>
      </c>
      <c r="F195" s="17">
        <v>16.0</v>
      </c>
      <c r="G195" s="17">
        <v>4787.2</v>
      </c>
      <c r="H195" s="17">
        <v>1328.35</v>
      </c>
      <c r="I195" s="17">
        <v>44.25</v>
      </c>
      <c r="J195" s="17"/>
      <c r="K195" s="17">
        <v>5.46239999999999</v>
      </c>
      <c r="L195" s="17">
        <v>5.414528</v>
      </c>
      <c r="M195" s="17">
        <v>0.0478719999999981</v>
      </c>
      <c r="N195" s="17">
        <v>35.0</v>
      </c>
      <c r="O195" s="14">
        <f t="shared" si="1"/>
        <v>40.4624</v>
      </c>
      <c r="P195" s="86">
        <f t="array" ref="P195">iferror(XLOOKUP(C195,'Download of SFDC Activation Rep'!B:B,'Download of SFDC Activation Rep'!Z:Z),"")</f>
        <v>46021</v>
      </c>
      <c r="Q195" s="86">
        <f t="shared" si="2"/>
        <v>45992</v>
      </c>
      <c r="R195" s="13" t="str">
        <f t="shared" si="3"/>
        <v>Yes</v>
      </c>
      <c r="S195" s="86">
        <f t="array" ref="S195">iferror(XLOOKUP(C195,'Download of SFDC Activation Rep'!B:B,'Download of SFDC Activation Rep'!Y:Y),"")</f>
        <v>46037</v>
      </c>
    </row>
    <row r="196">
      <c r="A196" s="17" t="s">
        <v>19</v>
      </c>
      <c r="B196" s="85">
        <v>46143.0</v>
      </c>
      <c r="C196" s="17">
        <v>4263325.0</v>
      </c>
      <c r="D196" s="85">
        <v>45992.0</v>
      </c>
      <c r="E196" s="17">
        <v>43.0</v>
      </c>
      <c r="F196" s="17">
        <v>43.0</v>
      </c>
      <c r="G196" s="17">
        <v>200677.68</v>
      </c>
      <c r="H196" s="17"/>
      <c r="I196" s="17">
        <v>0.0</v>
      </c>
      <c r="J196" s="17"/>
      <c r="K196" s="17">
        <v>-6.0335</v>
      </c>
      <c r="L196" s="17">
        <v>-37.4759397833839</v>
      </c>
      <c r="M196" s="17">
        <v>31.4424397833839</v>
      </c>
      <c r="N196" s="17">
        <v>54.4</v>
      </c>
      <c r="O196" s="14">
        <f t="shared" si="1"/>
        <v>48.3665</v>
      </c>
      <c r="P196" s="86">
        <f t="array" ref="P196">iferror(XLOOKUP(C196,'Download of SFDC Activation Rep'!B:B,'Download of SFDC Activation Rep'!Z:Z),"")</f>
        <v>45961</v>
      </c>
      <c r="Q196" s="86">
        <f t="shared" si="2"/>
        <v>45931</v>
      </c>
      <c r="R196" s="13" t="str">
        <f t="shared" si="3"/>
        <v>Yes</v>
      </c>
      <c r="S196" s="86">
        <f t="array" ref="S196">iferror(XLOOKUP(C196,'Download of SFDC Activation Rep'!B:B,'Download of SFDC Activation Rep'!Y:Y),"")</f>
        <v>46013</v>
      </c>
    </row>
    <row r="197">
      <c r="A197" s="17" t="s">
        <v>19</v>
      </c>
      <c r="B197" s="85">
        <v>45809.0</v>
      </c>
      <c r="C197" s="17">
        <v>3945715.0</v>
      </c>
      <c r="D197" s="85">
        <v>45809.0</v>
      </c>
      <c r="E197" s="17">
        <v>15.0</v>
      </c>
      <c r="F197" s="17">
        <v>15.0</v>
      </c>
      <c r="G197" s="17">
        <v>88296.1</v>
      </c>
      <c r="H197" s="17"/>
      <c r="I197" s="17">
        <v>46.5</v>
      </c>
      <c r="J197" s="17"/>
      <c r="K197" s="17">
        <v>44.36</v>
      </c>
      <c r="L197" s="17">
        <v>23.6276742785829</v>
      </c>
      <c r="M197" s="17">
        <v>20.732325721417</v>
      </c>
      <c r="N197" s="17">
        <v>7.99999999999999</v>
      </c>
      <c r="O197" s="14">
        <f t="shared" si="1"/>
        <v>52.36</v>
      </c>
      <c r="P197" s="86">
        <f t="array" ref="P197">iferror(XLOOKUP(C197,'Download of SFDC Activation Rep'!B:B,'Download of SFDC Activation Rep'!Z:Z),"")</f>
        <v>45804</v>
      </c>
      <c r="Q197" s="86">
        <f t="shared" si="2"/>
        <v>45778</v>
      </c>
      <c r="R197" s="13" t="str">
        <f t="shared" si="3"/>
        <v>Yes</v>
      </c>
      <c r="S197" s="86">
        <f t="array" ref="S197">iferror(XLOOKUP(C197,'Download of SFDC Activation Rep'!B:B,'Download of SFDC Activation Rep'!Y:Y),"")</f>
        <v>45804</v>
      </c>
    </row>
    <row r="198">
      <c r="A198" s="17" t="s">
        <v>17</v>
      </c>
      <c r="B198" s="85">
        <v>46054.0</v>
      </c>
      <c r="C198" s="17">
        <v>4404380.0</v>
      </c>
      <c r="D198" s="85">
        <v>46054.0</v>
      </c>
      <c r="E198" s="17">
        <v>2.0</v>
      </c>
      <c r="F198" s="17">
        <v>0.0</v>
      </c>
      <c r="G198" s="17">
        <v>40948.1</v>
      </c>
      <c r="H198" s="17"/>
      <c r="I198" s="17">
        <v>1187.49</v>
      </c>
      <c r="J198" s="17"/>
      <c r="K198" s="17">
        <v>103.2923</v>
      </c>
      <c r="L198" s="17">
        <v>81.97833170032</v>
      </c>
      <c r="M198" s="17">
        <v>21.31396829968</v>
      </c>
      <c r="N198" s="17">
        <v>0.0</v>
      </c>
      <c r="O198" s="14">
        <f t="shared" si="1"/>
        <v>103.2923</v>
      </c>
      <c r="P198" s="86">
        <f t="array" ref="P198">iferror(XLOOKUP(C198,'Download of SFDC Activation Rep'!B:B,'Download of SFDC Activation Rep'!Z:Z),"")</f>
        <v>46059</v>
      </c>
      <c r="Q198" s="86">
        <f t="shared" si="2"/>
        <v>46054</v>
      </c>
      <c r="R198" s="13" t="str">
        <f t="shared" si="3"/>
        <v>Yes</v>
      </c>
      <c r="S198" s="86">
        <f t="array" ref="S198">iferror(XLOOKUP(C198,'Download of SFDC Activation Rep'!B:B,'Download of SFDC Activation Rep'!Y:Y),"")</f>
        <v>46101</v>
      </c>
    </row>
    <row r="199">
      <c r="A199" s="17" t="s">
        <v>19</v>
      </c>
      <c r="B199" s="85">
        <v>46054.0</v>
      </c>
      <c r="C199" s="17">
        <v>47426.0</v>
      </c>
      <c r="D199" s="85">
        <v>43983.0</v>
      </c>
      <c r="E199" s="17">
        <v>28.0</v>
      </c>
      <c r="F199" s="17">
        <v>28.0</v>
      </c>
      <c r="G199" s="17">
        <v>43935.64</v>
      </c>
      <c r="H199" s="17"/>
      <c r="I199" s="17">
        <v>0.0</v>
      </c>
      <c r="J199" s="17"/>
      <c r="K199" s="17">
        <v>-3.88519999999999</v>
      </c>
      <c r="L199" s="17">
        <v>-10.7690931915319</v>
      </c>
      <c r="M199" s="17">
        <v>6.883893191532</v>
      </c>
      <c r="N199" s="17">
        <v>54.4</v>
      </c>
      <c r="O199" s="14">
        <f t="shared" si="1"/>
        <v>50.5148</v>
      </c>
      <c r="P199" s="86">
        <f t="array" ref="P199">iferror(XLOOKUP(C199,'Download of SFDC Activation Rep'!B:B,'Download of SFDC Activation Rep'!Z:Z),"")</f>
        <v>46001</v>
      </c>
      <c r="Q199" s="86">
        <f t="shared" si="2"/>
        <v>45992</v>
      </c>
      <c r="R199" s="13" t="str">
        <f t="shared" si="3"/>
        <v>Yes</v>
      </c>
      <c r="S199" s="86">
        <f t="array" ref="S199">iferror(XLOOKUP(C199,'Download of SFDC Activation Rep'!B:B,'Download of SFDC Activation Rep'!Y:Y),"")</f>
        <v>46028</v>
      </c>
    </row>
    <row r="200">
      <c r="A200" s="17" t="s">
        <v>488</v>
      </c>
      <c r="B200" s="85">
        <v>46174.0</v>
      </c>
      <c r="C200" s="17">
        <v>4359468.0</v>
      </c>
      <c r="D200" s="85">
        <v>46054.0</v>
      </c>
      <c r="E200" s="17">
        <v>4.0</v>
      </c>
      <c r="F200" s="17">
        <v>4.0</v>
      </c>
      <c r="G200" s="17">
        <v>3855.9</v>
      </c>
      <c r="H200" s="17"/>
      <c r="I200" s="17">
        <v>49.56905</v>
      </c>
      <c r="J200" s="17"/>
      <c r="K200" s="17">
        <v>46.2163999999999</v>
      </c>
      <c r="L200" s="17">
        <v>45.63306657533</v>
      </c>
      <c r="M200" s="17">
        <v>0.583333424669994</v>
      </c>
      <c r="N200" s="17">
        <v>17.0</v>
      </c>
      <c r="O200" s="14">
        <f t="shared" si="1"/>
        <v>63.2164</v>
      </c>
      <c r="P200" s="86">
        <f t="array" ref="P200">iferror(XLOOKUP(C200,'Download of SFDC Activation Rep'!B:B,'Download of SFDC Activation Rep'!Z:Z),"")</f>
        <v>46057</v>
      </c>
      <c r="Q200" s="86">
        <f t="shared" si="2"/>
        <v>46054</v>
      </c>
      <c r="R200" s="13" t="str">
        <f t="shared" si="3"/>
        <v>Yes</v>
      </c>
      <c r="S200" s="86">
        <f t="array" ref="S200">iferror(XLOOKUP(C200,'Download of SFDC Activation Rep'!B:B,'Download of SFDC Activation Rep'!Y:Y),"")</f>
        <v>46091</v>
      </c>
    </row>
    <row r="201">
      <c r="A201" s="17" t="s">
        <v>17</v>
      </c>
      <c r="B201" s="85">
        <v>45870.0</v>
      </c>
      <c r="C201" s="17">
        <v>3977410.0</v>
      </c>
      <c r="D201" s="85">
        <v>45809.0</v>
      </c>
      <c r="E201" s="17">
        <v>2.0</v>
      </c>
      <c r="F201" s="17">
        <v>2.0</v>
      </c>
      <c r="G201" s="17">
        <v>8400.0</v>
      </c>
      <c r="H201" s="17"/>
      <c r="I201" s="17">
        <v>0.0</v>
      </c>
      <c r="J201" s="17"/>
      <c r="K201" s="17">
        <v>-0.23</v>
      </c>
      <c r="L201" s="17">
        <v>-0.314</v>
      </c>
      <c r="M201" s="17">
        <v>0.084</v>
      </c>
      <c r="N201" s="17">
        <v>2.49999999999999</v>
      </c>
      <c r="O201" s="14">
        <f t="shared" si="1"/>
        <v>2.27</v>
      </c>
      <c r="P201" s="86">
        <f t="array" ref="P201">iferror(XLOOKUP(C201,'Download of SFDC Activation Rep'!B:B,'Download of SFDC Activation Rep'!Z:Z),"")</f>
        <v>45809</v>
      </c>
      <c r="Q201" s="86">
        <f t="shared" si="2"/>
        <v>45809</v>
      </c>
      <c r="R201" s="13" t="str">
        <f t="shared" si="3"/>
        <v>Yes</v>
      </c>
      <c r="S201" s="86">
        <f t="array" ref="S201">iferror(XLOOKUP(C201,'Download of SFDC Activation Rep'!B:B,'Download of SFDC Activation Rep'!Y:Y),"")</f>
        <v>45838</v>
      </c>
    </row>
    <row r="202">
      <c r="A202" s="17" t="s">
        <v>19</v>
      </c>
      <c r="B202" s="85">
        <v>45931.0</v>
      </c>
      <c r="C202" s="17">
        <v>3945715.0</v>
      </c>
      <c r="D202" s="85">
        <v>45809.0</v>
      </c>
      <c r="E202" s="17">
        <v>13.0</v>
      </c>
      <c r="F202" s="17">
        <v>8.0</v>
      </c>
      <c r="G202" s="17">
        <v>163572.07</v>
      </c>
      <c r="H202" s="17">
        <v>61180.07</v>
      </c>
      <c r="I202" s="17">
        <v>2266.34</v>
      </c>
      <c r="J202" s="17"/>
      <c r="K202" s="17">
        <v>789.2326</v>
      </c>
      <c r="L202" s="17">
        <v>505.168104902527</v>
      </c>
      <c r="M202" s="17">
        <v>284.064495097473</v>
      </c>
      <c r="N202" s="17">
        <v>80.0</v>
      </c>
      <c r="O202" s="14">
        <f t="shared" si="1"/>
        <v>869.2326</v>
      </c>
      <c r="P202" s="86">
        <f t="array" ref="P202">iferror(XLOOKUP(C202,'Download of SFDC Activation Rep'!B:B,'Download of SFDC Activation Rep'!Z:Z),"")</f>
        <v>45804</v>
      </c>
      <c r="Q202" s="86">
        <f t="shared" si="2"/>
        <v>45778</v>
      </c>
      <c r="R202" s="13" t="str">
        <f t="shared" si="3"/>
        <v>Yes</v>
      </c>
      <c r="S202" s="86">
        <f t="array" ref="S202">iferror(XLOOKUP(C202,'Download of SFDC Activation Rep'!B:B,'Download of SFDC Activation Rep'!Y:Y),"")</f>
        <v>45804</v>
      </c>
    </row>
    <row r="203">
      <c r="A203" s="17" t="s">
        <v>488</v>
      </c>
      <c r="B203" s="85">
        <v>45901.0</v>
      </c>
      <c r="C203" s="17">
        <v>4068848.0</v>
      </c>
      <c r="D203" s="85">
        <v>45870.0</v>
      </c>
      <c r="E203" s="17">
        <v>3.0</v>
      </c>
      <c r="F203" s="17">
        <v>3.0</v>
      </c>
      <c r="G203" s="17">
        <v>13678.25</v>
      </c>
      <c r="H203" s="17"/>
      <c r="I203" s="17">
        <v>0.0</v>
      </c>
      <c r="J203" s="17"/>
      <c r="K203" s="17">
        <v>-0.27</v>
      </c>
      <c r="L203" s="17">
        <v>-2.38562388069117</v>
      </c>
      <c r="M203" s="17">
        <v>2.11562388069117</v>
      </c>
      <c r="N203" s="17">
        <v>1.99999999999999</v>
      </c>
      <c r="O203" s="14">
        <f t="shared" si="1"/>
        <v>1.73</v>
      </c>
      <c r="P203" s="86">
        <f t="array" ref="P203">iferror(XLOOKUP(C203,'Download of SFDC Activation Rep'!B:B,'Download of SFDC Activation Rep'!Z:Z),"")</f>
        <v>45880</v>
      </c>
      <c r="Q203" s="86">
        <f t="shared" si="2"/>
        <v>45870</v>
      </c>
      <c r="R203" s="13" t="str">
        <f t="shared" si="3"/>
        <v>Yes</v>
      </c>
      <c r="S203" s="86">
        <f t="array" ref="S203">iferror(XLOOKUP(C203,'Download of SFDC Activation Rep'!B:B,'Download of SFDC Activation Rep'!Y:Y),"")</f>
        <v>45896</v>
      </c>
    </row>
    <row r="204">
      <c r="A204" s="17" t="s">
        <v>19</v>
      </c>
      <c r="B204" s="85">
        <v>46174.0</v>
      </c>
      <c r="C204" s="17">
        <v>4489894.0</v>
      </c>
      <c r="D204" s="85">
        <v>46113.0</v>
      </c>
      <c r="E204" s="17">
        <v>20.0</v>
      </c>
      <c r="F204" s="17">
        <v>20.0</v>
      </c>
      <c r="G204" s="17">
        <v>285660.13</v>
      </c>
      <c r="H204" s="17"/>
      <c r="I204" s="17">
        <v>94.12</v>
      </c>
      <c r="J204" s="17"/>
      <c r="K204" s="17">
        <v>89.3181999999999</v>
      </c>
      <c r="L204" s="17">
        <v>39.6814398582309</v>
      </c>
      <c r="M204" s="17">
        <v>49.6367601417689</v>
      </c>
      <c r="N204" s="17">
        <v>64.0</v>
      </c>
      <c r="O204" s="14">
        <f t="shared" si="1"/>
        <v>153.3182</v>
      </c>
      <c r="P204" s="86">
        <f t="array" ref="P204">iferror(XLOOKUP(C204,'Download of SFDC Activation Rep'!B:B,'Download of SFDC Activation Rep'!Z:Z),"")</f>
        <v>46071</v>
      </c>
      <c r="Q204" s="86">
        <f t="shared" si="2"/>
        <v>46054</v>
      </c>
      <c r="R204" s="13" t="str">
        <f t="shared" si="3"/>
        <v>Yes</v>
      </c>
      <c r="S204" s="86">
        <f t="array" ref="S204">iferror(XLOOKUP(C204,'Download of SFDC Activation Rep'!B:B,'Download of SFDC Activation Rep'!Y:Y),"")</f>
        <v>46141</v>
      </c>
    </row>
    <row r="205">
      <c r="A205" s="17" t="s">
        <v>19</v>
      </c>
      <c r="B205" s="85">
        <v>46143.0</v>
      </c>
      <c r="C205" s="17">
        <v>4239923.0</v>
      </c>
      <c r="D205" s="85">
        <v>45992.0</v>
      </c>
      <c r="E205" s="17">
        <v>2.0</v>
      </c>
      <c r="F205" s="17">
        <v>2.0</v>
      </c>
      <c r="G205" s="17">
        <v>6069.03</v>
      </c>
      <c r="H205" s="17"/>
      <c r="I205" s="17">
        <v>0.0</v>
      </c>
      <c r="J205" s="17"/>
      <c r="K205" s="17">
        <v>-0.2112</v>
      </c>
      <c r="L205" s="17">
        <v>-1.16210351013899</v>
      </c>
      <c r="M205" s="17">
        <v>0.950903510138999</v>
      </c>
      <c r="N205" s="17">
        <v>24.0</v>
      </c>
      <c r="O205" s="14">
        <f t="shared" si="1"/>
        <v>23.7888</v>
      </c>
      <c r="P205" s="86">
        <f t="array" ref="P205">iferror(XLOOKUP(C205,'Download of SFDC Activation Rep'!B:B,'Download of SFDC Activation Rep'!Z:Z),"")</f>
        <v>45992</v>
      </c>
      <c r="Q205" s="86">
        <f t="shared" si="2"/>
        <v>45992</v>
      </c>
      <c r="R205" s="13" t="str">
        <f t="shared" si="3"/>
        <v>Yes</v>
      </c>
      <c r="S205" s="86">
        <f t="array" ref="S205">iferror(XLOOKUP(C205,'Download of SFDC Activation Rep'!B:B,'Download of SFDC Activation Rep'!Y:Y),"")</f>
        <v>45999</v>
      </c>
    </row>
    <row r="206">
      <c r="A206" s="17" t="s">
        <v>488</v>
      </c>
      <c r="B206" s="85">
        <v>46174.0</v>
      </c>
      <c r="C206" s="17">
        <v>4601844.0</v>
      </c>
      <c r="D206" s="85">
        <v>46143.0</v>
      </c>
      <c r="E206" s="17">
        <v>4.0</v>
      </c>
      <c r="F206" s="17">
        <v>0.0</v>
      </c>
      <c r="G206" s="17">
        <v>13020.0</v>
      </c>
      <c r="H206" s="17">
        <v>13020.0</v>
      </c>
      <c r="I206" s="17">
        <v>457.58</v>
      </c>
      <c r="J206" s="17"/>
      <c r="K206" s="17">
        <v>49.5203</v>
      </c>
      <c r="L206" s="17">
        <v>42.744004544</v>
      </c>
      <c r="M206" s="17">
        <v>6.77629545599999</v>
      </c>
      <c r="N206" s="17">
        <v>21.25</v>
      </c>
      <c r="O206" s="14">
        <f t="shared" si="1"/>
        <v>70.7703</v>
      </c>
      <c r="P206" s="86">
        <f t="array" ref="P206">iferror(XLOOKUP(C206,'Download of SFDC Activation Rep'!B:B,'Download of SFDC Activation Rep'!Z:Z),"")</f>
        <v>46134</v>
      </c>
      <c r="Q206" s="86">
        <f t="shared" si="2"/>
        <v>46113</v>
      </c>
      <c r="R206" s="13" t="str">
        <f t="shared" si="3"/>
        <v>Yes</v>
      </c>
      <c r="S206" s="86">
        <f t="array" ref="S206">iferror(XLOOKUP(C206,'Download of SFDC Activation Rep'!B:B,'Download of SFDC Activation Rep'!Y:Y),"")</f>
        <v>46251</v>
      </c>
    </row>
    <row r="207">
      <c r="A207" s="17" t="s">
        <v>17</v>
      </c>
      <c r="B207" s="85">
        <v>45962.0</v>
      </c>
      <c r="C207" s="17">
        <v>3825826.0</v>
      </c>
      <c r="D207" s="85">
        <v>45839.0</v>
      </c>
      <c r="E207" s="17">
        <v>30.0</v>
      </c>
      <c r="F207" s="17">
        <v>27.0</v>
      </c>
      <c r="G207" s="17">
        <v>146912.0</v>
      </c>
      <c r="H207" s="17">
        <v>7310.0</v>
      </c>
      <c r="I207" s="17">
        <v>376.26</v>
      </c>
      <c r="J207" s="17"/>
      <c r="K207" s="17">
        <v>179.241499999999</v>
      </c>
      <c r="L207" s="17">
        <v>177.772379999999</v>
      </c>
      <c r="M207" s="17">
        <v>1.46912000000003</v>
      </c>
      <c r="N207" s="17">
        <v>6.39999999999999</v>
      </c>
      <c r="O207" s="14">
        <f t="shared" si="1"/>
        <v>185.6415</v>
      </c>
      <c r="P207" s="86">
        <f t="array" ref="P207">iferror(XLOOKUP(C207,'Download of SFDC Activation Rep'!B:B,'Download of SFDC Activation Rep'!Z:Z),"")</f>
        <v>45810</v>
      </c>
      <c r="Q207" s="86">
        <f t="shared" si="2"/>
        <v>45809</v>
      </c>
      <c r="R207" s="13" t="str">
        <f t="shared" si="3"/>
        <v>Yes</v>
      </c>
      <c r="S207" s="86">
        <f t="array" ref="S207">iferror(XLOOKUP(C207,'Download of SFDC Activation Rep'!B:B,'Download of SFDC Activation Rep'!Y:Y),"")</f>
        <v>45842</v>
      </c>
    </row>
    <row r="208">
      <c r="A208" s="17" t="s">
        <v>489</v>
      </c>
      <c r="B208" s="85">
        <v>46143.0</v>
      </c>
      <c r="C208" s="17">
        <v>4103219.0</v>
      </c>
      <c r="D208" s="85">
        <v>45901.0</v>
      </c>
      <c r="E208" s="17">
        <v>32.0</v>
      </c>
      <c r="F208" s="17">
        <v>32.0</v>
      </c>
      <c r="G208" s="17">
        <v>197743.52</v>
      </c>
      <c r="H208" s="17"/>
      <c r="I208" s="17">
        <v>3.7245</v>
      </c>
      <c r="J208" s="17">
        <v>0.5</v>
      </c>
      <c r="K208" s="17">
        <v>-2.11889999999999</v>
      </c>
      <c r="L208" s="17">
        <v>-33.0842571801759</v>
      </c>
      <c r="M208" s="17">
        <v>30.9653571801759</v>
      </c>
      <c r="N208" s="17">
        <v>4.39999999999999</v>
      </c>
      <c r="O208" s="14">
        <f t="shared" si="1"/>
        <v>2.2811</v>
      </c>
      <c r="P208" s="86">
        <f t="array" ref="P208">iferror(XLOOKUP(C208,'Download of SFDC Activation Rep'!B:B,'Download of SFDC Activation Rep'!Z:Z),"")</f>
        <v>45901</v>
      </c>
      <c r="Q208" s="86">
        <f t="shared" si="2"/>
        <v>45901</v>
      </c>
      <c r="R208" s="13" t="str">
        <f t="shared" si="3"/>
        <v>Yes</v>
      </c>
      <c r="S208" s="86">
        <f t="array" ref="S208">iferror(XLOOKUP(C208,'Download of SFDC Activation Rep'!B:B,'Download of SFDC Activation Rep'!Y:Y),"")</f>
        <v>45919</v>
      </c>
    </row>
    <row r="209">
      <c r="A209" s="17" t="s">
        <v>488</v>
      </c>
      <c r="B209" s="85">
        <v>46143.0</v>
      </c>
      <c r="C209" s="17">
        <v>4271411.0</v>
      </c>
      <c r="D209" s="85">
        <v>45992.0</v>
      </c>
      <c r="E209" s="17">
        <v>5.0</v>
      </c>
      <c r="F209" s="17">
        <v>5.0</v>
      </c>
      <c r="G209" s="17">
        <v>30879.48</v>
      </c>
      <c r="H209" s="17"/>
      <c r="I209" s="17">
        <v>0.0</v>
      </c>
      <c r="J209" s="17"/>
      <c r="K209" s="17">
        <v>-0.7077</v>
      </c>
      <c r="L209" s="17">
        <v>-5.54593706972399</v>
      </c>
      <c r="M209" s="17">
        <v>4.83823706972399</v>
      </c>
      <c r="N209" s="17">
        <v>17.0</v>
      </c>
      <c r="O209" s="14">
        <f t="shared" si="1"/>
        <v>16.2923</v>
      </c>
      <c r="P209" s="86">
        <f t="array" ref="P209">iferror(XLOOKUP(C209,'Download of SFDC Activation Rep'!B:B,'Download of SFDC Activation Rep'!Z:Z),"")</f>
        <v>46007</v>
      </c>
      <c r="Q209" s="86">
        <f t="shared" si="2"/>
        <v>45992</v>
      </c>
      <c r="R209" s="13" t="str">
        <f t="shared" si="3"/>
        <v>Yes</v>
      </c>
      <c r="S209" s="86">
        <f t="array" ref="S209">iferror(XLOOKUP(C209,'Download of SFDC Activation Rep'!B:B,'Download of SFDC Activation Rep'!Y:Y),"")</f>
        <v>46007</v>
      </c>
    </row>
    <row r="210">
      <c r="A210" s="17" t="s">
        <v>19</v>
      </c>
      <c r="B210" s="85">
        <v>46023.0</v>
      </c>
      <c r="C210" s="17">
        <v>4117067.0</v>
      </c>
      <c r="D210" s="85">
        <v>45992.0</v>
      </c>
      <c r="E210" s="17">
        <v>731.0</v>
      </c>
      <c r="F210" s="17">
        <v>731.0</v>
      </c>
      <c r="G210" s="17">
        <v>4703981.5</v>
      </c>
      <c r="H210" s="17"/>
      <c r="I210" s="17">
        <v>1228.758173</v>
      </c>
      <c r="J210" s="17">
        <v>1.0</v>
      </c>
      <c r="K210" s="17">
        <v>1105.3109</v>
      </c>
      <c r="L210" s="17">
        <v>91.6921079143138</v>
      </c>
      <c r="M210" s="17">
        <v>1013.61879208568</v>
      </c>
      <c r="N210" s="17">
        <v>6.39999999999999</v>
      </c>
      <c r="O210" s="14">
        <f t="shared" si="1"/>
        <v>1111.7109</v>
      </c>
      <c r="P210" s="86">
        <f t="array" ref="P210">iferror(XLOOKUP(C210,'Download of SFDC Activation Rep'!B:B,'Download of SFDC Activation Rep'!Z:Z),"")</f>
        <v>45831</v>
      </c>
      <c r="Q210" s="86">
        <f t="shared" si="2"/>
        <v>45809</v>
      </c>
      <c r="R210" s="13" t="str">
        <f t="shared" si="3"/>
        <v>Yes</v>
      </c>
      <c r="S210" s="86">
        <f t="array" ref="S210">iferror(XLOOKUP(C210,'Download of SFDC Activation Rep'!B:B,'Download of SFDC Activation Rep'!Y:Y),"")</f>
        <v>45992</v>
      </c>
    </row>
    <row r="211">
      <c r="A211" s="17" t="s">
        <v>19</v>
      </c>
      <c r="B211" s="85">
        <v>46113.0</v>
      </c>
      <c r="C211" s="17">
        <v>4208610.0</v>
      </c>
      <c r="D211" s="85">
        <v>45962.0</v>
      </c>
      <c r="E211" s="17">
        <v>44.0</v>
      </c>
      <c r="F211" s="17">
        <v>44.0</v>
      </c>
      <c r="G211" s="17">
        <v>17781.0</v>
      </c>
      <c r="H211" s="17"/>
      <c r="I211" s="17">
        <v>38.75</v>
      </c>
      <c r="J211" s="17"/>
      <c r="K211" s="17">
        <v>25.0379999999999</v>
      </c>
      <c r="L211" s="17">
        <v>19.8480205346999</v>
      </c>
      <c r="M211" s="17">
        <v>5.18997946529999</v>
      </c>
      <c r="N211" s="17">
        <v>64.0</v>
      </c>
      <c r="O211" s="14">
        <f t="shared" si="1"/>
        <v>89.038</v>
      </c>
      <c r="P211" s="86">
        <f t="array" ref="P211">iferror(XLOOKUP(C211,'Download of SFDC Activation Rep'!B:B,'Download of SFDC Activation Rep'!Z:Z),"")</f>
        <v>45947</v>
      </c>
      <c r="Q211" s="86">
        <f t="shared" si="2"/>
        <v>45931</v>
      </c>
      <c r="R211" s="13" t="str">
        <f t="shared" si="3"/>
        <v>Yes</v>
      </c>
      <c r="S211" s="86">
        <f t="array" ref="S211">iferror(XLOOKUP(C211,'Download of SFDC Activation Rep'!B:B,'Download of SFDC Activation Rep'!Y:Y),"")</f>
        <v>45987</v>
      </c>
    </row>
    <row r="212">
      <c r="A212" s="17" t="s">
        <v>488</v>
      </c>
      <c r="B212" s="85">
        <v>46113.0</v>
      </c>
      <c r="C212" s="17">
        <v>4410778.0</v>
      </c>
      <c r="D212" s="85">
        <v>46082.0</v>
      </c>
      <c r="E212" s="17">
        <v>1.0</v>
      </c>
      <c r="F212" s="17">
        <v>1.0</v>
      </c>
      <c r="G212" s="17">
        <v>2250.0</v>
      </c>
      <c r="H212" s="17"/>
      <c r="I212" s="17">
        <v>57.155</v>
      </c>
      <c r="J212" s="17"/>
      <c r="K212" s="17">
        <v>57.035</v>
      </c>
      <c r="L212" s="17">
        <v>56.682467075</v>
      </c>
      <c r="M212" s="17">
        <v>0.352532924999998</v>
      </c>
      <c r="N212" s="17">
        <v>2.79999999999999</v>
      </c>
      <c r="O212" s="14">
        <f t="shared" si="1"/>
        <v>59.835</v>
      </c>
      <c r="P212" s="86">
        <f t="array" ref="P212">iferror(XLOOKUP(C212,'Download of SFDC Activation Rep'!B:B,'Download of SFDC Activation Rep'!Z:Z),"")</f>
        <v>46099</v>
      </c>
      <c r="Q212" s="86">
        <f t="shared" si="2"/>
        <v>46082</v>
      </c>
      <c r="R212" s="13" t="str">
        <f t="shared" si="3"/>
        <v>Yes</v>
      </c>
      <c r="S212" s="86">
        <f t="array" ref="S212">iferror(XLOOKUP(C212,'Download of SFDC Activation Rep'!B:B,'Download of SFDC Activation Rep'!Y:Y),"")</f>
        <v>46101</v>
      </c>
    </row>
    <row r="213">
      <c r="A213" s="17" t="s">
        <v>489</v>
      </c>
      <c r="B213" s="85">
        <v>46174.0</v>
      </c>
      <c r="C213" s="17">
        <v>2153287.0</v>
      </c>
      <c r="D213" s="85">
        <v>44805.0</v>
      </c>
      <c r="E213" s="17">
        <v>64.0</v>
      </c>
      <c r="F213" s="17">
        <v>46.0</v>
      </c>
      <c r="G213" s="17">
        <v>167324.4</v>
      </c>
      <c r="H213" s="17">
        <v>78295.44</v>
      </c>
      <c r="I213" s="17">
        <v>2270.59</v>
      </c>
      <c r="J213" s="17"/>
      <c r="K213" s="17">
        <v>122.8007</v>
      </c>
      <c r="L213" s="17">
        <v>97.246031682592</v>
      </c>
      <c r="M213" s="17">
        <v>25.5546683174079</v>
      </c>
      <c r="N213" s="17">
        <v>55.0</v>
      </c>
      <c r="O213" s="14">
        <f t="shared" si="1"/>
        <v>177.8007</v>
      </c>
      <c r="P213" s="86">
        <f t="array" ref="P213">iferror(XLOOKUP(C213,'Download of SFDC Activation Rep'!B:B,'Download of SFDC Activation Rep'!Z:Z),"")</f>
        <v>46007</v>
      </c>
      <c r="Q213" s="86">
        <f t="shared" si="2"/>
        <v>45992</v>
      </c>
      <c r="R213" s="13" t="str">
        <f t="shared" si="3"/>
        <v>Yes</v>
      </c>
      <c r="S213" s="86">
        <f t="array" ref="S213">iferror(XLOOKUP(C213,'Download of SFDC Activation Rep'!B:B,'Download of SFDC Activation Rep'!Y:Y),"")</f>
        <v>46021</v>
      </c>
    </row>
    <row r="214">
      <c r="A214" s="17" t="s">
        <v>488</v>
      </c>
      <c r="B214" s="85">
        <v>46054.0</v>
      </c>
      <c r="C214" s="17">
        <v>4265889.0</v>
      </c>
      <c r="D214" s="85">
        <v>45992.0</v>
      </c>
      <c r="E214" s="17">
        <v>66.0</v>
      </c>
      <c r="F214" s="17">
        <v>0.0</v>
      </c>
      <c r="G214" s="17">
        <v>15673.13</v>
      </c>
      <c r="H214" s="17"/>
      <c r="I214" s="17">
        <v>454.5</v>
      </c>
      <c r="J214" s="17"/>
      <c r="K214" s="17">
        <v>-27.3186</v>
      </c>
      <c r="L214" s="17">
        <v>-35.632455693264</v>
      </c>
      <c r="M214" s="17">
        <v>8.313855693264</v>
      </c>
      <c r="N214" s="17">
        <v>20.0</v>
      </c>
      <c r="O214" s="14">
        <f t="shared" si="1"/>
        <v>-7.3186</v>
      </c>
      <c r="P214" s="86">
        <f t="array" ref="P214">iferror(XLOOKUP(C214,'Download of SFDC Activation Rep'!B:B,'Download of SFDC Activation Rep'!Z:Z),"")</f>
        <v>45993</v>
      </c>
      <c r="Q214" s="86">
        <f t="shared" si="2"/>
        <v>45992</v>
      </c>
      <c r="R214" s="13" t="str">
        <f t="shared" si="3"/>
        <v>Yes</v>
      </c>
      <c r="S214" s="86">
        <f t="array" ref="S214">iferror(XLOOKUP(C214,'Download of SFDC Activation Rep'!B:B,'Download of SFDC Activation Rep'!Y:Y),"")</f>
        <v>45999</v>
      </c>
    </row>
    <row r="215">
      <c r="A215" s="17" t="s">
        <v>489</v>
      </c>
      <c r="B215" s="85">
        <v>46054.0</v>
      </c>
      <c r="C215" s="17">
        <v>4220233.0</v>
      </c>
      <c r="D215" s="85">
        <v>45992.0</v>
      </c>
      <c r="E215" s="17">
        <v>11.0</v>
      </c>
      <c r="F215" s="17">
        <v>11.0</v>
      </c>
      <c r="G215" s="17">
        <v>54920.31</v>
      </c>
      <c r="H215" s="17"/>
      <c r="I215" s="17">
        <v>506.14</v>
      </c>
      <c r="J215" s="17"/>
      <c r="K215" s="17">
        <v>433.2752</v>
      </c>
      <c r="L215" s="17">
        <v>397.176606323115</v>
      </c>
      <c r="M215" s="17">
        <v>36.098593676885</v>
      </c>
      <c r="N215" s="17">
        <v>68.0</v>
      </c>
      <c r="O215" s="14">
        <f t="shared" si="1"/>
        <v>501.2752</v>
      </c>
      <c r="P215" s="86">
        <f t="array" ref="P215">iferror(XLOOKUP(C215,'Download of SFDC Activation Rep'!B:B,'Download of SFDC Activation Rep'!Z:Z),"")</f>
        <v>45960</v>
      </c>
      <c r="Q215" s="86">
        <f t="shared" si="2"/>
        <v>45931</v>
      </c>
      <c r="R215" s="13" t="str">
        <f t="shared" si="3"/>
        <v>Yes</v>
      </c>
      <c r="S215" s="86">
        <f t="array" ref="S215">iferror(XLOOKUP(C215,'Download of SFDC Activation Rep'!B:B,'Download of SFDC Activation Rep'!Y:Y),"")</f>
        <v>46006</v>
      </c>
    </row>
    <row r="216">
      <c r="A216" s="17" t="s">
        <v>19</v>
      </c>
      <c r="B216" s="85">
        <v>46174.0</v>
      </c>
      <c r="C216" s="17">
        <v>3946131.0</v>
      </c>
      <c r="D216" s="85">
        <v>45809.0</v>
      </c>
      <c r="E216" s="17">
        <v>125.0</v>
      </c>
      <c r="F216" s="17">
        <v>125.0</v>
      </c>
      <c r="G216" s="17">
        <v>890209.39</v>
      </c>
      <c r="H216" s="17"/>
      <c r="I216" s="17">
        <v>83.75</v>
      </c>
      <c r="J216" s="17"/>
      <c r="K216" s="17">
        <v>41.3529</v>
      </c>
      <c r="L216" s="17">
        <v>-101.527144250406</v>
      </c>
      <c r="M216" s="17">
        <v>142.880044250407</v>
      </c>
      <c r="N216" s="17">
        <v>64.0</v>
      </c>
      <c r="O216" s="14">
        <f t="shared" si="1"/>
        <v>105.3529</v>
      </c>
      <c r="P216" s="86">
        <f t="array" ref="P216">iferror(XLOOKUP(C216,'Download of SFDC Activation Rep'!B:B,'Download of SFDC Activation Rep'!Z:Z),"")</f>
        <v>45805</v>
      </c>
      <c r="Q216" s="86">
        <f t="shared" si="2"/>
        <v>45778</v>
      </c>
      <c r="R216" s="13" t="str">
        <f t="shared" si="3"/>
        <v>Yes</v>
      </c>
      <c r="S216" s="86">
        <f t="array" ref="S216">iferror(XLOOKUP(C216,'Download of SFDC Activation Rep'!B:B,'Download of SFDC Activation Rep'!Y:Y),"")</f>
        <v>45805</v>
      </c>
    </row>
    <row r="217">
      <c r="A217" s="17" t="s">
        <v>488</v>
      </c>
      <c r="B217" s="85">
        <v>46174.0</v>
      </c>
      <c r="C217" s="17">
        <v>4181210.0</v>
      </c>
      <c r="D217" s="85">
        <v>46082.0</v>
      </c>
      <c r="E217" s="17">
        <v>6.0</v>
      </c>
      <c r="F217" s="17">
        <v>1.0</v>
      </c>
      <c r="G217" s="17">
        <v>6472.5</v>
      </c>
      <c r="H217" s="17"/>
      <c r="I217" s="17">
        <v>176.11</v>
      </c>
      <c r="J217" s="17"/>
      <c r="K217" s="17">
        <v>45.0483</v>
      </c>
      <c r="L217" s="17">
        <v>32.186190092</v>
      </c>
      <c r="M217" s="17">
        <v>12.8621099079999</v>
      </c>
      <c r="N217" s="17">
        <v>28.0</v>
      </c>
      <c r="O217" s="14">
        <f t="shared" si="1"/>
        <v>73.0483</v>
      </c>
      <c r="P217" s="86">
        <f t="array" ref="P217">iferror(XLOOKUP(C217,'Download of SFDC Activation Rep'!B:B,'Download of SFDC Activation Rep'!Z:Z),"")</f>
        <v>46077</v>
      </c>
      <c r="Q217" s="86">
        <f t="shared" si="2"/>
        <v>46054</v>
      </c>
      <c r="R217" s="13" t="str">
        <f t="shared" si="3"/>
        <v>Yes</v>
      </c>
      <c r="S217" s="86">
        <f t="array" ref="S217">iferror(XLOOKUP(C217,'Download of SFDC Activation Rep'!B:B,'Download of SFDC Activation Rep'!Y:Y),"")</f>
        <v>46118</v>
      </c>
    </row>
    <row r="218">
      <c r="A218" s="17" t="s">
        <v>488</v>
      </c>
      <c r="B218" s="85">
        <v>45931.0</v>
      </c>
      <c r="C218" s="17">
        <v>4030970.0</v>
      </c>
      <c r="D218" s="85">
        <v>45870.0</v>
      </c>
      <c r="E218" s="17">
        <v>16.0</v>
      </c>
      <c r="F218" s="17">
        <v>4.0</v>
      </c>
      <c r="G218" s="17">
        <v>21413.81</v>
      </c>
      <c r="H218" s="17">
        <v>8757.81</v>
      </c>
      <c r="I218" s="17">
        <v>277.884</v>
      </c>
      <c r="J218" s="17"/>
      <c r="K218" s="17">
        <v>55.2826</v>
      </c>
      <c r="L218" s="17">
        <v>50.5369948930156</v>
      </c>
      <c r="M218" s="17">
        <v>4.74560510698432</v>
      </c>
      <c r="N218" s="17">
        <v>1.99999999999999</v>
      </c>
      <c r="O218" s="14">
        <f t="shared" si="1"/>
        <v>57.2826</v>
      </c>
      <c r="P218" s="86">
        <f t="array" ref="P218">iferror(XLOOKUP(C218,'Download of SFDC Activation Rep'!B:B,'Download of SFDC Activation Rep'!Z:Z),"")</f>
        <v>45870</v>
      </c>
      <c r="Q218" s="86">
        <f t="shared" si="2"/>
        <v>45870</v>
      </c>
      <c r="R218" s="13" t="str">
        <f t="shared" si="3"/>
        <v>Yes</v>
      </c>
      <c r="S218" s="86">
        <f t="array" ref="S218">iferror(XLOOKUP(C218,'Download of SFDC Activation Rep'!B:B,'Download of SFDC Activation Rep'!Y:Y),"")</f>
        <v>45876</v>
      </c>
    </row>
    <row r="219">
      <c r="A219" s="17" t="s">
        <v>19</v>
      </c>
      <c r="B219" s="85">
        <v>46082.0</v>
      </c>
      <c r="C219" s="17">
        <v>4359669.0</v>
      </c>
      <c r="D219" s="85">
        <v>46054.0</v>
      </c>
      <c r="E219" s="17">
        <v>85.0</v>
      </c>
      <c r="F219" s="17">
        <v>85.0</v>
      </c>
      <c r="G219" s="17">
        <v>217477.9</v>
      </c>
      <c r="H219" s="17"/>
      <c r="I219" s="17">
        <v>1992.02</v>
      </c>
      <c r="J219" s="17">
        <v>25.5</v>
      </c>
      <c r="K219" s="17">
        <v>1967.4454</v>
      </c>
      <c r="L219" s="17">
        <v>1476.48152618961</v>
      </c>
      <c r="M219" s="17">
        <v>490.96387381039</v>
      </c>
      <c r="N219" s="17">
        <v>64.0</v>
      </c>
      <c r="O219" s="14">
        <f t="shared" si="1"/>
        <v>2031.4454</v>
      </c>
      <c r="P219" s="86">
        <f t="array" ref="P219">iferror(XLOOKUP(C219,'Download of SFDC Activation Rep'!B:B,'Download of SFDC Activation Rep'!Z:Z),"")</f>
        <v>46028</v>
      </c>
      <c r="Q219" s="86">
        <f t="shared" si="2"/>
        <v>46023</v>
      </c>
      <c r="R219" s="13" t="str">
        <f t="shared" si="3"/>
        <v>Yes</v>
      </c>
      <c r="S219" s="86">
        <f t="array" ref="S219">iferror(XLOOKUP(C219,'Download of SFDC Activation Rep'!B:B,'Download of SFDC Activation Rep'!Y:Y),"")</f>
        <v>46079</v>
      </c>
    </row>
    <row r="220">
      <c r="A220" s="17" t="s">
        <v>488</v>
      </c>
      <c r="B220" s="85">
        <v>46054.0</v>
      </c>
      <c r="C220" s="17">
        <v>4269343.0</v>
      </c>
      <c r="D220" s="85">
        <v>45992.0</v>
      </c>
      <c r="E220" s="17">
        <v>51.0</v>
      </c>
      <c r="F220" s="17">
        <v>22.0</v>
      </c>
      <c r="G220" s="17">
        <v>57445.75</v>
      </c>
      <c r="H220" s="17">
        <v>13030.0</v>
      </c>
      <c r="I220" s="17">
        <v>926.19</v>
      </c>
      <c r="J220" s="17"/>
      <c r="K220" s="17">
        <v>219.074</v>
      </c>
      <c r="L220" s="17">
        <v>208.9605729245</v>
      </c>
      <c r="M220" s="17">
        <v>10.1134270754999</v>
      </c>
      <c r="N220" s="17">
        <v>36.0</v>
      </c>
      <c r="O220" s="14">
        <f t="shared" si="1"/>
        <v>339.769</v>
      </c>
      <c r="P220" s="86">
        <f t="array" ref="P220">iferror(XLOOKUP(C220,'Download of SFDC Activation Rep'!B:B,'Download of SFDC Activation Rep'!Z:Z),"")</f>
        <v>45918</v>
      </c>
      <c r="Q220" s="86">
        <f t="shared" si="2"/>
        <v>45901</v>
      </c>
      <c r="R220" s="13" t="str">
        <f t="shared" si="3"/>
        <v>Yes</v>
      </c>
      <c r="S220" s="86">
        <f t="array" ref="S220">iferror(XLOOKUP(C220,'Download of SFDC Activation Rep'!B:B,'Download of SFDC Activation Rep'!Y:Y),"")</f>
        <v>46001</v>
      </c>
    </row>
    <row r="221">
      <c r="A221" s="17" t="s">
        <v>19</v>
      </c>
      <c r="B221" s="85">
        <v>45992.0</v>
      </c>
      <c r="C221" s="17">
        <v>4018525.0</v>
      </c>
      <c r="D221" s="85">
        <v>45839.0</v>
      </c>
      <c r="E221" s="17">
        <v>71.0</v>
      </c>
      <c r="F221" s="17">
        <v>71.0</v>
      </c>
      <c r="G221" s="17">
        <v>296275.2</v>
      </c>
      <c r="H221" s="17"/>
      <c r="I221" s="17">
        <v>694.753155</v>
      </c>
      <c r="J221" s="17"/>
      <c r="K221" s="17">
        <v>668.371199999999</v>
      </c>
      <c r="L221" s="17">
        <v>585.969539506069</v>
      </c>
      <c r="M221" s="17">
        <v>82.4016604939306</v>
      </c>
      <c r="N221" s="17">
        <v>6.39999999999999</v>
      </c>
      <c r="O221" s="14">
        <f t="shared" si="1"/>
        <v>674.7712</v>
      </c>
      <c r="P221" s="86">
        <f t="array" ref="P221">iferror(XLOOKUP(C221,'Download of SFDC Activation Rep'!B:B,'Download of SFDC Activation Rep'!Z:Z),"")</f>
        <v>45818</v>
      </c>
      <c r="Q221" s="86">
        <f t="shared" si="2"/>
        <v>45809</v>
      </c>
      <c r="R221" s="13" t="str">
        <f t="shared" si="3"/>
        <v>Yes</v>
      </c>
      <c r="S221" s="86">
        <f t="array" ref="S221">iferror(XLOOKUP(C221,'Download of SFDC Activation Rep'!B:B,'Download of SFDC Activation Rep'!Y:Y),"")</f>
        <v>45859</v>
      </c>
    </row>
    <row r="222">
      <c r="A222" s="17" t="s">
        <v>489</v>
      </c>
      <c r="B222" s="85">
        <v>46054.0</v>
      </c>
      <c r="C222" s="17">
        <v>4178047.0</v>
      </c>
      <c r="D222" s="85">
        <v>45962.0</v>
      </c>
      <c r="E222" s="17">
        <v>15.0</v>
      </c>
      <c r="F222" s="17">
        <v>15.0</v>
      </c>
      <c r="G222" s="17">
        <v>78118.64</v>
      </c>
      <c r="H222" s="17"/>
      <c r="I222" s="17">
        <v>0.0</v>
      </c>
      <c r="J222" s="17"/>
      <c r="K222" s="17">
        <v>-1.7987</v>
      </c>
      <c r="L222" s="17">
        <v>-14.038430069432</v>
      </c>
      <c r="M222" s="17">
        <v>12.239730069432</v>
      </c>
      <c r="N222" s="17">
        <v>85.0</v>
      </c>
      <c r="O222" s="14">
        <f t="shared" si="1"/>
        <v>83.2013</v>
      </c>
      <c r="P222" s="86">
        <f t="array" ref="P222">iferror(XLOOKUP(C222,'Download of SFDC Activation Rep'!B:B,'Download of SFDC Activation Rep'!Z:Z),"")</f>
        <v>45974</v>
      </c>
      <c r="Q222" s="86">
        <f t="shared" si="2"/>
        <v>45962</v>
      </c>
      <c r="R222" s="13" t="str">
        <f t="shared" si="3"/>
        <v>Yes</v>
      </c>
      <c r="S222" s="86">
        <f t="array" ref="S222">iferror(XLOOKUP(C222,'Download of SFDC Activation Rep'!B:B,'Download of SFDC Activation Rep'!Y:Y),"")</f>
        <v>45967</v>
      </c>
    </row>
    <row r="223">
      <c r="A223" s="17" t="s">
        <v>17</v>
      </c>
      <c r="B223" s="85">
        <v>45992.0</v>
      </c>
      <c r="C223" s="17">
        <v>4169152.0</v>
      </c>
      <c r="D223" s="85">
        <v>45931.0</v>
      </c>
      <c r="E223" s="17">
        <v>4.0</v>
      </c>
      <c r="F223" s="17">
        <v>0.0</v>
      </c>
      <c r="G223" s="17">
        <v>7969.2</v>
      </c>
      <c r="H223" s="17">
        <v>7969.2</v>
      </c>
      <c r="I223" s="17">
        <v>231.11</v>
      </c>
      <c r="J223" s="17"/>
      <c r="K223" s="17">
        <v>43.4668</v>
      </c>
      <c r="L223" s="17">
        <v>39.2395152999917</v>
      </c>
      <c r="M223" s="17">
        <v>4.22728470000828</v>
      </c>
      <c r="N223" s="17">
        <v>25.0</v>
      </c>
      <c r="O223" s="14">
        <f t="shared" si="1"/>
        <v>68.4668</v>
      </c>
      <c r="P223" s="86">
        <f t="array" ref="P223">iferror(XLOOKUP(C223,'Download of SFDC Activation Rep'!B:B,'Download of SFDC Activation Rep'!Z:Z),"")</f>
        <v>45940</v>
      </c>
      <c r="Q223" s="86">
        <f t="shared" si="2"/>
        <v>45931</v>
      </c>
      <c r="R223" s="13" t="str">
        <f t="shared" si="3"/>
        <v>Yes</v>
      </c>
      <c r="S223" s="86">
        <f t="array" ref="S223">iferror(XLOOKUP(C223,'Download of SFDC Activation Rep'!B:B,'Download of SFDC Activation Rep'!Y:Y),"")</f>
        <v>45958</v>
      </c>
    </row>
    <row r="224">
      <c r="A224" s="17" t="s">
        <v>488</v>
      </c>
      <c r="B224" s="85">
        <v>45962.0</v>
      </c>
      <c r="C224" s="17">
        <v>4008827.0</v>
      </c>
      <c r="D224" s="85">
        <v>45870.0</v>
      </c>
      <c r="E224" s="17">
        <v>12.0</v>
      </c>
      <c r="F224" s="17">
        <v>12.0</v>
      </c>
      <c r="G224" s="17">
        <v>78227.75</v>
      </c>
      <c r="H224" s="17"/>
      <c r="I224" s="17">
        <v>0.0</v>
      </c>
      <c r="J224" s="17"/>
      <c r="K224" s="17">
        <v>-1.76519999999999</v>
      </c>
      <c r="L224" s="17">
        <v>-14.0220292349564</v>
      </c>
      <c r="M224" s="17">
        <v>12.2568292349564</v>
      </c>
      <c r="N224" s="17">
        <v>25.0</v>
      </c>
      <c r="O224" s="14">
        <f t="shared" si="1"/>
        <v>23.2348</v>
      </c>
      <c r="P224" s="86">
        <f t="array" ref="P224">iferror(XLOOKUP(C224,'Download of SFDC Activation Rep'!B:B,'Download of SFDC Activation Rep'!Z:Z),"")</f>
        <v>45870</v>
      </c>
      <c r="Q224" s="86">
        <f t="shared" si="2"/>
        <v>45870</v>
      </c>
      <c r="R224" s="13" t="str">
        <f t="shared" si="3"/>
        <v>Yes</v>
      </c>
      <c r="S224" s="86">
        <f t="array" ref="S224">iferror(XLOOKUP(C224,'Download of SFDC Activation Rep'!B:B,'Download of SFDC Activation Rep'!Y:Y),"")</f>
        <v>45884</v>
      </c>
    </row>
    <row r="225">
      <c r="A225" s="17" t="s">
        <v>488</v>
      </c>
      <c r="B225" s="85">
        <v>46174.0</v>
      </c>
      <c r="C225" s="17">
        <v>4027648.0</v>
      </c>
      <c r="D225" s="85">
        <v>45839.0</v>
      </c>
      <c r="E225" s="17">
        <v>26.0</v>
      </c>
      <c r="F225" s="17">
        <v>26.0</v>
      </c>
      <c r="G225" s="17">
        <v>25925.85</v>
      </c>
      <c r="H225" s="17"/>
      <c r="I225" s="17">
        <v>3.5</v>
      </c>
      <c r="J225" s="17">
        <v>3.5</v>
      </c>
      <c r="K225" s="17">
        <v>-0.8068</v>
      </c>
      <c r="L225" s="17">
        <v>-4.86889588160499</v>
      </c>
      <c r="M225" s="17">
        <v>4.06209588160499</v>
      </c>
      <c r="N225" s="17">
        <v>35.0</v>
      </c>
      <c r="O225" s="14">
        <f t="shared" si="1"/>
        <v>34.1932</v>
      </c>
      <c r="P225" s="86">
        <f t="array" ref="P225">iferror(XLOOKUP(C225,'Download of SFDC Activation Rep'!B:B,'Download of SFDC Activation Rep'!Z:Z),"")</f>
        <v>45869</v>
      </c>
      <c r="Q225" s="86">
        <f t="shared" si="2"/>
        <v>45839</v>
      </c>
      <c r="R225" s="13" t="str">
        <f t="shared" si="3"/>
        <v>Yes</v>
      </c>
      <c r="S225" s="86">
        <f t="array" ref="S225">iferror(XLOOKUP(C225,'Download of SFDC Activation Rep'!B:B,'Download of SFDC Activation Rep'!Y:Y),"")</f>
        <v>45869</v>
      </c>
    </row>
    <row r="226">
      <c r="A226" s="17" t="s">
        <v>488</v>
      </c>
      <c r="B226" s="85">
        <v>46143.0</v>
      </c>
      <c r="C226" s="17">
        <v>4359494.0</v>
      </c>
      <c r="D226" s="85">
        <v>46023.0</v>
      </c>
      <c r="E226" s="17">
        <v>1.0</v>
      </c>
      <c r="F226" s="17">
        <v>1.0</v>
      </c>
      <c r="G226" s="17">
        <v>53.26</v>
      </c>
      <c r="H226" s="17"/>
      <c r="I226" s="17">
        <v>1.5</v>
      </c>
      <c r="J226" s="17"/>
      <c r="K226" s="17">
        <v>0.3391</v>
      </c>
      <c r="L226" s="17">
        <v>0.331287753962</v>
      </c>
      <c r="M226" s="17">
        <v>0.00781224603800001</v>
      </c>
      <c r="N226" s="17">
        <v>17.0</v>
      </c>
      <c r="O226" s="14">
        <f t="shared" si="1"/>
        <v>17.3391</v>
      </c>
      <c r="P226" s="86">
        <f t="array" ref="P226">iferror(XLOOKUP(C226,'Download of SFDC Activation Rep'!B:B,'Download of SFDC Activation Rep'!Z:Z),"")</f>
        <v>46057</v>
      </c>
      <c r="Q226" s="86">
        <f t="shared" si="2"/>
        <v>46054</v>
      </c>
      <c r="R226" s="13" t="str">
        <f t="shared" si="3"/>
        <v>Yes</v>
      </c>
      <c r="S226" s="86">
        <f t="array" ref="S226">iferror(XLOOKUP(C226,'Download of SFDC Activation Rep'!B:B,'Download of SFDC Activation Rep'!Y:Y),"")</f>
        <v>46057</v>
      </c>
    </row>
    <row r="227">
      <c r="A227" s="17" t="s">
        <v>19</v>
      </c>
      <c r="B227" s="85">
        <v>46113.0</v>
      </c>
      <c r="C227" s="17">
        <v>3934711.0</v>
      </c>
      <c r="D227" s="85">
        <v>45839.0</v>
      </c>
      <c r="E227" s="17">
        <v>47.0</v>
      </c>
      <c r="F227" s="17">
        <v>47.0</v>
      </c>
      <c r="G227" s="17">
        <v>7124.01</v>
      </c>
      <c r="H227" s="17"/>
      <c r="I227" s="17">
        <v>8.86</v>
      </c>
      <c r="J227" s="17">
        <v>3.0</v>
      </c>
      <c r="K227" s="17">
        <v>-0.5101</v>
      </c>
      <c r="L227" s="17">
        <v>-2.767281740731</v>
      </c>
      <c r="M227" s="17">
        <v>2.257181740731</v>
      </c>
      <c r="N227" s="17">
        <v>1.99999999999999</v>
      </c>
      <c r="O227" s="14">
        <f t="shared" si="1"/>
        <v>1.4899</v>
      </c>
      <c r="P227" s="86">
        <f t="array" ref="P227">iferror(XLOOKUP(C227,'Download of SFDC Activation Rep'!B:B,'Download of SFDC Activation Rep'!Z:Z),"")</f>
        <v>45817</v>
      </c>
      <c r="Q227" s="86">
        <f t="shared" si="2"/>
        <v>45809</v>
      </c>
      <c r="R227" s="13" t="str">
        <f t="shared" si="3"/>
        <v>Yes</v>
      </c>
      <c r="S227" s="86">
        <f t="array" ref="S227">iferror(XLOOKUP(C227,'Download of SFDC Activation Rep'!B:B,'Download of SFDC Activation Rep'!Y:Y),"")</f>
        <v>45817</v>
      </c>
    </row>
    <row r="228">
      <c r="A228" s="17" t="s">
        <v>19</v>
      </c>
      <c r="B228" s="85">
        <v>46113.0</v>
      </c>
      <c r="C228" s="17">
        <v>1938612.0</v>
      </c>
      <c r="D228" s="85">
        <v>45962.0</v>
      </c>
      <c r="E228" s="17">
        <v>6.0</v>
      </c>
      <c r="F228" s="17">
        <v>6.0</v>
      </c>
      <c r="G228" s="17">
        <v>41894.98</v>
      </c>
      <c r="H228" s="17"/>
      <c r="I228" s="17">
        <v>1.5</v>
      </c>
      <c r="J228" s="17"/>
      <c r="K228" s="17">
        <v>-0.186899999999999</v>
      </c>
      <c r="L228" s="17">
        <v>-6.63509262987399</v>
      </c>
      <c r="M228" s="17">
        <v>6.44819262987399</v>
      </c>
      <c r="N228" s="17">
        <v>68.0</v>
      </c>
      <c r="O228" s="14">
        <f t="shared" si="1"/>
        <v>67.8131</v>
      </c>
      <c r="P228" s="86">
        <f t="array" ref="P228">iferror(XLOOKUP(C228,'Download of SFDC Activation Rep'!B:B,'Download of SFDC Activation Rep'!Z:Z),"")</f>
        <v>45904</v>
      </c>
      <c r="Q228" s="86">
        <f t="shared" si="2"/>
        <v>45901</v>
      </c>
      <c r="R228" s="13" t="str">
        <f t="shared" si="3"/>
        <v>Yes</v>
      </c>
      <c r="S228" s="86">
        <f t="array" ref="S228">iferror(XLOOKUP(C228,'Download of SFDC Activation Rep'!B:B,'Download of SFDC Activation Rep'!Y:Y),"")</f>
        <v>45966</v>
      </c>
    </row>
    <row r="229">
      <c r="A229" s="17" t="s">
        <v>488</v>
      </c>
      <c r="B229" s="85">
        <v>45962.0</v>
      </c>
      <c r="C229" s="17">
        <v>3952865.0</v>
      </c>
      <c r="D229" s="85">
        <v>45809.0</v>
      </c>
      <c r="E229" s="17">
        <v>7.0</v>
      </c>
      <c r="F229" s="17">
        <v>7.0</v>
      </c>
      <c r="G229" s="17">
        <v>23986.7</v>
      </c>
      <c r="H229" s="17"/>
      <c r="I229" s="17">
        <v>0.0</v>
      </c>
      <c r="J229" s="17"/>
      <c r="K229" s="17">
        <v>-0.968799999999999</v>
      </c>
      <c r="L229" s="17">
        <v>-4.72706846368623</v>
      </c>
      <c r="M229" s="17">
        <v>3.75826846368623</v>
      </c>
      <c r="N229" s="17">
        <v>35.0</v>
      </c>
      <c r="O229" s="14">
        <f t="shared" si="1"/>
        <v>34.0312</v>
      </c>
      <c r="P229" s="86">
        <f t="array" ref="P229">iferror(XLOOKUP(C229,'Download of SFDC Activation Rep'!B:B,'Download of SFDC Activation Rep'!Z:Z),"")</f>
        <v>45799</v>
      </c>
      <c r="Q229" s="86">
        <f t="shared" si="2"/>
        <v>45778</v>
      </c>
      <c r="R229" s="13" t="str">
        <f t="shared" si="3"/>
        <v>Yes</v>
      </c>
      <c r="S229" s="86">
        <f t="array" ref="S229">iferror(XLOOKUP(C229,'Download of SFDC Activation Rep'!B:B,'Download of SFDC Activation Rep'!Y:Y),"")</f>
        <v>45818</v>
      </c>
    </row>
    <row r="230">
      <c r="A230" s="17" t="s">
        <v>488</v>
      </c>
      <c r="B230" s="85">
        <v>45992.0</v>
      </c>
      <c r="C230" s="17">
        <v>2340816.0</v>
      </c>
      <c r="D230" s="85">
        <v>45931.0</v>
      </c>
      <c r="E230" s="17">
        <v>6.0</v>
      </c>
      <c r="F230" s="17">
        <v>6.0</v>
      </c>
      <c r="G230" s="17">
        <v>2238.21</v>
      </c>
      <c r="H230" s="17"/>
      <c r="I230" s="17">
        <v>6.93</v>
      </c>
      <c r="J230" s="17"/>
      <c r="K230" s="17">
        <v>4.2072</v>
      </c>
      <c r="L230" s="17">
        <v>3.6075826636144</v>
      </c>
      <c r="M230" s="17">
        <v>0.599617336385593</v>
      </c>
      <c r="N230" s="17">
        <v>20.0</v>
      </c>
      <c r="O230" s="14">
        <f t="shared" si="1"/>
        <v>24.2072</v>
      </c>
      <c r="P230" s="86">
        <f t="array" ref="P230">iferror(XLOOKUP(C230,'Download of SFDC Activation Rep'!B:B,'Download of SFDC Activation Rep'!Z:Z),"")</f>
        <v>45929</v>
      </c>
      <c r="Q230" s="86">
        <f t="shared" si="2"/>
        <v>45901</v>
      </c>
      <c r="R230" s="13" t="str">
        <f t="shared" si="3"/>
        <v>Yes</v>
      </c>
      <c r="S230" s="86">
        <f t="array" ref="S230">iferror(XLOOKUP(C230,'Download of SFDC Activation Rep'!B:B,'Download of SFDC Activation Rep'!Y:Y),"")</f>
        <v>45936</v>
      </c>
    </row>
    <row r="231">
      <c r="A231" s="17" t="s">
        <v>488</v>
      </c>
      <c r="B231" s="85">
        <v>45901.0</v>
      </c>
      <c r="C231" s="17">
        <v>3934664.0</v>
      </c>
      <c r="D231" s="85">
        <v>45809.0</v>
      </c>
      <c r="E231" s="17">
        <v>1.0</v>
      </c>
      <c r="F231" s="17">
        <v>0.0</v>
      </c>
      <c r="G231" s="17">
        <v>858.95</v>
      </c>
      <c r="H231" s="17">
        <v>858.95</v>
      </c>
      <c r="I231" s="17">
        <v>24.91</v>
      </c>
      <c r="J231" s="17"/>
      <c r="K231" s="17">
        <v>4.3164</v>
      </c>
      <c r="L231" s="17">
        <v>4.30781049999999</v>
      </c>
      <c r="M231" s="17">
        <v>0.00858950000000025</v>
      </c>
      <c r="N231" s="17">
        <v>25.0</v>
      </c>
      <c r="O231" s="14">
        <f t="shared" si="1"/>
        <v>29.3164</v>
      </c>
      <c r="P231" s="86">
        <f t="array" ref="P231">iferror(XLOOKUP(C231,'Download of SFDC Activation Rep'!B:B,'Download of SFDC Activation Rep'!Z:Z),"")</f>
        <v>45820</v>
      </c>
      <c r="Q231" s="86">
        <f t="shared" si="2"/>
        <v>45809</v>
      </c>
      <c r="R231" s="13" t="str">
        <f t="shared" si="3"/>
        <v>Yes</v>
      </c>
      <c r="S231" s="86">
        <f t="array" ref="S231">iferror(XLOOKUP(C231,'Download of SFDC Activation Rep'!B:B,'Download of SFDC Activation Rep'!Y:Y),"")</f>
        <v>45829</v>
      </c>
    </row>
    <row r="232">
      <c r="A232" s="17" t="s">
        <v>488</v>
      </c>
      <c r="B232" s="85">
        <v>46174.0</v>
      </c>
      <c r="C232" s="17">
        <v>4299448.0</v>
      </c>
      <c r="D232" s="85">
        <v>45992.0</v>
      </c>
      <c r="E232" s="17">
        <v>22.0</v>
      </c>
      <c r="F232" s="17">
        <v>0.0</v>
      </c>
      <c r="G232" s="17">
        <v>488399.6</v>
      </c>
      <c r="H232" s="17"/>
      <c r="I232" s="17">
        <v>14273.58</v>
      </c>
      <c r="J232" s="17"/>
      <c r="K232" s="17">
        <v>1329.3129</v>
      </c>
      <c r="L232" s="17">
        <v>939.73429556112</v>
      </c>
      <c r="M232" s="17">
        <v>389.57860443888</v>
      </c>
      <c r="N232" s="17">
        <v>35.0</v>
      </c>
      <c r="O232" s="14">
        <f t="shared" si="1"/>
        <v>1364.3129</v>
      </c>
      <c r="P232" s="86">
        <f t="array" ref="P232">iferror(XLOOKUP(C232,'Download of SFDC Activation Rep'!B:B,'Download of SFDC Activation Rep'!Z:Z),"")</f>
        <v>46197</v>
      </c>
      <c r="Q232" s="86">
        <f t="shared" si="2"/>
        <v>46174</v>
      </c>
      <c r="R232" s="13" t="str">
        <f t="shared" si="3"/>
        <v>Yes</v>
      </c>
      <c r="S232" s="86">
        <f t="array" ref="S232">iferror(XLOOKUP(C232,'Download of SFDC Activation Rep'!B:B,'Download of SFDC Activation Rep'!Y:Y),"")</f>
        <v>46361</v>
      </c>
    </row>
    <row r="233">
      <c r="A233" s="17" t="s">
        <v>19</v>
      </c>
      <c r="B233" s="85">
        <v>46082.0</v>
      </c>
      <c r="C233" s="17">
        <v>4117067.0</v>
      </c>
      <c r="D233" s="85">
        <v>45992.0</v>
      </c>
      <c r="E233" s="17">
        <v>159.0</v>
      </c>
      <c r="F233" s="17">
        <v>159.0</v>
      </c>
      <c r="G233" s="17">
        <v>3161065.57</v>
      </c>
      <c r="H233" s="17"/>
      <c r="I233" s="17">
        <v>2088.085757</v>
      </c>
      <c r="J233" s="17">
        <v>0.5</v>
      </c>
      <c r="K233" s="17">
        <v>2065.6078</v>
      </c>
      <c r="L233" s="17">
        <v>1569.63075820715</v>
      </c>
      <c r="M233" s="17">
        <v>495.97704179284</v>
      </c>
      <c r="N233" s="17">
        <v>6.39999999999999</v>
      </c>
      <c r="O233" s="14">
        <f t="shared" si="1"/>
        <v>2072.0078</v>
      </c>
      <c r="P233" s="86">
        <f t="array" ref="P233">iferror(XLOOKUP(C233,'Download of SFDC Activation Rep'!B:B,'Download of SFDC Activation Rep'!Z:Z),"")</f>
        <v>45831</v>
      </c>
      <c r="Q233" s="86">
        <f t="shared" si="2"/>
        <v>45809</v>
      </c>
      <c r="R233" s="13" t="str">
        <f t="shared" si="3"/>
        <v>Yes</v>
      </c>
      <c r="S233" s="86">
        <f t="array" ref="S233">iferror(XLOOKUP(C233,'Download of SFDC Activation Rep'!B:B,'Download of SFDC Activation Rep'!Y:Y),"")</f>
        <v>45992</v>
      </c>
    </row>
    <row r="234">
      <c r="A234" s="17" t="s">
        <v>1487</v>
      </c>
      <c r="B234" s="85">
        <v>45839.0</v>
      </c>
      <c r="C234" s="17">
        <v>3935770.0</v>
      </c>
      <c r="D234" s="85">
        <v>45778.0</v>
      </c>
      <c r="E234" s="17">
        <v>34.0</v>
      </c>
      <c r="F234" s="17">
        <v>32.0</v>
      </c>
      <c r="G234" s="17">
        <v>136784.62</v>
      </c>
      <c r="H234" s="17"/>
      <c r="I234" s="17">
        <v>16.937386</v>
      </c>
      <c r="J234" s="17"/>
      <c r="K234" s="17">
        <v>-0.2927</v>
      </c>
      <c r="L234" s="17">
        <v>-14.2142839425711</v>
      </c>
      <c r="M234" s="17">
        <v>13.9215839425711</v>
      </c>
      <c r="N234" s="17">
        <v>0.0</v>
      </c>
      <c r="O234" s="14">
        <f t="shared" si="1"/>
        <v>-0.2927</v>
      </c>
      <c r="P234" s="86">
        <f t="array" ref="P234">iferror(XLOOKUP(C234,'Download of SFDC Activation Rep'!B:B,'Download of SFDC Activation Rep'!Z:Z),"")</f>
        <v>45797</v>
      </c>
      <c r="Q234" s="86">
        <f t="shared" si="2"/>
        <v>45778</v>
      </c>
      <c r="R234" s="13" t="str">
        <f t="shared" si="3"/>
        <v>Yes</v>
      </c>
      <c r="S234" s="86">
        <f t="array" ref="S234">iferror(XLOOKUP(C234,'Download of SFDC Activation Rep'!B:B,'Download of SFDC Activation Rep'!Y:Y),"")</f>
        <v>45797</v>
      </c>
    </row>
    <row r="235">
      <c r="A235" s="17" t="s">
        <v>19</v>
      </c>
      <c r="B235" s="85">
        <v>46113.0</v>
      </c>
      <c r="C235" s="17">
        <v>4440958.0</v>
      </c>
      <c r="D235" s="85">
        <v>46054.0</v>
      </c>
      <c r="E235" s="17">
        <v>11.0</v>
      </c>
      <c r="F235" s="17">
        <v>0.0</v>
      </c>
      <c r="G235" s="17">
        <v>1000054.0</v>
      </c>
      <c r="H235" s="17">
        <v>431990.0</v>
      </c>
      <c r="I235" s="17">
        <v>28116.56</v>
      </c>
      <c r="J235" s="17"/>
      <c r="K235" s="17">
        <v>356.712</v>
      </c>
      <c r="L235" s="17">
        <v>-549.239718751199</v>
      </c>
      <c r="M235" s="17">
        <v>905.9517187512</v>
      </c>
      <c r="N235" s="17">
        <v>64.0</v>
      </c>
      <c r="O235" s="14">
        <f t="shared" si="1"/>
        <v>3228.647</v>
      </c>
      <c r="P235" s="86">
        <f t="array" ref="P235">iferror(XLOOKUP(C235,'Download of SFDC Activation Rep'!B:B,'Download of SFDC Activation Rep'!Z:Z),"")</f>
        <v>46197</v>
      </c>
      <c r="Q235" s="86">
        <f t="shared" si="2"/>
        <v>46174</v>
      </c>
      <c r="R235" s="13" t="str">
        <f t="shared" si="3"/>
        <v>No</v>
      </c>
      <c r="S235" s="86">
        <f t="array" ref="S235">iferror(XLOOKUP(C235,'Download of SFDC Activation Rep'!B:B,'Download of SFDC Activation Rep'!Y:Y),"")</f>
        <v>46361</v>
      </c>
    </row>
    <row r="236">
      <c r="A236" s="17" t="s">
        <v>19</v>
      </c>
      <c r="B236" s="85">
        <v>46023.0</v>
      </c>
      <c r="C236" s="17">
        <v>4239966.0</v>
      </c>
      <c r="D236" s="85">
        <v>45992.0</v>
      </c>
      <c r="E236" s="17">
        <v>3.0</v>
      </c>
      <c r="F236" s="17">
        <v>3.0</v>
      </c>
      <c r="G236" s="17">
        <v>797.61</v>
      </c>
      <c r="H236" s="17"/>
      <c r="I236" s="17">
        <v>0.0</v>
      </c>
      <c r="J236" s="17"/>
      <c r="K236" s="17">
        <v>-0.395</v>
      </c>
      <c r="L236" s="17">
        <v>-0.564607266224858</v>
      </c>
      <c r="M236" s="17">
        <v>0.169607266224858</v>
      </c>
      <c r="N236" s="17">
        <v>24.0</v>
      </c>
      <c r="O236" s="14">
        <f t="shared" si="1"/>
        <v>23.605</v>
      </c>
      <c r="P236" s="86">
        <f t="array" ref="P236">iferror(XLOOKUP(C236,'Download of SFDC Activation Rep'!B:B,'Download of SFDC Activation Rep'!Z:Z),"")</f>
        <v>45979</v>
      </c>
      <c r="Q236" s="86">
        <f t="shared" si="2"/>
        <v>45962</v>
      </c>
      <c r="R236" s="13" t="str">
        <f t="shared" si="3"/>
        <v>Yes</v>
      </c>
      <c r="S236" s="86">
        <f t="array" ref="S236">iferror(XLOOKUP(C236,'Download of SFDC Activation Rep'!B:B,'Download of SFDC Activation Rep'!Y:Y),"")</f>
        <v>45995</v>
      </c>
    </row>
    <row r="237">
      <c r="A237" s="17" t="s">
        <v>488</v>
      </c>
      <c r="B237" s="85">
        <v>45962.0</v>
      </c>
      <c r="C237" s="17">
        <v>4233219.0</v>
      </c>
      <c r="D237" s="85">
        <v>45962.0</v>
      </c>
      <c r="E237" s="17">
        <v>1.0</v>
      </c>
      <c r="F237" s="17">
        <v>1.0</v>
      </c>
      <c r="G237" s="17">
        <v>2100.0</v>
      </c>
      <c r="H237" s="17"/>
      <c r="I237" s="17">
        <v>1.5</v>
      </c>
      <c r="J237" s="17"/>
      <c r="K237" s="17">
        <v>0.5207</v>
      </c>
      <c r="L237" s="17">
        <v>0.21266917151</v>
      </c>
      <c r="M237" s="17">
        <v>0.30803082849</v>
      </c>
      <c r="N237" s="17">
        <v>0.0</v>
      </c>
      <c r="O237" s="14">
        <f t="shared" si="1"/>
        <v>0.5207</v>
      </c>
      <c r="P237" s="86">
        <f t="array" ref="P237">iferror(XLOOKUP(C237,'Download of SFDC Activation Rep'!B:B,'Download of SFDC Activation Rep'!Z:Z),"")</f>
        <v>45978</v>
      </c>
      <c r="Q237" s="86">
        <f t="shared" si="2"/>
        <v>45962</v>
      </c>
      <c r="R237" s="13" t="str">
        <f t="shared" si="3"/>
        <v>Yes</v>
      </c>
      <c r="S237" s="86">
        <f t="array" ref="S237">iferror(XLOOKUP(C237,'Download of SFDC Activation Rep'!B:B,'Download of SFDC Activation Rep'!Y:Y),"")</f>
        <v>45989</v>
      </c>
    </row>
    <row r="238">
      <c r="A238" s="17" t="s">
        <v>19</v>
      </c>
      <c r="B238" s="85">
        <v>46082.0</v>
      </c>
      <c r="C238" s="17">
        <v>4239923.0</v>
      </c>
      <c r="D238" s="85">
        <v>45992.0</v>
      </c>
      <c r="E238" s="17">
        <v>2.0</v>
      </c>
      <c r="F238" s="17">
        <v>2.0</v>
      </c>
      <c r="G238" s="17">
        <v>5217.73</v>
      </c>
      <c r="H238" s="17"/>
      <c r="I238" s="17">
        <v>0.0</v>
      </c>
      <c r="J238" s="17"/>
      <c r="K238" s="17">
        <v>-0.3</v>
      </c>
      <c r="L238" s="17">
        <v>-1.117520719449</v>
      </c>
      <c r="M238" s="17">
        <v>0.817520719449</v>
      </c>
      <c r="N238" s="17">
        <v>24.0</v>
      </c>
      <c r="O238" s="14">
        <f t="shared" si="1"/>
        <v>23.7</v>
      </c>
      <c r="P238" s="86">
        <f t="array" ref="P238">iferror(XLOOKUP(C238,'Download of SFDC Activation Rep'!B:B,'Download of SFDC Activation Rep'!Z:Z),"")</f>
        <v>45992</v>
      </c>
      <c r="Q238" s="86">
        <f t="shared" si="2"/>
        <v>45992</v>
      </c>
      <c r="R238" s="13" t="str">
        <f t="shared" si="3"/>
        <v>Yes</v>
      </c>
      <c r="S238" s="86">
        <f t="array" ref="S238">iferror(XLOOKUP(C238,'Download of SFDC Activation Rep'!B:B,'Download of SFDC Activation Rep'!Y:Y),"")</f>
        <v>45999</v>
      </c>
    </row>
    <row r="239">
      <c r="A239" s="17" t="s">
        <v>19</v>
      </c>
      <c r="B239" s="85">
        <v>46113.0</v>
      </c>
      <c r="C239" s="17">
        <v>100325.0</v>
      </c>
      <c r="D239" s="85">
        <v>45200.0</v>
      </c>
      <c r="E239" s="17">
        <v>75.0</v>
      </c>
      <c r="F239" s="17">
        <v>75.0</v>
      </c>
      <c r="G239" s="17">
        <v>707792.54</v>
      </c>
      <c r="H239" s="17"/>
      <c r="I239" s="17">
        <v>1109.505866</v>
      </c>
      <c r="J239" s="17"/>
      <c r="K239" s="17">
        <v>1084.3917</v>
      </c>
      <c r="L239" s="17">
        <v>826.325632720674</v>
      </c>
      <c r="M239" s="17">
        <v>258.066067279326</v>
      </c>
      <c r="N239" s="17">
        <v>64.0</v>
      </c>
      <c r="O239" s="14">
        <f t="shared" si="1"/>
        <v>1148.3917</v>
      </c>
      <c r="P239" s="86">
        <f t="array" ref="P239">iferror(XLOOKUP(C239,'Download of SFDC Activation Rep'!B:B,'Download of SFDC Activation Rep'!Z:Z),"")</f>
        <v>45974</v>
      </c>
      <c r="Q239" s="86">
        <f t="shared" si="2"/>
        <v>45962</v>
      </c>
      <c r="R239" s="13" t="str">
        <f t="shared" si="3"/>
        <v>Yes</v>
      </c>
      <c r="S239" s="86">
        <f t="array" ref="S239">iferror(XLOOKUP(C239,'Download of SFDC Activation Rep'!B:B,'Download of SFDC Activation Rep'!Y:Y),"")</f>
        <v>45933</v>
      </c>
    </row>
    <row r="240">
      <c r="A240" s="17" t="s">
        <v>19</v>
      </c>
      <c r="B240" s="85">
        <v>45901.0</v>
      </c>
      <c r="C240" s="17">
        <v>2710123.0</v>
      </c>
      <c r="D240" s="85">
        <v>45292.0</v>
      </c>
      <c r="E240" s="17">
        <v>1.0</v>
      </c>
      <c r="F240" s="17">
        <v>0.0</v>
      </c>
      <c r="G240" s="17">
        <v>13075.4</v>
      </c>
      <c r="H240" s="17"/>
      <c r="I240" s="17">
        <v>379.19</v>
      </c>
      <c r="J240" s="17"/>
      <c r="K240" s="17">
        <v>30.8876</v>
      </c>
      <c r="L240" s="17">
        <v>23.9517170548501</v>
      </c>
      <c r="M240" s="17">
        <v>6.93588294514986</v>
      </c>
      <c r="N240" s="17">
        <v>7.99999999999999</v>
      </c>
      <c r="O240" s="14">
        <f t="shared" si="1"/>
        <v>38.8876</v>
      </c>
      <c r="P240" s="86">
        <f t="array" ref="P240">iferror(XLOOKUP(C240,'Download of SFDC Activation Rep'!B:B,'Download of SFDC Activation Rep'!Z:Z),"")</f>
        <v>45873</v>
      </c>
      <c r="Q240" s="86">
        <f t="shared" si="2"/>
        <v>45870</v>
      </c>
      <c r="R240" s="13" t="str">
        <f t="shared" si="3"/>
        <v>Yes</v>
      </c>
      <c r="S240" s="86">
        <f t="array" ref="S240">iferror(XLOOKUP(C240,'Download of SFDC Activation Rep'!B:B,'Download of SFDC Activation Rep'!Y:Y),"")</f>
        <v>45980</v>
      </c>
    </row>
    <row r="241">
      <c r="A241" s="17" t="s">
        <v>488</v>
      </c>
      <c r="B241" s="85">
        <v>46143.0</v>
      </c>
      <c r="C241" s="17">
        <v>2340816.0</v>
      </c>
      <c r="D241" s="85">
        <v>45931.0</v>
      </c>
      <c r="E241" s="17">
        <v>18.0</v>
      </c>
      <c r="F241" s="17">
        <v>18.0</v>
      </c>
      <c r="G241" s="17">
        <v>3889.2</v>
      </c>
      <c r="H241" s="17"/>
      <c r="I241" s="17">
        <v>6.04</v>
      </c>
      <c r="J241" s="17"/>
      <c r="K241" s="17">
        <v>-0.1404</v>
      </c>
      <c r="L241" s="17">
        <v>-0.837224814072</v>
      </c>
      <c r="M241" s="17">
        <v>0.696824814071999</v>
      </c>
      <c r="N241" s="17">
        <v>20.0</v>
      </c>
      <c r="O241" s="14">
        <f t="shared" si="1"/>
        <v>19.8596</v>
      </c>
      <c r="P241" s="86">
        <f t="array" ref="P241">iferror(XLOOKUP(C241,'Download of SFDC Activation Rep'!B:B,'Download of SFDC Activation Rep'!Z:Z),"")</f>
        <v>45929</v>
      </c>
      <c r="Q241" s="86">
        <f t="shared" si="2"/>
        <v>45901</v>
      </c>
      <c r="R241" s="13" t="str">
        <f t="shared" si="3"/>
        <v>Yes</v>
      </c>
      <c r="S241" s="86">
        <f t="array" ref="S241">iferror(XLOOKUP(C241,'Download of SFDC Activation Rep'!B:B,'Download of SFDC Activation Rep'!Y:Y),"")</f>
        <v>45936</v>
      </c>
    </row>
    <row r="242">
      <c r="A242" s="17" t="s">
        <v>488</v>
      </c>
      <c r="B242" s="85">
        <v>46023.0</v>
      </c>
      <c r="C242" s="17">
        <v>4269343.0</v>
      </c>
      <c r="D242" s="85">
        <v>45992.0</v>
      </c>
      <c r="E242" s="17">
        <v>50.0</v>
      </c>
      <c r="F242" s="17">
        <v>17.0</v>
      </c>
      <c r="G242" s="17">
        <v>48485.0</v>
      </c>
      <c r="H242" s="17">
        <v>9955.0</v>
      </c>
      <c r="I242" s="17">
        <v>871.3</v>
      </c>
      <c r="J242" s="17"/>
      <c r="K242" s="17">
        <v>263.2103</v>
      </c>
      <c r="L242" s="17">
        <v>261.9359</v>
      </c>
      <c r="M242" s="17">
        <v>1.27440000000001</v>
      </c>
      <c r="N242" s="17">
        <v>28.0</v>
      </c>
      <c r="O242" s="14">
        <f t="shared" si="1"/>
        <v>355.9178</v>
      </c>
      <c r="P242" s="86">
        <f t="array" ref="P242">iferror(XLOOKUP(C242,'Download of SFDC Activation Rep'!B:B,'Download of SFDC Activation Rep'!Z:Z),"")</f>
        <v>45918</v>
      </c>
      <c r="Q242" s="86">
        <f t="shared" si="2"/>
        <v>45901</v>
      </c>
      <c r="R242" s="13" t="str">
        <f t="shared" si="3"/>
        <v>Yes</v>
      </c>
      <c r="S242" s="86">
        <f t="array" ref="S242">iferror(XLOOKUP(C242,'Download of SFDC Activation Rep'!B:B,'Download of SFDC Activation Rep'!Y:Y),"")</f>
        <v>46001</v>
      </c>
    </row>
    <row r="243">
      <c r="A243" s="17" t="s">
        <v>17</v>
      </c>
      <c r="B243" s="85">
        <v>46113.0</v>
      </c>
      <c r="C243" s="17">
        <v>4556248.0</v>
      </c>
      <c r="D243" s="85">
        <v>46113.0</v>
      </c>
      <c r="E243" s="17">
        <v>3.0</v>
      </c>
      <c r="F243" s="17">
        <v>0.0</v>
      </c>
      <c r="G243" s="17">
        <v>49000.0</v>
      </c>
      <c r="H243" s="17">
        <v>49000.0</v>
      </c>
      <c r="I243" s="17">
        <v>1421.0</v>
      </c>
      <c r="J243" s="17"/>
      <c r="K243" s="17">
        <v>-65.5969</v>
      </c>
      <c r="L243" s="17">
        <v>-91.5890872</v>
      </c>
      <c r="M243" s="17">
        <v>25.9921871999999</v>
      </c>
      <c r="N243" s="17">
        <v>0.0</v>
      </c>
      <c r="O243" s="14">
        <f t="shared" si="1"/>
        <v>252.9031</v>
      </c>
      <c r="P243" s="86">
        <f t="array" ref="P243">iferror(XLOOKUP(C243,'Download of SFDC Activation Rep'!B:B,'Download of SFDC Activation Rep'!Z:Z),"")</f>
        <v>46120</v>
      </c>
      <c r="Q243" s="86">
        <f t="shared" si="2"/>
        <v>46113</v>
      </c>
      <c r="R243" s="13" t="str">
        <f t="shared" si="3"/>
        <v>Yes</v>
      </c>
      <c r="S243" s="86">
        <f t="array" ref="S243">iferror(XLOOKUP(C243,'Download of SFDC Activation Rep'!B:B,'Download of SFDC Activation Rep'!Y:Y),"")</f>
        <v>46202</v>
      </c>
    </row>
    <row r="244">
      <c r="A244" s="17" t="s">
        <v>489</v>
      </c>
      <c r="B244" s="85">
        <v>46113.0</v>
      </c>
      <c r="C244" s="17">
        <v>4271363.0</v>
      </c>
      <c r="D244" s="85">
        <v>45992.0</v>
      </c>
      <c r="E244" s="17">
        <v>31.0</v>
      </c>
      <c r="F244" s="17">
        <v>31.0</v>
      </c>
      <c r="G244" s="17">
        <v>230762.97</v>
      </c>
      <c r="H244" s="17"/>
      <c r="I244" s="17">
        <v>418.329741</v>
      </c>
      <c r="J244" s="17"/>
      <c r="K244" s="17">
        <v>413.1083</v>
      </c>
      <c r="L244" s="17">
        <v>324.736218828539</v>
      </c>
      <c r="M244" s="17">
        <v>88.3720811714609</v>
      </c>
      <c r="N244" s="17">
        <v>44.0</v>
      </c>
      <c r="O244" s="14">
        <f t="shared" si="1"/>
        <v>457.1083</v>
      </c>
      <c r="P244" s="86">
        <f t="array" ref="P244">iferror(XLOOKUP(C244,'Download of SFDC Activation Rep'!B:B,'Download of SFDC Activation Rep'!Z:Z),"")</f>
        <v>45964</v>
      </c>
      <c r="Q244" s="86">
        <f t="shared" si="2"/>
        <v>45962</v>
      </c>
      <c r="R244" s="13" t="str">
        <f t="shared" si="3"/>
        <v>Yes</v>
      </c>
      <c r="S244" s="86">
        <f t="array" ref="S244">iferror(XLOOKUP(C244,'Download of SFDC Activation Rep'!B:B,'Download of SFDC Activation Rep'!Y:Y),"")</f>
        <v>46007</v>
      </c>
    </row>
    <row r="245">
      <c r="A245" s="17" t="s">
        <v>488</v>
      </c>
      <c r="B245" s="85">
        <v>46143.0</v>
      </c>
      <c r="C245" s="17">
        <v>4265889.0</v>
      </c>
      <c r="D245" s="85">
        <v>45992.0</v>
      </c>
      <c r="E245" s="17">
        <v>77.0</v>
      </c>
      <c r="F245" s="17">
        <v>4.0</v>
      </c>
      <c r="G245" s="17">
        <v>18936.23</v>
      </c>
      <c r="H245" s="17"/>
      <c r="I245" s="17">
        <v>518.75</v>
      </c>
      <c r="J245" s="17">
        <v>1.0</v>
      </c>
      <c r="K245" s="17">
        <v>-29.7457</v>
      </c>
      <c r="L245" s="17">
        <v>-39.386089101379</v>
      </c>
      <c r="M245" s="17">
        <v>9.640389101379</v>
      </c>
      <c r="N245" s="17">
        <v>20.0</v>
      </c>
      <c r="O245" s="14">
        <f t="shared" si="1"/>
        <v>-9.7457</v>
      </c>
      <c r="P245" s="86">
        <f t="array" ref="P245">iferror(XLOOKUP(C245,'Download of SFDC Activation Rep'!B:B,'Download of SFDC Activation Rep'!Z:Z),"")</f>
        <v>45993</v>
      </c>
      <c r="Q245" s="86">
        <f t="shared" si="2"/>
        <v>45992</v>
      </c>
      <c r="R245" s="13" t="str">
        <f t="shared" si="3"/>
        <v>Yes</v>
      </c>
      <c r="S245" s="86">
        <f t="array" ref="S245">iferror(XLOOKUP(C245,'Download of SFDC Activation Rep'!B:B,'Download of SFDC Activation Rep'!Y:Y),"")</f>
        <v>45999</v>
      </c>
    </row>
    <row r="246">
      <c r="A246" s="17" t="s">
        <v>488</v>
      </c>
      <c r="B246" s="85">
        <v>46113.0</v>
      </c>
      <c r="C246" s="17">
        <v>4008827.0</v>
      </c>
      <c r="D246" s="85">
        <v>45870.0</v>
      </c>
      <c r="E246" s="17">
        <v>15.0</v>
      </c>
      <c r="F246" s="17">
        <v>15.0</v>
      </c>
      <c r="G246" s="17">
        <v>84315.75</v>
      </c>
      <c r="H246" s="17"/>
      <c r="I246" s="17">
        <v>47.8</v>
      </c>
      <c r="J246" s="17"/>
      <c r="K246" s="17">
        <v>45.5049</v>
      </c>
      <c r="L246" s="17">
        <v>26.179314561525</v>
      </c>
      <c r="M246" s="17">
        <v>19.325585438475</v>
      </c>
      <c r="N246" s="17">
        <v>25.0</v>
      </c>
      <c r="O246" s="14">
        <f t="shared" si="1"/>
        <v>70.5049</v>
      </c>
      <c r="P246" s="86">
        <f t="array" ref="P246">iferror(XLOOKUP(C246,'Download of SFDC Activation Rep'!B:B,'Download of SFDC Activation Rep'!Z:Z),"")</f>
        <v>45870</v>
      </c>
      <c r="Q246" s="86">
        <f t="shared" si="2"/>
        <v>45870</v>
      </c>
      <c r="R246" s="13" t="str">
        <f t="shared" si="3"/>
        <v>Yes</v>
      </c>
      <c r="S246" s="86">
        <f t="array" ref="S246">iferror(XLOOKUP(C246,'Download of SFDC Activation Rep'!B:B,'Download of SFDC Activation Rep'!Y:Y),"")</f>
        <v>45884</v>
      </c>
    </row>
    <row r="247">
      <c r="A247" s="17" t="s">
        <v>488</v>
      </c>
      <c r="B247" s="85">
        <v>45901.0</v>
      </c>
      <c r="C247" s="17">
        <v>3906405.0</v>
      </c>
      <c r="D247" s="85">
        <v>45778.0</v>
      </c>
      <c r="E247" s="17">
        <v>6.0</v>
      </c>
      <c r="F247" s="17">
        <v>6.0</v>
      </c>
      <c r="G247" s="17">
        <v>20977.0</v>
      </c>
      <c r="H247" s="17"/>
      <c r="I247" s="17">
        <v>0.0</v>
      </c>
      <c r="J247" s="17"/>
      <c r="K247" s="17">
        <v>-0.77</v>
      </c>
      <c r="L247" s="17">
        <v>-4.0567046139213</v>
      </c>
      <c r="M247" s="17">
        <v>3.2867046139213</v>
      </c>
      <c r="N247" s="17">
        <v>29.75</v>
      </c>
      <c r="O247" s="14">
        <f t="shared" si="1"/>
        <v>28.98</v>
      </c>
      <c r="P247" s="86">
        <f t="array" ref="P247">iferror(XLOOKUP(C247,'Download of SFDC Activation Rep'!B:B,'Download of SFDC Activation Rep'!Z:Z),"")</f>
        <v>45798</v>
      </c>
      <c r="Q247" s="86">
        <f t="shared" si="2"/>
        <v>45778</v>
      </c>
      <c r="R247" s="13" t="str">
        <f t="shared" si="3"/>
        <v>Yes</v>
      </c>
      <c r="S247" s="86">
        <f t="array" ref="S247">iferror(XLOOKUP(C247,'Download of SFDC Activation Rep'!B:B,'Download of SFDC Activation Rep'!Y:Y),"")</f>
        <v>45807</v>
      </c>
    </row>
    <row r="248">
      <c r="A248" s="17" t="s">
        <v>488</v>
      </c>
      <c r="B248" s="85">
        <v>46082.0</v>
      </c>
      <c r="C248" s="17">
        <v>4239920.0</v>
      </c>
      <c r="D248" s="85">
        <v>45992.0</v>
      </c>
      <c r="E248" s="17">
        <v>1.0</v>
      </c>
      <c r="F248" s="17">
        <v>1.0</v>
      </c>
      <c r="G248" s="17">
        <v>3857.16</v>
      </c>
      <c r="H248" s="17"/>
      <c r="I248" s="17">
        <v>0.5</v>
      </c>
      <c r="J248" s="17">
        <v>0.5</v>
      </c>
      <c r="K248" s="17">
        <v>0.32</v>
      </c>
      <c r="L248" s="17">
        <v>-0.284344843107999</v>
      </c>
      <c r="M248" s="17">
        <v>0.604344843108</v>
      </c>
      <c r="N248" s="17">
        <v>10.5</v>
      </c>
      <c r="O248" s="14">
        <f t="shared" si="1"/>
        <v>10.82</v>
      </c>
      <c r="P248" s="86">
        <f t="array" ref="P248">iferror(XLOOKUP(C248,'Download of SFDC Activation Rep'!B:B,'Download of SFDC Activation Rep'!Z:Z),"")</f>
        <v>45979</v>
      </c>
      <c r="Q248" s="86">
        <f t="shared" si="2"/>
        <v>45962</v>
      </c>
      <c r="R248" s="13" t="str">
        <f t="shared" si="3"/>
        <v>Yes</v>
      </c>
      <c r="S248" s="86">
        <f t="array" ref="S248">iferror(XLOOKUP(C248,'Download of SFDC Activation Rep'!B:B,'Download of SFDC Activation Rep'!Y:Y),"")</f>
        <v>46007</v>
      </c>
    </row>
    <row r="249">
      <c r="A249" s="17" t="s">
        <v>488</v>
      </c>
      <c r="B249" s="85">
        <v>46082.0</v>
      </c>
      <c r="C249" s="17">
        <v>4359494.0</v>
      </c>
      <c r="D249" s="85">
        <v>46023.0</v>
      </c>
      <c r="E249" s="17">
        <v>3.0</v>
      </c>
      <c r="F249" s="17">
        <v>3.0</v>
      </c>
      <c r="G249" s="17">
        <v>7686.07</v>
      </c>
      <c r="H249" s="17"/>
      <c r="I249" s="17">
        <v>66.89</v>
      </c>
      <c r="J249" s="17"/>
      <c r="K249" s="17">
        <v>64.1832</v>
      </c>
      <c r="L249" s="17">
        <v>48.2921122601889</v>
      </c>
      <c r="M249" s="17">
        <v>15.891087739811</v>
      </c>
      <c r="N249" s="17">
        <v>17.0</v>
      </c>
      <c r="O249" s="14">
        <f t="shared" si="1"/>
        <v>81.1832</v>
      </c>
      <c r="P249" s="86">
        <f t="array" ref="P249">iferror(XLOOKUP(C249,'Download of SFDC Activation Rep'!B:B,'Download of SFDC Activation Rep'!Z:Z),"")</f>
        <v>46057</v>
      </c>
      <c r="Q249" s="86">
        <f t="shared" si="2"/>
        <v>46054</v>
      </c>
      <c r="R249" s="13" t="str">
        <f t="shared" si="3"/>
        <v>Yes</v>
      </c>
      <c r="S249" s="86">
        <f t="array" ref="S249">iferror(XLOOKUP(C249,'Download of SFDC Activation Rep'!B:B,'Download of SFDC Activation Rep'!Y:Y),"")</f>
        <v>46057</v>
      </c>
    </row>
    <row r="250">
      <c r="A250" s="17" t="s">
        <v>19</v>
      </c>
      <c r="B250" s="85">
        <v>46082.0</v>
      </c>
      <c r="C250" s="17">
        <v>4270780.0</v>
      </c>
      <c r="D250" s="85">
        <v>45992.0</v>
      </c>
      <c r="E250" s="17">
        <v>19.0</v>
      </c>
      <c r="F250" s="17">
        <v>19.0</v>
      </c>
      <c r="G250" s="17">
        <v>385926.07</v>
      </c>
      <c r="H250" s="17"/>
      <c r="I250" s="17">
        <v>16.06</v>
      </c>
      <c r="J250" s="17"/>
      <c r="K250" s="17">
        <v>10.9208999999999</v>
      </c>
      <c r="L250" s="17">
        <v>-52.2570530327409</v>
      </c>
      <c r="M250" s="17">
        <v>63.1779530327409</v>
      </c>
      <c r="N250" s="17">
        <v>64.0</v>
      </c>
      <c r="O250" s="14">
        <f t="shared" si="1"/>
        <v>74.9209</v>
      </c>
      <c r="P250" s="86">
        <f t="array" ref="P250">iferror(XLOOKUP(C250,'Download of SFDC Activation Rep'!B:B,'Download of SFDC Activation Rep'!Z:Z),"")</f>
        <v>45961</v>
      </c>
      <c r="Q250" s="86">
        <f t="shared" si="2"/>
        <v>45931</v>
      </c>
      <c r="R250" s="13" t="str">
        <f t="shared" si="3"/>
        <v>Yes</v>
      </c>
      <c r="S250" s="86">
        <f t="array" ref="S250">iferror(XLOOKUP(C250,'Download of SFDC Activation Rep'!B:B,'Download of SFDC Activation Rep'!Y:Y),"")</f>
        <v>46013</v>
      </c>
    </row>
    <row r="251">
      <c r="A251" s="17" t="s">
        <v>19</v>
      </c>
      <c r="B251" s="85">
        <v>46054.0</v>
      </c>
      <c r="C251" s="17">
        <v>4287245.0</v>
      </c>
      <c r="D251" s="85">
        <v>46023.0</v>
      </c>
      <c r="E251" s="17">
        <v>10.0</v>
      </c>
      <c r="F251" s="17">
        <v>9.0</v>
      </c>
      <c r="G251" s="17">
        <v>22850.8</v>
      </c>
      <c r="H251" s="17"/>
      <c r="I251" s="17">
        <v>232.77</v>
      </c>
      <c r="J251" s="17"/>
      <c r="K251" s="17">
        <v>26.543</v>
      </c>
      <c r="L251" s="17">
        <v>15.49063715976</v>
      </c>
      <c r="M251" s="17">
        <v>11.0523628402399</v>
      </c>
      <c r="N251" s="17">
        <v>80.0</v>
      </c>
      <c r="O251" s="14">
        <f t="shared" si="1"/>
        <v>106.543</v>
      </c>
      <c r="P251" s="86">
        <f t="array" ref="P251">iferror(XLOOKUP(C251,'Download of SFDC Activation Rep'!B:B,'Download of SFDC Activation Rep'!Z:Z),"")</f>
        <v>45978</v>
      </c>
      <c r="Q251" s="86">
        <f t="shared" si="2"/>
        <v>45962</v>
      </c>
      <c r="R251" s="13" t="str">
        <f t="shared" si="3"/>
        <v>Yes</v>
      </c>
      <c r="S251" s="86">
        <f t="array" ref="S251">iferror(XLOOKUP(C251,'Download of SFDC Activation Rep'!B:B,'Download of SFDC Activation Rep'!Y:Y),"")</f>
        <v>46051</v>
      </c>
    </row>
    <row r="252">
      <c r="A252" s="17" t="s">
        <v>19</v>
      </c>
      <c r="B252" s="85">
        <v>46082.0</v>
      </c>
      <c r="C252" s="17">
        <v>2402714.0</v>
      </c>
      <c r="D252" s="85">
        <v>45931.0</v>
      </c>
      <c r="E252" s="17">
        <v>46.0</v>
      </c>
      <c r="F252" s="17">
        <v>46.0</v>
      </c>
      <c r="G252" s="17">
        <v>526908.57</v>
      </c>
      <c r="H252" s="17"/>
      <c r="I252" s="17">
        <v>944.808282</v>
      </c>
      <c r="J252" s="17">
        <v>1.0</v>
      </c>
      <c r="K252" s="17">
        <v>932.007499999999</v>
      </c>
      <c r="L252" s="17">
        <v>850.063018371258</v>
      </c>
      <c r="M252" s="17">
        <v>81.9444816287411</v>
      </c>
      <c r="N252" s="17">
        <v>80.0</v>
      </c>
      <c r="O252" s="14">
        <f t="shared" si="1"/>
        <v>1012.0075</v>
      </c>
      <c r="P252" s="86">
        <f t="array" ref="P252">iferror(XLOOKUP(C252,'Download of SFDC Activation Rep'!B:B,'Download of SFDC Activation Rep'!Z:Z),"")</f>
        <v>45856</v>
      </c>
      <c r="Q252" s="86">
        <f t="shared" si="2"/>
        <v>45839</v>
      </c>
      <c r="R252" s="13" t="str">
        <f t="shared" si="3"/>
        <v>Yes</v>
      </c>
      <c r="S252" s="86">
        <f t="array" ref="S252">iferror(XLOOKUP(C252,'Download of SFDC Activation Rep'!B:B,'Download of SFDC Activation Rep'!Y:Y),"")</f>
        <v>45931</v>
      </c>
    </row>
    <row r="253">
      <c r="A253" s="17" t="s">
        <v>488</v>
      </c>
      <c r="B253" s="85">
        <v>46113.0</v>
      </c>
      <c r="C253" s="17">
        <v>4136952.0</v>
      </c>
      <c r="D253" s="85">
        <v>45931.0</v>
      </c>
      <c r="E253" s="17">
        <v>11.0</v>
      </c>
      <c r="F253" s="17">
        <v>11.0</v>
      </c>
      <c r="G253" s="17">
        <v>22223.34</v>
      </c>
      <c r="H253" s="17"/>
      <c r="I253" s="17">
        <v>13.75</v>
      </c>
      <c r="J253" s="17"/>
      <c r="K253" s="17">
        <v>12.3204</v>
      </c>
      <c r="L253" s="17">
        <v>6.798694798458</v>
      </c>
      <c r="M253" s="17">
        <v>5.52170520154199</v>
      </c>
      <c r="N253" s="17">
        <v>35.0</v>
      </c>
      <c r="O253" s="14">
        <f t="shared" si="1"/>
        <v>47.3204</v>
      </c>
      <c r="P253" s="86">
        <f t="array" ref="P253">iferror(XLOOKUP(C253,'Download of SFDC Activation Rep'!B:B,'Download of SFDC Activation Rep'!Z:Z),"")</f>
        <v>45930</v>
      </c>
      <c r="Q253" s="86">
        <f t="shared" si="2"/>
        <v>45901</v>
      </c>
      <c r="R253" s="13" t="str">
        <f t="shared" si="3"/>
        <v>Yes</v>
      </c>
      <c r="S253" s="86">
        <f t="array" ref="S253">iferror(XLOOKUP(C253,'Download of SFDC Activation Rep'!B:B,'Download of SFDC Activation Rep'!Y:Y),"")</f>
        <v>45938</v>
      </c>
    </row>
    <row r="254">
      <c r="A254" s="17" t="s">
        <v>488</v>
      </c>
      <c r="B254" s="85">
        <v>46113.0</v>
      </c>
      <c r="C254" s="17">
        <v>4443098.0</v>
      </c>
      <c r="D254" s="85">
        <v>46054.0</v>
      </c>
      <c r="E254" s="17">
        <v>1.0</v>
      </c>
      <c r="F254" s="17">
        <v>0.0</v>
      </c>
      <c r="G254" s="17">
        <v>16000.0</v>
      </c>
      <c r="H254" s="17">
        <v>16000.0</v>
      </c>
      <c r="I254" s="17">
        <v>464.0</v>
      </c>
      <c r="J254" s="17"/>
      <c r="K254" s="17">
        <v>-16.5604</v>
      </c>
      <c r="L254" s="17">
        <v>-25.0476448</v>
      </c>
      <c r="M254" s="17">
        <v>8.4872448</v>
      </c>
      <c r="N254" s="17">
        <v>28.0</v>
      </c>
      <c r="O254" s="14">
        <f t="shared" si="1"/>
        <v>115.4396</v>
      </c>
      <c r="P254" s="86">
        <f t="array" ref="P254">iferror(XLOOKUP(C254,'Download of SFDC Activation Rep'!B:B,'Download of SFDC Activation Rep'!Z:Z),"")</f>
        <v>46197</v>
      </c>
      <c r="Q254" s="86">
        <f t="shared" si="2"/>
        <v>46174</v>
      </c>
      <c r="R254" s="13" t="str">
        <f t="shared" si="3"/>
        <v>No</v>
      </c>
      <c r="S254" s="86">
        <f t="array" ref="S254">iferror(XLOOKUP(C254,'Download of SFDC Activation Rep'!B:B,'Download of SFDC Activation Rep'!Y:Y),"")</f>
        <v>46361</v>
      </c>
    </row>
    <row r="255">
      <c r="A255" s="17" t="s">
        <v>19</v>
      </c>
      <c r="B255" s="85">
        <v>46082.0</v>
      </c>
      <c r="C255" s="17">
        <v>4356919.0</v>
      </c>
      <c r="D255" s="85">
        <v>46082.0</v>
      </c>
      <c r="E255" s="17">
        <v>3.0</v>
      </c>
      <c r="F255" s="17">
        <v>3.0</v>
      </c>
      <c r="G255" s="17">
        <v>864.89</v>
      </c>
      <c r="H255" s="17"/>
      <c r="I255" s="17">
        <v>0.0</v>
      </c>
      <c r="J255" s="17"/>
      <c r="K255" s="17">
        <v>-0.3962</v>
      </c>
      <c r="L255" s="17">
        <v>-0.404848899999999</v>
      </c>
      <c r="M255" s="17">
        <v>0.00864889999999996</v>
      </c>
      <c r="N255" s="17">
        <v>80.0</v>
      </c>
      <c r="O255" s="14">
        <f t="shared" si="1"/>
        <v>79.6038</v>
      </c>
      <c r="P255" s="86">
        <f t="array" ref="P255">iferror(XLOOKUP(C255,'Download of SFDC Activation Rep'!B:B,'Download of SFDC Activation Rep'!Z:Z),"")</f>
        <v>45973</v>
      </c>
      <c r="Q255" s="86">
        <f t="shared" si="2"/>
        <v>45962</v>
      </c>
      <c r="R255" s="13" t="str">
        <f t="shared" si="3"/>
        <v>Yes</v>
      </c>
      <c r="S255" s="86">
        <f t="array" ref="S255">iferror(XLOOKUP(C255,'Download of SFDC Activation Rep'!B:B,'Download of SFDC Activation Rep'!Y:Y),"")</f>
        <v>46139</v>
      </c>
    </row>
    <row r="256">
      <c r="A256" s="17" t="s">
        <v>488</v>
      </c>
      <c r="B256" s="85">
        <v>46113.0</v>
      </c>
      <c r="C256" s="17">
        <v>4359468.0</v>
      </c>
      <c r="D256" s="85">
        <v>46054.0</v>
      </c>
      <c r="E256" s="17">
        <v>6.0</v>
      </c>
      <c r="F256" s="17">
        <v>6.0</v>
      </c>
      <c r="G256" s="17">
        <v>3059.52</v>
      </c>
      <c r="H256" s="17"/>
      <c r="I256" s="17">
        <v>16.4286</v>
      </c>
      <c r="J256" s="17"/>
      <c r="K256" s="17">
        <v>11.587</v>
      </c>
      <c r="L256" s="17">
        <v>11.133285629024</v>
      </c>
      <c r="M256" s="17">
        <v>0.453714370975999</v>
      </c>
      <c r="N256" s="17">
        <v>17.0</v>
      </c>
      <c r="O256" s="14">
        <f t="shared" si="1"/>
        <v>28.587</v>
      </c>
      <c r="P256" s="86">
        <f t="array" ref="P256">iferror(XLOOKUP(C256,'Download of SFDC Activation Rep'!B:B,'Download of SFDC Activation Rep'!Z:Z),"")</f>
        <v>46057</v>
      </c>
      <c r="Q256" s="86">
        <f t="shared" si="2"/>
        <v>46054</v>
      </c>
      <c r="R256" s="13" t="str">
        <f t="shared" si="3"/>
        <v>Yes</v>
      </c>
      <c r="S256" s="86">
        <f t="array" ref="S256">iferror(XLOOKUP(C256,'Download of SFDC Activation Rep'!B:B,'Download of SFDC Activation Rep'!Y:Y),"")</f>
        <v>46091</v>
      </c>
    </row>
    <row r="257">
      <c r="A257" s="17" t="s">
        <v>488</v>
      </c>
      <c r="B257" s="85">
        <v>45901.0</v>
      </c>
      <c r="C257" s="17">
        <v>4031755.0</v>
      </c>
      <c r="D257" s="85">
        <v>45901.0</v>
      </c>
      <c r="E257" s="17">
        <v>12.0</v>
      </c>
      <c r="F257" s="17">
        <v>12.0</v>
      </c>
      <c r="G257" s="17">
        <v>352558.59</v>
      </c>
      <c r="H257" s="17"/>
      <c r="I257" s="17">
        <v>0.46</v>
      </c>
      <c r="J257" s="17"/>
      <c r="K257" s="17">
        <v>-1.3704</v>
      </c>
      <c r="L257" s="17">
        <v>-56.6446582028812</v>
      </c>
      <c r="M257" s="17">
        <v>55.2742582028812</v>
      </c>
      <c r="N257" s="17">
        <v>3.49999999999999</v>
      </c>
      <c r="O257" s="14">
        <f t="shared" si="1"/>
        <v>2.1296</v>
      </c>
      <c r="P257" s="86">
        <f t="array" ref="P257">iferror(XLOOKUP(C257,'Download of SFDC Activation Rep'!B:B,'Download of SFDC Activation Rep'!Z:Z),"")</f>
        <v>45856</v>
      </c>
      <c r="Q257" s="86">
        <f t="shared" si="2"/>
        <v>45839</v>
      </c>
      <c r="R257" s="13" t="str">
        <f t="shared" si="3"/>
        <v>Yes</v>
      </c>
      <c r="S257" s="86">
        <f t="array" ref="S257">iferror(XLOOKUP(C257,'Download of SFDC Activation Rep'!B:B,'Download of SFDC Activation Rep'!Y:Y),"")</f>
        <v>45901</v>
      </c>
    </row>
    <row r="258">
      <c r="A258" s="17" t="s">
        <v>19</v>
      </c>
      <c r="B258" s="85">
        <v>46082.0</v>
      </c>
      <c r="C258" s="17">
        <v>2710123.0</v>
      </c>
      <c r="D258" s="85">
        <v>45292.0</v>
      </c>
      <c r="E258" s="17">
        <v>1.0</v>
      </c>
      <c r="F258" s="17">
        <v>0.0</v>
      </c>
      <c r="G258" s="17">
        <v>11075.4</v>
      </c>
      <c r="H258" s="17">
        <v>11075.4</v>
      </c>
      <c r="I258" s="17">
        <v>321.19</v>
      </c>
      <c r="J258" s="17"/>
      <c r="K258" s="17">
        <v>30.2271</v>
      </c>
      <c r="L258" s="17">
        <v>24.35212305888</v>
      </c>
      <c r="M258" s="17">
        <v>5.87497694112</v>
      </c>
      <c r="N258" s="17">
        <v>80.0</v>
      </c>
      <c r="O258" s="14">
        <f t="shared" si="1"/>
        <v>182.2172</v>
      </c>
      <c r="P258" s="86">
        <f t="array" ref="P258">iferror(XLOOKUP(C258,'Download of SFDC Activation Rep'!B:B,'Download of SFDC Activation Rep'!Z:Z),"")</f>
        <v>45873</v>
      </c>
      <c r="Q258" s="86">
        <f t="shared" si="2"/>
        <v>45870</v>
      </c>
      <c r="R258" s="13" t="str">
        <f t="shared" si="3"/>
        <v>Yes</v>
      </c>
      <c r="S258" s="86">
        <f t="array" ref="S258">iferror(XLOOKUP(C258,'Download of SFDC Activation Rep'!B:B,'Download of SFDC Activation Rep'!Y:Y),"")</f>
        <v>45980</v>
      </c>
    </row>
    <row r="259">
      <c r="A259" s="17" t="s">
        <v>19</v>
      </c>
      <c r="B259" s="85">
        <v>46082.0</v>
      </c>
      <c r="C259" s="17">
        <v>4462029.0</v>
      </c>
      <c r="D259" s="85">
        <v>46082.0</v>
      </c>
      <c r="E259" s="17">
        <v>48.0</v>
      </c>
      <c r="F259" s="17">
        <v>48.0</v>
      </c>
      <c r="G259" s="17">
        <v>151824.47</v>
      </c>
      <c r="H259" s="17"/>
      <c r="I259" s="17">
        <v>18.0</v>
      </c>
      <c r="J259" s="17"/>
      <c r="K259" s="17">
        <v>-1.1964</v>
      </c>
      <c r="L259" s="17">
        <v>-24.866262131411</v>
      </c>
      <c r="M259" s="17">
        <v>23.6698621314109</v>
      </c>
      <c r="N259" s="17">
        <v>64.0</v>
      </c>
      <c r="O259" s="14">
        <f t="shared" si="1"/>
        <v>62.8036</v>
      </c>
      <c r="P259" s="86">
        <f t="array" ref="P259">iferror(XLOOKUP(C259,'Download of SFDC Activation Rep'!B:B,'Download of SFDC Activation Rep'!Z:Z),"")</f>
        <v>46058</v>
      </c>
      <c r="Q259" s="86">
        <f t="shared" si="2"/>
        <v>46054</v>
      </c>
      <c r="R259" s="13" t="str">
        <f t="shared" si="3"/>
        <v>Yes</v>
      </c>
      <c r="S259" s="86">
        <f t="array" ref="S259">iferror(XLOOKUP(C259,'Download of SFDC Activation Rep'!B:B,'Download of SFDC Activation Rep'!Y:Y),"")</f>
        <v>46118</v>
      </c>
    </row>
    <row r="260">
      <c r="A260" s="17" t="s">
        <v>19</v>
      </c>
      <c r="B260" s="85">
        <v>45931.0</v>
      </c>
      <c r="C260" s="17">
        <v>100325.0</v>
      </c>
      <c r="D260" s="85">
        <v>45200.0</v>
      </c>
      <c r="E260" s="17">
        <v>58.0</v>
      </c>
      <c r="F260" s="17">
        <v>58.0</v>
      </c>
      <c r="G260" s="17">
        <v>2.34</v>
      </c>
      <c r="H260" s="17"/>
      <c r="I260" s="17">
        <v>0.0</v>
      </c>
      <c r="J260" s="17"/>
      <c r="K260" s="17">
        <v>-8.11</v>
      </c>
      <c r="L260" s="17">
        <v>-8.11036663435174</v>
      </c>
      <c r="M260" s="17">
        <v>3.66634351747663E-4</v>
      </c>
      <c r="N260" s="17">
        <v>80.0</v>
      </c>
      <c r="O260" s="14">
        <f t="shared" si="1"/>
        <v>71.89</v>
      </c>
      <c r="P260" s="86">
        <f t="array" ref="P260">iferror(XLOOKUP(C260,'Download of SFDC Activation Rep'!B:B,'Download of SFDC Activation Rep'!Z:Z),"")</f>
        <v>45974</v>
      </c>
      <c r="Q260" s="86">
        <f t="shared" si="2"/>
        <v>45962</v>
      </c>
      <c r="R260" s="13" t="str">
        <f t="shared" si="3"/>
        <v>No</v>
      </c>
      <c r="S260" s="86">
        <f t="array" ref="S260">iferror(XLOOKUP(C260,'Download of SFDC Activation Rep'!B:B,'Download of SFDC Activation Rep'!Y:Y),"")</f>
        <v>45933</v>
      </c>
    </row>
    <row r="261">
      <c r="A261" s="17" t="s">
        <v>488</v>
      </c>
      <c r="B261" s="85">
        <v>46143.0</v>
      </c>
      <c r="C261" s="17">
        <v>4266723.0</v>
      </c>
      <c r="D261" s="85">
        <v>45992.0</v>
      </c>
      <c r="E261" s="17">
        <v>4.0</v>
      </c>
      <c r="F261" s="17">
        <v>3.0</v>
      </c>
      <c r="G261" s="17">
        <v>5446.78</v>
      </c>
      <c r="H261" s="17">
        <v>2525.0</v>
      </c>
      <c r="I261" s="17">
        <v>73.22</v>
      </c>
      <c r="J261" s="17"/>
      <c r="K261" s="17">
        <v>-1.27859999999999</v>
      </c>
      <c r="L261" s="17">
        <v>-1.33306779999999</v>
      </c>
      <c r="M261" s="17">
        <v>0.0544678</v>
      </c>
      <c r="N261" s="17">
        <v>20.0</v>
      </c>
      <c r="O261" s="14">
        <f t="shared" si="1"/>
        <v>18.7214</v>
      </c>
      <c r="P261" s="86">
        <f t="array" ref="P261">iferror(XLOOKUP(C261,'Download of SFDC Activation Rep'!B:B,'Download of SFDC Activation Rep'!Z:Z),"")</f>
        <v>45987</v>
      </c>
      <c r="Q261" s="86">
        <f t="shared" si="2"/>
        <v>45962</v>
      </c>
      <c r="R261" s="13" t="str">
        <f t="shared" si="3"/>
        <v>Yes</v>
      </c>
      <c r="S261" s="86">
        <f t="array" ref="S261">iferror(XLOOKUP(C261,'Download of SFDC Activation Rep'!B:B,'Download of SFDC Activation Rep'!Y:Y),"")</f>
        <v>46008</v>
      </c>
    </row>
    <row r="262">
      <c r="A262" s="17" t="s">
        <v>489</v>
      </c>
      <c r="B262" s="85">
        <v>46143.0</v>
      </c>
      <c r="C262" s="17">
        <v>4271363.0</v>
      </c>
      <c r="D262" s="85">
        <v>45992.0</v>
      </c>
      <c r="E262" s="17">
        <v>10.0</v>
      </c>
      <c r="F262" s="17">
        <v>10.0</v>
      </c>
      <c r="G262" s="17">
        <v>62687.27</v>
      </c>
      <c r="H262" s="17"/>
      <c r="I262" s="17">
        <v>1.5</v>
      </c>
      <c r="J262" s="17"/>
      <c r="K262" s="17">
        <v>-0.6544</v>
      </c>
      <c r="L262" s="17">
        <v>-10.4000295570509</v>
      </c>
      <c r="M262" s="17">
        <v>9.74562955705099</v>
      </c>
      <c r="N262" s="17">
        <v>44.0</v>
      </c>
      <c r="O262" s="14">
        <f t="shared" si="1"/>
        <v>43.3456</v>
      </c>
      <c r="P262" s="86">
        <f t="array" ref="P262">iferror(XLOOKUP(C262,'Download of SFDC Activation Rep'!B:B,'Download of SFDC Activation Rep'!Z:Z),"")</f>
        <v>45964</v>
      </c>
      <c r="Q262" s="86">
        <f t="shared" si="2"/>
        <v>45962</v>
      </c>
      <c r="R262" s="13" t="str">
        <f t="shared" si="3"/>
        <v>Yes</v>
      </c>
      <c r="S262" s="86">
        <f t="array" ref="S262">iferror(XLOOKUP(C262,'Download of SFDC Activation Rep'!B:B,'Download of SFDC Activation Rep'!Y:Y),"")</f>
        <v>46007</v>
      </c>
    </row>
    <row r="263">
      <c r="A263" s="17" t="s">
        <v>17</v>
      </c>
      <c r="B263" s="85">
        <v>46143.0</v>
      </c>
      <c r="C263" s="17">
        <v>4530037.0</v>
      </c>
      <c r="D263" s="85">
        <v>46113.0</v>
      </c>
      <c r="E263" s="17">
        <v>22.0</v>
      </c>
      <c r="F263" s="17">
        <v>22.0</v>
      </c>
      <c r="G263" s="17">
        <v>222994.8</v>
      </c>
      <c r="H263" s="17"/>
      <c r="I263" s="17">
        <v>139.878362</v>
      </c>
      <c r="J263" s="17"/>
      <c r="K263" s="17">
        <v>136.705299999999</v>
      </c>
      <c r="L263" s="17">
        <v>101.76618484276</v>
      </c>
      <c r="M263" s="17">
        <v>34.9391151572399</v>
      </c>
      <c r="N263" s="17">
        <v>68.0</v>
      </c>
      <c r="O263" s="14">
        <f t="shared" si="1"/>
        <v>204.7053</v>
      </c>
      <c r="P263" s="86">
        <f t="array" ref="P263">iferror(XLOOKUP(C263,'Download of SFDC Activation Rep'!B:B,'Download of SFDC Activation Rep'!Z:Z),"")</f>
        <v>46119</v>
      </c>
      <c r="Q263" s="86">
        <f t="shared" si="2"/>
        <v>46113</v>
      </c>
      <c r="R263" s="13" t="str">
        <f t="shared" si="3"/>
        <v>Yes</v>
      </c>
      <c r="S263" s="86">
        <f t="array" ref="S263">iferror(XLOOKUP(C263,'Download of SFDC Activation Rep'!B:B,'Download of SFDC Activation Rep'!Y:Y),"")</f>
        <v>46154</v>
      </c>
    </row>
    <row r="264">
      <c r="A264" s="17" t="s">
        <v>19</v>
      </c>
      <c r="B264" s="85">
        <v>46174.0</v>
      </c>
      <c r="C264" s="17">
        <v>4239927.0</v>
      </c>
      <c r="D264" s="85">
        <v>45992.0</v>
      </c>
      <c r="E264" s="17">
        <v>1.0</v>
      </c>
      <c r="F264" s="17">
        <v>1.0</v>
      </c>
      <c r="G264" s="17">
        <v>284.55</v>
      </c>
      <c r="H264" s="17"/>
      <c r="I264" s="17">
        <v>0.0</v>
      </c>
      <c r="J264" s="17"/>
      <c r="K264" s="17">
        <v>-0.15</v>
      </c>
      <c r="L264" s="17">
        <v>-0.194583663914999</v>
      </c>
      <c r="M264" s="17">
        <v>0.0445836639149999</v>
      </c>
      <c r="N264" s="17">
        <v>24.0</v>
      </c>
      <c r="O264" s="14">
        <f t="shared" si="1"/>
        <v>23.85</v>
      </c>
      <c r="P264" s="86">
        <f t="array" ref="P264">iferror(XLOOKUP(C264,'Download of SFDC Activation Rep'!B:B,'Download of SFDC Activation Rep'!Z:Z),"")</f>
        <v>45979</v>
      </c>
      <c r="Q264" s="86">
        <f t="shared" si="2"/>
        <v>45962</v>
      </c>
      <c r="R264" s="13" t="str">
        <f t="shared" si="3"/>
        <v>Yes</v>
      </c>
      <c r="S264" s="86">
        <f t="array" ref="S264">iferror(XLOOKUP(C264,'Download of SFDC Activation Rep'!B:B,'Download of SFDC Activation Rep'!Y:Y),"")</f>
        <v>45999</v>
      </c>
    </row>
    <row r="265">
      <c r="A265" s="17" t="s">
        <v>17</v>
      </c>
      <c r="B265" s="85">
        <v>46113.0</v>
      </c>
      <c r="C265" s="17">
        <v>4310103.0</v>
      </c>
      <c r="D265" s="85">
        <v>46082.0</v>
      </c>
      <c r="E265" s="17">
        <v>2.0</v>
      </c>
      <c r="F265" s="17">
        <v>0.0</v>
      </c>
      <c r="G265" s="17">
        <v>20000.0</v>
      </c>
      <c r="H265" s="17">
        <v>20000.0</v>
      </c>
      <c r="I265" s="17">
        <v>580.0</v>
      </c>
      <c r="J265" s="17"/>
      <c r="K265" s="17">
        <v>-21.1766</v>
      </c>
      <c r="L265" s="17">
        <v>-31.785656</v>
      </c>
      <c r="M265" s="17">
        <v>10.6090559999999</v>
      </c>
      <c r="N265" s="17"/>
      <c r="O265" s="14">
        <f t="shared" si="1"/>
        <v>108.8234</v>
      </c>
      <c r="P265" s="86">
        <f t="array" ref="P265">iferror(XLOOKUP(C265,'Download of SFDC Activation Rep'!B:B,'Download of SFDC Activation Rep'!Z:Z),"")</f>
        <v>46037</v>
      </c>
      <c r="Q265" s="86">
        <f t="shared" si="2"/>
        <v>46023</v>
      </c>
      <c r="R265" s="13" t="str">
        <f t="shared" si="3"/>
        <v>Yes</v>
      </c>
      <c r="S265" s="86">
        <f t="array" ref="S265">iferror(XLOOKUP(C265,'Download of SFDC Activation Rep'!B:B,'Download of SFDC Activation Rep'!Y:Y),"")</f>
        <v>46108</v>
      </c>
    </row>
    <row r="266">
      <c r="A266" s="17" t="s">
        <v>17</v>
      </c>
      <c r="B266" s="85">
        <v>46054.0</v>
      </c>
      <c r="C266" s="17">
        <v>4138622.0</v>
      </c>
      <c r="D266" s="85">
        <v>45901.0</v>
      </c>
      <c r="E266" s="17">
        <v>11.0</v>
      </c>
      <c r="F266" s="17">
        <v>9.0</v>
      </c>
      <c r="G266" s="17">
        <v>80646.31</v>
      </c>
      <c r="H266" s="17">
        <v>1000.0</v>
      </c>
      <c r="I266" s="17">
        <v>318.71</v>
      </c>
      <c r="J266" s="17"/>
      <c r="K266" s="17">
        <v>9.38069999999999</v>
      </c>
      <c r="L266" s="17">
        <v>8.5742369</v>
      </c>
      <c r="M266" s="17">
        <v>0.806463099999996</v>
      </c>
      <c r="N266" s="17"/>
      <c r="O266" s="14">
        <f t="shared" si="1"/>
        <v>15.8807</v>
      </c>
      <c r="P266" s="86">
        <f t="array" ref="P266">iferror(XLOOKUP(C266,'Download of SFDC Activation Rep'!B:B,'Download of SFDC Activation Rep'!Z:Z),"")</f>
        <v>45916</v>
      </c>
      <c r="Q266" s="86">
        <f t="shared" si="2"/>
        <v>45901</v>
      </c>
      <c r="R266" s="13" t="str">
        <f t="shared" si="3"/>
        <v>Yes</v>
      </c>
      <c r="S266" s="86">
        <f t="array" ref="S266">iferror(XLOOKUP(C266,'Download of SFDC Activation Rep'!B:B,'Download of SFDC Activation Rep'!Y:Y),"")</f>
        <v>45966</v>
      </c>
    </row>
    <row r="267">
      <c r="A267" s="17" t="s">
        <v>17</v>
      </c>
      <c r="B267" s="85">
        <v>45992.0</v>
      </c>
      <c r="C267" s="17">
        <v>4098415.0</v>
      </c>
      <c r="D267" s="85">
        <v>45901.0</v>
      </c>
      <c r="E267" s="17">
        <v>11.0</v>
      </c>
      <c r="F267" s="17">
        <v>9.0</v>
      </c>
      <c r="G267" s="17">
        <v>29259.5</v>
      </c>
      <c r="H267" s="17"/>
      <c r="I267" s="17">
        <v>45.69</v>
      </c>
      <c r="J267" s="17"/>
      <c r="K267" s="17">
        <v>-1.7435</v>
      </c>
      <c r="L267" s="17">
        <v>-2.03609499999999</v>
      </c>
      <c r="M267" s="17">
        <v>0.292594999999999</v>
      </c>
      <c r="N267" s="17"/>
      <c r="O267" s="14">
        <f t="shared" si="1"/>
        <v>-1.7435</v>
      </c>
      <c r="P267" s="86">
        <f t="array" ref="P267">iferror(XLOOKUP(C267,'Download of SFDC Activation Rep'!B:B,'Download of SFDC Activation Rep'!Z:Z),"")</f>
        <v>45895</v>
      </c>
      <c r="Q267" s="86">
        <f t="shared" si="2"/>
        <v>45870</v>
      </c>
      <c r="R267" s="13" t="str">
        <f t="shared" si="3"/>
        <v>Yes</v>
      </c>
      <c r="S267" s="86">
        <f t="array" ref="S267">iferror(XLOOKUP(C267,'Download of SFDC Activation Rep'!B:B,'Download of SFDC Activation Rep'!Y:Y),"")</f>
        <v>45910</v>
      </c>
    </row>
    <row r="268">
      <c r="A268" s="17" t="s">
        <v>17</v>
      </c>
      <c r="B268" s="85">
        <v>46082.0</v>
      </c>
      <c r="C268" s="17">
        <v>4138622.0</v>
      </c>
      <c r="D268" s="85">
        <v>45901.0</v>
      </c>
      <c r="E268" s="17">
        <v>24.0</v>
      </c>
      <c r="F268" s="17">
        <v>16.0</v>
      </c>
      <c r="G268" s="17">
        <v>78298.17</v>
      </c>
      <c r="H268" s="17">
        <v>250.0</v>
      </c>
      <c r="I268" s="17">
        <v>282.45</v>
      </c>
      <c r="J268" s="17"/>
      <c r="K268" s="17">
        <v>-4.0308</v>
      </c>
      <c r="L268" s="17">
        <v>-4.8137817</v>
      </c>
      <c r="M268" s="17">
        <v>0.782981699999999</v>
      </c>
      <c r="N268" s="17"/>
      <c r="O268" s="14">
        <f t="shared" si="1"/>
        <v>-2.4058</v>
      </c>
      <c r="P268" s="86">
        <f t="array" ref="P268">iferror(XLOOKUP(C268,'Download of SFDC Activation Rep'!B:B,'Download of SFDC Activation Rep'!Z:Z),"")</f>
        <v>45916</v>
      </c>
      <c r="Q268" s="86">
        <f t="shared" si="2"/>
        <v>45901</v>
      </c>
      <c r="R268" s="13" t="str">
        <f t="shared" si="3"/>
        <v>Yes</v>
      </c>
      <c r="S268" s="86">
        <f t="array" ref="S268">iferror(XLOOKUP(C268,'Download of SFDC Activation Rep'!B:B,'Download of SFDC Activation Rep'!Y:Y),"")</f>
        <v>45966</v>
      </c>
    </row>
    <row r="269">
      <c r="A269" s="17" t="s">
        <v>19</v>
      </c>
      <c r="B269" s="85">
        <v>45689.0</v>
      </c>
      <c r="C269" s="17">
        <v>2710123.0</v>
      </c>
      <c r="D269" s="85">
        <v>45292.0</v>
      </c>
      <c r="E269" s="17">
        <v>1.0</v>
      </c>
      <c r="F269" s="17">
        <v>0.0</v>
      </c>
      <c r="G269" s="17">
        <v>11075.4</v>
      </c>
      <c r="H269" s="17"/>
      <c r="I269" s="17">
        <v>321.19</v>
      </c>
      <c r="J269" s="17"/>
      <c r="K269" s="17">
        <v>6.2596</v>
      </c>
      <c r="L269" s="17">
        <v>0.38462271665014</v>
      </c>
      <c r="M269" s="17">
        <v>5.87497728334985</v>
      </c>
      <c r="N269" s="17"/>
      <c r="O269" s="14">
        <f t="shared" si="1"/>
        <v>6.2596</v>
      </c>
      <c r="P269" s="86">
        <f t="array" ref="P269">iferror(XLOOKUP(C269,'Download of SFDC Activation Rep'!B:B,'Download of SFDC Activation Rep'!Z:Z),"")</f>
        <v>45873</v>
      </c>
      <c r="Q269" s="86">
        <f t="shared" si="2"/>
        <v>45870</v>
      </c>
      <c r="R269" s="13" t="str">
        <f t="shared" si="3"/>
        <v>No</v>
      </c>
      <c r="S269" s="86">
        <f t="array" ref="S269">iferror(XLOOKUP(C269,'Download of SFDC Activation Rep'!B:B,'Download of SFDC Activation Rep'!Y:Y),"")</f>
        <v>45980</v>
      </c>
    </row>
    <row r="270">
      <c r="A270" s="17" t="s">
        <v>17</v>
      </c>
      <c r="B270" s="85">
        <v>46143.0</v>
      </c>
      <c r="C270" s="17">
        <v>4221007.0</v>
      </c>
      <c r="D270" s="85">
        <v>45962.0</v>
      </c>
      <c r="E270" s="17">
        <v>4.0</v>
      </c>
      <c r="F270" s="17">
        <v>0.0</v>
      </c>
      <c r="G270" s="17">
        <v>43552.07</v>
      </c>
      <c r="H270" s="17">
        <v>13125.61</v>
      </c>
      <c r="I270" s="17">
        <v>1263.01</v>
      </c>
      <c r="J270" s="17"/>
      <c r="K270" s="17">
        <v>109.7828</v>
      </c>
      <c r="L270" s="17">
        <v>87.116003222704</v>
      </c>
      <c r="M270" s="17">
        <v>22.666796777296</v>
      </c>
      <c r="N270" s="17"/>
      <c r="O270" s="14">
        <f t="shared" si="1"/>
        <v>109.7828</v>
      </c>
      <c r="P270" s="86">
        <f t="array" ref="P270">iferror(XLOOKUP(C270,'Download of SFDC Activation Rep'!B:B,'Download of SFDC Activation Rep'!Z:Z),"")</f>
        <v>45966</v>
      </c>
      <c r="Q270" s="86">
        <f t="shared" si="2"/>
        <v>45962</v>
      </c>
      <c r="R270" s="13" t="str">
        <f t="shared" si="3"/>
        <v>Yes</v>
      </c>
      <c r="S270" s="86">
        <f t="array" ref="S270">iferror(XLOOKUP(C270,'Download of SFDC Activation Rep'!B:B,'Download of SFDC Activation Rep'!Y:Y),"")</f>
        <v>45971</v>
      </c>
    </row>
    <row r="271">
      <c r="A271" s="17" t="s">
        <v>17</v>
      </c>
      <c r="B271" s="85">
        <v>45444.0</v>
      </c>
      <c r="C271" s="17">
        <v>489723.0</v>
      </c>
      <c r="D271" s="85">
        <v>45200.0</v>
      </c>
      <c r="E271" s="17">
        <v>6.0</v>
      </c>
      <c r="F271" s="17">
        <v>6.0</v>
      </c>
      <c r="G271" s="17">
        <v>13021.23</v>
      </c>
      <c r="H271" s="17"/>
      <c r="I271" s="17">
        <v>0.0</v>
      </c>
      <c r="J271" s="17"/>
      <c r="K271" s="17">
        <v>-1.25</v>
      </c>
      <c r="L271" s="17">
        <v>-7.60441567267823</v>
      </c>
      <c r="M271" s="17">
        <v>6.35441567267823</v>
      </c>
      <c r="N271" s="17"/>
      <c r="O271" s="14">
        <f t="shared" si="1"/>
        <v>-1.25</v>
      </c>
      <c r="P271" s="86">
        <f t="array" ref="P271">iferror(XLOOKUP(C271,'Download of SFDC Activation Rep'!B:B,'Download of SFDC Activation Rep'!Z:Z),"")</f>
        <v>46112</v>
      </c>
      <c r="Q271" s="86">
        <f t="shared" si="2"/>
        <v>46082</v>
      </c>
      <c r="R271" s="13" t="str">
        <f t="shared" si="3"/>
        <v>No</v>
      </c>
      <c r="S271" s="86">
        <f t="array" ref="S271">iferror(XLOOKUP(C271,'Download of SFDC Activation Rep'!B:B,'Download of SFDC Activation Rep'!Y:Y),"")</f>
        <v>46204</v>
      </c>
    </row>
    <row r="272">
      <c r="A272" s="17" t="s">
        <v>17</v>
      </c>
      <c r="B272" s="85">
        <v>45839.0</v>
      </c>
      <c r="C272" s="17">
        <v>3942651.0</v>
      </c>
      <c r="D272" s="85">
        <v>45809.0</v>
      </c>
      <c r="E272" s="17">
        <v>4.0</v>
      </c>
      <c r="F272" s="17">
        <v>4.0</v>
      </c>
      <c r="G272" s="17">
        <v>2850.0</v>
      </c>
      <c r="H272" s="17"/>
      <c r="I272" s="17">
        <v>0.0</v>
      </c>
      <c r="J272" s="17"/>
      <c r="K272" s="17">
        <v>-0.56</v>
      </c>
      <c r="L272" s="17">
        <v>-0.5885</v>
      </c>
      <c r="M272" s="17">
        <v>0.0284999999999999</v>
      </c>
      <c r="N272" s="17"/>
      <c r="O272" s="14">
        <f t="shared" si="1"/>
        <v>-0.56</v>
      </c>
      <c r="P272" s="86">
        <f t="array" ref="P272">iferror(XLOOKUP(C272,'Download of SFDC Activation Rep'!B:B,'Download of SFDC Activation Rep'!Z:Z),"")</f>
        <v>45809</v>
      </c>
      <c r="Q272" s="86">
        <f t="shared" si="2"/>
        <v>45809</v>
      </c>
      <c r="R272" s="13" t="str">
        <f t="shared" si="3"/>
        <v>Yes</v>
      </c>
      <c r="S272" s="86">
        <f t="array" ref="S272">iferror(XLOOKUP(C272,'Download of SFDC Activation Rep'!B:B,'Download of SFDC Activation Rep'!Y:Y),"")</f>
        <v>45819</v>
      </c>
    </row>
    <row r="273">
      <c r="A273" s="17" t="s">
        <v>17</v>
      </c>
      <c r="B273" s="85">
        <v>45870.0</v>
      </c>
      <c r="C273" s="17">
        <v>3942651.0</v>
      </c>
      <c r="D273" s="85">
        <v>45809.0</v>
      </c>
      <c r="E273" s="17">
        <v>3.0</v>
      </c>
      <c r="F273" s="17">
        <v>3.0</v>
      </c>
      <c r="G273" s="17">
        <v>2850.0</v>
      </c>
      <c r="H273" s="17"/>
      <c r="I273" s="17">
        <v>0.0</v>
      </c>
      <c r="J273" s="17"/>
      <c r="K273" s="17">
        <v>-0.43</v>
      </c>
      <c r="L273" s="17">
        <v>-0.4585</v>
      </c>
      <c r="M273" s="17">
        <v>0.0285</v>
      </c>
      <c r="N273" s="17"/>
      <c r="O273" s="14">
        <f t="shared" si="1"/>
        <v>-0.43</v>
      </c>
      <c r="P273" s="86">
        <f t="array" ref="P273">iferror(XLOOKUP(C273,'Download of SFDC Activation Rep'!B:B,'Download of SFDC Activation Rep'!Z:Z),"")</f>
        <v>45809</v>
      </c>
      <c r="Q273" s="86">
        <f t="shared" si="2"/>
        <v>45809</v>
      </c>
      <c r="R273" s="13" t="str">
        <f t="shared" si="3"/>
        <v>Yes</v>
      </c>
      <c r="S273" s="86">
        <f t="array" ref="S273">iferror(XLOOKUP(C273,'Download of SFDC Activation Rep'!B:B,'Download of SFDC Activation Rep'!Y:Y),"")</f>
        <v>45819</v>
      </c>
    </row>
    <row r="274">
      <c r="A274" s="17" t="s">
        <v>17</v>
      </c>
      <c r="B274" s="85">
        <v>45901.0</v>
      </c>
      <c r="C274" s="17">
        <v>3997416.0</v>
      </c>
      <c r="D274" s="85">
        <v>45839.0</v>
      </c>
      <c r="E274" s="17">
        <v>3.0</v>
      </c>
      <c r="F274" s="17">
        <v>2.0</v>
      </c>
      <c r="G274" s="17">
        <v>8800.0</v>
      </c>
      <c r="H274" s="17"/>
      <c r="I274" s="17">
        <v>115.0</v>
      </c>
      <c r="J274" s="17"/>
      <c r="K274" s="17">
        <v>34.3555</v>
      </c>
      <c r="L274" s="17">
        <v>13.5005606068</v>
      </c>
      <c r="M274" s="17">
        <v>20.8549393932</v>
      </c>
      <c r="N274" s="17"/>
      <c r="O274" s="14">
        <f t="shared" si="1"/>
        <v>34.3555</v>
      </c>
      <c r="P274" s="86">
        <f t="array" ref="P274">iferror(XLOOKUP(C274,'Download of SFDC Activation Rep'!B:B,'Download of SFDC Activation Rep'!Z:Z),"")</f>
        <v>45876</v>
      </c>
      <c r="Q274" s="86">
        <f t="shared" si="2"/>
        <v>45870</v>
      </c>
      <c r="R274" s="13" t="str">
        <f t="shared" si="3"/>
        <v>Yes</v>
      </c>
      <c r="S274" s="86">
        <f t="array" ref="S274">iferror(XLOOKUP(C274,'Download of SFDC Activation Rep'!B:B,'Download of SFDC Activation Rep'!Y:Y),"")</f>
        <v>45849</v>
      </c>
    </row>
    <row r="275">
      <c r="A275" s="17" t="s">
        <v>17</v>
      </c>
      <c r="B275" s="85">
        <v>45809.0</v>
      </c>
      <c r="C275" s="17">
        <v>3962143.0</v>
      </c>
      <c r="D275" s="85">
        <v>45809.0</v>
      </c>
      <c r="E275" s="17">
        <v>1.0</v>
      </c>
      <c r="F275" s="17">
        <v>0.0</v>
      </c>
      <c r="G275" s="17">
        <v>451.78</v>
      </c>
      <c r="H275" s="17"/>
      <c r="I275" s="17">
        <v>13.1</v>
      </c>
      <c r="J275" s="17"/>
      <c r="K275" s="17">
        <v>0.6236</v>
      </c>
      <c r="L275" s="17">
        <v>0.383952020055998</v>
      </c>
      <c r="M275" s="17">
        <v>0.239647979944002</v>
      </c>
      <c r="N275" s="17"/>
      <c r="O275" s="14">
        <f t="shared" si="1"/>
        <v>0.6236</v>
      </c>
      <c r="P275" s="86">
        <f t="array" ref="P275">iferror(XLOOKUP(C275,'Download of SFDC Activation Rep'!B:B,'Download of SFDC Activation Rep'!Z:Z),"")</f>
        <v>45876</v>
      </c>
      <c r="Q275" s="86">
        <f t="shared" si="2"/>
        <v>45870</v>
      </c>
      <c r="R275" s="13" t="str">
        <f t="shared" si="3"/>
        <v>No</v>
      </c>
      <c r="S275" s="86">
        <f t="array" ref="S275">iferror(XLOOKUP(C275,'Download of SFDC Activation Rep'!B:B,'Download of SFDC Activation Rep'!Y:Y),"")</f>
        <v>45833</v>
      </c>
    </row>
    <row r="276">
      <c r="A276" s="17" t="s">
        <v>19</v>
      </c>
      <c r="B276" s="85">
        <v>45536.0</v>
      </c>
      <c r="C276" s="17">
        <v>2710123.0</v>
      </c>
      <c r="D276" s="85">
        <v>45292.0</v>
      </c>
      <c r="E276" s="17">
        <v>1.0</v>
      </c>
      <c r="F276" s="17">
        <v>0.0</v>
      </c>
      <c r="G276" s="17">
        <v>11075.4</v>
      </c>
      <c r="H276" s="17"/>
      <c r="I276" s="17">
        <v>321.19</v>
      </c>
      <c r="J276" s="17"/>
      <c r="K276" s="17">
        <v>22.3574</v>
      </c>
      <c r="L276" s="17">
        <v>19.5924105787589</v>
      </c>
      <c r="M276" s="17">
        <v>2.76498942124104</v>
      </c>
      <c r="N276" s="17"/>
      <c r="O276" s="14">
        <f t="shared" si="1"/>
        <v>22.3574</v>
      </c>
      <c r="P276" s="86">
        <f t="array" ref="P276">iferror(XLOOKUP(C276,'Download of SFDC Activation Rep'!B:B,'Download of SFDC Activation Rep'!Z:Z),"")</f>
        <v>45873</v>
      </c>
      <c r="Q276" s="86">
        <f t="shared" si="2"/>
        <v>45870</v>
      </c>
      <c r="R276" s="13" t="str">
        <f t="shared" si="3"/>
        <v>No</v>
      </c>
      <c r="S276" s="86">
        <f t="array" ref="S276">iferror(XLOOKUP(C276,'Download of SFDC Activation Rep'!B:B,'Download of SFDC Activation Rep'!Y:Y),"")</f>
        <v>45980</v>
      </c>
    </row>
    <row r="277">
      <c r="A277" s="17" t="s">
        <v>17</v>
      </c>
      <c r="B277" s="85">
        <v>46082.0</v>
      </c>
      <c r="C277" s="17">
        <v>4161223.0</v>
      </c>
      <c r="D277" s="85">
        <v>45931.0</v>
      </c>
      <c r="E277" s="17">
        <v>1.0</v>
      </c>
      <c r="F277" s="17">
        <v>1.0</v>
      </c>
      <c r="G277" s="17">
        <v>4875.0</v>
      </c>
      <c r="H277" s="17"/>
      <c r="I277" s="17">
        <v>0.0</v>
      </c>
      <c r="J277" s="17"/>
      <c r="K277" s="17">
        <v>-0.1038</v>
      </c>
      <c r="L277" s="17">
        <v>-0.867621337499999</v>
      </c>
      <c r="M277" s="17">
        <v>0.763821337499999</v>
      </c>
      <c r="N277" s="17"/>
      <c r="O277" s="14">
        <f t="shared" si="1"/>
        <v>-0.1038</v>
      </c>
      <c r="P277" s="86">
        <f t="array" ref="P277">iferror(XLOOKUP(C277,'Download of SFDC Activation Rep'!B:B,'Download of SFDC Activation Rep'!Z:Z),"")</f>
        <v>45937</v>
      </c>
      <c r="Q277" s="86">
        <f t="shared" si="2"/>
        <v>45931</v>
      </c>
      <c r="R277" s="13" t="str">
        <f t="shared" si="3"/>
        <v>Yes</v>
      </c>
      <c r="S277" s="86">
        <f t="array" ref="S277">iferror(XLOOKUP(C277,'Download of SFDC Activation Rep'!B:B,'Download of SFDC Activation Rep'!Y:Y),"")</f>
        <v>45947</v>
      </c>
    </row>
    <row r="278">
      <c r="A278" s="17" t="s">
        <v>17</v>
      </c>
      <c r="B278" s="85">
        <v>45962.0</v>
      </c>
      <c r="C278" s="17">
        <v>4100689.0</v>
      </c>
      <c r="D278" s="85">
        <v>45901.0</v>
      </c>
      <c r="E278" s="17">
        <v>13.0</v>
      </c>
      <c r="F278" s="17">
        <v>0.0</v>
      </c>
      <c r="G278" s="17">
        <v>159495.0</v>
      </c>
      <c r="H278" s="17">
        <v>116060.0</v>
      </c>
      <c r="I278" s="17">
        <v>4625.35</v>
      </c>
      <c r="J278" s="17"/>
      <c r="K278" s="17">
        <v>1682.3779</v>
      </c>
      <c r="L278" s="17">
        <v>1680.78295</v>
      </c>
      <c r="M278" s="17">
        <v>1.59494999999969</v>
      </c>
      <c r="N278" s="17"/>
      <c r="O278" s="14">
        <f t="shared" si="1"/>
        <v>1682.3779</v>
      </c>
      <c r="P278" s="86">
        <f t="array" ref="P278">iferror(XLOOKUP(C278,'Download of SFDC Activation Rep'!B:B,'Download of SFDC Activation Rep'!Z:Z),"")</f>
        <v>45903</v>
      </c>
      <c r="Q278" s="86">
        <f t="shared" si="2"/>
        <v>45901</v>
      </c>
      <c r="R278" s="13" t="str">
        <f t="shared" si="3"/>
        <v>Yes</v>
      </c>
      <c r="S278" s="86">
        <f t="array" ref="S278">iferror(XLOOKUP(C278,'Download of SFDC Activation Rep'!B:B,'Download of SFDC Activation Rep'!Y:Y),"")</f>
        <v>45908</v>
      </c>
    </row>
    <row r="279">
      <c r="A279" s="17" t="s">
        <v>17</v>
      </c>
      <c r="B279" s="85">
        <v>46174.0</v>
      </c>
      <c r="C279" s="17">
        <v>4318853.0</v>
      </c>
      <c r="D279" s="85">
        <v>46023.0</v>
      </c>
      <c r="E279" s="17">
        <v>2.0</v>
      </c>
      <c r="F279" s="17">
        <v>2.0</v>
      </c>
      <c r="G279" s="17">
        <v>4934.5</v>
      </c>
      <c r="H279" s="17"/>
      <c r="I279" s="17">
        <v>0.0</v>
      </c>
      <c r="J279" s="17"/>
      <c r="K279" s="17">
        <v>-0.3577</v>
      </c>
      <c r="L279" s="17">
        <v>-1.13084387485</v>
      </c>
      <c r="M279" s="17">
        <v>0.77314387485</v>
      </c>
      <c r="N279" s="17"/>
      <c r="O279" s="14">
        <f t="shared" si="1"/>
        <v>-0.3577</v>
      </c>
      <c r="P279" s="86">
        <f t="array" ref="P279">iferror(XLOOKUP(C279,'Download of SFDC Activation Rep'!B:B,'Download of SFDC Activation Rep'!Z:Z),"")</f>
        <v>46027</v>
      </c>
      <c r="Q279" s="86">
        <f t="shared" si="2"/>
        <v>46023</v>
      </c>
      <c r="R279" s="13" t="str">
        <f t="shared" si="3"/>
        <v>Yes</v>
      </c>
      <c r="S279" s="86">
        <f t="array" ref="S279">iferror(XLOOKUP(C279,'Download of SFDC Activation Rep'!B:B,'Download of SFDC Activation Rep'!Y:Y),"")</f>
        <v>46042</v>
      </c>
    </row>
    <row r="280">
      <c r="A280" s="17" t="s">
        <v>488</v>
      </c>
      <c r="B280" s="85">
        <v>45292.0</v>
      </c>
      <c r="C280" s="17">
        <v>3085000.0</v>
      </c>
      <c r="D280" s="85">
        <v>45292.0</v>
      </c>
      <c r="E280" s="17">
        <v>1.0</v>
      </c>
      <c r="F280" s="17">
        <v>1.0</v>
      </c>
      <c r="G280" s="17">
        <v>10500.0</v>
      </c>
      <c r="H280" s="17"/>
      <c r="I280" s="17">
        <v>0.0</v>
      </c>
      <c r="J280" s="17"/>
      <c r="K280" s="17">
        <v>-0.2</v>
      </c>
      <c r="L280" s="17">
        <v>-1.4786644661</v>
      </c>
      <c r="M280" s="17">
        <v>1.2786644661</v>
      </c>
      <c r="N280" s="17"/>
      <c r="O280" s="14">
        <f t="shared" si="1"/>
        <v>-0.2</v>
      </c>
      <c r="P280" s="86">
        <f t="array" ref="P280">iferror(XLOOKUP(C280,'Download of SFDC Activation Rep'!B:B,'Download of SFDC Activation Rep'!Z:Z),"")</f>
        <v>45947</v>
      </c>
      <c r="Q280" s="86">
        <f t="shared" si="2"/>
        <v>45931</v>
      </c>
      <c r="R280" s="13" t="str">
        <f t="shared" si="3"/>
        <v>No</v>
      </c>
      <c r="S280" s="86">
        <f t="array" ref="S280">iferror(XLOOKUP(C280,'Download of SFDC Activation Rep'!B:B,'Download of SFDC Activation Rep'!Y:Y),"")</f>
        <v>45958</v>
      </c>
    </row>
    <row r="281">
      <c r="A281" s="17" t="s">
        <v>17</v>
      </c>
      <c r="B281" s="85">
        <v>45536.0</v>
      </c>
      <c r="C281" s="17">
        <v>3265302.0</v>
      </c>
      <c r="D281" s="85">
        <v>45352.0</v>
      </c>
      <c r="E281" s="17">
        <v>11.0</v>
      </c>
      <c r="F281" s="17">
        <v>11.0</v>
      </c>
      <c r="G281" s="17">
        <v>16549.74</v>
      </c>
      <c r="H281" s="17"/>
      <c r="I281" s="17">
        <v>0.0</v>
      </c>
      <c r="J281" s="17"/>
      <c r="K281" s="17">
        <v>-2.03</v>
      </c>
      <c r="L281" s="17">
        <v>-10.1063435738981</v>
      </c>
      <c r="M281" s="17">
        <v>8.07634357389815</v>
      </c>
      <c r="N281" s="17"/>
      <c r="O281" s="14">
        <f t="shared" si="1"/>
        <v>-2.03</v>
      </c>
      <c r="P281" s="86">
        <f t="array" ref="P281">iferror(XLOOKUP(C281,'Download of SFDC Activation Rep'!B:B,'Download of SFDC Activation Rep'!Z:Z),"")</f>
        <v>45936</v>
      </c>
      <c r="Q281" s="86">
        <f t="shared" si="2"/>
        <v>45931</v>
      </c>
      <c r="R281" s="13" t="str">
        <f t="shared" si="3"/>
        <v>No</v>
      </c>
      <c r="S281" s="86">
        <f t="array" ref="S281">iferror(XLOOKUP(C281,'Download of SFDC Activation Rep'!B:B,'Download of SFDC Activation Rep'!Y:Y),"")</f>
        <v>46031</v>
      </c>
    </row>
    <row r="282">
      <c r="A282" s="17" t="s">
        <v>488</v>
      </c>
      <c r="B282" s="85">
        <v>46113.0</v>
      </c>
      <c r="C282" s="17">
        <v>4299448.0</v>
      </c>
      <c r="D282" s="85">
        <v>45992.0</v>
      </c>
      <c r="E282" s="17">
        <v>18.0</v>
      </c>
      <c r="F282" s="17">
        <v>0.0</v>
      </c>
      <c r="G282" s="17">
        <v>182616.16</v>
      </c>
      <c r="H282" s="17">
        <v>4772.0</v>
      </c>
      <c r="I282" s="17">
        <v>5396.6</v>
      </c>
      <c r="J282" s="17"/>
      <c r="K282" s="17">
        <v>448.1583</v>
      </c>
      <c r="L282" s="17">
        <v>290.123340113952</v>
      </c>
      <c r="M282" s="17">
        <v>158.034959886047</v>
      </c>
      <c r="N282" s="17"/>
      <c r="O282" s="14">
        <f t="shared" si="1"/>
        <v>479.1763</v>
      </c>
      <c r="P282" s="86">
        <f t="array" ref="P282">iferror(XLOOKUP(C282,'Download of SFDC Activation Rep'!B:B,'Download of SFDC Activation Rep'!Z:Z),"")</f>
        <v>46197</v>
      </c>
      <c r="Q282" s="86">
        <f t="shared" si="2"/>
        <v>46174</v>
      </c>
      <c r="R282" s="13" t="str">
        <f t="shared" si="3"/>
        <v>No</v>
      </c>
      <c r="S282" s="86">
        <f t="array" ref="S282">iferror(XLOOKUP(C282,'Download of SFDC Activation Rep'!B:B,'Download of SFDC Activation Rep'!Y:Y),"")</f>
        <v>46361</v>
      </c>
    </row>
    <row r="283">
      <c r="A283" s="17" t="s">
        <v>17</v>
      </c>
      <c r="B283" s="85">
        <v>46054.0</v>
      </c>
      <c r="C283" s="17">
        <v>4154266.0</v>
      </c>
      <c r="D283" s="85">
        <v>45931.0</v>
      </c>
      <c r="E283" s="17">
        <v>28.0</v>
      </c>
      <c r="F283" s="17">
        <v>5.0</v>
      </c>
      <c r="G283" s="17">
        <v>11339.49</v>
      </c>
      <c r="H283" s="17">
        <v>3984.79</v>
      </c>
      <c r="I283" s="17">
        <v>280.7</v>
      </c>
      <c r="J283" s="17"/>
      <c r="K283" s="17">
        <v>16.8342</v>
      </c>
      <c r="L283" s="17">
        <v>16.7208051</v>
      </c>
      <c r="M283" s="17">
        <v>0.113394899999999</v>
      </c>
      <c r="N283" s="17"/>
      <c r="O283" s="14">
        <f t="shared" si="1"/>
        <v>42.735335</v>
      </c>
      <c r="P283" s="86">
        <f t="array" ref="P283">iferror(XLOOKUP(C283,'Download of SFDC Activation Rep'!B:B,'Download of SFDC Activation Rep'!Z:Z),"")</f>
        <v>45895</v>
      </c>
      <c r="Q283" s="86">
        <f t="shared" si="2"/>
        <v>45870</v>
      </c>
      <c r="R283" s="13" t="str">
        <f t="shared" si="3"/>
        <v>Yes</v>
      </c>
      <c r="S283" s="86">
        <f t="array" ref="S283">iferror(XLOOKUP(C283,'Download of SFDC Activation Rep'!B:B,'Download of SFDC Activation Rep'!Y:Y),"")</f>
        <v>45954</v>
      </c>
    </row>
    <row r="284">
      <c r="A284" s="17" t="s">
        <v>17</v>
      </c>
      <c r="B284" s="85">
        <v>45292.0</v>
      </c>
      <c r="C284" s="17">
        <v>2967694.0</v>
      </c>
      <c r="D284" s="85">
        <v>45292.0</v>
      </c>
      <c r="E284" s="17">
        <v>6.0</v>
      </c>
      <c r="F284" s="17">
        <v>0.0</v>
      </c>
      <c r="G284" s="17">
        <v>15395.32</v>
      </c>
      <c r="H284" s="17">
        <v>15395.32</v>
      </c>
      <c r="I284" s="17">
        <v>446.46</v>
      </c>
      <c r="J284" s="17"/>
      <c r="K284" s="17">
        <v>92.9333</v>
      </c>
      <c r="L284" s="17">
        <v>89.0898363836411</v>
      </c>
      <c r="M284" s="17">
        <v>3.84346361635883</v>
      </c>
      <c r="N284" s="17"/>
      <c r="O284" s="14">
        <f t="shared" si="1"/>
        <v>92.9333</v>
      </c>
      <c r="P284" s="86">
        <f t="array" ref="P284">iferror(XLOOKUP(C284,'Download of SFDC Activation Rep'!B:B,'Download of SFDC Activation Rep'!Z:Z),"")</f>
        <v>45924</v>
      </c>
      <c r="Q284" s="86">
        <f t="shared" si="2"/>
        <v>45901</v>
      </c>
      <c r="R284" s="13" t="str">
        <f t="shared" si="3"/>
        <v>No</v>
      </c>
      <c r="S284" s="86">
        <f t="array" ref="S284">iferror(XLOOKUP(C284,'Download of SFDC Activation Rep'!B:B,'Download of SFDC Activation Rep'!Y:Y),"")</f>
        <v>46055</v>
      </c>
    </row>
    <row r="285">
      <c r="A285" s="17" t="s">
        <v>17</v>
      </c>
      <c r="B285" s="85">
        <v>45627.0</v>
      </c>
      <c r="C285" s="17">
        <v>3090633.0</v>
      </c>
      <c r="D285" s="85">
        <v>45474.0</v>
      </c>
      <c r="E285" s="17">
        <v>1.0</v>
      </c>
      <c r="F285" s="17">
        <v>1.0</v>
      </c>
      <c r="G285" s="17">
        <v>1723.06</v>
      </c>
      <c r="H285" s="17"/>
      <c r="I285" s="17">
        <v>0.0</v>
      </c>
      <c r="J285" s="17"/>
      <c r="K285" s="17">
        <v>-0.22</v>
      </c>
      <c r="L285" s="17">
        <v>-1.06086061523872</v>
      </c>
      <c r="M285" s="17">
        <v>0.840860615238726</v>
      </c>
      <c r="N285" s="17"/>
      <c r="O285" s="14">
        <f t="shared" si="1"/>
        <v>-0.22</v>
      </c>
      <c r="P285" s="86">
        <f t="array" ref="P285">iferror(XLOOKUP(C285,'Download of SFDC Activation Rep'!B:B,'Download of SFDC Activation Rep'!Z:Z),"")</f>
        <v>45961</v>
      </c>
      <c r="Q285" s="86">
        <f t="shared" si="2"/>
        <v>45931</v>
      </c>
      <c r="R285" s="13" t="str">
        <f t="shared" si="3"/>
        <v>No</v>
      </c>
      <c r="S285" s="86">
        <f t="array" ref="S285">iferror(XLOOKUP(C285,'Download of SFDC Activation Rep'!B:B,'Download of SFDC Activation Rep'!Y:Y),"")</f>
        <v>46051</v>
      </c>
    </row>
    <row r="286">
      <c r="A286" s="17" t="s">
        <v>17</v>
      </c>
      <c r="B286" s="85">
        <v>46054.0</v>
      </c>
      <c r="C286" s="17">
        <v>4161223.0</v>
      </c>
      <c r="D286" s="85">
        <v>45931.0</v>
      </c>
      <c r="E286" s="17">
        <v>2.0</v>
      </c>
      <c r="F286" s="17">
        <v>2.0</v>
      </c>
      <c r="G286" s="17">
        <v>8811.5</v>
      </c>
      <c r="H286" s="17"/>
      <c r="I286" s="17">
        <v>0.0</v>
      </c>
      <c r="J286" s="17"/>
      <c r="K286" s="17">
        <v>-0.2571</v>
      </c>
      <c r="L286" s="17">
        <v>-1.63769727494999</v>
      </c>
      <c r="M286" s="17">
        <v>1.38059727495</v>
      </c>
      <c r="N286" s="17"/>
      <c r="O286" s="14">
        <f t="shared" si="1"/>
        <v>-0.2571</v>
      </c>
      <c r="P286" s="86">
        <f t="array" ref="P286">iferror(XLOOKUP(C286,'Download of SFDC Activation Rep'!B:B,'Download of SFDC Activation Rep'!Z:Z),"")</f>
        <v>45937</v>
      </c>
      <c r="Q286" s="86">
        <f t="shared" si="2"/>
        <v>45931</v>
      </c>
      <c r="R286" s="13" t="str">
        <f t="shared" si="3"/>
        <v>Yes</v>
      </c>
      <c r="S286" s="86">
        <f t="array" ref="S286">iferror(XLOOKUP(C286,'Download of SFDC Activation Rep'!B:B,'Download of SFDC Activation Rep'!Y:Y),"")</f>
        <v>45947</v>
      </c>
    </row>
    <row r="287">
      <c r="A287" s="17" t="s">
        <v>17</v>
      </c>
      <c r="B287" s="85">
        <v>46143.0</v>
      </c>
      <c r="C287" s="17">
        <v>3997416.0</v>
      </c>
      <c r="D287" s="85">
        <v>45839.0</v>
      </c>
      <c r="E287" s="17">
        <v>1.0</v>
      </c>
      <c r="F287" s="17">
        <v>1.0</v>
      </c>
      <c r="G287" s="17">
        <v>7000.0</v>
      </c>
      <c r="H287" s="17"/>
      <c r="I287" s="17">
        <v>0.0</v>
      </c>
      <c r="J287" s="17"/>
      <c r="K287" s="17">
        <v>-0.15</v>
      </c>
      <c r="L287" s="17">
        <v>-0.22</v>
      </c>
      <c r="M287" s="17">
        <v>0.07</v>
      </c>
      <c r="N287" s="17"/>
      <c r="O287" s="14">
        <f t="shared" si="1"/>
        <v>-0.15</v>
      </c>
      <c r="P287" s="86">
        <f t="array" ref="P287">iferror(XLOOKUP(C287,'Download of SFDC Activation Rep'!B:B,'Download of SFDC Activation Rep'!Z:Z),"")</f>
        <v>45876</v>
      </c>
      <c r="Q287" s="86">
        <f t="shared" si="2"/>
        <v>45870</v>
      </c>
      <c r="R287" s="13" t="str">
        <f t="shared" si="3"/>
        <v>Yes</v>
      </c>
      <c r="S287" s="86">
        <f t="array" ref="S287">iferror(XLOOKUP(C287,'Download of SFDC Activation Rep'!B:B,'Download of SFDC Activation Rep'!Y:Y),"")</f>
        <v>45849</v>
      </c>
    </row>
    <row r="288">
      <c r="A288" s="17" t="s">
        <v>17</v>
      </c>
      <c r="B288" s="85">
        <v>46113.0</v>
      </c>
      <c r="C288" s="17">
        <v>4079020.0</v>
      </c>
      <c r="D288" s="85">
        <v>45901.0</v>
      </c>
      <c r="E288" s="17">
        <v>4.0</v>
      </c>
      <c r="F288" s="17">
        <v>4.0</v>
      </c>
      <c r="G288" s="17">
        <v>4050.0</v>
      </c>
      <c r="H288" s="17"/>
      <c r="I288" s="17">
        <v>40.5</v>
      </c>
      <c r="J288" s="17"/>
      <c r="K288" s="17">
        <v>39.7651</v>
      </c>
      <c r="L288" s="17">
        <v>33.1226281749999</v>
      </c>
      <c r="M288" s="17">
        <v>6.642471825</v>
      </c>
      <c r="N288" s="17"/>
      <c r="O288" s="14">
        <f t="shared" si="1"/>
        <v>39.7651</v>
      </c>
      <c r="P288" s="86">
        <f t="array" ref="P288">iferror(XLOOKUP(C288,'Download of SFDC Activation Rep'!B:B,'Download of SFDC Activation Rep'!Z:Z),"")</f>
        <v>45894</v>
      </c>
      <c r="Q288" s="86">
        <f t="shared" si="2"/>
        <v>45870</v>
      </c>
      <c r="R288" s="13" t="str">
        <f t="shared" si="3"/>
        <v>Yes</v>
      </c>
      <c r="S288" s="86">
        <f t="array" ref="S288">iferror(XLOOKUP(C288,'Download of SFDC Activation Rep'!B:B,'Download of SFDC Activation Rep'!Y:Y),"")</f>
        <v>45937</v>
      </c>
    </row>
    <row r="289">
      <c r="A289" s="17" t="s">
        <v>17</v>
      </c>
      <c r="B289" s="85">
        <v>45931.0</v>
      </c>
      <c r="C289" s="17">
        <v>3942651.0</v>
      </c>
      <c r="D289" s="85">
        <v>45809.0</v>
      </c>
      <c r="E289" s="17">
        <v>8.0</v>
      </c>
      <c r="F289" s="17">
        <v>8.0</v>
      </c>
      <c r="G289" s="17">
        <v>6130.0</v>
      </c>
      <c r="H289" s="17"/>
      <c r="I289" s="17">
        <v>0.0</v>
      </c>
      <c r="J289" s="17"/>
      <c r="K289" s="17">
        <v>-0.6</v>
      </c>
      <c r="L289" s="17">
        <v>-0.6613</v>
      </c>
      <c r="M289" s="17">
        <v>0.0613000000000001</v>
      </c>
      <c r="N289" s="17"/>
      <c r="O289" s="14">
        <f t="shared" si="1"/>
        <v>-0.6</v>
      </c>
      <c r="P289" s="86">
        <f t="array" ref="P289">iferror(XLOOKUP(C289,'Download of SFDC Activation Rep'!B:B,'Download of SFDC Activation Rep'!Z:Z),"")</f>
        <v>45809</v>
      </c>
      <c r="Q289" s="86">
        <f t="shared" si="2"/>
        <v>45809</v>
      </c>
      <c r="R289" s="13" t="str">
        <f t="shared" si="3"/>
        <v>Yes</v>
      </c>
      <c r="S289" s="86">
        <f t="array" ref="S289">iferror(XLOOKUP(C289,'Download of SFDC Activation Rep'!B:B,'Download of SFDC Activation Rep'!Y:Y),"")</f>
        <v>45819</v>
      </c>
    </row>
    <row r="290">
      <c r="A290" s="17" t="s">
        <v>17</v>
      </c>
      <c r="B290" s="85">
        <v>45931.0</v>
      </c>
      <c r="C290" s="17">
        <v>3958943.0</v>
      </c>
      <c r="D290" s="85">
        <v>45839.0</v>
      </c>
      <c r="E290" s="17">
        <v>3.0</v>
      </c>
      <c r="F290" s="17">
        <v>2.0</v>
      </c>
      <c r="G290" s="17">
        <v>510.78</v>
      </c>
      <c r="H290" s="17"/>
      <c r="I290" s="17">
        <v>1.16</v>
      </c>
      <c r="J290" s="17"/>
      <c r="K290" s="17">
        <v>-0.6735</v>
      </c>
      <c r="L290" s="17">
        <v>-0.6786078</v>
      </c>
      <c r="M290" s="17">
        <v>0.00510779999999999</v>
      </c>
      <c r="N290" s="17"/>
      <c r="O290" s="14">
        <f t="shared" si="1"/>
        <v>-0.6735</v>
      </c>
      <c r="P290" s="86">
        <f t="array" ref="P290">iferror(XLOOKUP(C290,'Download of SFDC Activation Rep'!B:B,'Download of SFDC Activation Rep'!Z:Z),"")</f>
        <v>45839</v>
      </c>
      <c r="Q290" s="86">
        <f t="shared" si="2"/>
        <v>45839</v>
      </c>
      <c r="R290" s="13" t="str">
        <f t="shared" si="3"/>
        <v>Yes</v>
      </c>
      <c r="S290" s="86">
        <f t="array" ref="S290">iferror(XLOOKUP(C290,'Download of SFDC Activation Rep'!B:B,'Download of SFDC Activation Rep'!Y:Y),"")</f>
        <v>45862</v>
      </c>
    </row>
    <row r="291">
      <c r="A291" s="17" t="s">
        <v>17</v>
      </c>
      <c r="B291" s="85">
        <v>45383.0</v>
      </c>
      <c r="C291" s="17">
        <v>489723.0</v>
      </c>
      <c r="D291" s="85">
        <v>45200.0</v>
      </c>
      <c r="E291" s="17">
        <v>7.0</v>
      </c>
      <c r="F291" s="17">
        <v>7.0</v>
      </c>
      <c r="G291" s="17">
        <v>14225.2</v>
      </c>
      <c r="H291" s="17"/>
      <c r="I291" s="17">
        <v>0.0</v>
      </c>
      <c r="J291" s="17"/>
      <c r="K291" s="17">
        <v>-1.64</v>
      </c>
      <c r="L291" s="17">
        <v>-8.58195815809892</v>
      </c>
      <c r="M291" s="17">
        <v>6.94195815809892</v>
      </c>
      <c r="N291" s="17"/>
      <c r="O291" s="14">
        <f t="shared" si="1"/>
        <v>-1.64</v>
      </c>
      <c r="P291" s="86">
        <f t="array" ref="P291">iferror(XLOOKUP(C291,'Download of SFDC Activation Rep'!B:B,'Download of SFDC Activation Rep'!Z:Z),"")</f>
        <v>46112</v>
      </c>
      <c r="Q291" s="86">
        <f t="shared" si="2"/>
        <v>46082</v>
      </c>
      <c r="R291" s="13" t="str">
        <f t="shared" si="3"/>
        <v>No</v>
      </c>
      <c r="S291" s="86">
        <f t="array" ref="S291">iferror(XLOOKUP(C291,'Download of SFDC Activation Rep'!B:B,'Download of SFDC Activation Rep'!Y:Y),"")</f>
        <v>46204</v>
      </c>
    </row>
    <row r="292">
      <c r="A292" s="17" t="s">
        <v>17</v>
      </c>
      <c r="B292" s="85">
        <v>46113.0</v>
      </c>
      <c r="C292" s="17">
        <v>3514759.0</v>
      </c>
      <c r="D292" s="85">
        <v>45931.0</v>
      </c>
      <c r="E292" s="17">
        <v>3.0</v>
      </c>
      <c r="F292" s="17">
        <v>0.0</v>
      </c>
      <c r="G292" s="17">
        <v>333.79</v>
      </c>
      <c r="H292" s="17"/>
      <c r="I292" s="17">
        <v>9.68</v>
      </c>
      <c r="J292" s="17"/>
      <c r="K292" s="17">
        <v>2.302</v>
      </c>
      <c r="L292" s="17">
        <v>2.2986621</v>
      </c>
      <c r="M292" s="17">
        <v>0.0033379</v>
      </c>
      <c r="N292" s="17"/>
      <c r="O292" s="14">
        <f t="shared" si="1"/>
        <v>2.302</v>
      </c>
      <c r="P292" s="86">
        <f t="array" ref="P292">iferror(XLOOKUP(C292,'Download of SFDC Activation Rep'!B:B,'Download of SFDC Activation Rep'!Z:Z),"")</f>
        <v>45895</v>
      </c>
      <c r="Q292" s="86">
        <f t="shared" si="2"/>
        <v>45870</v>
      </c>
      <c r="R292" s="13" t="str">
        <f t="shared" si="3"/>
        <v>Yes</v>
      </c>
      <c r="S292" s="86">
        <f t="array" ref="S292">iferror(XLOOKUP(C292,'Download of SFDC Activation Rep'!B:B,'Download of SFDC Activation Rep'!Y:Y),"")</f>
        <v>45954</v>
      </c>
    </row>
    <row r="293">
      <c r="A293" s="17" t="s">
        <v>19</v>
      </c>
      <c r="B293" s="85">
        <v>45566.0</v>
      </c>
      <c r="C293" s="17">
        <v>2710123.0</v>
      </c>
      <c r="D293" s="85">
        <v>45292.0</v>
      </c>
      <c r="E293" s="17">
        <v>1.0</v>
      </c>
      <c r="F293" s="17">
        <v>0.0</v>
      </c>
      <c r="G293" s="17">
        <v>12844.25</v>
      </c>
      <c r="H293" s="17"/>
      <c r="I293" s="17">
        <v>372.48</v>
      </c>
      <c r="J293" s="17"/>
      <c r="K293" s="17">
        <v>26.012</v>
      </c>
      <c r="L293" s="17">
        <v>22.8054146510487</v>
      </c>
      <c r="M293" s="17">
        <v>3.2065853489513</v>
      </c>
      <c r="N293" s="17"/>
      <c r="O293" s="14">
        <f t="shared" si="1"/>
        <v>26.012</v>
      </c>
      <c r="P293" s="86">
        <f t="array" ref="P293">iferror(XLOOKUP(C293,'Download of SFDC Activation Rep'!B:B,'Download of SFDC Activation Rep'!Z:Z),"")</f>
        <v>45873</v>
      </c>
      <c r="Q293" s="86">
        <f t="shared" si="2"/>
        <v>45870</v>
      </c>
      <c r="R293" s="13" t="str">
        <f t="shared" si="3"/>
        <v>No</v>
      </c>
      <c r="S293" s="86">
        <f t="array" ref="S293">iferror(XLOOKUP(C293,'Download of SFDC Activation Rep'!B:B,'Download of SFDC Activation Rep'!Y:Y),"")</f>
        <v>45980</v>
      </c>
    </row>
    <row r="294">
      <c r="A294" s="17" t="s">
        <v>17</v>
      </c>
      <c r="B294" s="85">
        <v>46113.0</v>
      </c>
      <c r="C294" s="17">
        <v>4162423.0</v>
      </c>
      <c r="D294" s="85">
        <v>45962.0</v>
      </c>
      <c r="E294" s="17">
        <v>2.0</v>
      </c>
      <c r="F294" s="17">
        <v>1.0</v>
      </c>
      <c r="G294" s="17">
        <v>74.0</v>
      </c>
      <c r="H294" s="17"/>
      <c r="I294" s="17">
        <v>0.58</v>
      </c>
      <c r="J294" s="17"/>
      <c r="K294" s="17">
        <v>-0.95</v>
      </c>
      <c r="L294" s="17">
        <v>-0.95074</v>
      </c>
      <c r="M294" s="17">
        <v>7.39999999999962E-4</v>
      </c>
      <c r="N294" s="17"/>
      <c r="O294" s="14">
        <f t="shared" si="1"/>
        <v>-0.95</v>
      </c>
      <c r="P294" s="86">
        <f t="array" ref="P294">iferror(XLOOKUP(C294,'Download of SFDC Activation Rep'!B:B,'Download of SFDC Activation Rep'!Z:Z),"")</f>
        <v>45895</v>
      </c>
      <c r="Q294" s="86">
        <f t="shared" si="2"/>
        <v>45870</v>
      </c>
      <c r="R294" s="13" t="str">
        <f t="shared" si="3"/>
        <v>Yes</v>
      </c>
      <c r="S294" s="86">
        <f t="array" ref="S294">iferror(XLOOKUP(C294,'Download of SFDC Activation Rep'!B:B,'Download of SFDC Activation Rep'!Y:Y),"")</f>
        <v>45954</v>
      </c>
    </row>
    <row r="295">
      <c r="A295" s="17" t="s">
        <v>17</v>
      </c>
      <c r="B295" s="85">
        <v>46082.0</v>
      </c>
      <c r="C295" s="17">
        <v>3997416.0</v>
      </c>
      <c r="D295" s="85">
        <v>45839.0</v>
      </c>
      <c r="E295" s="17">
        <v>2.0</v>
      </c>
      <c r="F295" s="17">
        <v>0.0</v>
      </c>
      <c r="G295" s="17">
        <v>11850.0</v>
      </c>
      <c r="H295" s="17">
        <v>11850.0</v>
      </c>
      <c r="I295" s="17">
        <v>343.65</v>
      </c>
      <c r="J295" s="17"/>
      <c r="K295" s="17">
        <v>-0.1541</v>
      </c>
      <c r="L295" s="17">
        <v>-0.2726</v>
      </c>
      <c r="M295" s="17">
        <v>0.1185</v>
      </c>
      <c r="N295" s="17"/>
      <c r="O295" s="14">
        <f t="shared" si="1"/>
        <v>76.8709</v>
      </c>
      <c r="P295" s="86">
        <f t="array" ref="P295">iferror(XLOOKUP(C295,'Download of SFDC Activation Rep'!B:B,'Download of SFDC Activation Rep'!Z:Z),"")</f>
        <v>45876</v>
      </c>
      <c r="Q295" s="86">
        <f t="shared" si="2"/>
        <v>45870</v>
      </c>
      <c r="R295" s="13" t="str">
        <f t="shared" si="3"/>
        <v>Yes</v>
      </c>
      <c r="S295" s="86">
        <f t="array" ref="S295">iferror(XLOOKUP(C295,'Download of SFDC Activation Rep'!B:B,'Download of SFDC Activation Rep'!Y:Y),"")</f>
        <v>45849</v>
      </c>
    </row>
    <row r="296">
      <c r="A296" s="17" t="s">
        <v>17</v>
      </c>
      <c r="B296" s="85">
        <v>46054.0</v>
      </c>
      <c r="C296" s="17">
        <v>3942651.0</v>
      </c>
      <c r="D296" s="85">
        <v>45809.0</v>
      </c>
      <c r="E296" s="17">
        <v>12.0</v>
      </c>
      <c r="F296" s="17">
        <v>11.0</v>
      </c>
      <c r="G296" s="17">
        <v>6500.0</v>
      </c>
      <c r="H296" s="17">
        <v>350.0</v>
      </c>
      <c r="I296" s="17">
        <v>10.15</v>
      </c>
      <c r="J296" s="17"/>
      <c r="K296" s="17">
        <v>1.1598</v>
      </c>
      <c r="L296" s="17">
        <v>1.0948</v>
      </c>
      <c r="M296" s="17">
        <v>0.0649999999999997</v>
      </c>
      <c r="N296" s="17"/>
      <c r="O296" s="14">
        <f t="shared" si="1"/>
        <v>3.4348</v>
      </c>
      <c r="P296" s="86">
        <f t="array" ref="P296">iferror(XLOOKUP(C296,'Download of SFDC Activation Rep'!B:B,'Download of SFDC Activation Rep'!Z:Z),"")</f>
        <v>45809</v>
      </c>
      <c r="Q296" s="86">
        <f t="shared" si="2"/>
        <v>45809</v>
      </c>
      <c r="R296" s="13" t="str">
        <f t="shared" si="3"/>
        <v>Yes</v>
      </c>
      <c r="S296" s="86">
        <f t="array" ref="S296">iferror(XLOOKUP(C296,'Download of SFDC Activation Rep'!B:B,'Download of SFDC Activation Rep'!Y:Y),"")</f>
        <v>45819</v>
      </c>
    </row>
    <row r="297">
      <c r="A297" s="17" t="s">
        <v>17</v>
      </c>
      <c r="B297" s="85">
        <v>46174.0</v>
      </c>
      <c r="C297" s="17">
        <v>4520936.0</v>
      </c>
      <c r="D297" s="85">
        <v>46082.0</v>
      </c>
      <c r="E297" s="17">
        <v>1.0</v>
      </c>
      <c r="F297" s="17">
        <v>0.0</v>
      </c>
      <c r="G297" s="17">
        <v>34000.0</v>
      </c>
      <c r="H297" s="17">
        <v>34000.0</v>
      </c>
      <c r="I297" s="17">
        <v>986.0</v>
      </c>
      <c r="J297" s="17"/>
      <c r="K297" s="17">
        <v>119.0163</v>
      </c>
      <c r="L297" s="17">
        <v>100.9809048</v>
      </c>
      <c r="M297" s="17">
        <v>18.0353951999999</v>
      </c>
      <c r="N297" s="17"/>
      <c r="O297" s="14">
        <f t="shared" si="1"/>
        <v>119.0163</v>
      </c>
      <c r="P297" s="86">
        <f t="array" ref="P297">iferror(XLOOKUP(C297,'Download of SFDC Activation Rep'!B:B,'Download of SFDC Activation Rep'!Z:Z),"")</f>
        <v>46098</v>
      </c>
      <c r="Q297" s="86">
        <f t="shared" si="2"/>
        <v>46082</v>
      </c>
      <c r="R297" s="13" t="str">
        <f t="shared" si="3"/>
        <v>Yes</v>
      </c>
      <c r="S297" s="86">
        <f t="array" ref="S297">iferror(XLOOKUP(C297,'Download of SFDC Activation Rep'!B:B,'Download of SFDC Activation Rep'!Y:Y),"")</f>
        <v>46141</v>
      </c>
    </row>
    <row r="298">
      <c r="A298" s="17" t="s">
        <v>17</v>
      </c>
      <c r="B298" s="85">
        <v>45901.0</v>
      </c>
      <c r="C298" s="17">
        <v>4111269.0</v>
      </c>
      <c r="D298" s="85">
        <v>45901.0</v>
      </c>
      <c r="E298" s="17">
        <v>1.0</v>
      </c>
      <c r="F298" s="17">
        <v>1.0</v>
      </c>
      <c r="G298" s="17">
        <v>5580.0</v>
      </c>
      <c r="H298" s="17"/>
      <c r="I298" s="17">
        <v>20.0</v>
      </c>
      <c r="J298" s="17"/>
      <c r="K298" s="17">
        <v>11.5384</v>
      </c>
      <c r="L298" s="17">
        <v>10.664118084298</v>
      </c>
      <c r="M298" s="17">
        <v>0.874281915701999</v>
      </c>
      <c r="N298" s="17"/>
      <c r="O298" s="14">
        <f t="shared" si="1"/>
        <v>11.5384</v>
      </c>
      <c r="P298" s="86">
        <f t="array" ref="P298">iferror(XLOOKUP(C298,'Download of SFDC Activation Rep'!B:B,'Download of SFDC Activation Rep'!Z:Z),"")</f>
        <v>45924</v>
      </c>
      <c r="Q298" s="86">
        <f t="shared" si="2"/>
        <v>45901</v>
      </c>
      <c r="R298" s="13" t="str">
        <f t="shared" si="3"/>
        <v>Yes</v>
      </c>
      <c r="S298" s="86">
        <f t="array" ref="S298">iferror(XLOOKUP(C298,'Download of SFDC Activation Rep'!B:B,'Download of SFDC Activation Rep'!Y:Y),"")</f>
        <v>45918</v>
      </c>
    </row>
    <row r="299">
      <c r="A299" s="17" t="s">
        <v>17</v>
      </c>
      <c r="B299" s="85">
        <v>46082.0</v>
      </c>
      <c r="C299" s="17">
        <v>4213575.0</v>
      </c>
      <c r="D299" s="85">
        <v>45962.0</v>
      </c>
      <c r="E299" s="17">
        <v>1.0</v>
      </c>
      <c r="F299" s="17">
        <v>0.0</v>
      </c>
      <c r="G299" s="17">
        <v>2827.08</v>
      </c>
      <c r="H299" s="17"/>
      <c r="I299" s="17">
        <v>81.99</v>
      </c>
      <c r="J299" s="17"/>
      <c r="K299" s="17">
        <v>7.832</v>
      </c>
      <c r="L299" s="17">
        <v>6.332367498176</v>
      </c>
      <c r="M299" s="17">
        <v>1.499632501824</v>
      </c>
      <c r="N299" s="17"/>
      <c r="O299" s="14">
        <f t="shared" si="1"/>
        <v>7.832</v>
      </c>
      <c r="P299" s="86">
        <f t="array" ref="P299">iferror(XLOOKUP(C299,'Download of SFDC Activation Rep'!B:B,'Download of SFDC Activation Rep'!Z:Z),"")</f>
        <v>45965</v>
      </c>
      <c r="Q299" s="86">
        <f t="shared" si="2"/>
        <v>45962</v>
      </c>
      <c r="R299" s="13" t="str">
        <f t="shared" si="3"/>
        <v>Yes</v>
      </c>
      <c r="S299" s="86">
        <f t="array" ref="S299">iferror(XLOOKUP(C299,'Download of SFDC Activation Rep'!B:B,'Download of SFDC Activation Rep'!Y:Y),"")</f>
        <v>45966</v>
      </c>
    </row>
    <row r="300">
      <c r="A300" s="17" t="s">
        <v>17</v>
      </c>
      <c r="B300" s="85">
        <v>45901.0</v>
      </c>
      <c r="C300" s="17">
        <v>3956509.0</v>
      </c>
      <c r="D300" s="85">
        <v>45901.0</v>
      </c>
      <c r="E300" s="17">
        <v>1.0</v>
      </c>
      <c r="F300" s="17">
        <v>1.0</v>
      </c>
      <c r="G300" s="17">
        <v>1089.0</v>
      </c>
      <c r="H300" s="17"/>
      <c r="I300" s="17">
        <v>0.0</v>
      </c>
      <c r="J300" s="17"/>
      <c r="K300" s="17">
        <v>-0.15</v>
      </c>
      <c r="L300" s="17">
        <v>-0.3206259867741</v>
      </c>
      <c r="M300" s="17">
        <v>0.1706259867741</v>
      </c>
      <c r="N300" s="17"/>
      <c r="O300" s="14">
        <f t="shared" si="1"/>
        <v>-0.15</v>
      </c>
      <c r="P300" s="86">
        <f t="array" ref="P300">iferror(XLOOKUP(C300,'Download of SFDC Activation Rep'!B:B,'Download of SFDC Activation Rep'!Z:Z),"")</f>
        <v>45890</v>
      </c>
      <c r="Q300" s="86">
        <f t="shared" si="2"/>
        <v>45870</v>
      </c>
      <c r="R300" s="13" t="str">
        <f t="shared" si="3"/>
        <v>Yes</v>
      </c>
      <c r="S300" s="86">
        <f t="array" ref="S300">iferror(XLOOKUP(C300,'Download of SFDC Activation Rep'!B:B,'Download of SFDC Activation Rep'!Y:Y),"")</f>
        <v>46009</v>
      </c>
    </row>
    <row r="301">
      <c r="A301" s="17" t="s">
        <v>17</v>
      </c>
      <c r="B301" s="85">
        <v>46082.0</v>
      </c>
      <c r="C301" s="17">
        <v>4154266.0</v>
      </c>
      <c r="D301" s="85">
        <v>45931.0</v>
      </c>
      <c r="E301" s="17">
        <v>42.0</v>
      </c>
      <c r="F301" s="17">
        <v>16.0</v>
      </c>
      <c r="G301" s="17">
        <v>14038.23</v>
      </c>
      <c r="H301" s="17">
        <v>3818.02</v>
      </c>
      <c r="I301" s="17">
        <v>297.74</v>
      </c>
      <c r="J301" s="17"/>
      <c r="K301" s="17">
        <v>68.332</v>
      </c>
      <c r="L301" s="17">
        <v>68.1916177</v>
      </c>
      <c r="M301" s="17">
        <v>0.140382299999984</v>
      </c>
      <c r="N301" s="17"/>
      <c r="O301" s="14">
        <f t="shared" si="1"/>
        <v>93.14913</v>
      </c>
      <c r="P301" s="86">
        <f t="array" ref="P301">iferror(XLOOKUP(C301,'Download of SFDC Activation Rep'!B:B,'Download of SFDC Activation Rep'!Z:Z),"")</f>
        <v>45895</v>
      </c>
      <c r="Q301" s="86">
        <f t="shared" si="2"/>
        <v>45870</v>
      </c>
      <c r="R301" s="13" t="str">
        <f t="shared" si="3"/>
        <v>Yes</v>
      </c>
      <c r="S301" s="86">
        <f t="array" ref="S301">iferror(XLOOKUP(C301,'Download of SFDC Activation Rep'!B:B,'Download of SFDC Activation Rep'!Y:Y),"")</f>
        <v>45954</v>
      </c>
    </row>
    <row r="302">
      <c r="A302" s="17" t="s">
        <v>17</v>
      </c>
      <c r="B302" s="85">
        <v>46174.0</v>
      </c>
      <c r="C302" s="17">
        <v>3997416.0</v>
      </c>
      <c r="D302" s="85">
        <v>45839.0</v>
      </c>
      <c r="E302" s="17">
        <v>2.0</v>
      </c>
      <c r="F302" s="17">
        <v>0.0</v>
      </c>
      <c r="G302" s="17">
        <v>9200.0</v>
      </c>
      <c r="H302" s="17">
        <v>9200.0</v>
      </c>
      <c r="I302" s="17">
        <v>266.8</v>
      </c>
      <c r="J302" s="17"/>
      <c r="K302" s="17">
        <v>72.3766</v>
      </c>
      <c r="L302" s="17">
        <v>72.2846</v>
      </c>
      <c r="M302" s="17">
        <v>0.0920000000000129</v>
      </c>
      <c r="N302" s="17"/>
      <c r="O302" s="14">
        <f t="shared" si="1"/>
        <v>72.3766</v>
      </c>
      <c r="P302" s="86">
        <f t="array" ref="P302">iferror(XLOOKUP(C302,'Download of SFDC Activation Rep'!B:B,'Download of SFDC Activation Rep'!Z:Z),"")</f>
        <v>45876</v>
      </c>
      <c r="Q302" s="86">
        <f t="shared" si="2"/>
        <v>45870</v>
      </c>
      <c r="R302" s="13" t="str">
        <f t="shared" si="3"/>
        <v>Yes</v>
      </c>
      <c r="S302" s="86">
        <f t="array" ref="S302">iferror(XLOOKUP(C302,'Download of SFDC Activation Rep'!B:B,'Download of SFDC Activation Rep'!Y:Y),"")</f>
        <v>45849</v>
      </c>
    </row>
    <row r="303">
      <c r="A303" s="17" t="s">
        <v>17</v>
      </c>
      <c r="B303" s="85">
        <v>46023.0</v>
      </c>
      <c r="C303" s="17">
        <v>4161378.0</v>
      </c>
      <c r="D303" s="85">
        <v>45931.0</v>
      </c>
      <c r="E303" s="17">
        <v>1.0</v>
      </c>
      <c r="F303" s="17">
        <v>1.0</v>
      </c>
      <c r="G303" s="17">
        <v>500.0</v>
      </c>
      <c r="H303" s="17"/>
      <c r="I303" s="17">
        <v>10.0</v>
      </c>
      <c r="J303" s="17"/>
      <c r="K303" s="17">
        <v>0.5767</v>
      </c>
      <c r="L303" s="17">
        <v>0.1326342506</v>
      </c>
      <c r="M303" s="17">
        <v>0.4440657494</v>
      </c>
      <c r="N303" s="17"/>
      <c r="O303" s="14">
        <f t="shared" si="1"/>
        <v>0.5767</v>
      </c>
      <c r="P303" s="86">
        <f t="array" ref="P303">iferror(XLOOKUP(C303,'Download of SFDC Activation Rep'!B:B,'Download of SFDC Activation Rep'!Z:Z),"")</f>
        <v>45931</v>
      </c>
      <c r="Q303" s="86">
        <f t="shared" si="2"/>
        <v>45931</v>
      </c>
      <c r="R303" s="13" t="str">
        <f t="shared" si="3"/>
        <v>Yes</v>
      </c>
      <c r="S303" s="86">
        <f t="array" ref="S303">iferror(XLOOKUP(C303,'Download of SFDC Activation Rep'!B:B,'Download of SFDC Activation Rep'!Y:Y),"")</f>
        <v>45958</v>
      </c>
    </row>
    <row r="304">
      <c r="A304" s="17" t="s">
        <v>17</v>
      </c>
      <c r="B304" s="85">
        <v>46174.0</v>
      </c>
      <c r="C304" s="17">
        <v>4268726.0</v>
      </c>
      <c r="D304" s="85">
        <v>45992.0</v>
      </c>
      <c r="E304" s="17">
        <v>8.0</v>
      </c>
      <c r="F304" s="17">
        <v>3.0</v>
      </c>
      <c r="G304" s="17">
        <v>12405.6</v>
      </c>
      <c r="H304" s="17"/>
      <c r="I304" s="17">
        <v>310.15</v>
      </c>
      <c r="J304" s="17"/>
      <c r="K304" s="17">
        <v>42.2923</v>
      </c>
      <c r="L304" s="17">
        <v>42.168244</v>
      </c>
      <c r="M304" s="17">
        <v>0.124055999999988</v>
      </c>
      <c r="N304" s="17"/>
      <c r="O304" s="14">
        <f t="shared" si="1"/>
        <v>42.2923</v>
      </c>
      <c r="P304" s="86">
        <f t="array" ref="P304">iferror(XLOOKUP(C304,'Download of SFDC Activation Rep'!B:B,'Download of SFDC Activation Rep'!Z:Z),"")</f>
        <v>45992</v>
      </c>
      <c r="Q304" s="86">
        <f t="shared" si="2"/>
        <v>45992</v>
      </c>
      <c r="R304" s="13" t="str">
        <f t="shared" si="3"/>
        <v>Yes</v>
      </c>
      <c r="S304" s="86">
        <f t="array" ref="S304">iferror(XLOOKUP(C304,'Download of SFDC Activation Rep'!B:B,'Download of SFDC Activation Rep'!Y:Y),"")</f>
        <v>46000</v>
      </c>
    </row>
    <row r="305">
      <c r="A305" s="17" t="s">
        <v>17</v>
      </c>
      <c r="B305" s="85">
        <v>46054.0</v>
      </c>
      <c r="C305" s="17">
        <v>3221188.0</v>
      </c>
      <c r="D305" s="85">
        <v>45323.0</v>
      </c>
      <c r="E305" s="17">
        <v>1.0</v>
      </c>
      <c r="F305" s="17">
        <v>0.0</v>
      </c>
      <c r="G305" s="17">
        <v>1000.0</v>
      </c>
      <c r="H305" s="17">
        <v>1000.0</v>
      </c>
      <c r="I305" s="17">
        <v>29.0</v>
      </c>
      <c r="J305" s="17"/>
      <c r="K305" s="17">
        <v>0.5168</v>
      </c>
      <c r="L305" s="17">
        <v>0.5068</v>
      </c>
      <c r="M305" s="17">
        <v>0.01</v>
      </c>
      <c r="N305" s="17"/>
      <c r="O305" s="14">
        <f t="shared" si="1"/>
        <v>7.0168</v>
      </c>
      <c r="P305" s="86">
        <f t="array" ref="P305">iferror(XLOOKUP(C305,'Download of SFDC Activation Rep'!B:B,'Download of SFDC Activation Rep'!Z:Z),"")</f>
        <v>46000</v>
      </c>
      <c r="Q305" s="86">
        <f t="shared" si="2"/>
        <v>45992</v>
      </c>
      <c r="R305" s="13" t="str">
        <f t="shared" si="3"/>
        <v>Yes</v>
      </c>
      <c r="S305" s="86">
        <f t="array" ref="S305">iferror(XLOOKUP(C305,'Download of SFDC Activation Rep'!B:B,'Download of SFDC Activation Rep'!Y:Y),"")</f>
        <v>46021</v>
      </c>
    </row>
    <row r="306">
      <c r="A306" s="17" t="s">
        <v>17</v>
      </c>
      <c r="B306" s="85">
        <v>45931.0</v>
      </c>
      <c r="C306" s="17">
        <v>3987123.0</v>
      </c>
      <c r="D306" s="85">
        <v>45839.0</v>
      </c>
      <c r="E306" s="17">
        <v>1.0</v>
      </c>
      <c r="F306" s="17">
        <v>1.0</v>
      </c>
      <c r="G306" s="17">
        <v>5871.22</v>
      </c>
      <c r="H306" s="17"/>
      <c r="I306" s="17">
        <v>0.0</v>
      </c>
      <c r="J306" s="17"/>
      <c r="K306" s="17">
        <v>-0.06</v>
      </c>
      <c r="L306" s="17">
        <v>-0.1187122</v>
      </c>
      <c r="M306" s="17">
        <v>0.0587122</v>
      </c>
      <c r="N306" s="17"/>
      <c r="O306" s="14">
        <f t="shared" si="1"/>
        <v>-0.06</v>
      </c>
      <c r="P306" s="86">
        <f t="array" ref="P306">iferror(XLOOKUP(C306,'Download of SFDC Activation Rep'!B:B,'Download of SFDC Activation Rep'!Z:Z),"")</f>
        <v>45839</v>
      </c>
      <c r="Q306" s="86">
        <f t="shared" si="2"/>
        <v>45839</v>
      </c>
      <c r="R306" s="13" t="str">
        <f t="shared" si="3"/>
        <v>Yes</v>
      </c>
      <c r="S306" s="86">
        <f t="array" ref="S306">iferror(XLOOKUP(C306,'Download of SFDC Activation Rep'!B:B,'Download of SFDC Activation Rep'!Y:Y),"")</f>
        <v>45839</v>
      </c>
    </row>
    <row r="307">
      <c r="A307" s="17" t="s">
        <v>17</v>
      </c>
      <c r="B307" s="85">
        <v>45839.0</v>
      </c>
      <c r="C307" s="17">
        <v>2967694.0</v>
      </c>
      <c r="D307" s="85">
        <v>45292.0</v>
      </c>
      <c r="E307" s="17">
        <v>3.0</v>
      </c>
      <c r="F307" s="17">
        <v>0.0</v>
      </c>
      <c r="G307" s="17">
        <v>35586.55</v>
      </c>
      <c r="H307" s="17">
        <v>35586.55</v>
      </c>
      <c r="I307" s="17">
        <v>1032.02</v>
      </c>
      <c r="J307" s="17"/>
      <c r="K307" s="17">
        <v>130.2142</v>
      </c>
      <c r="L307" s="17">
        <v>111.337213810535</v>
      </c>
      <c r="M307" s="17">
        <v>18.8769861894644</v>
      </c>
      <c r="N307" s="17"/>
      <c r="O307" s="14">
        <f t="shared" si="1"/>
        <v>130.2142</v>
      </c>
      <c r="P307" s="86">
        <f t="array" ref="P307">iferror(XLOOKUP(C307,'Download of SFDC Activation Rep'!B:B,'Download of SFDC Activation Rep'!Z:Z),"")</f>
        <v>45924</v>
      </c>
      <c r="Q307" s="86">
        <f t="shared" si="2"/>
        <v>45901</v>
      </c>
      <c r="R307" s="13" t="str">
        <f t="shared" si="3"/>
        <v>No</v>
      </c>
      <c r="S307" s="86">
        <f t="array" ref="S307">iferror(XLOOKUP(C307,'Download of SFDC Activation Rep'!B:B,'Download of SFDC Activation Rep'!Y:Y),"")</f>
        <v>46055</v>
      </c>
    </row>
    <row r="308">
      <c r="A308" s="17" t="s">
        <v>489</v>
      </c>
      <c r="B308" s="85">
        <v>46174.0</v>
      </c>
      <c r="C308" s="17">
        <v>4220233.0</v>
      </c>
      <c r="D308" s="85">
        <v>45992.0</v>
      </c>
      <c r="E308" s="17">
        <v>15.0</v>
      </c>
      <c r="F308" s="17">
        <v>15.0</v>
      </c>
      <c r="G308" s="17">
        <v>198287.8</v>
      </c>
      <c r="H308" s="17"/>
      <c r="I308" s="17">
        <v>189.4785</v>
      </c>
      <c r="J308" s="17"/>
      <c r="K308" s="17">
        <v>186.608999999999</v>
      </c>
      <c r="L308" s="17">
        <v>105.60260916736</v>
      </c>
      <c r="M308" s="17">
        <v>81.0063908326399</v>
      </c>
      <c r="N308" s="17">
        <v>76.0</v>
      </c>
      <c r="O308" s="14">
        <f t="shared" si="1"/>
        <v>262.609</v>
      </c>
      <c r="P308" s="86">
        <f t="array" ref="P308">iferror(XLOOKUP(C308,'Download of SFDC Activation Rep'!B:B,'Download of SFDC Activation Rep'!Z:Z),"")</f>
        <v>45960</v>
      </c>
      <c r="Q308" s="86">
        <f t="shared" si="2"/>
        <v>45931</v>
      </c>
      <c r="R308" s="13" t="str">
        <f t="shared" si="3"/>
        <v>Yes</v>
      </c>
      <c r="S308" s="86">
        <f t="array" ref="S308">iferror(XLOOKUP(C308,'Download of SFDC Activation Rep'!B:B,'Download of SFDC Activation Rep'!Y:Y),"")</f>
        <v>46006</v>
      </c>
    </row>
    <row r="309">
      <c r="A309" s="17" t="s">
        <v>489</v>
      </c>
      <c r="B309" s="85">
        <v>45992.0</v>
      </c>
      <c r="C309" s="17">
        <v>4099073.0</v>
      </c>
      <c r="D309" s="85">
        <v>45931.0</v>
      </c>
      <c r="E309" s="17">
        <v>12.0</v>
      </c>
      <c r="F309" s="17">
        <v>12.0</v>
      </c>
      <c r="G309" s="17">
        <v>117677.25</v>
      </c>
      <c r="H309" s="17"/>
      <c r="I309" s="17">
        <v>0.0</v>
      </c>
      <c r="J309" s="17"/>
      <c r="K309" s="17">
        <v>-1.7772</v>
      </c>
      <c r="L309" s="17">
        <v>-20.215030029488</v>
      </c>
      <c r="M309" s="17">
        <v>18.437830029488</v>
      </c>
      <c r="N309" s="17">
        <v>80.0</v>
      </c>
      <c r="O309" s="14">
        <f t="shared" si="1"/>
        <v>78.2228</v>
      </c>
      <c r="P309" s="86">
        <f t="array" ref="P309">iferror(XLOOKUP(C309,'Download of SFDC Activation Rep'!B:B,'Download of SFDC Activation Rep'!Z:Z),"")</f>
        <v>45870</v>
      </c>
      <c r="Q309" s="86">
        <f t="shared" si="2"/>
        <v>45870</v>
      </c>
      <c r="R309" s="13" t="str">
        <f t="shared" si="3"/>
        <v>Yes</v>
      </c>
      <c r="S309" s="86">
        <f t="array" ref="S309">iferror(XLOOKUP(C309,'Download of SFDC Activation Rep'!B:B,'Download of SFDC Activation Rep'!Y:Y),"")</f>
        <v>45999</v>
      </c>
    </row>
    <row r="310">
      <c r="A310" s="17" t="s">
        <v>19</v>
      </c>
      <c r="B310" s="85">
        <v>46082.0</v>
      </c>
      <c r="C310" s="17">
        <v>1938612.0</v>
      </c>
      <c r="D310" s="85">
        <v>45962.0</v>
      </c>
      <c r="E310" s="17">
        <v>18.0</v>
      </c>
      <c r="F310" s="17">
        <v>18.0</v>
      </c>
      <c r="G310" s="17">
        <v>101298.1</v>
      </c>
      <c r="H310" s="17"/>
      <c r="I310" s="17">
        <v>94.74</v>
      </c>
      <c r="J310" s="17"/>
      <c r="K310" s="17">
        <v>91.2177</v>
      </c>
      <c r="L310" s="17">
        <v>71.82497862887</v>
      </c>
      <c r="M310" s="17">
        <v>19.39272137113</v>
      </c>
      <c r="N310" s="17">
        <v>68.0</v>
      </c>
      <c r="O310" s="14">
        <f t="shared" si="1"/>
        <v>159.2177</v>
      </c>
      <c r="P310" s="86">
        <f t="array" ref="P310">iferror(XLOOKUP(C310,'Download of SFDC Activation Rep'!B:B,'Download of SFDC Activation Rep'!Z:Z),"")</f>
        <v>45904</v>
      </c>
      <c r="Q310" s="86">
        <f t="shared" si="2"/>
        <v>45901</v>
      </c>
      <c r="R310" s="13" t="str">
        <f t="shared" si="3"/>
        <v>Yes</v>
      </c>
      <c r="S310" s="86">
        <f t="array" ref="S310">iferror(XLOOKUP(C310,'Download of SFDC Activation Rep'!B:B,'Download of SFDC Activation Rep'!Y:Y),"")</f>
        <v>45966</v>
      </c>
    </row>
    <row r="311">
      <c r="A311" s="17" t="s">
        <v>488</v>
      </c>
      <c r="B311" s="85">
        <v>46054.0</v>
      </c>
      <c r="C311" s="17">
        <v>4136952.0</v>
      </c>
      <c r="D311" s="85">
        <v>45931.0</v>
      </c>
      <c r="E311" s="17">
        <v>7.0</v>
      </c>
      <c r="F311" s="17">
        <v>7.0</v>
      </c>
      <c r="G311" s="17">
        <v>12619.21</v>
      </c>
      <c r="H311" s="17"/>
      <c r="I311" s="17">
        <v>10.0</v>
      </c>
      <c r="J311" s="17"/>
      <c r="K311" s="17">
        <v>8.9096</v>
      </c>
      <c r="L311" s="17">
        <v>6.272545372227</v>
      </c>
      <c r="M311" s="17">
        <v>2.637054627773</v>
      </c>
      <c r="N311" s="17">
        <v>35.0</v>
      </c>
      <c r="O311" s="14">
        <f t="shared" si="1"/>
        <v>43.9096</v>
      </c>
      <c r="P311" s="86">
        <f t="array" ref="P311">iferror(XLOOKUP(C311,'Download of SFDC Activation Rep'!B:B,'Download of SFDC Activation Rep'!Z:Z),"")</f>
        <v>45930</v>
      </c>
      <c r="Q311" s="86">
        <f t="shared" si="2"/>
        <v>45901</v>
      </c>
      <c r="R311" s="13" t="str">
        <f t="shared" si="3"/>
        <v>Yes</v>
      </c>
      <c r="S311" s="86">
        <f t="array" ref="S311">iferror(XLOOKUP(C311,'Download of SFDC Activation Rep'!B:B,'Download of SFDC Activation Rep'!Y:Y),"")</f>
        <v>45938</v>
      </c>
    </row>
    <row r="312">
      <c r="A312" s="17" t="s">
        <v>19</v>
      </c>
      <c r="B312" s="85">
        <v>46174.0</v>
      </c>
      <c r="C312" s="17">
        <v>4646113.0</v>
      </c>
      <c r="D312" s="85">
        <v>46143.0</v>
      </c>
      <c r="E312" s="17">
        <v>8.0</v>
      </c>
      <c r="F312" s="17">
        <v>8.0</v>
      </c>
      <c r="G312" s="17">
        <v>23562.45</v>
      </c>
      <c r="H312" s="17"/>
      <c r="I312" s="17">
        <v>27.5</v>
      </c>
      <c r="J312" s="17"/>
      <c r="K312" s="17">
        <v>26.1576</v>
      </c>
      <c r="L312" s="17">
        <v>20.651188602815</v>
      </c>
      <c r="M312" s="17">
        <v>5.50641139718499</v>
      </c>
      <c r="N312" s="17">
        <v>68.0</v>
      </c>
      <c r="O312" s="14">
        <f t="shared" si="1"/>
        <v>94.1576</v>
      </c>
      <c r="P312" s="86">
        <f t="array" ref="P312">iferror(XLOOKUP(C312,'Download of SFDC Activation Rep'!B:B,'Download of SFDC Activation Rep'!Z:Z),"")</f>
        <v>46099</v>
      </c>
      <c r="Q312" s="86">
        <f t="shared" si="2"/>
        <v>46082</v>
      </c>
      <c r="R312" s="13" t="str">
        <f t="shared" si="3"/>
        <v>Yes</v>
      </c>
      <c r="S312" s="86">
        <f t="array" ref="S312">iferror(XLOOKUP(C312,'Download of SFDC Activation Rep'!B:B,'Download of SFDC Activation Rep'!Y:Y),"")</f>
        <v>46258</v>
      </c>
    </row>
    <row r="313">
      <c r="A313" s="17" t="s">
        <v>488</v>
      </c>
      <c r="B313" s="85">
        <v>45901.0</v>
      </c>
      <c r="C313" s="17">
        <v>3785914.0</v>
      </c>
      <c r="D313" s="85">
        <v>45778.0</v>
      </c>
      <c r="E313" s="17">
        <v>14.0</v>
      </c>
      <c r="F313" s="17">
        <v>11.0</v>
      </c>
      <c r="G313" s="17">
        <v>42809.0</v>
      </c>
      <c r="H313" s="17">
        <v>19982.0</v>
      </c>
      <c r="I313" s="17">
        <v>718.31</v>
      </c>
      <c r="J313" s="17"/>
      <c r="K313" s="17">
        <v>115.7321</v>
      </c>
      <c r="L313" s="17">
        <v>112.669088974155</v>
      </c>
      <c r="M313" s="17">
        <v>3.06301102584474</v>
      </c>
      <c r="N313" s="17">
        <v>25.0</v>
      </c>
      <c r="O313" s="14">
        <f t="shared" si="1"/>
        <v>140.7321</v>
      </c>
      <c r="P313" s="86">
        <f t="array" ref="P313">iferror(XLOOKUP(C313,'Download of SFDC Activation Rep'!B:B,'Download of SFDC Activation Rep'!Z:Z),"")</f>
        <v>45806</v>
      </c>
      <c r="Q313" s="86">
        <f t="shared" si="2"/>
        <v>45778</v>
      </c>
      <c r="R313" s="13" t="str">
        <f t="shared" si="3"/>
        <v>Yes</v>
      </c>
      <c r="S313" s="86">
        <f t="array" ref="S313">iferror(XLOOKUP(C313,'Download of SFDC Activation Rep'!B:B,'Download of SFDC Activation Rep'!Y:Y),"")</f>
        <v>45806</v>
      </c>
    </row>
    <row r="314">
      <c r="A314" s="17" t="s">
        <v>489</v>
      </c>
      <c r="B314" s="85">
        <v>46143.0</v>
      </c>
      <c r="C314" s="17">
        <v>4220233.0</v>
      </c>
      <c r="D314" s="85">
        <v>45992.0</v>
      </c>
      <c r="E314" s="17">
        <v>10.0</v>
      </c>
      <c r="F314" s="17">
        <v>10.0</v>
      </c>
      <c r="G314" s="17">
        <v>343421.68</v>
      </c>
      <c r="H314" s="17"/>
      <c r="I314" s="17">
        <v>140.0</v>
      </c>
      <c r="J314" s="17"/>
      <c r="K314" s="17">
        <v>128.7683</v>
      </c>
      <c r="L314" s="17">
        <v>67.042219929416</v>
      </c>
      <c r="M314" s="17">
        <v>61.726080070584</v>
      </c>
      <c r="N314" s="17">
        <v>76.0</v>
      </c>
      <c r="O314" s="14">
        <f t="shared" si="1"/>
        <v>204.7683</v>
      </c>
      <c r="P314" s="86">
        <f t="array" ref="P314">iferror(XLOOKUP(C314,'Download of SFDC Activation Rep'!B:B,'Download of SFDC Activation Rep'!Z:Z),"")</f>
        <v>45960</v>
      </c>
      <c r="Q314" s="86">
        <f t="shared" si="2"/>
        <v>45931</v>
      </c>
      <c r="R314" s="13" t="str">
        <f t="shared" si="3"/>
        <v>Yes</v>
      </c>
      <c r="S314" s="86">
        <f t="array" ref="S314">iferror(XLOOKUP(C314,'Download of SFDC Activation Rep'!B:B,'Download of SFDC Activation Rep'!Y:Y),"")</f>
        <v>46006</v>
      </c>
    </row>
    <row r="315">
      <c r="A315" s="17" t="s">
        <v>489</v>
      </c>
      <c r="B315" s="85">
        <v>46143.0</v>
      </c>
      <c r="C315" s="17">
        <v>4339749.0</v>
      </c>
      <c r="D315" s="85">
        <v>46023.0</v>
      </c>
      <c r="E315" s="17">
        <v>8.0</v>
      </c>
      <c r="F315" s="17">
        <v>0.0</v>
      </c>
      <c r="G315" s="17">
        <v>15969.25</v>
      </c>
      <c r="H315" s="17"/>
      <c r="I315" s="17">
        <v>463.11</v>
      </c>
      <c r="J315" s="17"/>
      <c r="K315" s="17">
        <v>11.5221</v>
      </c>
      <c r="L315" s="17">
        <v>3.0511666236</v>
      </c>
      <c r="M315" s="17">
        <v>8.4709333764</v>
      </c>
      <c r="N315" s="17">
        <v>65.0</v>
      </c>
      <c r="O315" s="14">
        <f t="shared" si="1"/>
        <v>76.5221</v>
      </c>
      <c r="P315" s="86">
        <f t="array" ref="P315">iferror(XLOOKUP(C315,'Download of SFDC Activation Rep'!B:B,'Download of SFDC Activation Rep'!Z:Z),"")</f>
        <v>46037</v>
      </c>
      <c r="Q315" s="86">
        <f t="shared" si="2"/>
        <v>46023</v>
      </c>
      <c r="R315" s="13" t="str">
        <f t="shared" si="3"/>
        <v>Yes</v>
      </c>
      <c r="S315" s="86">
        <f t="array" ref="S315">iferror(XLOOKUP(C315,'Download of SFDC Activation Rep'!B:B,'Download of SFDC Activation Rep'!Y:Y),"")</f>
        <v>46057</v>
      </c>
    </row>
    <row r="316">
      <c r="A316" s="17" t="s">
        <v>488</v>
      </c>
      <c r="B316" s="85">
        <v>46174.0</v>
      </c>
      <c r="C316" s="17">
        <v>3952865.0</v>
      </c>
      <c r="D316" s="85">
        <v>45809.0</v>
      </c>
      <c r="E316" s="17">
        <v>6.0</v>
      </c>
      <c r="F316" s="17">
        <v>6.0</v>
      </c>
      <c r="G316" s="17">
        <v>21062.06</v>
      </c>
      <c r="H316" s="17"/>
      <c r="I316" s="17">
        <v>0.0</v>
      </c>
      <c r="J316" s="17"/>
      <c r="K316" s="17">
        <v>-1.1005</v>
      </c>
      <c r="L316" s="17">
        <v>-4.40053094147799</v>
      </c>
      <c r="M316" s="17">
        <v>3.30003094147799</v>
      </c>
      <c r="N316" s="17">
        <v>35.0</v>
      </c>
      <c r="O316" s="14">
        <f t="shared" si="1"/>
        <v>33.8995</v>
      </c>
      <c r="P316" s="86">
        <f t="array" ref="P316">iferror(XLOOKUP(C316,'Download of SFDC Activation Rep'!B:B,'Download of SFDC Activation Rep'!Z:Z),"")</f>
        <v>45799</v>
      </c>
      <c r="Q316" s="86">
        <f t="shared" si="2"/>
        <v>45778</v>
      </c>
      <c r="R316" s="13" t="str">
        <f t="shared" si="3"/>
        <v>Yes</v>
      </c>
      <c r="S316" s="86">
        <f t="array" ref="S316">iferror(XLOOKUP(C316,'Download of SFDC Activation Rep'!B:B,'Download of SFDC Activation Rep'!Y:Y),"")</f>
        <v>45818</v>
      </c>
    </row>
    <row r="317">
      <c r="A317" s="17" t="s">
        <v>1487</v>
      </c>
      <c r="B317" s="85">
        <v>45809.0</v>
      </c>
      <c r="C317" s="17">
        <v>3935770.0</v>
      </c>
      <c r="D317" s="85">
        <v>45778.0</v>
      </c>
      <c r="E317" s="17">
        <v>9.0</v>
      </c>
      <c r="F317" s="17">
        <v>8.0</v>
      </c>
      <c r="G317" s="17">
        <v>45084.13</v>
      </c>
      <c r="H317" s="17">
        <v>1709.33</v>
      </c>
      <c r="I317" s="17">
        <v>52.402</v>
      </c>
      <c r="J317" s="17"/>
      <c r="K317" s="17">
        <v>5.9889</v>
      </c>
      <c r="L317" s="17">
        <v>1.78455050624857</v>
      </c>
      <c r="M317" s="17">
        <v>4.20434949375142</v>
      </c>
      <c r="N317" s="17">
        <v>0.0</v>
      </c>
      <c r="O317" s="14">
        <f t="shared" si="1"/>
        <v>5.9889</v>
      </c>
      <c r="P317" s="86">
        <f t="array" ref="P317">iferror(XLOOKUP(C317,'Download of SFDC Activation Rep'!B:B,'Download of SFDC Activation Rep'!Z:Z),"")</f>
        <v>45797</v>
      </c>
      <c r="Q317" s="86">
        <f t="shared" si="2"/>
        <v>45778</v>
      </c>
      <c r="R317" s="13" t="str">
        <f t="shared" si="3"/>
        <v>Yes</v>
      </c>
      <c r="S317" s="86">
        <f t="array" ref="S317">iferror(XLOOKUP(C317,'Download of SFDC Activation Rep'!B:B,'Download of SFDC Activation Rep'!Y:Y),"")</f>
        <v>45797</v>
      </c>
    </row>
    <row r="318">
      <c r="A318" s="17" t="s">
        <v>489</v>
      </c>
      <c r="B318" s="85">
        <v>46054.0</v>
      </c>
      <c r="C318" s="17">
        <v>4339749.0</v>
      </c>
      <c r="D318" s="85">
        <v>46023.0</v>
      </c>
      <c r="E318" s="17">
        <v>18.0</v>
      </c>
      <c r="F318" s="17">
        <v>0.0</v>
      </c>
      <c r="G318" s="17">
        <v>32951.51</v>
      </c>
      <c r="H318" s="17"/>
      <c r="I318" s="17">
        <v>977.03</v>
      </c>
      <c r="J318" s="17"/>
      <c r="K318" s="17">
        <v>887.25</v>
      </c>
      <c r="L318" s="17">
        <v>858.039974527167</v>
      </c>
      <c r="M318" s="17">
        <v>29.2100254728329</v>
      </c>
      <c r="N318" s="17">
        <v>65.0</v>
      </c>
      <c r="O318" s="14">
        <f t="shared" si="1"/>
        <v>952.25</v>
      </c>
      <c r="P318" s="86">
        <f t="array" ref="P318">iferror(XLOOKUP(C318,'Download of SFDC Activation Rep'!B:B,'Download of SFDC Activation Rep'!Z:Z),"")</f>
        <v>46037</v>
      </c>
      <c r="Q318" s="86">
        <f t="shared" si="2"/>
        <v>46023</v>
      </c>
      <c r="R318" s="13" t="str">
        <f t="shared" si="3"/>
        <v>Yes</v>
      </c>
      <c r="S318" s="86">
        <f t="array" ref="S318">iferror(XLOOKUP(C318,'Download of SFDC Activation Rep'!B:B,'Download of SFDC Activation Rep'!Y:Y),"")</f>
        <v>46057</v>
      </c>
    </row>
    <row r="319">
      <c r="A319" s="17" t="s">
        <v>488</v>
      </c>
      <c r="B319" s="85">
        <v>46023.0</v>
      </c>
      <c r="C319" s="17">
        <v>3959338.0</v>
      </c>
      <c r="D319" s="85">
        <v>45839.0</v>
      </c>
      <c r="E319" s="17">
        <v>57.0</v>
      </c>
      <c r="F319" s="17">
        <v>57.0</v>
      </c>
      <c r="G319" s="17">
        <v>72529.0</v>
      </c>
      <c r="H319" s="17"/>
      <c r="I319" s="17">
        <v>246.94</v>
      </c>
      <c r="J319" s="17">
        <v>7.5</v>
      </c>
      <c r="K319" s="17">
        <v>229.575199999999</v>
      </c>
      <c r="L319" s="17">
        <v>182.462925777967</v>
      </c>
      <c r="M319" s="17">
        <v>47.1122742220325</v>
      </c>
      <c r="N319" s="17">
        <v>25.0</v>
      </c>
      <c r="O319" s="14">
        <f t="shared" si="1"/>
        <v>254.5752</v>
      </c>
      <c r="P319" s="86">
        <f t="array" ref="P319">iferror(XLOOKUP(C319,'Download of SFDC Activation Rep'!B:B,'Download of SFDC Activation Rep'!Z:Z),"")</f>
        <v>45839</v>
      </c>
      <c r="Q319" s="86">
        <f t="shared" si="2"/>
        <v>45839</v>
      </c>
      <c r="R319" s="13" t="str">
        <f t="shared" si="3"/>
        <v>Yes</v>
      </c>
      <c r="S319" s="86">
        <f t="array" ref="S319">iferror(XLOOKUP(C319,'Download of SFDC Activation Rep'!B:B,'Download of SFDC Activation Rep'!Y:Y),"")</f>
        <v>45841</v>
      </c>
    </row>
    <row r="320">
      <c r="A320" s="17" t="s">
        <v>19</v>
      </c>
      <c r="B320" s="85">
        <v>45931.0</v>
      </c>
      <c r="C320" s="17">
        <v>3947424.0</v>
      </c>
      <c r="D320" s="85">
        <v>45809.0</v>
      </c>
      <c r="E320" s="17">
        <v>77.0</v>
      </c>
      <c r="F320" s="17">
        <v>77.0</v>
      </c>
      <c r="G320" s="17">
        <v>193926.02</v>
      </c>
      <c r="H320" s="17"/>
      <c r="I320" s="17">
        <v>88.630405</v>
      </c>
      <c r="J320" s="17">
        <v>11.5</v>
      </c>
      <c r="K320" s="17">
        <v>79.9704</v>
      </c>
      <c r="L320" s="17">
        <v>49.5858099874436</v>
      </c>
      <c r="M320" s="17">
        <v>30.3845900125563</v>
      </c>
      <c r="N320" s="17">
        <v>55.0</v>
      </c>
      <c r="O320" s="14">
        <f t="shared" si="1"/>
        <v>134.9704</v>
      </c>
      <c r="P320" s="86">
        <f t="array" ref="P320">iferror(XLOOKUP(C320,'Download of SFDC Activation Rep'!B:B,'Download of SFDC Activation Rep'!Z:Z),"")</f>
        <v>45805</v>
      </c>
      <c r="Q320" s="86">
        <f t="shared" si="2"/>
        <v>45778</v>
      </c>
      <c r="R320" s="13" t="str">
        <f t="shared" si="3"/>
        <v>Yes</v>
      </c>
      <c r="S320" s="86">
        <f t="array" ref="S320">iferror(XLOOKUP(C320,'Download of SFDC Activation Rep'!B:B,'Download of SFDC Activation Rep'!Y:Y),"")</f>
        <v>45805</v>
      </c>
    </row>
    <row r="321">
      <c r="A321" s="17" t="s">
        <v>489</v>
      </c>
      <c r="B321" s="85">
        <v>46113.0</v>
      </c>
      <c r="C321" s="17">
        <v>2153287.0</v>
      </c>
      <c r="D321" s="85">
        <v>44805.0</v>
      </c>
      <c r="E321" s="17">
        <v>73.0</v>
      </c>
      <c r="F321" s="17">
        <v>46.0</v>
      </c>
      <c r="G321" s="17">
        <v>161726.01</v>
      </c>
      <c r="H321" s="17">
        <v>68392.02</v>
      </c>
      <c r="I321" s="17">
        <v>2071.2</v>
      </c>
      <c r="J321" s="17"/>
      <c r="K321" s="17">
        <v>-92.3951999999999</v>
      </c>
      <c r="L321" s="17">
        <v>-94.0124600999999</v>
      </c>
      <c r="M321" s="17">
        <v>1.61726009999999</v>
      </c>
      <c r="N321" s="17">
        <v>55.0</v>
      </c>
      <c r="O321" s="14">
        <f t="shared" si="1"/>
        <v>407.15293</v>
      </c>
      <c r="P321" s="86">
        <f t="array" ref="P321">iferror(XLOOKUP(C321,'Download of SFDC Activation Rep'!B:B,'Download of SFDC Activation Rep'!Z:Z),"")</f>
        <v>46007</v>
      </c>
      <c r="Q321" s="86">
        <f t="shared" si="2"/>
        <v>45992</v>
      </c>
      <c r="R321" s="13" t="str">
        <f t="shared" si="3"/>
        <v>Yes</v>
      </c>
      <c r="S321" s="86">
        <f t="array" ref="S321">iferror(XLOOKUP(C321,'Download of SFDC Activation Rep'!B:B,'Download of SFDC Activation Rep'!Y:Y),"")</f>
        <v>46021</v>
      </c>
    </row>
    <row r="322">
      <c r="A322" s="17" t="s">
        <v>17</v>
      </c>
      <c r="B322" s="85">
        <v>46174.0</v>
      </c>
      <c r="C322" s="17">
        <v>4643465.0</v>
      </c>
      <c r="D322" s="85">
        <v>46143.0</v>
      </c>
      <c r="E322" s="17">
        <v>2.0</v>
      </c>
      <c r="F322" s="17">
        <v>0.0</v>
      </c>
      <c r="G322" s="17">
        <v>24085.0</v>
      </c>
      <c r="H322" s="17">
        <v>24085.0</v>
      </c>
      <c r="I322" s="17">
        <v>738.46</v>
      </c>
      <c r="J322" s="17"/>
      <c r="K322" s="17">
        <v>38.2288999999999</v>
      </c>
      <c r="L322" s="17">
        <v>25.452944312</v>
      </c>
      <c r="M322" s="17">
        <v>12.7759556879999</v>
      </c>
      <c r="N322" s="17">
        <v>0.0</v>
      </c>
      <c r="O322" s="14">
        <f t="shared" si="1"/>
        <v>38.2289</v>
      </c>
      <c r="P322" s="86">
        <f t="array" ref="P322">iferror(XLOOKUP(C322,'Download of SFDC Activation Rep'!B:B,'Download of SFDC Activation Rep'!Z:Z),"")</f>
        <v>46154</v>
      </c>
      <c r="Q322" s="86">
        <f t="shared" si="2"/>
        <v>46143</v>
      </c>
      <c r="R322" s="13" t="str">
        <f t="shared" si="3"/>
        <v>Yes</v>
      </c>
      <c r="S322" s="86">
        <f t="array" ref="S322">iferror(XLOOKUP(C322,'Download of SFDC Activation Rep'!B:B,'Download of SFDC Activation Rep'!Y:Y),"")</f>
        <v>46258</v>
      </c>
    </row>
    <row r="323">
      <c r="A323" s="17" t="s">
        <v>488</v>
      </c>
      <c r="B323" s="85">
        <v>46113.0</v>
      </c>
      <c r="C323" s="17">
        <v>3785914.0</v>
      </c>
      <c r="D323" s="85">
        <v>45778.0</v>
      </c>
      <c r="E323" s="17">
        <v>15.0</v>
      </c>
      <c r="F323" s="17">
        <v>11.0</v>
      </c>
      <c r="G323" s="17">
        <v>23845.27</v>
      </c>
      <c r="H323" s="17">
        <v>8992.8</v>
      </c>
      <c r="I323" s="17">
        <v>401.29</v>
      </c>
      <c r="J323" s="17"/>
      <c r="K323" s="17">
        <v>42.8887</v>
      </c>
      <c r="L323" s="17">
        <v>39.281126710721</v>
      </c>
      <c r="M323" s="17">
        <v>3.60757328927899</v>
      </c>
      <c r="N323" s="17">
        <v>35.0</v>
      </c>
      <c r="O323" s="14">
        <f t="shared" si="1"/>
        <v>136.3419</v>
      </c>
      <c r="P323" s="86">
        <f t="array" ref="P323">iferror(XLOOKUP(C323,'Download of SFDC Activation Rep'!B:B,'Download of SFDC Activation Rep'!Z:Z),"")</f>
        <v>45806</v>
      </c>
      <c r="Q323" s="86">
        <f t="shared" si="2"/>
        <v>45778</v>
      </c>
      <c r="R323" s="13" t="str">
        <f t="shared" si="3"/>
        <v>Yes</v>
      </c>
      <c r="S323" s="86">
        <f t="array" ref="S323">iferror(XLOOKUP(C323,'Download of SFDC Activation Rep'!B:B,'Download of SFDC Activation Rep'!Y:Y),"")</f>
        <v>45806</v>
      </c>
    </row>
    <row r="324">
      <c r="A324" s="17" t="s">
        <v>19</v>
      </c>
      <c r="B324" s="85">
        <v>45809.0</v>
      </c>
      <c r="C324" s="17">
        <v>3946131.0</v>
      </c>
      <c r="D324" s="85">
        <v>45809.0</v>
      </c>
      <c r="E324" s="17">
        <v>85.0</v>
      </c>
      <c r="F324" s="17">
        <v>85.0</v>
      </c>
      <c r="G324" s="17">
        <v>455152.48</v>
      </c>
      <c r="H324" s="17"/>
      <c r="I324" s="17">
        <v>231.48</v>
      </c>
      <c r="J324" s="17"/>
      <c r="K324" s="17">
        <v>203.35</v>
      </c>
      <c r="L324" s="17">
        <v>103.392448121172</v>
      </c>
      <c r="M324" s="17">
        <v>99.9575518788273</v>
      </c>
      <c r="N324" s="17">
        <v>6.39999999999999</v>
      </c>
      <c r="O324" s="14">
        <f t="shared" si="1"/>
        <v>209.75</v>
      </c>
      <c r="P324" s="86">
        <f t="array" ref="P324">iferror(XLOOKUP(C324,'Download of SFDC Activation Rep'!B:B,'Download of SFDC Activation Rep'!Z:Z),"")</f>
        <v>45805</v>
      </c>
      <c r="Q324" s="86">
        <f t="shared" si="2"/>
        <v>45778</v>
      </c>
      <c r="R324" s="13" t="str">
        <f t="shared" si="3"/>
        <v>Yes</v>
      </c>
      <c r="S324" s="86">
        <f t="array" ref="S324">iferror(XLOOKUP(C324,'Download of SFDC Activation Rep'!B:B,'Download of SFDC Activation Rep'!Y:Y),"")</f>
        <v>45805</v>
      </c>
    </row>
    <row r="325">
      <c r="A325" s="17" t="s">
        <v>488</v>
      </c>
      <c r="B325" s="85">
        <v>46143.0</v>
      </c>
      <c r="C325" s="17">
        <v>4539135.0</v>
      </c>
      <c r="D325" s="85">
        <v>46113.0</v>
      </c>
      <c r="E325" s="17">
        <v>8.0</v>
      </c>
      <c r="F325" s="17">
        <v>8.0</v>
      </c>
      <c r="G325" s="17">
        <v>28608.16</v>
      </c>
      <c r="H325" s="17"/>
      <c r="I325" s="17">
        <v>257.47344</v>
      </c>
      <c r="J325" s="17"/>
      <c r="K325" s="17">
        <v>255.7839</v>
      </c>
      <c r="L325" s="17">
        <v>255.7839</v>
      </c>
      <c r="M325" s="17">
        <v>0.0</v>
      </c>
      <c r="N325" s="17">
        <v>29.75</v>
      </c>
      <c r="O325" s="14">
        <f t="shared" si="1"/>
        <v>285.5339</v>
      </c>
      <c r="P325" s="86">
        <f t="array" ref="P325">iferror(XLOOKUP(C325,'Download of SFDC Activation Rep'!B:B,'Download of SFDC Activation Rep'!Z:Z),"")</f>
        <v>46121</v>
      </c>
      <c r="Q325" s="86">
        <f t="shared" si="2"/>
        <v>46113</v>
      </c>
      <c r="R325" s="13" t="str">
        <f t="shared" si="3"/>
        <v>Yes</v>
      </c>
      <c r="S325" s="86">
        <f t="array" ref="S325">iferror(XLOOKUP(C325,'Download of SFDC Activation Rep'!B:B,'Download of SFDC Activation Rep'!Y:Y),"")</f>
        <v>46154</v>
      </c>
    </row>
    <row r="326">
      <c r="A326" s="17" t="s">
        <v>17</v>
      </c>
      <c r="B326" s="85">
        <v>46174.0</v>
      </c>
      <c r="C326" s="17">
        <v>4490170.0</v>
      </c>
      <c r="D326" s="85">
        <v>46082.0</v>
      </c>
      <c r="E326" s="17">
        <v>1.0</v>
      </c>
      <c r="F326" s="17">
        <v>0.0</v>
      </c>
      <c r="G326" s="17">
        <v>14800.0</v>
      </c>
      <c r="H326" s="17">
        <v>14800.0</v>
      </c>
      <c r="I326" s="17">
        <v>429.2</v>
      </c>
      <c r="J326" s="17"/>
      <c r="K326" s="17">
        <v>19.8137</v>
      </c>
      <c r="L326" s="17">
        <v>11.96299856</v>
      </c>
      <c r="M326" s="17">
        <v>7.85070143999999</v>
      </c>
      <c r="N326" s="17">
        <v>0.0</v>
      </c>
      <c r="O326" s="14">
        <f t="shared" si="1"/>
        <v>19.8137</v>
      </c>
      <c r="P326" s="86">
        <f t="array" ref="P326">iferror(XLOOKUP(C326,'Download of SFDC Activation Rep'!B:B,'Download of SFDC Activation Rep'!Z:Z),"")</f>
        <v>46092</v>
      </c>
      <c r="Q326" s="86">
        <f t="shared" si="2"/>
        <v>46082</v>
      </c>
      <c r="R326" s="13" t="str">
        <f t="shared" si="3"/>
        <v>Yes</v>
      </c>
      <c r="S326" s="86">
        <f t="array" ref="S326">iferror(XLOOKUP(C326,'Download of SFDC Activation Rep'!B:B,'Download of SFDC Activation Rep'!Y:Y),"")</f>
        <v>46251</v>
      </c>
    </row>
    <row r="327">
      <c r="A327" s="17" t="s">
        <v>488</v>
      </c>
      <c r="B327" s="85">
        <v>46174.0</v>
      </c>
      <c r="C327" s="17">
        <v>4428477.0</v>
      </c>
      <c r="D327" s="85">
        <v>46082.0</v>
      </c>
      <c r="E327" s="17">
        <v>40.0</v>
      </c>
      <c r="F327" s="17">
        <v>38.0</v>
      </c>
      <c r="G327" s="17">
        <v>64418.69</v>
      </c>
      <c r="H327" s="17">
        <v>1.0</v>
      </c>
      <c r="I327" s="17">
        <v>40.83</v>
      </c>
      <c r="J327" s="17">
        <v>10.0</v>
      </c>
      <c r="K327" s="17">
        <v>1.5823</v>
      </c>
      <c r="L327" s="17">
        <v>-8.354981871597</v>
      </c>
      <c r="M327" s="17">
        <v>9.937281871597</v>
      </c>
      <c r="N327" s="17">
        <v>25.0</v>
      </c>
      <c r="O327" s="14">
        <f t="shared" si="1"/>
        <v>26.5823</v>
      </c>
      <c r="P327" s="86">
        <f t="array" ref="P327">iferror(XLOOKUP(C327,'Download of SFDC Activation Rep'!B:B,'Download of SFDC Activation Rep'!Z:Z),"")</f>
        <v>45987</v>
      </c>
      <c r="Q327" s="86">
        <f t="shared" si="2"/>
        <v>45962</v>
      </c>
      <c r="R327" s="13" t="str">
        <f t="shared" si="3"/>
        <v>Yes</v>
      </c>
      <c r="S327" s="86">
        <f t="array" ref="S327">iferror(XLOOKUP(C327,'Download of SFDC Activation Rep'!B:B,'Download of SFDC Activation Rep'!Y:Y),"")</f>
        <v>46114</v>
      </c>
    </row>
    <row r="328">
      <c r="A328" s="17" t="s">
        <v>17</v>
      </c>
      <c r="B328" s="85">
        <v>45597.0</v>
      </c>
      <c r="C328" s="17">
        <v>489723.0</v>
      </c>
      <c r="D328" s="85">
        <v>45200.0</v>
      </c>
      <c r="E328" s="17">
        <v>9.0</v>
      </c>
      <c r="F328" s="17">
        <v>9.0</v>
      </c>
      <c r="G328" s="17">
        <v>14632.67</v>
      </c>
      <c r="H328" s="17"/>
      <c r="I328" s="17">
        <v>0.0</v>
      </c>
      <c r="J328" s="17"/>
      <c r="K328" s="17">
        <v>-1.85</v>
      </c>
      <c r="L328" s="17">
        <v>-8.99080525273945</v>
      </c>
      <c r="M328" s="17">
        <v>7.14080525273945</v>
      </c>
      <c r="N328" s="17">
        <v>26.25</v>
      </c>
      <c r="O328" s="14">
        <f t="shared" si="1"/>
        <v>24.4</v>
      </c>
      <c r="P328" s="86">
        <f t="array" ref="P328">iferror(XLOOKUP(C328,'Download of SFDC Activation Rep'!B:B,'Download of SFDC Activation Rep'!Z:Z),"")</f>
        <v>46112</v>
      </c>
      <c r="Q328" s="86">
        <f t="shared" si="2"/>
        <v>46082</v>
      </c>
      <c r="R328" s="13" t="str">
        <f t="shared" si="3"/>
        <v>No</v>
      </c>
      <c r="S328" s="86">
        <f t="array" ref="S328">iferror(XLOOKUP(C328,'Download of SFDC Activation Rep'!B:B,'Download of SFDC Activation Rep'!Y:Y),"")</f>
        <v>46204</v>
      </c>
    </row>
    <row r="329">
      <c r="A329" s="17" t="s">
        <v>1487</v>
      </c>
      <c r="B329" s="85">
        <v>45778.0</v>
      </c>
      <c r="C329" s="17">
        <v>3935770.0</v>
      </c>
      <c r="D329" s="85">
        <v>45778.0</v>
      </c>
      <c r="E329" s="17">
        <v>1.0</v>
      </c>
      <c r="F329" s="17">
        <v>1.0</v>
      </c>
      <c r="G329" s="17">
        <v>18981.58</v>
      </c>
      <c r="H329" s="17"/>
      <c r="I329" s="17">
        <v>0.0</v>
      </c>
      <c r="J329" s="17"/>
      <c r="K329" s="17">
        <v>-0.2</v>
      </c>
      <c r="L329" s="17">
        <v>-3.1740595206901</v>
      </c>
      <c r="M329" s="17">
        <v>2.9740595206901</v>
      </c>
      <c r="N329" s="17">
        <v>6.39999999999999</v>
      </c>
      <c r="O329" s="14">
        <f t="shared" si="1"/>
        <v>6.2</v>
      </c>
      <c r="P329" s="86">
        <f t="array" ref="P329">iferror(XLOOKUP(C329,'Download of SFDC Activation Rep'!B:B,'Download of SFDC Activation Rep'!Z:Z),"")</f>
        <v>45797</v>
      </c>
      <c r="Q329" s="86">
        <f t="shared" si="2"/>
        <v>45778</v>
      </c>
      <c r="R329" s="13" t="str">
        <f t="shared" si="3"/>
        <v>Yes</v>
      </c>
      <c r="S329" s="86">
        <f t="array" ref="S329">iferror(XLOOKUP(C329,'Download of SFDC Activation Rep'!B:B,'Download of SFDC Activation Rep'!Y:Y),"")</f>
        <v>45797</v>
      </c>
    </row>
    <row r="330">
      <c r="A330" s="17" t="s">
        <v>17</v>
      </c>
      <c r="B330" s="85">
        <v>45962.0</v>
      </c>
      <c r="C330" s="17">
        <v>4245113.0</v>
      </c>
      <c r="D330" s="85">
        <v>45962.0</v>
      </c>
      <c r="E330" s="17">
        <v>2.0</v>
      </c>
      <c r="F330" s="17">
        <v>0.0</v>
      </c>
      <c r="G330" s="17">
        <v>30098.0</v>
      </c>
      <c r="H330" s="17"/>
      <c r="I330" s="17">
        <v>872.85</v>
      </c>
      <c r="J330" s="17"/>
      <c r="K330" s="17">
        <v>871.879899999999</v>
      </c>
      <c r="L330" s="17">
        <v>855.9114225402</v>
      </c>
      <c r="M330" s="17">
        <v>15.9684774597991</v>
      </c>
      <c r="N330" s="17">
        <v>0.0</v>
      </c>
      <c r="O330" s="14">
        <f t="shared" si="1"/>
        <v>871.8799</v>
      </c>
      <c r="P330" s="86">
        <f t="array" ref="P330">iferror(XLOOKUP(C330,'Download of SFDC Activation Rep'!B:B,'Download of SFDC Activation Rep'!Z:Z),"")</f>
        <v>45971</v>
      </c>
      <c r="Q330" s="86">
        <f t="shared" si="2"/>
        <v>45962</v>
      </c>
      <c r="R330" s="13" t="str">
        <f t="shared" si="3"/>
        <v>Yes</v>
      </c>
      <c r="S330" s="86">
        <f t="array" ref="S330">iferror(XLOOKUP(C330,'Download of SFDC Activation Rep'!B:B,'Download of SFDC Activation Rep'!Y:Y),"")</f>
        <v>45982</v>
      </c>
    </row>
    <row r="331">
      <c r="A331" s="17" t="s">
        <v>17</v>
      </c>
      <c r="B331" s="85">
        <v>45962.0</v>
      </c>
      <c r="C331" s="17">
        <v>4223822.0</v>
      </c>
      <c r="D331" s="85">
        <v>45962.0</v>
      </c>
      <c r="E331" s="17">
        <v>2.0</v>
      </c>
      <c r="F331" s="17">
        <v>2.0</v>
      </c>
      <c r="G331" s="17">
        <v>9000.0</v>
      </c>
      <c r="H331" s="17"/>
      <c r="I331" s="17">
        <v>0.0</v>
      </c>
      <c r="J331" s="17"/>
      <c r="K331" s="17">
        <v>-0.2858</v>
      </c>
      <c r="L331" s="17">
        <v>-1.6959321221</v>
      </c>
      <c r="M331" s="17">
        <v>1.4101321221</v>
      </c>
      <c r="N331" s="17">
        <v>0.0</v>
      </c>
      <c r="O331" s="14">
        <f t="shared" si="1"/>
        <v>-0.2858</v>
      </c>
      <c r="P331" s="86">
        <f t="array" ref="P331">iferror(XLOOKUP(C331,'Download of SFDC Activation Rep'!B:B,'Download of SFDC Activation Rep'!Z:Z),"")</f>
        <v>45979</v>
      </c>
      <c r="Q331" s="86">
        <f t="shared" si="2"/>
        <v>45962</v>
      </c>
      <c r="R331" s="13" t="str">
        <f t="shared" si="3"/>
        <v>Yes</v>
      </c>
      <c r="S331" s="86">
        <f t="array" ref="S331">iferror(XLOOKUP(C331,'Download of SFDC Activation Rep'!B:B,'Download of SFDC Activation Rep'!Y:Y),"")</f>
        <v>45985</v>
      </c>
    </row>
    <row r="332">
      <c r="A332" s="17" t="s">
        <v>488</v>
      </c>
      <c r="B332" s="85">
        <v>46143.0</v>
      </c>
      <c r="C332" s="17">
        <v>4269343.0</v>
      </c>
      <c r="D332" s="85">
        <v>45992.0</v>
      </c>
      <c r="E332" s="17">
        <v>60.0</v>
      </c>
      <c r="F332" s="17">
        <v>28.0</v>
      </c>
      <c r="G332" s="17">
        <v>63169.5</v>
      </c>
      <c r="H332" s="17">
        <v>9790.0</v>
      </c>
      <c r="I332" s="17">
        <v>924.64</v>
      </c>
      <c r="J332" s="17"/>
      <c r="K332" s="17">
        <v>127.9664</v>
      </c>
      <c r="L332" s="17">
        <v>127.334704999999</v>
      </c>
      <c r="M332" s="17">
        <v>0.631695000000007</v>
      </c>
      <c r="N332" s="17">
        <v>36.0</v>
      </c>
      <c r="O332" s="14">
        <f t="shared" si="1"/>
        <v>163.9664</v>
      </c>
      <c r="P332" s="86">
        <f t="array" ref="P332">iferror(XLOOKUP(C332,'Download of SFDC Activation Rep'!B:B,'Download of SFDC Activation Rep'!Z:Z),"")</f>
        <v>45918</v>
      </c>
      <c r="Q332" s="86">
        <f t="shared" si="2"/>
        <v>45901</v>
      </c>
      <c r="R332" s="13" t="str">
        <f t="shared" si="3"/>
        <v>Yes</v>
      </c>
      <c r="S332" s="86">
        <f t="array" ref="S332">iferror(XLOOKUP(C332,'Download of SFDC Activation Rep'!B:B,'Download of SFDC Activation Rep'!Y:Y),"")</f>
        <v>46001</v>
      </c>
    </row>
    <row r="333">
      <c r="A333" s="17" t="s">
        <v>17</v>
      </c>
      <c r="B333" s="85">
        <v>46113.0</v>
      </c>
      <c r="C333" s="17">
        <v>4531933.0</v>
      </c>
      <c r="D333" s="85">
        <v>46113.0</v>
      </c>
      <c r="E333" s="17">
        <v>3.0</v>
      </c>
      <c r="F333" s="17">
        <v>2.0</v>
      </c>
      <c r="G333" s="17">
        <v>27732.27</v>
      </c>
      <c r="H333" s="17">
        <v>303.16</v>
      </c>
      <c r="I333" s="17">
        <v>430.74</v>
      </c>
      <c r="J333" s="17"/>
      <c r="K333" s="17">
        <v>370.7351</v>
      </c>
      <c r="L333" s="17">
        <v>366.208820326736</v>
      </c>
      <c r="M333" s="17">
        <v>4.52627967326401</v>
      </c>
      <c r="N333" s="17">
        <v>0.0</v>
      </c>
      <c r="O333" s="14">
        <f t="shared" si="1"/>
        <v>372.70564</v>
      </c>
      <c r="P333" s="86">
        <f t="array" ref="P333">iferror(XLOOKUP(C333,'Download of SFDC Activation Rep'!B:B,'Download of SFDC Activation Rep'!Z:Z),"")</f>
        <v>46113</v>
      </c>
      <c r="Q333" s="86">
        <f t="shared" si="2"/>
        <v>46113</v>
      </c>
      <c r="R333" s="13" t="str">
        <f t="shared" si="3"/>
        <v>Yes</v>
      </c>
      <c r="S333" s="86">
        <f t="array" ref="S333">iferror(XLOOKUP(C333,'Download of SFDC Activation Rep'!B:B,'Download of SFDC Activation Rep'!Y:Y),"")</f>
        <v>46237</v>
      </c>
    </row>
    <row r="334">
      <c r="A334" s="17" t="s">
        <v>19</v>
      </c>
      <c r="B334" s="85">
        <v>45901.0</v>
      </c>
      <c r="C334" s="17">
        <v>3945715.0</v>
      </c>
      <c r="D334" s="85">
        <v>45809.0</v>
      </c>
      <c r="E334" s="17">
        <v>18.0</v>
      </c>
      <c r="F334" s="17">
        <v>0.0</v>
      </c>
      <c r="G334" s="17">
        <v>245099.4</v>
      </c>
      <c r="H334" s="17">
        <v>245099.4</v>
      </c>
      <c r="I334" s="17">
        <v>7107.87</v>
      </c>
      <c r="J334" s="17"/>
      <c r="K334" s="17">
        <v>1142.07589999999</v>
      </c>
      <c r="L334" s="17">
        <v>1012.0622294181</v>
      </c>
      <c r="M334" s="17">
        <v>130.013670581891</v>
      </c>
      <c r="N334" s="17">
        <v>80.0</v>
      </c>
      <c r="O334" s="14">
        <f t="shared" si="1"/>
        <v>1222.0759</v>
      </c>
      <c r="P334" s="86">
        <f t="array" ref="P334">iferror(XLOOKUP(C334,'Download of SFDC Activation Rep'!B:B,'Download of SFDC Activation Rep'!Z:Z),"")</f>
        <v>45804</v>
      </c>
      <c r="Q334" s="86">
        <f t="shared" si="2"/>
        <v>45778</v>
      </c>
      <c r="R334" s="13" t="str">
        <f t="shared" si="3"/>
        <v>Yes</v>
      </c>
      <c r="S334" s="86">
        <f t="array" ref="S334">iferror(XLOOKUP(C334,'Download of SFDC Activation Rep'!B:B,'Download of SFDC Activation Rep'!Y:Y),"")</f>
        <v>45804</v>
      </c>
    </row>
    <row r="335">
      <c r="A335" s="17" t="s">
        <v>489</v>
      </c>
      <c r="B335" s="85">
        <v>46023.0</v>
      </c>
      <c r="C335" s="17">
        <v>4038405.0</v>
      </c>
      <c r="D335" s="85">
        <v>45870.0</v>
      </c>
      <c r="E335" s="17">
        <v>88.0</v>
      </c>
      <c r="F335" s="17">
        <v>88.0</v>
      </c>
      <c r="G335" s="17">
        <v>1380198.71</v>
      </c>
      <c r="H335" s="17"/>
      <c r="I335" s="17">
        <v>258.769602</v>
      </c>
      <c r="J335" s="17">
        <v>16.5</v>
      </c>
      <c r="K335" s="17">
        <v>242.1351</v>
      </c>
      <c r="L335" s="17">
        <v>-63.0893269424456</v>
      </c>
      <c r="M335" s="17">
        <v>305.224426942445</v>
      </c>
      <c r="N335" s="17">
        <v>5.19999999999999</v>
      </c>
      <c r="O335" s="14">
        <f t="shared" si="1"/>
        <v>247.3351</v>
      </c>
      <c r="P335" s="86">
        <f t="array" ref="P335">iferror(XLOOKUP(C335,'Download of SFDC Activation Rep'!B:B,'Download of SFDC Activation Rep'!Z:Z),"")</f>
        <v>45839</v>
      </c>
      <c r="Q335" s="86">
        <f t="shared" si="2"/>
        <v>45839</v>
      </c>
      <c r="R335" s="13" t="str">
        <f t="shared" si="3"/>
        <v>Yes</v>
      </c>
      <c r="S335" s="86">
        <f t="array" ref="S335">iferror(XLOOKUP(C335,'Download of SFDC Activation Rep'!B:B,'Download of SFDC Activation Rep'!Y:Y),"")</f>
        <v>45877</v>
      </c>
    </row>
    <row r="336">
      <c r="A336" s="17" t="s">
        <v>17</v>
      </c>
      <c r="B336" s="85">
        <v>46023.0</v>
      </c>
      <c r="C336" s="17">
        <v>4345385.0</v>
      </c>
      <c r="D336" s="85">
        <v>46023.0</v>
      </c>
      <c r="E336" s="17">
        <v>3.0</v>
      </c>
      <c r="F336" s="17">
        <v>0.0</v>
      </c>
      <c r="G336" s="17">
        <v>36281.0</v>
      </c>
      <c r="H336" s="17"/>
      <c r="I336" s="17">
        <v>1052.15</v>
      </c>
      <c r="J336" s="17"/>
      <c r="K336" s="17">
        <v>93.4521999999999</v>
      </c>
      <c r="L336" s="17">
        <v>85.7372500546581</v>
      </c>
      <c r="M336" s="17">
        <v>7.7149499453418</v>
      </c>
      <c r="N336" s="17">
        <v>0.0</v>
      </c>
      <c r="O336" s="14">
        <f t="shared" si="1"/>
        <v>93.4522</v>
      </c>
      <c r="P336" s="86">
        <f t="array" ref="P336">iferror(XLOOKUP(C336,'Download of SFDC Activation Rep'!B:B,'Download of SFDC Activation Rep'!Z:Z),"")</f>
        <v>46037</v>
      </c>
      <c r="Q336" s="86">
        <f t="shared" si="2"/>
        <v>46023</v>
      </c>
      <c r="R336" s="13" t="str">
        <f t="shared" si="3"/>
        <v>Yes</v>
      </c>
      <c r="S336" s="86">
        <f t="array" ref="S336">iferror(XLOOKUP(C336,'Download of SFDC Activation Rep'!B:B,'Download of SFDC Activation Rep'!Y:Y),"")</f>
        <v>46038</v>
      </c>
    </row>
    <row r="337">
      <c r="A337" s="17" t="s">
        <v>1487</v>
      </c>
      <c r="B337" s="85">
        <v>46023.0</v>
      </c>
      <c r="C337" s="17">
        <v>3935770.0</v>
      </c>
      <c r="D337" s="85">
        <v>45778.0</v>
      </c>
      <c r="E337" s="17">
        <v>66.0</v>
      </c>
      <c r="F337" s="17">
        <v>56.0</v>
      </c>
      <c r="G337" s="17">
        <v>225851.0</v>
      </c>
      <c r="H337" s="17"/>
      <c r="I337" s="17">
        <v>2746.5292</v>
      </c>
      <c r="J337" s="17"/>
      <c r="K337" s="17">
        <v>470.224899999999</v>
      </c>
      <c r="L337" s="17">
        <v>429.351558455853</v>
      </c>
      <c r="M337" s="17">
        <v>40.8733415441466</v>
      </c>
      <c r="N337" s="17">
        <v>0.0</v>
      </c>
      <c r="O337" s="14">
        <f t="shared" si="1"/>
        <v>470.2249</v>
      </c>
      <c r="P337" s="86">
        <f t="array" ref="P337">iferror(XLOOKUP(C337,'Download of SFDC Activation Rep'!B:B,'Download of SFDC Activation Rep'!Z:Z),"")</f>
        <v>45797</v>
      </c>
      <c r="Q337" s="86">
        <f t="shared" si="2"/>
        <v>45778</v>
      </c>
      <c r="R337" s="13" t="str">
        <f t="shared" si="3"/>
        <v>Yes</v>
      </c>
      <c r="S337" s="86">
        <f t="array" ref="S337">iferror(XLOOKUP(C337,'Download of SFDC Activation Rep'!B:B,'Download of SFDC Activation Rep'!Y:Y),"")</f>
        <v>45797</v>
      </c>
    </row>
    <row r="338">
      <c r="A338" s="17" t="s">
        <v>19</v>
      </c>
      <c r="B338" s="85">
        <v>45992.0</v>
      </c>
      <c r="C338" s="17">
        <v>2710123.0</v>
      </c>
      <c r="D338" s="85">
        <v>45292.0</v>
      </c>
      <c r="E338" s="17">
        <v>7.0</v>
      </c>
      <c r="F338" s="17">
        <v>0.0</v>
      </c>
      <c r="G338" s="17">
        <v>153760.82</v>
      </c>
      <c r="H338" s="17">
        <v>153760.82</v>
      </c>
      <c r="I338" s="17">
        <v>4459.07</v>
      </c>
      <c r="J338" s="17"/>
      <c r="K338" s="17">
        <v>424.100299999999</v>
      </c>
      <c r="L338" s="17">
        <v>342.537437749494</v>
      </c>
      <c r="M338" s="17">
        <v>81.5628622505053</v>
      </c>
      <c r="N338" s="17">
        <v>80.0</v>
      </c>
      <c r="O338" s="14">
        <f t="shared" si="1"/>
        <v>504.1003</v>
      </c>
      <c r="P338" s="86">
        <f t="array" ref="P338">iferror(XLOOKUP(C338,'Download of SFDC Activation Rep'!B:B,'Download of SFDC Activation Rep'!Z:Z),"")</f>
        <v>45873</v>
      </c>
      <c r="Q338" s="86">
        <f t="shared" si="2"/>
        <v>45870</v>
      </c>
      <c r="R338" s="13" t="str">
        <f t="shared" si="3"/>
        <v>Yes</v>
      </c>
      <c r="S338" s="86">
        <f t="array" ref="S338">iferror(XLOOKUP(C338,'Download of SFDC Activation Rep'!B:B,'Download of SFDC Activation Rep'!Y:Y),"")</f>
        <v>45980</v>
      </c>
    </row>
    <row r="339">
      <c r="A339" s="17" t="s">
        <v>488</v>
      </c>
      <c r="B339" s="85">
        <v>45901.0</v>
      </c>
      <c r="C339" s="17">
        <v>3968250.0</v>
      </c>
      <c r="D339" s="85">
        <v>45809.0</v>
      </c>
      <c r="E339" s="17">
        <v>28.0</v>
      </c>
      <c r="F339" s="17">
        <v>28.0</v>
      </c>
      <c r="G339" s="17">
        <v>173562.49</v>
      </c>
      <c r="H339" s="17"/>
      <c r="I339" s="17">
        <v>0.0</v>
      </c>
      <c r="J339" s="17"/>
      <c r="K339" s="17">
        <v>-4.05</v>
      </c>
      <c r="L339" s="17">
        <v>-31.2440047045177</v>
      </c>
      <c r="M339" s="17">
        <v>27.1940047045177</v>
      </c>
      <c r="N339" s="17">
        <v>6.39999999999999</v>
      </c>
      <c r="O339" s="14">
        <f t="shared" si="1"/>
        <v>2.35</v>
      </c>
      <c r="P339" s="86">
        <f t="array" ref="P339">iferror(XLOOKUP(C339,'Download of SFDC Activation Rep'!B:B,'Download of SFDC Activation Rep'!Z:Z),"")</f>
        <v>45809</v>
      </c>
      <c r="Q339" s="86">
        <f t="shared" si="2"/>
        <v>45809</v>
      </c>
      <c r="R339" s="13" t="str">
        <f t="shared" si="3"/>
        <v>Yes</v>
      </c>
      <c r="S339" s="86">
        <f t="array" ref="S339">iferror(XLOOKUP(C339,'Download of SFDC Activation Rep'!B:B,'Download of SFDC Activation Rep'!Y:Y),"")</f>
        <v>45826</v>
      </c>
    </row>
    <row r="340">
      <c r="A340" s="17" t="s">
        <v>19</v>
      </c>
      <c r="B340" s="85">
        <v>45901.0</v>
      </c>
      <c r="C340" s="17">
        <v>3934711.0</v>
      </c>
      <c r="D340" s="85">
        <v>45839.0</v>
      </c>
      <c r="E340" s="17">
        <v>47.0</v>
      </c>
      <c r="F340" s="17">
        <v>47.0</v>
      </c>
      <c r="G340" s="17">
        <v>6204.9</v>
      </c>
      <c r="H340" s="17"/>
      <c r="I340" s="17">
        <v>23.85</v>
      </c>
      <c r="J340" s="17">
        <v>4.0</v>
      </c>
      <c r="K340" s="17">
        <v>15.58</v>
      </c>
      <c r="L340" s="17">
        <v>10.6555146617051</v>
      </c>
      <c r="M340" s="17">
        <v>4.92448533829481</v>
      </c>
      <c r="N340" s="17">
        <v>2.79999999999999</v>
      </c>
      <c r="O340" s="14">
        <f t="shared" si="1"/>
        <v>18.38</v>
      </c>
      <c r="P340" s="86">
        <f t="array" ref="P340">iferror(XLOOKUP(C340,'Download of SFDC Activation Rep'!B:B,'Download of SFDC Activation Rep'!Z:Z),"")</f>
        <v>45817</v>
      </c>
      <c r="Q340" s="86">
        <f t="shared" si="2"/>
        <v>45809</v>
      </c>
      <c r="R340" s="13" t="str">
        <f t="shared" si="3"/>
        <v>Yes</v>
      </c>
      <c r="S340" s="86">
        <f t="array" ref="S340">iferror(XLOOKUP(C340,'Download of SFDC Activation Rep'!B:B,'Download of SFDC Activation Rep'!Y:Y),"")</f>
        <v>45817</v>
      </c>
    </row>
    <row r="341">
      <c r="A341" s="17" t="s">
        <v>489</v>
      </c>
      <c r="B341" s="85">
        <v>46174.0</v>
      </c>
      <c r="C341" s="17">
        <v>4271363.0</v>
      </c>
      <c r="D341" s="85">
        <v>45992.0</v>
      </c>
      <c r="E341" s="17">
        <v>36.0</v>
      </c>
      <c r="F341" s="17">
        <v>36.0</v>
      </c>
      <c r="G341" s="17">
        <v>274296.74</v>
      </c>
      <c r="H341" s="17"/>
      <c r="I341" s="17">
        <v>20.75</v>
      </c>
      <c r="J341" s="17"/>
      <c r="K341" s="17">
        <v>13.2375</v>
      </c>
      <c r="L341" s="17">
        <v>-30.8421251189619</v>
      </c>
      <c r="M341" s="17">
        <v>44.0796251189619</v>
      </c>
      <c r="N341" s="17">
        <v>44.0</v>
      </c>
      <c r="O341" s="14">
        <f t="shared" si="1"/>
        <v>57.2375</v>
      </c>
      <c r="P341" s="86">
        <f t="array" ref="P341">iferror(XLOOKUP(C341,'Download of SFDC Activation Rep'!B:B,'Download of SFDC Activation Rep'!Z:Z),"")</f>
        <v>45964</v>
      </c>
      <c r="Q341" s="86">
        <f t="shared" si="2"/>
        <v>45962</v>
      </c>
      <c r="R341" s="13" t="str">
        <f t="shared" si="3"/>
        <v>Yes</v>
      </c>
      <c r="S341" s="86">
        <f t="array" ref="S341">iferror(XLOOKUP(C341,'Download of SFDC Activation Rep'!B:B,'Download of SFDC Activation Rep'!Y:Y),"")</f>
        <v>46007</v>
      </c>
    </row>
    <row r="342">
      <c r="A342" s="17" t="s">
        <v>488</v>
      </c>
      <c r="B342" s="85">
        <v>45870.0</v>
      </c>
      <c r="C342" s="17">
        <v>3934664.0</v>
      </c>
      <c r="D342" s="85">
        <v>45809.0</v>
      </c>
      <c r="E342" s="17">
        <v>2.0</v>
      </c>
      <c r="F342" s="17">
        <v>0.0</v>
      </c>
      <c r="G342" s="17">
        <v>839.46</v>
      </c>
      <c r="H342" s="17"/>
      <c r="I342" s="17">
        <v>24.35</v>
      </c>
      <c r="J342" s="17"/>
      <c r="K342" s="17">
        <v>1.027</v>
      </c>
      <c r="L342" s="17">
        <v>1.0186054</v>
      </c>
      <c r="M342" s="17">
        <v>0.00839460000000014</v>
      </c>
      <c r="N342" s="17">
        <v>2.49999999999999</v>
      </c>
      <c r="O342" s="14">
        <f t="shared" si="1"/>
        <v>3.527</v>
      </c>
      <c r="P342" s="86">
        <f t="array" ref="P342">iferror(XLOOKUP(C342,'Download of SFDC Activation Rep'!B:B,'Download of SFDC Activation Rep'!Z:Z),"")</f>
        <v>45820</v>
      </c>
      <c r="Q342" s="86">
        <f t="shared" si="2"/>
        <v>45809</v>
      </c>
      <c r="R342" s="13" t="str">
        <f t="shared" si="3"/>
        <v>Yes</v>
      </c>
      <c r="S342" s="86">
        <f t="array" ref="S342">iferror(XLOOKUP(C342,'Download of SFDC Activation Rep'!B:B,'Download of SFDC Activation Rep'!Y:Y),"")</f>
        <v>45829</v>
      </c>
    </row>
    <row r="343">
      <c r="A343" s="17" t="s">
        <v>19</v>
      </c>
      <c r="B343" s="85">
        <v>45962.0</v>
      </c>
      <c r="C343" s="17">
        <v>3947424.0</v>
      </c>
      <c r="D343" s="85">
        <v>45809.0</v>
      </c>
      <c r="E343" s="17">
        <v>59.0</v>
      </c>
      <c r="F343" s="17">
        <v>59.0</v>
      </c>
      <c r="G343" s="17">
        <v>132141.87</v>
      </c>
      <c r="H343" s="17"/>
      <c r="I343" s="17">
        <v>91.893345</v>
      </c>
      <c r="J343" s="17">
        <v>1.5</v>
      </c>
      <c r="K343" s="17">
        <v>84.2964999999999</v>
      </c>
      <c r="L343" s="17">
        <v>63.5923338265153</v>
      </c>
      <c r="M343" s="17">
        <v>20.7041661734846</v>
      </c>
      <c r="N343" s="17">
        <v>55.0</v>
      </c>
      <c r="O343" s="14">
        <f t="shared" si="1"/>
        <v>139.2965</v>
      </c>
      <c r="P343" s="86">
        <f t="array" ref="P343">iferror(XLOOKUP(C343,'Download of SFDC Activation Rep'!B:B,'Download of SFDC Activation Rep'!Z:Z),"")</f>
        <v>45805</v>
      </c>
      <c r="Q343" s="86">
        <f t="shared" si="2"/>
        <v>45778</v>
      </c>
      <c r="R343" s="13" t="str">
        <f t="shared" si="3"/>
        <v>Yes</v>
      </c>
      <c r="S343" s="86">
        <f t="array" ref="S343">iferror(XLOOKUP(C343,'Download of SFDC Activation Rep'!B:B,'Download of SFDC Activation Rep'!Y:Y),"")</f>
        <v>45805</v>
      </c>
    </row>
    <row r="344">
      <c r="A344" s="17" t="s">
        <v>19</v>
      </c>
      <c r="B344" s="85">
        <v>46113.0</v>
      </c>
      <c r="C344" s="17">
        <v>4239924.0</v>
      </c>
      <c r="D344" s="85">
        <v>45992.0</v>
      </c>
      <c r="E344" s="17">
        <v>2.0</v>
      </c>
      <c r="F344" s="17">
        <v>2.0</v>
      </c>
      <c r="G344" s="17">
        <v>32021.51</v>
      </c>
      <c r="H344" s="17"/>
      <c r="I344" s="17">
        <v>0.0</v>
      </c>
      <c r="J344" s="17"/>
      <c r="K344" s="17">
        <v>-0.3</v>
      </c>
      <c r="L344" s="17">
        <v>-5.31717181476299</v>
      </c>
      <c r="M344" s="17">
        <v>5.017171814763</v>
      </c>
      <c r="N344" s="17">
        <v>24.0</v>
      </c>
      <c r="O344" s="14">
        <f t="shared" si="1"/>
        <v>23.7</v>
      </c>
      <c r="P344" s="86">
        <f t="array" ref="P344">iferror(XLOOKUP(C344,'Download of SFDC Activation Rep'!B:B,'Download of SFDC Activation Rep'!Z:Z),"")</f>
        <v>45979</v>
      </c>
      <c r="Q344" s="86">
        <f t="shared" si="2"/>
        <v>45962</v>
      </c>
      <c r="R344" s="13" t="str">
        <f t="shared" si="3"/>
        <v>Yes</v>
      </c>
      <c r="S344" s="86">
        <f t="array" ref="S344">iferror(XLOOKUP(C344,'Download of SFDC Activation Rep'!B:B,'Download of SFDC Activation Rep'!Y:Y),"")</f>
        <v>45995</v>
      </c>
    </row>
    <row r="345">
      <c r="A345" s="17" t="s">
        <v>17</v>
      </c>
      <c r="B345" s="85">
        <v>45839.0</v>
      </c>
      <c r="C345" s="17">
        <v>3782339.0</v>
      </c>
      <c r="D345" s="85">
        <v>45839.0</v>
      </c>
      <c r="E345" s="17">
        <v>1.0</v>
      </c>
      <c r="F345" s="17">
        <v>1.0</v>
      </c>
      <c r="G345" s="17">
        <v>289.91</v>
      </c>
      <c r="H345" s="17"/>
      <c r="I345" s="17">
        <v>2.9</v>
      </c>
      <c r="J345" s="17"/>
      <c r="K345" s="17">
        <v>2.53</v>
      </c>
      <c r="L345" s="17">
        <v>1.64147318711361</v>
      </c>
      <c r="M345" s="17">
        <v>0.888526812886389</v>
      </c>
      <c r="N345" s="17">
        <v>7.99999999999999</v>
      </c>
      <c r="O345" s="14">
        <f t="shared" si="1"/>
        <v>10.53</v>
      </c>
      <c r="P345" s="86">
        <f t="array" ref="P345">iferror(XLOOKUP(C345,'Download of SFDC Activation Rep'!B:B,'Download of SFDC Activation Rep'!Z:Z),"")</f>
        <v>45824</v>
      </c>
      <c r="Q345" s="86">
        <f t="shared" si="2"/>
        <v>45809</v>
      </c>
      <c r="R345" s="13" t="str">
        <f t="shared" si="3"/>
        <v>Yes</v>
      </c>
      <c r="S345" s="86">
        <f t="array" ref="S345">iferror(XLOOKUP(C345,'Download of SFDC Activation Rep'!B:B,'Download of SFDC Activation Rep'!Y:Y),"")</f>
        <v>45856</v>
      </c>
    </row>
    <row r="346">
      <c r="A346" s="17" t="s">
        <v>488</v>
      </c>
      <c r="B346" s="85">
        <v>45809.0</v>
      </c>
      <c r="C346" s="17">
        <v>3968250.0</v>
      </c>
      <c r="D346" s="85">
        <v>45809.0</v>
      </c>
      <c r="E346" s="17">
        <v>8.0</v>
      </c>
      <c r="F346" s="17">
        <v>8.0</v>
      </c>
      <c r="G346" s="17">
        <v>203882.02</v>
      </c>
      <c r="H346" s="17"/>
      <c r="I346" s="17">
        <v>10.0</v>
      </c>
      <c r="J346" s="17"/>
      <c r="K346" s="17">
        <v>3.72</v>
      </c>
      <c r="L346" s="17">
        <v>-39.8187809522927</v>
      </c>
      <c r="M346" s="17">
        <v>43.5387809522927</v>
      </c>
      <c r="N346" s="17">
        <v>6.39999999999999</v>
      </c>
      <c r="O346" s="14">
        <f t="shared" si="1"/>
        <v>10.12</v>
      </c>
      <c r="P346" s="86">
        <f t="array" ref="P346">iferror(XLOOKUP(C346,'Download of SFDC Activation Rep'!B:B,'Download of SFDC Activation Rep'!Z:Z),"")</f>
        <v>45809</v>
      </c>
      <c r="Q346" s="86">
        <f t="shared" si="2"/>
        <v>45809</v>
      </c>
      <c r="R346" s="13" t="str">
        <f t="shared" si="3"/>
        <v>Yes</v>
      </c>
      <c r="S346" s="86">
        <f t="array" ref="S346">iferror(XLOOKUP(C346,'Download of SFDC Activation Rep'!B:B,'Download of SFDC Activation Rep'!Y:Y),"")</f>
        <v>45826</v>
      </c>
    </row>
    <row r="347">
      <c r="A347" s="17" t="s">
        <v>488</v>
      </c>
      <c r="B347" s="85">
        <v>45962.0</v>
      </c>
      <c r="C347" s="17">
        <v>3085000.0</v>
      </c>
      <c r="D347" s="85">
        <v>45292.0</v>
      </c>
      <c r="E347" s="17">
        <v>2.0</v>
      </c>
      <c r="F347" s="17">
        <v>2.0</v>
      </c>
      <c r="G347" s="17">
        <v>56317.86</v>
      </c>
      <c r="H347" s="17"/>
      <c r="I347" s="17">
        <v>0.0</v>
      </c>
      <c r="J347" s="17"/>
      <c r="K347" s="17">
        <v>-0.378399999999999</v>
      </c>
      <c r="L347" s="17">
        <v>-0.941578599999999</v>
      </c>
      <c r="M347" s="17">
        <v>0.5631786</v>
      </c>
      <c r="N347" s="17">
        <v>65.0</v>
      </c>
      <c r="O347" s="14">
        <f t="shared" si="1"/>
        <v>64.6216</v>
      </c>
      <c r="P347" s="86">
        <f t="array" ref="P347">iferror(XLOOKUP(C347,'Download of SFDC Activation Rep'!B:B,'Download of SFDC Activation Rep'!Z:Z),"")</f>
        <v>45947</v>
      </c>
      <c r="Q347" s="86">
        <f t="shared" si="2"/>
        <v>45931</v>
      </c>
      <c r="R347" s="13" t="str">
        <f t="shared" si="3"/>
        <v>Yes</v>
      </c>
      <c r="S347" s="86">
        <f t="array" ref="S347">iferror(XLOOKUP(C347,'Download of SFDC Activation Rep'!B:B,'Download of SFDC Activation Rep'!Y:Y),"")</f>
        <v>45958</v>
      </c>
    </row>
    <row r="348">
      <c r="A348" s="17" t="s">
        <v>19</v>
      </c>
      <c r="B348" s="85">
        <v>46174.0</v>
      </c>
      <c r="C348" s="17">
        <v>4134744.0</v>
      </c>
      <c r="D348" s="85">
        <v>45992.0</v>
      </c>
      <c r="E348" s="17">
        <v>62.0</v>
      </c>
      <c r="F348" s="17">
        <v>62.0</v>
      </c>
      <c r="G348" s="17">
        <v>108439.38</v>
      </c>
      <c r="H348" s="17"/>
      <c r="I348" s="17">
        <v>164.409219</v>
      </c>
      <c r="J348" s="17"/>
      <c r="K348" s="17">
        <v>148.539499999999</v>
      </c>
      <c r="L348" s="17">
        <v>130.556196950406</v>
      </c>
      <c r="M348" s="17">
        <v>17.9833030495939</v>
      </c>
      <c r="N348" s="17">
        <v>7.99999999999999</v>
      </c>
      <c r="O348" s="14">
        <f t="shared" si="1"/>
        <v>156.5395</v>
      </c>
      <c r="P348" s="86">
        <f t="array" ref="P348">iferror(XLOOKUP(C348,'Download of SFDC Activation Rep'!B:B,'Download of SFDC Activation Rep'!Z:Z),"")</f>
        <v>45896</v>
      </c>
      <c r="Q348" s="86">
        <f t="shared" si="2"/>
        <v>45870</v>
      </c>
      <c r="R348" s="13" t="str">
        <f t="shared" si="3"/>
        <v>Yes</v>
      </c>
      <c r="S348" s="86">
        <f t="array" ref="S348">iferror(XLOOKUP(C348,'Download of SFDC Activation Rep'!B:B,'Download of SFDC Activation Rep'!Y:Y),"")</f>
        <v>46009</v>
      </c>
    </row>
    <row r="349">
      <c r="A349" s="17" t="s">
        <v>19</v>
      </c>
      <c r="B349" s="85">
        <v>46082.0</v>
      </c>
      <c r="C349" s="17">
        <v>4254984.0</v>
      </c>
      <c r="D349" s="85">
        <v>45992.0</v>
      </c>
      <c r="E349" s="17">
        <v>1.0</v>
      </c>
      <c r="F349" s="17">
        <v>1.0</v>
      </c>
      <c r="G349" s="17">
        <v>1128.0</v>
      </c>
      <c r="H349" s="17"/>
      <c r="I349" s="17">
        <v>0.0</v>
      </c>
      <c r="J349" s="17"/>
      <c r="K349" s="17">
        <v>-0.15</v>
      </c>
      <c r="L349" s="17">
        <v>-0.326736506399999</v>
      </c>
      <c r="M349" s="17">
        <v>0.176736506399999</v>
      </c>
      <c r="N349" s="17">
        <v>24.0</v>
      </c>
      <c r="O349" s="14">
        <f t="shared" si="1"/>
        <v>23.85</v>
      </c>
      <c r="P349" s="86">
        <f t="array" ref="P349">iferror(XLOOKUP(C349,'Download of SFDC Activation Rep'!B:B,'Download of SFDC Activation Rep'!Z:Z),"")</f>
        <v>45992</v>
      </c>
      <c r="Q349" s="86">
        <f t="shared" si="2"/>
        <v>45992</v>
      </c>
      <c r="R349" s="13" t="str">
        <f t="shared" si="3"/>
        <v>Yes</v>
      </c>
      <c r="S349" s="86">
        <f t="array" ref="S349">iferror(XLOOKUP(C349,'Download of SFDC Activation Rep'!B:B,'Download of SFDC Activation Rep'!Y:Y),"")</f>
        <v>46007</v>
      </c>
    </row>
    <row r="350">
      <c r="A350" s="17"/>
      <c r="B350" s="85">
        <v>45962.0</v>
      </c>
      <c r="C350" s="17">
        <v>4231672.0</v>
      </c>
      <c r="D350" s="85">
        <v>45962.0</v>
      </c>
      <c r="E350" s="17">
        <v>17.0</v>
      </c>
      <c r="F350" s="17">
        <v>17.0</v>
      </c>
      <c r="G350" s="17">
        <v>41233.69</v>
      </c>
      <c r="H350" s="17"/>
      <c r="I350" s="17">
        <v>0.0</v>
      </c>
      <c r="J350" s="17"/>
      <c r="K350" s="17">
        <v>-2.5539</v>
      </c>
      <c r="L350" s="17">
        <v>-9.01445008685706</v>
      </c>
      <c r="M350" s="17">
        <v>6.46055008685706</v>
      </c>
      <c r="N350" s="17">
        <v>0.0</v>
      </c>
      <c r="O350" s="14">
        <f t="shared" si="1"/>
        <v>-2.5539</v>
      </c>
      <c r="P350" s="86">
        <f t="array" ref="P350">iferror(XLOOKUP(C350,'Download of SFDC Activation Rep'!B:B,'Download of SFDC Activation Rep'!Z:Z),"")</f>
        <v>45965</v>
      </c>
      <c r="Q350" s="86">
        <f t="shared" si="2"/>
        <v>45962</v>
      </c>
      <c r="R350" s="13" t="str">
        <f t="shared" si="3"/>
        <v>Yes</v>
      </c>
      <c r="S350" s="86">
        <f t="array" ref="S350">iferror(XLOOKUP(C350,'Download of SFDC Activation Rep'!B:B,'Download of SFDC Activation Rep'!Y:Y),"")</f>
        <v>45980</v>
      </c>
    </row>
    <row r="351">
      <c r="A351" s="17" t="s">
        <v>488</v>
      </c>
      <c r="B351" s="85">
        <v>45901.0</v>
      </c>
      <c r="C351" s="17">
        <v>3959338.0</v>
      </c>
      <c r="D351" s="85">
        <v>45839.0</v>
      </c>
      <c r="E351" s="17">
        <v>26.0</v>
      </c>
      <c r="F351" s="17">
        <v>26.0</v>
      </c>
      <c r="G351" s="17">
        <v>35734.0</v>
      </c>
      <c r="H351" s="17"/>
      <c r="I351" s="17">
        <v>52.58</v>
      </c>
      <c r="J351" s="17">
        <v>7.0</v>
      </c>
      <c r="K351" s="17">
        <v>46.7461</v>
      </c>
      <c r="L351" s="17">
        <v>32.4135034353433</v>
      </c>
      <c r="M351" s="17">
        <v>14.3325965646566</v>
      </c>
      <c r="N351" s="17">
        <v>25.0</v>
      </c>
      <c r="O351" s="14">
        <f t="shared" si="1"/>
        <v>71.7461</v>
      </c>
      <c r="P351" s="86">
        <f t="array" ref="P351">iferror(XLOOKUP(C351,'Download of SFDC Activation Rep'!B:B,'Download of SFDC Activation Rep'!Z:Z),"")</f>
        <v>45839</v>
      </c>
      <c r="Q351" s="86">
        <f t="shared" si="2"/>
        <v>45839</v>
      </c>
      <c r="R351" s="13" t="str">
        <f t="shared" si="3"/>
        <v>Yes</v>
      </c>
      <c r="S351" s="86">
        <f t="array" ref="S351">iferror(XLOOKUP(C351,'Download of SFDC Activation Rep'!B:B,'Download of SFDC Activation Rep'!Y:Y),"")</f>
        <v>45841</v>
      </c>
    </row>
    <row r="352">
      <c r="A352" s="17" t="s">
        <v>488</v>
      </c>
      <c r="B352" s="85">
        <v>46143.0</v>
      </c>
      <c r="C352" s="17">
        <v>3934664.0</v>
      </c>
      <c r="D352" s="85">
        <v>45809.0</v>
      </c>
      <c r="E352" s="17">
        <v>16.0</v>
      </c>
      <c r="F352" s="17">
        <v>0.0</v>
      </c>
      <c r="G352" s="17">
        <v>7111.45</v>
      </c>
      <c r="H352" s="17">
        <v>1407.26</v>
      </c>
      <c r="I352" s="17">
        <v>206.23</v>
      </c>
      <c r="J352" s="17"/>
      <c r="K352" s="17">
        <v>-6.3048</v>
      </c>
      <c r="L352" s="17">
        <v>-6.3759145</v>
      </c>
      <c r="M352" s="17">
        <v>0.0711145000000001</v>
      </c>
      <c r="N352" s="17">
        <v>25.0</v>
      </c>
      <c r="O352" s="14">
        <f t="shared" si="1"/>
        <v>18.6952</v>
      </c>
      <c r="P352" s="86">
        <f t="array" ref="P352">iferror(XLOOKUP(C352,'Download of SFDC Activation Rep'!B:B,'Download of SFDC Activation Rep'!Z:Z),"")</f>
        <v>45820</v>
      </c>
      <c r="Q352" s="86">
        <f t="shared" si="2"/>
        <v>45809</v>
      </c>
      <c r="R352" s="13" t="str">
        <f t="shared" si="3"/>
        <v>Yes</v>
      </c>
      <c r="S352" s="86">
        <f t="array" ref="S352">iferror(XLOOKUP(C352,'Download of SFDC Activation Rep'!B:B,'Download of SFDC Activation Rep'!Y:Y),"")</f>
        <v>45829</v>
      </c>
    </row>
    <row r="353">
      <c r="A353" s="17" t="s">
        <v>488</v>
      </c>
      <c r="B353" s="85">
        <v>46082.0</v>
      </c>
      <c r="C353" s="17">
        <v>4359468.0</v>
      </c>
      <c r="D353" s="85">
        <v>46054.0</v>
      </c>
      <c r="E353" s="17">
        <v>4.0</v>
      </c>
      <c r="F353" s="17">
        <v>4.0</v>
      </c>
      <c r="G353" s="17">
        <v>2071.11</v>
      </c>
      <c r="H353" s="17"/>
      <c r="I353" s="17">
        <v>6.0</v>
      </c>
      <c r="J353" s="17"/>
      <c r="K353" s="17">
        <v>1.2264</v>
      </c>
      <c r="L353" s="17">
        <v>0.922606892757</v>
      </c>
      <c r="M353" s="17">
        <v>0.303793107242999</v>
      </c>
      <c r="N353" s="17">
        <v>17.0</v>
      </c>
      <c r="O353" s="14">
        <f t="shared" si="1"/>
        <v>18.2264</v>
      </c>
      <c r="P353" s="86">
        <f t="array" ref="P353">iferror(XLOOKUP(C353,'Download of SFDC Activation Rep'!B:B,'Download of SFDC Activation Rep'!Z:Z),"")</f>
        <v>46057</v>
      </c>
      <c r="Q353" s="86">
        <f t="shared" si="2"/>
        <v>46054</v>
      </c>
      <c r="R353" s="13" t="str">
        <f t="shared" si="3"/>
        <v>Yes</v>
      </c>
      <c r="S353" s="86">
        <f t="array" ref="S353">iferror(XLOOKUP(C353,'Download of SFDC Activation Rep'!B:B,'Download of SFDC Activation Rep'!Y:Y),"")</f>
        <v>46091</v>
      </c>
    </row>
    <row r="354">
      <c r="A354" s="17" t="s">
        <v>19</v>
      </c>
      <c r="B354" s="85">
        <v>45870.0</v>
      </c>
      <c r="C354" s="17">
        <v>3934711.0</v>
      </c>
      <c r="D354" s="85">
        <v>45839.0</v>
      </c>
      <c r="E354" s="17">
        <v>27.0</v>
      </c>
      <c r="F354" s="17">
        <v>27.0</v>
      </c>
      <c r="G354" s="17">
        <v>3932.5</v>
      </c>
      <c r="H354" s="17"/>
      <c r="I354" s="17">
        <v>7.55</v>
      </c>
      <c r="J354" s="17">
        <v>0.5</v>
      </c>
      <c r="K354" s="17">
        <v>3.56</v>
      </c>
      <c r="L354" s="17">
        <v>2.06306160198575</v>
      </c>
      <c r="M354" s="17">
        <v>1.49693839801425</v>
      </c>
      <c r="N354" s="17">
        <v>2.79999999999999</v>
      </c>
      <c r="O354" s="14">
        <f t="shared" si="1"/>
        <v>6.36</v>
      </c>
      <c r="P354" s="86">
        <f t="array" ref="P354">iferror(XLOOKUP(C354,'Download of SFDC Activation Rep'!B:B,'Download of SFDC Activation Rep'!Z:Z),"")</f>
        <v>45817</v>
      </c>
      <c r="Q354" s="86">
        <f t="shared" si="2"/>
        <v>45809</v>
      </c>
      <c r="R354" s="13" t="str">
        <f t="shared" si="3"/>
        <v>Yes</v>
      </c>
      <c r="S354" s="86">
        <f t="array" ref="S354">iferror(XLOOKUP(C354,'Download of SFDC Activation Rep'!B:B,'Download of SFDC Activation Rep'!Y:Y),"")</f>
        <v>45817</v>
      </c>
    </row>
    <row r="355">
      <c r="A355" s="17" t="s">
        <v>19</v>
      </c>
      <c r="B355" s="85">
        <v>46023.0</v>
      </c>
      <c r="C355" s="17">
        <v>4018525.0</v>
      </c>
      <c r="D355" s="85">
        <v>45839.0</v>
      </c>
      <c r="E355" s="17">
        <v>107.0</v>
      </c>
      <c r="F355" s="17">
        <v>107.0</v>
      </c>
      <c r="G355" s="17">
        <v>390068.09</v>
      </c>
      <c r="H355" s="17"/>
      <c r="I355" s="17">
        <v>106.14704</v>
      </c>
      <c r="J355" s="17"/>
      <c r="K355" s="17">
        <v>54.2573999999999</v>
      </c>
      <c r="L355" s="17">
        <v>-40.5905494718566</v>
      </c>
      <c r="M355" s="17">
        <v>94.8479494718566</v>
      </c>
      <c r="N355" s="17">
        <v>6.39999999999999</v>
      </c>
      <c r="O355" s="14">
        <f t="shared" si="1"/>
        <v>60.6574</v>
      </c>
      <c r="P355" s="86">
        <f t="array" ref="P355">iferror(XLOOKUP(C355,'Download of SFDC Activation Rep'!B:B,'Download of SFDC Activation Rep'!Z:Z),"")</f>
        <v>45818</v>
      </c>
      <c r="Q355" s="86">
        <f t="shared" si="2"/>
        <v>45809</v>
      </c>
      <c r="R355" s="13" t="str">
        <f t="shared" si="3"/>
        <v>Yes</v>
      </c>
      <c r="S355" s="86">
        <f t="array" ref="S355">iferror(XLOOKUP(C355,'Download of SFDC Activation Rep'!B:B,'Download of SFDC Activation Rep'!Y:Y),"")</f>
        <v>45859</v>
      </c>
    </row>
    <row r="356">
      <c r="A356" s="17" t="s">
        <v>488</v>
      </c>
      <c r="B356" s="85">
        <v>46143.0</v>
      </c>
      <c r="C356" s="17">
        <v>4030970.0</v>
      </c>
      <c r="D356" s="85">
        <v>45870.0</v>
      </c>
      <c r="E356" s="17">
        <v>15.0</v>
      </c>
      <c r="F356" s="17">
        <v>15.0</v>
      </c>
      <c r="G356" s="17">
        <v>6311.26</v>
      </c>
      <c r="H356" s="17"/>
      <c r="I356" s="17">
        <v>84.242335</v>
      </c>
      <c r="J356" s="17"/>
      <c r="K356" s="17">
        <v>82.4172</v>
      </c>
      <c r="L356" s="17">
        <v>81.48844025799</v>
      </c>
      <c r="M356" s="17">
        <v>0.928759742010001</v>
      </c>
      <c r="N356" s="17">
        <v>1.99999999999999</v>
      </c>
      <c r="O356" s="14">
        <f t="shared" si="1"/>
        <v>84.4172</v>
      </c>
      <c r="P356" s="86">
        <f t="array" ref="P356">iferror(XLOOKUP(C356,'Download of SFDC Activation Rep'!B:B,'Download of SFDC Activation Rep'!Z:Z),"")</f>
        <v>45870</v>
      </c>
      <c r="Q356" s="86">
        <f t="shared" si="2"/>
        <v>45870</v>
      </c>
      <c r="R356" s="13" t="str">
        <f t="shared" si="3"/>
        <v>Yes</v>
      </c>
      <c r="S356" s="86">
        <f t="array" ref="S356">iferror(XLOOKUP(C356,'Download of SFDC Activation Rep'!B:B,'Download of SFDC Activation Rep'!Y:Y),"")</f>
        <v>45876</v>
      </c>
    </row>
    <row r="357">
      <c r="A357" s="17" t="s">
        <v>488</v>
      </c>
      <c r="B357" s="85">
        <v>46113.0</v>
      </c>
      <c r="C357" s="17">
        <v>4359494.0</v>
      </c>
      <c r="D357" s="85">
        <v>46023.0</v>
      </c>
      <c r="E357" s="17">
        <v>3.0</v>
      </c>
      <c r="F357" s="17">
        <v>3.0</v>
      </c>
      <c r="G357" s="17">
        <v>941.52</v>
      </c>
      <c r="H357" s="17"/>
      <c r="I357" s="17">
        <v>4.5</v>
      </c>
      <c r="J357" s="17"/>
      <c r="K357" s="17">
        <v>0.8888</v>
      </c>
      <c r="L357" s="17">
        <v>0.750696622423999</v>
      </c>
      <c r="M357" s="17">
        <v>0.138103377576</v>
      </c>
      <c r="N357" s="17">
        <v>17.0</v>
      </c>
      <c r="O357" s="14">
        <f t="shared" si="1"/>
        <v>17.8888</v>
      </c>
      <c r="P357" s="86">
        <f t="array" ref="P357">iferror(XLOOKUP(C357,'Download of SFDC Activation Rep'!B:B,'Download of SFDC Activation Rep'!Z:Z),"")</f>
        <v>46057</v>
      </c>
      <c r="Q357" s="86">
        <f t="shared" si="2"/>
        <v>46054</v>
      </c>
      <c r="R357" s="13" t="str">
        <f t="shared" si="3"/>
        <v>Yes</v>
      </c>
      <c r="S357" s="86">
        <f t="array" ref="S357">iferror(XLOOKUP(C357,'Download of SFDC Activation Rep'!B:B,'Download of SFDC Activation Rep'!Y:Y),"")</f>
        <v>46057</v>
      </c>
    </row>
    <row r="358">
      <c r="A358" s="17" t="s">
        <v>489</v>
      </c>
      <c r="B358" s="85">
        <v>46023.0</v>
      </c>
      <c r="C358" s="17">
        <v>4339749.0</v>
      </c>
      <c r="D358" s="85">
        <v>46023.0</v>
      </c>
      <c r="E358" s="17">
        <v>14.0</v>
      </c>
      <c r="F358" s="17">
        <v>0.0</v>
      </c>
      <c r="G358" s="17">
        <v>26384.63</v>
      </c>
      <c r="H358" s="17"/>
      <c r="I358" s="17">
        <v>790.74</v>
      </c>
      <c r="J358" s="17"/>
      <c r="K358" s="17">
        <v>25.7961</v>
      </c>
      <c r="L358" s="17">
        <v>19.4841964760993</v>
      </c>
      <c r="M358" s="17">
        <v>6.31190352390061</v>
      </c>
      <c r="N358" s="17">
        <v>0.0</v>
      </c>
      <c r="O358" s="14">
        <f t="shared" si="1"/>
        <v>25.7961</v>
      </c>
      <c r="P358" s="86">
        <f t="array" ref="P358">iferror(XLOOKUP(C358,'Download of SFDC Activation Rep'!B:B,'Download of SFDC Activation Rep'!Z:Z),"")</f>
        <v>46037</v>
      </c>
      <c r="Q358" s="86">
        <f t="shared" si="2"/>
        <v>46023</v>
      </c>
      <c r="R358" s="13" t="str">
        <f t="shared" si="3"/>
        <v>Yes</v>
      </c>
      <c r="S358" s="86">
        <f t="array" ref="S358">iferror(XLOOKUP(C358,'Download of SFDC Activation Rep'!B:B,'Download of SFDC Activation Rep'!Y:Y),"")</f>
        <v>46057</v>
      </c>
    </row>
    <row r="359">
      <c r="A359" s="17" t="s">
        <v>19</v>
      </c>
      <c r="B359" s="85">
        <v>46082.0</v>
      </c>
      <c r="C359" s="17">
        <v>4239966.0</v>
      </c>
      <c r="D359" s="85">
        <v>45992.0</v>
      </c>
      <c r="E359" s="17">
        <v>1.0</v>
      </c>
      <c r="F359" s="17">
        <v>1.0</v>
      </c>
      <c r="G359" s="17">
        <v>262.19</v>
      </c>
      <c r="H359" s="17"/>
      <c r="I359" s="17">
        <v>0.0</v>
      </c>
      <c r="J359" s="17"/>
      <c r="K359" s="17">
        <v>-0.15</v>
      </c>
      <c r="L359" s="17">
        <v>-0.191080270046999</v>
      </c>
      <c r="M359" s="17">
        <v>0.0410802700469999</v>
      </c>
      <c r="N359" s="17">
        <v>24.0</v>
      </c>
      <c r="O359" s="14">
        <f t="shared" si="1"/>
        <v>23.85</v>
      </c>
      <c r="P359" s="86">
        <f t="array" ref="P359">iferror(XLOOKUP(C359,'Download of SFDC Activation Rep'!B:B,'Download of SFDC Activation Rep'!Z:Z),"")</f>
        <v>45979</v>
      </c>
      <c r="Q359" s="86">
        <f t="shared" si="2"/>
        <v>45962</v>
      </c>
      <c r="R359" s="13" t="str">
        <f t="shared" si="3"/>
        <v>Yes</v>
      </c>
      <c r="S359" s="86">
        <f t="array" ref="S359">iferror(XLOOKUP(C359,'Download of SFDC Activation Rep'!B:B,'Download of SFDC Activation Rep'!Y:Y),"")</f>
        <v>45995</v>
      </c>
    </row>
    <row r="360">
      <c r="A360" s="17" t="s">
        <v>488</v>
      </c>
      <c r="B360" s="85">
        <v>46143.0</v>
      </c>
      <c r="C360" s="17">
        <v>4039652.0</v>
      </c>
      <c r="D360" s="85">
        <v>45870.0</v>
      </c>
      <c r="E360" s="17">
        <v>11.0</v>
      </c>
      <c r="F360" s="17">
        <v>11.0</v>
      </c>
      <c r="G360" s="17">
        <v>19242.5</v>
      </c>
      <c r="H360" s="17"/>
      <c r="I360" s="17">
        <v>87.8</v>
      </c>
      <c r="J360" s="17"/>
      <c r="K360" s="17">
        <v>85.4204</v>
      </c>
      <c r="L360" s="17">
        <v>76.61188577275</v>
      </c>
      <c r="M360" s="17">
        <v>8.80851422725001</v>
      </c>
      <c r="N360" s="17">
        <v>25.0</v>
      </c>
      <c r="O360" s="14">
        <f t="shared" si="1"/>
        <v>110.4204</v>
      </c>
      <c r="P360" s="86">
        <f t="array" ref="P360">iferror(XLOOKUP(C360,'Download of SFDC Activation Rep'!B:B,'Download of SFDC Activation Rep'!Z:Z),"")</f>
        <v>45863</v>
      </c>
      <c r="Q360" s="86">
        <f t="shared" si="2"/>
        <v>45839</v>
      </c>
      <c r="R360" s="13" t="str">
        <f t="shared" si="3"/>
        <v>Yes</v>
      </c>
      <c r="S360" s="86">
        <f t="array" ref="S360">iferror(XLOOKUP(C360,'Download of SFDC Activation Rep'!B:B,'Download of SFDC Activation Rep'!Y:Y),"")</f>
        <v>45880</v>
      </c>
    </row>
    <row r="361">
      <c r="A361" s="17" t="s">
        <v>19</v>
      </c>
      <c r="B361" s="85">
        <v>45901.0</v>
      </c>
      <c r="C361" s="17">
        <v>3947424.0</v>
      </c>
      <c r="D361" s="85">
        <v>45809.0</v>
      </c>
      <c r="E361" s="17">
        <v>72.0</v>
      </c>
      <c r="F361" s="17">
        <v>72.0</v>
      </c>
      <c r="G361" s="17">
        <v>176525.28</v>
      </c>
      <c r="H361" s="17"/>
      <c r="I361" s="17">
        <v>131.182721</v>
      </c>
      <c r="J361" s="17">
        <v>9.5</v>
      </c>
      <c r="K361" s="17">
        <v>120.412799999999</v>
      </c>
      <c r="L361" s="17">
        <v>92.7545813677003</v>
      </c>
      <c r="M361" s="17">
        <v>27.6582186322996</v>
      </c>
      <c r="N361" s="17">
        <v>55.0</v>
      </c>
      <c r="O361" s="14">
        <f t="shared" si="1"/>
        <v>175.4128</v>
      </c>
      <c r="P361" s="86">
        <f t="array" ref="P361">iferror(XLOOKUP(C361,'Download of SFDC Activation Rep'!B:B,'Download of SFDC Activation Rep'!Z:Z),"")</f>
        <v>45805</v>
      </c>
      <c r="Q361" s="86">
        <f t="shared" si="2"/>
        <v>45778</v>
      </c>
      <c r="R361" s="13" t="str">
        <f t="shared" si="3"/>
        <v>Yes</v>
      </c>
      <c r="S361" s="86">
        <f t="array" ref="S361">iferror(XLOOKUP(C361,'Download of SFDC Activation Rep'!B:B,'Download of SFDC Activation Rep'!Y:Y),"")</f>
        <v>45805</v>
      </c>
    </row>
    <row r="362">
      <c r="A362" s="17" t="s">
        <v>19</v>
      </c>
      <c r="B362" s="85">
        <v>46113.0</v>
      </c>
      <c r="C362" s="17">
        <v>4270780.0</v>
      </c>
      <c r="D362" s="85">
        <v>45992.0</v>
      </c>
      <c r="E362" s="17">
        <v>13.0</v>
      </c>
      <c r="F362" s="17">
        <v>13.0</v>
      </c>
      <c r="G362" s="17">
        <v>543621.31</v>
      </c>
      <c r="H362" s="17"/>
      <c r="I362" s="17">
        <v>3.0</v>
      </c>
      <c r="J362" s="17"/>
      <c r="K362" s="17">
        <v>-0.5296</v>
      </c>
      <c r="L362" s="17">
        <v>-85.5790529585029</v>
      </c>
      <c r="M362" s="17">
        <v>85.0494529585029</v>
      </c>
      <c r="N362" s="17">
        <v>64.0</v>
      </c>
      <c r="O362" s="14">
        <f t="shared" si="1"/>
        <v>63.4704</v>
      </c>
      <c r="P362" s="86">
        <f t="array" ref="P362">iferror(XLOOKUP(C362,'Download of SFDC Activation Rep'!B:B,'Download of SFDC Activation Rep'!Z:Z),"")</f>
        <v>45961</v>
      </c>
      <c r="Q362" s="86">
        <f t="shared" si="2"/>
        <v>45931</v>
      </c>
      <c r="R362" s="13" t="str">
        <f t="shared" si="3"/>
        <v>Yes</v>
      </c>
      <c r="S362" s="86">
        <f t="array" ref="S362">iferror(XLOOKUP(C362,'Download of SFDC Activation Rep'!B:B,'Download of SFDC Activation Rep'!Y:Y),"")</f>
        <v>46013</v>
      </c>
    </row>
    <row r="363">
      <c r="A363" s="17" t="s">
        <v>488</v>
      </c>
      <c r="B363" s="85">
        <v>46113.0</v>
      </c>
      <c r="C363" s="17">
        <v>4181210.0</v>
      </c>
      <c r="D363" s="85">
        <v>46082.0</v>
      </c>
      <c r="E363" s="17">
        <v>9.0</v>
      </c>
      <c r="F363" s="17">
        <v>5.0</v>
      </c>
      <c r="G363" s="17">
        <v>19530.0</v>
      </c>
      <c r="H363" s="17"/>
      <c r="I363" s="17">
        <v>234.81</v>
      </c>
      <c r="J363" s="17"/>
      <c r="K363" s="17">
        <v>8.2252</v>
      </c>
      <c r="L363" s="17">
        <v>1.820240836</v>
      </c>
      <c r="M363" s="17">
        <v>6.404959164</v>
      </c>
      <c r="N363" s="17">
        <v>28.0</v>
      </c>
      <c r="O363" s="14">
        <f t="shared" si="1"/>
        <v>36.2252</v>
      </c>
      <c r="P363" s="86">
        <f t="array" ref="P363">iferror(XLOOKUP(C363,'Download of SFDC Activation Rep'!B:B,'Download of SFDC Activation Rep'!Z:Z),"")</f>
        <v>46077</v>
      </c>
      <c r="Q363" s="86">
        <f t="shared" si="2"/>
        <v>46054</v>
      </c>
      <c r="R363" s="13" t="str">
        <f t="shared" si="3"/>
        <v>Yes</v>
      </c>
      <c r="S363" s="86">
        <f t="array" ref="S363">iferror(XLOOKUP(C363,'Download of SFDC Activation Rep'!B:B,'Download of SFDC Activation Rep'!Y:Y),"")</f>
        <v>46118</v>
      </c>
    </row>
    <row r="364">
      <c r="A364" s="17" t="s">
        <v>19</v>
      </c>
      <c r="B364" s="85">
        <v>45809.0</v>
      </c>
      <c r="C364" s="17">
        <v>3947424.0</v>
      </c>
      <c r="D364" s="85">
        <v>45809.0</v>
      </c>
      <c r="E364" s="17">
        <v>2.0</v>
      </c>
      <c r="F364" s="17">
        <v>2.0</v>
      </c>
      <c r="G364" s="17">
        <v>2597.64</v>
      </c>
      <c r="H364" s="17"/>
      <c r="I364" s="17">
        <v>0.0</v>
      </c>
      <c r="J364" s="17"/>
      <c r="K364" s="17">
        <v>-0.12</v>
      </c>
      <c r="L364" s="17">
        <v>-0.527001733961316</v>
      </c>
      <c r="M364" s="17">
        <v>0.407001733961316</v>
      </c>
      <c r="N364" s="17">
        <v>5.49999999999999</v>
      </c>
      <c r="O364" s="14">
        <f t="shared" si="1"/>
        <v>5.38</v>
      </c>
      <c r="P364" s="86">
        <f t="array" ref="P364">iferror(XLOOKUP(C364,'Download of SFDC Activation Rep'!B:B,'Download of SFDC Activation Rep'!Z:Z),"")</f>
        <v>45805</v>
      </c>
      <c r="Q364" s="86">
        <f t="shared" si="2"/>
        <v>45778</v>
      </c>
      <c r="R364" s="13" t="str">
        <f t="shared" si="3"/>
        <v>Yes</v>
      </c>
      <c r="S364" s="86">
        <f t="array" ref="S364">iferror(XLOOKUP(C364,'Download of SFDC Activation Rep'!B:B,'Download of SFDC Activation Rep'!Y:Y),"")</f>
        <v>45805</v>
      </c>
    </row>
    <row r="365">
      <c r="A365" s="17" t="s">
        <v>488</v>
      </c>
      <c r="B365" s="85">
        <v>46082.0</v>
      </c>
      <c r="C365" s="17">
        <v>4410778.0</v>
      </c>
      <c r="D365" s="85">
        <v>46082.0</v>
      </c>
      <c r="E365" s="17">
        <v>3.0</v>
      </c>
      <c r="F365" s="17">
        <v>3.0</v>
      </c>
      <c r="G365" s="17">
        <v>5250.0</v>
      </c>
      <c r="H365" s="17"/>
      <c r="I365" s="17">
        <v>37.375</v>
      </c>
      <c r="J365" s="17"/>
      <c r="K365" s="17">
        <v>35.9766</v>
      </c>
      <c r="L365" s="17">
        <v>35.161523175</v>
      </c>
      <c r="M365" s="17">
        <v>0.815076824999991</v>
      </c>
      <c r="N365" s="17">
        <v>2.79999999999999</v>
      </c>
      <c r="O365" s="14">
        <f t="shared" si="1"/>
        <v>38.7766</v>
      </c>
      <c r="P365" s="86">
        <f t="array" ref="P365">iferror(XLOOKUP(C365,'Download of SFDC Activation Rep'!B:B,'Download of SFDC Activation Rep'!Z:Z),"")</f>
        <v>46099</v>
      </c>
      <c r="Q365" s="86">
        <f t="shared" si="2"/>
        <v>46082</v>
      </c>
      <c r="R365" s="13" t="str">
        <f t="shared" si="3"/>
        <v>Yes</v>
      </c>
      <c r="S365" s="86">
        <f t="array" ref="S365">iferror(XLOOKUP(C365,'Download of SFDC Activation Rep'!B:B,'Download of SFDC Activation Rep'!Y:Y),"")</f>
        <v>46101</v>
      </c>
    </row>
    <row r="366">
      <c r="A366" s="17" t="s">
        <v>488</v>
      </c>
      <c r="B366" s="85">
        <v>45839.0</v>
      </c>
      <c r="C366" s="17">
        <v>4027648.0</v>
      </c>
      <c r="D366" s="85">
        <v>45839.0</v>
      </c>
      <c r="E366" s="17">
        <v>1.0</v>
      </c>
      <c r="F366" s="17">
        <v>1.0</v>
      </c>
      <c r="G366" s="17">
        <v>150.0</v>
      </c>
      <c r="H366" s="17"/>
      <c r="I366" s="17">
        <v>0.0</v>
      </c>
      <c r="J366" s="17"/>
      <c r="K366" s="17">
        <v>-0.06</v>
      </c>
      <c r="L366" s="17">
        <v>-0.083502202035</v>
      </c>
      <c r="M366" s="17">
        <v>0.023502202035</v>
      </c>
      <c r="N366" s="17">
        <v>0.0</v>
      </c>
      <c r="O366" s="14">
        <f t="shared" si="1"/>
        <v>-0.06</v>
      </c>
      <c r="P366" s="86">
        <f t="array" ref="P366">iferror(XLOOKUP(C366,'Download of SFDC Activation Rep'!B:B,'Download of SFDC Activation Rep'!Z:Z),"")</f>
        <v>45869</v>
      </c>
      <c r="Q366" s="86">
        <f t="shared" si="2"/>
        <v>45839</v>
      </c>
      <c r="R366" s="13" t="str">
        <f t="shared" si="3"/>
        <v>Yes</v>
      </c>
      <c r="S366" s="86">
        <f t="array" ref="S366">iferror(XLOOKUP(C366,'Download of SFDC Activation Rep'!B:B,'Download of SFDC Activation Rep'!Y:Y),"")</f>
        <v>45869</v>
      </c>
    </row>
    <row r="367">
      <c r="A367" s="17" t="s">
        <v>17</v>
      </c>
      <c r="B367" s="85">
        <v>45992.0</v>
      </c>
      <c r="C367" s="17">
        <v>4307473.0</v>
      </c>
      <c r="D367" s="85">
        <v>45992.0</v>
      </c>
      <c r="E367" s="17">
        <v>1.0</v>
      </c>
      <c r="F367" s="17">
        <v>0.0</v>
      </c>
      <c r="G367" s="17">
        <v>5616.2</v>
      </c>
      <c r="H367" s="17">
        <v>5616.2</v>
      </c>
      <c r="I367" s="17">
        <v>162.87</v>
      </c>
      <c r="J367" s="17"/>
      <c r="K367" s="17">
        <v>28.8832</v>
      </c>
      <c r="L367" s="17">
        <v>28.8270379999999</v>
      </c>
      <c r="M367" s="17">
        <v>0.0561620000000004</v>
      </c>
      <c r="N367" s="17">
        <v>0.0</v>
      </c>
      <c r="O367" s="14">
        <f t="shared" si="1"/>
        <v>28.8832</v>
      </c>
      <c r="P367" s="86">
        <f t="array" ref="P367">iferror(XLOOKUP(C367,'Download of SFDC Activation Rep'!B:B,'Download of SFDC Activation Rep'!Z:Z),"")</f>
        <v>45841</v>
      </c>
      <c r="Q367" s="86">
        <f t="shared" si="2"/>
        <v>45839</v>
      </c>
      <c r="R367" s="13" t="str">
        <f t="shared" si="3"/>
        <v>Yes</v>
      </c>
      <c r="S367" s="86">
        <f t="array" ref="S367">iferror(XLOOKUP(C367,'Download of SFDC Activation Rep'!B:B,'Download of SFDC Activation Rep'!Y:Y),"")</f>
        <v>46021</v>
      </c>
    </row>
    <row r="368">
      <c r="A368" s="17" t="s">
        <v>19</v>
      </c>
      <c r="B368" s="85">
        <v>46113.0</v>
      </c>
      <c r="C368" s="17">
        <v>4112463.0</v>
      </c>
      <c r="D368" s="85">
        <v>45931.0</v>
      </c>
      <c r="E368" s="17">
        <v>38.0</v>
      </c>
      <c r="F368" s="17">
        <v>38.0</v>
      </c>
      <c r="G368" s="17">
        <v>98963.46</v>
      </c>
      <c r="H368" s="17"/>
      <c r="I368" s="17">
        <v>15.986758</v>
      </c>
      <c r="J368" s="17"/>
      <c r="K368" s="17">
        <v>1.14319999999999</v>
      </c>
      <c r="L368" s="17">
        <v>-14.2705639652979</v>
      </c>
      <c r="M368" s="17">
        <v>15.4137639652979</v>
      </c>
      <c r="N368" s="17">
        <v>64.0</v>
      </c>
      <c r="O368" s="14">
        <f t="shared" si="1"/>
        <v>65.1432</v>
      </c>
      <c r="P368" s="86">
        <f t="array" ref="P368">iferror(XLOOKUP(C368,'Download of SFDC Activation Rep'!B:B,'Download of SFDC Activation Rep'!Z:Z),"")</f>
        <v>45911</v>
      </c>
      <c r="Q368" s="86">
        <f t="shared" si="2"/>
        <v>45901</v>
      </c>
      <c r="R368" s="13" t="str">
        <f t="shared" si="3"/>
        <v>Yes</v>
      </c>
      <c r="S368" s="86">
        <f t="array" ref="S368">iferror(XLOOKUP(C368,'Download of SFDC Activation Rep'!B:B,'Download of SFDC Activation Rep'!Y:Y),"")</f>
        <v>45945</v>
      </c>
    </row>
    <row r="369">
      <c r="A369" s="17" t="s">
        <v>488</v>
      </c>
      <c r="B369" s="85">
        <v>45962.0</v>
      </c>
      <c r="C369" s="17">
        <v>3968250.0</v>
      </c>
      <c r="D369" s="85">
        <v>45809.0</v>
      </c>
      <c r="E369" s="17">
        <v>25.0</v>
      </c>
      <c r="F369" s="17">
        <v>25.0</v>
      </c>
      <c r="G369" s="17">
        <v>30712.12</v>
      </c>
      <c r="H369" s="17"/>
      <c r="I369" s="17">
        <v>0.0</v>
      </c>
      <c r="J369" s="17"/>
      <c r="K369" s="17">
        <v>-3.85199999999999</v>
      </c>
      <c r="L369" s="17">
        <v>-8.66401632775442</v>
      </c>
      <c r="M369" s="17">
        <v>4.81201632775442</v>
      </c>
      <c r="N369" s="17">
        <v>6.39999999999999</v>
      </c>
      <c r="O369" s="14">
        <f t="shared" si="1"/>
        <v>2.548</v>
      </c>
      <c r="P369" s="86">
        <f t="array" ref="P369">iferror(XLOOKUP(C369,'Download of SFDC Activation Rep'!B:B,'Download of SFDC Activation Rep'!Z:Z),"")</f>
        <v>45809</v>
      </c>
      <c r="Q369" s="86">
        <f t="shared" si="2"/>
        <v>45809</v>
      </c>
      <c r="R369" s="13" t="str">
        <f t="shared" si="3"/>
        <v>Yes</v>
      </c>
      <c r="S369" s="86">
        <f t="array" ref="S369">iferror(XLOOKUP(C369,'Download of SFDC Activation Rep'!B:B,'Download of SFDC Activation Rep'!Y:Y),"")</f>
        <v>45826</v>
      </c>
    </row>
    <row r="370">
      <c r="A370" s="17" t="s">
        <v>19</v>
      </c>
      <c r="B370" s="85">
        <v>46143.0</v>
      </c>
      <c r="C370" s="17">
        <v>4400582.0</v>
      </c>
      <c r="D370" s="85">
        <v>46082.0</v>
      </c>
      <c r="E370" s="17">
        <v>5.0</v>
      </c>
      <c r="F370" s="17">
        <v>5.0</v>
      </c>
      <c r="G370" s="17">
        <v>138530.39</v>
      </c>
      <c r="H370" s="17"/>
      <c r="I370" s="17">
        <v>166.25</v>
      </c>
      <c r="J370" s="17"/>
      <c r="K370" s="17">
        <v>165.4979</v>
      </c>
      <c r="L370" s="17">
        <v>119.130668205293</v>
      </c>
      <c r="M370" s="17">
        <v>46.3672317947069</v>
      </c>
      <c r="N370" s="17">
        <v>54.4</v>
      </c>
      <c r="O370" s="14">
        <f t="shared" si="1"/>
        <v>219.8979</v>
      </c>
      <c r="P370" s="86">
        <f t="array" ref="P370">iferror(XLOOKUP(C370,'Download of SFDC Activation Rep'!B:B,'Download of SFDC Activation Rep'!Z:Z),"")</f>
        <v>46099</v>
      </c>
      <c r="Q370" s="86">
        <f t="shared" si="2"/>
        <v>46082</v>
      </c>
      <c r="R370" s="13" t="str">
        <f t="shared" si="3"/>
        <v>Yes</v>
      </c>
      <c r="S370" s="86">
        <f t="array" ref="S370">iferror(XLOOKUP(C370,'Download of SFDC Activation Rep'!B:B,'Download of SFDC Activation Rep'!Y:Y),"")</f>
        <v>46087</v>
      </c>
    </row>
    <row r="371">
      <c r="A371" s="17" t="s">
        <v>1488</v>
      </c>
      <c r="B371" s="85">
        <v>46174.0</v>
      </c>
      <c r="C371" s="17">
        <v>4693674.0</v>
      </c>
      <c r="D371" s="85">
        <v>46174.0</v>
      </c>
      <c r="E371" s="17">
        <v>11.0</v>
      </c>
      <c r="F371" s="17">
        <v>11.0</v>
      </c>
      <c r="G371" s="17">
        <v>27168.72</v>
      </c>
      <c r="H371" s="17"/>
      <c r="I371" s="17">
        <v>4.5</v>
      </c>
      <c r="J371" s="17"/>
      <c r="K371" s="17">
        <v>-0.248499999999999</v>
      </c>
      <c r="L371" s="17">
        <v>-4.42518696893599</v>
      </c>
      <c r="M371" s="17">
        <v>4.17668696893599</v>
      </c>
      <c r="N371" s="17">
        <v>0.0</v>
      </c>
      <c r="O371" s="14">
        <f t="shared" si="1"/>
        <v>-0.2485</v>
      </c>
      <c r="P371" s="86">
        <f t="array" ref="P371">iferror(XLOOKUP(C371,'Download of SFDC Activation Rep'!B:B,'Download of SFDC Activation Rep'!Z:Z),"")</f>
        <v>46175</v>
      </c>
      <c r="Q371" s="86">
        <f t="shared" si="2"/>
        <v>46174</v>
      </c>
      <c r="R371" s="13" t="str">
        <f t="shared" si="3"/>
        <v>Yes</v>
      </c>
      <c r="S371" s="86">
        <f t="array" ref="S371">iferror(XLOOKUP(C371,'Download of SFDC Activation Rep'!B:B,'Download of SFDC Activation Rep'!Y:Y),"")</f>
        <v>46279</v>
      </c>
    </row>
    <row r="372">
      <c r="A372" s="17" t="s">
        <v>489</v>
      </c>
      <c r="B372" s="85">
        <v>46023.0</v>
      </c>
      <c r="C372" s="17">
        <v>4220233.0</v>
      </c>
      <c r="D372" s="85">
        <v>45992.0</v>
      </c>
      <c r="E372" s="17">
        <v>9.0</v>
      </c>
      <c r="F372" s="17">
        <v>9.0</v>
      </c>
      <c r="G372" s="17">
        <v>89675.12</v>
      </c>
      <c r="H372" s="17"/>
      <c r="I372" s="17">
        <v>183.06</v>
      </c>
      <c r="J372" s="17"/>
      <c r="K372" s="17">
        <v>110.1362</v>
      </c>
      <c r="L372" s="17">
        <v>99.1146965855904</v>
      </c>
      <c r="M372" s="17">
        <v>11.0215034144096</v>
      </c>
      <c r="N372" s="17">
        <v>44.0</v>
      </c>
      <c r="O372" s="14">
        <f t="shared" si="1"/>
        <v>154.1362</v>
      </c>
      <c r="P372" s="86">
        <f t="array" ref="P372">iferror(XLOOKUP(C372,'Download of SFDC Activation Rep'!B:B,'Download of SFDC Activation Rep'!Z:Z),"")</f>
        <v>45960</v>
      </c>
      <c r="Q372" s="86">
        <f t="shared" si="2"/>
        <v>45931</v>
      </c>
      <c r="R372" s="13" t="str">
        <f t="shared" si="3"/>
        <v>Yes</v>
      </c>
      <c r="S372" s="86">
        <f t="array" ref="S372">iferror(XLOOKUP(C372,'Download of SFDC Activation Rep'!B:B,'Download of SFDC Activation Rep'!Y:Y),"")</f>
        <v>46006</v>
      </c>
    </row>
    <row r="373">
      <c r="A373" s="17" t="s">
        <v>17</v>
      </c>
      <c r="B373" s="85">
        <v>46023.0</v>
      </c>
      <c r="C373" s="17">
        <v>4380860.0</v>
      </c>
      <c r="D373" s="85">
        <v>46023.0</v>
      </c>
      <c r="E373" s="17">
        <v>2.0</v>
      </c>
      <c r="F373" s="17">
        <v>0.0</v>
      </c>
      <c r="G373" s="17">
        <v>1269.54</v>
      </c>
      <c r="H373" s="17"/>
      <c r="I373" s="17">
        <v>57.89</v>
      </c>
      <c r="J373" s="17"/>
      <c r="K373" s="17">
        <v>3.9408</v>
      </c>
      <c r="L373" s="17">
        <v>3.66648452555084</v>
      </c>
      <c r="M373" s="17">
        <v>0.274315474449155</v>
      </c>
      <c r="N373" s="17">
        <v>0.0</v>
      </c>
      <c r="O373" s="14">
        <f t="shared" si="1"/>
        <v>3.9408</v>
      </c>
      <c r="P373" s="86">
        <f t="array" ref="P373">iferror(XLOOKUP(C373,'Download of SFDC Activation Rep'!B:B,'Download of SFDC Activation Rep'!Z:Z),"")</f>
        <v>46049</v>
      </c>
      <c r="Q373" s="86">
        <f t="shared" si="2"/>
        <v>46023</v>
      </c>
      <c r="R373" s="13" t="str">
        <f t="shared" si="3"/>
        <v>Yes</v>
      </c>
      <c r="S373" s="86">
        <f t="array" ref="S373">iferror(XLOOKUP(C373,'Download of SFDC Activation Rep'!B:B,'Download of SFDC Activation Rep'!Y:Y),"")</f>
        <v>46051</v>
      </c>
    </row>
    <row r="374">
      <c r="A374" s="17" t="s">
        <v>488</v>
      </c>
      <c r="B374" s="85">
        <v>45931.0</v>
      </c>
      <c r="C374" s="17">
        <v>4068848.0</v>
      </c>
      <c r="D374" s="85">
        <v>45870.0</v>
      </c>
      <c r="E374" s="17">
        <v>11.0</v>
      </c>
      <c r="F374" s="17">
        <v>2.0</v>
      </c>
      <c r="G374" s="17">
        <v>4159.7</v>
      </c>
      <c r="H374" s="17">
        <v>2049.36</v>
      </c>
      <c r="I374" s="17">
        <v>107.15</v>
      </c>
      <c r="J374" s="17"/>
      <c r="K374" s="17">
        <v>14.3022</v>
      </c>
      <c r="L374" s="17">
        <v>13.5707515216801</v>
      </c>
      <c r="M374" s="17">
        <v>0.731448478319805</v>
      </c>
      <c r="N374" s="17">
        <v>1.99999999999999</v>
      </c>
      <c r="O374" s="14">
        <f t="shared" si="1"/>
        <v>16.3022</v>
      </c>
      <c r="P374" s="86">
        <f t="array" ref="P374">iferror(XLOOKUP(C374,'Download of SFDC Activation Rep'!B:B,'Download of SFDC Activation Rep'!Z:Z),"")</f>
        <v>45880</v>
      </c>
      <c r="Q374" s="86">
        <f t="shared" si="2"/>
        <v>45870</v>
      </c>
      <c r="R374" s="13" t="str">
        <f t="shared" si="3"/>
        <v>Yes</v>
      </c>
      <c r="S374" s="86">
        <f t="array" ref="S374">iferror(XLOOKUP(C374,'Download of SFDC Activation Rep'!B:B,'Download of SFDC Activation Rep'!Y:Y),"")</f>
        <v>45896</v>
      </c>
    </row>
    <row r="375">
      <c r="A375" s="17" t="s">
        <v>19</v>
      </c>
      <c r="B375" s="85">
        <v>46174.0</v>
      </c>
      <c r="C375" s="17">
        <v>4654585.0</v>
      </c>
      <c r="D375" s="85">
        <v>46143.0</v>
      </c>
      <c r="E375" s="17">
        <v>96.0</v>
      </c>
      <c r="F375" s="17">
        <v>96.0</v>
      </c>
      <c r="G375" s="17">
        <v>150125.7</v>
      </c>
      <c r="H375" s="17"/>
      <c r="I375" s="17">
        <v>765.58</v>
      </c>
      <c r="J375" s="17"/>
      <c r="K375" s="17">
        <v>740.257699999999</v>
      </c>
      <c r="L375" s="17">
        <v>568.57774866843</v>
      </c>
      <c r="M375" s="17">
        <v>171.679951331569</v>
      </c>
      <c r="N375" s="17">
        <v>68.0</v>
      </c>
      <c r="O375" s="14">
        <f t="shared" si="1"/>
        <v>808.2577</v>
      </c>
      <c r="P375" s="86">
        <f t="array" ref="P375">iferror(XLOOKUP(C375,'Download of SFDC Activation Rep'!B:B,'Download of SFDC Activation Rep'!Z:Z),"")</f>
        <v>46155</v>
      </c>
      <c r="Q375" s="86">
        <f t="shared" si="2"/>
        <v>46143</v>
      </c>
      <c r="R375" s="13" t="str">
        <f t="shared" si="3"/>
        <v>Yes</v>
      </c>
      <c r="S375" s="86">
        <f t="array" ref="S375">iferror(XLOOKUP(C375,'Download of SFDC Activation Rep'!B:B,'Download of SFDC Activation Rep'!Y:Y),"")</f>
        <v>46286</v>
      </c>
    </row>
    <row r="376">
      <c r="A376" s="17" t="s">
        <v>488</v>
      </c>
      <c r="B376" s="85">
        <v>46082.0</v>
      </c>
      <c r="C376" s="17">
        <v>3906405.0</v>
      </c>
      <c r="D376" s="85">
        <v>45778.0</v>
      </c>
      <c r="E376" s="17">
        <v>67.0</v>
      </c>
      <c r="F376" s="17">
        <v>67.0</v>
      </c>
      <c r="G376" s="17">
        <v>119839.35</v>
      </c>
      <c r="H376" s="17"/>
      <c r="I376" s="17">
        <v>51.9085</v>
      </c>
      <c r="J376" s="17">
        <v>19.0</v>
      </c>
      <c r="K376" s="17">
        <v>35.629</v>
      </c>
      <c r="L376" s="17">
        <v>10.274867776845</v>
      </c>
      <c r="M376" s="17">
        <v>25.354132223155</v>
      </c>
      <c r="N376" s="17">
        <v>29.75</v>
      </c>
      <c r="O376" s="14">
        <f t="shared" si="1"/>
        <v>65.379</v>
      </c>
      <c r="P376" s="86">
        <f t="array" ref="P376">iferror(XLOOKUP(C376,'Download of SFDC Activation Rep'!B:B,'Download of SFDC Activation Rep'!Z:Z),"")</f>
        <v>45798</v>
      </c>
      <c r="Q376" s="86">
        <f t="shared" si="2"/>
        <v>45778</v>
      </c>
      <c r="R376" s="13" t="str">
        <f t="shared" si="3"/>
        <v>Yes</v>
      </c>
      <c r="S376" s="86">
        <f t="array" ref="S376">iferror(XLOOKUP(C376,'Download of SFDC Activation Rep'!B:B,'Download of SFDC Activation Rep'!Y:Y),"")</f>
        <v>45807</v>
      </c>
    </row>
    <row r="377">
      <c r="A377" s="17" t="s">
        <v>17</v>
      </c>
      <c r="B377" s="85">
        <v>45962.0</v>
      </c>
      <c r="C377" s="17">
        <v>4185373.0</v>
      </c>
      <c r="D377" s="85">
        <v>45931.0</v>
      </c>
      <c r="E377" s="17">
        <v>5.0</v>
      </c>
      <c r="F377" s="17">
        <v>0.0</v>
      </c>
      <c r="G377" s="17">
        <v>16203.1</v>
      </c>
      <c r="H377" s="17">
        <v>1183.1</v>
      </c>
      <c r="I377" s="17">
        <v>469.88</v>
      </c>
      <c r="J377" s="17"/>
      <c r="K377" s="17">
        <v>334.054999999999</v>
      </c>
      <c r="L377" s="17">
        <v>333.892969</v>
      </c>
      <c r="M377" s="17">
        <v>0.162030999999956</v>
      </c>
      <c r="N377" s="17">
        <v>0.0</v>
      </c>
      <c r="O377" s="14">
        <f t="shared" si="1"/>
        <v>334.055</v>
      </c>
      <c r="P377" s="86">
        <f t="array" ref="P377">iferror(XLOOKUP(C377,'Download of SFDC Activation Rep'!B:B,'Download of SFDC Activation Rep'!Z:Z),"")</f>
        <v>45940</v>
      </c>
      <c r="Q377" s="86">
        <f t="shared" si="2"/>
        <v>45931</v>
      </c>
      <c r="R377" s="13" t="str">
        <f t="shared" si="3"/>
        <v>Yes</v>
      </c>
      <c r="S377" s="86">
        <f t="array" ref="S377">iferror(XLOOKUP(C377,'Download of SFDC Activation Rep'!B:B,'Download of SFDC Activation Rep'!Y:Y),"")</f>
        <v>45958</v>
      </c>
    </row>
    <row r="378">
      <c r="A378" s="17" t="s">
        <v>489</v>
      </c>
      <c r="B378" s="85">
        <v>45962.0</v>
      </c>
      <c r="C378" s="17">
        <v>4099073.0</v>
      </c>
      <c r="D378" s="85">
        <v>45931.0</v>
      </c>
      <c r="E378" s="17">
        <v>1.0</v>
      </c>
      <c r="F378" s="17">
        <v>1.0</v>
      </c>
      <c r="G378" s="17">
        <v>33851.52</v>
      </c>
      <c r="H378" s="17"/>
      <c r="I378" s="17">
        <v>0.0</v>
      </c>
      <c r="J378" s="17"/>
      <c r="K378" s="17">
        <v>-0.15</v>
      </c>
      <c r="L378" s="17">
        <v>-5.45390174821228</v>
      </c>
      <c r="M378" s="17">
        <v>5.30390174821228</v>
      </c>
      <c r="N378" s="17">
        <v>7.99999999999999</v>
      </c>
      <c r="O378" s="14">
        <f t="shared" si="1"/>
        <v>7.85</v>
      </c>
      <c r="P378" s="86">
        <f t="array" ref="P378">iferror(XLOOKUP(C378,'Download of SFDC Activation Rep'!B:B,'Download of SFDC Activation Rep'!Z:Z),"")</f>
        <v>45870</v>
      </c>
      <c r="Q378" s="86">
        <f t="shared" si="2"/>
        <v>45870</v>
      </c>
      <c r="R378" s="13" t="str">
        <f t="shared" si="3"/>
        <v>Yes</v>
      </c>
      <c r="S378" s="86">
        <f t="array" ref="S378">iferror(XLOOKUP(C378,'Download of SFDC Activation Rep'!B:B,'Download of SFDC Activation Rep'!Y:Y),"")</f>
        <v>45999</v>
      </c>
    </row>
    <row r="379">
      <c r="A379" s="17" t="s">
        <v>489</v>
      </c>
      <c r="B379" s="85">
        <v>46143.0</v>
      </c>
      <c r="C379" s="17">
        <v>4038405.0</v>
      </c>
      <c r="D379" s="85">
        <v>45870.0</v>
      </c>
      <c r="E379" s="17">
        <v>92.0</v>
      </c>
      <c r="F379" s="17">
        <v>92.0</v>
      </c>
      <c r="G379" s="17">
        <v>1078586.25</v>
      </c>
      <c r="H379" s="17"/>
      <c r="I379" s="17">
        <v>358.843213</v>
      </c>
      <c r="J379" s="17">
        <v>16.5</v>
      </c>
      <c r="K379" s="17">
        <v>342.9966</v>
      </c>
      <c r="L379" s="17">
        <v>169.902418537139</v>
      </c>
      <c r="M379" s="17">
        <v>173.094181462861</v>
      </c>
      <c r="N379" s="17">
        <v>5.19999999999999</v>
      </c>
      <c r="O379" s="14">
        <f t="shared" si="1"/>
        <v>348.1966</v>
      </c>
      <c r="P379" s="86">
        <f t="array" ref="P379">iferror(XLOOKUP(C379,'Download of SFDC Activation Rep'!B:B,'Download of SFDC Activation Rep'!Z:Z),"")</f>
        <v>45839</v>
      </c>
      <c r="Q379" s="86">
        <f t="shared" si="2"/>
        <v>45839</v>
      </c>
      <c r="R379" s="13" t="str">
        <f t="shared" si="3"/>
        <v>Yes</v>
      </c>
      <c r="S379" s="86">
        <f t="array" ref="S379">iferror(XLOOKUP(C379,'Download of SFDC Activation Rep'!B:B,'Download of SFDC Activation Rep'!Y:Y),"")</f>
        <v>45877</v>
      </c>
    </row>
    <row r="380">
      <c r="A380" s="17" t="s">
        <v>488</v>
      </c>
      <c r="B380" s="85">
        <v>46174.0</v>
      </c>
      <c r="C380" s="17">
        <v>4239920.0</v>
      </c>
      <c r="D380" s="85">
        <v>45992.0</v>
      </c>
      <c r="E380" s="17">
        <v>2.0</v>
      </c>
      <c r="F380" s="17">
        <v>2.0</v>
      </c>
      <c r="G380" s="17">
        <v>12232.9</v>
      </c>
      <c r="H380" s="17"/>
      <c r="I380" s="17">
        <v>0.0</v>
      </c>
      <c r="J380" s="17"/>
      <c r="K380" s="17">
        <v>-0.3</v>
      </c>
      <c r="L380" s="17">
        <v>-2.21666667477</v>
      </c>
      <c r="M380" s="17">
        <v>1.91666667476999</v>
      </c>
      <c r="N380" s="17">
        <v>10.5</v>
      </c>
      <c r="O380" s="14">
        <f t="shared" si="1"/>
        <v>10.2</v>
      </c>
      <c r="P380" s="86">
        <f t="array" ref="P380">iferror(XLOOKUP(C380,'Download of SFDC Activation Rep'!B:B,'Download of SFDC Activation Rep'!Z:Z),"")</f>
        <v>45979</v>
      </c>
      <c r="Q380" s="86">
        <f t="shared" si="2"/>
        <v>45962</v>
      </c>
      <c r="R380" s="13" t="str">
        <f t="shared" si="3"/>
        <v>Yes</v>
      </c>
      <c r="S380" s="86">
        <f t="array" ref="S380">iferror(XLOOKUP(C380,'Download of SFDC Activation Rep'!B:B,'Download of SFDC Activation Rep'!Y:Y),"")</f>
        <v>46007</v>
      </c>
    </row>
    <row r="381">
      <c r="A381" s="17" t="s">
        <v>489</v>
      </c>
      <c r="B381" s="85">
        <v>46023.0</v>
      </c>
      <c r="C381" s="17">
        <v>4299558.0</v>
      </c>
      <c r="D381" s="85">
        <v>46023.0</v>
      </c>
      <c r="E381" s="17">
        <v>2.0</v>
      </c>
      <c r="F381" s="17">
        <v>1.0</v>
      </c>
      <c r="G381" s="17">
        <v>3656.0</v>
      </c>
      <c r="H381" s="17">
        <v>3456.0</v>
      </c>
      <c r="I381" s="17">
        <v>100.22</v>
      </c>
      <c r="J381" s="17"/>
      <c r="K381" s="17">
        <v>19.1965</v>
      </c>
      <c r="L381" s="17">
        <v>19.08682</v>
      </c>
      <c r="M381" s="17">
        <v>0.10968</v>
      </c>
      <c r="N381" s="17">
        <v>44.0</v>
      </c>
      <c r="O381" s="14">
        <f t="shared" si="1"/>
        <v>85.6605</v>
      </c>
      <c r="P381" s="86">
        <f t="array" ref="P381">iferror(XLOOKUP(C381,'Download of SFDC Activation Rep'!B:B,'Download of SFDC Activation Rep'!Z:Z),"")</f>
        <v>46013</v>
      </c>
      <c r="Q381" s="86">
        <f t="shared" si="2"/>
        <v>45992</v>
      </c>
      <c r="R381" s="13" t="str">
        <f t="shared" si="3"/>
        <v>Yes</v>
      </c>
      <c r="S381" s="86">
        <f t="array" ref="S381">iferror(XLOOKUP(C381,'Download of SFDC Activation Rep'!B:B,'Download of SFDC Activation Rep'!Y:Y),"")</f>
        <v>46036</v>
      </c>
    </row>
    <row r="382">
      <c r="A382" s="17" t="s">
        <v>488</v>
      </c>
      <c r="B382" s="85">
        <v>46143.0</v>
      </c>
      <c r="C382" s="17">
        <v>4521121.0</v>
      </c>
      <c r="D382" s="85">
        <v>46113.0</v>
      </c>
      <c r="E382" s="17">
        <v>25.0</v>
      </c>
      <c r="F382" s="17">
        <v>25.0</v>
      </c>
      <c r="G382" s="17">
        <v>29976.45</v>
      </c>
      <c r="H382" s="17"/>
      <c r="I382" s="17">
        <v>244.746417</v>
      </c>
      <c r="J382" s="17">
        <v>2.5</v>
      </c>
      <c r="K382" s="17">
        <v>239.6464</v>
      </c>
      <c r="L382" s="17">
        <v>229.164645894915</v>
      </c>
      <c r="M382" s="17">
        <v>10.481754105085</v>
      </c>
      <c r="N382" s="17">
        <v>33.0</v>
      </c>
      <c r="O382" s="14">
        <f t="shared" si="1"/>
        <v>272.6464</v>
      </c>
      <c r="P382" s="86">
        <f t="array" ref="P382">iferror(XLOOKUP(C382,'Download of SFDC Activation Rep'!B:B,'Download of SFDC Activation Rep'!Z:Z),"")</f>
        <v>46120</v>
      </c>
      <c r="Q382" s="86">
        <f t="shared" si="2"/>
        <v>46113</v>
      </c>
      <c r="R382" s="13" t="str">
        <f t="shared" si="3"/>
        <v>Yes</v>
      </c>
      <c r="S382" s="86">
        <f t="array" ref="S382">iferror(XLOOKUP(C382,'Download of SFDC Activation Rep'!B:B,'Download of SFDC Activation Rep'!Y:Y),"")</f>
        <v>46147</v>
      </c>
    </row>
    <row r="383">
      <c r="A383" s="17" t="s">
        <v>489</v>
      </c>
      <c r="B383" s="85">
        <v>46054.0</v>
      </c>
      <c r="C383" s="17">
        <v>3024156.0</v>
      </c>
      <c r="D383" s="85">
        <v>45901.0</v>
      </c>
      <c r="E383" s="17">
        <v>34.0</v>
      </c>
      <c r="F383" s="17">
        <v>34.0</v>
      </c>
      <c r="G383" s="17">
        <v>82590.09</v>
      </c>
      <c r="H383" s="17"/>
      <c r="I383" s="17">
        <v>68.0</v>
      </c>
      <c r="J383" s="17"/>
      <c r="K383" s="17">
        <v>48.4769999999999</v>
      </c>
      <c r="L383" s="17">
        <v>33.1400056916829</v>
      </c>
      <c r="M383" s="17">
        <v>15.3369943083169</v>
      </c>
      <c r="N383" s="17">
        <v>65.0</v>
      </c>
      <c r="O383" s="14">
        <f t="shared" si="1"/>
        <v>113.477</v>
      </c>
      <c r="P383" s="86">
        <f t="array" ref="P383">iferror(XLOOKUP(C383,'Download of SFDC Activation Rep'!B:B,'Download of SFDC Activation Rep'!Z:Z),"")</f>
        <v>45897</v>
      </c>
      <c r="Q383" s="86">
        <f t="shared" si="2"/>
        <v>45870</v>
      </c>
      <c r="R383" s="13" t="str">
        <f t="shared" si="3"/>
        <v>Yes</v>
      </c>
      <c r="S383" s="86">
        <f t="array" ref="S383">iferror(XLOOKUP(C383,'Download of SFDC Activation Rep'!B:B,'Download of SFDC Activation Rep'!Y:Y),"")</f>
        <v>45916</v>
      </c>
    </row>
    <row r="384">
      <c r="A384" s="17" t="s">
        <v>489</v>
      </c>
      <c r="B384" s="85">
        <v>46023.0</v>
      </c>
      <c r="C384" s="17">
        <v>4099073.0</v>
      </c>
      <c r="D384" s="85">
        <v>45931.0</v>
      </c>
      <c r="E384" s="17">
        <v>17.0</v>
      </c>
      <c r="F384" s="17">
        <v>17.0</v>
      </c>
      <c r="G384" s="17">
        <v>68294.55</v>
      </c>
      <c r="H384" s="17"/>
      <c r="I384" s="17">
        <v>0.0</v>
      </c>
      <c r="J384" s="17"/>
      <c r="K384" s="17">
        <v>-2.4035</v>
      </c>
      <c r="L384" s="17">
        <v>-16.9259507259899</v>
      </c>
      <c r="M384" s="17">
        <v>14.5224507259899</v>
      </c>
      <c r="N384" s="17">
        <v>80.0</v>
      </c>
      <c r="O384" s="14">
        <f t="shared" si="1"/>
        <v>77.5965</v>
      </c>
      <c r="P384" s="86">
        <f t="array" ref="P384">iferror(XLOOKUP(C384,'Download of SFDC Activation Rep'!B:B,'Download of SFDC Activation Rep'!Z:Z),"")</f>
        <v>45870</v>
      </c>
      <c r="Q384" s="86">
        <f t="shared" si="2"/>
        <v>45870</v>
      </c>
      <c r="R384" s="13" t="str">
        <f t="shared" si="3"/>
        <v>Yes</v>
      </c>
      <c r="S384" s="86">
        <f t="array" ref="S384">iferror(XLOOKUP(C384,'Download of SFDC Activation Rep'!B:B,'Download of SFDC Activation Rep'!Y:Y),"")</f>
        <v>45999</v>
      </c>
    </row>
    <row r="385">
      <c r="A385" s="17" t="s">
        <v>17</v>
      </c>
      <c r="B385" s="85">
        <v>45931.0</v>
      </c>
      <c r="C385" s="17">
        <v>4169152.0</v>
      </c>
      <c r="D385" s="85">
        <v>45931.0</v>
      </c>
      <c r="E385" s="17">
        <v>7.0</v>
      </c>
      <c r="F385" s="17">
        <v>0.0</v>
      </c>
      <c r="G385" s="17">
        <v>22176.0</v>
      </c>
      <c r="H385" s="17">
        <v>22176.0</v>
      </c>
      <c r="I385" s="17">
        <v>643.1</v>
      </c>
      <c r="J385" s="17"/>
      <c r="K385" s="17">
        <v>90.8047</v>
      </c>
      <c r="L385" s="17">
        <v>79.0413780219615</v>
      </c>
      <c r="M385" s="17">
        <v>11.7633219780384</v>
      </c>
      <c r="N385" s="17">
        <v>0.0</v>
      </c>
      <c r="O385" s="14">
        <f t="shared" si="1"/>
        <v>90.8047</v>
      </c>
      <c r="P385" s="86">
        <f t="array" ref="P385">iferror(XLOOKUP(C385,'Download of SFDC Activation Rep'!B:B,'Download of SFDC Activation Rep'!Z:Z),"")</f>
        <v>45940</v>
      </c>
      <c r="Q385" s="86">
        <f t="shared" si="2"/>
        <v>45931</v>
      </c>
      <c r="R385" s="13" t="str">
        <f t="shared" si="3"/>
        <v>Yes</v>
      </c>
      <c r="S385" s="86">
        <f t="array" ref="S385">iferror(XLOOKUP(C385,'Download of SFDC Activation Rep'!B:B,'Download of SFDC Activation Rep'!Y:Y),"")</f>
        <v>45958</v>
      </c>
    </row>
    <row r="386">
      <c r="A386" s="17" t="s">
        <v>19</v>
      </c>
      <c r="B386" s="85">
        <v>46054.0</v>
      </c>
      <c r="C386" s="17">
        <v>2428419.0</v>
      </c>
      <c r="D386" s="85">
        <v>46023.0</v>
      </c>
      <c r="E386" s="17">
        <v>306.0</v>
      </c>
      <c r="F386" s="17">
        <v>306.0</v>
      </c>
      <c r="G386" s="17">
        <v>195552.79</v>
      </c>
      <c r="H386" s="17"/>
      <c r="I386" s="17">
        <v>570.997587</v>
      </c>
      <c r="J386" s="17"/>
      <c r="K386" s="17">
        <v>521.4116</v>
      </c>
      <c r="L386" s="17">
        <v>484.652020674753</v>
      </c>
      <c r="M386" s="17">
        <v>36.7595793252464</v>
      </c>
      <c r="N386" s="17">
        <v>80.0</v>
      </c>
      <c r="O386" s="14">
        <f t="shared" si="1"/>
        <v>601.4116</v>
      </c>
      <c r="P386" s="86">
        <f t="array" ref="P386">iferror(XLOOKUP(C386,'Download of SFDC Activation Rep'!B:B,'Download of SFDC Activation Rep'!Z:Z),"")</f>
        <v>45891</v>
      </c>
      <c r="Q386" s="86">
        <f t="shared" si="2"/>
        <v>45870</v>
      </c>
      <c r="R386" s="13" t="str">
        <f t="shared" si="3"/>
        <v>Yes</v>
      </c>
      <c r="S386" s="86">
        <f t="array" ref="S386">iferror(XLOOKUP(C386,'Download of SFDC Activation Rep'!B:B,'Download of SFDC Activation Rep'!Y:Y),"")</f>
        <v>46029</v>
      </c>
    </row>
    <row r="387">
      <c r="A387" s="17" t="s">
        <v>17</v>
      </c>
      <c r="B387" s="85">
        <v>46143.0</v>
      </c>
      <c r="C387" s="17">
        <v>4169152.0</v>
      </c>
      <c r="D387" s="85">
        <v>45931.0</v>
      </c>
      <c r="E387" s="17">
        <v>11.0</v>
      </c>
      <c r="F387" s="17">
        <v>0.0</v>
      </c>
      <c r="G387" s="17">
        <v>22984.8</v>
      </c>
      <c r="H387" s="17">
        <v>18124.8</v>
      </c>
      <c r="I387" s="17">
        <v>632.71</v>
      </c>
      <c r="J387" s="17"/>
      <c r="K387" s="17">
        <v>-12.5286999999999</v>
      </c>
      <c r="L387" s="17">
        <v>-43.95849948844</v>
      </c>
      <c r="M387" s="17">
        <v>31.42979948844</v>
      </c>
      <c r="N387" s="17">
        <v>0.0</v>
      </c>
      <c r="O387" s="14">
        <f t="shared" si="1"/>
        <v>-12.5287</v>
      </c>
      <c r="P387" s="86">
        <f t="array" ref="P387">iferror(XLOOKUP(C387,'Download of SFDC Activation Rep'!B:B,'Download of SFDC Activation Rep'!Z:Z),"")</f>
        <v>45940</v>
      </c>
      <c r="Q387" s="86">
        <f t="shared" si="2"/>
        <v>45931</v>
      </c>
      <c r="R387" s="13" t="str">
        <f t="shared" si="3"/>
        <v>Yes</v>
      </c>
      <c r="S387" s="86">
        <f t="array" ref="S387">iferror(XLOOKUP(C387,'Download of SFDC Activation Rep'!B:B,'Download of SFDC Activation Rep'!Y:Y),"")</f>
        <v>45958</v>
      </c>
    </row>
    <row r="388">
      <c r="A388" s="17" t="s">
        <v>488</v>
      </c>
      <c r="B388" s="85">
        <v>45931.0</v>
      </c>
      <c r="C388" s="17">
        <v>4136952.0</v>
      </c>
      <c r="D388" s="85">
        <v>45931.0</v>
      </c>
      <c r="E388" s="17">
        <v>15.0</v>
      </c>
      <c r="F388" s="17">
        <v>15.0</v>
      </c>
      <c r="G388" s="17">
        <v>30350.29</v>
      </c>
      <c r="H388" s="17"/>
      <c r="I388" s="17">
        <v>3.5</v>
      </c>
      <c r="J388" s="17">
        <v>0.5</v>
      </c>
      <c r="K388" s="17">
        <v>0.67</v>
      </c>
      <c r="L388" s="17">
        <v>-4.0245093160056</v>
      </c>
      <c r="M388" s="17">
        <v>4.6945093160056</v>
      </c>
      <c r="N388" s="17">
        <v>35.0</v>
      </c>
      <c r="O388" s="14">
        <f t="shared" si="1"/>
        <v>35.67</v>
      </c>
      <c r="P388" s="86">
        <f t="array" ref="P388">iferror(XLOOKUP(C388,'Download of SFDC Activation Rep'!B:B,'Download of SFDC Activation Rep'!Z:Z),"")</f>
        <v>45930</v>
      </c>
      <c r="Q388" s="86">
        <f t="shared" si="2"/>
        <v>45901</v>
      </c>
      <c r="R388" s="13" t="str">
        <f t="shared" si="3"/>
        <v>Yes</v>
      </c>
      <c r="S388" s="86">
        <f t="array" ref="S388">iferror(XLOOKUP(C388,'Download of SFDC Activation Rep'!B:B,'Download of SFDC Activation Rep'!Y:Y),"")</f>
        <v>45938</v>
      </c>
    </row>
    <row r="389">
      <c r="A389" s="17" t="s">
        <v>17</v>
      </c>
      <c r="B389" s="85">
        <v>45809.0</v>
      </c>
      <c r="C389" s="17">
        <v>492746.0</v>
      </c>
      <c r="D389" s="85">
        <v>45809.0</v>
      </c>
      <c r="E389" s="17">
        <v>1.0</v>
      </c>
      <c r="F389" s="17">
        <v>0.0</v>
      </c>
      <c r="G389" s="17">
        <v>561.22</v>
      </c>
      <c r="H389" s="17"/>
      <c r="I389" s="17">
        <v>16.28</v>
      </c>
      <c r="J389" s="17"/>
      <c r="K389" s="17">
        <v>1.8662</v>
      </c>
      <c r="L389" s="17">
        <v>1.8605878</v>
      </c>
      <c r="M389" s="17">
        <v>0.00561220000000006</v>
      </c>
      <c r="N389" s="17">
        <v>6.49999999999999</v>
      </c>
      <c r="O389" s="14">
        <f t="shared" si="1"/>
        <v>8.3662</v>
      </c>
      <c r="P389" s="86">
        <f t="array" ref="P389">iferror(XLOOKUP(C389,'Download of SFDC Activation Rep'!B:B,'Download of SFDC Activation Rep'!Z:Z),"")</f>
        <v>45820</v>
      </c>
      <c r="Q389" s="86">
        <f t="shared" si="2"/>
        <v>45809</v>
      </c>
      <c r="R389" s="13" t="str">
        <f t="shared" si="3"/>
        <v>Yes</v>
      </c>
      <c r="S389" s="86">
        <f t="array" ref="S389">iferror(XLOOKUP(C389,'Download of SFDC Activation Rep'!B:B,'Download of SFDC Activation Rep'!Y:Y),"")</f>
        <v>45832</v>
      </c>
    </row>
    <row r="390">
      <c r="A390" s="17" t="s">
        <v>488</v>
      </c>
      <c r="B390" s="85">
        <v>46113.0</v>
      </c>
      <c r="C390" s="17">
        <v>4030970.0</v>
      </c>
      <c r="D390" s="85">
        <v>45870.0</v>
      </c>
      <c r="E390" s="17">
        <v>23.0</v>
      </c>
      <c r="F390" s="17">
        <v>23.0</v>
      </c>
      <c r="G390" s="17">
        <v>178494.19</v>
      </c>
      <c r="H390" s="17"/>
      <c r="I390" s="17">
        <v>150.4532</v>
      </c>
      <c r="J390" s="17"/>
      <c r="K390" s="17">
        <v>147.3917</v>
      </c>
      <c r="L390" s="17">
        <v>119.885732165507</v>
      </c>
      <c r="M390" s="17">
        <v>27.5059678344929</v>
      </c>
      <c r="N390" s="17">
        <v>1.99999999999999</v>
      </c>
      <c r="O390" s="14">
        <f t="shared" si="1"/>
        <v>149.3917</v>
      </c>
      <c r="P390" s="86">
        <f t="array" ref="P390">iferror(XLOOKUP(C390,'Download of SFDC Activation Rep'!B:B,'Download of SFDC Activation Rep'!Z:Z),"")</f>
        <v>45870</v>
      </c>
      <c r="Q390" s="86">
        <f t="shared" si="2"/>
        <v>45870</v>
      </c>
      <c r="R390" s="13" t="str">
        <f t="shared" si="3"/>
        <v>Yes</v>
      </c>
      <c r="S390" s="86">
        <f t="array" ref="S390">iferror(XLOOKUP(C390,'Download of SFDC Activation Rep'!B:B,'Download of SFDC Activation Rep'!Y:Y),"")</f>
        <v>45876</v>
      </c>
    </row>
    <row r="391">
      <c r="A391" s="17" t="s">
        <v>19</v>
      </c>
      <c r="B391" s="85">
        <v>46054.0</v>
      </c>
      <c r="C391" s="17">
        <v>4239924.0</v>
      </c>
      <c r="D391" s="85">
        <v>45992.0</v>
      </c>
      <c r="E391" s="17">
        <v>1.0</v>
      </c>
      <c r="F391" s="17">
        <v>1.0</v>
      </c>
      <c r="G391" s="17">
        <v>510.82</v>
      </c>
      <c r="H391" s="17"/>
      <c r="I391" s="17">
        <v>0.0</v>
      </c>
      <c r="J391" s="17"/>
      <c r="K391" s="17">
        <v>-0.0544</v>
      </c>
      <c r="L391" s="17">
        <v>-0.134435941665999</v>
      </c>
      <c r="M391" s="17">
        <v>0.0800359416659999</v>
      </c>
      <c r="N391" s="17">
        <v>24.0</v>
      </c>
      <c r="O391" s="14">
        <f t="shared" si="1"/>
        <v>23.9456</v>
      </c>
      <c r="P391" s="86">
        <f t="array" ref="P391">iferror(XLOOKUP(C391,'Download of SFDC Activation Rep'!B:B,'Download of SFDC Activation Rep'!Z:Z),"")</f>
        <v>45979</v>
      </c>
      <c r="Q391" s="86">
        <f t="shared" si="2"/>
        <v>45962</v>
      </c>
      <c r="R391" s="13" t="str">
        <f t="shared" si="3"/>
        <v>Yes</v>
      </c>
      <c r="S391" s="86">
        <f t="array" ref="S391">iferror(XLOOKUP(C391,'Download of SFDC Activation Rep'!B:B,'Download of SFDC Activation Rep'!Y:Y),"")</f>
        <v>45995</v>
      </c>
    </row>
    <row r="392">
      <c r="A392" s="17" t="s">
        <v>488</v>
      </c>
      <c r="B392" s="85">
        <v>45870.0</v>
      </c>
      <c r="C392" s="17">
        <v>3968250.0</v>
      </c>
      <c r="D392" s="85">
        <v>45809.0</v>
      </c>
      <c r="E392" s="17">
        <v>33.0</v>
      </c>
      <c r="F392" s="17">
        <v>32.0</v>
      </c>
      <c r="G392" s="17">
        <v>139376.22</v>
      </c>
      <c r="H392" s="17"/>
      <c r="I392" s="17">
        <v>1460.0</v>
      </c>
      <c r="J392" s="17"/>
      <c r="K392" s="17">
        <v>103.889</v>
      </c>
      <c r="L392" s="17">
        <v>61.1907936745692</v>
      </c>
      <c r="M392" s="17">
        <v>42.6982063254307</v>
      </c>
      <c r="N392" s="17">
        <v>6.39999999999999</v>
      </c>
      <c r="O392" s="14">
        <f t="shared" si="1"/>
        <v>110.289</v>
      </c>
      <c r="P392" s="86">
        <f t="array" ref="P392">iferror(XLOOKUP(C392,'Download of SFDC Activation Rep'!B:B,'Download of SFDC Activation Rep'!Z:Z),"")</f>
        <v>45809</v>
      </c>
      <c r="Q392" s="86">
        <f t="shared" si="2"/>
        <v>45809</v>
      </c>
      <c r="R392" s="13" t="str">
        <f t="shared" si="3"/>
        <v>Yes</v>
      </c>
      <c r="S392" s="86">
        <f t="array" ref="S392">iferror(XLOOKUP(C392,'Download of SFDC Activation Rep'!B:B,'Download of SFDC Activation Rep'!Y:Y),"")</f>
        <v>45826</v>
      </c>
    </row>
    <row r="393">
      <c r="A393" s="17" t="s">
        <v>17</v>
      </c>
      <c r="B393" s="85">
        <v>46082.0</v>
      </c>
      <c r="C393" s="17">
        <v>4169152.0</v>
      </c>
      <c r="D393" s="85">
        <v>45931.0</v>
      </c>
      <c r="E393" s="17">
        <v>11.0</v>
      </c>
      <c r="F393" s="17">
        <v>0.0</v>
      </c>
      <c r="G393" s="17">
        <v>10845.0</v>
      </c>
      <c r="H393" s="17">
        <v>10845.0</v>
      </c>
      <c r="I393" s="17">
        <v>314.51</v>
      </c>
      <c r="J393" s="17"/>
      <c r="K393" s="17">
        <v>-16.4214</v>
      </c>
      <c r="L393" s="17">
        <v>-22.1741606159999</v>
      </c>
      <c r="M393" s="17">
        <v>5.752760616</v>
      </c>
      <c r="N393" s="17">
        <v>25.0</v>
      </c>
      <c r="O393" s="14">
        <f t="shared" si="1"/>
        <v>79.0711</v>
      </c>
      <c r="P393" s="86">
        <f t="array" ref="P393">iferror(XLOOKUP(C393,'Download of SFDC Activation Rep'!B:B,'Download of SFDC Activation Rep'!Z:Z),"")</f>
        <v>45940</v>
      </c>
      <c r="Q393" s="86">
        <f t="shared" si="2"/>
        <v>45931</v>
      </c>
      <c r="R393" s="13" t="str">
        <f t="shared" si="3"/>
        <v>Yes</v>
      </c>
      <c r="S393" s="86">
        <f t="array" ref="S393">iferror(XLOOKUP(C393,'Download of SFDC Activation Rep'!B:B,'Download of SFDC Activation Rep'!Y:Y),"")</f>
        <v>45958</v>
      </c>
    </row>
    <row r="394">
      <c r="A394" s="17" t="s">
        <v>488</v>
      </c>
      <c r="B394" s="85">
        <v>45870.0</v>
      </c>
      <c r="C394" s="17">
        <v>3906405.0</v>
      </c>
      <c r="D394" s="85">
        <v>45778.0</v>
      </c>
      <c r="E394" s="17">
        <v>15.0</v>
      </c>
      <c r="F394" s="17">
        <v>15.0</v>
      </c>
      <c r="G394" s="17">
        <v>29374.4</v>
      </c>
      <c r="H394" s="17"/>
      <c r="I394" s="17">
        <v>0.0</v>
      </c>
      <c r="J394" s="17"/>
      <c r="K394" s="17">
        <v>-1.71999999999999</v>
      </c>
      <c r="L394" s="17">
        <v>-6.32242055637936</v>
      </c>
      <c r="M394" s="17">
        <v>4.60242055637936</v>
      </c>
      <c r="N394" s="17">
        <v>29.75</v>
      </c>
      <c r="O394" s="14">
        <f t="shared" si="1"/>
        <v>28.03</v>
      </c>
      <c r="P394" s="86">
        <f t="array" ref="P394">iferror(XLOOKUP(C394,'Download of SFDC Activation Rep'!B:B,'Download of SFDC Activation Rep'!Z:Z),"")</f>
        <v>45798</v>
      </c>
      <c r="Q394" s="86">
        <f t="shared" si="2"/>
        <v>45778</v>
      </c>
      <c r="R394" s="13" t="str">
        <f t="shared" si="3"/>
        <v>Yes</v>
      </c>
      <c r="S394" s="86">
        <f t="array" ref="S394">iferror(XLOOKUP(C394,'Download of SFDC Activation Rep'!B:B,'Download of SFDC Activation Rep'!Y:Y),"")</f>
        <v>45807</v>
      </c>
    </row>
    <row r="395">
      <c r="A395" s="17" t="s">
        <v>488</v>
      </c>
      <c r="B395" s="85">
        <v>46174.0</v>
      </c>
      <c r="C395" s="17">
        <v>4443037.0</v>
      </c>
      <c r="D395" s="85">
        <v>46082.0</v>
      </c>
      <c r="E395" s="17">
        <v>2.0</v>
      </c>
      <c r="F395" s="17">
        <v>2.0</v>
      </c>
      <c r="G395" s="17">
        <v>1247.0</v>
      </c>
      <c r="H395" s="17"/>
      <c r="I395" s="17">
        <v>0.0</v>
      </c>
      <c r="J395" s="17"/>
      <c r="K395" s="17">
        <v>-0.3221</v>
      </c>
      <c r="L395" s="17">
        <v>-0.33457</v>
      </c>
      <c r="M395" s="17">
        <v>0.01247</v>
      </c>
      <c r="N395" s="17">
        <v>25.0</v>
      </c>
      <c r="O395" s="14">
        <f t="shared" si="1"/>
        <v>24.6779</v>
      </c>
      <c r="P395" s="86">
        <f t="array" ref="P395">iferror(XLOOKUP(C395,'Download of SFDC Activation Rep'!B:B,'Download of SFDC Activation Rep'!Z:Z),"")</f>
        <v>46073</v>
      </c>
      <c r="Q395" s="86">
        <f t="shared" si="2"/>
        <v>46054</v>
      </c>
      <c r="R395" s="13" t="str">
        <f t="shared" si="3"/>
        <v>Yes</v>
      </c>
      <c r="S395" s="86">
        <f t="array" ref="S395">iferror(XLOOKUP(C395,'Download of SFDC Activation Rep'!B:B,'Download of SFDC Activation Rep'!Y:Y),"")</f>
        <v>46108</v>
      </c>
    </row>
    <row r="396">
      <c r="A396" s="17" t="s">
        <v>489</v>
      </c>
      <c r="B396" s="85">
        <v>46113.0</v>
      </c>
      <c r="C396" s="17">
        <v>4334745.0</v>
      </c>
      <c r="D396" s="85">
        <v>46023.0</v>
      </c>
      <c r="E396" s="17">
        <v>35.0</v>
      </c>
      <c r="F396" s="17">
        <v>32.0</v>
      </c>
      <c r="G396" s="17">
        <v>75220.01</v>
      </c>
      <c r="H396" s="17">
        <v>2800.0</v>
      </c>
      <c r="I396" s="17">
        <v>172.7</v>
      </c>
      <c r="J396" s="17"/>
      <c r="K396" s="17">
        <v>67.8385</v>
      </c>
      <c r="L396" s="17">
        <v>55.477834737187</v>
      </c>
      <c r="M396" s="17">
        <v>12.360665262813</v>
      </c>
      <c r="N396" s="17">
        <v>55.25</v>
      </c>
      <c r="O396" s="14">
        <f t="shared" si="1"/>
        <v>141.2885</v>
      </c>
      <c r="P396" s="86">
        <f t="array" ref="P396">iferror(XLOOKUP(C396,'Download of SFDC Activation Rep'!B:B,'Download of SFDC Activation Rep'!Z:Z),"")</f>
        <v>46009</v>
      </c>
      <c r="Q396" s="86">
        <f t="shared" si="2"/>
        <v>45992</v>
      </c>
      <c r="R396" s="13" t="str">
        <f t="shared" si="3"/>
        <v>Yes</v>
      </c>
      <c r="S396" s="86">
        <f t="array" ref="S396">iferror(XLOOKUP(C396,'Download of SFDC Activation Rep'!B:B,'Download of SFDC Activation Rep'!Y:Y),"")</f>
        <v>46058</v>
      </c>
    </row>
    <row r="397">
      <c r="A397" s="17" t="s">
        <v>488</v>
      </c>
      <c r="B397" s="85">
        <v>46023.0</v>
      </c>
      <c r="C397" s="17">
        <v>4096547.0</v>
      </c>
      <c r="D397" s="85">
        <v>46023.0</v>
      </c>
      <c r="E397" s="17">
        <v>1.0</v>
      </c>
      <c r="F397" s="17">
        <v>0.0</v>
      </c>
      <c r="G397" s="17">
        <v>336.0</v>
      </c>
      <c r="H397" s="17">
        <v>336.0</v>
      </c>
      <c r="I397" s="17">
        <v>9.74</v>
      </c>
      <c r="J397" s="17"/>
      <c r="K397" s="17">
        <v>-0.5107</v>
      </c>
      <c r="L397" s="17">
        <v>-0.52078</v>
      </c>
      <c r="M397" s="17">
        <v>0.0100799999999999</v>
      </c>
      <c r="N397" s="17">
        <v>25.0</v>
      </c>
      <c r="O397" s="14">
        <f t="shared" si="1"/>
        <v>26.6733</v>
      </c>
      <c r="P397" s="86">
        <f t="array" ref="P397">iferror(XLOOKUP(C397,'Download of SFDC Activation Rep'!B:B,'Download of SFDC Activation Rep'!Z:Z),"")</f>
        <v>45924</v>
      </c>
      <c r="Q397" s="86">
        <f t="shared" si="2"/>
        <v>45901</v>
      </c>
      <c r="R397" s="13" t="str">
        <f t="shared" si="3"/>
        <v>Yes</v>
      </c>
      <c r="S397" s="86">
        <f t="array" ref="S397">iferror(XLOOKUP(C397,'Download of SFDC Activation Rep'!B:B,'Download of SFDC Activation Rep'!Y:Y),"")</f>
        <v>46030</v>
      </c>
    </row>
    <row r="398">
      <c r="A398" s="17" t="s">
        <v>19</v>
      </c>
      <c r="B398" s="85">
        <v>46174.0</v>
      </c>
      <c r="C398" s="17">
        <v>4117067.0</v>
      </c>
      <c r="D398" s="85">
        <v>45992.0</v>
      </c>
      <c r="E398" s="17">
        <v>77.0</v>
      </c>
      <c r="F398" s="17">
        <v>77.0</v>
      </c>
      <c r="G398" s="17">
        <v>1430939.11</v>
      </c>
      <c r="H398" s="17"/>
      <c r="I398" s="17">
        <v>1832.017881</v>
      </c>
      <c r="J398" s="17"/>
      <c r="K398" s="17">
        <v>1819.81029999999</v>
      </c>
      <c r="L398" s="17">
        <v>1595.66362341435</v>
      </c>
      <c r="M398" s="17">
        <v>224.146676585642</v>
      </c>
      <c r="N398" s="17">
        <v>6.39999999999999</v>
      </c>
      <c r="O398" s="14">
        <f t="shared" si="1"/>
        <v>1826.2103</v>
      </c>
      <c r="P398" s="86">
        <f t="array" ref="P398">iferror(XLOOKUP(C398,'Download of SFDC Activation Rep'!B:B,'Download of SFDC Activation Rep'!Z:Z),"")</f>
        <v>45831</v>
      </c>
      <c r="Q398" s="86">
        <f t="shared" si="2"/>
        <v>45809</v>
      </c>
      <c r="R398" s="13" t="str">
        <f t="shared" si="3"/>
        <v>Yes</v>
      </c>
      <c r="S398" s="86">
        <f t="array" ref="S398">iferror(XLOOKUP(C398,'Download of SFDC Activation Rep'!B:B,'Download of SFDC Activation Rep'!Y:Y),"")</f>
        <v>45992</v>
      </c>
    </row>
    <row r="399">
      <c r="A399" s="17" t="s">
        <v>488</v>
      </c>
      <c r="B399" s="85">
        <v>46023.0</v>
      </c>
      <c r="C399" s="17">
        <v>2340816.0</v>
      </c>
      <c r="D399" s="85">
        <v>45931.0</v>
      </c>
      <c r="E399" s="17">
        <v>1.0</v>
      </c>
      <c r="F399" s="17">
        <v>1.0</v>
      </c>
      <c r="G399" s="17">
        <v>600.0</v>
      </c>
      <c r="H399" s="17"/>
      <c r="I399" s="17">
        <v>0.0</v>
      </c>
      <c r="J399" s="17"/>
      <c r="K399" s="17">
        <v>-0.1559</v>
      </c>
      <c r="L399" s="17">
        <v>-0.28348661468</v>
      </c>
      <c r="M399" s="17">
        <v>0.12758661468</v>
      </c>
      <c r="N399" s="17">
        <v>20.0</v>
      </c>
      <c r="O399" s="14">
        <f t="shared" si="1"/>
        <v>19.8441</v>
      </c>
      <c r="P399" s="86">
        <f t="array" ref="P399">iferror(XLOOKUP(C399,'Download of SFDC Activation Rep'!B:B,'Download of SFDC Activation Rep'!Z:Z),"")</f>
        <v>45929</v>
      </c>
      <c r="Q399" s="86">
        <f t="shared" si="2"/>
        <v>45901</v>
      </c>
      <c r="R399" s="13" t="str">
        <f t="shared" si="3"/>
        <v>Yes</v>
      </c>
      <c r="S399" s="86">
        <f t="array" ref="S399">iferror(XLOOKUP(C399,'Download of SFDC Activation Rep'!B:B,'Download of SFDC Activation Rep'!Y:Y),"")</f>
        <v>45936</v>
      </c>
    </row>
    <row r="400">
      <c r="A400" s="17" t="s">
        <v>17</v>
      </c>
      <c r="B400" s="85">
        <v>46023.0</v>
      </c>
      <c r="C400" s="17">
        <v>4272922.0</v>
      </c>
      <c r="D400" s="85">
        <v>46023.0</v>
      </c>
      <c r="E400" s="17">
        <v>2.0</v>
      </c>
      <c r="F400" s="17">
        <v>0.0</v>
      </c>
      <c r="G400" s="17">
        <v>1300.0</v>
      </c>
      <c r="H400" s="17"/>
      <c r="I400" s="17">
        <v>37.7</v>
      </c>
      <c r="J400" s="17"/>
      <c r="K400" s="17">
        <v>3.9649</v>
      </c>
      <c r="L400" s="17">
        <v>3.68846233486</v>
      </c>
      <c r="M400" s="17">
        <v>0.276437665139999</v>
      </c>
      <c r="N400" s="17">
        <v>0.0</v>
      </c>
      <c r="O400" s="14">
        <f t="shared" si="1"/>
        <v>3.9649</v>
      </c>
      <c r="P400" s="86">
        <f t="array" ref="P400">iferror(XLOOKUP(C400,'Download of SFDC Activation Rep'!B:B,'Download of SFDC Activation Rep'!Z:Z),"")</f>
        <v>45994</v>
      </c>
      <c r="Q400" s="86">
        <f t="shared" si="2"/>
        <v>45992</v>
      </c>
      <c r="R400" s="13" t="str">
        <f t="shared" si="3"/>
        <v>Yes</v>
      </c>
      <c r="S400" s="86">
        <f t="array" ref="S400">iferror(XLOOKUP(C400,'Download of SFDC Activation Rep'!B:B,'Download of SFDC Activation Rep'!Y:Y),"")</f>
        <v>46028</v>
      </c>
    </row>
    <row r="401">
      <c r="A401" s="17" t="s">
        <v>489</v>
      </c>
      <c r="B401" s="85">
        <v>45931.0</v>
      </c>
      <c r="C401" s="17">
        <v>3024156.0</v>
      </c>
      <c r="D401" s="85">
        <v>45901.0</v>
      </c>
      <c r="E401" s="17">
        <v>38.0</v>
      </c>
      <c r="F401" s="17">
        <v>38.0</v>
      </c>
      <c r="G401" s="17">
        <v>180787.68</v>
      </c>
      <c r="H401" s="17"/>
      <c r="I401" s="17">
        <v>128.74101</v>
      </c>
      <c r="J401" s="17"/>
      <c r="K401" s="17">
        <v>115.311</v>
      </c>
      <c r="L401" s="17">
        <v>87.4303546946738</v>
      </c>
      <c r="M401" s="17">
        <v>27.8806453053262</v>
      </c>
      <c r="N401" s="17">
        <v>6.49999999999999</v>
      </c>
      <c r="O401" s="14">
        <f t="shared" si="1"/>
        <v>121.811</v>
      </c>
      <c r="P401" s="86">
        <f t="array" ref="P401">iferror(XLOOKUP(C401,'Download of SFDC Activation Rep'!B:B,'Download of SFDC Activation Rep'!Z:Z),"")</f>
        <v>45897</v>
      </c>
      <c r="Q401" s="86">
        <f t="shared" si="2"/>
        <v>45870</v>
      </c>
      <c r="R401" s="13" t="str">
        <f t="shared" si="3"/>
        <v>Yes</v>
      </c>
      <c r="S401" s="86">
        <f t="array" ref="S401">iferror(XLOOKUP(C401,'Download of SFDC Activation Rep'!B:B,'Download of SFDC Activation Rep'!Y:Y),"")</f>
        <v>45916</v>
      </c>
    </row>
    <row r="402">
      <c r="A402" s="17" t="s">
        <v>488</v>
      </c>
      <c r="B402" s="85">
        <v>46174.0</v>
      </c>
      <c r="C402" s="17">
        <v>4233219.0</v>
      </c>
      <c r="D402" s="85">
        <v>45962.0</v>
      </c>
      <c r="E402" s="17">
        <v>3.0</v>
      </c>
      <c r="F402" s="17">
        <v>3.0</v>
      </c>
      <c r="G402" s="17">
        <v>16490.0</v>
      </c>
      <c r="H402" s="17"/>
      <c r="I402" s="17">
        <v>3.0</v>
      </c>
      <c r="J402" s="17"/>
      <c r="K402" s="17">
        <v>1.08579999999999</v>
      </c>
      <c r="L402" s="17">
        <v>-1.39797463699999</v>
      </c>
      <c r="M402" s="17">
        <v>2.48377463699999</v>
      </c>
      <c r="N402" s="17">
        <v>28.0</v>
      </c>
      <c r="O402" s="14">
        <f t="shared" si="1"/>
        <v>29.0858</v>
      </c>
      <c r="P402" s="86">
        <f t="array" ref="P402">iferror(XLOOKUP(C402,'Download of SFDC Activation Rep'!B:B,'Download of SFDC Activation Rep'!Z:Z),"")</f>
        <v>45978</v>
      </c>
      <c r="Q402" s="86">
        <f t="shared" si="2"/>
        <v>45962</v>
      </c>
      <c r="R402" s="13" t="str">
        <f t="shared" si="3"/>
        <v>Yes</v>
      </c>
      <c r="S402" s="86">
        <f t="array" ref="S402">iferror(XLOOKUP(C402,'Download of SFDC Activation Rep'!B:B,'Download of SFDC Activation Rep'!Y:Y),"")</f>
        <v>45989</v>
      </c>
    </row>
    <row r="403">
      <c r="A403" s="17" t="s">
        <v>489</v>
      </c>
      <c r="B403" s="85">
        <v>46113.0</v>
      </c>
      <c r="C403" s="17">
        <v>4103219.0</v>
      </c>
      <c r="D403" s="85">
        <v>45901.0</v>
      </c>
      <c r="E403" s="17">
        <v>33.0</v>
      </c>
      <c r="F403" s="17">
        <v>33.0</v>
      </c>
      <c r="G403" s="17">
        <v>148769.61</v>
      </c>
      <c r="H403" s="17"/>
      <c r="I403" s="17">
        <v>33.842584</v>
      </c>
      <c r="J403" s="17"/>
      <c r="K403" s="17">
        <v>28.5148</v>
      </c>
      <c r="L403" s="17">
        <v>5.214284104707</v>
      </c>
      <c r="M403" s="17">
        <v>23.300515895293</v>
      </c>
      <c r="N403" s="17">
        <v>4.39999999999999</v>
      </c>
      <c r="O403" s="14">
        <f t="shared" si="1"/>
        <v>32.9148</v>
      </c>
      <c r="P403" s="86">
        <f t="array" ref="P403">iferror(XLOOKUP(C403,'Download of SFDC Activation Rep'!B:B,'Download of SFDC Activation Rep'!Z:Z),"")</f>
        <v>45901</v>
      </c>
      <c r="Q403" s="86">
        <f t="shared" si="2"/>
        <v>45901</v>
      </c>
      <c r="R403" s="13" t="str">
        <f t="shared" si="3"/>
        <v>Yes</v>
      </c>
      <c r="S403" s="86">
        <f t="array" ref="S403">iferror(XLOOKUP(C403,'Download of SFDC Activation Rep'!B:B,'Download of SFDC Activation Rep'!Y:Y),"")</f>
        <v>45919</v>
      </c>
    </row>
    <row r="404">
      <c r="A404" s="17" t="s">
        <v>488</v>
      </c>
      <c r="B404" s="85">
        <v>46143.0</v>
      </c>
      <c r="C404" s="17">
        <v>4332104.0</v>
      </c>
      <c r="D404" s="85">
        <v>46023.0</v>
      </c>
      <c r="E404" s="17">
        <v>7.0</v>
      </c>
      <c r="F404" s="17">
        <v>7.0</v>
      </c>
      <c r="G404" s="17">
        <v>38345.5</v>
      </c>
      <c r="H404" s="17"/>
      <c r="I404" s="17">
        <v>0.0</v>
      </c>
      <c r="J404" s="17"/>
      <c r="K404" s="17">
        <v>-1.10419999999999</v>
      </c>
      <c r="L404" s="17">
        <v>-7.11222278914999</v>
      </c>
      <c r="M404" s="17">
        <v>6.00802278914999</v>
      </c>
      <c r="N404" s="17">
        <v>44.0</v>
      </c>
      <c r="O404" s="14">
        <f t="shared" si="1"/>
        <v>42.8958</v>
      </c>
      <c r="P404" s="86">
        <f t="array" ref="P404">iferror(XLOOKUP(C404,'Download of SFDC Activation Rep'!B:B,'Download of SFDC Activation Rep'!Z:Z),"")</f>
        <v>46197</v>
      </c>
      <c r="Q404" s="86">
        <f t="shared" si="2"/>
        <v>46174</v>
      </c>
      <c r="R404" s="13" t="str">
        <f t="shared" si="3"/>
        <v>No</v>
      </c>
      <c r="S404" s="86">
        <f t="array" ref="S404">iferror(XLOOKUP(C404,'Download of SFDC Activation Rep'!B:B,'Download of SFDC Activation Rep'!Y:Y),"")</f>
        <v>46361</v>
      </c>
    </row>
    <row r="405">
      <c r="A405" s="17" t="s">
        <v>488</v>
      </c>
      <c r="B405" s="85">
        <v>46054.0</v>
      </c>
      <c r="C405" s="17">
        <v>4329147.0</v>
      </c>
      <c r="D405" s="85">
        <v>46023.0</v>
      </c>
      <c r="E405" s="17">
        <v>50.0</v>
      </c>
      <c r="F405" s="17">
        <v>0.0</v>
      </c>
      <c r="G405" s="17">
        <v>31150.69</v>
      </c>
      <c r="H405" s="17">
        <v>31150.69</v>
      </c>
      <c r="I405" s="17">
        <v>903.36</v>
      </c>
      <c r="J405" s="17"/>
      <c r="K405" s="17">
        <v>53.3086</v>
      </c>
      <c r="L405" s="17">
        <v>36.784629267568</v>
      </c>
      <c r="M405" s="17">
        <v>16.5239707324319</v>
      </c>
      <c r="N405" s="17">
        <v>25.0</v>
      </c>
      <c r="O405" s="14">
        <f t="shared" si="1"/>
        <v>280.788085</v>
      </c>
      <c r="P405" s="86">
        <f t="array" ref="P405">iferror(XLOOKUP(C405,'Download of SFDC Activation Rep'!B:B,'Download of SFDC Activation Rep'!Z:Z),"")</f>
        <v>46197</v>
      </c>
      <c r="Q405" s="86">
        <f t="shared" si="2"/>
        <v>46174</v>
      </c>
      <c r="R405" s="13" t="str">
        <f t="shared" si="3"/>
        <v>No</v>
      </c>
      <c r="S405" s="86">
        <f t="array" ref="S405">iferror(XLOOKUP(C405,'Download of SFDC Activation Rep'!B:B,'Download of SFDC Activation Rep'!Y:Y),"")</f>
        <v>46361</v>
      </c>
    </row>
    <row r="406">
      <c r="A406" s="17" t="s">
        <v>488</v>
      </c>
      <c r="B406" s="85">
        <v>46023.0</v>
      </c>
      <c r="C406" s="17">
        <v>4039652.0</v>
      </c>
      <c r="D406" s="85">
        <v>45870.0</v>
      </c>
      <c r="E406" s="17">
        <v>7.0</v>
      </c>
      <c r="F406" s="17">
        <v>4.0</v>
      </c>
      <c r="G406" s="17">
        <v>8783.75</v>
      </c>
      <c r="H406" s="17"/>
      <c r="I406" s="17">
        <v>156.78</v>
      </c>
      <c r="J406" s="17"/>
      <c r="K406" s="17">
        <v>12.6173</v>
      </c>
      <c r="L406" s="17">
        <v>10.7494851221742</v>
      </c>
      <c r="M406" s="17">
        <v>1.86781487782575</v>
      </c>
      <c r="N406" s="17">
        <v>25.0</v>
      </c>
      <c r="O406" s="14">
        <f t="shared" si="1"/>
        <v>37.6173</v>
      </c>
      <c r="P406" s="86">
        <f t="array" ref="P406">iferror(XLOOKUP(C406,'Download of SFDC Activation Rep'!B:B,'Download of SFDC Activation Rep'!Z:Z),"")</f>
        <v>45863</v>
      </c>
      <c r="Q406" s="86">
        <f t="shared" si="2"/>
        <v>45839</v>
      </c>
      <c r="R406" s="13" t="str">
        <f t="shared" si="3"/>
        <v>Yes</v>
      </c>
      <c r="S406" s="86">
        <f t="array" ref="S406">iferror(XLOOKUP(C406,'Download of SFDC Activation Rep'!B:B,'Download of SFDC Activation Rep'!Y:Y),"")</f>
        <v>45880</v>
      </c>
    </row>
    <row r="407">
      <c r="A407" s="17" t="s">
        <v>1487</v>
      </c>
      <c r="B407" s="85">
        <v>45931.0</v>
      </c>
      <c r="C407" s="17">
        <v>3935770.0</v>
      </c>
      <c r="D407" s="85">
        <v>45778.0</v>
      </c>
      <c r="E407" s="17">
        <v>88.0</v>
      </c>
      <c r="F407" s="17">
        <v>77.0</v>
      </c>
      <c r="G407" s="17">
        <v>380133.51</v>
      </c>
      <c r="H407" s="17">
        <v>1063.94</v>
      </c>
      <c r="I407" s="17">
        <v>3568.370073</v>
      </c>
      <c r="J407" s="17"/>
      <c r="K407" s="17">
        <v>453.1156</v>
      </c>
      <c r="L407" s="17">
        <v>344.663304136094</v>
      </c>
      <c r="M407" s="17">
        <v>108.452295863905</v>
      </c>
      <c r="N407" s="17">
        <v>80.0</v>
      </c>
      <c r="O407" s="14">
        <f t="shared" si="1"/>
        <v>533.1156</v>
      </c>
      <c r="P407" s="86">
        <f t="array" ref="P407">iferror(XLOOKUP(C407,'Download of SFDC Activation Rep'!B:B,'Download of SFDC Activation Rep'!Z:Z),"")</f>
        <v>45797</v>
      </c>
      <c r="Q407" s="86">
        <f t="shared" si="2"/>
        <v>45778</v>
      </c>
      <c r="R407" s="13" t="str">
        <f t="shared" si="3"/>
        <v>Yes</v>
      </c>
      <c r="S407" s="86">
        <f t="array" ref="S407">iferror(XLOOKUP(C407,'Download of SFDC Activation Rep'!B:B,'Download of SFDC Activation Rep'!Y:Y),"")</f>
        <v>45797</v>
      </c>
    </row>
    <row r="408">
      <c r="A408" s="17" t="s">
        <v>488</v>
      </c>
      <c r="B408" s="85">
        <v>46023.0</v>
      </c>
      <c r="C408" s="17">
        <v>4233219.0</v>
      </c>
      <c r="D408" s="85">
        <v>45962.0</v>
      </c>
      <c r="E408" s="17">
        <v>5.0</v>
      </c>
      <c r="F408" s="17">
        <v>5.0</v>
      </c>
      <c r="G408" s="17">
        <v>20965.32</v>
      </c>
      <c r="H408" s="17"/>
      <c r="I408" s="17">
        <v>4.5</v>
      </c>
      <c r="J408" s="17"/>
      <c r="K408" s="17">
        <v>1.4012</v>
      </c>
      <c r="L408" s="17">
        <v>-3.67622982761373</v>
      </c>
      <c r="M408" s="17">
        <v>5.07742982761373</v>
      </c>
      <c r="N408" s="17">
        <v>28.0</v>
      </c>
      <c r="O408" s="14">
        <f t="shared" si="1"/>
        <v>29.4012</v>
      </c>
      <c r="P408" s="86">
        <f t="array" ref="P408">iferror(XLOOKUP(C408,'Download of SFDC Activation Rep'!B:B,'Download of SFDC Activation Rep'!Z:Z),"")</f>
        <v>45978</v>
      </c>
      <c r="Q408" s="86">
        <f t="shared" si="2"/>
        <v>45962</v>
      </c>
      <c r="R408" s="13" t="str">
        <f t="shared" si="3"/>
        <v>Yes</v>
      </c>
      <c r="S408" s="86">
        <f t="array" ref="S408">iferror(XLOOKUP(C408,'Download of SFDC Activation Rep'!B:B,'Download of SFDC Activation Rep'!Y:Y),"")</f>
        <v>45989</v>
      </c>
    </row>
    <row r="409">
      <c r="A409" s="17" t="s">
        <v>17</v>
      </c>
      <c r="B409" s="85">
        <v>45870.0</v>
      </c>
      <c r="C409" s="17">
        <v>4075965.0</v>
      </c>
      <c r="D409" s="85">
        <v>45870.0</v>
      </c>
      <c r="E409" s="17">
        <v>5.0</v>
      </c>
      <c r="F409" s="17">
        <v>0.0</v>
      </c>
      <c r="G409" s="17">
        <v>66600.0</v>
      </c>
      <c r="H409" s="17">
        <v>48200.0</v>
      </c>
      <c r="I409" s="17">
        <v>1931.4</v>
      </c>
      <c r="J409" s="17"/>
      <c r="K409" s="17">
        <v>293.5805</v>
      </c>
      <c r="L409" s="17">
        <v>258.25234146206</v>
      </c>
      <c r="M409" s="17">
        <v>35.32815853794</v>
      </c>
      <c r="N409" s="17">
        <v>2.49999999999999</v>
      </c>
      <c r="O409" s="14">
        <f t="shared" si="1"/>
        <v>296.0805</v>
      </c>
      <c r="P409" s="86">
        <f t="array" ref="P409">iferror(XLOOKUP(C409,'Download of SFDC Activation Rep'!B:B,'Download of SFDC Activation Rep'!Z:Z),"")</f>
        <v>45887</v>
      </c>
      <c r="Q409" s="86">
        <f t="shared" si="2"/>
        <v>45870</v>
      </c>
      <c r="R409" s="13" t="str">
        <f t="shared" si="3"/>
        <v>Yes</v>
      </c>
      <c r="S409" s="86">
        <f t="array" ref="S409">iferror(XLOOKUP(C409,'Download of SFDC Activation Rep'!B:B,'Download of SFDC Activation Rep'!Y:Y),"")</f>
        <v>45891</v>
      </c>
    </row>
    <row r="410">
      <c r="A410" s="17" t="s">
        <v>19</v>
      </c>
      <c r="B410" s="85">
        <v>46023.0</v>
      </c>
      <c r="C410" s="17">
        <v>100325.0</v>
      </c>
      <c r="D410" s="85">
        <v>45200.0</v>
      </c>
      <c r="E410" s="17">
        <v>39.0</v>
      </c>
      <c r="F410" s="17">
        <v>39.0</v>
      </c>
      <c r="G410" s="17">
        <v>634618.55</v>
      </c>
      <c r="H410" s="17"/>
      <c r="I410" s="17">
        <v>27.95775</v>
      </c>
      <c r="J410" s="17"/>
      <c r="K410" s="17">
        <v>14.5834999999999</v>
      </c>
      <c r="L410" s="17">
        <v>-125.241340078993</v>
      </c>
      <c r="M410" s="17">
        <v>139.824840078993</v>
      </c>
      <c r="N410" s="17">
        <v>64.0</v>
      </c>
      <c r="O410" s="14">
        <f t="shared" si="1"/>
        <v>78.5835</v>
      </c>
      <c r="P410" s="86">
        <f t="array" ref="P410">iferror(XLOOKUP(C410,'Download of SFDC Activation Rep'!B:B,'Download of SFDC Activation Rep'!Z:Z),"")</f>
        <v>45974</v>
      </c>
      <c r="Q410" s="86">
        <f t="shared" si="2"/>
        <v>45962</v>
      </c>
      <c r="R410" s="13" t="str">
        <f t="shared" si="3"/>
        <v>Yes</v>
      </c>
      <c r="S410" s="86">
        <f t="array" ref="S410">iferror(XLOOKUP(C410,'Download of SFDC Activation Rep'!B:B,'Download of SFDC Activation Rep'!Y:Y),"")</f>
        <v>45933</v>
      </c>
    </row>
    <row r="411">
      <c r="A411" s="17" t="s">
        <v>489</v>
      </c>
      <c r="B411" s="85">
        <v>45992.0</v>
      </c>
      <c r="C411" s="17">
        <v>4038405.0</v>
      </c>
      <c r="D411" s="85">
        <v>45870.0</v>
      </c>
      <c r="E411" s="17">
        <v>84.0</v>
      </c>
      <c r="F411" s="17">
        <v>84.0</v>
      </c>
      <c r="G411" s="17">
        <v>776472.91</v>
      </c>
      <c r="H411" s="17"/>
      <c r="I411" s="17">
        <v>214.218852</v>
      </c>
      <c r="J411" s="17">
        <v>10.5</v>
      </c>
      <c r="K411" s="17">
        <v>198.8908</v>
      </c>
      <c r="L411" s="17">
        <v>69.7225099490695</v>
      </c>
      <c r="M411" s="17">
        <v>129.16829005093</v>
      </c>
      <c r="N411" s="17">
        <v>5.19999999999999</v>
      </c>
      <c r="O411" s="14">
        <f t="shared" si="1"/>
        <v>204.0908</v>
      </c>
      <c r="P411" s="86">
        <f t="array" ref="P411">iferror(XLOOKUP(C411,'Download of SFDC Activation Rep'!B:B,'Download of SFDC Activation Rep'!Z:Z),"")</f>
        <v>45839</v>
      </c>
      <c r="Q411" s="86">
        <f t="shared" si="2"/>
        <v>45839</v>
      </c>
      <c r="R411" s="13" t="str">
        <f t="shared" si="3"/>
        <v>Yes</v>
      </c>
      <c r="S411" s="86">
        <f t="array" ref="S411">iferror(XLOOKUP(C411,'Download of SFDC Activation Rep'!B:B,'Download of SFDC Activation Rep'!Y:Y),"")</f>
        <v>45877</v>
      </c>
    </row>
    <row r="412">
      <c r="A412" s="17" t="s">
        <v>488</v>
      </c>
      <c r="B412" s="85">
        <v>46054.0</v>
      </c>
      <c r="C412" s="17">
        <v>4271411.0</v>
      </c>
      <c r="D412" s="85">
        <v>45992.0</v>
      </c>
      <c r="E412" s="17">
        <v>7.0</v>
      </c>
      <c r="F412" s="17">
        <v>7.0</v>
      </c>
      <c r="G412" s="17">
        <v>112032.13</v>
      </c>
      <c r="H412" s="17"/>
      <c r="I412" s="17">
        <v>0.0</v>
      </c>
      <c r="J412" s="17"/>
      <c r="K412" s="17">
        <v>-1.0157</v>
      </c>
      <c r="L412" s="17">
        <v>-18.569039770169</v>
      </c>
      <c r="M412" s="17">
        <v>17.553339770169</v>
      </c>
      <c r="N412" s="17">
        <v>17.0</v>
      </c>
      <c r="O412" s="14">
        <f t="shared" si="1"/>
        <v>15.9843</v>
      </c>
      <c r="P412" s="86">
        <f t="array" ref="P412">iferror(XLOOKUP(C412,'Download of SFDC Activation Rep'!B:B,'Download of SFDC Activation Rep'!Z:Z),"")</f>
        <v>46007</v>
      </c>
      <c r="Q412" s="86">
        <f t="shared" si="2"/>
        <v>45992</v>
      </c>
      <c r="R412" s="13" t="str">
        <f t="shared" si="3"/>
        <v>Yes</v>
      </c>
      <c r="S412" s="86">
        <f t="array" ref="S412">iferror(XLOOKUP(C412,'Download of SFDC Activation Rep'!B:B,'Download of SFDC Activation Rep'!Y:Y),"")</f>
        <v>46007</v>
      </c>
    </row>
    <row r="413">
      <c r="A413" s="17" t="s">
        <v>19</v>
      </c>
      <c r="B413" s="85">
        <v>46023.0</v>
      </c>
      <c r="C413" s="17">
        <v>4287245.0</v>
      </c>
      <c r="D413" s="85">
        <v>46023.0</v>
      </c>
      <c r="E413" s="17">
        <v>1.0</v>
      </c>
      <c r="F413" s="17">
        <v>1.0</v>
      </c>
      <c r="G413" s="17">
        <v>1352.0</v>
      </c>
      <c r="H413" s="17"/>
      <c r="I413" s="17">
        <v>1.5</v>
      </c>
      <c r="J413" s="17"/>
      <c r="K413" s="17">
        <v>0.5023</v>
      </c>
      <c r="L413" s="17">
        <v>0.109692057790399</v>
      </c>
      <c r="M413" s="17">
        <v>0.3926079422096</v>
      </c>
      <c r="N413" s="17">
        <v>80.0</v>
      </c>
      <c r="O413" s="14">
        <f t="shared" si="1"/>
        <v>80.5023</v>
      </c>
      <c r="P413" s="86">
        <f t="array" ref="P413">iferror(XLOOKUP(C413,'Download of SFDC Activation Rep'!B:B,'Download of SFDC Activation Rep'!Z:Z),"")</f>
        <v>45978</v>
      </c>
      <c r="Q413" s="86">
        <f t="shared" si="2"/>
        <v>45962</v>
      </c>
      <c r="R413" s="13" t="str">
        <f t="shared" si="3"/>
        <v>Yes</v>
      </c>
      <c r="S413" s="86">
        <f t="array" ref="S413">iferror(XLOOKUP(C413,'Download of SFDC Activation Rep'!B:B,'Download of SFDC Activation Rep'!Y:Y),"")</f>
        <v>46051</v>
      </c>
    </row>
    <row r="414">
      <c r="A414" s="17" t="s">
        <v>489</v>
      </c>
      <c r="B414" s="85">
        <v>46082.0</v>
      </c>
      <c r="C414" s="17">
        <v>4103219.0</v>
      </c>
      <c r="D414" s="85">
        <v>45901.0</v>
      </c>
      <c r="E414" s="17">
        <v>38.0</v>
      </c>
      <c r="F414" s="17">
        <v>38.0</v>
      </c>
      <c r="G414" s="17">
        <v>129562.09</v>
      </c>
      <c r="H414" s="17"/>
      <c r="I414" s="17">
        <v>130.952018</v>
      </c>
      <c r="J414" s="17"/>
      <c r="K414" s="17">
        <v>119.443599999999</v>
      </c>
      <c r="L414" s="17">
        <v>99.155284808083</v>
      </c>
      <c r="M414" s="17">
        <v>20.2883151919169</v>
      </c>
      <c r="N414" s="17">
        <v>4.39999999999999</v>
      </c>
      <c r="O414" s="14">
        <f t="shared" si="1"/>
        <v>123.8436</v>
      </c>
      <c r="P414" s="86">
        <f t="array" ref="P414">iferror(XLOOKUP(C414,'Download of SFDC Activation Rep'!B:B,'Download of SFDC Activation Rep'!Z:Z),"")</f>
        <v>45901</v>
      </c>
      <c r="Q414" s="86">
        <f t="shared" si="2"/>
        <v>45901</v>
      </c>
      <c r="R414" s="13" t="str">
        <f t="shared" si="3"/>
        <v>Yes</v>
      </c>
      <c r="S414" s="86">
        <f t="array" ref="S414">iferror(XLOOKUP(C414,'Download of SFDC Activation Rep'!B:B,'Download of SFDC Activation Rep'!Y:Y),"")</f>
        <v>45919</v>
      </c>
    </row>
    <row r="415">
      <c r="A415" s="17" t="s">
        <v>19</v>
      </c>
      <c r="B415" s="85">
        <v>46023.0</v>
      </c>
      <c r="C415" s="17">
        <v>4239923.0</v>
      </c>
      <c r="D415" s="85">
        <v>45992.0</v>
      </c>
      <c r="E415" s="17">
        <v>6.0</v>
      </c>
      <c r="F415" s="17">
        <v>6.0</v>
      </c>
      <c r="G415" s="17">
        <v>16348.45</v>
      </c>
      <c r="H415" s="17"/>
      <c r="I415" s="17">
        <v>0.0</v>
      </c>
      <c r="J415" s="17"/>
      <c r="K415" s="17">
        <v>-0.6912</v>
      </c>
      <c r="L415" s="17">
        <v>-4.16760565127541</v>
      </c>
      <c r="M415" s="17">
        <v>3.47640565127541</v>
      </c>
      <c r="N415" s="17">
        <v>24.0</v>
      </c>
      <c r="O415" s="14">
        <f t="shared" si="1"/>
        <v>23.3088</v>
      </c>
      <c r="P415" s="86">
        <f t="array" ref="P415">iferror(XLOOKUP(C415,'Download of SFDC Activation Rep'!B:B,'Download of SFDC Activation Rep'!Z:Z),"")</f>
        <v>45992</v>
      </c>
      <c r="Q415" s="86">
        <f t="shared" si="2"/>
        <v>45992</v>
      </c>
      <c r="R415" s="13" t="str">
        <f t="shared" si="3"/>
        <v>Yes</v>
      </c>
      <c r="S415" s="86">
        <f t="array" ref="S415">iferror(XLOOKUP(C415,'Download of SFDC Activation Rep'!B:B,'Download of SFDC Activation Rep'!Y:Y),"")</f>
        <v>45999</v>
      </c>
    </row>
    <row r="416">
      <c r="A416" s="17" t="s">
        <v>17</v>
      </c>
      <c r="B416" s="85">
        <v>45901.0</v>
      </c>
      <c r="C416" s="17">
        <v>4132416.0</v>
      </c>
      <c r="D416" s="85">
        <v>45901.0</v>
      </c>
      <c r="E416" s="17">
        <v>1.0</v>
      </c>
      <c r="F416" s="17">
        <v>0.0</v>
      </c>
      <c r="G416" s="17">
        <v>11100.0</v>
      </c>
      <c r="H416" s="17">
        <v>11100.0</v>
      </c>
      <c r="I416" s="17">
        <v>331.9</v>
      </c>
      <c r="J416" s="17"/>
      <c r="K416" s="17">
        <v>62.5941</v>
      </c>
      <c r="L416" s="17">
        <v>52.53857857701</v>
      </c>
      <c r="M416" s="17">
        <v>10.0555214229899</v>
      </c>
      <c r="N416" s="17">
        <v>2.49999999999999</v>
      </c>
      <c r="O416" s="14">
        <f t="shared" si="1"/>
        <v>65.0941</v>
      </c>
      <c r="P416" s="86">
        <f t="array" ref="P416">iferror(XLOOKUP(C416,'Download of SFDC Activation Rep'!B:B,'Download of SFDC Activation Rep'!Z:Z),"")</f>
        <v>45905</v>
      </c>
      <c r="Q416" s="86">
        <f t="shared" si="2"/>
        <v>45901</v>
      </c>
      <c r="R416" s="13" t="str">
        <f t="shared" si="3"/>
        <v>Yes</v>
      </c>
      <c r="S416" s="86">
        <f t="array" ref="S416">iferror(XLOOKUP(C416,'Download of SFDC Activation Rep'!B:B,'Download of SFDC Activation Rep'!Y:Y),"")</f>
        <v>45958</v>
      </c>
    </row>
    <row r="417">
      <c r="A417" s="17" t="s">
        <v>488</v>
      </c>
      <c r="B417" s="85">
        <v>45839.0</v>
      </c>
      <c r="C417" s="17">
        <v>3785914.0</v>
      </c>
      <c r="D417" s="85">
        <v>45778.0</v>
      </c>
      <c r="E417" s="17">
        <v>6.0</v>
      </c>
      <c r="F417" s="17">
        <v>6.0</v>
      </c>
      <c r="G417" s="17">
        <v>12484.85</v>
      </c>
      <c r="H417" s="17"/>
      <c r="I417" s="17">
        <v>56.33</v>
      </c>
      <c r="J417" s="17">
        <v>0.5</v>
      </c>
      <c r="K417" s="17">
        <v>55.0599999999999</v>
      </c>
      <c r="L417" s="17">
        <v>50.1719797081103</v>
      </c>
      <c r="M417" s="17">
        <v>4.88802029188961</v>
      </c>
      <c r="N417" s="17">
        <v>2.49999999999999</v>
      </c>
      <c r="O417" s="14">
        <f t="shared" si="1"/>
        <v>57.56</v>
      </c>
      <c r="P417" s="86">
        <f t="array" ref="P417">iferror(XLOOKUP(C417,'Download of SFDC Activation Rep'!B:B,'Download of SFDC Activation Rep'!Z:Z),"")</f>
        <v>45806</v>
      </c>
      <c r="Q417" s="86">
        <f t="shared" si="2"/>
        <v>45778</v>
      </c>
      <c r="R417" s="13" t="str">
        <f t="shared" si="3"/>
        <v>Yes</v>
      </c>
      <c r="S417" s="86">
        <f t="array" ref="S417">iferror(XLOOKUP(C417,'Download of SFDC Activation Rep'!B:B,'Download of SFDC Activation Rep'!Y:Y),"")</f>
        <v>45806</v>
      </c>
    </row>
    <row r="418">
      <c r="A418" s="17" t="s">
        <v>17</v>
      </c>
      <c r="B418" s="85">
        <v>46082.0</v>
      </c>
      <c r="C418" s="17">
        <v>4100689.0</v>
      </c>
      <c r="D418" s="85">
        <v>45901.0</v>
      </c>
      <c r="E418" s="17">
        <v>6.0</v>
      </c>
      <c r="F418" s="17">
        <v>0.0</v>
      </c>
      <c r="G418" s="17">
        <v>35222.0</v>
      </c>
      <c r="H418" s="17">
        <v>8250.0</v>
      </c>
      <c r="I418" s="17">
        <v>1021.44</v>
      </c>
      <c r="J418" s="17"/>
      <c r="K418" s="17">
        <v>47.1016</v>
      </c>
      <c r="L418" s="17">
        <v>46.74938</v>
      </c>
      <c r="M418" s="17">
        <v>0.352220000000002</v>
      </c>
      <c r="N418" s="17"/>
      <c r="O418" s="14">
        <f t="shared" si="1"/>
        <v>100.7266</v>
      </c>
      <c r="P418" s="86">
        <f t="array" ref="P418">iferror(XLOOKUP(C418,'Download of SFDC Activation Rep'!B:B,'Download of SFDC Activation Rep'!Z:Z),"")</f>
        <v>45903</v>
      </c>
      <c r="Q418" s="86">
        <f t="shared" si="2"/>
        <v>45901</v>
      </c>
      <c r="R418" s="13" t="str">
        <f t="shared" si="3"/>
        <v>Yes</v>
      </c>
      <c r="S418" s="86">
        <f t="array" ref="S418">iferror(XLOOKUP(C418,'Download of SFDC Activation Rep'!B:B,'Download of SFDC Activation Rep'!Y:Y),"")</f>
        <v>45908</v>
      </c>
    </row>
    <row r="419">
      <c r="A419" s="17" t="s">
        <v>17</v>
      </c>
      <c r="B419" s="85">
        <v>46054.0</v>
      </c>
      <c r="C419" s="17">
        <v>4079020.0</v>
      </c>
      <c r="D419" s="85">
        <v>45901.0</v>
      </c>
      <c r="E419" s="17">
        <v>4.0</v>
      </c>
      <c r="F419" s="17">
        <v>4.0</v>
      </c>
      <c r="G419" s="17">
        <v>4385.0</v>
      </c>
      <c r="H419" s="17"/>
      <c r="I419" s="17">
        <v>43.85</v>
      </c>
      <c r="J419" s="17"/>
      <c r="K419" s="17">
        <v>43.1418</v>
      </c>
      <c r="L419" s="17">
        <v>35.9498891475</v>
      </c>
      <c r="M419" s="17">
        <v>7.1919108525</v>
      </c>
      <c r="N419" s="17"/>
      <c r="O419" s="14">
        <f t="shared" si="1"/>
        <v>43.1418</v>
      </c>
      <c r="P419" s="86">
        <f t="array" ref="P419">iferror(XLOOKUP(C419,'Download of SFDC Activation Rep'!B:B,'Download of SFDC Activation Rep'!Z:Z),"")</f>
        <v>45894</v>
      </c>
      <c r="Q419" s="86">
        <f t="shared" si="2"/>
        <v>45870</v>
      </c>
      <c r="R419" s="13" t="str">
        <f t="shared" si="3"/>
        <v>Yes</v>
      </c>
      <c r="S419" s="86">
        <f t="array" ref="S419">iferror(XLOOKUP(C419,'Download of SFDC Activation Rep'!B:B,'Download of SFDC Activation Rep'!Y:Y),"")</f>
        <v>45937</v>
      </c>
    </row>
    <row r="420">
      <c r="A420" s="17" t="s">
        <v>17</v>
      </c>
      <c r="B420" s="85">
        <v>45931.0</v>
      </c>
      <c r="C420" s="17">
        <v>4098415.0</v>
      </c>
      <c r="D420" s="85">
        <v>45901.0</v>
      </c>
      <c r="E420" s="17">
        <v>12.0</v>
      </c>
      <c r="F420" s="17">
        <v>12.0</v>
      </c>
      <c r="G420" s="17">
        <v>25664.42</v>
      </c>
      <c r="H420" s="17"/>
      <c r="I420" s="17">
        <v>0.0</v>
      </c>
      <c r="J420" s="17"/>
      <c r="K420" s="17">
        <v>-0.91</v>
      </c>
      <c r="L420" s="17">
        <v>-1.1666442</v>
      </c>
      <c r="M420" s="17">
        <v>0.2566442</v>
      </c>
      <c r="N420" s="17"/>
      <c r="O420" s="14">
        <f t="shared" si="1"/>
        <v>-0.91</v>
      </c>
      <c r="P420" s="86">
        <f t="array" ref="P420">iferror(XLOOKUP(C420,'Download of SFDC Activation Rep'!B:B,'Download of SFDC Activation Rep'!Z:Z),"")</f>
        <v>45895</v>
      </c>
      <c r="Q420" s="86">
        <f t="shared" si="2"/>
        <v>45870</v>
      </c>
      <c r="R420" s="13" t="str">
        <f t="shared" si="3"/>
        <v>Yes</v>
      </c>
      <c r="S420" s="86">
        <f t="array" ref="S420">iferror(XLOOKUP(C420,'Download of SFDC Activation Rep'!B:B,'Download of SFDC Activation Rep'!Y:Y),"")</f>
        <v>45910</v>
      </c>
    </row>
    <row r="421">
      <c r="A421" s="17" t="s">
        <v>17</v>
      </c>
      <c r="B421" s="85">
        <v>45261.0</v>
      </c>
      <c r="C421" s="17">
        <v>489723.0</v>
      </c>
      <c r="D421" s="85">
        <v>45200.0</v>
      </c>
      <c r="E421" s="17">
        <v>3.0</v>
      </c>
      <c r="F421" s="17">
        <v>3.0</v>
      </c>
      <c r="G421" s="17">
        <v>1567.08</v>
      </c>
      <c r="H421" s="17"/>
      <c r="I421" s="17">
        <v>0.0</v>
      </c>
      <c r="J421" s="17"/>
      <c r="K421" s="17">
        <v>-0.72</v>
      </c>
      <c r="L421" s="17">
        <v>-1.69128330684872</v>
      </c>
      <c r="M421" s="17">
        <v>0.971283306848724</v>
      </c>
      <c r="N421" s="17"/>
      <c r="O421" s="14">
        <f t="shared" si="1"/>
        <v>-0.72</v>
      </c>
      <c r="P421" s="86">
        <f t="array" ref="P421">iferror(XLOOKUP(C421,'Download of SFDC Activation Rep'!B:B,'Download of SFDC Activation Rep'!Z:Z),"")</f>
        <v>46112</v>
      </c>
      <c r="Q421" s="86">
        <f t="shared" si="2"/>
        <v>46082</v>
      </c>
      <c r="R421" s="13" t="str">
        <f t="shared" si="3"/>
        <v>No</v>
      </c>
      <c r="S421" s="86">
        <f t="array" ref="S421">iferror(XLOOKUP(C421,'Download of SFDC Activation Rep'!B:B,'Download of SFDC Activation Rep'!Y:Y),"")</f>
        <v>46204</v>
      </c>
    </row>
    <row r="422">
      <c r="A422" s="17" t="s">
        <v>17</v>
      </c>
      <c r="B422" s="85">
        <v>45962.0</v>
      </c>
      <c r="C422" s="17">
        <v>3942346.0</v>
      </c>
      <c r="D422" s="85">
        <v>45809.0</v>
      </c>
      <c r="E422" s="17">
        <v>10.0</v>
      </c>
      <c r="F422" s="17">
        <v>10.0</v>
      </c>
      <c r="G422" s="17">
        <v>32955.61</v>
      </c>
      <c r="H422" s="17"/>
      <c r="I422" s="17">
        <v>500.21</v>
      </c>
      <c r="J422" s="17"/>
      <c r="K422" s="17">
        <v>436.1459</v>
      </c>
      <c r="L422" s="17">
        <v>430.903997060756</v>
      </c>
      <c r="M422" s="17">
        <v>5.24190293924397</v>
      </c>
      <c r="N422" s="17"/>
      <c r="O422" s="14">
        <f t="shared" si="1"/>
        <v>436.1459</v>
      </c>
      <c r="P422" s="86">
        <f t="array" ref="P422">iferror(XLOOKUP(C422,'Download of SFDC Activation Rep'!B:B,'Download of SFDC Activation Rep'!Z:Z),"")</f>
        <v>45809</v>
      </c>
      <c r="Q422" s="86">
        <f t="shared" si="2"/>
        <v>45809</v>
      </c>
      <c r="R422" s="13" t="str">
        <f t="shared" si="3"/>
        <v>Yes</v>
      </c>
      <c r="S422" s="86">
        <f t="array" ref="S422">iferror(XLOOKUP(C422,'Download of SFDC Activation Rep'!B:B,'Download of SFDC Activation Rep'!Y:Y),"")</f>
        <v>45812</v>
      </c>
    </row>
    <row r="423">
      <c r="A423" s="17" t="s">
        <v>17</v>
      </c>
      <c r="B423" s="85">
        <v>46143.0</v>
      </c>
      <c r="C423" s="17">
        <v>4299613.0</v>
      </c>
      <c r="D423" s="85">
        <v>46143.0</v>
      </c>
      <c r="E423" s="17">
        <v>1.0</v>
      </c>
      <c r="F423" s="17">
        <v>0.0</v>
      </c>
      <c r="G423" s="17">
        <v>1130.0</v>
      </c>
      <c r="H423" s="17"/>
      <c r="I423" s="17">
        <v>32.77</v>
      </c>
      <c r="J423" s="17"/>
      <c r="K423" s="17">
        <v>5.9485</v>
      </c>
      <c r="L423" s="17">
        <v>5.9372</v>
      </c>
      <c r="M423" s="17">
        <v>0.0113000000000003</v>
      </c>
      <c r="N423" s="17"/>
      <c r="O423" s="14">
        <f t="shared" si="1"/>
        <v>5.9485</v>
      </c>
      <c r="P423" s="86">
        <f t="array" ref="P423">iferror(XLOOKUP(C423,'Download of SFDC Activation Rep'!B:B,'Download of SFDC Activation Rep'!Z:Z),"")</f>
        <v>46099</v>
      </c>
      <c r="Q423" s="86">
        <f t="shared" si="2"/>
        <v>46082</v>
      </c>
      <c r="R423" s="13" t="str">
        <f t="shared" si="3"/>
        <v>Yes</v>
      </c>
      <c r="S423" s="86">
        <f t="array" ref="S423">iferror(XLOOKUP(C423,'Download of SFDC Activation Rep'!B:B,'Download of SFDC Activation Rep'!Y:Y),"")</f>
        <v>46251</v>
      </c>
    </row>
    <row r="424">
      <c r="A424" s="17" t="s">
        <v>17</v>
      </c>
      <c r="B424" s="85">
        <v>46174.0</v>
      </c>
      <c r="C424" s="17">
        <v>4531933.0</v>
      </c>
      <c r="D424" s="85">
        <v>46113.0</v>
      </c>
      <c r="E424" s="17">
        <v>1.0</v>
      </c>
      <c r="F424" s="17">
        <v>1.0</v>
      </c>
      <c r="G424" s="17">
        <v>40982.39</v>
      </c>
      <c r="H424" s="17"/>
      <c r="I424" s="17">
        <v>623.09</v>
      </c>
      <c r="J424" s="17"/>
      <c r="K424" s="17">
        <v>552.9097</v>
      </c>
      <c r="L424" s="17">
        <v>546.390899306476</v>
      </c>
      <c r="M424" s="17">
        <v>6.51880069352398</v>
      </c>
      <c r="N424" s="17"/>
      <c r="O424" s="14">
        <f t="shared" si="1"/>
        <v>552.9097</v>
      </c>
      <c r="P424" s="86">
        <f t="array" ref="P424">iferror(XLOOKUP(C424,'Download of SFDC Activation Rep'!B:B,'Download of SFDC Activation Rep'!Z:Z),"")</f>
        <v>46113</v>
      </c>
      <c r="Q424" s="86">
        <f t="shared" si="2"/>
        <v>46113</v>
      </c>
      <c r="R424" s="13" t="str">
        <f t="shared" si="3"/>
        <v>Yes</v>
      </c>
      <c r="S424" s="86">
        <f t="array" ref="S424">iferror(XLOOKUP(C424,'Download of SFDC Activation Rep'!B:B,'Download of SFDC Activation Rep'!Y:Y),"")</f>
        <v>46237</v>
      </c>
    </row>
    <row r="425">
      <c r="A425" s="17" t="s">
        <v>17</v>
      </c>
      <c r="B425" s="85">
        <v>45901.0</v>
      </c>
      <c r="C425" s="17">
        <v>4138622.0</v>
      </c>
      <c r="D425" s="85">
        <v>45901.0</v>
      </c>
      <c r="E425" s="17">
        <v>1.0</v>
      </c>
      <c r="F425" s="17">
        <v>1.0</v>
      </c>
      <c r="G425" s="17">
        <v>5.0</v>
      </c>
      <c r="H425" s="17"/>
      <c r="I425" s="17">
        <v>0.0</v>
      </c>
      <c r="J425" s="17"/>
      <c r="K425" s="17">
        <v>-0.1</v>
      </c>
      <c r="L425" s="17">
        <v>-0.10005</v>
      </c>
      <c r="M425" s="87">
        <v>4.99999999999944E-5</v>
      </c>
      <c r="N425" s="17"/>
      <c r="O425" s="14">
        <f t="shared" si="1"/>
        <v>-0.1</v>
      </c>
      <c r="P425" s="86">
        <f t="array" ref="P425">iferror(XLOOKUP(C425,'Download of SFDC Activation Rep'!B:B,'Download of SFDC Activation Rep'!Z:Z),"")</f>
        <v>45916</v>
      </c>
      <c r="Q425" s="86">
        <f t="shared" si="2"/>
        <v>45901</v>
      </c>
      <c r="R425" s="13" t="str">
        <f t="shared" si="3"/>
        <v>Yes</v>
      </c>
      <c r="S425" s="86">
        <f t="array" ref="S425">iferror(XLOOKUP(C425,'Download of SFDC Activation Rep'!B:B,'Download of SFDC Activation Rep'!Y:Y),"")</f>
        <v>45966</v>
      </c>
    </row>
    <row r="426">
      <c r="A426" s="17" t="s">
        <v>17</v>
      </c>
      <c r="B426" s="85">
        <v>46143.0</v>
      </c>
      <c r="C426" s="17">
        <v>4185373.0</v>
      </c>
      <c r="D426" s="85">
        <v>45931.0</v>
      </c>
      <c r="E426" s="17">
        <v>7.0</v>
      </c>
      <c r="F426" s="17">
        <v>0.0</v>
      </c>
      <c r="G426" s="17">
        <v>23915.8</v>
      </c>
      <c r="H426" s="17">
        <v>23658.8</v>
      </c>
      <c r="I426" s="17">
        <v>693.56</v>
      </c>
      <c r="J426" s="17"/>
      <c r="K426" s="17">
        <v>60.5276</v>
      </c>
      <c r="L426" s="17">
        <v>60.288442</v>
      </c>
      <c r="M426" s="17">
        <v>0.239157999999996</v>
      </c>
      <c r="N426" s="17"/>
      <c r="O426" s="14">
        <f t="shared" si="1"/>
        <v>60.5276</v>
      </c>
      <c r="P426" s="86">
        <f t="array" ref="P426">iferror(XLOOKUP(C426,'Download of SFDC Activation Rep'!B:B,'Download of SFDC Activation Rep'!Z:Z),"")</f>
        <v>45940</v>
      </c>
      <c r="Q426" s="86">
        <f t="shared" si="2"/>
        <v>45931</v>
      </c>
      <c r="R426" s="13" t="str">
        <f t="shared" si="3"/>
        <v>Yes</v>
      </c>
      <c r="S426" s="86">
        <f t="array" ref="S426">iferror(XLOOKUP(C426,'Download of SFDC Activation Rep'!B:B,'Download of SFDC Activation Rep'!Y:Y),"")</f>
        <v>45958</v>
      </c>
    </row>
    <row r="427">
      <c r="A427" s="17" t="s">
        <v>17</v>
      </c>
      <c r="B427" s="85">
        <v>45839.0</v>
      </c>
      <c r="C427" s="17">
        <v>3090633.0</v>
      </c>
      <c r="D427" s="85">
        <v>45474.0</v>
      </c>
      <c r="E427" s="17">
        <v>1.0</v>
      </c>
      <c r="F427" s="17">
        <v>1.0</v>
      </c>
      <c r="G427" s="17">
        <v>1893.78</v>
      </c>
      <c r="H427" s="17"/>
      <c r="I427" s="17">
        <v>0.0</v>
      </c>
      <c r="J427" s="17"/>
      <c r="K427" s="17">
        <v>-0.06</v>
      </c>
      <c r="L427" s="17">
        <v>-0.356720001132282</v>
      </c>
      <c r="M427" s="17">
        <v>0.296720001132282</v>
      </c>
      <c r="N427" s="17"/>
      <c r="O427" s="14">
        <f t="shared" si="1"/>
        <v>-0.06</v>
      </c>
      <c r="P427" s="86">
        <f t="array" ref="P427">iferror(XLOOKUP(C427,'Download of SFDC Activation Rep'!B:B,'Download of SFDC Activation Rep'!Z:Z),"")</f>
        <v>45961</v>
      </c>
      <c r="Q427" s="86">
        <f t="shared" si="2"/>
        <v>45931</v>
      </c>
      <c r="R427" s="13" t="str">
        <f t="shared" si="3"/>
        <v>No</v>
      </c>
      <c r="S427" s="86">
        <f t="array" ref="S427">iferror(XLOOKUP(C427,'Download of SFDC Activation Rep'!B:B,'Download of SFDC Activation Rep'!Y:Y),"")</f>
        <v>46051</v>
      </c>
    </row>
    <row r="428">
      <c r="A428" s="17" t="s">
        <v>17</v>
      </c>
      <c r="B428" s="85">
        <v>46174.0</v>
      </c>
      <c r="C428" s="17">
        <v>4485019.0</v>
      </c>
      <c r="D428" s="85">
        <v>46082.0</v>
      </c>
      <c r="E428" s="17">
        <v>3.0</v>
      </c>
      <c r="F428" s="17">
        <v>0.0</v>
      </c>
      <c r="G428" s="17">
        <v>2537.0</v>
      </c>
      <c r="H428" s="17">
        <v>887.0</v>
      </c>
      <c r="I428" s="17">
        <v>73.58</v>
      </c>
      <c r="J428" s="17"/>
      <c r="K428" s="17">
        <v>2.7069</v>
      </c>
      <c r="L428" s="17">
        <v>2.68153</v>
      </c>
      <c r="M428" s="17">
        <v>0.0253699999999996</v>
      </c>
      <c r="N428" s="17"/>
      <c r="O428" s="14">
        <f t="shared" si="1"/>
        <v>2.7069</v>
      </c>
      <c r="P428" s="86">
        <f t="array" ref="P428">iferror(XLOOKUP(C428,'Download of SFDC Activation Rep'!B:B,'Download of SFDC Activation Rep'!Z:Z),"")</f>
        <v>46077</v>
      </c>
      <c r="Q428" s="86">
        <f t="shared" si="2"/>
        <v>46054</v>
      </c>
      <c r="R428" s="13" t="str">
        <f t="shared" si="3"/>
        <v>Yes</v>
      </c>
      <c r="S428" s="86">
        <f t="array" ref="S428">iferror(XLOOKUP(C428,'Download of SFDC Activation Rep'!B:B,'Download of SFDC Activation Rep'!Y:Y),"")</f>
        <v>46139</v>
      </c>
    </row>
    <row r="429">
      <c r="A429" s="17" t="s">
        <v>17</v>
      </c>
      <c r="B429" s="85">
        <v>46143.0</v>
      </c>
      <c r="C429" s="17">
        <v>4247168.0</v>
      </c>
      <c r="D429" s="85">
        <v>45992.0</v>
      </c>
      <c r="E429" s="17">
        <v>5.0</v>
      </c>
      <c r="F429" s="17">
        <v>5.0</v>
      </c>
      <c r="G429" s="17">
        <v>20723.46</v>
      </c>
      <c r="H429" s="17"/>
      <c r="I429" s="17">
        <v>0.0</v>
      </c>
      <c r="J429" s="17"/>
      <c r="K429" s="17">
        <v>-0.8042</v>
      </c>
      <c r="L429" s="17">
        <v>-1.0114346</v>
      </c>
      <c r="M429" s="17">
        <v>0.2072346</v>
      </c>
      <c r="N429" s="17"/>
      <c r="O429" s="14">
        <f t="shared" si="1"/>
        <v>-0.8042</v>
      </c>
      <c r="P429" s="86">
        <f t="array" ref="P429">iferror(XLOOKUP(C429,'Download of SFDC Activation Rep'!B:B,'Download of SFDC Activation Rep'!Z:Z),"")</f>
        <v>45968</v>
      </c>
      <c r="Q429" s="86">
        <f t="shared" si="2"/>
        <v>45962</v>
      </c>
      <c r="R429" s="13" t="str">
        <f t="shared" si="3"/>
        <v>Yes</v>
      </c>
      <c r="S429" s="86">
        <f t="array" ref="S429">iferror(XLOOKUP(C429,'Download of SFDC Activation Rep'!B:B,'Download of SFDC Activation Rep'!Y:Y),"")</f>
        <v>46006</v>
      </c>
    </row>
    <row r="430">
      <c r="A430" s="17" t="s">
        <v>17</v>
      </c>
      <c r="B430" s="85">
        <v>45931.0</v>
      </c>
      <c r="C430" s="17">
        <v>4079020.0</v>
      </c>
      <c r="D430" s="85">
        <v>45901.0</v>
      </c>
      <c r="E430" s="17">
        <v>1.0</v>
      </c>
      <c r="F430" s="17">
        <v>1.0</v>
      </c>
      <c r="G430" s="17">
        <v>3000.0</v>
      </c>
      <c r="H430" s="17"/>
      <c r="I430" s="17">
        <v>0.0</v>
      </c>
      <c r="J430" s="17"/>
      <c r="K430" s="17">
        <v>-0.06</v>
      </c>
      <c r="L430" s="17">
        <v>-0.5300440407</v>
      </c>
      <c r="M430" s="17">
        <v>0.4700440407</v>
      </c>
      <c r="N430" s="17"/>
      <c r="O430" s="14">
        <f t="shared" si="1"/>
        <v>-0.06</v>
      </c>
      <c r="P430" s="86">
        <f t="array" ref="P430">iferror(XLOOKUP(C430,'Download of SFDC Activation Rep'!B:B,'Download of SFDC Activation Rep'!Z:Z),"")</f>
        <v>45894</v>
      </c>
      <c r="Q430" s="86">
        <f t="shared" si="2"/>
        <v>45870</v>
      </c>
      <c r="R430" s="13" t="str">
        <f t="shared" si="3"/>
        <v>Yes</v>
      </c>
      <c r="S430" s="86">
        <f t="array" ref="S430">iferror(XLOOKUP(C430,'Download of SFDC Activation Rep'!B:B,'Download of SFDC Activation Rep'!Y:Y),"")</f>
        <v>45937</v>
      </c>
    </row>
    <row r="431">
      <c r="A431" s="17" t="s">
        <v>17</v>
      </c>
      <c r="B431" s="85">
        <v>45992.0</v>
      </c>
      <c r="C431" s="17">
        <v>4138622.0</v>
      </c>
      <c r="D431" s="85">
        <v>45901.0</v>
      </c>
      <c r="E431" s="17">
        <v>14.0</v>
      </c>
      <c r="F431" s="17">
        <v>6.0</v>
      </c>
      <c r="G431" s="17">
        <v>137706.88</v>
      </c>
      <c r="H431" s="17"/>
      <c r="I431" s="17">
        <v>1930.03</v>
      </c>
      <c r="J431" s="17"/>
      <c r="K431" s="17">
        <v>1926.04229999999</v>
      </c>
      <c r="L431" s="17">
        <v>1924.66523119999</v>
      </c>
      <c r="M431" s="17">
        <v>1.37706879999996</v>
      </c>
      <c r="N431" s="17"/>
      <c r="O431" s="14">
        <f t="shared" si="1"/>
        <v>1926.0423</v>
      </c>
      <c r="P431" s="86">
        <f t="array" ref="P431">iferror(XLOOKUP(C431,'Download of SFDC Activation Rep'!B:B,'Download of SFDC Activation Rep'!Z:Z),"")</f>
        <v>45916</v>
      </c>
      <c r="Q431" s="86">
        <f t="shared" si="2"/>
        <v>45901</v>
      </c>
      <c r="R431" s="13" t="str">
        <f t="shared" si="3"/>
        <v>Yes</v>
      </c>
      <c r="S431" s="86">
        <f t="array" ref="S431">iferror(XLOOKUP(C431,'Download of SFDC Activation Rep'!B:B,'Download of SFDC Activation Rep'!Y:Y),"")</f>
        <v>45966</v>
      </c>
    </row>
    <row r="432">
      <c r="A432" s="17" t="s">
        <v>17</v>
      </c>
      <c r="B432" s="85">
        <v>45474.0</v>
      </c>
      <c r="C432" s="17">
        <v>3090633.0</v>
      </c>
      <c r="D432" s="85">
        <v>45474.0</v>
      </c>
      <c r="E432" s="17">
        <v>1.0</v>
      </c>
      <c r="F432" s="17">
        <v>1.0</v>
      </c>
      <c r="G432" s="17">
        <v>2310.0</v>
      </c>
      <c r="H432" s="17"/>
      <c r="I432" s="17">
        <v>0.0</v>
      </c>
      <c r="J432" s="17"/>
      <c r="K432" s="17">
        <v>-0.15</v>
      </c>
      <c r="L432" s="17">
        <v>-1.277289833901</v>
      </c>
      <c r="M432" s="17">
        <v>1.127289833901</v>
      </c>
      <c r="N432" s="17"/>
      <c r="O432" s="14">
        <f t="shared" si="1"/>
        <v>-0.15</v>
      </c>
      <c r="P432" s="86">
        <f t="array" ref="P432">iferror(XLOOKUP(C432,'Download of SFDC Activation Rep'!B:B,'Download of SFDC Activation Rep'!Z:Z),"")</f>
        <v>45961</v>
      </c>
      <c r="Q432" s="86">
        <f t="shared" si="2"/>
        <v>45931</v>
      </c>
      <c r="R432" s="13" t="str">
        <f t="shared" si="3"/>
        <v>No</v>
      </c>
      <c r="S432" s="86">
        <f t="array" ref="S432">iferror(XLOOKUP(C432,'Download of SFDC Activation Rep'!B:B,'Download of SFDC Activation Rep'!Y:Y),"")</f>
        <v>46051</v>
      </c>
    </row>
    <row r="433">
      <c r="A433" s="17" t="s">
        <v>17</v>
      </c>
      <c r="B433" s="85">
        <v>45444.0</v>
      </c>
      <c r="C433" s="17">
        <v>3265302.0</v>
      </c>
      <c r="D433" s="85">
        <v>45352.0</v>
      </c>
      <c r="E433" s="17">
        <v>17.0</v>
      </c>
      <c r="F433" s="17">
        <v>17.0</v>
      </c>
      <c r="G433" s="17">
        <v>167717.84</v>
      </c>
      <c r="H433" s="17"/>
      <c r="I433" s="17">
        <v>0.0</v>
      </c>
      <c r="J433" s="17"/>
      <c r="K433" s="17">
        <v>-3.7</v>
      </c>
      <c r="L433" s="17">
        <v>-85.5470199116166</v>
      </c>
      <c r="M433" s="17">
        <v>81.8470199116166</v>
      </c>
      <c r="N433" s="17"/>
      <c r="O433" s="14">
        <f t="shared" si="1"/>
        <v>-3.7</v>
      </c>
      <c r="P433" s="86">
        <f t="array" ref="P433">iferror(XLOOKUP(C433,'Download of SFDC Activation Rep'!B:B,'Download of SFDC Activation Rep'!Z:Z),"")</f>
        <v>45936</v>
      </c>
      <c r="Q433" s="86">
        <f t="shared" si="2"/>
        <v>45931</v>
      </c>
      <c r="R433" s="13" t="str">
        <f t="shared" si="3"/>
        <v>No</v>
      </c>
      <c r="S433" s="86">
        <f t="array" ref="S433">iferror(XLOOKUP(C433,'Download of SFDC Activation Rep'!B:B,'Download of SFDC Activation Rep'!Y:Y),"")</f>
        <v>46031</v>
      </c>
    </row>
    <row r="434">
      <c r="A434" s="17" t="s">
        <v>17</v>
      </c>
      <c r="B434" s="85">
        <v>46082.0</v>
      </c>
      <c r="C434" s="17">
        <v>4185373.0</v>
      </c>
      <c r="D434" s="85">
        <v>45931.0</v>
      </c>
      <c r="E434" s="17">
        <v>2.0</v>
      </c>
      <c r="F434" s="17">
        <v>0.0</v>
      </c>
      <c r="G434" s="17">
        <v>115122.0</v>
      </c>
      <c r="H434" s="17">
        <v>19582.5</v>
      </c>
      <c r="I434" s="17">
        <v>3338.54</v>
      </c>
      <c r="J434" s="17"/>
      <c r="K434" s="17">
        <v>488.179999999999</v>
      </c>
      <c r="L434" s="17">
        <v>487.02878</v>
      </c>
      <c r="M434" s="17">
        <v>1.15121999999996</v>
      </c>
      <c r="N434" s="17"/>
      <c r="O434" s="14">
        <f t="shared" si="1"/>
        <v>615.46625</v>
      </c>
      <c r="P434" s="86">
        <f t="array" ref="P434">iferror(XLOOKUP(C434,'Download of SFDC Activation Rep'!B:B,'Download of SFDC Activation Rep'!Z:Z),"")</f>
        <v>45940</v>
      </c>
      <c r="Q434" s="86">
        <f t="shared" si="2"/>
        <v>45931</v>
      </c>
      <c r="R434" s="13" t="str">
        <f t="shared" si="3"/>
        <v>Yes</v>
      </c>
      <c r="S434" s="86">
        <f t="array" ref="S434">iferror(XLOOKUP(C434,'Download of SFDC Activation Rep'!B:B,'Download of SFDC Activation Rep'!Y:Y),"")</f>
        <v>45958</v>
      </c>
    </row>
    <row r="435">
      <c r="A435" s="17" t="s">
        <v>17</v>
      </c>
      <c r="B435" s="85">
        <v>45962.0</v>
      </c>
      <c r="C435" s="17">
        <v>3956509.0</v>
      </c>
      <c r="D435" s="85">
        <v>45901.0</v>
      </c>
      <c r="E435" s="17">
        <v>2.0</v>
      </c>
      <c r="F435" s="17">
        <v>2.0</v>
      </c>
      <c r="G435" s="17">
        <v>1056.0</v>
      </c>
      <c r="H435" s="17"/>
      <c r="I435" s="17">
        <v>0.0</v>
      </c>
      <c r="J435" s="17"/>
      <c r="K435" s="17">
        <v>-0.39</v>
      </c>
      <c r="L435" s="17">
        <v>-0.5554555023264</v>
      </c>
      <c r="M435" s="17">
        <v>0.1654555023264</v>
      </c>
      <c r="N435" s="17"/>
      <c r="O435" s="14">
        <f t="shared" si="1"/>
        <v>-0.39</v>
      </c>
      <c r="P435" s="86">
        <f t="array" ref="P435">iferror(XLOOKUP(C435,'Download of SFDC Activation Rep'!B:B,'Download of SFDC Activation Rep'!Z:Z),"")</f>
        <v>45890</v>
      </c>
      <c r="Q435" s="86">
        <f t="shared" si="2"/>
        <v>45870</v>
      </c>
      <c r="R435" s="13" t="str">
        <f t="shared" si="3"/>
        <v>Yes</v>
      </c>
      <c r="S435" s="86">
        <f t="array" ref="S435">iferror(XLOOKUP(C435,'Download of SFDC Activation Rep'!B:B,'Download of SFDC Activation Rep'!Y:Y),"")</f>
        <v>46009</v>
      </c>
    </row>
    <row r="436">
      <c r="A436" s="17" t="s">
        <v>17</v>
      </c>
      <c r="B436" s="85">
        <v>46054.0</v>
      </c>
      <c r="C436" s="17">
        <v>4309608.0</v>
      </c>
      <c r="D436" s="85">
        <v>46023.0</v>
      </c>
      <c r="E436" s="17">
        <v>3.0</v>
      </c>
      <c r="F436" s="17">
        <v>0.0</v>
      </c>
      <c r="G436" s="17">
        <v>210.28</v>
      </c>
      <c r="H436" s="17">
        <v>210.28</v>
      </c>
      <c r="I436" s="17">
        <v>6.1</v>
      </c>
      <c r="J436" s="17"/>
      <c r="K436" s="17">
        <v>-1.1331</v>
      </c>
      <c r="L436" s="17">
        <v>-1.1352028</v>
      </c>
      <c r="M436" s="17">
        <v>0.00210280000000007</v>
      </c>
      <c r="N436" s="17"/>
      <c r="O436" s="14">
        <f t="shared" si="1"/>
        <v>0.23372</v>
      </c>
      <c r="P436" s="86">
        <f t="array" ref="P436">iferror(XLOOKUP(C436,'Download of SFDC Activation Rep'!B:B,'Download of SFDC Activation Rep'!Z:Z),"")</f>
        <v>46056</v>
      </c>
      <c r="Q436" s="86">
        <f t="shared" si="2"/>
        <v>46054</v>
      </c>
      <c r="R436" s="13" t="str">
        <f t="shared" si="3"/>
        <v>Yes</v>
      </c>
      <c r="S436" s="86">
        <f t="array" ref="S436">iferror(XLOOKUP(C436,'Download of SFDC Activation Rep'!B:B,'Download of SFDC Activation Rep'!Y:Y),"")</f>
        <v>46037</v>
      </c>
    </row>
    <row r="437">
      <c r="A437" s="17" t="s">
        <v>488</v>
      </c>
      <c r="B437" s="85">
        <v>46054.0</v>
      </c>
      <c r="C437" s="17">
        <v>4299448.0</v>
      </c>
      <c r="D437" s="85">
        <v>45992.0</v>
      </c>
      <c r="E437" s="17">
        <v>16.0</v>
      </c>
      <c r="F437" s="17">
        <v>0.0</v>
      </c>
      <c r="G437" s="17">
        <v>82823.18</v>
      </c>
      <c r="H437" s="17"/>
      <c r="I437" s="17">
        <v>2451.87</v>
      </c>
      <c r="J437" s="17"/>
      <c r="K437" s="17">
        <v>195.048</v>
      </c>
      <c r="L437" s="17">
        <v>134.101821864096</v>
      </c>
      <c r="M437" s="17">
        <v>60.946178135904</v>
      </c>
      <c r="N437" s="17"/>
      <c r="O437" s="14">
        <f t="shared" si="1"/>
        <v>195.048</v>
      </c>
      <c r="P437" s="86">
        <f t="array" ref="P437">iferror(XLOOKUP(C437,'Download of SFDC Activation Rep'!B:B,'Download of SFDC Activation Rep'!Z:Z),"")</f>
        <v>46197</v>
      </c>
      <c r="Q437" s="86">
        <f t="shared" si="2"/>
        <v>46174</v>
      </c>
      <c r="R437" s="13" t="str">
        <f t="shared" si="3"/>
        <v>No</v>
      </c>
      <c r="S437" s="86">
        <f t="array" ref="S437">iferror(XLOOKUP(C437,'Download of SFDC Activation Rep'!B:B,'Download of SFDC Activation Rep'!Y:Y),"")</f>
        <v>46361</v>
      </c>
    </row>
    <row r="438">
      <c r="A438" s="17" t="s">
        <v>17</v>
      </c>
      <c r="B438" s="85">
        <v>45352.0</v>
      </c>
      <c r="C438" s="17">
        <v>2967694.0</v>
      </c>
      <c r="D438" s="85">
        <v>45292.0</v>
      </c>
      <c r="E438" s="17">
        <v>4.0</v>
      </c>
      <c r="F438" s="17">
        <v>0.0</v>
      </c>
      <c r="G438" s="17">
        <v>41754.85</v>
      </c>
      <c r="H438" s="17">
        <v>41754.85</v>
      </c>
      <c r="I438" s="17">
        <v>1210.89</v>
      </c>
      <c r="J438" s="17"/>
      <c r="K438" s="17">
        <v>177.1545</v>
      </c>
      <c r="L438" s="17">
        <v>166.730342088276</v>
      </c>
      <c r="M438" s="17">
        <v>10.4241579117238</v>
      </c>
      <c r="N438" s="17"/>
      <c r="O438" s="14">
        <f t="shared" si="1"/>
        <v>177.1545</v>
      </c>
      <c r="P438" s="86">
        <f t="array" ref="P438">iferror(XLOOKUP(C438,'Download of SFDC Activation Rep'!B:B,'Download of SFDC Activation Rep'!Z:Z),"")</f>
        <v>45924</v>
      </c>
      <c r="Q438" s="86">
        <f t="shared" si="2"/>
        <v>45901</v>
      </c>
      <c r="R438" s="13" t="str">
        <f t="shared" si="3"/>
        <v>No</v>
      </c>
      <c r="S438" s="86">
        <f t="array" ref="S438">iferror(XLOOKUP(C438,'Download of SFDC Activation Rep'!B:B,'Download of SFDC Activation Rep'!Y:Y),"")</f>
        <v>46055</v>
      </c>
    </row>
    <row r="439">
      <c r="A439" s="17" t="s">
        <v>17</v>
      </c>
      <c r="B439" s="85">
        <v>46143.0</v>
      </c>
      <c r="C439" s="17">
        <v>4154266.0</v>
      </c>
      <c r="D439" s="85">
        <v>45931.0</v>
      </c>
      <c r="E439" s="17">
        <v>27.0</v>
      </c>
      <c r="F439" s="17">
        <v>15.0</v>
      </c>
      <c r="G439" s="17">
        <v>10963.76</v>
      </c>
      <c r="H439" s="17">
        <v>2002.45</v>
      </c>
      <c r="I439" s="17">
        <v>222.93</v>
      </c>
      <c r="J439" s="17"/>
      <c r="K439" s="17">
        <v>32.2351</v>
      </c>
      <c r="L439" s="17">
        <v>32.1254623999999</v>
      </c>
      <c r="M439" s="17">
        <v>0.109637600000013</v>
      </c>
      <c r="N439" s="17"/>
      <c r="O439" s="14">
        <f t="shared" si="1"/>
        <v>32.2351</v>
      </c>
      <c r="P439" s="86">
        <f t="array" ref="P439">iferror(XLOOKUP(C439,'Download of SFDC Activation Rep'!B:B,'Download of SFDC Activation Rep'!Z:Z),"")</f>
        <v>45895</v>
      </c>
      <c r="Q439" s="86">
        <f t="shared" si="2"/>
        <v>45870</v>
      </c>
      <c r="R439" s="13" t="str">
        <f t="shared" si="3"/>
        <v>Yes</v>
      </c>
      <c r="S439" s="86">
        <f t="array" ref="S439">iferror(XLOOKUP(C439,'Download of SFDC Activation Rep'!B:B,'Download of SFDC Activation Rep'!Y:Y),"")</f>
        <v>45954</v>
      </c>
    </row>
    <row r="440">
      <c r="A440" s="17" t="s">
        <v>17</v>
      </c>
      <c r="B440" s="85">
        <v>46023.0</v>
      </c>
      <c r="C440" s="17">
        <v>4162423.0</v>
      </c>
      <c r="D440" s="85">
        <v>45962.0</v>
      </c>
      <c r="E440" s="17">
        <v>2.0</v>
      </c>
      <c r="F440" s="17">
        <v>0.0</v>
      </c>
      <c r="G440" s="17">
        <v>99.35</v>
      </c>
      <c r="H440" s="17">
        <v>34.35</v>
      </c>
      <c r="I440" s="17">
        <v>2.89</v>
      </c>
      <c r="J440" s="17"/>
      <c r="K440" s="17">
        <v>-0.5732</v>
      </c>
      <c r="L440" s="17">
        <v>-0.57469025</v>
      </c>
      <c r="M440" s="17">
        <v>0.00149024999999991</v>
      </c>
      <c r="N440" s="17"/>
      <c r="O440" s="14">
        <f t="shared" si="1"/>
        <v>-0.349925</v>
      </c>
      <c r="P440" s="86">
        <f t="array" ref="P440">iferror(XLOOKUP(C440,'Download of SFDC Activation Rep'!B:B,'Download of SFDC Activation Rep'!Z:Z),"")</f>
        <v>45895</v>
      </c>
      <c r="Q440" s="86">
        <f t="shared" si="2"/>
        <v>45870</v>
      </c>
      <c r="R440" s="13" t="str">
        <f t="shared" si="3"/>
        <v>Yes</v>
      </c>
      <c r="S440" s="86">
        <f t="array" ref="S440">iferror(XLOOKUP(C440,'Download of SFDC Activation Rep'!B:B,'Download of SFDC Activation Rep'!Y:Y),"")</f>
        <v>45954</v>
      </c>
    </row>
    <row r="441">
      <c r="A441" s="17" t="s">
        <v>17</v>
      </c>
      <c r="B441" s="85">
        <v>46174.0</v>
      </c>
      <c r="C441" s="17">
        <v>4185373.0</v>
      </c>
      <c r="D441" s="85">
        <v>45931.0</v>
      </c>
      <c r="E441" s="17">
        <v>6.0</v>
      </c>
      <c r="F441" s="17">
        <v>0.0</v>
      </c>
      <c r="G441" s="17">
        <v>35492.01</v>
      </c>
      <c r="H441" s="17">
        <v>9150.0</v>
      </c>
      <c r="I441" s="17">
        <v>1029.27</v>
      </c>
      <c r="J441" s="17"/>
      <c r="K441" s="17">
        <v>146.918999999999</v>
      </c>
      <c r="L441" s="17">
        <v>146.5640799</v>
      </c>
      <c r="M441" s="17">
        <v>0.354920099999958</v>
      </c>
      <c r="N441" s="17"/>
      <c r="O441" s="14">
        <f t="shared" si="1"/>
        <v>146.919</v>
      </c>
      <c r="P441" s="86">
        <f t="array" ref="P441">iferror(XLOOKUP(C441,'Download of SFDC Activation Rep'!B:B,'Download of SFDC Activation Rep'!Z:Z),"")</f>
        <v>45940</v>
      </c>
      <c r="Q441" s="86">
        <f t="shared" si="2"/>
        <v>45931</v>
      </c>
      <c r="R441" s="13" t="str">
        <f t="shared" si="3"/>
        <v>Yes</v>
      </c>
      <c r="S441" s="86">
        <f t="array" ref="S441">iferror(XLOOKUP(C441,'Download of SFDC Activation Rep'!B:B,'Download of SFDC Activation Rep'!Y:Y),"")</f>
        <v>45958</v>
      </c>
    </row>
    <row r="442">
      <c r="A442" s="17" t="s">
        <v>17</v>
      </c>
      <c r="B442" s="85">
        <v>45992.0</v>
      </c>
      <c r="C442" s="17">
        <v>3869676.0</v>
      </c>
      <c r="D442" s="85">
        <v>45992.0</v>
      </c>
      <c r="E442" s="17">
        <v>1.0</v>
      </c>
      <c r="F442" s="17">
        <v>0.0</v>
      </c>
      <c r="G442" s="17">
        <v>2187.61</v>
      </c>
      <c r="H442" s="17">
        <v>2187.61</v>
      </c>
      <c r="I442" s="17">
        <v>85.32</v>
      </c>
      <c r="J442" s="17"/>
      <c r="K442" s="17">
        <v>33.1827</v>
      </c>
      <c r="L442" s="17">
        <v>25.6603663114415</v>
      </c>
      <c r="M442" s="17">
        <v>7.52233368855845</v>
      </c>
      <c r="N442" s="17"/>
      <c r="O442" s="14">
        <f t="shared" si="1"/>
        <v>33.1827</v>
      </c>
      <c r="P442" s="86">
        <f t="array" ref="P442">iferror(XLOOKUP(C442,'Download of SFDC Activation Rep'!B:B,'Download of SFDC Activation Rep'!Z:Z),"")</f>
        <v>46000</v>
      </c>
      <c r="Q442" s="86">
        <f t="shared" si="2"/>
        <v>45992</v>
      </c>
      <c r="R442" s="13" t="str">
        <f t="shared" si="3"/>
        <v>Yes</v>
      </c>
      <c r="S442" s="86">
        <f t="array" ref="S442">iferror(XLOOKUP(C442,'Download of SFDC Activation Rep'!B:B,'Download of SFDC Activation Rep'!Y:Y),"")</f>
        <v>46013</v>
      </c>
    </row>
    <row r="443">
      <c r="A443" s="17" t="s">
        <v>17</v>
      </c>
      <c r="B443" s="85">
        <v>45992.0</v>
      </c>
      <c r="C443" s="17">
        <v>3958943.0</v>
      </c>
      <c r="D443" s="85">
        <v>45839.0</v>
      </c>
      <c r="E443" s="17">
        <v>5.0</v>
      </c>
      <c r="F443" s="17">
        <v>1.0</v>
      </c>
      <c r="G443" s="17">
        <v>1144.68</v>
      </c>
      <c r="H443" s="17">
        <v>570.57</v>
      </c>
      <c r="I443" s="17">
        <v>28.17</v>
      </c>
      <c r="J443" s="17"/>
      <c r="K443" s="17">
        <v>11.0396</v>
      </c>
      <c r="L443" s="17">
        <v>11.0281532</v>
      </c>
      <c r="M443" s="17">
        <v>0.0114467999999998</v>
      </c>
      <c r="N443" s="17"/>
      <c r="O443" s="14">
        <f t="shared" si="1"/>
        <v>11.0396</v>
      </c>
      <c r="P443" s="86">
        <f t="array" ref="P443">iferror(XLOOKUP(C443,'Download of SFDC Activation Rep'!B:B,'Download of SFDC Activation Rep'!Z:Z),"")</f>
        <v>45839</v>
      </c>
      <c r="Q443" s="86">
        <f t="shared" si="2"/>
        <v>45839</v>
      </c>
      <c r="R443" s="13" t="str">
        <f t="shared" si="3"/>
        <v>Yes</v>
      </c>
      <c r="S443" s="86">
        <f t="array" ref="S443">iferror(XLOOKUP(C443,'Download of SFDC Activation Rep'!B:B,'Download of SFDC Activation Rep'!Y:Y),"")</f>
        <v>45862</v>
      </c>
    </row>
    <row r="444">
      <c r="A444" s="17" t="s">
        <v>17</v>
      </c>
      <c r="B444" s="85">
        <v>46082.0</v>
      </c>
      <c r="C444" s="17">
        <v>3514759.0</v>
      </c>
      <c r="D444" s="85">
        <v>45931.0</v>
      </c>
      <c r="E444" s="17">
        <v>1.0</v>
      </c>
      <c r="F444" s="17">
        <v>0.0</v>
      </c>
      <c r="G444" s="17">
        <v>328.32</v>
      </c>
      <c r="H444" s="17"/>
      <c r="I444" s="17">
        <v>9.52</v>
      </c>
      <c r="J444" s="17"/>
      <c r="K444" s="17">
        <v>-0.8062</v>
      </c>
      <c r="L444" s="17">
        <v>-0.8094832</v>
      </c>
      <c r="M444" s="17">
        <v>0.00328320000000004</v>
      </c>
      <c r="N444" s="17"/>
      <c r="O444" s="14">
        <f t="shared" si="1"/>
        <v>-0.8062</v>
      </c>
      <c r="P444" s="86">
        <f t="array" ref="P444">iferror(XLOOKUP(C444,'Download of SFDC Activation Rep'!B:B,'Download of SFDC Activation Rep'!Z:Z),"")</f>
        <v>45895</v>
      </c>
      <c r="Q444" s="86">
        <f t="shared" si="2"/>
        <v>45870</v>
      </c>
      <c r="R444" s="13" t="str">
        <f t="shared" si="3"/>
        <v>Yes</v>
      </c>
      <c r="S444" s="86">
        <f t="array" ref="S444">iferror(XLOOKUP(C444,'Download of SFDC Activation Rep'!B:B,'Download of SFDC Activation Rep'!Y:Y),"")</f>
        <v>45954</v>
      </c>
    </row>
    <row r="445">
      <c r="A445" s="17" t="s">
        <v>17</v>
      </c>
      <c r="B445" s="85">
        <v>45901.0</v>
      </c>
      <c r="C445" s="17">
        <v>3962143.0</v>
      </c>
      <c r="D445" s="85">
        <v>45809.0</v>
      </c>
      <c r="E445" s="17">
        <v>2.0</v>
      </c>
      <c r="F445" s="17">
        <v>0.0</v>
      </c>
      <c r="G445" s="17">
        <v>2453.86</v>
      </c>
      <c r="H445" s="17"/>
      <c r="I445" s="17">
        <v>81.16</v>
      </c>
      <c r="J445" s="17"/>
      <c r="K445" s="17">
        <v>9.9488</v>
      </c>
      <c r="L445" s="17">
        <v>7.89624301636772</v>
      </c>
      <c r="M445" s="17">
        <v>2.05255698363227</v>
      </c>
      <c r="N445" s="17"/>
      <c r="O445" s="14">
        <f t="shared" si="1"/>
        <v>9.9488</v>
      </c>
      <c r="P445" s="86">
        <f t="array" ref="P445">iferror(XLOOKUP(C445,'Download of SFDC Activation Rep'!B:B,'Download of SFDC Activation Rep'!Z:Z),"")</f>
        <v>45876</v>
      </c>
      <c r="Q445" s="86">
        <f t="shared" si="2"/>
        <v>45870</v>
      </c>
      <c r="R445" s="13" t="str">
        <f t="shared" si="3"/>
        <v>Yes</v>
      </c>
      <c r="S445" s="86">
        <f t="array" ref="S445">iferror(XLOOKUP(C445,'Download of SFDC Activation Rep'!B:B,'Download of SFDC Activation Rep'!Y:Y),"")</f>
        <v>45833</v>
      </c>
    </row>
    <row r="446">
      <c r="A446" s="17" t="s">
        <v>17</v>
      </c>
      <c r="B446" s="85">
        <v>45931.0</v>
      </c>
      <c r="C446" s="17">
        <v>3962143.0</v>
      </c>
      <c r="D446" s="85">
        <v>45809.0</v>
      </c>
      <c r="E446" s="17">
        <v>1.0</v>
      </c>
      <c r="F446" s="17">
        <v>0.0</v>
      </c>
      <c r="G446" s="17">
        <v>2000.0</v>
      </c>
      <c r="H446" s="17"/>
      <c r="I446" s="17">
        <v>68.0</v>
      </c>
      <c r="J446" s="17"/>
      <c r="K446" s="17">
        <v>9.6081</v>
      </c>
      <c r="L446" s="17">
        <v>7.7962943382</v>
      </c>
      <c r="M446" s="17">
        <v>1.81180566179999</v>
      </c>
      <c r="N446" s="17"/>
      <c r="O446" s="14">
        <f t="shared" si="1"/>
        <v>9.6081</v>
      </c>
      <c r="P446" s="86">
        <f t="array" ref="P446">iferror(XLOOKUP(C446,'Download of SFDC Activation Rep'!B:B,'Download of SFDC Activation Rep'!Z:Z),"")</f>
        <v>45876</v>
      </c>
      <c r="Q446" s="86">
        <f t="shared" si="2"/>
        <v>45870</v>
      </c>
      <c r="R446" s="13" t="str">
        <f t="shared" si="3"/>
        <v>Yes</v>
      </c>
      <c r="S446" s="86">
        <f t="array" ref="S446">iferror(XLOOKUP(C446,'Download of SFDC Activation Rep'!B:B,'Download of SFDC Activation Rep'!Y:Y),"")</f>
        <v>45833</v>
      </c>
    </row>
    <row r="447">
      <c r="A447" s="17" t="s">
        <v>17</v>
      </c>
      <c r="B447" s="85">
        <v>46174.0</v>
      </c>
      <c r="C447" s="17">
        <v>2967694.0</v>
      </c>
      <c r="D447" s="85">
        <v>45292.0</v>
      </c>
      <c r="E447" s="17">
        <v>5.0</v>
      </c>
      <c r="F447" s="17">
        <v>0.0</v>
      </c>
      <c r="G447" s="17">
        <v>109152.0</v>
      </c>
      <c r="H447" s="17">
        <v>109152.0</v>
      </c>
      <c r="I447" s="17">
        <v>3069.41</v>
      </c>
      <c r="J447" s="17"/>
      <c r="K447" s="17">
        <v>368.0272</v>
      </c>
      <c r="L447" s="17">
        <v>310.127215974399</v>
      </c>
      <c r="M447" s="17">
        <v>57.8999840256</v>
      </c>
      <c r="N447" s="17"/>
      <c r="O447" s="14">
        <f t="shared" si="1"/>
        <v>368.0272</v>
      </c>
      <c r="P447" s="86">
        <f t="array" ref="P447">iferror(XLOOKUP(C447,'Download of SFDC Activation Rep'!B:B,'Download of SFDC Activation Rep'!Z:Z),"")</f>
        <v>45924</v>
      </c>
      <c r="Q447" s="86">
        <f t="shared" si="2"/>
        <v>45901</v>
      </c>
      <c r="R447" s="13" t="str">
        <f t="shared" si="3"/>
        <v>Yes</v>
      </c>
      <c r="S447" s="86">
        <f t="array" ref="S447">iferror(XLOOKUP(C447,'Download of SFDC Activation Rep'!B:B,'Download of SFDC Activation Rep'!Y:Y),"")</f>
        <v>46055</v>
      </c>
    </row>
    <row r="448">
      <c r="A448" s="17" t="s">
        <v>17</v>
      </c>
      <c r="B448" s="85">
        <v>45383.0</v>
      </c>
      <c r="C448" s="17">
        <v>3265302.0</v>
      </c>
      <c r="D448" s="85">
        <v>45352.0</v>
      </c>
      <c r="E448" s="17">
        <v>14.0</v>
      </c>
      <c r="F448" s="17">
        <v>14.0</v>
      </c>
      <c r="G448" s="17">
        <v>17972.16</v>
      </c>
      <c r="H448" s="17"/>
      <c r="I448" s="17">
        <v>0.0</v>
      </c>
      <c r="J448" s="17"/>
      <c r="K448" s="17">
        <v>-2.52</v>
      </c>
      <c r="L448" s="17">
        <v>-11.2904905892823</v>
      </c>
      <c r="M448" s="17">
        <v>8.77049058928233</v>
      </c>
      <c r="N448" s="17"/>
      <c r="O448" s="14">
        <f t="shared" si="1"/>
        <v>-2.52</v>
      </c>
      <c r="P448" s="86">
        <f t="array" ref="P448">iferror(XLOOKUP(C448,'Download of SFDC Activation Rep'!B:B,'Download of SFDC Activation Rep'!Z:Z),"")</f>
        <v>45936</v>
      </c>
      <c r="Q448" s="86">
        <f t="shared" si="2"/>
        <v>45931</v>
      </c>
      <c r="R448" s="13" t="str">
        <f t="shared" si="3"/>
        <v>No</v>
      </c>
      <c r="S448" s="86">
        <f t="array" ref="S448">iferror(XLOOKUP(C448,'Download of SFDC Activation Rep'!B:B,'Download of SFDC Activation Rep'!Y:Y),"")</f>
        <v>46031</v>
      </c>
    </row>
    <row r="449">
      <c r="A449" s="17" t="s">
        <v>17</v>
      </c>
      <c r="B449" s="85">
        <v>45901.0</v>
      </c>
      <c r="C449" s="17">
        <v>4100689.0</v>
      </c>
      <c r="D449" s="85">
        <v>45901.0</v>
      </c>
      <c r="E449" s="17">
        <v>8.0</v>
      </c>
      <c r="F449" s="17">
        <v>0.0</v>
      </c>
      <c r="G449" s="17">
        <v>97930.0</v>
      </c>
      <c r="H449" s="17">
        <v>41150.0</v>
      </c>
      <c r="I449" s="17">
        <v>2839.97</v>
      </c>
      <c r="J449" s="17"/>
      <c r="K449" s="17">
        <v>338.0304</v>
      </c>
      <c r="L449" s="17">
        <v>337.0511</v>
      </c>
      <c r="M449" s="17">
        <v>0.979300000000023</v>
      </c>
      <c r="N449" s="17"/>
      <c r="O449" s="14">
        <f t="shared" si="1"/>
        <v>338.0304</v>
      </c>
      <c r="P449" s="86">
        <f t="array" ref="P449">iferror(XLOOKUP(C449,'Download of SFDC Activation Rep'!B:B,'Download of SFDC Activation Rep'!Z:Z),"")</f>
        <v>45903</v>
      </c>
      <c r="Q449" s="86">
        <f t="shared" si="2"/>
        <v>45901</v>
      </c>
      <c r="R449" s="13" t="str">
        <f t="shared" si="3"/>
        <v>Yes</v>
      </c>
      <c r="S449" s="86">
        <f t="array" ref="S449">iferror(XLOOKUP(C449,'Download of SFDC Activation Rep'!B:B,'Download of SFDC Activation Rep'!Y:Y),"")</f>
        <v>45908</v>
      </c>
    </row>
    <row r="450">
      <c r="A450" s="17" t="s">
        <v>17</v>
      </c>
      <c r="B450" s="85">
        <v>45992.0</v>
      </c>
      <c r="C450" s="17">
        <v>3514759.0</v>
      </c>
      <c r="D450" s="85">
        <v>45931.0</v>
      </c>
      <c r="E450" s="17">
        <v>1.0</v>
      </c>
      <c r="F450" s="17">
        <v>1.0</v>
      </c>
      <c r="G450" s="17">
        <v>876.98</v>
      </c>
      <c r="H450" s="17"/>
      <c r="I450" s="17">
        <v>0.0</v>
      </c>
      <c r="J450" s="17"/>
      <c r="K450" s="17">
        <v>-0.1495</v>
      </c>
      <c r="L450" s="17">
        <v>-0.1582698</v>
      </c>
      <c r="M450" s="17">
        <v>0.00876979999999999</v>
      </c>
      <c r="N450" s="17"/>
      <c r="O450" s="14">
        <f t="shared" si="1"/>
        <v>-0.1495</v>
      </c>
      <c r="P450" s="86">
        <f t="array" ref="P450">iferror(XLOOKUP(C450,'Download of SFDC Activation Rep'!B:B,'Download of SFDC Activation Rep'!Z:Z),"")</f>
        <v>45895</v>
      </c>
      <c r="Q450" s="86">
        <f t="shared" si="2"/>
        <v>45870</v>
      </c>
      <c r="R450" s="13" t="str">
        <f t="shared" si="3"/>
        <v>Yes</v>
      </c>
      <c r="S450" s="86">
        <f t="array" ref="S450">iferror(XLOOKUP(C450,'Download of SFDC Activation Rep'!B:B,'Download of SFDC Activation Rep'!Y:Y),"")</f>
        <v>45954</v>
      </c>
    </row>
    <row r="451">
      <c r="A451" s="17" t="s">
        <v>19</v>
      </c>
      <c r="B451" s="85">
        <v>45778.0</v>
      </c>
      <c r="C451" s="17">
        <v>2710123.0</v>
      </c>
      <c r="D451" s="85">
        <v>45292.0</v>
      </c>
      <c r="E451" s="17">
        <v>1.0</v>
      </c>
      <c r="F451" s="17">
        <v>0.0</v>
      </c>
      <c r="G451" s="17">
        <v>11075.4</v>
      </c>
      <c r="H451" s="17"/>
      <c r="I451" s="17">
        <v>321.19</v>
      </c>
      <c r="J451" s="17"/>
      <c r="K451" s="17">
        <v>6.278</v>
      </c>
      <c r="L451" s="17">
        <v>0.40302271665014</v>
      </c>
      <c r="M451" s="17">
        <v>5.87497728334985</v>
      </c>
      <c r="N451" s="17"/>
      <c r="O451" s="14">
        <f t="shared" si="1"/>
        <v>6.278</v>
      </c>
      <c r="P451" s="86">
        <f t="array" ref="P451">iferror(XLOOKUP(C451,'Download of SFDC Activation Rep'!B:B,'Download of SFDC Activation Rep'!Z:Z),"")</f>
        <v>45873</v>
      </c>
      <c r="Q451" s="86">
        <f t="shared" si="2"/>
        <v>45870</v>
      </c>
      <c r="R451" s="13" t="str">
        <f t="shared" si="3"/>
        <v>No</v>
      </c>
      <c r="S451" s="86">
        <f t="array" ref="S451">iferror(XLOOKUP(C451,'Download of SFDC Activation Rep'!B:B,'Download of SFDC Activation Rep'!Y:Y),"")</f>
        <v>45980</v>
      </c>
    </row>
    <row r="452">
      <c r="A452" s="17" t="s">
        <v>17</v>
      </c>
      <c r="B452" s="85">
        <v>46143.0</v>
      </c>
      <c r="C452" s="17">
        <v>4079020.0</v>
      </c>
      <c r="D452" s="85">
        <v>45901.0</v>
      </c>
      <c r="E452" s="17">
        <v>4.0</v>
      </c>
      <c r="F452" s="17">
        <v>4.0</v>
      </c>
      <c r="G452" s="17">
        <v>4350.0</v>
      </c>
      <c r="H452" s="17"/>
      <c r="I452" s="17">
        <v>43.5</v>
      </c>
      <c r="J452" s="17"/>
      <c r="K452" s="17">
        <v>42.69</v>
      </c>
      <c r="L452" s="17">
        <v>35.555493225</v>
      </c>
      <c r="M452" s="17">
        <v>7.13450677499999</v>
      </c>
      <c r="N452" s="17"/>
      <c r="O452" s="14">
        <f t="shared" si="1"/>
        <v>42.69</v>
      </c>
      <c r="P452" s="86">
        <f t="array" ref="P452">iferror(XLOOKUP(C452,'Download of SFDC Activation Rep'!B:B,'Download of SFDC Activation Rep'!Z:Z),"")</f>
        <v>45894</v>
      </c>
      <c r="Q452" s="86">
        <f t="shared" si="2"/>
        <v>45870</v>
      </c>
      <c r="R452" s="13" t="str">
        <f t="shared" si="3"/>
        <v>Yes</v>
      </c>
      <c r="S452" s="86">
        <f t="array" ref="S452">iferror(XLOOKUP(C452,'Download of SFDC Activation Rep'!B:B,'Download of SFDC Activation Rep'!Y:Y),"")</f>
        <v>45937</v>
      </c>
    </row>
    <row r="453">
      <c r="A453" s="17" t="s">
        <v>17</v>
      </c>
      <c r="B453" s="85">
        <v>46174.0</v>
      </c>
      <c r="C453" s="17">
        <v>4405027.0</v>
      </c>
      <c r="D453" s="85">
        <v>46054.0</v>
      </c>
      <c r="E453" s="17">
        <v>3.0</v>
      </c>
      <c r="F453" s="17">
        <v>0.0</v>
      </c>
      <c r="G453" s="17">
        <v>42228.56</v>
      </c>
      <c r="H453" s="17"/>
      <c r="I453" s="17">
        <v>1224.63</v>
      </c>
      <c r="J453" s="17"/>
      <c r="K453" s="17">
        <v>120.591199999999</v>
      </c>
      <c r="L453" s="17">
        <v>98.290862108032</v>
      </c>
      <c r="M453" s="17">
        <v>22.3003378919679</v>
      </c>
      <c r="N453" s="17"/>
      <c r="O453" s="14">
        <f t="shared" si="1"/>
        <v>120.5912</v>
      </c>
      <c r="P453" s="86">
        <f t="array" ref="P453">iferror(XLOOKUP(C453,'Download of SFDC Activation Rep'!B:B,'Download of SFDC Activation Rep'!Z:Z),"")</f>
        <v>46059</v>
      </c>
      <c r="Q453" s="86">
        <f t="shared" si="2"/>
        <v>46054</v>
      </c>
      <c r="R453" s="13" t="str">
        <f t="shared" si="3"/>
        <v>Yes</v>
      </c>
      <c r="S453" s="86">
        <f t="array" ref="S453">iferror(XLOOKUP(C453,'Download of SFDC Activation Rep'!B:B,'Download of SFDC Activation Rep'!Y:Y),"")</f>
        <v>46098</v>
      </c>
    </row>
    <row r="454">
      <c r="A454" s="17" t="s">
        <v>19</v>
      </c>
      <c r="B454" s="85">
        <v>45717.0</v>
      </c>
      <c r="C454" s="17">
        <v>2710123.0</v>
      </c>
      <c r="D454" s="85">
        <v>45292.0</v>
      </c>
      <c r="E454" s="17">
        <v>2.0</v>
      </c>
      <c r="F454" s="17">
        <v>0.0</v>
      </c>
      <c r="G454" s="17">
        <v>16075.4</v>
      </c>
      <c r="H454" s="17"/>
      <c r="I454" s="17">
        <v>466.19</v>
      </c>
      <c r="J454" s="17"/>
      <c r="K454" s="17">
        <v>8.53559999999999</v>
      </c>
      <c r="L454" s="17">
        <v>0.00835856215014052</v>
      </c>
      <c r="M454" s="17">
        <v>8.52724143784985</v>
      </c>
      <c r="N454" s="17"/>
      <c r="O454" s="14">
        <f t="shared" si="1"/>
        <v>8.5356</v>
      </c>
      <c r="P454" s="86">
        <f t="array" ref="P454">iferror(XLOOKUP(C454,'Download of SFDC Activation Rep'!B:B,'Download of SFDC Activation Rep'!Z:Z),"")</f>
        <v>45873</v>
      </c>
      <c r="Q454" s="86">
        <f t="shared" si="2"/>
        <v>45870</v>
      </c>
      <c r="R454" s="13" t="str">
        <f t="shared" si="3"/>
        <v>No</v>
      </c>
      <c r="S454" s="86">
        <f t="array" ref="S454">iferror(XLOOKUP(C454,'Download of SFDC Activation Rep'!B:B,'Download of SFDC Activation Rep'!Y:Y),"")</f>
        <v>45980</v>
      </c>
    </row>
    <row r="455">
      <c r="A455" s="17" t="s">
        <v>17</v>
      </c>
      <c r="B455" s="85">
        <v>45839.0</v>
      </c>
      <c r="C455" s="17">
        <v>3997416.0</v>
      </c>
      <c r="D455" s="85">
        <v>45839.0</v>
      </c>
      <c r="E455" s="17">
        <v>1.0</v>
      </c>
      <c r="F455" s="17">
        <v>0.0</v>
      </c>
      <c r="G455" s="17">
        <v>7400.0</v>
      </c>
      <c r="H455" s="17"/>
      <c r="I455" s="17">
        <v>214.6</v>
      </c>
      <c r="J455" s="17"/>
      <c r="K455" s="17">
        <v>57.1369</v>
      </c>
      <c r="L455" s="17">
        <v>57.0629</v>
      </c>
      <c r="M455" s="17">
        <v>0.073999999999998</v>
      </c>
      <c r="N455" s="17"/>
      <c r="O455" s="14">
        <f t="shared" si="1"/>
        <v>57.1369</v>
      </c>
      <c r="P455" s="86">
        <f t="array" ref="P455">iferror(XLOOKUP(C455,'Download of SFDC Activation Rep'!B:B,'Download of SFDC Activation Rep'!Z:Z),"")</f>
        <v>45876</v>
      </c>
      <c r="Q455" s="86">
        <f t="shared" si="2"/>
        <v>45870</v>
      </c>
      <c r="R455" s="13" t="str">
        <f t="shared" si="3"/>
        <v>No</v>
      </c>
      <c r="S455" s="86">
        <f t="array" ref="S455">iferror(XLOOKUP(C455,'Download of SFDC Activation Rep'!B:B,'Download of SFDC Activation Rep'!Y:Y),"")</f>
        <v>45849</v>
      </c>
    </row>
    <row r="456">
      <c r="A456" s="17" t="s">
        <v>17</v>
      </c>
      <c r="B456" s="85">
        <v>46143.0</v>
      </c>
      <c r="C456" s="17">
        <v>4378644.0</v>
      </c>
      <c r="D456" s="85">
        <v>46054.0</v>
      </c>
      <c r="E456" s="17">
        <v>6.0</v>
      </c>
      <c r="F456" s="17">
        <v>0.0</v>
      </c>
      <c r="G456" s="17">
        <v>7085.93</v>
      </c>
      <c r="H456" s="17">
        <v>761.43</v>
      </c>
      <c r="I456" s="17">
        <v>205.5</v>
      </c>
      <c r="J456" s="17"/>
      <c r="K456" s="17">
        <v>17.5888999999999</v>
      </c>
      <c r="L456" s="17">
        <v>13.830148590896</v>
      </c>
      <c r="M456" s="17">
        <v>3.75875140910399</v>
      </c>
      <c r="N456" s="17"/>
      <c r="O456" s="14">
        <f t="shared" si="1"/>
        <v>17.5889</v>
      </c>
      <c r="P456" s="86">
        <f t="array" ref="P456">iferror(XLOOKUP(C456,'Download of SFDC Activation Rep'!B:B,'Download of SFDC Activation Rep'!Z:Z),"")</f>
        <v>46056</v>
      </c>
      <c r="Q456" s="86">
        <f t="shared" si="2"/>
        <v>46054</v>
      </c>
      <c r="R456" s="13" t="str">
        <f t="shared" si="3"/>
        <v>Yes</v>
      </c>
      <c r="S456" s="86">
        <f t="array" ref="S456">iferror(XLOOKUP(C456,'Download of SFDC Activation Rep'!B:B,'Download of SFDC Activation Rep'!Y:Y),"")</f>
        <v>46086</v>
      </c>
    </row>
    <row r="457">
      <c r="A457" s="17" t="s">
        <v>17</v>
      </c>
      <c r="B457" s="85">
        <v>45992.0</v>
      </c>
      <c r="C457" s="17">
        <v>3962143.0</v>
      </c>
      <c r="D457" s="85">
        <v>45809.0</v>
      </c>
      <c r="E457" s="17">
        <v>3.0</v>
      </c>
      <c r="F457" s="17">
        <v>0.0</v>
      </c>
      <c r="G457" s="17">
        <v>4907.72</v>
      </c>
      <c r="H457" s="17">
        <v>907.72</v>
      </c>
      <c r="I457" s="17">
        <v>162.32</v>
      </c>
      <c r="J457" s="17"/>
      <c r="K457" s="17">
        <v>124.7583</v>
      </c>
      <c r="L457" s="17">
        <v>120.653186032735</v>
      </c>
      <c r="M457" s="17">
        <v>4.10511396726455</v>
      </c>
      <c r="N457" s="17"/>
      <c r="O457" s="14">
        <f t="shared" si="1"/>
        <v>124.7583</v>
      </c>
      <c r="P457" s="86">
        <f t="array" ref="P457">iferror(XLOOKUP(C457,'Download of SFDC Activation Rep'!B:B,'Download of SFDC Activation Rep'!Z:Z),"")</f>
        <v>45876</v>
      </c>
      <c r="Q457" s="86">
        <f t="shared" si="2"/>
        <v>45870</v>
      </c>
      <c r="R457" s="13" t="str">
        <f t="shared" si="3"/>
        <v>Yes</v>
      </c>
      <c r="S457" s="86">
        <f t="array" ref="S457">iferror(XLOOKUP(C457,'Download of SFDC Activation Rep'!B:B,'Download of SFDC Activation Rep'!Y:Y),"")</f>
        <v>45833</v>
      </c>
    </row>
    <row r="458">
      <c r="A458" s="17" t="s">
        <v>17</v>
      </c>
      <c r="B458" s="85">
        <v>46023.0</v>
      </c>
      <c r="C458" s="17">
        <v>4221007.0</v>
      </c>
      <c r="D458" s="85">
        <v>45962.0</v>
      </c>
      <c r="E458" s="17">
        <v>7.0</v>
      </c>
      <c r="F458" s="17">
        <v>0.0</v>
      </c>
      <c r="G458" s="17">
        <v>84227.97</v>
      </c>
      <c r="H458" s="17">
        <v>84227.97</v>
      </c>
      <c r="I458" s="17">
        <v>2442.61</v>
      </c>
      <c r="J458" s="17"/>
      <c r="K458" s="17">
        <v>429.884</v>
      </c>
      <c r="L458" s="17">
        <v>405.42499853684</v>
      </c>
      <c r="M458" s="17">
        <v>24.4590014631597</v>
      </c>
      <c r="N458" s="17"/>
      <c r="O458" s="14">
        <f t="shared" si="1"/>
        <v>977.365805</v>
      </c>
      <c r="P458" s="86">
        <f t="array" ref="P458">iferror(XLOOKUP(C458,'Download of SFDC Activation Rep'!B:B,'Download of SFDC Activation Rep'!Z:Z),"")</f>
        <v>45966</v>
      </c>
      <c r="Q458" s="86">
        <f t="shared" si="2"/>
        <v>45962</v>
      </c>
      <c r="R458" s="13" t="str">
        <f t="shared" si="3"/>
        <v>Yes</v>
      </c>
      <c r="S458" s="86">
        <f t="array" ref="S458">iferror(XLOOKUP(C458,'Download of SFDC Activation Rep'!B:B,'Download of SFDC Activation Rep'!Y:Y),"")</f>
        <v>45971</v>
      </c>
    </row>
    <row r="459">
      <c r="A459" s="17" t="s">
        <v>17</v>
      </c>
      <c r="B459" s="85">
        <v>46082.0</v>
      </c>
      <c r="C459" s="17">
        <v>4247168.0</v>
      </c>
      <c r="D459" s="85">
        <v>45992.0</v>
      </c>
      <c r="E459" s="17">
        <v>4.0</v>
      </c>
      <c r="F459" s="17">
        <v>4.0</v>
      </c>
      <c r="G459" s="17">
        <v>9184.26</v>
      </c>
      <c r="H459" s="17"/>
      <c r="I459" s="17">
        <v>0.0</v>
      </c>
      <c r="J459" s="17"/>
      <c r="K459" s="17">
        <v>-0.657</v>
      </c>
      <c r="L459" s="17">
        <v>-0.748842599999999</v>
      </c>
      <c r="M459" s="17">
        <v>0.0918425999999998</v>
      </c>
      <c r="N459" s="17"/>
      <c r="O459" s="14">
        <f t="shared" si="1"/>
        <v>-0.657</v>
      </c>
      <c r="P459" s="86">
        <f t="array" ref="P459">iferror(XLOOKUP(C459,'Download of SFDC Activation Rep'!B:B,'Download of SFDC Activation Rep'!Z:Z),"")</f>
        <v>45968</v>
      </c>
      <c r="Q459" s="86">
        <f t="shared" si="2"/>
        <v>45962</v>
      </c>
      <c r="R459" s="13" t="str">
        <f t="shared" si="3"/>
        <v>Yes</v>
      </c>
      <c r="S459" s="86">
        <f t="array" ref="S459">iferror(XLOOKUP(C459,'Download of SFDC Activation Rep'!B:B,'Download of SFDC Activation Rep'!Y:Y),"")</f>
        <v>46006</v>
      </c>
    </row>
    <row r="460">
      <c r="A460" s="17" t="s">
        <v>17</v>
      </c>
      <c r="B460" s="85">
        <v>45444.0</v>
      </c>
      <c r="C460" s="17">
        <v>3221188.0</v>
      </c>
      <c r="D460" s="85">
        <v>45323.0</v>
      </c>
      <c r="E460" s="17">
        <v>1.0</v>
      </c>
      <c r="F460" s="17">
        <v>1.0</v>
      </c>
      <c r="G460" s="17">
        <v>311.04</v>
      </c>
      <c r="H460" s="17"/>
      <c r="I460" s="17">
        <v>0.0</v>
      </c>
      <c r="J460" s="17"/>
      <c r="K460" s="17">
        <v>-0.5</v>
      </c>
      <c r="L460" s="17">
        <v>-0.649836528940544</v>
      </c>
      <c r="M460" s="17">
        <v>0.149836528940544</v>
      </c>
      <c r="N460" s="17"/>
      <c r="O460" s="14">
        <f t="shared" si="1"/>
        <v>-0.5</v>
      </c>
      <c r="P460" s="86">
        <f t="array" ref="P460">iferror(XLOOKUP(C460,'Download of SFDC Activation Rep'!B:B,'Download of SFDC Activation Rep'!Z:Z),"")</f>
        <v>46000</v>
      </c>
      <c r="Q460" s="86">
        <f t="shared" si="2"/>
        <v>45992</v>
      </c>
      <c r="R460" s="13" t="str">
        <f t="shared" si="3"/>
        <v>No</v>
      </c>
      <c r="S460" s="86">
        <f t="array" ref="S460">iferror(XLOOKUP(C460,'Download of SFDC Activation Rep'!B:B,'Download of SFDC Activation Rep'!Y:Y),"")</f>
        <v>46021</v>
      </c>
    </row>
    <row r="461">
      <c r="A461" s="17" t="s">
        <v>17</v>
      </c>
      <c r="B461" s="85">
        <v>46113.0</v>
      </c>
      <c r="C461" s="17">
        <v>3090633.0</v>
      </c>
      <c r="D461" s="85">
        <v>45474.0</v>
      </c>
      <c r="E461" s="17">
        <v>1.0</v>
      </c>
      <c r="F461" s="17">
        <v>1.0</v>
      </c>
      <c r="G461" s="17">
        <v>2435.16</v>
      </c>
      <c r="H461" s="17"/>
      <c r="I461" s="17">
        <v>0.0</v>
      </c>
      <c r="J461" s="17"/>
      <c r="K461" s="17">
        <v>-0.15</v>
      </c>
      <c r="L461" s="17">
        <v>-0.531544034507999</v>
      </c>
      <c r="M461" s="17">
        <v>0.381544034507999</v>
      </c>
      <c r="N461" s="17"/>
      <c r="O461" s="14">
        <f t="shared" si="1"/>
        <v>-0.15</v>
      </c>
      <c r="P461" s="86">
        <f t="array" ref="P461">iferror(XLOOKUP(C461,'Download of SFDC Activation Rep'!B:B,'Download of SFDC Activation Rep'!Z:Z),"")</f>
        <v>45961</v>
      </c>
      <c r="Q461" s="86">
        <f t="shared" si="2"/>
        <v>45931</v>
      </c>
      <c r="R461" s="13" t="str">
        <f t="shared" si="3"/>
        <v>Yes</v>
      </c>
      <c r="S461" s="86">
        <f t="array" ref="S461">iferror(XLOOKUP(C461,'Download of SFDC Activation Rep'!B:B,'Download of SFDC Activation Rep'!Y:Y),"")</f>
        <v>46051</v>
      </c>
    </row>
    <row r="462">
      <c r="A462" s="17" t="s">
        <v>17</v>
      </c>
      <c r="B462" s="85">
        <v>45809.0</v>
      </c>
      <c r="C462" s="17">
        <v>3942346.0</v>
      </c>
      <c r="D462" s="85">
        <v>45809.0</v>
      </c>
      <c r="E462" s="17">
        <v>2.0</v>
      </c>
      <c r="F462" s="17">
        <v>2.0</v>
      </c>
      <c r="G462" s="17">
        <v>809.89</v>
      </c>
      <c r="H462" s="17"/>
      <c r="I462" s="17">
        <v>12.31</v>
      </c>
      <c r="J462" s="17"/>
      <c r="K462" s="17">
        <v>10.2911</v>
      </c>
      <c r="L462" s="17">
        <v>10.1622765965788</v>
      </c>
      <c r="M462" s="17">
        <v>0.128823403421181</v>
      </c>
      <c r="N462" s="17"/>
      <c r="O462" s="14">
        <f t="shared" si="1"/>
        <v>10.2911</v>
      </c>
      <c r="P462" s="86">
        <f t="array" ref="P462">iferror(XLOOKUP(C462,'Download of SFDC Activation Rep'!B:B,'Download of SFDC Activation Rep'!Z:Z),"")</f>
        <v>45809</v>
      </c>
      <c r="Q462" s="86">
        <f t="shared" si="2"/>
        <v>45809</v>
      </c>
      <c r="R462" s="13" t="str">
        <f t="shared" si="3"/>
        <v>Yes</v>
      </c>
      <c r="S462" s="86">
        <f t="array" ref="S462">iferror(XLOOKUP(C462,'Download of SFDC Activation Rep'!B:B,'Download of SFDC Activation Rep'!Y:Y),"")</f>
        <v>45812</v>
      </c>
    </row>
    <row r="463">
      <c r="A463" s="17" t="s">
        <v>17</v>
      </c>
      <c r="B463" s="85">
        <v>46113.0</v>
      </c>
      <c r="C463" s="17">
        <v>4404380.0</v>
      </c>
      <c r="D463" s="85">
        <v>46054.0</v>
      </c>
      <c r="E463" s="17">
        <v>8.0</v>
      </c>
      <c r="F463" s="17">
        <v>0.0</v>
      </c>
      <c r="G463" s="17">
        <v>42016.9</v>
      </c>
      <c r="H463" s="17"/>
      <c r="I463" s="17">
        <v>1218.47</v>
      </c>
      <c r="J463" s="17"/>
      <c r="K463" s="17">
        <v>51.6713</v>
      </c>
      <c r="L463" s="17">
        <v>29.4442677476799</v>
      </c>
      <c r="M463" s="17">
        <v>22.22703225232</v>
      </c>
      <c r="N463" s="17"/>
      <c r="O463" s="14">
        <f t="shared" si="1"/>
        <v>51.6713</v>
      </c>
      <c r="P463" s="86">
        <f t="array" ref="P463">iferror(XLOOKUP(C463,'Download of SFDC Activation Rep'!B:B,'Download of SFDC Activation Rep'!Z:Z),"")</f>
        <v>46059</v>
      </c>
      <c r="Q463" s="86">
        <f t="shared" si="2"/>
        <v>46054</v>
      </c>
      <c r="R463" s="13" t="str">
        <f t="shared" si="3"/>
        <v>Yes</v>
      </c>
      <c r="S463" s="86">
        <f t="array" ref="S463">iferror(XLOOKUP(C463,'Download of SFDC Activation Rep'!B:B,'Download of SFDC Activation Rep'!Y:Y),"")</f>
        <v>46101</v>
      </c>
    </row>
    <row r="464">
      <c r="A464" s="17" t="s">
        <v>17</v>
      </c>
      <c r="B464" s="85">
        <v>46113.0</v>
      </c>
      <c r="C464" s="17">
        <v>4247168.0</v>
      </c>
      <c r="D464" s="85">
        <v>45992.0</v>
      </c>
      <c r="E464" s="17">
        <v>9.0</v>
      </c>
      <c r="F464" s="17">
        <v>9.0</v>
      </c>
      <c r="G464" s="17">
        <v>27921.28</v>
      </c>
      <c r="H464" s="17"/>
      <c r="I464" s="17">
        <v>0.0</v>
      </c>
      <c r="J464" s="17"/>
      <c r="K464" s="17">
        <v>-1.4021</v>
      </c>
      <c r="L464" s="17">
        <v>-1.6813128</v>
      </c>
      <c r="M464" s="17">
        <v>0.2792128</v>
      </c>
      <c r="N464" s="17"/>
      <c r="O464" s="14">
        <f t="shared" si="1"/>
        <v>-1.4021</v>
      </c>
      <c r="P464" s="86">
        <f t="array" ref="P464">iferror(XLOOKUP(C464,'Download of SFDC Activation Rep'!B:B,'Download of SFDC Activation Rep'!Z:Z),"")</f>
        <v>45968</v>
      </c>
      <c r="Q464" s="86">
        <f t="shared" si="2"/>
        <v>45962</v>
      </c>
      <c r="R464" s="13" t="str">
        <f t="shared" si="3"/>
        <v>Yes</v>
      </c>
      <c r="S464" s="86">
        <f t="array" ref="S464">iferror(XLOOKUP(C464,'Download of SFDC Activation Rep'!B:B,'Download of SFDC Activation Rep'!Y:Y),"")</f>
        <v>46006</v>
      </c>
    </row>
    <row r="465">
      <c r="A465" s="17" t="s">
        <v>17</v>
      </c>
      <c r="B465" s="85">
        <v>46023.0</v>
      </c>
      <c r="C465" s="17">
        <v>4125771.0</v>
      </c>
      <c r="D465" s="85">
        <v>46023.0</v>
      </c>
      <c r="E465" s="17">
        <v>4.0</v>
      </c>
      <c r="F465" s="17">
        <v>0.0</v>
      </c>
      <c r="G465" s="17">
        <v>94843.84</v>
      </c>
      <c r="H465" s="17">
        <v>47843.84</v>
      </c>
      <c r="I465" s="17">
        <v>2750.47</v>
      </c>
      <c r="J465" s="17"/>
      <c r="K465" s="17">
        <v>488.7207</v>
      </c>
      <c r="L465" s="17">
        <v>486.1228848</v>
      </c>
      <c r="M465" s="17">
        <v>2.59781520000001</v>
      </c>
      <c r="N465" s="17"/>
      <c r="O465" s="14">
        <f t="shared" si="1"/>
        <v>799.70566</v>
      </c>
      <c r="P465" s="86">
        <f t="array" ref="P465">iferror(XLOOKUP(C465,'Download of SFDC Activation Rep'!B:B,'Download of SFDC Activation Rep'!Z:Z),"")</f>
        <v>45979</v>
      </c>
      <c r="Q465" s="86">
        <f t="shared" si="2"/>
        <v>45962</v>
      </c>
      <c r="R465" s="13" t="str">
        <f t="shared" si="3"/>
        <v>Yes</v>
      </c>
      <c r="S465" s="86">
        <f t="array" ref="S465">iferror(XLOOKUP(C465,'Download of SFDC Activation Rep'!B:B,'Download of SFDC Activation Rep'!Y:Y),"")</f>
        <v>46037</v>
      </c>
    </row>
    <row r="466">
      <c r="A466" s="17" t="s">
        <v>17</v>
      </c>
      <c r="B466" s="85">
        <v>46143.0</v>
      </c>
      <c r="C466" s="17">
        <v>3956509.0</v>
      </c>
      <c r="D466" s="85">
        <v>45901.0</v>
      </c>
      <c r="E466" s="17">
        <v>3.0</v>
      </c>
      <c r="F466" s="17">
        <v>3.0</v>
      </c>
      <c r="G466" s="17">
        <v>1760.75</v>
      </c>
      <c r="H466" s="17"/>
      <c r="I466" s="17">
        <v>0.0</v>
      </c>
      <c r="J466" s="17"/>
      <c r="K466" s="17">
        <v>-0.72</v>
      </c>
      <c r="L466" s="17">
        <v>-0.995876598974999</v>
      </c>
      <c r="M466" s="17">
        <v>0.275876598974999</v>
      </c>
      <c r="N466" s="17"/>
      <c r="O466" s="14">
        <f t="shared" si="1"/>
        <v>-0.72</v>
      </c>
      <c r="P466" s="86">
        <f t="array" ref="P466">iferror(XLOOKUP(C466,'Download of SFDC Activation Rep'!B:B,'Download of SFDC Activation Rep'!Z:Z),"")</f>
        <v>45890</v>
      </c>
      <c r="Q466" s="86">
        <f t="shared" si="2"/>
        <v>45870</v>
      </c>
      <c r="R466" s="13" t="str">
        <f t="shared" si="3"/>
        <v>Yes</v>
      </c>
      <c r="S466" s="86">
        <f t="array" ref="S466">iferror(XLOOKUP(C466,'Download of SFDC Activation Rep'!B:B,'Download of SFDC Activation Rep'!Y:Y),"")</f>
        <v>46009</v>
      </c>
    </row>
    <row r="467">
      <c r="A467" s="17" t="s">
        <v>17</v>
      </c>
      <c r="B467" s="85">
        <v>45931.0</v>
      </c>
      <c r="C467" s="17">
        <v>2967694.0</v>
      </c>
      <c r="D467" s="85">
        <v>45292.0</v>
      </c>
      <c r="E467" s="17">
        <v>6.0</v>
      </c>
      <c r="F467" s="17">
        <v>0.0</v>
      </c>
      <c r="G467" s="17">
        <v>89904.43</v>
      </c>
      <c r="H467" s="17">
        <v>89904.43</v>
      </c>
      <c r="I467" s="17">
        <v>2607.23</v>
      </c>
      <c r="J467" s="17"/>
      <c r="K467" s="17">
        <v>331.24</v>
      </c>
      <c r="L467" s="17">
        <v>283.549940596049</v>
      </c>
      <c r="M467" s="17">
        <v>47.6900594039509</v>
      </c>
      <c r="N467" s="17"/>
      <c r="O467" s="14">
        <f t="shared" si="1"/>
        <v>331.24</v>
      </c>
      <c r="P467" s="86">
        <f t="array" ref="P467">iferror(XLOOKUP(C467,'Download of SFDC Activation Rep'!B:B,'Download of SFDC Activation Rep'!Z:Z),"")</f>
        <v>45924</v>
      </c>
      <c r="Q467" s="86">
        <f t="shared" si="2"/>
        <v>45901</v>
      </c>
      <c r="R467" s="13" t="str">
        <f t="shared" si="3"/>
        <v>Yes</v>
      </c>
      <c r="S467" s="86">
        <f t="array" ref="S467">iferror(XLOOKUP(C467,'Download of SFDC Activation Rep'!B:B,'Download of SFDC Activation Rep'!Y:Y),"")</f>
        <v>46055</v>
      </c>
    </row>
    <row r="468">
      <c r="A468" s="17" t="s">
        <v>489</v>
      </c>
      <c r="B468" s="85">
        <v>45017.0</v>
      </c>
      <c r="C468" s="17">
        <v>2153287.0</v>
      </c>
      <c r="D468" s="85">
        <v>44805.0</v>
      </c>
      <c r="E468" s="17">
        <v>1.0</v>
      </c>
      <c r="F468" s="17">
        <v>0.0</v>
      </c>
      <c r="G468" s="17">
        <v>18146.16</v>
      </c>
      <c r="H468" s="17"/>
      <c r="I468" s="17">
        <v>526.24</v>
      </c>
      <c r="J468" s="17"/>
      <c r="K468" s="17">
        <v>70.397</v>
      </c>
      <c r="L468" s="17">
        <v>58.5997453081852</v>
      </c>
      <c r="M468" s="17">
        <v>11.7972546918148</v>
      </c>
      <c r="N468" s="17"/>
      <c r="O468" s="14">
        <f t="shared" si="1"/>
        <v>70.397</v>
      </c>
      <c r="P468" s="86">
        <f t="array" ref="P468">iferror(XLOOKUP(C468,'Download of SFDC Activation Rep'!B:B,'Download of SFDC Activation Rep'!Z:Z),"")</f>
        <v>46007</v>
      </c>
      <c r="Q468" s="86">
        <f t="shared" si="2"/>
        <v>45992</v>
      </c>
      <c r="R468" s="13" t="str">
        <f t="shared" si="3"/>
        <v>No</v>
      </c>
      <c r="S468" s="86">
        <f t="array" ref="S468">iferror(XLOOKUP(C468,'Download of SFDC Activation Rep'!B:B,'Download of SFDC Activation Rep'!Y:Y),"")</f>
        <v>46021</v>
      </c>
    </row>
    <row r="469">
      <c r="A469" s="17" t="s">
        <v>19</v>
      </c>
      <c r="B469" s="85">
        <v>45200.0</v>
      </c>
      <c r="C469" s="17">
        <v>100325.0</v>
      </c>
      <c r="D469" s="85">
        <v>45200.0</v>
      </c>
      <c r="E469" s="17">
        <v>1.0</v>
      </c>
      <c r="F469" s="17">
        <v>1.0</v>
      </c>
      <c r="G469" s="17">
        <v>157.25</v>
      </c>
      <c r="H469" s="17"/>
      <c r="I469" s="17">
        <v>0.0</v>
      </c>
      <c r="J469" s="17"/>
      <c r="K469" s="17">
        <v>-0.2</v>
      </c>
      <c r="L469" s="17">
        <v>-0.297464264748425</v>
      </c>
      <c r="M469" s="17">
        <v>0.097464264748425</v>
      </c>
      <c r="N469" s="17"/>
      <c r="O469" s="14">
        <f t="shared" si="1"/>
        <v>-0.2</v>
      </c>
      <c r="P469" s="86">
        <f t="array" ref="P469">iferror(XLOOKUP(C469,'Download of SFDC Activation Rep'!B:B,'Download of SFDC Activation Rep'!Z:Z),"")</f>
        <v>45974</v>
      </c>
      <c r="Q469" s="86">
        <f t="shared" si="2"/>
        <v>45962</v>
      </c>
      <c r="R469" s="13" t="str">
        <f t="shared" si="3"/>
        <v>No</v>
      </c>
      <c r="S469" s="86">
        <f t="array" ref="S469">iferror(XLOOKUP(C469,'Download of SFDC Activation Rep'!B:B,'Download of SFDC Activation Rep'!Y:Y),"")</f>
        <v>45933</v>
      </c>
    </row>
    <row r="470">
      <c r="A470" s="17" t="s">
        <v>17</v>
      </c>
      <c r="B470" s="85">
        <v>45627.0</v>
      </c>
      <c r="C470" s="17">
        <v>2967694.0</v>
      </c>
      <c r="D470" s="85">
        <v>45292.0</v>
      </c>
      <c r="E470" s="17">
        <v>1.0</v>
      </c>
      <c r="F470" s="17">
        <v>0.0</v>
      </c>
      <c r="G470" s="17">
        <v>7500.0</v>
      </c>
      <c r="H470" s="17">
        <v>7500.0</v>
      </c>
      <c r="I470" s="17">
        <v>217.5</v>
      </c>
      <c r="J470" s="17"/>
      <c r="K470" s="17">
        <v>30.9178</v>
      </c>
      <c r="L470" s="17">
        <v>29.045414293</v>
      </c>
      <c r="M470" s="17">
        <v>1.87238570699999</v>
      </c>
      <c r="N470" s="17"/>
      <c r="O470" s="14">
        <f t="shared" si="1"/>
        <v>30.9178</v>
      </c>
      <c r="P470" s="86">
        <f t="array" ref="P470">iferror(XLOOKUP(C470,'Download of SFDC Activation Rep'!B:B,'Download of SFDC Activation Rep'!Z:Z),"")</f>
        <v>45924</v>
      </c>
      <c r="Q470" s="86">
        <f t="shared" si="2"/>
        <v>45901</v>
      </c>
      <c r="R470" s="13" t="str">
        <f t="shared" si="3"/>
        <v>No</v>
      </c>
      <c r="S470" s="86">
        <f t="array" ref="S470">iferror(XLOOKUP(C470,'Download of SFDC Activation Rep'!B:B,'Download of SFDC Activation Rep'!Y:Y),"")</f>
        <v>46055</v>
      </c>
    </row>
    <row r="471">
      <c r="A471" s="17" t="s">
        <v>488</v>
      </c>
      <c r="B471" s="85">
        <v>46174.0</v>
      </c>
      <c r="C471" s="17">
        <v>4521114.0</v>
      </c>
      <c r="D471" s="85">
        <v>46113.0</v>
      </c>
      <c r="E471" s="17">
        <v>53.0</v>
      </c>
      <c r="F471" s="17">
        <v>53.0</v>
      </c>
      <c r="G471" s="17">
        <v>64150.29</v>
      </c>
      <c r="H471" s="17"/>
      <c r="I471" s="17">
        <v>93.462494</v>
      </c>
      <c r="J471" s="17">
        <v>8.5</v>
      </c>
      <c r="K471" s="17">
        <v>86.3538</v>
      </c>
      <c r="L471" s="17">
        <v>76.302649167423</v>
      </c>
      <c r="M471" s="17">
        <v>10.051150832577</v>
      </c>
      <c r="N471" s="17">
        <v>33.0</v>
      </c>
      <c r="O471" s="14">
        <f t="shared" si="1"/>
        <v>119.3538</v>
      </c>
      <c r="P471" s="86">
        <f t="array" ref="P471">iferror(XLOOKUP(C471,'Download of SFDC Activation Rep'!B:B,'Download of SFDC Activation Rep'!Z:Z),"")</f>
        <v>46119</v>
      </c>
      <c r="Q471" s="86">
        <f t="shared" si="2"/>
        <v>46113</v>
      </c>
      <c r="R471" s="13" t="str">
        <f t="shared" si="3"/>
        <v>Yes</v>
      </c>
      <c r="S471" s="86">
        <f t="array" ref="S471">iferror(XLOOKUP(C471,'Download of SFDC Activation Rep'!B:B,'Download of SFDC Activation Rep'!Y:Y),"")</f>
        <v>46147</v>
      </c>
    </row>
    <row r="472">
      <c r="A472" s="17" t="s">
        <v>488</v>
      </c>
      <c r="B472" s="85">
        <v>45870.0</v>
      </c>
      <c r="C472" s="17">
        <v>4008827.0</v>
      </c>
      <c r="D472" s="85">
        <v>45870.0</v>
      </c>
      <c r="E472" s="17">
        <v>2.0</v>
      </c>
      <c r="F472" s="17">
        <v>2.0</v>
      </c>
      <c r="G472" s="17">
        <v>9880.0</v>
      </c>
      <c r="H472" s="17"/>
      <c r="I472" s="17">
        <v>0.0</v>
      </c>
      <c r="J472" s="17"/>
      <c r="K472" s="17">
        <v>-0.16</v>
      </c>
      <c r="L472" s="17">
        <v>-1.708011707372</v>
      </c>
      <c r="M472" s="17">
        <v>1.548011707372</v>
      </c>
      <c r="N472" s="17">
        <v>2.49999999999999</v>
      </c>
      <c r="O472" s="14">
        <f t="shared" si="1"/>
        <v>2.34</v>
      </c>
      <c r="P472" s="86">
        <f t="array" ref="P472">iferror(XLOOKUP(C472,'Download of SFDC Activation Rep'!B:B,'Download of SFDC Activation Rep'!Z:Z),"")</f>
        <v>45870</v>
      </c>
      <c r="Q472" s="86">
        <f t="shared" si="2"/>
        <v>45870</v>
      </c>
      <c r="R472" s="13" t="str">
        <f t="shared" si="3"/>
        <v>Yes</v>
      </c>
      <c r="S472" s="86">
        <f t="array" ref="S472">iferror(XLOOKUP(C472,'Download of SFDC Activation Rep'!B:B,'Download of SFDC Activation Rep'!Y:Y),"")</f>
        <v>45884</v>
      </c>
    </row>
    <row r="473">
      <c r="A473" s="17" t="s">
        <v>19</v>
      </c>
      <c r="B473" s="85">
        <v>45992.0</v>
      </c>
      <c r="C473" s="17">
        <v>4134744.0</v>
      </c>
      <c r="D473" s="85">
        <v>45992.0</v>
      </c>
      <c r="E473" s="17">
        <v>2.0</v>
      </c>
      <c r="F473" s="17">
        <v>2.0</v>
      </c>
      <c r="G473" s="17">
        <v>4119.8</v>
      </c>
      <c r="H473" s="17"/>
      <c r="I473" s="17">
        <v>3.0</v>
      </c>
      <c r="J473" s="17"/>
      <c r="K473" s="17">
        <v>1.0228</v>
      </c>
      <c r="L473" s="17">
        <v>0.418502187041379</v>
      </c>
      <c r="M473" s="17">
        <v>0.60429781295862</v>
      </c>
      <c r="N473" s="17">
        <v>7.99999999999999</v>
      </c>
      <c r="O473" s="14">
        <f t="shared" si="1"/>
        <v>9.0228</v>
      </c>
      <c r="P473" s="86">
        <f t="array" ref="P473">iferror(XLOOKUP(C473,'Download of SFDC Activation Rep'!B:B,'Download of SFDC Activation Rep'!Z:Z),"")</f>
        <v>45896</v>
      </c>
      <c r="Q473" s="86">
        <f t="shared" si="2"/>
        <v>45870</v>
      </c>
      <c r="R473" s="13" t="str">
        <f t="shared" si="3"/>
        <v>Yes</v>
      </c>
      <c r="S473" s="86">
        <f t="array" ref="S473">iferror(XLOOKUP(C473,'Download of SFDC Activation Rep'!B:B,'Download of SFDC Activation Rep'!Y:Y),"")</f>
        <v>46009</v>
      </c>
    </row>
    <row r="474">
      <c r="A474" s="17" t="s">
        <v>1487</v>
      </c>
      <c r="B474" s="85">
        <v>46174.0</v>
      </c>
      <c r="C474" s="17">
        <v>3935770.0</v>
      </c>
      <c r="D474" s="85">
        <v>45778.0</v>
      </c>
      <c r="E474" s="17">
        <v>71.0</v>
      </c>
      <c r="F474" s="17">
        <v>68.0</v>
      </c>
      <c r="G474" s="17">
        <v>291751.84</v>
      </c>
      <c r="H474" s="17">
        <v>3339.5</v>
      </c>
      <c r="I474" s="17">
        <v>342.201576</v>
      </c>
      <c r="J474" s="17"/>
      <c r="K474" s="17">
        <v>231.1723</v>
      </c>
      <c r="L474" s="17">
        <v>195.831623909191</v>
      </c>
      <c r="M474" s="17">
        <v>35.3406760908089</v>
      </c>
      <c r="N474" s="17">
        <v>0.0</v>
      </c>
      <c r="O474" s="14">
        <f t="shared" si="1"/>
        <v>231.1723</v>
      </c>
      <c r="P474" s="86">
        <f t="array" ref="P474">iferror(XLOOKUP(C474,'Download of SFDC Activation Rep'!B:B,'Download of SFDC Activation Rep'!Z:Z),"")</f>
        <v>45797</v>
      </c>
      <c r="Q474" s="86">
        <f t="shared" si="2"/>
        <v>45778</v>
      </c>
      <c r="R474" s="13" t="str">
        <f t="shared" si="3"/>
        <v>Yes</v>
      </c>
      <c r="S474" s="86">
        <f t="array" ref="S474">iferror(XLOOKUP(C474,'Download of SFDC Activation Rep'!B:B,'Download of SFDC Activation Rep'!Y:Y),"")</f>
        <v>45797</v>
      </c>
    </row>
    <row r="475">
      <c r="A475" s="17" t="s">
        <v>489</v>
      </c>
      <c r="B475" s="85">
        <v>46174.0</v>
      </c>
      <c r="C475" s="17">
        <v>3683365.0</v>
      </c>
      <c r="D475" s="85">
        <v>45992.0</v>
      </c>
      <c r="E475" s="17">
        <v>14.0</v>
      </c>
      <c r="F475" s="17">
        <v>12.0</v>
      </c>
      <c r="G475" s="17">
        <v>25618.97</v>
      </c>
      <c r="H475" s="17">
        <v>4817.3</v>
      </c>
      <c r="I475" s="17">
        <v>679.49</v>
      </c>
      <c r="J475" s="17"/>
      <c r="K475" s="17">
        <v>187.9663</v>
      </c>
      <c r="L475" s="17">
        <v>187.7101103</v>
      </c>
      <c r="M475" s="17">
        <v>0.256189699999993</v>
      </c>
      <c r="N475" s="17">
        <v>52.0</v>
      </c>
      <c r="O475" s="14">
        <f t="shared" si="1"/>
        <v>239.9663</v>
      </c>
      <c r="P475" s="86">
        <f t="array" ref="P475">iferror(XLOOKUP(C475,'Download of SFDC Activation Rep'!B:B,'Download of SFDC Activation Rep'!Z:Z),"")</f>
        <v>46197</v>
      </c>
      <c r="Q475" s="86">
        <f t="shared" si="2"/>
        <v>46174</v>
      </c>
      <c r="R475" s="13" t="str">
        <f t="shared" si="3"/>
        <v>Yes</v>
      </c>
      <c r="S475" s="86">
        <f t="array" ref="S475">iferror(XLOOKUP(C475,'Download of SFDC Activation Rep'!B:B,'Download of SFDC Activation Rep'!Y:Y),"")</f>
        <v>46361</v>
      </c>
    </row>
    <row r="476">
      <c r="A476" s="17" t="s">
        <v>17</v>
      </c>
      <c r="B476" s="85">
        <v>45962.0</v>
      </c>
      <c r="C476" s="17">
        <v>4161223.0</v>
      </c>
      <c r="D476" s="85">
        <v>45931.0</v>
      </c>
      <c r="E476" s="17">
        <v>1.0</v>
      </c>
      <c r="F476" s="17">
        <v>1.0</v>
      </c>
      <c r="G476" s="17">
        <v>8000.0</v>
      </c>
      <c r="H476" s="17"/>
      <c r="I476" s="17">
        <v>0.0</v>
      </c>
      <c r="J476" s="17"/>
      <c r="K476" s="17">
        <v>-0.1429</v>
      </c>
      <c r="L476" s="17">
        <v>-1.3963507752</v>
      </c>
      <c r="M476" s="17">
        <v>1.2534507752</v>
      </c>
      <c r="N476" s="17">
        <v>0.0</v>
      </c>
      <c r="O476" s="14">
        <f t="shared" si="1"/>
        <v>-0.1429</v>
      </c>
      <c r="P476" s="86">
        <f t="array" ref="P476">iferror(XLOOKUP(C476,'Download of SFDC Activation Rep'!B:B,'Download of SFDC Activation Rep'!Z:Z),"")</f>
        <v>45937</v>
      </c>
      <c r="Q476" s="86">
        <f t="shared" si="2"/>
        <v>45931</v>
      </c>
      <c r="R476" s="13" t="str">
        <f t="shared" si="3"/>
        <v>Yes</v>
      </c>
      <c r="S476" s="86">
        <f t="array" ref="S476">iferror(XLOOKUP(C476,'Download of SFDC Activation Rep'!B:B,'Download of SFDC Activation Rep'!Y:Y),"")</f>
        <v>45947</v>
      </c>
    </row>
    <row r="477">
      <c r="A477" s="17" t="s">
        <v>489</v>
      </c>
      <c r="B477" s="85">
        <v>45962.0</v>
      </c>
      <c r="C477" s="17">
        <v>3328212.0</v>
      </c>
      <c r="D477" s="85">
        <v>45901.0</v>
      </c>
      <c r="E477" s="17">
        <v>2.0</v>
      </c>
      <c r="F477" s="17">
        <v>0.0</v>
      </c>
      <c r="G477" s="17">
        <v>288.4</v>
      </c>
      <c r="H477" s="17">
        <v>288.4</v>
      </c>
      <c r="I477" s="17">
        <v>8.37</v>
      </c>
      <c r="J477" s="17"/>
      <c r="K477" s="17">
        <v>-0.1755</v>
      </c>
      <c r="L477" s="17">
        <v>-0.178384</v>
      </c>
      <c r="M477" s="17">
        <v>0.00288399999999999</v>
      </c>
      <c r="N477" s="17">
        <v>24.992</v>
      </c>
      <c r="O477" s="14">
        <f t="shared" si="1"/>
        <v>24.8165</v>
      </c>
      <c r="P477" s="86">
        <f t="array" ref="P477">iferror(XLOOKUP(C477,'Download of SFDC Activation Rep'!B:B,'Download of SFDC Activation Rep'!Z:Z),"")</f>
        <v>45816</v>
      </c>
      <c r="Q477" s="86">
        <f t="shared" si="2"/>
        <v>45809</v>
      </c>
      <c r="R477" s="13" t="str">
        <f t="shared" si="3"/>
        <v>Yes</v>
      </c>
      <c r="S477" s="86">
        <f t="array" ref="S477">iferror(XLOOKUP(C477,'Download of SFDC Activation Rep'!B:B,'Download of SFDC Activation Rep'!Y:Y),"")</f>
        <v>45903</v>
      </c>
    </row>
    <row r="478">
      <c r="A478" s="17" t="s">
        <v>19</v>
      </c>
      <c r="B478" s="85">
        <v>46082.0</v>
      </c>
      <c r="C478" s="17">
        <v>4031652.0</v>
      </c>
      <c r="D478" s="85">
        <v>45901.0</v>
      </c>
      <c r="E478" s="17">
        <v>148.0</v>
      </c>
      <c r="F478" s="17">
        <v>148.0</v>
      </c>
      <c r="G478" s="17">
        <v>1316446.14</v>
      </c>
      <c r="H478" s="17"/>
      <c r="I478" s="17">
        <v>1091.85398</v>
      </c>
      <c r="J478" s="17">
        <v>1.0</v>
      </c>
      <c r="K478" s="17">
        <v>1070.26969999999</v>
      </c>
      <c r="L478" s="17">
        <v>780.973599034242</v>
      </c>
      <c r="M478" s="17">
        <v>289.296100965757</v>
      </c>
      <c r="N478" s="17">
        <v>80.0</v>
      </c>
      <c r="O478" s="14">
        <f t="shared" si="1"/>
        <v>1150.2697</v>
      </c>
      <c r="P478" s="86">
        <f t="array" ref="P478">iferror(XLOOKUP(C478,'Download of SFDC Activation Rep'!B:B,'Download of SFDC Activation Rep'!Z:Z),"")</f>
        <v>45881</v>
      </c>
      <c r="Q478" s="86">
        <f t="shared" si="2"/>
        <v>45870</v>
      </c>
      <c r="R478" s="13" t="str">
        <f t="shared" si="3"/>
        <v>Yes</v>
      </c>
      <c r="S478" s="86">
        <f t="array" ref="S478">iferror(XLOOKUP(C478,'Download of SFDC Activation Rep'!B:B,'Download of SFDC Activation Rep'!Y:Y),"")</f>
        <v>45889</v>
      </c>
    </row>
    <row r="479">
      <c r="A479" s="17" t="s">
        <v>19</v>
      </c>
      <c r="B479" s="85">
        <v>46113.0</v>
      </c>
      <c r="C479" s="17">
        <v>4356919.0</v>
      </c>
      <c r="D479" s="85">
        <v>46082.0</v>
      </c>
      <c r="E479" s="17">
        <v>3.0</v>
      </c>
      <c r="F479" s="17">
        <v>3.0</v>
      </c>
      <c r="G479" s="17">
        <v>1084.28</v>
      </c>
      <c r="H479" s="17"/>
      <c r="I479" s="17">
        <v>0.0</v>
      </c>
      <c r="J479" s="17"/>
      <c r="K479" s="17">
        <v>-0.472099999999999</v>
      </c>
      <c r="L479" s="17">
        <v>-0.482942799999999</v>
      </c>
      <c r="M479" s="17">
        <v>0.0108427999999999</v>
      </c>
      <c r="N479" s="17">
        <v>80.0</v>
      </c>
      <c r="O479" s="14">
        <f t="shared" si="1"/>
        <v>79.5279</v>
      </c>
      <c r="P479" s="86">
        <f t="array" ref="P479">iferror(XLOOKUP(C479,'Download of SFDC Activation Rep'!B:B,'Download of SFDC Activation Rep'!Z:Z),"")</f>
        <v>45973</v>
      </c>
      <c r="Q479" s="86">
        <f t="shared" si="2"/>
        <v>45962</v>
      </c>
      <c r="R479" s="13" t="str">
        <f t="shared" si="3"/>
        <v>Yes</v>
      </c>
      <c r="S479" s="86">
        <f t="array" ref="S479">iferror(XLOOKUP(C479,'Download of SFDC Activation Rep'!B:B,'Download of SFDC Activation Rep'!Y:Y),"")</f>
        <v>46139</v>
      </c>
    </row>
    <row r="480">
      <c r="A480" s="17" t="s">
        <v>19</v>
      </c>
      <c r="B480" s="85">
        <v>46023.0</v>
      </c>
      <c r="C480" s="17">
        <v>3947424.0</v>
      </c>
      <c r="D480" s="85">
        <v>45809.0</v>
      </c>
      <c r="E480" s="17">
        <v>44.0</v>
      </c>
      <c r="F480" s="17">
        <v>44.0</v>
      </c>
      <c r="G480" s="17">
        <v>114278.33</v>
      </c>
      <c r="H480" s="17"/>
      <c r="I480" s="17">
        <v>2.0</v>
      </c>
      <c r="J480" s="17">
        <v>2.0</v>
      </c>
      <c r="K480" s="17">
        <v>-3.9781</v>
      </c>
      <c r="L480" s="17">
        <v>-28.2787420933064</v>
      </c>
      <c r="M480" s="17">
        <v>24.3006420933064</v>
      </c>
      <c r="N480" s="17">
        <v>55.0</v>
      </c>
      <c r="O480" s="14">
        <f t="shared" si="1"/>
        <v>51.0219</v>
      </c>
      <c r="P480" s="86">
        <f t="array" ref="P480">iferror(XLOOKUP(C480,'Download of SFDC Activation Rep'!B:B,'Download of SFDC Activation Rep'!Z:Z),"")</f>
        <v>45805</v>
      </c>
      <c r="Q480" s="86">
        <f t="shared" si="2"/>
        <v>45778</v>
      </c>
      <c r="R480" s="13" t="str">
        <f t="shared" si="3"/>
        <v>Yes</v>
      </c>
      <c r="S480" s="86">
        <f t="array" ref="S480">iferror(XLOOKUP(C480,'Download of SFDC Activation Rep'!B:B,'Download of SFDC Activation Rep'!Y:Y),"")</f>
        <v>45805</v>
      </c>
    </row>
    <row r="481">
      <c r="A481" s="17" t="s">
        <v>489</v>
      </c>
      <c r="B481" s="85">
        <v>46054.0</v>
      </c>
      <c r="C481" s="17">
        <v>4038405.0</v>
      </c>
      <c r="D481" s="85">
        <v>45870.0</v>
      </c>
      <c r="E481" s="17">
        <v>65.0</v>
      </c>
      <c r="F481" s="17">
        <v>65.0</v>
      </c>
      <c r="G481" s="17">
        <v>1184737.59</v>
      </c>
      <c r="H481" s="17"/>
      <c r="I481" s="17">
        <v>154.944896</v>
      </c>
      <c r="J481" s="17">
        <v>3.5</v>
      </c>
      <c r="K481" s="17">
        <v>144.5606</v>
      </c>
      <c r="L481" s="17">
        <v>-41.1567194452829</v>
      </c>
      <c r="M481" s="17">
        <v>185.717319445282</v>
      </c>
      <c r="N481" s="17">
        <v>5.19999999999999</v>
      </c>
      <c r="O481" s="14">
        <f t="shared" si="1"/>
        <v>149.7606</v>
      </c>
      <c r="P481" s="86">
        <f t="array" ref="P481">iferror(XLOOKUP(C481,'Download of SFDC Activation Rep'!B:B,'Download of SFDC Activation Rep'!Z:Z),"")</f>
        <v>45839</v>
      </c>
      <c r="Q481" s="86">
        <f t="shared" si="2"/>
        <v>45839</v>
      </c>
      <c r="R481" s="13" t="str">
        <f t="shared" si="3"/>
        <v>Yes</v>
      </c>
      <c r="S481" s="86">
        <f t="array" ref="S481">iferror(XLOOKUP(C481,'Download of SFDC Activation Rep'!B:B,'Download of SFDC Activation Rep'!Y:Y),"")</f>
        <v>45877</v>
      </c>
    </row>
    <row r="482">
      <c r="A482" s="17" t="s">
        <v>488</v>
      </c>
      <c r="B482" s="85">
        <v>46054.0</v>
      </c>
      <c r="C482" s="17">
        <v>4369936.0</v>
      </c>
      <c r="D482" s="85">
        <v>46054.0</v>
      </c>
      <c r="E482" s="17">
        <v>8.0</v>
      </c>
      <c r="F482" s="17">
        <v>6.0</v>
      </c>
      <c r="G482" s="17">
        <v>31994.59</v>
      </c>
      <c r="H482" s="17">
        <v>250.0</v>
      </c>
      <c r="I482" s="17">
        <v>563.11</v>
      </c>
      <c r="J482" s="17"/>
      <c r="K482" s="17">
        <v>66.4354999999999</v>
      </c>
      <c r="L482" s="17">
        <v>56.139728215248</v>
      </c>
      <c r="M482" s="17">
        <v>10.2957717847519</v>
      </c>
      <c r="N482" s="17">
        <v>35.0</v>
      </c>
      <c r="O482" s="14">
        <f t="shared" si="1"/>
        <v>103.0605</v>
      </c>
      <c r="P482" s="86">
        <f t="array" ref="P482">iferror(XLOOKUP(C482,'Download of SFDC Activation Rep'!B:B,'Download of SFDC Activation Rep'!Z:Z),"")</f>
        <v>46059</v>
      </c>
      <c r="Q482" s="86">
        <f t="shared" si="2"/>
        <v>46054</v>
      </c>
      <c r="R482" s="13" t="str">
        <f t="shared" si="3"/>
        <v>Yes</v>
      </c>
      <c r="S482" s="86">
        <f t="array" ref="S482">iferror(XLOOKUP(C482,'Download of SFDC Activation Rep'!B:B,'Download of SFDC Activation Rep'!Y:Y),"")</f>
        <v>46059</v>
      </c>
    </row>
    <row r="483">
      <c r="A483" s="17" t="s">
        <v>488</v>
      </c>
      <c r="B483" s="85">
        <v>46082.0</v>
      </c>
      <c r="C483" s="17">
        <v>3085000.0</v>
      </c>
      <c r="D483" s="85">
        <v>45292.0</v>
      </c>
      <c r="E483" s="17">
        <v>15.0</v>
      </c>
      <c r="F483" s="17">
        <v>15.0</v>
      </c>
      <c r="G483" s="17">
        <v>106534.69</v>
      </c>
      <c r="H483" s="17"/>
      <c r="I483" s="17">
        <v>0.0</v>
      </c>
      <c r="J483" s="17"/>
      <c r="K483" s="17">
        <v>-2.331</v>
      </c>
      <c r="L483" s="17">
        <v>-3.3963469</v>
      </c>
      <c r="M483" s="17">
        <v>1.0653469</v>
      </c>
      <c r="N483" s="17">
        <v>20.0</v>
      </c>
      <c r="O483" s="14">
        <f t="shared" si="1"/>
        <v>17.669</v>
      </c>
      <c r="P483" s="86">
        <f t="array" ref="P483">iferror(XLOOKUP(C483,'Download of SFDC Activation Rep'!B:B,'Download of SFDC Activation Rep'!Z:Z),"")</f>
        <v>45947</v>
      </c>
      <c r="Q483" s="86">
        <f t="shared" si="2"/>
        <v>45931</v>
      </c>
      <c r="R483" s="13" t="str">
        <f t="shared" si="3"/>
        <v>Yes</v>
      </c>
      <c r="S483" s="86">
        <f t="array" ref="S483">iferror(XLOOKUP(C483,'Download of SFDC Activation Rep'!B:B,'Download of SFDC Activation Rep'!Y:Y),"")</f>
        <v>45958</v>
      </c>
    </row>
    <row r="484">
      <c r="A484" s="17" t="s">
        <v>17</v>
      </c>
      <c r="B484" s="85">
        <v>45809.0</v>
      </c>
      <c r="C484" s="17">
        <v>3977410.0</v>
      </c>
      <c r="D484" s="85">
        <v>45809.0</v>
      </c>
      <c r="E484" s="17">
        <v>1.0</v>
      </c>
      <c r="F484" s="17">
        <v>1.0</v>
      </c>
      <c r="G484" s="17">
        <v>6320.0</v>
      </c>
      <c r="H484" s="17"/>
      <c r="I484" s="17">
        <v>0.0</v>
      </c>
      <c r="J484" s="17"/>
      <c r="K484" s="17">
        <v>-0.06</v>
      </c>
      <c r="L484" s="17">
        <v>-0.1232</v>
      </c>
      <c r="M484" s="17">
        <v>0.0632</v>
      </c>
      <c r="N484" s="17">
        <v>2.49999999999999</v>
      </c>
      <c r="O484" s="14">
        <f t="shared" si="1"/>
        <v>2.44</v>
      </c>
      <c r="P484" s="86">
        <f t="array" ref="P484">iferror(XLOOKUP(C484,'Download of SFDC Activation Rep'!B:B,'Download of SFDC Activation Rep'!Z:Z),"")</f>
        <v>45809</v>
      </c>
      <c r="Q484" s="86">
        <f t="shared" si="2"/>
        <v>45809</v>
      </c>
      <c r="R484" s="13" t="str">
        <f t="shared" si="3"/>
        <v>Yes</v>
      </c>
      <c r="S484" s="86">
        <f t="array" ref="S484">iferror(XLOOKUP(C484,'Download of SFDC Activation Rep'!B:B,'Download of SFDC Activation Rep'!Y:Y),"")</f>
        <v>45838</v>
      </c>
    </row>
    <row r="485">
      <c r="A485" s="17" t="s">
        <v>488</v>
      </c>
      <c r="B485" s="85">
        <v>45992.0</v>
      </c>
      <c r="C485" s="17">
        <v>4233219.0</v>
      </c>
      <c r="D485" s="85">
        <v>45962.0</v>
      </c>
      <c r="E485" s="17">
        <v>5.0</v>
      </c>
      <c r="F485" s="17">
        <v>5.0</v>
      </c>
      <c r="G485" s="17">
        <v>16529.57</v>
      </c>
      <c r="H485" s="17"/>
      <c r="I485" s="17">
        <v>8.1</v>
      </c>
      <c r="J485" s="17"/>
      <c r="K485" s="17">
        <v>3.7369</v>
      </c>
      <c r="L485" s="17">
        <v>0.035749783482167</v>
      </c>
      <c r="M485" s="17">
        <v>3.70115021651783</v>
      </c>
      <c r="N485" s="17">
        <v>28.0</v>
      </c>
      <c r="O485" s="14">
        <f t="shared" si="1"/>
        <v>31.7369</v>
      </c>
      <c r="P485" s="86">
        <f t="array" ref="P485">iferror(XLOOKUP(C485,'Download of SFDC Activation Rep'!B:B,'Download of SFDC Activation Rep'!Z:Z),"")</f>
        <v>45978</v>
      </c>
      <c r="Q485" s="86">
        <f t="shared" si="2"/>
        <v>45962</v>
      </c>
      <c r="R485" s="13" t="str">
        <f t="shared" si="3"/>
        <v>Yes</v>
      </c>
      <c r="S485" s="86">
        <f t="array" ref="S485">iferror(XLOOKUP(C485,'Download of SFDC Activation Rep'!B:B,'Download of SFDC Activation Rep'!Y:Y),"")</f>
        <v>45989</v>
      </c>
    </row>
    <row r="486">
      <c r="A486" s="17" t="s">
        <v>488</v>
      </c>
      <c r="B486" s="85">
        <v>46082.0</v>
      </c>
      <c r="C486" s="17">
        <v>4079539.0</v>
      </c>
      <c r="D486" s="85">
        <v>45870.0</v>
      </c>
      <c r="E486" s="17">
        <v>3.0</v>
      </c>
      <c r="F486" s="17">
        <v>0.0</v>
      </c>
      <c r="G486" s="17">
        <v>20795.29</v>
      </c>
      <c r="H486" s="17">
        <v>20795.29</v>
      </c>
      <c r="I486" s="17">
        <v>613.06</v>
      </c>
      <c r="J486" s="17"/>
      <c r="K486" s="17">
        <v>-17.5465999999999</v>
      </c>
      <c r="L486" s="17">
        <v>-29.888778932312</v>
      </c>
      <c r="M486" s="17">
        <v>12.342178932312</v>
      </c>
      <c r="N486" s="17">
        <v>25.0</v>
      </c>
      <c r="O486" s="14">
        <f t="shared" si="1"/>
        <v>142.622785</v>
      </c>
      <c r="P486" s="86">
        <f t="array" ref="P486">iferror(XLOOKUP(C486,'Download of SFDC Activation Rep'!B:B,'Download of SFDC Activation Rep'!Z:Z),"")</f>
        <v>45890</v>
      </c>
      <c r="Q486" s="86">
        <f t="shared" si="2"/>
        <v>45870</v>
      </c>
      <c r="R486" s="13" t="str">
        <f t="shared" si="3"/>
        <v>Yes</v>
      </c>
      <c r="S486" s="86">
        <f t="array" ref="S486">iferror(XLOOKUP(C486,'Download of SFDC Activation Rep'!B:B,'Download of SFDC Activation Rep'!Y:Y),"")</f>
        <v>45899</v>
      </c>
    </row>
    <row r="487">
      <c r="A487" s="17" t="s">
        <v>489</v>
      </c>
      <c r="B487" s="85">
        <v>46174.0</v>
      </c>
      <c r="C487" s="17">
        <v>4339749.0</v>
      </c>
      <c r="D487" s="85">
        <v>46023.0</v>
      </c>
      <c r="E487" s="17">
        <v>2.0</v>
      </c>
      <c r="F487" s="17">
        <v>0.0</v>
      </c>
      <c r="G487" s="17">
        <v>4206.8</v>
      </c>
      <c r="H487" s="17"/>
      <c r="I487" s="17">
        <v>122.0</v>
      </c>
      <c r="J487" s="17"/>
      <c r="K487" s="17">
        <v>3.3707</v>
      </c>
      <c r="L487" s="17">
        <v>1.13919116096</v>
      </c>
      <c r="M487" s="17">
        <v>2.23150883904</v>
      </c>
      <c r="N487" s="17">
        <v>65.0</v>
      </c>
      <c r="O487" s="14">
        <f t="shared" si="1"/>
        <v>68.3707</v>
      </c>
      <c r="P487" s="86">
        <f t="array" ref="P487">iferror(XLOOKUP(C487,'Download of SFDC Activation Rep'!B:B,'Download of SFDC Activation Rep'!Z:Z),"")</f>
        <v>46037</v>
      </c>
      <c r="Q487" s="86">
        <f t="shared" si="2"/>
        <v>46023</v>
      </c>
      <c r="R487" s="13" t="str">
        <f t="shared" si="3"/>
        <v>Yes</v>
      </c>
      <c r="S487" s="86">
        <f t="array" ref="S487">iferror(XLOOKUP(C487,'Download of SFDC Activation Rep'!B:B,'Download of SFDC Activation Rep'!Y:Y),"")</f>
        <v>46057</v>
      </c>
    </row>
    <row r="488">
      <c r="A488" s="17" t="s">
        <v>488</v>
      </c>
      <c r="B488" s="85">
        <v>45962.0</v>
      </c>
      <c r="C488" s="17">
        <v>4010351.0</v>
      </c>
      <c r="D488" s="85">
        <v>45839.0</v>
      </c>
      <c r="E488" s="17">
        <v>15.0</v>
      </c>
      <c r="F488" s="17">
        <v>15.0</v>
      </c>
      <c r="G488" s="17">
        <v>82220.7</v>
      </c>
      <c r="H488" s="17"/>
      <c r="I488" s="17">
        <v>4.5</v>
      </c>
      <c r="J488" s="17"/>
      <c r="K488" s="17">
        <v>-4.92329999999999</v>
      </c>
      <c r="L488" s="17">
        <v>-17.6423726190608</v>
      </c>
      <c r="M488" s="17">
        <v>12.7190726190608</v>
      </c>
      <c r="N488" s="17">
        <v>64.0</v>
      </c>
      <c r="O488" s="14">
        <f t="shared" si="1"/>
        <v>59.0767</v>
      </c>
      <c r="P488" s="86">
        <f t="array" ref="P488">iferror(XLOOKUP(C488,'Download of SFDC Activation Rep'!B:B,'Download of SFDC Activation Rep'!Z:Z),"")</f>
        <v>45839</v>
      </c>
      <c r="Q488" s="86">
        <f t="shared" si="2"/>
        <v>45839</v>
      </c>
      <c r="R488" s="13" t="str">
        <f t="shared" si="3"/>
        <v>Yes</v>
      </c>
      <c r="S488" s="86">
        <f t="array" ref="S488">iferror(XLOOKUP(C488,'Download of SFDC Activation Rep'!B:B,'Download of SFDC Activation Rep'!Y:Y),"")</f>
        <v>45853</v>
      </c>
    </row>
    <row r="489">
      <c r="A489" s="17" t="s">
        <v>17</v>
      </c>
      <c r="B489" s="85">
        <v>46054.0</v>
      </c>
      <c r="C489" s="17">
        <v>4378644.0</v>
      </c>
      <c r="D489" s="85">
        <v>46054.0</v>
      </c>
      <c r="E489" s="17">
        <v>9.0</v>
      </c>
      <c r="F489" s="17">
        <v>0.0</v>
      </c>
      <c r="G489" s="17">
        <v>12629.41</v>
      </c>
      <c r="H489" s="17">
        <v>832.5</v>
      </c>
      <c r="I489" s="17">
        <v>413.58</v>
      </c>
      <c r="J489" s="17"/>
      <c r="K489" s="17">
        <v>77.7273</v>
      </c>
      <c r="L489" s="17">
        <v>72.438332421696</v>
      </c>
      <c r="M489" s="17">
        <v>5.28896757830399</v>
      </c>
      <c r="N489" s="17">
        <v>0.0</v>
      </c>
      <c r="O489" s="14">
        <f t="shared" si="1"/>
        <v>83.13855</v>
      </c>
      <c r="P489" s="86">
        <f t="array" ref="P489">iferror(XLOOKUP(C489,'Download of SFDC Activation Rep'!B:B,'Download of SFDC Activation Rep'!Z:Z),"")</f>
        <v>46056</v>
      </c>
      <c r="Q489" s="86">
        <f t="shared" si="2"/>
        <v>46054</v>
      </c>
      <c r="R489" s="13" t="str">
        <f t="shared" si="3"/>
        <v>Yes</v>
      </c>
      <c r="S489" s="86">
        <f t="array" ref="S489">iferror(XLOOKUP(C489,'Download of SFDC Activation Rep'!B:B,'Download of SFDC Activation Rep'!Y:Y),"")</f>
        <v>46086</v>
      </c>
    </row>
    <row r="490">
      <c r="A490" s="17" t="s">
        <v>17</v>
      </c>
      <c r="B490" s="85">
        <v>45931.0</v>
      </c>
      <c r="C490" s="17">
        <v>4154266.0</v>
      </c>
      <c r="D490" s="85">
        <v>45931.0</v>
      </c>
      <c r="E490" s="17">
        <v>2.0</v>
      </c>
      <c r="F490" s="17">
        <v>0.0</v>
      </c>
      <c r="G490" s="17">
        <v>829.85</v>
      </c>
      <c r="H490" s="17">
        <v>829.85</v>
      </c>
      <c r="I490" s="17">
        <v>24.07</v>
      </c>
      <c r="J490" s="17"/>
      <c r="K490" s="17">
        <v>6.1184</v>
      </c>
      <c r="L490" s="17">
        <v>6.1101015</v>
      </c>
      <c r="M490" s="17">
        <v>0.00829849999999954</v>
      </c>
      <c r="N490" s="17">
        <v>0.0</v>
      </c>
      <c r="O490" s="14">
        <f t="shared" si="1"/>
        <v>6.1184</v>
      </c>
      <c r="P490" s="86">
        <f t="array" ref="P490">iferror(XLOOKUP(C490,'Download of SFDC Activation Rep'!B:B,'Download of SFDC Activation Rep'!Z:Z),"")</f>
        <v>45895</v>
      </c>
      <c r="Q490" s="86">
        <f t="shared" si="2"/>
        <v>45870</v>
      </c>
      <c r="R490" s="13" t="str">
        <f t="shared" si="3"/>
        <v>Yes</v>
      </c>
      <c r="S490" s="86">
        <f t="array" ref="S490">iferror(XLOOKUP(C490,'Download of SFDC Activation Rep'!B:B,'Download of SFDC Activation Rep'!Y:Y),"")</f>
        <v>45954</v>
      </c>
    </row>
    <row r="491">
      <c r="A491" s="17" t="s">
        <v>488</v>
      </c>
      <c r="B491" s="85">
        <v>46054.0</v>
      </c>
      <c r="C491" s="17">
        <v>4301071.0</v>
      </c>
      <c r="D491" s="85">
        <v>45992.0</v>
      </c>
      <c r="E491" s="17">
        <v>6.0</v>
      </c>
      <c r="F491" s="17">
        <v>2.0</v>
      </c>
      <c r="G491" s="17">
        <v>1175.45</v>
      </c>
      <c r="H491" s="17">
        <v>443.85</v>
      </c>
      <c r="I491" s="17">
        <v>23.02</v>
      </c>
      <c r="J491" s="17"/>
      <c r="K491" s="17">
        <v>-4.5443</v>
      </c>
      <c r="L491" s="17">
        <v>-4.5560545</v>
      </c>
      <c r="M491" s="17">
        <v>0.0117545000000003</v>
      </c>
      <c r="N491" s="17">
        <v>29.75</v>
      </c>
      <c r="O491" s="14">
        <f t="shared" si="1"/>
        <v>28.090725</v>
      </c>
      <c r="P491" s="86">
        <f t="array" ref="P491">iferror(XLOOKUP(C491,'Download of SFDC Activation Rep'!B:B,'Download of SFDC Activation Rep'!Z:Z),"")</f>
        <v>46014</v>
      </c>
      <c r="Q491" s="86">
        <f t="shared" si="2"/>
        <v>45992</v>
      </c>
      <c r="R491" s="13" t="str">
        <f t="shared" si="3"/>
        <v>Yes</v>
      </c>
      <c r="S491" s="86">
        <f t="array" ref="S491">iferror(XLOOKUP(C491,'Download of SFDC Activation Rep'!B:B,'Download of SFDC Activation Rep'!Y:Y),"")</f>
        <v>46022</v>
      </c>
    </row>
    <row r="492">
      <c r="A492" s="17" t="s">
        <v>488</v>
      </c>
      <c r="B492" s="85">
        <v>46082.0</v>
      </c>
      <c r="C492" s="17">
        <v>4301071.0</v>
      </c>
      <c r="D492" s="85">
        <v>45992.0</v>
      </c>
      <c r="E492" s="17">
        <v>5.0</v>
      </c>
      <c r="F492" s="17">
        <v>4.0</v>
      </c>
      <c r="G492" s="17">
        <v>3968.79</v>
      </c>
      <c r="H492" s="17">
        <v>47.89</v>
      </c>
      <c r="I492" s="17">
        <v>1.39</v>
      </c>
      <c r="J492" s="17"/>
      <c r="K492" s="17">
        <v>-1.5093</v>
      </c>
      <c r="L492" s="17">
        <v>-1.5489879</v>
      </c>
      <c r="M492" s="17">
        <v>0.0396878999999998</v>
      </c>
      <c r="N492" s="17">
        <v>29.75</v>
      </c>
      <c r="O492" s="14">
        <f t="shared" si="1"/>
        <v>28.551985</v>
      </c>
      <c r="P492" s="86">
        <f t="array" ref="P492">iferror(XLOOKUP(C492,'Download of SFDC Activation Rep'!B:B,'Download of SFDC Activation Rep'!Z:Z),"")</f>
        <v>46014</v>
      </c>
      <c r="Q492" s="86">
        <f t="shared" si="2"/>
        <v>45992</v>
      </c>
      <c r="R492" s="13" t="str">
        <f t="shared" si="3"/>
        <v>Yes</v>
      </c>
      <c r="S492" s="86">
        <f t="array" ref="S492">iferror(XLOOKUP(C492,'Download of SFDC Activation Rep'!B:B,'Download of SFDC Activation Rep'!Y:Y),"")</f>
        <v>46022</v>
      </c>
    </row>
    <row r="493">
      <c r="A493" s="17" t="s">
        <v>19</v>
      </c>
      <c r="B493" s="85">
        <v>45901.0</v>
      </c>
      <c r="C493" s="17">
        <v>4018525.0</v>
      </c>
      <c r="D493" s="85">
        <v>45839.0</v>
      </c>
      <c r="E493" s="17">
        <v>81.0</v>
      </c>
      <c r="F493" s="17">
        <v>81.0</v>
      </c>
      <c r="G493" s="17">
        <v>247276.77</v>
      </c>
      <c r="H493" s="17"/>
      <c r="I493" s="17">
        <v>77.899883</v>
      </c>
      <c r="J493" s="17">
        <v>0.5</v>
      </c>
      <c r="K493" s="17">
        <v>40.0999</v>
      </c>
      <c r="L493" s="17">
        <v>1.99029511931848</v>
      </c>
      <c r="M493" s="17">
        <v>38.1096048806815</v>
      </c>
      <c r="N493" s="17">
        <v>6.39999999999999</v>
      </c>
      <c r="O493" s="14">
        <f t="shared" si="1"/>
        <v>46.4999</v>
      </c>
      <c r="P493" s="86">
        <f t="array" ref="P493">iferror(XLOOKUP(C493,'Download of SFDC Activation Rep'!B:B,'Download of SFDC Activation Rep'!Z:Z),"")</f>
        <v>45818</v>
      </c>
      <c r="Q493" s="86">
        <f t="shared" si="2"/>
        <v>45809</v>
      </c>
      <c r="R493" s="13" t="str">
        <f t="shared" si="3"/>
        <v>Yes</v>
      </c>
      <c r="S493" s="86">
        <f t="array" ref="S493">iferror(XLOOKUP(C493,'Download of SFDC Activation Rep'!B:B,'Download of SFDC Activation Rep'!Y:Y),"")</f>
        <v>45859</v>
      </c>
    </row>
    <row r="494">
      <c r="A494" s="17" t="s">
        <v>488</v>
      </c>
      <c r="B494" s="85">
        <v>45931.0</v>
      </c>
      <c r="C494" s="17">
        <v>3785914.0</v>
      </c>
      <c r="D494" s="85">
        <v>45778.0</v>
      </c>
      <c r="E494" s="17">
        <v>10.0</v>
      </c>
      <c r="F494" s="17">
        <v>7.0</v>
      </c>
      <c r="G494" s="17">
        <v>28725.3</v>
      </c>
      <c r="H494" s="17">
        <v>8988.0</v>
      </c>
      <c r="I494" s="17">
        <v>499.4</v>
      </c>
      <c r="J494" s="17"/>
      <c r="K494" s="17">
        <v>95.3129</v>
      </c>
      <c r="L494" s="17">
        <v>90.8472943410644</v>
      </c>
      <c r="M494" s="17">
        <v>4.46560565893551</v>
      </c>
      <c r="N494" s="17">
        <v>25.0</v>
      </c>
      <c r="O494" s="14">
        <f t="shared" si="1"/>
        <v>120.3129</v>
      </c>
      <c r="P494" s="86">
        <f t="array" ref="P494">iferror(XLOOKUP(C494,'Download of SFDC Activation Rep'!B:B,'Download of SFDC Activation Rep'!Z:Z),"")</f>
        <v>45806</v>
      </c>
      <c r="Q494" s="86">
        <f t="shared" si="2"/>
        <v>45778</v>
      </c>
      <c r="R494" s="13" t="str">
        <f t="shared" si="3"/>
        <v>Yes</v>
      </c>
      <c r="S494" s="86">
        <f t="array" ref="S494">iferror(XLOOKUP(C494,'Download of SFDC Activation Rep'!B:B,'Download of SFDC Activation Rep'!Y:Y),"")</f>
        <v>45806</v>
      </c>
    </row>
    <row r="495">
      <c r="A495" s="17" t="s">
        <v>489</v>
      </c>
      <c r="B495" s="85">
        <v>46143.0</v>
      </c>
      <c r="C495" s="17">
        <v>3683365.0</v>
      </c>
      <c r="D495" s="85">
        <v>45992.0</v>
      </c>
      <c r="E495" s="17">
        <v>18.0</v>
      </c>
      <c r="F495" s="17">
        <v>12.0</v>
      </c>
      <c r="G495" s="17">
        <v>29387.91</v>
      </c>
      <c r="H495" s="17">
        <v>214.49</v>
      </c>
      <c r="I495" s="17">
        <v>768.62</v>
      </c>
      <c r="J495" s="17"/>
      <c r="K495" s="17">
        <v>237.743999999999</v>
      </c>
      <c r="L495" s="17">
        <v>237.432449374723</v>
      </c>
      <c r="M495" s="17">
        <v>0.311550625276964</v>
      </c>
      <c r="N495" s="17">
        <v>52.0</v>
      </c>
      <c r="O495" s="14">
        <f t="shared" si="1"/>
        <v>289.744</v>
      </c>
      <c r="P495" s="86">
        <f t="array" ref="P495">iferror(XLOOKUP(C495,'Download of SFDC Activation Rep'!B:B,'Download of SFDC Activation Rep'!Z:Z),"")</f>
        <v>46197</v>
      </c>
      <c r="Q495" s="86">
        <f t="shared" si="2"/>
        <v>46174</v>
      </c>
      <c r="R495" s="13" t="str">
        <f t="shared" si="3"/>
        <v>No</v>
      </c>
      <c r="S495" s="86">
        <f t="array" ref="S495">iferror(XLOOKUP(C495,'Download of SFDC Activation Rep'!B:B,'Download of SFDC Activation Rep'!Y:Y),"")</f>
        <v>46361</v>
      </c>
    </row>
    <row r="496">
      <c r="A496" s="17" t="s">
        <v>489</v>
      </c>
      <c r="B496" s="85">
        <v>45992.0</v>
      </c>
      <c r="C496" s="17">
        <v>4103219.0</v>
      </c>
      <c r="D496" s="85">
        <v>45901.0</v>
      </c>
      <c r="E496" s="17">
        <v>28.0</v>
      </c>
      <c r="F496" s="17">
        <v>28.0</v>
      </c>
      <c r="G496" s="17">
        <v>177317.27</v>
      </c>
      <c r="H496" s="17"/>
      <c r="I496" s="17">
        <v>101.7221</v>
      </c>
      <c r="J496" s="17"/>
      <c r="K496" s="17">
        <v>96.5654</v>
      </c>
      <c r="L496" s="17">
        <v>68.784891307769</v>
      </c>
      <c r="M496" s="17">
        <v>27.7805086922309</v>
      </c>
      <c r="N496" s="17">
        <v>4.39999999999999</v>
      </c>
      <c r="O496" s="14">
        <f t="shared" si="1"/>
        <v>100.9654</v>
      </c>
      <c r="P496" s="86">
        <f t="array" ref="P496">iferror(XLOOKUP(C496,'Download of SFDC Activation Rep'!B:B,'Download of SFDC Activation Rep'!Z:Z),"")</f>
        <v>45901</v>
      </c>
      <c r="Q496" s="86">
        <f t="shared" si="2"/>
        <v>45901</v>
      </c>
      <c r="R496" s="13" t="str">
        <f t="shared" si="3"/>
        <v>Yes</v>
      </c>
      <c r="S496" s="86">
        <f t="array" ref="S496">iferror(XLOOKUP(C496,'Download of SFDC Activation Rep'!B:B,'Download of SFDC Activation Rep'!Y:Y),"")</f>
        <v>45919</v>
      </c>
    </row>
    <row r="497">
      <c r="A497" s="17" t="s">
        <v>19</v>
      </c>
      <c r="B497" s="85">
        <v>46054.0</v>
      </c>
      <c r="C497" s="17">
        <v>4117067.0</v>
      </c>
      <c r="D497" s="85">
        <v>45992.0</v>
      </c>
      <c r="E497" s="17">
        <v>802.0</v>
      </c>
      <c r="F497" s="17">
        <v>802.0</v>
      </c>
      <c r="G497" s="17">
        <v>5633461.05</v>
      </c>
      <c r="H497" s="17"/>
      <c r="I497" s="17">
        <v>1245.774346</v>
      </c>
      <c r="J497" s="17">
        <v>0.5</v>
      </c>
      <c r="K497" s="17">
        <v>1104.6373</v>
      </c>
      <c r="L497" s="17">
        <v>223.008509817459</v>
      </c>
      <c r="M497" s="17">
        <v>881.62879018254</v>
      </c>
      <c r="N497" s="17">
        <v>6.39999999999999</v>
      </c>
      <c r="O497" s="14">
        <f t="shared" si="1"/>
        <v>1111.0373</v>
      </c>
      <c r="P497" s="86">
        <f t="array" ref="P497">iferror(XLOOKUP(C497,'Download of SFDC Activation Rep'!B:B,'Download of SFDC Activation Rep'!Z:Z),"")</f>
        <v>45831</v>
      </c>
      <c r="Q497" s="86">
        <f t="shared" si="2"/>
        <v>45809</v>
      </c>
      <c r="R497" s="13" t="str">
        <f t="shared" si="3"/>
        <v>Yes</v>
      </c>
      <c r="S497" s="86">
        <f t="array" ref="S497">iferror(XLOOKUP(C497,'Download of SFDC Activation Rep'!B:B,'Download of SFDC Activation Rep'!Y:Y),"")</f>
        <v>45992</v>
      </c>
    </row>
    <row r="498">
      <c r="A498" s="17" t="s">
        <v>488</v>
      </c>
      <c r="B498" s="85">
        <v>46082.0</v>
      </c>
      <c r="C498" s="17">
        <v>4181210.0</v>
      </c>
      <c r="D498" s="85">
        <v>46082.0</v>
      </c>
      <c r="E498" s="17">
        <v>13.0</v>
      </c>
      <c r="F498" s="17">
        <v>3.0</v>
      </c>
      <c r="G498" s="17">
        <v>33147.34</v>
      </c>
      <c r="H498" s="17"/>
      <c r="I498" s="17">
        <v>691.8081</v>
      </c>
      <c r="J498" s="17"/>
      <c r="K498" s="17">
        <v>134.936999999999</v>
      </c>
      <c r="L498" s="17">
        <v>122.535534177948</v>
      </c>
      <c r="M498" s="17">
        <v>12.4014658220519</v>
      </c>
      <c r="N498" s="17">
        <v>0.0</v>
      </c>
      <c r="O498" s="14">
        <f t="shared" si="1"/>
        <v>134.937</v>
      </c>
      <c r="P498" s="86">
        <f t="array" ref="P498">iferror(XLOOKUP(C498,'Download of SFDC Activation Rep'!B:B,'Download of SFDC Activation Rep'!Z:Z),"")</f>
        <v>46077</v>
      </c>
      <c r="Q498" s="86">
        <f t="shared" si="2"/>
        <v>46054</v>
      </c>
      <c r="R498" s="13" t="str">
        <f t="shared" si="3"/>
        <v>Yes</v>
      </c>
      <c r="S498" s="86">
        <f t="array" ref="S498">iferror(XLOOKUP(C498,'Download of SFDC Activation Rep'!B:B,'Download of SFDC Activation Rep'!Y:Y),"")</f>
        <v>46118</v>
      </c>
    </row>
    <row r="499">
      <c r="A499" s="17" t="s">
        <v>488</v>
      </c>
      <c r="B499" s="85">
        <v>46113.0</v>
      </c>
      <c r="C499" s="17">
        <v>4548015.0</v>
      </c>
      <c r="D499" s="85">
        <v>46113.0</v>
      </c>
      <c r="E499" s="17">
        <v>4.0</v>
      </c>
      <c r="F499" s="17">
        <v>0.0</v>
      </c>
      <c r="G499" s="17">
        <v>15883.46</v>
      </c>
      <c r="H499" s="17"/>
      <c r="I499" s="17">
        <v>500.62</v>
      </c>
      <c r="J499" s="17"/>
      <c r="K499" s="17">
        <v>20.9643999999999</v>
      </c>
      <c r="L499" s="17">
        <v>6.575529112312</v>
      </c>
      <c r="M499" s="17">
        <v>14.3888708876879</v>
      </c>
      <c r="N499" s="17">
        <v>25.0</v>
      </c>
      <c r="O499" s="14">
        <f t="shared" si="1"/>
        <v>45.9644</v>
      </c>
      <c r="P499" s="86">
        <f t="array" ref="P499">iferror(XLOOKUP(C499,'Download of SFDC Activation Rep'!B:B,'Download of SFDC Activation Rep'!Z:Z),"")</f>
        <v>46119</v>
      </c>
      <c r="Q499" s="86">
        <f t="shared" si="2"/>
        <v>46113</v>
      </c>
      <c r="R499" s="13" t="str">
        <f t="shared" si="3"/>
        <v>Yes</v>
      </c>
      <c r="S499" s="86">
        <f t="array" ref="S499">iferror(XLOOKUP(C499,'Download of SFDC Activation Rep'!B:B,'Download of SFDC Activation Rep'!Y:Y),"")</f>
        <v>46148</v>
      </c>
    </row>
    <row r="500">
      <c r="A500" s="17" t="s">
        <v>488</v>
      </c>
      <c r="B500" s="85">
        <v>46082.0</v>
      </c>
      <c r="C500" s="17">
        <v>4271411.0</v>
      </c>
      <c r="D500" s="85">
        <v>45992.0</v>
      </c>
      <c r="E500" s="17">
        <v>9.0</v>
      </c>
      <c r="F500" s="17">
        <v>9.0</v>
      </c>
      <c r="G500" s="17">
        <v>171389.87</v>
      </c>
      <c r="H500" s="17"/>
      <c r="I500" s="17">
        <v>6.88</v>
      </c>
      <c r="J500" s="17"/>
      <c r="K500" s="17">
        <v>5.2028</v>
      </c>
      <c r="L500" s="17">
        <v>-23.6526745711289</v>
      </c>
      <c r="M500" s="17">
        <v>28.8554745711289</v>
      </c>
      <c r="N500" s="17">
        <v>17.0</v>
      </c>
      <c r="O500" s="14">
        <f t="shared" si="1"/>
        <v>22.2028</v>
      </c>
      <c r="P500" s="86">
        <f t="array" ref="P500">iferror(XLOOKUP(C500,'Download of SFDC Activation Rep'!B:B,'Download of SFDC Activation Rep'!Z:Z),"")</f>
        <v>46007</v>
      </c>
      <c r="Q500" s="86">
        <f t="shared" si="2"/>
        <v>45992</v>
      </c>
      <c r="R500" s="13" t="str">
        <f t="shared" si="3"/>
        <v>Yes</v>
      </c>
      <c r="S500" s="86">
        <f t="array" ref="S500">iferror(XLOOKUP(C500,'Download of SFDC Activation Rep'!B:B,'Download of SFDC Activation Rep'!Y:Y),"")</f>
        <v>46007</v>
      </c>
    </row>
    <row r="501">
      <c r="A501" s="17" t="s">
        <v>19</v>
      </c>
      <c r="B501" s="85">
        <v>46054.0</v>
      </c>
      <c r="C501" s="17">
        <v>4112463.0</v>
      </c>
      <c r="D501" s="85">
        <v>45931.0</v>
      </c>
      <c r="E501" s="17">
        <v>41.0</v>
      </c>
      <c r="F501" s="17">
        <v>41.0</v>
      </c>
      <c r="G501" s="17">
        <v>99271.64</v>
      </c>
      <c r="H501" s="17"/>
      <c r="I501" s="17">
        <v>17.5</v>
      </c>
      <c r="J501" s="17">
        <v>1.0</v>
      </c>
      <c r="K501" s="17">
        <v>-0.515899999999999</v>
      </c>
      <c r="L501" s="17">
        <v>-16.010603708332</v>
      </c>
      <c r="M501" s="17">
        <v>15.4947037083319</v>
      </c>
      <c r="N501" s="17">
        <v>64.0</v>
      </c>
      <c r="O501" s="14">
        <f t="shared" si="1"/>
        <v>63.4841</v>
      </c>
      <c r="P501" s="86">
        <f t="array" ref="P501">iferror(XLOOKUP(C501,'Download of SFDC Activation Rep'!B:B,'Download of SFDC Activation Rep'!Z:Z),"")</f>
        <v>45911</v>
      </c>
      <c r="Q501" s="86">
        <f t="shared" si="2"/>
        <v>45901</v>
      </c>
      <c r="R501" s="13" t="str">
        <f t="shared" si="3"/>
        <v>Yes</v>
      </c>
      <c r="S501" s="86">
        <f t="array" ref="S501">iferror(XLOOKUP(C501,'Download of SFDC Activation Rep'!B:B,'Download of SFDC Activation Rep'!Y:Y),"")</f>
        <v>45945</v>
      </c>
    </row>
    <row r="502">
      <c r="A502" s="17" t="s">
        <v>17</v>
      </c>
      <c r="B502" s="85">
        <v>46082.0</v>
      </c>
      <c r="C502" s="17">
        <v>4496351.0</v>
      </c>
      <c r="D502" s="85">
        <v>46082.0</v>
      </c>
      <c r="E502" s="17">
        <v>1.0</v>
      </c>
      <c r="F502" s="17">
        <v>0.0</v>
      </c>
      <c r="G502" s="17">
        <v>3500.0</v>
      </c>
      <c r="H502" s="17">
        <v>3500.0</v>
      </c>
      <c r="I502" s="17">
        <v>101.5</v>
      </c>
      <c r="J502" s="17"/>
      <c r="K502" s="17">
        <v>9.149</v>
      </c>
      <c r="L502" s="17">
        <v>7.29241519999999</v>
      </c>
      <c r="M502" s="17">
        <v>1.8565848</v>
      </c>
      <c r="N502" s="17">
        <v>0.0</v>
      </c>
      <c r="O502" s="14">
        <f t="shared" si="1"/>
        <v>31.899</v>
      </c>
      <c r="P502" s="86">
        <f t="array" ref="P502">iferror(XLOOKUP(C502,'Download of SFDC Activation Rep'!B:B,'Download of SFDC Activation Rep'!Z:Z),"")</f>
        <v>46099</v>
      </c>
      <c r="Q502" s="86">
        <f t="shared" si="2"/>
        <v>46082</v>
      </c>
      <c r="R502" s="13" t="str">
        <f t="shared" si="3"/>
        <v>Yes</v>
      </c>
      <c r="S502" s="86">
        <f t="array" ref="S502">iferror(XLOOKUP(C502,'Download of SFDC Activation Rep'!B:B,'Download of SFDC Activation Rep'!Y:Y),"")</f>
        <v>46237</v>
      </c>
    </row>
    <row r="503">
      <c r="A503" s="17" t="s">
        <v>19</v>
      </c>
      <c r="B503" s="85">
        <v>46023.0</v>
      </c>
      <c r="C503" s="17">
        <v>4208610.0</v>
      </c>
      <c r="D503" s="85">
        <v>45962.0</v>
      </c>
      <c r="E503" s="17">
        <v>17.0</v>
      </c>
      <c r="F503" s="17">
        <v>17.0</v>
      </c>
      <c r="G503" s="17">
        <v>7380.0</v>
      </c>
      <c r="H503" s="17"/>
      <c r="I503" s="17">
        <v>23.0</v>
      </c>
      <c r="J503" s="17"/>
      <c r="K503" s="17">
        <v>15.631</v>
      </c>
      <c r="L503" s="17">
        <v>9.888378371491</v>
      </c>
      <c r="M503" s="17">
        <v>5.74262162850899</v>
      </c>
      <c r="N503" s="17">
        <v>64.0</v>
      </c>
      <c r="O503" s="14">
        <f t="shared" si="1"/>
        <v>79.631</v>
      </c>
      <c r="P503" s="86">
        <f t="array" ref="P503">iferror(XLOOKUP(C503,'Download of SFDC Activation Rep'!B:B,'Download of SFDC Activation Rep'!Z:Z),"")</f>
        <v>45947</v>
      </c>
      <c r="Q503" s="86">
        <f t="shared" si="2"/>
        <v>45931</v>
      </c>
      <c r="R503" s="13" t="str">
        <f t="shared" si="3"/>
        <v>Yes</v>
      </c>
      <c r="S503" s="86">
        <f t="array" ref="S503">iferror(XLOOKUP(C503,'Download of SFDC Activation Rep'!B:B,'Download of SFDC Activation Rep'!Y:Y),"")</f>
        <v>45987</v>
      </c>
    </row>
    <row r="504">
      <c r="A504" s="17" t="s">
        <v>19</v>
      </c>
      <c r="B504" s="85">
        <v>46054.0</v>
      </c>
      <c r="C504" s="17">
        <v>4018525.0</v>
      </c>
      <c r="D504" s="85">
        <v>45839.0</v>
      </c>
      <c r="E504" s="17">
        <v>83.0</v>
      </c>
      <c r="F504" s="17">
        <v>83.0</v>
      </c>
      <c r="G504" s="17">
        <v>298155.6</v>
      </c>
      <c r="H504" s="17"/>
      <c r="I504" s="17">
        <v>76.117762</v>
      </c>
      <c r="J504" s="17">
        <v>0.5</v>
      </c>
      <c r="K504" s="17">
        <v>34.6376999999999</v>
      </c>
      <c r="L504" s="17">
        <v>-10.9295531102799</v>
      </c>
      <c r="M504" s="17">
        <v>45.5672531102799</v>
      </c>
      <c r="N504" s="17">
        <v>6.39999999999999</v>
      </c>
      <c r="O504" s="14">
        <f t="shared" si="1"/>
        <v>41.0377</v>
      </c>
      <c r="P504" s="86">
        <f t="array" ref="P504">iferror(XLOOKUP(C504,'Download of SFDC Activation Rep'!B:B,'Download of SFDC Activation Rep'!Z:Z),"")</f>
        <v>45818</v>
      </c>
      <c r="Q504" s="86">
        <f t="shared" si="2"/>
        <v>45809</v>
      </c>
      <c r="R504" s="13" t="str">
        <f t="shared" si="3"/>
        <v>Yes</v>
      </c>
      <c r="S504" s="86">
        <f t="array" ref="S504">iferror(XLOOKUP(C504,'Download of SFDC Activation Rep'!B:B,'Download of SFDC Activation Rep'!Y:Y),"")</f>
        <v>45859</v>
      </c>
    </row>
    <row r="505">
      <c r="A505" s="17" t="s">
        <v>488</v>
      </c>
      <c r="B505" s="85">
        <v>46082.0</v>
      </c>
      <c r="C505" s="17">
        <v>4314059.0</v>
      </c>
      <c r="D505" s="85">
        <v>46023.0</v>
      </c>
      <c r="E505" s="17">
        <v>3.0</v>
      </c>
      <c r="F505" s="17">
        <v>0.0</v>
      </c>
      <c r="G505" s="17">
        <v>10950.0</v>
      </c>
      <c r="H505" s="17"/>
      <c r="I505" s="17">
        <v>317.55</v>
      </c>
      <c r="J505" s="17"/>
      <c r="K505" s="17">
        <v>-1.50569999999999</v>
      </c>
      <c r="L505" s="17">
        <v>-7.30415815999999</v>
      </c>
      <c r="M505" s="17">
        <v>5.79845815999999</v>
      </c>
      <c r="N505" s="17">
        <v>35.0</v>
      </c>
      <c r="O505" s="14">
        <f t="shared" si="1"/>
        <v>33.4943</v>
      </c>
      <c r="P505" s="86">
        <f t="array" ref="P505">iferror(XLOOKUP(C505,'Download of SFDC Activation Rep'!B:B,'Download of SFDC Activation Rep'!Z:Z),"")</f>
        <v>46027</v>
      </c>
      <c r="Q505" s="86">
        <f t="shared" si="2"/>
        <v>46023</v>
      </c>
      <c r="R505" s="13" t="str">
        <f t="shared" si="3"/>
        <v>Yes</v>
      </c>
      <c r="S505" s="86">
        <f t="array" ref="S505">iferror(XLOOKUP(C505,'Download of SFDC Activation Rep'!B:B,'Download of SFDC Activation Rep'!Y:Y),"")</f>
        <v>46043</v>
      </c>
    </row>
    <row r="506">
      <c r="A506" s="17" t="s">
        <v>19</v>
      </c>
      <c r="B506" s="85">
        <v>45992.0</v>
      </c>
      <c r="C506" s="17">
        <v>1938612.0</v>
      </c>
      <c r="D506" s="85">
        <v>45962.0</v>
      </c>
      <c r="E506" s="17">
        <v>13.0</v>
      </c>
      <c r="F506" s="17">
        <v>12.0</v>
      </c>
      <c r="G506" s="17">
        <v>45587.72</v>
      </c>
      <c r="H506" s="17">
        <v>2383.17</v>
      </c>
      <c r="I506" s="17">
        <v>69.11</v>
      </c>
      <c r="J506" s="17"/>
      <c r="K506" s="17">
        <v>18.7381</v>
      </c>
      <c r="L506" s="17">
        <v>11.9449212137916</v>
      </c>
      <c r="M506" s="17">
        <v>6.79317878620839</v>
      </c>
      <c r="N506" s="17">
        <v>68.0</v>
      </c>
      <c r="O506" s="14">
        <f t="shared" si="1"/>
        <v>86.7381</v>
      </c>
      <c r="P506" s="86">
        <f t="array" ref="P506">iferror(XLOOKUP(C506,'Download of SFDC Activation Rep'!B:B,'Download of SFDC Activation Rep'!Z:Z),"")</f>
        <v>45904</v>
      </c>
      <c r="Q506" s="86">
        <f t="shared" si="2"/>
        <v>45901</v>
      </c>
      <c r="R506" s="13" t="str">
        <f t="shared" si="3"/>
        <v>Yes</v>
      </c>
      <c r="S506" s="86">
        <f t="array" ref="S506">iferror(XLOOKUP(C506,'Download of SFDC Activation Rep'!B:B,'Download of SFDC Activation Rep'!Y:Y),"")</f>
        <v>45966</v>
      </c>
    </row>
    <row r="507">
      <c r="A507" s="17" t="s">
        <v>489</v>
      </c>
      <c r="B507" s="85">
        <v>46082.0</v>
      </c>
      <c r="C507" s="17">
        <v>4334745.0</v>
      </c>
      <c r="D507" s="85">
        <v>46023.0</v>
      </c>
      <c r="E507" s="17">
        <v>24.0</v>
      </c>
      <c r="F507" s="17">
        <v>21.0</v>
      </c>
      <c r="G507" s="17">
        <v>57113.67</v>
      </c>
      <c r="H507" s="17">
        <v>570.0</v>
      </c>
      <c r="I507" s="17">
        <v>60.33</v>
      </c>
      <c r="J507" s="17"/>
      <c r="K507" s="17">
        <v>15.5115</v>
      </c>
      <c r="L507" s="17">
        <v>5.935988617629</v>
      </c>
      <c r="M507" s="17">
        <v>9.575511382371</v>
      </c>
      <c r="N507" s="17">
        <v>55.25</v>
      </c>
      <c r="O507" s="14">
        <f t="shared" si="1"/>
        <v>74.4665</v>
      </c>
      <c r="P507" s="86">
        <f t="array" ref="P507">iferror(XLOOKUP(C507,'Download of SFDC Activation Rep'!B:B,'Download of SFDC Activation Rep'!Z:Z),"")</f>
        <v>46009</v>
      </c>
      <c r="Q507" s="86">
        <f t="shared" si="2"/>
        <v>45992</v>
      </c>
      <c r="R507" s="13" t="str">
        <f t="shared" si="3"/>
        <v>Yes</v>
      </c>
      <c r="S507" s="86">
        <f t="array" ref="S507">iferror(XLOOKUP(C507,'Download of SFDC Activation Rep'!B:B,'Download of SFDC Activation Rep'!Y:Y),"")</f>
        <v>46058</v>
      </c>
    </row>
    <row r="508">
      <c r="A508" s="17" t="s">
        <v>17</v>
      </c>
      <c r="B508" s="85">
        <v>45962.0</v>
      </c>
      <c r="C508" s="17">
        <v>4214998.0</v>
      </c>
      <c r="D508" s="85">
        <v>45962.0</v>
      </c>
      <c r="E508" s="17">
        <v>1.0</v>
      </c>
      <c r="F508" s="17">
        <v>0.0</v>
      </c>
      <c r="G508" s="17">
        <v>2587.5</v>
      </c>
      <c r="H508" s="17"/>
      <c r="I508" s="17">
        <v>75.04</v>
      </c>
      <c r="J508" s="17"/>
      <c r="K508" s="17">
        <v>74.65</v>
      </c>
      <c r="L508" s="17">
        <v>74.624125</v>
      </c>
      <c r="M508" s="17">
        <v>0.0258749999999992</v>
      </c>
      <c r="N508" s="17">
        <v>0.0</v>
      </c>
      <c r="O508" s="14">
        <f t="shared" si="1"/>
        <v>74.65</v>
      </c>
      <c r="P508" s="86">
        <f t="array" ref="P508">iferror(XLOOKUP(C508,'Download of SFDC Activation Rep'!B:B,'Download of SFDC Activation Rep'!Z:Z),"")</f>
        <v>45959</v>
      </c>
      <c r="Q508" s="86">
        <f t="shared" si="2"/>
        <v>45931</v>
      </c>
      <c r="R508" s="13" t="str">
        <f t="shared" si="3"/>
        <v>Yes</v>
      </c>
      <c r="S508" s="86">
        <f t="array" ref="S508">iferror(XLOOKUP(C508,'Download of SFDC Activation Rep'!B:B,'Download of SFDC Activation Rep'!Y:Y),"")</f>
        <v>45981</v>
      </c>
    </row>
    <row r="509">
      <c r="A509" s="17" t="s">
        <v>488</v>
      </c>
      <c r="B509" s="85">
        <v>46143.0</v>
      </c>
      <c r="C509" s="17">
        <v>4233219.0</v>
      </c>
      <c r="D509" s="85">
        <v>45962.0</v>
      </c>
      <c r="E509" s="17">
        <v>5.0</v>
      </c>
      <c r="F509" s="17">
        <v>5.0</v>
      </c>
      <c r="G509" s="17">
        <v>24551.1</v>
      </c>
      <c r="H509" s="17"/>
      <c r="I509" s="17">
        <v>3.0</v>
      </c>
      <c r="J509" s="17"/>
      <c r="K509" s="17">
        <v>0.7762</v>
      </c>
      <c r="L509" s="17">
        <v>-3.01998726442999</v>
      </c>
      <c r="M509" s="17">
        <v>3.79618726442999</v>
      </c>
      <c r="N509" s="17">
        <v>28.0</v>
      </c>
      <c r="O509" s="14">
        <f t="shared" si="1"/>
        <v>28.7762</v>
      </c>
      <c r="P509" s="86">
        <f t="array" ref="P509">iferror(XLOOKUP(C509,'Download of SFDC Activation Rep'!B:B,'Download of SFDC Activation Rep'!Z:Z),"")</f>
        <v>45978</v>
      </c>
      <c r="Q509" s="86">
        <f t="shared" si="2"/>
        <v>45962</v>
      </c>
      <c r="R509" s="13" t="str">
        <f t="shared" si="3"/>
        <v>Yes</v>
      </c>
      <c r="S509" s="86">
        <f t="array" ref="S509">iferror(XLOOKUP(C509,'Download of SFDC Activation Rep'!B:B,'Download of SFDC Activation Rep'!Y:Y),"")</f>
        <v>45989</v>
      </c>
    </row>
    <row r="510">
      <c r="A510" s="17" t="s">
        <v>488</v>
      </c>
      <c r="B510" s="85">
        <v>45962.0</v>
      </c>
      <c r="C510" s="17">
        <v>4030970.0</v>
      </c>
      <c r="D510" s="85">
        <v>45870.0</v>
      </c>
      <c r="E510" s="17">
        <v>2.0</v>
      </c>
      <c r="F510" s="17">
        <v>2.0</v>
      </c>
      <c r="G510" s="17">
        <v>6342.2</v>
      </c>
      <c r="H510" s="17"/>
      <c r="I510" s="17">
        <v>20.0</v>
      </c>
      <c r="J510" s="17"/>
      <c r="K510" s="17">
        <v>15.4356</v>
      </c>
      <c r="L510" s="17">
        <v>14.4418955616908</v>
      </c>
      <c r="M510" s="17">
        <v>0.99370443830918</v>
      </c>
      <c r="N510" s="17">
        <v>1.99999999999999</v>
      </c>
      <c r="O510" s="14">
        <f t="shared" si="1"/>
        <v>17.4356</v>
      </c>
      <c r="P510" s="86">
        <f t="array" ref="P510">iferror(XLOOKUP(C510,'Download of SFDC Activation Rep'!B:B,'Download of SFDC Activation Rep'!Z:Z),"")</f>
        <v>45870</v>
      </c>
      <c r="Q510" s="86">
        <f t="shared" si="2"/>
        <v>45870</v>
      </c>
      <c r="R510" s="13" t="str">
        <f t="shared" si="3"/>
        <v>Yes</v>
      </c>
      <c r="S510" s="86">
        <f t="array" ref="S510">iferror(XLOOKUP(C510,'Download of SFDC Activation Rep'!B:B,'Download of SFDC Activation Rep'!Y:Y),"")</f>
        <v>45876</v>
      </c>
    </row>
    <row r="511">
      <c r="A511" s="17" t="s">
        <v>488</v>
      </c>
      <c r="B511" s="85">
        <v>46023.0</v>
      </c>
      <c r="C511" s="17">
        <v>4239920.0</v>
      </c>
      <c r="D511" s="85">
        <v>45992.0</v>
      </c>
      <c r="E511" s="17">
        <v>7.0</v>
      </c>
      <c r="F511" s="17">
        <v>7.0</v>
      </c>
      <c r="G511" s="17">
        <v>17875.3</v>
      </c>
      <c r="H511" s="17"/>
      <c r="I511" s="17">
        <v>17.647</v>
      </c>
      <c r="J511" s="17"/>
      <c r="K511" s="17">
        <v>16.7280999999999</v>
      </c>
      <c r="L511" s="17">
        <v>12.8763746600436</v>
      </c>
      <c r="M511" s="17">
        <v>3.85172533995637</v>
      </c>
      <c r="N511" s="17">
        <v>10.5</v>
      </c>
      <c r="O511" s="14">
        <f t="shared" si="1"/>
        <v>27.2281</v>
      </c>
      <c r="P511" s="86">
        <f t="array" ref="P511">iferror(XLOOKUP(C511,'Download of SFDC Activation Rep'!B:B,'Download of SFDC Activation Rep'!Z:Z),"")</f>
        <v>45979</v>
      </c>
      <c r="Q511" s="86">
        <f t="shared" si="2"/>
        <v>45962</v>
      </c>
      <c r="R511" s="13" t="str">
        <f t="shared" si="3"/>
        <v>Yes</v>
      </c>
      <c r="S511" s="86">
        <f t="array" ref="S511">iferror(XLOOKUP(C511,'Download of SFDC Activation Rep'!B:B,'Download of SFDC Activation Rep'!Y:Y),"")</f>
        <v>46007</v>
      </c>
    </row>
    <row r="512">
      <c r="A512" s="17" t="s">
        <v>488</v>
      </c>
      <c r="B512" s="85">
        <v>46082.0</v>
      </c>
      <c r="C512" s="17">
        <v>4266723.0</v>
      </c>
      <c r="D512" s="85">
        <v>45992.0</v>
      </c>
      <c r="E512" s="17">
        <v>1.0</v>
      </c>
      <c r="F512" s="17">
        <v>0.0</v>
      </c>
      <c r="G512" s="17">
        <v>626.0</v>
      </c>
      <c r="H512" s="17"/>
      <c r="I512" s="17">
        <v>18.15</v>
      </c>
      <c r="J512" s="17"/>
      <c r="K512" s="17">
        <v>14.8336</v>
      </c>
      <c r="L512" s="17">
        <v>14.82734</v>
      </c>
      <c r="M512" s="17">
        <v>0.00625999999999926</v>
      </c>
      <c r="N512" s="17">
        <v>20.0</v>
      </c>
      <c r="O512" s="14">
        <f t="shared" si="1"/>
        <v>34.8336</v>
      </c>
      <c r="P512" s="86">
        <f t="array" ref="P512">iferror(XLOOKUP(C512,'Download of SFDC Activation Rep'!B:B,'Download of SFDC Activation Rep'!Z:Z),"")</f>
        <v>45987</v>
      </c>
      <c r="Q512" s="86">
        <f t="shared" si="2"/>
        <v>45962</v>
      </c>
      <c r="R512" s="13" t="str">
        <f t="shared" si="3"/>
        <v>Yes</v>
      </c>
      <c r="S512" s="86">
        <f t="array" ref="S512">iferror(XLOOKUP(C512,'Download of SFDC Activation Rep'!B:B,'Download of SFDC Activation Rep'!Y:Y),"")</f>
        <v>46008</v>
      </c>
    </row>
    <row r="513">
      <c r="A513" s="17" t="s">
        <v>489</v>
      </c>
      <c r="B513" s="85">
        <v>46023.0</v>
      </c>
      <c r="C513" s="17">
        <v>3543707.0</v>
      </c>
      <c r="D513" s="85">
        <v>45901.0</v>
      </c>
      <c r="E513" s="17">
        <v>15.0</v>
      </c>
      <c r="F513" s="17">
        <v>15.0</v>
      </c>
      <c r="G513" s="17">
        <v>32544.72</v>
      </c>
      <c r="H513" s="17"/>
      <c r="I513" s="17">
        <v>0.0</v>
      </c>
      <c r="J513" s="17"/>
      <c r="K513" s="17">
        <v>-2.45039999999999</v>
      </c>
      <c r="L513" s="17">
        <v>-8.05660621097724</v>
      </c>
      <c r="M513" s="17">
        <v>5.60620621097724</v>
      </c>
      <c r="N513" s="17">
        <v>4.39999999999999</v>
      </c>
      <c r="O513" s="14">
        <f t="shared" si="1"/>
        <v>1.9496</v>
      </c>
      <c r="P513" s="86">
        <f t="array" ref="P513">iferror(XLOOKUP(C513,'Download of SFDC Activation Rep'!B:B,'Download of SFDC Activation Rep'!Z:Z),"")</f>
        <v>45915</v>
      </c>
      <c r="Q513" s="86">
        <f t="shared" si="2"/>
        <v>45901</v>
      </c>
      <c r="R513" s="13" t="str">
        <f t="shared" si="3"/>
        <v>Yes</v>
      </c>
      <c r="S513" s="86">
        <f t="array" ref="S513">iferror(XLOOKUP(C513,'Download of SFDC Activation Rep'!B:B,'Download of SFDC Activation Rep'!Y:Y),"")</f>
        <v>45958</v>
      </c>
    </row>
    <row r="514">
      <c r="A514" s="17" t="s">
        <v>488</v>
      </c>
      <c r="B514" s="85">
        <v>46174.0</v>
      </c>
      <c r="C514" s="17">
        <v>4443098.0</v>
      </c>
      <c r="D514" s="85">
        <v>46054.0</v>
      </c>
      <c r="E514" s="17">
        <v>1.0</v>
      </c>
      <c r="F514" s="17">
        <v>0.0</v>
      </c>
      <c r="G514" s="17">
        <v>10000.0</v>
      </c>
      <c r="H514" s="17">
        <v>10000.0</v>
      </c>
      <c r="I514" s="17">
        <v>290.0</v>
      </c>
      <c r="J514" s="17"/>
      <c r="K514" s="17">
        <v>14.7017</v>
      </c>
      <c r="L514" s="17">
        <v>9.397172</v>
      </c>
      <c r="M514" s="17">
        <v>5.30452799999999</v>
      </c>
      <c r="N514" s="17">
        <v>36.0</v>
      </c>
      <c r="O514" s="14">
        <f t="shared" si="1"/>
        <v>50.7017</v>
      </c>
      <c r="P514" s="86">
        <f t="array" ref="P514">iferror(XLOOKUP(C514,'Download of SFDC Activation Rep'!B:B,'Download of SFDC Activation Rep'!Z:Z),"")</f>
        <v>46197</v>
      </c>
      <c r="Q514" s="86">
        <f t="shared" si="2"/>
        <v>46174</v>
      </c>
      <c r="R514" s="13" t="str">
        <f t="shared" si="3"/>
        <v>Yes</v>
      </c>
      <c r="S514" s="86">
        <f t="array" ref="S514">iferror(XLOOKUP(C514,'Download of SFDC Activation Rep'!B:B,'Download of SFDC Activation Rep'!Y:Y),"")</f>
        <v>46361</v>
      </c>
    </row>
    <row r="515">
      <c r="A515" s="17" t="s">
        <v>489</v>
      </c>
      <c r="B515" s="85">
        <v>46082.0</v>
      </c>
      <c r="C515" s="17">
        <v>3543707.0</v>
      </c>
      <c r="D515" s="85">
        <v>45901.0</v>
      </c>
      <c r="E515" s="17">
        <v>16.0</v>
      </c>
      <c r="F515" s="17">
        <v>16.0</v>
      </c>
      <c r="G515" s="17">
        <v>29803.08</v>
      </c>
      <c r="H515" s="17"/>
      <c r="I515" s="17">
        <v>0.0</v>
      </c>
      <c r="J515" s="17"/>
      <c r="K515" s="17">
        <v>-2.5368</v>
      </c>
      <c r="L515" s="17">
        <v>-6.54786108886699</v>
      </c>
      <c r="M515" s="17">
        <v>4.01106108886699</v>
      </c>
      <c r="N515" s="17">
        <v>4.39999999999999</v>
      </c>
      <c r="O515" s="14">
        <f t="shared" si="1"/>
        <v>1.8632</v>
      </c>
      <c r="P515" s="86">
        <f t="array" ref="P515">iferror(XLOOKUP(C515,'Download of SFDC Activation Rep'!B:B,'Download of SFDC Activation Rep'!Z:Z),"")</f>
        <v>45915</v>
      </c>
      <c r="Q515" s="86">
        <f t="shared" si="2"/>
        <v>45901</v>
      </c>
      <c r="R515" s="13" t="str">
        <f t="shared" si="3"/>
        <v>Yes</v>
      </c>
      <c r="S515" s="86">
        <f t="array" ref="S515">iferror(XLOOKUP(C515,'Download of SFDC Activation Rep'!B:B,'Download of SFDC Activation Rep'!Y:Y),"")</f>
        <v>45958</v>
      </c>
    </row>
    <row r="516">
      <c r="A516" s="17" t="s">
        <v>488</v>
      </c>
      <c r="B516" s="85">
        <v>46054.0</v>
      </c>
      <c r="C516" s="17">
        <v>4269437.0</v>
      </c>
      <c r="D516" s="85">
        <v>46023.0</v>
      </c>
      <c r="E516" s="17">
        <v>80.0</v>
      </c>
      <c r="F516" s="17">
        <v>80.0</v>
      </c>
      <c r="G516" s="17">
        <v>68218.72</v>
      </c>
      <c r="H516" s="17"/>
      <c r="I516" s="17">
        <v>0.0</v>
      </c>
      <c r="J516" s="17"/>
      <c r="K516" s="17">
        <v>-12.0703</v>
      </c>
      <c r="L516" s="17">
        <v>-12.7524872</v>
      </c>
      <c r="M516" s="17">
        <v>0.682187199999999</v>
      </c>
      <c r="N516" s="17">
        <v>17.0</v>
      </c>
      <c r="O516" s="14">
        <f t="shared" si="1"/>
        <v>4.9297</v>
      </c>
      <c r="P516" s="86">
        <f t="array" ref="P516">iferror(XLOOKUP(C516,'Download of SFDC Activation Rep'!B:B,'Download of SFDC Activation Rep'!Z:Z),"")</f>
        <v>46007</v>
      </c>
      <c r="Q516" s="86">
        <f t="shared" si="2"/>
        <v>45992</v>
      </c>
      <c r="R516" s="13" t="str">
        <f t="shared" si="3"/>
        <v>Yes</v>
      </c>
      <c r="S516" s="86">
        <f t="array" ref="S516">iferror(XLOOKUP(C516,'Download of SFDC Activation Rep'!B:B,'Download of SFDC Activation Rep'!Y:Y),"")</f>
        <v>46031</v>
      </c>
    </row>
    <row r="517">
      <c r="A517" s="17" t="s">
        <v>17</v>
      </c>
      <c r="B517" s="85">
        <v>45931.0</v>
      </c>
      <c r="C517" s="17">
        <v>3977410.0</v>
      </c>
      <c r="D517" s="85">
        <v>45809.0</v>
      </c>
      <c r="E517" s="17">
        <v>5.0</v>
      </c>
      <c r="F517" s="17">
        <v>5.0</v>
      </c>
      <c r="G517" s="17">
        <v>12000.0</v>
      </c>
      <c r="H517" s="17"/>
      <c r="I517" s="17">
        <v>0.0</v>
      </c>
      <c r="J517" s="17"/>
      <c r="K517" s="17">
        <v>-0.37</v>
      </c>
      <c r="L517" s="17">
        <v>-0.49</v>
      </c>
      <c r="M517" s="17">
        <v>0.12</v>
      </c>
      <c r="N517" s="17">
        <v>25.0</v>
      </c>
      <c r="O517" s="14">
        <f t="shared" si="1"/>
        <v>24.63</v>
      </c>
      <c r="P517" s="86">
        <f t="array" ref="P517">iferror(XLOOKUP(C517,'Download of SFDC Activation Rep'!B:B,'Download of SFDC Activation Rep'!Z:Z),"")</f>
        <v>45809</v>
      </c>
      <c r="Q517" s="86">
        <f t="shared" si="2"/>
        <v>45809</v>
      </c>
      <c r="R517" s="13" t="str">
        <f t="shared" si="3"/>
        <v>Yes</v>
      </c>
      <c r="S517" s="86">
        <f t="array" ref="S517">iferror(XLOOKUP(C517,'Download of SFDC Activation Rep'!B:B,'Download of SFDC Activation Rep'!Y:Y),"")</f>
        <v>45838</v>
      </c>
    </row>
    <row r="518">
      <c r="A518" s="17" t="s">
        <v>489</v>
      </c>
      <c r="B518" s="85">
        <v>46054.0</v>
      </c>
      <c r="C518" s="17">
        <v>4103219.0</v>
      </c>
      <c r="D518" s="85">
        <v>45901.0</v>
      </c>
      <c r="E518" s="17">
        <v>28.0</v>
      </c>
      <c r="F518" s="17">
        <v>28.0</v>
      </c>
      <c r="G518" s="17">
        <v>103528.18</v>
      </c>
      <c r="H518" s="17"/>
      <c r="I518" s="17">
        <v>7.5</v>
      </c>
      <c r="J518" s="17"/>
      <c r="K518" s="17">
        <v>-1.13629999999999</v>
      </c>
      <c r="L518" s="17">
        <v>-17.3461543290339</v>
      </c>
      <c r="M518" s="17">
        <v>16.209854329034</v>
      </c>
      <c r="N518" s="17">
        <v>4.39999999999999</v>
      </c>
      <c r="O518" s="14">
        <f t="shared" si="1"/>
        <v>3.2637</v>
      </c>
      <c r="P518" s="86">
        <f t="array" ref="P518">iferror(XLOOKUP(C518,'Download of SFDC Activation Rep'!B:B,'Download of SFDC Activation Rep'!Z:Z),"")</f>
        <v>45901</v>
      </c>
      <c r="Q518" s="86">
        <f t="shared" si="2"/>
        <v>45901</v>
      </c>
      <c r="R518" s="13" t="str">
        <f t="shared" si="3"/>
        <v>Yes</v>
      </c>
      <c r="S518" s="86">
        <f t="array" ref="S518">iferror(XLOOKUP(C518,'Download of SFDC Activation Rep'!B:B,'Download of SFDC Activation Rep'!Y:Y),"")</f>
        <v>45919</v>
      </c>
    </row>
    <row r="519">
      <c r="A519" s="17" t="s">
        <v>19</v>
      </c>
      <c r="B519" s="85">
        <v>46174.0</v>
      </c>
      <c r="C519" s="17">
        <v>4018525.0</v>
      </c>
      <c r="D519" s="85">
        <v>45839.0</v>
      </c>
      <c r="E519" s="17">
        <v>92.0</v>
      </c>
      <c r="F519" s="17">
        <v>92.0</v>
      </c>
      <c r="G519" s="17">
        <v>345615.24</v>
      </c>
      <c r="H519" s="17"/>
      <c r="I519" s="17">
        <v>582.341318</v>
      </c>
      <c r="J519" s="17"/>
      <c r="K519" s="17">
        <v>549.5001</v>
      </c>
      <c r="L519" s="17">
        <v>482.533342282328</v>
      </c>
      <c r="M519" s="17">
        <v>66.9667577176719</v>
      </c>
      <c r="N519" s="17">
        <v>6.39999999999999</v>
      </c>
      <c r="O519" s="14">
        <f t="shared" si="1"/>
        <v>555.9001</v>
      </c>
      <c r="P519" s="86">
        <f t="array" ref="P519">iferror(XLOOKUP(C519,'Download of SFDC Activation Rep'!B:B,'Download of SFDC Activation Rep'!Z:Z),"")</f>
        <v>45818</v>
      </c>
      <c r="Q519" s="86">
        <f t="shared" si="2"/>
        <v>45809</v>
      </c>
      <c r="R519" s="13" t="str">
        <f t="shared" si="3"/>
        <v>Yes</v>
      </c>
      <c r="S519" s="86">
        <f t="array" ref="S519">iferror(XLOOKUP(C519,'Download of SFDC Activation Rep'!B:B,'Download of SFDC Activation Rep'!Y:Y),"")</f>
        <v>45859</v>
      </c>
    </row>
    <row r="520">
      <c r="A520" s="17" t="s">
        <v>488</v>
      </c>
      <c r="B520" s="85">
        <v>46174.0</v>
      </c>
      <c r="C520" s="17">
        <v>4107679.0</v>
      </c>
      <c r="D520" s="85">
        <v>45931.0</v>
      </c>
      <c r="E520" s="17">
        <v>2.0</v>
      </c>
      <c r="F520" s="17">
        <v>2.0</v>
      </c>
      <c r="G520" s="17">
        <v>2000.0</v>
      </c>
      <c r="H520" s="17"/>
      <c r="I520" s="17">
        <v>10.0</v>
      </c>
      <c r="J520" s="17"/>
      <c r="K520" s="17">
        <v>9.6</v>
      </c>
      <c r="L520" s="17">
        <v>6.98598459999999</v>
      </c>
      <c r="M520" s="17">
        <v>2.6140154</v>
      </c>
      <c r="N520" s="17">
        <v>25.0</v>
      </c>
      <c r="O520" s="14">
        <f t="shared" si="1"/>
        <v>34.6</v>
      </c>
      <c r="P520" s="86">
        <f t="array" ref="P520">iferror(XLOOKUP(C520,'Download of SFDC Activation Rep'!B:B,'Download of SFDC Activation Rep'!Z:Z),"")</f>
        <v>45930</v>
      </c>
      <c r="Q520" s="86">
        <f t="shared" si="2"/>
        <v>45901</v>
      </c>
      <c r="R520" s="13" t="str">
        <f t="shared" si="3"/>
        <v>Yes</v>
      </c>
      <c r="S520" s="86">
        <f t="array" ref="S520">iferror(XLOOKUP(C520,'Download of SFDC Activation Rep'!B:B,'Download of SFDC Activation Rep'!Y:Y),"")</f>
        <v>45950</v>
      </c>
    </row>
    <row r="521">
      <c r="A521" s="17" t="s">
        <v>488</v>
      </c>
      <c r="B521" s="85">
        <v>46113.0</v>
      </c>
      <c r="C521" s="17">
        <v>4239920.0</v>
      </c>
      <c r="D521" s="85">
        <v>45992.0</v>
      </c>
      <c r="E521" s="17">
        <v>4.0</v>
      </c>
      <c r="F521" s="17">
        <v>4.0</v>
      </c>
      <c r="G521" s="17">
        <v>4500.51</v>
      </c>
      <c r="H521" s="17"/>
      <c r="I521" s="17">
        <v>0.6</v>
      </c>
      <c r="J521" s="17">
        <v>0.5</v>
      </c>
      <c r="K521" s="17">
        <v>-0.0678999999999999</v>
      </c>
      <c r="L521" s="17">
        <v>-0.795247056982999</v>
      </c>
      <c r="M521" s="17">
        <v>0.727347056983</v>
      </c>
      <c r="N521" s="17">
        <v>10.5</v>
      </c>
      <c r="O521" s="14">
        <f t="shared" si="1"/>
        <v>10.4321</v>
      </c>
      <c r="P521" s="86">
        <f t="array" ref="P521">iferror(XLOOKUP(C521,'Download of SFDC Activation Rep'!B:B,'Download of SFDC Activation Rep'!Z:Z),"")</f>
        <v>45979</v>
      </c>
      <c r="Q521" s="86">
        <f t="shared" si="2"/>
        <v>45962</v>
      </c>
      <c r="R521" s="13" t="str">
        <f t="shared" si="3"/>
        <v>Yes</v>
      </c>
      <c r="S521" s="86">
        <f t="array" ref="S521">iferror(XLOOKUP(C521,'Download of SFDC Activation Rep'!B:B,'Download of SFDC Activation Rep'!Y:Y),"")</f>
        <v>46007</v>
      </c>
    </row>
    <row r="522">
      <c r="A522" s="17" t="s">
        <v>17</v>
      </c>
      <c r="B522" s="85">
        <v>46174.0</v>
      </c>
      <c r="C522" s="17">
        <v>4671781.0</v>
      </c>
      <c r="D522" s="85">
        <v>46174.0</v>
      </c>
      <c r="E522" s="17">
        <v>4.0</v>
      </c>
      <c r="F522" s="17">
        <v>0.0</v>
      </c>
      <c r="G522" s="17">
        <v>51743.0</v>
      </c>
      <c r="H522" s="17">
        <v>51743.0</v>
      </c>
      <c r="I522" s="17">
        <v>1540.55</v>
      </c>
      <c r="J522" s="17"/>
      <c r="K522" s="17">
        <v>98.5457</v>
      </c>
      <c r="L522" s="17">
        <v>51.6715714196</v>
      </c>
      <c r="M522" s="17">
        <v>46.8741285803999</v>
      </c>
      <c r="N522" s="17">
        <v>0.0</v>
      </c>
      <c r="O522" s="14">
        <f t="shared" si="1"/>
        <v>98.5457</v>
      </c>
      <c r="P522" s="86">
        <f t="array" ref="P522">iferror(XLOOKUP(C522,'Download of SFDC Activation Rep'!B:B,'Download of SFDC Activation Rep'!Z:Z),"")</f>
        <v>46169</v>
      </c>
      <c r="Q522" s="86">
        <f t="shared" si="2"/>
        <v>46143</v>
      </c>
      <c r="R522" s="13" t="str">
        <f t="shared" si="3"/>
        <v>Yes</v>
      </c>
      <c r="S522" s="86">
        <f t="array" ref="S522">iferror(XLOOKUP(C522,'Download of SFDC Activation Rep'!B:B,'Download of SFDC Activation Rep'!Y:Y),"")</f>
        <v>46279</v>
      </c>
    </row>
    <row r="523">
      <c r="A523" s="17" t="s">
        <v>488</v>
      </c>
      <c r="B523" s="85">
        <v>46143.0</v>
      </c>
      <c r="C523" s="17">
        <v>4369936.0</v>
      </c>
      <c r="D523" s="85">
        <v>46054.0</v>
      </c>
      <c r="E523" s="17">
        <v>2.0</v>
      </c>
      <c r="F523" s="17">
        <v>2.0</v>
      </c>
      <c r="G523" s="17">
        <v>1732.5</v>
      </c>
      <c r="H523" s="17"/>
      <c r="I523" s="17">
        <v>0.0</v>
      </c>
      <c r="J523" s="17"/>
      <c r="K523" s="17">
        <v>-0.2777</v>
      </c>
      <c r="L523" s="17">
        <v>-0.295025</v>
      </c>
      <c r="M523" s="17">
        <v>0.0173249999999999</v>
      </c>
      <c r="N523" s="17">
        <v>35.0</v>
      </c>
      <c r="O523" s="14">
        <f t="shared" si="1"/>
        <v>34.7223</v>
      </c>
      <c r="P523" s="86">
        <f t="array" ref="P523">iferror(XLOOKUP(C523,'Download of SFDC Activation Rep'!B:B,'Download of SFDC Activation Rep'!Z:Z),"")</f>
        <v>46059</v>
      </c>
      <c r="Q523" s="86">
        <f t="shared" si="2"/>
        <v>46054</v>
      </c>
      <c r="R523" s="13" t="str">
        <f t="shared" si="3"/>
        <v>Yes</v>
      </c>
      <c r="S523" s="86">
        <f t="array" ref="S523">iferror(XLOOKUP(C523,'Download of SFDC Activation Rep'!B:B,'Download of SFDC Activation Rep'!Y:Y),"")</f>
        <v>46059</v>
      </c>
    </row>
    <row r="524">
      <c r="A524" s="17" t="s">
        <v>19</v>
      </c>
      <c r="B524" s="85">
        <v>46143.0</v>
      </c>
      <c r="C524" s="17">
        <v>4022041.0</v>
      </c>
      <c r="D524" s="85">
        <v>46143.0</v>
      </c>
      <c r="E524" s="17">
        <v>4.0</v>
      </c>
      <c r="F524" s="17">
        <v>4.0</v>
      </c>
      <c r="G524" s="17">
        <v>182309.17</v>
      </c>
      <c r="H524" s="17"/>
      <c r="I524" s="17">
        <v>135.0</v>
      </c>
      <c r="J524" s="17"/>
      <c r="K524" s="17">
        <v>112.9618</v>
      </c>
      <c r="L524" s="17">
        <v>84.525522242479</v>
      </c>
      <c r="M524" s="17">
        <v>28.436277757521</v>
      </c>
      <c r="N524" s="17">
        <v>68.0</v>
      </c>
      <c r="O524" s="14">
        <f t="shared" si="1"/>
        <v>180.9618</v>
      </c>
      <c r="P524" s="86">
        <f t="array" ref="P524">iferror(XLOOKUP(C524,'Download of SFDC Activation Rep'!B:B,'Download of SFDC Activation Rep'!Z:Z),"")</f>
        <v>46141</v>
      </c>
      <c r="Q524" s="86">
        <f t="shared" si="2"/>
        <v>46113</v>
      </c>
      <c r="R524" s="13" t="str">
        <f t="shared" si="3"/>
        <v>Yes</v>
      </c>
      <c r="S524" s="86">
        <f t="array" ref="S524">iferror(XLOOKUP(C524,'Download of SFDC Activation Rep'!B:B,'Download of SFDC Activation Rep'!Y:Y),"")</f>
        <v>46203</v>
      </c>
    </row>
    <row r="525">
      <c r="A525" s="17" t="s">
        <v>17</v>
      </c>
      <c r="B525" s="85">
        <v>46082.0</v>
      </c>
      <c r="C525" s="17">
        <v>4477095.0</v>
      </c>
      <c r="D525" s="85">
        <v>46082.0</v>
      </c>
      <c r="E525" s="17">
        <v>3.0</v>
      </c>
      <c r="F525" s="17">
        <v>1.0</v>
      </c>
      <c r="G525" s="17">
        <v>42800.0</v>
      </c>
      <c r="H525" s="17"/>
      <c r="I525" s="17">
        <v>1090.4</v>
      </c>
      <c r="J525" s="17"/>
      <c r="K525" s="17">
        <v>96.9021</v>
      </c>
      <c r="L525" s="17">
        <v>96.4741</v>
      </c>
      <c r="M525" s="17">
        <v>0.427999999999997</v>
      </c>
      <c r="N525" s="17">
        <v>0.0</v>
      </c>
      <c r="O525" s="14">
        <f t="shared" si="1"/>
        <v>96.9021</v>
      </c>
      <c r="P525" s="86">
        <f t="array" ref="P525">iferror(XLOOKUP(C525,'Download of SFDC Activation Rep'!B:B,'Download of SFDC Activation Rep'!Z:Z),"")</f>
        <v>45992</v>
      </c>
      <c r="Q525" s="86">
        <f t="shared" si="2"/>
        <v>45992</v>
      </c>
      <c r="R525" s="13" t="str">
        <f t="shared" si="3"/>
        <v>Yes</v>
      </c>
      <c r="S525" s="86">
        <f t="array" ref="S525">iferror(XLOOKUP(C525,'Download of SFDC Activation Rep'!B:B,'Download of SFDC Activation Rep'!Y:Y),"")</f>
        <v>46034</v>
      </c>
    </row>
    <row r="526">
      <c r="A526" s="17" t="s">
        <v>488</v>
      </c>
      <c r="B526" s="85">
        <v>45992.0</v>
      </c>
      <c r="C526" s="17">
        <v>3952865.0</v>
      </c>
      <c r="D526" s="85">
        <v>45809.0</v>
      </c>
      <c r="E526" s="17">
        <v>9.0</v>
      </c>
      <c r="F526" s="17">
        <v>9.0</v>
      </c>
      <c r="G526" s="17">
        <v>24730.6</v>
      </c>
      <c r="H526" s="17"/>
      <c r="I526" s="17">
        <v>0.0</v>
      </c>
      <c r="J526" s="17"/>
      <c r="K526" s="17">
        <v>-1.35</v>
      </c>
      <c r="L526" s="17">
        <v>-5.22482371764514</v>
      </c>
      <c r="M526" s="17">
        <v>3.87482371764514</v>
      </c>
      <c r="N526" s="17">
        <v>35.0</v>
      </c>
      <c r="O526" s="14">
        <f t="shared" si="1"/>
        <v>33.65</v>
      </c>
      <c r="P526" s="86">
        <f t="array" ref="P526">iferror(XLOOKUP(C526,'Download of SFDC Activation Rep'!B:B,'Download of SFDC Activation Rep'!Z:Z),"")</f>
        <v>45799</v>
      </c>
      <c r="Q526" s="86">
        <f t="shared" si="2"/>
        <v>45778</v>
      </c>
      <c r="R526" s="13" t="str">
        <f t="shared" si="3"/>
        <v>Yes</v>
      </c>
      <c r="S526" s="86">
        <f t="array" ref="S526">iferror(XLOOKUP(C526,'Download of SFDC Activation Rep'!B:B,'Download of SFDC Activation Rep'!Y:Y),"")</f>
        <v>45818</v>
      </c>
    </row>
    <row r="527">
      <c r="A527" s="17" t="s">
        <v>19</v>
      </c>
      <c r="B527" s="85">
        <v>46082.0</v>
      </c>
      <c r="C527" s="17">
        <v>3934711.0</v>
      </c>
      <c r="D527" s="85">
        <v>45839.0</v>
      </c>
      <c r="E527" s="17">
        <v>38.0</v>
      </c>
      <c r="F527" s="17">
        <v>38.0</v>
      </c>
      <c r="G527" s="17">
        <v>6370.0</v>
      </c>
      <c r="H527" s="17"/>
      <c r="I527" s="17">
        <v>7.0</v>
      </c>
      <c r="J527" s="17">
        <v>3.5</v>
      </c>
      <c r="K527" s="17">
        <v>0.00160000000000001</v>
      </c>
      <c r="L527" s="17">
        <v>-1.51301754999999</v>
      </c>
      <c r="M527" s="17">
        <v>1.51461754999999</v>
      </c>
      <c r="N527" s="17">
        <v>1.99999999999999</v>
      </c>
      <c r="O527" s="14">
        <f t="shared" si="1"/>
        <v>2.0016</v>
      </c>
      <c r="P527" s="86">
        <f t="array" ref="P527">iferror(XLOOKUP(C527,'Download of SFDC Activation Rep'!B:B,'Download of SFDC Activation Rep'!Z:Z),"")</f>
        <v>45817</v>
      </c>
      <c r="Q527" s="86">
        <f t="shared" si="2"/>
        <v>45809</v>
      </c>
      <c r="R527" s="13" t="str">
        <f t="shared" si="3"/>
        <v>Yes</v>
      </c>
      <c r="S527" s="86">
        <f t="array" ref="S527">iferror(XLOOKUP(C527,'Download of SFDC Activation Rep'!B:B,'Download of SFDC Activation Rep'!Y:Y),"")</f>
        <v>45817</v>
      </c>
    </row>
    <row r="528">
      <c r="A528" s="17" t="s">
        <v>489</v>
      </c>
      <c r="B528" s="85">
        <v>46054.0</v>
      </c>
      <c r="C528" s="17">
        <v>2153287.0</v>
      </c>
      <c r="D528" s="85">
        <v>44805.0</v>
      </c>
      <c r="E528" s="17">
        <v>44.0</v>
      </c>
      <c r="F528" s="17">
        <v>20.0</v>
      </c>
      <c r="G528" s="17">
        <v>165575.56</v>
      </c>
      <c r="H528" s="17">
        <v>104761.15</v>
      </c>
      <c r="I528" s="17">
        <v>3652.56</v>
      </c>
      <c r="J528" s="17"/>
      <c r="K528" s="17">
        <v>-81.4663</v>
      </c>
      <c r="L528" s="17">
        <v>-114.946552483088</v>
      </c>
      <c r="M528" s="17">
        <v>33.4802524830879</v>
      </c>
      <c r="N528" s="17">
        <v>55.0</v>
      </c>
      <c r="O528" s="14">
        <f t="shared" si="1"/>
        <v>654.481175</v>
      </c>
      <c r="P528" s="86">
        <f t="array" ref="P528">iferror(XLOOKUP(C528,'Download of SFDC Activation Rep'!B:B,'Download of SFDC Activation Rep'!Z:Z),"")</f>
        <v>46007</v>
      </c>
      <c r="Q528" s="86">
        <f t="shared" si="2"/>
        <v>45992</v>
      </c>
      <c r="R528" s="13" t="str">
        <f t="shared" si="3"/>
        <v>Yes</v>
      </c>
      <c r="S528" s="86">
        <f t="array" ref="S528">iferror(XLOOKUP(C528,'Download of SFDC Activation Rep'!B:B,'Download of SFDC Activation Rep'!Y:Y),"")</f>
        <v>46021</v>
      </c>
    </row>
    <row r="529">
      <c r="A529" s="17" t="s">
        <v>19</v>
      </c>
      <c r="B529" s="85">
        <v>46113.0</v>
      </c>
      <c r="C529" s="17">
        <v>2428419.0</v>
      </c>
      <c r="D529" s="85">
        <v>46023.0</v>
      </c>
      <c r="E529" s="17">
        <v>393.0</v>
      </c>
      <c r="F529" s="17">
        <v>393.0</v>
      </c>
      <c r="G529" s="17">
        <v>215255.36</v>
      </c>
      <c r="H529" s="17"/>
      <c r="I529" s="17">
        <v>416.112161</v>
      </c>
      <c r="J529" s="17"/>
      <c r="K529" s="17">
        <v>353.6916</v>
      </c>
      <c r="L529" s="17">
        <v>318.445870923232</v>
      </c>
      <c r="M529" s="17">
        <v>35.2457290767679</v>
      </c>
      <c r="N529" s="17">
        <v>80.0</v>
      </c>
      <c r="O529" s="14">
        <f t="shared" si="1"/>
        <v>433.6916</v>
      </c>
      <c r="P529" s="86">
        <f t="array" ref="P529">iferror(XLOOKUP(C529,'Download of SFDC Activation Rep'!B:B,'Download of SFDC Activation Rep'!Z:Z),"")</f>
        <v>45891</v>
      </c>
      <c r="Q529" s="86">
        <f t="shared" si="2"/>
        <v>45870</v>
      </c>
      <c r="R529" s="13" t="str">
        <f t="shared" si="3"/>
        <v>Yes</v>
      </c>
      <c r="S529" s="86">
        <f t="array" ref="S529">iferror(XLOOKUP(C529,'Download of SFDC Activation Rep'!B:B,'Download of SFDC Activation Rep'!Y:Y),"")</f>
        <v>46029</v>
      </c>
    </row>
    <row r="530">
      <c r="A530" s="17" t="s">
        <v>488</v>
      </c>
      <c r="B530" s="85">
        <v>46113.0</v>
      </c>
      <c r="C530" s="17">
        <v>4027648.0</v>
      </c>
      <c r="D530" s="85">
        <v>45839.0</v>
      </c>
      <c r="E530" s="17">
        <v>19.0</v>
      </c>
      <c r="F530" s="17">
        <v>19.0</v>
      </c>
      <c r="G530" s="17">
        <v>22632.8</v>
      </c>
      <c r="H530" s="17"/>
      <c r="I530" s="17">
        <v>0.0</v>
      </c>
      <c r="J530" s="17"/>
      <c r="K530" s="17">
        <v>-2.82369999999999</v>
      </c>
      <c r="L530" s="17">
        <v>-6.36983652664</v>
      </c>
      <c r="M530" s="17">
        <v>3.54613652664</v>
      </c>
      <c r="N530" s="17">
        <v>25.0</v>
      </c>
      <c r="O530" s="14">
        <f t="shared" si="1"/>
        <v>22.1763</v>
      </c>
      <c r="P530" s="86">
        <f t="array" ref="P530">iferror(XLOOKUP(C530,'Download of SFDC Activation Rep'!B:B,'Download of SFDC Activation Rep'!Z:Z),"")</f>
        <v>45869</v>
      </c>
      <c r="Q530" s="86">
        <f t="shared" si="2"/>
        <v>45839</v>
      </c>
      <c r="R530" s="13" t="str">
        <f t="shared" si="3"/>
        <v>Yes</v>
      </c>
      <c r="S530" s="86">
        <f t="array" ref="S530">iferror(XLOOKUP(C530,'Download of SFDC Activation Rep'!B:B,'Download of SFDC Activation Rep'!Y:Y),"")</f>
        <v>45869</v>
      </c>
    </row>
    <row r="531">
      <c r="A531" s="17" t="s">
        <v>488</v>
      </c>
      <c r="B531" s="85">
        <v>46143.0</v>
      </c>
      <c r="C531" s="17">
        <v>4359468.0</v>
      </c>
      <c r="D531" s="85">
        <v>46054.0</v>
      </c>
      <c r="E531" s="17">
        <v>5.0</v>
      </c>
      <c r="F531" s="17">
        <v>5.0</v>
      </c>
      <c r="G531" s="17">
        <v>3805.96</v>
      </c>
      <c r="H531" s="17"/>
      <c r="I531" s="17">
        <v>43.42925</v>
      </c>
      <c r="J531" s="17"/>
      <c r="K531" s="17">
        <v>39.8366</v>
      </c>
      <c r="L531" s="17">
        <v>39.256011839452</v>
      </c>
      <c r="M531" s="17">
        <v>0.580588160548003</v>
      </c>
      <c r="N531" s="17">
        <v>17.0</v>
      </c>
      <c r="O531" s="14">
        <f t="shared" si="1"/>
        <v>56.8366</v>
      </c>
      <c r="P531" s="86">
        <f t="array" ref="P531">iferror(XLOOKUP(C531,'Download of SFDC Activation Rep'!B:B,'Download of SFDC Activation Rep'!Z:Z),"")</f>
        <v>46057</v>
      </c>
      <c r="Q531" s="86">
        <f t="shared" si="2"/>
        <v>46054</v>
      </c>
      <c r="R531" s="13" t="str">
        <f t="shared" si="3"/>
        <v>Yes</v>
      </c>
      <c r="S531" s="86">
        <f t="array" ref="S531">iferror(XLOOKUP(C531,'Download of SFDC Activation Rep'!B:B,'Download of SFDC Activation Rep'!Y:Y),"")</f>
        <v>46091</v>
      </c>
    </row>
    <row r="532">
      <c r="A532" s="17" t="s">
        <v>488</v>
      </c>
      <c r="B532" s="85">
        <v>46113.0</v>
      </c>
      <c r="C532" s="17">
        <v>4327510.0</v>
      </c>
      <c r="D532" s="85">
        <v>46023.0</v>
      </c>
      <c r="E532" s="17">
        <v>16.0</v>
      </c>
      <c r="F532" s="17">
        <v>16.0</v>
      </c>
      <c r="G532" s="17">
        <v>6427.38</v>
      </c>
      <c r="H532" s="17"/>
      <c r="I532" s="17">
        <v>0.0</v>
      </c>
      <c r="J532" s="17"/>
      <c r="K532" s="17">
        <v>-2.4158</v>
      </c>
      <c r="L532" s="17">
        <v>-2.4800738</v>
      </c>
      <c r="M532" s="17">
        <v>0.0642738</v>
      </c>
      <c r="N532" s="17">
        <v>35.0</v>
      </c>
      <c r="O532" s="14">
        <f t="shared" si="1"/>
        <v>32.5842</v>
      </c>
      <c r="P532" s="86">
        <f t="array" ref="P532">iferror(XLOOKUP(C532,'Download of SFDC Activation Rep'!B:B,'Download of SFDC Activation Rep'!Z:Z),"")</f>
        <v>46021</v>
      </c>
      <c r="Q532" s="86">
        <f t="shared" si="2"/>
        <v>45992</v>
      </c>
      <c r="R532" s="13" t="str">
        <f t="shared" si="3"/>
        <v>Yes</v>
      </c>
      <c r="S532" s="86">
        <f t="array" ref="S532">iferror(XLOOKUP(C532,'Download of SFDC Activation Rep'!B:B,'Download of SFDC Activation Rep'!Y:Y),"")</f>
        <v>46037</v>
      </c>
    </row>
    <row r="533">
      <c r="A533" s="17" t="s">
        <v>488</v>
      </c>
      <c r="B533" s="85">
        <v>46023.0</v>
      </c>
      <c r="C533" s="17">
        <v>3085000.0</v>
      </c>
      <c r="D533" s="85">
        <v>45292.0</v>
      </c>
      <c r="E533" s="17">
        <v>19.0</v>
      </c>
      <c r="F533" s="17">
        <v>18.0</v>
      </c>
      <c r="G533" s="17">
        <v>133074.56</v>
      </c>
      <c r="H533" s="17"/>
      <c r="I533" s="17">
        <v>99.76</v>
      </c>
      <c r="J533" s="17"/>
      <c r="K533" s="17">
        <v>85.1813</v>
      </c>
      <c r="L533" s="17">
        <v>81.2406632</v>
      </c>
      <c r="M533" s="17">
        <v>3.94063679999999</v>
      </c>
      <c r="N533" s="17">
        <v>65.0</v>
      </c>
      <c r="O533" s="14">
        <f t="shared" si="1"/>
        <v>150.1813</v>
      </c>
      <c r="P533" s="86">
        <f t="array" ref="P533">iferror(XLOOKUP(C533,'Download of SFDC Activation Rep'!B:B,'Download of SFDC Activation Rep'!Z:Z),"")</f>
        <v>45947</v>
      </c>
      <c r="Q533" s="86">
        <f t="shared" si="2"/>
        <v>45931</v>
      </c>
      <c r="R533" s="13" t="str">
        <f t="shared" si="3"/>
        <v>Yes</v>
      </c>
      <c r="S533" s="86">
        <f t="array" ref="S533">iferror(XLOOKUP(C533,'Download of SFDC Activation Rep'!B:B,'Download of SFDC Activation Rep'!Y:Y),"")</f>
        <v>45958</v>
      </c>
    </row>
    <row r="534">
      <c r="A534" s="17" t="s">
        <v>1487</v>
      </c>
      <c r="B534" s="85">
        <v>45870.0</v>
      </c>
      <c r="C534" s="17">
        <v>3935770.0</v>
      </c>
      <c r="D534" s="85">
        <v>45778.0</v>
      </c>
      <c r="E534" s="17">
        <v>58.0</v>
      </c>
      <c r="F534" s="17">
        <v>49.0</v>
      </c>
      <c r="G534" s="17">
        <v>230305.74</v>
      </c>
      <c r="H534" s="17">
        <v>1358.04</v>
      </c>
      <c r="I534" s="17">
        <v>2776.492248</v>
      </c>
      <c r="J534" s="17"/>
      <c r="K534" s="17">
        <v>220.8655</v>
      </c>
      <c r="L534" s="17">
        <v>158.718298739889</v>
      </c>
      <c r="M534" s="17">
        <v>62.1472012601102</v>
      </c>
      <c r="N534" s="17">
        <v>0.0</v>
      </c>
      <c r="O534" s="14">
        <f t="shared" si="1"/>
        <v>220.8655</v>
      </c>
      <c r="P534" s="86">
        <f t="array" ref="P534">iferror(XLOOKUP(C534,'Download of SFDC Activation Rep'!B:B,'Download of SFDC Activation Rep'!Z:Z),"")</f>
        <v>45797</v>
      </c>
      <c r="Q534" s="86">
        <f t="shared" si="2"/>
        <v>45778</v>
      </c>
      <c r="R534" s="13" t="str">
        <f t="shared" si="3"/>
        <v>Yes</v>
      </c>
      <c r="S534" s="86">
        <f t="array" ref="S534">iferror(XLOOKUP(C534,'Download of SFDC Activation Rep'!B:B,'Download of SFDC Activation Rep'!Y:Y),"")</f>
        <v>45797</v>
      </c>
    </row>
    <row r="535">
      <c r="A535" s="17" t="s">
        <v>19</v>
      </c>
      <c r="B535" s="85">
        <v>46143.0</v>
      </c>
      <c r="C535" s="17">
        <v>4522341.0</v>
      </c>
      <c r="D535" s="85">
        <v>46113.0</v>
      </c>
      <c r="E535" s="17">
        <v>260.0</v>
      </c>
      <c r="F535" s="17">
        <v>260.0</v>
      </c>
      <c r="G535" s="17">
        <v>639109.25</v>
      </c>
      <c r="H535" s="17"/>
      <c r="I535" s="17">
        <v>31.974033</v>
      </c>
      <c r="J535" s="17"/>
      <c r="K535" s="17">
        <v>-6.07839999999999</v>
      </c>
      <c r="L535" s="17">
        <v>-106.677971357952</v>
      </c>
      <c r="M535" s="17">
        <v>100.599571357952</v>
      </c>
      <c r="N535" s="17">
        <v>80.0</v>
      </c>
      <c r="O535" s="14">
        <f t="shared" si="1"/>
        <v>73.9216</v>
      </c>
      <c r="P535" s="86">
        <f t="array" ref="P535">iferror(XLOOKUP(C535,'Download of SFDC Activation Rep'!B:B,'Download of SFDC Activation Rep'!Z:Z),"")</f>
        <v>46086</v>
      </c>
      <c r="Q535" s="86">
        <f t="shared" si="2"/>
        <v>46082</v>
      </c>
      <c r="R535" s="13" t="str">
        <f t="shared" si="3"/>
        <v>Yes</v>
      </c>
      <c r="S535" s="86">
        <f t="array" ref="S535">iferror(XLOOKUP(C535,'Download of SFDC Activation Rep'!B:B,'Download of SFDC Activation Rep'!Y:Y),"")</f>
        <v>46143</v>
      </c>
    </row>
    <row r="536">
      <c r="A536" s="17" t="s">
        <v>488</v>
      </c>
      <c r="B536" s="85">
        <v>46174.0</v>
      </c>
      <c r="C536" s="17">
        <v>4327510.0</v>
      </c>
      <c r="D536" s="85">
        <v>46023.0</v>
      </c>
      <c r="E536" s="17">
        <v>13.0</v>
      </c>
      <c r="F536" s="17">
        <v>13.0</v>
      </c>
      <c r="G536" s="17">
        <v>5167.93</v>
      </c>
      <c r="H536" s="17"/>
      <c r="I536" s="17">
        <v>0.0</v>
      </c>
      <c r="J536" s="17"/>
      <c r="K536" s="17">
        <v>-1.99999999999999</v>
      </c>
      <c r="L536" s="17">
        <v>-2.0516793</v>
      </c>
      <c r="M536" s="17">
        <v>0.0516793000000002</v>
      </c>
      <c r="N536" s="17">
        <v>35.0</v>
      </c>
      <c r="O536" s="14">
        <f t="shared" si="1"/>
        <v>33</v>
      </c>
      <c r="P536" s="86">
        <f t="array" ref="P536">iferror(XLOOKUP(C536,'Download of SFDC Activation Rep'!B:B,'Download of SFDC Activation Rep'!Z:Z),"")</f>
        <v>46021</v>
      </c>
      <c r="Q536" s="86">
        <f t="shared" si="2"/>
        <v>45992</v>
      </c>
      <c r="R536" s="13" t="str">
        <f t="shared" si="3"/>
        <v>Yes</v>
      </c>
      <c r="S536" s="86">
        <f t="array" ref="S536">iferror(XLOOKUP(C536,'Download of SFDC Activation Rep'!B:B,'Download of SFDC Activation Rep'!Y:Y),"")</f>
        <v>46037</v>
      </c>
    </row>
    <row r="537">
      <c r="A537" s="17" t="s">
        <v>488</v>
      </c>
      <c r="B537" s="85">
        <v>45839.0</v>
      </c>
      <c r="C537" s="17">
        <v>4010351.0</v>
      </c>
      <c r="D537" s="85">
        <v>45839.0</v>
      </c>
      <c r="E537" s="17">
        <v>5.0</v>
      </c>
      <c r="F537" s="17">
        <v>0.0</v>
      </c>
      <c r="G537" s="17">
        <v>122970.0</v>
      </c>
      <c r="H537" s="17"/>
      <c r="I537" s="17">
        <v>3566.14</v>
      </c>
      <c r="J537" s="17"/>
      <c r="K537" s="17">
        <v>685.6292</v>
      </c>
      <c r="L537" s="17">
        <v>620.399415384227</v>
      </c>
      <c r="M537" s="17">
        <v>65.229784615773</v>
      </c>
      <c r="N537" s="17">
        <v>64.0</v>
      </c>
      <c r="O537" s="14">
        <f t="shared" si="1"/>
        <v>749.6292</v>
      </c>
      <c r="P537" s="86">
        <f t="array" ref="P537">iferror(XLOOKUP(C537,'Download of SFDC Activation Rep'!B:B,'Download of SFDC Activation Rep'!Z:Z),"")</f>
        <v>45839</v>
      </c>
      <c r="Q537" s="86">
        <f t="shared" si="2"/>
        <v>45839</v>
      </c>
      <c r="R537" s="13" t="str">
        <f t="shared" si="3"/>
        <v>Yes</v>
      </c>
      <c r="S537" s="86">
        <f t="array" ref="S537">iferror(XLOOKUP(C537,'Download of SFDC Activation Rep'!B:B,'Download of SFDC Activation Rep'!Y:Y),"")</f>
        <v>45853</v>
      </c>
    </row>
    <row r="538">
      <c r="A538" s="17" t="s">
        <v>488</v>
      </c>
      <c r="B538" s="85">
        <v>46082.0</v>
      </c>
      <c r="C538" s="17">
        <v>4443098.0</v>
      </c>
      <c r="D538" s="85">
        <v>46054.0</v>
      </c>
      <c r="E538" s="17">
        <v>1.0</v>
      </c>
      <c r="F538" s="17">
        <v>0.0</v>
      </c>
      <c r="G538" s="17">
        <v>9404.31</v>
      </c>
      <c r="H538" s="17">
        <v>9404.31</v>
      </c>
      <c r="I538" s="17">
        <v>272.72</v>
      </c>
      <c r="J538" s="17"/>
      <c r="K538" s="17">
        <v>-9.2744</v>
      </c>
      <c r="L538" s="17">
        <v>-14.262942571568</v>
      </c>
      <c r="M538" s="17">
        <v>4.988542571568</v>
      </c>
      <c r="N538" s="17">
        <v>0.0</v>
      </c>
      <c r="O538" s="14">
        <f t="shared" si="1"/>
        <v>51.853615</v>
      </c>
      <c r="P538" s="86">
        <f t="array" ref="P538">iferror(XLOOKUP(C538,'Download of SFDC Activation Rep'!B:B,'Download of SFDC Activation Rep'!Z:Z),"")</f>
        <v>46197</v>
      </c>
      <c r="Q538" s="86">
        <f t="shared" si="2"/>
        <v>46174</v>
      </c>
      <c r="R538" s="13" t="str">
        <f t="shared" si="3"/>
        <v>No</v>
      </c>
      <c r="S538" s="86">
        <f t="array" ref="S538">iferror(XLOOKUP(C538,'Download of SFDC Activation Rep'!B:B,'Download of SFDC Activation Rep'!Y:Y),"")</f>
        <v>46361</v>
      </c>
    </row>
    <row r="539">
      <c r="A539" s="17" t="s">
        <v>488</v>
      </c>
      <c r="B539" s="85">
        <v>46174.0</v>
      </c>
      <c r="C539" s="17">
        <v>4271411.0</v>
      </c>
      <c r="D539" s="85">
        <v>45992.0</v>
      </c>
      <c r="E539" s="17">
        <v>21.0</v>
      </c>
      <c r="F539" s="17">
        <v>21.0</v>
      </c>
      <c r="G539" s="17">
        <v>145216.16</v>
      </c>
      <c r="H539" s="17"/>
      <c r="I539" s="17">
        <v>570.110628</v>
      </c>
      <c r="J539" s="17"/>
      <c r="K539" s="17">
        <v>566.9647</v>
      </c>
      <c r="L539" s="17">
        <v>510.825181626492</v>
      </c>
      <c r="M539" s="17">
        <v>56.1395183735079</v>
      </c>
      <c r="N539" s="17">
        <v>17.0</v>
      </c>
      <c r="O539" s="14">
        <f t="shared" si="1"/>
        <v>583.9647</v>
      </c>
      <c r="P539" s="86">
        <f t="array" ref="P539">iferror(XLOOKUP(C539,'Download of SFDC Activation Rep'!B:B,'Download of SFDC Activation Rep'!Z:Z),"")</f>
        <v>46007</v>
      </c>
      <c r="Q539" s="86">
        <f t="shared" si="2"/>
        <v>45992</v>
      </c>
      <c r="R539" s="13" t="str">
        <f t="shared" si="3"/>
        <v>Yes</v>
      </c>
      <c r="S539" s="86">
        <f t="array" ref="S539">iferror(XLOOKUP(C539,'Download of SFDC Activation Rep'!B:B,'Download of SFDC Activation Rep'!Y:Y),"")</f>
        <v>46007</v>
      </c>
    </row>
    <row r="540">
      <c r="A540" s="17" t="s">
        <v>17</v>
      </c>
      <c r="B540" s="85">
        <v>46054.0</v>
      </c>
      <c r="C540" s="17">
        <v>4442279.0</v>
      </c>
      <c r="D540" s="85">
        <v>46054.0</v>
      </c>
      <c r="E540" s="17">
        <v>2.0</v>
      </c>
      <c r="F540" s="17">
        <v>0.0</v>
      </c>
      <c r="G540" s="17">
        <v>1014.11</v>
      </c>
      <c r="H540" s="17">
        <v>1014.11</v>
      </c>
      <c r="I540" s="17">
        <v>29.41</v>
      </c>
      <c r="J540" s="17"/>
      <c r="K540" s="17">
        <v>-3.427</v>
      </c>
      <c r="L540" s="17">
        <v>-3.4371411</v>
      </c>
      <c r="M540" s="17">
        <v>0.0101410999999997</v>
      </c>
      <c r="N540" s="17">
        <v>0.0</v>
      </c>
      <c r="O540" s="14">
        <f t="shared" si="1"/>
        <v>3.164715</v>
      </c>
      <c r="P540" s="86">
        <f t="array" ref="P540">iferror(XLOOKUP(C540,'Download of SFDC Activation Rep'!B:B,'Download of SFDC Activation Rep'!Z:Z),"")</f>
        <v>46063</v>
      </c>
      <c r="Q540" s="86">
        <f t="shared" si="2"/>
        <v>46054</v>
      </c>
      <c r="R540" s="13" t="str">
        <f t="shared" si="3"/>
        <v>Yes</v>
      </c>
      <c r="S540" s="86">
        <f t="array" ref="S540">iferror(XLOOKUP(C540,'Download of SFDC Activation Rep'!B:B,'Download of SFDC Activation Rep'!Y:Y),"")</f>
        <v>46108</v>
      </c>
    </row>
    <row r="541">
      <c r="A541" s="17" t="s">
        <v>488</v>
      </c>
      <c r="B541" s="85">
        <v>46082.0</v>
      </c>
      <c r="C541" s="17">
        <v>4031755.0</v>
      </c>
      <c r="D541" s="85">
        <v>45901.0</v>
      </c>
      <c r="E541" s="17">
        <v>13.0</v>
      </c>
      <c r="F541" s="17">
        <v>13.0</v>
      </c>
      <c r="G541" s="17">
        <v>278696.35</v>
      </c>
      <c r="H541" s="17"/>
      <c r="I541" s="17">
        <v>44.98</v>
      </c>
      <c r="J541" s="17">
        <v>0.5</v>
      </c>
      <c r="K541" s="17">
        <v>35.3052999999999</v>
      </c>
      <c r="L541" s="17">
        <v>-9.74762719967899</v>
      </c>
      <c r="M541" s="17">
        <v>45.0529271996789</v>
      </c>
      <c r="N541" s="17">
        <v>5.25</v>
      </c>
      <c r="O541" s="14">
        <f t="shared" si="1"/>
        <v>40.5553</v>
      </c>
      <c r="P541" s="86">
        <f t="array" ref="P541">iferror(XLOOKUP(C541,'Download of SFDC Activation Rep'!B:B,'Download of SFDC Activation Rep'!Z:Z),"")</f>
        <v>45856</v>
      </c>
      <c r="Q541" s="86">
        <f t="shared" si="2"/>
        <v>45839</v>
      </c>
      <c r="R541" s="13" t="str">
        <f t="shared" si="3"/>
        <v>Yes</v>
      </c>
      <c r="S541" s="86">
        <f t="array" ref="S541">iferror(XLOOKUP(C541,'Download of SFDC Activation Rep'!B:B,'Download of SFDC Activation Rep'!Y:Y),"")</f>
        <v>45901</v>
      </c>
    </row>
    <row r="542">
      <c r="A542" s="17" t="s">
        <v>17</v>
      </c>
      <c r="B542" s="85">
        <v>45992.0</v>
      </c>
      <c r="C542" s="17">
        <v>4011819.0</v>
      </c>
      <c r="D542" s="85">
        <v>45839.0</v>
      </c>
      <c r="E542" s="17">
        <v>9.0</v>
      </c>
      <c r="F542" s="17">
        <v>1.0</v>
      </c>
      <c r="G542" s="17">
        <v>11143.27</v>
      </c>
      <c r="H542" s="17">
        <v>10933.27</v>
      </c>
      <c r="I542" s="17">
        <v>317.05</v>
      </c>
      <c r="J542" s="17"/>
      <c r="K542" s="17">
        <v>57.8302</v>
      </c>
      <c r="L542" s="17">
        <v>52.0285159775059</v>
      </c>
      <c r="M542" s="17">
        <v>5.80168402249404</v>
      </c>
      <c r="N542" s="17">
        <v>35.0</v>
      </c>
      <c r="O542" s="14">
        <f t="shared" si="1"/>
        <v>92.8302</v>
      </c>
      <c r="P542" s="86">
        <f t="array" ref="P542">iferror(XLOOKUP(C542,'Download of SFDC Activation Rep'!B:B,'Download of SFDC Activation Rep'!Z:Z),"")</f>
        <v>45849</v>
      </c>
      <c r="Q542" s="86">
        <f t="shared" si="2"/>
        <v>45839</v>
      </c>
      <c r="R542" s="13" t="str">
        <f t="shared" si="3"/>
        <v>Yes</v>
      </c>
      <c r="S542" s="86">
        <f t="array" ref="S542">iferror(XLOOKUP(C542,'Download of SFDC Activation Rep'!B:B,'Download of SFDC Activation Rep'!Y:Y),"")</f>
        <v>45849</v>
      </c>
    </row>
    <row r="543">
      <c r="A543" s="17" t="s">
        <v>17</v>
      </c>
      <c r="B543" s="85">
        <v>45931.0</v>
      </c>
      <c r="C543" s="17">
        <v>4148405.0</v>
      </c>
      <c r="D543" s="85">
        <v>45931.0</v>
      </c>
      <c r="E543" s="17">
        <v>6.0</v>
      </c>
      <c r="F543" s="17">
        <v>2.0</v>
      </c>
      <c r="G543" s="17">
        <v>3086.4</v>
      </c>
      <c r="H543" s="17">
        <v>1047.66</v>
      </c>
      <c r="I543" s="17">
        <v>39.39</v>
      </c>
      <c r="J543" s="17"/>
      <c r="K543" s="17">
        <v>8.0609</v>
      </c>
      <c r="L543" s="17">
        <v>8.030036</v>
      </c>
      <c r="M543" s="17">
        <v>0.0308639999999993</v>
      </c>
      <c r="N543" s="17">
        <v>0.0</v>
      </c>
      <c r="O543" s="14">
        <f t="shared" si="1"/>
        <v>8.0609</v>
      </c>
      <c r="P543" s="86">
        <f t="array" ref="P543">iferror(XLOOKUP(C543,'Download of SFDC Activation Rep'!B:B,'Download of SFDC Activation Rep'!Z:Z),"")</f>
        <v>45895</v>
      </c>
      <c r="Q543" s="86">
        <f t="shared" si="2"/>
        <v>45870</v>
      </c>
      <c r="R543" s="13" t="str">
        <f t="shared" si="3"/>
        <v>Yes</v>
      </c>
      <c r="S543" s="86">
        <f t="array" ref="S543">iferror(XLOOKUP(C543,'Download of SFDC Activation Rep'!B:B,'Download of SFDC Activation Rep'!Y:Y),"")</f>
        <v>45954</v>
      </c>
    </row>
    <row r="544">
      <c r="A544" s="17" t="s">
        <v>488</v>
      </c>
      <c r="B544" s="85">
        <v>46143.0</v>
      </c>
      <c r="C544" s="17">
        <v>4410846.0</v>
      </c>
      <c r="D544" s="85">
        <v>46082.0</v>
      </c>
      <c r="E544" s="17">
        <v>8.0</v>
      </c>
      <c r="F544" s="17">
        <v>8.0</v>
      </c>
      <c r="G544" s="17">
        <v>31642.25</v>
      </c>
      <c r="H544" s="17"/>
      <c r="I544" s="17">
        <v>10.5</v>
      </c>
      <c r="J544" s="17"/>
      <c r="K544" s="17">
        <v>2.0337</v>
      </c>
      <c r="L544" s="17">
        <v>-2.61684436492499</v>
      </c>
      <c r="M544" s="17">
        <v>4.65054436492499</v>
      </c>
      <c r="N544" s="17">
        <v>2.79999999999999</v>
      </c>
      <c r="O544" s="14">
        <f t="shared" si="1"/>
        <v>4.8337</v>
      </c>
      <c r="P544" s="86">
        <f t="array" ref="P544">iferror(XLOOKUP(C544,'Download of SFDC Activation Rep'!B:B,'Download of SFDC Activation Rep'!Z:Z),"")</f>
        <v>46048</v>
      </c>
      <c r="Q544" s="86">
        <f t="shared" si="2"/>
        <v>46023</v>
      </c>
      <c r="R544" s="13" t="str">
        <f t="shared" si="3"/>
        <v>Yes</v>
      </c>
      <c r="S544" s="86">
        <f t="array" ref="S544">iferror(XLOOKUP(C544,'Download of SFDC Activation Rep'!B:B,'Download of SFDC Activation Rep'!Y:Y),"")</f>
        <v>46091</v>
      </c>
    </row>
    <row r="545">
      <c r="A545" s="17" t="s">
        <v>17</v>
      </c>
      <c r="B545" s="85">
        <v>45992.0</v>
      </c>
      <c r="C545" s="17">
        <v>4221007.0</v>
      </c>
      <c r="D545" s="85">
        <v>45962.0</v>
      </c>
      <c r="E545" s="17">
        <v>6.0</v>
      </c>
      <c r="F545" s="17">
        <v>0.0</v>
      </c>
      <c r="G545" s="17">
        <v>134810.88</v>
      </c>
      <c r="H545" s="17">
        <v>134810.88</v>
      </c>
      <c r="I545" s="17">
        <v>3909.51</v>
      </c>
      <c r="J545" s="17"/>
      <c r="K545" s="17">
        <v>700.0619</v>
      </c>
      <c r="L545" s="17">
        <v>629.899195867879</v>
      </c>
      <c r="M545" s="17">
        <v>70.1627041321202</v>
      </c>
      <c r="N545" s="17">
        <v>0.0</v>
      </c>
      <c r="O545" s="14">
        <f t="shared" si="1"/>
        <v>700.0619</v>
      </c>
      <c r="P545" s="86">
        <f t="array" ref="P545">iferror(XLOOKUP(C545,'Download of SFDC Activation Rep'!B:B,'Download of SFDC Activation Rep'!Z:Z),"")</f>
        <v>45966</v>
      </c>
      <c r="Q545" s="86">
        <f t="shared" si="2"/>
        <v>45962</v>
      </c>
      <c r="R545" s="13" t="str">
        <f t="shared" si="3"/>
        <v>Yes</v>
      </c>
      <c r="S545" s="86">
        <f t="array" ref="S545">iferror(XLOOKUP(C545,'Download of SFDC Activation Rep'!B:B,'Download of SFDC Activation Rep'!Y:Y),"")</f>
        <v>45971</v>
      </c>
    </row>
    <row r="546">
      <c r="A546" s="17" t="s">
        <v>488</v>
      </c>
      <c r="B546" s="85">
        <v>46113.0</v>
      </c>
      <c r="C546" s="17">
        <v>4496271.0</v>
      </c>
      <c r="D546" s="85">
        <v>46082.0</v>
      </c>
      <c r="E546" s="17">
        <v>23.0</v>
      </c>
      <c r="F546" s="17">
        <v>23.0</v>
      </c>
      <c r="G546" s="17">
        <v>153725.96</v>
      </c>
      <c r="H546" s="17"/>
      <c r="I546" s="17">
        <v>85.5</v>
      </c>
      <c r="J546" s="17"/>
      <c r="K546" s="17">
        <v>76.4710999999999</v>
      </c>
      <c r="L546" s="17">
        <v>25.344288639452</v>
      </c>
      <c r="M546" s="17">
        <v>51.1268113605479</v>
      </c>
      <c r="N546" s="17">
        <v>25.0</v>
      </c>
      <c r="O546" s="14">
        <f t="shared" si="1"/>
        <v>101.4711</v>
      </c>
      <c r="P546" s="86">
        <f t="array" ref="P546">iferror(XLOOKUP(C546,'Download of SFDC Activation Rep'!B:B,'Download of SFDC Activation Rep'!Z:Z),"")</f>
        <v>46092</v>
      </c>
      <c r="Q546" s="86">
        <f t="shared" si="2"/>
        <v>46082</v>
      </c>
      <c r="R546" s="13" t="str">
        <f t="shared" si="3"/>
        <v>Yes</v>
      </c>
      <c r="S546" s="86">
        <f t="array" ref="S546">iferror(XLOOKUP(C546,'Download of SFDC Activation Rep'!B:B,'Download of SFDC Activation Rep'!Y:Y),"")</f>
        <v>46132</v>
      </c>
    </row>
    <row r="547">
      <c r="A547" s="17" t="s">
        <v>488</v>
      </c>
      <c r="B547" s="85">
        <v>46054.0</v>
      </c>
      <c r="C547" s="17">
        <v>4068848.0</v>
      </c>
      <c r="D547" s="85">
        <v>45870.0</v>
      </c>
      <c r="E547" s="17">
        <v>25.0</v>
      </c>
      <c r="F547" s="17">
        <v>1.0</v>
      </c>
      <c r="G547" s="17">
        <v>19305.63</v>
      </c>
      <c r="H547" s="17">
        <v>14224.87</v>
      </c>
      <c r="I547" s="17">
        <v>449.81</v>
      </c>
      <c r="J547" s="17"/>
      <c r="K547" s="17">
        <v>-27.157</v>
      </c>
      <c r="L547" s="17">
        <v>-34.046601149504</v>
      </c>
      <c r="M547" s="17">
        <v>6.88960114950399</v>
      </c>
      <c r="N547" s="17">
        <v>0.0</v>
      </c>
      <c r="O547" s="14">
        <f t="shared" si="1"/>
        <v>65.304655</v>
      </c>
      <c r="P547" s="86">
        <f t="array" ref="P547">iferror(XLOOKUP(C547,'Download of SFDC Activation Rep'!B:B,'Download of SFDC Activation Rep'!Z:Z),"")</f>
        <v>45880</v>
      </c>
      <c r="Q547" s="86">
        <f t="shared" si="2"/>
        <v>45870</v>
      </c>
      <c r="R547" s="13" t="str">
        <f t="shared" si="3"/>
        <v>Yes</v>
      </c>
      <c r="S547" s="86">
        <f t="array" ref="S547">iferror(XLOOKUP(C547,'Download of SFDC Activation Rep'!B:B,'Download of SFDC Activation Rep'!Y:Y),"")</f>
        <v>45896</v>
      </c>
    </row>
    <row r="548">
      <c r="A548" s="17" t="s">
        <v>17</v>
      </c>
      <c r="B548" s="85">
        <v>46054.0</v>
      </c>
      <c r="C548" s="17">
        <v>4265985.0</v>
      </c>
      <c r="D548" s="85">
        <v>45992.0</v>
      </c>
      <c r="E548" s="17">
        <v>5.0</v>
      </c>
      <c r="F548" s="17">
        <v>5.0</v>
      </c>
      <c r="G548" s="17">
        <v>12748.0</v>
      </c>
      <c r="H548" s="17"/>
      <c r="I548" s="17">
        <v>110.28</v>
      </c>
      <c r="J548" s="17"/>
      <c r="K548" s="17">
        <v>108.6728</v>
      </c>
      <c r="L548" s="17">
        <v>99.3984862964</v>
      </c>
      <c r="M548" s="17">
        <v>9.2743137036</v>
      </c>
      <c r="N548" s="17">
        <v>25.0</v>
      </c>
      <c r="O548" s="14">
        <f t="shared" si="1"/>
        <v>133.6728</v>
      </c>
      <c r="P548" s="86">
        <f t="array" ref="P548">iferror(XLOOKUP(C548,'Download of SFDC Activation Rep'!B:B,'Download of SFDC Activation Rep'!Z:Z),"")</f>
        <v>45993</v>
      </c>
      <c r="Q548" s="86">
        <f t="shared" si="2"/>
        <v>45992</v>
      </c>
      <c r="R548" s="13" t="str">
        <f t="shared" si="3"/>
        <v>Yes</v>
      </c>
      <c r="S548" s="86">
        <f t="array" ref="S548">iferror(XLOOKUP(C548,'Download of SFDC Activation Rep'!B:B,'Download of SFDC Activation Rep'!Y:Y),"")</f>
        <v>46001</v>
      </c>
    </row>
    <row r="549">
      <c r="A549" s="17" t="s">
        <v>19</v>
      </c>
      <c r="B549" s="85">
        <v>46174.0</v>
      </c>
      <c r="C549" s="17">
        <v>4031652.0</v>
      </c>
      <c r="D549" s="85">
        <v>45901.0</v>
      </c>
      <c r="E549" s="17">
        <v>129.0</v>
      </c>
      <c r="F549" s="17">
        <v>129.0</v>
      </c>
      <c r="G549" s="17">
        <v>1194006.81</v>
      </c>
      <c r="H549" s="17"/>
      <c r="I549" s="17">
        <v>809.00492</v>
      </c>
      <c r="J549" s="17"/>
      <c r="K549" s="17">
        <v>790.6428</v>
      </c>
      <c r="L549" s="17">
        <v>551.767641596897</v>
      </c>
      <c r="M549" s="17">
        <v>238.875158403103</v>
      </c>
      <c r="N549" s="17">
        <v>80.0</v>
      </c>
      <c r="O549" s="14">
        <f t="shared" si="1"/>
        <v>870.6428</v>
      </c>
      <c r="P549" s="86">
        <f t="array" ref="P549">iferror(XLOOKUP(C549,'Download of SFDC Activation Rep'!B:B,'Download of SFDC Activation Rep'!Z:Z),"")</f>
        <v>45881</v>
      </c>
      <c r="Q549" s="86">
        <f t="shared" si="2"/>
        <v>45870</v>
      </c>
      <c r="R549" s="13" t="str">
        <f t="shared" si="3"/>
        <v>Yes</v>
      </c>
      <c r="S549" s="86">
        <f t="array" ref="S549">iferror(XLOOKUP(C549,'Download of SFDC Activation Rep'!B:B,'Download of SFDC Activation Rep'!Y:Y),"")</f>
        <v>45889</v>
      </c>
    </row>
    <row r="550">
      <c r="A550" s="17" t="s">
        <v>488</v>
      </c>
      <c r="B550" s="85">
        <v>46174.0</v>
      </c>
      <c r="C550" s="17">
        <v>4332104.0</v>
      </c>
      <c r="D550" s="85">
        <v>46023.0</v>
      </c>
      <c r="E550" s="17">
        <v>10.0</v>
      </c>
      <c r="F550" s="17">
        <v>10.0</v>
      </c>
      <c r="G550" s="17">
        <v>31964.69</v>
      </c>
      <c r="H550" s="17"/>
      <c r="I550" s="17">
        <v>0.0</v>
      </c>
      <c r="J550" s="17"/>
      <c r="K550" s="17">
        <v>-1.58999999999999</v>
      </c>
      <c r="L550" s="17">
        <v>-6.29274064829699</v>
      </c>
      <c r="M550" s="17">
        <v>4.702740648297</v>
      </c>
      <c r="N550" s="17">
        <v>44.0</v>
      </c>
      <c r="O550" s="14">
        <f t="shared" si="1"/>
        <v>42.41</v>
      </c>
      <c r="P550" s="86">
        <f t="array" ref="P550">iferror(XLOOKUP(C550,'Download of SFDC Activation Rep'!B:B,'Download of SFDC Activation Rep'!Z:Z),"")</f>
        <v>46197</v>
      </c>
      <c r="Q550" s="86">
        <f t="shared" si="2"/>
        <v>46174</v>
      </c>
      <c r="R550" s="13" t="str">
        <f t="shared" si="3"/>
        <v>Yes</v>
      </c>
      <c r="S550" s="86">
        <f t="array" ref="S550">iferror(XLOOKUP(C550,'Download of SFDC Activation Rep'!B:B,'Download of SFDC Activation Rep'!Y:Y),"")</f>
        <v>46361</v>
      </c>
    </row>
    <row r="551">
      <c r="A551" s="17" t="s">
        <v>19</v>
      </c>
      <c r="B551" s="85">
        <v>45992.0</v>
      </c>
      <c r="C551" s="17">
        <v>4239927.0</v>
      </c>
      <c r="D551" s="85">
        <v>45992.0</v>
      </c>
      <c r="E551" s="17">
        <v>1.0</v>
      </c>
      <c r="F551" s="17">
        <v>1.0</v>
      </c>
      <c r="G551" s="17">
        <v>11.93</v>
      </c>
      <c r="H551" s="17"/>
      <c r="I551" s="17">
        <v>0.0</v>
      </c>
      <c r="J551" s="17"/>
      <c r="K551" s="17">
        <v>-0.15</v>
      </c>
      <c r="L551" s="17">
        <v>-0.151869208468516</v>
      </c>
      <c r="M551" s="17">
        <v>0.00186920846851698</v>
      </c>
      <c r="N551" s="17">
        <v>24.0</v>
      </c>
      <c r="O551" s="14">
        <f t="shared" si="1"/>
        <v>23.85</v>
      </c>
      <c r="P551" s="86">
        <f t="array" ref="P551">iferror(XLOOKUP(C551,'Download of SFDC Activation Rep'!B:B,'Download of SFDC Activation Rep'!Z:Z),"")</f>
        <v>45979</v>
      </c>
      <c r="Q551" s="86">
        <f t="shared" si="2"/>
        <v>45962</v>
      </c>
      <c r="R551" s="13" t="str">
        <f t="shared" si="3"/>
        <v>Yes</v>
      </c>
      <c r="S551" s="86">
        <f t="array" ref="S551">iferror(XLOOKUP(C551,'Download of SFDC Activation Rep'!B:B,'Download of SFDC Activation Rep'!Y:Y),"")</f>
        <v>45999</v>
      </c>
    </row>
    <row r="552">
      <c r="A552" s="17" t="s">
        <v>19</v>
      </c>
      <c r="B552" s="85">
        <v>46113.0</v>
      </c>
      <c r="C552" s="17">
        <v>4239923.0</v>
      </c>
      <c r="D552" s="85">
        <v>45992.0</v>
      </c>
      <c r="E552" s="17">
        <v>2.0</v>
      </c>
      <c r="F552" s="17">
        <v>2.0</v>
      </c>
      <c r="G552" s="17">
        <v>6071.65</v>
      </c>
      <c r="H552" s="17"/>
      <c r="I552" s="17">
        <v>0.0</v>
      </c>
      <c r="J552" s="17"/>
      <c r="K552" s="17">
        <v>-0.3</v>
      </c>
      <c r="L552" s="17">
        <v>-1.25131401514499</v>
      </c>
      <c r="M552" s="17">
        <v>0.951314015144999</v>
      </c>
      <c r="N552" s="17">
        <v>24.0</v>
      </c>
      <c r="O552" s="14">
        <f t="shared" si="1"/>
        <v>23.7</v>
      </c>
      <c r="P552" s="86">
        <f t="array" ref="P552">iferror(XLOOKUP(C552,'Download of SFDC Activation Rep'!B:B,'Download of SFDC Activation Rep'!Z:Z),"")</f>
        <v>45992</v>
      </c>
      <c r="Q552" s="86">
        <f t="shared" si="2"/>
        <v>45992</v>
      </c>
      <c r="R552" s="13" t="str">
        <f t="shared" si="3"/>
        <v>Yes</v>
      </c>
      <c r="S552" s="86">
        <f t="array" ref="S552">iferror(XLOOKUP(C552,'Download of SFDC Activation Rep'!B:B,'Download of SFDC Activation Rep'!Y:Y),"")</f>
        <v>45999</v>
      </c>
    </row>
    <row r="553">
      <c r="A553" s="17" t="s">
        <v>489</v>
      </c>
      <c r="B553" s="85">
        <v>45931.0</v>
      </c>
      <c r="C553" s="17">
        <v>4103219.0</v>
      </c>
      <c r="D553" s="85">
        <v>45901.0</v>
      </c>
      <c r="E553" s="17">
        <v>30.0</v>
      </c>
      <c r="F553" s="17">
        <v>30.0</v>
      </c>
      <c r="G553" s="17">
        <v>45624.42</v>
      </c>
      <c r="H553" s="17"/>
      <c r="I553" s="17">
        <v>12.42</v>
      </c>
      <c r="J553" s="17">
        <v>0.5</v>
      </c>
      <c r="K553" s="17">
        <v>9.02</v>
      </c>
      <c r="L553" s="17">
        <v>0.28798181149578</v>
      </c>
      <c r="M553" s="17">
        <v>8.73201818850421</v>
      </c>
      <c r="N553" s="17">
        <v>4.39999999999999</v>
      </c>
      <c r="O553" s="14">
        <f t="shared" si="1"/>
        <v>13.42</v>
      </c>
      <c r="P553" s="86">
        <f t="array" ref="P553">iferror(XLOOKUP(C553,'Download of SFDC Activation Rep'!B:B,'Download of SFDC Activation Rep'!Z:Z),"")</f>
        <v>45901</v>
      </c>
      <c r="Q553" s="86">
        <f t="shared" si="2"/>
        <v>45901</v>
      </c>
      <c r="R553" s="13" t="str">
        <f t="shared" si="3"/>
        <v>Yes</v>
      </c>
      <c r="S553" s="86">
        <f t="array" ref="S553">iferror(XLOOKUP(C553,'Download of SFDC Activation Rep'!B:B,'Download of SFDC Activation Rep'!Y:Y),"")</f>
        <v>45919</v>
      </c>
    </row>
    <row r="554">
      <c r="A554" s="17" t="s">
        <v>17</v>
      </c>
      <c r="B554" s="85">
        <v>46113.0</v>
      </c>
      <c r="C554" s="17">
        <v>4520048.0</v>
      </c>
      <c r="D554" s="85">
        <v>46113.0</v>
      </c>
      <c r="E554" s="17">
        <v>197.0</v>
      </c>
      <c r="F554" s="17">
        <v>197.0</v>
      </c>
      <c r="G554" s="17">
        <v>190894.0</v>
      </c>
      <c r="H554" s="17"/>
      <c r="I554" s="17">
        <v>162.58</v>
      </c>
      <c r="J554" s="17"/>
      <c r="K554" s="17">
        <v>131.1345</v>
      </c>
      <c r="L554" s="17">
        <v>90.4969695346</v>
      </c>
      <c r="M554" s="17">
        <v>40.6375304653999</v>
      </c>
      <c r="N554" s="17">
        <v>68.0</v>
      </c>
      <c r="O554" s="14">
        <f t="shared" si="1"/>
        <v>199.1345</v>
      </c>
      <c r="P554" s="86">
        <f t="array" ref="P554">iferror(XLOOKUP(C554,'Download of SFDC Activation Rep'!B:B,'Download of SFDC Activation Rep'!Z:Z),"")</f>
        <v>46104</v>
      </c>
      <c r="Q554" s="86">
        <f t="shared" si="2"/>
        <v>46082</v>
      </c>
      <c r="R554" s="13" t="str">
        <f t="shared" si="3"/>
        <v>Yes</v>
      </c>
      <c r="S554" s="86">
        <f t="array" ref="S554">iferror(XLOOKUP(C554,'Download of SFDC Activation Rep'!B:B,'Download of SFDC Activation Rep'!Y:Y),"")</f>
        <v>46258</v>
      </c>
    </row>
    <row r="555">
      <c r="A555" s="17" t="s">
        <v>19</v>
      </c>
      <c r="B555" s="85">
        <v>46143.0</v>
      </c>
      <c r="C555" s="17">
        <v>3934711.0</v>
      </c>
      <c r="D555" s="85">
        <v>45839.0</v>
      </c>
      <c r="E555" s="17">
        <v>47.0</v>
      </c>
      <c r="F555" s="17">
        <v>47.0</v>
      </c>
      <c r="G555" s="17">
        <v>9712.5</v>
      </c>
      <c r="H555" s="17"/>
      <c r="I555" s="17">
        <v>13.97</v>
      </c>
      <c r="J555" s="17">
        <v>5.0</v>
      </c>
      <c r="K555" s="17">
        <v>5.4299</v>
      </c>
      <c r="L555" s="17">
        <v>3.01162226925</v>
      </c>
      <c r="M555" s="17">
        <v>2.41827773075</v>
      </c>
      <c r="N555" s="17">
        <v>64.0</v>
      </c>
      <c r="O555" s="14">
        <f t="shared" si="1"/>
        <v>69.4299</v>
      </c>
      <c r="P555" s="86">
        <f t="array" ref="P555">iferror(XLOOKUP(C555,'Download of SFDC Activation Rep'!B:B,'Download of SFDC Activation Rep'!Z:Z),"")</f>
        <v>45817</v>
      </c>
      <c r="Q555" s="86">
        <f t="shared" si="2"/>
        <v>45809</v>
      </c>
      <c r="R555" s="13" t="str">
        <f t="shared" si="3"/>
        <v>Yes</v>
      </c>
      <c r="S555" s="86">
        <f t="array" ref="S555">iferror(XLOOKUP(C555,'Download of SFDC Activation Rep'!B:B,'Download of SFDC Activation Rep'!Y:Y),"")</f>
        <v>45817</v>
      </c>
    </row>
    <row r="556">
      <c r="A556" s="17" t="s">
        <v>17</v>
      </c>
      <c r="B556" s="85">
        <v>45992.0</v>
      </c>
      <c r="C556" s="17">
        <v>4277302.0</v>
      </c>
      <c r="D556" s="85">
        <v>45992.0</v>
      </c>
      <c r="E556" s="17">
        <v>1.0</v>
      </c>
      <c r="F556" s="17">
        <v>1.0</v>
      </c>
      <c r="G556" s="17">
        <v>5134.5</v>
      </c>
      <c r="H556" s="17"/>
      <c r="I556" s="17">
        <v>0.0</v>
      </c>
      <c r="J556" s="17"/>
      <c r="K556" s="17">
        <v>-0.1386</v>
      </c>
      <c r="L556" s="17">
        <v>-0.943080375658049</v>
      </c>
      <c r="M556" s="17">
        <v>0.804480375658049</v>
      </c>
      <c r="N556" s="17">
        <v>0.0</v>
      </c>
      <c r="O556" s="14">
        <f t="shared" si="1"/>
        <v>-0.1386</v>
      </c>
      <c r="P556" s="86">
        <f t="array" ref="P556">iferror(XLOOKUP(C556,'Download of SFDC Activation Rep'!B:B,'Download of SFDC Activation Rep'!Z:Z),"")</f>
        <v>46006</v>
      </c>
      <c r="Q556" s="86">
        <f t="shared" si="2"/>
        <v>45992</v>
      </c>
      <c r="R556" s="13" t="str">
        <f t="shared" si="3"/>
        <v>Yes</v>
      </c>
      <c r="S556" s="86">
        <f t="array" ref="S556">iferror(XLOOKUP(C556,'Download of SFDC Activation Rep'!B:B,'Download of SFDC Activation Rep'!Y:Y),"")</f>
        <v>46013</v>
      </c>
    </row>
    <row r="557">
      <c r="A557" s="17" t="s">
        <v>19</v>
      </c>
      <c r="B557" s="85">
        <v>46023.0</v>
      </c>
      <c r="C557" s="17">
        <v>4270780.0</v>
      </c>
      <c r="D557" s="85">
        <v>45992.0</v>
      </c>
      <c r="E557" s="17">
        <v>22.0</v>
      </c>
      <c r="F557" s="17">
        <v>22.0</v>
      </c>
      <c r="G557" s="17">
        <v>529318.43</v>
      </c>
      <c r="H557" s="17"/>
      <c r="I557" s="17">
        <v>67.257596</v>
      </c>
      <c r="K557" s="17">
        <v>60.8938</v>
      </c>
      <c r="L557" s="17">
        <v>-54.1825900220625</v>
      </c>
      <c r="M557" s="17">
        <v>115.076390022062</v>
      </c>
      <c r="N557" s="17">
        <v>64.0</v>
      </c>
      <c r="O557" s="14">
        <f t="shared" si="1"/>
        <v>124.8938</v>
      </c>
      <c r="P557" s="86">
        <f t="array" ref="P557">iferror(XLOOKUP(C557,'Download of SFDC Activation Rep'!B:B,'Download of SFDC Activation Rep'!Z:Z),"")</f>
        <v>45961</v>
      </c>
      <c r="Q557" s="86">
        <f t="shared" si="2"/>
        <v>45931</v>
      </c>
      <c r="R557" s="13" t="str">
        <f t="shared" si="3"/>
        <v>Yes</v>
      </c>
      <c r="S557" s="86">
        <f t="array" ref="S557">iferror(XLOOKUP(C557,'Download of SFDC Activation Rep'!B:B,'Download of SFDC Activation Rep'!Y:Y),"")</f>
        <v>46013</v>
      </c>
    </row>
    <row r="558">
      <c r="A558" s="17" t="s">
        <v>17</v>
      </c>
      <c r="B558" s="85">
        <v>46174.0</v>
      </c>
      <c r="C558" s="17">
        <v>4221007.0</v>
      </c>
      <c r="D558" s="85">
        <v>45962.0</v>
      </c>
      <c r="E558" s="17">
        <v>6.0</v>
      </c>
      <c r="F558" s="17">
        <v>0.0</v>
      </c>
      <c r="G558" s="17">
        <v>155139.21</v>
      </c>
      <c r="H558" s="17">
        <v>40929.5</v>
      </c>
      <c r="I558" s="17">
        <v>4499.04</v>
      </c>
      <c r="J558" s="17"/>
      <c r="K558" s="17">
        <v>466.2557</v>
      </c>
      <c r="L558" s="17">
        <v>385.513063765712</v>
      </c>
      <c r="M558" s="17">
        <v>80.742636234288</v>
      </c>
      <c r="N558" s="17"/>
      <c r="O558" s="14">
        <f t="shared" si="1"/>
        <v>466.2557</v>
      </c>
      <c r="P558" s="86">
        <f t="array" ref="P558">iferror(XLOOKUP(C558,'Download of SFDC Activation Rep'!B:B,'Download of SFDC Activation Rep'!Z:Z),"")</f>
        <v>45966</v>
      </c>
      <c r="Q558" s="86">
        <f t="shared" si="2"/>
        <v>45962</v>
      </c>
      <c r="R558" s="13" t="str">
        <f t="shared" si="3"/>
        <v>Yes</v>
      </c>
      <c r="S558" s="86">
        <f t="array" ref="S558">iferror(XLOOKUP(C558,'Download of SFDC Activation Rep'!B:B,'Download of SFDC Activation Rep'!Y:Y),"")</f>
        <v>45971</v>
      </c>
    </row>
    <row r="559">
      <c r="A559" s="17" t="s">
        <v>17</v>
      </c>
      <c r="B559" s="85">
        <v>45689.0</v>
      </c>
      <c r="C559" s="17">
        <v>3090633.0</v>
      </c>
      <c r="D559" s="85">
        <v>45474.0</v>
      </c>
      <c r="E559" s="17">
        <v>1.0</v>
      </c>
      <c r="F559" s="17">
        <v>1.0</v>
      </c>
      <c r="G559" s="17">
        <v>1748.44</v>
      </c>
      <c r="H559" s="17"/>
      <c r="I559" s="17">
        <v>0.0</v>
      </c>
      <c r="J559" s="17"/>
      <c r="K559" s="17">
        <v>-0.22</v>
      </c>
      <c r="L559" s="17">
        <v>-0.493947934173836</v>
      </c>
      <c r="M559" s="17">
        <v>0.273947934173836</v>
      </c>
      <c r="N559" s="17"/>
      <c r="O559" s="14">
        <f t="shared" si="1"/>
        <v>-0.22</v>
      </c>
      <c r="P559" s="86">
        <f t="array" ref="P559">iferror(XLOOKUP(C559,'Download of SFDC Activation Rep'!B:B,'Download of SFDC Activation Rep'!Z:Z),"")</f>
        <v>45961</v>
      </c>
      <c r="Q559" s="86">
        <f t="shared" si="2"/>
        <v>45931</v>
      </c>
      <c r="R559" s="13" t="str">
        <f t="shared" si="3"/>
        <v>No</v>
      </c>
      <c r="S559" s="86">
        <f t="array" ref="S559">iferror(XLOOKUP(C559,'Download of SFDC Activation Rep'!B:B,'Download of SFDC Activation Rep'!Y:Y),"")</f>
        <v>46051</v>
      </c>
    </row>
    <row r="560">
      <c r="A560" s="17" t="s">
        <v>17</v>
      </c>
      <c r="B560" s="85">
        <v>46082.0</v>
      </c>
      <c r="C560" s="17">
        <v>4380860.0</v>
      </c>
      <c r="D560" s="85">
        <v>46023.0</v>
      </c>
      <c r="E560" s="17">
        <v>74.0</v>
      </c>
      <c r="F560" s="17">
        <v>0.0</v>
      </c>
      <c r="G560" s="17">
        <v>13052.44</v>
      </c>
      <c r="H560" s="17">
        <v>10696.94</v>
      </c>
      <c r="I560" s="17">
        <v>590.55</v>
      </c>
      <c r="J560" s="17"/>
      <c r="K560" s="17">
        <v>72.4068</v>
      </c>
      <c r="L560" s="17">
        <v>65.373802160256</v>
      </c>
      <c r="M560" s="17">
        <v>7.03299783974399</v>
      </c>
      <c r="N560" s="17"/>
      <c r="O560" s="14">
        <f t="shared" si="1"/>
        <v>141.93691</v>
      </c>
      <c r="P560" s="86">
        <f t="array" ref="P560">iferror(XLOOKUP(C560,'Download of SFDC Activation Rep'!B:B,'Download of SFDC Activation Rep'!Z:Z),"")</f>
        <v>46049</v>
      </c>
      <c r="Q560" s="86">
        <f t="shared" si="2"/>
        <v>46023</v>
      </c>
      <c r="R560" s="13" t="str">
        <f t="shared" si="3"/>
        <v>Yes</v>
      </c>
      <c r="S560" s="86">
        <f t="array" ref="S560">iferror(XLOOKUP(C560,'Download of SFDC Activation Rep'!B:B,'Download of SFDC Activation Rep'!Y:Y),"")</f>
        <v>46051</v>
      </c>
    </row>
    <row r="561">
      <c r="A561" s="17" t="s">
        <v>17</v>
      </c>
      <c r="B561" s="85">
        <v>45809.0</v>
      </c>
      <c r="C561" s="17">
        <v>3942651.0</v>
      </c>
      <c r="D561" s="85">
        <v>45809.0</v>
      </c>
      <c r="E561" s="17">
        <v>2.0</v>
      </c>
      <c r="F561" s="17">
        <v>2.0</v>
      </c>
      <c r="G561" s="17">
        <v>2850.0</v>
      </c>
      <c r="H561" s="17"/>
      <c r="I561" s="17">
        <v>0.0</v>
      </c>
      <c r="J561" s="17"/>
      <c r="K561" s="17">
        <v>-0.26</v>
      </c>
      <c r="L561" s="17">
        <v>-0.2885</v>
      </c>
      <c r="M561" s="17">
        <v>0.0284999999999999</v>
      </c>
      <c r="N561" s="17"/>
      <c r="O561" s="14">
        <f t="shared" si="1"/>
        <v>-0.26</v>
      </c>
      <c r="P561" s="86">
        <f t="array" ref="P561">iferror(XLOOKUP(C561,'Download of SFDC Activation Rep'!B:B,'Download of SFDC Activation Rep'!Z:Z),"")</f>
        <v>45809</v>
      </c>
      <c r="Q561" s="86">
        <f t="shared" si="2"/>
        <v>45809</v>
      </c>
      <c r="R561" s="13" t="str">
        <f t="shared" si="3"/>
        <v>Yes</v>
      </c>
      <c r="S561" s="86">
        <f t="array" ref="S561">iferror(XLOOKUP(C561,'Download of SFDC Activation Rep'!B:B,'Download of SFDC Activation Rep'!Y:Y),"")</f>
        <v>45819</v>
      </c>
    </row>
    <row r="562">
      <c r="A562" s="17" t="s">
        <v>17</v>
      </c>
      <c r="B562" s="85">
        <v>46054.0</v>
      </c>
      <c r="C562" s="17">
        <v>4268726.0</v>
      </c>
      <c r="D562" s="85">
        <v>45992.0</v>
      </c>
      <c r="E562" s="17">
        <v>2.0</v>
      </c>
      <c r="F562" s="17">
        <v>1.0</v>
      </c>
      <c r="G562" s="17">
        <v>6734.4</v>
      </c>
      <c r="H562" s="17">
        <v>1009.4</v>
      </c>
      <c r="I562" s="17">
        <v>29.27</v>
      </c>
      <c r="J562" s="17"/>
      <c r="K562" s="17">
        <v>-1.1507</v>
      </c>
      <c r="L562" s="17">
        <v>-1.218044</v>
      </c>
      <c r="M562" s="17">
        <v>0.0673439999999998</v>
      </c>
      <c r="N562" s="17"/>
      <c r="O562" s="14">
        <f t="shared" si="1"/>
        <v>5.4104</v>
      </c>
      <c r="P562" s="86">
        <f t="array" ref="P562">iferror(XLOOKUP(C562,'Download of SFDC Activation Rep'!B:B,'Download of SFDC Activation Rep'!Z:Z),"")</f>
        <v>45992</v>
      </c>
      <c r="Q562" s="86">
        <f t="shared" si="2"/>
        <v>45992</v>
      </c>
      <c r="R562" s="13" t="str">
        <f t="shared" si="3"/>
        <v>Yes</v>
      </c>
      <c r="S562" s="86">
        <f t="array" ref="S562">iferror(XLOOKUP(C562,'Download of SFDC Activation Rep'!B:B,'Download of SFDC Activation Rep'!Y:Y),"")</f>
        <v>46000</v>
      </c>
    </row>
    <row r="563">
      <c r="A563" s="17" t="s">
        <v>17</v>
      </c>
      <c r="B563" s="85">
        <v>46113.0</v>
      </c>
      <c r="C563" s="17">
        <v>4318853.0</v>
      </c>
      <c r="D563" s="85">
        <v>46023.0</v>
      </c>
      <c r="E563" s="17">
        <v>1.0</v>
      </c>
      <c r="F563" s="17">
        <v>0.0</v>
      </c>
      <c r="G563" s="17">
        <v>7809.57</v>
      </c>
      <c r="H563" s="17">
        <v>7809.57</v>
      </c>
      <c r="I563" s="17">
        <v>226.48</v>
      </c>
      <c r="J563" s="17"/>
      <c r="K563" s="17">
        <v>28.9073</v>
      </c>
      <c r="L563" s="17">
        <v>28.8292043</v>
      </c>
      <c r="M563" s="17">
        <v>0.0780956999999986</v>
      </c>
      <c r="N563" s="17"/>
      <c r="O563" s="14">
        <f t="shared" si="1"/>
        <v>79.669505</v>
      </c>
      <c r="P563" s="86">
        <f t="array" ref="P563">iferror(XLOOKUP(C563,'Download of SFDC Activation Rep'!B:B,'Download of SFDC Activation Rep'!Z:Z),"")</f>
        <v>46027</v>
      </c>
      <c r="Q563" s="86">
        <f t="shared" si="2"/>
        <v>46023</v>
      </c>
      <c r="R563" s="13" t="str">
        <f t="shared" si="3"/>
        <v>Yes</v>
      </c>
      <c r="S563" s="86">
        <f t="array" ref="S563">iferror(XLOOKUP(C563,'Download of SFDC Activation Rep'!B:B,'Download of SFDC Activation Rep'!Y:Y),"")</f>
        <v>46042</v>
      </c>
    </row>
    <row r="564">
      <c r="A564" s="17" t="s">
        <v>17</v>
      </c>
      <c r="B564" s="85">
        <v>45992.0</v>
      </c>
      <c r="C564" s="17">
        <v>2967694.0</v>
      </c>
      <c r="D564" s="85">
        <v>45292.0</v>
      </c>
      <c r="E564" s="17">
        <v>6.0</v>
      </c>
      <c r="F564" s="17">
        <v>0.0</v>
      </c>
      <c r="G564" s="17">
        <v>105589.5</v>
      </c>
      <c r="H564" s="17">
        <v>105589.5</v>
      </c>
      <c r="I564" s="17">
        <v>3062.1</v>
      </c>
      <c r="J564" s="17"/>
      <c r="K564" s="17">
        <v>551.2449</v>
      </c>
      <c r="L564" s="17">
        <v>495.234650811684</v>
      </c>
      <c r="M564" s="17">
        <v>56.0102491883155</v>
      </c>
      <c r="N564" s="17"/>
      <c r="O564" s="14">
        <f t="shared" si="1"/>
        <v>551.2449</v>
      </c>
      <c r="P564" s="86">
        <f t="array" ref="P564">iferror(XLOOKUP(C564,'Download of SFDC Activation Rep'!B:B,'Download of SFDC Activation Rep'!Z:Z),"")</f>
        <v>45924</v>
      </c>
      <c r="Q564" s="86">
        <f t="shared" si="2"/>
        <v>45901</v>
      </c>
      <c r="R564" s="13" t="str">
        <f t="shared" si="3"/>
        <v>Yes</v>
      </c>
      <c r="S564" s="86">
        <f t="array" ref="S564">iferror(XLOOKUP(C564,'Download of SFDC Activation Rep'!B:B,'Download of SFDC Activation Rep'!Y:Y),"")</f>
        <v>46055</v>
      </c>
    </row>
    <row r="565">
      <c r="A565" s="17" t="s">
        <v>19</v>
      </c>
      <c r="B565" s="85">
        <v>45444.0</v>
      </c>
      <c r="C565" s="17">
        <v>2710123.0</v>
      </c>
      <c r="D565" s="85">
        <v>45292.0</v>
      </c>
      <c r="E565" s="17">
        <v>1.0</v>
      </c>
      <c r="F565" s="17">
        <v>0.0</v>
      </c>
      <c r="G565" s="17">
        <v>11075.4</v>
      </c>
      <c r="H565" s="17"/>
      <c r="I565" s="17">
        <v>321.19</v>
      </c>
      <c r="J565" s="17"/>
      <c r="K565" s="17">
        <v>6.0404</v>
      </c>
      <c r="L565" s="17">
        <v>3.27541057875896</v>
      </c>
      <c r="M565" s="17">
        <v>2.76498942124103</v>
      </c>
      <c r="N565" s="17"/>
      <c r="O565" s="14">
        <f t="shared" si="1"/>
        <v>6.0404</v>
      </c>
      <c r="P565" s="86">
        <f t="array" ref="P565">iferror(XLOOKUP(C565,'Download of SFDC Activation Rep'!B:B,'Download of SFDC Activation Rep'!Z:Z),"")</f>
        <v>45873</v>
      </c>
      <c r="Q565" s="86">
        <f t="shared" si="2"/>
        <v>45870</v>
      </c>
      <c r="R565" s="13" t="str">
        <f t="shared" si="3"/>
        <v>No</v>
      </c>
      <c r="S565" s="86">
        <f t="array" ref="S565">iferror(XLOOKUP(C565,'Download of SFDC Activation Rep'!B:B,'Download of SFDC Activation Rep'!Y:Y),"")</f>
        <v>45980</v>
      </c>
    </row>
    <row r="566">
      <c r="A566" s="17" t="s">
        <v>17</v>
      </c>
      <c r="B566" s="85">
        <v>46113.0</v>
      </c>
      <c r="C566" s="17">
        <v>3942651.0</v>
      </c>
      <c r="D566" s="85">
        <v>45809.0</v>
      </c>
      <c r="E566" s="17">
        <v>2.0</v>
      </c>
      <c r="F566" s="17">
        <v>2.0</v>
      </c>
      <c r="G566" s="17">
        <v>1975.0</v>
      </c>
      <c r="H566" s="17"/>
      <c r="I566" s="17">
        <v>0.0</v>
      </c>
      <c r="J566" s="17"/>
      <c r="K566" s="17">
        <v>-0.2556</v>
      </c>
      <c r="L566" s="17">
        <v>-0.27535</v>
      </c>
      <c r="M566" s="17">
        <v>0.0197499999999999</v>
      </c>
      <c r="N566" s="17"/>
      <c r="O566" s="14">
        <f t="shared" si="1"/>
        <v>-0.2556</v>
      </c>
      <c r="P566" s="86">
        <f t="array" ref="P566">iferror(XLOOKUP(C566,'Download of SFDC Activation Rep'!B:B,'Download of SFDC Activation Rep'!Z:Z),"")</f>
        <v>45809</v>
      </c>
      <c r="Q566" s="86">
        <f t="shared" si="2"/>
        <v>45809</v>
      </c>
      <c r="R566" s="13" t="str">
        <f t="shared" si="3"/>
        <v>Yes</v>
      </c>
      <c r="S566" s="86">
        <f t="array" ref="S566">iferror(XLOOKUP(C566,'Download of SFDC Activation Rep'!B:B,'Download of SFDC Activation Rep'!Y:Y),"")</f>
        <v>45819</v>
      </c>
    </row>
    <row r="567">
      <c r="A567" s="17" t="s">
        <v>17</v>
      </c>
      <c r="B567" s="85">
        <v>45231.0</v>
      </c>
      <c r="C567" s="17">
        <v>489723.0</v>
      </c>
      <c r="D567" s="85">
        <v>45200.0</v>
      </c>
      <c r="E567" s="17">
        <v>3.0</v>
      </c>
      <c r="F567" s="17">
        <v>3.0</v>
      </c>
      <c r="G567" s="17">
        <v>6351.39</v>
      </c>
      <c r="H567" s="17"/>
      <c r="I567" s="17">
        <v>0.0</v>
      </c>
      <c r="J567" s="17"/>
      <c r="K567" s="17">
        <v>-0.98</v>
      </c>
      <c r="L567" s="17">
        <v>-4.91662039097296</v>
      </c>
      <c r="M567" s="17">
        <v>3.93662039097296</v>
      </c>
      <c r="N567" s="17"/>
      <c r="O567" s="14">
        <f t="shared" si="1"/>
        <v>-0.98</v>
      </c>
      <c r="P567" s="86">
        <f t="array" ref="P567">iferror(XLOOKUP(C567,'Download of SFDC Activation Rep'!B:B,'Download of SFDC Activation Rep'!Z:Z),"")</f>
        <v>46112</v>
      </c>
      <c r="Q567" s="86">
        <f t="shared" si="2"/>
        <v>46082</v>
      </c>
      <c r="R567" s="13" t="str">
        <f t="shared" si="3"/>
        <v>No</v>
      </c>
      <c r="S567" s="86">
        <f t="array" ref="S567">iferror(XLOOKUP(C567,'Download of SFDC Activation Rep'!B:B,'Download of SFDC Activation Rep'!Y:Y),"")</f>
        <v>46204</v>
      </c>
    </row>
    <row r="568">
      <c r="A568" s="17" t="s">
        <v>17</v>
      </c>
      <c r="B568" s="85">
        <v>45413.0</v>
      </c>
      <c r="C568" s="17">
        <v>3265302.0</v>
      </c>
      <c r="D568" s="85">
        <v>45352.0</v>
      </c>
      <c r="E568" s="17">
        <v>7.0</v>
      </c>
      <c r="F568" s="17">
        <v>7.0</v>
      </c>
      <c r="G568" s="17">
        <v>60770.1</v>
      </c>
      <c r="H568" s="17"/>
      <c r="I568" s="17">
        <v>26.0</v>
      </c>
      <c r="J568" s="17"/>
      <c r="K568" s="17">
        <v>23.91</v>
      </c>
      <c r="L568" s="17">
        <v>-5.67555455019271</v>
      </c>
      <c r="M568" s="17">
        <v>29.5855545501927</v>
      </c>
      <c r="N568" s="17"/>
      <c r="O568" s="14">
        <f t="shared" si="1"/>
        <v>23.91</v>
      </c>
      <c r="P568" s="86">
        <f t="array" ref="P568">iferror(XLOOKUP(C568,'Download of SFDC Activation Rep'!B:B,'Download of SFDC Activation Rep'!Z:Z),"")</f>
        <v>45936</v>
      </c>
      <c r="Q568" s="86">
        <f t="shared" si="2"/>
        <v>45931</v>
      </c>
      <c r="R568" s="13" t="str">
        <f t="shared" si="3"/>
        <v>No</v>
      </c>
      <c r="S568" s="86">
        <f t="array" ref="S568">iferror(XLOOKUP(C568,'Download of SFDC Activation Rep'!B:B,'Download of SFDC Activation Rep'!Y:Y),"")</f>
        <v>46031</v>
      </c>
    </row>
    <row r="569">
      <c r="A569" s="17" t="s">
        <v>17</v>
      </c>
      <c r="B569" s="85">
        <v>46054.0</v>
      </c>
      <c r="C569" s="17">
        <v>4100689.0</v>
      </c>
      <c r="D569" s="85">
        <v>45901.0</v>
      </c>
      <c r="E569" s="17">
        <v>10.0</v>
      </c>
      <c r="F569" s="17">
        <v>0.0</v>
      </c>
      <c r="G569" s="17">
        <v>70617.0</v>
      </c>
      <c r="H569" s="17">
        <v>23250.0</v>
      </c>
      <c r="I569" s="17">
        <v>2047.89</v>
      </c>
      <c r="J569" s="17"/>
      <c r="K569" s="17">
        <v>125.462399999999</v>
      </c>
      <c r="L569" s="17">
        <v>124.756229999999</v>
      </c>
      <c r="M569" s="17">
        <v>0.70617</v>
      </c>
      <c r="N569" s="17"/>
      <c r="O569" s="14">
        <f t="shared" si="1"/>
        <v>276.5874</v>
      </c>
      <c r="P569" s="86">
        <f t="array" ref="P569">iferror(XLOOKUP(C569,'Download of SFDC Activation Rep'!B:B,'Download of SFDC Activation Rep'!Z:Z),"")</f>
        <v>45903</v>
      </c>
      <c r="Q569" s="86">
        <f t="shared" si="2"/>
        <v>45901</v>
      </c>
      <c r="R569" s="13" t="str">
        <f t="shared" si="3"/>
        <v>Yes</v>
      </c>
      <c r="S569" s="86">
        <f t="array" ref="S569">iferror(XLOOKUP(C569,'Download of SFDC Activation Rep'!B:B,'Download of SFDC Activation Rep'!Y:Y),"")</f>
        <v>45908</v>
      </c>
    </row>
    <row r="570">
      <c r="A570" s="17" t="s">
        <v>17</v>
      </c>
      <c r="B570" s="85">
        <v>46143.0</v>
      </c>
      <c r="C570" s="17">
        <v>3962143.0</v>
      </c>
      <c r="D570" s="85">
        <v>45809.0</v>
      </c>
      <c r="E570" s="17">
        <v>1.0</v>
      </c>
      <c r="F570" s="17">
        <v>0.0</v>
      </c>
      <c r="G570" s="17">
        <v>4992.0</v>
      </c>
      <c r="H570" s="17">
        <v>4992.0</v>
      </c>
      <c r="I570" s="17">
        <v>144.77</v>
      </c>
      <c r="J570" s="17"/>
      <c r="K570" s="17">
        <v>12.8907</v>
      </c>
      <c r="L570" s="17">
        <v>10.2426796224</v>
      </c>
      <c r="M570" s="17">
        <v>2.6480203776</v>
      </c>
      <c r="N570" s="17"/>
      <c r="O570" s="14">
        <f t="shared" si="1"/>
        <v>12.8907</v>
      </c>
      <c r="P570" s="86">
        <f t="array" ref="P570">iferror(XLOOKUP(C570,'Download of SFDC Activation Rep'!B:B,'Download of SFDC Activation Rep'!Z:Z),"")</f>
        <v>45876</v>
      </c>
      <c r="Q570" s="86">
        <f t="shared" si="2"/>
        <v>45870</v>
      </c>
      <c r="R570" s="13" t="str">
        <f t="shared" si="3"/>
        <v>Yes</v>
      </c>
      <c r="S570" s="86">
        <f t="array" ref="S570">iferror(XLOOKUP(C570,'Download of SFDC Activation Rep'!B:B,'Download of SFDC Activation Rep'!Y:Y),"")</f>
        <v>45833</v>
      </c>
    </row>
    <row r="571">
      <c r="A571" s="17" t="s">
        <v>17</v>
      </c>
      <c r="B571" s="85">
        <v>45901.0</v>
      </c>
      <c r="C571" s="17">
        <v>4011819.0</v>
      </c>
      <c r="D571" s="85">
        <v>45839.0</v>
      </c>
      <c r="E571" s="17">
        <v>6.0</v>
      </c>
      <c r="F571" s="17">
        <v>0.0</v>
      </c>
      <c r="G571" s="17">
        <v>13272.8</v>
      </c>
      <c r="H571" s="17">
        <v>13272.8</v>
      </c>
      <c r="I571" s="17">
        <v>384.9</v>
      </c>
      <c r="J571" s="17"/>
      <c r="K571" s="17">
        <v>51.5494</v>
      </c>
      <c r="L571" s="17">
        <v>44.5088056660304</v>
      </c>
      <c r="M571" s="17">
        <v>7.04059433396951</v>
      </c>
      <c r="N571" s="17"/>
      <c r="O571" s="14">
        <f t="shared" si="1"/>
        <v>51.5494</v>
      </c>
      <c r="P571" s="86">
        <f t="array" ref="P571">iferror(XLOOKUP(C571,'Download of SFDC Activation Rep'!B:B,'Download of SFDC Activation Rep'!Z:Z),"")</f>
        <v>45849</v>
      </c>
      <c r="Q571" s="86">
        <f t="shared" si="2"/>
        <v>45839</v>
      </c>
      <c r="R571" s="13" t="str">
        <f t="shared" si="3"/>
        <v>Yes</v>
      </c>
      <c r="S571" s="86">
        <f t="array" ref="S571">iferror(XLOOKUP(C571,'Download of SFDC Activation Rep'!B:B,'Download of SFDC Activation Rep'!Y:Y),"")</f>
        <v>45849</v>
      </c>
    </row>
    <row r="572">
      <c r="A572" s="17" t="s">
        <v>17</v>
      </c>
      <c r="B572" s="85">
        <v>46174.0</v>
      </c>
      <c r="C572" s="17">
        <v>4079020.0</v>
      </c>
      <c r="D572" s="85">
        <v>45901.0</v>
      </c>
      <c r="E572" s="17">
        <v>4.0</v>
      </c>
      <c r="F572" s="17">
        <v>4.0</v>
      </c>
      <c r="G572" s="17">
        <v>4750.0</v>
      </c>
      <c r="H572" s="17"/>
      <c r="I572" s="17">
        <v>47.5</v>
      </c>
      <c r="J572" s="17"/>
      <c r="K572" s="17">
        <v>46.9195</v>
      </c>
      <c r="L572" s="17">
        <v>39.128946625</v>
      </c>
      <c r="M572" s="17">
        <v>7.790553375</v>
      </c>
      <c r="N572" s="17"/>
      <c r="O572" s="14">
        <f t="shared" si="1"/>
        <v>46.9195</v>
      </c>
      <c r="P572" s="86">
        <f t="array" ref="P572">iferror(XLOOKUP(C572,'Download of SFDC Activation Rep'!B:B,'Download of SFDC Activation Rep'!Z:Z),"")</f>
        <v>45894</v>
      </c>
      <c r="Q572" s="86">
        <f t="shared" si="2"/>
        <v>45870</v>
      </c>
      <c r="R572" s="13" t="str">
        <f t="shared" si="3"/>
        <v>Yes</v>
      </c>
      <c r="S572" s="86">
        <f t="array" ref="S572">iferror(XLOOKUP(C572,'Download of SFDC Activation Rep'!B:B,'Download of SFDC Activation Rep'!Y:Y),"")</f>
        <v>45937</v>
      </c>
    </row>
    <row r="573">
      <c r="A573" s="17" t="s">
        <v>17</v>
      </c>
      <c r="B573" s="85">
        <v>46174.0</v>
      </c>
      <c r="C573" s="17">
        <v>4100689.0</v>
      </c>
      <c r="D573" s="85">
        <v>45901.0</v>
      </c>
      <c r="E573" s="17">
        <v>13.0</v>
      </c>
      <c r="F573" s="17">
        <v>2.0</v>
      </c>
      <c r="G573" s="17">
        <v>85033.0</v>
      </c>
      <c r="H573" s="17">
        <v>37620.0</v>
      </c>
      <c r="I573" s="17">
        <v>2286.88</v>
      </c>
      <c r="J573" s="17"/>
      <c r="K573" s="17">
        <v>129.3013</v>
      </c>
      <c r="L573" s="17">
        <v>128.48582</v>
      </c>
      <c r="M573" s="17">
        <v>0.815480000000008</v>
      </c>
      <c r="N573" s="17"/>
      <c r="O573" s="14">
        <f t="shared" si="1"/>
        <v>129.3013</v>
      </c>
      <c r="P573" s="86">
        <f t="array" ref="P573">iferror(XLOOKUP(C573,'Download of SFDC Activation Rep'!B:B,'Download of SFDC Activation Rep'!Z:Z),"")</f>
        <v>45903</v>
      </c>
      <c r="Q573" s="86">
        <f t="shared" si="2"/>
        <v>45901</v>
      </c>
      <c r="R573" s="13" t="str">
        <f t="shared" si="3"/>
        <v>Yes</v>
      </c>
      <c r="S573" s="86">
        <f t="array" ref="S573">iferror(XLOOKUP(C573,'Download of SFDC Activation Rep'!B:B,'Download of SFDC Activation Rep'!Y:Y),"")</f>
        <v>45908</v>
      </c>
    </row>
    <row r="574">
      <c r="A574" s="17" t="s">
        <v>17</v>
      </c>
      <c r="B574" s="85">
        <v>46113.0</v>
      </c>
      <c r="C574" s="17">
        <v>4214658.0</v>
      </c>
      <c r="D574" s="85">
        <v>45962.0</v>
      </c>
      <c r="E574" s="17">
        <v>60.0</v>
      </c>
      <c r="F574" s="17">
        <v>60.0</v>
      </c>
      <c r="G574" s="17">
        <v>58028.42</v>
      </c>
      <c r="H574" s="17"/>
      <c r="I574" s="17">
        <v>0.0</v>
      </c>
      <c r="J574" s="17"/>
      <c r="K574" s="17">
        <v>-9.1679</v>
      </c>
      <c r="L574" s="17">
        <v>-9.74818419999999</v>
      </c>
      <c r="M574" s="17">
        <v>0.580284199999999</v>
      </c>
      <c r="N574" s="17"/>
      <c r="O574" s="14">
        <f t="shared" si="1"/>
        <v>-9.1679</v>
      </c>
      <c r="P574" s="86">
        <f t="array" ref="P574">iferror(XLOOKUP(C574,'Download of SFDC Activation Rep'!B:B,'Download of SFDC Activation Rep'!Z:Z),"")</f>
        <v>45973</v>
      </c>
      <c r="Q574" s="86">
        <f t="shared" si="2"/>
        <v>45962</v>
      </c>
      <c r="R574" s="13" t="str">
        <f t="shared" si="3"/>
        <v>Yes</v>
      </c>
      <c r="S574" s="86">
        <f t="array" ref="S574">iferror(XLOOKUP(C574,'Download of SFDC Activation Rep'!B:B,'Download of SFDC Activation Rep'!Y:Y),"")</f>
        <v>45968</v>
      </c>
    </row>
    <row r="575">
      <c r="A575" s="17" t="s">
        <v>17</v>
      </c>
      <c r="B575" s="85">
        <v>46113.0</v>
      </c>
      <c r="C575" s="17">
        <v>4154266.0</v>
      </c>
      <c r="D575" s="85">
        <v>45931.0</v>
      </c>
      <c r="E575" s="17">
        <v>31.0</v>
      </c>
      <c r="F575" s="17">
        <v>13.0</v>
      </c>
      <c r="G575" s="17">
        <v>12027.35</v>
      </c>
      <c r="H575" s="17">
        <v>1518.28</v>
      </c>
      <c r="I575" s="17">
        <v>226.99</v>
      </c>
      <c r="K575" s="17">
        <v>14.9402</v>
      </c>
      <c r="L575" s="17">
        <v>14.8199265</v>
      </c>
      <c r="M575" s="17">
        <v>0.120273500000001</v>
      </c>
      <c r="N575" s="17"/>
      <c r="O575" s="14">
        <f t="shared" si="1"/>
        <v>24.80902</v>
      </c>
      <c r="P575" s="86">
        <f t="array" ref="P575">iferror(XLOOKUP(C575,'Download of SFDC Activation Rep'!B:B,'Download of SFDC Activation Rep'!Z:Z),"")</f>
        <v>45895</v>
      </c>
      <c r="Q575" s="86">
        <f t="shared" si="2"/>
        <v>45870</v>
      </c>
      <c r="R575" s="13" t="str">
        <f t="shared" si="3"/>
        <v>Yes</v>
      </c>
      <c r="S575" s="86">
        <f t="array" ref="S575">iferror(XLOOKUP(C575,'Download of SFDC Activation Rep'!B:B,'Download of SFDC Activation Rep'!Y:Y),"")</f>
        <v>45954</v>
      </c>
    </row>
    <row r="576">
      <c r="A576" s="17" t="s">
        <v>19</v>
      </c>
      <c r="B576" s="85">
        <v>45748.0</v>
      </c>
      <c r="C576" s="17">
        <v>2710123.0</v>
      </c>
      <c r="D576" s="85">
        <v>45292.0</v>
      </c>
      <c r="E576" s="17">
        <v>3.0</v>
      </c>
      <c r="F576" s="17">
        <v>0.0</v>
      </c>
      <c r="G576" s="17">
        <v>65229.25</v>
      </c>
      <c r="H576" s="17"/>
      <c r="I576" s="17">
        <v>1891.65</v>
      </c>
      <c r="J576" s="17"/>
      <c r="K576" s="17">
        <v>39.8627</v>
      </c>
      <c r="L576" s="17">
        <v>5.26165968001617</v>
      </c>
      <c r="M576" s="17">
        <v>34.6010403199838</v>
      </c>
      <c r="N576" s="17"/>
      <c r="O576" s="14">
        <f t="shared" si="1"/>
        <v>39.8627</v>
      </c>
      <c r="P576" s="86">
        <f t="array" ref="P576">iferror(XLOOKUP(C576,'Download of SFDC Activation Rep'!B:B,'Download of SFDC Activation Rep'!Z:Z),"")</f>
        <v>45873</v>
      </c>
      <c r="Q576" s="86">
        <f t="shared" si="2"/>
        <v>45870</v>
      </c>
      <c r="R576" s="13" t="str">
        <f t="shared" si="3"/>
        <v>No</v>
      </c>
      <c r="S576" s="86">
        <f t="array" ref="S576">iferror(XLOOKUP(C576,'Download of SFDC Activation Rep'!B:B,'Download of SFDC Activation Rep'!Y:Y),"")</f>
        <v>45980</v>
      </c>
    </row>
    <row r="577">
      <c r="A577" s="17" t="s">
        <v>489</v>
      </c>
      <c r="B577" s="85">
        <v>44896.0</v>
      </c>
      <c r="C577" s="17">
        <v>2153287.0</v>
      </c>
      <c r="D577" s="85">
        <v>44805.0</v>
      </c>
      <c r="E577" s="17">
        <v>3.0</v>
      </c>
      <c r="F577" s="17">
        <v>0.0</v>
      </c>
      <c r="G577" s="17">
        <v>70861.06</v>
      </c>
      <c r="H577" s="17"/>
      <c r="I577" s="17">
        <v>1904.97</v>
      </c>
      <c r="J577" s="17"/>
      <c r="K577" s="17">
        <v>129.317999999999</v>
      </c>
      <c r="L577" s="17">
        <v>59.910260431651</v>
      </c>
      <c r="M577" s="17">
        <v>69.4077395683489</v>
      </c>
      <c r="N577" s="17"/>
      <c r="O577" s="14">
        <f t="shared" si="1"/>
        <v>129.318</v>
      </c>
      <c r="P577" s="86">
        <f t="array" ref="P577">iferror(XLOOKUP(C577,'Download of SFDC Activation Rep'!B:B,'Download of SFDC Activation Rep'!Z:Z),"")</f>
        <v>46007</v>
      </c>
      <c r="Q577" s="86">
        <f t="shared" si="2"/>
        <v>45992</v>
      </c>
      <c r="R577" s="13" t="str">
        <f t="shared" si="3"/>
        <v>No</v>
      </c>
      <c r="S577" s="86">
        <f t="array" ref="S577">iferror(XLOOKUP(C577,'Download of SFDC Activation Rep'!B:B,'Download of SFDC Activation Rep'!Y:Y),"")</f>
        <v>46021</v>
      </c>
    </row>
    <row r="578">
      <c r="A578" s="17" t="s">
        <v>17</v>
      </c>
      <c r="B578" s="85">
        <v>45658.0</v>
      </c>
      <c r="C578" s="17">
        <v>2967694.0</v>
      </c>
      <c r="D578" s="85">
        <v>45292.0</v>
      </c>
      <c r="E578" s="17">
        <v>2.0</v>
      </c>
      <c r="F578" s="17">
        <v>0.0</v>
      </c>
      <c r="G578" s="17">
        <v>84586.0</v>
      </c>
      <c r="H578" s="17">
        <v>84586.0</v>
      </c>
      <c r="I578" s="17">
        <v>2452.99</v>
      </c>
      <c r="J578" s="17"/>
      <c r="K578" s="17">
        <v>356.1481</v>
      </c>
      <c r="L578" s="17">
        <v>311.279216845492</v>
      </c>
      <c r="M578" s="17">
        <v>44.8688831545073</v>
      </c>
      <c r="N578" s="17"/>
      <c r="O578" s="14">
        <f t="shared" si="1"/>
        <v>356.1481</v>
      </c>
      <c r="P578" s="86">
        <f t="array" ref="P578">iferror(XLOOKUP(C578,'Download of SFDC Activation Rep'!B:B,'Download of SFDC Activation Rep'!Z:Z),"")</f>
        <v>45924</v>
      </c>
      <c r="Q578" s="86">
        <f t="shared" si="2"/>
        <v>45901</v>
      </c>
      <c r="R578" s="13" t="str">
        <f t="shared" si="3"/>
        <v>No</v>
      </c>
      <c r="S578" s="86">
        <f t="array" ref="S578">iferror(XLOOKUP(C578,'Download of SFDC Activation Rep'!B:B,'Download of SFDC Activation Rep'!Y:Y),"")</f>
        <v>46055</v>
      </c>
    </row>
    <row r="579">
      <c r="A579" s="17" t="s">
        <v>488</v>
      </c>
      <c r="B579" s="85">
        <v>46082.0</v>
      </c>
      <c r="C579" s="17">
        <v>4299448.0</v>
      </c>
      <c r="D579" s="85">
        <v>45992.0</v>
      </c>
      <c r="E579" s="17">
        <v>26.0</v>
      </c>
      <c r="F579" s="17">
        <v>0.0</v>
      </c>
      <c r="G579" s="17">
        <v>97034.34</v>
      </c>
      <c r="H579" s="17"/>
      <c r="I579" s="17">
        <v>2903.98</v>
      </c>
      <c r="K579" s="17">
        <v>176.7859</v>
      </c>
      <c r="L579" s="17">
        <v>103.044696800847</v>
      </c>
      <c r="M579" s="17">
        <v>73.741203199152</v>
      </c>
      <c r="N579" s="17"/>
      <c r="O579" s="14">
        <f t="shared" si="1"/>
        <v>176.7859</v>
      </c>
      <c r="P579" s="86">
        <f t="array" ref="P579">iferror(XLOOKUP(C579,'Download of SFDC Activation Rep'!B:B,'Download of SFDC Activation Rep'!Z:Z),"")</f>
        <v>46197</v>
      </c>
      <c r="Q579" s="86">
        <f t="shared" si="2"/>
        <v>46174</v>
      </c>
      <c r="R579" s="13" t="str">
        <f t="shared" si="3"/>
        <v>No</v>
      </c>
      <c r="S579" s="86">
        <f t="array" ref="S579">iferror(XLOOKUP(C579,'Download of SFDC Activation Rep'!B:B,'Download of SFDC Activation Rep'!Y:Y),"")</f>
        <v>46361</v>
      </c>
    </row>
    <row r="580">
      <c r="A580" s="17" t="s">
        <v>17</v>
      </c>
      <c r="B580" s="85">
        <v>46143.0</v>
      </c>
      <c r="C580" s="17">
        <v>4474354.0</v>
      </c>
      <c r="D580" s="85">
        <v>46082.0</v>
      </c>
      <c r="E580" s="17">
        <v>6.0</v>
      </c>
      <c r="F580" s="17">
        <v>3.0</v>
      </c>
      <c r="G580" s="17">
        <v>2140.0</v>
      </c>
      <c r="H580" s="17"/>
      <c r="I580" s="17">
        <v>26.68</v>
      </c>
      <c r="J580" s="17"/>
      <c r="K580" s="17">
        <v>7.2806</v>
      </c>
      <c r="L580" s="17">
        <v>7.2592</v>
      </c>
      <c r="M580" s="17">
        <v>0.0213999999999989</v>
      </c>
      <c r="N580" s="17"/>
      <c r="O580" s="14">
        <f t="shared" si="1"/>
        <v>7.2806</v>
      </c>
      <c r="P580" s="86">
        <f t="array" ref="P580">iferror(XLOOKUP(C580,'Download of SFDC Activation Rep'!B:B,'Download of SFDC Activation Rep'!Z:Z),"")</f>
        <v>46099</v>
      </c>
      <c r="Q580" s="86">
        <f t="shared" si="2"/>
        <v>46082</v>
      </c>
      <c r="R580" s="13" t="str">
        <f t="shared" si="3"/>
        <v>Yes</v>
      </c>
      <c r="S580" s="86">
        <f t="array" ref="S580">iferror(XLOOKUP(C580,'Download of SFDC Activation Rep'!B:B,'Download of SFDC Activation Rep'!Y:Y),"")</f>
        <v>46118</v>
      </c>
    </row>
    <row r="581">
      <c r="A581" s="17" t="s">
        <v>17</v>
      </c>
      <c r="B581" s="85">
        <v>46023.0</v>
      </c>
      <c r="C581" s="17">
        <v>4161223.0</v>
      </c>
      <c r="D581" s="85">
        <v>45931.0</v>
      </c>
      <c r="E581" s="17">
        <v>3.0</v>
      </c>
      <c r="F581" s="17">
        <v>3.0</v>
      </c>
      <c r="G581" s="17">
        <v>14999.09</v>
      </c>
      <c r="H581" s="17"/>
      <c r="I581" s="17">
        <v>109.756921</v>
      </c>
      <c r="K581" s="17">
        <v>109.4731</v>
      </c>
      <c r="L581" s="17">
        <v>106.072326740823</v>
      </c>
      <c r="M581" s="17">
        <v>3.40077325917626</v>
      </c>
      <c r="N581" s="17"/>
      <c r="O581" s="14">
        <f t="shared" si="1"/>
        <v>109.4731</v>
      </c>
      <c r="P581" s="86">
        <f t="array" ref="P581">iferror(XLOOKUP(C581,'Download of SFDC Activation Rep'!B:B,'Download of SFDC Activation Rep'!Z:Z),"")</f>
        <v>45937</v>
      </c>
      <c r="Q581" s="86">
        <f t="shared" si="2"/>
        <v>45931</v>
      </c>
      <c r="R581" s="13" t="str">
        <f t="shared" si="3"/>
        <v>Yes</v>
      </c>
      <c r="S581" s="86">
        <f t="array" ref="S581">iferror(XLOOKUP(C581,'Download of SFDC Activation Rep'!B:B,'Download of SFDC Activation Rep'!Y:Y),"")</f>
        <v>45947</v>
      </c>
    </row>
    <row r="582">
      <c r="A582" s="17" t="s">
        <v>17</v>
      </c>
      <c r="B582" s="85">
        <v>45839.0</v>
      </c>
      <c r="C582" s="17">
        <v>3738104.0</v>
      </c>
      <c r="D582" s="85">
        <v>45748.0</v>
      </c>
      <c r="E582" s="17">
        <v>1.0</v>
      </c>
      <c r="F582" s="17">
        <v>0.0</v>
      </c>
      <c r="G582" s="17">
        <v>1997.6</v>
      </c>
      <c r="H582" s="17">
        <v>1997.6</v>
      </c>
      <c r="I582" s="17">
        <v>57.93</v>
      </c>
      <c r="J582" s="17"/>
      <c r="K582" s="17">
        <v>9.8607</v>
      </c>
      <c r="L582" s="17">
        <v>9.840724</v>
      </c>
      <c r="M582" s="17">
        <v>0.0199759999999997</v>
      </c>
      <c r="N582" s="17"/>
      <c r="O582" s="14">
        <f t="shared" si="1"/>
        <v>9.8607</v>
      </c>
      <c r="P582" s="86">
        <f t="array" ref="P582">iferror(XLOOKUP(C582,'Download of SFDC Activation Rep'!B:B,'Download of SFDC Activation Rep'!Z:Z),"")</f>
        <v>45806</v>
      </c>
      <c r="Q582" s="86">
        <f t="shared" si="2"/>
        <v>45778</v>
      </c>
      <c r="R582" s="13" t="str">
        <f t="shared" si="3"/>
        <v>Yes</v>
      </c>
      <c r="S582" s="86">
        <f t="array" ref="S582">iferror(XLOOKUP(C582,'Download of SFDC Activation Rep'!B:B,'Download of SFDC Activation Rep'!Y:Y),"")</f>
        <v>45806</v>
      </c>
    </row>
    <row r="583">
      <c r="A583" s="17" t="s">
        <v>17</v>
      </c>
      <c r="B583" s="85">
        <v>45931.0</v>
      </c>
      <c r="C583" s="17">
        <v>4138622.0</v>
      </c>
      <c r="D583" s="85">
        <v>45901.0</v>
      </c>
      <c r="E583" s="17">
        <v>5.0</v>
      </c>
      <c r="F583" s="17">
        <v>4.0</v>
      </c>
      <c r="G583" s="17">
        <v>37092.38</v>
      </c>
      <c r="H583" s="17">
        <v>11578.75</v>
      </c>
      <c r="I583" s="17">
        <v>335.78</v>
      </c>
      <c r="K583" s="17">
        <v>41.8456</v>
      </c>
      <c r="L583" s="17">
        <v>41.4746762</v>
      </c>
      <c r="M583" s="17">
        <v>0.370923799999999</v>
      </c>
      <c r="N583" s="17"/>
      <c r="O583" s="14">
        <f t="shared" si="1"/>
        <v>41.8456</v>
      </c>
      <c r="P583" s="86">
        <f t="array" ref="P583">iferror(XLOOKUP(C583,'Download of SFDC Activation Rep'!B:B,'Download of SFDC Activation Rep'!Z:Z),"")</f>
        <v>45916</v>
      </c>
      <c r="Q583" s="86">
        <f t="shared" si="2"/>
        <v>45901</v>
      </c>
      <c r="R583" s="13" t="str">
        <f t="shared" si="3"/>
        <v>Yes</v>
      </c>
      <c r="S583" s="86">
        <f t="array" ref="S583">iferror(XLOOKUP(C583,'Download of SFDC Activation Rep'!B:B,'Download of SFDC Activation Rep'!Y:Y),"")</f>
        <v>45966</v>
      </c>
    </row>
    <row r="584">
      <c r="A584" s="17" t="s">
        <v>17</v>
      </c>
      <c r="B584" s="85">
        <v>46082.0</v>
      </c>
      <c r="C584" s="17">
        <v>3942651.0</v>
      </c>
      <c r="D584" s="85">
        <v>45809.0</v>
      </c>
      <c r="E584" s="17">
        <v>13.0</v>
      </c>
      <c r="F584" s="17">
        <v>13.0</v>
      </c>
      <c r="G584" s="17">
        <v>10485.0</v>
      </c>
      <c r="H584" s="17"/>
      <c r="I584" s="17">
        <v>0.0</v>
      </c>
      <c r="J584" s="17"/>
      <c r="K584" s="17">
        <v>-1.7146</v>
      </c>
      <c r="L584" s="17">
        <v>-1.81945</v>
      </c>
      <c r="M584" s="17">
        <v>0.104849999999999</v>
      </c>
      <c r="N584" s="17"/>
      <c r="O584" s="14">
        <f t="shared" si="1"/>
        <v>-1.7146</v>
      </c>
      <c r="P584" s="86">
        <f t="array" ref="P584">iferror(XLOOKUP(C584,'Download of SFDC Activation Rep'!B:B,'Download of SFDC Activation Rep'!Z:Z),"")</f>
        <v>45809</v>
      </c>
      <c r="Q584" s="86">
        <f t="shared" si="2"/>
        <v>45809</v>
      </c>
      <c r="R584" s="13" t="str">
        <f t="shared" si="3"/>
        <v>Yes</v>
      </c>
      <c r="S584" s="86">
        <f t="array" ref="S584">iferror(XLOOKUP(C584,'Download of SFDC Activation Rep'!B:B,'Download of SFDC Activation Rep'!Y:Y),"")</f>
        <v>45819</v>
      </c>
    </row>
    <row r="585">
      <c r="A585" s="17" t="s">
        <v>17</v>
      </c>
      <c r="B585" s="85">
        <v>46174.0</v>
      </c>
      <c r="C585" s="17">
        <v>4474354.0</v>
      </c>
      <c r="D585" s="85">
        <v>46082.0</v>
      </c>
      <c r="E585" s="17">
        <v>1.0</v>
      </c>
      <c r="F585" s="17">
        <v>0.0</v>
      </c>
      <c r="G585" s="17">
        <v>240.0</v>
      </c>
      <c r="H585" s="17">
        <v>240.0</v>
      </c>
      <c r="I585" s="17">
        <v>6.96</v>
      </c>
      <c r="J585" s="17"/>
      <c r="K585" s="17">
        <v>5.0835</v>
      </c>
      <c r="L585" s="17">
        <v>5.0811</v>
      </c>
      <c r="M585" s="17">
        <v>0.00239999999999973</v>
      </c>
      <c r="N585" s="17"/>
      <c r="O585" s="14">
        <f t="shared" si="1"/>
        <v>5.0835</v>
      </c>
      <c r="P585" s="86">
        <f t="array" ref="P585">iferror(XLOOKUP(C585,'Download of SFDC Activation Rep'!B:B,'Download of SFDC Activation Rep'!Z:Z),"")</f>
        <v>46099</v>
      </c>
      <c r="Q585" s="86">
        <f t="shared" si="2"/>
        <v>46082</v>
      </c>
      <c r="R585" s="13" t="str">
        <f t="shared" si="3"/>
        <v>Yes</v>
      </c>
      <c r="S585" s="86">
        <f t="array" ref="S585">iferror(XLOOKUP(C585,'Download of SFDC Activation Rep'!B:B,'Download of SFDC Activation Rep'!Y:Y),"")</f>
        <v>46118</v>
      </c>
    </row>
    <row r="586">
      <c r="A586" s="17" t="s">
        <v>17</v>
      </c>
      <c r="B586" s="85">
        <v>46174.0</v>
      </c>
      <c r="C586" s="17">
        <v>4533194.0</v>
      </c>
      <c r="D586" s="85">
        <v>46113.0</v>
      </c>
      <c r="E586" s="17">
        <v>1.0</v>
      </c>
      <c r="F586" s="17">
        <v>0.0</v>
      </c>
      <c r="G586" s="17">
        <v>567.6</v>
      </c>
      <c r="H586" s="17">
        <v>567.6</v>
      </c>
      <c r="I586" s="17">
        <v>16.46</v>
      </c>
      <c r="K586" s="17">
        <v>1.1286</v>
      </c>
      <c r="L586" s="17">
        <v>0.82751499072</v>
      </c>
      <c r="M586" s="17">
        <v>0.30108500928</v>
      </c>
      <c r="N586" s="17"/>
      <c r="O586" s="14">
        <f t="shared" si="1"/>
        <v>1.1286</v>
      </c>
      <c r="P586" s="86">
        <f t="array" ref="P586">iferror(XLOOKUP(C586,'Download of SFDC Activation Rep'!B:B,'Download of SFDC Activation Rep'!Z:Z),"")</f>
        <v>46119</v>
      </c>
      <c r="Q586" s="86">
        <f t="shared" si="2"/>
        <v>46113</v>
      </c>
      <c r="R586" s="13" t="str">
        <f t="shared" si="3"/>
        <v>Yes</v>
      </c>
      <c r="S586" s="86">
        <f t="array" ref="S586">iferror(XLOOKUP(C586,'Download of SFDC Activation Rep'!B:B,'Download of SFDC Activation Rep'!Y:Y),"")</f>
        <v>46174</v>
      </c>
    </row>
    <row r="587">
      <c r="A587" s="17" t="s">
        <v>17</v>
      </c>
      <c r="B587" s="85">
        <v>46054.0</v>
      </c>
      <c r="C587" s="17">
        <v>4214658.0</v>
      </c>
      <c r="D587" s="85">
        <v>45962.0</v>
      </c>
      <c r="E587" s="17">
        <v>73.0</v>
      </c>
      <c r="F587" s="17">
        <v>73.0</v>
      </c>
      <c r="G587" s="17">
        <v>89068.11</v>
      </c>
      <c r="H587" s="17"/>
      <c r="I587" s="17">
        <v>0.0</v>
      </c>
      <c r="J587" s="17"/>
      <c r="K587" s="17">
        <v>-10.1402</v>
      </c>
      <c r="L587" s="17">
        <v>-11.0308811</v>
      </c>
      <c r="M587" s="17">
        <v>0.890681099999998</v>
      </c>
      <c r="N587" s="17"/>
      <c r="O587" s="14">
        <f t="shared" si="1"/>
        <v>-10.1402</v>
      </c>
      <c r="P587" s="86">
        <f t="array" ref="P587">iferror(XLOOKUP(C587,'Download of SFDC Activation Rep'!B:B,'Download of SFDC Activation Rep'!Z:Z),"")</f>
        <v>45973</v>
      </c>
      <c r="Q587" s="86">
        <f t="shared" si="2"/>
        <v>45962</v>
      </c>
      <c r="R587" s="13" t="str">
        <f t="shared" si="3"/>
        <v>Yes</v>
      </c>
      <c r="S587" s="86">
        <f t="array" ref="S587">iferror(XLOOKUP(C587,'Download of SFDC Activation Rep'!B:B,'Download of SFDC Activation Rep'!Y:Y),"")</f>
        <v>45968</v>
      </c>
    </row>
    <row r="588">
      <c r="A588" s="17" t="s">
        <v>17</v>
      </c>
      <c r="B588" s="85">
        <v>45962.0</v>
      </c>
      <c r="C588" s="17">
        <v>4079020.0</v>
      </c>
      <c r="D588" s="85">
        <v>45901.0</v>
      </c>
      <c r="E588" s="17">
        <v>1.0</v>
      </c>
      <c r="F588" s="17">
        <v>0.0</v>
      </c>
      <c r="G588" s="17">
        <v>7250.0</v>
      </c>
      <c r="H588" s="17">
        <v>7250.0</v>
      </c>
      <c r="I588" s="17">
        <v>210.25</v>
      </c>
      <c r="K588" s="17">
        <v>37.47</v>
      </c>
      <c r="L588" s="17">
        <v>37.3975</v>
      </c>
      <c r="M588" s="17">
        <v>0.072499999999998</v>
      </c>
      <c r="N588" s="17"/>
      <c r="O588" s="14">
        <f t="shared" si="1"/>
        <v>37.47</v>
      </c>
      <c r="P588" s="86">
        <f t="array" ref="P588">iferror(XLOOKUP(C588,'Download of SFDC Activation Rep'!B:B,'Download of SFDC Activation Rep'!Z:Z),"")</f>
        <v>45894</v>
      </c>
      <c r="Q588" s="86">
        <f t="shared" si="2"/>
        <v>45870</v>
      </c>
      <c r="R588" s="13" t="str">
        <f t="shared" si="3"/>
        <v>Yes</v>
      </c>
      <c r="S588" s="86">
        <f t="array" ref="S588">iferror(XLOOKUP(C588,'Download of SFDC Activation Rep'!B:B,'Download of SFDC Activation Rep'!Y:Y),"")</f>
        <v>45937</v>
      </c>
    </row>
    <row r="589">
      <c r="A589" s="17" t="s">
        <v>17</v>
      </c>
      <c r="B589" s="85">
        <v>46023.0</v>
      </c>
      <c r="C589" s="17">
        <v>3942346.0</v>
      </c>
      <c r="D589" s="85">
        <v>45809.0</v>
      </c>
      <c r="E589" s="17">
        <v>6.0</v>
      </c>
      <c r="F589" s="17">
        <v>6.0</v>
      </c>
      <c r="G589" s="17">
        <v>8470.66</v>
      </c>
      <c r="H589" s="17"/>
      <c r="I589" s="17">
        <v>129.18</v>
      </c>
      <c r="J589" s="17"/>
      <c r="K589" s="17">
        <v>110.4489</v>
      </c>
      <c r="L589" s="17">
        <v>108.620192546017</v>
      </c>
      <c r="M589" s="17">
        <v>1.82870745398274</v>
      </c>
      <c r="N589" s="17"/>
      <c r="O589" s="14">
        <f t="shared" si="1"/>
        <v>110.4489</v>
      </c>
      <c r="P589" s="86">
        <f t="array" ref="P589">iferror(XLOOKUP(C589,'Download of SFDC Activation Rep'!B:B,'Download of SFDC Activation Rep'!Z:Z),"")</f>
        <v>45809</v>
      </c>
      <c r="Q589" s="86">
        <f t="shared" si="2"/>
        <v>45809</v>
      </c>
      <c r="R589" s="13" t="str">
        <f t="shared" si="3"/>
        <v>Yes</v>
      </c>
      <c r="S589" s="86">
        <f t="array" ref="S589">iferror(XLOOKUP(C589,'Download of SFDC Activation Rep'!B:B,'Download of SFDC Activation Rep'!Y:Y),"")</f>
        <v>45812</v>
      </c>
    </row>
    <row r="590">
      <c r="A590" s="17" t="s">
        <v>17</v>
      </c>
      <c r="B590" s="85">
        <v>46054.0</v>
      </c>
      <c r="C590" s="17">
        <v>4161417.0</v>
      </c>
      <c r="D590" s="85">
        <v>46054.0</v>
      </c>
      <c r="E590" s="17">
        <v>1.0</v>
      </c>
      <c r="F590" s="17">
        <v>1.0</v>
      </c>
      <c r="G590" s="17">
        <v>3395.71</v>
      </c>
      <c r="H590" s="17"/>
      <c r="I590" s="17">
        <v>33.96</v>
      </c>
      <c r="J590" s="17"/>
      <c r="K590" s="17">
        <v>33.4938</v>
      </c>
      <c r="L590" s="17">
        <v>23.086503369443</v>
      </c>
      <c r="M590" s="17">
        <v>10.407296630557</v>
      </c>
      <c r="N590" s="17"/>
      <c r="O590" s="14">
        <f t="shared" si="1"/>
        <v>33.4938</v>
      </c>
      <c r="P590" s="86">
        <f t="array" ref="P590">iferror(XLOOKUP(C590,'Download of SFDC Activation Rep'!B:B,'Download of SFDC Activation Rep'!Z:Z),"")</f>
        <v>45964</v>
      </c>
      <c r="Q590" s="86">
        <f t="shared" si="2"/>
        <v>45962</v>
      </c>
      <c r="R590" s="13" t="str">
        <f t="shared" si="3"/>
        <v>Yes</v>
      </c>
      <c r="S590" s="86">
        <f t="array" ref="S590">iferror(XLOOKUP(C590,'Download of SFDC Activation Rep'!B:B,'Download of SFDC Activation Rep'!Y:Y),"")</f>
        <v>46034</v>
      </c>
    </row>
    <row r="591">
      <c r="A591" s="17" t="s">
        <v>17</v>
      </c>
      <c r="B591" s="85">
        <v>45962.0</v>
      </c>
      <c r="C591" s="17">
        <v>3942651.0</v>
      </c>
      <c r="D591" s="85">
        <v>45809.0</v>
      </c>
      <c r="E591" s="17">
        <v>6.0</v>
      </c>
      <c r="F591" s="17">
        <v>6.0</v>
      </c>
      <c r="G591" s="17">
        <v>3940.0</v>
      </c>
      <c r="H591" s="17"/>
      <c r="I591" s="17">
        <v>0.0</v>
      </c>
      <c r="J591" s="17"/>
      <c r="K591" s="17">
        <v>-0.8395</v>
      </c>
      <c r="L591" s="17">
        <v>-0.8789</v>
      </c>
      <c r="M591" s="17">
        <v>0.0394000000000001</v>
      </c>
      <c r="N591" s="17"/>
      <c r="O591" s="14">
        <f t="shared" si="1"/>
        <v>-0.8395</v>
      </c>
      <c r="P591" s="86">
        <f t="array" ref="P591">iferror(XLOOKUP(C591,'Download of SFDC Activation Rep'!B:B,'Download of SFDC Activation Rep'!Z:Z),"")</f>
        <v>45809</v>
      </c>
      <c r="Q591" s="86">
        <f t="shared" si="2"/>
        <v>45809</v>
      </c>
      <c r="R591" s="13" t="str">
        <f t="shared" si="3"/>
        <v>Yes</v>
      </c>
      <c r="S591" s="86">
        <f t="array" ref="S591">iferror(XLOOKUP(C591,'Download of SFDC Activation Rep'!B:B,'Download of SFDC Activation Rep'!Y:Y),"")</f>
        <v>45819</v>
      </c>
    </row>
    <row r="592">
      <c r="A592" s="17" t="s">
        <v>17</v>
      </c>
      <c r="B592" s="85">
        <v>45352.0</v>
      </c>
      <c r="C592" s="17">
        <v>3221188.0</v>
      </c>
      <c r="D592" s="85">
        <v>45323.0</v>
      </c>
      <c r="E592" s="17">
        <v>1.0</v>
      </c>
      <c r="F592" s="17">
        <v>1.0</v>
      </c>
      <c r="G592" s="17">
        <v>62.89</v>
      </c>
      <c r="H592" s="17"/>
      <c r="I592" s="17">
        <v>0.0</v>
      </c>
      <c r="J592" s="17"/>
      <c r="K592" s="17">
        <v>-0.5</v>
      </c>
      <c r="L592" s="17">
        <v>-0.530295843959204</v>
      </c>
      <c r="M592" s="17">
        <v>0.030295843959204</v>
      </c>
      <c r="N592" s="17"/>
      <c r="O592" s="14">
        <f t="shared" si="1"/>
        <v>-0.5</v>
      </c>
      <c r="P592" s="86">
        <f t="array" ref="P592">iferror(XLOOKUP(C592,'Download of SFDC Activation Rep'!B:B,'Download of SFDC Activation Rep'!Z:Z),"")</f>
        <v>46000</v>
      </c>
      <c r="Q592" s="86">
        <f t="shared" si="2"/>
        <v>45992</v>
      </c>
      <c r="R592" s="13" t="str">
        <f t="shared" si="3"/>
        <v>No</v>
      </c>
      <c r="S592" s="86">
        <f t="array" ref="S592">iferror(XLOOKUP(C592,'Download of SFDC Activation Rep'!B:B,'Download of SFDC Activation Rep'!Y:Y),"")</f>
        <v>46021</v>
      </c>
    </row>
    <row r="593">
      <c r="A593" s="17" t="s">
        <v>17</v>
      </c>
      <c r="B593" s="85">
        <v>45992.0</v>
      </c>
      <c r="C593" s="17">
        <v>3997416.0</v>
      </c>
      <c r="D593" s="85">
        <v>45839.0</v>
      </c>
      <c r="E593" s="17">
        <v>1.0</v>
      </c>
      <c r="F593" s="17">
        <v>0.0</v>
      </c>
      <c r="G593" s="17">
        <v>1100.0</v>
      </c>
      <c r="H593" s="17"/>
      <c r="I593" s="17">
        <v>31.9</v>
      </c>
      <c r="K593" s="17">
        <v>7.7762</v>
      </c>
      <c r="L593" s="17">
        <v>7.7652</v>
      </c>
      <c r="M593" s="17">
        <v>0.0110000000000001</v>
      </c>
      <c r="N593" s="17"/>
      <c r="O593" s="14">
        <f t="shared" si="1"/>
        <v>7.7762</v>
      </c>
      <c r="P593" s="86">
        <f t="array" ref="P593">iferror(XLOOKUP(C593,'Download of SFDC Activation Rep'!B:B,'Download of SFDC Activation Rep'!Z:Z),"")</f>
        <v>45876</v>
      </c>
      <c r="Q593" s="86">
        <f t="shared" si="2"/>
        <v>45870</v>
      </c>
      <c r="R593" s="13" t="str">
        <f t="shared" si="3"/>
        <v>Yes</v>
      </c>
      <c r="S593" s="86">
        <f t="array" ref="S593">iferror(XLOOKUP(C593,'Download of SFDC Activation Rep'!B:B,'Download of SFDC Activation Rep'!Y:Y),"")</f>
        <v>45849</v>
      </c>
    </row>
    <row r="594">
      <c r="A594" s="17" t="s">
        <v>17</v>
      </c>
      <c r="B594" s="85">
        <v>45505.0</v>
      </c>
      <c r="C594" s="17">
        <v>489723.0</v>
      </c>
      <c r="D594" s="85">
        <v>45200.0</v>
      </c>
      <c r="E594" s="17">
        <v>10.0</v>
      </c>
      <c r="F594" s="17">
        <v>10.0</v>
      </c>
      <c r="G594" s="17">
        <v>13809.06</v>
      </c>
      <c r="H594" s="17"/>
      <c r="I594" s="17">
        <v>0.0</v>
      </c>
      <c r="J594" s="17"/>
      <c r="K594" s="17">
        <v>-1.94</v>
      </c>
      <c r="L594" s="17">
        <v>-8.67888006654932</v>
      </c>
      <c r="M594" s="17">
        <v>6.73888006654932</v>
      </c>
      <c r="N594" s="17"/>
      <c r="O594" s="14">
        <f t="shared" si="1"/>
        <v>-1.94</v>
      </c>
      <c r="P594" s="86">
        <f t="array" ref="P594">iferror(XLOOKUP(C594,'Download of SFDC Activation Rep'!B:B,'Download of SFDC Activation Rep'!Z:Z),"")</f>
        <v>46112</v>
      </c>
      <c r="Q594" s="86">
        <f t="shared" si="2"/>
        <v>46082</v>
      </c>
      <c r="R594" s="13" t="str">
        <f t="shared" si="3"/>
        <v>No</v>
      </c>
      <c r="S594" s="86">
        <f t="array" ref="S594">iferror(XLOOKUP(C594,'Download of SFDC Activation Rep'!B:B,'Download of SFDC Activation Rep'!Y:Y),"")</f>
        <v>46204</v>
      </c>
    </row>
    <row r="595">
      <c r="A595" s="17" t="s">
        <v>17</v>
      </c>
      <c r="B595" s="85">
        <v>45901.0</v>
      </c>
      <c r="C595" s="17">
        <v>2967694.0</v>
      </c>
      <c r="D595" s="85">
        <v>45292.0</v>
      </c>
      <c r="E595" s="17">
        <v>6.0</v>
      </c>
      <c r="F595" s="17">
        <v>0.0</v>
      </c>
      <c r="G595" s="17">
        <v>95212.48</v>
      </c>
      <c r="H595" s="17">
        <v>95212.48</v>
      </c>
      <c r="I595" s="17">
        <v>2761.16</v>
      </c>
      <c r="J595" s="17"/>
      <c r="K595" s="17">
        <v>349.5558</v>
      </c>
      <c r="L595" s="17">
        <v>299.05007044699</v>
      </c>
      <c r="M595" s="17">
        <v>50.5057295530095</v>
      </c>
      <c r="N595" s="17"/>
      <c r="O595" s="14">
        <f t="shared" si="1"/>
        <v>349.5558</v>
      </c>
      <c r="P595" s="86">
        <f t="array" ref="P595">iferror(XLOOKUP(C595,'Download of SFDC Activation Rep'!B:B,'Download of SFDC Activation Rep'!Z:Z),"")</f>
        <v>45924</v>
      </c>
      <c r="Q595" s="86">
        <f t="shared" si="2"/>
        <v>45901</v>
      </c>
      <c r="R595" s="13" t="str">
        <f t="shared" si="3"/>
        <v>Yes</v>
      </c>
      <c r="S595" s="86">
        <f t="array" ref="S595">iferror(XLOOKUP(C595,'Download of SFDC Activation Rep'!B:B,'Download of SFDC Activation Rep'!Y:Y),"")</f>
        <v>46055</v>
      </c>
    </row>
    <row r="596">
      <c r="A596" s="17" t="s">
        <v>17</v>
      </c>
      <c r="B596" s="85">
        <v>46143.0</v>
      </c>
      <c r="C596" s="17">
        <v>2967694.0</v>
      </c>
      <c r="D596" s="85">
        <v>45292.0</v>
      </c>
      <c r="E596" s="17">
        <v>3.0</v>
      </c>
      <c r="F596" s="17">
        <v>0.0</v>
      </c>
      <c r="G596" s="17">
        <v>192666.2</v>
      </c>
      <c r="H596" s="17">
        <v>192666.2</v>
      </c>
      <c r="I596" s="17">
        <v>5408.32</v>
      </c>
      <c r="J596" s="17"/>
      <c r="K596" s="17">
        <v>172.6573</v>
      </c>
      <c r="L596" s="17">
        <v>70.45697474464</v>
      </c>
      <c r="M596" s="17">
        <v>102.20032525536</v>
      </c>
      <c r="N596" s="17"/>
      <c r="O596" s="14">
        <f t="shared" si="1"/>
        <v>172.6573</v>
      </c>
      <c r="P596" s="86">
        <f t="array" ref="P596">iferror(XLOOKUP(C596,'Download of SFDC Activation Rep'!B:B,'Download of SFDC Activation Rep'!Z:Z),"")</f>
        <v>45924</v>
      </c>
      <c r="Q596" s="86">
        <f t="shared" si="2"/>
        <v>45901</v>
      </c>
      <c r="R596" s="13" t="str">
        <f t="shared" si="3"/>
        <v>Yes</v>
      </c>
      <c r="S596" s="86">
        <f t="array" ref="S596">iferror(XLOOKUP(C596,'Download of SFDC Activation Rep'!B:B,'Download of SFDC Activation Rep'!Y:Y),"")</f>
        <v>46055</v>
      </c>
    </row>
    <row r="597">
      <c r="A597" s="17" t="s">
        <v>17</v>
      </c>
      <c r="B597" s="85">
        <v>46143.0</v>
      </c>
      <c r="C597" s="17">
        <v>4161223.0</v>
      </c>
      <c r="D597" s="85">
        <v>45931.0</v>
      </c>
      <c r="E597" s="17">
        <v>4.0</v>
      </c>
      <c r="F597" s="17">
        <v>4.0</v>
      </c>
      <c r="G597" s="17">
        <v>19250.0</v>
      </c>
      <c r="H597" s="17"/>
      <c r="I597" s="17">
        <v>0.0</v>
      </c>
      <c r="J597" s="17"/>
      <c r="K597" s="17">
        <v>-0.6063</v>
      </c>
      <c r="L597" s="17">
        <v>-3.622415025</v>
      </c>
      <c r="M597" s="17">
        <v>3.016115025</v>
      </c>
      <c r="N597" s="17"/>
      <c r="O597" s="14">
        <f t="shared" si="1"/>
        <v>-0.6063</v>
      </c>
      <c r="P597" s="86">
        <f t="array" ref="P597">iferror(XLOOKUP(C597,'Download of SFDC Activation Rep'!B:B,'Download of SFDC Activation Rep'!Z:Z),"")</f>
        <v>45937</v>
      </c>
      <c r="Q597" s="86">
        <f t="shared" si="2"/>
        <v>45931</v>
      </c>
      <c r="R597" s="13" t="str">
        <f t="shared" si="3"/>
        <v>Yes</v>
      </c>
      <c r="S597" s="86">
        <f t="array" ref="S597">iferror(XLOOKUP(C597,'Download of SFDC Activation Rep'!B:B,'Download of SFDC Activation Rep'!Y:Y),"")</f>
        <v>45947</v>
      </c>
    </row>
    <row r="598">
      <c r="A598" s="17" t="s">
        <v>19</v>
      </c>
      <c r="B598" s="85">
        <v>46113.0</v>
      </c>
      <c r="C598" s="17">
        <v>4134744.0</v>
      </c>
      <c r="D598" s="85">
        <v>45992.0</v>
      </c>
      <c r="E598" s="17">
        <v>85.0</v>
      </c>
      <c r="F598" s="17">
        <v>81.0</v>
      </c>
      <c r="G598" s="17">
        <v>125663.05</v>
      </c>
      <c r="H598" s="17">
        <v>3459.18</v>
      </c>
      <c r="I598" s="17">
        <v>241.267894</v>
      </c>
      <c r="J598" s="17">
        <v>0.5</v>
      </c>
      <c r="K598" s="17">
        <v>137.2875</v>
      </c>
      <c r="L598" s="17">
        <v>118.434746013984</v>
      </c>
      <c r="M598" s="17">
        <v>18.852753986016</v>
      </c>
      <c r="N598" s="17">
        <v>7.99999999999999</v>
      </c>
      <c r="O598" s="14">
        <f t="shared" si="1"/>
        <v>167.77217</v>
      </c>
      <c r="P598" s="86">
        <f t="array" ref="P598">iferror(XLOOKUP(C598,'Download of SFDC Activation Rep'!B:B,'Download of SFDC Activation Rep'!Z:Z),"")</f>
        <v>45896</v>
      </c>
      <c r="Q598" s="86">
        <f t="shared" si="2"/>
        <v>45870</v>
      </c>
      <c r="R598" s="13" t="str">
        <f t="shared" si="3"/>
        <v>Yes</v>
      </c>
      <c r="S598" s="86">
        <f t="array" ref="S598">iferror(XLOOKUP(C598,'Download of SFDC Activation Rep'!B:B,'Download of SFDC Activation Rep'!Y:Y),"")</f>
        <v>46009</v>
      </c>
    </row>
    <row r="599">
      <c r="A599" s="17" t="s">
        <v>489</v>
      </c>
      <c r="B599" s="85">
        <v>46023.0</v>
      </c>
      <c r="C599" s="17">
        <v>3024156.0</v>
      </c>
      <c r="D599" s="85">
        <v>45901.0</v>
      </c>
      <c r="E599" s="17">
        <v>25.0</v>
      </c>
      <c r="F599" s="17">
        <v>25.0</v>
      </c>
      <c r="G599" s="17">
        <v>52645.41</v>
      </c>
      <c r="H599" s="17"/>
      <c r="I599" s="17">
        <v>50.178904</v>
      </c>
      <c r="J599" s="17"/>
      <c r="K599" s="17">
        <v>39.7849</v>
      </c>
      <c r="L599" s="17">
        <v>26.9524385543318</v>
      </c>
      <c r="M599" s="17">
        <v>12.8324614456681</v>
      </c>
      <c r="N599" s="17">
        <v>65.0</v>
      </c>
      <c r="O599" s="14">
        <f t="shared" si="1"/>
        <v>104.7849</v>
      </c>
      <c r="P599" s="86">
        <f t="array" ref="P599">iferror(XLOOKUP(C599,'Download of SFDC Activation Rep'!B:B,'Download of SFDC Activation Rep'!Z:Z),"")</f>
        <v>45897</v>
      </c>
      <c r="Q599" s="86">
        <f t="shared" si="2"/>
        <v>45870</v>
      </c>
      <c r="R599" s="13" t="str">
        <f t="shared" si="3"/>
        <v>Yes</v>
      </c>
      <c r="S599" s="86">
        <f t="array" ref="S599">iferror(XLOOKUP(C599,'Download of SFDC Activation Rep'!B:B,'Download of SFDC Activation Rep'!Y:Y),"")</f>
        <v>45916</v>
      </c>
    </row>
    <row r="600">
      <c r="A600" s="17" t="s">
        <v>488</v>
      </c>
      <c r="B600" s="85">
        <v>45992.0</v>
      </c>
      <c r="C600" s="17">
        <v>3959338.0</v>
      </c>
      <c r="D600" s="85">
        <v>45839.0</v>
      </c>
      <c r="E600" s="17">
        <v>50.0</v>
      </c>
      <c r="F600" s="17">
        <v>50.0</v>
      </c>
      <c r="G600" s="17">
        <v>63503.0</v>
      </c>
      <c r="H600" s="17"/>
      <c r="I600" s="17">
        <v>134.61</v>
      </c>
      <c r="J600" s="17">
        <v>1.5</v>
      </c>
      <c r="K600" s="17">
        <v>121.5007</v>
      </c>
      <c r="L600" s="17">
        <v>93.4780628864775</v>
      </c>
      <c r="M600" s="17">
        <v>28.0226371135224</v>
      </c>
      <c r="N600" s="17">
        <v>25.0</v>
      </c>
      <c r="O600" s="14">
        <f t="shared" si="1"/>
        <v>146.5007</v>
      </c>
      <c r="P600" s="86">
        <f t="array" ref="P600">iferror(XLOOKUP(C600,'Download of SFDC Activation Rep'!B:B,'Download of SFDC Activation Rep'!Z:Z),"")</f>
        <v>45839</v>
      </c>
      <c r="Q600" s="86">
        <f t="shared" si="2"/>
        <v>45839</v>
      </c>
      <c r="R600" s="13" t="str">
        <f t="shared" si="3"/>
        <v>Yes</v>
      </c>
      <c r="S600" s="86">
        <f t="array" ref="S600">iferror(XLOOKUP(C600,'Download of SFDC Activation Rep'!B:B,'Download of SFDC Activation Rep'!Y:Y),"")</f>
        <v>45841</v>
      </c>
    </row>
    <row r="601">
      <c r="A601" s="17" t="s">
        <v>17</v>
      </c>
      <c r="B601" s="85">
        <v>45962.0</v>
      </c>
      <c r="C601" s="17">
        <v>4154266.0</v>
      </c>
      <c r="D601" s="85">
        <v>45931.0</v>
      </c>
      <c r="E601" s="17">
        <v>18.0</v>
      </c>
      <c r="F601" s="17">
        <v>3.0</v>
      </c>
      <c r="G601" s="17">
        <v>4952.1</v>
      </c>
      <c r="H601" s="17">
        <v>871.55</v>
      </c>
      <c r="I601" s="17">
        <v>125.08</v>
      </c>
      <c r="J601" s="17"/>
      <c r="K601" s="17">
        <v>82.1215</v>
      </c>
      <c r="L601" s="17">
        <v>82.071979</v>
      </c>
      <c r="M601" s="17">
        <v>0.0495209999999843</v>
      </c>
      <c r="N601" s="17">
        <v>0.0</v>
      </c>
      <c r="O601" s="14">
        <f t="shared" si="1"/>
        <v>82.1215</v>
      </c>
      <c r="P601" s="86">
        <f t="array" ref="P601">iferror(XLOOKUP(C601,'Download of SFDC Activation Rep'!B:B,'Download of SFDC Activation Rep'!Z:Z),"")</f>
        <v>45895</v>
      </c>
      <c r="Q601" s="86">
        <f t="shared" si="2"/>
        <v>45870</v>
      </c>
      <c r="R601" s="13" t="str">
        <f t="shared" si="3"/>
        <v>Yes</v>
      </c>
      <c r="S601" s="86">
        <f t="array" ref="S601">iferror(XLOOKUP(C601,'Download of SFDC Activation Rep'!B:B,'Download of SFDC Activation Rep'!Y:Y),"")</f>
        <v>45954</v>
      </c>
    </row>
    <row r="602">
      <c r="A602" s="17" t="s">
        <v>488</v>
      </c>
      <c r="B602" s="85">
        <v>46174.0</v>
      </c>
      <c r="C602" s="17">
        <v>2340816.0</v>
      </c>
      <c r="D602" s="85">
        <v>45931.0</v>
      </c>
      <c r="E602" s="17">
        <v>10.0</v>
      </c>
      <c r="F602" s="17">
        <v>10.0</v>
      </c>
      <c r="G602" s="17">
        <v>4988.31</v>
      </c>
      <c r="H602" s="17"/>
      <c r="I602" s="17">
        <v>7.62</v>
      </c>
      <c r="J602" s="17"/>
      <c r="K602" s="17">
        <v>3.2683</v>
      </c>
      <c r="L602" s="17">
        <v>2.12622923023699</v>
      </c>
      <c r="M602" s="17">
        <v>1.142070769763</v>
      </c>
      <c r="N602" s="17">
        <v>20.0</v>
      </c>
      <c r="O602" s="14">
        <f t="shared" si="1"/>
        <v>23.2683</v>
      </c>
      <c r="P602" s="86">
        <f t="array" ref="P602">iferror(XLOOKUP(C602,'Download of SFDC Activation Rep'!B:B,'Download of SFDC Activation Rep'!Z:Z),"")</f>
        <v>45929</v>
      </c>
      <c r="Q602" s="86">
        <f t="shared" si="2"/>
        <v>45901</v>
      </c>
      <c r="R602" s="13" t="str">
        <f t="shared" si="3"/>
        <v>Yes</v>
      </c>
      <c r="S602" s="86">
        <f t="array" ref="S602">iferror(XLOOKUP(C602,'Download of SFDC Activation Rep'!B:B,'Download of SFDC Activation Rep'!Y:Y),"")</f>
        <v>45936</v>
      </c>
    </row>
    <row r="603">
      <c r="A603" s="17" t="s">
        <v>488</v>
      </c>
      <c r="B603" s="85">
        <v>45870.0</v>
      </c>
      <c r="C603" s="17">
        <v>4039652.0</v>
      </c>
      <c r="D603" s="85">
        <v>45870.0</v>
      </c>
      <c r="E603" s="17">
        <v>6.0</v>
      </c>
      <c r="F603" s="17">
        <v>2.0</v>
      </c>
      <c r="G603" s="17">
        <v>7078.75</v>
      </c>
      <c r="H603" s="17">
        <v>840.0</v>
      </c>
      <c r="I603" s="17">
        <v>111.9</v>
      </c>
      <c r="J603" s="17"/>
      <c r="K603" s="17">
        <v>12.9026</v>
      </c>
      <c r="L603" s="17">
        <v>10.3512012017466</v>
      </c>
      <c r="M603" s="17">
        <v>2.55139879825337</v>
      </c>
      <c r="N603" s="17">
        <v>2.49999999999999</v>
      </c>
      <c r="O603" s="14">
        <f t="shared" si="1"/>
        <v>15.4026</v>
      </c>
      <c r="P603" s="86">
        <f t="array" ref="P603">iferror(XLOOKUP(C603,'Download of SFDC Activation Rep'!B:B,'Download of SFDC Activation Rep'!Z:Z),"")</f>
        <v>45863</v>
      </c>
      <c r="Q603" s="86">
        <f t="shared" si="2"/>
        <v>45839</v>
      </c>
      <c r="R603" s="13" t="str">
        <f t="shared" si="3"/>
        <v>Yes</v>
      </c>
      <c r="S603" s="86">
        <f t="array" ref="S603">iferror(XLOOKUP(C603,'Download of SFDC Activation Rep'!B:B,'Download of SFDC Activation Rep'!Y:Y),"")</f>
        <v>45880</v>
      </c>
    </row>
    <row r="604">
      <c r="A604" s="17" t="s">
        <v>489</v>
      </c>
      <c r="B604" s="85">
        <v>45962.0</v>
      </c>
      <c r="C604" s="17">
        <v>3024156.0</v>
      </c>
      <c r="D604" s="85">
        <v>45901.0</v>
      </c>
      <c r="E604" s="17">
        <v>23.0</v>
      </c>
      <c r="F604" s="17">
        <v>23.0</v>
      </c>
      <c r="G604" s="17">
        <v>130860.51</v>
      </c>
      <c r="H604" s="17"/>
      <c r="I604" s="17">
        <v>16.5</v>
      </c>
      <c r="J604" s="17"/>
      <c r="K604" s="17">
        <v>3.45689999999999</v>
      </c>
      <c r="L604" s="17">
        <v>-16.7977265628209</v>
      </c>
      <c r="M604" s="17">
        <v>20.2546265628209</v>
      </c>
      <c r="N604" s="17">
        <v>65.0</v>
      </c>
      <c r="O604" s="14">
        <f t="shared" si="1"/>
        <v>68.4569</v>
      </c>
      <c r="P604" s="86">
        <f t="array" ref="P604">iferror(XLOOKUP(C604,'Download of SFDC Activation Rep'!B:B,'Download of SFDC Activation Rep'!Z:Z),"")</f>
        <v>45897</v>
      </c>
      <c r="Q604" s="86">
        <f t="shared" si="2"/>
        <v>45870</v>
      </c>
      <c r="R604" s="13" t="str">
        <f t="shared" si="3"/>
        <v>Yes</v>
      </c>
      <c r="S604" s="86">
        <f t="array" ref="S604">iferror(XLOOKUP(C604,'Download of SFDC Activation Rep'!B:B,'Download of SFDC Activation Rep'!Y:Y),"")</f>
        <v>45916</v>
      </c>
    </row>
    <row r="605">
      <c r="A605" s="17" t="s">
        <v>17</v>
      </c>
      <c r="B605" s="85">
        <v>45962.0</v>
      </c>
      <c r="C605" s="17">
        <v>4011819.0</v>
      </c>
      <c r="D605" s="85">
        <v>45839.0</v>
      </c>
      <c r="E605" s="17">
        <v>6.0</v>
      </c>
      <c r="F605" s="17">
        <v>0.0</v>
      </c>
      <c r="G605" s="17">
        <v>7648.12</v>
      </c>
      <c r="H605" s="17">
        <v>7574.4</v>
      </c>
      <c r="I605" s="17">
        <v>221.79</v>
      </c>
      <c r="J605" s="17"/>
      <c r="K605" s="17">
        <v>35.3711</v>
      </c>
      <c r="L605" s="17">
        <v>31.352500877631</v>
      </c>
      <c r="M605" s="17">
        <v>4.01859912236896</v>
      </c>
      <c r="N605" s="17">
        <v>25.0</v>
      </c>
      <c r="O605" s="14">
        <f t="shared" si="1"/>
        <v>60.3711</v>
      </c>
      <c r="P605" s="86">
        <f t="array" ref="P605">iferror(XLOOKUP(C605,'Download of SFDC Activation Rep'!B:B,'Download of SFDC Activation Rep'!Z:Z),"")</f>
        <v>45849</v>
      </c>
      <c r="Q605" s="86">
        <f t="shared" si="2"/>
        <v>45839</v>
      </c>
      <c r="R605" s="13" t="str">
        <f t="shared" si="3"/>
        <v>Yes</v>
      </c>
      <c r="S605" s="86">
        <f t="array" ref="S605">iferror(XLOOKUP(C605,'Download of SFDC Activation Rep'!B:B,'Download of SFDC Activation Rep'!Y:Y),"")</f>
        <v>45849</v>
      </c>
    </row>
    <row r="606">
      <c r="A606" s="17" t="s">
        <v>488</v>
      </c>
      <c r="B606" s="85">
        <v>46054.0</v>
      </c>
      <c r="C606" s="17">
        <v>4327510.0</v>
      </c>
      <c r="D606" s="85">
        <v>46023.0</v>
      </c>
      <c r="E606" s="17">
        <v>26.0</v>
      </c>
      <c r="F606" s="17">
        <v>23.0</v>
      </c>
      <c r="G606" s="17">
        <v>11312.15</v>
      </c>
      <c r="H606" s="17">
        <v>1277.2</v>
      </c>
      <c r="I606" s="17">
        <v>88.21</v>
      </c>
      <c r="J606" s="17"/>
      <c r="K606" s="17">
        <v>-7.31919999999999</v>
      </c>
      <c r="L606" s="17">
        <v>-7.4323215</v>
      </c>
      <c r="M606" s="17">
        <v>0.113121500000001</v>
      </c>
      <c r="N606" s="17">
        <v>35.0</v>
      </c>
      <c r="O606" s="14">
        <f t="shared" si="1"/>
        <v>35.9826</v>
      </c>
      <c r="P606" s="86">
        <f t="array" ref="P606">iferror(XLOOKUP(C606,'Download of SFDC Activation Rep'!B:B,'Download of SFDC Activation Rep'!Z:Z),"")</f>
        <v>46021</v>
      </c>
      <c r="Q606" s="86">
        <f t="shared" si="2"/>
        <v>45992</v>
      </c>
      <c r="R606" s="13" t="str">
        <f t="shared" si="3"/>
        <v>Yes</v>
      </c>
      <c r="S606" s="86">
        <f t="array" ref="S606">iferror(XLOOKUP(C606,'Download of SFDC Activation Rep'!B:B,'Download of SFDC Activation Rep'!Y:Y),"")</f>
        <v>46037</v>
      </c>
    </row>
    <row r="607">
      <c r="A607" s="17" t="s">
        <v>488</v>
      </c>
      <c r="B607" s="85">
        <v>46082.0</v>
      </c>
      <c r="C607" s="17">
        <v>4136952.0</v>
      </c>
      <c r="D607" s="85">
        <v>45931.0</v>
      </c>
      <c r="E607" s="17">
        <v>5.0</v>
      </c>
      <c r="F607" s="17">
        <v>5.0</v>
      </c>
      <c r="G607" s="17">
        <v>6706.66</v>
      </c>
      <c r="H607" s="17"/>
      <c r="I607" s="17">
        <v>0.0</v>
      </c>
      <c r="J607" s="17"/>
      <c r="K607" s="17">
        <v>-0.5356</v>
      </c>
      <c r="L607" s="17">
        <v>-1.58640820745799</v>
      </c>
      <c r="M607" s="17">
        <v>1.05080820745799</v>
      </c>
      <c r="N607" s="17">
        <v>35.0</v>
      </c>
      <c r="O607" s="14">
        <f t="shared" si="1"/>
        <v>34.4644</v>
      </c>
      <c r="P607" s="86">
        <f t="array" ref="P607">iferror(XLOOKUP(C607,'Download of SFDC Activation Rep'!B:B,'Download of SFDC Activation Rep'!Z:Z),"")</f>
        <v>45930</v>
      </c>
      <c r="Q607" s="86">
        <f t="shared" si="2"/>
        <v>45901</v>
      </c>
      <c r="R607" s="13" t="str">
        <f t="shared" si="3"/>
        <v>Yes</v>
      </c>
      <c r="S607" s="86">
        <f t="array" ref="S607">iferror(XLOOKUP(C607,'Download of SFDC Activation Rep'!B:B,'Download of SFDC Activation Rep'!Y:Y),"")</f>
        <v>45938</v>
      </c>
    </row>
    <row r="608">
      <c r="A608" s="17" t="s">
        <v>488</v>
      </c>
      <c r="B608" s="85">
        <v>46082.0</v>
      </c>
      <c r="C608" s="17">
        <v>4369936.0</v>
      </c>
      <c r="D608" s="85">
        <v>46054.0</v>
      </c>
      <c r="E608" s="17">
        <v>1.0</v>
      </c>
      <c r="F608" s="17">
        <v>0.0</v>
      </c>
      <c r="G608" s="17">
        <v>300.0</v>
      </c>
      <c r="H608" s="17"/>
      <c r="I608" s="17">
        <v>8.7</v>
      </c>
      <c r="J608" s="17"/>
      <c r="K608" s="17">
        <v>6.2588</v>
      </c>
      <c r="L608" s="17">
        <v>6.2558</v>
      </c>
      <c r="M608" s="17">
        <v>0.00300000000000011</v>
      </c>
      <c r="N608" s="17">
        <v>35.0</v>
      </c>
      <c r="O608" s="14">
        <f t="shared" si="1"/>
        <v>41.2588</v>
      </c>
      <c r="P608" s="86">
        <f t="array" ref="P608">iferror(XLOOKUP(C608,'Download of SFDC Activation Rep'!B:B,'Download of SFDC Activation Rep'!Z:Z),"")</f>
        <v>46059</v>
      </c>
      <c r="Q608" s="86">
        <f t="shared" si="2"/>
        <v>46054</v>
      </c>
      <c r="R608" s="13" t="str">
        <f t="shared" si="3"/>
        <v>Yes</v>
      </c>
      <c r="S608" s="86">
        <f t="array" ref="S608">iferror(XLOOKUP(C608,'Download of SFDC Activation Rep'!B:B,'Download of SFDC Activation Rep'!Y:Y),"")</f>
        <v>46059</v>
      </c>
    </row>
    <row r="609">
      <c r="A609" s="17" t="s">
        <v>488</v>
      </c>
      <c r="B609" s="85">
        <v>46113.0</v>
      </c>
      <c r="C609" s="17">
        <v>4314059.0</v>
      </c>
      <c r="D609" s="85">
        <v>46023.0</v>
      </c>
      <c r="E609" s="17">
        <v>10.0</v>
      </c>
      <c r="F609" s="17">
        <v>0.0</v>
      </c>
      <c r="G609" s="17">
        <v>123690.0</v>
      </c>
      <c r="H609" s="17"/>
      <c r="I609" s="17">
        <v>3628.01</v>
      </c>
      <c r="J609" s="17"/>
      <c r="K609" s="17">
        <v>308.2657</v>
      </c>
      <c r="L609" s="17">
        <v>230.730556027999</v>
      </c>
      <c r="M609" s="17">
        <v>77.535143972</v>
      </c>
      <c r="N609" s="17">
        <v>35.0</v>
      </c>
      <c r="O609" s="14">
        <f t="shared" si="1"/>
        <v>343.2657</v>
      </c>
      <c r="P609" s="86">
        <f t="array" ref="P609">iferror(XLOOKUP(C609,'Download of SFDC Activation Rep'!B:B,'Download of SFDC Activation Rep'!Z:Z),"")</f>
        <v>46027</v>
      </c>
      <c r="Q609" s="86">
        <f t="shared" si="2"/>
        <v>46023</v>
      </c>
      <c r="R609" s="13" t="str">
        <f t="shared" si="3"/>
        <v>Yes</v>
      </c>
      <c r="S609" s="86">
        <f t="array" ref="S609">iferror(XLOOKUP(C609,'Download of SFDC Activation Rep'!B:B,'Download of SFDC Activation Rep'!Y:Y),"")</f>
        <v>46043</v>
      </c>
    </row>
    <row r="610">
      <c r="A610" s="17" t="s">
        <v>19</v>
      </c>
      <c r="B610" s="85">
        <v>46082.0</v>
      </c>
      <c r="C610" s="17">
        <v>3946131.0</v>
      </c>
      <c r="D610" s="85">
        <v>45809.0</v>
      </c>
      <c r="E610" s="17">
        <v>85.0</v>
      </c>
      <c r="F610" s="17">
        <v>85.0</v>
      </c>
      <c r="G610" s="17">
        <v>376894.07</v>
      </c>
      <c r="H610" s="17"/>
      <c r="I610" s="17">
        <v>36.0</v>
      </c>
      <c r="K610" s="17">
        <v>-58.4103999999999</v>
      </c>
      <c r="L610" s="17">
        <v>-117.132692849891</v>
      </c>
      <c r="M610" s="17">
        <v>58.722292849891</v>
      </c>
      <c r="N610" s="17">
        <v>6.39999999999999</v>
      </c>
      <c r="O610" s="14">
        <f t="shared" si="1"/>
        <v>-52.0104</v>
      </c>
      <c r="P610" s="86">
        <f t="array" ref="P610">iferror(XLOOKUP(C610,'Download of SFDC Activation Rep'!B:B,'Download of SFDC Activation Rep'!Z:Z),"")</f>
        <v>45805</v>
      </c>
      <c r="Q610" s="86">
        <f t="shared" si="2"/>
        <v>45778</v>
      </c>
      <c r="R610" s="13" t="str">
        <f t="shared" si="3"/>
        <v>Yes</v>
      </c>
      <c r="S610" s="86">
        <f t="array" ref="S610">iferror(XLOOKUP(C610,'Download of SFDC Activation Rep'!B:B,'Download of SFDC Activation Rep'!Y:Y),"")</f>
        <v>45805</v>
      </c>
    </row>
    <row r="611">
      <c r="A611" s="17" t="s">
        <v>488</v>
      </c>
      <c r="B611" s="85">
        <v>46082.0</v>
      </c>
      <c r="C611" s="17">
        <v>4327510.0</v>
      </c>
      <c r="D611" s="85">
        <v>46023.0</v>
      </c>
      <c r="E611" s="17">
        <v>23.0</v>
      </c>
      <c r="F611" s="17">
        <v>18.0</v>
      </c>
      <c r="G611" s="17">
        <v>4734.49</v>
      </c>
      <c r="H611" s="17">
        <v>27.9</v>
      </c>
      <c r="I611" s="17">
        <v>7.77</v>
      </c>
      <c r="J611" s="17"/>
      <c r="K611" s="17">
        <v>-5.5382</v>
      </c>
      <c r="L611" s="17">
        <v>-5.58554489999999</v>
      </c>
      <c r="M611" s="17">
        <v>0.0473448999999988</v>
      </c>
      <c r="N611" s="17">
        <v>35.0</v>
      </c>
      <c r="O611" s="14">
        <f t="shared" si="1"/>
        <v>29.64315</v>
      </c>
      <c r="P611" s="86">
        <f t="array" ref="P611">iferror(XLOOKUP(C611,'Download of SFDC Activation Rep'!B:B,'Download of SFDC Activation Rep'!Z:Z),"")</f>
        <v>46021</v>
      </c>
      <c r="Q611" s="86">
        <f t="shared" si="2"/>
        <v>45992</v>
      </c>
      <c r="R611" s="13" t="str">
        <f t="shared" si="3"/>
        <v>Yes</v>
      </c>
      <c r="S611" s="86">
        <f t="array" ref="S611">iferror(XLOOKUP(C611,'Download of SFDC Activation Rep'!B:B,'Download of SFDC Activation Rep'!Y:Y),"")</f>
        <v>46037</v>
      </c>
    </row>
    <row r="612">
      <c r="A612" s="17"/>
      <c r="B612" s="85">
        <v>45992.0</v>
      </c>
      <c r="C612" s="17">
        <v>4255268.0</v>
      </c>
      <c r="D612" s="85">
        <v>45992.0</v>
      </c>
      <c r="E612" s="17">
        <v>2.0</v>
      </c>
      <c r="F612" s="17">
        <v>2.0</v>
      </c>
      <c r="G612" s="17">
        <v>12090.0</v>
      </c>
      <c r="H612" s="17"/>
      <c r="I612" s="17">
        <v>0.0</v>
      </c>
      <c r="J612" s="17"/>
      <c r="K612" s="17">
        <v>-0.288599999999999</v>
      </c>
      <c r="L612" s="17">
        <v>-2.18287748402099</v>
      </c>
      <c r="M612" s="17">
        <v>1.89427748402099</v>
      </c>
      <c r="N612" s="17">
        <v>0.0</v>
      </c>
      <c r="O612" s="14">
        <f t="shared" si="1"/>
        <v>-0.2886</v>
      </c>
      <c r="P612" s="86">
        <f t="array" ref="P612">iferror(XLOOKUP(C612,'Download of SFDC Activation Rep'!B:B,'Download of SFDC Activation Rep'!Z:Z),"")</f>
        <v>45973</v>
      </c>
      <c r="Q612" s="86">
        <f t="shared" si="2"/>
        <v>45962</v>
      </c>
      <c r="R612" s="13" t="str">
        <f t="shared" si="3"/>
        <v>Yes</v>
      </c>
      <c r="S612" s="86">
        <f t="array" ref="S612">iferror(XLOOKUP(C612,'Download of SFDC Activation Rep'!B:B,'Download of SFDC Activation Rep'!Y:Y),"")</f>
        <v>45995</v>
      </c>
    </row>
    <row r="613">
      <c r="A613" s="17" t="s">
        <v>17</v>
      </c>
      <c r="B613" s="85">
        <v>46113.0</v>
      </c>
      <c r="C613" s="17">
        <v>4169152.0</v>
      </c>
      <c r="D613" s="85">
        <v>45931.0</v>
      </c>
      <c r="E613" s="17">
        <v>7.0</v>
      </c>
      <c r="F613" s="17">
        <v>0.0</v>
      </c>
      <c r="G613" s="17">
        <v>30918.4</v>
      </c>
      <c r="H613" s="17">
        <v>30918.4</v>
      </c>
      <c r="I613" s="17">
        <v>982.95</v>
      </c>
      <c r="J613" s="17"/>
      <c r="K613" s="17">
        <v>52.9303999999999</v>
      </c>
      <c r="L613" s="17">
        <v>11.4264507356799</v>
      </c>
      <c r="M613" s="17">
        <v>41.50394926432</v>
      </c>
      <c r="N613" s="17">
        <v>25.0</v>
      </c>
      <c r="O613" s="14">
        <f t="shared" si="1"/>
        <v>278.9</v>
      </c>
      <c r="P613" s="86">
        <f t="array" ref="P613">iferror(XLOOKUP(C613,'Download of SFDC Activation Rep'!B:B,'Download of SFDC Activation Rep'!Z:Z),"")</f>
        <v>45940</v>
      </c>
      <c r="Q613" s="86">
        <f t="shared" si="2"/>
        <v>45931</v>
      </c>
      <c r="R613" s="13" t="str">
        <f t="shared" si="3"/>
        <v>Yes</v>
      </c>
      <c r="S613" s="86">
        <f t="array" ref="S613">iferror(XLOOKUP(C613,'Download of SFDC Activation Rep'!B:B,'Download of SFDC Activation Rep'!Y:Y),"")</f>
        <v>45958</v>
      </c>
    </row>
    <row r="614">
      <c r="A614" s="17" t="s">
        <v>488</v>
      </c>
      <c r="B614" s="85">
        <v>46143.0</v>
      </c>
      <c r="C614" s="17">
        <v>3968250.0</v>
      </c>
      <c r="D614" s="85">
        <v>45809.0</v>
      </c>
      <c r="E614" s="17">
        <v>26.0</v>
      </c>
      <c r="F614" s="17">
        <v>26.0</v>
      </c>
      <c r="G614" s="17">
        <v>51462.38</v>
      </c>
      <c r="H614" s="17"/>
      <c r="I614" s="17">
        <v>65.99</v>
      </c>
      <c r="J614" s="17"/>
      <c r="K614" s="17">
        <v>61.4215999999999</v>
      </c>
      <c r="L614" s="17">
        <v>48.9342252513839</v>
      </c>
      <c r="M614" s="17">
        <v>12.4873747486159</v>
      </c>
      <c r="N614" s="17">
        <v>6.39999999999999</v>
      </c>
      <c r="O614" s="14">
        <f t="shared" si="1"/>
        <v>67.8216</v>
      </c>
      <c r="P614" s="86">
        <f t="array" ref="P614">iferror(XLOOKUP(C614,'Download of SFDC Activation Rep'!B:B,'Download of SFDC Activation Rep'!Z:Z),"")</f>
        <v>45809</v>
      </c>
      <c r="Q614" s="86">
        <f t="shared" si="2"/>
        <v>45809</v>
      </c>
      <c r="R614" s="13" t="str">
        <f t="shared" si="3"/>
        <v>Yes</v>
      </c>
      <c r="S614" s="86">
        <f t="array" ref="S614">iferror(XLOOKUP(C614,'Download of SFDC Activation Rep'!B:B,'Download of SFDC Activation Rep'!Y:Y),"")</f>
        <v>45826</v>
      </c>
    </row>
    <row r="615">
      <c r="A615" s="17" t="s">
        <v>488</v>
      </c>
      <c r="B615" s="85">
        <v>46143.0</v>
      </c>
      <c r="C615" s="17">
        <v>4443098.0</v>
      </c>
      <c r="D615" s="85">
        <v>46054.0</v>
      </c>
      <c r="E615" s="17">
        <v>3.0</v>
      </c>
      <c r="F615" s="17">
        <v>0.0</v>
      </c>
      <c r="G615" s="17">
        <v>85518.64</v>
      </c>
      <c r="H615" s="17">
        <v>85518.64</v>
      </c>
      <c r="I615" s="17">
        <v>2555.04</v>
      </c>
      <c r="J615" s="17"/>
      <c r="K615" s="17">
        <v>499.044</v>
      </c>
      <c r="L615" s="17">
        <v>424.598843959808</v>
      </c>
      <c r="M615" s="17">
        <v>74.4451560401919</v>
      </c>
      <c r="N615" s="17">
        <v>36.0</v>
      </c>
      <c r="O615" s="14">
        <f t="shared" si="1"/>
        <v>535.044</v>
      </c>
      <c r="P615" s="86">
        <f t="array" ref="P615">iferror(XLOOKUP(C615,'Download of SFDC Activation Rep'!B:B,'Download of SFDC Activation Rep'!Z:Z),"")</f>
        <v>46197</v>
      </c>
      <c r="Q615" s="86">
        <f t="shared" si="2"/>
        <v>46174</v>
      </c>
      <c r="R615" s="13" t="str">
        <f t="shared" si="3"/>
        <v>No</v>
      </c>
      <c r="S615" s="86">
        <f t="array" ref="S615">iferror(XLOOKUP(C615,'Download of SFDC Activation Rep'!B:B,'Download of SFDC Activation Rep'!Y:Y),"")</f>
        <v>46361</v>
      </c>
    </row>
    <row r="616">
      <c r="A616" s="17" t="s">
        <v>489</v>
      </c>
      <c r="B616" s="85">
        <v>45931.0</v>
      </c>
      <c r="C616" s="17">
        <v>3543707.0</v>
      </c>
      <c r="D616" s="85">
        <v>45901.0</v>
      </c>
      <c r="E616" s="17">
        <v>54.0</v>
      </c>
      <c r="F616" s="17">
        <v>54.0</v>
      </c>
      <c r="G616" s="17">
        <v>169273.23</v>
      </c>
      <c r="H616" s="17"/>
      <c r="I616" s="17">
        <v>39.75</v>
      </c>
      <c r="J616" s="17">
        <v>1.0</v>
      </c>
      <c r="K616" s="17">
        <v>34.37</v>
      </c>
      <c r="L616" s="17">
        <v>4.17925732360651</v>
      </c>
      <c r="M616" s="17">
        <v>30.1907426763934</v>
      </c>
      <c r="N616" s="17">
        <v>4.39999999999999</v>
      </c>
      <c r="O616" s="14">
        <f t="shared" si="1"/>
        <v>38.77</v>
      </c>
      <c r="P616" s="86">
        <f t="array" ref="P616">iferror(XLOOKUP(C616,'Download of SFDC Activation Rep'!B:B,'Download of SFDC Activation Rep'!Z:Z),"")</f>
        <v>45915</v>
      </c>
      <c r="Q616" s="86">
        <f t="shared" si="2"/>
        <v>45901</v>
      </c>
      <c r="R616" s="13" t="str">
        <f t="shared" si="3"/>
        <v>Yes</v>
      </c>
      <c r="S616" s="86">
        <f t="array" ref="S616">iferror(XLOOKUP(C616,'Download of SFDC Activation Rep'!B:B,'Download of SFDC Activation Rep'!Y:Y),"")</f>
        <v>45958</v>
      </c>
    </row>
    <row r="617">
      <c r="A617" s="17" t="s">
        <v>19</v>
      </c>
      <c r="B617" s="85">
        <v>46143.0</v>
      </c>
      <c r="C617" s="17">
        <v>3947424.0</v>
      </c>
      <c r="D617" s="85">
        <v>45809.0</v>
      </c>
      <c r="E617" s="17">
        <v>7.0</v>
      </c>
      <c r="F617" s="17">
        <v>7.0</v>
      </c>
      <c r="G617" s="17">
        <v>42122.34</v>
      </c>
      <c r="H617" s="17"/>
      <c r="I617" s="17">
        <v>0.0</v>
      </c>
      <c r="J617" s="17"/>
      <c r="K617" s="17">
        <v>-1.0217</v>
      </c>
      <c r="L617" s="17">
        <v>-7.621482990242</v>
      </c>
      <c r="M617" s="17">
        <v>6.599782990242</v>
      </c>
      <c r="N617" s="17">
        <v>7.99999999999999</v>
      </c>
      <c r="O617" s="14">
        <f t="shared" si="1"/>
        <v>6.9783</v>
      </c>
      <c r="P617" s="86">
        <f t="array" ref="P617">iferror(XLOOKUP(C617,'Download of SFDC Activation Rep'!B:B,'Download of SFDC Activation Rep'!Z:Z),"")</f>
        <v>45805</v>
      </c>
      <c r="Q617" s="86">
        <f t="shared" si="2"/>
        <v>45778</v>
      </c>
      <c r="R617" s="13" t="str">
        <f t="shared" si="3"/>
        <v>Yes</v>
      </c>
      <c r="S617" s="86">
        <f t="array" ref="S617">iferror(XLOOKUP(C617,'Download of SFDC Activation Rep'!B:B,'Download of SFDC Activation Rep'!Y:Y),"")</f>
        <v>45805</v>
      </c>
    </row>
    <row r="618">
      <c r="A618" s="17" t="s">
        <v>17</v>
      </c>
      <c r="B618" s="85">
        <v>45931.0</v>
      </c>
      <c r="C618" s="17">
        <v>4161412.0</v>
      </c>
      <c r="D618" s="85">
        <v>45931.0</v>
      </c>
      <c r="E618" s="17">
        <v>2.0</v>
      </c>
      <c r="F618" s="17">
        <v>2.0</v>
      </c>
      <c r="G618" s="17">
        <v>20333.28</v>
      </c>
      <c r="H618" s="17"/>
      <c r="I618" s="17">
        <v>0.0</v>
      </c>
      <c r="J618" s="17"/>
      <c r="K618" s="17">
        <v>-0.21</v>
      </c>
      <c r="L618" s="17">
        <v>-3.39584569729483</v>
      </c>
      <c r="M618" s="17">
        <v>3.18584569729483</v>
      </c>
      <c r="N618" s="17">
        <v>0.0</v>
      </c>
      <c r="O618" s="14">
        <f t="shared" si="1"/>
        <v>-0.21</v>
      </c>
      <c r="P618" s="86">
        <f t="array" ref="P618">iferror(XLOOKUP(C618,'Download of SFDC Activation Rep'!B:B,'Download of SFDC Activation Rep'!Z:Z),"")</f>
        <v>45959</v>
      </c>
      <c r="Q618" s="86">
        <f t="shared" si="2"/>
        <v>45931</v>
      </c>
      <c r="R618" s="13" t="str">
        <f t="shared" si="3"/>
        <v>Yes</v>
      </c>
      <c r="S618" s="86">
        <f t="array" ref="S618">iferror(XLOOKUP(C618,'Download of SFDC Activation Rep'!B:B,'Download of SFDC Activation Rep'!Y:Y),"")</f>
        <v>45959</v>
      </c>
    </row>
    <row r="619">
      <c r="A619" s="17" t="s">
        <v>19</v>
      </c>
      <c r="B619" s="85">
        <v>46174.0</v>
      </c>
      <c r="C619" s="17">
        <v>4239966.0</v>
      </c>
      <c r="D619" s="85">
        <v>45992.0</v>
      </c>
      <c r="E619" s="17">
        <v>1.0</v>
      </c>
      <c r="F619" s="17">
        <v>1.0</v>
      </c>
      <c r="G619" s="17">
        <v>264.15</v>
      </c>
      <c r="H619" s="17"/>
      <c r="I619" s="17">
        <v>0.0</v>
      </c>
      <c r="J619" s="17"/>
      <c r="K619" s="17">
        <v>-0.1379</v>
      </c>
      <c r="L619" s="17">
        <v>-0.179287365394999</v>
      </c>
      <c r="M619" s="17">
        <v>0.0413873653949999</v>
      </c>
      <c r="N619" s="17">
        <v>24.0</v>
      </c>
      <c r="O619" s="14">
        <f t="shared" si="1"/>
        <v>23.8621</v>
      </c>
      <c r="P619" s="86">
        <f t="array" ref="P619">iferror(XLOOKUP(C619,'Download of SFDC Activation Rep'!B:B,'Download of SFDC Activation Rep'!Z:Z),"")</f>
        <v>45979</v>
      </c>
      <c r="Q619" s="86">
        <f t="shared" si="2"/>
        <v>45962</v>
      </c>
      <c r="R619" s="13" t="str">
        <f t="shared" si="3"/>
        <v>Yes</v>
      </c>
      <c r="S619" s="86">
        <f t="array" ref="S619">iferror(XLOOKUP(C619,'Download of SFDC Activation Rep'!B:B,'Download of SFDC Activation Rep'!Y:Y),"")</f>
        <v>45995</v>
      </c>
    </row>
    <row r="620">
      <c r="A620" s="17" t="s">
        <v>489</v>
      </c>
      <c r="B620" s="85">
        <v>46054.0</v>
      </c>
      <c r="C620" s="17">
        <v>4334745.0</v>
      </c>
      <c r="D620" s="85">
        <v>46023.0</v>
      </c>
      <c r="E620" s="17">
        <v>14.0</v>
      </c>
      <c r="F620" s="17">
        <v>11.0</v>
      </c>
      <c r="G620" s="17">
        <v>41010.66</v>
      </c>
      <c r="H620" s="17"/>
      <c r="I620" s="17">
        <v>523.5</v>
      </c>
      <c r="J620" s="17"/>
      <c r="K620" s="17">
        <v>146.2479</v>
      </c>
      <c r="L620" s="17">
        <v>140.929785627341</v>
      </c>
      <c r="M620" s="17">
        <v>5.31811437265804</v>
      </c>
      <c r="N620" s="17">
        <v>55.25</v>
      </c>
      <c r="O620" s="14">
        <f t="shared" si="1"/>
        <v>201.4979</v>
      </c>
      <c r="P620" s="86">
        <f t="array" ref="P620">iferror(XLOOKUP(C620,'Download of SFDC Activation Rep'!B:B,'Download of SFDC Activation Rep'!Z:Z),"")</f>
        <v>46009</v>
      </c>
      <c r="Q620" s="86">
        <f t="shared" si="2"/>
        <v>45992</v>
      </c>
      <c r="R620" s="13" t="str">
        <f t="shared" si="3"/>
        <v>Yes</v>
      </c>
      <c r="S620" s="86">
        <f t="array" ref="S620">iferror(XLOOKUP(C620,'Download of SFDC Activation Rep'!B:B,'Download of SFDC Activation Rep'!Y:Y),"")</f>
        <v>46058</v>
      </c>
    </row>
    <row r="621">
      <c r="A621" s="17" t="s">
        <v>489</v>
      </c>
      <c r="B621" s="85">
        <v>46023.0</v>
      </c>
      <c r="C621" s="17">
        <v>2153287.0</v>
      </c>
      <c r="D621" s="85">
        <v>44805.0</v>
      </c>
      <c r="E621" s="17">
        <v>14.0</v>
      </c>
      <c r="F621" s="17">
        <v>0.0</v>
      </c>
      <c r="G621" s="17">
        <v>186344.96</v>
      </c>
      <c r="H621" s="17">
        <v>47678.4</v>
      </c>
      <c r="I621" s="17">
        <v>5403.99</v>
      </c>
      <c r="J621" s="17"/>
      <c r="K621" s="17">
        <v>830.9447</v>
      </c>
      <c r="L621" s="17">
        <v>792.309486648983</v>
      </c>
      <c r="M621" s="17">
        <v>38.635213351017</v>
      </c>
      <c r="N621" s="17">
        <v>55.0</v>
      </c>
      <c r="O621" s="14">
        <f t="shared" si="1"/>
        <v>1195.8543</v>
      </c>
      <c r="P621" s="86">
        <f t="array" ref="P621">iferror(XLOOKUP(C621,'Download of SFDC Activation Rep'!B:B,'Download of SFDC Activation Rep'!Z:Z),"")</f>
        <v>46007</v>
      </c>
      <c r="Q621" s="86">
        <f t="shared" si="2"/>
        <v>45992</v>
      </c>
      <c r="R621" s="13" t="str">
        <f t="shared" si="3"/>
        <v>Yes</v>
      </c>
      <c r="S621" s="86">
        <f t="array" ref="S621">iferror(XLOOKUP(C621,'Download of SFDC Activation Rep'!B:B,'Download of SFDC Activation Rep'!Y:Y),"")</f>
        <v>46021</v>
      </c>
    </row>
    <row r="622">
      <c r="A622" s="17" t="s">
        <v>488</v>
      </c>
      <c r="B622" s="85">
        <v>45992.0</v>
      </c>
      <c r="C622" s="17">
        <v>4136952.0</v>
      </c>
      <c r="D622" s="85">
        <v>45931.0</v>
      </c>
      <c r="E622" s="17">
        <v>9.0</v>
      </c>
      <c r="F622" s="17">
        <v>9.0</v>
      </c>
      <c r="G622" s="17">
        <v>15034.64</v>
      </c>
      <c r="H622" s="17"/>
      <c r="I622" s="17">
        <v>1.5</v>
      </c>
      <c r="J622" s="17"/>
      <c r="K622" s="17">
        <v>-0.6554</v>
      </c>
      <c r="L622" s="17">
        <v>-3.00919994535661</v>
      </c>
      <c r="M622" s="17">
        <v>2.35379994535661</v>
      </c>
      <c r="N622" s="17">
        <v>35.0</v>
      </c>
      <c r="O622" s="14">
        <f t="shared" si="1"/>
        <v>34.3446</v>
      </c>
      <c r="P622" s="86">
        <f t="array" ref="P622">iferror(XLOOKUP(C622,'Download of SFDC Activation Rep'!B:B,'Download of SFDC Activation Rep'!Z:Z),"")</f>
        <v>45930</v>
      </c>
      <c r="Q622" s="86">
        <f t="shared" si="2"/>
        <v>45901</v>
      </c>
      <c r="R622" s="13" t="str">
        <f t="shared" si="3"/>
        <v>Yes</v>
      </c>
      <c r="S622" s="86">
        <f t="array" ref="S622">iferror(XLOOKUP(C622,'Download of SFDC Activation Rep'!B:B,'Download of SFDC Activation Rep'!Y:Y),"")</f>
        <v>45938</v>
      </c>
    </row>
    <row r="623">
      <c r="A623" s="17" t="s">
        <v>489</v>
      </c>
      <c r="B623" s="85">
        <v>46113.0</v>
      </c>
      <c r="C623" s="17">
        <v>4038405.0</v>
      </c>
      <c r="D623" s="85">
        <v>45870.0</v>
      </c>
      <c r="E623" s="17">
        <v>79.0</v>
      </c>
      <c r="F623" s="17">
        <v>79.0</v>
      </c>
      <c r="G623" s="17">
        <v>1285435.28</v>
      </c>
      <c r="H623" s="17"/>
      <c r="I623" s="17">
        <v>549.806995</v>
      </c>
      <c r="J623" s="17">
        <v>6.5</v>
      </c>
      <c r="K623" s="17">
        <v>535.572</v>
      </c>
      <c r="L623" s="17">
        <v>325.685328391736</v>
      </c>
      <c r="M623" s="17">
        <v>209.886671608263</v>
      </c>
      <c r="N623" s="17">
        <v>5.19999999999999</v>
      </c>
      <c r="O623" s="14">
        <f t="shared" si="1"/>
        <v>540.772</v>
      </c>
      <c r="P623" s="86">
        <f t="array" ref="P623">iferror(XLOOKUP(C623,'Download of SFDC Activation Rep'!B:B,'Download of SFDC Activation Rep'!Z:Z),"")</f>
        <v>45839</v>
      </c>
      <c r="Q623" s="86">
        <f t="shared" si="2"/>
        <v>45839</v>
      </c>
      <c r="R623" s="13" t="str">
        <f t="shared" si="3"/>
        <v>Yes</v>
      </c>
      <c r="S623" s="86">
        <f t="array" ref="S623">iferror(XLOOKUP(C623,'Download of SFDC Activation Rep'!B:B,'Download of SFDC Activation Rep'!Y:Y),"")</f>
        <v>45877</v>
      </c>
    </row>
    <row r="624">
      <c r="A624" s="17" t="s">
        <v>488</v>
      </c>
      <c r="B624" s="85">
        <v>45962.0</v>
      </c>
      <c r="C624" s="17">
        <v>4068848.0</v>
      </c>
      <c r="D624" s="85">
        <v>45870.0</v>
      </c>
      <c r="E624" s="17">
        <v>26.0</v>
      </c>
      <c r="F624" s="17">
        <v>1.0</v>
      </c>
      <c r="G624" s="17">
        <v>50983.07</v>
      </c>
      <c r="H624" s="17">
        <v>35775.17</v>
      </c>
      <c r="I624" s="17">
        <v>1158.25</v>
      </c>
      <c r="J624" s="17"/>
      <c r="K624" s="17">
        <v>140.7676</v>
      </c>
      <c r="L624" s="17">
        <v>122.046189503365</v>
      </c>
      <c r="M624" s="17">
        <v>18.7214104966349</v>
      </c>
      <c r="N624" s="17">
        <v>0.0</v>
      </c>
      <c r="O624" s="14">
        <f t="shared" si="1"/>
        <v>140.7676</v>
      </c>
      <c r="P624" s="86">
        <f t="array" ref="P624">iferror(XLOOKUP(C624,'Download of SFDC Activation Rep'!B:B,'Download of SFDC Activation Rep'!Z:Z),"")</f>
        <v>45880</v>
      </c>
      <c r="Q624" s="86">
        <f t="shared" si="2"/>
        <v>45870</v>
      </c>
      <c r="R624" s="13" t="str">
        <f t="shared" si="3"/>
        <v>Yes</v>
      </c>
      <c r="S624" s="86">
        <f t="array" ref="S624">iferror(XLOOKUP(C624,'Download of SFDC Activation Rep'!B:B,'Download of SFDC Activation Rep'!Y:Y),"")</f>
        <v>45896</v>
      </c>
    </row>
    <row r="625">
      <c r="A625" s="17" t="s">
        <v>19</v>
      </c>
      <c r="B625" s="85">
        <v>46023.0</v>
      </c>
      <c r="C625" s="17">
        <v>3934711.0</v>
      </c>
      <c r="D625" s="85">
        <v>45839.0</v>
      </c>
      <c r="E625" s="17">
        <v>29.0</v>
      </c>
      <c r="F625" s="17">
        <v>29.0</v>
      </c>
      <c r="G625" s="17">
        <v>7740.75</v>
      </c>
      <c r="H625" s="17"/>
      <c r="I625" s="17">
        <v>6.75</v>
      </c>
      <c r="J625" s="17">
        <v>5.5</v>
      </c>
      <c r="K625" s="17">
        <v>2.1685</v>
      </c>
      <c r="L625" s="17">
        <v>0.53388845972215</v>
      </c>
      <c r="M625" s="17">
        <v>1.63461154027785</v>
      </c>
      <c r="N625" s="17">
        <v>2.79999999999999</v>
      </c>
      <c r="O625" s="14">
        <f t="shared" si="1"/>
        <v>4.9685</v>
      </c>
      <c r="P625" s="86">
        <f t="array" ref="P625">iferror(XLOOKUP(C625,'Download of SFDC Activation Rep'!B:B,'Download of SFDC Activation Rep'!Z:Z),"")</f>
        <v>45817</v>
      </c>
      <c r="Q625" s="86">
        <f t="shared" si="2"/>
        <v>45809</v>
      </c>
      <c r="R625" s="13" t="str">
        <f t="shared" si="3"/>
        <v>Yes</v>
      </c>
      <c r="S625" s="86">
        <f t="array" ref="S625">iferror(XLOOKUP(C625,'Download of SFDC Activation Rep'!B:B,'Download of SFDC Activation Rep'!Y:Y),"")</f>
        <v>45817</v>
      </c>
    </row>
    <row r="626">
      <c r="A626" s="17" t="s">
        <v>19</v>
      </c>
      <c r="B626" s="85">
        <v>46082.0</v>
      </c>
      <c r="C626" s="17">
        <v>4239927.0</v>
      </c>
      <c r="D626" s="85">
        <v>45992.0</v>
      </c>
      <c r="E626" s="17">
        <v>3.0</v>
      </c>
      <c r="F626" s="17">
        <v>3.0</v>
      </c>
      <c r="G626" s="17">
        <v>10652.65</v>
      </c>
      <c r="H626" s="17"/>
      <c r="I626" s="17">
        <v>0.09</v>
      </c>
      <c r="J626" s="17"/>
      <c r="K626" s="17">
        <v>-0.5272</v>
      </c>
      <c r="L626" s="17">
        <v>-2.217759147597</v>
      </c>
      <c r="M626" s="17">
        <v>1.69055914759699</v>
      </c>
      <c r="N626" s="17">
        <v>24.0</v>
      </c>
      <c r="O626" s="14">
        <f t="shared" si="1"/>
        <v>23.4728</v>
      </c>
      <c r="P626" s="86">
        <f t="array" ref="P626">iferror(XLOOKUP(C626,'Download of SFDC Activation Rep'!B:B,'Download of SFDC Activation Rep'!Z:Z),"")</f>
        <v>45979</v>
      </c>
      <c r="Q626" s="86">
        <f t="shared" si="2"/>
        <v>45962</v>
      </c>
      <c r="R626" s="13" t="str">
        <f t="shared" si="3"/>
        <v>Yes</v>
      </c>
      <c r="S626" s="86">
        <f t="array" ref="S626">iferror(XLOOKUP(C626,'Download of SFDC Activation Rep'!B:B,'Download of SFDC Activation Rep'!Y:Y),"")</f>
        <v>45999</v>
      </c>
    </row>
    <row r="627">
      <c r="A627" s="17" t="s">
        <v>488</v>
      </c>
      <c r="B627" s="85">
        <v>45839.0</v>
      </c>
      <c r="C627" s="17">
        <v>3968250.0</v>
      </c>
      <c r="D627" s="85">
        <v>45809.0</v>
      </c>
      <c r="E627" s="17">
        <v>25.0</v>
      </c>
      <c r="F627" s="17">
        <v>25.0</v>
      </c>
      <c r="G627" s="17">
        <v>87861.35</v>
      </c>
      <c r="H627" s="17"/>
      <c r="I627" s="17">
        <v>10.37</v>
      </c>
      <c r="K627" s="17">
        <v>6.82999999999999</v>
      </c>
      <c r="L627" s="17">
        <v>-8.47423064243239</v>
      </c>
      <c r="M627" s="17">
        <v>15.3042306424323</v>
      </c>
      <c r="N627" s="17">
        <v>6.39999999999999</v>
      </c>
      <c r="O627" s="14">
        <f t="shared" si="1"/>
        <v>13.23</v>
      </c>
      <c r="P627" s="86">
        <f t="array" ref="P627">iferror(XLOOKUP(C627,'Download of SFDC Activation Rep'!B:B,'Download of SFDC Activation Rep'!Z:Z),"")</f>
        <v>45809</v>
      </c>
      <c r="Q627" s="86">
        <f t="shared" si="2"/>
        <v>45809</v>
      </c>
      <c r="R627" s="13" t="str">
        <f t="shared" si="3"/>
        <v>Yes</v>
      </c>
      <c r="S627" s="86">
        <f t="array" ref="S627">iferror(XLOOKUP(C627,'Download of SFDC Activation Rep'!B:B,'Download of SFDC Activation Rep'!Y:Y),"")</f>
        <v>45826</v>
      </c>
    </row>
    <row r="628">
      <c r="A628" s="17" t="s">
        <v>489</v>
      </c>
      <c r="B628" s="85">
        <v>46143.0</v>
      </c>
      <c r="C628" s="17">
        <v>3499607.0</v>
      </c>
      <c r="D628" s="85">
        <v>46023.0</v>
      </c>
      <c r="E628" s="17">
        <v>62.0</v>
      </c>
      <c r="F628" s="17">
        <v>62.0</v>
      </c>
      <c r="G628" s="17">
        <v>194427.25</v>
      </c>
      <c r="H628" s="17"/>
      <c r="I628" s="17">
        <v>6.0</v>
      </c>
      <c r="J628" s="17">
        <v>6.0</v>
      </c>
      <c r="K628" s="17">
        <v>-4.0006</v>
      </c>
      <c r="L628" s="17">
        <v>-34.463714285425</v>
      </c>
      <c r="M628" s="17">
        <v>30.463114285425</v>
      </c>
      <c r="N628" s="17">
        <v>65.0</v>
      </c>
      <c r="O628" s="14">
        <f t="shared" si="1"/>
        <v>60.9994</v>
      </c>
      <c r="P628" s="86">
        <f t="array" ref="P628">iferror(XLOOKUP(C628,'Download of SFDC Activation Rep'!B:B,'Download of SFDC Activation Rep'!Z:Z),"")</f>
        <v>45981</v>
      </c>
      <c r="Q628" s="86">
        <f t="shared" si="2"/>
        <v>45962</v>
      </c>
      <c r="R628" s="13" t="str">
        <f t="shared" si="3"/>
        <v>Yes</v>
      </c>
      <c r="S628" s="86">
        <f t="array" ref="S628">iferror(XLOOKUP(C628,'Download of SFDC Activation Rep'!B:B,'Download of SFDC Activation Rep'!Y:Y),"")</f>
        <v>46024</v>
      </c>
    </row>
    <row r="629">
      <c r="A629" s="17" t="s">
        <v>489</v>
      </c>
      <c r="B629" s="85">
        <v>46054.0</v>
      </c>
      <c r="C629" s="17">
        <v>3499607.0</v>
      </c>
      <c r="D629" s="85">
        <v>46023.0</v>
      </c>
      <c r="E629" s="17">
        <v>69.0</v>
      </c>
      <c r="F629" s="17">
        <v>69.0</v>
      </c>
      <c r="G629" s="17">
        <v>132406.88</v>
      </c>
      <c r="H629" s="17"/>
      <c r="I629" s="17">
        <v>110.0</v>
      </c>
      <c r="J629" s="17">
        <v>0.5</v>
      </c>
      <c r="K629" s="17">
        <v>97.9545</v>
      </c>
      <c r="L629" s="17">
        <v>61.187717752656</v>
      </c>
      <c r="M629" s="17">
        <v>36.7667822473439</v>
      </c>
      <c r="N629" s="17">
        <v>65.0</v>
      </c>
      <c r="O629" s="14">
        <f t="shared" si="1"/>
        <v>162.9545</v>
      </c>
      <c r="P629" s="86">
        <f t="array" ref="P629">iferror(XLOOKUP(C629,'Download of SFDC Activation Rep'!B:B,'Download of SFDC Activation Rep'!Z:Z),"")</f>
        <v>45981</v>
      </c>
      <c r="Q629" s="86">
        <f t="shared" si="2"/>
        <v>45962</v>
      </c>
      <c r="R629" s="13" t="str">
        <f t="shared" si="3"/>
        <v>Yes</v>
      </c>
      <c r="S629" s="86">
        <f t="array" ref="S629">iferror(XLOOKUP(C629,'Download of SFDC Activation Rep'!B:B,'Download of SFDC Activation Rep'!Y:Y),"")</f>
        <v>46024</v>
      </c>
    </row>
    <row r="630">
      <c r="A630" s="17" t="s">
        <v>19</v>
      </c>
      <c r="B630" s="85">
        <v>46113.0</v>
      </c>
      <c r="C630" s="17">
        <v>4263325.0</v>
      </c>
      <c r="D630" s="85">
        <v>45992.0</v>
      </c>
      <c r="E630" s="17">
        <v>46.0</v>
      </c>
      <c r="F630" s="17">
        <v>46.0</v>
      </c>
      <c r="G630" s="17">
        <v>208412.8</v>
      </c>
      <c r="H630" s="17"/>
      <c r="I630" s="17">
        <v>0.0</v>
      </c>
      <c r="J630" s="17"/>
      <c r="K630" s="17">
        <v>-7.0721</v>
      </c>
      <c r="L630" s="17">
        <v>-39.7264884406399</v>
      </c>
      <c r="M630" s="17">
        <v>32.6543884406399</v>
      </c>
      <c r="N630" s="17">
        <v>54.4</v>
      </c>
      <c r="O630" s="14">
        <f t="shared" si="1"/>
        <v>47.3279</v>
      </c>
      <c r="P630" s="86">
        <f t="array" ref="P630">iferror(XLOOKUP(C630,'Download of SFDC Activation Rep'!B:B,'Download of SFDC Activation Rep'!Z:Z),"")</f>
        <v>45961</v>
      </c>
      <c r="Q630" s="86">
        <f t="shared" si="2"/>
        <v>45931</v>
      </c>
      <c r="R630" s="13" t="str">
        <f t="shared" si="3"/>
        <v>Yes</v>
      </c>
      <c r="S630" s="86">
        <f t="array" ref="S630">iferror(XLOOKUP(C630,'Download of SFDC Activation Rep'!B:B,'Download of SFDC Activation Rep'!Y:Y),"")</f>
        <v>46013</v>
      </c>
    </row>
    <row r="631">
      <c r="A631" s="17" t="s">
        <v>19</v>
      </c>
      <c r="B631" s="85">
        <v>46054.0</v>
      </c>
      <c r="C631" s="17">
        <v>100325.0</v>
      </c>
      <c r="D631" s="85">
        <v>45200.0</v>
      </c>
      <c r="E631" s="17">
        <v>45.0</v>
      </c>
      <c r="F631" s="17">
        <v>45.0</v>
      </c>
      <c r="G631" s="17">
        <v>593514.57</v>
      </c>
      <c r="H631" s="17"/>
      <c r="I631" s="17">
        <v>16.238751</v>
      </c>
      <c r="J631" s="17"/>
      <c r="K631" s="17">
        <v>-2.0255</v>
      </c>
      <c r="L631" s="17">
        <v>-94.7892684965409</v>
      </c>
      <c r="M631" s="17">
        <v>92.7637684965409</v>
      </c>
      <c r="N631" s="17">
        <v>64.0</v>
      </c>
      <c r="O631" s="14">
        <f t="shared" si="1"/>
        <v>61.9745</v>
      </c>
      <c r="P631" s="86">
        <f t="array" ref="P631">iferror(XLOOKUP(C631,'Download of SFDC Activation Rep'!B:B,'Download of SFDC Activation Rep'!Z:Z),"")</f>
        <v>45974</v>
      </c>
      <c r="Q631" s="86">
        <f t="shared" si="2"/>
        <v>45962</v>
      </c>
      <c r="R631" s="13" t="str">
        <f t="shared" si="3"/>
        <v>Yes</v>
      </c>
      <c r="S631" s="86">
        <f t="array" ref="S631">iferror(XLOOKUP(C631,'Download of SFDC Activation Rep'!B:B,'Download of SFDC Activation Rep'!Y:Y),"")</f>
        <v>45933</v>
      </c>
    </row>
    <row r="632">
      <c r="A632" s="17" t="s">
        <v>17</v>
      </c>
      <c r="B632" s="85">
        <v>45839.0</v>
      </c>
      <c r="C632" s="17">
        <v>3970546.0</v>
      </c>
      <c r="D632" s="85">
        <v>45809.0</v>
      </c>
      <c r="E632" s="17">
        <v>30.0</v>
      </c>
      <c r="F632" s="17">
        <v>0.0</v>
      </c>
      <c r="G632" s="17">
        <v>41041.02</v>
      </c>
      <c r="H632" s="17">
        <v>40293.26</v>
      </c>
      <c r="I632" s="17">
        <v>1237.66</v>
      </c>
      <c r="J632" s="17"/>
      <c r="K632" s="17">
        <v>119.0425</v>
      </c>
      <c r="L632" s="17">
        <v>95.4830514977575</v>
      </c>
      <c r="M632" s="17">
        <v>23.5594485022425</v>
      </c>
      <c r="N632" s="17">
        <v>0.0</v>
      </c>
      <c r="O632" s="14">
        <f t="shared" si="1"/>
        <v>119.0425</v>
      </c>
      <c r="P632" s="86">
        <f t="array" ref="P632">iferror(XLOOKUP(C632,'Download of SFDC Activation Rep'!B:B,'Download of SFDC Activation Rep'!Z:Z),"")</f>
        <v>45825</v>
      </c>
      <c r="Q632" s="86">
        <f t="shared" si="2"/>
        <v>45809</v>
      </c>
      <c r="R632" s="13" t="str">
        <f t="shared" si="3"/>
        <v>Yes</v>
      </c>
      <c r="S632" s="86">
        <f t="array" ref="S632">iferror(XLOOKUP(C632,'Download of SFDC Activation Rep'!B:B,'Download of SFDC Activation Rep'!Y:Y),"")</f>
        <v>45838</v>
      </c>
    </row>
    <row r="633">
      <c r="A633" s="17" t="s">
        <v>489</v>
      </c>
      <c r="B633" s="85">
        <v>46113.0</v>
      </c>
      <c r="C633" s="17">
        <v>3499607.0</v>
      </c>
      <c r="D633" s="85">
        <v>46023.0</v>
      </c>
      <c r="E633" s="17">
        <v>57.0</v>
      </c>
      <c r="F633" s="17">
        <v>57.0</v>
      </c>
      <c r="G633" s="17">
        <v>175542.79</v>
      </c>
      <c r="H633" s="17"/>
      <c r="I633" s="17">
        <v>57.82</v>
      </c>
      <c r="J633" s="17">
        <v>3.0</v>
      </c>
      <c r="K633" s="17">
        <v>48.1585</v>
      </c>
      <c r="L633" s="17">
        <v>14.128599924853</v>
      </c>
      <c r="M633" s="17">
        <v>34.029900075147</v>
      </c>
      <c r="N633" s="17">
        <v>65.0</v>
      </c>
      <c r="O633" s="14">
        <f t="shared" si="1"/>
        <v>113.1585</v>
      </c>
      <c r="P633" s="86">
        <f t="array" ref="P633">iferror(XLOOKUP(C633,'Download of SFDC Activation Rep'!B:B,'Download of SFDC Activation Rep'!Z:Z),"")</f>
        <v>45981</v>
      </c>
      <c r="Q633" s="86">
        <f t="shared" si="2"/>
        <v>45962</v>
      </c>
      <c r="R633" s="13" t="str">
        <f t="shared" si="3"/>
        <v>Yes</v>
      </c>
      <c r="S633" s="86">
        <f t="array" ref="S633">iferror(XLOOKUP(C633,'Download of SFDC Activation Rep'!B:B,'Download of SFDC Activation Rep'!Y:Y),"")</f>
        <v>46024</v>
      </c>
    </row>
    <row r="634">
      <c r="A634" s="17" t="s">
        <v>1487</v>
      </c>
      <c r="B634" s="85">
        <v>45992.0</v>
      </c>
      <c r="C634" s="17">
        <v>3935770.0</v>
      </c>
      <c r="D634" s="85">
        <v>45778.0</v>
      </c>
      <c r="E634" s="17">
        <v>74.0</v>
      </c>
      <c r="F634" s="17">
        <v>71.0</v>
      </c>
      <c r="G634" s="17">
        <v>314594.9</v>
      </c>
      <c r="H634" s="17"/>
      <c r="I634" s="17">
        <v>1149.722</v>
      </c>
      <c r="J634" s="17">
        <v>2.5</v>
      </c>
      <c r="K634" s="17">
        <v>1137.97079999999</v>
      </c>
      <c r="L634" s="17">
        <v>1088.6237141653</v>
      </c>
      <c r="M634" s="17">
        <v>49.3470858346968</v>
      </c>
      <c r="N634" s="17">
        <v>0.0</v>
      </c>
      <c r="O634" s="14">
        <f t="shared" si="1"/>
        <v>1137.9708</v>
      </c>
      <c r="P634" s="86">
        <f t="array" ref="P634">iferror(XLOOKUP(C634,'Download of SFDC Activation Rep'!B:B,'Download of SFDC Activation Rep'!Z:Z),"")</f>
        <v>45797</v>
      </c>
      <c r="Q634" s="86">
        <f t="shared" si="2"/>
        <v>45778</v>
      </c>
      <c r="R634" s="13" t="str">
        <f t="shared" si="3"/>
        <v>Yes</v>
      </c>
      <c r="S634" s="86">
        <f t="array" ref="S634">iferror(XLOOKUP(C634,'Download of SFDC Activation Rep'!B:B,'Download of SFDC Activation Rep'!Y:Y),"")</f>
        <v>45797</v>
      </c>
    </row>
    <row r="635">
      <c r="A635" s="17" t="s">
        <v>19</v>
      </c>
      <c r="B635" s="85">
        <v>46023.0</v>
      </c>
      <c r="C635" s="17">
        <v>1938612.0</v>
      </c>
      <c r="D635" s="85">
        <v>45962.0</v>
      </c>
      <c r="E635" s="17">
        <v>22.0</v>
      </c>
      <c r="F635" s="17">
        <v>22.0</v>
      </c>
      <c r="G635" s="17">
        <v>61764.55</v>
      </c>
      <c r="H635" s="17"/>
      <c r="I635" s="17">
        <v>45.2617</v>
      </c>
      <c r="J635" s="17"/>
      <c r="K635" s="17">
        <v>33.1042</v>
      </c>
      <c r="L635" s="17">
        <v>18.4115169074527</v>
      </c>
      <c r="M635" s="17">
        <v>14.6926830925472</v>
      </c>
      <c r="N635" s="17">
        <v>68.0</v>
      </c>
      <c r="O635" s="14">
        <f t="shared" si="1"/>
        <v>101.1042</v>
      </c>
      <c r="P635" s="86">
        <f t="array" ref="P635">iferror(XLOOKUP(C635,'Download of SFDC Activation Rep'!B:B,'Download of SFDC Activation Rep'!Z:Z),"")</f>
        <v>45904</v>
      </c>
      <c r="Q635" s="86">
        <f t="shared" si="2"/>
        <v>45901</v>
      </c>
      <c r="R635" s="13" t="str">
        <f t="shared" si="3"/>
        <v>Yes</v>
      </c>
      <c r="S635" s="86">
        <f t="array" ref="S635">iferror(XLOOKUP(C635,'Download of SFDC Activation Rep'!B:B,'Download of SFDC Activation Rep'!Y:Y),"")</f>
        <v>45966</v>
      </c>
    </row>
    <row r="636">
      <c r="A636" s="17" t="s">
        <v>488</v>
      </c>
      <c r="B636" s="85">
        <v>45962.0</v>
      </c>
      <c r="C636" s="17">
        <v>3934664.0</v>
      </c>
      <c r="D636" s="85">
        <v>45809.0</v>
      </c>
      <c r="E636" s="17">
        <v>1.0</v>
      </c>
      <c r="F636" s="17">
        <v>0.0</v>
      </c>
      <c r="G636" s="17">
        <v>1392.65</v>
      </c>
      <c r="H636" s="17">
        <v>1392.65</v>
      </c>
      <c r="I636" s="17">
        <v>40.39</v>
      </c>
      <c r="K636" s="17">
        <v>9.581</v>
      </c>
      <c r="L636" s="17">
        <v>9.5670735</v>
      </c>
      <c r="M636" s="17">
        <v>0.0139265000000001</v>
      </c>
      <c r="N636" s="17">
        <v>25.0</v>
      </c>
      <c r="O636" s="14">
        <f t="shared" si="1"/>
        <v>34.581</v>
      </c>
      <c r="P636" s="86">
        <f t="array" ref="P636">iferror(XLOOKUP(C636,'Download of SFDC Activation Rep'!B:B,'Download of SFDC Activation Rep'!Z:Z),"")</f>
        <v>45820</v>
      </c>
      <c r="Q636" s="86">
        <f t="shared" si="2"/>
        <v>45809</v>
      </c>
      <c r="R636" s="13" t="str">
        <f t="shared" si="3"/>
        <v>Yes</v>
      </c>
      <c r="S636" s="86">
        <f t="array" ref="S636">iferror(XLOOKUP(C636,'Download of SFDC Activation Rep'!B:B,'Download of SFDC Activation Rep'!Y:Y),"")</f>
        <v>45829</v>
      </c>
    </row>
    <row r="637">
      <c r="A637" s="17" t="s">
        <v>19</v>
      </c>
      <c r="B637" s="85">
        <v>46054.0</v>
      </c>
      <c r="C637" s="17">
        <v>3945715.0</v>
      </c>
      <c r="D637" s="85">
        <v>45809.0</v>
      </c>
      <c r="E637" s="17">
        <v>1.0</v>
      </c>
      <c r="F637" s="17">
        <v>0.0</v>
      </c>
      <c r="G637" s="17">
        <v>10800.0</v>
      </c>
      <c r="H637" s="17">
        <v>10800.0</v>
      </c>
      <c r="I637" s="17">
        <v>313.2</v>
      </c>
      <c r="J637" s="17"/>
      <c r="K637" s="17">
        <v>-6.6182</v>
      </c>
      <c r="L637" s="17">
        <v>-12.34709024</v>
      </c>
      <c r="M637" s="17">
        <v>5.72889024</v>
      </c>
      <c r="N637" s="17">
        <v>80.0</v>
      </c>
      <c r="O637" s="14">
        <f t="shared" si="1"/>
        <v>143.5818</v>
      </c>
      <c r="P637" s="86">
        <f t="array" ref="P637">iferror(XLOOKUP(C637,'Download of SFDC Activation Rep'!B:B,'Download of SFDC Activation Rep'!Z:Z),"")</f>
        <v>45804</v>
      </c>
      <c r="Q637" s="86">
        <f t="shared" si="2"/>
        <v>45778</v>
      </c>
      <c r="R637" s="13" t="str">
        <f t="shared" si="3"/>
        <v>Yes</v>
      </c>
      <c r="S637" s="86">
        <f t="array" ref="S637">iferror(XLOOKUP(C637,'Download of SFDC Activation Rep'!B:B,'Download of SFDC Activation Rep'!Y:Y),"")</f>
        <v>45804</v>
      </c>
    </row>
    <row r="638">
      <c r="A638" s="17" t="s">
        <v>488</v>
      </c>
      <c r="B638" s="85">
        <v>46143.0</v>
      </c>
      <c r="C638" s="17">
        <v>4222088.0</v>
      </c>
      <c r="D638" s="85">
        <v>45962.0</v>
      </c>
      <c r="E638" s="17">
        <v>3.0</v>
      </c>
      <c r="F638" s="17">
        <v>0.0</v>
      </c>
      <c r="G638" s="17">
        <v>38905.61</v>
      </c>
      <c r="H638" s="17"/>
      <c r="I638" s="17">
        <v>1138.26</v>
      </c>
      <c r="J638" s="17"/>
      <c r="K638" s="17">
        <v>25.1703</v>
      </c>
      <c r="L638" s="17">
        <v>-8.60803976020799</v>
      </c>
      <c r="M638" s="17">
        <v>33.778339760208</v>
      </c>
      <c r="N638" s="17">
        <v>20.0</v>
      </c>
      <c r="O638" s="14">
        <f t="shared" si="1"/>
        <v>45.1703</v>
      </c>
      <c r="P638" s="86">
        <f t="array" ref="P638">iferror(XLOOKUP(C638,'Download of SFDC Activation Rep'!B:B,'Download of SFDC Activation Rep'!Z:Z),"")</f>
        <v>45954</v>
      </c>
      <c r="Q638" s="86">
        <f t="shared" si="2"/>
        <v>45931</v>
      </c>
      <c r="R638" s="13" t="str">
        <f t="shared" si="3"/>
        <v>Yes</v>
      </c>
      <c r="S638" s="86">
        <f t="array" ref="S638">iferror(XLOOKUP(C638,'Download of SFDC Activation Rep'!B:B,'Download of SFDC Activation Rep'!Y:Y),"")</f>
        <v>45985</v>
      </c>
    </row>
    <row r="639">
      <c r="A639" s="17" t="s">
        <v>19</v>
      </c>
      <c r="B639" s="85">
        <v>46113.0</v>
      </c>
      <c r="C639" s="17">
        <v>4239966.0</v>
      </c>
      <c r="D639" s="85">
        <v>45992.0</v>
      </c>
      <c r="E639" s="17">
        <v>1.0</v>
      </c>
      <c r="F639" s="17">
        <v>1.0</v>
      </c>
      <c r="G639" s="17">
        <v>184.76</v>
      </c>
      <c r="H639" s="17"/>
      <c r="I639" s="17">
        <v>0.0</v>
      </c>
      <c r="J639" s="17"/>
      <c r="K639" s="17">
        <v>-0.15</v>
      </c>
      <c r="L639" s="17">
        <v>-0.178948436988</v>
      </c>
      <c r="M639" s="17">
        <v>0.028948436988</v>
      </c>
      <c r="N639" s="17">
        <v>24.0</v>
      </c>
      <c r="O639" s="14">
        <f t="shared" si="1"/>
        <v>23.85</v>
      </c>
      <c r="P639" s="86">
        <f t="array" ref="P639">iferror(XLOOKUP(C639,'Download of SFDC Activation Rep'!B:B,'Download of SFDC Activation Rep'!Z:Z),"")</f>
        <v>45979</v>
      </c>
      <c r="Q639" s="86">
        <f t="shared" si="2"/>
        <v>45962</v>
      </c>
      <c r="R639" s="13" t="str">
        <f t="shared" si="3"/>
        <v>Yes</v>
      </c>
      <c r="S639" s="86">
        <f t="array" ref="S639">iferror(XLOOKUP(C639,'Download of SFDC Activation Rep'!B:B,'Download of SFDC Activation Rep'!Y:Y),"")</f>
        <v>45995</v>
      </c>
    </row>
    <row r="640">
      <c r="A640" s="17" t="s">
        <v>488</v>
      </c>
      <c r="B640" s="85">
        <v>45962.0</v>
      </c>
      <c r="C640" s="17">
        <v>4039652.0</v>
      </c>
      <c r="D640" s="85">
        <v>45870.0</v>
      </c>
      <c r="E640" s="17">
        <v>7.0</v>
      </c>
      <c r="F640" s="17">
        <v>4.0</v>
      </c>
      <c r="G640" s="17">
        <v>9610.0</v>
      </c>
      <c r="H640" s="17"/>
      <c r="I640" s="17">
        <v>106.43</v>
      </c>
      <c r="J640" s="17"/>
      <c r="K640" s="17">
        <v>104.6805</v>
      </c>
      <c r="L640" s="17">
        <v>101.803050910011</v>
      </c>
      <c r="M640" s="17">
        <v>2.87744908998899</v>
      </c>
      <c r="N640" s="17">
        <v>25.0</v>
      </c>
      <c r="O640" s="14">
        <f t="shared" si="1"/>
        <v>129.6805</v>
      </c>
      <c r="P640" s="86">
        <f t="array" ref="P640">iferror(XLOOKUP(C640,'Download of SFDC Activation Rep'!B:B,'Download of SFDC Activation Rep'!Z:Z),"")</f>
        <v>45863</v>
      </c>
      <c r="Q640" s="86">
        <f t="shared" si="2"/>
        <v>45839</v>
      </c>
      <c r="R640" s="13" t="str">
        <f t="shared" si="3"/>
        <v>Yes</v>
      </c>
      <c r="S640" s="86">
        <f t="array" ref="S640">iferror(XLOOKUP(C640,'Download of SFDC Activation Rep'!B:B,'Download of SFDC Activation Rep'!Y:Y),"")</f>
        <v>45880</v>
      </c>
    </row>
    <row r="641">
      <c r="A641" s="17" t="s">
        <v>488</v>
      </c>
      <c r="B641" s="85">
        <v>46054.0</v>
      </c>
      <c r="C641" s="17">
        <v>4314059.0</v>
      </c>
      <c r="D641" s="85">
        <v>46023.0</v>
      </c>
      <c r="E641" s="17">
        <v>2.0</v>
      </c>
      <c r="F641" s="17">
        <v>0.0</v>
      </c>
      <c r="G641" s="17">
        <v>21356.17</v>
      </c>
      <c r="H641" s="17"/>
      <c r="I641" s="17">
        <v>619.33</v>
      </c>
      <c r="J641" s="17"/>
      <c r="K641" s="17">
        <v>47.0618</v>
      </c>
      <c r="L641" s="17">
        <v>35.733359826224</v>
      </c>
      <c r="M641" s="17">
        <v>11.3284401737759</v>
      </c>
      <c r="N641" s="17">
        <v>35.0</v>
      </c>
      <c r="O641" s="14">
        <f t="shared" si="1"/>
        <v>82.0618</v>
      </c>
      <c r="P641" s="86">
        <f t="array" ref="P641">iferror(XLOOKUP(C641,'Download of SFDC Activation Rep'!B:B,'Download of SFDC Activation Rep'!Z:Z),"")</f>
        <v>46027</v>
      </c>
      <c r="Q641" s="86">
        <f t="shared" si="2"/>
        <v>46023</v>
      </c>
      <c r="R641" s="13" t="str">
        <f t="shared" si="3"/>
        <v>Yes</v>
      </c>
      <c r="S641" s="86">
        <f t="array" ref="S641">iferror(XLOOKUP(C641,'Download of SFDC Activation Rep'!B:B,'Download of SFDC Activation Rep'!Y:Y),"")</f>
        <v>46043</v>
      </c>
    </row>
    <row r="642">
      <c r="A642" s="17" t="s">
        <v>489</v>
      </c>
      <c r="B642" s="85">
        <v>46082.0</v>
      </c>
      <c r="C642" s="17">
        <v>4271363.0</v>
      </c>
      <c r="D642" s="85">
        <v>45992.0</v>
      </c>
      <c r="E642" s="17">
        <v>53.0</v>
      </c>
      <c r="F642" s="17">
        <v>53.0</v>
      </c>
      <c r="G642" s="17">
        <v>510995.92</v>
      </c>
      <c r="H642" s="17"/>
      <c r="I642" s="17">
        <v>435.890766</v>
      </c>
      <c r="J642" s="17"/>
      <c r="K642" s="17">
        <v>428.337</v>
      </c>
      <c r="L642" s="17">
        <v>308.580047967704</v>
      </c>
      <c r="M642" s="17">
        <v>119.756952032296</v>
      </c>
      <c r="N642" s="17">
        <v>44.0</v>
      </c>
      <c r="O642" s="14">
        <f t="shared" si="1"/>
        <v>472.337</v>
      </c>
      <c r="P642" s="86">
        <f t="array" ref="P642">iferror(XLOOKUP(C642,'Download of SFDC Activation Rep'!B:B,'Download of SFDC Activation Rep'!Z:Z),"")</f>
        <v>45964</v>
      </c>
      <c r="Q642" s="86">
        <f t="shared" si="2"/>
        <v>45962</v>
      </c>
      <c r="R642" s="13" t="str">
        <f t="shared" si="3"/>
        <v>Yes</v>
      </c>
      <c r="S642" s="86">
        <f t="array" ref="S642">iferror(XLOOKUP(C642,'Download of SFDC Activation Rep'!B:B,'Download of SFDC Activation Rep'!Y:Y),"")</f>
        <v>46007</v>
      </c>
    </row>
    <row r="643">
      <c r="A643" s="17" t="s">
        <v>488</v>
      </c>
      <c r="B643" s="85">
        <v>46082.0</v>
      </c>
      <c r="C643" s="17">
        <v>3959338.0</v>
      </c>
      <c r="D643" s="85">
        <v>45839.0</v>
      </c>
      <c r="E643" s="17">
        <v>92.0</v>
      </c>
      <c r="F643" s="17">
        <v>92.0</v>
      </c>
      <c r="G643" s="17">
        <v>94894.0</v>
      </c>
      <c r="H643" s="17"/>
      <c r="I643" s="17">
        <v>393.49</v>
      </c>
      <c r="J643" s="17">
        <v>21.5</v>
      </c>
      <c r="K643" s="17">
        <v>352.3515</v>
      </c>
      <c r="L643" s="17">
        <v>276.5980907458</v>
      </c>
      <c r="M643" s="17">
        <v>75.7534092542</v>
      </c>
      <c r="N643" s="17">
        <v>25.0</v>
      </c>
      <c r="O643" s="14">
        <f t="shared" si="1"/>
        <v>377.3515</v>
      </c>
      <c r="P643" s="86">
        <f t="array" ref="P643">iferror(XLOOKUP(C643,'Download of SFDC Activation Rep'!B:B,'Download of SFDC Activation Rep'!Z:Z),"")</f>
        <v>45839</v>
      </c>
      <c r="Q643" s="86">
        <f t="shared" si="2"/>
        <v>45839</v>
      </c>
      <c r="R643" s="13" t="str">
        <f t="shared" si="3"/>
        <v>Yes</v>
      </c>
      <c r="S643" s="86">
        <f t="array" ref="S643">iferror(XLOOKUP(C643,'Download of SFDC Activation Rep'!B:B,'Download of SFDC Activation Rep'!Y:Y),"")</f>
        <v>45841</v>
      </c>
    </row>
    <row r="644">
      <c r="A644" s="17" t="s">
        <v>489</v>
      </c>
      <c r="B644" s="85">
        <v>45962.0</v>
      </c>
      <c r="C644" s="17">
        <v>4248506.0</v>
      </c>
      <c r="D644" s="85">
        <v>45962.0</v>
      </c>
      <c r="E644" s="17">
        <v>8.0</v>
      </c>
      <c r="F644" s="17">
        <v>8.0</v>
      </c>
      <c r="G644" s="17">
        <v>88274.03</v>
      </c>
      <c r="H644" s="17"/>
      <c r="I644" s="17">
        <v>0.0</v>
      </c>
      <c r="J644" s="17"/>
      <c r="K644" s="17">
        <v>-1.3039</v>
      </c>
      <c r="L644" s="17">
        <v>-15.134793916691</v>
      </c>
      <c r="M644" s="17">
        <v>13.830893916691</v>
      </c>
      <c r="N644" s="17">
        <v>0.0</v>
      </c>
      <c r="O644" s="14">
        <f t="shared" si="1"/>
        <v>-1.3039</v>
      </c>
      <c r="P644" s="86">
        <f t="array" ref="P644">iferror(XLOOKUP(C644,'Download of SFDC Activation Rep'!B:B,'Download of SFDC Activation Rep'!Z:Z),"")</f>
        <v>45974</v>
      </c>
      <c r="Q644" s="86">
        <f t="shared" si="2"/>
        <v>45962</v>
      </c>
      <c r="R644" s="13" t="str">
        <f t="shared" si="3"/>
        <v>Yes</v>
      </c>
      <c r="S644" s="86">
        <f t="array" ref="S644">iferror(XLOOKUP(C644,'Download of SFDC Activation Rep'!B:B,'Download of SFDC Activation Rep'!Y:Y),"")</f>
        <v>45987</v>
      </c>
    </row>
    <row r="645">
      <c r="A645" s="17" t="s">
        <v>488</v>
      </c>
      <c r="B645" s="85">
        <v>46054.0</v>
      </c>
      <c r="C645" s="17">
        <v>4031755.0</v>
      </c>
      <c r="D645" s="85">
        <v>45901.0</v>
      </c>
      <c r="E645" s="17">
        <v>16.0</v>
      </c>
      <c r="F645" s="17">
        <v>16.0</v>
      </c>
      <c r="G645" s="17">
        <v>249405.27</v>
      </c>
      <c r="H645" s="17"/>
      <c r="I645" s="17">
        <v>47.02</v>
      </c>
      <c r="J645" s="17"/>
      <c r="K645" s="17">
        <v>39.0952</v>
      </c>
      <c r="L645" s="17">
        <v>-1.41416723391699</v>
      </c>
      <c r="M645" s="17">
        <v>40.509367233917</v>
      </c>
      <c r="N645" s="17">
        <v>5.25</v>
      </c>
      <c r="O645" s="14">
        <f t="shared" si="1"/>
        <v>44.3452</v>
      </c>
      <c r="P645" s="86">
        <f t="array" ref="P645">iferror(XLOOKUP(C645,'Download of SFDC Activation Rep'!B:B,'Download of SFDC Activation Rep'!Z:Z),"")</f>
        <v>45856</v>
      </c>
      <c r="Q645" s="86">
        <f t="shared" si="2"/>
        <v>45839</v>
      </c>
      <c r="R645" s="13" t="str">
        <f t="shared" si="3"/>
        <v>Yes</v>
      </c>
      <c r="S645" s="86">
        <f t="array" ref="S645">iferror(XLOOKUP(C645,'Download of SFDC Activation Rep'!B:B,'Download of SFDC Activation Rep'!Y:Y),"")</f>
        <v>45901</v>
      </c>
    </row>
    <row r="646">
      <c r="A646" s="17" t="s">
        <v>19</v>
      </c>
      <c r="B646" s="85">
        <v>46174.0</v>
      </c>
      <c r="C646" s="17">
        <v>2710123.0</v>
      </c>
      <c r="D646" s="85">
        <v>45292.0</v>
      </c>
      <c r="E646" s="17">
        <v>2.0</v>
      </c>
      <c r="F646" s="17">
        <v>0.0</v>
      </c>
      <c r="G646" s="17">
        <v>36075.4</v>
      </c>
      <c r="H646" s="17"/>
      <c r="I646" s="17">
        <v>1046.19</v>
      </c>
      <c r="J646" s="17"/>
      <c r="K646" s="17">
        <v>21.4288</v>
      </c>
      <c r="L646" s="17">
        <v>2.29250305887999</v>
      </c>
      <c r="M646" s="17">
        <v>19.13629694112</v>
      </c>
      <c r="N646" s="17">
        <v>80.0</v>
      </c>
      <c r="O646" s="14">
        <f t="shared" si="1"/>
        <v>101.4288</v>
      </c>
      <c r="P646" s="86">
        <f t="array" ref="P646">iferror(XLOOKUP(C646,'Download of SFDC Activation Rep'!B:B,'Download of SFDC Activation Rep'!Z:Z),"")</f>
        <v>45873</v>
      </c>
      <c r="Q646" s="86">
        <f t="shared" si="2"/>
        <v>45870</v>
      </c>
      <c r="R646" s="13" t="str">
        <f t="shared" si="3"/>
        <v>Yes</v>
      </c>
      <c r="S646" s="86">
        <f t="array" ref="S646">iferror(XLOOKUP(C646,'Download of SFDC Activation Rep'!B:B,'Download of SFDC Activation Rep'!Y:Y),"")</f>
        <v>45980</v>
      </c>
    </row>
    <row r="647">
      <c r="A647" s="17" t="s">
        <v>19</v>
      </c>
      <c r="B647" s="85">
        <v>46054.0</v>
      </c>
      <c r="C647" s="17">
        <v>4188267.0</v>
      </c>
      <c r="D647" s="85">
        <v>46023.0</v>
      </c>
      <c r="E647" s="17">
        <v>12.0</v>
      </c>
      <c r="F647" s="17">
        <v>12.0</v>
      </c>
      <c r="G647" s="17">
        <v>134124.13</v>
      </c>
      <c r="H647" s="17"/>
      <c r="I647" s="17">
        <v>61.7175</v>
      </c>
      <c r="J647" s="17"/>
      <c r="K647" s="17">
        <v>59.7201</v>
      </c>
      <c r="L647" s="17">
        <v>38.705356950231</v>
      </c>
      <c r="M647" s="17">
        <v>21.014743049769</v>
      </c>
      <c r="N647" s="17">
        <v>64.0</v>
      </c>
      <c r="O647" s="14">
        <f t="shared" si="1"/>
        <v>123.7201</v>
      </c>
      <c r="P647" s="86">
        <f t="array" ref="P647">iferror(XLOOKUP(C647,'Download of SFDC Activation Rep'!B:B,'Download of SFDC Activation Rep'!Z:Z),"")</f>
        <v>45917</v>
      </c>
      <c r="Q647" s="86">
        <f t="shared" si="2"/>
        <v>45901</v>
      </c>
      <c r="R647" s="13" t="str">
        <f t="shared" si="3"/>
        <v>Yes</v>
      </c>
      <c r="S647" s="86">
        <f t="array" ref="S647">iferror(XLOOKUP(C647,'Download of SFDC Activation Rep'!B:B,'Download of SFDC Activation Rep'!Y:Y),"")</f>
        <v>46037</v>
      </c>
    </row>
    <row r="648">
      <c r="A648" s="17" t="s">
        <v>19</v>
      </c>
      <c r="B648" s="85">
        <v>46113.0</v>
      </c>
      <c r="C648" s="17">
        <v>2402714.0</v>
      </c>
      <c r="D648" s="85">
        <v>45931.0</v>
      </c>
      <c r="E648" s="17">
        <v>37.0</v>
      </c>
      <c r="F648" s="17">
        <v>37.0</v>
      </c>
      <c r="G648" s="17">
        <v>275388.96</v>
      </c>
      <c r="H648" s="17"/>
      <c r="I648" s="17">
        <v>12.836475</v>
      </c>
      <c r="J648" s="17">
        <v>2.5</v>
      </c>
      <c r="K648" s="17">
        <v>0.6625</v>
      </c>
      <c r="L648" s="17">
        <v>-42.4206292584479</v>
      </c>
      <c r="M648" s="17">
        <v>43.083129258448</v>
      </c>
      <c r="N648" s="17">
        <v>80.0</v>
      </c>
      <c r="O648" s="14">
        <f t="shared" si="1"/>
        <v>80.6625</v>
      </c>
      <c r="P648" s="86">
        <f t="array" ref="P648">iferror(XLOOKUP(C648,'Download of SFDC Activation Rep'!B:B,'Download of SFDC Activation Rep'!Z:Z),"")</f>
        <v>45856</v>
      </c>
      <c r="Q648" s="86">
        <f t="shared" si="2"/>
        <v>45839</v>
      </c>
      <c r="R648" s="13" t="str">
        <f t="shared" si="3"/>
        <v>Yes</v>
      </c>
      <c r="S648" s="86">
        <f t="array" ref="S648">iferror(XLOOKUP(C648,'Download of SFDC Activation Rep'!B:B,'Download of SFDC Activation Rep'!Y:Y),"")</f>
        <v>45931</v>
      </c>
    </row>
    <row r="649">
      <c r="A649" s="17" t="s">
        <v>17</v>
      </c>
      <c r="B649" s="85">
        <v>46023.0</v>
      </c>
      <c r="C649" s="17">
        <v>4318853.0</v>
      </c>
      <c r="D649" s="85">
        <v>46023.0</v>
      </c>
      <c r="E649" s="17">
        <v>10.0</v>
      </c>
      <c r="F649" s="17">
        <v>0.0</v>
      </c>
      <c r="G649" s="17">
        <v>38671.15</v>
      </c>
      <c r="H649" s="17">
        <v>28671.15</v>
      </c>
      <c r="I649" s="17">
        <v>1121.47</v>
      </c>
      <c r="J649" s="17"/>
      <c r="K649" s="17">
        <v>114.6309</v>
      </c>
      <c r="L649" s="17">
        <v>106.407698142862</v>
      </c>
      <c r="M649" s="17">
        <v>8.22320185713748</v>
      </c>
      <c r="N649" s="17">
        <v>0.0</v>
      </c>
      <c r="O649" s="14">
        <f t="shared" si="1"/>
        <v>300.993375</v>
      </c>
      <c r="P649" s="86">
        <f t="array" ref="P649">iferror(XLOOKUP(C649,'Download of SFDC Activation Rep'!B:B,'Download of SFDC Activation Rep'!Z:Z),"")</f>
        <v>46027</v>
      </c>
      <c r="Q649" s="86">
        <f t="shared" si="2"/>
        <v>46023</v>
      </c>
      <c r="R649" s="13" t="str">
        <f t="shared" si="3"/>
        <v>Yes</v>
      </c>
      <c r="S649" s="86">
        <f t="array" ref="S649">iferror(XLOOKUP(C649,'Download of SFDC Activation Rep'!B:B,'Download of SFDC Activation Rep'!Y:Y),"")</f>
        <v>46042</v>
      </c>
    </row>
    <row r="650">
      <c r="A650" s="17" t="s">
        <v>19</v>
      </c>
      <c r="B650" s="85">
        <v>46174.0</v>
      </c>
      <c r="C650" s="17">
        <v>4400582.0</v>
      </c>
      <c r="D650" s="85">
        <v>46082.0</v>
      </c>
      <c r="E650" s="17">
        <v>4.0</v>
      </c>
      <c r="F650" s="17">
        <v>4.0</v>
      </c>
      <c r="G650" s="17">
        <v>44099.16</v>
      </c>
      <c r="H650" s="17"/>
      <c r="I650" s="17">
        <v>72.0</v>
      </c>
      <c r="J650" s="17"/>
      <c r="K650" s="17">
        <v>71.3999999999999</v>
      </c>
      <c r="L650" s="17">
        <v>53.809752842292</v>
      </c>
      <c r="M650" s="17">
        <v>17.5902471577079</v>
      </c>
      <c r="N650" s="17">
        <v>54.4</v>
      </c>
      <c r="O650" s="14">
        <f t="shared" si="1"/>
        <v>125.8</v>
      </c>
      <c r="P650" s="86">
        <f t="array" ref="P650">iferror(XLOOKUP(C650,'Download of SFDC Activation Rep'!B:B,'Download of SFDC Activation Rep'!Z:Z),"")</f>
        <v>46099</v>
      </c>
      <c r="Q650" s="86">
        <f t="shared" si="2"/>
        <v>46082</v>
      </c>
      <c r="R650" s="13" t="str">
        <f t="shared" si="3"/>
        <v>Yes</v>
      </c>
      <c r="S650" s="86">
        <f t="array" ref="S650">iferror(XLOOKUP(C650,'Download of SFDC Activation Rep'!B:B,'Download of SFDC Activation Rep'!Y:Y),"")</f>
        <v>46087</v>
      </c>
    </row>
    <row r="651">
      <c r="A651" s="17" t="s">
        <v>19</v>
      </c>
      <c r="B651" s="85">
        <v>46143.0</v>
      </c>
      <c r="C651" s="17">
        <v>4489894.0</v>
      </c>
      <c r="D651" s="85">
        <v>46113.0</v>
      </c>
      <c r="E651" s="17">
        <v>20.0</v>
      </c>
      <c r="F651" s="17">
        <v>20.0</v>
      </c>
      <c r="G651" s="17">
        <v>285380.69</v>
      </c>
      <c r="H651" s="17"/>
      <c r="I651" s="17">
        <v>102.96</v>
      </c>
      <c r="J651" s="17"/>
      <c r="K651" s="17">
        <v>97.7696</v>
      </c>
      <c r="L651" s="17">
        <v>46.5909947375029</v>
      </c>
      <c r="M651" s="17">
        <v>51.178605262497</v>
      </c>
      <c r="N651" s="17">
        <v>64.0</v>
      </c>
      <c r="O651" s="14">
        <f t="shared" si="1"/>
        <v>161.7696</v>
      </c>
      <c r="P651" s="86">
        <f t="array" ref="P651">iferror(XLOOKUP(C651,'Download of SFDC Activation Rep'!B:B,'Download of SFDC Activation Rep'!Z:Z),"")</f>
        <v>46071</v>
      </c>
      <c r="Q651" s="86">
        <f t="shared" si="2"/>
        <v>46054</v>
      </c>
      <c r="R651" s="13" t="str">
        <f t="shared" si="3"/>
        <v>Yes</v>
      </c>
      <c r="S651" s="86">
        <f t="array" ref="S651">iferror(XLOOKUP(C651,'Download of SFDC Activation Rep'!B:B,'Download of SFDC Activation Rep'!Y:Y),"")</f>
        <v>46141</v>
      </c>
    </row>
    <row r="652">
      <c r="A652" s="17" t="s">
        <v>17</v>
      </c>
      <c r="B652" s="85">
        <v>45992.0</v>
      </c>
      <c r="C652" s="17">
        <v>4233905.0</v>
      </c>
      <c r="D652" s="85">
        <v>45992.0</v>
      </c>
      <c r="E652" s="17">
        <v>18.0</v>
      </c>
      <c r="F652" s="17">
        <v>17.0</v>
      </c>
      <c r="G652" s="17">
        <v>17729.69</v>
      </c>
      <c r="H652" s="17"/>
      <c r="I652" s="17">
        <v>29.9</v>
      </c>
      <c r="J652" s="17"/>
      <c r="K652" s="17">
        <v>1.0064</v>
      </c>
      <c r="L652" s="17">
        <v>0.8291031</v>
      </c>
      <c r="M652" s="17">
        <v>0.177296899999999</v>
      </c>
      <c r="N652" s="17">
        <v>0.0</v>
      </c>
      <c r="O652" s="14">
        <f t="shared" si="1"/>
        <v>1.0064</v>
      </c>
      <c r="P652" s="86">
        <f t="array" ref="P652">iferror(XLOOKUP(C652,'Download of SFDC Activation Rep'!B:B,'Download of SFDC Activation Rep'!Z:Z),"")</f>
        <v>45974</v>
      </c>
      <c r="Q652" s="86">
        <f t="shared" si="2"/>
        <v>45962</v>
      </c>
      <c r="R652" s="13" t="str">
        <f t="shared" si="3"/>
        <v>Yes</v>
      </c>
      <c r="S652" s="86">
        <f t="array" ref="S652">iferror(XLOOKUP(C652,'Download of SFDC Activation Rep'!B:B,'Download of SFDC Activation Rep'!Y:Y),"")</f>
        <v>45999</v>
      </c>
    </row>
    <row r="653">
      <c r="A653" s="17" t="s">
        <v>17</v>
      </c>
      <c r="B653" s="85">
        <v>45931.0</v>
      </c>
      <c r="C653" s="17">
        <v>3825826.0</v>
      </c>
      <c r="D653" s="85">
        <v>45839.0</v>
      </c>
      <c r="E653" s="17">
        <v>29.0</v>
      </c>
      <c r="F653" s="17">
        <v>28.0</v>
      </c>
      <c r="G653" s="17">
        <v>144309.0</v>
      </c>
      <c r="H653" s="17">
        <v>3655.0</v>
      </c>
      <c r="I653" s="17">
        <v>105.99</v>
      </c>
      <c r="J653" s="17"/>
      <c r="K653" s="17">
        <v>7.214</v>
      </c>
      <c r="L653" s="17">
        <v>5.77091</v>
      </c>
      <c r="M653" s="17">
        <v>1.44308999999999</v>
      </c>
      <c r="N653" s="17">
        <v>6.39999999999999</v>
      </c>
      <c r="O653" s="14">
        <f t="shared" si="1"/>
        <v>13.614</v>
      </c>
      <c r="P653" s="86">
        <f t="array" ref="P653">iferror(XLOOKUP(C653,'Download of SFDC Activation Rep'!B:B,'Download of SFDC Activation Rep'!Z:Z),"")</f>
        <v>45810</v>
      </c>
      <c r="Q653" s="86">
        <f t="shared" si="2"/>
        <v>45809</v>
      </c>
      <c r="R653" s="13" t="str">
        <f t="shared" si="3"/>
        <v>Yes</v>
      </c>
      <c r="S653" s="86">
        <f t="array" ref="S653">iferror(XLOOKUP(C653,'Download of SFDC Activation Rep'!B:B,'Download of SFDC Activation Rep'!Y:Y),"")</f>
        <v>45842</v>
      </c>
    </row>
    <row r="654">
      <c r="A654" s="17" t="s">
        <v>488</v>
      </c>
      <c r="B654" s="85">
        <v>46113.0</v>
      </c>
      <c r="C654" s="17">
        <v>3934664.0</v>
      </c>
      <c r="D654" s="85">
        <v>45809.0</v>
      </c>
      <c r="E654" s="17">
        <v>17.0</v>
      </c>
      <c r="F654" s="17">
        <v>0.0</v>
      </c>
      <c r="G654" s="17">
        <v>6667.81</v>
      </c>
      <c r="H654" s="17">
        <v>1533.45</v>
      </c>
      <c r="I654" s="17">
        <v>193.38</v>
      </c>
      <c r="J654" s="17"/>
      <c r="K654" s="17">
        <v>-5.3854</v>
      </c>
      <c r="L654" s="17">
        <v>-5.4520781</v>
      </c>
      <c r="M654" s="17">
        <v>0.0666780999999998</v>
      </c>
      <c r="N654" s="17">
        <v>25.0</v>
      </c>
      <c r="O654" s="14">
        <f t="shared" si="1"/>
        <v>29.582025</v>
      </c>
      <c r="P654" s="86">
        <f t="array" ref="P654">iferror(XLOOKUP(C654,'Download of SFDC Activation Rep'!B:B,'Download of SFDC Activation Rep'!Z:Z),"")</f>
        <v>45820</v>
      </c>
      <c r="Q654" s="86">
        <f t="shared" si="2"/>
        <v>45809</v>
      </c>
      <c r="R654" s="13" t="str">
        <f t="shared" si="3"/>
        <v>Yes</v>
      </c>
      <c r="S654" s="86">
        <f t="array" ref="S654">iferror(XLOOKUP(C654,'Download of SFDC Activation Rep'!B:B,'Download of SFDC Activation Rep'!Y:Y),"")</f>
        <v>45829</v>
      </c>
    </row>
    <row r="655">
      <c r="A655" s="17" t="s">
        <v>489</v>
      </c>
      <c r="B655" s="85">
        <v>46023.0</v>
      </c>
      <c r="C655" s="17">
        <v>4271363.0</v>
      </c>
      <c r="D655" s="85">
        <v>45992.0</v>
      </c>
      <c r="E655" s="17">
        <v>34.0</v>
      </c>
      <c r="F655" s="17">
        <v>34.0</v>
      </c>
      <c r="G655" s="17">
        <v>150305.82</v>
      </c>
      <c r="H655" s="17"/>
      <c r="I655" s="17">
        <v>56.94</v>
      </c>
      <c r="J655" s="17"/>
      <c r="K655" s="17">
        <v>51.8155</v>
      </c>
      <c r="L655" s="17">
        <v>16.1848970077542</v>
      </c>
      <c r="M655" s="17">
        <v>35.6306029922458</v>
      </c>
      <c r="N655" s="17">
        <v>44.0</v>
      </c>
      <c r="O655" s="14">
        <f t="shared" si="1"/>
        <v>95.8155</v>
      </c>
      <c r="P655" s="86">
        <f t="array" ref="P655">iferror(XLOOKUP(C655,'Download of SFDC Activation Rep'!B:B,'Download of SFDC Activation Rep'!Z:Z),"")</f>
        <v>45964</v>
      </c>
      <c r="Q655" s="86">
        <f t="shared" si="2"/>
        <v>45962</v>
      </c>
      <c r="R655" s="13" t="str">
        <f t="shared" si="3"/>
        <v>Yes</v>
      </c>
      <c r="S655" s="86">
        <f t="array" ref="S655">iferror(XLOOKUP(C655,'Download of SFDC Activation Rep'!B:B,'Download of SFDC Activation Rep'!Y:Y),"")</f>
        <v>46007</v>
      </c>
    </row>
    <row r="656">
      <c r="A656" s="17" t="s">
        <v>17</v>
      </c>
      <c r="B656" s="85">
        <v>46082.0</v>
      </c>
      <c r="C656" s="17">
        <v>4474354.0</v>
      </c>
      <c r="D656" s="85">
        <v>46082.0</v>
      </c>
      <c r="E656" s="17">
        <v>2.0</v>
      </c>
      <c r="F656" s="17">
        <v>0.0</v>
      </c>
      <c r="G656" s="17">
        <v>200.0</v>
      </c>
      <c r="H656" s="17"/>
      <c r="I656" s="17">
        <v>5.8</v>
      </c>
      <c r="J656" s="17"/>
      <c r="K656" s="17">
        <v>0.162599999999999</v>
      </c>
      <c r="L656" s="17">
        <v>0.160599999999999</v>
      </c>
      <c r="M656" s="17">
        <v>0.00199999999999989</v>
      </c>
      <c r="N656" s="17">
        <v>0.0</v>
      </c>
      <c r="O656" s="14">
        <f t="shared" si="1"/>
        <v>0.1626</v>
      </c>
      <c r="P656" s="86">
        <f t="array" ref="P656">iferror(XLOOKUP(C656,'Download of SFDC Activation Rep'!B:B,'Download of SFDC Activation Rep'!Z:Z),"")</f>
        <v>46099</v>
      </c>
      <c r="Q656" s="86">
        <f t="shared" si="2"/>
        <v>46082</v>
      </c>
      <c r="R656" s="13" t="str">
        <f t="shared" si="3"/>
        <v>Yes</v>
      </c>
      <c r="S656" s="86">
        <f t="array" ref="S656">iferror(XLOOKUP(C656,'Download of SFDC Activation Rep'!B:B,'Download of SFDC Activation Rep'!Y:Y),"")</f>
        <v>46118</v>
      </c>
    </row>
    <row r="657">
      <c r="A657" s="17" t="s">
        <v>488</v>
      </c>
      <c r="B657" s="85">
        <v>46113.0</v>
      </c>
      <c r="C657" s="17">
        <v>4301071.0</v>
      </c>
      <c r="D657" s="85">
        <v>45992.0</v>
      </c>
      <c r="E657" s="17">
        <v>5.0</v>
      </c>
      <c r="F657" s="17">
        <v>4.0</v>
      </c>
      <c r="G657" s="17">
        <v>2866.64</v>
      </c>
      <c r="H657" s="17"/>
      <c r="I657" s="17">
        <v>66.7</v>
      </c>
      <c r="J657" s="17"/>
      <c r="K657" s="17">
        <v>0.126999999999999</v>
      </c>
      <c r="L657" s="17">
        <v>0.0983336</v>
      </c>
      <c r="M657" s="17">
        <v>0.0286663999999999</v>
      </c>
      <c r="N657" s="17">
        <v>29.75</v>
      </c>
      <c r="O657" s="14">
        <f t="shared" si="1"/>
        <v>29.877</v>
      </c>
      <c r="P657" s="86">
        <f t="array" ref="P657">iferror(XLOOKUP(C657,'Download of SFDC Activation Rep'!B:B,'Download of SFDC Activation Rep'!Z:Z),"")</f>
        <v>46014</v>
      </c>
      <c r="Q657" s="86">
        <f t="shared" si="2"/>
        <v>45992</v>
      </c>
      <c r="R657" s="13" t="str">
        <f t="shared" si="3"/>
        <v>Yes</v>
      </c>
      <c r="S657" s="86">
        <f t="array" ref="S657">iferror(XLOOKUP(C657,'Download of SFDC Activation Rep'!B:B,'Download of SFDC Activation Rep'!Y:Y),"")</f>
        <v>46022</v>
      </c>
    </row>
    <row r="658">
      <c r="A658" s="17" t="s">
        <v>488</v>
      </c>
      <c r="B658" s="85">
        <v>46143.0</v>
      </c>
      <c r="C658" s="17">
        <v>4301071.0</v>
      </c>
      <c r="D658" s="85">
        <v>45992.0</v>
      </c>
      <c r="E658" s="17">
        <v>1.0</v>
      </c>
      <c r="F658" s="17">
        <v>1.0</v>
      </c>
      <c r="G658" s="17">
        <v>550.0</v>
      </c>
      <c r="H658" s="17"/>
      <c r="I658" s="17">
        <v>0.0</v>
      </c>
      <c r="J658" s="17"/>
      <c r="K658" s="17">
        <v>-0.1721</v>
      </c>
      <c r="L658" s="17">
        <v>-0.1776</v>
      </c>
      <c r="M658" s="17">
        <v>0.0055</v>
      </c>
      <c r="N658" s="17">
        <v>29.75</v>
      </c>
      <c r="O658" s="14">
        <f t="shared" si="1"/>
        <v>29.5779</v>
      </c>
      <c r="P658" s="86">
        <f t="array" ref="P658">iferror(XLOOKUP(C658,'Download of SFDC Activation Rep'!B:B,'Download of SFDC Activation Rep'!Z:Z),"")</f>
        <v>46014</v>
      </c>
      <c r="Q658" s="86">
        <f t="shared" si="2"/>
        <v>45992</v>
      </c>
      <c r="R658" s="13" t="str">
        <f t="shared" si="3"/>
        <v>Yes</v>
      </c>
      <c r="S658" s="86">
        <f t="array" ref="S658">iferror(XLOOKUP(C658,'Download of SFDC Activation Rep'!B:B,'Download of SFDC Activation Rep'!Y:Y),"")</f>
        <v>46022</v>
      </c>
    </row>
    <row r="659">
      <c r="A659" s="17" t="s">
        <v>489</v>
      </c>
      <c r="B659" s="85">
        <v>46174.0</v>
      </c>
      <c r="C659" s="17">
        <v>4099073.0</v>
      </c>
      <c r="D659" s="85">
        <v>45931.0</v>
      </c>
      <c r="E659" s="17">
        <v>31.0</v>
      </c>
      <c r="F659" s="17">
        <v>31.0</v>
      </c>
      <c r="G659" s="17">
        <v>175643.47</v>
      </c>
      <c r="H659" s="17"/>
      <c r="I659" s="17">
        <v>89.53</v>
      </c>
      <c r="J659" s="17"/>
      <c r="K659" s="17">
        <v>84.5321</v>
      </c>
      <c r="L659" s="17">
        <v>43.730857438289</v>
      </c>
      <c r="M659" s="17">
        <v>40.801242561711</v>
      </c>
      <c r="N659" s="17">
        <v>8.49999999999999</v>
      </c>
      <c r="O659" s="14">
        <f t="shared" si="1"/>
        <v>93.0321</v>
      </c>
      <c r="P659" s="86">
        <f t="array" ref="P659">iferror(XLOOKUP(C659,'Download of SFDC Activation Rep'!B:B,'Download of SFDC Activation Rep'!Z:Z),"")</f>
        <v>45870</v>
      </c>
      <c r="Q659" s="86">
        <f t="shared" si="2"/>
        <v>45870</v>
      </c>
      <c r="R659" s="13" t="str">
        <f t="shared" si="3"/>
        <v>Yes</v>
      </c>
      <c r="S659" s="86">
        <f t="array" ref="S659">iferror(XLOOKUP(C659,'Download of SFDC Activation Rep'!B:B,'Download of SFDC Activation Rep'!Y:Y),"")</f>
        <v>45999</v>
      </c>
    </row>
    <row r="660">
      <c r="A660" s="17" t="s">
        <v>19</v>
      </c>
      <c r="B660" s="85">
        <v>46023.0</v>
      </c>
      <c r="C660" s="17">
        <v>3945715.0</v>
      </c>
      <c r="D660" s="85">
        <v>45809.0</v>
      </c>
      <c r="E660" s="17">
        <v>7.0</v>
      </c>
      <c r="F660" s="17">
        <v>2.0</v>
      </c>
      <c r="G660" s="17">
        <v>95056.0</v>
      </c>
      <c r="H660" s="17">
        <v>64000.0</v>
      </c>
      <c r="I660" s="17">
        <v>2333.93</v>
      </c>
      <c r="J660" s="17">
        <v>0.5</v>
      </c>
      <c r="K660" s="17">
        <v>517.0877</v>
      </c>
      <c r="L660" s="17">
        <v>485.935466570723</v>
      </c>
      <c r="M660" s="17">
        <v>31.1522334292768</v>
      </c>
      <c r="N660" s="17">
        <v>80.0</v>
      </c>
      <c r="O660" s="14">
        <f t="shared" si="1"/>
        <v>1013.0877</v>
      </c>
      <c r="P660" s="86">
        <f t="array" ref="P660">iferror(XLOOKUP(C660,'Download of SFDC Activation Rep'!B:B,'Download of SFDC Activation Rep'!Z:Z),"")</f>
        <v>45804</v>
      </c>
      <c r="Q660" s="86">
        <f t="shared" si="2"/>
        <v>45778</v>
      </c>
      <c r="R660" s="13" t="str">
        <f t="shared" si="3"/>
        <v>Yes</v>
      </c>
      <c r="S660" s="86">
        <f t="array" ref="S660">iferror(XLOOKUP(C660,'Download of SFDC Activation Rep'!B:B,'Download of SFDC Activation Rep'!Y:Y),"")</f>
        <v>45804</v>
      </c>
    </row>
    <row r="661">
      <c r="A661" s="17" t="s">
        <v>17</v>
      </c>
      <c r="B661" s="85">
        <v>46023.0</v>
      </c>
      <c r="C661" s="17">
        <v>4307473.0</v>
      </c>
      <c r="D661" s="85">
        <v>45992.0</v>
      </c>
      <c r="E661" s="17">
        <v>5.0</v>
      </c>
      <c r="F661" s="17">
        <v>3.0</v>
      </c>
      <c r="G661" s="17">
        <v>33492.33</v>
      </c>
      <c r="H661" s="17"/>
      <c r="I661" s="17">
        <v>416.69</v>
      </c>
      <c r="J661" s="17"/>
      <c r="K661" s="17">
        <v>49.3339</v>
      </c>
      <c r="L661" s="17">
        <v>48.38738485</v>
      </c>
      <c r="M661" s="17">
        <v>0.946515149999996</v>
      </c>
      <c r="N661" s="17">
        <v>0.0</v>
      </c>
      <c r="O661" s="14">
        <f t="shared" si="1"/>
        <v>49.3339</v>
      </c>
      <c r="P661" s="86">
        <f t="array" ref="P661">iferror(XLOOKUP(C661,'Download of SFDC Activation Rep'!B:B,'Download of SFDC Activation Rep'!Z:Z),"")</f>
        <v>45841</v>
      </c>
      <c r="Q661" s="86">
        <f t="shared" si="2"/>
        <v>45839</v>
      </c>
      <c r="R661" s="13" t="str">
        <f t="shared" si="3"/>
        <v>Yes</v>
      </c>
      <c r="S661" s="86">
        <f t="array" ref="S661">iferror(XLOOKUP(C661,'Download of SFDC Activation Rep'!B:B,'Download of SFDC Activation Rep'!Y:Y),"")</f>
        <v>46021</v>
      </c>
    </row>
    <row r="662">
      <c r="A662" s="17" t="s">
        <v>1487</v>
      </c>
      <c r="B662" s="85">
        <v>45901.0</v>
      </c>
      <c r="C662" s="17">
        <v>3935770.0</v>
      </c>
      <c r="D662" s="85">
        <v>45778.0</v>
      </c>
      <c r="E662" s="17">
        <v>64.0</v>
      </c>
      <c r="F662" s="17">
        <v>56.0</v>
      </c>
      <c r="G662" s="17">
        <v>251464.68</v>
      </c>
      <c r="H662" s="17">
        <v>1162.07</v>
      </c>
      <c r="I662" s="17">
        <v>1816.597063</v>
      </c>
      <c r="K662" s="17">
        <v>479.294099999999</v>
      </c>
      <c r="L662" s="17">
        <v>402.263511253241</v>
      </c>
      <c r="M662" s="17">
        <v>77.030588746758</v>
      </c>
      <c r="N662" s="17">
        <v>0.0</v>
      </c>
      <c r="O662" s="14">
        <f t="shared" si="1"/>
        <v>479.2941</v>
      </c>
      <c r="P662" s="86">
        <f t="array" ref="P662">iferror(XLOOKUP(C662,'Download of SFDC Activation Rep'!B:B,'Download of SFDC Activation Rep'!Z:Z),"")</f>
        <v>45797</v>
      </c>
      <c r="Q662" s="86">
        <f t="shared" si="2"/>
        <v>45778</v>
      </c>
      <c r="R662" s="13" t="str">
        <f t="shared" si="3"/>
        <v>Yes</v>
      </c>
      <c r="S662" s="86">
        <f t="array" ref="S662">iferror(XLOOKUP(C662,'Download of SFDC Activation Rep'!B:B,'Download of SFDC Activation Rep'!Y:Y),"")</f>
        <v>45797</v>
      </c>
    </row>
    <row r="663">
      <c r="A663" s="17" t="s">
        <v>19</v>
      </c>
      <c r="B663" s="85">
        <v>46023.0</v>
      </c>
      <c r="C663" s="17">
        <v>2710123.0</v>
      </c>
      <c r="D663" s="85">
        <v>45292.0</v>
      </c>
      <c r="E663" s="17">
        <v>1.0</v>
      </c>
      <c r="F663" s="17">
        <v>0.0</v>
      </c>
      <c r="G663" s="17">
        <v>12229.25</v>
      </c>
      <c r="I663" s="17">
        <v>354.65</v>
      </c>
      <c r="J663" s="17"/>
      <c r="K663" s="17">
        <v>43.4694</v>
      </c>
      <c r="L663" s="17">
        <v>40.8689189873743</v>
      </c>
      <c r="M663" s="17">
        <v>2.60048101262565</v>
      </c>
      <c r="N663" s="17">
        <v>80.0</v>
      </c>
      <c r="O663" s="14">
        <f t="shared" si="1"/>
        <v>123.4694</v>
      </c>
      <c r="P663" s="86">
        <f t="array" ref="P663">iferror(XLOOKUP(C663,'Download of SFDC Activation Rep'!B:B,'Download of SFDC Activation Rep'!Z:Z),"")</f>
        <v>45873</v>
      </c>
      <c r="Q663" s="86">
        <f t="shared" si="2"/>
        <v>45870</v>
      </c>
      <c r="R663" s="13" t="str">
        <f t="shared" si="3"/>
        <v>Yes</v>
      </c>
      <c r="S663" s="86">
        <f t="array" ref="S663">iferror(XLOOKUP(C663,'Download of SFDC Activation Rep'!B:B,'Download of SFDC Activation Rep'!Y:Y),"")</f>
        <v>45980</v>
      </c>
    </row>
    <row r="664">
      <c r="A664" s="17" t="s">
        <v>19</v>
      </c>
      <c r="B664" s="85">
        <v>46143.0</v>
      </c>
      <c r="C664" s="17">
        <v>4356919.0</v>
      </c>
      <c r="D664" s="85">
        <v>46082.0</v>
      </c>
      <c r="E664" s="17">
        <v>2.0</v>
      </c>
      <c r="F664" s="17">
        <v>2.0</v>
      </c>
      <c r="G664" s="17">
        <v>855.96</v>
      </c>
      <c r="H664" s="17"/>
      <c r="I664" s="17">
        <v>0.0</v>
      </c>
      <c r="J664" s="17"/>
      <c r="K664" s="17">
        <v>-0.3</v>
      </c>
      <c r="L664" s="17">
        <v>-0.3085596</v>
      </c>
      <c r="M664" s="17">
        <v>0.0085596</v>
      </c>
      <c r="N664" s="17">
        <v>80.0</v>
      </c>
      <c r="O664" s="14">
        <f t="shared" si="1"/>
        <v>79.7</v>
      </c>
      <c r="P664" s="86">
        <f t="array" ref="P664">iferror(XLOOKUP(C664,'Download of SFDC Activation Rep'!B:B,'Download of SFDC Activation Rep'!Z:Z),"")</f>
        <v>45973</v>
      </c>
      <c r="Q664" s="86">
        <f t="shared" si="2"/>
        <v>45962</v>
      </c>
      <c r="R664" s="13" t="str">
        <f t="shared" si="3"/>
        <v>Yes</v>
      </c>
      <c r="S664" s="86">
        <f t="array" ref="S664">iferror(XLOOKUP(C664,'Download of SFDC Activation Rep'!B:B,'Download of SFDC Activation Rep'!Y:Y),"")</f>
        <v>46139</v>
      </c>
    </row>
    <row r="665">
      <c r="A665" s="17" t="s">
        <v>17</v>
      </c>
      <c r="B665" s="85">
        <v>45870.0</v>
      </c>
      <c r="C665" s="17">
        <v>3275131.0</v>
      </c>
      <c r="D665" s="85">
        <v>45839.0</v>
      </c>
      <c r="E665" s="17">
        <v>4.0</v>
      </c>
      <c r="F665" s="17">
        <v>2.0</v>
      </c>
      <c r="G665" s="17">
        <v>10780.08</v>
      </c>
      <c r="H665" s="17"/>
      <c r="I665" s="17">
        <v>63.8</v>
      </c>
      <c r="J665" s="17"/>
      <c r="K665" s="17">
        <v>-5.4366</v>
      </c>
      <c r="L665" s="17">
        <v>-5.5444008</v>
      </c>
      <c r="M665" s="17">
        <v>0.1078008</v>
      </c>
      <c r="N665" s="17">
        <v>2.49999999999999</v>
      </c>
      <c r="O665" s="14">
        <f t="shared" si="1"/>
        <v>-2.9366</v>
      </c>
      <c r="P665" s="86">
        <f t="array" ref="P665">iferror(XLOOKUP(C665,'Download of SFDC Activation Rep'!B:B,'Download of SFDC Activation Rep'!Z:Z),"")</f>
        <v>45817</v>
      </c>
      <c r="Q665" s="86">
        <f t="shared" si="2"/>
        <v>45809</v>
      </c>
      <c r="R665" s="13" t="str">
        <f t="shared" si="3"/>
        <v>Yes</v>
      </c>
      <c r="S665" s="86">
        <f t="array" ref="S665">iferror(XLOOKUP(C665,'Download of SFDC Activation Rep'!B:B,'Download of SFDC Activation Rep'!Y:Y),"")</f>
        <v>45848</v>
      </c>
    </row>
    <row r="666">
      <c r="A666" s="17" t="s">
        <v>19</v>
      </c>
      <c r="B666" s="85">
        <v>46023.0</v>
      </c>
      <c r="C666" s="17">
        <v>4263325.0</v>
      </c>
      <c r="D666" s="85">
        <v>45992.0</v>
      </c>
      <c r="E666" s="17">
        <v>5.0</v>
      </c>
      <c r="F666" s="17">
        <v>5.0</v>
      </c>
      <c r="G666" s="17">
        <v>44413.88</v>
      </c>
      <c r="H666" s="17"/>
      <c r="I666" s="17">
        <v>0.0</v>
      </c>
      <c r="J666" s="17"/>
      <c r="K666" s="17">
        <v>-0.671</v>
      </c>
      <c r="L666" s="17">
        <v>-10.1153609900062</v>
      </c>
      <c r="M666" s="17">
        <v>9.44436099000626</v>
      </c>
      <c r="N666" s="17">
        <v>54.4</v>
      </c>
      <c r="O666" s="14">
        <f t="shared" si="1"/>
        <v>53.729</v>
      </c>
      <c r="P666" s="86">
        <f t="array" ref="P666">iferror(XLOOKUP(C666,'Download of SFDC Activation Rep'!B:B,'Download of SFDC Activation Rep'!Z:Z),"")</f>
        <v>45961</v>
      </c>
      <c r="Q666" s="86">
        <f t="shared" si="2"/>
        <v>45931</v>
      </c>
      <c r="R666" s="13" t="str">
        <f t="shared" si="3"/>
        <v>Yes</v>
      </c>
      <c r="S666" s="86">
        <f t="array" ref="S666">iferror(XLOOKUP(C666,'Download of SFDC Activation Rep'!B:B,'Download of SFDC Activation Rep'!Y:Y),"")</f>
        <v>46013</v>
      </c>
    </row>
    <row r="667">
      <c r="A667" s="17" t="s">
        <v>19</v>
      </c>
      <c r="B667" s="85">
        <v>45962.0</v>
      </c>
      <c r="C667" s="17">
        <v>4018525.0</v>
      </c>
      <c r="D667" s="85">
        <v>45839.0</v>
      </c>
      <c r="E667" s="17">
        <v>62.0</v>
      </c>
      <c r="F667" s="17">
        <v>62.0</v>
      </c>
      <c r="G667" s="17">
        <v>219206.24</v>
      </c>
      <c r="H667" s="17"/>
      <c r="I667" s="17">
        <v>411.30845</v>
      </c>
      <c r="J667" s="17"/>
      <c r="K667" s="17">
        <v>371.862099999999</v>
      </c>
      <c r="L667" s="17">
        <v>318.342373553317</v>
      </c>
      <c r="M667" s="17">
        <v>53.5197264466829</v>
      </c>
      <c r="N667" s="17">
        <v>6.39999999999999</v>
      </c>
      <c r="O667" s="14">
        <f t="shared" si="1"/>
        <v>378.2621</v>
      </c>
      <c r="P667" s="86">
        <f t="array" ref="P667">iferror(XLOOKUP(C667,'Download of SFDC Activation Rep'!B:B,'Download of SFDC Activation Rep'!Z:Z),"")</f>
        <v>45818</v>
      </c>
      <c r="Q667" s="86">
        <f t="shared" si="2"/>
        <v>45809</v>
      </c>
      <c r="R667" s="13" t="str">
        <f t="shared" si="3"/>
        <v>Yes</v>
      </c>
      <c r="S667" s="86">
        <f t="array" ref="S667">iferror(XLOOKUP(C667,'Download of SFDC Activation Rep'!B:B,'Download of SFDC Activation Rep'!Y:Y),"")</f>
        <v>45859</v>
      </c>
    </row>
    <row r="668">
      <c r="A668" s="17" t="s">
        <v>488</v>
      </c>
      <c r="B668" s="85">
        <v>45901.0</v>
      </c>
      <c r="C668" s="17">
        <v>4030970.0</v>
      </c>
      <c r="D668" s="85">
        <v>45870.0</v>
      </c>
      <c r="E668" s="17">
        <v>28.0</v>
      </c>
      <c r="F668" s="17">
        <v>1.0</v>
      </c>
      <c r="G668" s="17">
        <v>16236.57</v>
      </c>
      <c r="H668" s="17">
        <v>14203.36</v>
      </c>
      <c r="I668" s="17">
        <v>450.89</v>
      </c>
      <c r="J668" s="17"/>
      <c r="K668" s="17">
        <v>54.6393999999999</v>
      </c>
      <c r="L668" s="17">
        <v>46.5571183102939</v>
      </c>
      <c r="M668" s="17">
        <v>8.082281689706</v>
      </c>
      <c r="N668" s="17">
        <v>1.99999999999999</v>
      </c>
      <c r="O668" s="14">
        <f t="shared" si="1"/>
        <v>56.6394</v>
      </c>
      <c r="P668" s="86">
        <f t="array" ref="P668">iferror(XLOOKUP(C668,'Download of SFDC Activation Rep'!B:B,'Download of SFDC Activation Rep'!Z:Z),"")</f>
        <v>45870</v>
      </c>
      <c r="Q668" s="86">
        <f t="shared" si="2"/>
        <v>45870</v>
      </c>
      <c r="R668" s="13" t="str">
        <f t="shared" si="3"/>
        <v>Yes</v>
      </c>
      <c r="S668" s="86">
        <f t="array" ref="S668">iferror(XLOOKUP(C668,'Download of SFDC Activation Rep'!B:B,'Download of SFDC Activation Rep'!Y:Y),"")</f>
        <v>45876</v>
      </c>
    </row>
    <row r="669">
      <c r="A669" s="17" t="s">
        <v>19</v>
      </c>
      <c r="B669" s="85">
        <v>45962.0</v>
      </c>
      <c r="C669" s="17">
        <v>3934711.0</v>
      </c>
      <c r="D669" s="85">
        <v>45839.0</v>
      </c>
      <c r="E669" s="17">
        <v>46.0</v>
      </c>
      <c r="F669" s="17">
        <v>46.0</v>
      </c>
      <c r="G669" s="17">
        <v>6735.0</v>
      </c>
      <c r="H669" s="17"/>
      <c r="I669" s="17">
        <v>26.8</v>
      </c>
      <c r="J669" s="17">
        <v>10.0</v>
      </c>
      <c r="K669" s="17">
        <v>19.0242</v>
      </c>
      <c r="L669" s="17">
        <v>14.7802840196134</v>
      </c>
      <c r="M669" s="17">
        <v>4.2439159803865</v>
      </c>
      <c r="N669" s="17">
        <v>2.79999999999999</v>
      </c>
      <c r="O669" s="14">
        <f t="shared" si="1"/>
        <v>21.8242</v>
      </c>
      <c r="P669" s="86">
        <f t="array" ref="P669">iferror(XLOOKUP(C669,'Download of SFDC Activation Rep'!B:B,'Download of SFDC Activation Rep'!Z:Z),"")</f>
        <v>45817</v>
      </c>
      <c r="Q669" s="86">
        <f t="shared" si="2"/>
        <v>45809</v>
      </c>
      <c r="R669" s="13" t="str">
        <f t="shared" si="3"/>
        <v>Yes</v>
      </c>
      <c r="S669" s="86">
        <f t="array" ref="S669">iferror(XLOOKUP(C669,'Download of SFDC Activation Rep'!B:B,'Download of SFDC Activation Rep'!Y:Y),"")</f>
        <v>45817</v>
      </c>
    </row>
    <row r="670">
      <c r="A670" s="17" t="s">
        <v>488</v>
      </c>
      <c r="B670" s="85">
        <v>45839.0</v>
      </c>
      <c r="C670" s="17">
        <v>3952865.0</v>
      </c>
      <c r="D670" s="85">
        <v>45809.0</v>
      </c>
      <c r="E670" s="17">
        <v>10.0</v>
      </c>
      <c r="F670" s="17">
        <v>10.0</v>
      </c>
      <c r="G670" s="17">
        <v>31165.76</v>
      </c>
      <c r="H670" s="17"/>
      <c r="I670" s="17">
        <v>0.5</v>
      </c>
      <c r="J670" s="17">
        <v>0.5</v>
      </c>
      <c r="K670" s="17">
        <v>-0.4</v>
      </c>
      <c r="L670" s="17">
        <v>-5.28309325396214</v>
      </c>
      <c r="M670" s="17">
        <v>4.88309325396214</v>
      </c>
      <c r="N670" s="17">
        <v>3.49999999999999</v>
      </c>
      <c r="O670" s="14">
        <f t="shared" si="1"/>
        <v>3.1</v>
      </c>
      <c r="P670" s="86">
        <f t="array" ref="P670">iferror(XLOOKUP(C670,'Download of SFDC Activation Rep'!B:B,'Download of SFDC Activation Rep'!Z:Z),"")</f>
        <v>45799</v>
      </c>
      <c r="Q670" s="86">
        <f t="shared" si="2"/>
        <v>45778</v>
      </c>
      <c r="R670" s="13" t="str">
        <f t="shared" si="3"/>
        <v>Yes</v>
      </c>
      <c r="S670" s="86">
        <f t="array" ref="S670">iferror(XLOOKUP(C670,'Download of SFDC Activation Rep'!B:B,'Download of SFDC Activation Rep'!Y:Y),"")</f>
        <v>45818</v>
      </c>
    </row>
    <row r="671">
      <c r="A671" s="17" t="s">
        <v>488</v>
      </c>
      <c r="B671" s="85">
        <v>46113.0</v>
      </c>
      <c r="C671" s="17">
        <v>4509013.0</v>
      </c>
      <c r="D671" s="85">
        <v>46113.0</v>
      </c>
      <c r="E671" s="17">
        <v>3.0</v>
      </c>
      <c r="F671" s="17">
        <v>3.0</v>
      </c>
      <c r="G671" s="17">
        <v>6561.98</v>
      </c>
      <c r="H671" s="17"/>
      <c r="I671" s="17">
        <v>1.5</v>
      </c>
      <c r="J671" s="17"/>
      <c r="K671" s="17">
        <v>0.0075</v>
      </c>
      <c r="L671" s="17">
        <v>-1.01603335697399</v>
      </c>
      <c r="M671" s="17">
        <v>1.023533356974</v>
      </c>
      <c r="N671" s="17">
        <v>27.0</v>
      </c>
      <c r="O671" s="14">
        <f t="shared" si="1"/>
        <v>27.0075</v>
      </c>
      <c r="P671" s="86">
        <f t="array" ref="P671">iferror(XLOOKUP(C671,'Download of SFDC Activation Rep'!B:B,'Download of SFDC Activation Rep'!Z:Z),"")</f>
        <v>46077</v>
      </c>
      <c r="Q671" s="86">
        <f t="shared" si="2"/>
        <v>46054</v>
      </c>
      <c r="R671" s="13" t="str">
        <f t="shared" si="3"/>
        <v>Yes</v>
      </c>
      <c r="S671" s="86">
        <f t="array" ref="S671">iferror(XLOOKUP(C671,'Download of SFDC Activation Rep'!B:B,'Download of SFDC Activation Rep'!Y:Y),"")</f>
        <v>46139</v>
      </c>
    </row>
    <row r="672">
      <c r="A672" s="17" t="s">
        <v>19</v>
      </c>
      <c r="B672" s="85">
        <v>45992.0</v>
      </c>
      <c r="C672" s="17">
        <v>4270780.0</v>
      </c>
      <c r="D672" s="85">
        <v>45992.0</v>
      </c>
      <c r="E672" s="17">
        <v>3.0</v>
      </c>
      <c r="F672" s="17">
        <v>3.0</v>
      </c>
      <c r="G672" s="17">
        <v>590000.0</v>
      </c>
      <c r="H672" s="17"/>
      <c r="I672" s="17">
        <v>10.0</v>
      </c>
      <c r="J672" s="17"/>
      <c r="K672" s="17">
        <v>3.4055</v>
      </c>
      <c r="L672" s="17">
        <v>-209.180494671</v>
      </c>
      <c r="M672" s="17">
        <v>212.585994671</v>
      </c>
      <c r="N672" s="17">
        <v>0.0</v>
      </c>
      <c r="O672" s="14">
        <f t="shared" si="1"/>
        <v>3.4055</v>
      </c>
      <c r="P672" s="86">
        <f t="array" ref="P672">iferror(XLOOKUP(C672,'Download of SFDC Activation Rep'!B:B,'Download of SFDC Activation Rep'!Z:Z),"")</f>
        <v>45961</v>
      </c>
      <c r="Q672" s="86">
        <f t="shared" si="2"/>
        <v>45931</v>
      </c>
      <c r="R672" s="13" t="str">
        <f t="shared" si="3"/>
        <v>Yes</v>
      </c>
      <c r="S672" s="86">
        <f t="array" ref="S672">iferror(XLOOKUP(C672,'Download of SFDC Activation Rep'!B:B,'Download of SFDC Activation Rep'!Y:Y),"")</f>
        <v>46013</v>
      </c>
    </row>
    <row r="673">
      <c r="A673" s="17" t="s">
        <v>19</v>
      </c>
      <c r="B673" s="85">
        <v>46143.0</v>
      </c>
      <c r="C673" s="17">
        <v>100325.0</v>
      </c>
      <c r="D673" s="85">
        <v>45200.0</v>
      </c>
      <c r="E673" s="17">
        <v>71.0</v>
      </c>
      <c r="F673" s="17">
        <v>71.0</v>
      </c>
      <c r="G673" s="17">
        <v>1028422.93</v>
      </c>
      <c r="H673" s="17"/>
      <c r="I673" s="17">
        <v>94.430059</v>
      </c>
      <c r="J673" s="17"/>
      <c r="K673" s="17">
        <v>67.3514</v>
      </c>
      <c r="L673" s="17">
        <v>-93.3572028222089</v>
      </c>
      <c r="M673" s="17">
        <v>160.708602822209</v>
      </c>
      <c r="N673" s="17">
        <v>64.0</v>
      </c>
      <c r="O673" s="14">
        <f t="shared" si="1"/>
        <v>131.3514</v>
      </c>
      <c r="P673" s="86">
        <f t="array" ref="P673">iferror(XLOOKUP(C673,'Download of SFDC Activation Rep'!B:B,'Download of SFDC Activation Rep'!Z:Z),"")</f>
        <v>45974</v>
      </c>
      <c r="Q673" s="86">
        <f t="shared" si="2"/>
        <v>45962</v>
      </c>
      <c r="R673" s="13" t="str">
        <f t="shared" si="3"/>
        <v>Yes</v>
      </c>
      <c r="S673" s="86">
        <f t="array" ref="S673">iferror(XLOOKUP(C673,'Download of SFDC Activation Rep'!B:B,'Download of SFDC Activation Rep'!Y:Y),"")</f>
        <v>45933</v>
      </c>
    </row>
    <row r="674">
      <c r="A674" s="17" t="s">
        <v>488</v>
      </c>
      <c r="B674" s="85">
        <v>46113.0</v>
      </c>
      <c r="C674" s="17">
        <v>4269343.0</v>
      </c>
      <c r="D674" s="85">
        <v>45992.0</v>
      </c>
      <c r="E674" s="17">
        <v>69.0</v>
      </c>
      <c r="F674" s="17">
        <v>29.0</v>
      </c>
      <c r="G674" s="17">
        <v>62580.0</v>
      </c>
      <c r="H674" s="17">
        <v>12290.0</v>
      </c>
      <c r="I674" s="17">
        <v>1036.86</v>
      </c>
      <c r="K674" s="17">
        <v>77.5754</v>
      </c>
      <c r="L674" s="17">
        <v>76.9495999999999</v>
      </c>
      <c r="M674" s="17">
        <v>0.625800000000012</v>
      </c>
      <c r="N674" s="17">
        <v>36.0</v>
      </c>
      <c r="O674" s="14">
        <f t="shared" si="1"/>
        <v>193.4604</v>
      </c>
      <c r="P674" s="86">
        <f t="array" ref="P674">iferror(XLOOKUP(C674,'Download of SFDC Activation Rep'!B:B,'Download of SFDC Activation Rep'!Z:Z),"")</f>
        <v>45918</v>
      </c>
      <c r="Q674" s="86">
        <f t="shared" si="2"/>
        <v>45901</v>
      </c>
      <c r="R674" s="13" t="str">
        <f t="shared" si="3"/>
        <v>Yes</v>
      </c>
      <c r="S674" s="86">
        <f t="array" ref="S674">iferror(XLOOKUP(C674,'Download of SFDC Activation Rep'!B:B,'Download of SFDC Activation Rep'!Y:Y),"")</f>
        <v>46001</v>
      </c>
    </row>
    <row r="675">
      <c r="A675" s="17"/>
      <c r="B675" s="85">
        <v>45931.0</v>
      </c>
      <c r="C675" s="17">
        <v>4016001.0</v>
      </c>
      <c r="D675" s="85">
        <v>45931.0</v>
      </c>
      <c r="E675" s="17">
        <v>2.0</v>
      </c>
      <c r="F675" s="17">
        <v>0.0</v>
      </c>
      <c r="G675" s="17">
        <v>2280.0</v>
      </c>
      <c r="H675" s="17">
        <v>2280.0</v>
      </c>
      <c r="I675" s="17">
        <v>66.12</v>
      </c>
      <c r="J675" s="17"/>
      <c r="K675" s="17">
        <v>8.3975</v>
      </c>
      <c r="L675" s="17">
        <v>7.188067545548</v>
      </c>
      <c r="M675" s="17">
        <v>1.209432454452</v>
      </c>
      <c r="N675" s="17">
        <v>2.49999999999999</v>
      </c>
      <c r="O675" s="14">
        <f t="shared" si="1"/>
        <v>10.8975</v>
      </c>
      <c r="P675" s="86">
        <f t="array" ref="P675">iferror(XLOOKUP(C675,'Download of SFDC Activation Rep'!B:B,'Download of SFDC Activation Rep'!Z:Z),"")</f>
        <v>45884</v>
      </c>
      <c r="Q675" s="86">
        <f t="shared" si="2"/>
        <v>45870</v>
      </c>
      <c r="R675" s="13" t="str">
        <f t="shared" si="3"/>
        <v>Yes</v>
      </c>
      <c r="S675" s="86">
        <f t="array" ref="S675">iferror(XLOOKUP(C675,'Download of SFDC Activation Rep'!B:B,'Download of SFDC Activation Rep'!Y:Y),"")</f>
        <v>45953</v>
      </c>
    </row>
    <row r="676">
      <c r="A676" s="17" t="s">
        <v>17</v>
      </c>
      <c r="B676" s="85">
        <v>45931.0</v>
      </c>
      <c r="C676" s="17">
        <v>4166316.0</v>
      </c>
      <c r="D676" s="85">
        <v>45931.0</v>
      </c>
      <c r="E676" s="17">
        <v>1.0</v>
      </c>
      <c r="F676" s="17">
        <v>0.0</v>
      </c>
      <c r="G676" s="17">
        <v>18870.71</v>
      </c>
      <c r="H676" s="17">
        <v>18870.71</v>
      </c>
      <c r="I676" s="17">
        <v>557.25</v>
      </c>
      <c r="J676" s="17"/>
      <c r="K676" s="17">
        <v>82.5623</v>
      </c>
      <c r="L676" s="17">
        <v>65.467270389907</v>
      </c>
      <c r="M676" s="17">
        <v>17.0950296100929</v>
      </c>
      <c r="N676" s="17">
        <v>0.0</v>
      </c>
      <c r="O676" s="14">
        <f t="shared" si="1"/>
        <v>82.5623</v>
      </c>
      <c r="P676" s="86">
        <f t="array" ref="P676">iferror(XLOOKUP(C676,'Download of SFDC Activation Rep'!B:B,'Download of SFDC Activation Rep'!Z:Z),"")</f>
        <v>45958</v>
      </c>
      <c r="Q676" s="86">
        <f t="shared" si="2"/>
        <v>45931</v>
      </c>
      <c r="R676" s="13" t="str">
        <f t="shared" si="3"/>
        <v>Yes</v>
      </c>
      <c r="S676" s="86">
        <f t="array" ref="S676">iferror(XLOOKUP(C676,'Download of SFDC Activation Rep'!B:B,'Download of SFDC Activation Rep'!Y:Y),"")</f>
        <v>45964</v>
      </c>
    </row>
    <row r="677">
      <c r="A677" s="17" t="s">
        <v>19</v>
      </c>
      <c r="B677" s="85">
        <v>45962.0</v>
      </c>
      <c r="C677" s="17">
        <v>4112463.0</v>
      </c>
      <c r="D677" s="85">
        <v>45931.0</v>
      </c>
      <c r="E677" s="17">
        <v>42.0</v>
      </c>
      <c r="F677" s="17">
        <v>42.0</v>
      </c>
      <c r="G677" s="17">
        <v>153286.18</v>
      </c>
      <c r="H677" s="17"/>
      <c r="I677" s="17">
        <v>21.0</v>
      </c>
      <c r="J677" s="17"/>
      <c r="K677" s="17">
        <v>3.31569999999999</v>
      </c>
      <c r="L677" s="17">
        <v>-20.5466294435558</v>
      </c>
      <c r="M677" s="17">
        <v>23.8623294435558</v>
      </c>
      <c r="N677" s="17">
        <v>64.0</v>
      </c>
      <c r="O677" s="14">
        <f t="shared" si="1"/>
        <v>67.3157</v>
      </c>
      <c r="P677" s="86">
        <f t="array" ref="P677">iferror(XLOOKUP(C677,'Download of SFDC Activation Rep'!B:B,'Download of SFDC Activation Rep'!Z:Z),"")</f>
        <v>45911</v>
      </c>
      <c r="Q677" s="86">
        <f t="shared" si="2"/>
        <v>45901</v>
      </c>
      <c r="R677" s="13" t="str">
        <f t="shared" si="3"/>
        <v>Yes</v>
      </c>
      <c r="S677" s="86">
        <f t="array" ref="S677">iferror(XLOOKUP(C677,'Download of SFDC Activation Rep'!B:B,'Download of SFDC Activation Rep'!Y:Y),"")</f>
        <v>45945</v>
      </c>
    </row>
    <row r="678">
      <c r="A678" s="17" t="s">
        <v>489</v>
      </c>
      <c r="B678" s="85">
        <v>46143.0</v>
      </c>
      <c r="C678" s="17">
        <v>2153287.0</v>
      </c>
      <c r="D678" s="85">
        <v>44805.0</v>
      </c>
      <c r="E678" s="17">
        <v>65.0</v>
      </c>
      <c r="F678" s="17">
        <v>42.0</v>
      </c>
      <c r="G678" s="17">
        <v>204020.51</v>
      </c>
      <c r="H678" s="17">
        <v>116114.51</v>
      </c>
      <c r="I678" s="17">
        <v>3470.52</v>
      </c>
      <c r="J678" s="17"/>
      <c r="K678" s="17">
        <v>100.3909</v>
      </c>
      <c r="L678" s="17">
        <v>74.5561289503839</v>
      </c>
      <c r="M678" s="17">
        <v>25.834771049616</v>
      </c>
      <c r="N678" s="17">
        <v>55.0</v>
      </c>
      <c r="O678" s="14">
        <f t="shared" si="1"/>
        <v>155.3909</v>
      </c>
      <c r="P678" s="86">
        <f t="array" ref="P678">iferror(XLOOKUP(C678,'Download of SFDC Activation Rep'!B:B,'Download of SFDC Activation Rep'!Z:Z),"")</f>
        <v>46007</v>
      </c>
      <c r="Q678" s="86">
        <f t="shared" si="2"/>
        <v>45992</v>
      </c>
      <c r="R678" s="13" t="str">
        <f t="shared" si="3"/>
        <v>Yes</v>
      </c>
      <c r="S678" s="86">
        <f t="array" ref="S678">iferror(XLOOKUP(C678,'Download of SFDC Activation Rep'!B:B,'Download of SFDC Activation Rep'!Y:Y),"")</f>
        <v>46021</v>
      </c>
    </row>
    <row r="679">
      <c r="A679" s="17" t="s">
        <v>488</v>
      </c>
      <c r="B679" s="85">
        <v>45992.0</v>
      </c>
      <c r="C679" s="17">
        <v>3085000.0</v>
      </c>
      <c r="D679" s="85">
        <v>45292.0</v>
      </c>
      <c r="E679" s="17">
        <v>14.0</v>
      </c>
      <c r="F679" s="17">
        <v>14.0</v>
      </c>
      <c r="G679" s="17">
        <v>77667.12</v>
      </c>
      <c r="H679" s="17"/>
      <c r="I679" s="17">
        <v>0.0</v>
      </c>
      <c r="J679" s="17"/>
      <c r="K679" s="17">
        <v>-2.3552</v>
      </c>
      <c r="L679" s="17">
        <v>-3.1318712</v>
      </c>
      <c r="M679" s="17">
        <v>0.7766712</v>
      </c>
      <c r="N679" s="17">
        <v>65.0</v>
      </c>
      <c r="O679" s="14">
        <f t="shared" si="1"/>
        <v>62.6448</v>
      </c>
      <c r="P679" s="86">
        <f t="array" ref="P679">iferror(XLOOKUP(C679,'Download of SFDC Activation Rep'!B:B,'Download of SFDC Activation Rep'!Z:Z),"")</f>
        <v>45947</v>
      </c>
      <c r="Q679" s="86">
        <f t="shared" si="2"/>
        <v>45931</v>
      </c>
      <c r="R679" s="13" t="str">
        <f t="shared" si="3"/>
        <v>Yes</v>
      </c>
      <c r="S679" s="86">
        <f t="array" ref="S679">iferror(XLOOKUP(C679,'Download of SFDC Activation Rep'!B:B,'Download of SFDC Activation Rep'!Y:Y),"")</f>
        <v>45958</v>
      </c>
    </row>
    <row r="680">
      <c r="A680" s="17" t="s">
        <v>19</v>
      </c>
      <c r="B680" s="85">
        <v>46113.0</v>
      </c>
      <c r="C680" s="17">
        <v>4117067.0</v>
      </c>
      <c r="D680" s="85">
        <v>45992.0</v>
      </c>
      <c r="E680" s="17">
        <v>163.0</v>
      </c>
      <c r="F680" s="17">
        <v>163.0</v>
      </c>
      <c r="G680" s="17">
        <v>3855011.43</v>
      </c>
      <c r="H680" s="17"/>
      <c r="I680" s="17">
        <v>2722.804756</v>
      </c>
      <c r="J680" s="17"/>
      <c r="K680" s="17">
        <v>2688.9599</v>
      </c>
      <c r="L680" s="17">
        <v>2085.13055365274</v>
      </c>
      <c r="M680" s="17">
        <v>603.829346347258</v>
      </c>
      <c r="N680" s="17">
        <v>6.39999999999999</v>
      </c>
      <c r="O680" s="14">
        <f t="shared" si="1"/>
        <v>2695.3599</v>
      </c>
      <c r="P680" s="86">
        <f t="array" ref="P680">iferror(XLOOKUP(C680,'Download of SFDC Activation Rep'!B:B,'Download of SFDC Activation Rep'!Z:Z),"")</f>
        <v>45831</v>
      </c>
      <c r="Q680" s="86">
        <f t="shared" si="2"/>
        <v>45809</v>
      </c>
      <c r="R680" s="13" t="str">
        <f t="shared" si="3"/>
        <v>Yes</v>
      </c>
      <c r="S680" s="86">
        <f t="array" ref="S680">iferror(XLOOKUP(C680,'Download of SFDC Activation Rep'!B:B,'Download of SFDC Activation Rep'!Y:Y),"")</f>
        <v>45992</v>
      </c>
    </row>
    <row r="681">
      <c r="A681" s="17" t="s">
        <v>488</v>
      </c>
      <c r="B681" s="85">
        <v>46113.0</v>
      </c>
      <c r="C681" s="17">
        <v>4428477.0</v>
      </c>
      <c r="D681" s="85">
        <v>46082.0</v>
      </c>
      <c r="E681" s="17">
        <v>33.0</v>
      </c>
      <c r="F681" s="17">
        <v>33.0</v>
      </c>
      <c r="G681" s="17">
        <v>82775.03</v>
      </c>
      <c r="H681" s="17"/>
      <c r="I681" s="17">
        <v>16.67</v>
      </c>
      <c r="J681" s="17">
        <v>6.0</v>
      </c>
      <c r="K681" s="17">
        <v>11.5494</v>
      </c>
      <c r="L681" s="17">
        <v>-2.84557065396299</v>
      </c>
      <c r="M681" s="17">
        <v>14.394970653963</v>
      </c>
      <c r="N681" s="17">
        <v>25.0</v>
      </c>
      <c r="O681" s="14">
        <f t="shared" si="1"/>
        <v>36.5494</v>
      </c>
      <c r="P681" s="86">
        <f t="array" ref="P681">iferror(XLOOKUP(C681,'Download of SFDC Activation Rep'!B:B,'Download of SFDC Activation Rep'!Z:Z),"")</f>
        <v>45987</v>
      </c>
      <c r="Q681" s="86">
        <f t="shared" si="2"/>
        <v>45962</v>
      </c>
      <c r="R681" s="13" t="str">
        <f t="shared" si="3"/>
        <v>Yes</v>
      </c>
      <c r="S681" s="86">
        <f t="array" ref="S681">iferror(XLOOKUP(C681,'Download of SFDC Activation Rep'!B:B,'Download of SFDC Activation Rep'!Y:Y),"")</f>
        <v>46114</v>
      </c>
    </row>
    <row r="682">
      <c r="A682" s="17" t="s">
        <v>489</v>
      </c>
      <c r="B682" s="85">
        <v>46082.0</v>
      </c>
      <c r="C682" s="17">
        <v>4178047.0</v>
      </c>
      <c r="D682" s="85">
        <v>45962.0</v>
      </c>
      <c r="E682" s="17">
        <v>23.0</v>
      </c>
      <c r="F682" s="17">
        <v>23.0</v>
      </c>
      <c r="G682" s="17">
        <v>87357.84</v>
      </c>
      <c r="H682" s="17"/>
      <c r="I682" s="17">
        <v>7.344007</v>
      </c>
      <c r="J682" s="17"/>
      <c r="K682" s="17">
        <v>4.3214</v>
      </c>
      <c r="L682" s="17">
        <v>-9.36593993639199</v>
      </c>
      <c r="M682" s="17">
        <v>13.6873399363919</v>
      </c>
      <c r="N682" s="17">
        <v>85.0</v>
      </c>
      <c r="O682" s="14">
        <f t="shared" si="1"/>
        <v>89.3214</v>
      </c>
      <c r="P682" s="86">
        <f t="array" ref="P682">iferror(XLOOKUP(C682,'Download of SFDC Activation Rep'!B:B,'Download of SFDC Activation Rep'!Z:Z),"")</f>
        <v>45974</v>
      </c>
      <c r="Q682" s="86">
        <f t="shared" si="2"/>
        <v>45962</v>
      </c>
      <c r="R682" s="13" t="str">
        <f t="shared" si="3"/>
        <v>Yes</v>
      </c>
      <c r="S682" s="86">
        <f t="array" ref="S682">iferror(XLOOKUP(C682,'Download of SFDC Activation Rep'!B:B,'Download of SFDC Activation Rep'!Y:Y),"")</f>
        <v>45967</v>
      </c>
    </row>
    <row r="683">
      <c r="A683" s="17" t="s">
        <v>488</v>
      </c>
      <c r="B683" s="85">
        <v>46143.0</v>
      </c>
      <c r="C683" s="17">
        <v>4443037.0</v>
      </c>
      <c r="D683" s="85">
        <v>46082.0</v>
      </c>
      <c r="E683" s="17">
        <v>10.0</v>
      </c>
      <c r="F683" s="17">
        <v>2.0</v>
      </c>
      <c r="G683" s="17">
        <v>5875.0</v>
      </c>
      <c r="H683" s="17">
        <v>3325.0</v>
      </c>
      <c r="I683" s="17">
        <v>115.27</v>
      </c>
      <c r="J683" s="17"/>
      <c r="K683" s="17">
        <v>49.3373</v>
      </c>
      <c r="L683" s="17">
        <v>49.27855</v>
      </c>
      <c r="M683" s="17">
        <v>0.0587499999999963</v>
      </c>
      <c r="N683" s="17">
        <v>25.0</v>
      </c>
      <c r="O683" s="14">
        <f t="shared" si="1"/>
        <v>74.3373</v>
      </c>
      <c r="P683" s="86">
        <f t="array" ref="P683">iferror(XLOOKUP(C683,'Download of SFDC Activation Rep'!B:B,'Download of SFDC Activation Rep'!Z:Z),"")</f>
        <v>46073</v>
      </c>
      <c r="Q683" s="86">
        <f t="shared" si="2"/>
        <v>46054</v>
      </c>
      <c r="R683" s="13" t="str">
        <f t="shared" si="3"/>
        <v>Yes</v>
      </c>
      <c r="S683" s="86">
        <f t="array" ref="S683">iferror(XLOOKUP(C683,'Download of SFDC Activation Rep'!B:B,'Download of SFDC Activation Rep'!Y:Y),"")</f>
        <v>46108</v>
      </c>
    </row>
    <row r="684">
      <c r="A684" s="17" t="s">
        <v>17</v>
      </c>
      <c r="B684" s="85">
        <v>45839.0</v>
      </c>
      <c r="C684" s="17">
        <v>4011251.0</v>
      </c>
      <c r="D684" s="85">
        <v>45839.0</v>
      </c>
      <c r="E684" s="17">
        <v>12.0</v>
      </c>
      <c r="F684" s="17">
        <v>12.0</v>
      </c>
      <c r="G684" s="17">
        <v>23004.8</v>
      </c>
      <c r="H684" s="17"/>
      <c r="I684" s="17">
        <v>178.89</v>
      </c>
      <c r="K684" s="17">
        <v>154.2959</v>
      </c>
      <c r="L684" s="17">
        <v>148.378222534257</v>
      </c>
      <c r="M684" s="17">
        <v>5.91767746574251</v>
      </c>
      <c r="N684" s="17">
        <v>7.99999999999999</v>
      </c>
      <c r="O684" s="14">
        <f t="shared" si="1"/>
        <v>162.2959</v>
      </c>
      <c r="P684" s="86">
        <f t="array" ref="P684">iferror(XLOOKUP(C684,'Download of SFDC Activation Rep'!B:B,'Download of SFDC Activation Rep'!Z:Z),"")</f>
        <v>45838</v>
      </c>
      <c r="Q684" s="86">
        <f t="shared" si="2"/>
        <v>45809</v>
      </c>
      <c r="R684" s="13" t="str">
        <f t="shared" si="3"/>
        <v>Yes</v>
      </c>
      <c r="S684" s="86">
        <f t="array" ref="S684">iferror(XLOOKUP(C684,'Download of SFDC Activation Rep'!B:B,'Download of SFDC Activation Rep'!Y:Y),"")</f>
        <v>45854</v>
      </c>
    </row>
    <row r="685">
      <c r="A685" s="17" t="s">
        <v>489</v>
      </c>
      <c r="B685" s="85">
        <v>45992.0</v>
      </c>
      <c r="C685" s="17">
        <v>3543707.0</v>
      </c>
      <c r="D685" s="85">
        <v>45901.0</v>
      </c>
      <c r="E685" s="17">
        <v>26.0</v>
      </c>
      <c r="F685" s="17">
        <v>26.0</v>
      </c>
      <c r="G685" s="17">
        <v>63898.81</v>
      </c>
      <c r="H685" s="17"/>
      <c r="I685" s="17">
        <v>0.0</v>
      </c>
      <c r="J685" s="17"/>
      <c r="K685" s="17">
        <v>-3.9033</v>
      </c>
      <c r="L685" s="17">
        <v>-13.9150516161071</v>
      </c>
      <c r="M685" s="17">
        <v>10.0117516161071</v>
      </c>
      <c r="N685" s="17">
        <v>4.39999999999999</v>
      </c>
      <c r="O685" s="14">
        <f t="shared" si="1"/>
        <v>0.4967</v>
      </c>
      <c r="P685" s="86">
        <f t="array" ref="P685">iferror(XLOOKUP(C685,'Download of SFDC Activation Rep'!B:B,'Download of SFDC Activation Rep'!Z:Z),"")</f>
        <v>45915</v>
      </c>
      <c r="Q685" s="86">
        <f t="shared" si="2"/>
        <v>45901</v>
      </c>
      <c r="R685" s="13" t="str">
        <f t="shared" si="3"/>
        <v>Yes</v>
      </c>
      <c r="S685" s="86">
        <f t="array" ref="S685">iferror(XLOOKUP(C685,'Download of SFDC Activation Rep'!B:B,'Download of SFDC Activation Rep'!Y:Y),"")</f>
        <v>45958</v>
      </c>
    </row>
    <row r="686">
      <c r="A686" s="17" t="s">
        <v>488</v>
      </c>
      <c r="B686" s="85">
        <v>45870.0</v>
      </c>
      <c r="C686" s="17">
        <v>3785914.0</v>
      </c>
      <c r="D686" s="85">
        <v>45778.0</v>
      </c>
      <c r="E686" s="17">
        <v>7.0</v>
      </c>
      <c r="F686" s="17">
        <v>6.0</v>
      </c>
      <c r="G686" s="17">
        <v>9852.21</v>
      </c>
      <c r="H686" s="17"/>
      <c r="I686" s="17">
        <v>124.15</v>
      </c>
      <c r="J686" s="17"/>
      <c r="K686" s="17">
        <v>41.9034999999999</v>
      </c>
      <c r="L686" s="17">
        <v>38.4975784279781</v>
      </c>
      <c r="M686" s="17">
        <v>3.40592157202186</v>
      </c>
      <c r="N686" s="17">
        <v>2.49999999999999</v>
      </c>
      <c r="O686" s="14">
        <f t="shared" si="1"/>
        <v>44.4035</v>
      </c>
      <c r="P686" s="86">
        <f t="array" ref="P686">iferror(XLOOKUP(C686,'Download of SFDC Activation Rep'!B:B,'Download of SFDC Activation Rep'!Z:Z),"")</f>
        <v>45806</v>
      </c>
      <c r="Q686" s="86">
        <f t="shared" si="2"/>
        <v>45778</v>
      </c>
      <c r="R686" s="13" t="str">
        <f t="shared" si="3"/>
        <v>Yes</v>
      </c>
      <c r="S686" s="86">
        <f t="array" ref="S686">iferror(XLOOKUP(C686,'Download of SFDC Activation Rep'!B:B,'Download of SFDC Activation Rep'!Y:Y),"")</f>
        <v>45806</v>
      </c>
    </row>
    <row r="687">
      <c r="A687" s="17"/>
      <c r="B687" s="85">
        <v>45870.0</v>
      </c>
      <c r="C687" s="17">
        <v>4044926.0</v>
      </c>
      <c r="D687" s="85">
        <v>45870.0</v>
      </c>
      <c r="E687" s="17">
        <v>3.0</v>
      </c>
      <c r="F687" s="17">
        <v>3.0</v>
      </c>
      <c r="G687" s="17">
        <v>1542.64</v>
      </c>
      <c r="H687" s="17"/>
      <c r="I687" s="17">
        <v>1.5</v>
      </c>
      <c r="J687" s="17"/>
      <c r="K687" s="17">
        <v>0.28</v>
      </c>
      <c r="L687" s="17">
        <v>0.041073487018184</v>
      </c>
      <c r="M687" s="17">
        <v>0.238926512981815</v>
      </c>
      <c r="N687" s="17">
        <v>6.39999999999999</v>
      </c>
      <c r="O687" s="14">
        <f t="shared" si="1"/>
        <v>6.68</v>
      </c>
      <c r="P687" s="86">
        <f t="array" ref="P687">iferror(XLOOKUP(C687,'Download of SFDC Activation Rep'!B:B,'Download of SFDC Activation Rep'!Z:Z),"")</f>
        <v>45826</v>
      </c>
      <c r="Q687" s="86">
        <f t="shared" si="2"/>
        <v>45809</v>
      </c>
      <c r="R687" s="13" t="str">
        <f t="shared" si="3"/>
        <v>Yes</v>
      </c>
      <c r="S687" s="86">
        <f t="array" ref="S687">iferror(XLOOKUP(C687,'Download of SFDC Activation Rep'!B:B,'Download of SFDC Activation Rep'!Y:Y),"")</f>
        <v>45880</v>
      </c>
    </row>
    <row r="688">
      <c r="A688" s="17" t="s">
        <v>19</v>
      </c>
      <c r="B688" s="85">
        <v>46054.0</v>
      </c>
      <c r="C688" s="17">
        <v>1938612.0</v>
      </c>
      <c r="D688" s="85">
        <v>45962.0</v>
      </c>
      <c r="E688" s="17">
        <v>13.0</v>
      </c>
      <c r="F688" s="17">
        <v>13.0</v>
      </c>
      <c r="G688" s="17">
        <v>73834.29</v>
      </c>
      <c r="H688" s="17"/>
      <c r="I688" s="17">
        <v>3.0</v>
      </c>
      <c r="J688" s="17"/>
      <c r="K688" s="17">
        <v>-0.516899999999999</v>
      </c>
      <c r="L688" s="17">
        <v>-12.046789741777</v>
      </c>
      <c r="M688" s="17">
        <v>11.529889741777</v>
      </c>
      <c r="N688" s="17">
        <v>68.0</v>
      </c>
      <c r="O688" s="14">
        <f t="shared" si="1"/>
        <v>67.4831</v>
      </c>
      <c r="P688" s="86">
        <f t="array" ref="P688">iferror(XLOOKUP(C688,'Download of SFDC Activation Rep'!B:B,'Download of SFDC Activation Rep'!Z:Z),"")</f>
        <v>45904</v>
      </c>
      <c r="Q688" s="86">
        <f t="shared" si="2"/>
        <v>45901</v>
      </c>
      <c r="R688" s="13" t="str">
        <f t="shared" si="3"/>
        <v>Yes</v>
      </c>
      <c r="S688" s="86">
        <f t="array" ref="S688">iferror(XLOOKUP(C688,'Download of SFDC Activation Rep'!B:B,'Download of SFDC Activation Rep'!Y:Y),"")</f>
        <v>45966</v>
      </c>
    </row>
    <row r="689">
      <c r="A689" s="17" t="s">
        <v>488</v>
      </c>
      <c r="B689" s="85">
        <v>46143.0</v>
      </c>
      <c r="C689" s="17">
        <v>4410778.0</v>
      </c>
      <c r="D689" s="85">
        <v>46082.0</v>
      </c>
      <c r="E689" s="17">
        <v>2.0</v>
      </c>
      <c r="F689" s="17">
        <v>2.0</v>
      </c>
      <c r="G689" s="17">
        <v>4858.0</v>
      </c>
      <c r="H689" s="17"/>
      <c r="I689" s="17">
        <v>57.155</v>
      </c>
      <c r="K689" s="17">
        <v>56.975</v>
      </c>
      <c r="L689" s="17">
        <v>56.2138422446</v>
      </c>
      <c r="M689" s="17">
        <v>0.761157755399999</v>
      </c>
      <c r="N689" s="17">
        <v>2.79999999999999</v>
      </c>
      <c r="O689" s="14">
        <f t="shared" si="1"/>
        <v>59.775</v>
      </c>
      <c r="P689" s="86">
        <f t="array" ref="P689">iferror(XLOOKUP(C689,'Download of SFDC Activation Rep'!B:B,'Download of SFDC Activation Rep'!Z:Z),"")</f>
        <v>46099</v>
      </c>
      <c r="Q689" s="86">
        <f t="shared" si="2"/>
        <v>46082</v>
      </c>
      <c r="R689" s="13" t="str">
        <f t="shared" si="3"/>
        <v>Yes</v>
      </c>
      <c r="S689" s="86">
        <f t="array" ref="S689">iferror(XLOOKUP(C689,'Download of SFDC Activation Rep'!B:B,'Download of SFDC Activation Rep'!Y:Y),"")</f>
        <v>46101</v>
      </c>
    </row>
    <row r="690">
      <c r="A690" s="17" t="s">
        <v>489</v>
      </c>
      <c r="B690" s="85">
        <v>45962.0</v>
      </c>
      <c r="C690" s="17">
        <v>4103219.0</v>
      </c>
      <c r="D690" s="85">
        <v>45901.0</v>
      </c>
      <c r="E690" s="17">
        <v>31.0</v>
      </c>
      <c r="F690" s="17">
        <v>31.0</v>
      </c>
      <c r="G690" s="17">
        <v>154482.63</v>
      </c>
      <c r="H690" s="17"/>
      <c r="I690" s="17">
        <v>92.737</v>
      </c>
      <c r="J690" s="17"/>
      <c r="K690" s="17">
        <v>87.8314</v>
      </c>
      <c r="L690" s="17">
        <v>63.6303941589456</v>
      </c>
      <c r="M690" s="17">
        <v>24.2010058410543</v>
      </c>
      <c r="N690" s="17">
        <v>4.39999999999999</v>
      </c>
      <c r="O690" s="14">
        <f t="shared" si="1"/>
        <v>92.2314</v>
      </c>
      <c r="P690" s="86">
        <f t="array" ref="P690">iferror(XLOOKUP(C690,'Download of SFDC Activation Rep'!B:B,'Download of SFDC Activation Rep'!Z:Z),"")</f>
        <v>45901</v>
      </c>
      <c r="Q690" s="86">
        <f t="shared" si="2"/>
        <v>45901</v>
      </c>
      <c r="R690" s="13" t="str">
        <f t="shared" si="3"/>
        <v>Yes</v>
      </c>
      <c r="S690" s="86">
        <f t="array" ref="S690">iferror(XLOOKUP(C690,'Download of SFDC Activation Rep'!B:B,'Download of SFDC Activation Rep'!Y:Y),"")</f>
        <v>45919</v>
      </c>
    </row>
    <row r="691">
      <c r="A691" s="17" t="s">
        <v>488</v>
      </c>
      <c r="B691" s="85">
        <v>45992.0</v>
      </c>
      <c r="C691" s="17">
        <v>4031755.0</v>
      </c>
      <c r="D691" s="85">
        <v>45901.0</v>
      </c>
      <c r="E691" s="17">
        <v>18.0</v>
      </c>
      <c r="F691" s="17">
        <v>18.0</v>
      </c>
      <c r="G691" s="17">
        <v>541325.89</v>
      </c>
      <c r="H691" s="17"/>
      <c r="I691" s="17">
        <v>38.39</v>
      </c>
      <c r="K691" s="17">
        <v>30.8849</v>
      </c>
      <c r="L691" s="17">
        <v>-53.9367845539487</v>
      </c>
      <c r="M691" s="17">
        <v>84.8216845539487</v>
      </c>
      <c r="N691" s="17">
        <v>5.25</v>
      </c>
      <c r="O691" s="14">
        <f t="shared" si="1"/>
        <v>36.1349</v>
      </c>
      <c r="P691" s="86">
        <f t="array" ref="P691">iferror(XLOOKUP(C691,'Download of SFDC Activation Rep'!B:B,'Download of SFDC Activation Rep'!Z:Z),"")</f>
        <v>45856</v>
      </c>
      <c r="Q691" s="86">
        <f t="shared" si="2"/>
        <v>45839</v>
      </c>
      <c r="R691" s="13" t="str">
        <f t="shared" si="3"/>
        <v>Yes</v>
      </c>
      <c r="S691" s="86">
        <f t="array" ref="S691">iferror(XLOOKUP(C691,'Download of SFDC Activation Rep'!B:B,'Download of SFDC Activation Rep'!Y:Y),"")</f>
        <v>45901</v>
      </c>
    </row>
    <row r="692">
      <c r="A692" s="17" t="s">
        <v>19</v>
      </c>
      <c r="B692" s="85">
        <v>45870.0</v>
      </c>
      <c r="C692" s="17">
        <v>3946131.0</v>
      </c>
      <c r="D692" s="85">
        <v>45809.0</v>
      </c>
      <c r="E692" s="17">
        <v>155.0</v>
      </c>
      <c r="F692" s="17">
        <v>155.0</v>
      </c>
      <c r="G692" s="17">
        <v>371536.73</v>
      </c>
      <c r="H692" s="17"/>
      <c r="I692" s="17">
        <v>450.23</v>
      </c>
      <c r="J692" s="17">
        <v>5.5</v>
      </c>
      <c r="K692" s="17">
        <v>347.4799</v>
      </c>
      <c r="L692" s="17">
        <v>270.792510219102</v>
      </c>
      <c r="M692" s="17">
        <v>76.6873897808978</v>
      </c>
      <c r="N692" s="17">
        <v>6.39999999999999</v>
      </c>
      <c r="O692" s="14">
        <f t="shared" si="1"/>
        <v>353.8799</v>
      </c>
      <c r="P692" s="86">
        <f t="array" ref="P692">iferror(XLOOKUP(C692,'Download of SFDC Activation Rep'!B:B,'Download of SFDC Activation Rep'!Z:Z),"")</f>
        <v>45805</v>
      </c>
      <c r="Q692" s="86">
        <f t="shared" si="2"/>
        <v>45778</v>
      </c>
      <c r="R692" s="13" t="str">
        <f t="shared" si="3"/>
        <v>Yes</v>
      </c>
      <c r="S692" s="86">
        <f t="array" ref="S692">iferror(XLOOKUP(C692,'Download of SFDC Activation Rep'!B:B,'Download of SFDC Activation Rep'!Y:Y),"")</f>
        <v>45805</v>
      </c>
    </row>
    <row r="693">
      <c r="A693" s="17" t="s">
        <v>488</v>
      </c>
      <c r="B693" s="85">
        <v>46174.0</v>
      </c>
      <c r="C693" s="17">
        <v>3959338.0</v>
      </c>
      <c r="D693" s="85">
        <v>45839.0</v>
      </c>
      <c r="E693" s="17">
        <v>112.0</v>
      </c>
      <c r="F693" s="17">
        <v>112.0</v>
      </c>
      <c r="G693" s="17">
        <v>115042.0</v>
      </c>
      <c r="H693" s="17"/>
      <c r="I693" s="17">
        <v>358.42</v>
      </c>
      <c r="J693" s="17">
        <v>29.5</v>
      </c>
      <c r="K693" s="17">
        <v>330.5497</v>
      </c>
      <c r="L693" s="17">
        <v>264.7731472318</v>
      </c>
      <c r="M693" s="17">
        <v>65.7765527681999</v>
      </c>
      <c r="N693" s="17">
        <v>25.0</v>
      </c>
      <c r="O693" s="14">
        <f t="shared" si="1"/>
        <v>355.5497</v>
      </c>
      <c r="P693" s="86">
        <f t="array" ref="P693">iferror(XLOOKUP(C693,'Download of SFDC Activation Rep'!B:B,'Download of SFDC Activation Rep'!Z:Z),"")</f>
        <v>45839</v>
      </c>
      <c r="Q693" s="86">
        <f t="shared" si="2"/>
        <v>45839</v>
      </c>
      <c r="R693" s="13" t="str">
        <f t="shared" si="3"/>
        <v>Yes</v>
      </c>
      <c r="S693" s="86">
        <f t="array" ref="S693">iferror(XLOOKUP(C693,'Download of SFDC Activation Rep'!B:B,'Download of SFDC Activation Rep'!Y:Y),"")</f>
        <v>45841</v>
      </c>
    </row>
    <row r="694">
      <c r="A694" s="17" t="s">
        <v>19</v>
      </c>
      <c r="B694" s="85">
        <v>46023.0</v>
      </c>
      <c r="C694" s="17">
        <v>2428419.0</v>
      </c>
      <c r="D694" s="85">
        <v>46023.0</v>
      </c>
      <c r="E694" s="17">
        <v>338.0</v>
      </c>
      <c r="F694" s="17">
        <v>338.0</v>
      </c>
      <c r="G694" s="17">
        <v>230040.6</v>
      </c>
      <c r="H694" s="17"/>
      <c r="I694" s="17">
        <v>598.011973</v>
      </c>
      <c r="J694" s="17"/>
      <c r="K694" s="17">
        <v>541.8054</v>
      </c>
      <c r="L694" s="17">
        <v>488.221272951038</v>
      </c>
      <c r="M694" s="17">
        <v>53.5841270489613</v>
      </c>
      <c r="N694" s="17">
        <v>80.0</v>
      </c>
      <c r="O694" s="14">
        <f t="shared" si="1"/>
        <v>621.8054</v>
      </c>
      <c r="P694" s="86">
        <f t="array" ref="P694">iferror(XLOOKUP(C694,'Download of SFDC Activation Rep'!B:B,'Download of SFDC Activation Rep'!Z:Z),"")</f>
        <v>45891</v>
      </c>
      <c r="Q694" s="86">
        <f t="shared" si="2"/>
        <v>45870</v>
      </c>
      <c r="R694" s="13" t="str">
        <f t="shared" si="3"/>
        <v>Yes</v>
      </c>
      <c r="S694" s="86">
        <f t="array" ref="S694">iferror(XLOOKUP(C694,'Download of SFDC Activation Rep'!B:B,'Download of SFDC Activation Rep'!Y:Y),"")</f>
        <v>46029</v>
      </c>
    </row>
    <row r="695">
      <c r="A695" s="17" t="s">
        <v>488</v>
      </c>
      <c r="B695" s="85">
        <v>45962.0</v>
      </c>
      <c r="C695" s="17">
        <v>3906405.0</v>
      </c>
      <c r="D695" s="85">
        <v>45778.0</v>
      </c>
      <c r="E695" s="17">
        <v>10.0</v>
      </c>
      <c r="F695" s="17">
        <v>10.0</v>
      </c>
      <c r="G695" s="17">
        <v>13693.56</v>
      </c>
      <c r="H695" s="17"/>
      <c r="I695" s="17">
        <v>0.0</v>
      </c>
      <c r="J695" s="17"/>
      <c r="K695" s="17">
        <v>-1.37899999999999</v>
      </c>
      <c r="L695" s="17">
        <v>-3.52452542465596</v>
      </c>
      <c r="M695" s="17">
        <v>2.14552542465596</v>
      </c>
      <c r="N695" s="17">
        <v>29.75</v>
      </c>
      <c r="O695" s="14">
        <f t="shared" si="1"/>
        <v>28.371</v>
      </c>
      <c r="P695" s="86">
        <f t="array" ref="P695">iferror(XLOOKUP(C695,'Download of SFDC Activation Rep'!B:B,'Download of SFDC Activation Rep'!Z:Z),"")</f>
        <v>45798</v>
      </c>
      <c r="Q695" s="86">
        <f t="shared" si="2"/>
        <v>45778</v>
      </c>
      <c r="R695" s="13" t="str">
        <f t="shared" si="3"/>
        <v>Yes</v>
      </c>
      <c r="S695" s="86">
        <f t="array" ref="S695">iferror(XLOOKUP(C695,'Download of SFDC Activation Rep'!B:B,'Download of SFDC Activation Rep'!Y:Y),"")</f>
        <v>45807</v>
      </c>
    </row>
    <row r="696">
      <c r="A696" s="17" t="s">
        <v>19</v>
      </c>
      <c r="B696" s="85">
        <v>46082.0</v>
      </c>
      <c r="C696" s="17">
        <v>100325.0</v>
      </c>
      <c r="D696" s="85">
        <v>45200.0</v>
      </c>
      <c r="E696" s="17">
        <v>56.0</v>
      </c>
      <c r="F696" s="17">
        <v>56.0</v>
      </c>
      <c r="G696" s="17">
        <v>662525.17</v>
      </c>
      <c r="H696" s="17"/>
      <c r="I696" s="17">
        <v>2769.514362</v>
      </c>
      <c r="J696" s="17"/>
      <c r="K696" s="17">
        <v>2738.66219999999</v>
      </c>
      <c r="L696" s="17">
        <v>2634.97319498167</v>
      </c>
      <c r="M696" s="17">
        <v>103.68900501832</v>
      </c>
      <c r="N696" s="17">
        <v>64.0</v>
      </c>
      <c r="O696" s="14">
        <f t="shared" si="1"/>
        <v>2802.6622</v>
      </c>
      <c r="P696" s="86">
        <f t="array" ref="P696">iferror(XLOOKUP(C696,'Download of SFDC Activation Rep'!B:B,'Download of SFDC Activation Rep'!Z:Z),"")</f>
        <v>45974</v>
      </c>
      <c r="Q696" s="86">
        <f t="shared" si="2"/>
        <v>45962</v>
      </c>
      <c r="R696" s="13" t="str">
        <f t="shared" si="3"/>
        <v>Yes</v>
      </c>
      <c r="S696" s="86">
        <f t="array" ref="S696">iferror(XLOOKUP(C696,'Download of SFDC Activation Rep'!B:B,'Download of SFDC Activation Rep'!Y:Y),"")</f>
        <v>45933</v>
      </c>
    </row>
    <row r="697">
      <c r="A697" s="17" t="s">
        <v>489</v>
      </c>
      <c r="B697" s="85">
        <v>46113.0</v>
      </c>
      <c r="C697" s="17">
        <v>4294933.0</v>
      </c>
      <c r="D697" s="85">
        <v>45992.0</v>
      </c>
      <c r="E697" s="17">
        <v>2.0</v>
      </c>
      <c r="F697" s="17">
        <v>1.0</v>
      </c>
      <c r="G697" s="17">
        <v>15574.05</v>
      </c>
      <c r="H697" s="17"/>
      <c r="I697" s="17">
        <v>292.86</v>
      </c>
      <c r="K697" s="17">
        <v>4.4458</v>
      </c>
      <c r="L697" s="17">
        <v>4.2900595</v>
      </c>
      <c r="M697" s="17">
        <v>0.155740499999999</v>
      </c>
      <c r="N697" s="17">
        <v>35.0</v>
      </c>
      <c r="O697" s="14">
        <f t="shared" si="1"/>
        <v>39.4458</v>
      </c>
      <c r="P697" s="86">
        <f t="array" ref="P697">iferror(XLOOKUP(C697,'Download of SFDC Activation Rep'!B:B,'Download of SFDC Activation Rep'!Z:Z),"")</f>
        <v>45992</v>
      </c>
      <c r="Q697" s="86">
        <f t="shared" si="2"/>
        <v>45992</v>
      </c>
      <c r="R697" s="13" t="str">
        <f t="shared" si="3"/>
        <v>Yes</v>
      </c>
      <c r="S697" s="86">
        <f t="array" ref="S697">iferror(XLOOKUP(C697,'Download of SFDC Activation Rep'!B:B,'Download of SFDC Activation Rep'!Y:Y),"")</f>
        <v>46017</v>
      </c>
    </row>
    <row r="698">
      <c r="A698" s="17" t="s">
        <v>488</v>
      </c>
      <c r="B698" s="85">
        <v>46082.0</v>
      </c>
      <c r="C698" s="17">
        <v>4107679.0</v>
      </c>
      <c r="D698" s="85">
        <v>45931.0</v>
      </c>
      <c r="E698" s="17">
        <v>1.0</v>
      </c>
      <c r="F698" s="17">
        <v>1.0</v>
      </c>
      <c r="G698" s="17">
        <v>1000.0</v>
      </c>
      <c r="I698" s="17">
        <v>0.0</v>
      </c>
      <c r="J698" s="17"/>
      <c r="K698" s="17">
        <v>-0.15</v>
      </c>
      <c r="L698" s="17">
        <v>-0.3066813</v>
      </c>
      <c r="M698" s="17">
        <v>0.1566813</v>
      </c>
      <c r="N698" s="17">
        <v>25.0</v>
      </c>
      <c r="O698" s="14">
        <f t="shared" si="1"/>
        <v>24.85</v>
      </c>
      <c r="P698" s="86">
        <f t="array" ref="P698">iferror(XLOOKUP(C698,'Download of SFDC Activation Rep'!B:B,'Download of SFDC Activation Rep'!Z:Z),"")</f>
        <v>45930</v>
      </c>
      <c r="Q698" s="86">
        <f t="shared" si="2"/>
        <v>45901</v>
      </c>
      <c r="R698" s="13" t="str">
        <f t="shared" si="3"/>
        <v>Yes</v>
      </c>
      <c r="S698" s="86">
        <f t="array" ref="S698">iferror(XLOOKUP(C698,'Download of SFDC Activation Rep'!B:B,'Download of SFDC Activation Rep'!Y:Y),"")</f>
        <v>45950</v>
      </c>
    </row>
    <row r="699">
      <c r="A699" s="17" t="s">
        <v>488</v>
      </c>
      <c r="B699" s="85">
        <v>46143.0</v>
      </c>
      <c r="C699" s="17">
        <v>4136952.0</v>
      </c>
      <c r="D699" s="85">
        <v>45931.0</v>
      </c>
      <c r="E699" s="17">
        <v>6.0</v>
      </c>
      <c r="F699" s="17">
        <v>6.0</v>
      </c>
      <c r="G699" s="17">
        <v>8786.52</v>
      </c>
      <c r="H699" s="17"/>
      <c r="I699" s="17">
        <v>34.755</v>
      </c>
      <c r="J699" s="17"/>
      <c r="K699" s="17">
        <v>32.374</v>
      </c>
      <c r="L699" s="17">
        <v>31.008806823924</v>
      </c>
      <c r="M699" s="17">
        <v>1.365193176076</v>
      </c>
      <c r="N699" s="17">
        <v>35.0</v>
      </c>
      <c r="O699" s="14">
        <f t="shared" si="1"/>
        <v>67.374</v>
      </c>
      <c r="P699" s="86">
        <f t="array" ref="P699">iferror(XLOOKUP(C699,'Download of SFDC Activation Rep'!B:B,'Download of SFDC Activation Rep'!Z:Z),"")</f>
        <v>45930</v>
      </c>
      <c r="Q699" s="86">
        <f t="shared" si="2"/>
        <v>45901</v>
      </c>
      <c r="R699" s="13" t="str">
        <f t="shared" si="3"/>
        <v>Yes</v>
      </c>
      <c r="S699" s="86">
        <f t="array" ref="S699">iferror(XLOOKUP(C699,'Download of SFDC Activation Rep'!B:B,'Download of SFDC Activation Rep'!Y:Y),"")</f>
        <v>45938</v>
      </c>
    </row>
    <row r="700">
      <c r="A700" s="17" t="s">
        <v>19</v>
      </c>
      <c r="B700" s="85">
        <v>45931.0</v>
      </c>
      <c r="C700" s="17">
        <v>4112463.0</v>
      </c>
      <c r="D700" s="85">
        <v>45931.0</v>
      </c>
      <c r="E700" s="17">
        <v>20.0</v>
      </c>
      <c r="F700" s="17">
        <v>20.0</v>
      </c>
      <c r="G700" s="17">
        <v>49756.12</v>
      </c>
      <c r="H700" s="17"/>
      <c r="I700" s="17">
        <v>94.5</v>
      </c>
      <c r="J700" s="17"/>
      <c r="K700" s="17">
        <v>85.99</v>
      </c>
      <c r="L700" s="17">
        <v>72.7859254394819</v>
      </c>
      <c r="M700" s="17">
        <v>13.204074560518</v>
      </c>
      <c r="N700" s="17">
        <v>64.0</v>
      </c>
      <c r="O700" s="14">
        <f t="shared" si="1"/>
        <v>149.99</v>
      </c>
      <c r="P700" s="86">
        <f t="array" ref="P700">iferror(XLOOKUP(C700,'Download of SFDC Activation Rep'!B:B,'Download of SFDC Activation Rep'!Z:Z),"")</f>
        <v>45911</v>
      </c>
      <c r="Q700" s="86">
        <f t="shared" si="2"/>
        <v>45901</v>
      </c>
      <c r="R700" s="13" t="str">
        <f t="shared" si="3"/>
        <v>Yes</v>
      </c>
      <c r="S700" s="86">
        <f t="array" ref="S700">iferror(XLOOKUP(C700,'Download of SFDC Activation Rep'!B:B,'Download of SFDC Activation Rep'!Y:Y),"")</f>
        <v>45945</v>
      </c>
    </row>
    <row r="701">
      <c r="A701" s="17" t="s">
        <v>17</v>
      </c>
      <c r="B701" s="85">
        <v>46082.0</v>
      </c>
      <c r="C701" s="17">
        <v>4520936.0</v>
      </c>
      <c r="D701" s="85">
        <v>46082.0</v>
      </c>
      <c r="E701" s="17">
        <v>1.0</v>
      </c>
      <c r="F701" s="17">
        <v>0.0</v>
      </c>
      <c r="G701" s="17">
        <v>5000.0</v>
      </c>
      <c r="H701" s="17">
        <v>5000.0</v>
      </c>
      <c r="I701" s="17">
        <v>145.0</v>
      </c>
      <c r="J701" s="17"/>
      <c r="K701" s="17">
        <v>-7.7982</v>
      </c>
      <c r="L701" s="17">
        <v>-10.450464</v>
      </c>
      <c r="M701" s="17">
        <v>2.652264</v>
      </c>
      <c r="N701" s="17">
        <v>0.0</v>
      </c>
      <c r="O701" s="14">
        <f t="shared" si="1"/>
        <v>24.7018</v>
      </c>
      <c r="P701" s="86">
        <f t="array" ref="P701">iferror(XLOOKUP(C701,'Download of SFDC Activation Rep'!B:B,'Download of SFDC Activation Rep'!Z:Z),"")</f>
        <v>46098</v>
      </c>
      <c r="Q701" s="86">
        <f t="shared" si="2"/>
        <v>46082</v>
      </c>
      <c r="R701" s="13" t="str">
        <f t="shared" si="3"/>
        <v>Yes</v>
      </c>
      <c r="S701" s="86">
        <f t="array" ref="S701">iferror(XLOOKUP(C701,'Download of SFDC Activation Rep'!B:B,'Download of SFDC Activation Rep'!Y:Y),"")</f>
        <v>46141</v>
      </c>
    </row>
    <row r="702">
      <c r="A702" s="17" t="s">
        <v>17</v>
      </c>
      <c r="B702" s="85">
        <v>45992.0</v>
      </c>
      <c r="C702" s="17">
        <v>4277145.0</v>
      </c>
      <c r="D702" s="85">
        <v>45992.0</v>
      </c>
      <c r="E702" s="17">
        <v>4.0</v>
      </c>
      <c r="F702" s="17">
        <v>0.0</v>
      </c>
      <c r="G702" s="17">
        <v>500.0</v>
      </c>
      <c r="H702" s="17">
        <v>500.0</v>
      </c>
      <c r="I702" s="17">
        <v>14.5</v>
      </c>
      <c r="J702" s="17"/>
      <c r="K702" s="17">
        <v>0.3667</v>
      </c>
      <c r="L702" s="17">
        <v>0.10147358455</v>
      </c>
      <c r="M702" s="17">
        <v>0.265226415449999</v>
      </c>
      <c r="N702" s="17">
        <v>0.0</v>
      </c>
      <c r="O702" s="14">
        <f t="shared" si="1"/>
        <v>0.3667</v>
      </c>
      <c r="P702" s="86">
        <f t="array" ref="P702">iferror(XLOOKUP(C702,'Download of SFDC Activation Rep'!B:B,'Download of SFDC Activation Rep'!Z:Z),"")</f>
        <v>46027</v>
      </c>
      <c r="Q702" s="86">
        <f t="shared" si="2"/>
        <v>46023</v>
      </c>
      <c r="R702" s="13" t="str">
        <f t="shared" si="3"/>
        <v>No</v>
      </c>
      <c r="S702" s="86">
        <f t="array" ref="S702">iferror(XLOOKUP(C702,'Download of SFDC Activation Rep'!B:B,'Download of SFDC Activation Rep'!Y:Y),"")</f>
        <v>46021</v>
      </c>
    </row>
    <row r="703">
      <c r="A703" s="17" t="s">
        <v>488</v>
      </c>
      <c r="B703" s="85">
        <v>46054.0</v>
      </c>
      <c r="C703" s="17">
        <v>4008827.0</v>
      </c>
      <c r="D703" s="85">
        <v>45870.0</v>
      </c>
      <c r="E703" s="17">
        <v>15.0</v>
      </c>
      <c r="F703" s="17">
        <v>15.0</v>
      </c>
      <c r="G703" s="17">
        <v>87216.5</v>
      </c>
      <c r="H703" s="17"/>
      <c r="I703" s="17">
        <v>24.38</v>
      </c>
      <c r="J703" s="17"/>
      <c r="K703" s="17">
        <v>22.9058</v>
      </c>
      <c r="L703" s="17">
        <v>5.62473209854999</v>
      </c>
      <c r="M703" s="17">
        <v>17.28106790145</v>
      </c>
      <c r="N703" s="17">
        <v>25.0</v>
      </c>
      <c r="O703" s="14">
        <f t="shared" si="1"/>
        <v>47.9058</v>
      </c>
      <c r="P703" s="86">
        <f t="array" ref="P703">iferror(XLOOKUP(C703,'Download of SFDC Activation Rep'!B:B,'Download of SFDC Activation Rep'!Z:Z),"")</f>
        <v>45870</v>
      </c>
      <c r="Q703" s="86">
        <f t="shared" si="2"/>
        <v>45870</v>
      </c>
      <c r="R703" s="13" t="str">
        <f t="shared" si="3"/>
        <v>Yes</v>
      </c>
      <c r="S703" s="86">
        <f t="array" ref="S703">iferror(XLOOKUP(C703,'Download of SFDC Activation Rep'!B:B,'Download of SFDC Activation Rep'!Y:Y),"")</f>
        <v>45884</v>
      </c>
    </row>
    <row r="704">
      <c r="A704" s="17" t="s">
        <v>488</v>
      </c>
      <c r="B704" s="85">
        <v>46174.0</v>
      </c>
      <c r="C704" s="17">
        <v>4068848.0</v>
      </c>
      <c r="D704" s="85">
        <v>45870.0</v>
      </c>
      <c r="E704" s="17">
        <v>14.0</v>
      </c>
      <c r="F704" s="17">
        <v>0.0</v>
      </c>
      <c r="G704" s="17">
        <v>16788.32</v>
      </c>
      <c r="H704" s="17">
        <v>16788.32</v>
      </c>
      <c r="I704" s="17">
        <v>486.88</v>
      </c>
      <c r="J704" s="17"/>
      <c r="K704" s="17">
        <v>-0.925400000000001</v>
      </c>
      <c r="L704" s="17">
        <v>-8.298710334368</v>
      </c>
      <c r="M704" s="17">
        <v>7.37331033436799</v>
      </c>
      <c r="N704" s="17">
        <v>0.0</v>
      </c>
      <c r="O704" s="14">
        <f t="shared" si="1"/>
        <v>-0.9254</v>
      </c>
      <c r="P704" s="86">
        <f t="array" ref="P704">iferror(XLOOKUP(C704,'Download of SFDC Activation Rep'!B:B,'Download of SFDC Activation Rep'!Z:Z),"")</f>
        <v>45880</v>
      </c>
      <c r="Q704" s="86">
        <f t="shared" si="2"/>
        <v>45870</v>
      </c>
      <c r="R704" s="13" t="str">
        <f t="shared" si="3"/>
        <v>Yes</v>
      </c>
      <c r="S704" s="86">
        <f t="array" ref="S704">iferror(XLOOKUP(C704,'Download of SFDC Activation Rep'!B:B,'Download of SFDC Activation Rep'!Y:Y),"")</f>
        <v>45896</v>
      </c>
    </row>
    <row r="705">
      <c r="A705" s="17" t="s">
        <v>488</v>
      </c>
      <c r="B705" s="85">
        <v>46082.0</v>
      </c>
      <c r="C705" s="17">
        <v>4496271.0</v>
      </c>
      <c r="D705" s="85">
        <v>46082.0</v>
      </c>
      <c r="E705" s="17">
        <v>11.0</v>
      </c>
      <c r="F705" s="17">
        <v>11.0</v>
      </c>
      <c r="G705" s="17">
        <v>89326.19</v>
      </c>
      <c r="H705" s="17"/>
      <c r="I705" s="17">
        <v>104.0175</v>
      </c>
      <c r="J705" s="17"/>
      <c r="K705" s="17">
        <v>102.475499999999</v>
      </c>
      <c r="L705" s="17">
        <v>53.1163762248969</v>
      </c>
      <c r="M705" s="17">
        <v>49.3591237751029</v>
      </c>
      <c r="N705" s="17">
        <v>0.0</v>
      </c>
      <c r="O705" s="14">
        <f t="shared" si="1"/>
        <v>102.4755</v>
      </c>
      <c r="P705" s="86">
        <f t="array" ref="P705">iferror(XLOOKUP(C705,'Download of SFDC Activation Rep'!B:B,'Download of SFDC Activation Rep'!Z:Z),"")</f>
        <v>46092</v>
      </c>
      <c r="Q705" s="86">
        <f t="shared" si="2"/>
        <v>46082</v>
      </c>
      <c r="R705" s="13" t="str">
        <f t="shared" si="3"/>
        <v>Yes</v>
      </c>
      <c r="S705" s="86">
        <f t="array" ref="S705">iferror(XLOOKUP(C705,'Download of SFDC Activation Rep'!B:B,'Download of SFDC Activation Rep'!Y:Y),"")</f>
        <v>46132</v>
      </c>
    </row>
    <row r="706">
      <c r="A706" s="17" t="s">
        <v>19</v>
      </c>
      <c r="B706" s="85">
        <v>46143.0</v>
      </c>
      <c r="C706" s="17">
        <v>4031652.0</v>
      </c>
      <c r="D706" s="85">
        <v>45901.0</v>
      </c>
      <c r="E706" s="17">
        <v>134.0</v>
      </c>
      <c r="F706" s="17">
        <v>134.0</v>
      </c>
      <c r="G706" s="17">
        <v>1456517.28</v>
      </c>
      <c r="H706" s="17"/>
      <c r="I706" s="17">
        <v>566.922265</v>
      </c>
      <c r="J706" s="17"/>
      <c r="K706" s="17">
        <v>546.054199999999</v>
      </c>
      <c r="L706" s="17">
        <v>292.205521033183</v>
      </c>
      <c r="M706" s="17">
        <v>253.848678966815</v>
      </c>
      <c r="N706" s="17">
        <v>80.0</v>
      </c>
      <c r="O706" s="14">
        <f t="shared" si="1"/>
        <v>626.0542</v>
      </c>
      <c r="P706" s="86">
        <f t="array" ref="P706">iferror(XLOOKUP(C706,'Download of SFDC Activation Rep'!B:B,'Download of SFDC Activation Rep'!Z:Z),"")</f>
        <v>45881</v>
      </c>
      <c r="Q706" s="86">
        <f t="shared" si="2"/>
        <v>45870</v>
      </c>
      <c r="R706" s="13" t="str">
        <f t="shared" si="3"/>
        <v>Yes</v>
      </c>
      <c r="S706" s="86">
        <f t="array" ref="S706">iferror(XLOOKUP(C706,'Download of SFDC Activation Rep'!B:B,'Download of SFDC Activation Rep'!Y:Y),"")</f>
        <v>45889</v>
      </c>
    </row>
    <row r="707">
      <c r="A707" s="17" t="s">
        <v>19</v>
      </c>
      <c r="B707" s="85">
        <v>46054.0</v>
      </c>
      <c r="C707" s="17">
        <v>4031652.0</v>
      </c>
      <c r="D707" s="85">
        <v>45901.0</v>
      </c>
      <c r="E707" s="17">
        <v>135.0</v>
      </c>
      <c r="F707" s="17">
        <v>135.0</v>
      </c>
      <c r="G707" s="17">
        <v>1354847.9</v>
      </c>
      <c r="H707" s="17"/>
      <c r="I707" s="17">
        <v>1335.59435</v>
      </c>
      <c r="J707" s="17"/>
      <c r="K707" s="17">
        <v>1316.8972</v>
      </c>
      <c r="L707" s="17">
        <v>986.414689881129</v>
      </c>
      <c r="M707" s="17">
        <v>330.48251011887</v>
      </c>
      <c r="N707" s="17">
        <v>80.0</v>
      </c>
      <c r="O707" s="14">
        <f t="shared" si="1"/>
        <v>1396.8972</v>
      </c>
      <c r="P707" s="86">
        <f t="array" ref="P707">iferror(XLOOKUP(C707,'Download of SFDC Activation Rep'!B:B,'Download of SFDC Activation Rep'!Z:Z),"")</f>
        <v>45881</v>
      </c>
      <c r="Q707" s="86">
        <f t="shared" si="2"/>
        <v>45870</v>
      </c>
      <c r="R707" s="13" t="str">
        <f t="shared" si="3"/>
        <v>Yes</v>
      </c>
      <c r="S707" s="86">
        <f t="array" ref="S707">iferror(XLOOKUP(C707,'Download of SFDC Activation Rep'!B:B,'Download of SFDC Activation Rep'!Y:Y),"")</f>
        <v>45889</v>
      </c>
    </row>
    <row r="708">
      <c r="A708" s="17" t="s">
        <v>489</v>
      </c>
      <c r="B708" s="85">
        <v>45901.0</v>
      </c>
      <c r="C708" s="17">
        <v>3024156.0</v>
      </c>
      <c r="D708" s="85">
        <v>45901.0</v>
      </c>
      <c r="E708" s="17">
        <v>39.0</v>
      </c>
      <c r="F708" s="17">
        <v>39.0</v>
      </c>
      <c r="G708" s="17">
        <v>121451.59</v>
      </c>
      <c r="H708" s="17"/>
      <c r="I708" s="17">
        <v>16.5</v>
      </c>
      <c r="K708" s="17">
        <v>2.86</v>
      </c>
      <c r="L708" s="17">
        <v>-15.6287481043465</v>
      </c>
      <c r="M708" s="17">
        <v>18.4887481043465</v>
      </c>
      <c r="N708" s="17">
        <v>6.49999999999999</v>
      </c>
      <c r="O708" s="14">
        <f t="shared" si="1"/>
        <v>9.36</v>
      </c>
      <c r="P708" s="86">
        <f t="array" ref="P708">iferror(XLOOKUP(C708,'Download of SFDC Activation Rep'!B:B,'Download of SFDC Activation Rep'!Z:Z),"")</f>
        <v>45897</v>
      </c>
      <c r="Q708" s="86">
        <f t="shared" si="2"/>
        <v>45870</v>
      </c>
      <c r="R708" s="13" t="str">
        <f t="shared" si="3"/>
        <v>Yes</v>
      </c>
      <c r="S708" s="86">
        <f t="array" ref="S708">iferror(XLOOKUP(C708,'Download of SFDC Activation Rep'!B:B,'Download of SFDC Activation Rep'!Y:Y),"")</f>
        <v>45916</v>
      </c>
    </row>
    <row r="709">
      <c r="A709" s="17" t="s">
        <v>19</v>
      </c>
      <c r="B709" s="85">
        <v>46174.0</v>
      </c>
      <c r="C709" s="17">
        <v>4522341.0</v>
      </c>
      <c r="D709" s="85">
        <v>46113.0</v>
      </c>
      <c r="E709" s="17">
        <v>264.0</v>
      </c>
      <c r="F709" s="17">
        <v>264.0</v>
      </c>
      <c r="G709" s="17">
        <v>534769.22</v>
      </c>
      <c r="H709" s="17"/>
      <c r="I709" s="17">
        <v>33.512205</v>
      </c>
      <c r="K709" s="17">
        <v>-3.4493</v>
      </c>
      <c r="L709" s="17">
        <v>-87.698219148786</v>
      </c>
      <c r="M709" s="17">
        <v>84.248919148786</v>
      </c>
      <c r="N709" s="17">
        <v>80.0</v>
      </c>
      <c r="O709" s="14">
        <f t="shared" si="1"/>
        <v>76.5507</v>
      </c>
      <c r="P709" s="86">
        <f t="array" ref="P709">iferror(XLOOKUP(C709,'Download of SFDC Activation Rep'!B:B,'Download of SFDC Activation Rep'!Z:Z),"")</f>
        <v>46086</v>
      </c>
      <c r="Q709" s="86">
        <f t="shared" si="2"/>
        <v>46082</v>
      </c>
      <c r="R709" s="13" t="str">
        <f t="shared" si="3"/>
        <v>Yes</v>
      </c>
      <c r="S709" s="86">
        <f t="array" ref="S709">iferror(XLOOKUP(C709,'Download of SFDC Activation Rep'!B:B,'Download of SFDC Activation Rep'!Y:Y),"")</f>
        <v>46143</v>
      </c>
    </row>
    <row r="710">
      <c r="A710" s="17" t="s">
        <v>19</v>
      </c>
      <c r="B710" s="85">
        <v>45931.0</v>
      </c>
      <c r="C710" s="17">
        <v>4018525.0</v>
      </c>
      <c r="D710" s="85">
        <v>45839.0</v>
      </c>
      <c r="E710" s="17">
        <v>99.0</v>
      </c>
      <c r="F710" s="17">
        <v>99.0</v>
      </c>
      <c r="G710" s="17">
        <v>332701.48</v>
      </c>
      <c r="H710" s="17"/>
      <c r="I710" s="17">
        <v>81.533472</v>
      </c>
      <c r="K710" s="17">
        <v>35.1235</v>
      </c>
      <c r="L710" s="17">
        <v>-15.4904850020234</v>
      </c>
      <c r="M710" s="17">
        <v>50.6139850020234</v>
      </c>
      <c r="N710" s="17">
        <v>6.39999999999999</v>
      </c>
      <c r="O710" s="14">
        <f t="shared" si="1"/>
        <v>41.5235</v>
      </c>
      <c r="P710" s="86">
        <f t="array" ref="P710">iferror(XLOOKUP(C710,'Download of SFDC Activation Rep'!B:B,'Download of SFDC Activation Rep'!Z:Z),"")</f>
        <v>45818</v>
      </c>
      <c r="Q710" s="86">
        <f t="shared" si="2"/>
        <v>45809</v>
      </c>
      <c r="R710" s="13" t="str">
        <f t="shared" si="3"/>
        <v>Yes</v>
      </c>
      <c r="S710" s="86">
        <f t="array" ref="S710">iferror(XLOOKUP(C710,'Download of SFDC Activation Rep'!B:B,'Download of SFDC Activation Rep'!Y:Y),"")</f>
        <v>45859</v>
      </c>
    </row>
    <row r="711">
      <c r="A711" s="17" t="s">
        <v>489</v>
      </c>
      <c r="B711" s="85">
        <v>46082.0</v>
      </c>
      <c r="C711" s="17">
        <v>4339749.0</v>
      </c>
      <c r="D711" s="85">
        <v>46023.0</v>
      </c>
      <c r="E711" s="17">
        <v>33.0</v>
      </c>
      <c r="F711" s="17">
        <v>10.0</v>
      </c>
      <c r="G711" s="17">
        <v>61437.98</v>
      </c>
      <c r="H711" s="17"/>
      <c r="I711" s="17">
        <v>1243.78</v>
      </c>
      <c r="J711" s="17">
        <v>0.5</v>
      </c>
      <c r="K711" s="17">
        <v>720.9923</v>
      </c>
      <c r="L711" s="17">
        <v>691.552237720271</v>
      </c>
      <c r="M711" s="17">
        <v>29.440062279729</v>
      </c>
      <c r="N711" s="17">
        <v>65.0</v>
      </c>
      <c r="O711" s="14">
        <f t="shared" si="1"/>
        <v>785.9923</v>
      </c>
      <c r="P711" s="86">
        <f t="array" ref="P711">iferror(XLOOKUP(C711,'Download of SFDC Activation Rep'!B:B,'Download of SFDC Activation Rep'!Z:Z),"")</f>
        <v>46037</v>
      </c>
      <c r="Q711" s="86">
        <f t="shared" si="2"/>
        <v>46023</v>
      </c>
      <c r="R711" s="13" t="str">
        <f t="shared" si="3"/>
        <v>Yes</v>
      </c>
      <c r="S711" s="86">
        <f t="array" ref="S711">iferror(XLOOKUP(C711,'Download of SFDC Activation Rep'!B:B,'Download of SFDC Activation Rep'!Y:Y),"")</f>
        <v>46057</v>
      </c>
    </row>
    <row r="712">
      <c r="A712" s="17" t="s">
        <v>488</v>
      </c>
      <c r="B712" s="85">
        <v>46113.0</v>
      </c>
      <c r="C712" s="17">
        <v>4521114.0</v>
      </c>
      <c r="D712" s="85">
        <v>46113.0</v>
      </c>
      <c r="E712" s="17">
        <v>34.0</v>
      </c>
      <c r="F712" s="17">
        <v>34.0</v>
      </c>
      <c r="G712" s="17">
        <v>43751.81</v>
      </c>
      <c r="H712" s="17"/>
      <c r="I712" s="17">
        <v>220.889438</v>
      </c>
      <c r="J712" s="17">
        <v>0.5</v>
      </c>
      <c r="K712" s="17">
        <v>215.3575</v>
      </c>
      <c r="L712" s="17">
        <v>208.511239531847</v>
      </c>
      <c r="M712" s="17">
        <v>6.84626046815301</v>
      </c>
      <c r="N712" s="17">
        <v>33.0</v>
      </c>
      <c r="O712" s="14">
        <f t="shared" si="1"/>
        <v>248.3575</v>
      </c>
      <c r="P712" s="86">
        <f t="array" ref="P712">iferror(XLOOKUP(C712,'Download of SFDC Activation Rep'!B:B,'Download of SFDC Activation Rep'!Z:Z),"")</f>
        <v>46119</v>
      </c>
      <c r="Q712" s="86">
        <f t="shared" si="2"/>
        <v>46113</v>
      </c>
      <c r="R712" s="13" t="str">
        <f t="shared" si="3"/>
        <v>Yes</v>
      </c>
      <c r="S712" s="86">
        <f t="array" ref="S712">iferror(XLOOKUP(C712,'Download of SFDC Activation Rep'!B:B,'Download of SFDC Activation Rep'!Y:Y),"")</f>
        <v>46147</v>
      </c>
    </row>
    <row r="713">
      <c r="A713" s="17" t="s">
        <v>19</v>
      </c>
      <c r="B713" s="85">
        <v>46113.0</v>
      </c>
      <c r="C713" s="17">
        <v>4525842.0</v>
      </c>
      <c r="D713" s="85">
        <v>46113.0</v>
      </c>
      <c r="E713" s="17">
        <v>6.0</v>
      </c>
      <c r="F713" s="17">
        <v>6.0</v>
      </c>
      <c r="G713" s="17">
        <v>16476.5</v>
      </c>
      <c r="H713" s="17"/>
      <c r="I713" s="17">
        <v>0.0</v>
      </c>
      <c r="J713" s="17"/>
      <c r="K713" s="17">
        <v>-0.8737</v>
      </c>
      <c r="L713" s="17">
        <v>-1.038465</v>
      </c>
      <c r="M713" s="17">
        <v>0.164764999999999</v>
      </c>
      <c r="N713" s="17">
        <v>80.0</v>
      </c>
      <c r="O713" s="14">
        <f t="shared" si="1"/>
        <v>79.1263</v>
      </c>
      <c r="P713" s="86">
        <f t="array" ref="P713">iferror(XLOOKUP(C713,'Download of SFDC Activation Rep'!B:B,'Download of SFDC Activation Rep'!Z:Z),"")</f>
        <v>46111</v>
      </c>
      <c r="Q713" s="86">
        <f t="shared" si="2"/>
        <v>46082</v>
      </c>
      <c r="R713" s="13" t="str">
        <f t="shared" si="3"/>
        <v>Yes</v>
      </c>
      <c r="S713" s="86">
        <f t="array" ref="S713">iferror(XLOOKUP(C713,'Download of SFDC Activation Rep'!B:B,'Download of SFDC Activation Rep'!Y:Y),"")</f>
        <v>46140</v>
      </c>
    </row>
    <row r="714">
      <c r="A714" s="17" t="s">
        <v>489</v>
      </c>
      <c r="B714" s="85">
        <v>46054.0</v>
      </c>
      <c r="C714" s="17">
        <v>4299558.0</v>
      </c>
      <c r="D714" s="85">
        <v>46023.0</v>
      </c>
      <c r="E714" s="17">
        <v>5.0</v>
      </c>
      <c r="F714" s="17">
        <v>5.0</v>
      </c>
      <c r="G714" s="17">
        <v>3642.0</v>
      </c>
      <c r="H714" s="17"/>
      <c r="I714" s="17">
        <v>0.0</v>
      </c>
      <c r="J714" s="17"/>
      <c r="K714" s="17">
        <v>-0.7276</v>
      </c>
      <c r="L714" s="17">
        <v>-0.76402</v>
      </c>
      <c r="M714" s="17">
        <v>0.03642</v>
      </c>
      <c r="N714" s="17">
        <v>44.0</v>
      </c>
      <c r="O714" s="14">
        <f t="shared" si="1"/>
        <v>43.2724</v>
      </c>
      <c r="P714" s="86">
        <f t="array" ref="P714">iferror(XLOOKUP(C714,'Download of SFDC Activation Rep'!B:B,'Download of SFDC Activation Rep'!Z:Z),"")</f>
        <v>46013</v>
      </c>
      <c r="Q714" s="86">
        <f t="shared" si="2"/>
        <v>45992</v>
      </c>
      <c r="R714" s="13" t="str">
        <f t="shared" si="3"/>
        <v>Yes</v>
      </c>
      <c r="S714" s="86">
        <f t="array" ref="S714">iferror(XLOOKUP(C714,'Download of SFDC Activation Rep'!B:B,'Download of SFDC Activation Rep'!Y:Y),"")</f>
        <v>46036</v>
      </c>
    </row>
    <row r="715">
      <c r="A715" s="17" t="s">
        <v>19</v>
      </c>
      <c r="B715" s="85">
        <v>46023.0</v>
      </c>
      <c r="C715" s="17">
        <v>4239924.0</v>
      </c>
      <c r="D715" s="85">
        <v>45992.0</v>
      </c>
      <c r="E715" s="17">
        <v>7.0</v>
      </c>
      <c r="F715" s="17">
        <v>7.0</v>
      </c>
      <c r="G715" s="17">
        <v>8705.3</v>
      </c>
      <c r="H715" s="17"/>
      <c r="I715" s="17">
        <v>0.0</v>
      </c>
      <c r="J715" s="17"/>
      <c r="K715" s="17">
        <v>-0.9015</v>
      </c>
      <c r="L715" s="17">
        <v>-2.75263292795634</v>
      </c>
      <c r="M715" s="17">
        <v>1.85113292795634</v>
      </c>
      <c r="N715" s="17">
        <v>24.0</v>
      </c>
      <c r="O715" s="14">
        <f t="shared" si="1"/>
        <v>23.0985</v>
      </c>
      <c r="P715" s="86">
        <f t="array" ref="P715">iferror(XLOOKUP(C715,'Download of SFDC Activation Rep'!B:B,'Download of SFDC Activation Rep'!Z:Z),"")</f>
        <v>45979</v>
      </c>
      <c r="Q715" s="86">
        <f t="shared" si="2"/>
        <v>45962</v>
      </c>
      <c r="R715" s="13" t="str">
        <f t="shared" si="3"/>
        <v>Yes</v>
      </c>
      <c r="S715" s="86">
        <f t="array" ref="S715">iferror(XLOOKUP(C715,'Download of SFDC Activation Rep'!B:B,'Download of SFDC Activation Rep'!Y:Y),"")</f>
        <v>45995</v>
      </c>
    </row>
    <row r="716">
      <c r="A716" s="17" t="s">
        <v>19</v>
      </c>
      <c r="B716" s="85">
        <v>45992.0</v>
      </c>
      <c r="C716" s="17">
        <v>4208610.0</v>
      </c>
      <c r="D716" s="85">
        <v>45962.0</v>
      </c>
      <c r="E716" s="17">
        <v>82.0</v>
      </c>
      <c r="F716" s="17">
        <v>82.0</v>
      </c>
      <c r="G716" s="17">
        <v>40645.0</v>
      </c>
      <c r="H716" s="17"/>
      <c r="I716" s="17">
        <v>51.2</v>
      </c>
      <c r="J716" s="17">
        <v>4.0</v>
      </c>
      <c r="K716" s="17">
        <v>34.3887999999999</v>
      </c>
      <c r="L716" s="17">
        <v>23.1361062358715</v>
      </c>
      <c r="M716" s="17">
        <v>11.2526937641284</v>
      </c>
      <c r="N716" s="17">
        <v>64.0</v>
      </c>
      <c r="O716" s="14">
        <f t="shared" si="1"/>
        <v>98.3888</v>
      </c>
      <c r="P716" s="86">
        <f t="array" ref="P716">iferror(XLOOKUP(C716,'Download of SFDC Activation Rep'!B:B,'Download of SFDC Activation Rep'!Z:Z),"")</f>
        <v>45947</v>
      </c>
      <c r="Q716" s="86">
        <f t="shared" si="2"/>
        <v>45931</v>
      </c>
      <c r="R716" s="13" t="str">
        <f t="shared" si="3"/>
        <v>Yes</v>
      </c>
      <c r="S716" s="86">
        <f t="array" ref="S716">iferror(XLOOKUP(C716,'Download of SFDC Activation Rep'!B:B,'Download of SFDC Activation Rep'!Y:Y),"")</f>
        <v>45987</v>
      </c>
    </row>
    <row r="717">
      <c r="A717" s="17"/>
      <c r="B717" s="85">
        <v>45992.0</v>
      </c>
      <c r="C717" s="17">
        <v>4231672.0</v>
      </c>
      <c r="D717" s="85">
        <v>45962.0</v>
      </c>
      <c r="E717" s="17">
        <v>2.0</v>
      </c>
      <c r="F717" s="17">
        <v>2.0</v>
      </c>
      <c r="G717" s="17">
        <v>2850.0</v>
      </c>
      <c r="H717" s="17"/>
      <c r="I717" s="17">
        <v>0.0</v>
      </c>
      <c r="J717" s="17"/>
      <c r="K717" s="17">
        <v>-0.3</v>
      </c>
      <c r="L717" s="17">
        <v>-0.746541838665</v>
      </c>
      <c r="M717" s="17">
        <v>0.446541838665</v>
      </c>
      <c r="N717" s="17">
        <v>0.0</v>
      </c>
      <c r="O717" s="14">
        <f t="shared" si="1"/>
        <v>-0.3</v>
      </c>
      <c r="P717" s="86">
        <f t="array" ref="P717">iferror(XLOOKUP(C717,'Download of SFDC Activation Rep'!B:B,'Download of SFDC Activation Rep'!Z:Z),"")</f>
        <v>45965</v>
      </c>
      <c r="Q717" s="86">
        <f t="shared" si="2"/>
        <v>45962</v>
      </c>
      <c r="R717" s="13" t="str">
        <f t="shared" si="3"/>
        <v>Yes</v>
      </c>
      <c r="S717" s="86">
        <f t="array" ref="S717">iferror(XLOOKUP(C717,'Download of SFDC Activation Rep'!B:B,'Download of SFDC Activation Rep'!Y:Y),"")</f>
        <v>45980</v>
      </c>
    </row>
    <row r="718">
      <c r="A718" s="17" t="s">
        <v>19</v>
      </c>
      <c r="B718" s="85">
        <v>46174.0</v>
      </c>
      <c r="C718" s="17">
        <v>4208610.0</v>
      </c>
      <c r="D718" s="85">
        <v>45962.0</v>
      </c>
      <c r="E718" s="17">
        <v>26.0</v>
      </c>
      <c r="F718" s="17">
        <v>26.0</v>
      </c>
      <c r="G718" s="17">
        <v>14226.0</v>
      </c>
      <c r="H718" s="17"/>
      <c r="I718" s="17">
        <v>0.0</v>
      </c>
      <c r="J718" s="17"/>
      <c r="K718" s="17">
        <v>-3.89999999999999</v>
      </c>
      <c r="L718" s="17">
        <v>-6.12894817379999</v>
      </c>
      <c r="M718" s="17">
        <v>2.22894817379999</v>
      </c>
      <c r="N718" s="17">
        <v>64.0</v>
      </c>
      <c r="O718" s="14">
        <f t="shared" si="1"/>
        <v>60.1</v>
      </c>
      <c r="P718" s="86">
        <f t="array" ref="P718">iferror(XLOOKUP(C718,'Download of SFDC Activation Rep'!B:B,'Download of SFDC Activation Rep'!Z:Z),"")</f>
        <v>45947</v>
      </c>
      <c r="Q718" s="86">
        <f t="shared" si="2"/>
        <v>45931</v>
      </c>
      <c r="R718" s="13" t="str">
        <f t="shared" si="3"/>
        <v>Yes</v>
      </c>
      <c r="S718" s="86">
        <f t="array" ref="S718">iferror(XLOOKUP(C718,'Download of SFDC Activation Rep'!B:B,'Download of SFDC Activation Rep'!Y:Y),"")</f>
        <v>45987</v>
      </c>
    </row>
    <row r="719">
      <c r="A719" s="17" t="s">
        <v>17</v>
      </c>
      <c r="B719" s="85">
        <v>45474.0</v>
      </c>
      <c r="C719" s="17">
        <v>3265302.0</v>
      </c>
      <c r="D719" s="85">
        <v>45352.0</v>
      </c>
      <c r="E719" s="17">
        <v>52.0</v>
      </c>
      <c r="F719" s="17">
        <v>52.0</v>
      </c>
      <c r="G719" s="17">
        <v>141759.16</v>
      </c>
      <c r="H719" s="17"/>
      <c r="I719" s="17">
        <v>2.0</v>
      </c>
      <c r="J719" s="17"/>
      <c r="K719" s="17">
        <v>-8.23</v>
      </c>
      <c r="L719" s="17">
        <v>-77.40364948952</v>
      </c>
      <c r="M719" s="17">
        <v>69.17364948952</v>
      </c>
      <c r="N719" s="17"/>
      <c r="O719" s="14">
        <f t="shared" si="1"/>
        <v>-8.23</v>
      </c>
      <c r="P719" s="86">
        <f t="array" ref="P719">iferror(XLOOKUP(C719,'Download of SFDC Activation Rep'!B:B,'Download of SFDC Activation Rep'!Z:Z),"")</f>
        <v>45936</v>
      </c>
      <c r="Q719" s="86">
        <f t="shared" si="2"/>
        <v>45931</v>
      </c>
      <c r="R719" s="13" t="str">
        <f t="shared" si="3"/>
        <v>No</v>
      </c>
      <c r="S719" s="86">
        <f t="array" ref="S719">iferror(XLOOKUP(C719,'Download of SFDC Activation Rep'!B:B,'Download of SFDC Activation Rep'!Y:Y),"")</f>
        <v>46031</v>
      </c>
    </row>
    <row r="720">
      <c r="A720" s="17" t="s">
        <v>17</v>
      </c>
      <c r="B720" s="85">
        <v>46143.0</v>
      </c>
      <c r="C720" s="17">
        <v>4496351.0</v>
      </c>
      <c r="D720" s="85">
        <v>46082.0</v>
      </c>
      <c r="E720" s="17">
        <v>2.0</v>
      </c>
      <c r="F720" s="17">
        <v>0.0</v>
      </c>
      <c r="G720" s="17">
        <v>9966.75</v>
      </c>
      <c r="H720" s="17"/>
      <c r="I720" s="17">
        <v>289.04</v>
      </c>
      <c r="J720" s="17"/>
      <c r="K720" s="17">
        <v>53.3818999999999</v>
      </c>
      <c r="L720" s="17">
        <v>48.0950095556</v>
      </c>
      <c r="M720" s="17">
        <v>5.28689044439999</v>
      </c>
      <c r="N720" s="17"/>
      <c r="O720" s="14">
        <f t="shared" si="1"/>
        <v>53.3819</v>
      </c>
      <c r="P720" s="86">
        <f t="array" ref="P720">iferror(XLOOKUP(C720,'Download of SFDC Activation Rep'!B:B,'Download of SFDC Activation Rep'!Z:Z),"")</f>
        <v>46099</v>
      </c>
      <c r="Q720" s="86">
        <f t="shared" si="2"/>
        <v>46082</v>
      </c>
      <c r="R720" s="13" t="str">
        <f t="shared" si="3"/>
        <v>Yes</v>
      </c>
      <c r="S720" s="86">
        <f t="array" ref="S720">iferror(XLOOKUP(C720,'Download of SFDC Activation Rep'!B:B,'Download of SFDC Activation Rep'!Y:Y),"")</f>
        <v>46237</v>
      </c>
    </row>
    <row r="721">
      <c r="A721" s="17" t="s">
        <v>17</v>
      </c>
      <c r="B721" s="85">
        <v>46174.0</v>
      </c>
      <c r="C721" s="17">
        <v>4154266.0</v>
      </c>
      <c r="D721" s="85">
        <v>45931.0</v>
      </c>
      <c r="E721" s="17">
        <v>22.0</v>
      </c>
      <c r="F721" s="17">
        <v>12.0</v>
      </c>
      <c r="G721" s="17">
        <v>8712.9</v>
      </c>
      <c r="H721" s="17">
        <v>1254.15</v>
      </c>
      <c r="I721" s="17">
        <v>172.67</v>
      </c>
      <c r="J721" s="17"/>
      <c r="K721" s="17">
        <v>-8.6411</v>
      </c>
      <c r="L721" s="17">
        <v>-8.7247185</v>
      </c>
      <c r="M721" s="17">
        <v>0.0836185</v>
      </c>
      <c r="N721" s="17"/>
      <c r="O721" s="14">
        <f t="shared" si="1"/>
        <v>-8.6411</v>
      </c>
      <c r="P721" s="86">
        <f t="array" ref="P721">iferror(XLOOKUP(C721,'Download of SFDC Activation Rep'!B:B,'Download of SFDC Activation Rep'!Z:Z),"")</f>
        <v>45895</v>
      </c>
      <c r="Q721" s="86">
        <f t="shared" si="2"/>
        <v>45870</v>
      </c>
      <c r="R721" s="13" t="str">
        <f t="shared" si="3"/>
        <v>Yes</v>
      </c>
      <c r="S721" s="86">
        <f t="array" ref="S721">iferror(XLOOKUP(C721,'Download of SFDC Activation Rep'!B:B,'Download of SFDC Activation Rep'!Y:Y),"")</f>
        <v>45954</v>
      </c>
    </row>
    <row r="722">
      <c r="A722" s="17" t="s">
        <v>17</v>
      </c>
      <c r="B722" s="85">
        <v>46054.0</v>
      </c>
      <c r="C722" s="17">
        <v>4318853.0</v>
      </c>
      <c r="D722" s="85">
        <v>46023.0</v>
      </c>
      <c r="E722" s="17">
        <v>5.0</v>
      </c>
      <c r="F722" s="17">
        <v>0.0</v>
      </c>
      <c r="G722" s="17">
        <v>35147.96</v>
      </c>
      <c r="H722" s="17">
        <v>35147.96</v>
      </c>
      <c r="I722" s="17">
        <v>1019.3</v>
      </c>
      <c r="K722" s="17">
        <v>144.137</v>
      </c>
      <c r="L722" s="17">
        <v>134.982061288</v>
      </c>
      <c r="M722" s="17">
        <v>9.15493871199999</v>
      </c>
      <c r="N722" s="17"/>
      <c r="O722" s="14">
        <f t="shared" si="1"/>
        <v>372.59874</v>
      </c>
      <c r="P722" s="86">
        <f t="array" ref="P722">iferror(XLOOKUP(C722,'Download of SFDC Activation Rep'!B:B,'Download of SFDC Activation Rep'!Z:Z),"")</f>
        <v>46027</v>
      </c>
      <c r="Q722" s="86">
        <f t="shared" si="2"/>
        <v>46023</v>
      </c>
      <c r="R722" s="13" t="str">
        <f t="shared" si="3"/>
        <v>Yes</v>
      </c>
      <c r="S722" s="86">
        <f t="array" ref="S722">iferror(XLOOKUP(C722,'Download of SFDC Activation Rep'!B:B,'Download of SFDC Activation Rep'!Y:Y),"")</f>
        <v>46042</v>
      </c>
    </row>
    <row r="723">
      <c r="A723" s="17" t="s">
        <v>17</v>
      </c>
      <c r="B723" s="85">
        <v>46082.0</v>
      </c>
      <c r="C723" s="17">
        <v>2967694.0</v>
      </c>
      <c r="D723" s="85">
        <v>45292.0</v>
      </c>
      <c r="E723" s="17">
        <v>4.0</v>
      </c>
      <c r="F723" s="17">
        <v>0.0</v>
      </c>
      <c r="G723" s="17">
        <v>117628.8</v>
      </c>
      <c r="H723" s="17">
        <v>117628.8</v>
      </c>
      <c r="I723" s="17">
        <v>3411.24</v>
      </c>
      <c r="J723" s="17"/>
      <c r="K723" s="17">
        <v>-171.0014</v>
      </c>
      <c r="L723" s="17">
        <v>-233.39792632064</v>
      </c>
      <c r="M723" s="17">
        <v>62.3965263206399</v>
      </c>
      <c r="N723" s="17"/>
      <c r="O723" s="14">
        <f t="shared" si="1"/>
        <v>593.5858</v>
      </c>
      <c r="P723" s="86">
        <f t="array" ref="P723">iferror(XLOOKUP(C723,'Download of SFDC Activation Rep'!B:B,'Download of SFDC Activation Rep'!Z:Z),"")</f>
        <v>45924</v>
      </c>
      <c r="Q723" s="86">
        <f t="shared" si="2"/>
        <v>45901</v>
      </c>
      <c r="R723" s="13" t="str">
        <f t="shared" si="3"/>
        <v>Yes</v>
      </c>
      <c r="S723" s="86">
        <f t="array" ref="S723">iferror(XLOOKUP(C723,'Download of SFDC Activation Rep'!B:B,'Download of SFDC Activation Rep'!Y:Y),"")</f>
        <v>46055</v>
      </c>
    </row>
    <row r="724">
      <c r="A724" s="17" t="s">
        <v>17</v>
      </c>
      <c r="B724" s="85">
        <v>46143.0</v>
      </c>
      <c r="C724" s="17">
        <v>4404380.0</v>
      </c>
      <c r="D724" s="85">
        <v>46054.0</v>
      </c>
      <c r="E724" s="17">
        <v>2.0</v>
      </c>
      <c r="F724" s="17">
        <v>0.0</v>
      </c>
      <c r="G724" s="17">
        <v>22005.0</v>
      </c>
      <c r="H724" s="17"/>
      <c r="I724" s="17">
        <v>638.15</v>
      </c>
      <c r="J724" s="17"/>
      <c r="K724" s="17">
        <v>41.3426</v>
      </c>
      <c r="L724" s="17">
        <v>29.890036136</v>
      </c>
      <c r="M724" s="17">
        <v>11.4525638639999</v>
      </c>
      <c r="N724" s="17"/>
      <c r="O724" s="14">
        <f t="shared" si="1"/>
        <v>41.3426</v>
      </c>
      <c r="P724" s="86">
        <f t="array" ref="P724">iferror(XLOOKUP(C724,'Download of SFDC Activation Rep'!B:B,'Download of SFDC Activation Rep'!Z:Z),"")</f>
        <v>46059</v>
      </c>
      <c r="Q724" s="86">
        <f t="shared" si="2"/>
        <v>46054</v>
      </c>
      <c r="R724" s="13" t="str">
        <f t="shared" si="3"/>
        <v>Yes</v>
      </c>
      <c r="S724" s="86">
        <f t="array" ref="S724">iferror(XLOOKUP(C724,'Download of SFDC Activation Rep'!B:B,'Download of SFDC Activation Rep'!Y:Y),"")</f>
        <v>46101</v>
      </c>
    </row>
    <row r="725">
      <c r="A725" s="17" t="s">
        <v>488</v>
      </c>
      <c r="B725" s="85">
        <v>45778.0</v>
      </c>
      <c r="C725" s="17">
        <v>3785914.0</v>
      </c>
      <c r="D725" s="85">
        <v>45778.0</v>
      </c>
      <c r="E725" s="17">
        <v>2.0</v>
      </c>
      <c r="F725" s="17">
        <v>2.0</v>
      </c>
      <c r="G725" s="17">
        <v>742.2</v>
      </c>
      <c r="H725" s="17"/>
      <c r="I725" s="17">
        <v>0.0</v>
      </c>
      <c r="J725" s="17"/>
      <c r="K725" s="17">
        <v>-0.12</v>
      </c>
      <c r="L725" s="17">
        <v>-0.23628889566918</v>
      </c>
      <c r="M725" s="17">
        <v>0.116288895669179</v>
      </c>
      <c r="N725" s="17"/>
      <c r="O725" s="14">
        <f t="shared" si="1"/>
        <v>-0.12</v>
      </c>
      <c r="P725" s="86">
        <f t="array" ref="P725">iferror(XLOOKUP(C725,'Download of SFDC Activation Rep'!B:B,'Download of SFDC Activation Rep'!Z:Z),"")</f>
        <v>45806</v>
      </c>
      <c r="Q725" s="86">
        <f t="shared" si="2"/>
        <v>45778</v>
      </c>
      <c r="R725" s="13" t="str">
        <f t="shared" si="3"/>
        <v>Yes</v>
      </c>
      <c r="S725" s="86">
        <f t="array" ref="S725">iferror(XLOOKUP(C725,'Download of SFDC Activation Rep'!B:B,'Download of SFDC Activation Rep'!Y:Y),"")</f>
        <v>45806</v>
      </c>
    </row>
    <row r="726">
      <c r="A726" s="17" t="s">
        <v>17</v>
      </c>
      <c r="B726" s="85">
        <v>45689.0</v>
      </c>
      <c r="C726" s="17">
        <v>2967694.0</v>
      </c>
      <c r="D726" s="85">
        <v>45292.0</v>
      </c>
      <c r="E726" s="17">
        <v>1.0</v>
      </c>
      <c r="F726" s="17">
        <v>0.0</v>
      </c>
      <c r="G726" s="17">
        <v>13086.69</v>
      </c>
      <c r="H726" s="17">
        <v>13086.69</v>
      </c>
      <c r="I726" s="17">
        <v>379.51</v>
      </c>
      <c r="J726" s="17"/>
      <c r="K726" s="17">
        <v>54.6764</v>
      </c>
      <c r="L726" s="17">
        <v>47.7345282423892</v>
      </c>
      <c r="M726" s="17">
        <v>6.94187175761072</v>
      </c>
      <c r="N726" s="17"/>
      <c r="O726" s="14">
        <f t="shared" si="1"/>
        <v>54.6764</v>
      </c>
      <c r="P726" s="86">
        <f t="array" ref="P726">iferror(XLOOKUP(C726,'Download of SFDC Activation Rep'!B:B,'Download of SFDC Activation Rep'!Z:Z),"")</f>
        <v>45924</v>
      </c>
      <c r="Q726" s="86">
        <f t="shared" si="2"/>
        <v>45901</v>
      </c>
      <c r="R726" s="13" t="str">
        <f t="shared" si="3"/>
        <v>No</v>
      </c>
      <c r="S726" s="86">
        <f t="array" ref="S726">iferror(XLOOKUP(C726,'Download of SFDC Activation Rep'!B:B,'Download of SFDC Activation Rep'!Y:Y),"")</f>
        <v>46055</v>
      </c>
    </row>
    <row r="727">
      <c r="A727" s="17" t="s">
        <v>17</v>
      </c>
      <c r="B727" s="85">
        <v>46023.0</v>
      </c>
      <c r="C727" s="17">
        <v>4233905.0</v>
      </c>
      <c r="D727" s="85">
        <v>45992.0</v>
      </c>
      <c r="E727" s="17">
        <v>17.0</v>
      </c>
      <c r="F727" s="17">
        <v>17.0</v>
      </c>
      <c r="G727" s="17">
        <v>20852.77</v>
      </c>
      <c r="H727" s="17"/>
      <c r="I727" s="17">
        <v>0.0</v>
      </c>
      <c r="J727" s="17"/>
      <c r="K727" s="17">
        <v>-2.5877</v>
      </c>
      <c r="L727" s="17">
        <v>-3.2132831</v>
      </c>
      <c r="M727" s="17">
        <v>0.6255831</v>
      </c>
      <c r="N727" s="17"/>
      <c r="O727" s="14">
        <f t="shared" si="1"/>
        <v>-2.5877</v>
      </c>
      <c r="P727" s="86">
        <f t="array" ref="P727">iferror(XLOOKUP(C727,'Download of SFDC Activation Rep'!B:B,'Download of SFDC Activation Rep'!Z:Z),"")</f>
        <v>45974</v>
      </c>
      <c r="Q727" s="86">
        <f t="shared" si="2"/>
        <v>45962</v>
      </c>
      <c r="R727" s="13" t="str">
        <f t="shared" si="3"/>
        <v>Yes</v>
      </c>
      <c r="S727" s="86">
        <f t="array" ref="S727">iferror(XLOOKUP(C727,'Download of SFDC Activation Rep'!B:B,'Download of SFDC Activation Rep'!Y:Y),"")</f>
        <v>45999</v>
      </c>
    </row>
    <row r="728">
      <c r="A728" s="17" t="s">
        <v>17</v>
      </c>
      <c r="B728" s="85">
        <v>46143.0</v>
      </c>
      <c r="C728" s="17">
        <v>4268726.0</v>
      </c>
      <c r="D728" s="85">
        <v>45992.0</v>
      </c>
      <c r="E728" s="17">
        <v>4.0</v>
      </c>
      <c r="F728" s="17">
        <v>1.0</v>
      </c>
      <c r="G728" s="17">
        <v>4771.0</v>
      </c>
      <c r="H728" s="17"/>
      <c r="I728" s="17">
        <v>119.16</v>
      </c>
      <c r="J728" s="17"/>
      <c r="K728" s="17">
        <v>16.8897</v>
      </c>
      <c r="L728" s="17">
        <v>16.84199</v>
      </c>
      <c r="M728" s="17">
        <v>0.0477100000000021</v>
      </c>
      <c r="N728" s="17"/>
      <c r="O728" s="14">
        <f t="shared" si="1"/>
        <v>16.8897</v>
      </c>
      <c r="P728" s="86">
        <f t="array" ref="P728">iferror(XLOOKUP(C728,'Download of SFDC Activation Rep'!B:B,'Download of SFDC Activation Rep'!Z:Z),"")</f>
        <v>45992</v>
      </c>
      <c r="Q728" s="86">
        <f t="shared" si="2"/>
        <v>45992</v>
      </c>
      <c r="R728" s="13" t="str">
        <f t="shared" si="3"/>
        <v>Yes</v>
      </c>
      <c r="S728" s="86">
        <f t="array" ref="S728">iferror(XLOOKUP(C728,'Download of SFDC Activation Rep'!B:B,'Download of SFDC Activation Rep'!Y:Y),"")</f>
        <v>46000</v>
      </c>
    </row>
    <row r="729">
      <c r="A729" s="17" t="s">
        <v>17</v>
      </c>
      <c r="B729" s="85">
        <v>46143.0</v>
      </c>
      <c r="C729" s="17">
        <v>4318853.0</v>
      </c>
      <c r="D729" s="85">
        <v>46023.0</v>
      </c>
      <c r="E729" s="17">
        <v>1.0</v>
      </c>
      <c r="F729" s="17">
        <v>0.0</v>
      </c>
      <c r="G729" s="17">
        <v>375.0</v>
      </c>
      <c r="H729" s="17">
        <v>375.0</v>
      </c>
      <c r="I729" s="17">
        <v>14.63</v>
      </c>
      <c r="K729" s="17">
        <v>1.9642</v>
      </c>
      <c r="L729" s="17">
        <v>0.50697745</v>
      </c>
      <c r="M729" s="17">
        <v>1.45722254999999</v>
      </c>
      <c r="N729" s="17"/>
      <c r="O729" s="14">
        <f t="shared" si="1"/>
        <v>1.9642</v>
      </c>
      <c r="P729" s="86">
        <f t="array" ref="P729">iferror(XLOOKUP(C729,'Download of SFDC Activation Rep'!B:B,'Download of SFDC Activation Rep'!Z:Z),"")</f>
        <v>46027</v>
      </c>
      <c r="Q729" s="86">
        <f t="shared" si="2"/>
        <v>46023</v>
      </c>
      <c r="R729" s="13" t="str">
        <f t="shared" si="3"/>
        <v>Yes</v>
      </c>
      <c r="S729" s="86">
        <f t="array" ref="S729">iferror(XLOOKUP(C729,'Download of SFDC Activation Rep'!B:B,'Download of SFDC Activation Rep'!Y:Y),"")</f>
        <v>46042</v>
      </c>
    </row>
    <row r="730">
      <c r="A730" s="17" t="s">
        <v>17</v>
      </c>
      <c r="B730" s="85">
        <v>46174.0</v>
      </c>
      <c r="C730" s="17">
        <v>4214658.0</v>
      </c>
      <c r="D730" s="85">
        <v>45962.0</v>
      </c>
      <c r="E730" s="17">
        <v>45.0</v>
      </c>
      <c r="F730" s="17">
        <v>45.0</v>
      </c>
      <c r="G730" s="17">
        <v>60738.08</v>
      </c>
      <c r="H730" s="17"/>
      <c r="I730" s="17">
        <v>0.0</v>
      </c>
      <c r="J730" s="17"/>
      <c r="K730" s="17">
        <v>-6.91209999999999</v>
      </c>
      <c r="L730" s="17">
        <v>-7.5194808</v>
      </c>
      <c r="M730" s="17">
        <v>0.607380800000001</v>
      </c>
      <c r="N730" s="17"/>
      <c r="O730" s="14">
        <f t="shared" si="1"/>
        <v>-6.9121</v>
      </c>
      <c r="P730" s="86">
        <f t="array" ref="P730">iferror(XLOOKUP(C730,'Download of SFDC Activation Rep'!B:B,'Download of SFDC Activation Rep'!Z:Z),"")</f>
        <v>45973</v>
      </c>
      <c r="Q730" s="86">
        <f t="shared" si="2"/>
        <v>45962</v>
      </c>
      <c r="R730" s="13" t="str">
        <f t="shared" si="3"/>
        <v>Yes</v>
      </c>
      <c r="S730" s="86">
        <f t="array" ref="S730">iferror(XLOOKUP(C730,'Download of SFDC Activation Rep'!B:B,'Download of SFDC Activation Rep'!Y:Y),"")</f>
        <v>45968</v>
      </c>
    </row>
    <row r="731">
      <c r="A731" s="17" t="s">
        <v>17</v>
      </c>
      <c r="B731" s="85">
        <v>46174.0</v>
      </c>
      <c r="C731" s="17">
        <v>4098415.0</v>
      </c>
      <c r="D731" s="85">
        <v>45901.0</v>
      </c>
      <c r="E731" s="17">
        <v>10.0</v>
      </c>
      <c r="F731" s="17">
        <v>10.0</v>
      </c>
      <c r="G731" s="17">
        <v>29588.06</v>
      </c>
      <c r="H731" s="17"/>
      <c r="I731" s="17">
        <v>0.0</v>
      </c>
      <c r="J731" s="17"/>
      <c r="K731" s="17">
        <v>-1.6084</v>
      </c>
      <c r="L731" s="17">
        <v>-1.90428059999999</v>
      </c>
      <c r="M731" s="17">
        <v>0.295880599999999</v>
      </c>
      <c r="N731" s="17"/>
      <c r="O731" s="14">
        <f t="shared" si="1"/>
        <v>-1.6084</v>
      </c>
      <c r="P731" s="86">
        <f t="array" ref="P731">iferror(XLOOKUP(C731,'Download of SFDC Activation Rep'!B:B,'Download of SFDC Activation Rep'!Z:Z),"")</f>
        <v>45895</v>
      </c>
      <c r="Q731" s="86">
        <f t="shared" si="2"/>
        <v>45870</v>
      </c>
      <c r="R731" s="13" t="str">
        <f t="shared" si="3"/>
        <v>Yes</v>
      </c>
      <c r="S731" s="86">
        <f t="array" ref="S731">iferror(XLOOKUP(C731,'Download of SFDC Activation Rep'!B:B,'Download of SFDC Activation Rep'!Y:Y),"")</f>
        <v>45910</v>
      </c>
    </row>
    <row r="732">
      <c r="A732" s="17" t="s">
        <v>17</v>
      </c>
      <c r="B732" s="85">
        <v>45992.0</v>
      </c>
      <c r="C732" s="17">
        <v>4186958.0</v>
      </c>
      <c r="D732" s="85">
        <v>45931.0</v>
      </c>
      <c r="E732" s="17">
        <v>1.0</v>
      </c>
      <c r="F732" s="17">
        <v>1.0</v>
      </c>
      <c r="G732" s="17">
        <v>4500.0</v>
      </c>
      <c r="H732" s="17"/>
      <c r="I732" s="17">
        <v>1.5</v>
      </c>
      <c r="K732" s="17">
        <v>0.5705</v>
      </c>
      <c r="L732" s="17">
        <v>-0.0895660610499999</v>
      </c>
      <c r="M732" s="17">
        <v>0.66006606105</v>
      </c>
      <c r="N732" s="17"/>
      <c r="O732" s="14">
        <f t="shared" si="1"/>
        <v>0.5705</v>
      </c>
      <c r="P732" s="86">
        <f t="array" ref="P732">iferror(XLOOKUP(C732,'Download of SFDC Activation Rep'!B:B,'Download of SFDC Activation Rep'!Z:Z),"")</f>
        <v>45931</v>
      </c>
      <c r="Q732" s="86">
        <f t="shared" si="2"/>
        <v>45931</v>
      </c>
      <c r="R732" s="13" t="str">
        <f t="shared" si="3"/>
        <v>Yes</v>
      </c>
      <c r="S732" s="86">
        <f t="array" ref="S732">iferror(XLOOKUP(C732,'Download of SFDC Activation Rep'!B:B,'Download of SFDC Activation Rep'!Y:Y),"")</f>
        <v>45957</v>
      </c>
    </row>
    <row r="733">
      <c r="A733" s="17" t="s">
        <v>488</v>
      </c>
      <c r="B733" s="85">
        <v>46054.0</v>
      </c>
      <c r="C733" s="17">
        <v>4027648.0</v>
      </c>
      <c r="D733" s="85">
        <v>45839.0</v>
      </c>
      <c r="E733" s="17">
        <v>6.0</v>
      </c>
      <c r="F733" s="17">
        <v>6.0</v>
      </c>
      <c r="G733" s="17">
        <v>8151.28</v>
      </c>
      <c r="H733" s="17"/>
      <c r="I733" s="17">
        <v>0.0</v>
      </c>
      <c r="K733" s="17">
        <v>-0.979199999999999</v>
      </c>
      <c r="L733" s="17">
        <v>-2.256353147064</v>
      </c>
      <c r="M733" s="17">
        <v>1.277153147064</v>
      </c>
      <c r="N733" s="17"/>
      <c r="O733" s="14">
        <f t="shared" si="1"/>
        <v>-0.9792</v>
      </c>
      <c r="P733" s="86">
        <f t="array" ref="P733">iferror(XLOOKUP(C733,'Download of SFDC Activation Rep'!B:B,'Download of SFDC Activation Rep'!Z:Z),"")</f>
        <v>45869</v>
      </c>
      <c r="Q733" s="86">
        <f t="shared" si="2"/>
        <v>45839</v>
      </c>
      <c r="R733" s="13" t="str">
        <f t="shared" si="3"/>
        <v>Yes</v>
      </c>
      <c r="S733" s="86">
        <f t="array" ref="S733">iferror(XLOOKUP(C733,'Download of SFDC Activation Rep'!B:B,'Download of SFDC Activation Rep'!Y:Y),"")</f>
        <v>45869</v>
      </c>
    </row>
    <row r="734">
      <c r="A734" s="17" t="s">
        <v>17</v>
      </c>
      <c r="B734" s="85">
        <v>45962.0</v>
      </c>
      <c r="C734" s="17">
        <v>4098415.0</v>
      </c>
      <c r="D734" s="85">
        <v>45901.0</v>
      </c>
      <c r="E734" s="17">
        <v>16.0</v>
      </c>
      <c r="F734" s="17">
        <v>16.0</v>
      </c>
      <c r="G734" s="17">
        <v>43758.97</v>
      </c>
      <c r="H734" s="17"/>
      <c r="I734" s="17">
        <v>0.0</v>
      </c>
      <c r="J734" s="17"/>
      <c r="K734" s="17">
        <v>-2.49419999999999</v>
      </c>
      <c r="L734" s="17">
        <v>-2.9317897</v>
      </c>
      <c r="M734" s="17">
        <v>0.4375897</v>
      </c>
      <c r="N734" s="17"/>
      <c r="O734" s="14">
        <f t="shared" si="1"/>
        <v>-2.4942</v>
      </c>
      <c r="P734" s="86">
        <f t="array" ref="P734">iferror(XLOOKUP(C734,'Download of SFDC Activation Rep'!B:B,'Download of SFDC Activation Rep'!Z:Z),"")</f>
        <v>45895</v>
      </c>
      <c r="Q734" s="86">
        <f t="shared" si="2"/>
        <v>45870</v>
      </c>
      <c r="R734" s="13" t="str">
        <f t="shared" si="3"/>
        <v>Yes</v>
      </c>
      <c r="S734" s="86">
        <f t="array" ref="S734">iferror(XLOOKUP(C734,'Download of SFDC Activation Rep'!B:B,'Download of SFDC Activation Rep'!Y:Y),"")</f>
        <v>45910</v>
      </c>
    </row>
    <row r="735">
      <c r="A735" s="17" t="s">
        <v>17</v>
      </c>
      <c r="B735" s="85">
        <v>46113.0</v>
      </c>
      <c r="C735" s="17">
        <v>3942346.0</v>
      </c>
      <c r="D735" s="85">
        <v>45809.0</v>
      </c>
      <c r="E735" s="17">
        <v>4.0</v>
      </c>
      <c r="F735" s="17">
        <v>4.0</v>
      </c>
      <c r="G735" s="17">
        <v>6674.73</v>
      </c>
      <c r="H735" s="17"/>
      <c r="I735" s="17">
        <v>101.75</v>
      </c>
      <c r="J735" s="17"/>
      <c r="K735" s="17">
        <v>88.6959</v>
      </c>
      <c r="L735" s="17">
        <v>87.634152304176</v>
      </c>
      <c r="M735" s="17">
        <v>1.06174769582401</v>
      </c>
      <c r="N735" s="17"/>
      <c r="O735" s="14">
        <f t="shared" si="1"/>
        <v>88.6959</v>
      </c>
      <c r="P735" s="86">
        <f t="array" ref="P735">iferror(XLOOKUP(C735,'Download of SFDC Activation Rep'!B:B,'Download of SFDC Activation Rep'!Z:Z),"")</f>
        <v>45809</v>
      </c>
      <c r="Q735" s="86">
        <f t="shared" si="2"/>
        <v>45809</v>
      </c>
      <c r="R735" s="13" t="str">
        <f t="shared" si="3"/>
        <v>Yes</v>
      </c>
      <c r="S735" s="86">
        <f t="array" ref="S735">iferror(XLOOKUP(C735,'Download of SFDC Activation Rep'!B:B,'Download of SFDC Activation Rep'!Y:Y),"")</f>
        <v>45812</v>
      </c>
    </row>
    <row r="736">
      <c r="A736" s="17" t="s">
        <v>17</v>
      </c>
      <c r="B736" s="85">
        <v>46143.0</v>
      </c>
      <c r="C736" s="17">
        <v>4148405.0</v>
      </c>
      <c r="D736" s="85">
        <v>45931.0</v>
      </c>
      <c r="E736" s="17">
        <v>20.0</v>
      </c>
      <c r="F736" s="17">
        <v>0.0</v>
      </c>
      <c r="G736" s="17">
        <v>5333.12</v>
      </c>
      <c r="H736" s="17">
        <v>4708.84</v>
      </c>
      <c r="I736" s="17">
        <v>154.68</v>
      </c>
      <c r="J736" s="17"/>
      <c r="K736" s="17">
        <v>9.54779999999999</v>
      </c>
      <c r="L736" s="17">
        <v>9.4944688</v>
      </c>
      <c r="M736" s="17">
        <v>0.0533311999999988</v>
      </c>
      <c r="N736" s="17"/>
      <c r="O736" s="14">
        <f t="shared" si="1"/>
        <v>9.5478</v>
      </c>
      <c r="P736" s="86">
        <f t="array" ref="P736">iferror(XLOOKUP(C736,'Download of SFDC Activation Rep'!B:B,'Download of SFDC Activation Rep'!Z:Z),"")</f>
        <v>45895</v>
      </c>
      <c r="Q736" s="86">
        <f t="shared" si="2"/>
        <v>45870</v>
      </c>
      <c r="R736" s="13" t="str">
        <f t="shared" si="3"/>
        <v>Yes</v>
      </c>
      <c r="S736" s="86">
        <f t="array" ref="S736">iferror(XLOOKUP(C736,'Download of SFDC Activation Rep'!B:B,'Download of SFDC Activation Rep'!Y:Y),"")</f>
        <v>45954</v>
      </c>
    </row>
    <row r="737">
      <c r="A737" s="17" t="s">
        <v>17</v>
      </c>
      <c r="B737" s="85">
        <v>45778.0</v>
      </c>
      <c r="C737" s="17">
        <v>3738104.0</v>
      </c>
      <c r="D737" s="85">
        <v>45748.0</v>
      </c>
      <c r="E737" s="17">
        <v>4.0</v>
      </c>
      <c r="F737" s="17">
        <v>4.0</v>
      </c>
      <c r="G737" s="17">
        <v>3179.47</v>
      </c>
      <c r="H737" s="17"/>
      <c r="I737" s="17">
        <v>9.33</v>
      </c>
      <c r="J737" s="17"/>
      <c r="K737" s="17">
        <v>8.45999999999999</v>
      </c>
      <c r="L737" s="17">
        <v>7.3460480609643</v>
      </c>
      <c r="M737" s="17">
        <v>1.11395193903569</v>
      </c>
      <c r="N737" s="17"/>
      <c r="O737" s="14">
        <f t="shared" si="1"/>
        <v>8.46</v>
      </c>
      <c r="P737" s="86">
        <f t="array" ref="P737">iferror(XLOOKUP(C737,'Download of SFDC Activation Rep'!B:B,'Download of SFDC Activation Rep'!Z:Z),"")</f>
        <v>45806</v>
      </c>
      <c r="Q737" s="86">
        <f t="shared" si="2"/>
        <v>45778</v>
      </c>
      <c r="R737" s="13" t="str">
        <f t="shared" si="3"/>
        <v>Yes</v>
      </c>
      <c r="S737" s="86">
        <f t="array" ref="S737">iferror(XLOOKUP(C737,'Download of SFDC Activation Rep'!B:B,'Download of SFDC Activation Rep'!Y:Y),"")</f>
        <v>45806</v>
      </c>
    </row>
    <row r="738">
      <c r="A738" s="17" t="s">
        <v>17</v>
      </c>
      <c r="B738" s="85">
        <v>46054.0</v>
      </c>
      <c r="C738" s="17">
        <v>4148405.0</v>
      </c>
      <c r="D738" s="85">
        <v>45931.0</v>
      </c>
      <c r="E738" s="17">
        <v>22.0</v>
      </c>
      <c r="F738" s="17">
        <v>1.0</v>
      </c>
      <c r="G738" s="17">
        <v>6995.11</v>
      </c>
      <c r="H738" s="17">
        <v>5342.65</v>
      </c>
      <c r="I738" s="17">
        <v>188.37</v>
      </c>
      <c r="K738" s="17">
        <v>-19.1099</v>
      </c>
      <c r="L738" s="17">
        <v>-19.1798511</v>
      </c>
      <c r="M738" s="17">
        <v>0.0699510999999972</v>
      </c>
      <c r="N738" s="17"/>
      <c r="O738" s="14">
        <f t="shared" si="1"/>
        <v>15.617325</v>
      </c>
      <c r="P738" s="86">
        <f t="array" ref="P738">iferror(XLOOKUP(C738,'Download of SFDC Activation Rep'!B:B,'Download of SFDC Activation Rep'!Z:Z),"")</f>
        <v>45895</v>
      </c>
      <c r="Q738" s="86">
        <f t="shared" si="2"/>
        <v>45870</v>
      </c>
      <c r="R738" s="13" t="str">
        <f t="shared" si="3"/>
        <v>Yes</v>
      </c>
      <c r="S738" s="86">
        <f t="array" ref="S738">iferror(XLOOKUP(C738,'Download of SFDC Activation Rep'!B:B,'Download of SFDC Activation Rep'!Y:Y),"")</f>
        <v>45954</v>
      </c>
    </row>
    <row r="739">
      <c r="A739" s="17" t="s">
        <v>17</v>
      </c>
      <c r="B739" s="85">
        <v>46143.0</v>
      </c>
      <c r="C739" s="17">
        <v>3383444.0</v>
      </c>
      <c r="D739" s="85">
        <v>46082.0</v>
      </c>
      <c r="E739" s="17">
        <v>1.0</v>
      </c>
      <c r="F739" s="17">
        <v>0.0</v>
      </c>
      <c r="G739" s="17">
        <v>30000.0</v>
      </c>
      <c r="H739" s="17">
        <v>30000.0</v>
      </c>
      <c r="I739" s="17">
        <v>880.0</v>
      </c>
      <c r="K739" s="17">
        <v>107.9668</v>
      </c>
      <c r="L739" s="17">
        <v>80.789716</v>
      </c>
      <c r="M739" s="17">
        <v>27.177084</v>
      </c>
      <c r="N739" s="17"/>
      <c r="O739" s="14">
        <f t="shared" si="1"/>
        <v>107.9668</v>
      </c>
      <c r="P739" s="86">
        <f t="array" ref="P739">iferror(XLOOKUP(C739,'Download of SFDC Activation Rep'!B:B,'Download of SFDC Activation Rep'!Z:Z),"")</f>
        <v>46197</v>
      </c>
      <c r="Q739" s="86">
        <f t="shared" si="2"/>
        <v>46174</v>
      </c>
      <c r="R739" s="13" t="str">
        <f t="shared" si="3"/>
        <v>No</v>
      </c>
      <c r="S739" s="86">
        <f t="array" ref="S739">iferror(XLOOKUP(C739,'Download of SFDC Activation Rep'!B:B,'Download of SFDC Activation Rep'!Y:Y),"")</f>
        <v>46361</v>
      </c>
    </row>
    <row r="740">
      <c r="A740" s="17" t="s">
        <v>17</v>
      </c>
      <c r="B740" s="85">
        <v>46082.0</v>
      </c>
      <c r="C740" s="17">
        <v>4162423.0</v>
      </c>
      <c r="D740" s="85">
        <v>45962.0</v>
      </c>
      <c r="E740" s="17">
        <v>5.0</v>
      </c>
      <c r="F740" s="17">
        <v>0.0</v>
      </c>
      <c r="G740" s="17">
        <v>103.0</v>
      </c>
      <c r="H740" s="17">
        <v>46.76</v>
      </c>
      <c r="I740" s="17">
        <v>2.99</v>
      </c>
      <c r="J740" s="17"/>
      <c r="K740" s="17">
        <v>-4.6633</v>
      </c>
      <c r="L740" s="17">
        <v>-4.66433</v>
      </c>
      <c r="M740" s="17">
        <v>0.00103000000000008</v>
      </c>
      <c r="N740" s="17"/>
      <c r="O740" s="14">
        <f t="shared" si="1"/>
        <v>-4.35936</v>
      </c>
      <c r="P740" s="86">
        <f t="array" ref="P740">iferror(XLOOKUP(C740,'Download of SFDC Activation Rep'!B:B,'Download of SFDC Activation Rep'!Z:Z),"")</f>
        <v>45895</v>
      </c>
      <c r="Q740" s="86">
        <f t="shared" si="2"/>
        <v>45870</v>
      </c>
      <c r="R740" s="13" t="str">
        <f t="shared" si="3"/>
        <v>Yes</v>
      </c>
      <c r="S740" s="86">
        <f t="array" ref="S740">iferror(XLOOKUP(C740,'Download of SFDC Activation Rep'!B:B,'Download of SFDC Activation Rep'!Y:Y),"")</f>
        <v>45954</v>
      </c>
    </row>
    <row r="741">
      <c r="A741" s="17" t="s">
        <v>17</v>
      </c>
      <c r="B741" s="85">
        <v>45992.0</v>
      </c>
      <c r="C741" s="17">
        <v>3956509.0</v>
      </c>
      <c r="D741" s="85">
        <v>45901.0</v>
      </c>
      <c r="E741" s="17">
        <v>3.0</v>
      </c>
      <c r="F741" s="17">
        <v>3.0</v>
      </c>
      <c r="G741" s="17">
        <v>2106.0</v>
      </c>
      <c r="H741" s="17"/>
      <c r="I741" s="17">
        <v>0.0</v>
      </c>
      <c r="J741" s="17"/>
      <c r="K741" s="17">
        <v>-0.5081</v>
      </c>
      <c r="L741" s="17">
        <v>-0.691976295058999</v>
      </c>
      <c r="M741" s="17">
        <v>0.183876295058999</v>
      </c>
      <c r="N741" s="17"/>
      <c r="O741" s="14">
        <f t="shared" si="1"/>
        <v>-0.5081</v>
      </c>
      <c r="P741" s="86">
        <f t="array" ref="P741">iferror(XLOOKUP(C741,'Download of SFDC Activation Rep'!B:B,'Download of SFDC Activation Rep'!Z:Z),"")</f>
        <v>45890</v>
      </c>
      <c r="Q741" s="86">
        <f t="shared" si="2"/>
        <v>45870</v>
      </c>
      <c r="R741" s="13" t="str">
        <f t="shared" si="3"/>
        <v>Yes</v>
      </c>
      <c r="S741" s="86">
        <f t="array" ref="S741">iferror(XLOOKUP(C741,'Download of SFDC Activation Rep'!B:B,'Download of SFDC Activation Rep'!Y:Y),"")</f>
        <v>46009</v>
      </c>
    </row>
    <row r="742">
      <c r="A742" s="17" t="s">
        <v>17</v>
      </c>
      <c r="B742" s="85">
        <v>45839.0</v>
      </c>
      <c r="C742" s="17">
        <v>3958943.0</v>
      </c>
      <c r="D742" s="85">
        <v>45839.0</v>
      </c>
      <c r="E742" s="17">
        <v>3.0</v>
      </c>
      <c r="F742" s="17">
        <v>1.0</v>
      </c>
      <c r="G742" s="17">
        <v>509.5</v>
      </c>
      <c r="H742" s="17"/>
      <c r="I742" s="17">
        <v>8.25</v>
      </c>
      <c r="J742" s="17"/>
      <c r="K742" s="17">
        <v>5.1106</v>
      </c>
      <c r="L742" s="17">
        <v>5.105505</v>
      </c>
      <c r="M742" s="17">
        <v>0.00509499999999985</v>
      </c>
      <c r="N742" s="17"/>
      <c r="O742" s="14">
        <f t="shared" si="1"/>
        <v>5.1106</v>
      </c>
      <c r="P742" s="86">
        <f t="array" ref="P742">iferror(XLOOKUP(C742,'Download of SFDC Activation Rep'!B:B,'Download of SFDC Activation Rep'!Z:Z),"")</f>
        <v>45839</v>
      </c>
      <c r="Q742" s="86">
        <f t="shared" si="2"/>
        <v>45839</v>
      </c>
      <c r="R742" s="13" t="str">
        <f t="shared" si="3"/>
        <v>Yes</v>
      </c>
      <c r="S742" s="86">
        <f t="array" ref="S742">iferror(XLOOKUP(C742,'Download of SFDC Activation Rep'!B:B,'Download of SFDC Activation Rep'!Y:Y),"")</f>
        <v>45862</v>
      </c>
    </row>
    <row r="743">
      <c r="A743" s="17" t="s">
        <v>17</v>
      </c>
      <c r="B743" s="85">
        <v>46113.0</v>
      </c>
      <c r="C743" s="17">
        <v>3956509.0</v>
      </c>
      <c r="D743" s="85">
        <v>45901.0</v>
      </c>
      <c r="E743" s="17">
        <v>1.0</v>
      </c>
      <c r="F743" s="17">
        <v>1.0</v>
      </c>
      <c r="G743" s="17">
        <v>636.0</v>
      </c>
      <c r="H743" s="17"/>
      <c r="I743" s="17">
        <v>0.0</v>
      </c>
      <c r="J743" s="17"/>
      <c r="K743" s="17">
        <v>-0.15</v>
      </c>
      <c r="L743" s="17">
        <v>-0.249649306799999</v>
      </c>
      <c r="M743" s="17">
        <v>0.0996493067999999</v>
      </c>
      <c r="N743" s="17"/>
      <c r="O743" s="14">
        <f t="shared" si="1"/>
        <v>-0.15</v>
      </c>
      <c r="P743" s="86">
        <f t="array" ref="P743">iferror(XLOOKUP(C743,'Download of SFDC Activation Rep'!B:B,'Download of SFDC Activation Rep'!Z:Z),"")</f>
        <v>45890</v>
      </c>
      <c r="Q743" s="86">
        <f t="shared" si="2"/>
        <v>45870</v>
      </c>
      <c r="R743" s="13" t="str">
        <f t="shared" si="3"/>
        <v>Yes</v>
      </c>
      <c r="S743" s="86">
        <f t="array" ref="S743">iferror(XLOOKUP(C743,'Download of SFDC Activation Rep'!B:B,'Download of SFDC Activation Rep'!Y:Y),"")</f>
        <v>46009</v>
      </c>
    </row>
    <row r="744">
      <c r="A744" s="17" t="s">
        <v>489</v>
      </c>
      <c r="B744" s="85">
        <v>44835.0</v>
      </c>
      <c r="C744" s="17">
        <v>2153287.0</v>
      </c>
      <c r="D744" s="85">
        <v>44805.0</v>
      </c>
      <c r="E744" s="17">
        <v>1.0</v>
      </c>
      <c r="F744" s="17">
        <v>0.0</v>
      </c>
      <c r="G744" s="17">
        <v>20316.5</v>
      </c>
      <c r="H744" s="17"/>
      <c r="I744" s="17">
        <v>589.18</v>
      </c>
      <c r="K744" s="17">
        <v>78.892</v>
      </c>
      <c r="L744" s="17">
        <v>58.9921799727471</v>
      </c>
      <c r="M744" s="17">
        <v>19.8998200272528</v>
      </c>
      <c r="N744" s="17"/>
      <c r="O744" s="14">
        <f t="shared" si="1"/>
        <v>78.892</v>
      </c>
      <c r="P744" s="86">
        <f t="array" ref="P744">iferror(XLOOKUP(C744,'Download of SFDC Activation Rep'!B:B,'Download of SFDC Activation Rep'!Z:Z),"")</f>
        <v>46007</v>
      </c>
      <c r="Q744" s="86">
        <f t="shared" si="2"/>
        <v>45992</v>
      </c>
      <c r="R744" s="13" t="str">
        <f t="shared" si="3"/>
        <v>No</v>
      </c>
      <c r="S744" s="86">
        <f t="array" ref="S744">iferror(XLOOKUP(C744,'Download of SFDC Activation Rep'!B:B,'Download of SFDC Activation Rep'!Y:Y),"")</f>
        <v>46021</v>
      </c>
    </row>
    <row r="745">
      <c r="A745" s="17" t="s">
        <v>488</v>
      </c>
      <c r="B745" s="85">
        <v>46023.0</v>
      </c>
      <c r="C745" s="17">
        <v>4079539.0</v>
      </c>
      <c r="D745" s="85">
        <v>45870.0</v>
      </c>
      <c r="E745" s="17">
        <v>4.0</v>
      </c>
      <c r="F745" s="17">
        <v>0.0</v>
      </c>
      <c r="G745" s="17">
        <v>24455.73</v>
      </c>
      <c r="H745" s="17">
        <v>24455.73</v>
      </c>
      <c r="I745" s="17">
        <v>719.22</v>
      </c>
      <c r="J745" s="17"/>
      <c r="K745" s="17">
        <v>115.2466</v>
      </c>
      <c r="L745" s="17">
        <v>96.9552862070398</v>
      </c>
      <c r="M745" s="17">
        <v>18.2913137929601</v>
      </c>
      <c r="N745" s="17"/>
      <c r="O745" s="14">
        <f t="shared" si="1"/>
        <v>274.208845</v>
      </c>
      <c r="P745" s="86">
        <f t="array" ref="P745">iferror(XLOOKUP(C745,'Download of SFDC Activation Rep'!B:B,'Download of SFDC Activation Rep'!Z:Z),"")</f>
        <v>45890</v>
      </c>
      <c r="Q745" s="86">
        <f t="shared" si="2"/>
        <v>45870</v>
      </c>
      <c r="R745" s="13" t="str">
        <f t="shared" si="3"/>
        <v>Yes</v>
      </c>
      <c r="S745" s="86">
        <f t="array" ref="S745">iferror(XLOOKUP(C745,'Download of SFDC Activation Rep'!B:B,'Download of SFDC Activation Rep'!Y:Y),"")</f>
        <v>45899</v>
      </c>
    </row>
    <row r="746">
      <c r="A746" s="17" t="s">
        <v>489</v>
      </c>
      <c r="B746" s="85">
        <v>44986.0</v>
      </c>
      <c r="C746" s="17">
        <v>2153287.0</v>
      </c>
      <c r="D746" s="85">
        <v>44805.0</v>
      </c>
      <c r="E746" s="17">
        <v>3.0</v>
      </c>
      <c r="F746" s="17">
        <v>0.0</v>
      </c>
      <c r="G746" s="17">
        <v>110441.98</v>
      </c>
      <c r="H746" s="17"/>
      <c r="I746" s="17">
        <v>3052.82</v>
      </c>
      <c r="J746" s="17"/>
      <c r="K746" s="17">
        <v>287.105</v>
      </c>
      <c r="L746" s="17">
        <v>215.304014737646</v>
      </c>
      <c r="M746" s="17">
        <v>71.800985262354</v>
      </c>
      <c r="N746" s="17"/>
      <c r="O746" s="14">
        <f t="shared" si="1"/>
        <v>287.105</v>
      </c>
      <c r="P746" s="86">
        <f t="array" ref="P746">iferror(XLOOKUP(C746,'Download of SFDC Activation Rep'!B:B,'Download of SFDC Activation Rep'!Z:Z),"")</f>
        <v>46007</v>
      </c>
      <c r="Q746" s="86">
        <f t="shared" si="2"/>
        <v>45992</v>
      </c>
      <c r="R746" s="13" t="str">
        <f t="shared" si="3"/>
        <v>No</v>
      </c>
      <c r="S746" s="86">
        <f t="array" ref="S746">iferror(XLOOKUP(C746,'Download of SFDC Activation Rep'!B:B,'Download of SFDC Activation Rep'!Y:Y),"")</f>
        <v>46021</v>
      </c>
    </row>
    <row r="747">
      <c r="A747" s="17" t="s">
        <v>17</v>
      </c>
      <c r="B747" s="85">
        <v>45566.0</v>
      </c>
      <c r="C747" s="17">
        <v>3265302.0</v>
      </c>
      <c r="D747" s="85">
        <v>45352.0</v>
      </c>
      <c r="E747" s="17">
        <v>79.0</v>
      </c>
      <c r="F747" s="17">
        <v>79.0</v>
      </c>
      <c r="G747" s="17">
        <v>404363.4</v>
      </c>
      <c r="H747" s="17"/>
      <c r="I747" s="17">
        <v>0.0</v>
      </c>
      <c r="K747" s="17">
        <v>-14.7199999999999</v>
      </c>
      <c r="L747" s="17">
        <v>-212.05106061543</v>
      </c>
      <c r="M747" s="17">
        <v>197.33106061543</v>
      </c>
      <c r="N747" s="17"/>
      <c r="O747" s="14">
        <f t="shared" si="1"/>
        <v>-14.72</v>
      </c>
      <c r="P747" s="86">
        <f t="array" ref="P747">iferror(XLOOKUP(C747,'Download of SFDC Activation Rep'!B:B,'Download of SFDC Activation Rep'!Z:Z),"")</f>
        <v>45936</v>
      </c>
      <c r="Q747" s="86">
        <f t="shared" si="2"/>
        <v>45931</v>
      </c>
      <c r="R747" s="13" t="str">
        <f t="shared" si="3"/>
        <v>No</v>
      </c>
      <c r="S747" s="86">
        <f t="array" ref="S747">iferror(XLOOKUP(C747,'Download of SFDC Activation Rep'!B:B,'Download of SFDC Activation Rep'!Y:Y),"")</f>
        <v>46031</v>
      </c>
    </row>
    <row r="748">
      <c r="A748" s="17" t="s">
        <v>17</v>
      </c>
      <c r="B748" s="85">
        <v>46174.0</v>
      </c>
      <c r="C748" s="17">
        <v>4169152.0</v>
      </c>
      <c r="D748" s="85">
        <v>45931.0</v>
      </c>
      <c r="E748" s="17">
        <v>1.0</v>
      </c>
      <c r="F748" s="17">
        <v>0.0</v>
      </c>
      <c r="G748" s="17">
        <v>14400.0</v>
      </c>
      <c r="H748" s="17">
        <v>14400.0</v>
      </c>
      <c r="I748" s="17">
        <v>417.6</v>
      </c>
      <c r="J748" s="17"/>
      <c r="K748" s="17">
        <v>21.4498</v>
      </c>
      <c r="L748" s="17">
        <v>13.81127968</v>
      </c>
      <c r="M748" s="17">
        <v>7.63852032</v>
      </c>
      <c r="N748" s="17"/>
      <c r="O748" s="14">
        <f t="shared" si="1"/>
        <v>21.4498</v>
      </c>
      <c r="P748" s="86">
        <f t="array" ref="P748">iferror(XLOOKUP(C748,'Download of SFDC Activation Rep'!B:B,'Download of SFDC Activation Rep'!Z:Z),"")</f>
        <v>45940</v>
      </c>
      <c r="Q748" s="86">
        <f t="shared" si="2"/>
        <v>45931</v>
      </c>
      <c r="R748" s="13" t="str">
        <f t="shared" si="3"/>
        <v>Yes</v>
      </c>
      <c r="S748" s="86">
        <f t="array" ref="S748">iferror(XLOOKUP(C748,'Download of SFDC Activation Rep'!B:B,'Download of SFDC Activation Rep'!Y:Y),"")</f>
        <v>45958</v>
      </c>
    </row>
    <row r="749">
      <c r="A749" s="17" t="s">
        <v>17</v>
      </c>
      <c r="B749" s="85">
        <v>46113.0</v>
      </c>
      <c r="C749" s="17">
        <v>4125771.0</v>
      </c>
      <c r="D749" s="85">
        <v>46023.0</v>
      </c>
      <c r="E749" s="17">
        <v>7.0</v>
      </c>
      <c r="F749" s="17">
        <v>0.0</v>
      </c>
      <c r="G749" s="17">
        <v>60210.0</v>
      </c>
      <c r="H749" s="17"/>
      <c r="I749" s="17">
        <v>1746.09</v>
      </c>
      <c r="J749" s="17"/>
      <c r="K749" s="17">
        <v>213.1092</v>
      </c>
      <c r="L749" s="17">
        <v>212.5071</v>
      </c>
      <c r="M749" s="17">
        <v>0.602099999999978</v>
      </c>
      <c r="N749" s="17"/>
      <c r="O749" s="14">
        <f t="shared" si="1"/>
        <v>213.1092</v>
      </c>
      <c r="P749" s="86">
        <f t="array" ref="P749">iferror(XLOOKUP(C749,'Download of SFDC Activation Rep'!B:B,'Download of SFDC Activation Rep'!Z:Z),"")</f>
        <v>45979</v>
      </c>
      <c r="Q749" s="86">
        <f t="shared" si="2"/>
        <v>45962</v>
      </c>
      <c r="R749" s="13" t="str">
        <f t="shared" si="3"/>
        <v>Yes</v>
      </c>
      <c r="S749" s="86">
        <f t="array" ref="S749">iferror(XLOOKUP(C749,'Download of SFDC Activation Rep'!B:B,'Download of SFDC Activation Rep'!Y:Y),"")</f>
        <v>46037</v>
      </c>
    </row>
    <row r="750">
      <c r="A750" s="17" t="s">
        <v>17</v>
      </c>
      <c r="B750" s="85">
        <v>46054.0</v>
      </c>
      <c r="C750" s="17">
        <v>4221007.0</v>
      </c>
      <c r="D750" s="85">
        <v>45962.0</v>
      </c>
      <c r="E750" s="17">
        <v>6.0</v>
      </c>
      <c r="F750" s="17">
        <v>0.0</v>
      </c>
      <c r="G750" s="17">
        <v>74104.54</v>
      </c>
      <c r="H750" s="17">
        <v>57371.47</v>
      </c>
      <c r="I750" s="17">
        <v>2149.03</v>
      </c>
      <c r="J750" s="17"/>
      <c r="K750" s="17">
        <v>-30.3374999999999</v>
      </c>
      <c r="L750" s="17">
        <v>-68.905415335712</v>
      </c>
      <c r="M750" s="17">
        <v>38.567915335712</v>
      </c>
      <c r="N750" s="17"/>
      <c r="O750" s="14">
        <f t="shared" si="1"/>
        <v>342.577055</v>
      </c>
      <c r="P750" s="86">
        <f t="array" ref="P750">iferror(XLOOKUP(C750,'Download of SFDC Activation Rep'!B:B,'Download of SFDC Activation Rep'!Z:Z),"")</f>
        <v>45966</v>
      </c>
      <c r="Q750" s="86">
        <f t="shared" si="2"/>
        <v>45962</v>
      </c>
      <c r="R750" s="13" t="str">
        <f t="shared" si="3"/>
        <v>Yes</v>
      </c>
      <c r="S750" s="86">
        <f t="array" ref="S750">iferror(XLOOKUP(C750,'Download of SFDC Activation Rep'!B:B,'Download of SFDC Activation Rep'!Y:Y),"")</f>
        <v>45971</v>
      </c>
    </row>
    <row r="751">
      <c r="A751" s="17" t="s">
        <v>17</v>
      </c>
      <c r="B751" s="85">
        <v>46082.0</v>
      </c>
      <c r="C751" s="17">
        <v>4148405.0</v>
      </c>
      <c r="D751" s="85">
        <v>45931.0</v>
      </c>
      <c r="E751" s="17">
        <v>19.0</v>
      </c>
      <c r="F751" s="17">
        <v>1.0</v>
      </c>
      <c r="G751" s="17">
        <v>8523.73</v>
      </c>
      <c r="H751" s="17">
        <v>5364.78</v>
      </c>
      <c r="I751" s="17">
        <v>232.71</v>
      </c>
      <c r="J751" s="17"/>
      <c r="K751" s="17">
        <v>-20.1821999999999</v>
      </c>
      <c r="L751" s="17">
        <v>-20.2674372999999</v>
      </c>
      <c r="M751" s="17">
        <v>0.0852373000000028</v>
      </c>
      <c r="N751" s="17"/>
      <c r="O751" s="14">
        <f t="shared" si="1"/>
        <v>14.68887</v>
      </c>
      <c r="P751" s="86">
        <f t="array" ref="P751">iferror(XLOOKUP(C751,'Download of SFDC Activation Rep'!B:B,'Download of SFDC Activation Rep'!Z:Z),"")</f>
        <v>45895</v>
      </c>
      <c r="Q751" s="86">
        <f t="shared" si="2"/>
        <v>45870</v>
      </c>
      <c r="R751" s="13" t="str">
        <f t="shared" si="3"/>
        <v>Yes</v>
      </c>
      <c r="S751" s="86">
        <f t="array" ref="S751">iferror(XLOOKUP(C751,'Download of SFDC Activation Rep'!B:B,'Download of SFDC Activation Rep'!Y:Y),"")</f>
        <v>45954</v>
      </c>
    </row>
    <row r="752">
      <c r="A752" s="17" t="s">
        <v>17</v>
      </c>
      <c r="B752" s="85">
        <v>45901.0</v>
      </c>
      <c r="C752" s="17">
        <v>3738104.0</v>
      </c>
      <c r="D752" s="85">
        <v>45748.0</v>
      </c>
      <c r="E752" s="17">
        <v>1.0</v>
      </c>
      <c r="F752" s="17">
        <v>1.0</v>
      </c>
      <c r="G752" s="17">
        <v>50.0</v>
      </c>
      <c r="H752" s="17"/>
      <c r="I752" s="17">
        <v>0.0</v>
      </c>
      <c r="K752" s="17">
        <v>-0.15</v>
      </c>
      <c r="L752" s="17">
        <v>-0.157834067345</v>
      </c>
      <c r="M752" s="17">
        <v>0.007834067345</v>
      </c>
      <c r="N752" s="17"/>
      <c r="O752" s="14">
        <f t="shared" si="1"/>
        <v>-0.15</v>
      </c>
      <c r="P752" s="86">
        <f t="array" ref="P752">iferror(XLOOKUP(C752,'Download of SFDC Activation Rep'!B:B,'Download of SFDC Activation Rep'!Z:Z),"")</f>
        <v>45806</v>
      </c>
      <c r="Q752" s="86">
        <f t="shared" si="2"/>
        <v>45778</v>
      </c>
      <c r="R752" s="13" t="str">
        <f t="shared" si="3"/>
        <v>Yes</v>
      </c>
      <c r="S752" s="86">
        <f t="array" ref="S752">iferror(XLOOKUP(C752,'Download of SFDC Activation Rep'!B:B,'Download of SFDC Activation Rep'!Y:Y),"")</f>
        <v>45806</v>
      </c>
    </row>
    <row r="753">
      <c r="A753" s="17" t="s">
        <v>488</v>
      </c>
      <c r="B753" s="85">
        <v>45870.0</v>
      </c>
      <c r="C753" s="17">
        <v>4079539.0</v>
      </c>
      <c r="D753" s="85">
        <v>45870.0</v>
      </c>
      <c r="E753" s="17">
        <v>1.0</v>
      </c>
      <c r="F753" s="17">
        <v>0.0</v>
      </c>
      <c r="G753" s="17">
        <v>9128.82</v>
      </c>
      <c r="H753" s="17"/>
      <c r="I753" s="17">
        <v>264.74</v>
      </c>
      <c r="K753" s="17">
        <v>17.6899</v>
      </c>
      <c r="L753" s="17">
        <v>12.8474915882234</v>
      </c>
      <c r="M753" s="17">
        <v>4.84240841177653</v>
      </c>
      <c r="N753" s="17"/>
      <c r="O753" s="14">
        <f t="shared" si="1"/>
        <v>17.6899</v>
      </c>
      <c r="P753" s="86">
        <f t="array" ref="P753">iferror(XLOOKUP(C753,'Download of SFDC Activation Rep'!B:B,'Download of SFDC Activation Rep'!Z:Z),"")</f>
        <v>45890</v>
      </c>
      <c r="Q753" s="86">
        <f t="shared" si="2"/>
        <v>45870</v>
      </c>
      <c r="R753" s="13" t="str">
        <f t="shared" si="3"/>
        <v>Yes</v>
      </c>
      <c r="S753" s="86">
        <f t="array" ref="S753">iferror(XLOOKUP(C753,'Download of SFDC Activation Rep'!B:B,'Download of SFDC Activation Rep'!Y:Y),"")</f>
        <v>45899</v>
      </c>
    </row>
    <row r="754">
      <c r="A754" s="17" t="s">
        <v>17</v>
      </c>
      <c r="B754" s="85">
        <v>46023.0</v>
      </c>
      <c r="C754" s="17">
        <v>3958943.0</v>
      </c>
      <c r="D754" s="85">
        <v>45839.0</v>
      </c>
      <c r="E754" s="17">
        <v>5.0</v>
      </c>
      <c r="F754" s="17">
        <v>2.0</v>
      </c>
      <c r="G754" s="17">
        <v>601.68</v>
      </c>
      <c r="H754" s="17">
        <v>28.0</v>
      </c>
      <c r="I754" s="17">
        <v>9.25</v>
      </c>
      <c r="J754" s="17"/>
      <c r="K754" s="17">
        <v>3.3546</v>
      </c>
      <c r="L754" s="17">
        <v>3.33774944999999</v>
      </c>
      <c r="M754" s="17">
        <v>0.0168505500000009</v>
      </c>
      <c r="N754" s="17"/>
      <c r="O754" s="14">
        <f t="shared" si="1"/>
        <v>3.5366</v>
      </c>
      <c r="P754" s="86">
        <f t="array" ref="P754">iferror(XLOOKUP(C754,'Download of SFDC Activation Rep'!B:B,'Download of SFDC Activation Rep'!Z:Z),"")</f>
        <v>45839</v>
      </c>
      <c r="Q754" s="86">
        <f t="shared" si="2"/>
        <v>45839</v>
      </c>
      <c r="R754" s="13" t="str">
        <f t="shared" si="3"/>
        <v>Yes</v>
      </c>
      <c r="S754" s="86">
        <f t="array" ref="S754">iferror(XLOOKUP(C754,'Download of SFDC Activation Rep'!B:B,'Download of SFDC Activation Rep'!Y:Y),"")</f>
        <v>45862</v>
      </c>
    </row>
    <row r="755">
      <c r="A755" s="17" t="s">
        <v>17</v>
      </c>
      <c r="B755" s="85">
        <v>46174.0</v>
      </c>
      <c r="C755" s="17">
        <v>4161223.0</v>
      </c>
      <c r="D755" s="85">
        <v>45931.0</v>
      </c>
      <c r="E755" s="17">
        <v>2.0</v>
      </c>
      <c r="F755" s="17">
        <v>2.0</v>
      </c>
      <c r="G755" s="17">
        <v>7812.89</v>
      </c>
      <c r="H755" s="17"/>
      <c r="I755" s="17">
        <v>0.0</v>
      </c>
      <c r="J755" s="17"/>
      <c r="K755" s="17">
        <v>-0.3021</v>
      </c>
      <c r="L755" s="17">
        <v>-1.526233761957</v>
      </c>
      <c r="M755" s="17">
        <v>1.22413376195699</v>
      </c>
      <c r="N755" s="17"/>
      <c r="O755" s="14">
        <f t="shared" si="1"/>
        <v>-0.3021</v>
      </c>
      <c r="P755" s="86">
        <f t="array" ref="P755">iferror(XLOOKUP(C755,'Download of SFDC Activation Rep'!B:B,'Download of SFDC Activation Rep'!Z:Z),"")</f>
        <v>45937</v>
      </c>
      <c r="Q755" s="86">
        <f t="shared" si="2"/>
        <v>45931</v>
      </c>
      <c r="R755" s="13" t="str">
        <f t="shared" si="3"/>
        <v>Yes</v>
      </c>
      <c r="S755" s="86">
        <f t="array" ref="S755">iferror(XLOOKUP(C755,'Download of SFDC Activation Rep'!B:B,'Download of SFDC Activation Rep'!Y:Y),"")</f>
        <v>45947</v>
      </c>
    </row>
    <row r="756">
      <c r="A756" s="17" t="s">
        <v>19</v>
      </c>
      <c r="B756" s="85">
        <v>45809.0</v>
      </c>
      <c r="C756" s="17">
        <v>2710123.0</v>
      </c>
      <c r="D756" s="85">
        <v>45292.0</v>
      </c>
      <c r="E756" s="17">
        <v>1.0</v>
      </c>
      <c r="F756" s="17">
        <v>0.0</v>
      </c>
      <c r="G756" s="17">
        <v>11782.4</v>
      </c>
      <c r="H756" s="17"/>
      <c r="I756" s="17">
        <v>341.69</v>
      </c>
      <c r="J756" s="17"/>
      <c r="K756" s="17">
        <v>6.7406</v>
      </c>
      <c r="L756" s="17">
        <v>0.49059256520384</v>
      </c>
      <c r="M756" s="17">
        <v>6.25000743479615</v>
      </c>
      <c r="N756" s="17"/>
      <c r="O756" s="14">
        <f t="shared" si="1"/>
        <v>6.7406</v>
      </c>
      <c r="P756" s="86">
        <f t="array" ref="P756">iferror(XLOOKUP(C756,'Download of SFDC Activation Rep'!B:B,'Download of SFDC Activation Rep'!Z:Z),"")</f>
        <v>45873</v>
      </c>
      <c r="Q756" s="86">
        <f t="shared" si="2"/>
        <v>45870</v>
      </c>
      <c r="R756" s="13" t="str">
        <f t="shared" si="3"/>
        <v>No</v>
      </c>
      <c r="S756" s="86">
        <f t="array" ref="S756">iferror(XLOOKUP(C756,'Download of SFDC Activation Rep'!B:B,'Download of SFDC Activation Rep'!Y:Y),"")</f>
        <v>45980</v>
      </c>
    </row>
    <row r="757">
      <c r="A757" s="17" t="s">
        <v>488</v>
      </c>
      <c r="B757" s="85">
        <v>46113.0</v>
      </c>
      <c r="C757" s="17">
        <v>3959338.0</v>
      </c>
      <c r="D757" s="85">
        <v>45839.0</v>
      </c>
      <c r="E757" s="17">
        <v>97.0</v>
      </c>
      <c r="F757" s="17">
        <v>97.0</v>
      </c>
      <c r="G757" s="17">
        <v>107088.0</v>
      </c>
      <c r="H757" s="17"/>
      <c r="I757" s="17">
        <v>491.52</v>
      </c>
      <c r="J757" s="17">
        <v>8.0</v>
      </c>
      <c r="K757" s="17">
        <v>456.5993</v>
      </c>
      <c r="L757" s="17">
        <v>352.5105941948</v>
      </c>
      <c r="M757" s="17">
        <v>104.0887058052</v>
      </c>
      <c r="N757" s="17">
        <v>25.0</v>
      </c>
      <c r="O757" s="14">
        <f t="shared" si="1"/>
        <v>481.5993</v>
      </c>
      <c r="P757" s="86">
        <f t="array" ref="P757">iferror(XLOOKUP(C757,'Download of SFDC Activation Rep'!B:B,'Download of SFDC Activation Rep'!Z:Z),"")</f>
        <v>45839</v>
      </c>
      <c r="Q757" s="86">
        <f t="shared" si="2"/>
        <v>45839</v>
      </c>
      <c r="R757" s="13" t="str">
        <f t="shared" si="3"/>
        <v>Yes</v>
      </c>
      <c r="S757" s="86">
        <f t="array" ref="S757">iferror(XLOOKUP(C757,'Download of SFDC Activation Rep'!B:B,'Download of SFDC Activation Rep'!Y:Y),"")</f>
        <v>45841</v>
      </c>
    </row>
    <row r="758">
      <c r="A758" s="17" t="s">
        <v>488</v>
      </c>
      <c r="B758" s="85">
        <v>46174.0</v>
      </c>
      <c r="C758" s="17">
        <v>4008827.0</v>
      </c>
      <c r="D758" s="85">
        <v>45870.0</v>
      </c>
      <c r="E758" s="17">
        <v>16.0</v>
      </c>
      <c r="F758" s="17">
        <v>16.0</v>
      </c>
      <c r="G758" s="17">
        <v>69204.5</v>
      </c>
      <c r="H758" s="17"/>
      <c r="I758" s="17">
        <v>29.2</v>
      </c>
      <c r="J758" s="17"/>
      <c r="K758" s="17">
        <v>27.1108</v>
      </c>
      <c r="L758" s="17">
        <v>11.93611819015</v>
      </c>
      <c r="M758" s="17">
        <v>15.17468180985</v>
      </c>
      <c r="N758" s="17">
        <v>25.0</v>
      </c>
      <c r="O758" s="14">
        <f t="shared" si="1"/>
        <v>52.1108</v>
      </c>
      <c r="P758" s="86">
        <f t="array" ref="P758">iferror(XLOOKUP(C758,'Download of SFDC Activation Rep'!B:B,'Download of SFDC Activation Rep'!Z:Z),"")</f>
        <v>45870</v>
      </c>
      <c r="Q758" s="86">
        <f t="shared" si="2"/>
        <v>45870</v>
      </c>
      <c r="R758" s="13" t="str">
        <f t="shared" si="3"/>
        <v>Yes</v>
      </c>
      <c r="S758" s="86">
        <f t="array" ref="S758">iferror(XLOOKUP(C758,'Download of SFDC Activation Rep'!B:B,'Download of SFDC Activation Rep'!Y:Y),"")</f>
        <v>45884</v>
      </c>
    </row>
    <row r="759">
      <c r="A759" s="17" t="s">
        <v>489</v>
      </c>
      <c r="B759" s="85">
        <v>46143.0</v>
      </c>
      <c r="C759" s="17">
        <v>3024156.0</v>
      </c>
      <c r="D759" s="85">
        <v>45901.0</v>
      </c>
      <c r="E759" s="17">
        <v>18.0</v>
      </c>
      <c r="F759" s="17">
        <v>18.0</v>
      </c>
      <c r="G759" s="17">
        <v>97728.77</v>
      </c>
      <c r="H759" s="17"/>
      <c r="I759" s="17">
        <v>15.5</v>
      </c>
      <c r="J759" s="17">
        <v>0.5</v>
      </c>
      <c r="K759" s="17">
        <v>4.9113</v>
      </c>
      <c r="L759" s="17">
        <v>-10.218306231001</v>
      </c>
      <c r="M759" s="17">
        <v>15.1296062310009</v>
      </c>
      <c r="N759" s="17">
        <v>75.0</v>
      </c>
      <c r="O759" s="14">
        <f t="shared" si="1"/>
        <v>79.9113</v>
      </c>
      <c r="P759" s="86">
        <f t="array" ref="P759">iferror(XLOOKUP(C759,'Download of SFDC Activation Rep'!B:B,'Download of SFDC Activation Rep'!Z:Z),"")</f>
        <v>45897</v>
      </c>
      <c r="Q759" s="86">
        <f t="shared" si="2"/>
        <v>45870</v>
      </c>
      <c r="R759" s="13" t="str">
        <f t="shared" si="3"/>
        <v>Yes</v>
      </c>
      <c r="S759" s="86">
        <f t="array" ref="S759">iferror(XLOOKUP(C759,'Download of SFDC Activation Rep'!B:B,'Download of SFDC Activation Rep'!Y:Y),"")</f>
        <v>45916</v>
      </c>
    </row>
    <row r="760">
      <c r="A760" s="17" t="s">
        <v>488</v>
      </c>
      <c r="B760" s="85">
        <v>45901.0</v>
      </c>
      <c r="C760" s="17">
        <v>4115795.0</v>
      </c>
      <c r="D760" s="85">
        <v>45901.0</v>
      </c>
      <c r="E760" s="17">
        <v>1.0</v>
      </c>
      <c r="F760" s="17">
        <v>0.0</v>
      </c>
      <c r="G760" s="17">
        <v>3532.38</v>
      </c>
      <c r="H760" s="17"/>
      <c r="I760" s="17">
        <v>102.44</v>
      </c>
      <c r="J760" s="17"/>
      <c r="K760" s="17">
        <v>7.3899</v>
      </c>
      <c r="L760" s="17">
        <v>5.55146282918545</v>
      </c>
      <c r="M760" s="17">
        <v>1.83843717081454</v>
      </c>
      <c r="N760" s="17">
        <v>2.49999999999999</v>
      </c>
      <c r="O760" s="14">
        <f t="shared" si="1"/>
        <v>9.8899</v>
      </c>
      <c r="P760" s="86">
        <f t="array" ref="P760">iferror(XLOOKUP(C760,'Download of SFDC Activation Rep'!B:B,'Download of SFDC Activation Rep'!Z:Z),"")</f>
        <v>45903</v>
      </c>
      <c r="Q760" s="86">
        <f t="shared" si="2"/>
        <v>45901</v>
      </c>
      <c r="R760" s="13" t="str">
        <f t="shared" si="3"/>
        <v>Yes</v>
      </c>
      <c r="S760" s="86">
        <f t="array" ref="S760">iferror(XLOOKUP(C760,'Download of SFDC Activation Rep'!B:B,'Download of SFDC Activation Rep'!Y:Y),"")</f>
        <v>45920</v>
      </c>
    </row>
    <row r="761">
      <c r="A761" s="17" t="s">
        <v>488</v>
      </c>
      <c r="B761" s="85">
        <v>46054.0</v>
      </c>
      <c r="C761" s="17">
        <v>2340816.0</v>
      </c>
      <c r="D761" s="85">
        <v>45931.0</v>
      </c>
      <c r="E761" s="17">
        <v>1.0</v>
      </c>
      <c r="F761" s="17">
        <v>1.0</v>
      </c>
      <c r="G761" s="17">
        <v>61.01</v>
      </c>
      <c r="H761" s="17"/>
      <c r="I761" s="17">
        <v>0.61</v>
      </c>
      <c r="J761" s="17"/>
      <c r="K761" s="17">
        <v>0.2276</v>
      </c>
      <c r="L761" s="17">
        <v>0.177782790883</v>
      </c>
      <c r="M761" s="17">
        <v>0.0498172091169999</v>
      </c>
      <c r="N761" s="17">
        <v>20.0</v>
      </c>
      <c r="O761" s="14">
        <f t="shared" si="1"/>
        <v>20.2276</v>
      </c>
      <c r="P761" s="86">
        <f t="array" ref="P761">iferror(XLOOKUP(C761,'Download of SFDC Activation Rep'!B:B,'Download of SFDC Activation Rep'!Z:Z),"")</f>
        <v>45929</v>
      </c>
      <c r="Q761" s="86">
        <f t="shared" si="2"/>
        <v>45901</v>
      </c>
      <c r="R761" s="13" t="str">
        <f t="shared" si="3"/>
        <v>Yes</v>
      </c>
      <c r="S761" s="86">
        <f t="array" ref="S761">iferror(XLOOKUP(C761,'Download of SFDC Activation Rep'!B:B,'Download of SFDC Activation Rep'!Y:Y),"")</f>
        <v>45936</v>
      </c>
    </row>
    <row r="762">
      <c r="A762" s="17" t="s">
        <v>489</v>
      </c>
      <c r="B762" s="85">
        <v>46023.0</v>
      </c>
      <c r="C762" s="17">
        <v>4178047.0</v>
      </c>
      <c r="D762" s="85">
        <v>45962.0</v>
      </c>
      <c r="E762" s="17">
        <v>26.0</v>
      </c>
      <c r="F762" s="17">
        <v>26.0</v>
      </c>
      <c r="G762" s="17">
        <v>109199.56</v>
      </c>
      <c r="H762" s="17"/>
      <c r="I762" s="17">
        <v>0.0</v>
      </c>
      <c r="K762" s="17">
        <v>-3.784</v>
      </c>
      <c r="L762" s="17">
        <v>-27.0046703082425</v>
      </c>
      <c r="M762" s="17">
        <v>23.2206703082425</v>
      </c>
      <c r="N762" s="17">
        <v>85.0</v>
      </c>
      <c r="O762" s="14">
        <f t="shared" si="1"/>
        <v>81.216</v>
      </c>
      <c r="P762" s="86">
        <f t="array" ref="P762">iferror(XLOOKUP(C762,'Download of SFDC Activation Rep'!B:B,'Download of SFDC Activation Rep'!Z:Z),"")</f>
        <v>45974</v>
      </c>
      <c r="Q762" s="86">
        <f t="shared" si="2"/>
        <v>45962</v>
      </c>
      <c r="R762" s="13" t="str">
        <f t="shared" si="3"/>
        <v>Yes</v>
      </c>
      <c r="S762" s="86">
        <f t="array" ref="S762">iferror(XLOOKUP(C762,'Download of SFDC Activation Rep'!B:B,'Download of SFDC Activation Rep'!Y:Y),"")</f>
        <v>45967</v>
      </c>
    </row>
    <row r="763">
      <c r="A763" s="17" t="s">
        <v>17</v>
      </c>
      <c r="B763" s="85">
        <v>46082.0</v>
      </c>
      <c r="C763" s="17">
        <v>4528120.0</v>
      </c>
      <c r="D763" s="85">
        <v>46082.0</v>
      </c>
      <c r="E763" s="17">
        <v>1.0</v>
      </c>
      <c r="F763" s="17">
        <v>0.0</v>
      </c>
      <c r="G763" s="17">
        <v>3150.0</v>
      </c>
      <c r="H763" s="17"/>
      <c r="I763" s="17">
        <v>91.35</v>
      </c>
      <c r="J763" s="17"/>
      <c r="K763" s="17">
        <v>-1.0987</v>
      </c>
      <c r="L763" s="17">
        <v>-2.73812632</v>
      </c>
      <c r="M763" s="17">
        <v>1.63942632</v>
      </c>
      <c r="N763" s="17">
        <v>0.0</v>
      </c>
      <c r="O763" s="14">
        <f t="shared" si="1"/>
        <v>-1.0987</v>
      </c>
      <c r="P763" s="86">
        <f t="array" ref="P763">iferror(XLOOKUP(C763,'Download of SFDC Activation Rep'!B:B,'Download of SFDC Activation Rep'!Z:Z),"")</f>
        <v>46115</v>
      </c>
      <c r="Q763" s="86">
        <f t="shared" si="2"/>
        <v>46113</v>
      </c>
      <c r="R763" s="13" t="str">
        <f t="shared" si="3"/>
        <v>No</v>
      </c>
      <c r="S763" s="86">
        <f t="array" ref="S763">iferror(XLOOKUP(C763,'Download of SFDC Activation Rep'!B:B,'Download of SFDC Activation Rep'!Y:Y),"")</f>
        <v>46188</v>
      </c>
    </row>
    <row r="764">
      <c r="A764" s="17" t="s">
        <v>17</v>
      </c>
      <c r="B764" s="85">
        <v>46174.0</v>
      </c>
      <c r="C764" s="17">
        <v>4613356.0</v>
      </c>
      <c r="D764" s="85">
        <v>46143.0</v>
      </c>
      <c r="E764" s="17">
        <v>8.0</v>
      </c>
      <c r="F764" s="17">
        <v>0.0</v>
      </c>
      <c r="G764" s="17">
        <v>200930.36</v>
      </c>
      <c r="H764" s="17">
        <v>200930.36</v>
      </c>
      <c r="I764" s="17">
        <v>5826.98</v>
      </c>
      <c r="K764" s="17">
        <v>1531.271</v>
      </c>
      <c r="L764" s="17">
        <v>1424.70027793299</v>
      </c>
      <c r="M764" s="17">
        <v>106.570722067007</v>
      </c>
      <c r="N764" s="17">
        <v>0.0</v>
      </c>
      <c r="O764" s="14">
        <f t="shared" si="1"/>
        <v>1531.271</v>
      </c>
      <c r="P764" s="86">
        <f t="array" ref="P764">iferror(XLOOKUP(C764,'Download of SFDC Activation Rep'!B:B,'Download of SFDC Activation Rep'!Z:Z),"")</f>
        <v>46136</v>
      </c>
      <c r="Q764" s="86">
        <f t="shared" si="2"/>
        <v>46113</v>
      </c>
      <c r="R764" s="13" t="str">
        <f t="shared" si="3"/>
        <v>Yes</v>
      </c>
      <c r="S764" s="86">
        <f t="array" ref="S764">iferror(XLOOKUP(C764,'Download of SFDC Activation Rep'!B:B,'Download of SFDC Activation Rep'!Y:Y),"")</f>
        <v>46244</v>
      </c>
    </row>
    <row r="765">
      <c r="A765" s="17" t="s">
        <v>488</v>
      </c>
      <c r="B765" s="85">
        <v>45931.0</v>
      </c>
      <c r="C765" s="17">
        <v>4010351.0</v>
      </c>
      <c r="D765" s="85">
        <v>45839.0</v>
      </c>
      <c r="E765" s="17">
        <v>34.0</v>
      </c>
      <c r="F765" s="17">
        <v>28.0</v>
      </c>
      <c r="G765" s="17">
        <v>207301.11</v>
      </c>
      <c r="H765" s="17"/>
      <c r="I765" s="17">
        <v>5565.28</v>
      </c>
      <c r="K765" s="17">
        <v>731.8472</v>
      </c>
      <c r="L765" s="17">
        <v>597.454408396565</v>
      </c>
      <c r="M765" s="17">
        <v>134.392791603434</v>
      </c>
      <c r="N765" s="17">
        <v>64.0</v>
      </c>
      <c r="O765" s="14">
        <f t="shared" si="1"/>
        <v>795.8472</v>
      </c>
      <c r="P765" s="86">
        <f t="array" ref="P765">iferror(XLOOKUP(C765,'Download of SFDC Activation Rep'!B:B,'Download of SFDC Activation Rep'!Z:Z),"")</f>
        <v>45839</v>
      </c>
      <c r="Q765" s="86">
        <f t="shared" si="2"/>
        <v>45839</v>
      </c>
      <c r="R765" s="13" t="str">
        <f t="shared" si="3"/>
        <v>Yes</v>
      </c>
      <c r="S765" s="86">
        <f t="array" ref="S765">iferror(XLOOKUP(C765,'Download of SFDC Activation Rep'!B:B,'Download of SFDC Activation Rep'!Y:Y),"")</f>
        <v>45853</v>
      </c>
    </row>
    <row r="766">
      <c r="A766" s="17" t="s">
        <v>488</v>
      </c>
      <c r="B766" s="85">
        <v>45992.0</v>
      </c>
      <c r="C766" s="17">
        <v>3906405.0</v>
      </c>
      <c r="D766" s="85">
        <v>45778.0</v>
      </c>
      <c r="E766" s="17">
        <v>46.0</v>
      </c>
      <c r="F766" s="17">
        <v>46.0</v>
      </c>
      <c r="G766" s="17">
        <v>91200.2</v>
      </c>
      <c r="H766" s="17"/>
      <c r="I766" s="17">
        <v>9.5</v>
      </c>
      <c r="J766" s="17">
        <v>6.5</v>
      </c>
      <c r="K766" s="17">
        <v>1.1134</v>
      </c>
      <c r="L766" s="17">
        <v>-12.9449481531993</v>
      </c>
      <c r="M766" s="17">
        <v>14.0583481531993</v>
      </c>
      <c r="N766" s="17">
        <v>29.75</v>
      </c>
      <c r="O766" s="14">
        <f t="shared" si="1"/>
        <v>30.8634</v>
      </c>
      <c r="P766" s="86">
        <f t="array" ref="P766">iferror(XLOOKUP(C766,'Download of SFDC Activation Rep'!B:B,'Download of SFDC Activation Rep'!Z:Z),"")</f>
        <v>45798</v>
      </c>
      <c r="Q766" s="86">
        <f t="shared" si="2"/>
        <v>45778</v>
      </c>
      <c r="R766" s="13" t="str">
        <f t="shared" si="3"/>
        <v>Yes</v>
      </c>
      <c r="S766" s="86">
        <f t="array" ref="S766">iferror(XLOOKUP(C766,'Download of SFDC Activation Rep'!B:B,'Download of SFDC Activation Rep'!Y:Y),"")</f>
        <v>45807</v>
      </c>
    </row>
    <row r="767">
      <c r="A767" s="17" t="s">
        <v>488</v>
      </c>
      <c r="B767" s="85">
        <v>46113.0</v>
      </c>
      <c r="C767" s="17">
        <v>4039652.0</v>
      </c>
      <c r="D767" s="85">
        <v>45870.0</v>
      </c>
      <c r="E767" s="17">
        <v>12.0</v>
      </c>
      <c r="F767" s="17">
        <v>10.0</v>
      </c>
      <c r="G767" s="17">
        <v>20147.5</v>
      </c>
      <c r="H767" s="17"/>
      <c r="I767" s="17">
        <v>121.21</v>
      </c>
      <c r="J767" s="17"/>
      <c r="K767" s="17">
        <v>20.7216999999999</v>
      </c>
      <c r="L767" s="17">
        <v>14.9407801732499</v>
      </c>
      <c r="M767" s="17">
        <v>5.78091982674999</v>
      </c>
      <c r="N767" s="17">
        <v>25.0</v>
      </c>
      <c r="O767" s="14">
        <f t="shared" si="1"/>
        <v>45.7217</v>
      </c>
      <c r="P767" s="86">
        <f t="array" ref="P767">iferror(XLOOKUP(C767,'Download of SFDC Activation Rep'!B:B,'Download of SFDC Activation Rep'!Z:Z),"")</f>
        <v>45863</v>
      </c>
      <c r="Q767" s="86">
        <f t="shared" si="2"/>
        <v>45839</v>
      </c>
      <c r="R767" s="13" t="str">
        <f t="shared" si="3"/>
        <v>Yes</v>
      </c>
      <c r="S767" s="86">
        <f t="array" ref="S767">iferror(XLOOKUP(C767,'Download of SFDC Activation Rep'!B:B,'Download of SFDC Activation Rep'!Y:Y),"")</f>
        <v>45880</v>
      </c>
    </row>
    <row r="768">
      <c r="A768" s="17" t="s">
        <v>488</v>
      </c>
      <c r="B768" s="85">
        <v>45870.0</v>
      </c>
      <c r="C768" s="17">
        <v>3959338.0</v>
      </c>
      <c r="D768" s="85">
        <v>45839.0</v>
      </c>
      <c r="E768" s="17">
        <v>23.0</v>
      </c>
      <c r="F768" s="17">
        <v>23.0</v>
      </c>
      <c r="G768" s="17">
        <v>28059.0</v>
      </c>
      <c r="H768" s="17"/>
      <c r="I768" s="17">
        <v>56.38</v>
      </c>
      <c r="J768" s="17">
        <v>1.0</v>
      </c>
      <c r="K768" s="17">
        <v>49.69</v>
      </c>
      <c r="L768" s="17">
        <v>38.2088723675408</v>
      </c>
      <c r="M768" s="17">
        <v>11.4811276324591</v>
      </c>
      <c r="N768" s="17">
        <v>2.49999999999999</v>
      </c>
      <c r="O768" s="14">
        <f t="shared" si="1"/>
        <v>52.19</v>
      </c>
      <c r="P768" s="86">
        <f t="array" ref="P768">iferror(XLOOKUP(C768,'Download of SFDC Activation Rep'!B:B,'Download of SFDC Activation Rep'!Z:Z),"")</f>
        <v>45839</v>
      </c>
      <c r="Q768" s="86">
        <f t="shared" si="2"/>
        <v>45839</v>
      </c>
      <c r="R768" s="13" t="str">
        <f t="shared" si="3"/>
        <v>Yes</v>
      </c>
      <c r="S768" s="86">
        <f t="array" ref="S768">iferror(XLOOKUP(C768,'Download of SFDC Activation Rep'!B:B,'Download of SFDC Activation Rep'!Y:Y),"")</f>
        <v>45841</v>
      </c>
    </row>
    <row r="769">
      <c r="A769" s="17" t="s">
        <v>19</v>
      </c>
      <c r="B769" s="85">
        <v>46174.0</v>
      </c>
      <c r="C769" s="17">
        <v>4254984.0</v>
      </c>
      <c r="D769" s="85">
        <v>45992.0</v>
      </c>
      <c r="E769" s="17">
        <v>3.0</v>
      </c>
      <c r="F769" s="17">
        <v>3.0</v>
      </c>
      <c r="G769" s="17">
        <v>7273.1</v>
      </c>
      <c r="H769" s="17"/>
      <c r="I769" s="17">
        <v>0.15</v>
      </c>
      <c r="J769" s="17"/>
      <c r="K769" s="17">
        <v>-0.4958</v>
      </c>
      <c r="L769" s="17">
        <v>-1.67101888142999</v>
      </c>
      <c r="M769" s="17">
        <v>1.17521888142999</v>
      </c>
      <c r="N769" s="17">
        <v>24.0</v>
      </c>
      <c r="O769" s="14">
        <f t="shared" si="1"/>
        <v>23.5042</v>
      </c>
      <c r="P769" s="86">
        <f t="array" ref="P769">iferror(XLOOKUP(C769,'Download of SFDC Activation Rep'!B:B,'Download of SFDC Activation Rep'!Z:Z),"")</f>
        <v>45992</v>
      </c>
      <c r="Q769" s="86">
        <f t="shared" si="2"/>
        <v>45992</v>
      </c>
      <c r="R769" s="13" t="str">
        <f t="shared" si="3"/>
        <v>Yes</v>
      </c>
      <c r="S769" s="86">
        <f t="array" ref="S769">iferror(XLOOKUP(C769,'Download of SFDC Activation Rep'!B:B,'Download of SFDC Activation Rep'!Y:Y),"")</f>
        <v>46007</v>
      </c>
    </row>
    <row r="770">
      <c r="A770" s="17" t="s">
        <v>17</v>
      </c>
      <c r="B770" s="85">
        <v>46113.0</v>
      </c>
      <c r="C770" s="17">
        <v>4533194.0</v>
      </c>
      <c r="D770" s="85">
        <v>46113.0</v>
      </c>
      <c r="E770" s="17">
        <v>1.0</v>
      </c>
      <c r="F770" s="17">
        <v>1.0</v>
      </c>
      <c r="G770" s="17">
        <v>2047.44</v>
      </c>
      <c r="H770" s="17"/>
      <c r="I770" s="17">
        <v>0.0</v>
      </c>
      <c r="J770" s="17"/>
      <c r="K770" s="17">
        <v>-0.1056</v>
      </c>
      <c r="L770" s="17">
        <v>-0.426395560871999</v>
      </c>
      <c r="M770" s="17">
        <v>0.320795560871999</v>
      </c>
      <c r="N770" s="17">
        <v>0.0</v>
      </c>
      <c r="O770" s="14">
        <f t="shared" si="1"/>
        <v>-0.1056</v>
      </c>
      <c r="P770" s="86">
        <f t="array" ref="P770">iferror(XLOOKUP(C770,'Download of SFDC Activation Rep'!B:B,'Download of SFDC Activation Rep'!Z:Z),"")</f>
        <v>46119</v>
      </c>
      <c r="Q770" s="86">
        <f t="shared" si="2"/>
        <v>46113</v>
      </c>
      <c r="R770" s="13" t="str">
        <f t="shared" si="3"/>
        <v>Yes</v>
      </c>
      <c r="S770" s="86">
        <f t="array" ref="S770">iferror(XLOOKUP(C770,'Download of SFDC Activation Rep'!B:B,'Download of SFDC Activation Rep'!Y:Y),"")</f>
        <v>46174</v>
      </c>
    </row>
    <row r="771">
      <c r="A771" s="17" t="s">
        <v>488</v>
      </c>
      <c r="B771" s="85">
        <v>46082.0</v>
      </c>
      <c r="C771" s="17">
        <v>4443037.0</v>
      </c>
      <c r="D771" s="85">
        <v>46082.0</v>
      </c>
      <c r="E771" s="17">
        <v>3.0</v>
      </c>
      <c r="F771" s="17">
        <v>1.0</v>
      </c>
      <c r="G771" s="17">
        <v>2980.0</v>
      </c>
      <c r="H771" s="17">
        <v>2580.0</v>
      </c>
      <c r="I771" s="17">
        <v>74.82</v>
      </c>
      <c r="J771" s="17"/>
      <c r="K771" s="17">
        <v>5.54149999999999</v>
      </c>
      <c r="L771" s="17">
        <v>5.51169999999999</v>
      </c>
      <c r="M771" s="17">
        <v>0.0297999999999998</v>
      </c>
      <c r="N771" s="17">
        <v>25.0</v>
      </c>
      <c r="O771" s="14">
        <f t="shared" si="1"/>
        <v>47.3115</v>
      </c>
      <c r="P771" s="86">
        <f t="array" ref="P771">iferror(XLOOKUP(C771,'Download of SFDC Activation Rep'!B:B,'Download of SFDC Activation Rep'!Z:Z),"")</f>
        <v>46073</v>
      </c>
      <c r="Q771" s="86">
        <f t="shared" si="2"/>
        <v>46054</v>
      </c>
      <c r="R771" s="13" t="str">
        <f t="shared" si="3"/>
        <v>Yes</v>
      </c>
      <c r="S771" s="86">
        <f t="array" ref="S771">iferror(XLOOKUP(C771,'Download of SFDC Activation Rep'!B:B,'Download of SFDC Activation Rep'!Y:Y),"")</f>
        <v>46108</v>
      </c>
    </row>
    <row r="772">
      <c r="A772" s="17" t="s">
        <v>1487</v>
      </c>
      <c r="B772" s="85">
        <v>46082.0</v>
      </c>
      <c r="C772" s="17">
        <v>3935770.0</v>
      </c>
      <c r="D772" s="85">
        <v>45778.0</v>
      </c>
      <c r="E772" s="17">
        <v>51.0</v>
      </c>
      <c r="F772" s="17">
        <v>35.0</v>
      </c>
      <c r="G772" s="17">
        <v>187687.61</v>
      </c>
      <c r="H772" s="17">
        <v>3317.5</v>
      </c>
      <c r="I772" s="17">
        <v>3053.568709</v>
      </c>
      <c r="J772" s="17"/>
      <c r="K772" s="17">
        <v>584.681399999999</v>
      </c>
      <c r="L772" s="17">
        <v>499.327511485098</v>
      </c>
      <c r="M772" s="17">
        <v>85.3538885149009</v>
      </c>
      <c r="N772" s="17">
        <v>0.0</v>
      </c>
      <c r="O772" s="14">
        <f t="shared" si="1"/>
        <v>606.24515</v>
      </c>
      <c r="P772" s="86">
        <f t="array" ref="P772">iferror(XLOOKUP(C772,'Download of SFDC Activation Rep'!B:B,'Download of SFDC Activation Rep'!Z:Z),"")</f>
        <v>45797</v>
      </c>
      <c r="Q772" s="86">
        <f t="shared" si="2"/>
        <v>45778</v>
      </c>
      <c r="R772" s="13" t="str">
        <f t="shared" si="3"/>
        <v>Yes</v>
      </c>
      <c r="S772" s="86">
        <f t="array" ref="S772">iferror(XLOOKUP(C772,'Download of SFDC Activation Rep'!B:B,'Download of SFDC Activation Rep'!Y:Y),"")</f>
        <v>45797</v>
      </c>
    </row>
    <row r="773">
      <c r="A773" s="17" t="s">
        <v>488</v>
      </c>
      <c r="B773" s="85">
        <v>45992.0</v>
      </c>
      <c r="C773" s="17">
        <v>4299448.0</v>
      </c>
      <c r="D773" s="85">
        <v>45992.0</v>
      </c>
      <c r="E773" s="17">
        <v>3.0</v>
      </c>
      <c r="F773" s="17">
        <v>0.0</v>
      </c>
      <c r="G773" s="17">
        <v>33345.0</v>
      </c>
      <c r="H773" s="17"/>
      <c r="I773" s="17">
        <v>997.0</v>
      </c>
      <c r="K773" s="17">
        <v>977.3494</v>
      </c>
      <c r="L773" s="17">
        <v>947.142070103639</v>
      </c>
      <c r="M773" s="17">
        <v>30.2073298963605</v>
      </c>
      <c r="N773" s="17">
        <v>0.0</v>
      </c>
      <c r="O773" s="14">
        <f t="shared" si="1"/>
        <v>977.3494</v>
      </c>
      <c r="P773" s="86">
        <f t="array" ref="P773">iferror(XLOOKUP(C773,'Download of SFDC Activation Rep'!B:B,'Download of SFDC Activation Rep'!Z:Z),"")</f>
        <v>46197</v>
      </c>
      <c r="Q773" s="86">
        <f t="shared" si="2"/>
        <v>46174</v>
      </c>
      <c r="R773" s="13" t="str">
        <f t="shared" si="3"/>
        <v>No</v>
      </c>
      <c r="S773" s="86">
        <f t="array" ref="S773">iferror(XLOOKUP(C773,'Download of SFDC Activation Rep'!B:B,'Download of SFDC Activation Rep'!Y:Y),"")</f>
        <v>46361</v>
      </c>
    </row>
    <row r="774">
      <c r="A774" s="17" t="s">
        <v>488</v>
      </c>
      <c r="B774" s="85">
        <v>45870.0</v>
      </c>
      <c r="C774" s="17">
        <v>4030970.0</v>
      </c>
      <c r="D774" s="85">
        <v>45870.0</v>
      </c>
      <c r="E774" s="17">
        <v>25.0</v>
      </c>
      <c r="F774" s="17">
        <v>0.0</v>
      </c>
      <c r="G774" s="17">
        <v>14075.6</v>
      </c>
      <c r="H774" s="17">
        <v>13492.53</v>
      </c>
      <c r="I774" s="17">
        <v>408.2</v>
      </c>
      <c r="J774" s="17"/>
      <c r="K774" s="17">
        <v>42.8984</v>
      </c>
      <c r="L774" s="17">
        <v>35.4319581333839</v>
      </c>
      <c r="M774" s="17">
        <v>7.46644186661603</v>
      </c>
      <c r="N774" s="17">
        <v>1.99999999999999</v>
      </c>
      <c r="O774" s="14">
        <f t="shared" si="1"/>
        <v>44.8984</v>
      </c>
      <c r="P774" s="86">
        <f t="array" ref="P774">iferror(XLOOKUP(C774,'Download of SFDC Activation Rep'!B:B,'Download of SFDC Activation Rep'!Z:Z),"")</f>
        <v>45870</v>
      </c>
      <c r="Q774" s="86">
        <f t="shared" si="2"/>
        <v>45870</v>
      </c>
      <c r="R774" s="13" t="str">
        <f t="shared" si="3"/>
        <v>Yes</v>
      </c>
      <c r="S774" s="86">
        <f t="array" ref="S774">iferror(XLOOKUP(C774,'Download of SFDC Activation Rep'!B:B,'Download of SFDC Activation Rep'!Y:Y),"")</f>
        <v>45876</v>
      </c>
    </row>
    <row r="775">
      <c r="A775" s="17" t="s">
        <v>488</v>
      </c>
      <c r="B775" s="85">
        <v>45901.0</v>
      </c>
      <c r="C775" s="17">
        <v>4010351.0</v>
      </c>
      <c r="D775" s="85">
        <v>45839.0</v>
      </c>
      <c r="E775" s="17">
        <v>25.0</v>
      </c>
      <c r="F775" s="17">
        <v>23.0</v>
      </c>
      <c r="G775" s="17">
        <v>149380.64</v>
      </c>
      <c r="H775" s="17"/>
      <c r="I775" s="17">
        <v>3588.99</v>
      </c>
      <c r="K775" s="17">
        <v>421.1863</v>
      </c>
      <c r="L775" s="17">
        <v>350.739074579976</v>
      </c>
      <c r="M775" s="17">
        <v>70.4472254200241</v>
      </c>
      <c r="N775" s="17">
        <v>64.0</v>
      </c>
      <c r="O775" s="14">
        <f t="shared" si="1"/>
        <v>485.1863</v>
      </c>
      <c r="P775" s="86">
        <f t="array" ref="P775">iferror(XLOOKUP(C775,'Download of SFDC Activation Rep'!B:B,'Download of SFDC Activation Rep'!Z:Z),"")</f>
        <v>45839</v>
      </c>
      <c r="Q775" s="86">
        <f t="shared" si="2"/>
        <v>45839</v>
      </c>
      <c r="R775" s="13" t="str">
        <f t="shared" si="3"/>
        <v>Yes</v>
      </c>
      <c r="S775" s="86">
        <f t="array" ref="S775">iferror(XLOOKUP(C775,'Download of SFDC Activation Rep'!B:B,'Download of SFDC Activation Rep'!Y:Y),"")</f>
        <v>45853</v>
      </c>
    </row>
    <row r="776">
      <c r="A776" s="17" t="s">
        <v>17</v>
      </c>
      <c r="B776" s="85">
        <v>45962.0</v>
      </c>
      <c r="C776" s="17">
        <v>4219847.0</v>
      </c>
      <c r="D776" s="85">
        <v>45962.0</v>
      </c>
      <c r="E776" s="17">
        <v>1.0</v>
      </c>
      <c r="F776" s="17">
        <v>1.0</v>
      </c>
      <c r="G776" s="17">
        <v>15000.0</v>
      </c>
      <c r="H776" s="17"/>
      <c r="I776" s="17">
        <v>0.0</v>
      </c>
      <c r="J776" s="17"/>
      <c r="K776" s="17">
        <v>-0.1384</v>
      </c>
      <c r="L776" s="17">
        <v>-0.2884</v>
      </c>
      <c r="M776" s="17">
        <v>0.15</v>
      </c>
      <c r="N776" s="17">
        <v>0.0</v>
      </c>
      <c r="O776" s="14">
        <f t="shared" si="1"/>
        <v>-0.1384</v>
      </c>
      <c r="P776" s="86">
        <f t="array" ref="P776">iferror(XLOOKUP(C776,'Download of SFDC Activation Rep'!B:B,'Download of SFDC Activation Rep'!Z:Z),"")</f>
        <v>45964</v>
      </c>
      <c r="Q776" s="86">
        <f t="shared" si="2"/>
        <v>45962</v>
      </c>
      <c r="R776" s="13" t="str">
        <f t="shared" si="3"/>
        <v>Yes</v>
      </c>
      <c r="S776" s="86">
        <f t="array" ref="S776">iferror(XLOOKUP(C776,'Download of SFDC Activation Rep'!B:B,'Download of SFDC Activation Rep'!Y:Y),"")</f>
        <v>45985</v>
      </c>
    </row>
    <row r="777">
      <c r="A777" s="17" t="s">
        <v>488</v>
      </c>
      <c r="B777" s="85">
        <v>46082.0</v>
      </c>
      <c r="C777" s="17">
        <v>4068848.0</v>
      </c>
      <c r="D777" s="85">
        <v>45870.0</v>
      </c>
      <c r="E777" s="17">
        <v>22.0</v>
      </c>
      <c r="F777" s="17">
        <v>0.0</v>
      </c>
      <c r="G777" s="17">
        <v>19172.87</v>
      </c>
      <c r="H777" s="17">
        <v>17153.24</v>
      </c>
      <c r="I777" s="17">
        <v>556.02</v>
      </c>
      <c r="K777" s="17">
        <v>-26.6095999999999</v>
      </c>
      <c r="L777" s="17">
        <v>-35.6230883870719</v>
      </c>
      <c r="M777" s="17">
        <v>9.01348838707199</v>
      </c>
      <c r="N777" s="17">
        <v>0.0</v>
      </c>
      <c r="O777" s="14">
        <f t="shared" si="1"/>
        <v>84.88646</v>
      </c>
      <c r="P777" s="86">
        <f t="array" ref="P777">iferror(XLOOKUP(C777,'Download of SFDC Activation Rep'!B:B,'Download of SFDC Activation Rep'!Z:Z),"")</f>
        <v>45880</v>
      </c>
      <c r="Q777" s="86">
        <f t="shared" si="2"/>
        <v>45870</v>
      </c>
      <c r="R777" s="13" t="str">
        <f t="shared" si="3"/>
        <v>Yes</v>
      </c>
      <c r="S777" s="86">
        <f t="array" ref="S777">iferror(XLOOKUP(C777,'Download of SFDC Activation Rep'!B:B,'Download of SFDC Activation Rep'!Y:Y),"")</f>
        <v>45896</v>
      </c>
    </row>
    <row r="778">
      <c r="A778" s="17" t="s">
        <v>17</v>
      </c>
      <c r="B778" s="85">
        <v>46023.0</v>
      </c>
      <c r="C778" s="17">
        <v>4309608.0</v>
      </c>
      <c r="D778" s="85">
        <v>46023.0</v>
      </c>
      <c r="E778" s="17">
        <v>1.0</v>
      </c>
      <c r="F778" s="17">
        <v>0.0</v>
      </c>
      <c r="G778" s="17">
        <v>210.61</v>
      </c>
      <c r="H778" s="17"/>
      <c r="I778" s="17">
        <v>6.11</v>
      </c>
      <c r="J778" s="17"/>
      <c r="K778" s="17">
        <v>-2.4051</v>
      </c>
      <c r="L778" s="17">
        <v>-2.40825915</v>
      </c>
      <c r="M778" s="17">
        <v>0.00315915000000011</v>
      </c>
      <c r="N778" s="17">
        <v>0.0</v>
      </c>
      <c r="O778" s="14">
        <f t="shared" si="1"/>
        <v>-2.4051</v>
      </c>
      <c r="P778" s="86">
        <f t="array" ref="P778">iferror(XLOOKUP(C778,'Download of SFDC Activation Rep'!B:B,'Download of SFDC Activation Rep'!Z:Z),"")</f>
        <v>46056</v>
      </c>
      <c r="Q778" s="86">
        <f t="shared" si="2"/>
        <v>46054</v>
      </c>
      <c r="R778" s="13" t="str">
        <f t="shared" si="3"/>
        <v>No</v>
      </c>
      <c r="S778" s="86">
        <f t="array" ref="S778">iferror(XLOOKUP(C778,'Download of SFDC Activation Rep'!B:B,'Download of SFDC Activation Rep'!Y:Y),"")</f>
        <v>46037</v>
      </c>
    </row>
    <row r="779">
      <c r="A779" s="17" t="s">
        <v>488</v>
      </c>
      <c r="B779" s="85">
        <v>46143.0</v>
      </c>
      <c r="C779" s="17">
        <v>3952865.0</v>
      </c>
      <c r="D779" s="85">
        <v>45809.0</v>
      </c>
      <c r="E779" s="17">
        <v>6.0</v>
      </c>
      <c r="F779" s="17">
        <v>6.0</v>
      </c>
      <c r="G779" s="17">
        <v>17851.07</v>
      </c>
      <c r="H779" s="17"/>
      <c r="I779" s="17">
        <v>0.0</v>
      </c>
      <c r="J779" s="17"/>
      <c r="K779" s="17">
        <v>-0.9984</v>
      </c>
      <c r="L779" s="17">
        <v>-3.79532885399099</v>
      </c>
      <c r="M779" s="17">
        <v>2.79692885399099</v>
      </c>
      <c r="N779" s="17">
        <v>35.0</v>
      </c>
      <c r="O779" s="14">
        <f t="shared" si="1"/>
        <v>34.0016</v>
      </c>
      <c r="P779" s="86">
        <f t="array" ref="P779">iferror(XLOOKUP(C779,'Download of SFDC Activation Rep'!B:B,'Download of SFDC Activation Rep'!Z:Z),"")</f>
        <v>45799</v>
      </c>
      <c r="Q779" s="86">
        <f t="shared" si="2"/>
        <v>45778</v>
      </c>
      <c r="R779" s="13" t="str">
        <f t="shared" si="3"/>
        <v>Yes</v>
      </c>
      <c r="S779" s="86">
        <f t="array" ref="S779">iferror(XLOOKUP(C779,'Download of SFDC Activation Rep'!B:B,'Download of SFDC Activation Rep'!Y:Y),"")</f>
        <v>45818</v>
      </c>
    </row>
    <row r="780">
      <c r="A780" s="17" t="s">
        <v>1487</v>
      </c>
      <c r="B780" s="85">
        <v>46143.0</v>
      </c>
      <c r="C780" s="17">
        <v>4471409.0</v>
      </c>
      <c r="D780" s="85">
        <v>46082.0</v>
      </c>
      <c r="E780" s="17">
        <v>11.0</v>
      </c>
      <c r="F780" s="17">
        <v>0.0</v>
      </c>
      <c r="G780" s="17">
        <v>55681.79</v>
      </c>
      <c r="H780" s="17">
        <v>32859.0</v>
      </c>
      <c r="I780" s="17">
        <v>1704.77</v>
      </c>
      <c r="J780" s="17"/>
      <c r="K780" s="17">
        <v>45.5532</v>
      </c>
      <c r="L780" s="17">
        <v>16.216638585488</v>
      </c>
      <c r="M780" s="17">
        <v>29.3365614145119</v>
      </c>
      <c r="N780" s="17">
        <v>0.0</v>
      </c>
      <c r="O780" s="14">
        <f t="shared" si="1"/>
        <v>45.5532</v>
      </c>
      <c r="P780" s="86">
        <f t="array" ref="P780">iferror(XLOOKUP(C780,'Download of SFDC Activation Rep'!B:B,'Download of SFDC Activation Rep'!Z:Z),"")</f>
        <v>46092</v>
      </c>
      <c r="Q780" s="86">
        <f t="shared" si="2"/>
        <v>46082</v>
      </c>
      <c r="R780" s="13" t="str">
        <f t="shared" si="3"/>
        <v>Yes</v>
      </c>
      <c r="S780" s="86">
        <f t="array" ref="S780">iferror(XLOOKUP(C780,'Download of SFDC Activation Rep'!B:B,'Download of SFDC Activation Rep'!Y:Y),"")</f>
        <v>46132</v>
      </c>
    </row>
    <row r="781">
      <c r="A781" s="17" t="s">
        <v>488</v>
      </c>
      <c r="B781" s="85">
        <v>45931.0</v>
      </c>
      <c r="C781" s="17">
        <v>4039652.0</v>
      </c>
      <c r="D781" s="85">
        <v>45870.0</v>
      </c>
      <c r="E781" s="17">
        <v>10.0</v>
      </c>
      <c r="F781" s="17">
        <v>9.0</v>
      </c>
      <c r="G781" s="17">
        <v>12078.75</v>
      </c>
      <c r="H781" s="17"/>
      <c r="I781" s="17">
        <v>67.16</v>
      </c>
      <c r="J781" s="17"/>
      <c r="K781" s="17">
        <v>17.2042</v>
      </c>
      <c r="L781" s="17">
        <v>13.7133383383156</v>
      </c>
      <c r="M781" s="17">
        <v>3.49086166168437</v>
      </c>
      <c r="N781" s="17">
        <v>25.0</v>
      </c>
      <c r="O781" s="14">
        <f t="shared" si="1"/>
        <v>42.2042</v>
      </c>
      <c r="P781" s="86">
        <f t="array" ref="P781">iferror(XLOOKUP(C781,'Download of SFDC Activation Rep'!B:B,'Download of SFDC Activation Rep'!Z:Z),"")</f>
        <v>45863</v>
      </c>
      <c r="Q781" s="86">
        <f t="shared" si="2"/>
        <v>45839</v>
      </c>
      <c r="R781" s="13" t="str">
        <f t="shared" si="3"/>
        <v>Yes</v>
      </c>
      <c r="S781" s="86">
        <f t="array" ref="S781">iferror(XLOOKUP(C781,'Download of SFDC Activation Rep'!B:B,'Download of SFDC Activation Rep'!Y:Y),"")</f>
        <v>45880</v>
      </c>
    </row>
    <row r="782">
      <c r="A782" s="17" t="s">
        <v>17</v>
      </c>
      <c r="B782" s="85">
        <v>46054.0</v>
      </c>
      <c r="C782" s="17">
        <v>4380860.0</v>
      </c>
      <c r="D782" s="85">
        <v>46023.0</v>
      </c>
      <c r="E782" s="17">
        <v>52.0</v>
      </c>
      <c r="F782" s="17">
        <v>0.0</v>
      </c>
      <c r="G782" s="17">
        <v>8744.6</v>
      </c>
      <c r="H782" s="17">
        <v>3628.65</v>
      </c>
      <c r="I782" s="17">
        <v>400.94</v>
      </c>
      <c r="J782" s="17"/>
      <c r="K782" s="17">
        <v>16.2959</v>
      </c>
      <c r="L782" s="17">
        <v>11.581325690576</v>
      </c>
      <c r="M782" s="17">
        <v>4.714574309424</v>
      </c>
      <c r="N782" s="17">
        <v>0.0</v>
      </c>
      <c r="O782" s="14">
        <f t="shared" si="1"/>
        <v>39.882125</v>
      </c>
      <c r="P782" s="86">
        <f t="array" ref="P782">iferror(XLOOKUP(C782,'Download of SFDC Activation Rep'!B:B,'Download of SFDC Activation Rep'!Z:Z),"")</f>
        <v>46049</v>
      </c>
      <c r="Q782" s="86">
        <f t="shared" si="2"/>
        <v>46023</v>
      </c>
      <c r="R782" s="13" t="str">
        <f t="shared" si="3"/>
        <v>Yes</v>
      </c>
      <c r="S782" s="86">
        <f t="array" ref="S782">iferror(XLOOKUP(C782,'Download of SFDC Activation Rep'!B:B,'Download of SFDC Activation Rep'!Y:Y),"")</f>
        <v>46051</v>
      </c>
    </row>
    <row r="783">
      <c r="A783" s="17" t="s">
        <v>17</v>
      </c>
      <c r="B783" s="85">
        <v>45962.0</v>
      </c>
      <c r="C783" s="17">
        <v>4214658.0</v>
      </c>
      <c r="D783" s="85">
        <v>45962.0</v>
      </c>
      <c r="E783" s="17">
        <v>1.0</v>
      </c>
      <c r="F783" s="17">
        <v>1.0</v>
      </c>
      <c r="G783" s="17">
        <v>0.01</v>
      </c>
      <c r="H783" s="17"/>
      <c r="I783" s="17">
        <v>0.0</v>
      </c>
      <c r="J783" s="17"/>
      <c r="K783" s="17">
        <v>-0.0729</v>
      </c>
      <c r="L783" s="17">
        <v>-0.072901566813469</v>
      </c>
      <c r="M783" s="87">
        <v>1.566813468995E-6</v>
      </c>
      <c r="N783" s="17">
        <v>0.0</v>
      </c>
      <c r="O783" s="14">
        <f t="shared" si="1"/>
        <v>-0.0729</v>
      </c>
      <c r="P783" s="86">
        <f t="array" ref="P783">iferror(XLOOKUP(C783,'Download of SFDC Activation Rep'!B:B,'Download of SFDC Activation Rep'!Z:Z),"")</f>
        <v>45973</v>
      </c>
      <c r="Q783" s="86">
        <f t="shared" si="2"/>
        <v>45962</v>
      </c>
      <c r="R783" s="13" t="str">
        <f t="shared" si="3"/>
        <v>Yes</v>
      </c>
      <c r="S783" s="86">
        <f t="array" ref="S783">iferror(XLOOKUP(C783,'Download of SFDC Activation Rep'!B:B,'Download of SFDC Activation Rep'!Y:Y),"")</f>
        <v>45968</v>
      </c>
    </row>
    <row r="784">
      <c r="A784" s="17" t="s">
        <v>17</v>
      </c>
      <c r="B784" s="85">
        <v>45839.0</v>
      </c>
      <c r="C784" s="17">
        <v>3977410.0</v>
      </c>
      <c r="D784" s="85">
        <v>45809.0</v>
      </c>
      <c r="E784" s="17">
        <v>5.0</v>
      </c>
      <c r="F784" s="17">
        <v>5.0</v>
      </c>
      <c r="G784" s="17">
        <v>16440.0</v>
      </c>
      <c r="H784" s="17"/>
      <c r="I784" s="17">
        <v>0.0</v>
      </c>
      <c r="J784" s="17"/>
      <c r="K784" s="17">
        <v>-0.41</v>
      </c>
      <c r="L784" s="17">
        <v>-0.5744</v>
      </c>
      <c r="M784" s="17">
        <v>0.1644</v>
      </c>
      <c r="N784" s="17">
        <v>2.49999999999999</v>
      </c>
      <c r="O784" s="14">
        <f t="shared" si="1"/>
        <v>2.09</v>
      </c>
      <c r="P784" s="86">
        <f t="array" ref="P784">iferror(XLOOKUP(C784,'Download of SFDC Activation Rep'!B:B,'Download of SFDC Activation Rep'!Z:Z),"")</f>
        <v>45809</v>
      </c>
      <c r="Q784" s="86">
        <f t="shared" si="2"/>
        <v>45809</v>
      </c>
      <c r="R784" s="13" t="str">
        <f t="shared" si="3"/>
        <v>Yes</v>
      </c>
      <c r="S784" s="86">
        <f t="array" ref="S784">iferror(XLOOKUP(C784,'Download of SFDC Activation Rep'!B:B,'Download of SFDC Activation Rep'!Y:Y),"")</f>
        <v>45838</v>
      </c>
    </row>
    <row r="785">
      <c r="A785" s="17" t="s">
        <v>488</v>
      </c>
      <c r="B785" s="85">
        <v>46054.0</v>
      </c>
      <c r="C785" s="17">
        <v>3906405.0</v>
      </c>
      <c r="D785" s="85">
        <v>45778.0</v>
      </c>
      <c r="E785" s="17">
        <v>45.0</v>
      </c>
      <c r="F785" s="17">
        <v>45.0</v>
      </c>
      <c r="G785" s="17">
        <v>91843.74</v>
      </c>
      <c r="H785" s="17"/>
      <c r="I785" s="17">
        <v>11.68</v>
      </c>
      <c r="J785" s="17">
        <v>9.5</v>
      </c>
      <c r="K785" s="17">
        <v>4.86089999999999</v>
      </c>
      <c r="L785" s="17">
        <v>-9.85194373606199</v>
      </c>
      <c r="M785" s="17">
        <v>14.7128437360619</v>
      </c>
      <c r="N785" s="17">
        <v>29.75</v>
      </c>
      <c r="O785" s="14">
        <f t="shared" si="1"/>
        <v>34.6109</v>
      </c>
      <c r="P785" s="86">
        <f t="array" ref="P785">iferror(XLOOKUP(C785,'Download of SFDC Activation Rep'!B:B,'Download of SFDC Activation Rep'!Z:Z),"")</f>
        <v>45798</v>
      </c>
      <c r="Q785" s="86">
        <f t="shared" si="2"/>
        <v>45778</v>
      </c>
      <c r="R785" s="13" t="str">
        <f t="shared" si="3"/>
        <v>Yes</v>
      </c>
      <c r="S785" s="86">
        <f t="array" ref="S785">iferror(XLOOKUP(C785,'Download of SFDC Activation Rep'!B:B,'Download of SFDC Activation Rep'!Y:Y),"")</f>
        <v>45807</v>
      </c>
    </row>
    <row r="786">
      <c r="A786" s="17" t="s">
        <v>489</v>
      </c>
      <c r="B786" s="85">
        <v>46023.0</v>
      </c>
      <c r="C786" s="17">
        <v>4334745.0</v>
      </c>
      <c r="D786" s="85">
        <v>46023.0</v>
      </c>
      <c r="E786" s="17">
        <v>2.0</v>
      </c>
      <c r="F786" s="17">
        <v>2.0</v>
      </c>
      <c r="G786" s="17">
        <v>12840.0</v>
      </c>
      <c r="H786" s="17"/>
      <c r="I786" s="17">
        <v>0.0</v>
      </c>
      <c r="J786" s="17"/>
      <c r="K786" s="17">
        <v>-0.3012</v>
      </c>
      <c r="L786" s="17">
        <v>-3.031553554152</v>
      </c>
      <c r="M786" s="17">
        <v>2.730353554152</v>
      </c>
      <c r="N786" s="17">
        <v>0.0</v>
      </c>
      <c r="O786" s="14">
        <f t="shared" si="1"/>
        <v>-0.3012</v>
      </c>
      <c r="P786" s="86">
        <f t="array" ref="P786">iferror(XLOOKUP(C786,'Download of SFDC Activation Rep'!B:B,'Download of SFDC Activation Rep'!Z:Z),"")</f>
        <v>46009</v>
      </c>
      <c r="Q786" s="86">
        <f t="shared" si="2"/>
        <v>45992</v>
      </c>
      <c r="R786" s="13" t="str">
        <f t="shared" si="3"/>
        <v>Yes</v>
      </c>
      <c r="S786" s="86">
        <f t="array" ref="S786">iferror(XLOOKUP(C786,'Download of SFDC Activation Rep'!B:B,'Download of SFDC Activation Rep'!Y:Y),"")</f>
        <v>46058</v>
      </c>
    </row>
    <row r="787">
      <c r="A787" s="17" t="s">
        <v>488</v>
      </c>
      <c r="B787" s="85">
        <v>46054.0</v>
      </c>
      <c r="C787" s="17">
        <v>4342016.0</v>
      </c>
      <c r="D787" s="85">
        <v>46023.0</v>
      </c>
      <c r="E787" s="17">
        <v>1.0</v>
      </c>
      <c r="F787" s="17">
        <v>1.0</v>
      </c>
      <c r="G787" s="17">
        <v>1000.0</v>
      </c>
      <c r="H787" s="17"/>
      <c r="I787" s="17">
        <v>0.0</v>
      </c>
      <c r="J787" s="17"/>
      <c r="K787" s="17">
        <v>-0.1727</v>
      </c>
      <c r="L787" s="17">
        <v>-0.3293813</v>
      </c>
      <c r="M787" s="17">
        <v>0.1566813</v>
      </c>
      <c r="N787" s="17">
        <v>25.0</v>
      </c>
      <c r="O787" s="14">
        <f t="shared" si="1"/>
        <v>24.8273</v>
      </c>
      <c r="P787" s="86">
        <f t="array" ref="P787">iferror(XLOOKUP(C787,'Download of SFDC Activation Rep'!B:B,'Download of SFDC Activation Rep'!Z:Z),"")</f>
        <v>46036</v>
      </c>
      <c r="Q787" s="86">
        <f t="shared" si="2"/>
        <v>46023</v>
      </c>
      <c r="R787" s="13" t="str">
        <f t="shared" si="3"/>
        <v>Yes</v>
      </c>
      <c r="S787" s="86">
        <f t="array" ref="S787">iferror(XLOOKUP(C787,'Download of SFDC Activation Rep'!B:B,'Download of SFDC Activation Rep'!Y:Y),"")</f>
        <v>46050</v>
      </c>
    </row>
    <row r="788">
      <c r="A788" s="17" t="s">
        <v>488</v>
      </c>
      <c r="B788" s="85">
        <v>45901.0</v>
      </c>
      <c r="C788" s="17">
        <v>4008827.0</v>
      </c>
      <c r="D788" s="85">
        <v>45870.0</v>
      </c>
      <c r="E788" s="17">
        <v>12.0</v>
      </c>
      <c r="F788" s="17">
        <v>12.0</v>
      </c>
      <c r="G788" s="17">
        <v>18769.0</v>
      </c>
      <c r="H788" s="17"/>
      <c r="I788" s="17">
        <v>0.0</v>
      </c>
      <c r="J788" s="17"/>
      <c r="K788" s="17">
        <v>-1.53999999999999</v>
      </c>
      <c r="L788" s="17">
        <v>-4.4807521999661</v>
      </c>
      <c r="M788" s="17">
        <v>2.9407521999661</v>
      </c>
      <c r="N788" s="17">
        <v>2.49999999999999</v>
      </c>
      <c r="O788" s="14">
        <f t="shared" si="1"/>
        <v>0.96</v>
      </c>
      <c r="P788" s="86">
        <f t="array" ref="P788">iferror(XLOOKUP(C788,'Download of SFDC Activation Rep'!B:B,'Download of SFDC Activation Rep'!Z:Z),"")</f>
        <v>45870</v>
      </c>
      <c r="Q788" s="86">
        <f t="shared" si="2"/>
        <v>45870</v>
      </c>
      <c r="R788" s="13" t="str">
        <f t="shared" si="3"/>
        <v>Yes</v>
      </c>
      <c r="S788" s="86">
        <f t="array" ref="S788">iferror(XLOOKUP(C788,'Download of SFDC Activation Rep'!B:B,'Download of SFDC Activation Rep'!Y:Y),"")</f>
        <v>45884</v>
      </c>
    </row>
    <row r="789">
      <c r="A789" s="17" t="s">
        <v>488</v>
      </c>
      <c r="B789" s="85">
        <v>45992.0</v>
      </c>
      <c r="C789" s="17">
        <v>4265889.0</v>
      </c>
      <c r="D789" s="85">
        <v>45992.0</v>
      </c>
      <c r="E789" s="17">
        <v>67.0</v>
      </c>
      <c r="F789" s="17">
        <v>0.0</v>
      </c>
      <c r="G789" s="17">
        <v>18624.79</v>
      </c>
      <c r="H789" s="17"/>
      <c r="I789" s="17">
        <v>551.42</v>
      </c>
      <c r="J789" s="17"/>
      <c r="K789" s="17">
        <v>525.5995</v>
      </c>
      <c r="L789" s="17">
        <v>511.914652176378</v>
      </c>
      <c r="M789" s="17">
        <v>13.6848478236219</v>
      </c>
      <c r="N789" s="17">
        <v>0.0</v>
      </c>
      <c r="O789" s="14">
        <f t="shared" si="1"/>
        <v>525.5995</v>
      </c>
      <c r="P789" s="86">
        <f t="array" ref="P789">iferror(XLOOKUP(C789,'Download of SFDC Activation Rep'!B:B,'Download of SFDC Activation Rep'!Z:Z),"")</f>
        <v>45993</v>
      </c>
      <c r="Q789" s="86">
        <f t="shared" si="2"/>
        <v>45992</v>
      </c>
      <c r="R789" s="13" t="str">
        <f t="shared" si="3"/>
        <v>Yes</v>
      </c>
      <c r="S789" s="86">
        <f t="array" ref="S789">iferror(XLOOKUP(C789,'Download of SFDC Activation Rep'!B:B,'Download of SFDC Activation Rep'!Y:Y),"")</f>
        <v>45999</v>
      </c>
    </row>
    <row r="790">
      <c r="A790" s="17" t="s">
        <v>489</v>
      </c>
      <c r="B790" s="85">
        <v>46113.0</v>
      </c>
      <c r="C790" s="17">
        <v>4099073.0</v>
      </c>
      <c r="D790" s="85">
        <v>45931.0</v>
      </c>
      <c r="E790" s="17">
        <v>29.0</v>
      </c>
      <c r="F790" s="17">
        <v>29.0</v>
      </c>
      <c r="G790" s="17">
        <v>251857.0</v>
      </c>
      <c r="H790" s="17"/>
      <c r="I790" s="17">
        <v>57.96</v>
      </c>
      <c r="J790" s="17"/>
      <c r="K790" s="17">
        <v>52.4192</v>
      </c>
      <c r="L790" s="17">
        <v>8.843594978156</v>
      </c>
      <c r="M790" s="17">
        <v>43.575605021844</v>
      </c>
      <c r="N790" s="17">
        <v>8.49999999999999</v>
      </c>
      <c r="O790" s="14">
        <f t="shared" si="1"/>
        <v>60.9192</v>
      </c>
      <c r="P790" s="86">
        <f t="array" ref="P790">iferror(XLOOKUP(C790,'Download of SFDC Activation Rep'!B:B,'Download of SFDC Activation Rep'!Z:Z),"")</f>
        <v>45870</v>
      </c>
      <c r="Q790" s="86">
        <f t="shared" si="2"/>
        <v>45870</v>
      </c>
      <c r="R790" s="13" t="str">
        <f t="shared" si="3"/>
        <v>Yes</v>
      </c>
      <c r="S790" s="86">
        <f t="array" ref="S790">iferror(XLOOKUP(C790,'Download of SFDC Activation Rep'!B:B,'Download of SFDC Activation Rep'!Y:Y),"")</f>
        <v>45999</v>
      </c>
    </row>
    <row r="791">
      <c r="A791" s="17" t="s">
        <v>488</v>
      </c>
      <c r="B791" s="85">
        <v>46023.0</v>
      </c>
      <c r="C791" s="17">
        <v>4314059.0</v>
      </c>
      <c r="D791" s="85">
        <v>46023.0</v>
      </c>
      <c r="E791" s="17">
        <v>4.0</v>
      </c>
      <c r="F791" s="17">
        <v>0.0</v>
      </c>
      <c r="G791" s="17">
        <v>27297.62</v>
      </c>
      <c r="H791" s="17"/>
      <c r="I791" s="17">
        <v>791.63</v>
      </c>
      <c r="J791" s="17"/>
      <c r="K791" s="17">
        <v>-1.5632</v>
      </c>
      <c r="L791" s="17">
        <v>-8.22290729057427</v>
      </c>
      <c r="M791" s="17">
        <v>6.65970729057427</v>
      </c>
      <c r="N791" s="17">
        <v>0.0</v>
      </c>
      <c r="O791" s="14">
        <f t="shared" si="1"/>
        <v>-1.5632</v>
      </c>
      <c r="P791" s="86">
        <f t="array" ref="P791">iferror(XLOOKUP(C791,'Download of SFDC Activation Rep'!B:B,'Download of SFDC Activation Rep'!Z:Z),"")</f>
        <v>46027</v>
      </c>
      <c r="Q791" s="86">
        <f t="shared" si="2"/>
        <v>46023</v>
      </c>
      <c r="R791" s="13" t="str">
        <f t="shared" si="3"/>
        <v>Yes</v>
      </c>
      <c r="S791" s="86">
        <f t="array" ref="S791">iferror(XLOOKUP(C791,'Download of SFDC Activation Rep'!B:B,'Download of SFDC Activation Rep'!Y:Y),"")</f>
        <v>46043</v>
      </c>
    </row>
    <row r="792">
      <c r="A792" s="17" t="s">
        <v>488</v>
      </c>
      <c r="B792" s="85">
        <v>45870.0</v>
      </c>
      <c r="C792" s="17">
        <v>4010351.0</v>
      </c>
      <c r="D792" s="85">
        <v>45839.0</v>
      </c>
      <c r="E792" s="17">
        <v>4.0</v>
      </c>
      <c r="F792" s="17">
        <v>1.0</v>
      </c>
      <c r="G792" s="17">
        <v>213782.0</v>
      </c>
      <c r="H792" s="17"/>
      <c r="I792" s="17">
        <v>6149.02</v>
      </c>
      <c r="J792" s="17"/>
      <c r="K792" s="17">
        <v>810.0707</v>
      </c>
      <c r="L792" s="17">
        <v>661.650793363896</v>
      </c>
      <c r="M792" s="17">
        <v>148.419906636103</v>
      </c>
      <c r="N792" s="17">
        <v>64.0</v>
      </c>
      <c r="O792" s="14">
        <f t="shared" si="1"/>
        <v>874.0707</v>
      </c>
      <c r="P792" s="86">
        <f t="array" ref="P792">iferror(XLOOKUP(C792,'Download of SFDC Activation Rep'!B:B,'Download of SFDC Activation Rep'!Z:Z),"")</f>
        <v>45839</v>
      </c>
      <c r="Q792" s="86">
        <f t="shared" si="2"/>
        <v>45839</v>
      </c>
      <c r="R792" s="13" t="str">
        <f t="shared" si="3"/>
        <v>Yes</v>
      </c>
      <c r="S792" s="86">
        <f t="array" ref="S792">iferror(XLOOKUP(C792,'Download of SFDC Activation Rep'!B:B,'Download of SFDC Activation Rep'!Y:Y),"")</f>
        <v>45853</v>
      </c>
    </row>
    <row r="793">
      <c r="A793" s="17" t="s">
        <v>488</v>
      </c>
      <c r="B793" s="85">
        <v>46023.0</v>
      </c>
      <c r="C793" s="17">
        <v>3785914.0</v>
      </c>
      <c r="D793" s="85">
        <v>45778.0</v>
      </c>
      <c r="E793" s="17">
        <v>12.0</v>
      </c>
      <c r="F793" s="17">
        <v>8.0</v>
      </c>
      <c r="G793" s="17">
        <v>22413.84</v>
      </c>
      <c r="H793" s="17"/>
      <c r="I793" s="17">
        <v>309.96</v>
      </c>
      <c r="J793" s="17"/>
      <c r="K793" s="17">
        <v>60.243</v>
      </c>
      <c r="L793" s="17">
        <v>43.2051169034568</v>
      </c>
      <c r="M793" s="17">
        <v>17.0378830965431</v>
      </c>
      <c r="N793" s="17">
        <v>35.0</v>
      </c>
      <c r="O793" s="14">
        <f t="shared" si="1"/>
        <v>95.243</v>
      </c>
      <c r="P793" s="86">
        <f t="array" ref="P793">iferror(XLOOKUP(C793,'Download of SFDC Activation Rep'!B:B,'Download of SFDC Activation Rep'!Z:Z),"")</f>
        <v>45806</v>
      </c>
      <c r="Q793" s="86">
        <f t="shared" si="2"/>
        <v>45778</v>
      </c>
      <c r="R793" s="13" t="str">
        <f t="shared" si="3"/>
        <v>Yes</v>
      </c>
      <c r="S793" s="86">
        <f t="array" ref="S793">iferror(XLOOKUP(C793,'Download of SFDC Activation Rep'!B:B,'Download of SFDC Activation Rep'!Y:Y),"")</f>
        <v>45806</v>
      </c>
    </row>
    <row r="794">
      <c r="A794" s="17" t="s">
        <v>488</v>
      </c>
      <c r="B794" s="85">
        <v>46143.0</v>
      </c>
      <c r="C794" s="17">
        <v>4601844.0</v>
      </c>
      <c r="D794" s="85">
        <v>46143.0</v>
      </c>
      <c r="E794" s="17">
        <v>2.0</v>
      </c>
      <c r="F794" s="17">
        <v>0.0</v>
      </c>
      <c r="G794" s="17">
        <v>18531.15</v>
      </c>
      <c r="H794" s="17">
        <v>18531.15</v>
      </c>
      <c r="I794" s="17">
        <v>557.41</v>
      </c>
      <c r="J794" s="17"/>
      <c r="K794" s="17">
        <v>12.6126</v>
      </c>
      <c r="L794" s="17">
        <v>2.96801109528</v>
      </c>
      <c r="M794" s="17">
        <v>9.64458890471999</v>
      </c>
      <c r="N794" s="17">
        <v>0.0</v>
      </c>
      <c r="O794" s="14">
        <f t="shared" si="1"/>
        <v>12.6126</v>
      </c>
      <c r="P794" s="86">
        <f t="array" ref="P794">iferror(XLOOKUP(C794,'Download of SFDC Activation Rep'!B:B,'Download of SFDC Activation Rep'!Z:Z),"")</f>
        <v>46134</v>
      </c>
      <c r="Q794" s="86">
        <f t="shared" si="2"/>
        <v>46113</v>
      </c>
      <c r="R794" s="13" t="str">
        <f t="shared" si="3"/>
        <v>Yes</v>
      </c>
      <c r="S794" s="86">
        <f t="array" ref="S794">iferror(XLOOKUP(C794,'Download of SFDC Activation Rep'!B:B,'Download of SFDC Activation Rep'!Y:Y),"")</f>
        <v>46251</v>
      </c>
    </row>
    <row r="795">
      <c r="A795" s="17" t="s">
        <v>488</v>
      </c>
      <c r="B795" s="85">
        <v>46082.0</v>
      </c>
      <c r="C795" s="17">
        <v>4269437.0</v>
      </c>
      <c r="D795" s="85">
        <v>46023.0</v>
      </c>
      <c r="E795" s="17">
        <v>91.0</v>
      </c>
      <c r="F795" s="17">
        <v>91.0</v>
      </c>
      <c r="G795" s="17">
        <v>81174.53</v>
      </c>
      <c r="H795" s="17"/>
      <c r="I795" s="17">
        <v>0.0</v>
      </c>
      <c r="J795" s="17"/>
      <c r="K795" s="17">
        <v>-13.6928999999999</v>
      </c>
      <c r="L795" s="17">
        <v>-14.5046452999999</v>
      </c>
      <c r="M795" s="17">
        <v>0.8117453</v>
      </c>
      <c r="N795" s="17">
        <v>17.0</v>
      </c>
      <c r="O795" s="14">
        <f t="shared" si="1"/>
        <v>3.3071</v>
      </c>
      <c r="P795" s="86">
        <f t="array" ref="P795">iferror(XLOOKUP(C795,'Download of SFDC Activation Rep'!B:B,'Download of SFDC Activation Rep'!Z:Z),"")</f>
        <v>46007</v>
      </c>
      <c r="Q795" s="86">
        <f t="shared" si="2"/>
        <v>45992</v>
      </c>
      <c r="R795" s="13" t="str">
        <f t="shared" si="3"/>
        <v>Yes</v>
      </c>
      <c r="S795" s="86">
        <f t="array" ref="S795">iferror(XLOOKUP(C795,'Download of SFDC Activation Rep'!B:B,'Download of SFDC Activation Rep'!Y:Y),"")</f>
        <v>46031</v>
      </c>
    </row>
    <row r="796">
      <c r="A796" s="17" t="s">
        <v>1486</v>
      </c>
      <c r="B796" s="85">
        <v>46082.0</v>
      </c>
      <c r="C796" s="17">
        <v>4308093.0</v>
      </c>
      <c r="D796" s="85">
        <v>46023.0</v>
      </c>
      <c r="E796" s="17">
        <v>11.0</v>
      </c>
      <c r="F796" s="17">
        <v>11.0</v>
      </c>
      <c r="G796" s="17">
        <v>6112.65</v>
      </c>
      <c r="H796" s="17"/>
      <c r="I796" s="17">
        <v>2.3</v>
      </c>
      <c r="J796" s="17"/>
      <c r="K796" s="17">
        <v>-0.00870000000000011</v>
      </c>
      <c r="L796" s="17">
        <v>-1.081362764445</v>
      </c>
      <c r="M796" s="17">
        <v>1.072662764445</v>
      </c>
      <c r="N796" s="17">
        <v>17.5</v>
      </c>
      <c r="O796" s="14">
        <f t="shared" si="1"/>
        <v>17.4913</v>
      </c>
      <c r="P796" s="86">
        <f t="array" ref="P796">iferror(XLOOKUP(C796,'Download of SFDC Activation Rep'!B:B,'Download of SFDC Activation Rep'!Z:Z),"")</f>
        <v>46001</v>
      </c>
      <c r="Q796" s="86">
        <f t="shared" si="2"/>
        <v>45992</v>
      </c>
      <c r="R796" s="13" t="str">
        <f t="shared" si="3"/>
        <v>Yes</v>
      </c>
      <c r="S796" s="86">
        <f t="array" ref="S796">iferror(XLOOKUP(C796,'Download of SFDC Activation Rep'!B:B,'Download of SFDC Activation Rep'!Y:Y),"")</f>
        <v>46049</v>
      </c>
    </row>
    <row r="797">
      <c r="A797" s="17" t="s">
        <v>19</v>
      </c>
      <c r="B797" s="85">
        <v>46143.0</v>
      </c>
      <c r="C797" s="17">
        <v>4239966.0</v>
      </c>
      <c r="D797" s="85">
        <v>45992.0</v>
      </c>
      <c r="E797" s="17">
        <v>1.0</v>
      </c>
      <c r="F797" s="17">
        <v>1.0</v>
      </c>
      <c r="G797" s="17">
        <v>144.0</v>
      </c>
      <c r="H797" s="17"/>
      <c r="I797" s="17">
        <v>0.0</v>
      </c>
      <c r="K797" s="17">
        <v>-0.1721</v>
      </c>
      <c r="L797" s="17">
        <v>-0.1946621072</v>
      </c>
      <c r="M797" s="17">
        <v>0.0225621071999999</v>
      </c>
      <c r="N797" s="17">
        <v>24.0</v>
      </c>
      <c r="O797" s="14">
        <f t="shared" si="1"/>
        <v>23.8279</v>
      </c>
      <c r="P797" s="86">
        <f t="array" ref="P797">iferror(XLOOKUP(C797,'Download of SFDC Activation Rep'!B:B,'Download of SFDC Activation Rep'!Z:Z),"")</f>
        <v>45979</v>
      </c>
      <c r="Q797" s="86">
        <f t="shared" si="2"/>
        <v>45962</v>
      </c>
      <c r="R797" s="13" t="str">
        <f t="shared" si="3"/>
        <v>Yes</v>
      </c>
      <c r="S797" s="86">
        <f t="array" ref="S797">iferror(XLOOKUP(C797,'Download of SFDC Activation Rep'!B:B,'Download of SFDC Activation Rep'!Y:Y),"")</f>
        <v>45995</v>
      </c>
    </row>
    <row r="798">
      <c r="A798" s="17" t="s">
        <v>19</v>
      </c>
      <c r="B798" s="85">
        <v>46174.0</v>
      </c>
      <c r="C798" s="17">
        <v>4462029.0</v>
      </c>
      <c r="D798" s="85">
        <v>46082.0</v>
      </c>
      <c r="E798" s="17">
        <v>38.0</v>
      </c>
      <c r="F798" s="17">
        <v>38.0</v>
      </c>
      <c r="G798" s="17">
        <v>136440.41</v>
      </c>
      <c r="H798" s="17"/>
      <c r="I798" s="17">
        <v>18.0</v>
      </c>
      <c r="J798" s="17"/>
      <c r="K798" s="17">
        <v>-0.178099999999999</v>
      </c>
      <c r="L798" s="17">
        <v>-21.3962196113329</v>
      </c>
      <c r="M798" s="17">
        <v>21.2181196113329</v>
      </c>
      <c r="N798" s="17">
        <v>64.0</v>
      </c>
      <c r="O798" s="14">
        <f t="shared" si="1"/>
        <v>63.8219</v>
      </c>
      <c r="P798" s="86">
        <f t="array" ref="P798">iferror(XLOOKUP(C798,'Download of SFDC Activation Rep'!B:B,'Download of SFDC Activation Rep'!Z:Z),"")</f>
        <v>46058</v>
      </c>
      <c r="Q798" s="86">
        <f t="shared" si="2"/>
        <v>46054</v>
      </c>
      <c r="R798" s="13" t="str">
        <f t="shared" si="3"/>
        <v>Yes</v>
      </c>
      <c r="S798" s="86">
        <f t="array" ref="S798">iferror(XLOOKUP(C798,'Download of SFDC Activation Rep'!B:B,'Download of SFDC Activation Rep'!Y:Y),"")</f>
        <v>46118</v>
      </c>
    </row>
    <row r="799">
      <c r="A799" s="17" t="s">
        <v>489</v>
      </c>
      <c r="B799" s="85">
        <v>46113.0</v>
      </c>
      <c r="C799" s="17">
        <v>3024156.0</v>
      </c>
      <c r="D799" s="85">
        <v>45901.0</v>
      </c>
      <c r="E799" s="17">
        <v>22.0</v>
      </c>
      <c r="F799" s="17">
        <v>22.0</v>
      </c>
      <c r="G799" s="17">
        <v>62160.64</v>
      </c>
      <c r="H799" s="17"/>
      <c r="I799" s="17">
        <v>127.662387</v>
      </c>
      <c r="J799" s="17"/>
      <c r="K799" s="17">
        <v>113.363</v>
      </c>
      <c r="L799" s="17">
        <v>103.862195515968</v>
      </c>
      <c r="M799" s="17">
        <v>9.50080448403198</v>
      </c>
      <c r="N799" s="17">
        <v>75.0</v>
      </c>
      <c r="O799" s="14">
        <f t="shared" si="1"/>
        <v>188.363</v>
      </c>
      <c r="P799" s="86">
        <f t="array" ref="P799">iferror(XLOOKUP(C799,'Download of SFDC Activation Rep'!B:B,'Download of SFDC Activation Rep'!Z:Z),"")</f>
        <v>45897</v>
      </c>
      <c r="Q799" s="86">
        <f t="shared" si="2"/>
        <v>45870</v>
      </c>
      <c r="R799" s="13" t="str">
        <f t="shared" si="3"/>
        <v>Yes</v>
      </c>
      <c r="S799" s="86">
        <f t="array" ref="S799">iferror(XLOOKUP(C799,'Download of SFDC Activation Rep'!B:B,'Download of SFDC Activation Rep'!Y:Y),"")</f>
        <v>45916</v>
      </c>
    </row>
    <row r="800">
      <c r="A800" s="17" t="s">
        <v>488</v>
      </c>
      <c r="B800" s="85">
        <v>45839.0</v>
      </c>
      <c r="C800" s="17">
        <v>3934664.0</v>
      </c>
      <c r="D800" s="85">
        <v>45809.0</v>
      </c>
      <c r="E800" s="17">
        <v>8.0</v>
      </c>
      <c r="F800" s="17">
        <v>0.0</v>
      </c>
      <c r="G800" s="17">
        <v>3096.81</v>
      </c>
      <c r="H800" s="17"/>
      <c r="I800" s="17">
        <v>89.81</v>
      </c>
      <c r="K800" s="17">
        <v>4.15569999999999</v>
      </c>
      <c r="L800" s="17">
        <v>4.1247319</v>
      </c>
      <c r="M800" s="17">
        <v>0.0309680999999999</v>
      </c>
      <c r="N800" s="17">
        <v>2.49999999999999</v>
      </c>
      <c r="O800" s="14">
        <f t="shared" si="1"/>
        <v>6.6557</v>
      </c>
      <c r="P800" s="86">
        <f t="array" ref="P800">iferror(XLOOKUP(C800,'Download of SFDC Activation Rep'!B:B,'Download of SFDC Activation Rep'!Z:Z),"")</f>
        <v>45820</v>
      </c>
      <c r="Q800" s="86">
        <f t="shared" si="2"/>
        <v>45809</v>
      </c>
      <c r="R800" s="13" t="str">
        <f t="shared" si="3"/>
        <v>Yes</v>
      </c>
      <c r="S800" s="86">
        <f t="array" ref="S800">iferror(XLOOKUP(C800,'Download of SFDC Activation Rep'!B:B,'Download of SFDC Activation Rep'!Y:Y),"")</f>
        <v>45829</v>
      </c>
    </row>
    <row r="801">
      <c r="A801" s="17" t="s">
        <v>19</v>
      </c>
      <c r="B801" s="85">
        <v>46174.0</v>
      </c>
      <c r="C801" s="17">
        <v>2428419.0</v>
      </c>
      <c r="D801" s="85">
        <v>46023.0</v>
      </c>
      <c r="E801" s="17">
        <v>485.0</v>
      </c>
      <c r="F801" s="17">
        <v>485.0</v>
      </c>
      <c r="G801" s="17">
        <v>285151.01</v>
      </c>
      <c r="H801" s="17"/>
      <c r="I801" s="17">
        <v>1287.277612</v>
      </c>
      <c r="J801" s="17"/>
      <c r="K801" s="17">
        <v>1210.3326</v>
      </c>
      <c r="L801" s="17">
        <v>1160.42267905338</v>
      </c>
      <c r="M801" s="17">
        <v>49.909920946613</v>
      </c>
      <c r="N801" s="17">
        <v>80.0</v>
      </c>
      <c r="O801" s="14">
        <f t="shared" si="1"/>
        <v>1290.3326</v>
      </c>
      <c r="P801" s="86">
        <f t="array" ref="P801">iferror(XLOOKUP(C801,'Download of SFDC Activation Rep'!B:B,'Download of SFDC Activation Rep'!Z:Z),"")</f>
        <v>45891</v>
      </c>
      <c r="Q801" s="86">
        <f t="shared" si="2"/>
        <v>45870</v>
      </c>
      <c r="R801" s="13" t="str">
        <f t="shared" si="3"/>
        <v>Yes</v>
      </c>
      <c r="S801" s="86">
        <f t="array" ref="S801">iferror(XLOOKUP(C801,'Download of SFDC Activation Rep'!B:B,'Download of SFDC Activation Rep'!Y:Y),"")</f>
        <v>46029</v>
      </c>
    </row>
    <row r="802">
      <c r="A802" s="17" t="s">
        <v>488</v>
      </c>
      <c r="B802" s="85">
        <v>46174.0</v>
      </c>
      <c r="C802" s="17">
        <v>4410846.0</v>
      </c>
      <c r="D802" s="85">
        <v>46082.0</v>
      </c>
      <c r="E802" s="17">
        <v>2.0</v>
      </c>
      <c r="F802" s="17">
        <v>2.0</v>
      </c>
      <c r="G802" s="17">
        <v>991.48</v>
      </c>
      <c r="H802" s="17"/>
      <c r="I802" s="17">
        <v>3.0</v>
      </c>
      <c r="J802" s="17"/>
      <c r="K802" s="17">
        <v>0.6782</v>
      </c>
      <c r="L802" s="17">
        <v>0.532768424676</v>
      </c>
      <c r="M802" s="17">
        <v>0.145431575323999</v>
      </c>
      <c r="N802" s="17">
        <v>2.79999999999999</v>
      </c>
      <c r="O802" s="14">
        <f t="shared" si="1"/>
        <v>3.4782</v>
      </c>
      <c r="P802" s="86">
        <f t="array" ref="P802">iferror(XLOOKUP(C802,'Download of SFDC Activation Rep'!B:B,'Download of SFDC Activation Rep'!Z:Z),"")</f>
        <v>46048</v>
      </c>
      <c r="Q802" s="86">
        <f t="shared" si="2"/>
        <v>46023</v>
      </c>
      <c r="R802" s="13" t="str">
        <f t="shared" si="3"/>
        <v>Yes</v>
      </c>
      <c r="S802" s="86">
        <f t="array" ref="S802">iferror(XLOOKUP(C802,'Download of SFDC Activation Rep'!B:B,'Download of SFDC Activation Rep'!Y:Y),"")</f>
        <v>46091</v>
      </c>
    </row>
    <row r="803">
      <c r="A803" s="17" t="s">
        <v>489</v>
      </c>
      <c r="B803" s="85">
        <v>46174.0</v>
      </c>
      <c r="C803" s="17">
        <v>4595676.0</v>
      </c>
      <c r="D803" s="85">
        <v>46113.0</v>
      </c>
      <c r="E803" s="17">
        <v>10.0</v>
      </c>
      <c r="F803" s="17">
        <v>1.0</v>
      </c>
      <c r="G803" s="17">
        <v>25914.0</v>
      </c>
      <c r="H803" s="17">
        <v>8721.0</v>
      </c>
      <c r="I803" s="17">
        <v>398.63</v>
      </c>
      <c r="J803" s="17"/>
      <c r="K803" s="17">
        <v>-0.925800000000002</v>
      </c>
      <c r="L803" s="17">
        <v>-8.4792713992</v>
      </c>
      <c r="M803" s="17">
        <v>7.55347139919999</v>
      </c>
      <c r="N803" s="17">
        <v>46.75</v>
      </c>
      <c r="O803" s="14">
        <f t="shared" si="1"/>
        <v>45.8242</v>
      </c>
      <c r="P803" s="86">
        <f t="array" ref="P803">iferror(XLOOKUP(C803,'Download of SFDC Activation Rep'!B:B,'Download of SFDC Activation Rep'!Z:Z),"")</f>
        <v>46139</v>
      </c>
      <c r="Q803" s="86">
        <f t="shared" si="2"/>
        <v>46113</v>
      </c>
      <c r="R803" s="13" t="str">
        <f t="shared" si="3"/>
        <v>Yes</v>
      </c>
      <c r="S803" s="86">
        <f t="array" ref="S803">iferror(XLOOKUP(C803,'Download of SFDC Activation Rep'!B:B,'Download of SFDC Activation Rep'!Y:Y),"")</f>
        <v>46258</v>
      </c>
    </row>
    <row r="804">
      <c r="A804" s="17" t="s">
        <v>17</v>
      </c>
      <c r="B804" s="85">
        <v>46082.0</v>
      </c>
      <c r="C804" s="17">
        <v>4491049.0</v>
      </c>
      <c r="D804" s="85">
        <v>46082.0</v>
      </c>
      <c r="E804" s="17">
        <v>1.0</v>
      </c>
      <c r="F804" s="17">
        <v>1.0</v>
      </c>
      <c r="G804" s="17">
        <v>4856.25</v>
      </c>
      <c r="H804" s="17"/>
      <c r="I804" s="17">
        <v>0.0</v>
      </c>
      <c r="J804" s="17"/>
      <c r="K804" s="17">
        <v>-0.15</v>
      </c>
      <c r="L804" s="17">
        <v>-0.1985625</v>
      </c>
      <c r="M804" s="17">
        <v>0.0485625</v>
      </c>
      <c r="N804" s="17">
        <v>0.0</v>
      </c>
      <c r="O804" s="14">
        <f t="shared" si="1"/>
        <v>-0.15</v>
      </c>
      <c r="P804" s="86">
        <f t="array" ref="P804">iferror(XLOOKUP(C804,'Download of SFDC Activation Rep'!B:B,'Download of SFDC Activation Rep'!Z:Z),"")</f>
        <v>46104</v>
      </c>
      <c r="Q804" s="86">
        <f t="shared" si="2"/>
        <v>46082</v>
      </c>
      <c r="R804" s="13" t="str">
        <f t="shared" si="3"/>
        <v>Yes</v>
      </c>
      <c r="S804" s="86">
        <f t="array" ref="S804">iferror(XLOOKUP(C804,'Download of SFDC Activation Rep'!B:B,'Download of SFDC Activation Rep'!Y:Y),"")</f>
        <v>46132</v>
      </c>
    </row>
    <row r="805">
      <c r="A805" s="17" t="s">
        <v>488</v>
      </c>
      <c r="B805" s="85">
        <v>46113.0</v>
      </c>
      <c r="C805" s="17">
        <v>4233219.0</v>
      </c>
      <c r="D805" s="85">
        <v>45962.0</v>
      </c>
      <c r="E805" s="17">
        <v>14.0</v>
      </c>
      <c r="F805" s="17">
        <v>14.0</v>
      </c>
      <c r="G805" s="17">
        <v>35562.22</v>
      </c>
      <c r="H805" s="17"/>
      <c r="I805" s="17">
        <v>16.5</v>
      </c>
      <c r="J805" s="17"/>
      <c r="K805" s="17">
        <v>5.2801</v>
      </c>
      <c r="L805" s="17">
        <v>-0.216212660485998</v>
      </c>
      <c r="M805" s="17">
        <v>5.496312660486</v>
      </c>
      <c r="N805" s="17">
        <v>28.0</v>
      </c>
      <c r="O805" s="14">
        <f t="shared" si="1"/>
        <v>33.2801</v>
      </c>
      <c r="P805" s="86">
        <f t="array" ref="P805">iferror(XLOOKUP(C805,'Download of SFDC Activation Rep'!B:B,'Download of SFDC Activation Rep'!Z:Z),"")</f>
        <v>45978</v>
      </c>
      <c r="Q805" s="86">
        <f t="shared" si="2"/>
        <v>45962</v>
      </c>
      <c r="R805" s="13" t="str">
        <f t="shared" si="3"/>
        <v>Yes</v>
      </c>
      <c r="S805" s="86">
        <f t="array" ref="S805">iferror(XLOOKUP(C805,'Download of SFDC Activation Rep'!B:B,'Download of SFDC Activation Rep'!Y:Y),"")</f>
        <v>45989</v>
      </c>
    </row>
    <row r="806">
      <c r="A806" s="17" t="s">
        <v>488</v>
      </c>
      <c r="B806" s="85">
        <v>46143.0</v>
      </c>
      <c r="C806" s="17">
        <v>4008827.0</v>
      </c>
      <c r="D806" s="85">
        <v>45870.0</v>
      </c>
      <c r="E806" s="17">
        <v>17.0</v>
      </c>
      <c r="F806" s="17">
        <v>17.0</v>
      </c>
      <c r="G806" s="17">
        <v>64489.25</v>
      </c>
      <c r="H806" s="17"/>
      <c r="I806" s="17">
        <v>31.88</v>
      </c>
      <c r="J806" s="17"/>
      <c r="K806" s="17">
        <v>29.5034</v>
      </c>
      <c r="L806" s="17">
        <v>14.670690773975</v>
      </c>
      <c r="M806" s="17">
        <v>14.832709226025</v>
      </c>
      <c r="N806" s="17">
        <v>25.0</v>
      </c>
      <c r="O806" s="14">
        <f t="shared" si="1"/>
        <v>54.5034</v>
      </c>
      <c r="P806" s="86">
        <f t="array" ref="P806">iferror(XLOOKUP(C806,'Download of SFDC Activation Rep'!B:B,'Download of SFDC Activation Rep'!Z:Z),"")</f>
        <v>45870</v>
      </c>
      <c r="Q806" s="86">
        <f t="shared" si="2"/>
        <v>45870</v>
      </c>
      <c r="R806" s="13" t="str">
        <f t="shared" si="3"/>
        <v>Yes</v>
      </c>
      <c r="S806" s="86">
        <f t="array" ref="S806">iferror(XLOOKUP(C806,'Download of SFDC Activation Rep'!B:B,'Download of SFDC Activation Rep'!Y:Y),"")</f>
        <v>45884</v>
      </c>
    </row>
    <row r="807">
      <c r="A807" s="17" t="s">
        <v>19</v>
      </c>
      <c r="B807" s="85">
        <v>46054.0</v>
      </c>
      <c r="C807" s="17">
        <v>4374819.0</v>
      </c>
      <c r="D807" s="85">
        <v>46054.0</v>
      </c>
      <c r="E807" s="17">
        <v>4.0</v>
      </c>
      <c r="F807" s="17">
        <v>4.0</v>
      </c>
      <c r="G807" s="17">
        <v>62351.58</v>
      </c>
      <c r="H807" s="17"/>
      <c r="I807" s="17">
        <v>8.386504</v>
      </c>
      <c r="J807" s="17"/>
      <c r="K807" s="17">
        <v>7.8365</v>
      </c>
      <c r="L807" s="17">
        <v>-1.93282661145399</v>
      </c>
      <c r="M807" s="17">
        <v>9.769326611454</v>
      </c>
      <c r="N807" s="17">
        <v>0.0</v>
      </c>
      <c r="O807" s="14">
        <f t="shared" si="1"/>
        <v>7.8365</v>
      </c>
      <c r="P807" s="86">
        <f t="array" ref="P807">iferror(XLOOKUP(C807,'Download of SFDC Activation Rep'!B:B,'Download of SFDC Activation Rep'!Z:Z),"")</f>
        <v>46197</v>
      </c>
      <c r="Q807" s="86">
        <f t="shared" si="2"/>
        <v>46174</v>
      </c>
      <c r="R807" s="13" t="str">
        <f t="shared" si="3"/>
        <v>No</v>
      </c>
      <c r="S807" s="86">
        <f t="array" ref="S807">iferror(XLOOKUP(C807,'Download of SFDC Activation Rep'!B:B,'Download of SFDC Activation Rep'!Y:Y),"")</f>
        <v>46361</v>
      </c>
    </row>
    <row r="808">
      <c r="A808" s="17" t="s">
        <v>19</v>
      </c>
      <c r="B808" s="85">
        <v>46113.0</v>
      </c>
      <c r="C808" s="17">
        <v>47426.0</v>
      </c>
      <c r="D808" s="85">
        <v>43983.0</v>
      </c>
      <c r="E808" s="17">
        <v>128.0</v>
      </c>
      <c r="F808" s="17">
        <v>128.0</v>
      </c>
      <c r="G808" s="17">
        <v>138160.59</v>
      </c>
      <c r="H808" s="17"/>
      <c r="I808" s="17">
        <v>42.6</v>
      </c>
      <c r="J808" s="17"/>
      <c r="K808" s="17">
        <v>23.7514</v>
      </c>
      <c r="L808" s="17">
        <v>-4.21521480196699</v>
      </c>
      <c r="M808" s="17">
        <v>27.9666148019669</v>
      </c>
      <c r="N808" s="17">
        <v>54.4</v>
      </c>
      <c r="O808" s="14">
        <f t="shared" si="1"/>
        <v>78.1514</v>
      </c>
      <c r="P808" s="86">
        <f t="array" ref="P808">iferror(XLOOKUP(C808,'Download of SFDC Activation Rep'!B:B,'Download of SFDC Activation Rep'!Z:Z),"")</f>
        <v>46001</v>
      </c>
      <c r="Q808" s="86">
        <f t="shared" si="2"/>
        <v>45992</v>
      </c>
      <c r="R808" s="13" t="str">
        <f t="shared" si="3"/>
        <v>Yes</v>
      </c>
      <c r="S808" s="86">
        <f t="array" ref="S808">iferror(XLOOKUP(C808,'Download of SFDC Activation Rep'!B:B,'Download of SFDC Activation Rep'!Y:Y),"")</f>
        <v>46028</v>
      </c>
    </row>
    <row r="809">
      <c r="A809" s="17" t="s">
        <v>488</v>
      </c>
      <c r="B809" s="85">
        <v>45962.0</v>
      </c>
      <c r="C809" s="17">
        <v>3785914.0</v>
      </c>
      <c r="D809" s="85">
        <v>45778.0</v>
      </c>
      <c r="E809" s="17">
        <v>10.0</v>
      </c>
      <c r="F809" s="17">
        <v>9.0</v>
      </c>
      <c r="G809" s="17">
        <v>26132.9</v>
      </c>
      <c r="H809" s="17"/>
      <c r="I809" s="17">
        <v>85.48</v>
      </c>
      <c r="J809" s="17"/>
      <c r="K809" s="17">
        <v>82.9829</v>
      </c>
      <c r="L809" s="17">
        <v>79.6124333308963</v>
      </c>
      <c r="M809" s="17">
        <v>3.37046666910369</v>
      </c>
      <c r="N809" s="17">
        <v>3.49999999999999</v>
      </c>
      <c r="O809" s="14">
        <f t="shared" si="1"/>
        <v>86.4829</v>
      </c>
      <c r="P809" s="86">
        <f t="array" ref="P809">iferror(XLOOKUP(C809,'Download of SFDC Activation Rep'!B:B,'Download of SFDC Activation Rep'!Z:Z),"")</f>
        <v>45806</v>
      </c>
      <c r="Q809" s="86">
        <f t="shared" si="2"/>
        <v>45778</v>
      </c>
      <c r="R809" s="13" t="str">
        <f t="shared" si="3"/>
        <v>Yes</v>
      </c>
      <c r="S809" s="86">
        <f t="array" ref="S809">iferror(XLOOKUP(C809,'Download of SFDC Activation Rep'!B:B,'Download of SFDC Activation Rep'!Y:Y),"")</f>
        <v>45806</v>
      </c>
    </row>
    <row r="810">
      <c r="A810" s="17" t="s">
        <v>19</v>
      </c>
      <c r="B810" s="85">
        <v>46113.0</v>
      </c>
      <c r="C810" s="17">
        <v>4359669.0</v>
      </c>
      <c r="D810" s="85">
        <v>46054.0</v>
      </c>
      <c r="E810" s="17">
        <v>91.0</v>
      </c>
      <c r="F810" s="17">
        <v>91.0</v>
      </c>
      <c r="G810" s="17">
        <v>295799.36</v>
      </c>
      <c r="H810" s="17"/>
      <c r="I810" s="17">
        <v>1108.24</v>
      </c>
      <c r="K810" s="17">
        <v>1090.5881</v>
      </c>
      <c r="L810" s="17">
        <v>810.539119426672</v>
      </c>
      <c r="M810" s="17">
        <v>280.048980573328</v>
      </c>
      <c r="N810" s="17">
        <v>64.0</v>
      </c>
      <c r="O810" s="14">
        <f t="shared" si="1"/>
        <v>1154.5881</v>
      </c>
      <c r="P810" s="86">
        <f t="array" ref="P810">iferror(XLOOKUP(C810,'Download of SFDC Activation Rep'!B:B,'Download of SFDC Activation Rep'!Z:Z),"")</f>
        <v>46028</v>
      </c>
      <c r="Q810" s="86">
        <f t="shared" si="2"/>
        <v>46023</v>
      </c>
      <c r="R810" s="13" t="str">
        <f t="shared" si="3"/>
        <v>Yes</v>
      </c>
      <c r="S810" s="86">
        <f t="array" ref="S810">iferror(XLOOKUP(C810,'Download of SFDC Activation Rep'!B:B,'Download of SFDC Activation Rep'!Y:Y),"")</f>
        <v>46079</v>
      </c>
    </row>
    <row r="811">
      <c r="A811" s="17" t="s">
        <v>17</v>
      </c>
      <c r="B811" s="85">
        <v>45992.0</v>
      </c>
      <c r="C811" s="17">
        <v>4265985.0</v>
      </c>
      <c r="D811" s="85">
        <v>45992.0</v>
      </c>
      <c r="E811" s="17">
        <v>3.0</v>
      </c>
      <c r="F811" s="17">
        <v>3.0</v>
      </c>
      <c r="G811" s="17">
        <v>153.0</v>
      </c>
      <c r="H811" s="17"/>
      <c r="I811" s="17">
        <v>0.0</v>
      </c>
      <c r="J811" s="17"/>
      <c r="K811" s="17">
        <v>-0.449999999999999</v>
      </c>
      <c r="L811" s="17">
        <v>-0.4739722460757</v>
      </c>
      <c r="M811" s="17">
        <v>0.0239722460757</v>
      </c>
      <c r="N811" s="17">
        <v>0.0</v>
      </c>
      <c r="O811" s="14">
        <f t="shared" si="1"/>
        <v>-0.45</v>
      </c>
      <c r="P811" s="86">
        <f t="array" ref="P811">iferror(XLOOKUP(C811,'Download of SFDC Activation Rep'!B:B,'Download of SFDC Activation Rep'!Z:Z),"")</f>
        <v>45993</v>
      </c>
      <c r="Q811" s="86">
        <f t="shared" si="2"/>
        <v>45992</v>
      </c>
      <c r="R811" s="13" t="str">
        <f t="shared" si="3"/>
        <v>Yes</v>
      </c>
      <c r="S811" s="86">
        <f t="array" ref="S811">iferror(XLOOKUP(C811,'Download of SFDC Activation Rep'!B:B,'Download of SFDC Activation Rep'!Y:Y),"")</f>
        <v>46001</v>
      </c>
    </row>
    <row r="812">
      <c r="A812" s="17" t="s">
        <v>488</v>
      </c>
      <c r="B812" s="85">
        <v>45992.0</v>
      </c>
      <c r="C812" s="17">
        <v>4107679.0</v>
      </c>
      <c r="D812" s="85">
        <v>45931.0</v>
      </c>
      <c r="E812" s="17">
        <v>1.0</v>
      </c>
      <c r="F812" s="17">
        <v>1.0</v>
      </c>
      <c r="G812" s="17">
        <v>3867.5</v>
      </c>
      <c r="H812" s="17"/>
      <c r="I812" s="17">
        <v>0.0</v>
      </c>
      <c r="J812" s="17"/>
      <c r="K812" s="17">
        <v>-0.15</v>
      </c>
      <c r="L812" s="17">
        <v>-0.75596510913575</v>
      </c>
      <c r="M812" s="17">
        <v>0.60596510913575</v>
      </c>
      <c r="N812" s="17">
        <v>25.0</v>
      </c>
      <c r="O812" s="14">
        <f t="shared" si="1"/>
        <v>24.85</v>
      </c>
      <c r="P812" s="86">
        <f t="array" ref="P812">iferror(XLOOKUP(C812,'Download of SFDC Activation Rep'!B:B,'Download of SFDC Activation Rep'!Z:Z),"")</f>
        <v>45930</v>
      </c>
      <c r="Q812" s="86">
        <f t="shared" si="2"/>
        <v>45901</v>
      </c>
      <c r="R812" s="13" t="str">
        <f t="shared" si="3"/>
        <v>Yes</v>
      </c>
      <c r="S812" s="86">
        <f t="array" ref="S812">iferror(XLOOKUP(C812,'Download of SFDC Activation Rep'!B:B,'Download of SFDC Activation Rep'!Y:Y),"")</f>
        <v>45950</v>
      </c>
    </row>
    <row r="813">
      <c r="A813" s="17" t="s">
        <v>19</v>
      </c>
      <c r="B813" s="85">
        <v>46143.0</v>
      </c>
      <c r="C813" s="17">
        <v>4374819.0</v>
      </c>
      <c r="D813" s="85">
        <v>46054.0</v>
      </c>
      <c r="E813" s="17">
        <v>13.0</v>
      </c>
      <c r="F813" s="17">
        <v>13.0</v>
      </c>
      <c r="G813" s="17">
        <v>164281.29</v>
      </c>
      <c r="H813" s="17"/>
      <c r="I813" s="17">
        <v>480.479089</v>
      </c>
      <c r="J813" s="17"/>
      <c r="K813" s="17">
        <v>478.7691</v>
      </c>
      <c r="L813" s="17">
        <v>453.029293917122</v>
      </c>
      <c r="M813" s="17">
        <v>25.7398060828771</v>
      </c>
      <c r="N813" s="17">
        <v>64.0</v>
      </c>
      <c r="O813" s="14">
        <f t="shared" si="1"/>
        <v>542.7691</v>
      </c>
      <c r="P813" s="86">
        <f t="array" ref="P813">iferror(XLOOKUP(C813,'Download of SFDC Activation Rep'!B:B,'Download of SFDC Activation Rep'!Z:Z),"")</f>
        <v>46197</v>
      </c>
      <c r="Q813" s="86">
        <f t="shared" si="2"/>
        <v>46174</v>
      </c>
      <c r="R813" s="13" t="str">
        <f t="shared" si="3"/>
        <v>No</v>
      </c>
      <c r="S813" s="86">
        <f t="array" ref="S813">iferror(XLOOKUP(C813,'Download of SFDC Activation Rep'!B:B,'Download of SFDC Activation Rep'!Y:Y),"")</f>
        <v>46361</v>
      </c>
    </row>
    <row r="814">
      <c r="A814" s="17" t="s">
        <v>1487</v>
      </c>
      <c r="B814" s="85">
        <v>46143.0</v>
      </c>
      <c r="C814" s="17">
        <v>3935770.0</v>
      </c>
      <c r="D814" s="85">
        <v>45778.0</v>
      </c>
      <c r="E814" s="17">
        <v>68.0</v>
      </c>
      <c r="F814" s="17">
        <v>68.0</v>
      </c>
      <c r="G814" s="17">
        <v>291207.02</v>
      </c>
      <c r="H814" s="17"/>
      <c r="I814" s="17">
        <v>363.194845</v>
      </c>
      <c r="J814" s="17"/>
      <c r="K814" s="17">
        <v>353.5747</v>
      </c>
      <c r="L814" s="17">
        <v>302.12950983083</v>
      </c>
      <c r="M814" s="17">
        <v>51.4451901691699</v>
      </c>
      <c r="N814" s="17">
        <v>0.0</v>
      </c>
      <c r="O814" s="14">
        <f t="shared" si="1"/>
        <v>353.5747</v>
      </c>
      <c r="P814" s="86">
        <f t="array" ref="P814">iferror(XLOOKUP(C814,'Download of SFDC Activation Rep'!B:B,'Download of SFDC Activation Rep'!Z:Z),"")</f>
        <v>45797</v>
      </c>
      <c r="Q814" s="86">
        <f t="shared" si="2"/>
        <v>45778</v>
      </c>
      <c r="R814" s="13" t="str">
        <f t="shared" si="3"/>
        <v>Yes</v>
      </c>
      <c r="S814" s="86">
        <f t="array" ref="S814">iferror(XLOOKUP(C814,'Download of SFDC Activation Rep'!B:B,'Download of SFDC Activation Rep'!Y:Y),"")</f>
        <v>45797</v>
      </c>
    </row>
    <row r="815">
      <c r="A815" s="17" t="s">
        <v>17</v>
      </c>
      <c r="B815" s="85">
        <v>46082.0</v>
      </c>
      <c r="C815" s="17">
        <v>4485019.0</v>
      </c>
      <c r="D815" s="85">
        <v>46082.0</v>
      </c>
      <c r="E815" s="17">
        <v>2.0</v>
      </c>
      <c r="F815" s="17">
        <v>0.0</v>
      </c>
      <c r="G815" s="17">
        <v>887.0</v>
      </c>
      <c r="H815" s="17">
        <v>887.0</v>
      </c>
      <c r="I815" s="17">
        <v>25.73</v>
      </c>
      <c r="J815" s="17"/>
      <c r="K815" s="17">
        <v>-0.4602</v>
      </c>
      <c r="L815" s="17">
        <v>-0.46907</v>
      </c>
      <c r="M815" s="17">
        <v>0.00886999999999993</v>
      </c>
      <c r="N815" s="17">
        <v>0.0</v>
      </c>
      <c r="O815" s="14">
        <f t="shared" si="1"/>
        <v>5.3053</v>
      </c>
      <c r="P815" s="86">
        <f t="array" ref="P815">iferror(XLOOKUP(C815,'Download of SFDC Activation Rep'!B:B,'Download of SFDC Activation Rep'!Z:Z),"")</f>
        <v>46077</v>
      </c>
      <c r="Q815" s="86">
        <f t="shared" si="2"/>
        <v>46054</v>
      </c>
      <c r="R815" s="13" t="str">
        <f t="shared" si="3"/>
        <v>Yes</v>
      </c>
      <c r="S815" s="86">
        <f t="array" ref="S815">iferror(XLOOKUP(C815,'Download of SFDC Activation Rep'!B:B,'Download of SFDC Activation Rep'!Y:Y),"")</f>
        <v>46139</v>
      </c>
    </row>
    <row r="816">
      <c r="A816" s="17" t="s">
        <v>19</v>
      </c>
      <c r="B816" s="85">
        <v>45839.0</v>
      </c>
      <c r="C816" s="17">
        <v>3947424.0</v>
      </c>
      <c r="D816" s="85">
        <v>45809.0</v>
      </c>
      <c r="E816" s="17">
        <v>62.0</v>
      </c>
      <c r="F816" s="17">
        <v>62.0</v>
      </c>
      <c r="G816" s="17">
        <v>149121.04</v>
      </c>
      <c r="H816" s="17"/>
      <c r="I816" s="17">
        <v>30.604162</v>
      </c>
      <c r="J816" s="17">
        <v>4.0</v>
      </c>
      <c r="K816" s="17">
        <v>22.6142</v>
      </c>
      <c r="L816" s="17">
        <v>-0.750285398328775</v>
      </c>
      <c r="M816" s="17">
        <v>23.3644853983287</v>
      </c>
      <c r="N816" s="17">
        <v>5.49999999999999</v>
      </c>
      <c r="O816" s="14">
        <f t="shared" si="1"/>
        <v>28.1142</v>
      </c>
      <c r="P816" s="86">
        <f t="array" ref="P816">iferror(XLOOKUP(C816,'Download of SFDC Activation Rep'!B:B,'Download of SFDC Activation Rep'!Z:Z),"")</f>
        <v>45805</v>
      </c>
      <c r="Q816" s="86">
        <f t="shared" si="2"/>
        <v>45778</v>
      </c>
      <c r="R816" s="13" t="str">
        <f t="shared" si="3"/>
        <v>Yes</v>
      </c>
      <c r="S816" s="86">
        <f t="array" ref="S816">iferror(XLOOKUP(C816,'Download of SFDC Activation Rep'!B:B,'Download of SFDC Activation Rep'!Y:Y),"")</f>
        <v>45805</v>
      </c>
    </row>
    <row r="817">
      <c r="A817" s="17" t="s">
        <v>17</v>
      </c>
      <c r="B817" s="85">
        <v>45931.0</v>
      </c>
      <c r="C817" s="17">
        <v>3275131.0</v>
      </c>
      <c r="D817" s="85">
        <v>45839.0</v>
      </c>
      <c r="E817" s="17">
        <v>2.0</v>
      </c>
      <c r="F817" s="17">
        <v>2.0</v>
      </c>
      <c r="G817" s="17">
        <v>4730.04</v>
      </c>
      <c r="H817" s="17"/>
      <c r="I817" s="17">
        <v>0.0</v>
      </c>
      <c r="K817" s="17">
        <v>-0.12</v>
      </c>
      <c r="L817" s="17">
        <v>-0.1673004</v>
      </c>
      <c r="M817" s="17">
        <v>0.0473004</v>
      </c>
      <c r="N817" s="17">
        <v>25.0</v>
      </c>
      <c r="O817" s="14">
        <f t="shared" si="1"/>
        <v>24.88</v>
      </c>
      <c r="P817" s="86">
        <f t="array" ref="P817">iferror(XLOOKUP(C817,'Download of SFDC Activation Rep'!B:B,'Download of SFDC Activation Rep'!Z:Z),"")</f>
        <v>45817</v>
      </c>
      <c r="Q817" s="86">
        <f t="shared" si="2"/>
        <v>45809</v>
      </c>
      <c r="R817" s="13" t="str">
        <f t="shared" si="3"/>
        <v>Yes</v>
      </c>
      <c r="S817" s="86">
        <f t="array" ref="S817">iferror(XLOOKUP(C817,'Download of SFDC Activation Rep'!B:B,'Download of SFDC Activation Rep'!Y:Y),"")</f>
        <v>45848</v>
      </c>
    </row>
    <row r="818">
      <c r="A818" s="17" t="s">
        <v>19</v>
      </c>
      <c r="B818" s="85">
        <v>46143.0</v>
      </c>
      <c r="C818" s="17">
        <v>2402714.0</v>
      </c>
      <c r="D818" s="85">
        <v>45931.0</v>
      </c>
      <c r="E818" s="17">
        <v>32.0</v>
      </c>
      <c r="F818" s="17">
        <v>32.0</v>
      </c>
      <c r="G818" s="17">
        <v>490917.75</v>
      </c>
      <c r="H818" s="17"/>
      <c r="I818" s="17">
        <v>37.282645</v>
      </c>
      <c r="J818" s="17">
        <v>2.0</v>
      </c>
      <c r="K818" s="17">
        <v>28.9104</v>
      </c>
      <c r="L818" s="17">
        <v>-47.9791680630749</v>
      </c>
      <c r="M818" s="17">
        <v>76.8895680630749</v>
      </c>
      <c r="N818" s="17">
        <v>80.0</v>
      </c>
      <c r="O818" s="14">
        <f t="shared" si="1"/>
        <v>108.9104</v>
      </c>
      <c r="P818" s="86">
        <f t="array" ref="P818">iferror(XLOOKUP(C818,'Download of SFDC Activation Rep'!B:B,'Download of SFDC Activation Rep'!Z:Z),"")</f>
        <v>45856</v>
      </c>
      <c r="Q818" s="86">
        <f t="shared" si="2"/>
        <v>45839</v>
      </c>
      <c r="R818" s="13" t="str">
        <f t="shared" si="3"/>
        <v>Yes</v>
      </c>
      <c r="S818" s="86">
        <f t="array" ref="S818">iferror(XLOOKUP(C818,'Download of SFDC Activation Rep'!B:B,'Download of SFDC Activation Rep'!Y:Y),"")</f>
        <v>45931</v>
      </c>
    </row>
    <row r="819">
      <c r="A819" s="17" t="s">
        <v>488</v>
      </c>
      <c r="B819" s="85">
        <v>46174.0</v>
      </c>
      <c r="C819" s="17">
        <v>3785914.0</v>
      </c>
      <c r="D819" s="85">
        <v>45778.0</v>
      </c>
      <c r="E819" s="17">
        <v>12.0</v>
      </c>
      <c r="F819" s="17">
        <v>9.0</v>
      </c>
      <c r="G819" s="17">
        <v>16755.0</v>
      </c>
      <c r="H819" s="17"/>
      <c r="I819" s="17">
        <v>222.73</v>
      </c>
      <c r="J819" s="17"/>
      <c r="K819" s="17">
        <v>49.1294</v>
      </c>
      <c r="L819" s="17">
        <v>44.86579103814</v>
      </c>
      <c r="M819" s="17">
        <v>4.26360896186</v>
      </c>
      <c r="N819" s="17">
        <v>35.0</v>
      </c>
      <c r="O819" s="14">
        <f t="shared" si="1"/>
        <v>84.1294</v>
      </c>
      <c r="P819" s="86">
        <f t="array" ref="P819">iferror(XLOOKUP(C819,'Download of SFDC Activation Rep'!B:B,'Download of SFDC Activation Rep'!Z:Z),"")</f>
        <v>45806</v>
      </c>
      <c r="Q819" s="86">
        <f t="shared" si="2"/>
        <v>45778</v>
      </c>
      <c r="R819" s="13" t="str">
        <f t="shared" si="3"/>
        <v>Yes</v>
      </c>
      <c r="S819" s="86">
        <f t="array" ref="S819">iferror(XLOOKUP(C819,'Download of SFDC Activation Rep'!B:B,'Download of SFDC Activation Rep'!Y:Y),"")</f>
        <v>45806</v>
      </c>
    </row>
    <row r="820">
      <c r="A820" s="17" t="s">
        <v>19</v>
      </c>
      <c r="B820" s="85">
        <v>46054.0</v>
      </c>
      <c r="C820" s="17">
        <v>2402714.0</v>
      </c>
      <c r="D820" s="85">
        <v>45931.0</v>
      </c>
      <c r="E820" s="17">
        <v>34.0</v>
      </c>
      <c r="F820" s="17">
        <v>34.0</v>
      </c>
      <c r="G820" s="17">
        <v>375623.98</v>
      </c>
      <c r="H820" s="17"/>
      <c r="I820" s="17">
        <v>57.11</v>
      </c>
      <c r="J820" s="17"/>
      <c r="K820" s="17">
        <v>50.4879</v>
      </c>
      <c r="L820" s="17">
        <v>-16.6130216424539</v>
      </c>
      <c r="M820" s="17">
        <v>67.100921642454</v>
      </c>
      <c r="N820" s="17">
        <v>80.0</v>
      </c>
      <c r="O820" s="14">
        <f t="shared" si="1"/>
        <v>130.4879</v>
      </c>
      <c r="P820" s="86">
        <f t="array" ref="P820">iferror(XLOOKUP(C820,'Download of SFDC Activation Rep'!B:B,'Download of SFDC Activation Rep'!Z:Z),"")</f>
        <v>45856</v>
      </c>
      <c r="Q820" s="86">
        <f t="shared" si="2"/>
        <v>45839</v>
      </c>
      <c r="R820" s="13" t="str">
        <f t="shared" si="3"/>
        <v>Yes</v>
      </c>
      <c r="S820" s="86">
        <f t="array" ref="S820">iferror(XLOOKUP(C820,'Download of SFDC Activation Rep'!B:B,'Download of SFDC Activation Rep'!Y:Y),"")</f>
        <v>45931</v>
      </c>
    </row>
    <row r="821">
      <c r="A821" s="17" t="s">
        <v>19</v>
      </c>
      <c r="B821" s="85">
        <v>46143.0</v>
      </c>
      <c r="C821" s="17">
        <v>4359669.0</v>
      </c>
      <c r="D821" s="85">
        <v>46054.0</v>
      </c>
      <c r="E821" s="17">
        <v>41.0</v>
      </c>
      <c r="F821" s="17">
        <v>41.0</v>
      </c>
      <c r="G821" s="17">
        <v>158589.4</v>
      </c>
      <c r="H821" s="17"/>
      <c r="I821" s="17">
        <v>1446.8485</v>
      </c>
      <c r="J821" s="17"/>
      <c r="K821" s="17">
        <v>1435.979</v>
      </c>
      <c r="L821" s="17">
        <v>1084.12829529941</v>
      </c>
      <c r="M821" s="17">
        <v>351.850704700584</v>
      </c>
      <c r="N821" s="17">
        <v>64.0</v>
      </c>
      <c r="O821" s="14">
        <f t="shared" si="1"/>
        <v>1499.979</v>
      </c>
      <c r="P821" s="86">
        <f t="array" ref="P821">iferror(XLOOKUP(C821,'Download of SFDC Activation Rep'!B:B,'Download of SFDC Activation Rep'!Z:Z),"")</f>
        <v>46028</v>
      </c>
      <c r="Q821" s="86">
        <f t="shared" si="2"/>
        <v>46023</v>
      </c>
      <c r="R821" s="13" t="str">
        <f t="shared" si="3"/>
        <v>Yes</v>
      </c>
      <c r="S821" s="86">
        <f t="array" ref="S821">iferror(XLOOKUP(C821,'Download of SFDC Activation Rep'!B:B,'Download of SFDC Activation Rep'!Y:Y),"")</f>
        <v>46079</v>
      </c>
    </row>
    <row r="822">
      <c r="A822" s="17" t="s">
        <v>17</v>
      </c>
      <c r="B822" s="85">
        <v>45566.0</v>
      </c>
      <c r="C822" s="17">
        <v>489723.0</v>
      </c>
      <c r="D822" s="85">
        <v>45200.0</v>
      </c>
      <c r="E822" s="17">
        <v>6.0</v>
      </c>
      <c r="F822" s="17">
        <v>6.0</v>
      </c>
      <c r="G822" s="17">
        <v>11339.53</v>
      </c>
      <c r="H822" s="17"/>
      <c r="I822" s="17">
        <v>0.0</v>
      </c>
      <c r="J822" s="17"/>
      <c r="K822" s="17">
        <v>-1.41</v>
      </c>
      <c r="L822" s="17">
        <v>-6.94373891351316</v>
      </c>
      <c r="M822" s="17">
        <v>5.53373891351316</v>
      </c>
      <c r="N822" s="17">
        <v>0.0</v>
      </c>
      <c r="O822" s="14">
        <f t="shared" si="1"/>
        <v>-1.41</v>
      </c>
      <c r="P822" s="86">
        <f t="array" ref="P822">iferror(XLOOKUP(C822,'Download of SFDC Activation Rep'!B:B,'Download of SFDC Activation Rep'!Z:Z),"")</f>
        <v>46112</v>
      </c>
      <c r="Q822" s="86">
        <f t="shared" si="2"/>
        <v>46082</v>
      </c>
      <c r="R822" s="13" t="str">
        <f t="shared" si="3"/>
        <v>No</v>
      </c>
      <c r="S822" s="86">
        <f t="array" ref="S822">iferror(XLOOKUP(C822,'Download of SFDC Activation Rep'!B:B,'Download of SFDC Activation Rep'!Y:Y),"")</f>
        <v>46204</v>
      </c>
    </row>
    <row r="823">
      <c r="A823" s="17" t="s">
        <v>489</v>
      </c>
      <c r="B823" s="85">
        <v>45931.0</v>
      </c>
      <c r="C823" s="17">
        <v>3328212.0</v>
      </c>
      <c r="D823" s="85">
        <v>45901.0</v>
      </c>
      <c r="E823" s="17">
        <v>5.0</v>
      </c>
      <c r="F823" s="17">
        <v>2.0</v>
      </c>
      <c r="G823" s="17">
        <v>1395.2</v>
      </c>
      <c r="H823" s="17">
        <v>522.85</v>
      </c>
      <c r="I823" s="17">
        <v>15.16</v>
      </c>
      <c r="J823" s="17"/>
      <c r="K823" s="17">
        <v>-0.11</v>
      </c>
      <c r="L823" s="17">
        <v>-0.123952</v>
      </c>
      <c r="M823" s="17">
        <v>0.0139519999999999</v>
      </c>
      <c r="N823" s="17">
        <v>24.992</v>
      </c>
      <c r="O823" s="14">
        <f t="shared" si="1"/>
        <v>24.882</v>
      </c>
      <c r="P823" s="86">
        <f t="array" ref="P823">iferror(XLOOKUP(C823,'Download of SFDC Activation Rep'!B:B,'Download of SFDC Activation Rep'!Z:Z),"")</f>
        <v>45816</v>
      </c>
      <c r="Q823" s="86">
        <f t="shared" si="2"/>
        <v>45809</v>
      </c>
      <c r="R823" s="13" t="str">
        <f t="shared" si="3"/>
        <v>Yes</v>
      </c>
      <c r="S823" s="86">
        <f t="array" ref="S823">iferror(XLOOKUP(C823,'Download of SFDC Activation Rep'!B:B,'Download of SFDC Activation Rep'!Y:Y),"")</f>
        <v>45903</v>
      </c>
    </row>
    <row r="824">
      <c r="A824" s="17" t="s">
        <v>488</v>
      </c>
      <c r="B824" s="85">
        <v>46082.0</v>
      </c>
      <c r="C824" s="17">
        <v>4410846.0</v>
      </c>
      <c r="D824" s="85">
        <v>46082.0</v>
      </c>
      <c r="E824" s="17">
        <v>3.0</v>
      </c>
      <c r="F824" s="17">
        <v>3.0</v>
      </c>
      <c r="G824" s="17">
        <v>1699.5</v>
      </c>
      <c r="H824" s="17"/>
      <c r="I824" s="17">
        <v>4.5</v>
      </c>
      <c r="J824" s="17"/>
      <c r="K824" s="17">
        <v>0.9448</v>
      </c>
      <c r="L824" s="17">
        <v>0.69551513065</v>
      </c>
      <c r="M824" s="17">
        <v>0.249284869349999</v>
      </c>
      <c r="N824" s="17">
        <v>2.79999999999999</v>
      </c>
      <c r="O824" s="14">
        <f t="shared" si="1"/>
        <v>3.7448</v>
      </c>
      <c r="P824" s="86">
        <f t="array" ref="P824">iferror(XLOOKUP(C824,'Download of SFDC Activation Rep'!B:B,'Download of SFDC Activation Rep'!Z:Z),"")</f>
        <v>46048</v>
      </c>
      <c r="Q824" s="86">
        <f t="shared" si="2"/>
        <v>46023</v>
      </c>
      <c r="R824" s="13" t="str">
        <f t="shared" si="3"/>
        <v>Yes</v>
      </c>
      <c r="S824" s="86">
        <f t="array" ref="S824">iferror(XLOOKUP(C824,'Download of SFDC Activation Rep'!B:B,'Download of SFDC Activation Rep'!Y:Y),"")</f>
        <v>46091</v>
      </c>
    </row>
    <row r="825">
      <c r="A825" s="17" t="s">
        <v>489</v>
      </c>
      <c r="B825" s="85">
        <v>45962.0</v>
      </c>
      <c r="C825" s="17">
        <v>4038405.0</v>
      </c>
      <c r="D825" s="85">
        <v>45870.0</v>
      </c>
      <c r="E825" s="17">
        <v>72.0</v>
      </c>
      <c r="F825" s="17">
        <v>72.0</v>
      </c>
      <c r="G825" s="17">
        <v>991567.27</v>
      </c>
      <c r="H825" s="17"/>
      <c r="I825" s="17">
        <v>264.34516</v>
      </c>
      <c r="J825" s="17">
        <v>4.0</v>
      </c>
      <c r="K825" s="17">
        <v>249.7977</v>
      </c>
      <c r="L825" s="17">
        <v>94.741169394444</v>
      </c>
      <c r="M825" s="17">
        <v>155.056530605556</v>
      </c>
      <c r="N825" s="17">
        <v>5.19999999999999</v>
      </c>
      <c r="O825" s="14">
        <f t="shared" si="1"/>
        <v>254.9977</v>
      </c>
      <c r="P825" s="86">
        <f t="array" ref="P825">iferror(XLOOKUP(C825,'Download of SFDC Activation Rep'!B:B,'Download of SFDC Activation Rep'!Z:Z),"")</f>
        <v>45839</v>
      </c>
      <c r="Q825" s="86">
        <f t="shared" si="2"/>
        <v>45839</v>
      </c>
      <c r="R825" s="13" t="str">
        <f t="shared" si="3"/>
        <v>Yes</v>
      </c>
      <c r="S825" s="86">
        <f t="array" ref="S825">iferror(XLOOKUP(C825,'Download of SFDC Activation Rep'!B:B,'Download of SFDC Activation Rep'!Y:Y),"")</f>
        <v>45877</v>
      </c>
    </row>
    <row r="826">
      <c r="A826" s="17" t="s">
        <v>19</v>
      </c>
      <c r="B826" s="85">
        <v>45901.0</v>
      </c>
      <c r="C826" s="17">
        <v>4031652.0</v>
      </c>
      <c r="D826" s="85">
        <v>45901.0</v>
      </c>
      <c r="E826" s="17">
        <v>165.0</v>
      </c>
      <c r="F826" s="17">
        <v>165.0</v>
      </c>
      <c r="G826" s="17">
        <v>947140.97</v>
      </c>
      <c r="H826" s="17"/>
      <c r="I826" s="17">
        <v>513.34</v>
      </c>
      <c r="J826" s="17"/>
      <c r="K826" s="17">
        <v>490.21</v>
      </c>
      <c r="L826" s="17">
        <v>307.938931128193</v>
      </c>
      <c r="M826" s="17">
        <v>182.271068871806</v>
      </c>
      <c r="N826" s="17">
        <v>7.99999999999999</v>
      </c>
      <c r="O826" s="14">
        <f t="shared" si="1"/>
        <v>498.21</v>
      </c>
      <c r="P826" s="86">
        <f t="array" ref="P826">iferror(XLOOKUP(C826,'Download of SFDC Activation Rep'!B:B,'Download of SFDC Activation Rep'!Z:Z),"")</f>
        <v>45881</v>
      </c>
      <c r="Q826" s="86">
        <f t="shared" si="2"/>
        <v>45870</v>
      </c>
      <c r="R826" s="13" t="str">
        <f t="shared" si="3"/>
        <v>Yes</v>
      </c>
      <c r="S826" s="86">
        <f t="array" ref="S826">iferror(XLOOKUP(C826,'Download of SFDC Activation Rep'!B:B,'Download of SFDC Activation Rep'!Y:Y),"")</f>
        <v>45889</v>
      </c>
    </row>
    <row r="827">
      <c r="A827" s="17" t="s">
        <v>489</v>
      </c>
      <c r="B827" s="85">
        <v>46082.0</v>
      </c>
      <c r="C827" s="17">
        <v>3499607.0</v>
      </c>
      <c r="D827" s="85">
        <v>46023.0</v>
      </c>
      <c r="E827" s="17">
        <v>52.0</v>
      </c>
      <c r="F827" s="17">
        <v>52.0</v>
      </c>
      <c r="G827" s="17">
        <v>147637.73</v>
      </c>
      <c r="H827" s="17"/>
      <c r="I827" s="17">
        <v>117.3</v>
      </c>
      <c r="J827" s="17">
        <v>2.0</v>
      </c>
      <c r="K827" s="17">
        <v>109.2416</v>
      </c>
      <c r="L827" s="17">
        <v>69.006114052631</v>
      </c>
      <c r="M827" s="17">
        <v>40.235485947369</v>
      </c>
      <c r="N827" s="17">
        <v>65.0</v>
      </c>
      <c r="O827" s="14">
        <f t="shared" si="1"/>
        <v>174.2416</v>
      </c>
      <c r="P827" s="86">
        <f t="array" ref="P827">iferror(XLOOKUP(C827,'Download of SFDC Activation Rep'!B:B,'Download of SFDC Activation Rep'!Z:Z),"")</f>
        <v>45981</v>
      </c>
      <c r="Q827" s="86">
        <f t="shared" si="2"/>
        <v>45962</v>
      </c>
      <c r="R827" s="13" t="str">
        <f t="shared" si="3"/>
        <v>Yes</v>
      </c>
      <c r="S827" s="86">
        <f t="array" ref="S827">iferror(XLOOKUP(C827,'Download of SFDC Activation Rep'!B:B,'Download of SFDC Activation Rep'!Y:Y),"")</f>
        <v>46024</v>
      </c>
    </row>
    <row r="828">
      <c r="A828" s="17" t="s">
        <v>19</v>
      </c>
      <c r="B828" s="85">
        <v>46054.0</v>
      </c>
      <c r="C828" s="17">
        <v>3934711.0</v>
      </c>
      <c r="D828" s="85">
        <v>45839.0</v>
      </c>
      <c r="E828" s="17">
        <v>22.0</v>
      </c>
      <c r="F828" s="17">
        <v>22.0</v>
      </c>
      <c r="G828" s="17">
        <v>3952.0</v>
      </c>
      <c r="H828" s="17"/>
      <c r="I828" s="17">
        <v>1.17</v>
      </c>
      <c r="J828" s="17"/>
      <c r="K828" s="17">
        <v>-2.0089</v>
      </c>
      <c r="L828" s="17">
        <v>-2.8972808752</v>
      </c>
      <c r="M828" s="17">
        <v>0.888380875199999</v>
      </c>
      <c r="N828" s="17">
        <v>1.99999999999999</v>
      </c>
      <c r="O828" s="14">
        <f t="shared" si="1"/>
        <v>-0.0089</v>
      </c>
      <c r="P828" s="86">
        <f t="array" ref="P828">iferror(XLOOKUP(C828,'Download of SFDC Activation Rep'!B:B,'Download of SFDC Activation Rep'!Z:Z),"")</f>
        <v>45817</v>
      </c>
      <c r="Q828" s="86">
        <f t="shared" si="2"/>
        <v>45809</v>
      </c>
      <c r="R828" s="13" t="str">
        <f t="shared" si="3"/>
        <v>Yes</v>
      </c>
      <c r="S828" s="86">
        <f t="array" ref="S828">iferror(XLOOKUP(C828,'Download of SFDC Activation Rep'!B:B,'Download of SFDC Activation Rep'!Y:Y),"")</f>
        <v>45817</v>
      </c>
    </row>
    <row r="829">
      <c r="A829" s="17" t="s">
        <v>488</v>
      </c>
      <c r="B829" s="85">
        <v>46082.0</v>
      </c>
      <c r="C829" s="17">
        <v>3934664.0</v>
      </c>
      <c r="D829" s="85">
        <v>45809.0</v>
      </c>
      <c r="E829" s="17">
        <v>12.0</v>
      </c>
      <c r="F829" s="17">
        <v>0.0</v>
      </c>
      <c r="G829" s="17">
        <v>17168.33</v>
      </c>
      <c r="H829" s="17">
        <v>12938.1</v>
      </c>
      <c r="I829" s="17">
        <v>497.88</v>
      </c>
      <c r="J829" s="17"/>
      <c r="K829" s="17">
        <v>15.7263</v>
      </c>
      <c r="L829" s="17">
        <v>15.5546167</v>
      </c>
      <c r="M829" s="17">
        <v>0.171683300000001</v>
      </c>
      <c r="N829" s="17">
        <v>25.0</v>
      </c>
      <c r="O829" s="14">
        <f t="shared" si="1"/>
        <v>124.82395</v>
      </c>
      <c r="P829" s="86">
        <f t="array" ref="P829">iferror(XLOOKUP(C829,'Download of SFDC Activation Rep'!B:B,'Download of SFDC Activation Rep'!Z:Z),"")</f>
        <v>45820</v>
      </c>
      <c r="Q829" s="86">
        <f t="shared" si="2"/>
        <v>45809</v>
      </c>
      <c r="R829" s="13" t="str">
        <f t="shared" si="3"/>
        <v>Yes</v>
      </c>
      <c r="S829" s="86">
        <f t="array" ref="S829">iferror(XLOOKUP(C829,'Download of SFDC Activation Rep'!B:B,'Download of SFDC Activation Rep'!Y:Y),"")</f>
        <v>45829</v>
      </c>
    </row>
    <row r="830">
      <c r="A830" s="17" t="s">
        <v>488</v>
      </c>
      <c r="B830" s="85">
        <v>46143.0</v>
      </c>
      <c r="C830" s="17">
        <v>4329147.0</v>
      </c>
      <c r="D830" s="85">
        <v>46023.0</v>
      </c>
      <c r="E830" s="17">
        <v>67.0</v>
      </c>
      <c r="F830" s="17">
        <v>0.0</v>
      </c>
      <c r="G830" s="17">
        <v>45676.0</v>
      </c>
      <c r="H830" s="17">
        <v>45676.0</v>
      </c>
      <c r="I830" s="17">
        <v>1324.56</v>
      </c>
      <c r="J830" s="17"/>
      <c r="K830" s="17">
        <v>78.1744</v>
      </c>
      <c r="L830" s="17">
        <v>53.9454379072</v>
      </c>
      <c r="M830" s="17">
        <v>24.2289620928</v>
      </c>
      <c r="N830" s="17">
        <v>25.0</v>
      </c>
      <c r="O830" s="14">
        <f t="shared" si="1"/>
        <v>103.1744</v>
      </c>
      <c r="P830" s="86">
        <f t="array" ref="P830">iferror(XLOOKUP(C830,'Download of SFDC Activation Rep'!B:B,'Download of SFDC Activation Rep'!Z:Z),"")</f>
        <v>46197</v>
      </c>
      <c r="Q830" s="86">
        <f t="shared" si="2"/>
        <v>46174</v>
      </c>
      <c r="R830" s="13" t="str">
        <f t="shared" si="3"/>
        <v>No</v>
      </c>
      <c r="S830" s="86">
        <f t="array" ref="S830">iferror(XLOOKUP(C830,'Download of SFDC Activation Rep'!B:B,'Download of SFDC Activation Rep'!Y:Y),"")</f>
        <v>46361</v>
      </c>
    </row>
    <row r="831">
      <c r="A831" s="17" t="s">
        <v>488</v>
      </c>
      <c r="B831" s="85">
        <v>46113.0</v>
      </c>
      <c r="C831" s="17">
        <v>2340816.0</v>
      </c>
      <c r="D831" s="85">
        <v>45931.0</v>
      </c>
      <c r="E831" s="17">
        <v>14.0</v>
      </c>
      <c r="F831" s="17">
        <v>14.0</v>
      </c>
      <c r="G831" s="17">
        <v>6602.36</v>
      </c>
      <c r="H831" s="17"/>
      <c r="I831" s="17">
        <v>18.69</v>
      </c>
      <c r="J831" s="17">
        <v>0.5</v>
      </c>
      <c r="K831" s="17">
        <v>12.9549</v>
      </c>
      <c r="L831" s="17">
        <v>11.0193358947319</v>
      </c>
      <c r="M831" s="17">
        <v>1.935564105268</v>
      </c>
      <c r="N831" s="17">
        <v>20.0</v>
      </c>
      <c r="O831" s="14">
        <f t="shared" si="1"/>
        <v>32.9549</v>
      </c>
      <c r="P831" s="86">
        <f t="array" ref="P831">iferror(XLOOKUP(C831,'Download of SFDC Activation Rep'!B:B,'Download of SFDC Activation Rep'!Z:Z),"")</f>
        <v>45929</v>
      </c>
      <c r="Q831" s="86">
        <f t="shared" si="2"/>
        <v>45901</v>
      </c>
      <c r="R831" s="13" t="str">
        <f t="shared" si="3"/>
        <v>Yes</v>
      </c>
      <c r="S831" s="86">
        <f t="array" ref="S831">iferror(XLOOKUP(C831,'Download of SFDC Activation Rep'!B:B,'Download of SFDC Activation Rep'!Y:Y),"")</f>
        <v>45936</v>
      </c>
    </row>
    <row r="832">
      <c r="A832" s="17" t="s">
        <v>488</v>
      </c>
      <c r="B832" s="85">
        <v>46023.0</v>
      </c>
      <c r="C832" s="17">
        <v>4031755.0</v>
      </c>
      <c r="D832" s="85">
        <v>45901.0</v>
      </c>
      <c r="E832" s="17">
        <v>14.0</v>
      </c>
      <c r="F832" s="17">
        <v>14.0</v>
      </c>
      <c r="G832" s="17">
        <v>501952.71</v>
      </c>
      <c r="H832" s="17"/>
      <c r="I832" s="17">
        <v>38.65</v>
      </c>
      <c r="K832" s="17">
        <v>22.8693</v>
      </c>
      <c r="L832" s="17">
        <v>-83.8902607237766</v>
      </c>
      <c r="M832" s="17">
        <v>106.759560723776</v>
      </c>
      <c r="N832" s="17">
        <v>5.25</v>
      </c>
      <c r="O832" s="14">
        <f t="shared" si="1"/>
        <v>28.1193</v>
      </c>
      <c r="P832" s="86">
        <f t="array" ref="P832">iferror(XLOOKUP(C832,'Download of SFDC Activation Rep'!B:B,'Download of SFDC Activation Rep'!Z:Z),"")</f>
        <v>45856</v>
      </c>
      <c r="Q832" s="86">
        <f t="shared" si="2"/>
        <v>45839</v>
      </c>
      <c r="R832" s="13" t="str">
        <f t="shared" si="3"/>
        <v>Yes</v>
      </c>
      <c r="S832" s="86">
        <f t="array" ref="S832">iferror(XLOOKUP(C832,'Download of SFDC Activation Rep'!B:B,'Download of SFDC Activation Rep'!Y:Y),"")</f>
        <v>45901</v>
      </c>
    </row>
    <row r="833">
      <c r="A833" s="17" t="s">
        <v>488</v>
      </c>
      <c r="B833" s="85">
        <v>46023.0</v>
      </c>
      <c r="C833" s="17">
        <v>4327510.0</v>
      </c>
      <c r="D833" s="85">
        <v>46023.0</v>
      </c>
      <c r="E833" s="17">
        <v>12.0</v>
      </c>
      <c r="F833" s="17">
        <v>10.0</v>
      </c>
      <c r="G833" s="17">
        <v>4601.9</v>
      </c>
      <c r="H833" s="17"/>
      <c r="I833" s="17">
        <v>32.46</v>
      </c>
      <c r="J833" s="17"/>
      <c r="K833" s="17">
        <v>0.964499999999999</v>
      </c>
      <c r="L833" s="17">
        <v>0.84323175</v>
      </c>
      <c r="M833" s="17">
        <v>0.121268249999999</v>
      </c>
      <c r="N833" s="17">
        <v>0.0</v>
      </c>
      <c r="O833" s="14">
        <f t="shared" si="1"/>
        <v>0.9645</v>
      </c>
      <c r="P833" s="86">
        <f t="array" ref="P833">iferror(XLOOKUP(C833,'Download of SFDC Activation Rep'!B:B,'Download of SFDC Activation Rep'!Z:Z),"")</f>
        <v>46021</v>
      </c>
      <c r="Q833" s="86">
        <f t="shared" si="2"/>
        <v>45992</v>
      </c>
      <c r="R833" s="13" t="str">
        <f t="shared" si="3"/>
        <v>Yes</v>
      </c>
      <c r="S833" s="86">
        <f t="array" ref="S833">iferror(XLOOKUP(C833,'Download of SFDC Activation Rep'!B:B,'Download of SFDC Activation Rep'!Y:Y),"")</f>
        <v>46037</v>
      </c>
    </row>
    <row r="834">
      <c r="A834" s="17" t="s">
        <v>489</v>
      </c>
      <c r="B834" s="85">
        <v>45992.0</v>
      </c>
      <c r="C834" s="17">
        <v>3024156.0</v>
      </c>
      <c r="D834" s="85">
        <v>45901.0</v>
      </c>
      <c r="E834" s="17">
        <v>41.0</v>
      </c>
      <c r="F834" s="17">
        <v>41.0</v>
      </c>
      <c r="G834" s="17">
        <v>113003.32</v>
      </c>
      <c r="H834" s="17"/>
      <c r="I834" s="17">
        <v>162.495941</v>
      </c>
      <c r="J834" s="17"/>
      <c r="K834" s="17">
        <v>143.1812</v>
      </c>
      <c r="L834" s="17">
        <v>125.974005718228</v>
      </c>
      <c r="M834" s="17">
        <v>17.2071942817717</v>
      </c>
      <c r="N834" s="17">
        <v>65.0</v>
      </c>
      <c r="O834" s="14">
        <f t="shared" si="1"/>
        <v>208.1812</v>
      </c>
      <c r="P834" s="86">
        <f t="array" ref="P834">iferror(XLOOKUP(C834,'Download of SFDC Activation Rep'!B:B,'Download of SFDC Activation Rep'!Z:Z),"")</f>
        <v>45897</v>
      </c>
      <c r="Q834" s="86">
        <f t="shared" si="2"/>
        <v>45870</v>
      </c>
      <c r="R834" s="13" t="str">
        <f t="shared" si="3"/>
        <v>Yes</v>
      </c>
      <c r="S834" s="86">
        <f t="array" ref="S834">iferror(XLOOKUP(C834,'Download of SFDC Activation Rep'!B:B,'Download of SFDC Activation Rep'!Y:Y),"")</f>
        <v>45916</v>
      </c>
    </row>
    <row r="835">
      <c r="A835" s="17" t="s">
        <v>19</v>
      </c>
      <c r="B835" s="85">
        <v>45992.0</v>
      </c>
      <c r="C835" s="17">
        <v>4117067.0</v>
      </c>
      <c r="D835" s="85">
        <v>45992.0</v>
      </c>
      <c r="E835" s="17">
        <v>56.0</v>
      </c>
      <c r="F835" s="17">
        <v>56.0</v>
      </c>
      <c r="G835" s="17">
        <v>734885.56</v>
      </c>
      <c r="H835" s="17"/>
      <c r="I835" s="17">
        <v>263.8038</v>
      </c>
      <c r="J835" s="17"/>
      <c r="K835" s="17">
        <v>227.4694</v>
      </c>
      <c r="L835" s="17">
        <v>109.802684914639</v>
      </c>
      <c r="M835" s="17">
        <v>117.66671508536</v>
      </c>
      <c r="N835" s="17">
        <v>6.39999999999999</v>
      </c>
      <c r="O835" s="14">
        <f t="shared" si="1"/>
        <v>233.8694</v>
      </c>
      <c r="P835" s="86">
        <f t="array" ref="P835">iferror(XLOOKUP(C835,'Download of SFDC Activation Rep'!B:B,'Download of SFDC Activation Rep'!Z:Z),"")</f>
        <v>45831</v>
      </c>
      <c r="Q835" s="86">
        <f t="shared" si="2"/>
        <v>45809</v>
      </c>
      <c r="R835" s="13" t="str">
        <f t="shared" si="3"/>
        <v>Yes</v>
      </c>
      <c r="S835" s="86">
        <f t="array" ref="S835">iferror(XLOOKUP(C835,'Download of SFDC Activation Rep'!B:B,'Download of SFDC Activation Rep'!Y:Y),"")</f>
        <v>45992</v>
      </c>
    </row>
    <row r="836">
      <c r="A836" s="17" t="s">
        <v>19</v>
      </c>
      <c r="B836" s="85">
        <v>46082.0</v>
      </c>
      <c r="C836" s="17">
        <v>47426.0</v>
      </c>
      <c r="D836" s="85">
        <v>43983.0</v>
      </c>
      <c r="E836" s="17">
        <v>100.0</v>
      </c>
      <c r="F836" s="17">
        <v>100.0</v>
      </c>
      <c r="G836" s="17">
        <v>117407.1</v>
      </c>
      <c r="H836" s="17"/>
      <c r="I836" s="17">
        <v>0.0</v>
      </c>
      <c r="K836" s="17">
        <v>-10.876</v>
      </c>
      <c r="L836" s="17">
        <v>-29.2714970572299</v>
      </c>
      <c r="M836" s="17">
        <v>18.3954970572299</v>
      </c>
      <c r="N836" s="17">
        <v>54.4</v>
      </c>
      <c r="O836" s="14">
        <f t="shared" si="1"/>
        <v>43.524</v>
      </c>
      <c r="P836" s="86">
        <f t="array" ref="P836">iferror(XLOOKUP(C836,'Download of SFDC Activation Rep'!B:B,'Download of SFDC Activation Rep'!Z:Z),"")</f>
        <v>46001</v>
      </c>
      <c r="Q836" s="86">
        <f t="shared" si="2"/>
        <v>45992</v>
      </c>
      <c r="R836" s="13" t="str">
        <f t="shared" si="3"/>
        <v>Yes</v>
      </c>
      <c r="S836" s="86">
        <f t="array" ref="S836">iferror(XLOOKUP(C836,'Download of SFDC Activation Rep'!B:B,'Download of SFDC Activation Rep'!Y:Y),"")</f>
        <v>46028</v>
      </c>
    </row>
    <row r="837">
      <c r="A837" s="17" t="s">
        <v>488</v>
      </c>
      <c r="B837" s="85">
        <v>46174.0</v>
      </c>
      <c r="C837" s="17">
        <v>4136952.0</v>
      </c>
      <c r="D837" s="85">
        <v>45931.0</v>
      </c>
      <c r="E837" s="17">
        <v>8.0</v>
      </c>
      <c r="F837" s="17">
        <v>8.0</v>
      </c>
      <c r="G837" s="17">
        <v>9611.84</v>
      </c>
      <c r="H837" s="17"/>
      <c r="I837" s="17">
        <v>22.2275</v>
      </c>
      <c r="J837" s="17"/>
      <c r="K837" s="17">
        <v>21.1898</v>
      </c>
      <c r="L837" s="17">
        <v>19.683804413408</v>
      </c>
      <c r="M837" s="17">
        <v>1.505995586592</v>
      </c>
      <c r="N837" s="17">
        <v>35.0</v>
      </c>
      <c r="O837" s="14">
        <f t="shared" si="1"/>
        <v>56.1898</v>
      </c>
      <c r="P837" s="86">
        <f t="array" ref="P837">iferror(XLOOKUP(C837,'Download of SFDC Activation Rep'!B:B,'Download of SFDC Activation Rep'!Z:Z),"")</f>
        <v>45930</v>
      </c>
      <c r="Q837" s="86">
        <f t="shared" si="2"/>
        <v>45901</v>
      </c>
      <c r="R837" s="13" t="str">
        <f t="shared" si="3"/>
        <v>Yes</v>
      </c>
      <c r="S837" s="86">
        <f t="array" ref="S837">iferror(XLOOKUP(C837,'Download of SFDC Activation Rep'!B:B,'Download of SFDC Activation Rep'!Y:Y),"")</f>
        <v>45938</v>
      </c>
    </row>
    <row r="838">
      <c r="A838" s="17" t="s">
        <v>488</v>
      </c>
      <c r="B838" s="85">
        <v>45992.0</v>
      </c>
      <c r="C838" s="17">
        <v>4068848.0</v>
      </c>
      <c r="D838" s="85">
        <v>45870.0</v>
      </c>
      <c r="E838" s="17">
        <v>18.0</v>
      </c>
      <c r="F838" s="17">
        <v>2.0</v>
      </c>
      <c r="G838" s="17">
        <v>13610.45</v>
      </c>
      <c r="H838" s="17">
        <v>12309.41</v>
      </c>
      <c r="I838" s="17">
        <v>381.65</v>
      </c>
      <c r="J838" s="17"/>
      <c r="K838" s="17">
        <v>54.3927</v>
      </c>
      <c r="L838" s="17">
        <v>48.0086233434262</v>
      </c>
      <c r="M838" s="17">
        <v>6.38407665657376</v>
      </c>
      <c r="N838" s="17">
        <v>0.0</v>
      </c>
      <c r="O838" s="14">
        <f t="shared" si="1"/>
        <v>54.3927</v>
      </c>
      <c r="P838" s="86">
        <f t="array" ref="P838">iferror(XLOOKUP(C838,'Download of SFDC Activation Rep'!B:B,'Download of SFDC Activation Rep'!Z:Z),"")</f>
        <v>45880</v>
      </c>
      <c r="Q838" s="86">
        <f t="shared" si="2"/>
        <v>45870</v>
      </c>
      <c r="R838" s="13" t="str">
        <f t="shared" si="3"/>
        <v>Yes</v>
      </c>
      <c r="S838" s="86">
        <f t="array" ref="S838">iferror(XLOOKUP(C838,'Download of SFDC Activation Rep'!B:B,'Download of SFDC Activation Rep'!Y:Y),"")</f>
        <v>45896</v>
      </c>
    </row>
    <row r="839">
      <c r="A839" s="17" t="s">
        <v>488</v>
      </c>
      <c r="B839" s="85">
        <v>45931.0</v>
      </c>
      <c r="C839" s="17">
        <v>3952865.0</v>
      </c>
      <c r="D839" s="85">
        <v>45809.0</v>
      </c>
      <c r="E839" s="17">
        <v>9.0</v>
      </c>
      <c r="F839" s="17">
        <v>9.0</v>
      </c>
      <c r="G839" s="17">
        <v>31304.1</v>
      </c>
      <c r="H839" s="17"/>
      <c r="I839" s="17">
        <v>0.0</v>
      </c>
      <c r="J839" s="17"/>
      <c r="K839" s="17">
        <v>-0.61</v>
      </c>
      <c r="L839" s="17">
        <v>-5.51476855149229</v>
      </c>
      <c r="M839" s="17">
        <v>4.90476855149229</v>
      </c>
      <c r="N839" s="17">
        <v>35.0</v>
      </c>
      <c r="O839" s="14">
        <f t="shared" si="1"/>
        <v>34.39</v>
      </c>
      <c r="P839" s="86">
        <f t="array" ref="P839">iferror(XLOOKUP(C839,'Download of SFDC Activation Rep'!B:B,'Download of SFDC Activation Rep'!Z:Z),"")</f>
        <v>45799</v>
      </c>
      <c r="Q839" s="86">
        <f t="shared" si="2"/>
        <v>45778</v>
      </c>
      <c r="R839" s="13" t="str">
        <f t="shared" si="3"/>
        <v>Yes</v>
      </c>
      <c r="S839" s="86">
        <f t="array" ref="S839">iferror(XLOOKUP(C839,'Download of SFDC Activation Rep'!B:B,'Download of SFDC Activation Rep'!Y:Y),"")</f>
        <v>45818</v>
      </c>
    </row>
    <row r="840">
      <c r="A840" s="17" t="s">
        <v>488</v>
      </c>
      <c r="B840" s="85">
        <v>46082.0</v>
      </c>
      <c r="C840" s="17">
        <v>4008827.0</v>
      </c>
      <c r="D840" s="85">
        <v>45870.0</v>
      </c>
      <c r="E840" s="17">
        <v>14.0</v>
      </c>
      <c r="F840" s="17">
        <v>14.0</v>
      </c>
      <c r="G840" s="17">
        <v>63991.0</v>
      </c>
      <c r="H840" s="17"/>
      <c r="I840" s="17">
        <v>27.13</v>
      </c>
      <c r="J840" s="17"/>
      <c r="K840" s="17">
        <v>25.8167999999999</v>
      </c>
      <c r="L840" s="17">
        <v>11.7667889517</v>
      </c>
      <c r="M840" s="17">
        <v>14.0500110482999</v>
      </c>
      <c r="N840" s="17">
        <v>25.0</v>
      </c>
      <c r="O840" s="14">
        <f t="shared" si="1"/>
        <v>50.8168</v>
      </c>
      <c r="P840" s="86">
        <f t="array" ref="P840">iferror(XLOOKUP(C840,'Download of SFDC Activation Rep'!B:B,'Download of SFDC Activation Rep'!Z:Z),"")</f>
        <v>45870</v>
      </c>
      <c r="Q840" s="86">
        <f t="shared" si="2"/>
        <v>45870</v>
      </c>
      <c r="R840" s="13" t="str">
        <f t="shared" si="3"/>
        <v>Yes</v>
      </c>
      <c r="S840" s="86">
        <f t="array" ref="S840">iferror(XLOOKUP(C840,'Download of SFDC Activation Rep'!B:B,'Download of SFDC Activation Rep'!Y:Y),"")</f>
        <v>45884</v>
      </c>
    </row>
    <row r="841">
      <c r="A841" s="17" t="s">
        <v>488</v>
      </c>
      <c r="B841" s="85">
        <v>46174.0</v>
      </c>
      <c r="C841" s="17">
        <v>4030970.0</v>
      </c>
      <c r="D841" s="85">
        <v>45870.0</v>
      </c>
      <c r="E841" s="17">
        <v>26.0</v>
      </c>
      <c r="F841" s="17">
        <v>26.0</v>
      </c>
      <c r="G841" s="17">
        <v>31776.81</v>
      </c>
      <c r="H841" s="17"/>
      <c r="I841" s="17">
        <v>129.329746</v>
      </c>
      <c r="J841" s="17"/>
      <c r="K841" s="17">
        <v>100.6561</v>
      </c>
      <c r="L841" s="17">
        <v>96.1732928925129</v>
      </c>
      <c r="M841" s="17">
        <v>4.48280710748701</v>
      </c>
      <c r="N841" s="17">
        <v>1.99999999999999</v>
      </c>
      <c r="O841" s="14">
        <f t="shared" si="1"/>
        <v>102.6561</v>
      </c>
      <c r="P841" s="86">
        <f t="array" ref="P841">iferror(XLOOKUP(C841,'Download of SFDC Activation Rep'!B:B,'Download of SFDC Activation Rep'!Z:Z),"")</f>
        <v>45870</v>
      </c>
      <c r="Q841" s="86">
        <f t="shared" si="2"/>
        <v>45870</v>
      </c>
      <c r="R841" s="13" t="str">
        <f t="shared" si="3"/>
        <v>Yes</v>
      </c>
      <c r="S841" s="86">
        <f t="array" ref="S841">iferror(XLOOKUP(C841,'Download of SFDC Activation Rep'!B:B,'Download of SFDC Activation Rep'!Y:Y),"")</f>
        <v>45876</v>
      </c>
    </row>
    <row r="842">
      <c r="A842" s="17" t="s">
        <v>488</v>
      </c>
      <c r="B842" s="85">
        <v>45992.0</v>
      </c>
      <c r="C842" s="17">
        <v>4008827.0</v>
      </c>
      <c r="D842" s="85">
        <v>45870.0</v>
      </c>
      <c r="E842" s="17">
        <v>16.0</v>
      </c>
      <c r="F842" s="17">
        <v>16.0</v>
      </c>
      <c r="G842" s="17">
        <v>67980.75</v>
      </c>
      <c r="H842" s="17"/>
      <c r="I842" s="17">
        <v>0.0</v>
      </c>
      <c r="J842" s="17"/>
      <c r="K842" s="17">
        <v>-2.37719999999999</v>
      </c>
      <c r="L842" s="17">
        <v>-13.0285154732721</v>
      </c>
      <c r="M842" s="17">
        <v>10.6513154732721</v>
      </c>
      <c r="N842" s="17">
        <v>25.0</v>
      </c>
      <c r="O842" s="14">
        <f t="shared" si="1"/>
        <v>22.6228</v>
      </c>
      <c r="P842" s="86">
        <f t="array" ref="P842">iferror(XLOOKUP(C842,'Download of SFDC Activation Rep'!B:B,'Download of SFDC Activation Rep'!Z:Z),"")</f>
        <v>45870</v>
      </c>
      <c r="Q842" s="86">
        <f t="shared" si="2"/>
        <v>45870</v>
      </c>
      <c r="R842" s="13" t="str">
        <f t="shared" si="3"/>
        <v>Yes</v>
      </c>
      <c r="S842" s="86">
        <f t="array" ref="S842">iferror(XLOOKUP(C842,'Download of SFDC Activation Rep'!B:B,'Download of SFDC Activation Rep'!Y:Y),"")</f>
        <v>45884</v>
      </c>
    </row>
    <row r="843">
      <c r="A843" s="17" t="s">
        <v>488</v>
      </c>
      <c r="B843" s="85">
        <v>46113.0</v>
      </c>
      <c r="C843" s="17">
        <v>4410846.0</v>
      </c>
      <c r="D843" s="85">
        <v>46082.0</v>
      </c>
      <c r="E843" s="17">
        <v>3.0</v>
      </c>
      <c r="F843" s="17">
        <v>3.0</v>
      </c>
      <c r="G843" s="17">
        <v>2382.25</v>
      </c>
      <c r="H843" s="17"/>
      <c r="I843" s="17">
        <v>3.0</v>
      </c>
      <c r="K843" s="17">
        <v>0.4213</v>
      </c>
      <c r="L843" s="17">
        <v>0.058445973075</v>
      </c>
      <c r="M843" s="17">
        <v>0.362854026924999</v>
      </c>
      <c r="N843" s="17">
        <v>2.79999999999999</v>
      </c>
      <c r="O843" s="14">
        <f t="shared" si="1"/>
        <v>3.2213</v>
      </c>
      <c r="P843" s="86">
        <f t="array" ref="P843">iferror(XLOOKUP(C843,'Download of SFDC Activation Rep'!B:B,'Download of SFDC Activation Rep'!Z:Z),"")</f>
        <v>46048</v>
      </c>
      <c r="Q843" s="86">
        <f t="shared" si="2"/>
        <v>46023</v>
      </c>
      <c r="R843" s="13" t="str">
        <f t="shared" si="3"/>
        <v>Yes</v>
      </c>
      <c r="S843" s="86">
        <f t="array" ref="S843">iferror(XLOOKUP(C843,'Download of SFDC Activation Rep'!B:B,'Download of SFDC Activation Rep'!Y:Y),"")</f>
        <v>46091</v>
      </c>
    </row>
    <row r="844">
      <c r="A844" s="17" t="s">
        <v>17</v>
      </c>
      <c r="B844" s="85">
        <v>45901.0</v>
      </c>
      <c r="C844" s="17">
        <v>4080340.0</v>
      </c>
      <c r="D844" s="85">
        <v>45901.0</v>
      </c>
      <c r="E844" s="17">
        <v>1.0</v>
      </c>
      <c r="F844" s="17">
        <v>1.0</v>
      </c>
      <c r="G844" s="17">
        <v>2473.05</v>
      </c>
      <c r="H844" s="17"/>
      <c r="I844" s="17">
        <v>0.0</v>
      </c>
      <c r="J844" s="17"/>
      <c r="K844" s="17">
        <v>-0.15</v>
      </c>
      <c r="L844" s="17">
        <v>-0.1747305</v>
      </c>
      <c r="M844" s="17">
        <v>0.0247305</v>
      </c>
      <c r="N844" s="17">
        <v>5.49999999999999</v>
      </c>
      <c r="O844" s="14">
        <f t="shared" si="1"/>
        <v>5.35</v>
      </c>
      <c r="P844" s="86">
        <f t="array" ref="P844">iferror(XLOOKUP(C844,'Download of SFDC Activation Rep'!B:B,'Download of SFDC Activation Rep'!Z:Z),"")</f>
        <v>45895</v>
      </c>
      <c r="Q844" s="86">
        <f t="shared" si="2"/>
        <v>45870</v>
      </c>
      <c r="R844" s="13" t="str">
        <f t="shared" si="3"/>
        <v>Yes</v>
      </c>
      <c r="S844" s="86">
        <f t="array" ref="S844">iferror(XLOOKUP(C844,'Download of SFDC Activation Rep'!B:B,'Download of SFDC Activation Rep'!Y:Y),"")</f>
        <v>45907</v>
      </c>
    </row>
    <row r="845">
      <c r="A845" s="17" t="s">
        <v>488</v>
      </c>
      <c r="B845" s="85">
        <v>46113.0</v>
      </c>
      <c r="C845" s="17">
        <v>4107679.0</v>
      </c>
      <c r="D845" s="85">
        <v>45931.0</v>
      </c>
      <c r="E845" s="17">
        <v>1.0</v>
      </c>
      <c r="F845" s="17">
        <v>1.0</v>
      </c>
      <c r="G845" s="17">
        <v>1000.0</v>
      </c>
      <c r="H845" s="17"/>
      <c r="I845" s="17">
        <v>0.0</v>
      </c>
      <c r="J845" s="17"/>
      <c r="K845" s="17">
        <v>-0.1521</v>
      </c>
      <c r="L845" s="17">
        <v>-0.3087813</v>
      </c>
      <c r="M845" s="17">
        <v>0.1566813</v>
      </c>
      <c r="N845" s="17">
        <v>25.0</v>
      </c>
      <c r="O845" s="14">
        <f t="shared" si="1"/>
        <v>24.8479</v>
      </c>
      <c r="P845" s="86">
        <f t="array" ref="P845">iferror(XLOOKUP(C845,'Download of SFDC Activation Rep'!B:B,'Download of SFDC Activation Rep'!Z:Z),"")</f>
        <v>45930</v>
      </c>
      <c r="Q845" s="86">
        <f t="shared" si="2"/>
        <v>45901</v>
      </c>
      <c r="R845" s="13" t="str">
        <f t="shared" si="3"/>
        <v>Yes</v>
      </c>
      <c r="S845" s="86">
        <f t="array" ref="S845">iferror(XLOOKUP(C845,'Download of SFDC Activation Rep'!B:B,'Download of SFDC Activation Rep'!Y:Y),"")</f>
        <v>45950</v>
      </c>
    </row>
    <row r="846">
      <c r="A846" s="17" t="s">
        <v>19</v>
      </c>
      <c r="B846" s="85">
        <v>45931.0</v>
      </c>
      <c r="C846" s="17">
        <v>2402714.0</v>
      </c>
      <c r="D846" s="85">
        <v>45931.0</v>
      </c>
      <c r="E846" s="17">
        <v>38.0</v>
      </c>
      <c r="F846" s="17">
        <v>38.0</v>
      </c>
      <c r="G846" s="17">
        <v>1.52</v>
      </c>
      <c r="H846" s="17"/>
      <c r="I846" s="17">
        <v>0.5</v>
      </c>
      <c r="J846" s="17">
        <v>0.5</v>
      </c>
      <c r="K846" s="17">
        <v>-2.38</v>
      </c>
      <c r="L846" s="17">
        <v>-2.38023815564728</v>
      </c>
      <c r="M846" s="17">
        <v>2.38155647287907E-4</v>
      </c>
      <c r="N846" s="17">
        <v>7.99999999999999</v>
      </c>
      <c r="O846" s="14">
        <f t="shared" si="1"/>
        <v>5.62</v>
      </c>
      <c r="P846" s="86">
        <f t="array" ref="P846">iferror(XLOOKUP(C846,'Download of SFDC Activation Rep'!B:B,'Download of SFDC Activation Rep'!Z:Z),"")</f>
        <v>45856</v>
      </c>
      <c r="Q846" s="86">
        <f t="shared" si="2"/>
        <v>45839</v>
      </c>
      <c r="R846" s="13" t="str">
        <f t="shared" si="3"/>
        <v>Yes</v>
      </c>
      <c r="S846" s="86">
        <f t="array" ref="S846">iferror(XLOOKUP(C846,'Download of SFDC Activation Rep'!B:B,'Download of SFDC Activation Rep'!Y:Y),"")</f>
        <v>45931</v>
      </c>
    </row>
    <row r="847">
      <c r="A847" s="17" t="s">
        <v>19</v>
      </c>
      <c r="B847" s="85">
        <v>46174.0</v>
      </c>
      <c r="C847" s="17">
        <v>4359265.0</v>
      </c>
      <c r="D847" s="85">
        <v>46143.0</v>
      </c>
      <c r="E847" s="17">
        <v>78.0</v>
      </c>
      <c r="F847" s="17">
        <v>78.0</v>
      </c>
      <c r="G847" s="17">
        <v>326224.06</v>
      </c>
      <c r="H847" s="17"/>
      <c r="I847" s="17">
        <v>1174.019164</v>
      </c>
      <c r="J847" s="17">
        <v>0.5</v>
      </c>
      <c r="K847" s="17">
        <v>1150.68089999999</v>
      </c>
      <c r="L847" s="17">
        <v>1110.37085270767</v>
      </c>
      <c r="M847" s="17">
        <v>40.3100472923279</v>
      </c>
      <c r="N847" s="17">
        <v>80.0</v>
      </c>
      <c r="O847" s="14">
        <f t="shared" si="1"/>
        <v>1230.6809</v>
      </c>
      <c r="P847" s="86">
        <f t="array" ref="P847">iferror(XLOOKUP(C847,'Download of SFDC Activation Rep'!B:B,'Download of SFDC Activation Rep'!Z:Z),"")</f>
        <v>46028</v>
      </c>
      <c r="Q847" s="86">
        <f t="shared" si="2"/>
        <v>46023</v>
      </c>
      <c r="R847" s="13" t="str">
        <f t="shared" si="3"/>
        <v>Yes</v>
      </c>
      <c r="S847" s="86">
        <f t="array" ref="S847">iferror(XLOOKUP(C847,'Download of SFDC Activation Rep'!B:B,'Download of SFDC Activation Rep'!Y:Y),"")</f>
        <v>46086</v>
      </c>
    </row>
    <row r="848">
      <c r="A848" s="17" t="s">
        <v>489</v>
      </c>
      <c r="B848" s="85">
        <v>45992.0</v>
      </c>
      <c r="C848" s="17">
        <v>3328212.0</v>
      </c>
      <c r="D848" s="85">
        <v>45901.0</v>
      </c>
      <c r="E848" s="17">
        <v>1.0</v>
      </c>
      <c r="F848" s="17">
        <v>1.0</v>
      </c>
      <c r="G848" s="17">
        <v>521.95</v>
      </c>
      <c r="H848" s="17"/>
      <c r="I848" s="17">
        <v>0.0</v>
      </c>
      <c r="K848" s="17">
        <v>-0.1695</v>
      </c>
      <c r="L848" s="17">
        <v>-0.1747195</v>
      </c>
      <c r="M848" s="17">
        <v>0.00521949999999998</v>
      </c>
      <c r="N848" s="17">
        <v>24.992</v>
      </c>
      <c r="O848" s="14">
        <f t="shared" si="1"/>
        <v>24.8225</v>
      </c>
      <c r="P848" s="86">
        <f t="array" ref="P848">iferror(XLOOKUP(C848,'Download of SFDC Activation Rep'!B:B,'Download of SFDC Activation Rep'!Z:Z),"")</f>
        <v>45816</v>
      </c>
      <c r="Q848" s="86">
        <f t="shared" si="2"/>
        <v>45809</v>
      </c>
      <c r="R848" s="13" t="str">
        <f t="shared" si="3"/>
        <v>Yes</v>
      </c>
      <c r="S848" s="86">
        <f t="array" ref="S848">iferror(XLOOKUP(C848,'Download of SFDC Activation Rep'!B:B,'Download of SFDC Activation Rep'!Y:Y),"")</f>
        <v>45903</v>
      </c>
    </row>
    <row r="849">
      <c r="A849" s="17" t="s">
        <v>488</v>
      </c>
      <c r="B849" s="85">
        <v>45809.0</v>
      </c>
      <c r="C849" s="17">
        <v>3906405.0</v>
      </c>
      <c r="D849" s="85">
        <v>45778.0</v>
      </c>
      <c r="E849" s="17">
        <v>8.0</v>
      </c>
      <c r="F849" s="17">
        <v>8.0</v>
      </c>
      <c r="G849" s="17">
        <v>1405.0</v>
      </c>
      <c r="H849" s="17"/>
      <c r="I849" s="17">
        <v>3.25</v>
      </c>
      <c r="J849" s="17"/>
      <c r="K849" s="17">
        <v>2.28</v>
      </c>
      <c r="L849" s="17">
        <v>1.31215056093049</v>
      </c>
      <c r="M849" s="17">
        <v>0.9678494390695</v>
      </c>
      <c r="N849" s="17">
        <v>29.75</v>
      </c>
      <c r="O849" s="14">
        <f t="shared" si="1"/>
        <v>32.03</v>
      </c>
      <c r="P849" s="86">
        <f t="array" ref="P849">iferror(XLOOKUP(C849,'Download of SFDC Activation Rep'!B:B,'Download of SFDC Activation Rep'!Z:Z),"")</f>
        <v>45798</v>
      </c>
      <c r="Q849" s="86">
        <f t="shared" si="2"/>
        <v>45778</v>
      </c>
      <c r="R849" s="13" t="str">
        <f t="shared" si="3"/>
        <v>Yes</v>
      </c>
      <c r="S849" s="86">
        <f t="array" ref="S849">iferror(XLOOKUP(C849,'Download of SFDC Activation Rep'!B:B,'Download of SFDC Activation Rep'!Y:Y),"")</f>
        <v>45807</v>
      </c>
    </row>
    <row r="850">
      <c r="A850" s="17" t="s">
        <v>488</v>
      </c>
      <c r="B850" s="85">
        <v>46174.0</v>
      </c>
      <c r="C850" s="17">
        <v>4266723.0</v>
      </c>
      <c r="D850" s="85">
        <v>45992.0</v>
      </c>
      <c r="E850" s="17">
        <v>4.0</v>
      </c>
      <c r="F850" s="17">
        <v>2.0</v>
      </c>
      <c r="G850" s="17">
        <v>8489.99</v>
      </c>
      <c r="H850" s="17"/>
      <c r="I850" s="17">
        <v>93.23</v>
      </c>
      <c r="K850" s="17">
        <v>7.94039999999999</v>
      </c>
      <c r="L850" s="17">
        <v>7.85550009999999</v>
      </c>
      <c r="M850" s="17">
        <v>0.0848998999999999</v>
      </c>
      <c r="N850" s="17">
        <v>20.0</v>
      </c>
      <c r="O850" s="14">
        <f t="shared" si="1"/>
        <v>27.9404</v>
      </c>
      <c r="P850" s="86">
        <f t="array" ref="P850">iferror(XLOOKUP(C850,'Download of SFDC Activation Rep'!B:B,'Download of SFDC Activation Rep'!Z:Z),"")</f>
        <v>45987</v>
      </c>
      <c r="Q850" s="86">
        <f t="shared" si="2"/>
        <v>45962</v>
      </c>
      <c r="R850" s="13" t="str">
        <f t="shared" si="3"/>
        <v>Yes</v>
      </c>
      <c r="S850" s="86">
        <f t="array" ref="S850">iferror(XLOOKUP(C850,'Download of SFDC Activation Rep'!B:B,'Download of SFDC Activation Rep'!Y:Y),"")</f>
        <v>46008</v>
      </c>
    </row>
    <row r="851">
      <c r="A851" s="17" t="s">
        <v>488</v>
      </c>
      <c r="B851" s="85">
        <v>46082.0</v>
      </c>
      <c r="C851" s="17">
        <v>2340816.0</v>
      </c>
      <c r="D851" s="85">
        <v>45931.0</v>
      </c>
      <c r="E851" s="17">
        <v>50.0</v>
      </c>
      <c r="F851" s="17">
        <v>50.0</v>
      </c>
      <c r="G851" s="17">
        <v>8855.28</v>
      </c>
      <c r="H851" s="17"/>
      <c r="I851" s="17">
        <v>41.14</v>
      </c>
      <c r="J851" s="17">
        <v>5.5</v>
      </c>
      <c r="K851" s="17">
        <v>25.9209</v>
      </c>
      <c r="L851" s="17">
        <v>22.8641150448879</v>
      </c>
      <c r="M851" s="17">
        <v>3.056784955112</v>
      </c>
      <c r="N851" s="17">
        <v>20.0</v>
      </c>
      <c r="O851" s="14">
        <f t="shared" si="1"/>
        <v>45.9209</v>
      </c>
      <c r="P851" s="86">
        <f t="array" ref="P851">iferror(XLOOKUP(C851,'Download of SFDC Activation Rep'!B:B,'Download of SFDC Activation Rep'!Z:Z),"")</f>
        <v>45929</v>
      </c>
      <c r="Q851" s="86">
        <f t="shared" si="2"/>
        <v>45901</v>
      </c>
      <c r="R851" s="13" t="str">
        <f t="shared" si="3"/>
        <v>Yes</v>
      </c>
      <c r="S851" s="86">
        <f t="array" ref="S851">iferror(XLOOKUP(C851,'Download of SFDC Activation Rep'!B:B,'Download of SFDC Activation Rep'!Y:Y),"")</f>
        <v>45936</v>
      </c>
    </row>
    <row r="852">
      <c r="A852" s="17" t="s">
        <v>488</v>
      </c>
      <c r="B852" s="85">
        <v>46143.0</v>
      </c>
      <c r="C852" s="17">
        <v>4585208.0</v>
      </c>
      <c r="D852" s="85">
        <v>46143.0</v>
      </c>
      <c r="E852" s="17">
        <v>1.0</v>
      </c>
      <c r="F852" s="17">
        <v>0.0</v>
      </c>
      <c r="G852" s="17">
        <v>17000.0</v>
      </c>
      <c r="H852" s="17">
        <v>17000.0</v>
      </c>
      <c r="I852" s="17">
        <v>493.0</v>
      </c>
      <c r="J852" s="17"/>
      <c r="K852" s="17">
        <v>25.4694</v>
      </c>
      <c r="L852" s="17">
        <v>16.4517024</v>
      </c>
      <c r="M852" s="17">
        <v>9.01769759999999</v>
      </c>
      <c r="N852" s="17">
        <v>21.25</v>
      </c>
      <c r="O852" s="14">
        <f t="shared" si="1"/>
        <v>46.7194</v>
      </c>
      <c r="P852" s="86">
        <f t="array" ref="P852">iferror(XLOOKUP(C852,'Download of SFDC Activation Rep'!B:B,'Download of SFDC Activation Rep'!Z:Z),"")</f>
        <v>46148</v>
      </c>
      <c r="Q852" s="86">
        <f t="shared" si="2"/>
        <v>46143</v>
      </c>
      <c r="R852" s="13" t="str">
        <f t="shared" si="3"/>
        <v>Yes</v>
      </c>
      <c r="S852" s="86">
        <f t="array" ref="S852">iferror(XLOOKUP(C852,'Download of SFDC Activation Rep'!B:B,'Download of SFDC Activation Rep'!Y:Y),"")</f>
        <v>46251</v>
      </c>
    </row>
    <row r="853">
      <c r="A853" s="17" t="s">
        <v>488</v>
      </c>
      <c r="B853" s="85">
        <v>45839.0</v>
      </c>
      <c r="C853" s="17">
        <v>3906405.0</v>
      </c>
      <c r="D853" s="85">
        <v>45778.0</v>
      </c>
      <c r="E853" s="17">
        <v>19.0</v>
      </c>
      <c r="F853" s="17">
        <v>19.0</v>
      </c>
      <c r="G853" s="17">
        <v>40621.29</v>
      </c>
      <c r="H853" s="17"/>
      <c r="I853" s="17">
        <v>0.0</v>
      </c>
      <c r="J853" s="17"/>
      <c r="K853" s="17">
        <v>-1.95</v>
      </c>
      <c r="L853" s="17">
        <v>-8.3145984300155</v>
      </c>
      <c r="M853" s="17">
        <v>6.3645984300155</v>
      </c>
      <c r="N853" s="17">
        <v>29.75</v>
      </c>
      <c r="O853" s="14">
        <f t="shared" si="1"/>
        <v>27.8</v>
      </c>
      <c r="P853" s="86">
        <f t="array" ref="P853">iferror(XLOOKUP(C853,'Download of SFDC Activation Rep'!B:B,'Download of SFDC Activation Rep'!Z:Z),"")</f>
        <v>45798</v>
      </c>
      <c r="Q853" s="86">
        <f t="shared" si="2"/>
        <v>45778</v>
      </c>
      <c r="R853" s="13" t="str">
        <f t="shared" si="3"/>
        <v>Yes</v>
      </c>
      <c r="S853" s="86">
        <f t="array" ref="S853">iferror(XLOOKUP(C853,'Download of SFDC Activation Rep'!B:B,'Download of SFDC Activation Rep'!Y:Y),"")</f>
        <v>45807</v>
      </c>
    </row>
    <row r="854">
      <c r="A854" s="17" t="s">
        <v>17</v>
      </c>
      <c r="B854" s="85">
        <v>45962.0</v>
      </c>
      <c r="C854" s="17">
        <v>4169152.0</v>
      </c>
      <c r="D854" s="85">
        <v>45931.0</v>
      </c>
      <c r="E854" s="17">
        <v>3.0</v>
      </c>
      <c r="F854" s="17">
        <v>0.0</v>
      </c>
      <c r="G854" s="17">
        <v>3898.41</v>
      </c>
      <c r="H854" s="17">
        <v>3898.41</v>
      </c>
      <c r="I854" s="17">
        <v>113.05</v>
      </c>
      <c r="J854" s="17"/>
      <c r="K854" s="17">
        <v>14.5557</v>
      </c>
      <c r="L854" s="17">
        <v>12.4877773794911</v>
      </c>
      <c r="M854" s="17">
        <v>2.06792262050886</v>
      </c>
      <c r="N854" s="17">
        <v>0.0</v>
      </c>
      <c r="O854" s="14">
        <f t="shared" si="1"/>
        <v>14.5557</v>
      </c>
      <c r="P854" s="86">
        <f t="array" ref="P854">iferror(XLOOKUP(C854,'Download of SFDC Activation Rep'!B:B,'Download of SFDC Activation Rep'!Z:Z),"")</f>
        <v>45940</v>
      </c>
      <c r="Q854" s="86">
        <f t="shared" si="2"/>
        <v>45931</v>
      </c>
      <c r="R854" s="13" t="str">
        <f t="shared" si="3"/>
        <v>Yes</v>
      </c>
      <c r="S854" s="86">
        <f t="array" ref="S854">iferror(XLOOKUP(C854,'Download of SFDC Activation Rep'!B:B,'Download of SFDC Activation Rep'!Y:Y),"")</f>
        <v>45958</v>
      </c>
    </row>
    <row r="855">
      <c r="A855" s="17" t="s">
        <v>488</v>
      </c>
      <c r="B855" s="85">
        <v>46143.0</v>
      </c>
      <c r="C855" s="17">
        <v>3785914.0</v>
      </c>
      <c r="D855" s="85">
        <v>45778.0</v>
      </c>
      <c r="E855" s="17">
        <v>10.0</v>
      </c>
      <c r="F855" s="17">
        <v>9.0</v>
      </c>
      <c r="G855" s="17">
        <v>18870.9</v>
      </c>
      <c r="H855" s="17"/>
      <c r="I855" s="17">
        <v>76.78</v>
      </c>
      <c r="J855" s="17"/>
      <c r="K855" s="17">
        <v>27.9469999999999</v>
      </c>
      <c r="L855" s="17">
        <v>25.3505220629899</v>
      </c>
      <c r="M855" s="17">
        <v>2.59647793701</v>
      </c>
      <c r="N855" s="17">
        <v>35.0</v>
      </c>
      <c r="O855" s="14">
        <f t="shared" si="1"/>
        <v>62.947</v>
      </c>
      <c r="P855" s="86">
        <f t="array" ref="P855">iferror(XLOOKUP(C855,'Download of SFDC Activation Rep'!B:B,'Download of SFDC Activation Rep'!Z:Z),"")</f>
        <v>45806</v>
      </c>
      <c r="Q855" s="86">
        <f t="shared" si="2"/>
        <v>45778</v>
      </c>
      <c r="R855" s="13" t="str">
        <f t="shared" si="3"/>
        <v>Yes</v>
      </c>
      <c r="S855" s="86">
        <f t="array" ref="S855">iferror(XLOOKUP(C855,'Download of SFDC Activation Rep'!B:B,'Download of SFDC Activation Rep'!Y:Y),"")</f>
        <v>45806</v>
      </c>
    </row>
    <row r="856">
      <c r="A856" s="17" t="s">
        <v>488</v>
      </c>
      <c r="B856" s="85">
        <v>45992.0</v>
      </c>
      <c r="C856" s="17">
        <v>4030970.0</v>
      </c>
      <c r="D856" s="85">
        <v>45870.0</v>
      </c>
      <c r="E856" s="17">
        <v>19.0</v>
      </c>
      <c r="F856" s="17">
        <v>19.0</v>
      </c>
      <c r="G856" s="17">
        <v>145465.08</v>
      </c>
      <c r="H856" s="17"/>
      <c r="I856" s="17">
        <v>34.73991</v>
      </c>
      <c r="K856" s="17">
        <v>31.4904999999999</v>
      </c>
      <c r="L856" s="17">
        <v>9.30362377090427</v>
      </c>
      <c r="M856" s="17">
        <v>22.1868762290957</v>
      </c>
      <c r="N856" s="17">
        <v>1.99999999999999</v>
      </c>
      <c r="O856" s="14">
        <f t="shared" si="1"/>
        <v>33.4905</v>
      </c>
      <c r="P856" s="86">
        <f t="array" ref="P856">iferror(XLOOKUP(C856,'Download of SFDC Activation Rep'!B:B,'Download of SFDC Activation Rep'!Z:Z),"")</f>
        <v>45870</v>
      </c>
      <c r="Q856" s="86">
        <f t="shared" si="2"/>
        <v>45870</v>
      </c>
      <c r="R856" s="13" t="str">
        <f t="shared" si="3"/>
        <v>Yes</v>
      </c>
      <c r="S856" s="86">
        <f t="array" ref="S856">iferror(XLOOKUP(C856,'Download of SFDC Activation Rep'!B:B,'Download of SFDC Activation Rep'!Y:Y),"")</f>
        <v>45876</v>
      </c>
    </row>
    <row r="857">
      <c r="A857" s="17" t="s">
        <v>19</v>
      </c>
      <c r="B857" s="85">
        <v>45962.0</v>
      </c>
      <c r="C857" s="17">
        <v>100325.0</v>
      </c>
      <c r="D857" s="85">
        <v>45200.0</v>
      </c>
      <c r="E857" s="17">
        <v>4.0</v>
      </c>
      <c r="F857" s="17">
        <v>4.0</v>
      </c>
      <c r="G857" s="17">
        <v>0.16</v>
      </c>
      <c r="H857" s="17"/>
      <c r="I857" s="17">
        <v>0.0</v>
      </c>
      <c r="K857" s="17">
        <v>-0.6129</v>
      </c>
      <c r="L857" s="17">
        <v>-0.612925069015503</v>
      </c>
      <c r="M857" s="87">
        <v>2.50690155039201E-5</v>
      </c>
      <c r="N857" s="17">
        <v>80.0</v>
      </c>
      <c r="O857" s="14">
        <f t="shared" si="1"/>
        <v>79.3871</v>
      </c>
      <c r="P857" s="86">
        <f t="array" ref="P857">iferror(XLOOKUP(C857,'Download of SFDC Activation Rep'!B:B,'Download of SFDC Activation Rep'!Z:Z),"")</f>
        <v>45974</v>
      </c>
      <c r="Q857" s="86">
        <f t="shared" si="2"/>
        <v>45962</v>
      </c>
      <c r="R857" s="13" t="str">
        <f t="shared" si="3"/>
        <v>Yes</v>
      </c>
      <c r="S857" s="86">
        <f t="array" ref="S857">iferror(XLOOKUP(C857,'Download of SFDC Activation Rep'!B:B,'Download of SFDC Activation Rep'!Y:Y),"")</f>
        <v>45933</v>
      </c>
    </row>
    <row r="858">
      <c r="A858" s="17" t="s">
        <v>489</v>
      </c>
      <c r="B858" s="85">
        <v>46143.0</v>
      </c>
      <c r="C858" s="17">
        <v>3543707.0</v>
      </c>
      <c r="D858" s="85">
        <v>45901.0</v>
      </c>
      <c r="E858" s="17">
        <v>22.0</v>
      </c>
      <c r="F858" s="17">
        <v>22.0</v>
      </c>
      <c r="G858" s="17">
        <v>56214.16</v>
      </c>
      <c r="H858" s="17"/>
      <c r="I858" s="17">
        <v>0.0</v>
      </c>
      <c r="J858" s="17"/>
      <c r="K858" s="17">
        <v>-3.3721</v>
      </c>
      <c r="L858" s="17">
        <v>-11.0576927885819</v>
      </c>
      <c r="M858" s="17">
        <v>7.68559278858199</v>
      </c>
      <c r="N858" s="17">
        <v>4.39999999999999</v>
      </c>
      <c r="O858" s="14">
        <f t="shared" si="1"/>
        <v>1.0279</v>
      </c>
      <c r="P858" s="86">
        <f t="array" ref="P858">iferror(XLOOKUP(C858,'Download of SFDC Activation Rep'!B:B,'Download of SFDC Activation Rep'!Z:Z),"")</f>
        <v>45915</v>
      </c>
      <c r="Q858" s="86">
        <f t="shared" si="2"/>
        <v>45901</v>
      </c>
      <c r="R858" s="13" t="str">
        <f t="shared" si="3"/>
        <v>Yes</v>
      </c>
      <c r="S858" s="86">
        <f t="array" ref="S858">iferror(XLOOKUP(C858,'Download of SFDC Activation Rep'!B:B,'Download of SFDC Activation Rep'!Y:Y),"")</f>
        <v>45958</v>
      </c>
    </row>
    <row r="859">
      <c r="A859" s="17" t="s">
        <v>488</v>
      </c>
      <c r="B859" s="85">
        <v>46113.0</v>
      </c>
      <c r="C859" s="17">
        <v>4266723.0</v>
      </c>
      <c r="D859" s="85">
        <v>45992.0</v>
      </c>
      <c r="E859" s="17">
        <v>2.0</v>
      </c>
      <c r="F859" s="17">
        <v>1.0</v>
      </c>
      <c r="G859" s="17">
        <v>4402.35</v>
      </c>
      <c r="H859" s="17">
        <v>2490.0</v>
      </c>
      <c r="I859" s="17">
        <v>72.21</v>
      </c>
      <c r="K859" s="17">
        <v>5.80749999999999</v>
      </c>
      <c r="L859" s="17">
        <v>5.76347649999999</v>
      </c>
      <c r="M859" s="17">
        <v>0.0440234999999997</v>
      </c>
      <c r="N859" s="17">
        <v>20.0</v>
      </c>
      <c r="O859" s="14">
        <f t="shared" si="1"/>
        <v>41.9925</v>
      </c>
      <c r="P859" s="86">
        <f t="array" ref="P859">iferror(XLOOKUP(C859,'Download of SFDC Activation Rep'!B:B,'Download of SFDC Activation Rep'!Z:Z),"")</f>
        <v>45987</v>
      </c>
      <c r="Q859" s="86">
        <f t="shared" si="2"/>
        <v>45962</v>
      </c>
      <c r="R859" s="13" t="str">
        <f t="shared" si="3"/>
        <v>Yes</v>
      </c>
      <c r="S859" s="86">
        <f t="array" ref="S859">iferror(XLOOKUP(C859,'Download of SFDC Activation Rep'!B:B,'Download of SFDC Activation Rep'!Y:Y),"")</f>
        <v>46008</v>
      </c>
    </row>
    <row r="860">
      <c r="A860" s="17" t="s">
        <v>17</v>
      </c>
      <c r="B860" s="85">
        <v>45931.0</v>
      </c>
      <c r="C860" s="17">
        <v>4161223.0</v>
      </c>
      <c r="D860" s="85">
        <v>45931.0</v>
      </c>
      <c r="E860" s="17">
        <v>4.0</v>
      </c>
      <c r="F860" s="17">
        <v>4.0</v>
      </c>
      <c r="G860" s="17">
        <v>12908.0</v>
      </c>
      <c r="H860" s="17"/>
      <c r="I860" s="17">
        <v>0.0</v>
      </c>
      <c r="K860" s="17">
        <v>-0.32</v>
      </c>
      <c r="L860" s="17">
        <v>-2.3424428257852</v>
      </c>
      <c r="M860" s="17">
        <v>2.0224428257852</v>
      </c>
      <c r="N860" s="17">
        <v>0.0</v>
      </c>
      <c r="O860" s="14">
        <f t="shared" si="1"/>
        <v>-0.32</v>
      </c>
      <c r="P860" s="86">
        <f t="array" ref="P860">iferror(XLOOKUP(C860,'Download of SFDC Activation Rep'!B:B,'Download of SFDC Activation Rep'!Z:Z),"")</f>
        <v>45937</v>
      </c>
      <c r="Q860" s="86">
        <f t="shared" si="2"/>
        <v>45931</v>
      </c>
      <c r="R860" s="13" t="str">
        <f t="shared" si="3"/>
        <v>Yes</v>
      </c>
      <c r="S860" s="86">
        <f t="array" ref="S860">iferror(XLOOKUP(C860,'Download of SFDC Activation Rep'!B:B,'Download of SFDC Activation Rep'!Y:Y),"")</f>
        <v>45947</v>
      </c>
    </row>
    <row r="861">
      <c r="A861" s="17" t="s">
        <v>17</v>
      </c>
      <c r="B861" s="85">
        <v>46113.0</v>
      </c>
      <c r="C861" s="17">
        <v>4525429.0</v>
      </c>
      <c r="D861" s="85">
        <v>46113.0</v>
      </c>
      <c r="E861" s="17">
        <v>4.0</v>
      </c>
      <c r="F861" s="17">
        <v>4.0</v>
      </c>
      <c r="G861" s="17">
        <v>19680.81</v>
      </c>
      <c r="H861" s="17"/>
      <c r="I861" s="17">
        <v>75.0</v>
      </c>
      <c r="J861" s="17"/>
      <c r="K861" s="17">
        <v>74.3121</v>
      </c>
      <c r="L861" s="17">
        <v>45.237136174483</v>
      </c>
      <c r="M861" s="17">
        <v>29.0749638255169</v>
      </c>
      <c r="N861" s="17">
        <v>80.0</v>
      </c>
      <c r="O861" s="14">
        <f t="shared" si="1"/>
        <v>154.3121</v>
      </c>
      <c r="P861" s="86">
        <f t="array" ref="P861">iferror(XLOOKUP(C861,'Download of SFDC Activation Rep'!B:B,'Download of SFDC Activation Rep'!Z:Z),"")</f>
        <v>46100</v>
      </c>
      <c r="Q861" s="86">
        <f t="shared" si="2"/>
        <v>46082</v>
      </c>
      <c r="R861" s="13" t="str">
        <f t="shared" si="3"/>
        <v>Yes</v>
      </c>
      <c r="S861" s="86">
        <f t="array" ref="S861">iferror(XLOOKUP(C861,'Download of SFDC Activation Rep'!B:B,'Download of SFDC Activation Rep'!Y:Y),"")</f>
        <v>46170</v>
      </c>
    </row>
    <row r="862">
      <c r="A862" s="17" t="s">
        <v>19</v>
      </c>
      <c r="B862" s="85">
        <v>45992.0</v>
      </c>
      <c r="C862" s="17">
        <v>4239966.0</v>
      </c>
      <c r="D862" s="85">
        <v>45992.0</v>
      </c>
      <c r="E862" s="17">
        <v>3.0</v>
      </c>
      <c r="F862" s="17">
        <v>3.0</v>
      </c>
      <c r="G862" s="17">
        <v>6561.26</v>
      </c>
      <c r="H862" s="17"/>
      <c r="I862" s="17">
        <v>0.0</v>
      </c>
      <c r="J862" s="17"/>
      <c r="K862" s="17">
        <v>-0.4495</v>
      </c>
      <c r="L862" s="17">
        <v>-1.47752705416109</v>
      </c>
      <c r="M862" s="17">
        <v>1.02802705416109</v>
      </c>
      <c r="N862" s="17">
        <v>24.0</v>
      </c>
      <c r="O862" s="14">
        <f t="shared" si="1"/>
        <v>23.5505</v>
      </c>
      <c r="P862" s="86">
        <f t="array" ref="P862">iferror(XLOOKUP(C862,'Download of SFDC Activation Rep'!B:B,'Download of SFDC Activation Rep'!Z:Z),"")</f>
        <v>45979</v>
      </c>
      <c r="Q862" s="86">
        <f t="shared" si="2"/>
        <v>45962</v>
      </c>
      <c r="R862" s="13" t="str">
        <f t="shared" si="3"/>
        <v>Yes</v>
      </c>
      <c r="S862" s="86">
        <f t="array" ref="S862">iferror(XLOOKUP(C862,'Download of SFDC Activation Rep'!B:B,'Download of SFDC Activation Rep'!Y:Y),"")</f>
        <v>45995</v>
      </c>
    </row>
    <row r="863">
      <c r="A863" s="17" t="s">
        <v>488</v>
      </c>
      <c r="B863" s="85">
        <v>45992.0</v>
      </c>
      <c r="C863" s="17">
        <v>4239920.0</v>
      </c>
      <c r="D863" s="85">
        <v>45992.0</v>
      </c>
      <c r="E863" s="17">
        <v>2.0</v>
      </c>
      <c r="F863" s="17">
        <v>2.0</v>
      </c>
      <c r="G863" s="17">
        <v>21.07</v>
      </c>
      <c r="H863" s="17"/>
      <c r="I863" s="17">
        <v>0.0</v>
      </c>
      <c r="J863" s="17"/>
      <c r="K863" s="17">
        <v>-0.4086</v>
      </c>
      <c r="L863" s="17">
        <v>-0.411901275979183</v>
      </c>
      <c r="M863" s="17">
        <v>0.003301275979183</v>
      </c>
      <c r="N863" s="17">
        <v>0.0</v>
      </c>
      <c r="O863" s="14">
        <f t="shared" si="1"/>
        <v>-0.4086</v>
      </c>
      <c r="P863" s="86">
        <f t="array" ref="P863">iferror(XLOOKUP(C863,'Download of SFDC Activation Rep'!B:B,'Download of SFDC Activation Rep'!Z:Z),"")</f>
        <v>45979</v>
      </c>
      <c r="Q863" s="86">
        <f t="shared" si="2"/>
        <v>45962</v>
      </c>
      <c r="R863" s="13" t="str">
        <f t="shared" si="3"/>
        <v>Yes</v>
      </c>
      <c r="S863" s="86">
        <f t="array" ref="S863">iferror(XLOOKUP(C863,'Download of SFDC Activation Rep'!B:B,'Download of SFDC Activation Rep'!Y:Y),"")</f>
        <v>46007</v>
      </c>
    </row>
    <row r="864">
      <c r="A864" s="17" t="s">
        <v>488</v>
      </c>
      <c r="B864" s="85">
        <v>46174.0</v>
      </c>
      <c r="C864" s="17">
        <v>4222088.0</v>
      </c>
      <c r="D864" s="85">
        <v>45962.0</v>
      </c>
      <c r="E864" s="17">
        <v>3.0</v>
      </c>
      <c r="F864" s="17">
        <v>0.0</v>
      </c>
      <c r="G864" s="17">
        <v>27018.47</v>
      </c>
      <c r="H864" s="17"/>
      <c r="I864" s="17">
        <v>793.54</v>
      </c>
      <c r="J864" s="17"/>
      <c r="K864" s="17">
        <v>17.4092</v>
      </c>
      <c r="L864" s="17">
        <v>-0.653481988216</v>
      </c>
      <c r="M864" s="17">
        <v>18.062681988216</v>
      </c>
      <c r="N864" s="17">
        <v>20.0</v>
      </c>
      <c r="O864" s="14">
        <f t="shared" si="1"/>
        <v>37.4092</v>
      </c>
      <c r="P864" s="86">
        <f t="array" ref="P864">iferror(XLOOKUP(C864,'Download of SFDC Activation Rep'!B:B,'Download of SFDC Activation Rep'!Z:Z),"")</f>
        <v>45954</v>
      </c>
      <c r="Q864" s="86">
        <f t="shared" si="2"/>
        <v>45931</v>
      </c>
      <c r="R864" s="13" t="str">
        <f t="shared" si="3"/>
        <v>Yes</v>
      </c>
      <c r="S864" s="86">
        <f t="array" ref="S864">iferror(XLOOKUP(C864,'Download of SFDC Activation Rep'!B:B,'Download of SFDC Activation Rep'!Y:Y),"")</f>
        <v>45985</v>
      </c>
    </row>
    <row r="865">
      <c r="A865" s="17" t="s">
        <v>17</v>
      </c>
      <c r="B865" s="85">
        <v>46023.0</v>
      </c>
      <c r="C865" s="17">
        <v>4169152.0</v>
      </c>
      <c r="D865" s="85">
        <v>45931.0</v>
      </c>
      <c r="E865" s="17">
        <v>2.0</v>
      </c>
      <c r="F865" s="17">
        <v>0.0</v>
      </c>
      <c r="G865" s="17">
        <v>303.61</v>
      </c>
      <c r="H865" s="17">
        <v>303.61</v>
      </c>
      <c r="I865" s="17">
        <v>8.81</v>
      </c>
      <c r="K865" s="17">
        <v>-1.5588</v>
      </c>
      <c r="L865" s="17">
        <v>-1.62336095347165</v>
      </c>
      <c r="M865" s="17">
        <v>0.064560953471658</v>
      </c>
      <c r="N865" s="17">
        <v>25.0</v>
      </c>
      <c r="O865" s="14">
        <f t="shared" si="1"/>
        <v>25.414665</v>
      </c>
      <c r="P865" s="86">
        <f t="array" ref="P865">iferror(XLOOKUP(C865,'Download of SFDC Activation Rep'!B:B,'Download of SFDC Activation Rep'!Z:Z),"")</f>
        <v>45940</v>
      </c>
      <c r="Q865" s="86">
        <f t="shared" si="2"/>
        <v>45931</v>
      </c>
      <c r="R865" s="13" t="str">
        <f t="shared" si="3"/>
        <v>Yes</v>
      </c>
      <c r="S865" s="86">
        <f t="array" ref="S865">iferror(XLOOKUP(C865,'Download of SFDC Activation Rep'!B:B,'Download of SFDC Activation Rep'!Y:Y),"")</f>
        <v>45958</v>
      </c>
    </row>
    <row r="866">
      <c r="A866" s="17" t="s">
        <v>19</v>
      </c>
      <c r="B866" s="85">
        <v>46054.0</v>
      </c>
      <c r="C866" s="17">
        <v>4270780.0</v>
      </c>
      <c r="D866" s="85">
        <v>45992.0</v>
      </c>
      <c r="E866" s="17">
        <v>17.0</v>
      </c>
      <c r="F866" s="17">
        <v>17.0</v>
      </c>
      <c r="G866" s="17">
        <v>707743.21</v>
      </c>
      <c r="H866" s="17"/>
      <c r="I866" s="17">
        <v>1.5</v>
      </c>
      <c r="K866" s="17">
        <v>-1.73099999999999</v>
      </c>
      <c r="L866" s="17">
        <v>-112.521126208972</v>
      </c>
      <c r="M866" s="17">
        <v>110.790126208972</v>
      </c>
      <c r="N866" s="17">
        <v>64.0</v>
      </c>
      <c r="O866" s="14">
        <f t="shared" si="1"/>
        <v>62.269</v>
      </c>
      <c r="P866" s="86">
        <f t="array" ref="P866">iferror(XLOOKUP(C866,'Download of SFDC Activation Rep'!B:B,'Download of SFDC Activation Rep'!Z:Z),"")</f>
        <v>45961</v>
      </c>
      <c r="Q866" s="86">
        <f t="shared" si="2"/>
        <v>45931</v>
      </c>
      <c r="R866" s="13" t="str">
        <f t="shared" si="3"/>
        <v>Yes</v>
      </c>
      <c r="S866" s="86">
        <f t="array" ref="S866">iferror(XLOOKUP(C866,'Download of SFDC Activation Rep'!B:B,'Download of SFDC Activation Rep'!Y:Y),"")</f>
        <v>46013</v>
      </c>
    </row>
    <row r="867">
      <c r="A867" s="17" t="s">
        <v>488</v>
      </c>
      <c r="B867" s="85">
        <v>46113.0</v>
      </c>
      <c r="C867" s="17">
        <v>4271411.0</v>
      </c>
      <c r="D867" s="85">
        <v>45992.0</v>
      </c>
      <c r="E867" s="17">
        <v>12.0</v>
      </c>
      <c r="F867" s="17">
        <v>12.0</v>
      </c>
      <c r="G867" s="17">
        <v>242429.8</v>
      </c>
      <c r="H867" s="17"/>
      <c r="I867" s="17">
        <v>453.483</v>
      </c>
      <c r="J867" s="17"/>
      <c r="K867" s="17">
        <v>451.9095</v>
      </c>
      <c r="L867" s="17">
        <v>413.92528377726</v>
      </c>
      <c r="M867" s="17">
        <v>37.98421622274</v>
      </c>
      <c r="N867" s="17">
        <v>17.0</v>
      </c>
      <c r="O867" s="14">
        <f t="shared" si="1"/>
        <v>468.9095</v>
      </c>
      <c r="P867" s="86">
        <f t="array" ref="P867">iferror(XLOOKUP(C867,'Download of SFDC Activation Rep'!B:B,'Download of SFDC Activation Rep'!Z:Z),"")</f>
        <v>46007</v>
      </c>
      <c r="Q867" s="86">
        <f t="shared" si="2"/>
        <v>45992</v>
      </c>
      <c r="R867" s="13" t="str">
        <f t="shared" si="3"/>
        <v>Yes</v>
      </c>
      <c r="S867" s="86">
        <f t="array" ref="S867">iferror(XLOOKUP(C867,'Download of SFDC Activation Rep'!B:B,'Download of SFDC Activation Rep'!Y:Y),"")</f>
        <v>46007</v>
      </c>
    </row>
    <row r="868">
      <c r="A868" s="17" t="s">
        <v>488</v>
      </c>
      <c r="B868" s="85">
        <v>46023.0</v>
      </c>
      <c r="C868" s="17">
        <v>3952865.0</v>
      </c>
      <c r="D868" s="85">
        <v>45809.0</v>
      </c>
      <c r="E868" s="17">
        <v>8.0</v>
      </c>
      <c r="F868" s="17">
        <v>8.0</v>
      </c>
      <c r="G868" s="17">
        <v>18897.84</v>
      </c>
      <c r="H868" s="17"/>
      <c r="I868" s="17">
        <v>0.0</v>
      </c>
      <c r="K868" s="17">
        <v>-1.2697</v>
      </c>
      <c r="L868" s="17">
        <v>-5.28821905060715</v>
      </c>
      <c r="M868" s="17">
        <v>4.01851905060715</v>
      </c>
      <c r="N868" s="17">
        <v>35.0</v>
      </c>
      <c r="O868" s="14">
        <f t="shared" si="1"/>
        <v>33.7303</v>
      </c>
      <c r="P868" s="86">
        <f t="array" ref="P868">iferror(XLOOKUP(C868,'Download of SFDC Activation Rep'!B:B,'Download of SFDC Activation Rep'!Z:Z),"")</f>
        <v>45799</v>
      </c>
      <c r="Q868" s="86">
        <f t="shared" si="2"/>
        <v>45778</v>
      </c>
      <c r="R868" s="13" t="str">
        <f t="shared" si="3"/>
        <v>Yes</v>
      </c>
      <c r="S868" s="86">
        <f t="array" ref="S868">iferror(XLOOKUP(C868,'Download of SFDC Activation Rep'!B:B,'Download of SFDC Activation Rep'!Y:Y),"")</f>
        <v>45818</v>
      </c>
    </row>
    <row r="869">
      <c r="A869" s="17" t="s">
        <v>19</v>
      </c>
      <c r="B869" s="85">
        <v>45413.0</v>
      </c>
      <c r="C869" s="17">
        <v>2710123.0</v>
      </c>
      <c r="D869" s="85">
        <v>45292.0</v>
      </c>
      <c r="E869" s="17">
        <v>2.0</v>
      </c>
      <c r="F869" s="17">
        <v>0.0</v>
      </c>
      <c r="G869" s="17">
        <v>23919.65</v>
      </c>
      <c r="H869" s="17"/>
      <c r="I869" s="17">
        <v>693.67</v>
      </c>
      <c r="J869" s="17"/>
      <c r="K869" s="17">
        <v>31.6121</v>
      </c>
      <c r="L869" s="17">
        <v>25.6405252298076</v>
      </c>
      <c r="M869" s="17">
        <v>5.97157477019234</v>
      </c>
      <c r="N869" s="17"/>
      <c r="O869" s="14">
        <f t="shared" si="1"/>
        <v>31.6121</v>
      </c>
      <c r="P869" s="86">
        <f t="array" ref="P869">iferror(XLOOKUP(C869,'Download of SFDC Activation Rep'!B:B,'Download of SFDC Activation Rep'!Z:Z),"")</f>
        <v>45873</v>
      </c>
      <c r="Q869" s="86">
        <f t="shared" si="2"/>
        <v>45870</v>
      </c>
      <c r="R869" s="13" t="str">
        <f t="shared" si="3"/>
        <v>No</v>
      </c>
      <c r="S869" s="86">
        <f t="array" ref="S869">iferror(XLOOKUP(C869,'Download of SFDC Activation Rep'!B:B,'Download of SFDC Activation Rep'!Y:Y),"")</f>
        <v>45980</v>
      </c>
    </row>
    <row r="870">
      <c r="A870" s="17" t="s">
        <v>17</v>
      </c>
      <c r="B870" s="85">
        <v>46143.0</v>
      </c>
      <c r="C870" s="17">
        <v>3514759.0</v>
      </c>
      <c r="D870" s="85">
        <v>45931.0</v>
      </c>
      <c r="E870" s="17">
        <v>1.0</v>
      </c>
      <c r="F870" s="17">
        <v>0.0</v>
      </c>
      <c r="G870" s="17">
        <v>2609.02</v>
      </c>
      <c r="H870" s="17">
        <v>2609.02</v>
      </c>
      <c r="I870" s="17">
        <v>75.66</v>
      </c>
      <c r="J870" s="17"/>
      <c r="K870" s="17">
        <v>6.2479</v>
      </c>
      <c r="L870" s="17">
        <v>6.2218098</v>
      </c>
      <c r="M870" s="17">
        <v>0.0260901999999996</v>
      </c>
      <c r="N870" s="17"/>
      <c r="O870" s="14">
        <f t="shared" si="1"/>
        <v>6.2479</v>
      </c>
      <c r="P870" s="86">
        <f t="array" ref="P870">iferror(XLOOKUP(C870,'Download of SFDC Activation Rep'!B:B,'Download of SFDC Activation Rep'!Z:Z),"")</f>
        <v>45895</v>
      </c>
      <c r="Q870" s="86">
        <f t="shared" si="2"/>
        <v>45870</v>
      </c>
      <c r="R870" s="13" t="str">
        <f t="shared" si="3"/>
        <v>Yes</v>
      </c>
      <c r="S870" s="86">
        <f t="array" ref="S870">iferror(XLOOKUP(C870,'Download of SFDC Activation Rep'!B:B,'Download of SFDC Activation Rep'!Y:Y),"")</f>
        <v>45954</v>
      </c>
    </row>
    <row r="871">
      <c r="A871" s="17" t="s">
        <v>17</v>
      </c>
      <c r="B871" s="85">
        <v>45839.0</v>
      </c>
      <c r="C871" s="17">
        <v>3987123.0</v>
      </c>
      <c r="D871" s="85">
        <v>45839.0</v>
      </c>
      <c r="E871" s="17">
        <v>3.0</v>
      </c>
      <c r="F871" s="17">
        <v>3.0</v>
      </c>
      <c r="G871" s="17">
        <v>10182.71</v>
      </c>
      <c r="H871" s="17"/>
      <c r="I871" s="17">
        <v>0.0</v>
      </c>
      <c r="J871" s="17"/>
      <c r="K871" s="17">
        <v>-0.43</v>
      </c>
      <c r="L871" s="17">
        <v>-0.5318271</v>
      </c>
      <c r="M871" s="17">
        <v>0.1018271</v>
      </c>
      <c r="N871" s="17"/>
      <c r="O871" s="14">
        <f t="shared" si="1"/>
        <v>-0.43</v>
      </c>
      <c r="P871" s="86">
        <f t="array" ref="P871">iferror(XLOOKUP(C871,'Download of SFDC Activation Rep'!B:B,'Download of SFDC Activation Rep'!Z:Z),"")</f>
        <v>45839</v>
      </c>
      <c r="Q871" s="86">
        <f t="shared" si="2"/>
        <v>45839</v>
      </c>
      <c r="R871" s="13" t="str">
        <f t="shared" si="3"/>
        <v>Yes</v>
      </c>
      <c r="S871" s="86">
        <f t="array" ref="S871">iferror(XLOOKUP(C871,'Download of SFDC Activation Rep'!B:B,'Download of SFDC Activation Rep'!Y:Y),"")</f>
        <v>45839</v>
      </c>
    </row>
    <row r="872">
      <c r="A872" s="17" t="s">
        <v>17</v>
      </c>
      <c r="B872" s="85">
        <v>46143.0</v>
      </c>
      <c r="C872" s="17">
        <v>3942651.0</v>
      </c>
      <c r="D872" s="85">
        <v>45809.0</v>
      </c>
      <c r="E872" s="17">
        <v>1.0</v>
      </c>
      <c r="F872" s="17">
        <v>1.0</v>
      </c>
      <c r="G872" s="17">
        <v>1500.0</v>
      </c>
      <c r="H872" s="17"/>
      <c r="I872" s="17">
        <v>0.0</v>
      </c>
      <c r="J872" s="17"/>
      <c r="K872" s="17">
        <v>-0.15</v>
      </c>
      <c r="L872" s="17">
        <v>-0.165</v>
      </c>
      <c r="M872" s="17">
        <v>0.015</v>
      </c>
      <c r="N872" s="17"/>
      <c r="O872" s="14">
        <f t="shared" si="1"/>
        <v>-0.15</v>
      </c>
      <c r="P872" s="86">
        <f t="array" ref="P872">iferror(XLOOKUP(C872,'Download of SFDC Activation Rep'!B:B,'Download of SFDC Activation Rep'!Z:Z),"")</f>
        <v>45809</v>
      </c>
      <c r="Q872" s="86">
        <f t="shared" si="2"/>
        <v>45809</v>
      </c>
      <c r="R872" s="13" t="str">
        <f t="shared" si="3"/>
        <v>Yes</v>
      </c>
      <c r="S872" s="86">
        <f t="array" ref="S872">iferror(XLOOKUP(C872,'Download of SFDC Activation Rep'!B:B,'Download of SFDC Activation Rep'!Y:Y),"")</f>
        <v>45819</v>
      </c>
    </row>
    <row r="873">
      <c r="A873" s="17" t="s">
        <v>17</v>
      </c>
      <c r="B873" s="85">
        <v>45839.0</v>
      </c>
      <c r="C873" s="17">
        <v>3962143.0</v>
      </c>
      <c r="D873" s="85">
        <v>45809.0</v>
      </c>
      <c r="E873" s="17">
        <v>3.0</v>
      </c>
      <c r="F873" s="17">
        <v>0.0</v>
      </c>
      <c r="G873" s="17">
        <v>12928.92</v>
      </c>
      <c r="H873" s="17">
        <v>3652.01</v>
      </c>
      <c r="I873" s="17">
        <v>404.94</v>
      </c>
      <c r="K873" s="17">
        <v>44.1111</v>
      </c>
      <c r="L873" s="17">
        <v>35.6471519260203</v>
      </c>
      <c r="M873" s="17">
        <v>8.46394807397963</v>
      </c>
      <c r="N873" s="17"/>
      <c r="O873" s="14">
        <f t="shared" si="1"/>
        <v>44.1111</v>
      </c>
      <c r="P873" s="86">
        <f t="array" ref="P873">iferror(XLOOKUP(C873,'Download of SFDC Activation Rep'!B:B,'Download of SFDC Activation Rep'!Z:Z),"")</f>
        <v>45876</v>
      </c>
      <c r="Q873" s="86">
        <f t="shared" si="2"/>
        <v>45870</v>
      </c>
      <c r="R873" s="13" t="str">
        <f t="shared" si="3"/>
        <v>No</v>
      </c>
      <c r="S873" s="86">
        <f t="array" ref="S873">iferror(XLOOKUP(C873,'Download of SFDC Activation Rep'!B:B,'Download of SFDC Activation Rep'!Y:Y),"")</f>
        <v>45833</v>
      </c>
    </row>
    <row r="874">
      <c r="A874" s="17" t="s">
        <v>17</v>
      </c>
      <c r="B874" s="85">
        <v>45931.0</v>
      </c>
      <c r="C874" s="17">
        <v>3942346.0</v>
      </c>
      <c r="D874" s="85">
        <v>45809.0</v>
      </c>
      <c r="E874" s="17">
        <v>3.0</v>
      </c>
      <c r="F874" s="17">
        <v>3.0</v>
      </c>
      <c r="G874" s="17">
        <v>3370.55</v>
      </c>
      <c r="H874" s="17"/>
      <c r="I874" s="17">
        <v>50.85</v>
      </c>
      <c r="J874" s="17"/>
      <c r="K874" s="17">
        <v>44.0046999999999</v>
      </c>
      <c r="L874" s="17">
        <v>43.4686304397163</v>
      </c>
      <c r="M874" s="17">
        <v>0.536069560283657</v>
      </c>
      <c r="N874" s="17"/>
      <c r="O874" s="14">
        <f t="shared" si="1"/>
        <v>44.0047</v>
      </c>
      <c r="P874" s="86">
        <f t="array" ref="P874">iferror(XLOOKUP(C874,'Download of SFDC Activation Rep'!B:B,'Download of SFDC Activation Rep'!Z:Z),"")</f>
        <v>45809</v>
      </c>
      <c r="Q874" s="86">
        <f t="shared" si="2"/>
        <v>45809</v>
      </c>
      <c r="R874" s="13" t="str">
        <f t="shared" si="3"/>
        <v>Yes</v>
      </c>
      <c r="S874" s="86">
        <f t="array" ref="S874">iferror(XLOOKUP(C874,'Download of SFDC Activation Rep'!B:B,'Download of SFDC Activation Rep'!Y:Y),"")</f>
        <v>45812</v>
      </c>
    </row>
    <row r="875">
      <c r="A875" s="17" t="s">
        <v>17</v>
      </c>
      <c r="B875" s="85">
        <v>46174.0</v>
      </c>
      <c r="C875" s="17">
        <v>4148405.0</v>
      </c>
      <c r="D875" s="85">
        <v>45931.0</v>
      </c>
      <c r="E875" s="17">
        <v>20.0</v>
      </c>
      <c r="F875" s="17">
        <v>0.0</v>
      </c>
      <c r="G875" s="17">
        <v>6545.4</v>
      </c>
      <c r="H875" s="17">
        <v>5297.31</v>
      </c>
      <c r="I875" s="17">
        <v>189.85</v>
      </c>
      <c r="J875" s="17"/>
      <c r="K875" s="17">
        <v>22.3108999999999</v>
      </c>
      <c r="L875" s="17">
        <v>22.245446</v>
      </c>
      <c r="M875" s="17">
        <v>0.0654539999999954</v>
      </c>
      <c r="N875" s="17"/>
      <c r="O875" s="14">
        <f t="shared" si="1"/>
        <v>22.3109</v>
      </c>
      <c r="P875" s="86">
        <f t="array" ref="P875">iferror(XLOOKUP(C875,'Download of SFDC Activation Rep'!B:B,'Download of SFDC Activation Rep'!Z:Z),"")</f>
        <v>45895</v>
      </c>
      <c r="Q875" s="86">
        <f t="shared" si="2"/>
        <v>45870</v>
      </c>
      <c r="R875" s="13" t="str">
        <f t="shared" si="3"/>
        <v>Yes</v>
      </c>
      <c r="S875" s="86">
        <f t="array" ref="S875">iferror(XLOOKUP(C875,'Download of SFDC Activation Rep'!B:B,'Download of SFDC Activation Rep'!Y:Y),"")</f>
        <v>45954</v>
      </c>
    </row>
    <row r="876">
      <c r="A876" s="17" t="s">
        <v>17</v>
      </c>
      <c r="B876" s="85">
        <v>46143.0</v>
      </c>
      <c r="C876" s="17">
        <v>4520936.0</v>
      </c>
      <c r="D876" s="85">
        <v>46082.0</v>
      </c>
      <c r="E876" s="17">
        <v>4.0</v>
      </c>
      <c r="F876" s="17">
        <v>0.0</v>
      </c>
      <c r="G876" s="17">
        <v>118000.0</v>
      </c>
      <c r="H876" s="17">
        <v>118000.0</v>
      </c>
      <c r="I876" s="17">
        <v>3422.0</v>
      </c>
      <c r="K876" s="17">
        <v>360.2818</v>
      </c>
      <c r="L876" s="17">
        <v>297.6883696</v>
      </c>
      <c r="M876" s="17">
        <v>62.5934303999999</v>
      </c>
      <c r="N876" s="17"/>
      <c r="O876" s="14">
        <f t="shared" si="1"/>
        <v>360.2818</v>
      </c>
      <c r="P876" s="86">
        <f t="array" ref="P876">iferror(XLOOKUP(C876,'Download of SFDC Activation Rep'!B:B,'Download of SFDC Activation Rep'!Z:Z),"")</f>
        <v>46098</v>
      </c>
      <c r="Q876" s="86">
        <f t="shared" si="2"/>
        <v>46082</v>
      </c>
      <c r="R876" s="13" t="str">
        <f t="shared" si="3"/>
        <v>Yes</v>
      </c>
      <c r="S876" s="86">
        <f t="array" ref="S876">iferror(XLOOKUP(C876,'Download of SFDC Activation Rep'!B:B,'Download of SFDC Activation Rep'!Y:Y),"")</f>
        <v>46141</v>
      </c>
    </row>
    <row r="877">
      <c r="A877" s="17" t="s">
        <v>17</v>
      </c>
      <c r="B877" s="85">
        <v>46143.0</v>
      </c>
      <c r="C877" s="17">
        <v>3738104.0</v>
      </c>
      <c r="D877" s="85">
        <v>45748.0</v>
      </c>
      <c r="E877" s="17">
        <v>1.0</v>
      </c>
      <c r="F877" s="17">
        <v>1.0</v>
      </c>
      <c r="G877" s="17">
        <v>281.1</v>
      </c>
      <c r="H877" s="17"/>
      <c r="I877" s="17">
        <v>2.81</v>
      </c>
      <c r="J877" s="17"/>
      <c r="K877" s="17">
        <v>2.4</v>
      </c>
      <c r="L877" s="17">
        <v>2.17047012813</v>
      </c>
      <c r="M877" s="17">
        <v>0.22952987187</v>
      </c>
      <c r="N877" s="17"/>
      <c r="O877" s="14">
        <f t="shared" si="1"/>
        <v>2.4</v>
      </c>
      <c r="P877" s="86">
        <f t="array" ref="P877">iferror(XLOOKUP(C877,'Download of SFDC Activation Rep'!B:B,'Download of SFDC Activation Rep'!Z:Z),"")</f>
        <v>45806</v>
      </c>
      <c r="Q877" s="86">
        <f t="shared" si="2"/>
        <v>45778</v>
      </c>
      <c r="R877" s="13" t="str">
        <f t="shared" si="3"/>
        <v>Yes</v>
      </c>
      <c r="S877" s="86">
        <f t="array" ref="S877">iferror(XLOOKUP(C877,'Download of SFDC Activation Rep'!B:B,'Download of SFDC Activation Rep'!Y:Y),"")</f>
        <v>45806</v>
      </c>
    </row>
    <row r="878">
      <c r="A878" s="17" t="s">
        <v>17</v>
      </c>
      <c r="B878" s="85">
        <v>45992.0</v>
      </c>
      <c r="C878" s="17">
        <v>4154266.0</v>
      </c>
      <c r="D878" s="85">
        <v>45931.0</v>
      </c>
      <c r="E878" s="17">
        <v>22.0</v>
      </c>
      <c r="F878" s="17">
        <v>1.0</v>
      </c>
      <c r="G878" s="17">
        <v>7058.89</v>
      </c>
      <c r="H878" s="17">
        <v>1452.42</v>
      </c>
      <c r="I878" s="17">
        <v>203.0</v>
      </c>
      <c r="K878" s="17">
        <v>135.5617</v>
      </c>
      <c r="L878" s="17">
        <v>135.491111099999</v>
      </c>
      <c r="M878" s="17">
        <v>0.0705889000000183</v>
      </c>
      <c r="N878" s="17"/>
      <c r="O878" s="14">
        <f t="shared" si="1"/>
        <v>135.5617</v>
      </c>
      <c r="P878" s="86">
        <f t="array" ref="P878">iferror(XLOOKUP(C878,'Download of SFDC Activation Rep'!B:B,'Download of SFDC Activation Rep'!Z:Z),"")</f>
        <v>45895</v>
      </c>
      <c r="Q878" s="86">
        <f t="shared" si="2"/>
        <v>45870</v>
      </c>
      <c r="R878" s="13" t="str">
        <f t="shared" si="3"/>
        <v>Yes</v>
      </c>
      <c r="S878" s="86">
        <f t="array" ref="S878">iferror(XLOOKUP(C878,'Download of SFDC Activation Rep'!B:B,'Download of SFDC Activation Rep'!Y:Y),"")</f>
        <v>45954</v>
      </c>
    </row>
    <row r="879">
      <c r="A879" s="17" t="s">
        <v>17</v>
      </c>
      <c r="B879" s="85">
        <v>46023.0</v>
      </c>
      <c r="C879" s="17">
        <v>4185373.0</v>
      </c>
      <c r="D879" s="85">
        <v>45931.0</v>
      </c>
      <c r="E879" s="17">
        <v>1.0</v>
      </c>
      <c r="F879" s="17">
        <v>0.0</v>
      </c>
      <c r="G879" s="17">
        <v>230.0</v>
      </c>
      <c r="H879" s="17">
        <v>230.0</v>
      </c>
      <c r="I879" s="17">
        <v>6.67</v>
      </c>
      <c r="J879" s="17"/>
      <c r="K879" s="17">
        <v>0.3487</v>
      </c>
      <c r="L879" s="17">
        <v>0.34525</v>
      </c>
      <c r="M879" s="17">
        <v>0.00345</v>
      </c>
      <c r="N879" s="17"/>
      <c r="O879" s="14">
        <f t="shared" si="1"/>
        <v>1.8437</v>
      </c>
      <c r="P879" s="86">
        <f t="array" ref="P879">iferror(XLOOKUP(C879,'Download of SFDC Activation Rep'!B:B,'Download of SFDC Activation Rep'!Z:Z),"")</f>
        <v>45940</v>
      </c>
      <c r="Q879" s="86">
        <f t="shared" si="2"/>
        <v>45931</v>
      </c>
      <c r="R879" s="13" t="str">
        <f t="shared" si="3"/>
        <v>Yes</v>
      </c>
      <c r="S879" s="86">
        <f t="array" ref="S879">iferror(XLOOKUP(C879,'Download of SFDC Activation Rep'!B:B,'Download of SFDC Activation Rep'!Y:Y),"")</f>
        <v>45958</v>
      </c>
    </row>
    <row r="880">
      <c r="A880" s="17" t="s">
        <v>17</v>
      </c>
      <c r="B880" s="85">
        <v>45839.0</v>
      </c>
      <c r="C880" s="17">
        <v>4011819.0</v>
      </c>
      <c r="D880" s="85">
        <v>45839.0</v>
      </c>
      <c r="E880" s="17">
        <v>3.0</v>
      </c>
      <c r="F880" s="17">
        <v>0.0</v>
      </c>
      <c r="G880" s="17">
        <v>470.0</v>
      </c>
      <c r="H880" s="17">
        <v>470.0</v>
      </c>
      <c r="I880" s="17">
        <v>13.62</v>
      </c>
      <c r="J880" s="17"/>
      <c r="K880" s="17">
        <v>0.0687999999999999</v>
      </c>
      <c r="L880" s="17">
        <v>-0.180512830523</v>
      </c>
      <c r="M880" s="17">
        <v>0.249312830523</v>
      </c>
      <c r="N880" s="17"/>
      <c r="O880" s="14">
        <f t="shared" si="1"/>
        <v>0.0688</v>
      </c>
      <c r="P880" s="86">
        <f t="array" ref="P880">iferror(XLOOKUP(C880,'Download of SFDC Activation Rep'!B:B,'Download of SFDC Activation Rep'!Z:Z),"")</f>
        <v>45849</v>
      </c>
      <c r="Q880" s="86">
        <f t="shared" si="2"/>
        <v>45839</v>
      </c>
      <c r="R880" s="13" t="str">
        <f t="shared" si="3"/>
        <v>Yes</v>
      </c>
      <c r="S880" s="86">
        <f t="array" ref="S880">iferror(XLOOKUP(C880,'Download of SFDC Activation Rep'!B:B,'Download of SFDC Activation Rep'!Y:Y),"")</f>
        <v>45849</v>
      </c>
    </row>
    <row r="881">
      <c r="A881" s="17" t="s">
        <v>17</v>
      </c>
      <c r="B881" s="85">
        <v>45931.0</v>
      </c>
      <c r="C881" s="17">
        <v>4117708.0</v>
      </c>
      <c r="D881" s="85">
        <v>45931.0</v>
      </c>
      <c r="E881" s="17">
        <v>1.0</v>
      </c>
      <c r="F881" s="17">
        <v>0.0</v>
      </c>
      <c r="G881" s="17">
        <v>28000.0</v>
      </c>
      <c r="H881" s="17"/>
      <c r="I881" s="17">
        <v>772.0</v>
      </c>
      <c r="K881" s="17">
        <v>46.2144</v>
      </c>
      <c r="L881" s="17">
        <v>31.6417207347999</v>
      </c>
      <c r="M881" s="17">
        <v>14.5726792652</v>
      </c>
      <c r="N881" s="17"/>
      <c r="O881" s="14">
        <f t="shared" si="1"/>
        <v>46.2144</v>
      </c>
      <c r="P881" s="86">
        <f t="array" ref="P881">iferror(XLOOKUP(C881,'Download of SFDC Activation Rep'!B:B,'Download of SFDC Activation Rep'!Z:Z),"")</f>
        <v>45916</v>
      </c>
      <c r="Q881" s="86">
        <f t="shared" si="2"/>
        <v>45901</v>
      </c>
      <c r="R881" s="13" t="str">
        <f t="shared" si="3"/>
        <v>Yes</v>
      </c>
      <c r="S881" s="86">
        <f t="array" ref="S881">iferror(XLOOKUP(C881,'Download of SFDC Activation Rep'!B:B,'Download of SFDC Activation Rep'!Y:Y),"")</f>
        <v>45951</v>
      </c>
    </row>
    <row r="882">
      <c r="A882" s="17" t="s">
        <v>17</v>
      </c>
      <c r="B882" s="85">
        <v>45839.0</v>
      </c>
      <c r="C882" s="17">
        <v>3993022.0</v>
      </c>
      <c r="D882" s="85">
        <v>45839.0</v>
      </c>
      <c r="E882" s="17">
        <v>1.0</v>
      </c>
      <c r="F882" s="17">
        <v>0.0</v>
      </c>
      <c r="G882" s="17">
        <v>5700.0</v>
      </c>
      <c r="H882" s="17">
        <v>5700.0</v>
      </c>
      <c r="I882" s="17">
        <v>175.3</v>
      </c>
      <c r="K882" s="17">
        <v>64.1767</v>
      </c>
      <c r="L882" s="17">
        <v>59.01305386387</v>
      </c>
      <c r="M882" s="17">
        <v>5.16364613612999</v>
      </c>
      <c r="N882" s="17"/>
      <c r="O882" s="14">
        <f t="shared" si="1"/>
        <v>64.1767</v>
      </c>
      <c r="P882" s="86">
        <f t="array" ref="P882">iferror(XLOOKUP(C882,'Download of SFDC Activation Rep'!B:B,'Download of SFDC Activation Rep'!Z:Z),"")</f>
        <v>45874</v>
      </c>
      <c r="Q882" s="86">
        <f t="shared" si="2"/>
        <v>45870</v>
      </c>
      <c r="R882" s="13" t="str">
        <f t="shared" si="3"/>
        <v>No</v>
      </c>
      <c r="S882" s="86">
        <f t="array" ref="S882">iferror(XLOOKUP(C882,'Download of SFDC Activation Rep'!B:B,'Download of SFDC Activation Rep'!Y:Y),"")</f>
        <v>45841</v>
      </c>
    </row>
    <row r="883">
      <c r="A883" s="17" t="s">
        <v>17</v>
      </c>
      <c r="B883" s="85">
        <v>46082.0</v>
      </c>
      <c r="C883" s="17">
        <v>4233905.0</v>
      </c>
      <c r="D883" s="85">
        <v>45992.0</v>
      </c>
      <c r="E883" s="17">
        <v>23.0</v>
      </c>
      <c r="F883" s="17">
        <v>22.0</v>
      </c>
      <c r="G883" s="17">
        <v>21790.79</v>
      </c>
      <c r="H883" s="17">
        <v>466.4</v>
      </c>
      <c r="I883" s="17">
        <v>13.53</v>
      </c>
      <c r="K883" s="17">
        <v>-2.9047</v>
      </c>
      <c r="L883" s="17">
        <v>-3.1226079</v>
      </c>
      <c r="M883" s="17">
        <v>0.2179079</v>
      </c>
      <c r="N883" s="17"/>
      <c r="O883" s="14">
        <f t="shared" si="1"/>
        <v>0.1269</v>
      </c>
      <c r="P883" s="86">
        <f t="array" ref="P883">iferror(XLOOKUP(C883,'Download of SFDC Activation Rep'!B:B,'Download of SFDC Activation Rep'!Z:Z),"")</f>
        <v>45974</v>
      </c>
      <c r="Q883" s="86">
        <f t="shared" si="2"/>
        <v>45962</v>
      </c>
      <c r="R883" s="13" t="str">
        <f t="shared" si="3"/>
        <v>Yes</v>
      </c>
      <c r="S883" s="86">
        <f t="array" ref="S883">iferror(XLOOKUP(C883,'Download of SFDC Activation Rep'!B:B,'Download of SFDC Activation Rep'!Y:Y),"")</f>
        <v>45999</v>
      </c>
    </row>
    <row r="884">
      <c r="A884" s="17" t="s">
        <v>17</v>
      </c>
      <c r="B884" s="85">
        <v>46113.0</v>
      </c>
      <c r="C884" s="17">
        <v>4380860.0</v>
      </c>
      <c r="D884" s="85">
        <v>46023.0</v>
      </c>
      <c r="E884" s="17">
        <v>65.0</v>
      </c>
      <c r="F884" s="17">
        <v>0.0</v>
      </c>
      <c r="G884" s="17">
        <v>10592.04</v>
      </c>
      <c r="H884" s="17">
        <v>9447.04</v>
      </c>
      <c r="I884" s="17">
        <v>494.69</v>
      </c>
      <c r="J884" s="17"/>
      <c r="K884" s="17">
        <v>42.6896</v>
      </c>
      <c r="L884" s="17">
        <v>36.974363615072</v>
      </c>
      <c r="M884" s="17">
        <v>5.715236384928</v>
      </c>
      <c r="N884" s="17"/>
      <c r="O884" s="14">
        <f t="shared" si="1"/>
        <v>104.09536</v>
      </c>
      <c r="P884" s="86">
        <f t="array" ref="P884">iferror(XLOOKUP(C884,'Download of SFDC Activation Rep'!B:B,'Download of SFDC Activation Rep'!Z:Z),"")</f>
        <v>46049</v>
      </c>
      <c r="Q884" s="86">
        <f t="shared" si="2"/>
        <v>46023</v>
      </c>
      <c r="R884" s="13" t="str">
        <f t="shared" si="3"/>
        <v>Yes</v>
      </c>
      <c r="S884" s="86">
        <f t="array" ref="S884">iferror(XLOOKUP(C884,'Download of SFDC Activation Rep'!B:B,'Download of SFDC Activation Rep'!Y:Y),"")</f>
        <v>46051</v>
      </c>
    </row>
    <row r="885">
      <c r="A885" s="17" t="s">
        <v>17</v>
      </c>
      <c r="B885" s="85">
        <v>46054.0</v>
      </c>
      <c r="C885" s="17">
        <v>3942346.0</v>
      </c>
      <c r="D885" s="85">
        <v>45809.0</v>
      </c>
      <c r="E885" s="17">
        <v>3.0</v>
      </c>
      <c r="F885" s="17">
        <v>3.0</v>
      </c>
      <c r="G885" s="17">
        <v>2364.05</v>
      </c>
      <c r="H885" s="17"/>
      <c r="I885" s="17">
        <v>36.16</v>
      </c>
      <c r="K885" s="17">
        <v>27.9052999999999</v>
      </c>
      <c r="L885" s="17">
        <v>27.5292319769269</v>
      </c>
      <c r="M885" s="17">
        <v>0.376068023072999</v>
      </c>
      <c r="N885" s="17"/>
      <c r="O885" s="14">
        <f t="shared" si="1"/>
        <v>27.9053</v>
      </c>
      <c r="P885" s="86">
        <f t="array" ref="P885">iferror(XLOOKUP(C885,'Download of SFDC Activation Rep'!B:B,'Download of SFDC Activation Rep'!Z:Z),"")</f>
        <v>45809</v>
      </c>
      <c r="Q885" s="86">
        <f t="shared" si="2"/>
        <v>45809</v>
      </c>
      <c r="R885" s="13" t="str">
        <f t="shared" si="3"/>
        <v>Yes</v>
      </c>
      <c r="S885" s="86">
        <f t="array" ref="S885">iferror(XLOOKUP(C885,'Download of SFDC Activation Rep'!B:B,'Download of SFDC Activation Rep'!Y:Y),"")</f>
        <v>45812</v>
      </c>
    </row>
    <row r="886">
      <c r="A886" s="17" t="s">
        <v>17</v>
      </c>
      <c r="B886" s="85">
        <v>46082.0</v>
      </c>
      <c r="C886" s="17">
        <v>4310103.0</v>
      </c>
      <c r="D886" s="85">
        <v>46082.0</v>
      </c>
      <c r="E886" s="17">
        <v>3.0</v>
      </c>
      <c r="F886" s="17">
        <v>0.0</v>
      </c>
      <c r="G886" s="17">
        <v>23375.0</v>
      </c>
      <c r="H886" s="17">
        <v>10000.0</v>
      </c>
      <c r="I886" s="17">
        <v>677.88</v>
      </c>
      <c r="J886" s="17"/>
      <c r="K886" s="17">
        <v>2.6755</v>
      </c>
      <c r="L886" s="17">
        <v>-9.72383419999999</v>
      </c>
      <c r="M886" s="17">
        <v>12.3993341999999</v>
      </c>
      <c r="N886" s="17"/>
      <c r="O886" s="14">
        <f t="shared" si="1"/>
        <v>67.6755</v>
      </c>
      <c r="P886" s="86">
        <f t="array" ref="P886">iferror(XLOOKUP(C886,'Download of SFDC Activation Rep'!B:B,'Download of SFDC Activation Rep'!Z:Z),"")</f>
        <v>46037</v>
      </c>
      <c r="Q886" s="86">
        <f t="shared" si="2"/>
        <v>46023</v>
      </c>
      <c r="R886" s="13" t="str">
        <f t="shared" si="3"/>
        <v>Yes</v>
      </c>
      <c r="S886" s="86">
        <f t="array" ref="S886">iferror(XLOOKUP(C886,'Download of SFDC Activation Rep'!B:B,'Download of SFDC Activation Rep'!Y:Y),"")</f>
        <v>46108</v>
      </c>
    </row>
    <row r="887">
      <c r="A887" s="17" t="s">
        <v>17</v>
      </c>
      <c r="B887" s="85">
        <v>46143.0</v>
      </c>
      <c r="C887" s="17">
        <v>4531933.0</v>
      </c>
      <c r="D887" s="85">
        <v>46113.0</v>
      </c>
      <c r="E887" s="17">
        <v>1.0</v>
      </c>
      <c r="F887" s="17">
        <v>1.0</v>
      </c>
      <c r="G887" s="17">
        <v>3822.77</v>
      </c>
      <c r="H887" s="17"/>
      <c r="I887" s="17">
        <v>58.19</v>
      </c>
      <c r="J887" s="17"/>
      <c r="K887" s="17">
        <v>51.3379</v>
      </c>
      <c r="L887" s="17">
        <v>50.7298261419519</v>
      </c>
      <c r="M887" s="17">
        <v>0.608073858048001</v>
      </c>
      <c r="N887" s="17"/>
      <c r="O887" s="14">
        <f t="shared" si="1"/>
        <v>51.3379</v>
      </c>
      <c r="P887" s="86">
        <f t="array" ref="P887">iferror(XLOOKUP(C887,'Download of SFDC Activation Rep'!B:B,'Download of SFDC Activation Rep'!Z:Z),"")</f>
        <v>46113</v>
      </c>
      <c r="Q887" s="86">
        <f t="shared" si="2"/>
        <v>46113</v>
      </c>
      <c r="R887" s="13" t="str">
        <f t="shared" si="3"/>
        <v>Yes</v>
      </c>
      <c r="S887" s="86">
        <f t="array" ref="S887">iferror(XLOOKUP(C887,'Download of SFDC Activation Rep'!B:B,'Download of SFDC Activation Rep'!Y:Y),"")</f>
        <v>46237</v>
      </c>
    </row>
    <row r="888">
      <c r="A888" s="17" t="s">
        <v>17</v>
      </c>
      <c r="B888" s="85">
        <v>46113.0</v>
      </c>
      <c r="C888" s="17">
        <v>4148405.0</v>
      </c>
      <c r="D888" s="85">
        <v>45931.0</v>
      </c>
      <c r="E888" s="17">
        <v>23.0</v>
      </c>
      <c r="F888" s="17">
        <v>1.0</v>
      </c>
      <c r="G888" s="17">
        <v>6256.19</v>
      </c>
      <c r="H888" s="17">
        <v>4886.88</v>
      </c>
      <c r="I888" s="17">
        <v>166.93</v>
      </c>
      <c r="K888" s="17">
        <v>-12.8263</v>
      </c>
      <c r="L888" s="17">
        <v>-12.8888619</v>
      </c>
      <c r="M888" s="17">
        <v>0.0625619000000021</v>
      </c>
      <c r="N888" s="17"/>
      <c r="O888" s="14">
        <f t="shared" si="1"/>
        <v>18.93842</v>
      </c>
      <c r="P888" s="86">
        <f t="array" ref="P888">iferror(XLOOKUP(C888,'Download of SFDC Activation Rep'!B:B,'Download of SFDC Activation Rep'!Z:Z),"")</f>
        <v>45895</v>
      </c>
      <c r="Q888" s="86">
        <f t="shared" si="2"/>
        <v>45870</v>
      </c>
      <c r="R888" s="13" t="str">
        <f t="shared" si="3"/>
        <v>Yes</v>
      </c>
      <c r="S888" s="86">
        <f t="array" ref="S888">iferror(XLOOKUP(C888,'Download of SFDC Activation Rep'!B:B,'Download of SFDC Activation Rep'!Y:Y),"")</f>
        <v>45954</v>
      </c>
    </row>
    <row r="889">
      <c r="A889" s="17" t="s">
        <v>17</v>
      </c>
      <c r="B889" s="85">
        <v>45413.0</v>
      </c>
      <c r="C889" s="17">
        <v>489723.0</v>
      </c>
      <c r="D889" s="85">
        <v>45200.0</v>
      </c>
      <c r="E889" s="17">
        <v>12.0</v>
      </c>
      <c r="F889" s="17">
        <v>12.0</v>
      </c>
      <c r="G889" s="17">
        <v>12980.94</v>
      </c>
      <c r="H889" s="17"/>
      <c r="I889" s="17">
        <v>0.0</v>
      </c>
      <c r="J889" s="17"/>
      <c r="K889" s="17">
        <v>-2.55999999999999</v>
      </c>
      <c r="L889" s="17">
        <v>-8.89475398115967</v>
      </c>
      <c r="M889" s="17">
        <v>6.33475398115967</v>
      </c>
      <c r="N889" s="17"/>
      <c r="O889" s="14">
        <f t="shared" si="1"/>
        <v>-2.56</v>
      </c>
      <c r="P889" s="86">
        <f t="array" ref="P889">iferror(XLOOKUP(C889,'Download of SFDC Activation Rep'!B:B,'Download of SFDC Activation Rep'!Z:Z),"")</f>
        <v>46112</v>
      </c>
      <c r="Q889" s="86">
        <f t="shared" si="2"/>
        <v>46082</v>
      </c>
      <c r="R889" s="13" t="str">
        <f t="shared" si="3"/>
        <v>No</v>
      </c>
      <c r="S889" s="86">
        <f t="array" ref="S889">iferror(XLOOKUP(C889,'Download of SFDC Activation Rep'!B:B,'Download of SFDC Activation Rep'!Y:Y),"")</f>
        <v>46204</v>
      </c>
    </row>
    <row r="890">
      <c r="A890" s="17" t="s">
        <v>17</v>
      </c>
      <c r="B890" s="85">
        <v>46023.0</v>
      </c>
      <c r="C890" s="17">
        <v>4154266.0</v>
      </c>
      <c r="D890" s="85">
        <v>45931.0</v>
      </c>
      <c r="E890" s="17">
        <v>17.0</v>
      </c>
      <c r="F890" s="17">
        <v>1.0</v>
      </c>
      <c r="G890" s="17">
        <v>14680.34</v>
      </c>
      <c r="H890" s="17">
        <v>5902.57</v>
      </c>
      <c r="I890" s="17">
        <v>442.08</v>
      </c>
      <c r="K890" s="17">
        <v>79.4821</v>
      </c>
      <c r="L890" s="17">
        <v>79.0570916499999</v>
      </c>
      <c r="M890" s="17">
        <v>0.425008350000027</v>
      </c>
      <c r="N890" s="17"/>
      <c r="O890" s="14">
        <f t="shared" si="1"/>
        <v>117.848805</v>
      </c>
      <c r="P890" s="86">
        <f t="array" ref="P890">iferror(XLOOKUP(C890,'Download of SFDC Activation Rep'!B:B,'Download of SFDC Activation Rep'!Z:Z),"")</f>
        <v>45895</v>
      </c>
      <c r="Q890" s="86">
        <f t="shared" si="2"/>
        <v>45870</v>
      </c>
      <c r="R890" s="13" t="str">
        <f t="shared" si="3"/>
        <v>Yes</v>
      </c>
      <c r="S890" s="86">
        <f t="array" ref="S890">iferror(XLOOKUP(C890,'Download of SFDC Activation Rep'!B:B,'Download of SFDC Activation Rep'!Y:Y),"")</f>
        <v>45954</v>
      </c>
    </row>
    <row r="891">
      <c r="A891" s="17" t="s">
        <v>17</v>
      </c>
      <c r="B891" s="85">
        <v>46082.0</v>
      </c>
      <c r="C891" s="17">
        <v>4214658.0</v>
      </c>
      <c r="D891" s="85">
        <v>45962.0</v>
      </c>
      <c r="E891" s="17">
        <v>66.0</v>
      </c>
      <c r="F891" s="17">
        <v>66.0</v>
      </c>
      <c r="G891" s="17">
        <v>84928.35</v>
      </c>
      <c r="H891" s="17"/>
      <c r="I891" s="17">
        <v>0.0</v>
      </c>
      <c r="J891" s="17"/>
      <c r="K891" s="17">
        <v>-8.9955</v>
      </c>
      <c r="L891" s="17">
        <v>-9.8447835</v>
      </c>
      <c r="M891" s="17">
        <v>0.849283499999998</v>
      </c>
      <c r="N891" s="17"/>
      <c r="O891" s="14">
        <f t="shared" si="1"/>
        <v>-8.9955</v>
      </c>
      <c r="P891" s="86">
        <f t="array" ref="P891">iferror(XLOOKUP(C891,'Download of SFDC Activation Rep'!B:B,'Download of SFDC Activation Rep'!Z:Z),"")</f>
        <v>45973</v>
      </c>
      <c r="Q891" s="86">
        <f t="shared" si="2"/>
        <v>45962</v>
      </c>
      <c r="R891" s="13" t="str">
        <f t="shared" si="3"/>
        <v>Yes</v>
      </c>
      <c r="S891" s="86">
        <f t="array" ref="S891">iferror(XLOOKUP(C891,'Download of SFDC Activation Rep'!B:B,'Download of SFDC Activation Rep'!Y:Y),"")</f>
        <v>45968</v>
      </c>
    </row>
    <row r="892">
      <c r="A892" s="17" t="s">
        <v>17</v>
      </c>
      <c r="B892" s="85">
        <v>45962.0</v>
      </c>
      <c r="C892" s="17">
        <v>4155276.0</v>
      </c>
      <c r="D892" s="85">
        <v>45962.0</v>
      </c>
      <c r="E892" s="17">
        <v>2.0</v>
      </c>
      <c r="F892" s="17">
        <v>0.0</v>
      </c>
      <c r="G892" s="17">
        <v>600.0</v>
      </c>
      <c r="H892" s="17"/>
      <c r="I892" s="17">
        <v>17.4</v>
      </c>
      <c r="J892" s="17"/>
      <c r="K892" s="17">
        <v>-3.3218</v>
      </c>
      <c r="L892" s="17">
        <v>-3.64007169854</v>
      </c>
      <c r="M892" s="17">
        <v>0.318271698539999</v>
      </c>
      <c r="N892" s="17"/>
      <c r="O892" s="14">
        <f t="shared" si="1"/>
        <v>-3.3218</v>
      </c>
      <c r="P892" s="86">
        <f t="array" ref="P892">iferror(XLOOKUP(C892,'Download of SFDC Activation Rep'!B:B,'Download of SFDC Activation Rep'!Z:Z),"")</f>
        <v>45965</v>
      </c>
      <c r="Q892" s="86">
        <f t="shared" si="2"/>
        <v>45962</v>
      </c>
      <c r="R892" s="13" t="str">
        <f t="shared" si="3"/>
        <v>Yes</v>
      </c>
      <c r="S892" s="86">
        <f t="array" ref="S892">iferror(XLOOKUP(C892,'Download of SFDC Activation Rep'!B:B,'Download of SFDC Activation Rep'!Y:Y),"")</f>
        <v>45966</v>
      </c>
    </row>
    <row r="893">
      <c r="A893" s="17" t="s">
        <v>17</v>
      </c>
      <c r="B893" s="85">
        <v>45992.0</v>
      </c>
      <c r="C893" s="17">
        <v>3221188.0</v>
      </c>
      <c r="D893" s="85">
        <v>45323.0</v>
      </c>
      <c r="E893" s="17">
        <v>1.0</v>
      </c>
      <c r="F893" s="17">
        <v>0.0</v>
      </c>
      <c r="G893" s="17">
        <v>1.0</v>
      </c>
      <c r="H893" s="17"/>
      <c r="I893" s="17">
        <v>0.03</v>
      </c>
      <c r="K893" s="17">
        <v>-0.8898</v>
      </c>
      <c r="L893" s="17">
        <v>-0.8904680963174</v>
      </c>
      <c r="M893" s="17">
        <v>6.68096317399946E-4</v>
      </c>
      <c r="N893" s="17"/>
      <c r="O893" s="14">
        <f t="shared" si="1"/>
        <v>-0.8898</v>
      </c>
      <c r="P893" s="86">
        <f t="array" ref="P893">iferror(XLOOKUP(C893,'Download of SFDC Activation Rep'!B:B,'Download of SFDC Activation Rep'!Z:Z),"")</f>
        <v>46000</v>
      </c>
      <c r="Q893" s="86">
        <f t="shared" si="2"/>
        <v>45992</v>
      </c>
      <c r="R893" s="13" t="str">
        <f t="shared" si="3"/>
        <v>Yes</v>
      </c>
      <c r="S893" s="86">
        <f t="array" ref="S893">iferror(XLOOKUP(C893,'Download of SFDC Activation Rep'!B:B,'Download of SFDC Activation Rep'!Y:Y),"")</f>
        <v>46021</v>
      </c>
    </row>
    <row r="894">
      <c r="A894" s="17" t="s">
        <v>17</v>
      </c>
      <c r="B894" s="85">
        <v>46174.0</v>
      </c>
      <c r="C894" s="17">
        <v>3958943.0</v>
      </c>
      <c r="D894" s="85">
        <v>45839.0</v>
      </c>
      <c r="E894" s="17">
        <v>7.0</v>
      </c>
      <c r="F894" s="17">
        <v>4.0</v>
      </c>
      <c r="G894" s="17">
        <v>2388.49</v>
      </c>
      <c r="H894" s="17">
        <v>619.45</v>
      </c>
      <c r="I894" s="17">
        <v>46.797568</v>
      </c>
      <c r="J894" s="17"/>
      <c r="K894" s="17">
        <v>24.4827</v>
      </c>
      <c r="L894" s="17">
        <v>24.4588151</v>
      </c>
      <c r="M894" s="17">
        <v>0.0238848999999987</v>
      </c>
      <c r="N894" s="17"/>
      <c r="O894" s="14">
        <f t="shared" si="1"/>
        <v>24.4827</v>
      </c>
      <c r="P894" s="86">
        <f t="array" ref="P894">iferror(XLOOKUP(C894,'Download of SFDC Activation Rep'!B:B,'Download of SFDC Activation Rep'!Z:Z),"")</f>
        <v>45839</v>
      </c>
      <c r="Q894" s="86">
        <f t="shared" si="2"/>
        <v>45839</v>
      </c>
      <c r="R894" s="13" t="str">
        <f t="shared" si="3"/>
        <v>Yes</v>
      </c>
      <c r="S894" s="86">
        <f t="array" ref="S894">iferror(XLOOKUP(C894,'Download of SFDC Activation Rep'!B:B,'Download of SFDC Activation Rep'!Y:Y),"")</f>
        <v>45862</v>
      </c>
    </row>
    <row r="895">
      <c r="A895" s="17" t="s">
        <v>17</v>
      </c>
      <c r="B895" s="85">
        <v>46023.0</v>
      </c>
      <c r="C895" s="17">
        <v>4100689.0</v>
      </c>
      <c r="D895" s="85">
        <v>45901.0</v>
      </c>
      <c r="E895" s="17">
        <v>9.0</v>
      </c>
      <c r="F895" s="17">
        <v>0.0</v>
      </c>
      <c r="G895" s="17">
        <v>208270.0</v>
      </c>
      <c r="H895" s="17">
        <v>147095.0</v>
      </c>
      <c r="I895" s="17">
        <v>6039.83</v>
      </c>
      <c r="J895" s="17"/>
      <c r="K895" s="17">
        <v>945.7944</v>
      </c>
      <c r="L895" s="17">
        <v>940.688849999999</v>
      </c>
      <c r="M895" s="17">
        <v>5.1055500000001</v>
      </c>
      <c r="N895" s="17"/>
      <c r="O895" s="14">
        <f t="shared" si="1"/>
        <v>1901.9119</v>
      </c>
      <c r="P895" s="86">
        <f t="array" ref="P895">iferror(XLOOKUP(C895,'Download of SFDC Activation Rep'!B:B,'Download of SFDC Activation Rep'!Z:Z),"")</f>
        <v>45903</v>
      </c>
      <c r="Q895" s="86">
        <f t="shared" si="2"/>
        <v>45901</v>
      </c>
      <c r="R895" s="13" t="str">
        <f t="shared" si="3"/>
        <v>Yes</v>
      </c>
      <c r="S895" s="86">
        <f t="array" ref="S895">iferror(XLOOKUP(C895,'Download of SFDC Activation Rep'!B:B,'Download of SFDC Activation Rep'!Y:Y),"")</f>
        <v>45908</v>
      </c>
    </row>
    <row r="896">
      <c r="A896" s="17" t="s">
        <v>17</v>
      </c>
      <c r="B896" s="85">
        <v>46082.0</v>
      </c>
      <c r="C896" s="17">
        <v>4221007.0</v>
      </c>
      <c r="D896" s="85">
        <v>45962.0</v>
      </c>
      <c r="E896" s="17">
        <v>5.0</v>
      </c>
      <c r="F896" s="17">
        <v>0.0</v>
      </c>
      <c r="G896" s="17">
        <v>55237.4</v>
      </c>
      <c r="H896" s="17">
        <v>15518.65</v>
      </c>
      <c r="I896" s="17">
        <v>1601.89</v>
      </c>
      <c r="J896" s="17"/>
      <c r="K896" s="17">
        <v>-11.1051</v>
      </c>
      <c r="L896" s="17">
        <v>-39.8535594947199</v>
      </c>
      <c r="M896" s="17">
        <v>28.7484594947199</v>
      </c>
      <c r="N896" s="17"/>
      <c r="O896" s="14">
        <f t="shared" si="1"/>
        <v>89.766125</v>
      </c>
      <c r="P896" s="86">
        <f t="array" ref="P896">iferror(XLOOKUP(C896,'Download of SFDC Activation Rep'!B:B,'Download of SFDC Activation Rep'!Z:Z),"")</f>
        <v>45966</v>
      </c>
      <c r="Q896" s="86">
        <f t="shared" si="2"/>
        <v>45962</v>
      </c>
      <c r="R896" s="13" t="str">
        <f t="shared" si="3"/>
        <v>Yes</v>
      </c>
      <c r="S896" s="86">
        <f t="array" ref="S896">iferror(XLOOKUP(C896,'Download of SFDC Activation Rep'!B:B,'Download of SFDC Activation Rep'!Y:Y),"")</f>
        <v>45971</v>
      </c>
    </row>
    <row r="897">
      <c r="A897" s="17" t="s">
        <v>17</v>
      </c>
      <c r="B897" s="85">
        <v>45962.0</v>
      </c>
      <c r="C897" s="17">
        <v>4148405.0</v>
      </c>
      <c r="D897" s="85">
        <v>45931.0</v>
      </c>
      <c r="E897" s="17">
        <v>22.0</v>
      </c>
      <c r="F897" s="17">
        <v>3.0</v>
      </c>
      <c r="G897" s="17">
        <v>10373.15</v>
      </c>
      <c r="H897" s="17">
        <v>4537.0</v>
      </c>
      <c r="I897" s="17">
        <v>226.9</v>
      </c>
      <c r="K897" s="17">
        <v>38.193</v>
      </c>
      <c r="L897" s="17">
        <v>38.0892684999999</v>
      </c>
      <c r="M897" s="17">
        <v>0.103731500000009</v>
      </c>
      <c r="N897" s="17"/>
      <c r="O897" s="14">
        <f t="shared" si="1"/>
        <v>38.193</v>
      </c>
      <c r="P897" s="86">
        <f t="array" ref="P897">iferror(XLOOKUP(C897,'Download of SFDC Activation Rep'!B:B,'Download of SFDC Activation Rep'!Z:Z),"")</f>
        <v>45895</v>
      </c>
      <c r="Q897" s="86">
        <f t="shared" si="2"/>
        <v>45870</v>
      </c>
      <c r="R897" s="13" t="str">
        <f t="shared" si="3"/>
        <v>Yes</v>
      </c>
      <c r="S897" s="86">
        <f t="array" ref="S897">iferror(XLOOKUP(C897,'Download of SFDC Activation Rep'!B:B,'Download of SFDC Activation Rep'!Y:Y),"")</f>
        <v>45954</v>
      </c>
    </row>
    <row r="898">
      <c r="A898" s="17" t="s">
        <v>17</v>
      </c>
      <c r="B898" s="85">
        <v>46054.0</v>
      </c>
      <c r="C898" s="17">
        <v>4307473.0</v>
      </c>
      <c r="D898" s="85">
        <v>45992.0</v>
      </c>
      <c r="E898" s="17">
        <v>1.0</v>
      </c>
      <c r="F898" s="17">
        <v>1.0</v>
      </c>
      <c r="G898" s="17">
        <v>31179.92</v>
      </c>
      <c r="I898" s="17">
        <v>0.0</v>
      </c>
      <c r="J898" s="17"/>
      <c r="K898" s="17">
        <v>-0.1508</v>
      </c>
      <c r="L898" s="17">
        <v>-0.4625992</v>
      </c>
      <c r="M898" s="17">
        <v>0.3117992</v>
      </c>
      <c r="N898" s="17"/>
      <c r="O898" s="14">
        <f t="shared" si="1"/>
        <v>-0.1508</v>
      </c>
      <c r="P898" s="86">
        <f t="array" ref="P898">iferror(XLOOKUP(C898,'Download of SFDC Activation Rep'!B:B,'Download of SFDC Activation Rep'!Z:Z),"")</f>
        <v>45841</v>
      </c>
      <c r="Q898" s="86">
        <f t="shared" si="2"/>
        <v>45839</v>
      </c>
      <c r="R898" s="13" t="str">
        <f t="shared" si="3"/>
        <v>Yes</v>
      </c>
      <c r="S898" s="86">
        <f t="array" ref="S898">iferror(XLOOKUP(C898,'Download of SFDC Activation Rep'!B:B,'Download of SFDC Activation Rep'!Y:Y),"")</f>
        <v>46021</v>
      </c>
    </row>
    <row r="899">
      <c r="A899" s="17" t="s">
        <v>17</v>
      </c>
      <c r="B899" s="85">
        <v>45870.0</v>
      </c>
      <c r="C899" s="17">
        <v>4011819.0</v>
      </c>
      <c r="D899" s="85">
        <v>45839.0</v>
      </c>
      <c r="E899" s="17">
        <v>2.0</v>
      </c>
      <c r="F899" s="17">
        <v>0.0</v>
      </c>
      <c r="G899" s="17">
        <v>3364.6</v>
      </c>
      <c r="H899" s="17">
        <v>3364.6</v>
      </c>
      <c r="I899" s="17">
        <v>97.57</v>
      </c>
      <c r="J899" s="17"/>
      <c r="K899" s="17">
        <v>12.9591</v>
      </c>
      <c r="L899" s="17">
        <v>11.1743384051538</v>
      </c>
      <c r="M899" s="17">
        <v>1.78476159484614</v>
      </c>
      <c r="N899" s="17"/>
      <c r="O899" s="14">
        <f t="shared" si="1"/>
        <v>12.9591</v>
      </c>
      <c r="P899" s="86">
        <f t="array" ref="P899">iferror(XLOOKUP(C899,'Download of SFDC Activation Rep'!B:B,'Download of SFDC Activation Rep'!Z:Z),"")</f>
        <v>45849</v>
      </c>
      <c r="Q899" s="86">
        <f t="shared" si="2"/>
        <v>45839</v>
      </c>
      <c r="R899" s="13" t="str">
        <f t="shared" si="3"/>
        <v>Yes</v>
      </c>
      <c r="S899" s="86">
        <f t="array" ref="S899">iferror(XLOOKUP(C899,'Download of SFDC Activation Rep'!B:B,'Download of SFDC Activation Rep'!Y:Y),"")</f>
        <v>45849</v>
      </c>
    </row>
    <row r="900">
      <c r="A900" s="17" t="s">
        <v>17</v>
      </c>
      <c r="B900" s="85">
        <v>45901.0</v>
      </c>
      <c r="C900" s="17">
        <v>3942651.0</v>
      </c>
      <c r="D900" s="85">
        <v>45809.0</v>
      </c>
      <c r="E900" s="17">
        <v>6.0</v>
      </c>
      <c r="F900" s="17">
        <v>6.0</v>
      </c>
      <c r="G900" s="17">
        <v>3790.0</v>
      </c>
      <c r="I900" s="17">
        <v>0.0</v>
      </c>
      <c r="J900" s="17"/>
      <c r="K900" s="17">
        <v>-0.5</v>
      </c>
      <c r="L900" s="17">
        <v>-0.5379</v>
      </c>
      <c r="M900" s="17">
        <v>0.0379</v>
      </c>
      <c r="N900" s="17"/>
      <c r="O900" s="14">
        <f t="shared" si="1"/>
        <v>-0.5</v>
      </c>
      <c r="P900" s="86">
        <f t="array" ref="P900">iferror(XLOOKUP(C900,'Download of SFDC Activation Rep'!B:B,'Download of SFDC Activation Rep'!Z:Z),"")</f>
        <v>45809</v>
      </c>
      <c r="Q900" s="86">
        <f t="shared" si="2"/>
        <v>45809</v>
      </c>
      <c r="R900" s="13" t="str">
        <f t="shared" si="3"/>
        <v>Yes</v>
      </c>
      <c r="S900" s="86">
        <f t="array" ref="S900">iferror(XLOOKUP(C900,'Download of SFDC Activation Rep'!B:B,'Download of SFDC Activation Rep'!Y:Y),"")</f>
        <v>45819</v>
      </c>
    </row>
    <row r="901">
      <c r="A901" s="17" t="s">
        <v>19</v>
      </c>
      <c r="B901" s="85">
        <v>45597.0</v>
      </c>
      <c r="C901" s="17">
        <v>2710123.0</v>
      </c>
      <c r="D901" s="85">
        <v>45292.0</v>
      </c>
      <c r="E901" s="17">
        <v>1.0</v>
      </c>
      <c r="F901" s="17">
        <v>0.0</v>
      </c>
      <c r="G901" s="17">
        <v>11075.4</v>
      </c>
      <c r="H901" s="17"/>
      <c r="I901" s="17">
        <v>321.19</v>
      </c>
      <c r="K901" s="17">
        <v>22.3574</v>
      </c>
      <c r="L901" s="17">
        <v>19.5924105787589</v>
      </c>
      <c r="M901" s="17">
        <v>2.76498942124104</v>
      </c>
      <c r="N901" s="17"/>
      <c r="O901" s="14">
        <f t="shared" si="1"/>
        <v>22.3574</v>
      </c>
      <c r="P901" s="86">
        <f t="array" ref="P901">iferror(XLOOKUP(C901,'Download of SFDC Activation Rep'!B:B,'Download of SFDC Activation Rep'!Z:Z),"")</f>
        <v>45873</v>
      </c>
      <c r="Q901" s="86">
        <f t="shared" si="2"/>
        <v>45870</v>
      </c>
      <c r="R901" s="13" t="str">
        <f t="shared" si="3"/>
        <v>No</v>
      </c>
      <c r="S901" s="86">
        <f t="array" ref="S901">iferror(XLOOKUP(C901,'Download of SFDC Activation Rep'!B:B,'Download of SFDC Activation Rep'!Y:Y),"")</f>
        <v>45980</v>
      </c>
    </row>
    <row r="902">
      <c r="A902" s="17" t="s">
        <v>489</v>
      </c>
      <c r="B902" s="85">
        <v>44805.0</v>
      </c>
      <c r="C902" s="17">
        <v>2153287.0</v>
      </c>
      <c r="D902" s="85">
        <v>44805.0</v>
      </c>
      <c r="E902" s="17">
        <v>1.0</v>
      </c>
      <c r="F902" s="17">
        <v>0.0</v>
      </c>
      <c r="G902" s="17">
        <v>39195.83</v>
      </c>
      <c r="H902" s="17"/>
      <c r="I902" s="17">
        <v>1136.68</v>
      </c>
      <c r="K902" s="17">
        <v>153.831</v>
      </c>
      <c r="L902" s="17">
        <v>115.439054398208</v>
      </c>
      <c r="M902" s="17">
        <v>38.3919456017914</v>
      </c>
      <c r="N902" s="17"/>
      <c r="O902" s="14">
        <f t="shared" si="1"/>
        <v>153.831</v>
      </c>
      <c r="P902" s="86">
        <f t="array" ref="P902">iferror(XLOOKUP(C902,'Download of SFDC Activation Rep'!B:B,'Download of SFDC Activation Rep'!Z:Z),"")</f>
        <v>46007</v>
      </c>
      <c r="Q902" s="86">
        <f t="shared" si="2"/>
        <v>45992</v>
      </c>
      <c r="R902" s="13" t="str">
        <f t="shared" si="3"/>
        <v>No</v>
      </c>
      <c r="S902" s="86">
        <f t="array" ref="S902">iferror(XLOOKUP(C902,'Download of SFDC Activation Rep'!B:B,'Download of SFDC Activation Rep'!Y:Y),"")</f>
        <v>46021</v>
      </c>
    </row>
    <row r="903">
      <c r="A903" s="17" t="s">
        <v>17</v>
      </c>
      <c r="B903" s="85">
        <v>46082.0</v>
      </c>
      <c r="C903" s="17">
        <v>3958943.0</v>
      </c>
      <c r="D903" s="85">
        <v>45839.0</v>
      </c>
      <c r="E903" s="17">
        <v>8.0</v>
      </c>
      <c r="F903" s="17">
        <v>4.0</v>
      </c>
      <c r="G903" s="17">
        <v>6958.68</v>
      </c>
      <c r="H903" s="17">
        <v>813.65</v>
      </c>
      <c r="I903" s="17">
        <v>23.6</v>
      </c>
      <c r="K903" s="17">
        <v>-3.7497</v>
      </c>
      <c r="L903" s="17">
        <v>-3.81928679999999</v>
      </c>
      <c r="M903" s="17">
        <v>0.0695867999999992</v>
      </c>
      <c r="N903" s="17"/>
      <c r="O903" s="14">
        <f t="shared" si="1"/>
        <v>1.539025</v>
      </c>
      <c r="P903" s="86">
        <f t="array" ref="P903">iferror(XLOOKUP(C903,'Download of SFDC Activation Rep'!B:B,'Download of SFDC Activation Rep'!Z:Z),"")</f>
        <v>45839</v>
      </c>
      <c r="Q903" s="86">
        <f t="shared" si="2"/>
        <v>45839</v>
      </c>
      <c r="R903" s="13" t="str">
        <f t="shared" si="3"/>
        <v>Yes</v>
      </c>
      <c r="S903" s="86">
        <f t="array" ref="S903">iferror(XLOOKUP(C903,'Download of SFDC Activation Rep'!B:B,'Download of SFDC Activation Rep'!Y:Y),"")</f>
        <v>45862</v>
      </c>
    </row>
    <row r="904">
      <c r="A904" s="17" t="s">
        <v>17</v>
      </c>
      <c r="B904" s="85">
        <v>46054.0</v>
      </c>
      <c r="C904" s="17">
        <v>4213575.0</v>
      </c>
      <c r="D904" s="85">
        <v>45962.0</v>
      </c>
      <c r="E904" s="17">
        <v>1.0</v>
      </c>
      <c r="F904" s="17">
        <v>0.0</v>
      </c>
      <c r="G904" s="17">
        <v>3177.08</v>
      </c>
      <c r="H904" s="17"/>
      <c r="I904" s="17">
        <v>123.91</v>
      </c>
      <c r="J904" s="17"/>
      <c r="K904" s="17">
        <v>48.8538</v>
      </c>
      <c r="L904" s="17">
        <v>37.929066659944</v>
      </c>
      <c r="M904" s="17">
        <v>10.924733340056</v>
      </c>
      <c r="N904" s="17"/>
      <c r="O904" s="14">
        <f t="shared" si="1"/>
        <v>48.8538</v>
      </c>
      <c r="P904" s="86">
        <f t="array" ref="P904">iferror(XLOOKUP(C904,'Download of SFDC Activation Rep'!B:B,'Download of SFDC Activation Rep'!Z:Z),"")</f>
        <v>45965</v>
      </c>
      <c r="Q904" s="86">
        <f t="shared" si="2"/>
        <v>45962</v>
      </c>
      <c r="R904" s="13" t="str">
        <f t="shared" si="3"/>
        <v>Yes</v>
      </c>
      <c r="S904" s="86">
        <f t="array" ref="S904">iferror(XLOOKUP(C904,'Download of SFDC Activation Rep'!B:B,'Download of SFDC Activation Rep'!Y:Y),"")</f>
        <v>45966</v>
      </c>
    </row>
    <row r="905">
      <c r="A905" s="17" t="s">
        <v>17</v>
      </c>
      <c r="B905" s="85">
        <v>45901.0</v>
      </c>
      <c r="C905" s="17">
        <v>3958943.0</v>
      </c>
      <c r="D905" s="85">
        <v>45839.0</v>
      </c>
      <c r="E905" s="17">
        <v>4.0</v>
      </c>
      <c r="F905" s="17">
        <v>3.0</v>
      </c>
      <c r="G905" s="17">
        <v>2154.12</v>
      </c>
      <c r="H905" s="17"/>
      <c r="I905" s="17">
        <v>7.25</v>
      </c>
      <c r="K905" s="17">
        <v>4.6479</v>
      </c>
      <c r="L905" s="17">
        <v>4.6263588</v>
      </c>
      <c r="M905" s="17">
        <v>0.0215411999999997</v>
      </c>
      <c r="N905" s="17"/>
      <c r="O905" s="14">
        <f t="shared" si="1"/>
        <v>4.6479</v>
      </c>
      <c r="P905" s="86">
        <f t="array" ref="P905">iferror(XLOOKUP(C905,'Download of SFDC Activation Rep'!B:B,'Download of SFDC Activation Rep'!Z:Z),"")</f>
        <v>45839</v>
      </c>
      <c r="Q905" s="86">
        <f t="shared" si="2"/>
        <v>45839</v>
      </c>
      <c r="R905" s="13" t="str">
        <f t="shared" si="3"/>
        <v>Yes</v>
      </c>
      <c r="S905" s="86">
        <f t="array" ref="S905">iferror(XLOOKUP(C905,'Download of SFDC Activation Rep'!B:B,'Download of SFDC Activation Rep'!Y:Y),"")</f>
        <v>45862</v>
      </c>
    </row>
    <row r="906">
      <c r="A906" s="17" t="s">
        <v>17</v>
      </c>
      <c r="B906" s="85">
        <v>46082.0</v>
      </c>
      <c r="C906" s="17">
        <v>4268726.0</v>
      </c>
      <c r="D906" s="85">
        <v>45992.0</v>
      </c>
      <c r="E906" s="17">
        <v>7.0</v>
      </c>
      <c r="F906" s="17">
        <v>5.0</v>
      </c>
      <c r="G906" s="17">
        <v>6197.1</v>
      </c>
      <c r="H906" s="17"/>
      <c r="I906" s="17">
        <v>18.88</v>
      </c>
      <c r="J906" s="17"/>
      <c r="K906" s="17">
        <v>-0.5346</v>
      </c>
      <c r="L906" s="17">
        <v>-0.596571</v>
      </c>
      <c r="M906" s="17">
        <v>0.061971</v>
      </c>
      <c r="N906" s="17"/>
      <c r="O906" s="14">
        <f t="shared" si="1"/>
        <v>-0.5346</v>
      </c>
      <c r="P906" s="86">
        <f t="array" ref="P906">iferror(XLOOKUP(C906,'Download of SFDC Activation Rep'!B:B,'Download of SFDC Activation Rep'!Z:Z),"")</f>
        <v>45992</v>
      </c>
      <c r="Q906" s="86">
        <f t="shared" si="2"/>
        <v>45992</v>
      </c>
      <c r="R906" s="13" t="str">
        <f t="shared" si="3"/>
        <v>Yes</v>
      </c>
      <c r="S906" s="86">
        <f t="array" ref="S906">iferror(XLOOKUP(C906,'Download of SFDC Activation Rep'!B:B,'Download of SFDC Activation Rep'!Y:Y),"")</f>
        <v>46000</v>
      </c>
    </row>
    <row r="907">
      <c r="A907" s="17" t="s">
        <v>17</v>
      </c>
      <c r="B907" s="85">
        <v>45809.0</v>
      </c>
      <c r="C907" s="17">
        <v>2967694.0</v>
      </c>
      <c r="D907" s="85">
        <v>45292.0</v>
      </c>
      <c r="E907" s="17">
        <v>3.0</v>
      </c>
      <c r="F907" s="17">
        <v>0.0</v>
      </c>
      <c r="G907" s="17">
        <v>108811.92</v>
      </c>
      <c r="H907" s="17">
        <v>108811.92</v>
      </c>
      <c r="I907" s="17">
        <v>3155.55</v>
      </c>
      <c r="K907" s="17">
        <v>402.085</v>
      </c>
      <c r="L907" s="17">
        <v>344.365409000335</v>
      </c>
      <c r="M907" s="17">
        <v>57.7195909996643</v>
      </c>
      <c r="N907" s="17"/>
      <c r="O907" s="14">
        <f t="shared" si="1"/>
        <v>402.085</v>
      </c>
      <c r="P907" s="86">
        <f t="array" ref="P907">iferror(XLOOKUP(C907,'Download of SFDC Activation Rep'!B:B,'Download of SFDC Activation Rep'!Z:Z),"")</f>
        <v>45924</v>
      </c>
      <c r="Q907" s="86">
        <f t="shared" si="2"/>
        <v>45901</v>
      </c>
      <c r="R907" s="13" t="str">
        <f t="shared" si="3"/>
        <v>No</v>
      </c>
      <c r="S907" s="86">
        <f t="array" ref="S907">iferror(XLOOKUP(C907,'Download of SFDC Activation Rep'!B:B,'Download of SFDC Activation Rep'!Y:Y),"")</f>
        <v>46055</v>
      </c>
    </row>
    <row r="908">
      <c r="A908" s="17" t="s">
        <v>17</v>
      </c>
      <c r="B908" s="85">
        <v>46174.0</v>
      </c>
      <c r="C908" s="17">
        <v>4491049.0</v>
      </c>
      <c r="D908" s="85">
        <v>46082.0</v>
      </c>
      <c r="E908" s="17">
        <v>9.0</v>
      </c>
      <c r="F908" s="17">
        <v>1.0</v>
      </c>
      <c r="G908" s="17">
        <v>9493.14</v>
      </c>
      <c r="H908" s="17">
        <v>2062.5</v>
      </c>
      <c r="I908" s="17">
        <v>259.0</v>
      </c>
      <c r="J908" s="17"/>
      <c r="K908" s="17">
        <v>24.3951</v>
      </c>
      <c r="L908" s="17">
        <v>24.3001686</v>
      </c>
      <c r="M908" s="17">
        <v>0.0949314000000001</v>
      </c>
      <c r="N908" s="17"/>
      <c r="O908" s="14">
        <f t="shared" si="1"/>
        <v>24.3951</v>
      </c>
      <c r="P908" s="86">
        <f t="array" ref="P908">iferror(XLOOKUP(C908,'Download of SFDC Activation Rep'!B:B,'Download of SFDC Activation Rep'!Z:Z),"")</f>
        <v>46104</v>
      </c>
      <c r="Q908" s="86">
        <f t="shared" si="2"/>
        <v>46082</v>
      </c>
      <c r="R908" s="13" t="str">
        <f t="shared" si="3"/>
        <v>Yes</v>
      </c>
      <c r="S908" s="86">
        <f t="array" ref="S908">iferror(XLOOKUP(C908,'Download of SFDC Activation Rep'!B:B,'Download of SFDC Activation Rep'!Y:Y),"")</f>
        <v>46132</v>
      </c>
    </row>
    <row r="909">
      <c r="A909" s="17" t="s">
        <v>17</v>
      </c>
      <c r="B909" s="85">
        <v>45992.0</v>
      </c>
      <c r="C909" s="17">
        <v>4148405.0</v>
      </c>
      <c r="D909" s="85">
        <v>45931.0</v>
      </c>
      <c r="E909" s="17">
        <v>26.0</v>
      </c>
      <c r="F909" s="17">
        <v>1.0</v>
      </c>
      <c r="G909" s="17">
        <v>8766.92</v>
      </c>
      <c r="H909" s="17">
        <v>4581.05</v>
      </c>
      <c r="I909" s="17">
        <v>252.08</v>
      </c>
      <c r="K909" s="17">
        <v>33.4707</v>
      </c>
      <c r="L909" s="17">
        <v>33.3830308</v>
      </c>
      <c r="M909" s="17">
        <v>0.0876692000000005</v>
      </c>
      <c r="N909" s="17"/>
      <c r="O909" s="14">
        <f t="shared" si="1"/>
        <v>33.4707</v>
      </c>
      <c r="P909" s="86">
        <f t="array" ref="P909">iferror(XLOOKUP(C909,'Download of SFDC Activation Rep'!B:B,'Download of SFDC Activation Rep'!Z:Z),"")</f>
        <v>45895</v>
      </c>
      <c r="Q909" s="86">
        <f t="shared" si="2"/>
        <v>45870</v>
      </c>
      <c r="R909" s="13" t="str">
        <f t="shared" si="3"/>
        <v>Yes</v>
      </c>
      <c r="S909" s="86">
        <f t="array" ref="S909">iferror(XLOOKUP(C909,'Download of SFDC Activation Rep'!B:B,'Download of SFDC Activation Rep'!Y:Y),"")</f>
        <v>45954</v>
      </c>
    </row>
    <row r="910">
      <c r="A910" s="17" t="s">
        <v>488</v>
      </c>
      <c r="B910" s="85">
        <v>46054.0</v>
      </c>
      <c r="C910" s="17">
        <v>3968250.0</v>
      </c>
      <c r="D910" s="85">
        <v>45809.0</v>
      </c>
      <c r="E910" s="17">
        <v>22.0</v>
      </c>
      <c r="F910" s="17">
        <v>22.0</v>
      </c>
      <c r="G910" s="17">
        <v>33009.75</v>
      </c>
      <c r="H910" s="17"/>
      <c r="I910" s="17">
        <v>0.0</v>
      </c>
      <c r="J910" s="17"/>
      <c r="K910" s="17">
        <v>-3.5537</v>
      </c>
      <c r="L910" s="17">
        <v>-8.725710542675</v>
      </c>
      <c r="M910" s="17">
        <v>5.17201054267499</v>
      </c>
      <c r="N910" s="17">
        <v>6.39999999999999</v>
      </c>
      <c r="O910" s="14">
        <f t="shared" si="1"/>
        <v>2.8463</v>
      </c>
      <c r="P910" s="86">
        <f t="array" ref="P910">iferror(XLOOKUP(C910,'Download of SFDC Activation Rep'!B:B,'Download of SFDC Activation Rep'!Z:Z),"")</f>
        <v>45809</v>
      </c>
      <c r="Q910" s="86">
        <f t="shared" si="2"/>
        <v>45809</v>
      </c>
      <c r="R910" s="13" t="str">
        <f t="shared" si="3"/>
        <v>Yes</v>
      </c>
      <c r="S910" s="86">
        <f t="array" ref="S910">iferror(XLOOKUP(C910,'Download of SFDC Activation Rep'!B:B,'Download of SFDC Activation Rep'!Y:Y),"")</f>
        <v>45826</v>
      </c>
    </row>
    <row r="911">
      <c r="A911" s="17" t="s">
        <v>489</v>
      </c>
      <c r="B911" s="85">
        <v>46054.0</v>
      </c>
      <c r="C911" s="17">
        <v>3683365.0</v>
      </c>
      <c r="D911" s="85">
        <v>45992.0</v>
      </c>
      <c r="E911" s="17">
        <v>8.0</v>
      </c>
      <c r="F911" s="17">
        <v>5.0</v>
      </c>
      <c r="G911" s="17">
        <v>18737.27</v>
      </c>
      <c r="H911" s="17">
        <v>792.93</v>
      </c>
      <c r="I911" s="17">
        <v>523.04</v>
      </c>
      <c r="K911" s="17">
        <v>168.0484</v>
      </c>
      <c r="L911" s="17">
        <v>167.8610273</v>
      </c>
      <c r="M911" s="17">
        <v>0.187372700000025</v>
      </c>
      <c r="N911" s="17">
        <v>52.0</v>
      </c>
      <c r="O911" s="14">
        <f t="shared" si="1"/>
        <v>225.202445</v>
      </c>
      <c r="P911" s="86">
        <f t="array" ref="P911">iferror(XLOOKUP(C911,'Download of SFDC Activation Rep'!B:B,'Download of SFDC Activation Rep'!Z:Z),"")</f>
        <v>46197</v>
      </c>
      <c r="Q911" s="86">
        <f t="shared" si="2"/>
        <v>46174</v>
      </c>
      <c r="R911" s="13" t="str">
        <f t="shared" si="3"/>
        <v>No</v>
      </c>
      <c r="S911" s="86">
        <f t="array" ref="S911">iferror(XLOOKUP(C911,'Download of SFDC Activation Rep'!B:B,'Download of SFDC Activation Rep'!Y:Y),"")</f>
        <v>46361</v>
      </c>
    </row>
    <row r="912">
      <c r="A912" s="17" t="s">
        <v>488</v>
      </c>
      <c r="B912" s="85">
        <v>46023.0</v>
      </c>
      <c r="C912" s="17">
        <v>4068848.0</v>
      </c>
      <c r="D912" s="85">
        <v>45870.0</v>
      </c>
      <c r="E912" s="17">
        <v>14.0</v>
      </c>
      <c r="F912" s="17">
        <v>0.0</v>
      </c>
      <c r="G912" s="17">
        <v>22721.28</v>
      </c>
      <c r="H912" s="17">
        <v>22554.54</v>
      </c>
      <c r="I912" s="17">
        <v>658.93</v>
      </c>
      <c r="J912" s="17"/>
      <c r="K912" s="17">
        <v>17.2282</v>
      </c>
      <c r="L912" s="17">
        <v>11.9481691996401</v>
      </c>
      <c r="M912" s="17">
        <v>5.28003080035987</v>
      </c>
      <c r="N912" s="17">
        <v>0.0</v>
      </c>
      <c r="O912" s="14">
        <f t="shared" si="1"/>
        <v>163.83271</v>
      </c>
      <c r="P912" s="86">
        <f t="array" ref="P912">iferror(XLOOKUP(C912,'Download of SFDC Activation Rep'!B:B,'Download of SFDC Activation Rep'!Z:Z),"")</f>
        <v>45880</v>
      </c>
      <c r="Q912" s="86">
        <f t="shared" si="2"/>
        <v>45870</v>
      </c>
      <c r="R912" s="13" t="str">
        <f t="shared" si="3"/>
        <v>Yes</v>
      </c>
      <c r="S912" s="86">
        <f t="array" ref="S912">iferror(XLOOKUP(C912,'Download of SFDC Activation Rep'!B:B,'Download of SFDC Activation Rep'!Y:Y),"")</f>
        <v>45896</v>
      </c>
    </row>
    <row r="913">
      <c r="A913" s="17" t="s">
        <v>17</v>
      </c>
      <c r="B913" s="85">
        <v>46113.0</v>
      </c>
      <c r="C913" s="17">
        <v>4491049.0</v>
      </c>
      <c r="D913" s="85">
        <v>46082.0</v>
      </c>
      <c r="E913" s="17">
        <v>12.0</v>
      </c>
      <c r="F913" s="17">
        <v>2.0</v>
      </c>
      <c r="G913" s="17">
        <v>7506.25</v>
      </c>
      <c r="H913" s="17">
        <v>2856.25</v>
      </c>
      <c r="I913" s="17">
        <v>183.42</v>
      </c>
      <c r="K913" s="17">
        <v>-1.61289999999999</v>
      </c>
      <c r="L913" s="17">
        <v>-1.68796249999999</v>
      </c>
      <c r="M913" s="17">
        <v>0.0750624999999995</v>
      </c>
      <c r="N913" s="17">
        <v>0.0</v>
      </c>
      <c r="O913" s="14">
        <f t="shared" si="1"/>
        <v>16.952725</v>
      </c>
      <c r="P913" s="86">
        <f t="array" ref="P913">iferror(XLOOKUP(C913,'Download of SFDC Activation Rep'!B:B,'Download of SFDC Activation Rep'!Z:Z),"")</f>
        <v>46104</v>
      </c>
      <c r="Q913" s="86">
        <f t="shared" si="2"/>
        <v>46082</v>
      </c>
      <c r="R913" s="13" t="str">
        <f t="shared" si="3"/>
        <v>Yes</v>
      </c>
      <c r="S913" s="86">
        <f t="array" ref="S913">iferror(XLOOKUP(C913,'Download of SFDC Activation Rep'!B:B,'Download of SFDC Activation Rep'!Y:Y),"")</f>
        <v>46132</v>
      </c>
    </row>
    <row r="914">
      <c r="A914" s="17" t="s">
        <v>17</v>
      </c>
      <c r="B914" s="85">
        <v>45839.0</v>
      </c>
      <c r="C914" s="17">
        <v>3825826.0</v>
      </c>
      <c r="D914" s="85">
        <v>45839.0</v>
      </c>
      <c r="E914" s="17">
        <v>29.0</v>
      </c>
      <c r="F914" s="17">
        <v>26.0</v>
      </c>
      <c r="G914" s="17">
        <v>135586.5</v>
      </c>
      <c r="H914" s="17">
        <v>5922.5</v>
      </c>
      <c r="I914" s="17">
        <v>442.02</v>
      </c>
      <c r="K914" s="17">
        <v>13.6657999999999</v>
      </c>
      <c r="L914" s="17">
        <v>12.309935</v>
      </c>
      <c r="M914" s="17">
        <v>1.35586499999999</v>
      </c>
      <c r="N914" s="17">
        <v>6.39999999999999</v>
      </c>
      <c r="O914" s="14">
        <f t="shared" si="1"/>
        <v>20.0658</v>
      </c>
      <c r="P914" s="86">
        <f t="array" ref="P914">iferror(XLOOKUP(C914,'Download of SFDC Activation Rep'!B:B,'Download of SFDC Activation Rep'!Z:Z),"")</f>
        <v>45810</v>
      </c>
      <c r="Q914" s="86">
        <f t="shared" si="2"/>
        <v>45809</v>
      </c>
      <c r="R914" s="13" t="str">
        <f t="shared" si="3"/>
        <v>Yes</v>
      </c>
      <c r="S914" s="86">
        <f t="array" ref="S914">iferror(XLOOKUP(C914,'Download of SFDC Activation Rep'!B:B,'Download of SFDC Activation Rep'!Y:Y),"")</f>
        <v>45842</v>
      </c>
    </row>
    <row r="915">
      <c r="A915" s="17" t="s">
        <v>488</v>
      </c>
      <c r="B915" s="85">
        <v>46023.0</v>
      </c>
      <c r="C915" s="17">
        <v>4269437.0</v>
      </c>
      <c r="D915" s="85">
        <v>46023.0</v>
      </c>
      <c r="E915" s="17">
        <v>28.0</v>
      </c>
      <c r="F915" s="17">
        <v>28.0</v>
      </c>
      <c r="G915" s="17">
        <v>33784.69</v>
      </c>
      <c r="H915" s="17"/>
      <c r="I915" s="17">
        <v>0.0</v>
      </c>
      <c r="K915" s="17">
        <v>-4.384</v>
      </c>
      <c r="L915" s="17">
        <v>-5.3975407</v>
      </c>
      <c r="M915" s="17">
        <v>1.01354069999999</v>
      </c>
      <c r="N915" s="17">
        <v>17.0</v>
      </c>
      <c r="O915" s="14">
        <f t="shared" si="1"/>
        <v>12.616</v>
      </c>
      <c r="P915" s="86">
        <f t="array" ref="P915">iferror(XLOOKUP(C915,'Download of SFDC Activation Rep'!B:B,'Download of SFDC Activation Rep'!Z:Z),"")</f>
        <v>46007</v>
      </c>
      <c r="Q915" s="86">
        <f t="shared" si="2"/>
        <v>45992</v>
      </c>
      <c r="R915" s="13" t="str">
        <f t="shared" si="3"/>
        <v>Yes</v>
      </c>
      <c r="S915" s="86">
        <f t="array" ref="S915">iferror(XLOOKUP(C915,'Download of SFDC Activation Rep'!B:B,'Download of SFDC Activation Rep'!Y:Y),"")</f>
        <v>46031</v>
      </c>
    </row>
    <row r="916">
      <c r="A916" s="17" t="s">
        <v>17</v>
      </c>
      <c r="B916" s="85">
        <v>45962.0</v>
      </c>
      <c r="C916" s="17">
        <v>4162423.0</v>
      </c>
      <c r="D916" s="85">
        <v>45962.0</v>
      </c>
      <c r="E916" s="17">
        <v>1.0</v>
      </c>
      <c r="F916" s="17">
        <v>0.0</v>
      </c>
      <c r="G916" s="17">
        <v>45.0</v>
      </c>
      <c r="H916" s="17"/>
      <c r="I916" s="17">
        <v>1.3</v>
      </c>
      <c r="K916" s="17">
        <v>-0.4146</v>
      </c>
      <c r="L916" s="17">
        <v>-0.41505</v>
      </c>
      <c r="M916" s="17">
        <v>4.50000000000005E-4</v>
      </c>
      <c r="N916" s="17">
        <v>0.0</v>
      </c>
      <c r="O916" s="14">
        <f t="shared" si="1"/>
        <v>-0.4146</v>
      </c>
      <c r="P916" s="86">
        <f t="array" ref="P916">iferror(XLOOKUP(C916,'Download of SFDC Activation Rep'!B:B,'Download of SFDC Activation Rep'!Z:Z),"")</f>
        <v>45895</v>
      </c>
      <c r="Q916" s="86">
        <f t="shared" si="2"/>
        <v>45870</v>
      </c>
      <c r="R916" s="13" t="str">
        <f t="shared" si="3"/>
        <v>Yes</v>
      </c>
      <c r="S916" s="86">
        <f t="array" ref="S916">iferror(XLOOKUP(C916,'Download of SFDC Activation Rep'!B:B,'Download of SFDC Activation Rep'!Y:Y),"")</f>
        <v>45954</v>
      </c>
    </row>
    <row r="917">
      <c r="A917" s="17" t="s">
        <v>488</v>
      </c>
      <c r="B917" s="85">
        <v>46113.0</v>
      </c>
      <c r="C917" s="17">
        <v>4079539.0</v>
      </c>
      <c r="D917" s="85">
        <v>45870.0</v>
      </c>
      <c r="E917" s="17">
        <v>6.0</v>
      </c>
      <c r="F917" s="17">
        <v>0.0</v>
      </c>
      <c r="G917" s="17">
        <v>44830.17</v>
      </c>
      <c r="H917" s="17">
        <v>44830.17</v>
      </c>
      <c r="I917" s="17">
        <v>1300.08</v>
      </c>
      <c r="J917" s="17"/>
      <c r="K917" s="17">
        <v>-62.8916</v>
      </c>
      <c r="L917" s="17">
        <v>-86.671889200976</v>
      </c>
      <c r="M917" s="17">
        <v>23.780289200976</v>
      </c>
      <c r="N917" s="17">
        <v>25.0</v>
      </c>
      <c r="O917" s="14">
        <f t="shared" si="1"/>
        <v>253.504505</v>
      </c>
      <c r="P917" s="86">
        <f t="array" ref="P917">iferror(XLOOKUP(C917,'Download of SFDC Activation Rep'!B:B,'Download of SFDC Activation Rep'!Z:Z),"")</f>
        <v>45890</v>
      </c>
      <c r="Q917" s="86">
        <f t="shared" si="2"/>
        <v>45870</v>
      </c>
      <c r="R917" s="13" t="str">
        <f t="shared" si="3"/>
        <v>Yes</v>
      </c>
      <c r="S917" s="86">
        <f t="array" ref="S917">iferror(XLOOKUP(C917,'Download of SFDC Activation Rep'!B:B,'Download of SFDC Activation Rep'!Y:Y),"")</f>
        <v>45899</v>
      </c>
    </row>
    <row r="918">
      <c r="A918" s="17" t="s">
        <v>488</v>
      </c>
      <c r="B918" s="85">
        <v>46174.0</v>
      </c>
      <c r="C918" s="17">
        <v>4265889.0</v>
      </c>
      <c r="D918" s="85">
        <v>45992.0</v>
      </c>
      <c r="E918" s="17">
        <v>68.0</v>
      </c>
      <c r="F918" s="17">
        <v>0.0</v>
      </c>
      <c r="G918" s="17">
        <v>13100.16</v>
      </c>
      <c r="H918" s="17"/>
      <c r="I918" s="17">
        <v>379.9</v>
      </c>
      <c r="J918" s="17"/>
      <c r="K918" s="17">
        <v>-28.8652</v>
      </c>
      <c r="L918" s="17">
        <v>-35.814216552448</v>
      </c>
      <c r="M918" s="17">
        <v>6.949016552448</v>
      </c>
      <c r="N918" s="17">
        <v>20.0</v>
      </c>
      <c r="O918" s="14">
        <f t="shared" si="1"/>
        <v>-8.8652</v>
      </c>
      <c r="P918" s="86">
        <f t="array" ref="P918">iferror(XLOOKUP(C918,'Download of SFDC Activation Rep'!B:B,'Download of SFDC Activation Rep'!Z:Z),"")</f>
        <v>45993</v>
      </c>
      <c r="Q918" s="86">
        <f t="shared" si="2"/>
        <v>45992</v>
      </c>
      <c r="R918" s="13" t="str">
        <f t="shared" si="3"/>
        <v>Yes</v>
      </c>
      <c r="S918" s="86">
        <f t="array" ref="S918">iferror(XLOOKUP(C918,'Download of SFDC Activation Rep'!B:B,'Download of SFDC Activation Rep'!Y:Y),"")</f>
        <v>45999</v>
      </c>
    </row>
    <row r="919">
      <c r="A919" s="17" t="s">
        <v>488</v>
      </c>
      <c r="B919" s="85">
        <v>46174.0</v>
      </c>
      <c r="C919" s="17">
        <v>4079539.0</v>
      </c>
      <c r="D919" s="85">
        <v>45870.0</v>
      </c>
      <c r="E919" s="17">
        <v>9.0</v>
      </c>
      <c r="F919" s="17">
        <v>0.0</v>
      </c>
      <c r="G919" s="17">
        <v>91218.36</v>
      </c>
      <c r="H919" s="17">
        <v>91218.36</v>
      </c>
      <c r="I919" s="17">
        <v>2685.34</v>
      </c>
      <c r="J919" s="17"/>
      <c r="K919" s="17">
        <v>188.3265</v>
      </c>
      <c r="L919" s="17">
        <v>116.070070333092</v>
      </c>
      <c r="M919" s="17">
        <v>72.256429666908</v>
      </c>
      <c r="N919" s="17">
        <v>25.0</v>
      </c>
      <c r="O919" s="14">
        <f t="shared" si="1"/>
        <v>213.3265</v>
      </c>
      <c r="P919" s="86">
        <f t="array" ref="P919">iferror(XLOOKUP(C919,'Download of SFDC Activation Rep'!B:B,'Download of SFDC Activation Rep'!Z:Z),"")</f>
        <v>45890</v>
      </c>
      <c r="Q919" s="86">
        <f t="shared" si="2"/>
        <v>45870</v>
      </c>
      <c r="R919" s="13" t="str">
        <f t="shared" si="3"/>
        <v>Yes</v>
      </c>
      <c r="S919" s="86">
        <f t="array" ref="S919">iferror(XLOOKUP(C919,'Download of SFDC Activation Rep'!B:B,'Download of SFDC Activation Rep'!Y:Y),"")</f>
        <v>45899</v>
      </c>
    </row>
    <row r="920">
      <c r="A920" s="17" t="s">
        <v>17</v>
      </c>
      <c r="B920" s="85">
        <v>45962.0</v>
      </c>
      <c r="C920" s="17">
        <v>4213575.0</v>
      </c>
      <c r="D920" s="85">
        <v>45962.0</v>
      </c>
      <c r="E920" s="17">
        <v>1.0</v>
      </c>
      <c r="F920" s="17">
        <v>0.0</v>
      </c>
      <c r="G920" s="17">
        <v>3177.08</v>
      </c>
      <c r="H920" s="17"/>
      <c r="I920" s="17">
        <v>92.14</v>
      </c>
      <c r="J920" s="17"/>
      <c r="K920" s="17">
        <v>18.8778</v>
      </c>
      <c r="L920" s="17">
        <v>17.1925089200042</v>
      </c>
      <c r="M920" s="17">
        <v>1.68529107999577</v>
      </c>
      <c r="N920" s="17">
        <v>0.0</v>
      </c>
      <c r="O920" s="14">
        <f t="shared" si="1"/>
        <v>18.8778</v>
      </c>
      <c r="P920" s="86">
        <f t="array" ref="P920">iferror(XLOOKUP(C920,'Download of SFDC Activation Rep'!B:B,'Download of SFDC Activation Rep'!Z:Z),"")</f>
        <v>45965</v>
      </c>
      <c r="Q920" s="86">
        <f t="shared" si="2"/>
        <v>45962</v>
      </c>
      <c r="R920" s="13" t="str">
        <f t="shared" si="3"/>
        <v>Yes</v>
      </c>
      <c r="S920" s="86">
        <f t="array" ref="S920">iferror(XLOOKUP(C920,'Download of SFDC Activation Rep'!B:B,'Download of SFDC Activation Rep'!Y:Y),"")</f>
        <v>45966</v>
      </c>
    </row>
    <row r="921">
      <c r="A921" s="17" t="s">
        <v>489</v>
      </c>
      <c r="B921" s="85">
        <v>45901.0</v>
      </c>
      <c r="C921" s="17">
        <v>3543707.0</v>
      </c>
      <c r="D921" s="85">
        <v>45901.0</v>
      </c>
      <c r="E921" s="17">
        <v>1.0</v>
      </c>
      <c r="F921" s="17">
        <v>1.0</v>
      </c>
      <c r="G921" s="17">
        <v>400.0</v>
      </c>
      <c r="H921" s="17"/>
      <c r="I921" s="17">
        <v>0.0</v>
      </c>
      <c r="J921" s="17"/>
      <c r="K921" s="17">
        <v>-0.13</v>
      </c>
      <c r="L921" s="17">
        <v>-0.19267253876</v>
      </c>
      <c r="M921" s="17">
        <v>0.06267253876</v>
      </c>
      <c r="N921" s="17">
        <v>4.39999999999999</v>
      </c>
      <c r="O921" s="14">
        <f t="shared" si="1"/>
        <v>4.27</v>
      </c>
      <c r="P921" s="86">
        <f t="array" ref="P921">iferror(XLOOKUP(C921,'Download of SFDC Activation Rep'!B:B,'Download of SFDC Activation Rep'!Z:Z),"")</f>
        <v>45915</v>
      </c>
      <c r="Q921" s="86">
        <f t="shared" si="2"/>
        <v>45901</v>
      </c>
      <c r="R921" s="13" t="str">
        <f t="shared" si="3"/>
        <v>Yes</v>
      </c>
      <c r="S921" s="86">
        <f t="array" ref="S921">iferror(XLOOKUP(C921,'Download of SFDC Activation Rep'!B:B,'Download of SFDC Activation Rep'!Y:Y),"")</f>
        <v>45958</v>
      </c>
    </row>
    <row r="922">
      <c r="A922" s="17" t="s">
        <v>1486</v>
      </c>
      <c r="B922" s="85">
        <v>46054.0</v>
      </c>
      <c r="C922" s="17">
        <v>4308093.0</v>
      </c>
      <c r="D922" s="85">
        <v>46023.0</v>
      </c>
      <c r="E922" s="17">
        <v>14.0</v>
      </c>
      <c r="F922" s="17">
        <v>14.0</v>
      </c>
      <c r="G922" s="17">
        <v>54396.75</v>
      </c>
      <c r="H922" s="17"/>
      <c r="I922" s="17">
        <v>0.96</v>
      </c>
      <c r="J922" s="17"/>
      <c r="K922" s="17">
        <v>-1.2769</v>
      </c>
      <c r="L922" s="17">
        <v>-10.020716174575</v>
      </c>
      <c r="M922" s="17">
        <v>8.743816174575</v>
      </c>
      <c r="N922" s="17">
        <v>1.74999999999999</v>
      </c>
      <c r="O922" s="14">
        <f t="shared" si="1"/>
        <v>0.4731</v>
      </c>
      <c r="P922" s="86">
        <f t="array" ref="P922">iferror(XLOOKUP(C922,'Download of SFDC Activation Rep'!B:B,'Download of SFDC Activation Rep'!Z:Z),"")</f>
        <v>46001</v>
      </c>
      <c r="Q922" s="86">
        <f t="shared" si="2"/>
        <v>45992</v>
      </c>
      <c r="R922" s="13" t="str">
        <f t="shared" si="3"/>
        <v>Yes</v>
      </c>
      <c r="S922" s="86">
        <f t="array" ref="S922">iferror(XLOOKUP(C922,'Download of SFDC Activation Rep'!B:B,'Download of SFDC Activation Rep'!Y:Y),"")</f>
        <v>46049</v>
      </c>
    </row>
    <row r="923">
      <c r="A923" s="17" t="s">
        <v>19</v>
      </c>
      <c r="B923" s="85">
        <v>46174.0</v>
      </c>
      <c r="C923" s="17">
        <v>4525842.0</v>
      </c>
      <c r="D923" s="85">
        <v>46113.0</v>
      </c>
      <c r="E923" s="17">
        <v>34.0</v>
      </c>
      <c r="F923" s="17">
        <v>34.0</v>
      </c>
      <c r="G923" s="17">
        <v>72847.5</v>
      </c>
      <c r="H923" s="17"/>
      <c r="I923" s="17">
        <v>0.0</v>
      </c>
      <c r="J923" s="17"/>
      <c r="K923" s="17">
        <v>-5.4152</v>
      </c>
      <c r="L923" s="17">
        <v>-6.16014585179999</v>
      </c>
      <c r="M923" s="17">
        <v>0.744945851799999</v>
      </c>
      <c r="N923" s="17">
        <v>80.0</v>
      </c>
      <c r="O923" s="14">
        <f t="shared" si="1"/>
        <v>74.5848</v>
      </c>
      <c r="P923" s="86">
        <f t="array" ref="P923">iferror(XLOOKUP(C923,'Download of SFDC Activation Rep'!B:B,'Download of SFDC Activation Rep'!Z:Z),"")</f>
        <v>46111</v>
      </c>
      <c r="Q923" s="86">
        <f t="shared" si="2"/>
        <v>46082</v>
      </c>
      <c r="R923" s="13" t="str">
        <f t="shared" si="3"/>
        <v>Yes</v>
      </c>
      <c r="S923" s="86">
        <f t="array" ref="S923">iferror(XLOOKUP(C923,'Download of SFDC Activation Rep'!B:B,'Download of SFDC Activation Rep'!Y:Y),"")</f>
        <v>46140</v>
      </c>
    </row>
    <row r="924">
      <c r="A924" s="17" t="s">
        <v>19</v>
      </c>
      <c r="B924" s="85">
        <v>45870.0</v>
      </c>
      <c r="C924" s="17">
        <v>3947424.0</v>
      </c>
      <c r="D924" s="85">
        <v>45809.0</v>
      </c>
      <c r="E924" s="17">
        <v>80.0</v>
      </c>
      <c r="F924" s="17">
        <v>80.0</v>
      </c>
      <c r="G924" s="17">
        <v>138111.17</v>
      </c>
      <c r="I924" s="17">
        <v>124.671347</v>
      </c>
      <c r="J924" s="17">
        <v>11.0</v>
      </c>
      <c r="K924" s="17">
        <v>113.9313</v>
      </c>
      <c r="L924" s="17">
        <v>92.2918558624651</v>
      </c>
      <c r="M924" s="17">
        <v>21.6394441375348</v>
      </c>
      <c r="N924" s="17">
        <v>5.49999999999999</v>
      </c>
      <c r="O924" s="14">
        <f t="shared" si="1"/>
        <v>119.4313</v>
      </c>
      <c r="P924" s="86">
        <f t="array" ref="P924">iferror(XLOOKUP(C924,'Download of SFDC Activation Rep'!B:B,'Download of SFDC Activation Rep'!Z:Z),"")</f>
        <v>45805</v>
      </c>
      <c r="Q924" s="86">
        <f t="shared" si="2"/>
        <v>45778</v>
      </c>
      <c r="R924" s="13" t="str">
        <f t="shared" si="3"/>
        <v>Yes</v>
      </c>
      <c r="S924" s="86">
        <f t="array" ref="S924">iferror(XLOOKUP(C924,'Download of SFDC Activation Rep'!B:B,'Download of SFDC Activation Rep'!Y:Y),"")</f>
        <v>45805</v>
      </c>
    </row>
    <row r="925">
      <c r="A925" s="17" t="s">
        <v>19</v>
      </c>
      <c r="B925" s="85">
        <v>45992.0</v>
      </c>
      <c r="C925" s="17">
        <v>4254984.0</v>
      </c>
      <c r="D925" s="85">
        <v>45992.0</v>
      </c>
      <c r="E925" s="17">
        <v>2.0</v>
      </c>
      <c r="F925" s="17">
        <v>2.0</v>
      </c>
      <c r="G925" s="17">
        <v>417.0</v>
      </c>
      <c r="H925" s="17"/>
      <c r="I925" s="17">
        <v>0.0</v>
      </c>
      <c r="J925" s="17"/>
      <c r="K925" s="17">
        <v>-0.288599999999999</v>
      </c>
      <c r="L925" s="17">
        <v>-0.3539361216573</v>
      </c>
      <c r="M925" s="17">
        <v>0.0653361216573</v>
      </c>
      <c r="N925" s="17">
        <v>24.0</v>
      </c>
      <c r="O925" s="14">
        <f t="shared" si="1"/>
        <v>23.7114</v>
      </c>
      <c r="P925" s="86">
        <f t="array" ref="P925">iferror(XLOOKUP(C925,'Download of SFDC Activation Rep'!B:B,'Download of SFDC Activation Rep'!Z:Z),"")</f>
        <v>45992</v>
      </c>
      <c r="Q925" s="86">
        <f t="shared" si="2"/>
        <v>45992</v>
      </c>
      <c r="R925" s="13" t="str">
        <f t="shared" si="3"/>
        <v>Yes</v>
      </c>
      <c r="S925" s="86">
        <f t="array" ref="S925">iferror(XLOOKUP(C925,'Download of SFDC Activation Rep'!B:B,'Download of SFDC Activation Rep'!Y:Y),"")</f>
        <v>46007</v>
      </c>
    </row>
    <row r="926">
      <c r="A926" s="17" t="s">
        <v>488</v>
      </c>
      <c r="B926" s="85">
        <v>46113.0</v>
      </c>
      <c r="C926" s="17">
        <v>4539135.0</v>
      </c>
      <c r="D926" s="85">
        <v>46113.0</v>
      </c>
      <c r="E926" s="17">
        <v>6.0</v>
      </c>
      <c r="F926" s="17">
        <v>6.0</v>
      </c>
      <c r="G926" s="17">
        <v>1757.24</v>
      </c>
      <c r="H926" s="17"/>
      <c r="I926" s="17">
        <v>0.0</v>
      </c>
      <c r="J926" s="17"/>
      <c r="K926" s="17">
        <v>-0.8577</v>
      </c>
      <c r="L926" s="17">
        <v>-1.133026647612</v>
      </c>
      <c r="M926" s="17">
        <v>0.275326647612</v>
      </c>
      <c r="N926" s="17">
        <v>0.0</v>
      </c>
      <c r="O926" s="14">
        <f t="shared" si="1"/>
        <v>-0.8577</v>
      </c>
      <c r="P926" s="86">
        <f t="array" ref="P926">iferror(XLOOKUP(C926,'Download of SFDC Activation Rep'!B:B,'Download of SFDC Activation Rep'!Z:Z),"")</f>
        <v>46121</v>
      </c>
      <c r="Q926" s="86">
        <f t="shared" si="2"/>
        <v>46113</v>
      </c>
      <c r="R926" s="13" t="str">
        <f t="shared" si="3"/>
        <v>Yes</v>
      </c>
      <c r="S926" s="86">
        <f t="array" ref="S926">iferror(XLOOKUP(C926,'Download of SFDC Activation Rep'!B:B,'Download of SFDC Activation Rep'!Y:Y),"")</f>
        <v>46154</v>
      </c>
    </row>
    <row r="927">
      <c r="A927" s="17" t="s">
        <v>19</v>
      </c>
      <c r="B927" s="85">
        <v>46054.0</v>
      </c>
      <c r="C927" s="17">
        <v>4208610.0</v>
      </c>
      <c r="D927" s="85">
        <v>45962.0</v>
      </c>
      <c r="E927" s="17">
        <v>23.0</v>
      </c>
      <c r="F927" s="17">
        <v>23.0</v>
      </c>
      <c r="G927" s="17">
        <v>6985.39</v>
      </c>
      <c r="H927" s="17"/>
      <c r="I927" s="17">
        <v>5.06</v>
      </c>
      <c r="J927" s="17"/>
      <c r="K927" s="17">
        <v>-0.196399999999999</v>
      </c>
      <c r="L927" s="17">
        <v>-1.43415598300699</v>
      </c>
      <c r="M927" s="17">
        <v>1.23775598300699</v>
      </c>
      <c r="N927" s="17">
        <v>64.0</v>
      </c>
      <c r="O927" s="14">
        <f t="shared" si="1"/>
        <v>63.8036</v>
      </c>
      <c r="P927" s="86">
        <f t="array" ref="P927">iferror(XLOOKUP(C927,'Download of SFDC Activation Rep'!B:B,'Download of SFDC Activation Rep'!Z:Z),"")</f>
        <v>45947</v>
      </c>
      <c r="Q927" s="86">
        <f t="shared" si="2"/>
        <v>45931</v>
      </c>
      <c r="R927" s="13" t="str">
        <f t="shared" si="3"/>
        <v>Yes</v>
      </c>
      <c r="S927" s="86">
        <f t="array" ref="S927">iferror(XLOOKUP(C927,'Download of SFDC Activation Rep'!B:B,'Download of SFDC Activation Rep'!Y:Y),"")</f>
        <v>45987</v>
      </c>
    </row>
    <row r="928">
      <c r="A928" s="17" t="s">
        <v>17</v>
      </c>
      <c r="B928" s="85">
        <v>45992.0</v>
      </c>
      <c r="C928" s="17">
        <v>4214658.0</v>
      </c>
      <c r="D928" s="85">
        <v>45962.0</v>
      </c>
      <c r="E928" s="17">
        <v>51.0</v>
      </c>
      <c r="F928" s="17">
        <v>51.0</v>
      </c>
      <c r="G928" s="17">
        <v>52078.34</v>
      </c>
      <c r="H928" s="17"/>
      <c r="I928" s="17">
        <v>0.0</v>
      </c>
      <c r="J928" s="17"/>
      <c r="K928" s="17">
        <v>-7.46109999999999</v>
      </c>
      <c r="L928" s="17">
        <v>-7.98188339999999</v>
      </c>
      <c r="M928" s="17">
        <v>0.5207834</v>
      </c>
      <c r="N928" s="17">
        <v>0.0</v>
      </c>
      <c r="O928" s="14">
        <f t="shared" si="1"/>
        <v>-7.4611</v>
      </c>
      <c r="P928" s="86">
        <f t="array" ref="P928">iferror(XLOOKUP(C928,'Download of SFDC Activation Rep'!B:B,'Download of SFDC Activation Rep'!Z:Z),"")</f>
        <v>45973</v>
      </c>
      <c r="Q928" s="86">
        <f t="shared" si="2"/>
        <v>45962</v>
      </c>
      <c r="R928" s="13" t="str">
        <f t="shared" si="3"/>
        <v>Yes</v>
      </c>
      <c r="S928" s="86">
        <f t="array" ref="S928">iferror(XLOOKUP(C928,'Download of SFDC Activation Rep'!B:B,'Download of SFDC Activation Rep'!Y:Y),"")</f>
        <v>45968</v>
      </c>
    </row>
    <row r="929">
      <c r="A929" s="17" t="s">
        <v>19</v>
      </c>
      <c r="B929" s="85">
        <v>45839.0</v>
      </c>
      <c r="C929" s="17">
        <v>3945715.0</v>
      </c>
      <c r="D929" s="85">
        <v>45809.0</v>
      </c>
      <c r="E929" s="17">
        <v>6.0</v>
      </c>
      <c r="F929" s="17">
        <v>6.0</v>
      </c>
      <c r="G929" s="17">
        <v>53220.5</v>
      </c>
      <c r="H929" s="17"/>
      <c r="I929" s="17">
        <v>142.82</v>
      </c>
      <c r="J929" s="17"/>
      <c r="K929" s="17">
        <v>141.51</v>
      </c>
      <c r="L929" s="17">
        <v>118.388386617275</v>
      </c>
      <c r="M929" s="17">
        <v>23.1216133827246</v>
      </c>
      <c r="N929" s="17">
        <v>7.99999999999999</v>
      </c>
      <c r="O929" s="14">
        <f t="shared" si="1"/>
        <v>149.51</v>
      </c>
      <c r="P929" s="86">
        <f t="array" ref="P929">iferror(XLOOKUP(C929,'Download of SFDC Activation Rep'!B:B,'Download of SFDC Activation Rep'!Z:Z),"")</f>
        <v>45804</v>
      </c>
      <c r="Q929" s="86">
        <f t="shared" si="2"/>
        <v>45778</v>
      </c>
      <c r="R929" s="13" t="str">
        <f t="shared" si="3"/>
        <v>Yes</v>
      </c>
      <c r="S929" s="86">
        <f t="array" ref="S929">iferror(XLOOKUP(C929,'Download of SFDC Activation Rep'!B:B,'Download of SFDC Activation Rep'!Y:Y),"")</f>
        <v>45804</v>
      </c>
    </row>
    <row r="930">
      <c r="A930" s="17" t="s">
        <v>17</v>
      </c>
      <c r="B930" s="85">
        <v>46143.0</v>
      </c>
      <c r="C930" s="17">
        <v>4653751.0</v>
      </c>
      <c r="D930" s="85">
        <v>46143.0</v>
      </c>
      <c r="E930" s="17">
        <v>1.0</v>
      </c>
      <c r="F930" s="17">
        <v>0.0</v>
      </c>
      <c r="G930" s="17">
        <v>1000.0</v>
      </c>
      <c r="H930" s="17"/>
      <c r="I930" s="17">
        <v>29.0</v>
      </c>
      <c r="J930" s="17"/>
      <c r="K930" s="17">
        <v>0.11</v>
      </c>
      <c r="L930" s="17">
        <v>-0.420452799999999</v>
      </c>
      <c r="M930" s="17">
        <v>0.5304528</v>
      </c>
      <c r="N930" s="17">
        <v>0.0</v>
      </c>
      <c r="O930" s="14">
        <f t="shared" si="1"/>
        <v>0.11</v>
      </c>
      <c r="P930" s="86">
        <f t="array" ref="P930">iferror(XLOOKUP(C930,'Download of SFDC Activation Rep'!B:B,'Download of SFDC Activation Rep'!Z:Z),"")</f>
        <v>46150</v>
      </c>
      <c r="Q930" s="86">
        <f t="shared" si="2"/>
        <v>46143</v>
      </c>
      <c r="R930" s="13" t="str">
        <f t="shared" si="3"/>
        <v>Yes</v>
      </c>
      <c r="S930" s="86">
        <f t="array" ref="S930">iferror(XLOOKUP(C930,'Download of SFDC Activation Rep'!B:B,'Download of SFDC Activation Rep'!Y:Y),"")</f>
        <v>46181</v>
      </c>
    </row>
    <row r="931">
      <c r="A931" s="17" t="s">
        <v>17</v>
      </c>
      <c r="B931" s="85">
        <v>46082.0</v>
      </c>
      <c r="C931" s="17">
        <v>4404380.0</v>
      </c>
      <c r="D931" s="85">
        <v>46054.0</v>
      </c>
      <c r="E931" s="17">
        <v>2.0</v>
      </c>
      <c r="F931" s="17">
        <v>0.0</v>
      </c>
      <c r="G931" s="17">
        <v>7925.4</v>
      </c>
      <c r="H931" s="17"/>
      <c r="I931" s="17">
        <v>229.84</v>
      </c>
      <c r="J931" s="17"/>
      <c r="K931" s="17">
        <v>-0.435</v>
      </c>
      <c r="L931" s="17">
        <v>-4.63905062111999</v>
      </c>
      <c r="M931" s="17">
        <v>4.20405062111999</v>
      </c>
      <c r="N931" s="17">
        <v>0.0</v>
      </c>
      <c r="O931" s="14">
        <f t="shared" si="1"/>
        <v>-0.435</v>
      </c>
      <c r="P931" s="86">
        <f t="array" ref="P931">iferror(XLOOKUP(C931,'Download of SFDC Activation Rep'!B:B,'Download of SFDC Activation Rep'!Z:Z),"")</f>
        <v>46059</v>
      </c>
      <c r="Q931" s="86">
        <f t="shared" si="2"/>
        <v>46054</v>
      </c>
      <c r="R931" s="13" t="str">
        <f t="shared" si="3"/>
        <v>Yes</v>
      </c>
      <c r="S931" s="86">
        <f t="array" ref="S931">iferror(XLOOKUP(C931,'Download of SFDC Activation Rep'!B:B,'Download of SFDC Activation Rep'!Y:Y),"")</f>
        <v>46101</v>
      </c>
    </row>
    <row r="932">
      <c r="A932" s="17" t="s">
        <v>17</v>
      </c>
      <c r="B932" s="85">
        <v>46143.0</v>
      </c>
      <c r="C932" s="17">
        <v>4643465.0</v>
      </c>
      <c r="D932" s="85">
        <v>46143.0</v>
      </c>
      <c r="E932" s="17">
        <v>1.0</v>
      </c>
      <c r="F932" s="17">
        <v>0.0</v>
      </c>
      <c r="G932" s="17">
        <v>10110.0</v>
      </c>
      <c r="H932" s="17">
        <v>10110.0</v>
      </c>
      <c r="I932" s="17">
        <v>313.19</v>
      </c>
      <c r="J932" s="17"/>
      <c r="K932" s="17">
        <v>22.0156</v>
      </c>
      <c r="L932" s="17">
        <v>16.652722192</v>
      </c>
      <c r="M932" s="17">
        <v>5.362877808</v>
      </c>
      <c r="N932" s="17">
        <v>0.0</v>
      </c>
      <c r="O932" s="14">
        <f t="shared" si="1"/>
        <v>22.0156</v>
      </c>
      <c r="P932" s="86">
        <f t="array" ref="P932">iferror(XLOOKUP(C932,'Download of SFDC Activation Rep'!B:B,'Download of SFDC Activation Rep'!Z:Z),"")</f>
        <v>46154</v>
      </c>
      <c r="Q932" s="86">
        <f t="shared" si="2"/>
        <v>46143</v>
      </c>
      <c r="R932" s="13" t="str">
        <f t="shared" si="3"/>
        <v>Yes</v>
      </c>
      <c r="S932" s="86">
        <f t="array" ref="S932">iferror(XLOOKUP(C932,'Download of SFDC Activation Rep'!B:B,'Download of SFDC Activation Rep'!Y:Y),"")</f>
        <v>46258</v>
      </c>
    </row>
    <row r="933">
      <c r="A933" s="17" t="s">
        <v>488</v>
      </c>
      <c r="B933" s="85">
        <v>46143.0</v>
      </c>
      <c r="C933" s="17">
        <v>4269437.0</v>
      </c>
      <c r="D933" s="85">
        <v>46023.0</v>
      </c>
      <c r="E933" s="17">
        <v>89.0</v>
      </c>
      <c r="F933" s="17">
        <v>89.0</v>
      </c>
      <c r="G933" s="17">
        <v>89406.66</v>
      </c>
      <c r="H933" s="17"/>
      <c r="I933" s="17">
        <v>0.0</v>
      </c>
      <c r="J933" s="17"/>
      <c r="K933" s="17">
        <v>-14.2652</v>
      </c>
      <c r="L933" s="17">
        <v>-15.1592665999999</v>
      </c>
      <c r="M933" s="17">
        <v>0.894066599999998</v>
      </c>
      <c r="N933" s="17">
        <v>17.0</v>
      </c>
      <c r="O933" s="14">
        <f t="shared" si="1"/>
        <v>2.7348</v>
      </c>
      <c r="P933" s="86">
        <f t="array" ref="P933">iferror(XLOOKUP(C933,'Download of SFDC Activation Rep'!B:B,'Download of SFDC Activation Rep'!Z:Z),"")</f>
        <v>46007</v>
      </c>
      <c r="Q933" s="86">
        <f t="shared" si="2"/>
        <v>45992</v>
      </c>
      <c r="R933" s="13" t="str">
        <f t="shared" si="3"/>
        <v>Yes</v>
      </c>
      <c r="S933" s="86">
        <f t="array" ref="S933">iferror(XLOOKUP(C933,'Download of SFDC Activation Rep'!B:B,'Download of SFDC Activation Rep'!Y:Y),"")</f>
        <v>46031</v>
      </c>
    </row>
    <row r="934">
      <c r="A934" s="17" t="s">
        <v>17</v>
      </c>
      <c r="B934" s="85">
        <v>46174.0</v>
      </c>
      <c r="C934" s="17">
        <v>4645494.0</v>
      </c>
      <c r="D934" s="85">
        <v>46174.0</v>
      </c>
      <c r="E934" s="17">
        <v>4.0</v>
      </c>
      <c r="F934" s="17">
        <v>4.0</v>
      </c>
      <c r="G934" s="17">
        <v>25093.9</v>
      </c>
      <c r="H934" s="17"/>
      <c r="I934" s="17">
        <v>382.49</v>
      </c>
      <c r="J934" s="17"/>
      <c r="K934" s="17">
        <v>338.186</v>
      </c>
      <c r="L934" s="17">
        <v>334.194326095493</v>
      </c>
      <c r="M934" s="17">
        <v>3.99167390450702</v>
      </c>
      <c r="N934" s="17">
        <v>0.0</v>
      </c>
      <c r="O934" s="14">
        <f t="shared" si="1"/>
        <v>338.186</v>
      </c>
      <c r="P934" s="86">
        <f t="array" ref="P934">iferror(XLOOKUP(C934,'Download of SFDC Activation Rep'!B:B,'Download of SFDC Activation Rep'!Z:Z),"")</f>
        <v>46155</v>
      </c>
      <c r="Q934" s="86">
        <f t="shared" si="2"/>
        <v>46143</v>
      </c>
      <c r="R934" s="13" t="str">
        <f t="shared" si="3"/>
        <v>Yes</v>
      </c>
      <c r="S934" s="86">
        <f t="array" ref="S934">iferror(XLOOKUP(C934,'Download of SFDC Activation Rep'!B:B,'Download of SFDC Activation Rep'!Y:Y),"")</f>
        <v>46258</v>
      </c>
    </row>
    <row r="935">
      <c r="A935" s="17" t="s">
        <v>1487</v>
      </c>
      <c r="B935" s="85">
        <v>46174.0</v>
      </c>
      <c r="C935" s="17">
        <v>4471409.0</v>
      </c>
      <c r="D935" s="85">
        <v>46082.0</v>
      </c>
      <c r="E935" s="17">
        <v>9.0</v>
      </c>
      <c r="F935" s="17">
        <v>0.0</v>
      </c>
      <c r="G935" s="17">
        <v>48535.57</v>
      </c>
      <c r="H935" s="17">
        <v>38065.57</v>
      </c>
      <c r="I935" s="17">
        <v>1407.53</v>
      </c>
      <c r="J935" s="17"/>
      <c r="K935" s="17">
        <v>3.31679999999999</v>
      </c>
      <c r="L935" s="17">
        <v>-22.429029006096</v>
      </c>
      <c r="M935" s="17">
        <v>25.745829006096</v>
      </c>
      <c r="N935" s="17">
        <v>0.0</v>
      </c>
      <c r="O935" s="14">
        <f t="shared" si="1"/>
        <v>3.3168</v>
      </c>
      <c r="P935" s="86">
        <f t="array" ref="P935">iferror(XLOOKUP(C935,'Download of SFDC Activation Rep'!B:B,'Download of SFDC Activation Rep'!Z:Z),"")</f>
        <v>46092</v>
      </c>
      <c r="Q935" s="86">
        <f t="shared" si="2"/>
        <v>46082</v>
      </c>
      <c r="R935" s="13" t="str">
        <f t="shared" si="3"/>
        <v>Yes</v>
      </c>
      <c r="S935" s="86">
        <f t="array" ref="S935">iferror(XLOOKUP(C935,'Download of SFDC Activation Rep'!B:B,'Download of SFDC Activation Rep'!Y:Y),"")</f>
        <v>46132</v>
      </c>
    </row>
    <row r="936">
      <c r="A936" s="17" t="s">
        <v>19</v>
      </c>
      <c r="B936" s="85">
        <v>45839.0</v>
      </c>
      <c r="C936" s="17">
        <v>3946131.0</v>
      </c>
      <c r="D936" s="85">
        <v>45809.0</v>
      </c>
      <c r="E936" s="17">
        <v>191.0</v>
      </c>
      <c r="F936" s="17">
        <v>191.0</v>
      </c>
      <c r="G936" s="17">
        <v>967683.69</v>
      </c>
      <c r="H936" s="17"/>
      <c r="I936" s="17">
        <v>692.86</v>
      </c>
      <c r="J936" s="17">
        <v>3.0</v>
      </c>
      <c r="K936" s="17">
        <v>601.63</v>
      </c>
      <c r="L936" s="17">
        <v>398.675118308024</v>
      </c>
      <c r="M936" s="17">
        <v>202.954881691975</v>
      </c>
      <c r="N936" s="17">
        <v>6.39999999999999</v>
      </c>
      <c r="O936" s="14">
        <f t="shared" si="1"/>
        <v>608.03</v>
      </c>
      <c r="P936" s="86">
        <f t="array" ref="P936">iferror(XLOOKUP(C936,'Download of SFDC Activation Rep'!B:B,'Download of SFDC Activation Rep'!Z:Z),"")</f>
        <v>45805</v>
      </c>
      <c r="Q936" s="86">
        <f t="shared" si="2"/>
        <v>45778</v>
      </c>
      <c r="R936" s="13" t="str">
        <f t="shared" si="3"/>
        <v>Yes</v>
      </c>
      <c r="S936" s="86">
        <f t="array" ref="S936">iferror(XLOOKUP(C936,'Download of SFDC Activation Rep'!B:B,'Download of SFDC Activation Rep'!Y:Y),"")</f>
        <v>45805</v>
      </c>
    </row>
    <row r="937">
      <c r="A937" s="17" t="s">
        <v>488</v>
      </c>
      <c r="B937" s="85">
        <v>46082.0</v>
      </c>
      <c r="C937" s="17">
        <v>4329147.0</v>
      </c>
      <c r="D937" s="85">
        <v>46023.0</v>
      </c>
      <c r="E937" s="17">
        <v>65.0</v>
      </c>
      <c r="F937" s="17">
        <v>0.0</v>
      </c>
      <c r="G937" s="17">
        <v>35153.38</v>
      </c>
      <c r="H937" s="17">
        <v>32818.88</v>
      </c>
      <c r="I937" s="17">
        <v>1019.45</v>
      </c>
      <c r="K937" s="17">
        <v>50.5522</v>
      </c>
      <c r="L937" s="17">
        <v>31.905541149536</v>
      </c>
      <c r="M937" s="17">
        <v>18.646658850464</v>
      </c>
      <c r="N937" s="17">
        <v>25.0</v>
      </c>
      <c r="O937" s="14">
        <f t="shared" si="1"/>
        <v>288.87492</v>
      </c>
      <c r="P937" s="86">
        <f t="array" ref="P937">iferror(XLOOKUP(C937,'Download of SFDC Activation Rep'!B:B,'Download of SFDC Activation Rep'!Z:Z),"")</f>
        <v>46197</v>
      </c>
      <c r="Q937" s="86">
        <f t="shared" si="2"/>
        <v>46174</v>
      </c>
      <c r="R937" s="13" t="str">
        <f t="shared" si="3"/>
        <v>No</v>
      </c>
      <c r="S937" s="86">
        <f t="array" ref="S937">iferror(XLOOKUP(C937,'Download of SFDC Activation Rep'!B:B,'Download of SFDC Activation Rep'!Y:Y),"")</f>
        <v>46361</v>
      </c>
    </row>
    <row r="938">
      <c r="A938" s="17" t="s">
        <v>488</v>
      </c>
      <c r="B938" s="85">
        <v>46113.0</v>
      </c>
      <c r="C938" s="17">
        <v>4068848.0</v>
      </c>
      <c r="D938" s="85">
        <v>45870.0</v>
      </c>
      <c r="E938" s="17">
        <v>18.0</v>
      </c>
      <c r="F938" s="17">
        <v>3.0</v>
      </c>
      <c r="G938" s="17">
        <v>20933.78</v>
      </c>
      <c r="H938" s="17">
        <v>19762.95</v>
      </c>
      <c r="I938" s="17">
        <v>573.11</v>
      </c>
      <c r="J938" s="17"/>
      <c r="K938" s="17">
        <v>-45.6982</v>
      </c>
      <c r="L938" s="17">
        <v>-54.02564684088</v>
      </c>
      <c r="M938" s="17">
        <v>8.32744684088001</v>
      </c>
      <c r="N938" s="17">
        <v>0.0</v>
      </c>
      <c r="O938" s="14">
        <f t="shared" si="1"/>
        <v>82.760975</v>
      </c>
      <c r="P938" s="86">
        <f t="array" ref="P938">iferror(XLOOKUP(C938,'Download of SFDC Activation Rep'!B:B,'Download of SFDC Activation Rep'!Z:Z),"")</f>
        <v>45880</v>
      </c>
      <c r="Q938" s="86">
        <f t="shared" si="2"/>
        <v>45870</v>
      </c>
      <c r="R938" s="13" t="str">
        <f t="shared" si="3"/>
        <v>Yes</v>
      </c>
      <c r="S938" s="86">
        <f t="array" ref="S938">iferror(XLOOKUP(C938,'Download of SFDC Activation Rep'!B:B,'Download of SFDC Activation Rep'!Y:Y),"")</f>
        <v>45896</v>
      </c>
    </row>
    <row r="939">
      <c r="A939" s="17" t="s">
        <v>17</v>
      </c>
      <c r="B939" s="85">
        <v>46054.0</v>
      </c>
      <c r="C939" s="17">
        <v>4405027.0</v>
      </c>
      <c r="D939" s="85">
        <v>46054.0</v>
      </c>
      <c r="E939" s="17">
        <v>2.0</v>
      </c>
      <c r="F939" s="17">
        <v>0.0</v>
      </c>
      <c r="G939" s="17">
        <v>14500.0</v>
      </c>
      <c r="H939" s="17"/>
      <c r="I939" s="17">
        <v>320.5</v>
      </c>
      <c r="J939" s="17"/>
      <c r="K939" s="17">
        <v>-50.1254</v>
      </c>
      <c r="L939" s="17">
        <v>-57.8169655999999</v>
      </c>
      <c r="M939" s="17">
        <v>7.69156559999999</v>
      </c>
      <c r="N939" s="17">
        <v>0.0</v>
      </c>
      <c r="O939" s="14">
        <f t="shared" si="1"/>
        <v>-50.1254</v>
      </c>
      <c r="P939" s="86">
        <f t="array" ref="P939">iferror(XLOOKUP(C939,'Download of SFDC Activation Rep'!B:B,'Download of SFDC Activation Rep'!Z:Z),"")</f>
        <v>46059</v>
      </c>
      <c r="Q939" s="86">
        <f t="shared" si="2"/>
        <v>46054</v>
      </c>
      <c r="R939" s="13" t="str">
        <f t="shared" si="3"/>
        <v>Yes</v>
      </c>
      <c r="S939" s="86">
        <f t="array" ref="S939">iferror(XLOOKUP(C939,'Download of SFDC Activation Rep'!B:B,'Download of SFDC Activation Rep'!Y:Y),"")</f>
        <v>46098</v>
      </c>
    </row>
    <row r="940">
      <c r="A940" s="17" t="s">
        <v>19</v>
      </c>
      <c r="B940" s="85">
        <v>45992.0</v>
      </c>
      <c r="C940" s="17">
        <v>3934711.0</v>
      </c>
      <c r="D940" s="85">
        <v>45839.0</v>
      </c>
      <c r="E940" s="17">
        <v>70.0</v>
      </c>
      <c r="F940" s="17">
        <v>70.0</v>
      </c>
      <c r="G940" s="17">
        <v>16041.73</v>
      </c>
      <c r="H940" s="17"/>
      <c r="I940" s="17">
        <v>29.44</v>
      </c>
      <c r="J940" s="17">
        <v>22.5</v>
      </c>
      <c r="K940" s="17">
        <v>16.8617</v>
      </c>
      <c r="L940" s="17">
        <v>12.3600232514594</v>
      </c>
      <c r="M940" s="17">
        <v>4.50167674854057</v>
      </c>
      <c r="N940" s="17">
        <v>2.79999999999999</v>
      </c>
      <c r="O940" s="14">
        <f t="shared" si="1"/>
        <v>19.6617</v>
      </c>
      <c r="P940" s="86">
        <f t="array" ref="P940">iferror(XLOOKUP(C940,'Download of SFDC Activation Rep'!B:B,'Download of SFDC Activation Rep'!Z:Z),"")</f>
        <v>45817</v>
      </c>
      <c r="Q940" s="86">
        <f t="shared" si="2"/>
        <v>45809</v>
      </c>
      <c r="R940" s="13" t="str">
        <f t="shared" si="3"/>
        <v>Yes</v>
      </c>
      <c r="S940" s="86">
        <f t="array" ref="S940">iferror(XLOOKUP(C940,'Download of SFDC Activation Rep'!B:B,'Download of SFDC Activation Rep'!Y:Y),"")</f>
        <v>45817</v>
      </c>
    </row>
    <row r="941">
      <c r="A941" s="17" t="s">
        <v>488</v>
      </c>
      <c r="B941" s="85">
        <v>46174.0</v>
      </c>
      <c r="C941" s="17">
        <v>3968250.0</v>
      </c>
      <c r="D941" s="85">
        <v>45809.0</v>
      </c>
      <c r="E941" s="17">
        <v>20.0</v>
      </c>
      <c r="F941" s="17">
        <v>20.0</v>
      </c>
      <c r="G941" s="17">
        <v>14601.14</v>
      </c>
      <c r="H941" s="17"/>
      <c r="I941" s="17">
        <v>45.5955</v>
      </c>
      <c r="J941" s="17"/>
      <c r="K941" s="17">
        <v>42.4791999999999</v>
      </c>
      <c r="L941" s="17">
        <v>40.1914744033179</v>
      </c>
      <c r="M941" s="17">
        <v>2.287725596682</v>
      </c>
      <c r="N941" s="17">
        <v>20.0</v>
      </c>
      <c r="O941" s="14">
        <f t="shared" si="1"/>
        <v>62.4792</v>
      </c>
      <c r="P941" s="86">
        <f t="array" ref="P941">iferror(XLOOKUP(C941,'Download of SFDC Activation Rep'!B:B,'Download of SFDC Activation Rep'!Z:Z),"")</f>
        <v>45809</v>
      </c>
      <c r="Q941" s="86">
        <f t="shared" si="2"/>
        <v>45809</v>
      </c>
      <c r="R941" s="13" t="str">
        <f t="shared" si="3"/>
        <v>Yes</v>
      </c>
      <c r="S941" s="86">
        <f t="array" ref="S941">iferror(XLOOKUP(C941,'Download of SFDC Activation Rep'!B:B,'Download of SFDC Activation Rep'!Y:Y),"")</f>
        <v>45826</v>
      </c>
    </row>
    <row r="942">
      <c r="A942" s="17" t="s">
        <v>19</v>
      </c>
      <c r="B942" s="85">
        <v>46174.0</v>
      </c>
      <c r="C942" s="17">
        <v>4239923.0</v>
      </c>
      <c r="D942" s="85">
        <v>45992.0</v>
      </c>
      <c r="E942" s="17">
        <v>3.0</v>
      </c>
      <c r="F942" s="17">
        <v>3.0</v>
      </c>
      <c r="G942" s="17">
        <v>4998.72</v>
      </c>
      <c r="H942" s="17"/>
      <c r="I942" s="17">
        <v>0.08</v>
      </c>
      <c r="K942" s="17">
        <v>-0.47</v>
      </c>
      <c r="L942" s="17">
        <v>-1.271289078944</v>
      </c>
      <c r="M942" s="17">
        <v>0.801289078943999</v>
      </c>
      <c r="N942" s="17">
        <v>24.0</v>
      </c>
      <c r="O942" s="14">
        <f t="shared" si="1"/>
        <v>23.53</v>
      </c>
      <c r="P942" s="86">
        <f t="array" ref="P942">iferror(XLOOKUP(C942,'Download of SFDC Activation Rep'!B:B,'Download of SFDC Activation Rep'!Z:Z),"")</f>
        <v>45992</v>
      </c>
      <c r="Q942" s="86">
        <f t="shared" si="2"/>
        <v>45992</v>
      </c>
      <c r="R942" s="13" t="str">
        <f t="shared" si="3"/>
        <v>Yes</v>
      </c>
      <c r="S942" s="86">
        <f t="array" ref="S942">iferror(XLOOKUP(C942,'Download of SFDC Activation Rep'!B:B,'Download of SFDC Activation Rep'!Y:Y),"")</f>
        <v>45999</v>
      </c>
    </row>
    <row r="943">
      <c r="A943" s="17" t="s">
        <v>17</v>
      </c>
      <c r="B943" s="85">
        <v>46143.0</v>
      </c>
      <c r="C943" s="17">
        <v>4643229.0</v>
      </c>
      <c r="D943" s="85">
        <v>46143.0</v>
      </c>
      <c r="E943" s="17">
        <v>1.0</v>
      </c>
      <c r="F943" s="17">
        <v>0.0</v>
      </c>
      <c r="G943" s="17">
        <v>5.0</v>
      </c>
      <c r="H943" s="17">
        <v>5.0</v>
      </c>
      <c r="I943" s="17">
        <v>20.14</v>
      </c>
      <c r="J943" s="17"/>
      <c r="K943" s="17">
        <v>9.6366</v>
      </c>
      <c r="L943" s="17">
        <v>9.633947736</v>
      </c>
      <c r="M943" s="17">
        <v>0.00265226399999995</v>
      </c>
      <c r="N943" s="17">
        <v>0.0</v>
      </c>
      <c r="O943" s="14">
        <f t="shared" si="1"/>
        <v>9.6366</v>
      </c>
      <c r="P943" s="86">
        <f t="array" ref="P943">iferror(XLOOKUP(C943,'Download of SFDC Activation Rep'!B:B,'Download of SFDC Activation Rep'!Z:Z),"")</f>
        <v>46148</v>
      </c>
      <c r="Q943" s="86">
        <f t="shared" si="2"/>
        <v>46143</v>
      </c>
      <c r="R943" s="13" t="str">
        <f t="shared" si="3"/>
        <v>Yes</v>
      </c>
      <c r="S943" s="86">
        <f t="array" ref="S943">iferror(XLOOKUP(C943,'Download of SFDC Activation Rep'!B:B,'Download of SFDC Activation Rep'!Y:Y),"")</f>
        <v>46258</v>
      </c>
    </row>
    <row r="944">
      <c r="A944" s="17" t="s">
        <v>488</v>
      </c>
      <c r="B944" s="85">
        <v>46143.0</v>
      </c>
      <c r="C944" s="17">
        <v>4031755.0</v>
      </c>
      <c r="D944" s="85">
        <v>45901.0</v>
      </c>
      <c r="E944" s="17">
        <v>22.0</v>
      </c>
      <c r="F944" s="17">
        <v>22.0</v>
      </c>
      <c r="G944" s="17">
        <v>641227.39</v>
      </c>
      <c r="H944" s="17"/>
      <c r="I944" s="17">
        <v>39.52</v>
      </c>
      <c r="J944" s="17">
        <v>1.0</v>
      </c>
      <c r="K944" s="17">
        <v>30.5593</v>
      </c>
      <c r="L944" s="17">
        <v>-69.9150764244829</v>
      </c>
      <c r="M944" s="17">
        <v>100.474376424482</v>
      </c>
      <c r="N944" s="17">
        <v>5.25</v>
      </c>
      <c r="O944" s="14">
        <f t="shared" si="1"/>
        <v>35.8093</v>
      </c>
      <c r="P944" s="86">
        <f t="array" ref="P944">iferror(XLOOKUP(C944,'Download of SFDC Activation Rep'!B:B,'Download of SFDC Activation Rep'!Z:Z),"")</f>
        <v>45856</v>
      </c>
      <c r="Q944" s="86">
        <f t="shared" si="2"/>
        <v>45839</v>
      </c>
      <c r="R944" s="13" t="str">
        <f t="shared" si="3"/>
        <v>Yes</v>
      </c>
      <c r="S944" s="86">
        <f t="array" ref="S944">iferror(XLOOKUP(C944,'Download of SFDC Activation Rep'!B:B,'Download of SFDC Activation Rep'!Y:Y),"")</f>
        <v>45901</v>
      </c>
    </row>
    <row r="945">
      <c r="A945" s="17" t="s">
        <v>488</v>
      </c>
      <c r="B945" s="85">
        <v>46082.0</v>
      </c>
      <c r="C945" s="17">
        <v>4030970.0</v>
      </c>
      <c r="D945" s="85">
        <v>45870.0</v>
      </c>
      <c r="E945" s="17">
        <v>18.0</v>
      </c>
      <c r="F945" s="17">
        <v>18.0</v>
      </c>
      <c r="G945" s="17">
        <v>9266.17</v>
      </c>
      <c r="H945" s="17"/>
      <c r="I945" s="17">
        <v>46.79039</v>
      </c>
      <c r="J945" s="17"/>
      <c r="K945" s="17">
        <v>34.7031</v>
      </c>
      <c r="L945" s="17">
        <v>33.717659230902</v>
      </c>
      <c r="M945" s="17">
        <v>0.985440769098005</v>
      </c>
      <c r="N945" s="17">
        <v>1.99999999999999</v>
      </c>
      <c r="O945" s="14">
        <f t="shared" si="1"/>
        <v>36.7031</v>
      </c>
      <c r="P945" s="86">
        <f t="array" ref="P945">iferror(XLOOKUP(C945,'Download of SFDC Activation Rep'!B:B,'Download of SFDC Activation Rep'!Z:Z),"")</f>
        <v>45870</v>
      </c>
      <c r="Q945" s="86">
        <f t="shared" si="2"/>
        <v>45870</v>
      </c>
      <c r="R945" s="13" t="str">
        <f t="shared" si="3"/>
        <v>Yes</v>
      </c>
      <c r="S945" s="86">
        <f t="array" ref="S945">iferror(XLOOKUP(C945,'Download of SFDC Activation Rep'!B:B,'Download of SFDC Activation Rep'!Y:Y),"")</f>
        <v>45876</v>
      </c>
    </row>
    <row r="946">
      <c r="A946" s="17" t="s">
        <v>17</v>
      </c>
      <c r="B946" s="85">
        <v>46174.0</v>
      </c>
      <c r="C946" s="17">
        <v>4643229.0</v>
      </c>
      <c r="D946" s="85">
        <v>46143.0</v>
      </c>
      <c r="E946" s="17">
        <v>2.0</v>
      </c>
      <c r="F946" s="17">
        <v>0.0</v>
      </c>
      <c r="G946" s="17">
        <v>39657.0</v>
      </c>
      <c r="H946" s="17">
        <v>39657.0</v>
      </c>
      <c r="I946" s="17">
        <v>1190.06</v>
      </c>
      <c r="J946" s="17"/>
      <c r="K946" s="17">
        <v>156.4535</v>
      </c>
      <c r="L946" s="17">
        <v>135.4173333104</v>
      </c>
      <c r="M946" s="17">
        <v>21.0361666895999</v>
      </c>
      <c r="N946" s="17">
        <v>0.0</v>
      </c>
      <c r="O946" s="14">
        <f t="shared" si="1"/>
        <v>156.4535</v>
      </c>
      <c r="P946" s="86">
        <f t="array" ref="P946">iferror(XLOOKUP(C946,'Download of SFDC Activation Rep'!B:B,'Download of SFDC Activation Rep'!Z:Z),"")</f>
        <v>46148</v>
      </c>
      <c r="Q946" s="86">
        <f t="shared" si="2"/>
        <v>46143</v>
      </c>
      <c r="R946" s="13" t="str">
        <f t="shared" si="3"/>
        <v>Yes</v>
      </c>
      <c r="S946" s="86">
        <f t="array" ref="S946">iferror(XLOOKUP(C946,'Download of SFDC Activation Rep'!B:B,'Download of SFDC Activation Rep'!Y:Y),"")</f>
        <v>46258</v>
      </c>
    </row>
    <row r="947">
      <c r="A947" s="17" t="s">
        <v>488</v>
      </c>
      <c r="B947" s="85">
        <v>46143.0</v>
      </c>
      <c r="C947" s="17">
        <v>4079539.0</v>
      </c>
      <c r="D947" s="85">
        <v>45870.0</v>
      </c>
      <c r="E947" s="17">
        <v>5.0</v>
      </c>
      <c r="F947" s="17">
        <v>0.0</v>
      </c>
      <c r="G947" s="17">
        <v>27454.07</v>
      </c>
      <c r="H947" s="17">
        <v>27454.07</v>
      </c>
      <c r="I947" s="17">
        <v>806.16</v>
      </c>
      <c r="J947" s="17"/>
      <c r="K947" s="17">
        <v>19.9641</v>
      </c>
      <c r="L947" s="17">
        <v>-0.484857880895995</v>
      </c>
      <c r="M947" s="17">
        <v>20.4489578808959</v>
      </c>
      <c r="N947" s="17">
        <v>25.0</v>
      </c>
      <c r="O947" s="14">
        <f t="shared" si="1"/>
        <v>44.9641</v>
      </c>
      <c r="P947" s="86">
        <f t="array" ref="P947">iferror(XLOOKUP(C947,'Download of SFDC Activation Rep'!B:B,'Download of SFDC Activation Rep'!Z:Z),"")</f>
        <v>45890</v>
      </c>
      <c r="Q947" s="86">
        <f t="shared" si="2"/>
        <v>45870</v>
      </c>
      <c r="R947" s="13" t="str">
        <f t="shared" si="3"/>
        <v>Yes</v>
      </c>
      <c r="S947" s="86">
        <f t="array" ref="S947">iferror(XLOOKUP(C947,'Download of SFDC Activation Rep'!B:B,'Download of SFDC Activation Rep'!Y:Y),"")</f>
        <v>45899</v>
      </c>
    </row>
    <row r="948">
      <c r="A948" s="17" t="s">
        <v>488</v>
      </c>
      <c r="B948" s="85">
        <v>46174.0</v>
      </c>
      <c r="C948" s="17">
        <v>4369936.0</v>
      </c>
      <c r="D948" s="85">
        <v>46054.0</v>
      </c>
      <c r="E948" s="17">
        <v>1.0</v>
      </c>
      <c r="F948" s="17">
        <v>1.0</v>
      </c>
      <c r="G948" s="17">
        <v>4058.0</v>
      </c>
      <c r="H948" s="17"/>
      <c r="I948" s="17">
        <v>0.0</v>
      </c>
      <c r="J948" s="17"/>
      <c r="K948" s="17">
        <v>-0.15</v>
      </c>
      <c r="L948" s="17">
        <v>-0.19058</v>
      </c>
      <c r="M948" s="17">
        <v>0.04058</v>
      </c>
      <c r="N948" s="17">
        <v>35.0</v>
      </c>
      <c r="O948" s="14">
        <f t="shared" si="1"/>
        <v>34.85</v>
      </c>
      <c r="P948" s="86">
        <f t="array" ref="P948">iferror(XLOOKUP(C948,'Download of SFDC Activation Rep'!B:B,'Download of SFDC Activation Rep'!Z:Z),"")</f>
        <v>46059</v>
      </c>
      <c r="Q948" s="86">
        <f t="shared" si="2"/>
        <v>46054</v>
      </c>
      <c r="R948" s="13" t="str">
        <f t="shared" si="3"/>
        <v>Yes</v>
      </c>
      <c r="S948" s="86">
        <f t="array" ref="S948">iferror(XLOOKUP(C948,'Download of SFDC Activation Rep'!B:B,'Download of SFDC Activation Rep'!Y:Y),"")</f>
        <v>46059</v>
      </c>
    </row>
    <row r="949">
      <c r="A949" s="17" t="s">
        <v>488</v>
      </c>
      <c r="B949" s="85">
        <v>46174.0</v>
      </c>
      <c r="C949" s="17">
        <v>4496271.0</v>
      </c>
      <c r="D949" s="85">
        <v>46082.0</v>
      </c>
      <c r="E949" s="17">
        <v>23.0</v>
      </c>
      <c r="F949" s="17">
        <v>23.0</v>
      </c>
      <c r="G949" s="17">
        <v>336789.56</v>
      </c>
      <c r="H949" s="17"/>
      <c r="I949" s="17">
        <v>886.663754</v>
      </c>
      <c r="J949" s="17"/>
      <c r="K949" s="17">
        <v>869.2135</v>
      </c>
      <c r="L949" s="17">
        <v>756.651366722852</v>
      </c>
      <c r="M949" s="17">
        <v>112.562133277147</v>
      </c>
      <c r="N949" s="17">
        <v>25.0</v>
      </c>
      <c r="O949" s="14">
        <f t="shared" si="1"/>
        <v>894.2135</v>
      </c>
      <c r="P949" s="86">
        <f t="array" ref="P949">iferror(XLOOKUP(C949,'Download of SFDC Activation Rep'!B:B,'Download of SFDC Activation Rep'!Z:Z),"")</f>
        <v>46092</v>
      </c>
      <c r="Q949" s="86">
        <f t="shared" si="2"/>
        <v>46082</v>
      </c>
      <c r="R949" s="13" t="str">
        <f t="shared" si="3"/>
        <v>Yes</v>
      </c>
      <c r="S949" s="86">
        <f t="array" ref="S949">iferror(XLOOKUP(C949,'Download of SFDC Activation Rep'!B:B,'Download of SFDC Activation Rep'!Y:Y),"")</f>
        <v>46132</v>
      </c>
    </row>
    <row r="950">
      <c r="A950" s="17" t="s">
        <v>19</v>
      </c>
      <c r="B950" s="85">
        <v>45962.0</v>
      </c>
      <c r="C950" s="17">
        <v>3945715.0</v>
      </c>
      <c r="D950" s="85">
        <v>45809.0</v>
      </c>
      <c r="E950" s="17">
        <v>3.0</v>
      </c>
      <c r="F950" s="17">
        <v>0.0</v>
      </c>
      <c r="G950" s="17">
        <v>35184.0</v>
      </c>
      <c r="H950" s="17">
        <v>23184.0</v>
      </c>
      <c r="I950" s="17">
        <v>1020.34</v>
      </c>
      <c r="J950" s="17"/>
      <c r="K950" s="17">
        <v>461.0036</v>
      </c>
      <c r="L950" s="17">
        <v>442.340147597614</v>
      </c>
      <c r="M950" s="17">
        <v>18.6634524023855</v>
      </c>
      <c r="N950" s="17">
        <v>80.0</v>
      </c>
      <c r="O950" s="14">
        <f t="shared" si="1"/>
        <v>541.0036</v>
      </c>
      <c r="P950" s="86">
        <f t="array" ref="P950">iferror(XLOOKUP(C950,'Download of SFDC Activation Rep'!B:B,'Download of SFDC Activation Rep'!Z:Z),"")</f>
        <v>45804</v>
      </c>
      <c r="Q950" s="86">
        <f t="shared" si="2"/>
        <v>45778</v>
      </c>
      <c r="R950" s="13" t="str">
        <f t="shared" si="3"/>
        <v>Yes</v>
      </c>
      <c r="S950" s="86">
        <f t="array" ref="S950">iferror(XLOOKUP(C950,'Download of SFDC Activation Rep'!B:B,'Download of SFDC Activation Rep'!Y:Y),"")</f>
        <v>45804</v>
      </c>
    </row>
    <row r="951">
      <c r="A951" s="17" t="s">
        <v>17</v>
      </c>
      <c r="B951" s="85">
        <v>45931.0</v>
      </c>
      <c r="C951" s="17">
        <v>4185373.0</v>
      </c>
      <c r="D951" s="85">
        <v>45931.0</v>
      </c>
      <c r="E951" s="17">
        <v>2.0</v>
      </c>
      <c r="F951" s="17">
        <v>0.0</v>
      </c>
      <c r="G951" s="17">
        <v>816.42</v>
      </c>
      <c r="H951" s="17"/>
      <c r="I951" s="17">
        <v>23.68</v>
      </c>
      <c r="J951" s="17"/>
      <c r="K951" s="17">
        <v>-2.8225</v>
      </c>
      <c r="L951" s="17">
        <v>-2.8306642</v>
      </c>
      <c r="M951" s="17">
        <v>0.00816420000000039</v>
      </c>
      <c r="N951" s="17">
        <v>0.0</v>
      </c>
      <c r="O951" s="14">
        <f t="shared" si="1"/>
        <v>-2.8225</v>
      </c>
      <c r="P951" s="86">
        <f t="array" ref="P951">iferror(XLOOKUP(C951,'Download of SFDC Activation Rep'!B:B,'Download of SFDC Activation Rep'!Z:Z),"")</f>
        <v>45940</v>
      </c>
      <c r="Q951" s="86">
        <f t="shared" si="2"/>
        <v>45931</v>
      </c>
      <c r="R951" s="13" t="str">
        <f t="shared" si="3"/>
        <v>Yes</v>
      </c>
      <c r="S951" s="86">
        <f t="array" ref="S951">iferror(XLOOKUP(C951,'Download of SFDC Activation Rep'!B:B,'Download of SFDC Activation Rep'!Y:Y),"")</f>
        <v>45958</v>
      </c>
    </row>
    <row r="952">
      <c r="A952" s="17" t="s">
        <v>17</v>
      </c>
      <c r="B952" s="85">
        <v>45931.0</v>
      </c>
      <c r="C952" s="17">
        <v>4161378.0</v>
      </c>
      <c r="D952" s="85">
        <v>45931.0</v>
      </c>
      <c r="E952" s="17">
        <v>1.0</v>
      </c>
      <c r="F952" s="17">
        <v>1.0</v>
      </c>
      <c r="G952" s="17">
        <v>4389.0</v>
      </c>
      <c r="H952" s="17"/>
      <c r="I952" s="17">
        <v>0.0</v>
      </c>
      <c r="J952" s="17"/>
      <c r="K952" s="17">
        <v>-0.06</v>
      </c>
      <c r="L952" s="17">
        <v>-0.7476744315441</v>
      </c>
      <c r="M952" s="17">
        <v>0.687674431544099</v>
      </c>
      <c r="N952" s="17">
        <v>0.0</v>
      </c>
      <c r="O952" s="14">
        <f t="shared" si="1"/>
        <v>-0.06</v>
      </c>
      <c r="P952" s="86">
        <f t="array" ref="P952">iferror(XLOOKUP(C952,'Download of SFDC Activation Rep'!B:B,'Download of SFDC Activation Rep'!Z:Z),"")</f>
        <v>45931</v>
      </c>
      <c r="Q952" s="86">
        <f t="shared" si="2"/>
        <v>45931</v>
      </c>
      <c r="R952" s="13" t="str">
        <f t="shared" si="3"/>
        <v>Yes</v>
      </c>
      <c r="S952" s="86">
        <f t="array" ref="S952">iferror(XLOOKUP(C952,'Download of SFDC Activation Rep'!B:B,'Download of SFDC Activation Rep'!Y:Y),"")</f>
        <v>45958</v>
      </c>
    </row>
    <row r="953">
      <c r="A953" s="17" t="s">
        <v>489</v>
      </c>
      <c r="B953" s="85">
        <v>46174.0</v>
      </c>
      <c r="C953" s="17">
        <v>4334745.0</v>
      </c>
      <c r="D953" s="85">
        <v>46023.0</v>
      </c>
      <c r="E953" s="17">
        <v>31.0</v>
      </c>
      <c r="F953" s="17">
        <v>27.0</v>
      </c>
      <c r="G953" s="17">
        <v>62642.49</v>
      </c>
      <c r="H953" s="17">
        <v>960.0</v>
      </c>
      <c r="I953" s="17">
        <v>154.97</v>
      </c>
      <c r="J953" s="17"/>
      <c r="K953" s="17">
        <v>39.1541</v>
      </c>
      <c r="L953" s="17">
        <v>28.025545204563</v>
      </c>
      <c r="M953" s="17">
        <v>11.128554795437</v>
      </c>
      <c r="N953" s="17">
        <v>55.25</v>
      </c>
      <c r="O953" s="14">
        <f t="shared" si="1"/>
        <v>94.4041</v>
      </c>
      <c r="P953" s="86">
        <f t="array" ref="P953">iferror(XLOOKUP(C953,'Download of SFDC Activation Rep'!B:B,'Download of SFDC Activation Rep'!Z:Z),"")</f>
        <v>46009</v>
      </c>
      <c r="Q953" s="86">
        <f t="shared" si="2"/>
        <v>45992</v>
      </c>
      <c r="R953" s="13" t="str">
        <f t="shared" si="3"/>
        <v>Yes</v>
      </c>
      <c r="S953" s="86">
        <f t="array" ref="S953">iferror(XLOOKUP(C953,'Download of SFDC Activation Rep'!B:B,'Download of SFDC Activation Rep'!Y:Y),"")</f>
        <v>46058</v>
      </c>
    </row>
    <row r="954">
      <c r="A954" s="17" t="s">
        <v>17</v>
      </c>
      <c r="B954" s="85">
        <v>45839.0</v>
      </c>
      <c r="C954" s="17">
        <v>3275131.0</v>
      </c>
      <c r="D954" s="85">
        <v>45839.0</v>
      </c>
      <c r="E954" s="17">
        <v>2.0</v>
      </c>
      <c r="F954" s="17">
        <v>2.0</v>
      </c>
      <c r="G954" s="17">
        <v>8506.71</v>
      </c>
      <c r="H954" s="17"/>
      <c r="I954" s="17">
        <v>0.0</v>
      </c>
      <c r="J954" s="17"/>
      <c r="K954" s="17">
        <v>-0.26</v>
      </c>
      <c r="L954" s="17">
        <v>-0.3450671</v>
      </c>
      <c r="M954" s="17">
        <v>0.0850671</v>
      </c>
      <c r="N954" s="17">
        <v>2.49999999999999</v>
      </c>
      <c r="O954" s="14">
        <f t="shared" si="1"/>
        <v>2.24</v>
      </c>
      <c r="P954" s="86">
        <f t="array" ref="P954">iferror(XLOOKUP(C954,'Download of SFDC Activation Rep'!B:B,'Download of SFDC Activation Rep'!Z:Z),"")</f>
        <v>45817</v>
      </c>
      <c r="Q954" s="86">
        <f t="shared" si="2"/>
        <v>45809</v>
      </c>
      <c r="R954" s="13" t="str">
        <f t="shared" si="3"/>
        <v>Yes</v>
      </c>
      <c r="S954" s="86">
        <f t="array" ref="S954">iferror(XLOOKUP(C954,'Download of SFDC Activation Rep'!B:B,'Download of SFDC Activation Rep'!Y:Y),"")</f>
        <v>45848</v>
      </c>
    </row>
    <row r="955">
      <c r="A955" s="17" t="s">
        <v>489</v>
      </c>
      <c r="B955" s="85">
        <v>46143.0</v>
      </c>
      <c r="C955" s="17">
        <v>4334745.0</v>
      </c>
      <c r="D955" s="85">
        <v>46023.0</v>
      </c>
      <c r="E955" s="17">
        <v>10.0</v>
      </c>
      <c r="F955" s="17">
        <v>6.0</v>
      </c>
      <c r="G955" s="17">
        <v>37450.63</v>
      </c>
      <c r="H955" s="17"/>
      <c r="I955" s="17">
        <v>150.86</v>
      </c>
      <c r="J955" s="17"/>
      <c r="K955" s="17">
        <v>40.5067</v>
      </c>
      <c r="L955" s="17">
        <v>35.586480990781</v>
      </c>
      <c r="M955" s="17">
        <v>4.920219009219</v>
      </c>
      <c r="N955" s="17">
        <v>55.25</v>
      </c>
      <c r="O955" s="14">
        <f t="shared" si="1"/>
        <v>95.7567</v>
      </c>
      <c r="P955" s="86">
        <f t="array" ref="P955">iferror(XLOOKUP(C955,'Download of SFDC Activation Rep'!B:B,'Download of SFDC Activation Rep'!Z:Z),"")</f>
        <v>46009</v>
      </c>
      <c r="Q955" s="86">
        <f t="shared" si="2"/>
        <v>45992</v>
      </c>
      <c r="R955" s="13" t="str">
        <f t="shared" si="3"/>
        <v>Yes</v>
      </c>
      <c r="S955" s="86">
        <f t="array" ref="S955">iferror(XLOOKUP(C955,'Download of SFDC Activation Rep'!B:B,'Download of SFDC Activation Rep'!Y:Y),"")</f>
        <v>46058</v>
      </c>
    </row>
    <row r="956">
      <c r="A956" s="17" t="s">
        <v>489</v>
      </c>
      <c r="B956" s="85">
        <v>45931.0</v>
      </c>
      <c r="C956" s="17">
        <v>4099073.0</v>
      </c>
      <c r="D956" s="85">
        <v>45931.0</v>
      </c>
      <c r="E956" s="17">
        <v>1.0</v>
      </c>
      <c r="F956" s="17">
        <v>1.0</v>
      </c>
      <c r="G956" s="17">
        <v>0.02</v>
      </c>
      <c r="H956" s="17"/>
      <c r="I956" s="17">
        <v>0.01</v>
      </c>
      <c r="J956" s="17"/>
      <c r="K956" s="17">
        <v>-6.69</v>
      </c>
      <c r="L956" s="17">
        <v>-6.69004914668211</v>
      </c>
      <c r="M956" s="87">
        <v>4.9146682117751E-5</v>
      </c>
      <c r="N956" s="17">
        <v>7.99999999999999</v>
      </c>
      <c r="O956" s="14">
        <f t="shared" si="1"/>
        <v>1.31</v>
      </c>
      <c r="P956" s="86">
        <f t="array" ref="P956">iferror(XLOOKUP(C956,'Download of SFDC Activation Rep'!B:B,'Download of SFDC Activation Rep'!Z:Z),"")</f>
        <v>45870</v>
      </c>
      <c r="Q956" s="86">
        <f t="shared" si="2"/>
        <v>45870</v>
      </c>
      <c r="R956" s="13" t="str">
        <f t="shared" si="3"/>
        <v>Yes</v>
      </c>
      <c r="S956" s="86">
        <f t="array" ref="S956">iferror(XLOOKUP(C956,'Download of SFDC Activation Rep'!B:B,'Download of SFDC Activation Rep'!Y:Y),"")</f>
        <v>45999</v>
      </c>
    </row>
    <row r="957">
      <c r="A957" s="17" t="s">
        <v>488</v>
      </c>
      <c r="B957" s="85">
        <v>46023.0</v>
      </c>
      <c r="C957" s="17">
        <v>4030970.0</v>
      </c>
      <c r="D957" s="85">
        <v>45870.0</v>
      </c>
      <c r="E957" s="17">
        <v>10.0</v>
      </c>
      <c r="F957" s="17">
        <v>10.0</v>
      </c>
      <c r="G957" s="17">
        <v>73499.47</v>
      </c>
      <c r="H957" s="17"/>
      <c r="I957" s="17">
        <v>20.0</v>
      </c>
      <c r="J957" s="17"/>
      <c r="K957" s="17">
        <v>14.8930999999999</v>
      </c>
      <c r="L957" s="17">
        <v>-0.288668920180371</v>
      </c>
      <c r="M957" s="17">
        <v>15.1817689201803</v>
      </c>
      <c r="N957" s="17">
        <v>1.99999999999999</v>
      </c>
      <c r="O957" s="14">
        <f t="shared" si="1"/>
        <v>16.8931</v>
      </c>
      <c r="P957" s="86">
        <f t="array" ref="P957">iferror(XLOOKUP(C957,'Download of SFDC Activation Rep'!B:B,'Download of SFDC Activation Rep'!Z:Z),"")</f>
        <v>45870</v>
      </c>
      <c r="Q957" s="86">
        <f t="shared" si="2"/>
        <v>45870</v>
      </c>
      <c r="R957" s="13" t="str">
        <f t="shared" si="3"/>
        <v>Yes</v>
      </c>
      <c r="S957" s="86">
        <f t="array" ref="S957">iferror(XLOOKUP(C957,'Download of SFDC Activation Rep'!B:B,'Download of SFDC Activation Rep'!Y:Y),"")</f>
        <v>45876</v>
      </c>
    </row>
    <row r="958">
      <c r="A958" s="17" t="s">
        <v>488</v>
      </c>
      <c r="B958" s="85">
        <v>46023.0</v>
      </c>
      <c r="C958" s="17">
        <v>4342016.0</v>
      </c>
      <c r="D958" s="85">
        <v>46023.0</v>
      </c>
      <c r="E958" s="17">
        <v>1.0</v>
      </c>
      <c r="F958" s="17">
        <v>1.0</v>
      </c>
      <c r="G958" s="17">
        <v>2700.0</v>
      </c>
      <c r="I958" s="17">
        <v>0.0</v>
      </c>
      <c r="K958" s="17">
        <v>-0.1506</v>
      </c>
      <c r="L958" s="17">
        <v>-0.72473976606</v>
      </c>
      <c r="M958" s="17">
        <v>0.57413976606</v>
      </c>
      <c r="N958" s="17">
        <v>0.0</v>
      </c>
      <c r="O958" s="14">
        <f t="shared" si="1"/>
        <v>-0.1506</v>
      </c>
      <c r="P958" s="86">
        <f t="array" ref="P958">iferror(XLOOKUP(C958,'Download of SFDC Activation Rep'!B:B,'Download of SFDC Activation Rep'!Z:Z),"")</f>
        <v>46036</v>
      </c>
      <c r="Q958" s="86">
        <f t="shared" si="2"/>
        <v>46023</v>
      </c>
      <c r="R958" s="13" t="str">
        <f t="shared" si="3"/>
        <v>Yes</v>
      </c>
      <c r="S958" s="86">
        <f t="array" ref="S958">iferror(XLOOKUP(C958,'Download of SFDC Activation Rep'!B:B,'Download of SFDC Activation Rep'!Y:Y),"")</f>
        <v>46050</v>
      </c>
    </row>
    <row r="959">
      <c r="A959" s="17" t="s">
        <v>489</v>
      </c>
      <c r="B959" s="85">
        <v>46023.0</v>
      </c>
      <c r="C959" s="17">
        <v>4103219.0</v>
      </c>
      <c r="D959" s="85">
        <v>45901.0</v>
      </c>
      <c r="E959" s="17">
        <v>26.0</v>
      </c>
      <c r="F959" s="17">
        <v>26.0</v>
      </c>
      <c r="G959" s="17">
        <v>104439.9</v>
      </c>
      <c r="H959" s="17"/>
      <c r="I959" s="17">
        <v>3.0</v>
      </c>
      <c r="J959" s="17"/>
      <c r="K959" s="17">
        <v>-2.31509999999999</v>
      </c>
      <c r="L959" s="17">
        <v>-24.6004701975348</v>
      </c>
      <c r="M959" s="17">
        <v>22.2853701975348</v>
      </c>
      <c r="N959" s="17">
        <v>4.39999999999999</v>
      </c>
      <c r="O959" s="14">
        <f t="shared" si="1"/>
        <v>2.0849</v>
      </c>
      <c r="P959" s="86">
        <f t="array" ref="P959">iferror(XLOOKUP(C959,'Download of SFDC Activation Rep'!B:B,'Download of SFDC Activation Rep'!Z:Z),"")</f>
        <v>45901</v>
      </c>
      <c r="Q959" s="86">
        <f t="shared" si="2"/>
        <v>45901</v>
      </c>
      <c r="R959" s="13" t="str">
        <f t="shared" si="3"/>
        <v>Yes</v>
      </c>
      <c r="S959" s="86">
        <f t="array" ref="S959">iferror(XLOOKUP(C959,'Download of SFDC Activation Rep'!B:B,'Download of SFDC Activation Rep'!Y:Y),"")</f>
        <v>45919</v>
      </c>
    </row>
    <row r="960">
      <c r="A960" s="17" t="s">
        <v>488</v>
      </c>
      <c r="B960" s="85">
        <v>46023.0</v>
      </c>
      <c r="C960" s="17">
        <v>4008827.0</v>
      </c>
      <c r="D960" s="85">
        <v>45870.0</v>
      </c>
      <c r="E960" s="17">
        <v>12.0</v>
      </c>
      <c r="F960" s="17">
        <v>12.0</v>
      </c>
      <c r="G960" s="17">
        <v>58675.0</v>
      </c>
      <c r="H960" s="17"/>
      <c r="I960" s="17">
        <v>0.0</v>
      </c>
      <c r="K960" s="17">
        <v>-1.4405</v>
      </c>
      <c r="L960" s="17">
        <v>-13.917407693915</v>
      </c>
      <c r="M960" s="17">
        <v>12.476907693915</v>
      </c>
      <c r="N960" s="17">
        <v>25.0</v>
      </c>
      <c r="O960" s="14">
        <f t="shared" si="1"/>
        <v>23.5595</v>
      </c>
      <c r="P960" s="86">
        <f t="array" ref="P960">iferror(XLOOKUP(C960,'Download of SFDC Activation Rep'!B:B,'Download of SFDC Activation Rep'!Z:Z),"")</f>
        <v>45870</v>
      </c>
      <c r="Q960" s="86">
        <f t="shared" si="2"/>
        <v>45870</v>
      </c>
      <c r="R960" s="13" t="str">
        <f t="shared" si="3"/>
        <v>Yes</v>
      </c>
      <c r="S960" s="86">
        <f t="array" ref="S960">iferror(XLOOKUP(C960,'Download of SFDC Activation Rep'!B:B,'Download of SFDC Activation Rep'!Y:Y),"")</f>
        <v>45884</v>
      </c>
    </row>
    <row r="961">
      <c r="A961" s="17" t="s">
        <v>488</v>
      </c>
      <c r="B961" s="85">
        <v>45931.0</v>
      </c>
      <c r="C961" s="17">
        <v>3959338.0</v>
      </c>
      <c r="D961" s="85">
        <v>45839.0</v>
      </c>
      <c r="E961" s="17">
        <v>25.0</v>
      </c>
      <c r="F961" s="17">
        <v>25.0</v>
      </c>
      <c r="G961" s="17">
        <v>40817.0</v>
      </c>
      <c r="H961" s="17"/>
      <c r="I961" s="17">
        <v>100.0</v>
      </c>
      <c r="J961" s="17">
        <v>0.5</v>
      </c>
      <c r="K961" s="17">
        <v>96.4699999999999</v>
      </c>
      <c r="L961" s="17">
        <v>75.7086837877047</v>
      </c>
      <c r="M961" s="17">
        <v>20.7613162122952</v>
      </c>
      <c r="N961" s="17">
        <v>25.0</v>
      </c>
      <c r="O961" s="14">
        <f t="shared" si="1"/>
        <v>121.47</v>
      </c>
      <c r="P961" s="86">
        <f t="array" ref="P961">iferror(XLOOKUP(C961,'Download of SFDC Activation Rep'!B:B,'Download of SFDC Activation Rep'!Z:Z),"")</f>
        <v>45839</v>
      </c>
      <c r="Q961" s="86">
        <f t="shared" si="2"/>
        <v>45839</v>
      </c>
      <c r="R961" s="13" t="str">
        <f t="shared" si="3"/>
        <v>Yes</v>
      </c>
      <c r="S961" s="86">
        <f t="array" ref="S961">iferror(XLOOKUP(C961,'Download of SFDC Activation Rep'!B:B,'Download of SFDC Activation Rep'!Y:Y),"")</f>
        <v>45841</v>
      </c>
    </row>
    <row r="962">
      <c r="A962" s="17" t="s">
        <v>19</v>
      </c>
      <c r="B962" s="85">
        <v>46143.0</v>
      </c>
      <c r="C962" s="17">
        <v>4239927.0</v>
      </c>
      <c r="D962" s="85">
        <v>45992.0</v>
      </c>
      <c r="E962" s="17">
        <v>1.0</v>
      </c>
      <c r="F962" s="17">
        <v>1.0</v>
      </c>
      <c r="G962" s="17">
        <v>427.8</v>
      </c>
      <c r="H962" s="17"/>
      <c r="I962" s="17">
        <v>0.0</v>
      </c>
      <c r="K962" s="17">
        <v>-0.1721</v>
      </c>
      <c r="L962" s="17">
        <v>-0.23912826014</v>
      </c>
      <c r="M962" s="17">
        <v>0.0670282601399999</v>
      </c>
      <c r="N962" s="17">
        <v>24.0</v>
      </c>
      <c r="O962" s="14">
        <f t="shared" si="1"/>
        <v>23.8279</v>
      </c>
      <c r="P962" s="86">
        <f t="array" ref="P962">iferror(XLOOKUP(C962,'Download of SFDC Activation Rep'!B:B,'Download of SFDC Activation Rep'!Z:Z),"")</f>
        <v>45979</v>
      </c>
      <c r="Q962" s="86">
        <f t="shared" si="2"/>
        <v>45962</v>
      </c>
      <c r="R962" s="13" t="str">
        <f t="shared" si="3"/>
        <v>Yes</v>
      </c>
      <c r="S962" s="86">
        <f t="array" ref="S962">iferror(XLOOKUP(C962,'Download of SFDC Activation Rep'!B:B,'Download of SFDC Activation Rep'!Y:Y),"")</f>
        <v>45999</v>
      </c>
    </row>
    <row r="963">
      <c r="A963" s="17" t="s">
        <v>19</v>
      </c>
      <c r="B963" s="85">
        <v>46143.0</v>
      </c>
      <c r="C963" s="17">
        <v>47426.0</v>
      </c>
      <c r="D963" s="85">
        <v>43983.0</v>
      </c>
      <c r="E963" s="17">
        <v>101.0</v>
      </c>
      <c r="F963" s="17">
        <v>101.0</v>
      </c>
      <c r="G963" s="17">
        <v>98932.58</v>
      </c>
      <c r="H963" s="17"/>
      <c r="I963" s="17">
        <v>91.22</v>
      </c>
      <c r="J963" s="17"/>
      <c r="K963" s="17">
        <v>75.7477</v>
      </c>
      <c r="L963" s="17">
        <v>53.824016532446</v>
      </c>
      <c r="M963" s="17">
        <v>21.923683467554</v>
      </c>
      <c r="N963" s="17">
        <v>54.4</v>
      </c>
      <c r="O963" s="14">
        <f t="shared" si="1"/>
        <v>130.1477</v>
      </c>
      <c r="P963" s="86">
        <f t="array" ref="P963">iferror(XLOOKUP(C963,'Download of SFDC Activation Rep'!B:B,'Download of SFDC Activation Rep'!Z:Z),"")</f>
        <v>46001</v>
      </c>
      <c r="Q963" s="86">
        <f t="shared" si="2"/>
        <v>45992</v>
      </c>
      <c r="R963" s="13" t="str">
        <f t="shared" si="3"/>
        <v>Yes</v>
      </c>
      <c r="S963" s="86">
        <f t="array" ref="S963">iferror(XLOOKUP(C963,'Download of SFDC Activation Rep'!B:B,'Download of SFDC Activation Rep'!Y:Y),"")</f>
        <v>46028</v>
      </c>
    </row>
    <row r="964">
      <c r="A964" s="17" t="s">
        <v>489</v>
      </c>
      <c r="B964" s="85">
        <v>46174.0</v>
      </c>
      <c r="C964" s="17">
        <v>3499607.0</v>
      </c>
      <c r="D964" s="85">
        <v>46023.0</v>
      </c>
      <c r="E964" s="17">
        <v>39.0</v>
      </c>
      <c r="F964" s="17">
        <v>39.0</v>
      </c>
      <c r="G964" s="17">
        <v>89332.94</v>
      </c>
      <c r="H964" s="17"/>
      <c r="I964" s="17">
        <v>10.1</v>
      </c>
      <c r="J964" s="17">
        <v>6.5</v>
      </c>
      <c r="K964" s="17">
        <v>3.7889</v>
      </c>
      <c r="L964" s="17">
        <v>-9.73526049152199</v>
      </c>
      <c r="M964" s="17">
        <v>13.524160491522</v>
      </c>
      <c r="N964" s="17">
        <v>65.0</v>
      </c>
      <c r="O964" s="14">
        <f t="shared" si="1"/>
        <v>68.7889</v>
      </c>
      <c r="P964" s="86">
        <f t="array" ref="P964">iferror(XLOOKUP(C964,'Download of SFDC Activation Rep'!B:B,'Download of SFDC Activation Rep'!Z:Z),"")</f>
        <v>45981</v>
      </c>
      <c r="Q964" s="86">
        <f t="shared" si="2"/>
        <v>45962</v>
      </c>
      <c r="R964" s="13" t="str">
        <f t="shared" si="3"/>
        <v>Yes</v>
      </c>
      <c r="S964" s="86">
        <f t="array" ref="S964">iferror(XLOOKUP(C964,'Download of SFDC Activation Rep'!B:B,'Download of SFDC Activation Rep'!Y:Y),"")</f>
        <v>46024</v>
      </c>
    </row>
    <row r="965">
      <c r="A965" s="17" t="s">
        <v>19</v>
      </c>
      <c r="B965" s="85">
        <v>46174.0</v>
      </c>
      <c r="C965" s="17">
        <v>3934711.0</v>
      </c>
      <c r="D965" s="85">
        <v>45839.0</v>
      </c>
      <c r="E965" s="17">
        <v>12.0</v>
      </c>
      <c r="F965" s="17">
        <v>12.0</v>
      </c>
      <c r="G965" s="17">
        <v>1965.0</v>
      </c>
      <c r="H965" s="17"/>
      <c r="I965" s="17">
        <v>2.0</v>
      </c>
      <c r="K965" s="17">
        <v>0.157699999999999</v>
      </c>
      <c r="L965" s="17">
        <v>-0.282150834499999</v>
      </c>
      <c r="M965" s="17">
        <v>0.439850834499999</v>
      </c>
      <c r="N965" s="17">
        <v>64.0</v>
      </c>
      <c r="O965" s="14">
        <f t="shared" si="1"/>
        <v>64.1577</v>
      </c>
      <c r="P965" s="86">
        <f t="array" ref="P965">iferror(XLOOKUP(C965,'Download of SFDC Activation Rep'!B:B,'Download of SFDC Activation Rep'!Z:Z),"")</f>
        <v>45817</v>
      </c>
      <c r="Q965" s="86">
        <f t="shared" si="2"/>
        <v>45809</v>
      </c>
      <c r="R965" s="13" t="str">
        <f t="shared" si="3"/>
        <v>Yes</v>
      </c>
      <c r="S965" s="86">
        <f t="array" ref="S965">iferror(XLOOKUP(C965,'Download of SFDC Activation Rep'!B:B,'Download of SFDC Activation Rep'!Y:Y),"")</f>
        <v>45817</v>
      </c>
    </row>
    <row r="966">
      <c r="A966" s="17" t="s">
        <v>489</v>
      </c>
      <c r="B966" s="85">
        <v>45962.0</v>
      </c>
      <c r="C966" s="17">
        <v>4178047.0</v>
      </c>
      <c r="D966" s="85">
        <v>45962.0</v>
      </c>
      <c r="E966" s="17">
        <v>8.0</v>
      </c>
      <c r="F966" s="17">
        <v>8.0</v>
      </c>
      <c r="G966" s="17">
        <v>45910.94</v>
      </c>
      <c r="H966" s="17"/>
      <c r="I966" s="17">
        <v>1.51</v>
      </c>
      <c r="J966" s="17"/>
      <c r="K966" s="17">
        <v>-0.4604</v>
      </c>
      <c r="L966" s="17">
        <v>-7.64835856940408</v>
      </c>
      <c r="M966" s="17">
        <v>7.18795856940408</v>
      </c>
      <c r="N966" s="17">
        <v>85.0</v>
      </c>
      <c r="O966" s="14">
        <f t="shared" si="1"/>
        <v>84.5396</v>
      </c>
      <c r="P966" s="86">
        <f t="array" ref="P966">iferror(XLOOKUP(C966,'Download of SFDC Activation Rep'!B:B,'Download of SFDC Activation Rep'!Z:Z),"")</f>
        <v>45974</v>
      </c>
      <c r="Q966" s="86">
        <f t="shared" si="2"/>
        <v>45962</v>
      </c>
      <c r="R966" s="13" t="str">
        <f t="shared" si="3"/>
        <v>Yes</v>
      </c>
      <c r="S966" s="86">
        <f t="array" ref="S966">iferror(XLOOKUP(C966,'Download of SFDC Activation Rep'!B:B,'Download of SFDC Activation Rep'!Y:Y),"")</f>
        <v>45967</v>
      </c>
    </row>
    <row r="967">
      <c r="A967" s="17" t="s">
        <v>19</v>
      </c>
      <c r="B967" s="85">
        <v>46023.0</v>
      </c>
      <c r="C967" s="17">
        <v>4239927.0</v>
      </c>
      <c r="D967" s="85">
        <v>45992.0</v>
      </c>
      <c r="E967" s="17">
        <v>5.0</v>
      </c>
      <c r="F967" s="17">
        <v>5.0</v>
      </c>
      <c r="G967" s="17">
        <v>10673.63</v>
      </c>
      <c r="H967" s="17"/>
      <c r="I967" s="17">
        <v>0.0</v>
      </c>
      <c r="J967" s="17"/>
      <c r="K967" s="17">
        <v>-0.6962</v>
      </c>
      <c r="L967" s="17">
        <v>-2.96588719674481</v>
      </c>
      <c r="M967" s="17">
        <v>2.26968719674481</v>
      </c>
      <c r="N967" s="17">
        <v>24.0</v>
      </c>
      <c r="O967" s="14">
        <f t="shared" si="1"/>
        <v>23.3038</v>
      </c>
      <c r="P967" s="86">
        <f t="array" ref="P967">iferror(XLOOKUP(C967,'Download of SFDC Activation Rep'!B:B,'Download of SFDC Activation Rep'!Z:Z),"")</f>
        <v>45979</v>
      </c>
      <c r="Q967" s="86">
        <f t="shared" si="2"/>
        <v>45962</v>
      </c>
      <c r="R967" s="13" t="str">
        <f t="shared" si="3"/>
        <v>Yes</v>
      </c>
      <c r="S967" s="86">
        <f t="array" ref="S967">iferror(XLOOKUP(C967,'Download of SFDC Activation Rep'!B:B,'Download of SFDC Activation Rep'!Y:Y),"")</f>
        <v>45999</v>
      </c>
    </row>
    <row r="968">
      <c r="A968" s="17" t="s">
        <v>488</v>
      </c>
      <c r="B968" s="85">
        <v>46082.0</v>
      </c>
      <c r="C968" s="17">
        <v>4233219.0</v>
      </c>
      <c r="D968" s="85">
        <v>45962.0</v>
      </c>
      <c r="E968" s="17">
        <v>25.0</v>
      </c>
      <c r="F968" s="17">
        <v>25.0</v>
      </c>
      <c r="G968" s="17">
        <v>62081.8</v>
      </c>
      <c r="H968" s="17"/>
      <c r="I968" s="17">
        <v>39.09</v>
      </c>
      <c r="J968" s="17"/>
      <c r="K968" s="17">
        <v>17.2832</v>
      </c>
      <c r="L968" s="17">
        <v>6.72310331446</v>
      </c>
      <c r="M968" s="17">
        <v>10.56009668554</v>
      </c>
      <c r="N968" s="17">
        <v>28.0</v>
      </c>
      <c r="O968" s="14">
        <f t="shared" si="1"/>
        <v>45.2832</v>
      </c>
      <c r="P968" s="86">
        <f t="array" ref="P968">iferror(XLOOKUP(C968,'Download of SFDC Activation Rep'!B:B,'Download of SFDC Activation Rep'!Z:Z),"")</f>
        <v>45978</v>
      </c>
      <c r="Q968" s="86">
        <f t="shared" si="2"/>
        <v>45962</v>
      </c>
      <c r="R968" s="13" t="str">
        <f t="shared" si="3"/>
        <v>Yes</v>
      </c>
      <c r="S968" s="86">
        <f t="array" ref="S968">iferror(XLOOKUP(C968,'Download of SFDC Activation Rep'!B:B,'Download of SFDC Activation Rep'!Y:Y),"")</f>
        <v>45989</v>
      </c>
    </row>
    <row r="969">
      <c r="A969" s="17" t="s">
        <v>488</v>
      </c>
      <c r="B969" s="85">
        <v>46023.0</v>
      </c>
      <c r="C969" s="17">
        <v>4299448.0</v>
      </c>
      <c r="D969" s="85">
        <v>45992.0</v>
      </c>
      <c r="E969" s="17">
        <v>11.0</v>
      </c>
      <c r="F969" s="17">
        <v>0.0</v>
      </c>
      <c r="G969" s="17">
        <v>63117.79</v>
      </c>
      <c r="H969" s="17"/>
      <c r="I969" s="17">
        <v>1890.41</v>
      </c>
      <c r="K969" s="17">
        <v>161.1572</v>
      </c>
      <c r="L969" s="17">
        <v>111.484189683647</v>
      </c>
      <c r="M969" s="17">
        <v>49.6730103163522</v>
      </c>
      <c r="N969" s="17">
        <v>0.0</v>
      </c>
      <c r="O969" s="14">
        <f t="shared" si="1"/>
        <v>161.1572</v>
      </c>
      <c r="P969" s="86">
        <f t="array" ref="P969">iferror(XLOOKUP(C969,'Download of SFDC Activation Rep'!B:B,'Download of SFDC Activation Rep'!Z:Z),"")</f>
        <v>46197</v>
      </c>
      <c r="Q969" s="86">
        <f t="shared" si="2"/>
        <v>46174</v>
      </c>
      <c r="R969" s="13" t="str">
        <f t="shared" si="3"/>
        <v>No</v>
      </c>
      <c r="S969" s="86">
        <f t="array" ref="S969">iferror(XLOOKUP(C969,'Download of SFDC Activation Rep'!B:B,'Download of SFDC Activation Rep'!Y:Y),"")</f>
        <v>46361</v>
      </c>
    </row>
    <row r="970">
      <c r="A970" s="17" t="s">
        <v>488</v>
      </c>
      <c r="B970" s="85">
        <v>46143.0</v>
      </c>
      <c r="C970" s="17">
        <v>4521114.0</v>
      </c>
      <c r="D970" s="85">
        <v>46113.0</v>
      </c>
      <c r="E970" s="17">
        <v>50.0</v>
      </c>
      <c r="F970" s="17">
        <v>50.0</v>
      </c>
      <c r="G970" s="17">
        <v>45436.58</v>
      </c>
      <c r="H970" s="17"/>
      <c r="I970" s="17">
        <v>121.965343</v>
      </c>
      <c r="J970" s="17">
        <v>9.5</v>
      </c>
      <c r="K970" s="17">
        <v>113.1446</v>
      </c>
      <c r="L970" s="17">
        <v>106.034367578045</v>
      </c>
      <c r="M970" s="17">
        <v>7.11023242195402</v>
      </c>
      <c r="N970" s="17">
        <v>33.0</v>
      </c>
      <c r="O970" s="14">
        <f t="shared" si="1"/>
        <v>146.1446</v>
      </c>
      <c r="P970" s="86">
        <f t="array" ref="P970">iferror(XLOOKUP(C970,'Download of SFDC Activation Rep'!B:B,'Download of SFDC Activation Rep'!Z:Z),"")</f>
        <v>46119</v>
      </c>
      <c r="Q970" s="86">
        <f t="shared" si="2"/>
        <v>46113</v>
      </c>
      <c r="R970" s="13" t="str">
        <f t="shared" si="3"/>
        <v>Yes</v>
      </c>
      <c r="S970" s="86">
        <f t="array" ref="S970">iferror(XLOOKUP(C970,'Download of SFDC Activation Rep'!B:B,'Download of SFDC Activation Rep'!Y:Y),"")</f>
        <v>46147</v>
      </c>
    </row>
    <row r="971">
      <c r="A971" s="17" t="s">
        <v>19</v>
      </c>
      <c r="B971" s="85">
        <v>46143.0</v>
      </c>
      <c r="C971" s="17">
        <v>4359265.0</v>
      </c>
      <c r="D971" s="85">
        <v>46143.0</v>
      </c>
      <c r="E971" s="17">
        <v>45.0</v>
      </c>
      <c r="F971" s="17">
        <v>45.0</v>
      </c>
      <c r="G971" s="17">
        <v>135811.31</v>
      </c>
      <c r="H971" s="17"/>
      <c r="I971" s="17">
        <v>264.583881</v>
      </c>
      <c r="J971" s="17">
        <v>0.5</v>
      </c>
      <c r="K971" s="17">
        <v>249.7612</v>
      </c>
      <c r="L971" s="17">
        <v>229.140850394496</v>
      </c>
      <c r="M971" s="17">
        <v>20.620349605503</v>
      </c>
      <c r="N971" s="17">
        <v>80.0</v>
      </c>
      <c r="O971" s="14">
        <f t="shared" si="1"/>
        <v>329.7612</v>
      </c>
      <c r="P971" s="86">
        <f t="array" ref="P971">iferror(XLOOKUP(C971,'Download of SFDC Activation Rep'!B:B,'Download of SFDC Activation Rep'!Z:Z),"")</f>
        <v>46028</v>
      </c>
      <c r="Q971" s="86">
        <f t="shared" si="2"/>
        <v>46023</v>
      </c>
      <c r="R971" s="13" t="str">
        <f t="shared" si="3"/>
        <v>Yes</v>
      </c>
      <c r="S971" s="86">
        <f t="array" ref="S971">iferror(XLOOKUP(C971,'Download of SFDC Activation Rep'!B:B,'Download of SFDC Activation Rep'!Y:Y),"")</f>
        <v>46086</v>
      </c>
    </row>
    <row r="972">
      <c r="A972" s="17" t="s">
        <v>19</v>
      </c>
      <c r="B972" s="85">
        <v>45931.0</v>
      </c>
      <c r="C972" s="17">
        <v>2710123.0</v>
      </c>
      <c r="D972" s="85">
        <v>45292.0</v>
      </c>
      <c r="E972" s="17">
        <v>1.0</v>
      </c>
      <c r="F972" s="17">
        <v>0.0</v>
      </c>
      <c r="G972" s="17">
        <v>12229.25</v>
      </c>
      <c r="H972" s="17">
        <v>12229.25</v>
      </c>
      <c r="I972" s="17">
        <v>354.65</v>
      </c>
      <c r="K972" s="17">
        <v>33.4404</v>
      </c>
      <c r="L972" s="17">
        <v>26.9533597177161</v>
      </c>
      <c r="M972" s="17">
        <v>6.48704028228382</v>
      </c>
      <c r="N972" s="17">
        <v>7.99999999999999</v>
      </c>
      <c r="O972" s="14">
        <f t="shared" si="1"/>
        <v>41.4404</v>
      </c>
      <c r="P972" s="86">
        <f t="array" ref="P972">iferror(XLOOKUP(C972,'Download of SFDC Activation Rep'!B:B,'Download of SFDC Activation Rep'!Z:Z),"")</f>
        <v>45873</v>
      </c>
      <c r="Q972" s="86">
        <f t="shared" si="2"/>
        <v>45870</v>
      </c>
      <c r="R972" s="13" t="str">
        <f t="shared" si="3"/>
        <v>Yes</v>
      </c>
      <c r="S972" s="86">
        <f t="array" ref="S972">iferror(XLOOKUP(C972,'Download of SFDC Activation Rep'!B:B,'Download of SFDC Activation Rep'!Y:Y),"")</f>
        <v>45980</v>
      </c>
    </row>
    <row r="973">
      <c r="A973" s="17" t="s">
        <v>1487</v>
      </c>
      <c r="B973" s="85">
        <v>46113.0</v>
      </c>
      <c r="C973" s="17">
        <v>4471409.0</v>
      </c>
      <c r="D973" s="85">
        <v>46082.0</v>
      </c>
      <c r="E973" s="17">
        <v>7.0</v>
      </c>
      <c r="F973" s="17">
        <v>0.0</v>
      </c>
      <c r="G973" s="17">
        <v>65685.91</v>
      </c>
      <c r="H973" s="17">
        <v>21001.0</v>
      </c>
      <c r="I973" s="17">
        <v>1944.9</v>
      </c>
      <c r="K973" s="17">
        <v>55.6965</v>
      </c>
      <c r="L973" s="17">
        <v>20.853225119952</v>
      </c>
      <c r="M973" s="17">
        <v>34.843274880048</v>
      </c>
      <c r="N973" s="17">
        <v>0.0</v>
      </c>
      <c r="O973" s="14">
        <f t="shared" si="1"/>
        <v>192.203</v>
      </c>
      <c r="P973" s="86">
        <f t="array" ref="P973">iferror(XLOOKUP(C973,'Download of SFDC Activation Rep'!B:B,'Download of SFDC Activation Rep'!Z:Z),"")</f>
        <v>46092</v>
      </c>
      <c r="Q973" s="86">
        <f t="shared" si="2"/>
        <v>46082</v>
      </c>
      <c r="R973" s="13" t="str">
        <f t="shared" si="3"/>
        <v>Yes</v>
      </c>
      <c r="S973" s="86">
        <f t="array" ref="S973">iferror(XLOOKUP(C973,'Download of SFDC Activation Rep'!B:B,'Download of SFDC Activation Rep'!Y:Y),"")</f>
        <v>46132</v>
      </c>
    </row>
    <row r="974">
      <c r="A974" s="17" t="s">
        <v>489</v>
      </c>
      <c r="B974" s="85">
        <v>46023.0</v>
      </c>
      <c r="C974" s="17">
        <v>4248506.0</v>
      </c>
      <c r="D974" s="85">
        <v>45962.0</v>
      </c>
      <c r="E974" s="17">
        <v>19.0</v>
      </c>
      <c r="F974" s="17">
        <v>19.0</v>
      </c>
      <c r="G974" s="17">
        <v>301931.26</v>
      </c>
      <c r="H974" s="17"/>
      <c r="I974" s="17">
        <v>0.0</v>
      </c>
      <c r="J974" s="17"/>
      <c r="K974" s="17">
        <v>-3.2301</v>
      </c>
      <c r="L974" s="17">
        <v>-67.4340788824448</v>
      </c>
      <c r="M974" s="17">
        <v>64.2039788824448</v>
      </c>
      <c r="N974" s="17">
        <v>44.0</v>
      </c>
      <c r="O974" s="14">
        <f t="shared" si="1"/>
        <v>40.7699</v>
      </c>
      <c r="P974" s="86">
        <f t="array" ref="P974">iferror(XLOOKUP(C974,'Download of SFDC Activation Rep'!B:B,'Download of SFDC Activation Rep'!Z:Z),"")</f>
        <v>45974</v>
      </c>
      <c r="Q974" s="86">
        <f t="shared" si="2"/>
        <v>45962</v>
      </c>
      <c r="R974" s="13" t="str">
        <f t="shared" si="3"/>
        <v>Yes</v>
      </c>
      <c r="S974" s="86">
        <f t="array" ref="S974">iferror(XLOOKUP(C974,'Download of SFDC Activation Rep'!B:B,'Download of SFDC Activation Rep'!Y:Y),"")</f>
        <v>45987</v>
      </c>
    </row>
    <row r="975">
      <c r="A975" s="17" t="s">
        <v>19</v>
      </c>
      <c r="B975" s="85">
        <v>46174.0</v>
      </c>
      <c r="C975" s="17">
        <v>4022041.0</v>
      </c>
      <c r="D975" s="85">
        <v>46143.0</v>
      </c>
      <c r="E975" s="17">
        <v>5.0</v>
      </c>
      <c r="F975" s="17">
        <v>5.0</v>
      </c>
      <c r="G975" s="17">
        <v>159752.83</v>
      </c>
      <c r="H975" s="17"/>
      <c r="I975" s="17">
        <v>100.0</v>
      </c>
      <c r="J975" s="17"/>
      <c r="K975" s="17">
        <v>63.5485</v>
      </c>
      <c r="L975" s="17">
        <v>38.518218916921</v>
      </c>
      <c r="M975" s="17">
        <v>25.0302810830789</v>
      </c>
      <c r="N975" s="17">
        <v>68.0</v>
      </c>
      <c r="O975" s="14">
        <f t="shared" si="1"/>
        <v>131.5485</v>
      </c>
      <c r="P975" s="86">
        <f t="array" ref="P975">iferror(XLOOKUP(C975,'Download of SFDC Activation Rep'!B:B,'Download of SFDC Activation Rep'!Z:Z),"")</f>
        <v>46141</v>
      </c>
      <c r="Q975" s="86">
        <f t="shared" si="2"/>
        <v>46113</v>
      </c>
      <c r="R975" s="13" t="str">
        <f t="shared" si="3"/>
        <v>Yes</v>
      </c>
      <c r="S975" s="86">
        <f t="array" ref="S975">iferror(XLOOKUP(C975,'Download of SFDC Activation Rep'!B:B,'Download of SFDC Activation Rep'!Y:Y),"")</f>
        <v>46203</v>
      </c>
    </row>
    <row r="976">
      <c r="A976" s="17" t="s">
        <v>488</v>
      </c>
      <c r="B976" s="85">
        <v>46023.0</v>
      </c>
      <c r="C976" s="17">
        <v>3934664.0</v>
      </c>
      <c r="D976" s="85">
        <v>45809.0</v>
      </c>
      <c r="E976" s="17">
        <v>1.0</v>
      </c>
      <c r="F976" s="17">
        <v>0.0</v>
      </c>
      <c r="G976" s="17">
        <v>74.91</v>
      </c>
      <c r="H976" s="17">
        <v>74.91</v>
      </c>
      <c r="I976" s="17">
        <v>2.17</v>
      </c>
      <c r="J976" s="17"/>
      <c r="K976" s="17">
        <v>0.0487</v>
      </c>
      <c r="L976" s="17">
        <v>0.0464527</v>
      </c>
      <c r="M976" s="17">
        <v>0.0022473</v>
      </c>
      <c r="N976" s="17">
        <v>25.0</v>
      </c>
      <c r="O976" s="14">
        <f t="shared" si="1"/>
        <v>25.535615</v>
      </c>
      <c r="P976" s="86">
        <f t="array" ref="P976">iferror(XLOOKUP(C976,'Download of SFDC Activation Rep'!B:B,'Download of SFDC Activation Rep'!Z:Z),"")</f>
        <v>45820</v>
      </c>
      <c r="Q976" s="86">
        <f t="shared" si="2"/>
        <v>45809</v>
      </c>
      <c r="R976" s="13" t="str">
        <f t="shared" si="3"/>
        <v>Yes</v>
      </c>
      <c r="S976" s="86">
        <f t="array" ref="S976">iferror(XLOOKUP(C976,'Download of SFDC Activation Rep'!B:B,'Download of SFDC Activation Rep'!Y:Y),"")</f>
        <v>45829</v>
      </c>
    </row>
    <row r="977">
      <c r="A977" s="17" t="s">
        <v>19</v>
      </c>
      <c r="B977" s="85">
        <v>46054.0</v>
      </c>
      <c r="C977" s="17">
        <v>2710123.0</v>
      </c>
      <c r="D977" s="85">
        <v>45292.0</v>
      </c>
      <c r="E977" s="17">
        <v>2.0</v>
      </c>
      <c r="F977" s="17">
        <v>0.0</v>
      </c>
      <c r="G977" s="17">
        <v>34336.9</v>
      </c>
      <c r="H977" s="17">
        <v>34336.9</v>
      </c>
      <c r="I977" s="17">
        <v>995.78</v>
      </c>
      <c r="K977" s="17">
        <v>94.4752</v>
      </c>
      <c r="L977" s="17">
        <v>76.26109525168</v>
      </c>
      <c r="M977" s="17">
        <v>18.2141047483199</v>
      </c>
      <c r="N977" s="17">
        <v>80.0</v>
      </c>
      <c r="O977" s="14">
        <f t="shared" si="1"/>
        <v>397.66505</v>
      </c>
      <c r="P977" s="86">
        <f t="array" ref="P977">iferror(XLOOKUP(C977,'Download of SFDC Activation Rep'!B:B,'Download of SFDC Activation Rep'!Z:Z),"")</f>
        <v>45873</v>
      </c>
      <c r="Q977" s="86">
        <f t="shared" si="2"/>
        <v>45870</v>
      </c>
      <c r="R977" s="13" t="str">
        <f t="shared" si="3"/>
        <v>Yes</v>
      </c>
      <c r="S977" s="86">
        <f t="array" ref="S977">iferror(XLOOKUP(C977,'Download of SFDC Activation Rep'!B:B,'Download of SFDC Activation Rep'!Y:Y),"")</f>
        <v>45980</v>
      </c>
    </row>
    <row r="978">
      <c r="A978" s="17" t="s">
        <v>19</v>
      </c>
      <c r="B978" s="85">
        <v>46143.0</v>
      </c>
      <c r="C978" s="17">
        <v>4654585.0</v>
      </c>
      <c r="D978" s="85">
        <v>46143.0</v>
      </c>
      <c r="E978" s="17">
        <v>12.0</v>
      </c>
      <c r="F978" s="17">
        <v>12.0</v>
      </c>
      <c r="G978" s="17">
        <v>22094.1</v>
      </c>
      <c r="H978" s="17"/>
      <c r="I978" s="17">
        <v>71.81</v>
      </c>
      <c r="J978" s="17"/>
      <c r="K978" s="17">
        <v>56.3051</v>
      </c>
      <c r="L978" s="17">
        <v>40.24288694087</v>
      </c>
      <c r="M978" s="17">
        <v>16.06221305913</v>
      </c>
      <c r="N978" s="17">
        <v>0.0</v>
      </c>
      <c r="O978" s="14">
        <f t="shared" si="1"/>
        <v>56.3051</v>
      </c>
      <c r="P978" s="86">
        <f t="array" ref="P978">iferror(XLOOKUP(C978,'Download of SFDC Activation Rep'!B:B,'Download of SFDC Activation Rep'!Z:Z),"")</f>
        <v>46155</v>
      </c>
      <c r="Q978" s="86">
        <f t="shared" si="2"/>
        <v>46143</v>
      </c>
      <c r="R978" s="13" t="str">
        <f t="shared" si="3"/>
        <v>Yes</v>
      </c>
      <c r="S978" s="86">
        <f t="array" ref="S978">iferror(XLOOKUP(C978,'Download of SFDC Activation Rep'!B:B,'Download of SFDC Activation Rep'!Y:Y),"")</f>
        <v>46286</v>
      </c>
    </row>
    <row r="979">
      <c r="A979" s="17" t="s">
        <v>489</v>
      </c>
      <c r="B979" s="85">
        <v>45962.0</v>
      </c>
      <c r="C979" s="17">
        <v>3543707.0</v>
      </c>
      <c r="D979" s="85">
        <v>45901.0</v>
      </c>
      <c r="E979" s="17">
        <v>11.0</v>
      </c>
      <c r="F979" s="17">
        <v>11.0</v>
      </c>
      <c r="G979" s="17">
        <v>47107.42</v>
      </c>
      <c r="H979" s="17"/>
      <c r="I979" s="17">
        <v>0.0</v>
      </c>
      <c r="K979" s="17">
        <v>-1.45869999999999</v>
      </c>
      <c r="L979" s="17">
        <v>-6.19928977038399</v>
      </c>
      <c r="M979" s="17">
        <v>4.74058977038399</v>
      </c>
      <c r="N979" s="17">
        <v>4.39999999999999</v>
      </c>
      <c r="O979" s="14">
        <f t="shared" si="1"/>
        <v>2.9413</v>
      </c>
      <c r="P979" s="86">
        <f t="array" ref="P979">iferror(XLOOKUP(C979,'Download of SFDC Activation Rep'!B:B,'Download of SFDC Activation Rep'!Z:Z),"")</f>
        <v>45915</v>
      </c>
      <c r="Q979" s="86">
        <f t="shared" si="2"/>
        <v>45901</v>
      </c>
      <c r="R979" s="13" t="str">
        <f t="shared" si="3"/>
        <v>Yes</v>
      </c>
      <c r="S979" s="86">
        <f t="array" ref="S979">iferror(XLOOKUP(C979,'Download of SFDC Activation Rep'!B:B,'Download of SFDC Activation Rep'!Y:Y),"")</f>
        <v>45958</v>
      </c>
    </row>
    <row r="980">
      <c r="A980" s="17" t="s">
        <v>488</v>
      </c>
      <c r="B980" s="85">
        <v>46143.0</v>
      </c>
      <c r="C980" s="17">
        <v>4548015.0</v>
      </c>
      <c r="D980" s="85">
        <v>46113.0</v>
      </c>
      <c r="E980" s="17">
        <v>5.0</v>
      </c>
      <c r="F980" s="17">
        <v>0.0</v>
      </c>
      <c r="G980" s="17">
        <v>27940.37</v>
      </c>
      <c r="H980" s="17"/>
      <c r="I980" s="17">
        <v>860.27</v>
      </c>
      <c r="K980" s="17">
        <v>31.878</v>
      </c>
      <c r="L980" s="17">
        <v>6.566740583964</v>
      </c>
      <c r="M980" s="17">
        <v>25.311259416036</v>
      </c>
      <c r="N980" s="17">
        <v>25.0</v>
      </c>
      <c r="O980" s="14">
        <f t="shared" si="1"/>
        <v>56.878</v>
      </c>
      <c r="P980" s="86">
        <f t="array" ref="P980">iferror(XLOOKUP(C980,'Download of SFDC Activation Rep'!B:B,'Download of SFDC Activation Rep'!Z:Z),"")</f>
        <v>46119</v>
      </c>
      <c r="Q980" s="86">
        <f t="shared" si="2"/>
        <v>46113</v>
      </c>
      <c r="R980" s="13" t="str">
        <f t="shared" si="3"/>
        <v>Yes</v>
      </c>
      <c r="S980" s="86">
        <f t="array" ref="S980">iferror(XLOOKUP(C980,'Download of SFDC Activation Rep'!B:B,'Download of SFDC Activation Rep'!Y:Y),"")</f>
        <v>46148</v>
      </c>
    </row>
    <row r="981">
      <c r="A981" s="17" t="s">
        <v>19</v>
      </c>
      <c r="B981" s="85">
        <v>46143.0</v>
      </c>
      <c r="C981" s="17">
        <v>4117067.0</v>
      </c>
      <c r="D981" s="85">
        <v>45992.0</v>
      </c>
      <c r="E981" s="17">
        <v>248.0</v>
      </c>
      <c r="F981" s="17">
        <v>248.0</v>
      </c>
      <c r="G981" s="17">
        <v>4762990.19</v>
      </c>
      <c r="H981" s="17"/>
      <c r="I981" s="17">
        <v>3393.511762</v>
      </c>
      <c r="J981" s="17">
        <v>3.0</v>
      </c>
      <c r="K981" s="17">
        <v>3348.6196</v>
      </c>
      <c r="L981" s="17">
        <v>2480.30822431875</v>
      </c>
      <c r="M981" s="17">
        <v>868.311375681246</v>
      </c>
      <c r="N981" s="17">
        <v>6.39999999999999</v>
      </c>
      <c r="O981" s="14">
        <f t="shared" si="1"/>
        <v>3355.0196</v>
      </c>
      <c r="P981" s="86">
        <f t="array" ref="P981">iferror(XLOOKUP(C981,'Download of SFDC Activation Rep'!B:B,'Download of SFDC Activation Rep'!Z:Z),"")</f>
        <v>45831</v>
      </c>
      <c r="Q981" s="86">
        <f t="shared" si="2"/>
        <v>45809</v>
      </c>
      <c r="R981" s="13" t="str">
        <f t="shared" si="3"/>
        <v>Yes</v>
      </c>
      <c r="S981" s="86">
        <f t="array" ref="S981">iferror(XLOOKUP(C981,'Download of SFDC Activation Rep'!B:B,'Download of SFDC Activation Rep'!Y:Y),"")</f>
        <v>45992</v>
      </c>
    </row>
    <row r="982">
      <c r="A982" s="17" t="s">
        <v>488</v>
      </c>
      <c r="B982" s="85">
        <v>45901.0</v>
      </c>
      <c r="C982" s="17">
        <v>4039652.0</v>
      </c>
      <c r="D982" s="85">
        <v>45870.0</v>
      </c>
      <c r="E982" s="17">
        <v>9.0</v>
      </c>
      <c r="F982" s="17">
        <v>8.0</v>
      </c>
      <c r="G982" s="17">
        <v>9912.5</v>
      </c>
      <c r="H982" s="17"/>
      <c r="I982" s="17">
        <v>73.52</v>
      </c>
      <c r="J982" s="17">
        <v>0.5</v>
      </c>
      <c r="K982" s="17">
        <v>28.4807</v>
      </c>
      <c r="L982" s="17">
        <v>24.7651614851937</v>
      </c>
      <c r="M982" s="17">
        <v>3.71553851480625</v>
      </c>
      <c r="N982" s="17">
        <v>2.49999999999999</v>
      </c>
      <c r="O982" s="14">
        <f t="shared" si="1"/>
        <v>30.9807</v>
      </c>
      <c r="P982" s="86">
        <f t="array" ref="P982">iferror(XLOOKUP(C982,'Download of SFDC Activation Rep'!B:B,'Download of SFDC Activation Rep'!Z:Z),"")</f>
        <v>45863</v>
      </c>
      <c r="Q982" s="86">
        <f t="shared" si="2"/>
        <v>45839</v>
      </c>
      <c r="R982" s="13" t="str">
        <f t="shared" si="3"/>
        <v>Yes</v>
      </c>
      <c r="S982" s="86">
        <f t="array" ref="S982">iferror(XLOOKUP(C982,'Download of SFDC Activation Rep'!B:B,'Download of SFDC Activation Rep'!Y:Y),"")</f>
        <v>45880</v>
      </c>
    </row>
    <row r="983">
      <c r="A983" s="17" t="s">
        <v>489</v>
      </c>
      <c r="B983" s="85">
        <v>46023.0</v>
      </c>
      <c r="C983" s="17">
        <v>3499607.0</v>
      </c>
      <c r="D983" s="85">
        <v>46023.0</v>
      </c>
      <c r="E983" s="17">
        <v>43.0</v>
      </c>
      <c r="F983" s="17">
        <v>43.0</v>
      </c>
      <c r="G983" s="17">
        <v>140521.25</v>
      </c>
      <c r="H983" s="17"/>
      <c r="I983" s="17">
        <v>8.56</v>
      </c>
      <c r="K983" s="17">
        <v>0.7669</v>
      </c>
      <c r="L983" s="17">
        <v>-30.973883864188</v>
      </c>
      <c r="M983" s="17">
        <v>31.740783864188</v>
      </c>
      <c r="N983" s="17">
        <v>65.0</v>
      </c>
      <c r="O983" s="14">
        <f t="shared" si="1"/>
        <v>65.7669</v>
      </c>
      <c r="P983" s="86">
        <f t="array" ref="P983">iferror(XLOOKUP(C983,'Download of SFDC Activation Rep'!B:B,'Download of SFDC Activation Rep'!Z:Z),"")</f>
        <v>45981</v>
      </c>
      <c r="Q983" s="86">
        <f t="shared" si="2"/>
        <v>45962</v>
      </c>
      <c r="R983" s="13" t="str">
        <f t="shared" si="3"/>
        <v>Yes</v>
      </c>
      <c r="S983" s="86">
        <f t="array" ref="S983">iferror(XLOOKUP(C983,'Download of SFDC Activation Rep'!B:B,'Download of SFDC Activation Rep'!Y:Y),"")</f>
        <v>46024</v>
      </c>
    </row>
    <row r="984">
      <c r="A984" s="17" t="s">
        <v>488</v>
      </c>
      <c r="B984" s="85">
        <v>46143.0</v>
      </c>
      <c r="C984" s="17">
        <v>4027648.0</v>
      </c>
      <c r="D984" s="85">
        <v>45839.0</v>
      </c>
      <c r="E984" s="17">
        <v>15.0</v>
      </c>
      <c r="F984" s="17">
        <v>15.0</v>
      </c>
      <c r="G984" s="17">
        <v>14437.76</v>
      </c>
      <c r="I984" s="17">
        <v>0.0</v>
      </c>
      <c r="J984" s="17"/>
      <c r="K984" s="17">
        <v>-2.2979</v>
      </c>
      <c r="L984" s="17">
        <v>-4.560027005888</v>
      </c>
      <c r="M984" s="17">
        <v>2.262127005888</v>
      </c>
      <c r="N984" s="17">
        <v>35.0</v>
      </c>
      <c r="O984" s="14">
        <f t="shared" si="1"/>
        <v>32.7021</v>
      </c>
      <c r="P984" s="86">
        <f t="array" ref="P984">iferror(XLOOKUP(C984,'Download of SFDC Activation Rep'!B:B,'Download of SFDC Activation Rep'!Z:Z),"")</f>
        <v>45869</v>
      </c>
      <c r="Q984" s="86">
        <f t="shared" si="2"/>
        <v>45839</v>
      </c>
      <c r="R984" s="13" t="str">
        <f t="shared" si="3"/>
        <v>Yes</v>
      </c>
      <c r="S984" s="86">
        <f t="array" ref="S984">iferror(XLOOKUP(C984,'Download of SFDC Activation Rep'!B:B,'Download of SFDC Activation Rep'!Y:Y),"")</f>
        <v>45869</v>
      </c>
    </row>
    <row r="985">
      <c r="A985" s="17" t="s">
        <v>489</v>
      </c>
      <c r="B985" s="85">
        <v>46143.0</v>
      </c>
      <c r="C985" s="17">
        <v>4299558.0</v>
      </c>
      <c r="D985" s="85">
        <v>46023.0</v>
      </c>
      <c r="E985" s="17">
        <v>2.0</v>
      </c>
      <c r="F985" s="17">
        <v>2.0</v>
      </c>
      <c r="G985" s="17">
        <v>1155.6</v>
      </c>
      <c r="H985" s="17"/>
      <c r="I985" s="17">
        <v>0.0</v>
      </c>
      <c r="K985" s="17">
        <v>-0.3</v>
      </c>
      <c r="L985" s="17">
        <v>-0.311555999999999</v>
      </c>
      <c r="M985" s="17">
        <v>0.0115559999999999</v>
      </c>
      <c r="N985" s="17">
        <v>44.0</v>
      </c>
      <c r="O985" s="14">
        <f t="shared" si="1"/>
        <v>43.7</v>
      </c>
      <c r="P985" s="86">
        <f t="array" ref="P985">iferror(XLOOKUP(C985,'Download of SFDC Activation Rep'!B:B,'Download of SFDC Activation Rep'!Z:Z),"")</f>
        <v>46013</v>
      </c>
      <c r="Q985" s="86">
        <f t="shared" si="2"/>
        <v>45992</v>
      </c>
      <c r="R985" s="13" t="str">
        <f t="shared" si="3"/>
        <v>Yes</v>
      </c>
      <c r="S985" s="86">
        <f t="array" ref="S985">iferror(XLOOKUP(C985,'Download of SFDC Activation Rep'!B:B,'Download of SFDC Activation Rep'!Y:Y),"")</f>
        <v>46036</v>
      </c>
    </row>
    <row r="986">
      <c r="A986" s="17" t="s">
        <v>17</v>
      </c>
      <c r="B986" s="85">
        <v>46054.0</v>
      </c>
      <c r="C986" s="17">
        <v>4169152.0</v>
      </c>
      <c r="D986" s="85">
        <v>45931.0</v>
      </c>
      <c r="E986" s="17">
        <v>2.0</v>
      </c>
      <c r="F986" s="17">
        <v>0.0</v>
      </c>
      <c r="G986" s="17">
        <v>4136.0</v>
      </c>
      <c r="H986" s="17">
        <v>4136.0</v>
      </c>
      <c r="I986" s="17">
        <v>119.94</v>
      </c>
      <c r="J986" s="17"/>
      <c r="K986" s="17">
        <v>-5.0793</v>
      </c>
      <c r="L986" s="17">
        <v>-7.2732527808</v>
      </c>
      <c r="M986" s="17">
        <v>2.1939527808</v>
      </c>
      <c r="N986" s="17">
        <v>25.0</v>
      </c>
      <c r="O986" s="14">
        <f t="shared" si="1"/>
        <v>46.8047</v>
      </c>
      <c r="P986" s="86">
        <f t="array" ref="P986">iferror(XLOOKUP(C986,'Download of SFDC Activation Rep'!B:B,'Download of SFDC Activation Rep'!Z:Z),"")</f>
        <v>45940</v>
      </c>
      <c r="Q986" s="86">
        <f t="shared" si="2"/>
        <v>45931</v>
      </c>
      <c r="R986" s="13" t="str">
        <f t="shared" si="3"/>
        <v>Yes</v>
      </c>
      <c r="S986" s="86">
        <f t="array" ref="S986">iferror(XLOOKUP(C986,'Download of SFDC Activation Rep'!B:B,'Download of SFDC Activation Rep'!Y:Y),"")</f>
        <v>45958</v>
      </c>
    </row>
    <row r="987">
      <c r="A987" s="17" t="s">
        <v>19</v>
      </c>
      <c r="B987" s="85">
        <v>46174.0</v>
      </c>
      <c r="C987" s="17">
        <v>4239924.0</v>
      </c>
      <c r="D987" s="85">
        <v>45992.0</v>
      </c>
      <c r="E987" s="17">
        <v>3.0</v>
      </c>
      <c r="F987" s="17">
        <v>3.0</v>
      </c>
      <c r="G987" s="17">
        <v>17197.36</v>
      </c>
      <c r="H987" s="17"/>
      <c r="I987" s="17">
        <v>0.0</v>
      </c>
      <c r="K987" s="17">
        <v>-0.449999999999999</v>
      </c>
      <c r="L987" s="17">
        <v>-3.14450472136799</v>
      </c>
      <c r="M987" s="17">
        <v>2.69450472136799</v>
      </c>
      <c r="N987" s="17">
        <v>24.0</v>
      </c>
      <c r="O987" s="14">
        <f t="shared" si="1"/>
        <v>23.55</v>
      </c>
      <c r="P987" s="86">
        <f t="array" ref="P987">iferror(XLOOKUP(C987,'Download of SFDC Activation Rep'!B:B,'Download of SFDC Activation Rep'!Z:Z),"")</f>
        <v>45979</v>
      </c>
      <c r="Q987" s="86">
        <f t="shared" si="2"/>
        <v>45962</v>
      </c>
      <c r="R987" s="13" t="str">
        <f t="shared" si="3"/>
        <v>Yes</v>
      </c>
      <c r="S987" s="86">
        <f t="array" ref="S987">iferror(XLOOKUP(C987,'Download of SFDC Activation Rep'!B:B,'Download of SFDC Activation Rep'!Y:Y),"")</f>
        <v>45995</v>
      </c>
    </row>
    <row r="988">
      <c r="A988" s="17" t="s">
        <v>488</v>
      </c>
      <c r="B988" s="85">
        <v>46174.0</v>
      </c>
      <c r="C988" s="17">
        <v>4269437.0</v>
      </c>
      <c r="D988" s="85">
        <v>46023.0</v>
      </c>
      <c r="E988" s="17">
        <v>105.0</v>
      </c>
      <c r="F988" s="17">
        <v>105.0</v>
      </c>
      <c r="G988" s="17">
        <v>97007.91</v>
      </c>
      <c r="H988" s="17"/>
      <c r="I988" s="17">
        <v>0.0</v>
      </c>
      <c r="K988" s="17">
        <v>-16.3537</v>
      </c>
      <c r="L988" s="17">
        <v>-17.2949791</v>
      </c>
      <c r="M988" s="17">
        <v>0.941279100000002</v>
      </c>
      <c r="N988" s="17">
        <v>17.0</v>
      </c>
      <c r="O988" s="14">
        <f t="shared" si="1"/>
        <v>0.6463</v>
      </c>
      <c r="P988" s="86">
        <f t="array" ref="P988">iferror(XLOOKUP(C988,'Download of SFDC Activation Rep'!B:B,'Download of SFDC Activation Rep'!Z:Z),"")</f>
        <v>46007</v>
      </c>
      <c r="Q988" s="86">
        <f t="shared" si="2"/>
        <v>45992</v>
      </c>
      <c r="R988" s="13" t="str">
        <f t="shared" si="3"/>
        <v>Yes</v>
      </c>
      <c r="S988" s="86">
        <f t="array" ref="S988">iferror(XLOOKUP(C988,'Download of SFDC Activation Rep'!B:B,'Download of SFDC Activation Rep'!Y:Y),"")</f>
        <v>46031</v>
      </c>
    </row>
    <row r="989">
      <c r="A989" s="17" t="s">
        <v>488</v>
      </c>
      <c r="B989" s="85">
        <v>46174.0</v>
      </c>
      <c r="C989" s="17">
        <v>4301071.0</v>
      </c>
      <c r="D989" s="85">
        <v>45992.0</v>
      </c>
      <c r="E989" s="17">
        <v>3.0</v>
      </c>
      <c r="F989" s="17">
        <v>3.0</v>
      </c>
      <c r="G989" s="17">
        <v>359.09</v>
      </c>
      <c r="H989" s="17"/>
      <c r="I989" s="17">
        <v>0.0</v>
      </c>
      <c r="J989" s="17"/>
      <c r="K989" s="17">
        <v>-0.4763</v>
      </c>
      <c r="L989" s="17">
        <v>-0.4798909</v>
      </c>
      <c r="M989" s="17">
        <v>0.00359089999999995</v>
      </c>
      <c r="N989" s="17">
        <v>29.75</v>
      </c>
      <c r="O989" s="14">
        <f t="shared" si="1"/>
        <v>29.2737</v>
      </c>
      <c r="P989" s="86">
        <f t="array" ref="P989">iferror(XLOOKUP(C989,'Download of SFDC Activation Rep'!B:B,'Download of SFDC Activation Rep'!Z:Z),"")</f>
        <v>46014</v>
      </c>
      <c r="Q989" s="86">
        <f t="shared" si="2"/>
        <v>45992</v>
      </c>
      <c r="R989" s="13" t="str">
        <f t="shared" si="3"/>
        <v>Yes</v>
      </c>
      <c r="S989" s="86">
        <f t="array" ref="S989">iferror(XLOOKUP(C989,'Download of SFDC Activation Rep'!B:B,'Download of SFDC Activation Rep'!Y:Y),"")</f>
        <v>46022</v>
      </c>
    </row>
    <row r="990">
      <c r="A990" s="17" t="s">
        <v>17</v>
      </c>
      <c r="B990" s="85">
        <v>46023.0</v>
      </c>
      <c r="C990" s="17">
        <v>4011819.0</v>
      </c>
      <c r="D990" s="85">
        <v>45839.0</v>
      </c>
      <c r="E990" s="17">
        <v>8.0</v>
      </c>
      <c r="F990" s="17">
        <v>1.0</v>
      </c>
      <c r="G990" s="17">
        <v>10545.67</v>
      </c>
      <c r="H990" s="17">
        <v>7515.19</v>
      </c>
      <c r="I990" s="17">
        <v>306.17</v>
      </c>
      <c r="J990" s="17">
        <v>0.5</v>
      </c>
      <c r="K990" s="17">
        <v>69.4679</v>
      </c>
      <c r="L990" s="17">
        <v>66.4153208895486</v>
      </c>
      <c r="M990" s="17">
        <v>3.05257911045136</v>
      </c>
      <c r="N990" s="17">
        <v>25.0</v>
      </c>
      <c r="O990" s="14">
        <f t="shared" si="1"/>
        <v>143.316635</v>
      </c>
      <c r="P990" s="86">
        <f t="array" ref="P990">iferror(XLOOKUP(C990,'Download of SFDC Activation Rep'!B:B,'Download of SFDC Activation Rep'!Z:Z),"")</f>
        <v>45849</v>
      </c>
      <c r="Q990" s="86">
        <f t="shared" si="2"/>
        <v>45839</v>
      </c>
      <c r="R990" s="13" t="str">
        <f t="shared" si="3"/>
        <v>Yes</v>
      </c>
      <c r="S990" s="86">
        <f t="array" ref="S990">iferror(XLOOKUP(C990,'Download of SFDC Activation Rep'!B:B,'Download of SFDC Activation Rep'!Y:Y),"")</f>
        <v>45849</v>
      </c>
    </row>
    <row r="991">
      <c r="A991" s="17" t="s">
        <v>17</v>
      </c>
      <c r="B991" s="85">
        <v>46174.0</v>
      </c>
      <c r="C991" s="17">
        <v>4653751.0</v>
      </c>
      <c r="D991" s="85">
        <v>46143.0</v>
      </c>
      <c r="E991" s="17">
        <v>3.0</v>
      </c>
      <c r="F991" s="17">
        <v>0.0</v>
      </c>
      <c r="G991" s="17">
        <v>993.0</v>
      </c>
      <c r="H991" s="17"/>
      <c r="I991" s="17">
        <v>28.79</v>
      </c>
      <c r="J991" s="17"/>
      <c r="K991" s="17">
        <v>-3.3601</v>
      </c>
      <c r="L991" s="17">
        <v>-3.8769096304</v>
      </c>
      <c r="M991" s="17">
        <v>0.5168096304</v>
      </c>
      <c r="N991" s="17">
        <v>0.0</v>
      </c>
      <c r="O991" s="14">
        <f t="shared" si="1"/>
        <v>-3.3601</v>
      </c>
      <c r="P991" s="86">
        <f t="array" ref="P991">iferror(XLOOKUP(C991,'Download of SFDC Activation Rep'!B:B,'Download of SFDC Activation Rep'!Z:Z),"")</f>
        <v>46150</v>
      </c>
      <c r="Q991" s="86">
        <f t="shared" si="2"/>
        <v>46143</v>
      </c>
      <c r="R991" s="13" t="str">
        <f t="shared" si="3"/>
        <v>Yes</v>
      </c>
      <c r="S991" s="86">
        <f t="array" ref="S991">iferror(XLOOKUP(C991,'Download of SFDC Activation Rep'!B:B,'Download of SFDC Activation Rep'!Y:Y),"")</f>
        <v>46181</v>
      </c>
    </row>
    <row r="992">
      <c r="A992" s="17" t="s">
        <v>488</v>
      </c>
      <c r="B992" s="85">
        <v>46174.0</v>
      </c>
      <c r="C992" s="17">
        <v>4039652.0</v>
      </c>
      <c r="D992" s="85">
        <v>45870.0</v>
      </c>
      <c r="E992" s="17">
        <v>4.0</v>
      </c>
      <c r="F992" s="17">
        <v>4.0</v>
      </c>
      <c r="G992" s="17">
        <v>3975.0</v>
      </c>
      <c r="H992" s="17"/>
      <c r="I992" s="17">
        <v>0.0</v>
      </c>
      <c r="K992" s="17">
        <v>-0.5598</v>
      </c>
      <c r="L992" s="17">
        <v>-1.1826081675</v>
      </c>
      <c r="M992" s="17">
        <v>0.622808167499999</v>
      </c>
      <c r="N992" s="17">
        <v>25.0</v>
      </c>
      <c r="O992" s="14">
        <f t="shared" si="1"/>
        <v>24.4402</v>
      </c>
      <c r="P992" s="86">
        <f t="array" ref="P992">iferror(XLOOKUP(C992,'Download of SFDC Activation Rep'!B:B,'Download of SFDC Activation Rep'!Z:Z),"")</f>
        <v>45863</v>
      </c>
      <c r="Q992" s="86">
        <f t="shared" si="2"/>
        <v>45839</v>
      </c>
      <c r="R992" s="13" t="str">
        <f t="shared" si="3"/>
        <v>Yes</v>
      </c>
      <c r="S992" s="86">
        <f t="array" ref="S992">iferror(XLOOKUP(C992,'Download of SFDC Activation Rep'!B:B,'Download of SFDC Activation Rep'!Y:Y),"")</f>
        <v>45880</v>
      </c>
    </row>
    <row r="993">
      <c r="A993" s="17" t="s">
        <v>1486</v>
      </c>
      <c r="B993" s="85">
        <v>46174.0</v>
      </c>
      <c r="C993" s="17">
        <v>4308093.0</v>
      </c>
      <c r="D993" s="85">
        <v>46023.0</v>
      </c>
      <c r="E993" s="17">
        <v>7.0</v>
      </c>
      <c r="F993" s="17">
        <v>7.0</v>
      </c>
      <c r="G993" s="17">
        <v>9550.0</v>
      </c>
      <c r="H993" s="17"/>
      <c r="I993" s="17">
        <v>29.5</v>
      </c>
      <c r="J993" s="17"/>
      <c r="K993" s="17">
        <v>28.3758</v>
      </c>
      <c r="L993" s="17">
        <v>22.503359745</v>
      </c>
      <c r="M993" s="17">
        <v>5.872440255</v>
      </c>
      <c r="N993" s="17">
        <v>17.5</v>
      </c>
      <c r="O993" s="14">
        <f t="shared" si="1"/>
        <v>45.8758</v>
      </c>
      <c r="P993" s="86">
        <f t="array" ref="P993">iferror(XLOOKUP(C993,'Download of SFDC Activation Rep'!B:B,'Download of SFDC Activation Rep'!Z:Z),"")</f>
        <v>46001</v>
      </c>
      <c r="Q993" s="86">
        <f t="shared" si="2"/>
        <v>45992</v>
      </c>
      <c r="R993" s="13" t="str">
        <f t="shared" si="3"/>
        <v>Yes</v>
      </c>
      <c r="S993" s="86">
        <f t="array" ref="S993">iferror(XLOOKUP(C993,'Download of SFDC Activation Rep'!B:B,'Download of SFDC Activation Rep'!Y:Y),"")</f>
        <v>46049</v>
      </c>
    </row>
    <row r="994">
      <c r="A994" s="17" t="s">
        <v>1487</v>
      </c>
      <c r="B994" s="85">
        <v>46054.0</v>
      </c>
      <c r="C994" s="17">
        <v>3935770.0</v>
      </c>
      <c r="D994" s="85">
        <v>45778.0</v>
      </c>
      <c r="E994" s="17">
        <v>58.0</v>
      </c>
      <c r="F994" s="17">
        <v>49.0</v>
      </c>
      <c r="G994" s="17">
        <v>213235.62</v>
      </c>
      <c r="H994" s="17">
        <v>983.5</v>
      </c>
      <c r="I994" s="17">
        <v>1838.066038</v>
      </c>
      <c r="J994" s="17"/>
      <c r="K994" s="17">
        <v>306.21</v>
      </c>
      <c r="L994" s="17">
        <v>244.343845736203</v>
      </c>
      <c r="M994" s="17">
        <v>61.866154263797</v>
      </c>
      <c r="N994" s="17">
        <v>0.0</v>
      </c>
      <c r="O994" s="14">
        <f t="shared" si="1"/>
        <v>312.60275</v>
      </c>
      <c r="P994" s="86">
        <f t="array" ref="P994">iferror(XLOOKUP(C994,'Download of SFDC Activation Rep'!B:B,'Download of SFDC Activation Rep'!Z:Z),"")</f>
        <v>45797</v>
      </c>
      <c r="Q994" s="86">
        <f t="shared" si="2"/>
        <v>45778</v>
      </c>
      <c r="R994" s="13" t="str">
        <f t="shared" si="3"/>
        <v>Yes</v>
      </c>
      <c r="S994" s="86">
        <f t="array" ref="S994">iferror(XLOOKUP(C994,'Download of SFDC Activation Rep'!B:B,'Download of SFDC Activation Rep'!Y:Y),"")</f>
        <v>45797</v>
      </c>
    </row>
    <row r="995">
      <c r="A995" s="17" t="s">
        <v>19</v>
      </c>
      <c r="B995" s="85">
        <v>45839.0</v>
      </c>
      <c r="C995" s="17">
        <v>3934711.0</v>
      </c>
      <c r="D995" s="85">
        <v>45839.0</v>
      </c>
      <c r="E995" s="17">
        <v>20.0</v>
      </c>
      <c r="F995" s="17">
        <v>20.0</v>
      </c>
      <c r="G995" s="17">
        <v>2410.31</v>
      </c>
      <c r="I995" s="17">
        <v>0.0</v>
      </c>
      <c r="J995" s="17"/>
      <c r="K995" s="17">
        <v>-2.36</v>
      </c>
      <c r="L995" s="17">
        <v>-2.73765061724653</v>
      </c>
      <c r="M995" s="17">
        <v>0.377650617246538</v>
      </c>
      <c r="N995" s="17">
        <v>2.79999999999999</v>
      </c>
      <c r="O995" s="14">
        <f t="shared" si="1"/>
        <v>0.44</v>
      </c>
      <c r="P995" s="86">
        <f t="array" ref="P995">iferror(XLOOKUP(C995,'Download of SFDC Activation Rep'!B:B,'Download of SFDC Activation Rep'!Z:Z),"")</f>
        <v>45817</v>
      </c>
      <c r="Q995" s="86">
        <f t="shared" si="2"/>
        <v>45809</v>
      </c>
      <c r="R995" s="13" t="str">
        <f t="shared" si="3"/>
        <v>Yes</v>
      </c>
      <c r="S995" s="86">
        <f t="array" ref="S995">iferror(XLOOKUP(C995,'Download of SFDC Activation Rep'!B:B,'Download of SFDC Activation Rep'!Y:Y),"")</f>
        <v>45817</v>
      </c>
    </row>
    <row r="996">
      <c r="A996" s="17" t="s">
        <v>19</v>
      </c>
      <c r="B996" s="85">
        <v>46054.0</v>
      </c>
      <c r="C996" s="17">
        <v>3946131.0</v>
      </c>
      <c r="D996" s="85">
        <v>45809.0</v>
      </c>
      <c r="E996" s="17">
        <v>43.0</v>
      </c>
      <c r="F996" s="17">
        <v>43.0</v>
      </c>
      <c r="G996" s="17">
        <v>205129.67</v>
      </c>
      <c r="H996" s="17"/>
      <c r="I996" s="17">
        <v>19.5</v>
      </c>
      <c r="K996" s="17">
        <v>-0.641799999999999</v>
      </c>
      <c r="L996" s="17">
        <v>-32.5019183641709</v>
      </c>
      <c r="M996" s="17">
        <v>31.8601183641709</v>
      </c>
      <c r="N996" s="17">
        <v>6.39999999999999</v>
      </c>
      <c r="O996" s="14">
        <f t="shared" si="1"/>
        <v>5.7582</v>
      </c>
      <c r="P996" s="86">
        <f t="array" ref="P996">iferror(XLOOKUP(C996,'Download of SFDC Activation Rep'!B:B,'Download of SFDC Activation Rep'!Z:Z),"")</f>
        <v>45805</v>
      </c>
      <c r="Q996" s="86">
        <f t="shared" si="2"/>
        <v>45778</v>
      </c>
      <c r="R996" s="13" t="str">
        <f t="shared" si="3"/>
        <v>Yes</v>
      </c>
      <c r="S996" s="86">
        <f t="array" ref="S996">iferror(XLOOKUP(C996,'Download of SFDC Activation Rep'!B:B,'Download of SFDC Activation Rep'!Y:Y),"")</f>
        <v>45805</v>
      </c>
    </row>
    <row r="997">
      <c r="A997" s="17" t="s">
        <v>19</v>
      </c>
      <c r="B997" s="85">
        <v>45992.0</v>
      </c>
      <c r="C997" s="17">
        <v>3946131.0</v>
      </c>
      <c r="D997" s="85">
        <v>45809.0</v>
      </c>
      <c r="E997" s="17">
        <v>29.0</v>
      </c>
      <c r="F997" s="17">
        <v>29.0</v>
      </c>
      <c r="G997" s="17">
        <v>76507.36</v>
      </c>
      <c r="H997" s="17"/>
      <c r="I997" s="17">
        <v>9.0</v>
      </c>
      <c r="K997" s="17">
        <v>-1.3488</v>
      </c>
      <c r="L997" s="17">
        <v>-13.2476428125631</v>
      </c>
      <c r="M997" s="17">
        <v>11.8988428125631</v>
      </c>
      <c r="N997" s="17">
        <v>6.39999999999999</v>
      </c>
      <c r="O997" s="14">
        <f t="shared" si="1"/>
        <v>5.0512</v>
      </c>
      <c r="P997" s="86">
        <f t="array" ref="P997">iferror(XLOOKUP(C997,'Download of SFDC Activation Rep'!B:B,'Download of SFDC Activation Rep'!Z:Z),"")</f>
        <v>45805</v>
      </c>
      <c r="Q997" s="86">
        <f t="shared" si="2"/>
        <v>45778</v>
      </c>
      <c r="R997" s="13" t="str">
        <f t="shared" si="3"/>
        <v>Yes</v>
      </c>
      <c r="S997" s="86">
        <f t="array" ref="S997">iferror(XLOOKUP(C997,'Download of SFDC Activation Rep'!B:B,'Download of SFDC Activation Rep'!Y:Y),"")</f>
        <v>45805</v>
      </c>
    </row>
    <row r="998">
      <c r="A998" s="17" t="s">
        <v>488</v>
      </c>
      <c r="B998" s="85">
        <v>46143.0</v>
      </c>
      <c r="C998" s="17">
        <v>4659388.0</v>
      </c>
      <c r="D998" s="85">
        <v>46143.0</v>
      </c>
      <c r="E998" s="17">
        <v>1.0</v>
      </c>
      <c r="F998" s="17">
        <v>1.0</v>
      </c>
      <c r="G998" s="17">
        <v>25.0</v>
      </c>
      <c r="H998" s="17"/>
      <c r="I998" s="17">
        <v>0.0</v>
      </c>
      <c r="K998" s="17">
        <v>-0.1521</v>
      </c>
      <c r="L998" s="17">
        <v>-0.1560170325</v>
      </c>
      <c r="M998" s="17">
        <v>0.0039170325</v>
      </c>
      <c r="N998" s="17">
        <v>0.0</v>
      </c>
      <c r="O998" s="14">
        <f t="shared" si="1"/>
        <v>-0.1521</v>
      </c>
      <c r="P998" s="86">
        <f t="array" ref="P998">iferror(XLOOKUP(C998,'Download of SFDC Activation Rep'!B:B,'Download of SFDC Activation Rep'!Z:Z),"")</f>
        <v>46150</v>
      </c>
      <c r="Q998" s="86">
        <f t="shared" si="2"/>
        <v>46143</v>
      </c>
      <c r="R998" s="13" t="str">
        <f t="shared" si="3"/>
        <v>Yes</v>
      </c>
      <c r="S998" s="86">
        <f t="array" ref="S998">iferror(XLOOKUP(C998,'Download of SFDC Activation Rep'!B:B,'Download of SFDC Activation Rep'!Y:Y),"")</f>
        <v>46251</v>
      </c>
    </row>
    <row r="999">
      <c r="A999" s="17" t="s">
        <v>17</v>
      </c>
      <c r="B999" s="85">
        <v>45931.0</v>
      </c>
      <c r="C999" s="17">
        <v>4186958.0</v>
      </c>
      <c r="D999" s="85">
        <v>45931.0</v>
      </c>
      <c r="E999" s="17">
        <v>1.0</v>
      </c>
      <c r="F999" s="17">
        <v>1.0</v>
      </c>
      <c r="G999" s="17">
        <v>4500.0</v>
      </c>
      <c r="H999" s="17"/>
      <c r="I999" s="17">
        <v>1.5</v>
      </c>
      <c r="K999" s="17">
        <v>0.61</v>
      </c>
      <c r="L999" s="17">
        <v>-0.05006606105</v>
      </c>
      <c r="M999" s="17">
        <v>0.66006606105</v>
      </c>
      <c r="N999" s="17">
        <v>0.0</v>
      </c>
      <c r="O999" s="14">
        <f t="shared" si="1"/>
        <v>0.61</v>
      </c>
      <c r="P999" s="86">
        <f t="array" ref="P999">iferror(XLOOKUP(C999,'Download of SFDC Activation Rep'!B:B,'Download of SFDC Activation Rep'!Z:Z),"")</f>
        <v>45931</v>
      </c>
      <c r="Q999" s="86">
        <f t="shared" si="2"/>
        <v>45931</v>
      </c>
      <c r="R999" s="13" t="str">
        <f t="shared" si="3"/>
        <v>Yes</v>
      </c>
      <c r="S999" s="86">
        <f t="array" ref="S999">iferror(XLOOKUP(C999,'Download of SFDC Activation Rep'!B:B,'Download of SFDC Activation Rep'!Y:Y),"")</f>
        <v>45957</v>
      </c>
    </row>
    <row r="1000">
      <c r="A1000" s="17" t="s">
        <v>19</v>
      </c>
      <c r="B1000" s="85">
        <v>46143.0</v>
      </c>
      <c r="C1000" s="17">
        <v>2710123.0</v>
      </c>
      <c r="D1000" s="85">
        <v>45292.0</v>
      </c>
      <c r="E1000" s="17">
        <v>1.0</v>
      </c>
      <c r="F1000" s="17">
        <v>0.0</v>
      </c>
      <c r="G1000" s="17">
        <v>11075.4</v>
      </c>
      <c r="H1000" s="17">
        <v>11075.4</v>
      </c>
      <c r="I1000" s="17">
        <v>321.19</v>
      </c>
      <c r="K1000" s="17">
        <v>29.3723</v>
      </c>
      <c r="L1000" s="17">
        <v>23.49732305888</v>
      </c>
      <c r="M1000" s="17">
        <v>5.87497694112</v>
      </c>
      <c r="N1000" s="17">
        <v>80.0</v>
      </c>
      <c r="O1000" s="14">
        <f t="shared" si="1"/>
        <v>109.3723</v>
      </c>
      <c r="P1000" s="86">
        <f t="array" ref="P1000">iferror(XLOOKUP(C1000,'Download of SFDC Activation Rep'!B:B,'Download of SFDC Activation Rep'!Z:Z),"")</f>
        <v>45873</v>
      </c>
      <c r="Q1000" s="86">
        <f t="shared" si="2"/>
        <v>45870</v>
      </c>
      <c r="R1000" s="13" t="str">
        <f t="shared" si="3"/>
        <v>Yes</v>
      </c>
      <c r="S1000" s="86">
        <f t="array" ref="S1000">iferror(XLOOKUP(C1000,'Download of SFDC Activation Rep'!B:B,'Download of SFDC Activation Rep'!Y:Y),"")</f>
        <v>45980</v>
      </c>
    </row>
    <row r="1001">
      <c r="A1001" s="17" t="s">
        <v>488</v>
      </c>
      <c r="B1001" s="85">
        <v>46143.0</v>
      </c>
      <c r="C1001" s="17">
        <v>4496271.0</v>
      </c>
      <c r="D1001" s="85">
        <v>46082.0</v>
      </c>
      <c r="E1001" s="17">
        <v>32.0</v>
      </c>
      <c r="F1001" s="17">
        <v>32.0</v>
      </c>
      <c r="G1001" s="17">
        <v>176902.45</v>
      </c>
      <c r="H1001" s="17"/>
      <c r="I1001" s="17">
        <v>18.85</v>
      </c>
      <c r="J1001" s="17">
        <v>4.0</v>
      </c>
      <c r="K1001" s="17">
        <v>10.7499</v>
      </c>
      <c r="L1001" s="17">
        <v>-18.3323426311849</v>
      </c>
      <c r="M1001" s="17">
        <v>29.0822426311849</v>
      </c>
      <c r="N1001" s="17">
        <v>25.0</v>
      </c>
      <c r="O1001" s="14">
        <f t="shared" si="1"/>
        <v>35.7499</v>
      </c>
      <c r="P1001" s="86">
        <f t="array" ref="P1001">iferror(XLOOKUP(C1001,'Download of SFDC Activation Rep'!B:B,'Download of SFDC Activation Rep'!Z:Z),"")</f>
        <v>46092</v>
      </c>
      <c r="Q1001" s="86">
        <f t="shared" si="2"/>
        <v>46082</v>
      </c>
      <c r="R1001" s="13" t="str">
        <f t="shared" si="3"/>
        <v>Yes</v>
      </c>
      <c r="S1001" s="86">
        <f t="array" ref="S1001">iferror(XLOOKUP(C1001,'Download of SFDC Activation Rep'!B:B,'Download of SFDC Activation Rep'!Y:Y),"")</f>
        <v>46132</v>
      </c>
    </row>
    <row r="1002">
      <c r="A1002" s="17" t="s">
        <v>17</v>
      </c>
      <c r="B1002" s="85">
        <v>46113.0</v>
      </c>
      <c r="C1002" s="17">
        <v>4530037.0</v>
      </c>
      <c r="D1002" s="85">
        <v>46113.0</v>
      </c>
      <c r="E1002" s="17">
        <v>1.0</v>
      </c>
      <c r="F1002" s="17">
        <v>1.0</v>
      </c>
      <c r="G1002" s="17">
        <v>382.8</v>
      </c>
      <c r="H1002" s="17"/>
      <c r="I1002" s="17">
        <v>0.0</v>
      </c>
      <c r="J1002" s="17"/>
      <c r="K1002" s="17">
        <v>-0.1521</v>
      </c>
      <c r="L1002" s="17">
        <v>-0.21207760164</v>
      </c>
      <c r="M1002" s="17">
        <v>0.0599776016399999</v>
      </c>
      <c r="N1002" s="17">
        <v>0.0</v>
      </c>
      <c r="O1002" s="14">
        <f t="shared" si="1"/>
        <v>-0.1521</v>
      </c>
      <c r="P1002" s="86">
        <f t="array" ref="P1002">iferror(XLOOKUP(C1002,'Download of SFDC Activation Rep'!B:B,'Download of SFDC Activation Rep'!Z:Z),"")</f>
        <v>46119</v>
      </c>
      <c r="Q1002" s="86">
        <f t="shared" si="2"/>
        <v>46113</v>
      </c>
      <c r="R1002" s="13" t="str">
        <f t="shared" si="3"/>
        <v>Yes</v>
      </c>
      <c r="S1002" s="86">
        <f t="array" ref="S1002">iferror(XLOOKUP(C1002,'Download of SFDC Activation Rep'!B:B,'Download of SFDC Activation Rep'!Y:Y),"")</f>
        <v>46154</v>
      </c>
    </row>
    <row r="1003">
      <c r="A1003" s="17" t="s">
        <v>19</v>
      </c>
      <c r="B1003" s="85">
        <v>46113.0</v>
      </c>
      <c r="C1003" s="17">
        <v>4522341.0</v>
      </c>
      <c r="D1003" s="85">
        <v>46113.0</v>
      </c>
      <c r="E1003" s="17">
        <v>216.0</v>
      </c>
      <c r="F1003" s="17">
        <v>216.0</v>
      </c>
      <c r="G1003" s="17">
        <v>610285.98</v>
      </c>
      <c r="H1003" s="17"/>
      <c r="I1003" s="17">
        <v>244.392882</v>
      </c>
      <c r="K1003" s="17">
        <v>214.455399999999</v>
      </c>
      <c r="L1003" s="17">
        <v>118.140751608226</v>
      </c>
      <c r="M1003" s="17">
        <v>96.3146483917739</v>
      </c>
      <c r="N1003" s="17">
        <v>80.0</v>
      </c>
      <c r="O1003" s="14">
        <f t="shared" si="1"/>
        <v>294.4554</v>
      </c>
      <c r="P1003" s="86">
        <f t="array" ref="P1003">iferror(XLOOKUP(C1003,'Download of SFDC Activation Rep'!B:B,'Download of SFDC Activation Rep'!Z:Z),"")</f>
        <v>46086</v>
      </c>
      <c r="Q1003" s="86">
        <f t="shared" si="2"/>
        <v>46082</v>
      </c>
      <c r="R1003" s="13" t="str">
        <f t="shared" si="3"/>
        <v>Yes</v>
      </c>
      <c r="S1003" s="86">
        <f t="array" ref="S1003">iferror(XLOOKUP(C1003,'Download of SFDC Activation Rep'!B:B,'Download of SFDC Activation Rep'!Y:Y),"")</f>
        <v>46143</v>
      </c>
    </row>
    <row r="1004">
      <c r="A1004" s="17" t="s">
        <v>488</v>
      </c>
      <c r="B1004" s="85">
        <v>45839.0</v>
      </c>
      <c r="C1004" s="17">
        <v>3959338.0</v>
      </c>
      <c r="D1004" s="85">
        <v>45839.0</v>
      </c>
      <c r="E1004" s="17">
        <v>14.0</v>
      </c>
      <c r="F1004" s="17">
        <v>14.0</v>
      </c>
      <c r="G1004" s="17">
        <v>22154.0</v>
      </c>
      <c r="H1004" s="17"/>
      <c r="I1004" s="17">
        <v>4.5</v>
      </c>
      <c r="K1004" s="17">
        <v>0.2</v>
      </c>
      <c r="L1004" s="17">
        <v>-3.22341855922259</v>
      </c>
      <c r="M1004" s="17">
        <v>3.42341855922259</v>
      </c>
      <c r="N1004" s="17">
        <v>2.49999999999999</v>
      </c>
      <c r="O1004" s="14">
        <f t="shared" si="1"/>
        <v>2.7</v>
      </c>
      <c r="P1004" s="86">
        <f t="array" ref="P1004">iferror(XLOOKUP(C1004,'Download of SFDC Activation Rep'!B:B,'Download of SFDC Activation Rep'!Z:Z),"")</f>
        <v>45839</v>
      </c>
      <c r="Q1004" s="86">
        <f t="shared" si="2"/>
        <v>45839</v>
      </c>
      <c r="R1004" s="13" t="str">
        <f t="shared" si="3"/>
        <v>Yes</v>
      </c>
      <c r="S1004" s="86">
        <f t="array" ref="S1004">iferror(XLOOKUP(C1004,'Download of SFDC Activation Rep'!B:B,'Download of SFDC Activation Rep'!Y:Y),"")</f>
        <v>45841</v>
      </c>
    </row>
    <row r="1005">
      <c r="A1005" s="17" t="s">
        <v>488</v>
      </c>
      <c r="B1005" s="85">
        <v>46054.0</v>
      </c>
      <c r="C1005" s="17">
        <v>4359468.0</v>
      </c>
      <c r="D1005" s="85">
        <v>46054.0</v>
      </c>
      <c r="E1005" s="17">
        <v>3.0</v>
      </c>
      <c r="F1005" s="17">
        <v>3.0</v>
      </c>
      <c r="G1005" s="17">
        <v>1576.7</v>
      </c>
      <c r="H1005" s="17"/>
      <c r="I1005" s="17">
        <v>25.4018</v>
      </c>
      <c r="K1005" s="17">
        <v>24.2041</v>
      </c>
      <c r="L1005" s="17">
        <v>23.95860759429</v>
      </c>
      <c r="M1005" s="17">
        <v>0.245492405709999</v>
      </c>
      <c r="N1005" s="17">
        <v>17.0</v>
      </c>
      <c r="O1005" s="14">
        <f t="shared" si="1"/>
        <v>41.2041</v>
      </c>
      <c r="P1005" s="86">
        <f t="array" ref="P1005">iferror(XLOOKUP(C1005,'Download of SFDC Activation Rep'!B:B,'Download of SFDC Activation Rep'!Z:Z),"")</f>
        <v>46057</v>
      </c>
      <c r="Q1005" s="86">
        <f t="shared" si="2"/>
        <v>46054</v>
      </c>
      <c r="R1005" s="13" t="str">
        <f t="shared" si="3"/>
        <v>Yes</v>
      </c>
      <c r="S1005" s="86">
        <f t="array" ref="S1005">iferror(XLOOKUP(C1005,'Download of SFDC Activation Rep'!B:B,'Download of SFDC Activation Rep'!Y:Y),"")</f>
        <v>46091</v>
      </c>
    </row>
    <row r="1006">
      <c r="A1006" s="17" t="s">
        <v>19</v>
      </c>
      <c r="B1006" s="85">
        <v>45901.0</v>
      </c>
      <c r="C1006" s="17">
        <v>3946131.0</v>
      </c>
      <c r="D1006" s="85">
        <v>45809.0</v>
      </c>
      <c r="E1006" s="17">
        <v>135.0</v>
      </c>
      <c r="F1006" s="17">
        <v>135.0</v>
      </c>
      <c r="G1006" s="17">
        <v>412510.53</v>
      </c>
      <c r="H1006" s="17"/>
      <c r="I1006" s="17">
        <v>375.28</v>
      </c>
      <c r="J1006" s="17">
        <v>2.0</v>
      </c>
      <c r="K1006" s="17">
        <v>296.4434</v>
      </c>
      <c r="L1006" s="17">
        <v>191.649543281906</v>
      </c>
      <c r="M1006" s="17">
        <v>104.793856718093</v>
      </c>
      <c r="N1006" s="17">
        <v>6.39999999999999</v>
      </c>
      <c r="O1006" s="14">
        <f t="shared" si="1"/>
        <v>302.8434</v>
      </c>
      <c r="P1006" s="86">
        <f t="array" ref="P1006">iferror(XLOOKUP(C1006,'Download of SFDC Activation Rep'!B:B,'Download of SFDC Activation Rep'!Z:Z),"")</f>
        <v>45805</v>
      </c>
      <c r="Q1006" s="86">
        <f t="shared" si="2"/>
        <v>45778</v>
      </c>
      <c r="R1006" s="13" t="str">
        <f t="shared" si="3"/>
        <v>Yes</v>
      </c>
      <c r="S1006" s="86">
        <f t="array" ref="S1006">iferror(XLOOKUP(C1006,'Download of SFDC Activation Rep'!B:B,'Download of SFDC Activation Rep'!Y:Y),"")</f>
        <v>45805</v>
      </c>
    </row>
    <row r="1007">
      <c r="A1007" s="17" t="s">
        <v>19</v>
      </c>
      <c r="B1007" s="85">
        <v>46113.0</v>
      </c>
      <c r="C1007" s="17">
        <v>3947424.0</v>
      </c>
      <c r="D1007" s="85">
        <v>45809.0</v>
      </c>
      <c r="E1007" s="17">
        <v>52.0</v>
      </c>
      <c r="F1007" s="17">
        <v>52.0</v>
      </c>
      <c r="G1007" s="17">
        <v>166226.76</v>
      </c>
      <c r="H1007" s="17"/>
      <c r="I1007" s="17">
        <v>63.828645</v>
      </c>
      <c r="J1007" s="17">
        <v>1.5</v>
      </c>
      <c r="K1007" s="17">
        <v>56.7795999999999</v>
      </c>
      <c r="L1007" s="17">
        <v>30.734975148412</v>
      </c>
      <c r="M1007" s="17">
        <v>26.0446248515879</v>
      </c>
      <c r="N1007" s="17">
        <v>65.0</v>
      </c>
      <c r="O1007" s="14">
        <f t="shared" si="1"/>
        <v>121.7796</v>
      </c>
      <c r="P1007" s="86">
        <f t="array" ref="P1007">iferror(XLOOKUP(C1007,'Download of SFDC Activation Rep'!B:B,'Download of SFDC Activation Rep'!Z:Z),"")</f>
        <v>45805</v>
      </c>
      <c r="Q1007" s="86">
        <f t="shared" si="2"/>
        <v>45778</v>
      </c>
      <c r="R1007" s="13" t="str">
        <f t="shared" si="3"/>
        <v>Yes</v>
      </c>
      <c r="S1007" s="86">
        <f t="array" ref="S1007">iferror(XLOOKUP(C1007,'Download of SFDC Activation Rep'!B:B,'Download of SFDC Activation Rep'!Y:Y),"")</f>
        <v>45805</v>
      </c>
    </row>
    <row r="1008">
      <c r="A1008" s="17" t="s">
        <v>17</v>
      </c>
      <c r="B1008" s="85">
        <v>45962.0</v>
      </c>
      <c r="C1008" s="17">
        <v>4213771.0</v>
      </c>
      <c r="D1008" s="85">
        <v>45962.0</v>
      </c>
      <c r="E1008" s="17">
        <v>1.0</v>
      </c>
      <c r="F1008" s="17">
        <v>1.0</v>
      </c>
      <c r="G1008" s="17">
        <v>2121.0</v>
      </c>
      <c r="H1008" s="17"/>
      <c r="I1008" s="17">
        <v>1.5</v>
      </c>
      <c r="K1008" s="17">
        <v>0.5707</v>
      </c>
      <c r="L1008" s="17">
        <v>0.2595888632251</v>
      </c>
      <c r="M1008" s="17">
        <v>0.3111111367749</v>
      </c>
      <c r="N1008" s="17">
        <v>0.0</v>
      </c>
      <c r="O1008" s="14">
        <f t="shared" si="1"/>
        <v>0.5707</v>
      </c>
      <c r="P1008" s="86">
        <f t="array" ref="P1008">iferror(XLOOKUP(C1008,'Download of SFDC Activation Rep'!B:B,'Download of SFDC Activation Rep'!Z:Z),"")</f>
        <v>45957</v>
      </c>
      <c r="Q1008" s="86">
        <f t="shared" si="2"/>
        <v>45931</v>
      </c>
      <c r="R1008" s="13" t="str">
        <f t="shared" si="3"/>
        <v>Yes</v>
      </c>
      <c r="S1008" s="86">
        <f t="array" ref="S1008">iferror(XLOOKUP(C1008,'Download of SFDC Activation Rep'!B:B,'Download of SFDC Activation Rep'!Y:Y),"")</f>
        <v>45974</v>
      </c>
    </row>
    <row r="1009">
      <c r="A1009" s="17" t="s">
        <v>488</v>
      </c>
      <c r="B1009" s="85">
        <v>45992.0</v>
      </c>
      <c r="C1009" s="17">
        <v>3785914.0</v>
      </c>
      <c r="D1009" s="85">
        <v>45778.0</v>
      </c>
      <c r="E1009" s="17">
        <v>11.0</v>
      </c>
      <c r="F1009" s="17">
        <v>9.0</v>
      </c>
      <c r="G1009" s="17">
        <v>21384.89</v>
      </c>
      <c r="H1009" s="17"/>
      <c r="I1009" s="17">
        <v>97.96</v>
      </c>
      <c r="J1009" s="17"/>
      <c r="K1009" s="17">
        <v>63.9991999999999</v>
      </c>
      <c r="L1009" s="17">
        <v>62.1926812346851</v>
      </c>
      <c r="M1009" s="17">
        <v>1.80651876531488</v>
      </c>
      <c r="N1009" s="17">
        <v>35.0</v>
      </c>
      <c r="O1009" s="14">
        <f t="shared" si="1"/>
        <v>98.9992</v>
      </c>
      <c r="P1009" s="86">
        <f t="array" ref="P1009">iferror(XLOOKUP(C1009,'Download of SFDC Activation Rep'!B:B,'Download of SFDC Activation Rep'!Z:Z),"")</f>
        <v>45806</v>
      </c>
      <c r="Q1009" s="86">
        <f t="shared" si="2"/>
        <v>45778</v>
      </c>
      <c r="R1009" s="13" t="str">
        <f t="shared" si="3"/>
        <v>Yes</v>
      </c>
      <c r="S1009" s="86">
        <f t="array" ref="S1009">iferror(XLOOKUP(C1009,'Download of SFDC Activation Rep'!B:B,'Download of SFDC Activation Rep'!Y:Y),"")</f>
        <v>45806</v>
      </c>
    </row>
    <row r="1010">
      <c r="A1010" s="17" t="s">
        <v>488</v>
      </c>
      <c r="B1010" s="85">
        <v>46082.0</v>
      </c>
      <c r="C1010" s="17">
        <v>4027648.0</v>
      </c>
      <c r="D1010" s="85">
        <v>45839.0</v>
      </c>
      <c r="E1010" s="17">
        <v>23.0</v>
      </c>
      <c r="F1010" s="17">
        <v>23.0</v>
      </c>
      <c r="G1010" s="17">
        <v>32687.62</v>
      </c>
      <c r="H1010" s="17"/>
      <c r="I1010" s="17">
        <v>2.5</v>
      </c>
      <c r="J1010" s="17">
        <v>2.5</v>
      </c>
      <c r="K1010" s="17">
        <v>-1.138</v>
      </c>
      <c r="L1010" s="17">
        <v>-6.25953879550599</v>
      </c>
      <c r="M1010" s="17">
        <v>5.12153879550599</v>
      </c>
      <c r="N1010" s="17">
        <v>25.0</v>
      </c>
      <c r="O1010" s="14">
        <f t="shared" si="1"/>
        <v>23.862</v>
      </c>
      <c r="P1010" s="86">
        <f t="array" ref="P1010">iferror(XLOOKUP(C1010,'Download of SFDC Activation Rep'!B:B,'Download of SFDC Activation Rep'!Z:Z),"")</f>
        <v>45869</v>
      </c>
      <c r="Q1010" s="86">
        <f t="shared" si="2"/>
        <v>45839</v>
      </c>
      <c r="R1010" s="13" t="str">
        <f t="shared" si="3"/>
        <v>Yes</v>
      </c>
      <c r="S1010" s="86">
        <f t="array" ref="S1010">iferror(XLOOKUP(C1010,'Download of SFDC Activation Rep'!B:B,'Download of SFDC Activation Rep'!Y:Y),"")</f>
        <v>45869</v>
      </c>
    </row>
    <row r="1011">
      <c r="A1011" s="17" t="s">
        <v>488</v>
      </c>
      <c r="B1011" s="85">
        <v>46082.0</v>
      </c>
      <c r="C1011" s="17">
        <v>3785914.0</v>
      </c>
      <c r="D1011" s="85">
        <v>45778.0</v>
      </c>
      <c r="E1011" s="17">
        <v>21.0</v>
      </c>
      <c r="F1011" s="17">
        <v>17.0</v>
      </c>
      <c r="G1011" s="17">
        <v>41740.25</v>
      </c>
      <c r="H1011" s="17">
        <v>5345.8</v>
      </c>
      <c r="I1011" s="17">
        <v>229.31</v>
      </c>
      <c r="K1011" s="17">
        <v>41.4439</v>
      </c>
      <c r="L1011" s="17">
        <v>36.6896660431049</v>
      </c>
      <c r="M1011" s="17">
        <v>4.754233956895</v>
      </c>
      <c r="N1011" s="17">
        <v>35.0</v>
      </c>
      <c r="O1011" s="14">
        <f t="shared" si="1"/>
        <v>111.1916</v>
      </c>
      <c r="P1011" s="86">
        <f t="array" ref="P1011">iferror(XLOOKUP(C1011,'Download of SFDC Activation Rep'!B:B,'Download of SFDC Activation Rep'!Z:Z),"")</f>
        <v>45806</v>
      </c>
      <c r="Q1011" s="86">
        <f t="shared" si="2"/>
        <v>45778</v>
      </c>
      <c r="R1011" s="13" t="str">
        <f t="shared" si="3"/>
        <v>Yes</v>
      </c>
      <c r="S1011" s="86">
        <f t="array" ref="S1011">iferror(XLOOKUP(C1011,'Download of SFDC Activation Rep'!B:B,'Download of SFDC Activation Rep'!Y:Y),"")</f>
        <v>45806</v>
      </c>
    </row>
    <row r="1012">
      <c r="A1012" s="17" t="s">
        <v>19</v>
      </c>
      <c r="B1012" s="85">
        <v>46113.0</v>
      </c>
      <c r="C1012" s="17">
        <v>4462029.0</v>
      </c>
      <c r="D1012" s="85">
        <v>46082.0</v>
      </c>
      <c r="E1012" s="17">
        <v>69.0</v>
      </c>
      <c r="F1012" s="17">
        <v>69.0</v>
      </c>
      <c r="G1012" s="17">
        <v>338032.91</v>
      </c>
      <c r="H1012" s="17"/>
      <c r="I1012" s="17">
        <v>947.068595</v>
      </c>
      <c r="J1012" s="17">
        <v>0.5</v>
      </c>
      <c r="K1012" s="17">
        <v>899.8184</v>
      </c>
      <c r="L1012" s="17">
        <v>827.152824938417</v>
      </c>
      <c r="M1012" s="17">
        <v>72.6655750615829</v>
      </c>
      <c r="N1012" s="17">
        <v>64.0</v>
      </c>
      <c r="O1012" s="14">
        <f t="shared" si="1"/>
        <v>963.8184</v>
      </c>
      <c r="P1012" s="86">
        <f t="array" ref="P1012">iferror(XLOOKUP(C1012,'Download of SFDC Activation Rep'!B:B,'Download of SFDC Activation Rep'!Z:Z),"")</f>
        <v>46058</v>
      </c>
      <c r="Q1012" s="86">
        <f t="shared" si="2"/>
        <v>46054</v>
      </c>
      <c r="R1012" s="13" t="str">
        <f t="shared" si="3"/>
        <v>Yes</v>
      </c>
      <c r="S1012" s="86">
        <f t="array" ref="S1012">iferror(XLOOKUP(C1012,'Download of SFDC Activation Rep'!B:B,'Download of SFDC Activation Rep'!Y:Y),"")</f>
        <v>46118</v>
      </c>
    </row>
    <row r="1013">
      <c r="A1013" s="17" t="s">
        <v>488</v>
      </c>
      <c r="B1013" s="85">
        <v>45809.0</v>
      </c>
      <c r="C1013" s="17">
        <v>3934664.0</v>
      </c>
      <c r="D1013" s="85">
        <v>45809.0</v>
      </c>
      <c r="E1013" s="17">
        <v>2.0</v>
      </c>
      <c r="F1013" s="17">
        <v>0.0</v>
      </c>
      <c r="G1013" s="17">
        <v>298.66</v>
      </c>
      <c r="H1013" s="17"/>
      <c r="I1013" s="17">
        <v>8.66</v>
      </c>
      <c r="K1013" s="17">
        <v>-0.0901</v>
      </c>
      <c r="L1013" s="17">
        <v>-0.0930865999999999</v>
      </c>
      <c r="M1013" s="17">
        <v>0.00298659999999997</v>
      </c>
      <c r="N1013" s="17">
        <v>2.49999999999999</v>
      </c>
      <c r="O1013" s="14">
        <f t="shared" si="1"/>
        <v>2.4099</v>
      </c>
      <c r="P1013" s="86">
        <f t="array" ref="P1013">iferror(XLOOKUP(C1013,'Download of SFDC Activation Rep'!B:B,'Download of SFDC Activation Rep'!Z:Z),"")</f>
        <v>45820</v>
      </c>
      <c r="Q1013" s="86">
        <f t="shared" si="2"/>
        <v>45809</v>
      </c>
      <c r="R1013" s="13" t="str">
        <f t="shared" si="3"/>
        <v>Yes</v>
      </c>
      <c r="S1013" s="86">
        <f t="array" ref="S1013">iferror(XLOOKUP(C1013,'Download of SFDC Activation Rep'!B:B,'Download of SFDC Activation Rep'!Y:Y),"")</f>
        <v>45829</v>
      </c>
    </row>
    <row r="1014">
      <c r="A1014" s="17" t="s">
        <v>19</v>
      </c>
      <c r="B1014" s="85">
        <v>45992.0</v>
      </c>
      <c r="C1014" s="17">
        <v>4031652.0</v>
      </c>
      <c r="D1014" s="85">
        <v>45901.0</v>
      </c>
      <c r="E1014" s="17">
        <v>206.0</v>
      </c>
      <c r="F1014" s="17">
        <v>206.0</v>
      </c>
      <c r="G1014" s="17">
        <v>1723420.85</v>
      </c>
      <c r="H1014" s="17"/>
      <c r="I1014" s="17">
        <v>1196.287875</v>
      </c>
      <c r="K1014" s="17">
        <v>1165.5592</v>
      </c>
      <c r="L1014" s="17">
        <v>829.876696787607</v>
      </c>
      <c r="M1014" s="17">
        <v>335.682503212392</v>
      </c>
      <c r="N1014" s="17">
        <v>80.0</v>
      </c>
      <c r="O1014" s="14">
        <f t="shared" si="1"/>
        <v>1245.5592</v>
      </c>
      <c r="P1014" s="86">
        <f t="array" ref="P1014">iferror(XLOOKUP(C1014,'Download of SFDC Activation Rep'!B:B,'Download of SFDC Activation Rep'!Z:Z),"")</f>
        <v>45881</v>
      </c>
      <c r="Q1014" s="86">
        <f t="shared" si="2"/>
        <v>45870</v>
      </c>
      <c r="R1014" s="13" t="str">
        <f t="shared" si="3"/>
        <v>Yes</v>
      </c>
      <c r="S1014" s="86">
        <f t="array" ref="S1014">iferror(XLOOKUP(C1014,'Download of SFDC Activation Rep'!B:B,'Download of SFDC Activation Rep'!Y:Y),"")</f>
        <v>45889</v>
      </c>
    </row>
    <row r="1015">
      <c r="A1015" s="17" t="s">
        <v>488</v>
      </c>
      <c r="B1015" s="85">
        <v>46023.0</v>
      </c>
      <c r="C1015" s="17">
        <v>4301071.0</v>
      </c>
      <c r="D1015" s="85">
        <v>45992.0</v>
      </c>
      <c r="E1015" s="17">
        <v>5.0</v>
      </c>
      <c r="F1015" s="17">
        <v>4.0</v>
      </c>
      <c r="G1015" s="17">
        <v>2476.71</v>
      </c>
      <c r="H1015" s="17">
        <v>23.98</v>
      </c>
      <c r="I1015" s="17">
        <v>0.7</v>
      </c>
      <c r="K1015" s="17">
        <v>-1.4414</v>
      </c>
      <c r="L1015" s="17">
        <v>-1.5153416</v>
      </c>
      <c r="M1015" s="17">
        <v>0.0739416000000001</v>
      </c>
      <c r="N1015" s="17">
        <v>21.25</v>
      </c>
      <c r="O1015" s="14">
        <f t="shared" si="1"/>
        <v>19.96447</v>
      </c>
      <c r="P1015" s="86">
        <f t="array" ref="P1015">iferror(XLOOKUP(C1015,'Download of SFDC Activation Rep'!B:B,'Download of SFDC Activation Rep'!Z:Z),"")</f>
        <v>46014</v>
      </c>
      <c r="Q1015" s="86">
        <f t="shared" si="2"/>
        <v>45992</v>
      </c>
      <c r="R1015" s="13" t="str">
        <f t="shared" si="3"/>
        <v>Yes</v>
      </c>
      <c r="S1015" s="86">
        <f t="array" ref="S1015">iferror(XLOOKUP(C1015,'Download of SFDC Activation Rep'!B:B,'Download of SFDC Activation Rep'!Y:Y),"")</f>
        <v>46022</v>
      </c>
    </row>
    <row r="1016">
      <c r="A1016" s="17" t="s">
        <v>488</v>
      </c>
      <c r="B1016" s="85">
        <v>46113.0</v>
      </c>
      <c r="C1016" s="17">
        <v>4521121.0</v>
      </c>
      <c r="D1016" s="85">
        <v>46113.0</v>
      </c>
      <c r="E1016" s="17">
        <v>9.0</v>
      </c>
      <c r="F1016" s="17">
        <v>9.0</v>
      </c>
      <c r="G1016" s="17">
        <v>23478.32</v>
      </c>
      <c r="H1016" s="17"/>
      <c r="I1016" s="17">
        <v>170.992745</v>
      </c>
      <c r="J1016" s="17"/>
      <c r="K1016" s="17">
        <v>169.6085</v>
      </c>
      <c r="L1016" s="17">
        <v>158.451815285624</v>
      </c>
      <c r="M1016" s="17">
        <v>11.1566847143759</v>
      </c>
      <c r="N1016" s="17">
        <v>33.0</v>
      </c>
      <c r="O1016" s="14">
        <f t="shared" si="1"/>
        <v>202.6085</v>
      </c>
      <c r="P1016" s="86">
        <f t="array" ref="P1016">iferror(XLOOKUP(C1016,'Download of SFDC Activation Rep'!B:B,'Download of SFDC Activation Rep'!Z:Z),"")</f>
        <v>46120</v>
      </c>
      <c r="Q1016" s="86">
        <f t="shared" si="2"/>
        <v>46113</v>
      </c>
      <c r="R1016" s="13" t="str">
        <f t="shared" si="3"/>
        <v>Yes</v>
      </c>
      <c r="S1016" s="86">
        <f t="array" ref="S1016">iferror(XLOOKUP(C1016,'Download of SFDC Activation Rep'!B:B,'Download of SFDC Activation Rep'!Y:Y),"")</f>
        <v>46147</v>
      </c>
    </row>
    <row r="1017">
      <c r="A1017" s="17" t="s">
        <v>19</v>
      </c>
      <c r="B1017" s="85">
        <v>45870.0</v>
      </c>
      <c r="C1017" s="17">
        <v>4018525.0</v>
      </c>
      <c r="D1017" s="85">
        <v>45839.0</v>
      </c>
      <c r="E1017" s="17">
        <v>76.0</v>
      </c>
      <c r="F1017" s="17">
        <v>76.0</v>
      </c>
      <c r="G1017" s="17">
        <v>277390.54</v>
      </c>
      <c r="H1017" s="17"/>
      <c r="I1017" s="17">
        <v>77.320593</v>
      </c>
      <c r="K1017" s="17">
        <v>33.1706</v>
      </c>
      <c r="L1017" s="17">
        <v>-8.87363862451833</v>
      </c>
      <c r="M1017" s="17">
        <v>42.0442386245183</v>
      </c>
      <c r="N1017" s="17">
        <v>6.39999999999999</v>
      </c>
      <c r="O1017" s="14">
        <f t="shared" si="1"/>
        <v>39.5706</v>
      </c>
      <c r="P1017" s="86">
        <f t="array" ref="P1017">iferror(XLOOKUP(C1017,'Download of SFDC Activation Rep'!B:B,'Download of SFDC Activation Rep'!Z:Z),"")</f>
        <v>45818</v>
      </c>
      <c r="Q1017" s="86">
        <f t="shared" si="2"/>
        <v>45809</v>
      </c>
      <c r="R1017" s="13" t="str">
        <f t="shared" si="3"/>
        <v>Yes</v>
      </c>
      <c r="S1017" s="86">
        <f t="array" ref="S1017">iferror(XLOOKUP(C1017,'Download of SFDC Activation Rep'!B:B,'Download of SFDC Activation Rep'!Y:Y),"")</f>
        <v>45859</v>
      </c>
    </row>
    <row r="1018">
      <c r="A1018" s="17" t="s">
        <v>488</v>
      </c>
      <c r="B1018" s="85">
        <v>45931.0</v>
      </c>
      <c r="C1018" s="17">
        <v>4031755.0</v>
      </c>
      <c r="D1018" s="85">
        <v>45901.0</v>
      </c>
      <c r="E1018" s="17">
        <v>14.0</v>
      </c>
      <c r="F1018" s="17">
        <v>14.0</v>
      </c>
      <c r="G1018" s="17">
        <v>800739.94</v>
      </c>
      <c r="H1018" s="17"/>
      <c r="I1018" s="17">
        <v>195.31</v>
      </c>
      <c r="K1018" s="17">
        <v>177.7767</v>
      </c>
      <c r="L1018" s="17">
        <v>52.4221194950482</v>
      </c>
      <c r="M1018" s="17">
        <v>125.354580504951</v>
      </c>
      <c r="N1018" s="17">
        <v>35.0</v>
      </c>
      <c r="O1018" s="14">
        <f t="shared" si="1"/>
        <v>212.7767</v>
      </c>
      <c r="P1018" s="86">
        <f t="array" ref="P1018">iferror(XLOOKUP(C1018,'Download of SFDC Activation Rep'!B:B,'Download of SFDC Activation Rep'!Z:Z),"")</f>
        <v>45856</v>
      </c>
      <c r="Q1018" s="86">
        <f t="shared" si="2"/>
        <v>45839</v>
      </c>
      <c r="R1018" s="13" t="str">
        <f t="shared" si="3"/>
        <v>Yes</v>
      </c>
      <c r="S1018" s="86">
        <f t="array" ref="S1018">iferror(XLOOKUP(C1018,'Download of SFDC Activation Rep'!B:B,'Download of SFDC Activation Rep'!Y:Y),"")</f>
        <v>45901</v>
      </c>
    </row>
    <row r="1019">
      <c r="A1019" s="17" t="s">
        <v>488</v>
      </c>
      <c r="B1019" s="85">
        <v>46174.0</v>
      </c>
      <c r="C1019" s="17">
        <v>4329147.0</v>
      </c>
      <c r="D1019" s="85">
        <v>46023.0</v>
      </c>
      <c r="E1019" s="17">
        <v>78.0</v>
      </c>
      <c r="F1019" s="17">
        <v>0.0</v>
      </c>
      <c r="G1019" s="17">
        <v>47742.08</v>
      </c>
      <c r="H1019" s="17">
        <v>47742.08</v>
      </c>
      <c r="I1019" s="17">
        <v>1384.49</v>
      </c>
      <c r="K1019" s="17">
        <v>75.9282</v>
      </c>
      <c r="L1019" s="17">
        <v>50.603279986176</v>
      </c>
      <c r="M1019" s="17">
        <v>25.324920013824</v>
      </c>
      <c r="N1019" s="17">
        <v>25.0</v>
      </c>
      <c r="O1019" s="14">
        <f t="shared" si="1"/>
        <v>100.9282</v>
      </c>
      <c r="P1019" s="86">
        <f t="array" ref="P1019">iferror(XLOOKUP(C1019,'Download of SFDC Activation Rep'!B:B,'Download of SFDC Activation Rep'!Z:Z),"")</f>
        <v>46197</v>
      </c>
      <c r="Q1019" s="86">
        <f t="shared" si="2"/>
        <v>46174</v>
      </c>
      <c r="R1019" s="13" t="str">
        <f t="shared" si="3"/>
        <v>Yes</v>
      </c>
      <c r="S1019" s="86">
        <f t="array" ref="S1019">iferror(XLOOKUP(C1019,'Download of SFDC Activation Rep'!B:B,'Download of SFDC Activation Rep'!Y:Y),"")</f>
        <v>46361</v>
      </c>
    </row>
    <row r="1020">
      <c r="A1020" s="17" t="s">
        <v>19</v>
      </c>
      <c r="B1020" s="85">
        <v>45658.0</v>
      </c>
      <c r="C1020" s="17">
        <v>2710123.0</v>
      </c>
      <c r="D1020" s="85">
        <v>45292.0</v>
      </c>
      <c r="E1020" s="17">
        <v>7.0</v>
      </c>
      <c r="F1020" s="17">
        <v>0.0</v>
      </c>
      <c r="G1020" s="17">
        <v>136493.93</v>
      </c>
      <c r="H1020" s="17"/>
      <c r="I1020" s="17">
        <v>3958.33</v>
      </c>
      <c r="J1020" s="17"/>
      <c r="K1020" s="17">
        <v>117.645</v>
      </c>
      <c r="L1020" s="17">
        <v>45.2414084308335</v>
      </c>
      <c r="M1020" s="17">
        <v>72.4035915691664</v>
      </c>
      <c r="N1020" s="17"/>
      <c r="O1020" s="14">
        <f t="shared" si="1"/>
        <v>117.645</v>
      </c>
      <c r="P1020" s="86">
        <f t="array" ref="P1020">iferror(XLOOKUP(C1020,'Download of SFDC Activation Rep'!B:B,'Download of SFDC Activation Rep'!Z:Z),"")</f>
        <v>45873</v>
      </c>
      <c r="Q1020" s="86">
        <f t="shared" si="2"/>
        <v>45870</v>
      </c>
      <c r="R1020" s="13" t="str">
        <f t="shared" si="3"/>
        <v>No</v>
      </c>
      <c r="S1020" s="86">
        <f t="array" ref="S1020">iferror(XLOOKUP(C1020,'Download of SFDC Activation Rep'!B:B,'Download of SFDC Activation Rep'!Y:Y),"")</f>
        <v>45980</v>
      </c>
    </row>
    <row r="1021">
      <c r="A1021" s="17" t="s">
        <v>17</v>
      </c>
      <c r="B1021" s="85">
        <v>46113.0</v>
      </c>
      <c r="C1021" s="17">
        <v>4268726.0</v>
      </c>
      <c r="D1021" s="85">
        <v>45992.0</v>
      </c>
      <c r="E1021" s="17">
        <v>4.0</v>
      </c>
      <c r="F1021" s="17">
        <v>1.0</v>
      </c>
      <c r="G1021" s="17">
        <v>5109.2</v>
      </c>
      <c r="H1021" s="17"/>
      <c r="I1021" s="17">
        <v>87.7</v>
      </c>
      <c r="K1021" s="17">
        <v>10.5148</v>
      </c>
      <c r="L1021" s="17">
        <v>10.463708</v>
      </c>
      <c r="M1021" s="17">
        <v>0.0510920000000005</v>
      </c>
      <c r="N1021" s="17"/>
      <c r="O1021" s="14">
        <f t="shared" si="1"/>
        <v>10.5148</v>
      </c>
      <c r="P1021" s="86">
        <f t="array" ref="P1021">iferror(XLOOKUP(C1021,'Download of SFDC Activation Rep'!B:B,'Download of SFDC Activation Rep'!Z:Z),"")</f>
        <v>45992</v>
      </c>
      <c r="Q1021" s="86">
        <f t="shared" si="2"/>
        <v>45992</v>
      </c>
      <c r="R1021" s="13" t="str">
        <f t="shared" si="3"/>
        <v>Yes</v>
      </c>
      <c r="S1021" s="86">
        <f t="array" ref="S1021">iferror(XLOOKUP(C1021,'Download of SFDC Activation Rep'!B:B,'Download of SFDC Activation Rep'!Y:Y),"")</f>
        <v>46000</v>
      </c>
    </row>
    <row r="1022">
      <c r="A1022" s="17" t="s">
        <v>17</v>
      </c>
      <c r="B1022" s="85">
        <v>45323.0</v>
      </c>
      <c r="C1022" s="17">
        <v>3221188.0</v>
      </c>
      <c r="D1022" s="85">
        <v>45323.0</v>
      </c>
      <c r="E1022" s="17">
        <v>1.0</v>
      </c>
      <c r="F1022" s="17">
        <v>1.0</v>
      </c>
      <c r="G1022" s="17">
        <v>91.36</v>
      </c>
      <c r="H1022" s="17"/>
      <c r="I1022" s="17">
        <v>0.0</v>
      </c>
      <c r="K1022" s="17">
        <v>-0.42</v>
      </c>
      <c r="L1022" s="17">
        <v>-0.464010626556096</v>
      </c>
      <c r="M1022" s="17">
        <v>0.044010626556096</v>
      </c>
      <c r="N1022" s="17"/>
      <c r="O1022" s="14">
        <f t="shared" si="1"/>
        <v>-0.42</v>
      </c>
      <c r="P1022" s="86">
        <f t="array" ref="P1022">iferror(XLOOKUP(C1022,'Download of SFDC Activation Rep'!B:B,'Download of SFDC Activation Rep'!Z:Z),"")</f>
        <v>46000</v>
      </c>
      <c r="Q1022" s="86">
        <f t="shared" si="2"/>
        <v>45992</v>
      </c>
      <c r="R1022" s="13" t="str">
        <f t="shared" si="3"/>
        <v>No</v>
      </c>
      <c r="S1022" s="86">
        <f t="array" ref="S1022">iferror(XLOOKUP(C1022,'Download of SFDC Activation Rep'!B:B,'Download of SFDC Activation Rep'!Y:Y),"")</f>
        <v>46021</v>
      </c>
    </row>
    <row r="1023">
      <c r="A1023" s="17" t="s">
        <v>17</v>
      </c>
      <c r="B1023" s="85">
        <v>45778.0</v>
      </c>
      <c r="C1023" s="17">
        <v>2967694.0</v>
      </c>
      <c r="D1023" s="85">
        <v>45292.0</v>
      </c>
      <c r="E1023" s="17">
        <v>1.0</v>
      </c>
      <c r="F1023" s="17">
        <v>0.0</v>
      </c>
      <c r="G1023" s="17">
        <v>22083.24</v>
      </c>
      <c r="H1023" s="17">
        <v>22083.24</v>
      </c>
      <c r="I1023" s="17">
        <v>640.41</v>
      </c>
      <c r="K1023" s="17">
        <v>81.3415</v>
      </c>
      <c r="L1023" s="17">
        <v>69.6273828265558</v>
      </c>
      <c r="M1023" s="17">
        <v>11.7141171734441</v>
      </c>
      <c r="N1023" s="17"/>
      <c r="O1023" s="14">
        <f t="shared" si="1"/>
        <v>81.3415</v>
      </c>
      <c r="P1023" s="86">
        <f t="array" ref="P1023">iferror(XLOOKUP(C1023,'Download of SFDC Activation Rep'!B:B,'Download of SFDC Activation Rep'!Z:Z),"")</f>
        <v>45924</v>
      </c>
      <c r="Q1023" s="86">
        <f t="shared" si="2"/>
        <v>45901</v>
      </c>
      <c r="R1023" s="13" t="str">
        <f t="shared" si="3"/>
        <v>No</v>
      </c>
      <c r="S1023" s="86">
        <f t="array" ref="S1023">iferror(XLOOKUP(C1023,'Download of SFDC Activation Rep'!B:B,'Download of SFDC Activation Rep'!Y:Y),"")</f>
        <v>46055</v>
      </c>
    </row>
    <row r="1024">
      <c r="A1024" s="17" t="s">
        <v>17</v>
      </c>
      <c r="B1024" s="85">
        <v>46054.0</v>
      </c>
      <c r="C1024" s="17">
        <v>4233905.0</v>
      </c>
      <c r="D1024" s="85">
        <v>45992.0</v>
      </c>
      <c r="E1024" s="17">
        <v>29.0</v>
      </c>
      <c r="F1024" s="17">
        <v>27.0</v>
      </c>
      <c r="G1024" s="17">
        <v>25658.63</v>
      </c>
      <c r="H1024" s="17">
        <v>2184.8</v>
      </c>
      <c r="I1024" s="17">
        <v>63.36</v>
      </c>
      <c r="J1024" s="17"/>
      <c r="K1024" s="17">
        <v>-8.94279999999999</v>
      </c>
      <c r="L1024" s="17">
        <v>-9.19938629999999</v>
      </c>
      <c r="M1024" s="17">
        <v>0.2565863</v>
      </c>
      <c r="N1024" s="17"/>
      <c r="O1024" s="14">
        <f t="shared" si="1"/>
        <v>5.2584</v>
      </c>
      <c r="P1024" s="86">
        <f t="array" ref="P1024">iferror(XLOOKUP(C1024,'Download of SFDC Activation Rep'!B:B,'Download of SFDC Activation Rep'!Z:Z),"")</f>
        <v>45974</v>
      </c>
      <c r="Q1024" s="86">
        <f t="shared" si="2"/>
        <v>45962</v>
      </c>
      <c r="R1024" s="13" t="str">
        <f t="shared" si="3"/>
        <v>Yes</v>
      </c>
      <c r="S1024" s="86">
        <f t="array" ref="S1024">iferror(XLOOKUP(C1024,'Download of SFDC Activation Rep'!B:B,'Download of SFDC Activation Rep'!Y:Y),"")</f>
        <v>45999</v>
      </c>
    </row>
    <row r="1025">
      <c r="A1025" s="17" t="s">
        <v>19</v>
      </c>
      <c r="B1025" s="85">
        <v>45323.0</v>
      </c>
      <c r="C1025" s="17">
        <v>2710123.0</v>
      </c>
      <c r="D1025" s="85">
        <v>45292.0</v>
      </c>
      <c r="E1025" s="17">
        <v>1.0</v>
      </c>
      <c r="F1025" s="17">
        <v>0.0</v>
      </c>
      <c r="G1025" s="17">
        <v>11075.4</v>
      </c>
      <c r="I1025" s="17">
        <v>321.19</v>
      </c>
      <c r="K1025" s="17">
        <v>24.2587</v>
      </c>
      <c r="L1025" s="17">
        <v>21.4937105787589</v>
      </c>
      <c r="M1025" s="17">
        <v>2.76498942124104</v>
      </c>
      <c r="N1025" s="17"/>
      <c r="O1025" s="14">
        <f t="shared" si="1"/>
        <v>24.2587</v>
      </c>
      <c r="P1025" s="86">
        <f t="array" ref="P1025">iferror(XLOOKUP(C1025,'Download of SFDC Activation Rep'!B:B,'Download of SFDC Activation Rep'!Z:Z),"")</f>
        <v>45873</v>
      </c>
      <c r="Q1025" s="86">
        <f t="shared" si="2"/>
        <v>45870</v>
      </c>
      <c r="R1025" s="13" t="str">
        <f t="shared" si="3"/>
        <v>No</v>
      </c>
      <c r="S1025" s="86">
        <f t="array" ref="S1025">iferror(XLOOKUP(C1025,'Download of SFDC Activation Rep'!B:B,'Download of SFDC Activation Rep'!Y:Y),"")</f>
        <v>45980</v>
      </c>
    </row>
    <row r="1026">
      <c r="A1026" s="17" t="s">
        <v>17</v>
      </c>
      <c r="B1026" s="85">
        <v>46143.0</v>
      </c>
      <c r="C1026" s="17">
        <v>4098415.0</v>
      </c>
      <c r="D1026" s="85">
        <v>45901.0</v>
      </c>
      <c r="E1026" s="17">
        <v>11.0</v>
      </c>
      <c r="F1026" s="17">
        <v>10.0</v>
      </c>
      <c r="G1026" s="17">
        <v>28750.37</v>
      </c>
      <c r="H1026" s="17"/>
      <c r="I1026" s="17">
        <v>56.84</v>
      </c>
      <c r="K1026" s="17">
        <v>-0.4188</v>
      </c>
      <c r="L1026" s="17">
        <v>-0.7063037</v>
      </c>
      <c r="M1026" s="17">
        <v>0.2875037</v>
      </c>
      <c r="N1026" s="17"/>
      <c r="O1026" s="14">
        <f t="shared" si="1"/>
        <v>-0.4188</v>
      </c>
      <c r="P1026" s="86">
        <f t="array" ref="P1026">iferror(XLOOKUP(C1026,'Download of SFDC Activation Rep'!B:B,'Download of SFDC Activation Rep'!Z:Z),"")</f>
        <v>45895</v>
      </c>
      <c r="Q1026" s="86">
        <f t="shared" si="2"/>
        <v>45870</v>
      </c>
      <c r="R1026" s="13" t="str">
        <f t="shared" si="3"/>
        <v>Yes</v>
      </c>
      <c r="S1026" s="86">
        <f t="array" ref="S1026">iferror(XLOOKUP(C1026,'Download of SFDC Activation Rep'!B:B,'Download of SFDC Activation Rep'!Y:Y),"")</f>
        <v>45910</v>
      </c>
    </row>
    <row r="1027">
      <c r="A1027" s="17" t="s">
        <v>17</v>
      </c>
      <c r="B1027" s="85">
        <v>46113.0</v>
      </c>
      <c r="C1027" s="17">
        <v>4442279.0</v>
      </c>
      <c r="D1027" s="85">
        <v>46054.0</v>
      </c>
      <c r="E1027" s="17">
        <v>56.0</v>
      </c>
      <c r="F1027" s="17">
        <v>7.0</v>
      </c>
      <c r="G1027" s="17">
        <v>90802.23</v>
      </c>
      <c r="H1027" s="17">
        <v>18991.14</v>
      </c>
      <c r="I1027" s="17">
        <v>1058.03</v>
      </c>
      <c r="J1027" s="17"/>
      <c r="K1027" s="17">
        <v>-3.0002</v>
      </c>
      <c r="L1027" s="17">
        <v>-3.90822229999999</v>
      </c>
      <c r="M1027" s="17">
        <v>0.908022299999994</v>
      </c>
      <c r="N1027" s="17"/>
      <c r="O1027" s="14">
        <f t="shared" si="1"/>
        <v>120.44221</v>
      </c>
      <c r="P1027" s="86">
        <f t="array" ref="P1027">iferror(XLOOKUP(C1027,'Download of SFDC Activation Rep'!B:B,'Download of SFDC Activation Rep'!Z:Z),"")</f>
        <v>46063</v>
      </c>
      <c r="Q1027" s="86">
        <f t="shared" si="2"/>
        <v>46054</v>
      </c>
      <c r="R1027" s="13" t="str">
        <f t="shared" si="3"/>
        <v>Yes</v>
      </c>
      <c r="S1027" s="86">
        <f t="array" ref="S1027">iferror(XLOOKUP(C1027,'Download of SFDC Activation Rep'!B:B,'Download of SFDC Activation Rep'!Y:Y),"")</f>
        <v>46108</v>
      </c>
    </row>
    <row r="1028">
      <c r="A1028" s="17" t="s">
        <v>488</v>
      </c>
      <c r="B1028" s="85">
        <v>45992.0</v>
      </c>
      <c r="C1028" s="17">
        <v>4079539.0</v>
      </c>
      <c r="D1028" s="85">
        <v>45870.0</v>
      </c>
      <c r="E1028" s="17">
        <v>5.0</v>
      </c>
      <c r="F1028" s="17">
        <v>0.0</v>
      </c>
      <c r="G1028" s="17">
        <v>31241.8</v>
      </c>
      <c r="H1028" s="17">
        <v>31241.8</v>
      </c>
      <c r="I1028" s="17">
        <v>926.01</v>
      </c>
      <c r="K1028" s="17">
        <v>182.001</v>
      </c>
      <c r="L1028" s="17">
        <v>155.433247332088</v>
      </c>
      <c r="M1028" s="17">
        <v>26.5677526679116</v>
      </c>
      <c r="N1028" s="17"/>
      <c r="O1028" s="14">
        <f t="shared" si="1"/>
        <v>182.001</v>
      </c>
      <c r="P1028" s="86">
        <f t="array" ref="P1028">iferror(XLOOKUP(C1028,'Download of SFDC Activation Rep'!B:B,'Download of SFDC Activation Rep'!Z:Z),"")</f>
        <v>45890</v>
      </c>
      <c r="Q1028" s="86">
        <f t="shared" si="2"/>
        <v>45870</v>
      </c>
      <c r="R1028" s="13" t="str">
        <f t="shared" si="3"/>
        <v>Yes</v>
      </c>
      <c r="S1028" s="86">
        <f t="array" ref="S1028">iferror(XLOOKUP(C1028,'Download of SFDC Activation Rep'!B:B,'Download of SFDC Activation Rep'!Y:Y),"")</f>
        <v>45899</v>
      </c>
    </row>
    <row r="1029">
      <c r="A1029" s="17" t="s">
        <v>17</v>
      </c>
      <c r="B1029" s="85">
        <v>45536.0</v>
      </c>
      <c r="C1029" s="17">
        <v>489723.0</v>
      </c>
      <c r="D1029" s="85">
        <v>45200.0</v>
      </c>
      <c r="E1029" s="17">
        <v>5.0</v>
      </c>
      <c r="F1029" s="17">
        <v>5.0</v>
      </c>
      <c r="G1029" s="17">
        <v>4662.47</v>
      </c>
      <c r="H1029" s="17"/>
      <c r="I1029" s="17">
        <v>0.0</v>
      </c>
      <c r="J1029" s="17"/>
      <c r="K1029" s="17">
        <v>-1.06</v>
      </c>
      <c r="L1029" s="17">
        <v>-3.33530520860103</v>
      </c>
      <c r="M1029" s="17">
        <v>2.27530520860103</v>
      </c>
      <c r="N1029" s="17"/>
      <c r="O1029" s="14">
        <f t="shared" si="1"/>
        <v>-1.06</v>
      </c>
      <c r="P1029" s="86">
        <f t="array" ref="P1029">iferror(XLOOKUP(C1029,'Download of SFDC Activation Rep'!B:B,'Download of SFDC Activation Rep'!Z:Z),"")</f>
        <v>46112</v>
      </c>
      <c r="Q1029" s="86">
        <f t="shared" si="2"/>
        <v>46082</v>
      </c>
      <c r="R1029" s="13" t="str">
        <f t="shared" si="3"/>
        <v>No</v>
      </c>
      <c r="S1029" s="86">
        <f t="array" ref="S1029">iferror(XLOOKUP(C1029,'Download of SFDC Activation Rep'!B:B,'Download of SFDC Activation Rep'!Y:Y),"")</f>
        <v>46204</v>
      </c>
    </row>
    <row r="1030">
      <c r="A1030" s="17" t="s">
        <v>17</v>
      </c>
      <c r="B1030" s="85">
        <v>45474.0</v>
      </c>
      <c r="C1030" s="17">
        <v>489723.0</v>
      </c>
      <c r="D1030" s="85">
        <v>45200.0</v>
      </c>
      <c r="E1030" s="17">
        <v>15.0</v>
      </c>
      <c r="F1030" s="17">
        <v>15.0</v>
      </c>
      <c r="G1030" s="17">
        <v>13567.02</v>
      </c>
      <c r="H1030" s="17"/>
      <c r="I1030" s="17">
        <v>0.0</v>
      </c>
      <c r="J1030" s="17"/>
      <c r="K1030" s="17">
        <v>-3.16</v>
      </c>
      <c r="L1030" s="17">
        <v>-9.78076351616084</v>
      </c>
      <c r="M1030" s="17">
        <v>6.62076351616084</v>
      </c>
      <c r="N1030" s="17"/>
      <c r="O1030" s="14">
        <f t="shared" si="1"/>
        <v>-3.16</v>
      </c>
      <c r="P1030" s="86">
        <f t="array" ref="P1030">iferror(XLOOKUP(C1030,'Download of SFDC Activation Rep'!B:B,'Download of SFDC Activation Rep'!Z:Z),"")</f>
        <v>46112</v>
      </c>
      <c r="Q1030" s="86">
        <f t="shared" si="2"/>
        <v>46082</v>
      </c>
      <c r="R1030" s="13" t="str">
        <f t="shared" si="3"/>
        <v>No</v>
      </c>
      <c r="S1030" s="86">
        <f t="array" ref="S1030">iferror(XLOOKUP(C1030,'Download of SFDC Activation Rep'!B:B,'Download of SFDC Activation Rep'!Y:Y),"")</f>
        <v>46204</v>
      </c>
    </row>
    <row r="1031">
      <c r="A1031" s="17" t="s">
        <v>17</v>
      </c>
      <c r="B1031" s="85">
        <v>45352.0</v>
      </c>
      <c r="C1031" s="17">
        <v>489723.0</v>
      </c>
      <c r="D1031" s="85">
        <v>45200.0</v>
      </c>
      <c r="E1031" s="17">
        <v>6.0</v>
      </c>
      <c r="F1031" s="17">
        <v>6.0</v>
      </c>
      <c r="G1031" s="17">
        <v>7147.57</v>
      </c>
      <c r="I1031" s="17">
        <v>0.0</v>
      </c>
      <c r="J1031" s="17"/>
      <c r="K1031" s="17">
        <v>-1.28</v>
      </c>
      <c r="L1031" s="17">
        <v>-4.76804458792024</v>
      </c>
      <c r="M1031" s="17">
        <v>3.48804458792024</v>
      </c>
      <c r="N1031" s="17"/>
      <c r="O1031" s="14">
        <f t="shared" si="1"/>
        <v>-1.28</v>
      </c>
      <c r="P1031" s="86">
        <f t="array" ref="P1031">iferror(XLOOKUP(C1031,'Download of SFDC Activation Rep'!B:B,'Download of SFDC Activation Rep'!Z:Z),"")</f>
        <v>46112</v>
      </c>
      <c r="Q1031" s="86">
        <f t="shared" si="2"/>
        <v>46082</v>
      </c>
      <c r="R1031" s="13" t="str">
        <f t="shared" si="3"/>
        <v>No</v>
      </c>
      <c r="S1031" s="86">
        <f t="array" ref="S1031">iferror(XLOOKUP(C1031,'Download of SFDC Activation Rep'!B:B,'Download of SFDC Activation Rep'!Y:Y),"")</f>
        <v>46204</v>
      </c>
    </row>
    <row r="1032">
      <c r="A1032" s="17" t="s">
        <v>17</v>
      </c>
      <c r="B1032" s="85">
        <v>45901.0</v>
      </c>
      <c r="C1032" s="17">
        <v>4098415.0</v>
      </c>
      <c r="D1032" s="85">
        <v>45901.0</v>
      </c>
      <c r="E1032" s="17">
        <v>12.0</v>
      </c>
      <c r="F1032" s="17">
        <v>11.0</v>
      </c>
      <c r="G1032" s="17">
        <v>43169.63</v>
      </c>
      <c r="I1032" s="17">
        <v>38.11</v>
      </c>
      <c r="K1032" s="17">
        <v>12.1378999999999</v>
      </c>
      <c r="L1032" s="17">
        <v>11.7062036999999</v>
      </c>
      <c r="M1032" s="17">
        <v>0.4316963</v>
      </c>
      <c r="N1032" s="17"/>
      <c r="O1032" s="14">
        <f t="shared" si="1"/>
        <v>12.1379</v>
      </c>
      <c r="P1032" s="86">
        <f t="array" ref="P1032">iferror(XLOOKUP(C1032,'Download of SFDC Activation Rep'!B:B,'Download of SFDC Activation Rep'!Z:Z),"")</f>
        <v>45895</v>
      </c>
      <c r="Q1032" s="86">
        <f t="shared" si="2"/>
        <v>45870</v>
      </c>
      <c r="R1032" s="13" t="str">
        <f t="shared" si="3"/>
        <v>Yes</v>
      </c>
      <c r="S1032" s="86">
        <f t="array" ref="S1032">iferror(XLOOKUP(C1032,'Download of SFDC Activation Rep'!B:B,'Download of SFDC Activation Rep'!Y:Y),"")</f>
        <v>45910</v>
      </c>
    </row>
    <row r="1033">
      <c r="A1033" s="17" t="s">
        <v>17</v>
      </c>
      <c r="B1033" s="85">
        <v>46143.0</v>
      </c>
      <c r="C1033" s="17">
        <v>3958943.0</v>
      </c>
      <c r="D1033" s="85">
        <v>45839.0</v>
      </c>
      <c r="E1033" s="17">
        <v>8.0</v>
      </c>
      <c r="F1033" s="17">
        <v>1.0</v>
      </c>
      <c r="G1033" s="17">
        <v>4702.06</v>
      </c>
      <c r="I1033" s="17">
        <v>135.55</v>
      </c>
      <c r="J1033" s="17"/>
      <c r="K1033" s="17">
        <v>-0.589</v>
      </c>
      <c r="L1033" s="17">
        <v>-0.6360206</v>
      </c>
      <c r="M1033" s="17">
        <v>0.0470206000000003</v>
      </c>
      <c r="N1033" s="17"/>
      <c r="O1033" s="14">
        <f t="shared" si="1"/>
        <v>-0.589</v>
      </c>
      <c r="P1033" s="86">
        <f t="array" ref="P1033">iferror(XLOOKUP(C1033,'Download of SFDC Activation Rep'!B:B,'Download of SFDC Activation Rep'!Z:Z),"")</f>
        <v>45839</v>
      </c>
      <c r="Q1033" s="86">
        <f t="shared" si="2"/>
        <v>45839</v>
      </c>
      <c r="R1033" s="13" t="str">
        <f t="shared" si="3"/>
        <v>Yes</v>
      </c>
      <c r="S1033" s="86">
        <f t="array" ref="S1033">iferror(XLOOKUP(C1033,'Download of SFDC Activation Rep'!B:B,'Download of SFDC Activation Rep'!Y:Y),"")</f>
        <v>45862</v>
      </c>
    </row>
    <row r="1034">
      <c r="A1034" s="17" t="s">
        <v>17</v>
      </c>
      <c r="B1034" s="85">
        <v>45536.0</v>
      </c>
      <c r="C1034" s="17">
        <v>3090633.0</v>
      </c>
      <c r="D1034" s="85">
        <v>45474.0</v>
      </c>
      <c r="E1034" s="17">
        <v>1.0</v>
      </c>
      <c r="F1034" s="17">
        <v>1.0</v>
      </c>
      <c r="G1034" s="17">
        <v>2130.0</v>
      </c>
      <c r="H1034" s="17"/>
      <c r="I1034" s="17">
        <v>0.0</v>
      </c>
      <c r="K1034" s="17">
        <v>-0.15</v>
      </c>
      <c r="L1034" s="17">
        <v>-1.189449067623</v>
      </c>
      <c r="M1034" s="17">
        <v>1.039449067623</v>
      </c>
      <c r="N1034" s="17"/>
      <c r="O1034" s="14">
        <f t="shared" si="1"/>
        <v>-0.15</v>
      </c>
      <c r="P1034" s="86">
        <f t="array" ref="P1034">iferror(XLOOKUP(C1034,'Download of SFDC Activation Rep'!B:B,'Download of SFDC Activation Rep'!Z:Z),"")</f>
        <v>45961</v>
      </c>
      <c r="Q1034" s="86">
        <f t="shared" si="2"/>
        <v>45931</v>
      </c>
      <c r="R1034" s="13" t="str">
        <f t="shared" si="3"/>
        <v>No</v>
      </c>
      <c r="S1034" s="86">
        <f t="array" ref="S1034">iferror(XLOOKUP(C1034,'Download of SFDC Activation Rep'!B:B,'Download of SFDC Activation Rep'!Y:Y),"")</f>
        <v>46051</v>
      </c>
    </row>
    <row r="1035">
      <c r="A1035" s="17" t="s">
        <v>17</v>
      </c>
      <c r="B1035" s="85">
        <v>46174.0</v>
      </c>
      <c r="C1035" s="17">
        <v>4138622.0</v>
      </c>
      <c r="D1035" s="85">
        <v>45901.0</v>
      </c>
      <c r="E1035" s="17">
        <v>20.0</v>
      </c>
      <c r="F1035" s="17">
        <v>13.0</v>
      </c>
      <c r="G1035" s="17">
        <v>126519.04</v>
      </c>
      <c r="H1035" s="17">
        <v>250.0</v>
      </c>
      <c r="I1035" s="17">
        <v>650.48</v>
      </c>
      <c r="K1035" s="17">
        <v>38.4176999999999</v>
      </c>
      <c r="L1035" s="17">
        <v>37.1525096</v>
      </c>
      <c r="M1035" s="17">
        <v>1.26519039999999</v>
      </c>
      <c r="N1035" s="17"/>
      <c r="O1035" s="14">
        <f t="shared" si="1"/>
        <v>38.4177</v>
      </c>
      <c r="P1035" s="86">
        <f t="array" ref="P1035">iferror(XLOOKUP(C1035,'Download of SFDC Activation Rep'!B:B,'Download of SFDC Activation Rep'!Z:Z),"")</f>
        <v>45916</v>
      </c>
      <c r="Q1035" s="86">
        <f t="shared" si="2"/>
        <v>45901</v>
      </c>
      <c r="R1035" s="13" t="str">
        <f t="shared" si="3"/>
        <v>Yes</v>
      </c>
      <c r="S1035" s="86">
        <f t="array" ref="S1035">iferror(XLOOKUP(C1035,'Download of SFDC Activation Rep'!B:B,'Download of SFDC Activation Rep'!Y:Y),"")</f>
        <v>45966</v>
      </c>
    </row>
    <row r="1036">
      <c r="A1036" s="17" t="s">
        <v>17</v>
      </c>
      <c r="B1036" s="85">
        <v>46143.0</v>
      </c>
      <c r="C1036" s="17">
        <v>4307473.0</v>
      </c>
      <c r="D1036" s="85">
        <v>45992.0</v>
      </c>
      <c r="E1036" s="17">
        <v>5.0</v>
      </c>
      <c r="F1036" s="17">
        <v>4.0</v>
      </c>
      <c r="G1036" s="17">
        <v>19653.67</v>
      </c>
      <c r="H1036" s="17">
        <v>1013.62</v>
      </c>
      <c r="I1036" s="17">
        <v>29.39</v>
      </c>
      <c r="K1036" s="17">
        <v>-5.37939999999999</v>
      </c>
      <c r="L1036" s="17">
        <v>-5.5759367</v>
      </c>
      <c r="M1036" s="17">
        <v>0.1965367</v>
      </c>
      <c r="N1036" s="17"/>
      <c r="O1036" s="14">
        <f t="shared" si="1"/>
        <v>-5.3794</v>
      </c>
      <c r="P1036" s="86">
        <f t="array" ref="P1036">iferror(XLOOKUP(C1036,'Download of SFDC Activation Rep'!B:B,'Download of SFDC Activation Rep'!Z:Z),"")</f>
        <v>45841</v>
      </c>
      <c r="Q1036" s="86">
        <f t="shared" si="2"/>
        <v>45839</v>
      </c>
      <c r="R1036" s="13" t="str">
        <f t="shared" si="3"/>
        <v>Yes</v>
      </c>
      <c r="S1036" s="86">
        <f t="array" ref="S1036">iferror(XLOOKUP(C1036,'Download of SFDC Activation Rep'!B:B,'Download of SFDC Activation Rep'!Y:Y),"")</f>
        <v>46021</v>
      </c>
    </row>
    <row r="1037">
      <c r="A1037" s="17" t="s">
        <v>17</v>
      </c>
      <c r="B1037" s="85">
        <v>46113.0</v>
      </c>
      <c r="C1037" s="17">
        <v>2967694.0</v>
      </c>
      <c r="D1037" s="85">
        <v>45292.0</v>
      </c>
      <c r="E1037" s="17">
        <v>8.0</v>
      </c>
      <c r="F1037" s="17">
        <v>0.0</v>
      </c>
      <c r="G1037" s="17">
        <v>239757.5</v>
      </c>
      <c r="H1037" s="17">
        <v>239757.5</v>
      </c>
      <c r="I1037" s="17">
        <v>6952.96</v>
      </c>
      <c r="K1037" s="17">
        <v>-400.6271</v>
      </c>
      <c r="L1037" s="17">
        <v>-527.807137196</v>
      </c>
      <c r="M1037" s="17">
        <v>127.180037196</v>
      </c>
      <c r="N1037" s="17"/>
      <c r="O1037" s="14">
        <f t="shared" si="1"/>
        <v>1157.79665</v>
      </c>
      <c r="P1037" s="86">
        <f t="array" ref="P1037">iferror(XLOOKUP(C1037,'Download of SFDC Activation Rep'!B:B,'Download of SFDC Activation Rep'!Z:Z),"")</f>
        <v>45924</v>
      </c>
      <c r="Q1037" s="86">
        <f t="shared" si="2"/>
        <v>45901</v>
      </c>
      <c r="R1037" s="13" t="str">
        <f t="shared" si="3"/>
        <v>Yes</v>
      </c>
      <c r="S1037" s="86">
        <f t="array" ref="S1037">iferror(XLOOKUP(C1037,'Download of SFDC Activation Rep'!B:B,'Download of SFDC Activation Rep'!Y:Y),"")</f>
        <v>46055</v>
      </c>
    </row>
    <row r="1038">
      <c r="A1038" s="17" t="s">
        <v>17</v>
      </c>
      <c r="B1038" s="85">
        <v>46113.0</v>
      </c>
      <c r="C1038" s="17">
        <v>4098415.0</v>
      </c>
      <c r="D1038" s="85">
        <v>45901.0</v>
      </c>
      <c r="E1038" s="17">
        <v>12.0</v>
      </c>
      <c r="F1038" s="17">
        <v>10.0</v>
      </c>
      <c r="G1038" s="17">
        <v>37399.86</v>
      </c>
      <c r="H1038" s="17"/>
      <c r="I1038" s="17">
        <v>66.61</v>
      </c>
      <c r="K1038" s="17">
        <v>12.1418</v>
      </c>
      <c r="L1038" s="17">
        <v>11.7678014</v>
      </c>
      <c r="M1038" s="17">
        <v>0.3739986</v>
      </c>
      <c r="N1038" s="17"/>
      <c r="O1038" s="14">
        <f t="shared" si="1"/>
        <v>12.1418</v>
      </c>
      <c r="P1038" s="86">
        <f t="array" ref="P1038">iferror(XLOOKUP(C1038,'Download of SFDC Activation Rep'!B:B,'Download of SFDC Activation Rep'!Z:Z),"")</f>
        <v>45895</v>
      </c>
      <c r="Q1038" s="86">
        <f t="shared" si="2"/>
        <v>45870</v>
      </c>
      <c r="R1038" s="13" t="str">
        <f t="shared" si="3"/>
        <v>Yes</v>
      </c>
      <c r="S1038" s="86">
        <f t="array" ref="S1038">iferror(XLOOKUP(C1038,'Download of SFDC Activation Rep'!B:B,'Download of SFDC Activation Rep'!Y:Y),"")</f>
        <v>45910</v>
      </c>
    </row>
    <row r="1039">
      <c r="A1039" s="17" t="s">
        <v>17</v>
      </c>
      <c r="B1039" s="85">
        <v>45597.0</v>
      </c>
      <c r="C1039" s="17">
        <v>2967694.0</v>
      </c>
      <c r="D1039" s="85">
        <v>45292.0</v>
      </c>
      <c r="E1039" s="17">
        <v>2.0</v>
      </c>
      <c r="F1039" s="17">
        <v>0.0</v>
      </c>
      <c r="G1039" s="17">
        <v>29999.0</v>
      </c>
      <c r="H1039" s="17">
        <v>29999.0</v>
      </c>
      <c r="I1039" s="17">
        <v>869.97</v>
      </c>
      <c r="K1039" s="17">
        <v>125.157699999999</v>
      </c>
      <c r="L1039" s="17">
        <v>117.668406823427</v>
      </c>
      <c r="M1039" s="17">
        <v>7.48929317657238</v>
      </c>
      <c r="N1039" s="17"/>
      <c r="O1039" s="14">
        <f t="shared" si="1"/>
        <v>125.1577</v>
      </c>
      <c r="P1039" s="86">
        <f t="array" ref="P1039">iferror(XLOOKUP(C1039,'Download of SFDC Activation Rep'!B:B,'Download of SFDC Activation Rep'!Z:Z),"")</f>
        <v>45924</v>
      </c>
      <c r="Q1039" s="86">
        <f t="shared" si="2"/>
        <v>45901</v>
      </c>
      <c r="R1039" s="13" t="str">
        <f t="shared" si="3"/>
        <v>No</v>
      </c>
      <c r="S1039" s="86">
        <f t="array" ref="S1039">iferror(XLOOKUP(C1039,'Download of SFDC Activation Rep'!B:B,'Download of SFDC Activation Rep'!Y:Y),"")</f>
        <v>46055</v>
      </c>
    </row>
    <row r="1040">
      <c r="A1040" s="17" t="s">
        <v>17</v>
      </c>
      <c r="B1040" s="85">
        <v>46143.0</v>
      </c>
      <c r="C1040" s="17">
        <v>4125771.0</v>
      </c>
      <c r="D1040" s="85">
        <v>46023.0</v>
      </c>
      <c r="E1040" s="17">
        <v>4.0</v>
      </c>
      <c r="F1040" s="17">
        <v>0.0</v>
      </c>
      <c r="G1040" s="17">
        <v>67200.0</v>
      </c>
      <c r="H1040" s="17"/>
      <c r="I1040" s="17">
        <v>1948.8</v>
      </c>
      <c r="K1040" s="17">
        <v>258.3942</v>
      </c>
      <c r="L1040" s="17">
        <v>257.7222</v>
      </c>
      <c r="M1040" s="17">
        <v>0.672000000000025</v>
      </c>
      <c r="N1040" s="17"/>
      <c r="O1040" s="14">
        <f t="shared" si="1"/>
        <v>258.3942</v>
      </c>
      <c r="P1040" s="86">
        <f t="array" ref="P1040">iferror(XLOOKUP(C1040,'Download of SFDC Activation Rep'!B:B,'Download of SFDC Activation Rep'!Z:Z),"")</f>
        <v>45979</v>
      </c>
      <c r="Q1040" s="86">
        <f t="shared" si="2"/>
        <v>45962</v>
      </c>
      <c r="R1040" s="13" t="str">
        <f t="shared" si="3"/>
        <v>Yes</v>
      </c>
      <c r="S1040" s="86">
        <f t="array" ref="S1040">iferror(XLOOKUP(C1040,'Download of SFDC Activation Rep'!B:B,'Download of SFDC Activation Rep'!Y:Y),"")</f>
        <v>46037</v>
      </c>
    </row>
    <row r="1041">
      <c r="A1041" s="17" t="s">
        <v>19</v>
      </c>
      <c r="B1041" s="85">
        <v>43983.0</v>
      </c>
      <c r="C1041" s="17">
        <v>47426.0</v>
      </c>
      <c r="D1041" s="85">
        <v>43983.0</v>
      </c>
      <c r="E1041" s="17">
        <v>2.0</v>
      </c>
      <c r="F1041" s="17">
        <v>0.0</v>
      </c>
      <c r="G1041" s="17">
        <v>4531.68</v>
      </c>
      <c r="H1041" s="17">
        <v>4531.68</v>
      </c>
      <c r="I1041" s="17">
        <v>0.0</v>
      </c>
      <c r="K1041" s="17"/>
      <c r="L1041" s="17"/>
      <c r="M1041" s="17"/>
      <c r="N1041" s="17"/>
      <c r="O1041" s="14">
        <f t="shared" si="1"/>
        <v>0</v>
      </c>
      <c r="P1041" s="86">
        <f t="array" ref="P1041">iferror(XLOOKUP(C1041,'Download of SFDC Activation Rep'!B:B,'Download of SFDC Activation Rep'!Z:Z),"")</f>
        <v>46001</v>
      </c>
      <c r="Q1041" s="86">
        <f t="shared" si="2"/>
        <v>45992</v>
      </c>
      <c r="R1041" s="13" t="str">
        <f t="shared" si="3"/>
        <v>No</v>
      </c>
      <c r="S1041" s="86">
        <f t="array" ref="S1041">iferror(XLOOKUP(C1041,'Download of SFDC Activation Rep'!B:B,'Download of SFDC Activation Rep'!Y:Y),"")</f>
        <v>46028</v>
      </c>
    </row>
    <row r="1042">
      <c r="A1042" s="17" t="s">
        <v>17</v>
      </c>
      <c r="B1042" s="85">
        <v>46113.0</v>
      </c>
      <c r="C1042" s="17">
        <v>4378644.0</v>
      </c>
      <c r="D1042" s="85">
        <v>46054.0</v>
      </c>
      <c r="E1042" s="17">
        <v>6.0</v>
      </c>
      <c r="F1042" s="17">
        <v>0.0</v>
      </c>
      <c r="G1042" s="17">
        <v>6156.47</v>
      </c>
      <c r="H1042" s="17">
        <v>260.28</v>
      </c>
      <c r="I1042" s="17">
        <v>178.55</v>
      </c>
      <c r="K1042" s="17">
        <v>15.0031</v>
      </c>
      <c r="L1042" s="17">
        <v>11.737383250384</v>
      </c>
      <c r="M1042" s="17">
        <v>3.265716749616</v>
      </c>
      <c r="N1042" s="17"/>
      <c r="O1042" s="14">
        <f t="shared" si="1"/>
        <v>16.69492</v>
      </c>
      <c r="P1042" s="86">
        <f t="array" ref="P1042">iferror(XLOOKUP(C1042,'Download of SFDC Activation Rep'!B:B,'Download of SFDC Activation Rep'!Z:Z),"")</f>
        <v>46056</v>
      </c>
      <c r="Q1042" s="86">
        <f t="shared" si="2"/>
        <v>46054</v>
      </c>
      <c r="R1042" s="13" t="str">
        <f t="shared" si="3"/>
        <v>Yes</v>
      </c>
      <c r="S1042" s="86">
        <f t="array" ref="S1042">iferror(XLOOKUP(C1042,'Download of SFDC Activation Rep'!B:B,'Download of SFDC Activation Rep'!Y:Y),"")</f>
        <v>46086</v>
      </c>
    </row>
    <row r="1043">
      <c r="A1043" s="17" t="s">
        <v>17</v>
      </c>
      <c r="B1043" s="85">
        <v>46054.0</v>
      </c>
      <c r="C1043" s="17">
        <v>4161378.0</v>
      </c>
      <c r="D1043" s="85">
        <v>45931.0</v>
      </c>
      <c r="E1043" s="17">
        <v>2.0</v>
      </c>
      <c r="F1043" s="17">
        <v>2.0</v>
      </c>
      <c r="G1043" s="17">
        <v>6441.97</v>
      </c>
      <c r="H1043" s="17"/>
      <c r="I1043" s="17">
        <v>80.463986</v>
      </c>
      <c r="K1043" s="17">
        <v>80.1631999999999</v>
      </c>
      <c r="L1043" s="17">
        <v>70.549353274255</v>
      </c>
      <c r="M1043" s="17">
        <v>9.61384672574499</v>
      </c>
      <c r="N1043" s="17"/>
      <c r="O1043" s="14">
        <f t="shared" si="1"/>
        <v>80.1632</v>
      </c>
      <c r="P1043" s="86">
        <f t="array" ref="P1043">iferror(XLOOKUP(C1043,'Download of SFDC Activation Rep'!B:B,'Download of SFDC Activation Rep'!Z:Z),"")</f>
        <v>45931</v>
      </c>
      <c r="Q1043" s="86">
        <f t="shared" si="2"/>
        <v>45931</v>
      </c>
      <c r="R1043" s="13" t="str">
        <f t="shared" si="3"/>
        <v>Yes</v>
      </c>
      <c r="S1043" s="86">
        <f t="array" ref="S1043">iferror(XLOOKUP(C1043,'Download of SFDC Activation Rep'!B:B,'Download of SFDC Activation Rep'!Y:Y),"")</f>
        <v>45958</v>
      </c>
    </row>
    <row r="1044">
      <c r="A1044" s="17" t="s">
        <v>17</v>
      </c>
      <c r="B1044" s="85">
        <v>46054.0</v>
      </c>
      <c r="C1044" s="17">
        <v>4247168.0</v>
      </c>
      <c r="D1044" s="85">
        <v>45992.0</v>
      </c>
      <c r="E1044" s="17">
        <v>4.0</v>
      </c>
      <c r="F1044" s="17">
        <v>4.0</v>
      </c>
      <c r="G1044" s="17">
        <v>9386.73</v>
      </c>
      <c r="H1044" s="17"/>
      <c r="I1044" s="17">
        <v>0.0</v>
      </c>
      <c r="J1044" s="17"/>
      <c r="K1044" s="17">
        <v>-0.6689</v>
      </c>
      <c r="L1044" s="17">
        <v>-0.762767299999999</v>
      </c>
      <c r="M1044" s="17">
        <v>0.0938672999999998</v>
      </c>
      <c r="N1044" s="17"/>
      <c r="O1044" s="14">
        <f t="shared" si="1"/>
        <v>-0.6689</v>
      </c>
      <c r="P1044" s="86">
        <f t="array" ref="P1044">iferror(XLOOKUP(C1044,'Download of SFDC Activation Rep'!B:B,'Download of SFDC Activation Rep'!Z:Z),"")</f>
        <v>45968</v>
      </c>
      <c r="Q1044" s="86">
        <f t="shared" si="2"/>
        <v>45962</v>
      </c>
      <c r="R1044" s="13" t="str">
        <f t="shared" si="3"/>
        <v>Yes</v>
      </c>
      <c r="S1044" s="86">
        <f t="array" ref="S1044">iferror(XLOOKUP(C1044,'Download of SFDC Activation Rep'!B:B,'Download of SFDC Activation Rep'!Y:Y),"")</f>
        <v>46006</v>
      </c>
    </row>
    <row r="1045">
      <c r="A1045" s="17" t="s">
        <v>17</v>
      </c>
      <c r="B1045" s="85">
        <v>46054.0</v>
      </c>
      <c r="C1045" s="17">
        <v>4185373.0</v>
      </c>
      <c r="D1045" s="85">
        <v>45931.0</v>
      </c>
      <c r="E1045" s="17">
        <v>4.0</v>
      </c>
      <c r="F1045" s="17">
        <v>0.0</v>
      </c>
      <c r="G1045" s="17">
        <v>23196.0</v>
      </c>
      <c r="H1045" s="17">
        <v>361.0</v>
      </c>
      <c r="I1045" s="17">
        <v>672.69</v>
      </c>
      <c r="J1045" s="17"/>
      <c r="K1045" s="17">
        <v>63.3263</v>
      </c>
      <c r="L1045" s="17">
        <v>63.09434</v>
      </c>
      <c r="M1045" s="17">
        <v>0.23196</v>
      </c>
      <c r="N1045" s="17"/>
      <c r="O1045" s="14">
        <f t="shared" si="1"/>
        <v>65.6728</v>
      </c>
      <c r="P1045" s="86">
        <f t="array" ref="P1045">iferror(XLOOKUP(C1045,'Download of SFDC Activation Rep'!B:B,'Download of SFDC Activation Rep'!Z:Z),"")</f>
        <v>45940</v>
      </c>
      <c r="Q1045" s="86">
        <f t="shared" si="2"/>
        <v>45931</v>
      </c>
      <c r="R1045" s="13" t="str">
        <f t="shared" si="3"/>
        <v>Yes</v>
      </c>
      <c r="S1045" s="86">
        <f t="array" ref="S1045">iferror(XLOOKUP(C1045,'Download of SFDC Activation Rep'!B:B,'Download of SFDC Activation Rep'!Y:Y),"")</f>
        <v>45958</v>
      </c>
    </row>
    <row r="1046">
      <c r="A1046" s="17" t="s">
        <v>17</v>
      </c>
      <c r="B1046" s="85">
        <v>46113.0</v>
      </c>
      <c r="C1046" s="17">
        <v>4100689.0</v>
      </c>
      <c r="D1046" s="85">
        <v>45901.0</v>
      </c>
      <c r="E1046" s="17">
        <v>8.0</v>
      </c>
      <c r="F1046" s="17">
        <v>0.0</v>
      </c>
      <c r="G1046" s="17">
        <v>73110.0</v>
      </c>
      <c r="H1046" s="17">
        <v>46480.0</v>
      </c>
      <c r="I1046" s="17">
        <v>2120.19</v>
      </c>
      <c r="K1046" s="17">
        <v>38.6558</v>
      </c>
      <c r="L1046" s="17">
        <v>37.9247</v>
      </c>
      <c r="M1046" s="17">
        <v>0.731099999999997</v>
      </c>
      <c r="N1046" s="17"/>
      <c r="O1046" s="14">
        <f t="shared" si="1"/>
        <v>340.7758</v>
      </c>
      <c r="P1046" s="86">
        <f t="array" ref="P1046">iferror(XLOOKUP(C1046,'Download of SFDC Activation Rep'!B:B,'Download of SFDC Activation Rep'!Z:Z),"")</f>
        <v>45903</v>
      </c>
      <c r="Q1046" s="86">
        <f t="shared" si="2"/>
        <v>45901</v>
      </c>
      <c r="R1046" s="13" t="str">
        <f t="shared" si="3"/>
        <v>Yes</v>
      </c>
      <c r="S1046" s="86">
        <f t="array" ref="S1046">iferror(XLOOKUP(C1046,'Download of SFDC Activation Rep'!B:B,'Download of SFDC Activation Rep'!Y:Y),"")</f>
        <v>45908</v>
      </c>
    </row>
    <row r="1047">
      <c r="A1047" s="17" t="s">
        <v>17</v>
      </c>
      <c r="B1047" s="85">
        <v>45992.0</v>
      </c>
      <c r="C1047" s="17">
        <v>4079020.0</v>
      </c>
      <c r="D1047" s="85">
        <v>45901.0</v>
      </c>
      <c r="E1047" s="17">
        <v>10.0</v>
      </c>
      <c r="F1047" s="17">
        <v>9.0</v>
      </c>
      <c r="G1047" s="17">
        <v>13699.84</v>
      </c>
      <c r="H1047" s="17">
        <v>5700.0</v>
      </c>
      <c r="I1047" s="17">
        <v>201.8</v>
      </c>
      <c r="J1047" s="17">
        <v>0.5</v>
      </c>
      <c r="K1047" s="17">
        <v>64.4404999999999</v>
      </c>
      <c r="L1047" s="17">
        <v>57.7897074442154</v>
      </c>
      <c r="M1047" s="17">
        <v>6.65079255578449</v>
      </c>
      <c r="N1047" s="17"/>
      <c r="O1047" s="14">
        <f t="shared" si="1"/>
        <v>64.4405</v>
      </c>
      <c r="P1047" s="86">
        <f t="array" ref="P1047">iferror(XLOOKUP(C1047,'Download of SFDC Activation Rep'!B:B,'Download of SFDC Activation Rep'!Z:Z),"")</f>
        <v>45894</v>
      </c>
      <c r="Q1047" s="86">
        <f t="shared" si="2"/>
        <v>45870</v>
      </c>
      <c r="R1047" s="13" t="str">
        <f t="shared" si="3"/>
        <v>Yes</v>
      </c>
      <c r="S1047" s="86">
        <f t="array" ref="S1047">iferror(XLOOKUP(C1047,'Download of SFDC Activation Rep'!B:B,'Download of SFDC Activation Rep'!Y:Y),"")</f>
        <v>45937</v>
      </c>
    </row>
    <row r="1048">
      <c r="A1048" s="17" t="s">
        <v>17</v>
      </c>
      <c r="B1048" s="85">
        <v>46082.0</v>
      </c>
      <c r="C1048" s="17">
        <v>4378644.0</v>
      </c>
      <c r="D1048" s="85">
        <v>46054.0</v>
      </c>
      <c r="E1048" s="17">
        <v>9.0</v>
      </c>
      <c r="F1048" s="17">
        <v>0.0</v>
      </c>
      <c r="G1048" s="17">
        <v>11753.67</v>
      </c>
      <c r="H1048" s="17"/>
      <c r="I1048" s="17">
        <v>418.38</v>
      </c>
      <c r="K1048" s="17">
        <v>81.5392</v>
      </c>
      <c r="L1048" s="17">
        <v>75.277314222176</v>
      </c>
      <c r="M1048" s="17">
        <v>6.26188577782399</v>
      </c>
      <c r="N1048" s="17"/>
      <c r="O1048" s="14">
        <f t="shared" si="1"/>
        <v>81.5392</v>
      </c>
      <c r="P1048" s="86">
        <f t="array" ref="P1048">iferror(XLOOKUP(C1048,'Download of SFDC Activation Rep'!B:B,'Download of SFDC Activation Rep'!Z:Z),"")</f>
        <v>46056</v>
      </c>
      <c r="Q1048" s="86">
        <f t="shared" si="2"/>
        <v>46054</v>
      </c>
      <c r="R1048" s="13" t="str">
        <f t="shared" si="3"/>
        <v>Yes</v>
      </c>
      <c r="S1048" s="86">
        <f t="array" ref="S1048">iferror(XLOOKUP(C1048,'Download of SFDC Activation Rep'!B:B,'Download of SFDC Activation Rep'!Y:Y),"")</f>
        <v>46086</v>
      </c>
    </row>
    <row r="1049">
      <c r="A1049" s="17" t="s">
        <v>17</v>
      </c>
      <c r="B1049" s="85">
        <v>46174.0</v>
      </c>
      <c r="C1049" s="17">
        <v>4310103.0</v>
      </c>
      <c r="D1049" s="85">
        <v>46082.0</v>
      </c>
      <c r="E1049" s="17">
        <v>3.0</v>
      </c>
      <c r="F1049" s="17">
        <v>0.0</v>
      </c>
      <c r="G1049" s="17">
        <v>20000.0</v>
      </c>
      <c r="H1049" s="17"/>
      <c r="I1049" s="17">
        <v>600.0</v>
      </c>
      <c r="K1049" s="17">
        <v>118.3024</v>
      </c>
      <c r="L1049" s="17">
        <v>103.938843999999</v>
      </c>
      <c r="M1049" s="17">
        <v>14.363556</v>
      </c>
      <c r="N1049" s="17"/>
      <c r="O1049" s="14">
        <f t="shared" si="1"/>
        <v>118.3024</v>
      </c>
      <c r="P1049" s="86">
        <f t="array" ref="P1049">iferror(XLOOKUP(C1049,'Download of SFDC Activation Rep'!B:B,'Download of SFDC Activation Rep'!Z:Z),"")</f>
        <v>46037</v>
      </c>
      <c r="Q1049" s="86">
        <f t="shared" si="2"/>
        <v>46023</v>
      </c>
      <c r="R1049" s="13" t="str">
        <f t="shared" si="3"/>
        <v>Yes</v>
      </c>
      <c r="S1049" s="86">
        <f t="array" ref="S1049">iferror(XLOOKUP(C1049,'Download of SFDC Activation Rep'!B:B,'Download of SFDC Activation Rep'!Y:Y),"")</f>
        <v>46108</v>
      </c>
    </row>
    <row r="1050">
      <c r="A1050" s="17" t="s">
        <v>17</v>
      </c>
      <c r="B1050" s="85">
        <v>46143.0</v>
      </c>
      <c r="C1050" s="17">
        <v>3942346.0</v>
      </c>
      <c r="D1050" s="85">
        <v>45809.0</v>
      </c>
      <c r="E1050" s="17">
        <v>1.0</v>
      </c>
      <c r="F1050" s="17">
        <v>1.0</v>
      </c>
      <c r="G1050" s="17">
        <v>2516.13</v>
      </c>
      <c r="H1050" s="17"/>
      <c r="I1050" s="17">
        <v>38.32</v>
      </c>
      <c r="K1050" s="17">
        <v>31.6012</v>
      </c>
      <c r="L1050" s="17">
        <v>31.2009654532149</v>
      </c>
      <c r="M1050" s="17">
        <v>0.400234546785</v>
      </c>
      <c r="N1050" s="17"/>
      <c r="O1050" s="14">
        <f t="shared" si="1"/>
        <v>31.6012</v>
      </c>
      <c r="P1050" s="86">
        <f t="array" ref="P1050">iferror(XLOOKUP(C1050,'Download of SFDC Activation Rep'!B:B,'Download of SFDC Activation Rep'!Z:Z),"")</f>
        <v>45809</v>
      </c>
      <c r="Q1050" s="86">
        <f t="shared" si="2"/>
        <v>45809</v>
      </c>
      <c r="R1050" s="13" t="str">
        <f t="shared" si="3"/>
        <v>Yes</v>
      </c>
      <c r="S1050" s="86">
        <f t="array" ref="S1050">iferror(XLOOKUP(C1050,'Download of SFDC Activation Rep'!B:B,'Download of SFDC Activation Rep'!Y:Y),"")</f>
        <v>45812</v>
      </c>
    </row>
    <row r="1051">
      <c r="A1051" s="17" t="s">
        <v>17</v>
      </c>
      <c r="B1051" s="85">
        <v>46143.0</v>
      </c>
      <c r="C1051" s="17">
        <v>4100689.0</v>
      </c>
      <c r="D1051" s="85">
        <v>45901.0</v>
      </c>
      <c r="E1051" s="17">
        <v>9.0</v>
      </c>
      <c r="F1051" s="17">
        <v>0.0</v>
      </c>
      <c r="G1051" s="17">
        <v>47470.0</v>
      </c>
      <c r="H1051" s="17">
        <v>13800.0</v>
      </c>
      <c r="I1051" s="17">
        <v>1376.63</v>
      </c>
      <c r="K1051" s="17">
        <v>70.3102</v>
      </c>
      <c r="L1051" s="17">
        <v>69.8355</v>
      </c>
      <c r="M1051" s="17">
        <v>0.474699999999984</v>
      </c>
      <c r="N1051" s="17"/>
      <c r="O1051" s="14">
        <f t="shared" si="1"/>
        <v>70.3102</v>
      </c>
      <c r="P1051" s="86">
        <f t="array" ref="P1051">iferror(XLOOKUP(C1051,'Download of SFDC Activation Rep'!B:B,'Download of SFDC Activation Rep'!Z:Z),"")</f>
        <v>45903</v>
      </c>
      <c r="Q1051" s="86">
        <f t="shared" si="2"/>
        <v>45901</v>
      </c>
      <c r="R1051" s="13" t="str">
        <f t="shared" si="3"/>
        <v>Yes</v>
      </c>
      <c r="S1051" s="86">
        <f t="array" ref="S1051">iferror(XLOOKUP(C1051,'Download of SFDC Activation Rep'!B:B,'Download of SFDC Activation Rep'!Y:Y),"")</f>
        <v>45908</v>
      </c>
    </row>
    <row r="1052">
      <c r="A1052" s="17" t="s">
        <v>17</v>
      </c>
      <c r="B1052" s="85">
        <v>46174.0</v>
      </c>
      <c r="C1052" s="17">
        <v>4380860.0</v>
      </c>
      <c r="D1052" s="85">
        <v>46023.0</v>
      </c>
      <c r="E1052" s="17">
        <v>80.0</v>
      </c>
      <c r="F1052" s="17">
        <v>0.0</v>
      </c>
      <c r="G1052" s="17">
        <v>14226.56</v>
      </c>
      <c r="H1052" s="17">
        <v>12885.56</v>
      </c>
      <c r="I1052" s="17">
        <v>663.2</v>
      </c>
      <c r="K1052" s="17">
        <v>91.981</v>
      </c>
      <c r="L1052" s="17">
        <v>84.305279025136</v>
      </c>
      <c r="M1052" s="17">
        <v>7.67572097486399</v>
      </c>
      <c r="N1052" s="17"/>
      <c r="O1052" s="14">
        <f t="shared" si="1"/>
        <v>91.981</v>
      </c>
      <c r="P1052" s="86">
        <f t="array" ref="P1052">iferror(XLOOKUP(C1052,'Download of SFDC Activation Rep'!B:B,'Download of SFDC Activation Rep'!Z:Z),"")</f>
        <v>46049</v>
      </c>
      <c r="Q1052" s="86">
        <f t="shared" si="2"/>
        <v>46023</v>
      </c>
      <c r="R1052" s="13" t="str">
        <f t="shared" si="3"/>
        <v>Yes</v>
      </c>
      <c r="S1052" s="86">
        <f t="array" ref="S1052">iferror(XLOOKUP(C1052,'Download of SFDC Activation Rep'!B:B,'Download of SFDC Activation Rep'!Y:Y),"")</f>
        <v>46051</v>
      </c>
    </row>
    <row r="1053">
      <c r="A1053" s="17" t="s">
        <v>17</v>
      </c>
      <c r="B1053" s="85">
        <v>46054.0</v>
      </c>
      <c r="C1053" s="17">
        <v>3958943.0</v>
      </c>
      <c r="D1053" s="85">
        <v>45839.0</v>
      </c>
      <c r="E1053" s="17">
        <v>7.0</v>
      </c>
      <c r="F1053" s="17">
        <v>3.0</v>
      </c>
      <c r="G1053" s="17">
        <v>3414.45</v>
      </c>
      <c r="H1053" s="17">
        <v>777.52</v>
      </c>
      <c r="I1053" s="17">
        <v>28.95</v>
      </c>
      <c r="K1053" s="17">
        <v>0.5296</v>
      </c>
      <c r="L1053" s="17">
        <v>0.4954555</v>
      </c>
      <c r="M1053" s="17">
        <v>0.0341445000000002</v>
      </c>
      <c r="N1053" s="17"/>
      <c r="O1053" s="14">
        <f t="shared" si="1"/>
        <v>5.58348</v>
      </c>
      <c r="P1053" s="86">
        <f t="array" ref="P1053">iferror(XLOOKUP(C1053,'Download of SFDC Activation Rep'!B:B,'Download of SFDC Activation Rep'!Z:Z),"")</f>
        <v>45839</v>
      </c>
      <c r="Q1053" s="86">
        <f t="shared" si="2"/>
        <v>45839</v>
      </c>
      <c r="R1053" s="13" t="str">
        <f t="shared" si="3"/>
        <v>Yes</v>
      </c>
      <c r="S1053" s="86">
        <f t="array" ref="S1053">iferror(XLOOKUP(C1053,'Download of SFDC Activation Rep'!B:B,'Download of SFDC Activation Rep'!Y:Y),"")</f>
        <v>45862</v>
      </c>
    </row>
    <row r="1054">
      <c r="A1054" s="17" t="s">
        <v>17</v>
      </c>
      <c r="B1054" s="85">
        <v>46023.0</v>
      </c>
      <c r="C1054" s="17">
        <v>4148405.0</v>
      </c>
      <c r="D1054" s="85">
        <v>45931.0</v>
      </c>
      <c r="E1054" s="17">
        <v>15.0</v>
      </c>
      <c r="F1054" s="17">
        <v>1.0</v>
      </c>
      <c r="G1054" s="17">
        <v>5604.17</v>
      </c>
      <c r="H1054" s="17">
        <v>5139.25</v>
      </c>
      <c r="I1054" s="17">
        <v>173.65</v>
      </c>
      <c r="J1054" s="17"/>
      <c r="K1054" s="17">
        <v>3.1784</v>
      </c>
      <c r="L1054" s="17">
        <v>3.05175559999999</v>
      </c>
      <c r="M1054" s="17">
        <v>0.1266444</v>
      </c>
      <c r="N1054" s="17"/>
      <c r="O1054" s="14">
        <f t="shared" si="1"/>
        <v>36.583525</v>
      </c>
      <c r="P1054" s="86">
        <f t="array" ref="P1054">iferror(XLOOKUP(C1054,'Download of SFDC Activation Rep'!B:B,'Download of SFDC Activation Rep'!Z:Z),"")</f>
        <v>45895</v>
      </c>
      <c r="Q1054" s="86">
        <f t="shared" si="2"/>
        <v>45870</v>
      </c>
      <c r="R1054" s="13" t="str">
        <f t="shared" si="3"/>
        <v>Yes</v>
      </c>
      <c r="S1054" s="86">
        <f t="array" ref="S1054">iferror(XLOOKUP(C1054,'Download of SFDC Activation Rep'!B:B,'Download of SFDC Activation Rep'!Y:Y),"")</f>
        <v>45954</v>
      </c>
    </row>
    <row r="1055">
      <c r="A1055" s="17" t="s">
        <v>17</v>
      </c>
      <c r="B1055" s="85">
        <v>45748.0</v>
      </c>
      <c r="C1055" s="17">
        <v>3738104.0</v>
      </c>
      <c r="D1055" s="85">
        <v>45748.0</v>
      </c>
      <c r="E1055" s="17">
        <v>6.0</v>
      </c>
      <c r="F1055" s="17">
        <v>6.0</v>
      </c>
      <c r="G1055" s="17">
        <v>3470.07</v>
      </c>
      <c r="H1055" s="17"/>
      <c r="I1055" s="17">
        <v>0.5</v>
      </c>
      <c r="J1055" s="17">
        <v>0.5</v>
      </c>
      <c r="K1055" s="17">
        <v>-0.35</v>
      </c>
      <c r="L1055" s="17">
        <v>-0.893695241437283</v>
      </c>
      <c r="M1055" s="17">
        <v>0.543695241437283</v>
      </c>
      <c r="N1055" s="17"/>
      <c r="O1055" s="14">
        <f t="shared" si="1"/>
        <v>-0.35</v>
      </c>
      <c r="P1055" s="86">
        <f t="array" ref="P1055">iferror(XLOOKUP(C1055,'Download of SFDC Activation Rep'!B:B,'Download of SFDC Activation Rep'!Z:Z),"")</f>
        <v>45806</v>
      </c>
      <c r="Q1055" s="86">
        <f t="shared" si="2"/>
        <v>45778</v>
      </c>
      <c r="R1055" s="13" t="str">
        <f t="shared" si="3"/>
        <v>No</v>
      </c>
      <c r="S1055" s="86">
        <f t="array" ref="S1055">iferror(XLOOKUP(C1055,'Download of SFDC Activation Rep'!B:B,'Download of SFDC Activation Rep'!Y:Y),"")</f>
        <v>45806</v>
      </c>
    </row>
    <row r="1056">
      <c r="A1056" s="17" t="s">
        <v>17</v>
      </c>
      <c r="B1056" s="85">
        <v>46174.0</v>
      </c>
      <c r="C1056" s="17">
        <v>4247168.0</v>
      </c>
      <c r="D1056" s="85">
        <v>45992.0</v>
      </c>
      <c r="E1056" s="17">
        <v>27.0</v>
      </c>
      <c r="F1056" s="17">
        <v>27.0</v>
      </c>
      <c r="G1056" s="17">
        <v>90636.02</v>
      </c>
      <c r="H1056" s="17"/>
      <c r="I1056" s="17">
        <v>0.0</v>
      </c>
      <c r="J1056" s="17"/>
      <c r="K1056" s="17">
        <v>-4.27469999999999</v>
      </c>
      <c r="L1056" s="17">
        <v>-5.0959498</v>
      </c>
      <c r="M1056" s="17">
        <v>0.821249800000001</v>
      </c>
      <c r="N1056" s="17"/>
      <c r="O1056" s="14">
        <f t="shared" si="1"/>
        <v>-4.2747</v>
      </c>
      <c r="P1056" s="86">
        <f t="array" ref="P1056">iferror(XLOOKUP(C1056,'Download of SFDC Activation Rep'!B:B,'Download of SFDC Activation Rep'!Z:Z),"")</f>
        <v>45968</v>
      </c>
      <c r="Q1056" s="86">
        <f t="shared" si="2"/>
        <v>45962</v>
      </c>
      <c r="R1056" s="13" t="str">
        <f t="shared" si="3"/>
        <v>Yes</v>
      </c>
      <c r="S1056" s="86">
        <f t="array" ref="S1056">iferror(XLOOKUP(C1056,'Download of SFDC Activation Rep'!B:B,'Download of SFDC Activation Rep'!Y:Y),"")</f>
        <v>46006</v>
      </c>
    </row>
    <row r="1057">
      <c r="A1057" s="17" t="s">
        <v>17</v>
      </c>
      <c r="B1057" s="85">
        <v>46054.0</v>
      </c>
      <c r="C1057" s="17">
        <v>4098415.0</v>
      </c>
      <c r="D1057" s="85">
        <v>45901.0</v>
      </c>
      <c r="E1057" s="17">
        <v>16.0</v>
      </c>
      <c r="F1057" s="17">
        <v>13.0</v>
      </c>
      <c r="G1057" s="17">
        <v>31523.31</v>
      </c>
      <c r="I1057" s="17">
        <v>116.11</v>
      </c>
      <c r="K1057" s="17">
        <v>81.8343</v>
      </c>
      <c r="L1057" s="17">
        <v>81.5190669</v>
      </c>
      <c r="M1057" s="17">
        <v>0.315233100000014</v>
      </c>
      <c r="N1057" s="17"/>
      <c r="O1057" s="14">
        <f t="shared" si="1"/>
        <v>81.8343</v>
      </c>
      <c r="P1057" s="86">
        <f t="array" ref="P1057">iferror(XLOOKUP(C1057,'Download of SFDC Activation Rep'!B:B,'Download of SFDC Activation Rep'!Z:Z),"")</f>
        <v>45895</v>
      </c>
      <c r="Q1057" s="86">
        <f t="shared" si="2"/>
        <v>45870</v>
      </c>
      <c r="R1057" s="13" t="str">
        <f t="shared" si="3"/>
        <v>Yes</v>
      </c>
      <c r="S1057" s="86">
        <f t="array" ref="S1057">iferror(XLOOKUP(C1057,'Download of SFDC Activation Rep'!B:B,'Download of SFDC Activation Rep'!Y:Y),"")</f>
        <v>45910</v>
      </c>
    </row>
    <row r="1058">
      <c r="A1058" s="17" t="s">
        <v>488</v>
      </c>
      <c r="B1058" s="85">
        <v>46143.0</v>
      </c>
      <c r="C1058" s="17">
        <v>4299448.0</v>
      </c>
      <c r="D1058" s="85">
        <v>45992.0</v>
      </c>
      <c r="E1058" s="17">
        <v>12.0</v>
      </c>
      <c r="F1058" s="17">
        <v>0.0</v>
      </c>
      <c r="G1058" s="17">
        <v>81008.78</v>
      </c>
      <c r="I1058" s="17">
        <v>2389.24</v>
      </c>
      <c r="K1058" s="17">
        <v>186.9586</v>
      </c>
      <c r="L1058" s="17">
        <v>129.871472174416</v>
      </c>
      <c r="M1058" s="17">
        <v>57.0871278255839</v>
      </c>
      <c r="N1058" s="17"/>
      <c r="O1058" s="14">
        <f t="shared" si="1"/>
        <v>186.9586</v>
      </c>
      <c r="P1058" s="86">
        <f t="array" ref="P1058">iferror(XLOOKUP(C1058,'Download of SFDC Activation Rep'!B:B,'Download of SFDC Activation Rep'!Z:Z),"")</f>
        <v>46197</v>
      </c>
      <c r="Q1058" s="86">
        <f t="shared" si="2"/>
        <v>46174</v>
      </c>
      <c r="R1058" s="13" t="str">
        <f t="shared" si="3"/>
        <v>No</v>
      </c>
      <c r="S1058" s="86">
        <f t="array" ref="S1058">iferror(XLOOKUP(C1058,'Download of SFDC Activation Rep'!B:B,'Download of SFDC Activation Rep'!Y:Y),"")</f>
        <v>46361</v>
      </c>
    </row>
    <row r="1059">
      <c r="A1059" s="17" t="s">
        <v>17</v>
      </c>
      <c r="B1059" s="85">
        <v>46174.0</v>
      </c>
      <c r="C1059" s="17">
        <v>4442279.0</v>
      </c>
      <c r="D1059" s="85">
        <v>46054.0</v>
      </c>
      <c r="E1059" s="17">
        <v>51.0</v>
      </c>
      <c r="F1059" s="17">
        <v>17.0</v>
      </c>
      <c r="G1059" s="17">
        <v>85892.43</v>
      </c>
      <c r="H1059" s="17">
        <v>23205.74</v>
      </c>
      <c r="I1059" s="17">
        <v>1255.55</v>
      </c>
      <c r="J1059" s="17"/>
      <c r="K1059" s="17">
        <v>201.440099999999</v>
      </c>
      <c r="L1059" s="17">
        <v>200.5811757</v>
      </c>
      <c r="M1059" s="17">
        <v>0.858924299999955</v>
      </c>
      <c r="N1059" s="17"/>
      <c r="O1059" s="14">
        <f t="shared" si="1"/>
        <v>201.4401</v>
      </c>
      <c r="P1059" s="86">
        <f t="array" ref="P1059">iferror(XLOOKUP(C1059,'Download of SFDC Activation Rep'!B:B,'Download of SFDC Activation Rep'!Z:Z),"")</f>
        <v>46063</v>
      </c>
      <c r="Q1059" s="86">
        <f t="shared" si="2"/>
        <v>46054</v>
      </c>
      <c r="R1059" s="13" t="str">
        <f t="shared" si="3"/>
        <v>Yes</v>
      </c>
      <c r="S1059" s="86">
        <f t="array" ref="S1059">iferror(XLOOKUP(C1059,'Download of SFDC Activation Rep'!B:B,'Download of SFDC Activation Rep'!Y:Y),"")</f>
        <v>46108</v>
      </c>
    </row>
    <row r="1060">
      <c r="A1060" s="17" t="s">
        <v>17</v>
      </c>
      <c r="B1060" s="85">
        <v>46023.0</v>
      </c>
      <c r="C1060" s="17">
        <v>4186958.0</v>
      </c>
      <c r="D1060" s="85">
        <v>45931.0</v>
      </c>
      <c r="E1060" s="17">
        <v>1.0</v>
      </c>
      <c r="F1060" s="17">
        <v>1.0</v>
      </c>
      <c r="G1060" s="17">
        <v>4500.0</v>
      </c>
      <c r="H1060" s="17"/>
      <c r="I1060" s="17">
        <v>1.5</v>
      </c>
      <c r="K1060" s="17">
        <v>0.5703</v>
      </c>
      <c r="L1060" s="17">
        <v>-0.736457204099999</v>
      </c>
      <c r="M1060" s="17">
        <v>1.3067572041</v>
      </c>
      <c r="N1060" s="17"/>
      <c r="O1060" s="14">
        <f t="shared" si="1"/>
        <v>0.5703</v>
      </c>
      <c r="P1060" s="86">
        <f t="array" ref="P1060">iferror(XLOOKUP(C1060,'Download of SFDC Activation Rep'!B:B,'Download of SFDC Activation Rep'!Z:Z),"")</f>
        <v>45931</v>
      </c>
      <c r="Q1060" s="86">
        <f t="shared" si="2"/>
        <v>45931</v>
      </c>
      <c r="R1060" s="13" t="str">
        <f t="shared" si="3"/>
        <v>Yes</v>
      </c>
      <c r="S1060" s="86">
        <f t="array" ref="S1060">iferror(XLOOKUP(C1060,'Download of SFDC Activation Rep'!B:B,'Download of SFDC Activation Rep'!Y:Y),"")</f>
        <v>45957</v>
      </c>
    </row>
    <row r="1061">
      <c r="A1061" s="17" t="s">
        <v>17</v>
      </c>
      <c r="B1061" s="85">
        <v>46174.0</v>
      </c>
      <c r="C1061" s="17">
        <v>4186958.0</v>
      </c>
      <c r="D1061" s="85">
        <v>45931.0</v>
      </c>
      <c r="E1061" s="17">
        <v>1.0</v>
      </c>
      <c r="F1061" s="17">
        <v>1.0</v>
      </c>
      <c r="G1061" s="17">
        <v>4500.0</v>
      </c>
      <c r="H1061" s="17"/>
      <c r="I1061" s="17">
        <v>1.5</v>
      </c>
      <c r="K1061" s="17">
        <v>0.6207</v>
      </c>
      <c r="L1061" s="17">
        <v>-0.0393658499999999</v>
      </c>
      <c r="M1061" s="17">
        <v>0.66006585</v>
      </c>
      <c r="N1061" s="17"/>
      <c r="O1061" s="14">
        <f t="shared" si="1"/>
        <v>0.6207</v>
      </c>
      <c r="P1061" s="86">
        <f t="array" ref="P1061">iferror(XLOOKUP(C1061,'Download of SFDC Activation Rep'!B:B,'Download of SFDC Activation Rep'!Z:Z),"")</f>
        <v>45931</v>
      </c>
      <c r="Q1061" s="86">
        <f t="shared" si="2"/>
        <v>45931</v>
      </c>
      <c r="R1061" s="13" t="str">
        <f t="shared" si="3"/>
        <v>Yes</v>
      </c>
      <c r="S1061" s="86">
        <f t="array" ref="S1061">iferror(XLOOKUP(C1061,'Download of SFDC Activation Rep'!B:B,'Download of SFDC Activation Rep'!Y:Y),"")</f>
        <v>45957</v>
      </c>
    </row>
    <row r="1062">
      <c r="A1062" s="17" t="s">
        <v>17</v>
      </c>
      <c r="B1062" s="85">
        <v>45748.0</v>
      </c>
      <c r="C1062" s="17">
        <v>2967694.0</v>
      </c>
      <c r="D1062" s="85">
        <v>45292.0</v>
      </c>
      <c r="E1062" s="17">
        <v>1.0</v>
      </c>
      <c r="F1062" s="17">
        <v>0.0</v>
      </c>
      <c r="G1062" s="17">
        <v>67200.0</v>
      </c>
      <c r="H1062" s="17">
        <v>67200.0</v>
      </c>
      <c r="I1062" s="17">
        <v>1948.8</v>
      </c>
      <c r="J1062" s="17"/>
      <c r="K1062" s="17">
        <v>283.4078</v>
      </c>
      <c r="L1062" s="17">
        <v>247.76136976352</v>
      </c>
      <c r="M1062" s="17">
        <v>35.64643023648</v>
      </c>
      <c r="N1062" s="17"/>
      <c r="O1062" s="14">
        <f t="shared" si="1"/>
        <v>283.4078</v>
      </c>
      <c r="P1062" s="86">
        <f t="array" ref="P1062">iferror(XLOOKUP(C1062,'Download of SFDC Activation Rep'!B:B,'Download of SFDC Activation Rep'!Z:Z),"")</f>
        <v>45924</v>
      </c>
      <c r="Q1062" s="86">
        <f t="shared" si="2"/>
        <v>45901</v>
      </c>
      <c r="R1062" s="13" t="str">
        <f t="shared" si="3"/>
        <v>No</v>
      </c>
      <c r="S1062" s="86">
        <f t="array" ref="S1062">iferror(XLOOKUP(C1062,'Download of SFDC Activation Rep'!B:B,'Download of SFDC Activation Rep'!Y:Y),"")</f>
        <v>46055</v>
      </c>
    </row>
    <row r="1063">
      <c r="A1063" s="17" t="s">
        <v>17</v>
      </c>
      <c r="B1063" s="85">
        <v>45931.0</v>
      </c>
      <c r="C1063" s="17">
        <v>3997416.0</v>
      </c>
      <c r="D1063" s="85">
        <v>45839.0</v>
      </c>
      <c r="E1063" s="17">
        <v>1.0</v>
      </c>
      <c r="F1063" s="17">
        <v>0.0</v>
      </c>
      <c r="G1063" s="17">
        <v>5700.0</v>
      </c>
      <c r="I1063" s="17">
        <v>165.3</v>
      </c>
      <c r="J1063" s="17"/>
      <c r="K1063" s="17">
        <v>14.2447</v>
      </c>
      <c r="L1063" s="17">
        <v>14.1877</v>
      </c>
      <c r="M1063" s="17">
        <v>0.0570000000000003</v>
      </c>
      <c r="N1063" s="17"/>
      <c r="O1063" s="14">
        <f t="shared" si="1"/>
        <v>14.2447</v>
      </c>
      <c r="P1063" s="86">
        <f t="array" ref="P1063">iferror(XLOOKUP(C1063,'Download of SFDC Activation Rep'!B:B,'Download of SFDC Activation Rep'!Z:Z),"")</f>
        <v>45876</v>
      </c>
      <c r="Q1063" s="86">
        <f t="shared" si="2"/>
        <v>45870</v>
      </c>
      <c r="R1063" s="13" t="str">
        <f t="shared" si="3"/>
        <v>Yes</v>
      </c>
      <c r="S1063" s="86">
        <f t="array" ref="S1063">iferror(XLOOKUP(C1063,'Download of SFDC Activation Rep'!B:B,'Download of SFDC Activation Rep'!Y:Y),"")</f>
        <v>45849</v>
      </c>
    </row>
    <row r="1064">
      <c r="A1064" s="17" t="s">
        <v>17</v>
      </c>
      <c r="B1064" s="85">
        <v>46082.0</v>
      </c>
      <c r="C1064" s="17">
        <v>4079020.0</v>
      </c>
      <c r="D1064" s="85">
        <v>45901.0</v>
      </c>
      <c r="E1064" s="17">
        <v>5.0</v>
      </c>
      <c r="F1064" s="17">
        <v>5.0</v>
      </c>
      <c r="G1064" s="17">
        <v>5450.0</v>
      </c>
      <c r="H1064" s="17"/>
      <c r="I1064" s="17">
        <v>54.5</v>
      </c>
      <c r="J1064" s="17"/>
      <c r="K1064" s="17">
        <v>53.5801999999999</v>
      </c>
      <c r="L1064" s="17">
        <v>44.641565075</v>
      </c>
      <c r="M1064" s="17">
        <v>8.93863492499998</v>
      </c>
      <c r="N1064" s="17"/>
      <c r="O1064" s="14">
        <f t="shared" si="1"/>
        <v>53.5802</v>
      </c>
      <c r="P1064" s="86">
        <f t="array" ref="P1064">iferror(XLOOKUP(C1064,'Download of SFDC Activation Rep'!B:B,'Download of SFDC Activation Rep'!Z:Z),"")</f>
        <v>45894</v>
      </c>
      <c r="Q1064" s="86">
        <f t="shared" si="2"/>
        <v>45870</v>
      </c>
      <c r="R1064" s="13" t="str">
        <f t="shared" si="3"/>
        <v>Yes</v>
      </c>
      <c r="S1064" s="86">
        <f t="array" ref="S1064">iferror(XLOOKUP(C1064,'Download of SFDC Activation Rep'!B:B,'Download of SFDC Activation Rep'!Y:Y),"")</f>
        <v>45937</v>
      </c>
    </row>
    <row r="1065">
      <c r="A1065" s="17" t="s">
        <v>17</v>
      </c>
      <c r="B1065" s="85">
        <v>46113.0</v>
      </c>
      <c r="C1065" s="17">
        <v>3958943.0</v>
      </c>
      <c r="D1065" s="85">
        <v>45839.0</v>
      </c>
      <c r="E1065" s="17">
        <v>5.0</v>
      </c>
      <c r="F1065" s="17">
        <v>2.0</v>
      </c>
      <c r="G1065" s="17">
        <v>1992.53</v>
      </c>
      <c r="H1065" s="17">
        <v>162.94</v>
      </c>
      <c r="I1065" s="17">
        <v>24.84</v>
      </c>
      <c r="J1065" s="17"/>
      <c r="K1065" s="17">
        <v>-0.6315</v>
      </c>
      <c r="L1065" s="17">
        <v>-0.6514253</v>
      </c>
      <c r="M1065" s="17">
        <v>0.0199253</v>
      </c>
      <c r="N1065" s="17"/>
      <c r="O1065" s="14">
        <f t="shared" si="1"/>
        <v>0.42761</v>
      </c>
      <c r="P1065" s="86">
        <f t="array" ref="P1065">iferror(XLOOKUP(C1065,'Download of SFDC Activation Rep'!B:B,'Download of SFDC Activation Rep'!Z:Z),"")</f>
        <v>45839</v>
      </c>
      <c r="Q1065" s="86">
        <f t="shared" si="2"/>
        <v>45839</v>
      </c>
      <c r="R1065" s="13" t="str">
        <f t="shared" si="3"/>
        <v>Yes</v>
      </c>
      <c r="S1065" s="86">
        <f t="array" ref="S1065">iferror(XLOOKUP(C1065,'Download of SFDC Activation Rep'!B:B,'Download of SFDC Activation Rep'!Y:Y),"")</f>
        <v>45862</v>
      </c>
    </row>
    <row r="1066">
      <c r="A1066" s="17" t="s">
        <v>17</v>
      </c>
      <c r="B1066" s="85">
        <v>46023.0</v>
      </c>
      <c r="C1066" s="17">
        <v>4247168.0</v>
      </c>
      <c r="D1066" s="85">
        <v>45992.0</v>
      </c>
      <c r="E1066" s="17">
        <v>4.0</v>
      </c>
      <c r="F1066" s="17">
        <v>4.0</v>
      </c>
      <c r="G1066" s="17">
        <v>13493.69</v>
      </c>
      <c r="H1066" s="17"/>
      <c r="I1066" s="17">
        <v>0.0</v>
      </c>
      <c r="K1066" s="17">
        <v>-0.6156</v>
      </c>
      <c r="L1066" s="17">
        <v>-1.0204107</v>
      </c>
      <c r="M1066" s="17">
        <v>0.404810699999999</v>
      </c>
      <c r="N1066" s="17"/>
      <c r="O1066" s="14">
        <f t="shared" si="1"/>
        <v>-0.6156</v>
      </c>
      <c r="P1066" s="86">
        <f t="array" ref="P1066">iferror(XLOOKUP(C1066,'Download of SFDC Activation Rep'!B:B,'Download of SFDC Activation Rep'!Z:Z),"")</f>
        <v>45968</v>
      </c>
      <c r="Q1066" s="86">
        <f t="shared" si="2"/>
        <v>45962</v>
      </c>
      <c r="R1066" s="13" t="str">
        <f t="shared" si="3"/>
        <v>Yes</v>
      </c>
      <c r="S1066" s="86">
        <f t="array" ref="S1066">iferror(XLOOKUP(C1066,'Download of SFDC Activation Rep'!B:B,'Download of SFDC Activation Rep'!Y:Y),"")</f>
        <v>46006</v>
      </c>
    </row>
    <row r="1067">
      <c r="A1067" s="17" t="s">
        <v>17</v>
      </c>
      <c r="B1067" s="85">
        <v>46082.0</v>
      </c>
      <c r="C1067" s="17">
        <v>4490170.0</v>
      </c>
      <c r="D1067" s="85">
        <v>46082.0</v>
      </c>
      <c r="E1067" s="17">
        <v>2.0</v>
      </c>
      <c r="F1067" s="17">
        <v>0.0</v>
      </c>
      <c r="G1067" s="17">
        <v>38600.0</v>
      </c>
      <c r="H1067" s="17">
        <v>38600.0</v>
      </c>
      <c r="I1067" s="17">
        <v>1169.4</v>
      </c>
      <c r="K1067" s="17">
        <v>-8.4129</v>
      </c>
      <c r="L1067" s="17">
        <v>-28.50237808</v>
      </c>
      <c r="M1067" s="17">
        <v>20.08947808</v>
      </c>
      <c r="N1067" s="17">
        <v>0.0</v>
      </c>
      <c r="O1067" s="14">
        <f t="shared" si="1"/>
        <v>242.4871</v>
      </c>
      <c r="P1067" s="86">
        <f t="array" ref="P1067">iferror(XLOOKUP(C1067,'Download of SFDC Activation Rep'!B:B,'Download of SFDC Activation Rep'!Z:Z),"")</f>
        <v>46092</v>
      </c>
      <c r="Q1067" s="86">
        <f t="shared" si="2"/>
        <v>46082</v>
      </c>
      <c r="R1067" s="13" t="str">
        <f t="shared" si="3"/>
        <v>Yes</v>
      </c>
      <c r="S1067" s="86">
        <f t="array" ref="S1067">iferror(XLOOKUP(C1067,'Download of SFDC Activation Rep'!B:B,'Download of SFDC Activation Rep'!Y:Y),"")</f>
        <v>46251</v>
      </c>
    </row>
    <row r="1068">
      <c r="A1068" s="17" t="s">
        <v>19</v>
      </c>
      <c r="B1068" s="85">
        <v>46143.0</v>
      </c>
      <c r="C1068" s="17">
        <v>1938612.0</v>
      </c>
      <c r="D1068" s="85">
        <v>45962.0</v>
      </c>
      <c r="E1068" s="17">
        <v>5.0</v>
      </c>
      <c r="F1068" s="17">
        <v>5.0</v>
      </c>
      <c r="G1068" s="17">
        <v>10437.78</v>
      </c>
      <c r="H1068" s="17"/>
      <c r="I1068" s="17">
        <v>10.0</v>
      </c>
      <c r="K1068" s="17">
        <v>7.4918</v>
      </c>
      <c r="L1068" s="17">
        <v>5.398492780486</v>
      </c>
      <c r="M1068" s="17">
        <v>2.093307219514</v>
      </c>
      <c r="N1068" s="17">
        <v>68.0</v>
      </c>
      <c r="O1068" s="14">
        <f t="shared" si="1"/>
        <v>75.4918</v>
      </c>
      <c r="P1068" s="86">
        <f t="array" ref="P1068">iferror(XLOOKUP(C1068,'Download of SFDC Activation Rep'!B:B,'Download of SFDC Activation Rep'!Z:Z),"")</f>
        <v>45904</v>
      </c>
      <c r="Q1068" s="86">
        <f t="shared" si="2"/>
        <v>45901</v>
      </c>
      <c r="R1068" s="13" t="str">
        <f t="shared" si="3"/>
        <v>Yes</v>
      </c>
      <c r="S1068" s="86">
        <f t="array" ref="S1068">iferror(XLOOKUP(C1068,'Download of SFDC Activation Rep'!B:B,'Download of SFDC Activation Rep'!Y:Y),"")</f>
        <v>45966</v>
      </c>
    </row>
    <row r="1069">
      <c r="A1069" s="17" t="s">
        <v>19</v>
      </c>
      <c r="B1069" s="85">
        <v>46143.0</v>
      </c>
      <c r="C1069" s="17">
        <v>4270780.0</v>
      </c>
      <c r="D1069" s="85">
        <v>45992.0</v>
      </c>
      <c r="E1069" s="17">
        <v>16.0</v>
      </c>
      <c r="F1069" s="17">
        <v>16.0</v>
      </c>
      <c r="G1069" s="17">
        <v>1186028.35</v>
      </c>
      <c r="H1069" s="17"/>
      <c r="I1069" s="17">
        <v>2922.5</v>
      </c>
      <c r="J1069" s="17"/>
      <c r="K1069" s="17">
        <v>2919.1391</v>
      </c>
      <c r="L1069" s="17">
        <v>2733.31841578514</v>
      </c>
      <c r="M1069" s="17">
        <v>185.820684214855</v>
      </c>
      <c r="N1069" s="17">
        <v>64.0</v>
      </c>
      <c r="O1069" s="14">
        <f t="shared" si="1"/>
        <v>2983.1391</v>
      </c>
      <c r="P1069" s="86">
        <f t="array" ref="P1069">iferror(XLOOKUP(C1069,'Download of SFDC Activation Rep'!B:B,'Download of SFDC Activation Rep'!Z:Z),"")</f>
        <v>45961</v>
      </c>
      <c r="Q1069" s="86">
        <f t="shared" si="2"/>
        <v>45931</v>
      </c>
      <c r="R1069" s="13" t="str">
        <f t="shared" si="3"/>
        <v>Yes</v>
      </c>
      <c r="S1069" s="86">
        <f t="array" ref="S1069">iferror(XLOOKUP(C1069,'Download of SFDC Activation Rep'!B:B,'Download of SFDC Activation Rep'!Y:Y),"")</f>
        <v>46013</v>
      </c>
    </row>
    <row r="1070">
      <c r="A1070" s="17" t="s">
        <v>1486</v>
      </c>
      <c r="B1070" s="85">
        <v>46023.0</v>
      </c>
      <c r="C1070" s="17">
        <v>4308093.0</v>
      </c>
      <c r="D1070" s="85">
        <v>46023.0</v>
      </c>
      <c r="E1070" s="17">
        <v>6.0</v>
      </c>
      <c r="F1070" s="17">
        <v>6.0</v>
      </c>
      <c r="G1070" s="17">
        <v>6142.42</v>
      </c>
      <c r="H1070" s="17"/>
      <c r="I1070" s="17">
        <v>0.0</v>
      </c>
      <c r="K1070" s="17">
        <v>-0.8833</v>
      </c>
      <c r="L1070" s="17">
        <v>-2.18945095623787</v>
      </c>
      <c r="M1070" s="17">
        <v>1.30615095623787</v>
      </c>
      <c r="N1070" s="17">
        <v>1.74999999999999</v>
      </c>
      <c r="O1070" s="14">
        <f t="shared" si="1"/>
        <v>0.8667</v>
      </c>
      <c r="P1070" s="86">
        <f t="array" ref="P1070">iferror(XLOOKUP(C1070,'Download of SFDC Activation Rep'!B:B,'Download of SFDC Activation Rep'!Z:Z),"")</f>
        <v>46001</v>
      </c>
      <c r="Q1070" s="86">
        <f t="shared" si="2"/>
        <v>45992</v>
      </c>
      <c r="R1070" s="13" t="str">
        <f t="shared" si="3"/>
        <v>Yes</v>
      </c>
      <c r="S1070" s="86">
        <f t="array" ref="S1070">iferror(XLOOKUP(C1070,'Download of SFDC Activation Rep'!B:B,'Download of SFDC Activation Rep'!Y:Y),"")</f>
        <v>46049</v>
      </c>
    </row>
    <row r="1071">
      <c r="A1071" s="17" t="s">
        <v>489</v>
      </c>
      <c r="B1071" s="85">
        <v>46113.0</v>
      </c>
      <c r="C1071" s="17">
        <v>3543707.0</v>
      </c>
      <c r="D1071" s="85">
        <v>45901.0</v>
      </c>
      <c r="E1071" s="17">
        <v>21.0</v>
      </c>
      <c r="F1071" s="17">
        <v>21.0</v>
      </c>
      <c r="G1071" s="17">
        <v>73574.39</v>
      </c>
      <c r="H1071" s="17"/>
      <c r="I1071" s="17">
        <v>0.0</v>
      </c>
      <c r="K1071" s="17">
        <v>-3.22999999999999</v>
      </c>
      <c r="L1071" s="17">
        <v>-13.7022637755619</v>
      </c>
      <c r="M1071" s="17">
        <v>10.4722637755619</v>
      </c>
      <c r="N1071" s="17">
        <v>4.39999999999999</v>
      </c>
      <c r="O1071" s="14">
        <f t="shared" si="1"/>
        <v>1.17</v>
      </c>
      <c r="P1071" s="86">
        <f t="array" ref="P1071">iferror(XLOOKUP(C1071,'Download of SFDC Activation Rep'!B:B,'Download of SFDC Activation Rep'!Z:Z),"")</f>
        <v>45915</v>
      </c>
      <c r="Q1071" s="86">
        <f t="shared" si="2"/>
        <v>45901</v>
      </c>
      <c r="R1071" s="13" t="str">
        <f t="shared" si="3"/>
        <v>Yes</v>
      </c>
      <c r="S1071" s="86">
        <f t="array" ref="S1071">iferror(XLOOKUP(C1071,'Download of SFDC Activation Rep'!B:B,'Download of SFDC Activation Rep'!Y:Y),"")</f>
        <v>45958</v>
      </c>
    </row>
    <row r="1072">
      <c r="A1072" s="17" t="s">
        <v>17</v>
      </c>
      <c r="B1072" s="85">
        <v>46023.0</v>
      </c>
      <c r="C1072" s="17">
        <v>4265985.0</v>
      </c>
      <c r="D1072" s="85">
        <v>45992.0</v>
      </c>
      <c r="E1072" s="17">
        <v>7.0</v>
      </c>
      <c r="F1072" s="17">
        <v>7.0</v>
      </c>
      <c r="G1072" s="17">
        <v>3894.0</v>
      </c>
      <c r="I1072" s="17">
        <v>0.0</v>
      </c>
      <c r="K1072" s="17">
        <v>-1.02149999999999</v>
      </c>
      <c r="L1072" s="17">
        <v>-1.8495371292732</v>
      </c>
      <c r="M1072" s="17">
        <v>0.8280371292732</v>
      </c>
      <c r="N1072" s="17">
        <v>25.0</v>
      </c>
      <c r="O1072" s="14">
        <f t="shared" si="1"/>
        <v>23.9785</v>
      </c>
      <c r="P1072" s="86">
        <f t="array" ref="P1072">iferror(XLOOKUP(C1072,'Download of SFDC Activation Rep'!B:B,'Download of SFDC Activation Rep'!Z:Z),"")</f>
        <v>45993</v>
      </c>
      <c r="Q1072" s="86">
        <f t="shared" si="2"/>
        <v>45992</v>
      </c>
      <c r="R1072" s="13" t="str">
        <f t="shared" si="3"/>
        <v>Yes</v>
      </c>
      <c r="S1072" s="86">
        <f t="array" ref="S1072">iferror(XLOOKUP(C1072,'Download of SFDC Activation Rep'!B:B,'Download of SFDC Activation Rep'!Y:Y),"")</f>
        <v>46001</v>
      </c>
    </row>
    <row r="1073">
      <c r="A1073" s="17" t="s">
        <v>488</v>
      </c>
      <c r="B1073" s="85">
        <v>46082.0</v>
      </c>
      <c r="C1073" s="17">
        <v>4039652.0</v>
      </c>
      <c r="D1073" s="85">
        <v>45870.0</v>
      </c>
      <c r="E1073" s="17">
        <v>5.0</v>
      </c>
      <c r="F1073" s="17">
        <v>5.0</v>
      </c>
      <c r="G1073" s="17">
        <v>8033.75</v>
      </c>
      <c r="H1073" s="17"/>
      <c r="I1073" s="17">
        <v>0.0</v>
      </c>
      <c r="K1073" s="17">
        <v>-0.748999999999999</v>
      </c>
      <c r="L1073" s="17">
        <v>-2.007738393875</v>
      </c>
      <c r="M1073" s="17">
        <v>1.258738393875</v>
      </c>
      <c r="N1073" s="17">
        <v>25.0</v>
      </c>
      <c r="O1073" s="14">
        <f t="shared" si="1"/>
        <v>24.251</v>
      </c>
      <c r="P1073" s="86">
        <f t="array" ref="P1073">iferror(XLOOKUP(C1073,'Download of SFDC Activation Rep'!B:B,'Download of SFDC Activation Rep'!Z:Z),"")</f>
        <v>45863</v>
      </c>
      <c r="Q1073" s="86">
        <f t="shared" si="2"/>
        <v>45839</v>
      </c>
      <c r="R1073" s="13" t="str">
        <f t="shared" si="3"/>
        <v>Yes</v>
      </c>
      <c r="S1073" s="86">
        <f t="array" ref="S1073">iferror(XLOOKUP(C1073,'Download of SFDC Activation Rep'!B:B,'Download of SFDC Activation Rep'!Y:Y),"")</f>
        <v>45880</v>
      </c>
    </row>
    <row r="1074">
      <c r="A1074" s="17" t="s">
        <v>488</v>
      </c>
      <c r="B1074" s="85">
        <v>45778.0</v>
      </c>
      <c r="C1074" s="17">
        <v>3906405.0</v>
      </c>
      <c r="D1074" s="85">
        <v>45778.0</v>
      </c>
      <c r="E1074" s="17">
        <v>1.0</v>
      </c>
      <c r="F1074" s="17">
        <v>1.0</v>
      </c>
      <c r="G1074" s="17">
        <v>3640.99</v>
      </c>
      <c r="H1074" s="17"/>
      <c r="I1074" s="17">
        <v>0.0</v>
      </c>
      <c r="K1074" s="17">
        <v>-0.06</v>
      </c>
      <c r="L1074" s="17">
        <v>-0.630475217249431</v>
      </c>
      <c r="M1074" s="17">
        <v>0.570475217249431</v>
      </c>
      <c r="N1074" s="17">
        <v>0.0</v>
      </c>
      <c r="O1074" s="14">
        <f t="shared" si="1"/>
        <v>-0.06</v>
      </c>
      <c r="P1074" s="86">
        <f t="array" ref="P1074">iferror(XLOOKUP(C1074,'Download of SFDC Activation Rep'!B:B,'Download of SFDC Activation Rep'!Z:Z),"")</f>
        <v>45798</v>
      </c>
      <c r="Q1074" s="86">
        <f t="shared" si="2"/>
        <v>45778</v>
      </c>
      <c r="R1074" s="13" t="str">
        <f t="shared" si="3"/>
        <v>Yes</v>
      </c>
      <c r="S1074" s="86">
        <f t="array" ref="S1074">iferror(XLOOKUP(C1074,'Download of SFDC Activation Rep'!B:B,'Download of SFDC Activation Rep'!Y:Y),"")</f>
        <v>45807</v>
      </c>
    </row>
    <row r="1075">
      <c r="A1075" s="17" t="s">
        <v>488</v>
      </c>
      <c r="B1075" s="85">
        <v>45931.0</v>
      </c>
      <c r="C1075" s="17">
        <v>3968250.0</v>
      </c>
      <c r="D1075" s="85">
        <v>45809.0</v>
      </c>
      <c r="E1075" s="17">
        <v>29.0</v>
      </c>
      <c r="F1075" s="17">
        <v>27.0</v>
      </c>
      <c r="G1075" s="17">
        <v>74847.36</v>
      </c>
      <c r="H1075" s="17"/>
      <c r="I1075" s="17">
        <v>776.59</v>
      </c>
      <c r="K1075" s="17">
        <v>73.8783</v>
      </c>
      <c r="L1075" s="17">
        <v>42.6043758386212</v>
      </c>
      <c r="M1075" s="17">
        <v>31.2739241613787</v>
      </c>
      <c r="N1075" s="17">
        <v>6.39999999999999</v>
      </c>
      <c r="O1075" s="14">
        <f t="shared" si="1"/>
        <v>80.2783</v>
      </c>
      <c r="P1075" s="86">
        <f t="array" ref="P1075">iferror(XLOOKUP(C1075,'Download of SFDC Activation Rep'!B:B,'Download of SFDC Activation Rep'!Z:Z),"")</f>
        <v>45809</v>
      </c>
      <c r="Q1075" s="86">
        <f t="shared" si="2"/>
        <v>45809</v>
      </c>
      <c r="R1075" s="13" t="str">
        <f t="shared" si="3"/>
        <v>Yes</v>
      </c>
      <c r="S1075" s="86">
        <f t="array" ref="S1075">iferror(XLOOKUP(C1075,'Download of SFDC Activation Rep'!B:B,'Download of SFDC Activation Rep'!Y:Y),"")</f>
        <v>45826</v>
      </c>
    </row>
    <row r="1076">
      <c r="A1076" s="17" t="s">
        <v>488</v>
      </c>
      <c r="B1076" s="85">
        <v>45809.0</v>
      </c>
      <c r="C1076" s="17">
        <v>3952865.0</v>
      </c>
      <c r="D1076" s="85">
        <v>45809.0</v>
      </c>
      <c r="E1076" s="17">
        <v>7.0</v>
      </c>
      <c r="F1076" s="17">
        <v>7.0</v>
      </c>
      <c r="G1076" s="17">
        <v>25.0</v>
      </c>
      <c r="I1076" s="17">
        <v>0.5</v>
      </c>
      <c r="J1076" s="17">
        <v>0.5</v>
      </c>
      <c r="K1076" s="17">
        <v>-0.22</v>
      </c>
      <c r="L1076" s="17">
        <v>-0.2239170336725</v>
      </c>
      <c r="M1076" s="17">
        <v>0.00391703367250001</v>
      </c>
      <c r="N1076" s="17">
        <v>3.49999999999999</v>
      </c>
      <c r="O1076" s="14">
        <f t="shared" si="1"/>
        <v>3.28</v>
      </c>
      <c r="P1076" s="86">
        <f t="array" ref="P1076">iferror(XLOOKUP(C1076,'Download of SFDC Activation Rep'!B:B,'Download of SFDC Activation Rep'!Z:Z),"")</f>
        <v>45799</v>
      </c>
      <c r="Q1076" s="86">
        <f t="shared" si="2"/>
        <v>45778</v>
      </c>
      <c r="R1076" s="13" t="str">
        <f t="shared" si="3"/>
        <v>Yes</v>
      </c>
      <c r="S1076" s="86">
        <f t="array" ref="S1076">iferror(XLOOKUP(C1076,'Download of SFDC Activation Rep'!B:B,'Download of SFDC Activation Rep'!Y:Y),"")</f>
        <v>45818</v>
      </c>
    </row>
    <row r="1077">
      <c r="A1077" s="17" t="s">
        <v>17</v>
      </c>
      <c r="B1077" s="85">
        <v>45839.0</v>
      </c>
      <c r="C1077" s="17">
        <v>3991830.0</v>
      </c>
      <c r="D1077" s="85">
        <v>45839.0</v>
      </c>
      <c r="E1077" s="17">
        <v>1.0</v>
      </c>
      <c r="F1077" s="17">
        <v>1.0</v>
      </c>
      <c r="G1077" s="17">
        <v>100.0</v>
      </c>
      <c r="H1077" s="17"/>
      <c r="I1077" s="17">
        <v>0.0</v>
      </c>
      <c r="K1077" s="17">
        <v>-0.06</v>
      </c>
      <c r="L1077" s="17">
        <v>-0.07566813469</v>
      </c>
      <c r="M1077" s="17">
        <v>0.01566813469</v>
      </c>
      <c r="N1077" s="17">
        <v>2.49999999999999</v>
      </c>
      <c r="O1077" s="14">
        <f t="shared" si="1"/>
        <v>2.44</v>
      </c>
      <c r="P1077" s="86">
        <f t="array" ref="P1077">iferror(XLOOKUP(C1077,'Download of SFDC Activation Rep'!B:B,'Download of SFDC Activation Rep'!Z:Z),"")</f>
        <v>45848</v>
      </c>
      <c r="Q1077" s="86">
        <f t="shared" si="2"/>
        <v>45839</v>
      </c>
      <c r="R1077" s="13" t="str">
        <f t="shared" si="3"/>
        <v>Yes</v>
      </c>
      <c r="S1077" s="86">
        <f t="array" ref="S1077">iferror(XLOOKUP(C1077,'Download of SFDC Activation Rep'!B:B,'Download of SFDC Activation Rep'!Y:Y),"")</f>
        <v>45847</v>
      </c>
    </row>
    <row r="1078">
      <c r="A1078" s="17" t="s">
        <v>19</v>
      </c>
      <c r="B1078" s="85">
        <v>46113.0</v>
      </c>
      <c r="C1078" s="17">
        <v>4400582.0</v>
      </c>
      <c r="D1078" s="85">
        <v>46082.0</v>
      </c>
      <c r="E1078" s="17">
        <v>2.0</v>
      </c>
      <c r="F1078" s="17">
        <v>2.0</v>
      </c>
      <c r="G1078" s="17">
        <v>27696.0</v>
      </c>
      <c r="I1078" s="17">
        <v>236.16</v>
      </c>
      <c r="K1078" s="17">
        <v>235.890699999999</v>
      </c>
      <c r="L1078" s="17">
        <v>196.518449032</v>
      </c>
      <c r="M1078" s="17">
        <v>39.3722509679999</v>
      </c>
      <c r="N1078" s="17">
        <v>54.4</v>
      </c>
      <c r="O1078" s="14">
        <f t="shared" si="1"/>
        <v>290.2907</v>
      </c>
      <c r="P1078" s="86">
        <f t="array" ref="P1078">iferror(XLOOKUP(C1078,'Download of SFDC Activation Rep'!B:B,'Download of SFDC Activation Rep'!Z:Z),"")</f>
        <v>46099</v>
      </c>
      <c r="Q1078" s="86">
        <f t="shared" si="2"/>
        <v>46082</v>
      </c>
      <c r="R1078" s="13" t="str">
        <f t="shared" si="3"/>
        <v>Yes</v>
      </c>
      <c r="S1078" s="86">
        <f t="array" ref="S1078">iferror(XLOOKUP(C1078,'Download of SFDC Activation Rep'!B:B,'Download of SFDC Activation Rep'!Y:Y),"")</f>
        <v>46087</v>
      </c>
    </row>
    <row r="1079">
      <c r="A1079" s="17" t="s">
        <v>488</v>
      </c>
      <c r="B1079" s="85">
        <v>46054.0</v>
      </c>
      <c r="C1079" s="17">
        <v>4266723.0</v>
      </c>
      <c r="D1079" s="85">
        <v>45992.0</v>
      </c>
      <c r="E1079" s="17">
        <v>1.0</v>
      </c>
      <c r="F1079" s="17">
        <v>1.0</v>
      </c>
      <c r="G1079" s="17">
        <v>1784.98</v>
      </c>
      <c r="H1079" s="17"/>
      <c r="I1079" s="17">
        <v>0.0</v>
      </c>
      <c r="J1079" s="17"/>
      <c r="K1079" s="17">
        <v>-0.1727</v>
      </c>
      <c r="L1079" s="17">
        <v>-0.1905498</v>
      </c>
      <c r="M1079" s="17">
        <v>0.0178498</v>
      </c>
      <c r="N1079" s="17">
        <v>20.0</v>
      </c>
      <c r="O1079" s="14">
        <f t="shared" si="1"/>
        <v>19.8273</v>
      </c>
      <c r="P1079" s="86">
        <f t="array" ref="P1079">iferror(XLOOKUP(C1079,'Download of SFDC Activation Rep'!B:B,'Download of SFDC Activation Rep'!Z:Z),"")</f>
        <v>45987</v>
      </c>
      <c r="Q1079" s="86">
        <f t="shared" si="2"/>
        <v>45962</v>
      </c>
      <c r="R1079" s="13" t="str">
        <f t="shared" si="3"/>
        <v>Yes</v>
      </c>
      <c r="S1079" s="86">
        <f t="array" ref="S1079">iferror(XLOOKUP(C1079,'Download of SFDC Activation Rep'!B:B,'Download of SFDC Activation Rep'!Y:Y),"")</f>
        <v>46008</v>
      </c>
    </row>
    <row r="1080">
      <c r="A1080" s="17" t="s">
        <v>489</v>
      </c>
      <c r="B1080" s="85">
        <v>46174.0</v>
      </c>
      <c r="C1080" s="17">
        <v>4038405.0</v>
      </c>
      <c r="D1080" s="85">
        <v>45870.0</v>
      </c>
      <c r="E1080" s="17">
        <v>76.0</v>
      </c>
      <c r="F1080" s="17">
        <v>76.0</v>
      </c>
      <c r="G1080" s="17">
        <v>1605780.99</v>
      </c>
      <c r="I1080" s="17">
        <v>321.3285</v>
      </c>
      <c r="J1080" s="17">
        <v>6.5</v>
      </c>
      <c r="K1080" s="17">
        <v>305.7943</v>
      </c>
      <c r="L1080" s="17">
        <v>-124.137744651751</v>
      </c>
      <c r="M1080" s="17">
        <v>429.932044651751</v>
      </c>
      <c r="N1080" s="17">
        <v>5.19999999999999</v>
      </c>
      <c r="O1080" s="14">
        <f t="shared" si="1"/>
        <v>310.9943</v>
      </c>
      <c r="P1080" s="86">
        <f t="array" ref="P1080">iferror(XLOOKUP(C1080,'Download of SFDC Activation Rep'!B:B,'Download of SFDC Activation Rep'!Z:Z),"")</f>
        <v>45839</v>
      </c>
      <c r="Q1080" s="86">
        <f t="shared" si="2"/>
        <v>45839</v>
      </c>
      <c r="R1080" s="13" t="str">
        <f t="shared" si="3"/>
        <v>Yes</v>
      </c>
      <c r="S1080" s="86">
        <f t="array" ref="S1080">iferror(XLOOKUP(C1080,'Download of SFDC Activation Rep'!B:B,'Download of SFDC Activation Rep'!Y:Y),"")</f>
        <v>45877</v>
      </c>
    </row>
    <row r="1081">
      <c r="A1081" s="17" t="s">
        <v>488</v>
      </c>
      <c r="B1081" s="85">
        <v>46054.0</v>
      </c>
      <c r="C1081" s="17">
        <v>3952865.0</v>
      </c>
      <c r="D1081" s="85">
        <v>45809.0</v>
      </c>
      <c r="E1081" s="17">
        <v>9.0</v>
      </c>
      <c r="F1081" s="17">
        <v>9.0</v>
      </c>
      <c r="G1081" s="17">
        <v>17650.92</v>
      </c>
      <c r="H1081" s="17"/>
      <c r="I1081" s="17">
        <v>0.0</v>
      </c>
      <c r="J1081" s="17"/>
      <c r="K1081" s="17">
        <v>-1.3131</v>
      </c>
      <c r="L1081" s="17">
        <v>-4.078669091796</v>
      </c>
      <c r="M1081" s="17">
        <v>2.765569091796</v>
      </c>
      <c r="N1081" s="17">
        <v>35.0</v>
      </c>
      <c r="O1081" s="14">
        <f t="shared" si="1"/>
        <v>33.6869</v>
      </c>
      <c r="P1081" s="86">
        <f t="array" ref="P1081">iferror(XLOOKUP(C1081,'Download of SFDC Activation Rep'!B:B,'Download of SFDC Activation Rep'!Z:Z),"")</f>
        <v>45799</v>
      </c>
      <c r="Q1081" s="86">
        <f t="shared" si="2"/>
        <v>45778</v>
      </c>
      <c r="R1081" s="13" t="str">
        <f t="shared" si="3"/>
        <v>Yes</v>
      </c>
      <c r="S1081" s="86">
        <f t="array" ref="S1081">iferror(XLOOKUP(C1081,'Download of SFDC Activation Rep'!B:B,'Download of SFDC Activation Rep'!Y:Y),"")</f>
        <v>45818</v>
      </c>
    </row>
    <row r="1082">
      <c r="A1082" s="17" t="s">
        <v>19</v>
      </c>
      <c r="B1082" s="85">
        <v>46174.0</v>
      </c>
      <c r="C1082" s="17">
        <v>4263325.0</v>
      </c>
      <c r="D1082" s="85">
        <v>45992.0</v>
      </c>
      <c r="E1082" s="17">
        <v>43.0</v>
      </c>
      <c r="F1082" s="17">
        <v>43.0</v>
      </c>
      <c r="G1082" s="17">
        <v>164483.98</v>
      </c>
      <c r="H1082" s="17"/>
      <c r="I1082" s="17">
        <v>829.4226</v>
      </c>
      <c r="J1082" s="17"/>
      <c r="K1082" s="17">
        <v>823.6845</v>
      </c>
      <c r="L1082" s="17">
        <v>797.912936184426</v>
      </c>
      <c r="M1082" s="17">
        <v>25.7715638155739</v>
      </c>
      <c r="N1082" s="17">
        <v>54.4</v>
      </c>
      <c r="O1082" s="14">
        <f t="shared" si="1"/>
        <v>878.0845</v>
      </c>
      <c r="P1082" s="86">
        <f t="array" ref="P1082">iferror(XLOOKUP(C1082,'Download of SFDC Activation Rep'!B:B,'Download of SFDC Activation Rep'!Z:Z),"")</f>
        <v>45961</v>
      </c>
      <c r="Q1082" s="86">
        <f t="shared" si="2"/>
        <v>45931</v>
      </c>
      <c r="R1082" s="13" t="str">
        <f t="shared" si="3"/>
        <v>Yes</v>
      </c>
      <c r="S1082" s="86">
        <f t="array" ref="S1082">iferror(XLOOKUP(C1082,'Download of SFDC Activation Rep'!B:B,'Download of SFDC Activation Rep'!Y:Y),"")</f>
        <v>46013</v>
      </c>
    </row>
    <row r="1083">
      <c r="A1083" s="17" t="s">
        <v>488</v>
      </c>
      <c r="B1083" s="85">
        <v>46023.0</v>
      </c>
      <c r="C1083" s="17">
        <v>4329147.0</v>
      </c>
      <c r="D1083" s="85">
        <v>46023.0</v>
      </c>
      <c r="E1083" s="17">
        <v>47.0</v>
      </c>
      <c r="F1083" s="17">
        <v>0.0</v>
      </c>
      <c r="G1083" s="17">
        <v>28867.55</v>
      </c>
      <c r="H1083" s="17">
        <v>20916.25</v>
      </c>
      <c r="I1083" s="17">
        <v>849.42</v>
      </c>
      <c r="J1083" s="17"/>
      <c r="K1083" s="17">
        <v>60.0672</v>
      </c>
      <c r="L1083" s="17">
        <v>52.6169829493103</v>
      </c>
      <c r="M1083" s="17">
        <v>7.45021705068963</v>
      </c>
      <c r="N1083" s="17">
        <v>0.0</v>
      </c>
      <c r="O1083" s="14">
        <f t="shared" si="1"/>
        <v>196.022825</v>
      </c>
      <c r="P1083" s="86">
        <f t="array" ref="P1083">iferror(XLOOKUP(C1083,'Download of SFDC Activation Rep'!B:B,'Download of SFDC Activation Rep'!Z:Z),"")</f>
        <v>46197</v>
      </c>
      <c r="Q1083" s="86">
        <f t="shared" si="2"/>
        <v>46174</v>
      </c>
      <c r="R1083" s="13" t="str">
        <f t="shared" si="3"/>
        <v>No</v>
      </c>
      <c r="S1083" s="86">
        <f t="array" ref="S1083">iferror(XLOOKUP(C1083,'Download of SFDC Activation Rep'!B:B,'Download of SFDC Activation Rep'!Y:Y),"")</f>
        <v>46361</v>
      </c>
    </row>
    <row r="1084">
      <c r="A1084" s="17" t="s">
        <v>488</v>
      </c>
      <c r="B1084" s="85">
        <v>45931.0</v>
      </c>
      <c r="C1084" s="17">
        <v>4008827.0</v>
      </c>
      <c r="D1084" s="85">
        <v>45870.0</v>
      </c>
      <c r="E1084" s="17">
        <v>12.0</v>
      </c>
      <c r="F1084" s="17">
        <v>12.0</v>
      </c>
      <c r="G1084" s="17">
        <v>75505.0</v>
      </c>
      <c r="I1084" s="17">
        <v>506.97</v>
      </c>
      <c r="K1084" s="17">
        <v>504.979999999999</v>
      </c>
      <c r="L1084" s="17">
        <v>374.01880842923</v>
      </c>
      <c r="M1084" s="17">
        <v>130.961191570769</v>
      </c>
      <c r="N1084" s="17">
        <v>25.0</v>
      </c>
      <c r="O1084" s="14">
        <f t="shared" si="1"/>
        <v>529.98</v>
      </c>
      <c r="P1084" s="86">
        <f t="array" ref="P1084">iferror(XLOOKUP(C1084,'Download of SFDC Activation Rep'!B:B,'Download of SFDC Activation Rep'!Z:Z),"")</f>
        <v>45870</v>
      </c>
      <c r="Q1084" s="86">
        <f t="shared" si="2"/>
        <v>45870</v>
      </c>
      <c r="R1084" s="13" t="str">
        <f t="shared" si="3"/>
        <v>Yes</v>
      </c>
      <c r="S1084" s="86">
        <f t="array" ref="S1084">iferror(XLOOKUP(C1084,'Download of SFDC Activation Rep'!B:B,'Download of SFDC Activation Rep'!Y:Y),"")</f>
        <v>45884</v>
      </c>
    </row>
    <row r="1085">
      <c r="A1085" s="17" t="s">
        <v>19</v>
      </c>
      <c r="B1085" s="85">
        <v>46143.0</v>
      </c>
      <c r="C1085" s="17">
        <v>4112463.0</v>
      </c>
      <c r="D1085" s="85">
        <v>45931.0</v>
      </c>
      <c r="E1085" s="17">
        <v>32.0</v>
      </c>
      <c r="F1085" s="17">
        <v>32.0</v>
      </c>
      <c r="G1085" s="17">
        <v>87487.99</v>
      </c>
      <c r="H1085" s="17"/>
      <c r="I1085" s="17">
        <v>548.02771</v>
      </c>
      <c r="J1085" s="17">
        <v>1.0</v>
      </c>
      <c r="K1085" s="17">
        <v>533.0188</v>
      </c>
      <c r="L1085" s="17">
        <v>519.393923192413</v>
      </c>
      <c r="M1085" s="17">
        <v>13.624876807587</v>
      </c>
      <c r="N1085" s="17">
        <v>64.0</v>
      </c>
      <c r="O1085" s="14">
        <f t="shared" si="1"/>
        <v>597.0188</v>
      </c>
      <c r="P1085" s="86">
        <f t="array" ref="P1085">iferror(XLOOKUP(C1085,'Download of SFDC Activation Rep'!B:B,'Download of SFDC Activation Rep'!Z:Z),"")</f>
        <v>45911</v>
      </c>
      <c r="Q1085" s="86">
        <f t="shared" si="2"/>
        <v>45901</v>
      </c>
      <c r="R1085" s="13" t="str">
        <f t="shared" si="3"/>
        <v>Yes</v>
      </c>
      <c r="S1085" s="86">
        <f t="array" ref="S1085">iferror(XLOOKUP(C1085,'Download of SFDC Activation Rep'!B:B,'Download of SFDC Activation Rep'!Y:Y),"")</f>
        <v>45945</v>
      </c>
    </row>
    <row r="1086">
      <c r="A1086" s="17" t="s">
        <v>19</v>
      </c>
      <c r="B1086" s="85">
        <v>45992.0</v>
      </c>
      <c r="C1086" s="17">
        <v>4239924.0</v>
      </c>
      <c r="D1086" s="85">
        <v>45992.0</v>
      </c>
      <c r="E1086" s="17">
        <v>1.0</v>
      </c>
      <c r="F1086" s="17">
        <v>1.0</v>
      </c>
      <c r="G1086" s="17">
        <v>16.14</v>
      </c>
      <c r="H1086" s="17"/>
      <c r="I1086" s="17">
        <v>0.0</v>
      </c>
      <c r="K1086" s="17">
        <v>-0.15</v>
      </c>
      <c r="L1086" s="17">
        <v>-0.152528836938966</v>
      </c>
      <c r="M1086" s="17">
        <v>0.00252883693896599</v>
      </c>
      <c r="N1086" s="17">
        <v>24.0</v>
      </c>
      <c r="O1086" s="14">
        <f t="shared" si="1"/>
        <v>23.85</v>
      </c>
      <c r="P1086" s="86">
        <f t="array" ref="P1086">iferror(XLOOKUP(C1086,'Download of SFDC Activation Rep'!B:B,'Download of SFDC Activation Rep'!Z:Z),"")</f>
        <v>45979</v>
      </c>
      <c r="Q1086" s="86">
        <f t="shared" si="2"/>
        <v>45962</v>
      </c>
      <c r="R1086" s="13" t="str">
        <f t="shared" si="3"/>
        <v>Yes</v>
      </c>
      <c r="S1086" s="86">
        <f t="array" ref="S1086">iferror(XLOOKUP(C1086,'Download of SFDC Activation Rep'!B:B,'Download of SFDC Activation Rep'!Y:Y),"")</f>
        <v>45995</v>
      </c>
    </row>
    <row r="1087">
      <c r="A1087" s="17" t="s">
        <v>17</v>
      </c>
      <c r="B1087" s="85">
        <v>45962.0</v>
      </c>
      <c r="C1087" s="17">
        <v>4186958.0</v>
      </c>
      <c r="D1087" s="85">
        <v>45931.0</v>
      </c>
      <c r="E1087" s="17">
        <v>2.0</v>
      </c>
      <c r="F1087" s="17">
        <v>2.0</v>
      </c>
      <c r="G1087" s="17">
        <v>4542.85</v>
      </c>
      <c r="H1087" s="17"/>
      <c r="I1087" s="17">
        <v>3.0</v>
      </c>
      <c r="K1087" s="17">
        <v>0.954599999999999</v>
      </c>
      <c r="L1087" s="17">
        <v>0.288248643235334</v>
      </c>
      <c r="M1087" s="17">
        <v>0.666351356764665</v>
      </c>
      <c r="N1087" s="17">
        <v>0.0</v>
      </c>
      <c r="O1087" s="14">
        <f t="shared" si="1"/>
        <v>0.9546</v>
      </c>
      <c r="P1087" s="86">
        <f t="array" ref="P1087">iferror(XLOOKUP(C1087,'Download of SFDC Activation Rep'!B:B,'Download of SFDC Activation Rep'!Z:Z),"")</f>
        <v>45931</v>
      </c>
      <c r="Q1087" s="86">
        <f t="shared" si="2"/>
        <v>45931</v>
      </c>
      <c r="R1087" s="13" t="str">
        <f t="shared" si="3"/>
        <v>Yes</v>
      </c>
      <c r="S1087" s="86">
        <f t="array" ref="S1087">iferror(XLOOKUP(C1087,'Download of SFDC Activation Rep'!B:B,'Download of SFDC Activation Rep'!Y:Y),"")</f>
        <v>45957</v>
      </c>
    </row>
    <row r="1088">
      <c r="A1088" s="17" t="s">
        <v>489</v>
      </c>
      <c r="B1088" s="85">
        <v>46174.0</v>
      </c>
      <c r="C1088" s="17">
        <v>3543707.0</v>
      </c>
      <c r="D1088" s="85">
        <v>45901.0</v>
      </c>
      <c r="E1088" s="17">
        <v>19.0</v>
      </c>
      <c r="F1088" s="17">
        <v>19.0</v>
      </c>
      <c r="G1088" s="17">
        <v>70257.36</v>
      </c>
      <c r="I1088" s="17">
        <v>0.0</v>
      </c>
      <c r="J1088" s="17"/>
      <c r="K1088" s="17">
        <v>-3.01629999999999</v>
      </c>
      <c r="L1088" s="17">
        <v>-14.024314499368</v>
      </c>
      <c r="M1088" s="17">
        <v>11.008014499368</v>
      </c>
      <c r="N1088" s="17">
        <v>4.39999999999999</v>
      </c>
      <c r="O1088" s="14">
        <f t="shared" si="1"/>
        <v>1.3837</v>
      </c>
      <c r="P1088" s="86">
        <f t="array" ref="P1088">iferror(XLOOKUP(C1088,'Download of SFDC Activation Rep'!B:B,'Download of SFDC Activation Rep'!Z:Z),"")</f>
        <v>45915</v>
      </c>
      <c r="Q1088" s="86">
        <f t="shared" si="2"/>
        <v>45901</v>
      </c>
      <c r="R1088" s="13" t="str">
        <f t="shared" si="3"/>
        <v>Yes</v>
      </c>
      <c r="S1088" s="86">
        <f t="array" ref="S1088">iferror(XLOOKUP(C1088,'Download of SFDC Activation Rep'!B:B,'Download of SFDC Activation Rep'!Y:Y),"")</f>
        <v>45958</v>
      </c>
    </row>
    <row r="1089">
      <c r="A1089" s="17" t="s">
        <v>19</v>
      </c>
      <c r="B1089" s="85">
        <v>45962.0</v>
      </c>
      <c r="C1089" s="17">
        <v>4208610.0</v>
      </c>
      <c r="D1089" s="85">
        <v>45962.0</v>
      </c>
      <c r="E1089" s="17">
        <v>4.0</v>
      </c>
      <c r="F1089" s="17">
        <v>4.0</v>
      </c>
      <c r="G1089" s="17">
        <v>1700.0</v>
      </c>
      <c r="I1089" s="17">
        <v>4.5</v>
      </c>
      <c r="J1089" s="17"/>
      <c r="K1089" s="17">
        <v>0.5986</v>
      </c>
      <c r="L1089" s="17">
        <v>0.34924171027</v>
      </c>
      <c r="M1089" s="17">
        <v>0.24935828973</v>
      </c>
      <c r="N1089" s="17">
        <v>0.0</v>
      </c>
      <c r="O1089" s="14">
        <f t="shared" si="1"/>
        <v>0.5986</v>
      </c>
      <c r="P1089" s="86">
        <f t="array" ref="P1089">iferror(XLOOKUP(C1089,'Download of SFDC Activation Rep'!B:B,'Download of SFDC Activation Rep'!Z:Z),"")</f>
        <v>45947</v>
      </c>
      <c r="Q1089" s="86">
        <f t="shared" si="2"/>
        <v>45931</v>
      </c>
      <c r="R1089" s="13" t="str">
        <f t="shared" si="3"/>
        <v>Yes</v>
      </c>
      <c r="S1089" s="86">
        <f t="array" ref="S1089">iferror(XLOOKUP(C1089,'Download of SFDC Activation Rep'!B:B,'Download of SFDC Activation Rep'!Y:Y),"")</f>
        <v>45987</v>
      </c>
    </row>
    <row r="1090">
      <c r="A1090" s="17" t="s">
        <v>489</v>
      </c>
      <c r="B1090" s="85">
        <v>46082.0</v>
      </c>
      <c r="C1090" s="17">
        <v>4294933.0</v>
      </c>
      <c r="D1090" s="85">
        <v>45992.0</v>
      </c>
      <c r="E1090" s="17">
        <v>5.0</v>
      </c>
      <c r="F1090" s="17">
        <v>4.0</v>
      </c>
      <c r="G1090" s="17">
        <v>23001.7</v>
      </c>
      <c r="H1090" s="17"/>
      <c r="I1090" s="17">
        <v>113.04</v>
      </c>
      <c r="K1090" s="17">
        <v>0.1752</v>
      </c>
      <c r="L1090" s="17">
        <v>-0.054817</v>
      </c>
      <c r="M1090" s="17">
        <v>0.230017</v>
      </c>
      <c r="N1090" s="17">
        <v>35.0</v>
      </c>
      <c r="O1090" s="14">
        <f t="shared" si="1"/>
        <v>35.1752</v>
      </c>
      <c r="P1090" s="86">
        <f t="array" ref="P1090">iferror(XLOOKUP(C1090,'Download of SFDC Activation Rep'!B:B,'Download of SFDC Activation Rep'!Z:Z),"")</f>
        <v>45992</v>
      </c>
      <c r="Q1090" s="86">
        <f t="shared" si="2"/>
        <v>45992</v>
      </c>
      <c r="R1090" s="13" t="str">
        <f t="shared" si="3"/>
        <v>Yes</v>
      </c>
      <c r="S1090" s="86">
        <f t="array" ref="S1090">iferror(XLOOKUP(C1090,'Download of SFDC Activation Rep'!B:B,'Download of SFDC Activation Rep'!Y:Y),"")</f>
        <v>46017</v>
      </c>
    </row>
    <row r="1091">
      <c r="A1091" s="17" t="s">
        <v>19</v>
      </c>
      <c r="B1091" s="85">
        <v>46143.0</v>
      </c>
      <c r="C1091" s="17">
        <v>4525842.0</v>
      </c>
      <c r="D1091" s="85">
        <v>46113.0</v>
      </c>
      <c r="E1091" s="17">
        <v>13.0</v>
      </c>
      <c r="F1091" s="17">
        <v>13.0</v>
      </c>
      <c r="G1091" s="17">
        <v>28492.5</v>
      </c>
      <c r="H1091" s="17"/>
      <c r="I1091" s="17">
        <v>0.0</v>
      </c>
      <c r="J1091" s="17"/>
      <c r="K1091" s="17">
        <v>-2.1268</v>
      </c>
      <c r="L1091" s="17">
        <v>-2.411725</v>
      </c>
      <c r="M1091" s="17">
        <v>0.284925</v>
      </c>
      <c r="N1091" s="17">
        <v>80.0</v>
      </c>
      <c r="O1091" s="14">
        <f t="shared" si="1"/>
        <v>77.8732</v>
      </c>
      <c r="P1091" s="86">
        <f t="array" ref="P1091">iferror(XLOOKUP(C1091,'Download of SFDC Activation Rep'!B:B,'Download of SFDC Activation Rep'!Z:Z),"")</f>
        <v>46111</v>
      </c>
      <c r="Q1091" s="86">
        <f t="shared" si="2"/>
        <v>46082</v>
      </c>
      <c r="R1091" s="13" t="str">
        <f t="shared" si="3"/>
        <v>Yes</v>
      </c>
      <c r="S1091" s="86">
        <f t="array" ref="S1091">iferror(XLOOKUP(C1091,'Download of SFDC Activation Rep'!B:B,'Download of SFDC Activation Rep'!Y:Y),"")</f>
        <v>46140</v>
      </c>
    </row>
    <row r="1092">
      <c r="A1092" s="17" t="s">
        <v>488</v>
      </c>
      <c r="B1092" s="85">
        <v>45931.0</v>
      </c>
      <c r="C1092" s="17">
        <v>3085000.0</v>
      </c>
      <c r="D1092" s="85">
        <v>45292.0</v>
      </c>
      <c r="E1092" s="17">
        <v>1.0</v>
      </c>
      <c r="F1092" s="17">
        <v>1.0</v>
      </c>
      <c r="G1092" s="17">
        <v>648.96</v>
      </c>
      <c r="H1092" s="17"/>
      <c r="I1092" s="17">
        <v>1.5</v>
      </c>
      <c r="K1092" s="17">
        <v>0.61</v>
      </c>
      <c r="L1092" s="17">
        <v>0.514809673115776</v>
      </c>
      <c r="M1092" s="17">
        <v>0.095190326884224</v>
      </c>
      <c r="N1092" s="17">
        <v>0.0</v>
      </c>
      <c r="O1092" s="14">
        <f t="shared" si="1"/>
        <v>0.61</v>
      </c>
      <c r="P1092" s="86">
        <f t="array" ref="P1092">iferror(XLOOKUP(C1092,'Download of SFDC Activation Rep'!B:B,'Download of SFDC Activation Rep'!Z:Z),"")</f>
        <v>45947</v>
      </c>
      <c r="Q1092" s="86">
        <f t="shared" si="2"/>
        <v>45931</v>
      </c>
      <c r="R1092" s="13" t="str">
        <f t="shared" si="3"/>
        <v>Yes</v>
      </c>
      <c r="S1092" s="86">
        <f t="array" ref="S1092">iferror(XLOOKUP(C1092,'Download of SFDC Activation Rep'!B:B,'Download of SFDC Activation Rep'!Y:Y),"")</f>
        <v>45958</v>
      </c>
    </row>
    <row r="1093">
      <c r="A1093" s="17" t="s">
        <v>17</v>
      </c>
      <c r="B1093" s="85">
        <v>45901.0</v>
      </c>
      <c r="C1093" s="17">
        <v>3977410.0</v>
      </c>
      <c r="D1093" s="85">
        <v>45809.0</v>
      </c>
      <c r="E1093" s="17">
        <v>4.0</v>
      </c>
      <c r="F1093" s="17">
        <v>4.0</v>
      </c>
      <c r="G1093" s="17">
        <v>10560.0</v>
      </c>
      <c r="I1093" s="17">
        <v>0.0</v>
      </c>
      <c r="K1093" s="17">
        <v>-0.28</v>
      </c>
      <c r="L1093" s="17">
        <v>-0.3856</v>
      </c>
      <c r="M1093" s="17">
        <v>0.105599999999999</v>
      </c>
      <c r="N1093" s="17">
        <v>25.0</v>
      </c>
      <c r="O1093" s="14">
        <f t="shared" si="1"/>
        <v>24.72</v>
      </c>
      <c r="P1093" s="86">
        <f t="array" ref="P1093">iferror(XLOOKUP(C1093,'Download of SFDC Activation Rep'!B:B,'Download of SFDC Activation Rep'!Z:Z),"")</f>
        <v>45809</v>
      </c>
      <c r="Q1093" s="86">
        <f t="shared" si="2"/>
        <v>45809</v>
      </c>
      <c r="R1093" s="13" t="str">
        <f t="shared" si="3"/>
        <v>Yes</v>
      </c>
      <c r="S1093" s="86">
        <f t="array" ref="S1093">iferror(XLOOKUP(C1093,'Download of SFDC Activation Rep'!B:B,'Download of SFDC Activation Rep'!Y:Y),"")</f>
        <v>45838</v>
      </c>
    </row>
    <row r="1094">
      <c r="A1094" s="17" t="s">
        <v>19</v>
      </c>
      <c r="B1094" s="85">
        <v>46023.0</v>
      </c>
      <c r="C1094" s="17">
        <v>4134744.0</v>
      </c>
      <c r="D1094" s="85">
        <v>45992.0</v>
      </c>
      <c r="E1094" s="17">
        <v>68.0</v>
      </c>
      <c r="F1094" s="17">
        <v>65.0</v>
      </c>
      <c r="G1094" s="17">
        <v>168952.1</v>
      </c>
      <c r="H1094" s="17">
        <v>2294.2</v>
      </c>
      <c r="I1094" s="17">
        <v>134.26</v>
      </c>
      <c r="K1094" s="17">
        <v>14.3914</v>
      </c>
      <c r="L1094" s="17">
        <v>-21.8347752181376</v>
      </c>
      <c r="M1094" s="17">
        <v>36.2261752181376</v>
      </c>
      <c r="N1094" s="17">
        <v>7.99999999999999</v>
      </c>
      <c r="O1094" s="14">
        <f t="shared" si="1"/>
        <v>37.3037</v>
      </c>
      <c r="P1094" s="86">
        <f t="array" ref="P1094">iferror(XLOOKUP(C1094,'Download of SFDC Activation Rep'!B:B,'Download of SFDC Activation Rep'!Z:Z),"")</f>
        <v>45896</v>
      </c>
      <c r="Q1094" s="86">
        <f t="shared" si="2"/>
        <v>45870</v>
      </c>
      <c r="R1094" s="13" t="str">
        <f t="shared" si="3"/>
        <v>Yes</v>
      </c>
      <c r="S1094" s="86">
        <f t="array" ref="S1094">iferror(XLOOKUP(C1094,'Download of SFDC Activation Rep'!B:B,'Download of SFDC Activation Rep'!Y:Y),"")</f>
        <v>46009</v>
      </c>
    </row>
    <row r="1095">
      <c r="A1095" s="17" t="s">
        <v>19</v>
      </c>
      <c r="B1095" s="85">
        <v>46023.0</v>
      </c>
      <c r="C1095" s="17">
        <v>4031652.0</v>
      </c>
      <c r="D1095" s="85">
        <v>45901.0</v>
      </c>
      <c r="E1095" s="17">
        <v>136.0</v>
      </c>
      <c r="F1095" s="17">
        <v>136.0</v>
      </c>
      <c r="G1095" s="17">
        <v>1671207.26</v>
      </c>
      <c r="H1095" s="17"/>
      <c r="I1095" s="17">
        <v>1336.7198</v>
      </c>
      <c r="J1095" s="17"/>
      <c r="K1095" s="17">
        <v>1315.0156</v>
      </c>
      <c r="L1095" s="17">
        <v>681.506209186416</v>
      </c>
      <c r="M1095" s="17">
        <v>633.509390813583</v>
      </c>
      <c r="N1095" s="17">
        <v>80.0</v>
      </c>
      <c r="O1095" s="14">
        <f t="shared" si="1"/>
        <v>1395.0156</v>
      </c>
      <c r="P1095" s="86">
        <f t="array" ref="P1095">iferror(XLOOKUP(C1095,'Download of SFDC Activation Rep'!B:B,'Download of SFDC Activation Rep'!Z:Z),"")</f>
        <v>45881</v>
      </c>
      <c r="Q1095" s="86">
        <f t="shared" si="2"/>
        <v>45870</v>
      </c>
      <c r="R1095" s="13" t="str">
        <f t="shared" si="3"/>
        <v>Yes</v>
      </c>
      <c r="S1095" s="86">
        <f t="array" ref="S1095">iferror(XLOOKUP(C1095,'Download of SFDC Activation Rep'!B:B,'Download of SFDC Activation Rep'!Y:Y),"")</f>
        <v>45889</v>
      </c>
    </row>
    <row r="1096">
      <c r="A1096" s="17" t="s">
        <v>19</v>
      </c>
      <c r="B1096" s="85">
        <v>45931.0</v>
      </c>
      <c r="C1096" s="17">
        <v>3934711.0</v>
      </c>
      <c r="D1096" s="85">
        <v>45839.0</v>
      </c>
      <c r="E1096" s="17">
        <v>55.0</v>
      </c>
      <c r="F1096" s="17">
        <v>55.0</v>
      </c>
      <c r="G1096" s="17">
        <v>7678.6</v>
      </c>
      <c r="H1096" s="17"/>
      <c r="I1096" s="17">
        <v>20.5</v>
      </c>
      <c r="J1096" s="17">
        <v>15.5</v>
      </c>
      <c r="K1096" s="17">
        <v>14.78</v>
      </c>
      <c r="L1096" s="17">
        <v>12.8351889916936</v>
      </c>
      <c r="M1096" s="17">
        <v>1.94481100830633</v>
      </c>
      <c r="N1096" s="17">
        <v>2.79999999999999</v>
      </c>
      <c r="O1096" s="14">
        <f t="shared" si="1"/>
        <v>17.58</v>
      </c>
      <c r="P1096" s="86">
        <f t="array" ref="P1096">iferror(XLOOKUP(C1096,'Download of SFDC Activation Rep'!B:B,'Download of SFDC Activation Rep'!Z:Z),"")</f>
        <v>45817</v>
      </c>
      <c r="Q1096" s="86">
        <f t="shared" si="2"/>
        <v>45809</v>
      </c>
      <c r="R1096" s="13" t="str">
        <f t="shared" si="3"/>
        <v>Yes</v>
      </c>
      <c r="S1096" s="86">
        <f t="array" ref="S1096">iferror(XLOOKUP(C1096,'Download of SFDC Activation Rep'!B:B,'Download of SFDC Activation Rep'!Y:Y),"")</f>
        <v>45817</v>
      </c>
    </row>
    <row r="1097">
      <c r="A1097" s="17" t="s">
        <v>488</v>
      </c>
      <c r="B1097" s="85">
        <v>46174.0</v>
      </c>
      <c r="C1097" s="17">
        <v>4359494.0</v>
      </c>
      <c r="D1097" s="85">
        <v>46023.0</v>
      </c>
      <c r="E1097" s="17">
        <v>2.0</v>
      </c>
      <c r="F1097" s="17">
        <v>2.0</v>
      </c>
      <c r="G1097" s="17">
        <v>2565.27</v>
      </c>
      <c r="I1097" s="17">
        <v>1.5</v>
      </c>
      <c r="K1097" s="17">
        <v>0.117</v>
      </c>
      <c r="L1097" s="17">
        <v>-0.284279138450999</v>
      </c>
      <c r="M1097" s="17">
        <v>0.401279138450999</v>
      </c>
      <c r="N1097" s="17">
        <v>17.0</v>
      </c>
      <c r="O1097" s="14">
        <f t="shared" si="1"/>
        <v>17.117</v>
      </c>
      <c r="P1097" s="86">
        <f t="array" ref="P1097">iferror(XLOOKUP(C1097,'Download of SFDC Activation Rep'!B:B,'Download of SFDC Activation Rep'!Z:Z),"")</f>
        <v>46057</v>
      </c>
      <c r="Q1097" s="86">
        <f t="shared" si="2"/>
        <v>46054</v>
      </c>
      <c r="R1097" s="13" t="str">
        <f t="shared" si="3"/>
        <v>Yes</v>
      </c>
      <c r="S1097" s="86">
        <f t="array" ref="S1097">iferror(XLOOKUP(C1097,'Download of SFDC Activation Rep'!B:B,'Download of SFDC Activation Rep'!Y:Y),"")</f>
        <v>46057</v>
      </c>
    </row>
    <row r="1098">
      <c r="A1098" s="17" t="s">
        <v>488</v>
      </c>
      <c r="B1098" s="85">
        <v>46174.0</v>
      </c>
      <c r="C1098" s="17">
        <v>3934664.0</v>
      </c>
      <c r="D1098" s="85">
        <v>45809.0</v>
      </c>
      <c r="E1098" s="17">
        <v>21.0</v>
      </c>
      <c r="F1098" s="17">
        <v>0.0</v>
      </c>
      <c r="G1098" s="17">
        <v>8094.93</v>
      </c>
      <c r="H1098" s="17">
        <v>2640.62</v>
      </c>
      <c r="I1098" s="17">
        <v>234.76</v>
      </c>
      <c r="K1098" s="17">
        <v>-3.9466</v>
      </c>
      <c r="L1098" s="17">
        <v>-4.02754929999999</v>
      </c>
      <c r="M1098" s="17">
        <v>0.0809492999999994</v>
      </c>
      <c r="N1098" s="17">
        <v>25.0</v>
      </c>
      <c r="O1098" s="14">
        <f t="shared" si="1"/>
        <v>21.0534</v>
      </c>
      <c r="P1098" s="86">
        <f t="array" ref="P1098">iferror(XLOOKUP(C1098,'Download of SFDC Activation Rep'!B:B,'Download of SFDC Activation Rep'!Z:Z),"")</f>
        <v>45820</v>
      </c>
      <c r="Q1098" s="86">
        <f t="shared" si="2"/>
        <v>45809</v>
      </c>
      <c r="R1098" s="13" t="str">
        <f t="shared" si="3"/>
        <v>Yes</v>
      </c>
      <c r="S1098" s="86">
        <f t="array" ref="S1098">iferror(XLOOKUP(C1098,'Download of SFDC Activation Rep'!B:B,'Download of SFDC Activation Rep'!Y:Y),"")</f>
        <v>45829</v>
      </c>
    </row>
    <row r="1099">
      <c r="A1099" s="17" t="s">
        <v>489</v>
      </c>
      <c r="B1099" s="85">
        <v>46113.0</v>
      </c>
      <c r="C1099" s="17">
        <v>4299558.0</v>
      </c>
      <c r="D1099" s="85">
        <v>46023.0</v>
      </c>
      <c r="E1099" s="17">
        <v>5.0</v>
      </c>
      <c r="F1099" s="17">
        <v>5.0</v>
      </c>
      <c r="G1099" s="17">
        <v>22999.92</v>
      </c>
      <c r="H1099" s="17"/>
      <c r="I1099" s="17">
        <v>0.0</v>
      </c>
      <c r="K1099" s="17">
        <v>-0.8321</v>
      </c>
      <c r="L1099" s="17">
        <v>-1.0620992</v>
      </c>
      <c r="M1099" s="17">
        <v>0.229999199999999</v>
      </c>
      <c r="N1099" s="17">
        <v>44.0</v>
      </c>
      <c r="O1099" s="14">
        <f t="shared" si="1"/>
        <v>43.1679</v>
      </c>
      <c r="P1099" s="86">
        <f t="array" ref="P1099">iferror(XLOOKUP(C1099,'Download of SFDC Activation Rep'!B:B,'Download of SFDC Activation Rep'!Z:Z),"")</f>
        <v>46013</v>
      </c>
      <c r="Q1099" s="86">
        <f t="shared" si="2"/>
        <v>45992</v>
      </c>
      <c r="R1099" s="13" t="str">
        <f t="shared" si="3"/>
        <v>Yes</v>
      </c>
      <c r="S1099" s="86">
        <f t="array" ref="S1099">iferror(XLOOKUP(C1099,'Download of SFDC Activation Rep'!B:B,'Download of SFDC Activation Rep'!Y:Y),"")</f>
        <v>46036</v>
      </c>
    </row>
    <row r="1100">
      <c r="A1100" s="17" t="s">
        <v>489</v>
      </c>
      <c r="B1100" s="85">
        <v>45901.0</v>
      </c>
      <c r="C1100" s="17">
        <v>4038405.0</v>
      </c>
      <c r="D1100" s="85">
        <v>45870.0</v>
      </c>
      <c r="E1100" s="17">
        <v>83.0</v>
      </c>
      <c r="F1100" s="17">
        <v>83.0</v>
      </c>
      <c r="G1100" s="17">
        <v>680423.46</v>
      </c>
      <c r="H1100" s="17"/>
      <c r="I1100" s="17">
        <v>196.478082</v>
      </c>
      <c r="J1100" s="17">
        <v>11.0</v>
      </c>
      <c r="K1100" s="17">
        <v>185.3481</v>
      </c>
      <c r="L1100" s="17">
        <v>-10.3054401205038</v>
      </c>
      <c r="M1100" s="17">
        <v>195.653540120503</v>
      </c>
      <c r="N1100" s="17">
        <v>5.19999999999999</v>
      </c>
      <c r="O1100" s="14">
        <f t="shared" si="1"/>
        <v>190.5481</v>
      </c>
      <c r="P1100" s="86">
        <f t="array" ref="P1100">iferror(XLOOKUP(C1100,'Download of SFDC Activation Rep'!B:B,'Download of SFDC Activation Rep'!Z:Z),"")</f>
        <v>45839</v>
      </c>
      <c r="Q1100" s="86">
        <f t="shared" si="2"/>
        <v>45839</v>
      </c>
      <c r="R1100" s="13" t="str">
        <f t="shared" si="3"/>
        <v>Yes</v>
      </c>
      <c r="S1100" s="86">
        <f t="array" ref="S1100">iferror(XLOOKUP(C1100,'Download of SFDC Activation Rep'!B:B,'Download of SFDC Activation Rep'!Y:Y),"")</f>
        <v>45877</v>
      </c>
    </row>
    <row r="1101">
      <c r="A1101" s="17" t="s">
        <v>17</v>
      </c>
      <c r="B1101" s="85">
        <v>46082.0</v>
      </c>
      <c r="C1101" s="17">
        <v>4442279.0</v>
      </c>
      <c r="D1101" s="85">
        <v>46054.0</v>
      </c>
      <c r="E1101" s="17">
        <v>66.0</v>
      </c>
      <c r="F1101" s="17">
        <v>18.0</v>
      </c>
      <c r="G1101" s="17">
        <v>111447.42</v>
      </c>
      <c r="H1101" s="17">
        <v>26444.27</v>
      </c>
      <c r="I1101" s="17">
        <v>1497.52</v>
      </c>
      <c r="J1101" s="17"/>
      <c r="K1101" s="17">
        <v>150.9948</v>
      </c>
      <c r="L1101" s="17">
        <v>149.8803258</v>
      </c>
      <c r="M1101" s="17">
        <v>1.11447419999998</v>
      </c>
      <c r="N1101" s="17">
        <v>0.0</v>
      </c>
      <c r="O1101" s="14">
        <f t="shared" si="1"/>
        <v>322.882555</v>
      </c>
      <c r="P1101" s="86">
        <f t="array" ref="P1101">iferror(XLOOKUP(C1101,'Download of SFDC Activation Rep'!B:B,'Download of SFDC Activation Rep'!Z:Z),"")</f>
        <v>46063</v>
      </c>
      <c r="Q1101" s="86">
        <f t="shared" si="2"/>
        <v>46054</v>
      </c>
      <c r="R1101" s="13" t="str">
        <f t="shared" si="3"/>
        <v>Yes</v>
      </c>
      <c r="S1101" s="86">
        <f t="array" ref="S1101">iferror(XLOOKUP(C1101,'Download of SFDC Activation Rep'!B:B,'Download of SFDC Activation Rep'!Y:Y),"")</f>
        <v>46108</v>
      </c>
    </row>
    <row r="1102">
      <c r="A1102" s="17" t="s">
        <v>19</v>
      </c>
      <c r="B1102" s="85">
        <v>46143.0</v>
      </c>
      <c r="C1102" s="17">
        <v>4208610.0</v>
      </c>
      <c r="D1102" s="85">
        <v>45962.0</v>
      </c>
      <c r="E1102" s="17">
        <v>45.0</v>
      </c>
      <c r="F1102" s="17">
        <v>45.0</v>
      </c>
      <c r="G1102" s="17">
        <v>15080.0</v>
      </c>
      <c r="H1102" s="17"/>
      <c r="I1102" s="17">
        <v>30.95</v>
      </c>
      <c r="J1102" s="17"/>
      <c r="K1102" s="17">
        <v>17.7799999999999</v>
      </c>
      <c r="L1102" s="17">
        <v>13.739001538</v>
      </c>
      <c r="M1102" s="17">
        <v>4.04099846199999</v>
      </c>
      <c r="N1102" s="17">
        <v>64.0</v>
      </c>
      <c r="O1102" s="14">
        <f t="shared" si="1"/>
        <v>81.78</v>
      </c>
      <c r="P1102" s="86">
        <f t="array" ref="P1102">iferror(XLOOKUP(C1102,'Download of SFDC Activation Rep'!B:B,'Download of SFDC Activation Rep'!Z:Z),"")</f>
        <v>45947</v>
      </c>
      <c r="Q1102" s="86">
        <f t="shared" si="2"/>
        <v>45931</v>
      </c>
      <c r="R1102" s="13" t="str">
        <f t="shared" si="3"/>
        <v>Yes</v>
      </c>
      <c r="S1102" s="86">
        <f t="array" ref="S1102">iferror(XLOOKUP(C1102,'Download of SFDC Activation Rep'!B:B,'Download of SFDC Activation Rep'!Y:Y),"")</f>
        <v>45987</v>
      </c>
    </row>
    <row r="1103">
      <c r="A1103" s="17" t="s">
        <v>17</v>
      </c>
      <c r="B1103" s="85">
        <v>45931.0</v>
      </c>
      <c r="C1103" s="17">
        <v>4172812.0</v>
      </c>
      <c r="D1103" s="85">
        <v>45931.0</v>
      </c>
      <c r="E1103" s="17">
        <v>1.0</v>
      </c>
      <c r="F1103" s="17">
        <v>0.0</v>
      </c>
      <c r="G1103" s="17">
        <v>32753.86</v>
      </c>
      <c r="I1103" s="17">
        <v>949.86</v>
      </c>
      <c r="J1103" s="17"/>
      <c r="K1103" s="17">
        <v>382.6784</v>
      </c>
      <c r="L1103" s="17">
        <v>382.3508614</v>
      </c>
      <c r="M1103" s="17">
        <v>0.327538600000025</v>
      </c>
      <c r="N1103" s="17">
        <v>0.0</v>
      </c>
      <c r="O1103" s="14">
        <f t="shared" si="1"/>
        <v>382.6784</v>
      </c>
      <c r="P1103" s="86">
        <f t="array" ref="P1103">iferror(XLOOKUP(C1103,'Download of SFDC Activation Rep'!B:B,'Download of SFDC Activation Rep'!Z:Z),"")</f>
        <v>45945</v>
      </c>
      <c r="Q1103" s="86">
        <f t="shared" si="2"/>
        <v>45931</v>
      </c>
      <c r="R1103" s="13" t="str">
        <f t="shared" si="3"/>
        <v>Yes</v>
      </c>
      <c r="S1103" s="86">
        <f t="array" ref="S1103">iferror(XLOOKUP(C1103,'Download of SFDC Activation Rep'!B:B,'Download of SFDC Activation Rep'!Y:Y),"")</f>
        <v>45958</v>
      </c>
    </row>
    <row r="1104">
      <c r="A1104" s="17" t="s">
        <v>488</v>
      </c>
      <c r="B1104" s="85">
        <v>46143.0</v>
      </c>
      <c r="C1104" s="17">
        <v>4239920.0</v>
      </c>
      <c r="D1104" s="85">
        <v>45992.0</v>
      </c>
      <c r="E1104" s="17">
        <v>7.0</v>
      </c>
      <c r="F1104" s="17">
        <v>7.0</v>
      </c>
      <c r="G1104" s="17">
        <v>31656.62</v>
      </c>
      <c r="H1104" s="17"/>
      <c r="I1104" s="17">
        <v>0.6</v>
      </c>
      <c r="J1104" s="17">
        <v>0.5</v>
      </c>
      <c r="K1104" s="17">
        <v>-0.76</v>
      </c>
      <c r="L1104" s="17">
        <v>-5.74208664208599</v>
      </c>
      <c r="M1104" s="17">
        <v>4.98208664208599</v>
      </c>
      <c r="N1104" s="17">
        <v>10.5</v>
      </c>
      <c r="O1104" s="14">
        <f t="shared" si="1"/>
        <v>9.74</v>
      </c>
      <c r="P1104" s="86">
        <f t="array" ref="P1104">iferror(XLOOKUP(C1104,'Download of SFDC Activation Rep'!B:B,'Download of SFDC Activation Rep'!Z:Z),"")</f>
        <v>45979</v>
      </c>
      <c r="Q1104" s="86">
        <f t="shared" si="2"/>
        <v>45962</v>
      </c>
      <c r="R1104" s="13" t="str">
        <f t="shared" si="3"/>
        <v>Yes</v>
      </c>
      <c r="S1104" s="86">
        <f t="array" ref="S1104">iferror(XLOOKUP(C1104,'Download of SFDC Activation Rep'!B:B,'Download of SFDC Activation Rep'!Y:Y),"")</f>
        <v>46007</v>
      </c>
    </row>
    <row r="1105">
      <c r="A1105" s="17" t="s">
        <v>19</v>
      </c>
      <c r="B1105" s="85">
        <v>46082.0</v>
      </c>
      <c r="C1105" s="17">
        <v>2428419.0</v>
      </c>
      <c r="D1105" s="85">
        <v>46023.0</v>
      </c>
      <c r="E1105" s="17">
        <v>519.0</v>
      </c>
      <c r="F1105" s="17">
        <v>519.0</v>
      </c>
      <c r="G1105" s="17">
        <v>344473.79</v>
      </c>
      <c r="H1105" s="17"/>
      <c r="I1105" s="17">
        <v>778.948806</v>
      </c>
      <c r="K1105" s="17">
        <v>698.2361</v>
      </c>
      <c r="L1105" s="17">
        <v>640.874257527673</v>
      </c>
      <c r="M1105" s="17">
        <v>57.361842472327</v>
      </c>
      <c r="N1105" s="17">
        <v>80.0</v>
      </c>
      <c r="O1105" s="14">
        <f t="shared" si="1"/>
        <v>778.2361</v>
      </c>
      <c r="P1105" s="86">
        <f t="array" ref="P1105">iferror(XLOOKUP(C1105,'Download of SFDC Activation Rep'!B:B,'Download of SFDC Activation Rep'!Z:Z),"")</f>
        <v>45891</v>
      </c>
      <c r="Q1105" s="86">
        <f t="shared" si="2"/>
        <v>45870</v>
      </c>
      <c r="R1105" s="13" t="str">
        <f t="shared" si="3"/>
        <v>Yes</v>
      </c>
      <c r="S1105" s="86">
        <f t="array" ref="S1105">iferror(XLOOKUP(C1105,'Download of SFDC Activation Rep'!B:B,'Download of SFDC Activation Rep'!Y:Y),"")</f>
        <v>46029</v>
      </c>
    </row>
    <row r="1106">
      <c r="A1106" s="17" t="s">
        <v>488</v>
      </c>
      <c r="B1106" s="85">
        <v>46023.0</v>
      </c>
      <c r="C1106" s="17">
        <v>3906405.0</v>
      </c>
      <c r="D1106" s="85">
        <v>45778.0</v>
      </c>
      <c r="E1106" s="17">
        <v>18.0</v>
      </c>
      <c r="F1106" s="17">
        <v>18.0</v>
      </c>
      <c r="G1106" s="17">
        <v>7008.71</v>
      </c>
      <c r="H1106" s="17"/>
      <c r="I1106" s="17">
        <v>1.59</v>
      </c>
      <c r="J1106" s="17">
        <v>0.5</v>
      </c>
      <c r="K1106" s="17">
        <v>-1.9165</v>
      </c>
      <c r="L1106" s="17">
        <v>-3.81688799719231</v>
      </c>
      <c r="M1106" s="17">
        <v>1.90038799719231</v>
      </c>
      <c r="N1106" s="17">
        <v>29.75</v>
      </c>
      <c r="O1106" s="14">
        <f t="shared" si="1"/>
        <v>27.8335</v>
      </c>
      <c r="P1106" s="86">
        <f t="array" ref="P1106">iferror(XLOOKUP(C1106,'Download of SFDC Activation Rep'!B:B,'Download of SFDC Activation Rep'!Z:Z),"")</f>
        <v>45798</v>
      </c>
      <c r="Q1106" s="86">
        <f t="shared" si="2"/>
        <v>45778</v>
      </c>
      <c r="R1106" s="13" t="str">
        <f t="shared" si="3"/>
        <v>Yes</v>
      </c>
      <c r="S1106" s="86">
        <f t="array" ref="S1106">iferror(XLOOKUP(C1106,'Download of SFDC Activation Rep'!B:B,'Download of SFDC Activation Rep'!Y:Y),"")</f>
        <v>45807</v>
      </c>
    </row>
    <row r="1107">
      <c r="A1107" s="17" t="s">
        <v>489</v>
      </c>
      <c r="B1107" s="85">
        <v>45901.0</v>
      </c>
      <c r="C1107" s="17">
        <v>3328212.0</v>
      </c>
      <c r="D1107" s="85">
        <v>45901.0</v>
      </c>
      <c r="E1107" s="17">
        <v>14.0</v>
      </c>
      <c r="F1107" s="17">
        <v>4.0</v>
      </c>
      <c r="G1107" s="17">
        <v>4141.35</v>
      </c>
      <c r="H1107" s="17">
        <v>1898.05</v>
      </c>
      <c r="I1107" s="17">
        <v>55.04</v>
      </c>
      <c r="K1107" s="17">
        <v>0.243899999999999</v>
      </c>
      <c r="L1107" s="17">
        <v>0.2024865</v>
      </c>
      <c r="M1107" s="17">
        <v>0.0414134999999998</v>
      </c>
      <c r="N1107" s="17">
        <v>5.49999999999999</v>
      </c>
      <c r="O1107" s="14">
        <f t="shared" si="1"/>
        <v>5.7439</v>
      </c>
      <c r="P1107" s="86">
        <f t="array" ref="P1107">iferror(XLOOKUP(C1107,'Download of SFDC Activation Rep'!B:B,'Download of SFDC Activation Rep'!Z:Z),"")</f>
        <v>45816</v>
      </c>
      <c r="Q1107" s="86">
        <f t="shared" si="2"/>
        <v>45809</v>
      </c>
      <c r="R1107" s="13" t="str">
        <f t="shared" si="3"/>
        <v>Yes</v>
      </c>
      <c r="S1107" s="86">
        <f t="array" ref="S1107">iferror(XLOOKUP(C1107,'Download of SFDC Activation Rep'!B:B,'Download of SFDC Activation Rep'!Y:Y),"")</f>
        <v>45903</v>
      </c>
    </row>
    <row r="1108">
      <c r="A1108" s="17" t="s">
        <v>489</v>
      </c>
      <c r="B1108" s="85">
        <v>45992.0</v>
      </c>
      <c r="C1108" s="17">
        <v>4178047.0</v>
      </c>
      <c r="D1108" s="85">
        <v>45962.0</v>
      </c>
      <c r="E1108" s="17">
        <v>11.0</v>
      </c>
      <c r="F1108" s="17">
        <v>11.0</v>
      </c>
      <c r="G1108" s="17">
        <v>55162.75</v>
      </c>
      <c r="H1108" s="17"/>
      <c r="I1108" s="17">
        <v>0.0</v>
      </c>
      <c r="K1108" s="17">
        <v>-1.52</v>
      </c>
      <c r="L1108" s="17">
        <v>-10.1629739687079</v>
      </c>
      <c r="M1108" s="17">
        <v>8.64297396870797</v>
      </c>
      <c r="N1108" s="17">
        <v>85.0</v>
      </c>
      <c r="O1108" s="14">
        <f t="shared" si="1"/>
        <v>83.48</v>
      </c>
      <c r="P1108" s="86">
        <f t="array" ref="P1108">iferror(XLOOKUP(C1108,'Download of SFDC Activation Rep'!B:B,'Download of SFDC Activation Rep'!Z:Z),"")</f>
        <v>45974</v>
      </c>
      <c r="Q1108" s="86">
        <f t="shared" si="2"/>
        <v>45962</v>
      </c>
      <c r="R1108" s="13" t="str">
        <f t="shared" si="3"/>
        <v>Yes</v>
      </c>
      <c r="S1108" s="86">
        <f t="array" ref="S1108">iferror(XLOOKUP(C1108,'Download of SFDC Activation Rep'!B:B,'Download of SFDC Activation Rep'!Y:Y),"")</f>
        <v>45967</v>
      </c>
    </row>
    <row r="1109">
      <c r="A1109" s="17" t="s">
        <v>489</v>
      </c>
      <c r="B1109" s="85">
        <v>46113.0</v>
      </c>
      <c r="C1109" s="17">
        <v>3683365.0</v>
      </c>
      <c r="D1109" s="85">
        <v>45992.0</v>
      </c>
      <c r="E1109" s="17">
        <v>4.0</v>
      </c>
      <c r="F1109" s="17">
        <v>3.0</v>
      </c>
      <c r="G1109" s="17">
        <v>17996.89</v>
      </c>
      <c r="I1109" s="17">
        <v>497.66</v>
      </c>
      <c r="J1109" s="17"/>
      <c r="K1109" s="17">
        <v>169.125399999999</v>
      </c>
      <c r="L1109" s="17">
        <v>168.945431099999</v>
      </c>
      <c r="M1109" s="17">
        <v>0.179968900000005</v>
      </c>
      <c r="N1109" s="17">
        <v>52.0</v>
      </c>
      <c r="O1109" s="14">
        <f t="shared" si="1"/>
        <v>221.1254</v>
      </c>
      <c r="P1109" s="86">
        <f t="array" ref="P1109">iferror(XLOOKUP(C1109,'Download of SFDC Activation Rep'!B:B,'Download of SFDC Activation Rep'!Z:Z),"")</f>
        <v>46197</v>
      </c>
      <c r="Q1109" s="86">
        <f t="shared" si="2"/>
        <v>46174</v>
      </c>
      <c r="R1109" s="13" t="str">
        <f t="shared" si="3"/>
        <v>No</v>
      </c>
      <c r="S1109" s="86">
        <f t="array" ref="S1109">iferror(XLOOKUP(C1109,'Download of SFDC Activation Rep'!B:B,'Download of SFDC Activation Rep'!Y:Y),"")</f>
        <v>46361</v>
      </c>
    </row>
    <row r="1110">
      <c r="A1110" s="17" t="s">
        <v>19</v>
      </c>
      <c r="B1110" s="85">
        <v>45962.0</v>
      </c>
      <c r="C1110" s="17">
        <v>1938612.0</v>
      </c>
      <c r="D1110" s="85">
        <v>45962.0</v>
      </c>
      <c r="E1110" s="17">
        <v>49.0</v>
      </c>
      <c r="F1110" s="17">
        <v>49.0</v>
      </c>
      <c r="G1110" s="17">
        <v>32369.54</v>
      </c>
      <c r="H1110" s="17"/>
      <c r="I1110" s="17">
        <v>0.5</v>
      </c>
      <c r="J1110" s="17">
        <v>0.5</v>
      </c>
      <c r="K1110" s="17">
        <v>-3.9045</v>
      </c>
      <c r="L1110" s="17">
        <v>-8.97620312573342</v>
      </c>
      <c r="M1110" s="17">
        <v>5.07170312573342</v>
      </c>
      <c r="N1110" s="17">
        <v>68.0</v>
      </c>
      <c r="O1110" s="14">
        <f t="shared" si="1"/>
        <v>64.0955</v>
      </c>
      <c r="P1110" s="86">
        <f t="array" ref="P1110">iferror(XLOOKUP(C1110,'Download of SFDC Activation Rep'!B:B,'Download of SFDC Activation Rep'!Z:Z),"")</f>
        <v>45904</v>
      </c>
      <c r="Q1110" s="86">
        <f t="shared" si="2"/>
        <v>45901</v>
      </c>
      <c r="R1110" s="13" t="str">
        <f t="shared" si="3"/>
        <v>Yes</v>
      </c>
      <c r="S1110" s="86">
        <f t="array" ref="S1110">iferror(XLOOKUP(C1110,'Download of SFDC Activation Rep'!B:B,'Download of SFDC Activation Rep'!Y:Y),"")</f>
        <v>45966</v>
      </c>
    </row>
    <row r="1111">
      <c r="A1111" s="17" t="s">
        <v>488</v>
      </c>
      <c r="B1111" s="85">
        <v>46054.0</v>
      </c>
      <c r="C1111" s="17">
        <v>3934664.0</v>
      </c>
      <c r="D1111" s="85">
        <v>45809.0</v>
      </c>
      <c r="E1111" s="17">
        <v>4.0</v>
      </c>
      <c r="F1111" s="17">
        <v>1.0</v>
      </c>
      <c r="G1111" s="17">
        <v>6856.7</v>
      </c>
      <c r="H1111" s="17">
        <v>105.51</v>
      </c>
      <c r="I1111" s="17">
        <v>190.69</v>
      </c>
      <c r="J1111" s="17"/>
      <c r="K1111" s="17">
        <v>1.8606</v>
      </c>
      <c r="L1111" s="17">
        <v>1.792033</v>
      </c>
      <c r="M1111" s="17">
        <v>0.068567</v>
      </c>
      <c r="N1111" s="17">
        <v>25.0</v>
      </c>
      <c r="O1111" s="14">
        <f t="shared" si="1"/>
        <v>27.546415</v>
      </c>
      <c r="P1111" s="86">
        <f t="array" ref="P1111">iferror(XLOOKUP(C1111,'Download of SFDC Activation Rep'!B:B,'Download of SFDC Activation Rep'!Z:Z),"")</f>
        <v>45820</v>
      </c>
      <c r="Q1111" s="86">
        <f t="shared" si="2"/>
        <v>45809</v>
      </c>
      <c r="R1111" s="13" t="str">
        <f t="shared" si="3"/>
        <v>Yes</v>
      </c>
      <c r="S1111" s="86">
        <f t="array" ref="S1111">iferror(XLOOKUP(C1111,'Download of SFDC Activation Rep'!B:B,'Download of SFDC Activation Rep'!Y:Y),"")</f>
        <v>45829</v>
      </c>
    </row>
    <row r="1112">
      <c r="A1112" s="17" t="s">
        <v>489</v>
      </c>
      <c r="B1112" s="85">
        <v>45901.0</v>
      </c>
      <c r="C1112" s="17">
        <v>4103219.0</v>
      </c>
      <c r="D1112" s="85">
        <v>45901.0</v>
      </c>
      <c r="E1112" s="17">
        <v>12.0</v>
      </c>
      <c r="F1112" s="17">
        <v>12.0</v>
      </c>
      <c r="G1112" s="17">
        <v>18861.81</v>
      </c>
      <c r="H1112" s="17"/>
      <c r="I1112" s="17">
        <v>18.345519</v>
      </c>
      <c r="K1112" s="17">
        <v>17.2955</v>
      </c>
      <c r="L1112" s="17">
        <v>14.3402062042281</v>
      </c>
      <c r="M1112" s="17">
        <v>2.95529379577189</v>
      </c>
      <c r="N1112" s="17">
        <v>4.39999999999999</v>
      </c>
      <c r="O1112" s="14">
        <f t="shared" si="1"/>
        <v>21.6955</v>
      </c>
      <c r="P1112" s="86">
        <f t="array" ref="P1112">iferror(XLOOKUP(C1112,'Download of SFDC Activation Rep'!B:B,'Download of SFDC Activation Rep'!Z:Z),"")</f>
        <v>45901</v>
      </c>
      <c r="Q1112" s="86">
        <f t="shared" si="2"/>
        <v>45901</v>
      </c>
      <c r="R1112" s="13" t="str">
        <f t="shared" si="3"/>
        <v>Yes</v>
      </c>
      <c r="S1112" s="86">
        <f t="array" ref="S1112">iferror(XLOOKUP(C1112,'Download of SFDC Activation Rep'!B:B,'Download of SFDC Activation Rep'!Y:Y),"")</f>
        <v>45919</v>
      </c>
    </row>
    <row r="1113">
      <c r="A1113" s="17" t="s">
        <v>488</v>
      </c>
      <c r="B1113" s="85">
        <v>45870.0</v>
      </c>
      <c r="C1113" s="17">
        <v>3952865.0</v>
      </c>
      <c r="D1113" s="85">
        <v>45809.0</v>
      </c>
      <c r="E1113" s="17">
        <v>10.0</v>
      </c>
      <c r="F1113" s="17">
        <v>10.0</v>
      </c>
      <c r="G1113" s="17">
        <v>44578.63</v>
      </c>
      <c r="H1113" s="17"/>
      <c r="I1113" s="17">
        <v>0.0</v>
      </c>
      <c r="K1113" s="17">
        <v>-1.42</v>
      </c>
      <c r="L1113" s="17">
        <v>-8.40463979135674</v>
      </c>
      <c r="M1113" s="17">
        <v>6.98463979135674</v>
      </c>
      <c r="N1113" s="17">
        <v>3.49999999999999</v>
      </c>
      <c r="O1113" s="14">
        <f t="shared" si="1"/>
        <v>2.08</v>
      </c>
      <c r="P1113" s="86">
        <f t="array" ref="P1113">iferror(XLOOKUP(C1113,'Download of SFDC Activation Rep'!B:B,'Download of SFDC Activation Rep'!Z:Z),"")</f>
        <v>45799</v>
      </c>
      <c r="Q1113" s="86">
        <f t="shared" si="2"/>
        <v>45778</v>
      </c>
      <c r="R1113" s="13" t="str">
        <f t="shared" si="3"/>
        <v>Yes</v>
      </c>
      <c r="S1113" s="86">
        <f t="array" ref="S1113">iferror(XLOOKUP(C1113,'Download of SFDC Activation Rep'!B:B,'Download of SFDC Activation Rep'!Y:Y),"")</f>
        <v>45818</v>
      </c>
    </row>
    <row r="1114">
      <c r="A1114" s="17" t="s">
        <v>489</v>
      </c>
      <c r="B1114" s="85">
        <v>46174.0</v>
      </c>
      <c r="C1114" s="17">
        <v>4103219.0</v>
      </c>
      <c r="D1114" s="85">
        <v>45901.0</v>
      </c>
      <c r="E1114" s="17">
        <v>29.0</v>
      </c>
      <c r="F1114" s="17">
        <v>29.0</v>
      </c>
      <c r="G1114" s="17">
        <v>192929.94</v>
      </c>
      <c r="H1114" s="17"/>
      <c r="I1114" s="17">
        <v>12.026101</v>
      </c>
      <c r="K1114" s="17">
        <v>7.005</v>
      </c>
      <c r="L1114" s="17">
        <v>-23.5343217266939</v>
      </c>
      <c r="M1114" s="17">
        <v>30.5393217266939</v>
      </c>
      <c r="N1114" s="17">
        <v>4.39999999999999</v>
      </c>
      <c r="O1114" s="14">
        <f t="shared" si="1"/>
        <v>11.405</v>
      </c>
      <c r="P1114" s="86">
        <f t="array" ref="P1114">iferror(XLOOKUP(C1114,'Download of SFDC Activation Rep'!B:B,'Download of SFDC Activation Rep'!Z:Z),"")</f>
        <v>45901</v>
      </c>
      <c r="Q1114" s="86">
        <f t="shared" si="2"/>
        <v>45901</v>
      </c>
      <c r="R1114" s="13" t="str">
        <f t="shared" si="3"/>
        <v>Yes</v>
      </c>
      <c r="S1114" s="86">
        <f t="array" ref="S1114">iferror(XLOOKUP(C1114,'Download of SFDC Activation Rep'!B:B,'Download of SFDC Activation Rep'!Y:Y),"")</f>
        <v>45919</v>
      </c>
    </row>
    <row r="1115">
      <c r="A1115" s="17" t="s">
        <v>488</v>
      </c>
      <c r="B1115" s="85">
        <v>45962.0</v>
      </c>
      <c r="C1115" s="17">
        <v>2340816.0</v>
      </c>
      <c r="D1115" s="85">
        <v>45931.0</v>
      </c>
      <c r="E1115" s="17">
        <v>33.0</v>
      </c>
      <c r="F1115" s="17">
        <v>33.0</v>
      </c>
      <c r="G1115" s="17">
        <v>6830.59</v>
      </c>
      <c r="H1115" s="17"/>
      <c r="I1115" s="17">
        <v>20.0</v>
      </c>
      <c r="J1115" s="17">
        <v>1.0</v>
      </c>
      <c r="K1115" s="17">
        <v>6.86389999999999</v>
      </c>
      <c r="L1115" s="17">
        <v>5.28892020205832</v>
      </c>
      <c r="M1115" s="17">
        <v>1.57497979794167</v>
      </c>
      <c r="N1115" s="17">
        <v>20.0</v>
      </c>
      <c r="O1115" s="14">
        <f t="shared" si="1"/>
        <v>26.8639</v>
      </c>
      <c r="P1115" s="86">
        <f t="array" ref="P1115">iferror(XLOOKUP(C1115,'Download of SFDC Activation Rep'!B:B,'Download of SFDC Activation Rep'!Z:Z),"")</f>
        <v>45929</v>
      </c>
      <c r="Q1115" s="86">
        <f t="shared" si="2"/>
        <v>45901</v>
      </c>
      <c r="R1115" s="13" t="str">
        <f t="shared" si="3"/>
        <v>Yes</v>
      </c>
      <c r="S1115" s="86">
        <f t="array" ref="S1115">iferror(XLOOKUP(C1115,'Download of SFDC Activation Rep'!B:B,'Download of SFDC Activation Rep'!Y:Y),"")</f>
        <v>45936</v>
      </c>
    </row>
    <row r="1116">
      <c r="A1116" s="17" t="s">
        <v>488</v>
      </c>
      <c r="B1116" s="85">
        <v>46082.0</v>
      </c>
      <c r="C1116" s="17">
        <v>4265889.0</v>
      </c>
      <c r="D1116" s="85">
        <v>45992.0</v>
      </c>
      <c r="E1116" s="17">
        <v>66.0</v>
      </c>
      <c r="F1116" s="17">
        <v>0.0</v>
      </c>
      <c r="G1116" s="17">
        <v>18208.05</v>
      </c>
      <c r="H1116" s="17"/>
      <c r="I1116" s="17">
        <v>528.08</v>
      </c>
      <c r="J1116" s="17"/>
      <c r="K1116" s="17">
        <v>-25.101</v>
      </c>
      <c r="L1116" s="17">
        <v>-34.7595111050399</v>
      </c>
      <c r="M1116" s="17">
        <v>9.65851110503999</v>
      </c>
      <c r="N1116" s="17">
        <v>20.0</v>
      </c>
      <c r="O1116" s="14">
        <f t="shared" si="1"/>
        <v>-5.101</v>
      </c>
      <c r="P1116" s="86">
        <f t="array" ref="P1116">iferror(XLOOKUP(C1116,'Download of SFDC Activation Rep'!B:B,'Download of SFDC Activation Rep'!Z:Z),"")</f>
        <v>45993</v>
      </c>
      <c r="Q1116" s="86">
        <f t="shared" si="2"/>
        <v>45992</v>
      </c>
      <c r="R1116" s="13" t="str">
        <f t="shared" si="3"/>
        <v>Yes</v>
      </c>
      <c r="S1116" s="86">
        <f t="array" ref="S1116">iferror(XLOOKUP(C1116,'Download of SFDC Activation Rep'!B:B,'Download of SFDC Activation Rep'!Y:Y),"")</f>
        <v>45999</v>
      </c>
    </row>
    <row r="1117">
      <c r="A1117" s="17" t="s">
        <v>488</v>
      </c>
      <c r="B1117" s="85">
        <v>46113.0</v>
      </c>
      <c r="C1117" s="17">
        <v>4222088.0</v>
      </c>
      <c r="D1117" s="85">
        <v>45962.0</v>
      </c>
      <c r="E1117" s="17">
        <v>1.0</v>
      </c>
      <c r="F1117" s="17">
        <v>0.0</v>
      </c>
      <c r="G1117" s="17">
        <v>2750.0</v>
      </c>
      <c r="H1117" s="17"/>
      <c r="I1117" s="17">
        <v>79.75</v>
      </c>
      <c r="J1117" s="17"/>
      <c r="K1117" s="17">
        <v>-0.1148</v>
      </c>
      <c r="L1117" s="17">
        <v>-1.5460452</v>
      </c>
      <c r="M1117" s="17">
        <v>1.4312452</v>
      </c>
      <c r="N1117" s="17">
        <v>20.0</v>
      </c>
      <c r="O1117" s="14">
        <f t="shared" si="1"/>
        <v>19.8852</v>
      </c>
      <c r="P1117" s="86">
        <f t="array" ref="P1117">iferror(XLOOKUP(C1117,'Download of SFDC Activation Rep'!B:B,'Download of SFDC Activation Rep'!Z:Z),"")</f>
        <v>45954</v>
      </c>
      <c r="Q1117" s="86">
        <f t="shared" si="2"/>
        <v>45931</v>
      </c>
      <c r="R1117" s="13" t="str">
        <f t="shared" si="3"/>
        <v>Yes</v>
      </c>
      <c r="S1117" s="86">
        <f t="array" ref="S1117">iferror(XLOOKUP(C1117,'Download of SFDC Activation Rep'!B:B,'Download of SFDC Activation Rep'!Y:Y),"")</f>
        <v>45985</v>
      </c>
    </row>
    <row r="1118">
      <c r="A1118" s="17" t="s">
        <v>19</v>
      </c>
      <c r="B1118" s="85">
        <v>46174.0</v>
      </c>
      <c r="C1118" s="17">
        <v>4112463.0</v>
      </c>
      <c r="D1118" s="85">
        <v>45931.0</v>
      </c>
      <c r="E1118" s="17">
        <v>33.0</v>
      </c>
      <c r="F1118" s="17">
        <v>33.0</v>
      </c>
      <c r="G1118" s="17">
        <v>102445.41</v>
      </c>
      <c r="I1118" s="17">
        <v>20.25</v>
      </c>
      <c r="K1118" s="17">
        <v>2.4483</v>
      </c>
      <c r="L1118" s="17">
        <v>-13.4990310478329</v>
      </c>
      <c r="M1118" s="17">
        <v>15.947331047833</v>
      </c>
      <c r="N1118" s="17">
        <v>64.0</v>
      </c>
      <c r="O1118" s="14">
        <f t="shared" si="1"/>
        <v>66.4483</v>
      </c>
      <c r="P1118" s="86">
        <f t="array" ref="P1118">iferror(XLOOKUP(C1118,'Download of SFDC Activation Rep'!B:B,'Download of SFDC Activation Rep'!Z:Z),"")</f>
        <v>45911</v>
      </c>
      <c r="Q1118" s="86">
        <f t="shared" si="2"/>
        <v>45901</v>
      </c>
      <c r="R1118" s="13" t="str">
        <f t="shared" si="3"/>
        <v>Yes</v>
      </c>
      <c r="S1118" s="86">
        <f t="array" ref="S1118">iferror(XLOOKUP(C1118,'Download of SFDC Activation Rep'!B:B,'Download of SFDC Activation Rep'!Y:Y),"")</f>
        <v>45945</v>
      </c>
    </row>
    <row r="1119">
      <c r="A1119" s="17" t="s">
        <v>488</v>
      </c>
      <c r="B1119" s="85">
        <v>45992.0</v>
      </c>
      <c r="C1119" s="17">
        <v>3934664.0</v>
      </c>
      <c r="D1119" s="85">
        <v>45809.0</v>
      </c>
      <c r="E1119" s="17">
        <v>2.0</v>
      </c>
      <c r="F1119" s="17">
        <v>0.0</v>
      </c>
      <c r="G1119" s="17">
        <v>5749.52</v>
      </c>
      <c r="H1119" s="17">
        <v>5749.52</v>
      </c>
      <c r="I1119" s="17">
        <v>166.74</v>
      </c>
      <c r="K1119" s="17">
        <v>40.8457</v>
      </c>
      <c r="L1119" s="17">
        <v>40.7882048</v>
      </c>
      <c r="M1119" s="17">
        <v>0.0574951999999981</v>
      </c>
      <c r="N1119" s="17">
        <v>25.0</v>
      </c>
      <c r="O1119" s="14">
        <f t="shared" si="1"/>
        <v>65.8457</v>
      </c>
      <c r="P1119" s="86">
        <f t="array" ref="P1119">iferror(XLOOKUP(C1119,'Download of SFDC Activation Rep'!B:B,'Download of SFDC Activation Rep'!Z:Z),"")</f>
        <v>45820</v>
      </c>
      <c r="Q1119" s="86">
        <f t="shared" si="2"/>
        <v>45809</v>
      </c>
      <c r="R1119" s="13" t="str">
        <f t="shared" si="3"/>
        <v>Yes</v>
      </c>
      <c r="S1119" s="86">
        <f t="array" ref="S1119">iferror(XLOOKUP(C1119,'Download of SFDC Activation Rep'!B:B,'Download of SFDC Activation Rep'!Y:Y),"")</f>
        <v>45829</v>
      </c>
    </row>
    <row r="1120">
      <c r="A1120" s="17" t="s">
        <v>17</v>
      </c>
      <c r="B1120" s="85">
        <v>46113.0</v>
      </c>
      <c r="C1120" s="17">
        <v>4520936.0</v>
      </c>
      <c r="D1120" s="85">
        <v>46082.0</v>
      </c>
      <c r="E1120" s="17">
        <v>5.0</v>
      </c>
      <c r="F1120" s="17">
        <v>0.0</v>
      </c>
      <c r="G1120" s="17">
        <v>124590.86</v>
      </c>
      <c r="H1120" s="17">
        <v>124590.86</v>
      </c>
      <c r="I1120" s="17">
        <v>3613.13</v>
      </c>
      <c r="K1120" s="17">
        <v>-191.2616</v>
      </c>
      <c r="L1120" s="17">
        <v>-257.351170541408</v>
      </c>
      <c r="M1120" s="17">
        <v>66.089570541408</v>
      </c>
      <c r="N1120" s="17">
        <v>0.0</v>
      </c>
      <c r="O1120" s="14">
        <f t="shared" si="1"/>
        <v>618.57899</v>
      </c>
      <c r="P1120" s="86">
        <f t="array" ref="P1120">iferror(XLOOKUP(C1120,'Download of SFDC Activation Rep'!B:B,'Download of SFDC Activation Rep'!Z:Z),"")</f>
        <v>46098</v>
      </c>
      <c r="Q1120" s="86">
        <f t="shared" si="2"/>
        <v>46082</v>
      </c>
      <c r="R1120" s="13" t="str">
        <f t="shared" si="3"/>
        <v>Yes</v>
      </c>
      <c r="S1120" s="86">
        <f t="array" ref="S1120">iferror(XLOOKUP(C1120,'Download of SFDC Activation Rep'!B:B,'Download of SFDC Activation Rep'!Y:Y),"")</f>
        <v>46141</v>
      </c>
    </row>
    <row r="1121">
      <c r="A1121" s="17" t="s">
        <v>1487</v>
      </c>
      <c r="B1121" s="85">
        <v>45962.0</v>
      </c>
      <c r="C1121" s="17">
        <v>3935770.0</v>
      </c>
      <c r="D1121" s="85">
        <v>45778.0</v>
      </c>
      <c r="E1121" s="17">
        <v>61.0</v>
      </c>
      <c r="F1121" s="17">
        <v>56.0</v>
      </c>
      <c r="G1121" s="17">
        <v>317117.34</v>
      </c>
      <c r="H1121" s="17">
        <v>1925.0</v>
      </c>
      <c r="I1121" s="17">
        <v>1714.34542</v>
      </c>
      <c r="J1121" s="17">
        <v>1.0</v>
      </c>
      <c r="K1121" s="17">
        <v>772.3973</v>
      </c>
      <c r="L1121" s="17">
        <v>671.040027066416</v>
      </c>
      <c r="M1121" s="17">
        <v>101.357272933583</v>
      </c>
      <c r="N1121" s="17">
        <v>0.0</v>
      </c>
      <c r="O1121" s="14">
        <f t="shared" si="1"/>
        <v>772.3973</v>
      </c>
      <c r="P1121" s="86">
        <f t="array" ref="P1121">iferror(XLOOKUP(C1121,'Download of SFDC Activation Rep'!B:B,'Download of SFDC Activation Rep'!Z:Z),"")</f>
        <v>45797</v>
      </c>
      <c r="Q1121" s="86">
        <f t="shared" si="2"/>
        <v>45778</v>
      </c>
      <c r="R1121" s="13" t="str">
        <f t="shared" si="3"/>
        <v>Yes</v>
      </c>
      <c r="S1121" s="86">
        <f t="array" ref="S1121">iferror(XLOOKUP(C1121,'Download of SFDC Activation Rep'!B:B,'Download of SFDC Activation Rep'!Y:Y),"")</f>
        <v>45797</v>
      </c>
    </row>
    <row r="1122">
      <c r="A1122" s="17" t="s">
        <v>19</v>
      </c>
      <c r="B1122" s="85">
        <v>46082.0</v>
      </c>
      <c r="C1122" s="17">
        <v>4374819.0</v>
      </c>
      <c r="D1122" s="85">
        <v>46054.0</v>
      </c>
      <c r="E1122" s="17">
        <v>5.0</v>
      </c>
      <c r="F1122" s="17">
        <v>5.0</v>
      </c>
      <c r="G1122" s="17">
        <v>33509.23</v>
      </c>
      <c r="H1122" s="17"/>
      <c r="I1122" s="17">
        <v>0.0</v>
      </c>
      <c r="K1122" s="17">
        <v>-0.7418</v>
      </c>
      <c r="L1122" s="17">
        <v>-5.99206971839899</v>
      </c>
      <c r="M1122" s="17">
        <v>5.25026971839899</v>
      </c>
      <c r="N1122" s="17">
        <v>64.0</v>
      </c>
      <c r="O1122" s="14">
        <f t="shared" si="1"/>
        <v>63.2582</v>
      </c>
      <c r="P1122" s="86">
        <f t="array" ref="P1122">iferror(XLOOKUP(C1122,'Download of SFDC Activation Rep'!B:B,'Download of SFDC Activation Rep'!Z:Z),"")</f>
        <v>46197</v>
      </c>
      <c r="Q1122" s="86">
        <f t="shared" si="2"/>
        <v>46174</v>
      </c>
      <c r="R1122" s="13" t="str">
        <f t="shared" si="3"/>
        <v>No</v>
      </c>
      <c r="S1122" s="86">
        <f t="array" ref="S1122">iferror(XLOOKUP(C1122,'Download of SFDC Activation Rep'!B:B,'Download of SFDC Activation Rep'!Y:Y),"")</f>
        <v>46361</v>
      </c>
    </row>
    <row r="1123">
      <c r="A1123" s="17" t="s">
        <v>488</v>
      </c>
      <c r="B1123" s="85">
        <v>46023.0</v>
      </c>
      <c r="C1123" s="17">
        <v>3968250.0</v>
      </c>
      <c r="D1123" s="85">
        <v>45809.0</v>
      </c>
      <c r="E1123" s="17">
        <v>25.0</v>
      </c>
      <c r="F1123" s="17">
        <v>25.0</v>
      </c>
      <c r="G1123" s="17">
        <v>75837.68</v>
      </c>
      <c r="H1123" s="17"/>
      <c r="I1123" s="17">
        <v>0.0</v>
      </c>
      <c r="J1123" s="17"/>
      <c r="K1123" s="17">
        <v>-4.0113</v>
      </c>
      <c r="L1123" s="17">
        <v>-20.1377547606419</v>
      </c>
      <c r="M1123" s="17">
        <v>16.1264547606419</v>
      </c>
      <c r="N1123" s="17">
        <v>6.39999999999999</v>
      </c>
      <c r="O1123" s="14">
        <f t="shared" si="1"/>
        <v>2.3887</v>
      </c>
      <c r="P1123" s="86">
        <f t="array" ref="P1123">iferror(XLOOKUP(C1123,'Download of SFDC Activation Rep'!B:B,'Download of SFDC Activation Rep'!Z:Z),"")</f>
        <v>45809</v>
      </c>
      <c r="Q1123" s="86">
        <f t="shared" si="2"/>
        <v>45809</v>
      </c>
      <c r="R1123" s="13" t="str">
        <f t="shared" si="3"/>
        <v>Yes</v>
      </c>
      <c r="S1123" s="86">
        <f t="array" ref="S1123">iferror(XLOOKUP(C1123,'Download of SFDC Activation Rep'!B:B,'Download of SFDC Activation Rep'!Y:Y),"")</f>
        <v>45826</v>
      </c>
    </row>
    <row r="1124">
      <c r="A1124" s="17" t="s">
        <v>489</v>
      </c>
      <c r="B1124" s="85">
        <v>46082.0</v>
      </c>
      <c r="C1124" s="17">
        <v>2153287.0</v>
      </c>
      <c r="D1124" s="85">
        <v>44805.0</v>
      </c>
      <c r="E1124" s="17">
        <v>75.0</v>
      </c>
      <c r="F1124" s="17">
        <v>49.0</v>
      </c>
      <c r="G1124" s="17">
        <v>246325.49</v>
      </c>
      <c r="H1124" s="17">
        <v>126264.83</v>
      </c>
      <c r="I1124" s="17">
        <v>3880.52</v>
      </c>
      <c r="J1124" s="17"/>
      <c r="K1124" s="17">
        <v>-199.4853</v>
      </c>
      <c r="L1124" s="17">
        <v>-230.962153869152</v>
      </c>
      <c r="M1124" s="17">
        <v>31.476853869152</v>
      </c>
      <c r="N1124" s="17">
        <v>55.0</v>
      </c>
      <c r="O1124" s="14">
        <f t="shared" si="1"/>
        <v>676.236095</v>
      </c>
      <c r="P1124" s="86">
        <f t="array" ref="P1124">iferror(XLOOKUP(C1124,'Download of SFDC Activation Rep'!B:B,'Download of SFDC Activation Rep'!Z:Z),"")</f>
        <v>46007</v>
      </c>
      <c r="Q1124" s="86">
        <f t="shared" si="2"/>
        <v>45992</v>
      </c>
      <c r="R1124" s="13" t="str">
        <f t="shared" si="3"/>
        <v>Yes</v>
      </c>
      <c r="S1124" s="86">
        <f t="array" ref="S1124">iferror(XLOOKUP(C1124,'Download of SFDC Activation Rep'!B:B,'Download of SFDC Activation Rep'!Y:Y),"")</f>
        <v>46021</v>
      </c>
    </row>
    <row r="1125">
      <c r="A1125" s="17" t="s">
        <v>488</v>
      </c>
      <c r="B1125" s="85">
        <v>45809.0</v>
      </c>
      <c r="C1125" s="17">
        <v>3785914.0</v>
      </c>
      <c r="D1125" s="85">
        <v>45778.0</v>
      </c>
      <c r="E1125" s="17">
        <v>1.0</v>
      </c>
      <c r="F1125" s="17">
        <v>1.0</v>
      </c>
      <c r="G1125" s="17">
        <v>10368.0</v>
      </c>
      <c r="H1125" s="17"/>
      <c r="I1125" s="17">
        <v>0.0</v>
      </c>
      <c r="K1125" s="17">
        <v>-0.22</v>
      </c>
      <c r="L1125" s="17">
        <v>-0.32368</v>
      </c>
      <c r="M1125" s="17">
        <v>0.10368</v>
      </c>
      <c r="N1125" s="17">
        <v>2.49999999999999</v>
      </c>
      <c r="O1125" s="14">
        <f t="shared" si="1"/>
        <v>2.28</v>
      </c>
      <c r="P1125" s="86">
        <f t="array" ref="P1125">iferror(XLOOKUP(C1125,'Download of SFDC Activation Rep'!B:B,'Download of SFDC Activation Rep'!Z:Z),"")</f>
        <v>45806</v>
      </c>
      <c r="Q1125" s="86">
        <f t="shared" si="2"/>
        <v>45778</v>
      </c>
      <c r="R1125" s="13" t="str">
        <f t="shared" si="3"/>
        <v>Yes</v>
      </c>
      <c r="S1125" s="86">
        <f t="array" ref="S1125">iferror(XLOOKUP(C1125,'Download of SFDC Activation Rep'!B:B,'Download of SFDC Activation Rep'!Y:Y),"")</f>
        <v>45806</v>
      </c>
    </row>
    <row r="1126">
      <c r="A1126" s="17" t="s">
        <v>488</v>
      </c>
      <c r="B1126" s="85">
        <v>46054.0</v>
      </c>
      <c r="C1126" s="17">
        <v>4359494.0</v>
      </c>
      <c r="D1126" s="85">
        <v>46023.0</v>
      </c>
      <c r="E1126" s="17">
        <v>2.0</v>
      </c>
      <c r="F1126" s="17">
        <v>2.0</v>
      </c>
      <c r="G1126" s="17">
        <v>1126.75</v>
      </c>
      <c r="H1126" s="17"/>
      <c r="I1126" s="17">
        <v>3.0</v>
      </c>
      <c r="J1126" s="17"/>
      <c r="K1126" s="17">
        <v>0.6062</v>
      </c>
      <c r="L1126" s="17">
        <v>0.440926845225</v>
      </c>
      <c r="M1126" s="17">
        <v>0.165273154775</v>
      </c>
      <c r="N1126" s="17">
        <v>17.0</v>
      </c>
      <c r="O1126" s="14">
        <f t="shared" si="1"/>
        <v>17.6062</v>
      </c>
      <c r="P1126" s="86">
        <f t="array" ref="P1126">iferror(XLOOKUP(C1126,'Download of SFDC Activation Rep'!B:B,'Download of SFDC Activation Rep'!Z:Z),"")</f>
        <v>46057</v>
      </c>
      <c r="Q1126" s="86">
        <f t="shared" si="2"/>
        <v>46054</v>
      </c>
      <c r="R1126" s="13" t="str">
        <f t="shared" si="3"/>
        <v>Yes</v>
      </c>
      <c r="S1126" s="86">
        <f t="array" ref="S1126">iferror(XLOOKUP(C1126,'Download of SFDC Activation Rep'!B:B,'Download of SFDC Activation Rep'!Y:Y),"")</f>
        <v>46057</v>
      </c>
    </row>
    <row r="1127">
      <c r="A1127" s="17" t="s">
        <v>19</v>
      </c>
      <c r="B1127" s="85">
        <v>46174.0</v>
      </c>
      <c r="C1127" s="17">
        <v>4356919.0</v>
      </c>
      <c r="D1127" s="85">
        <v>46082.0</v>
      </c>
      <c r="E1127" s="17">
        <v>6.0</v>
      </c>
      <c r="F1127" s="17">
        <v>6.0</v>
      </c>
      <c r="G1127" s="17">
        <v>5214.12</v>
      </c>
      <c r="I1127" s="17">
        <v>0.0</v>
      </c>
      <c r="J1127" s="17"/>
      <c r="K1127" s="17">
        <v>-0.9121</v>
      </c>
      <c r="L1127" s="17">
        <v>-0.9599213</v>
      </c>
      <c r="M1127" s="17">
        <v>0.0478212999999999</v>
      </c>
      <c r="N1127" s="17">
        <v>80.0</v>
      </c>
      <c r="O1127" s="14">
        <f t="shared" si="1"/>
        <v>79.0879</v>
      </c>
      <c r="P1127" s="86">
        <f t="array" ref="P1127">iferror(XLOOKUP(C1127,'Download of SFDC Activation Rep'!B:B,'Download of SFDC Activation Rep'!Z:Z),"")</f>
        <v>45973</v>
      </c>
      <c r="Q1127" s="86">
        <f t="shared" si="2"/>
        <v>45962</v>
      </c>
      <c r="R1127" s="13" t="str">
        <f t="shared" si="3"/>
        <v>Yes</v>
      </c>
      <c r="S1127" s="86">
        <f t="array" ref="S1127">iferror(XLOOKUP(C1127,'Download of SFDC Activation Rep'!B:B,'Download of SFDC Activation Rep'!Y:Y),"")</f>
        <v>46139</v>
      </c>
    </row>
    <row r="1128">
      <c r="A1128" s="17" t="s">
        <v>489</v>
      </c>
      <c r="B1128" s="85">
        <v>46082.0</v>
      </c>
      <c r="C1128" s="17">
        <v>3024156.0</v>
      </c>
      <c r="D1128" s="85">
        <v>45901.0</v>
      </c>
      <c r="E1128" s="17">
        <v>35.0</v>
      </c>
      <c r="F1128" s="17">
        <v>35.0</v>
      </c>
      <c r="G1128" s="17">
        <v>101982.4</v>
      </c>
      <c r="H1128" s="17"/>
      <c r="I1128" s="17">
        <v>130.462956</v>
      </c>
      <c r="J1128" s="17"/>
      <c r="K1128" s="17">
        <v>111.767199999999</v>
      </c>
      <c r="L1128" s="17">
        <v>96.28406749088</v>
      </c>
      <c r="M1128" s="17">
        <v>15.4831325091199</v>
      </c>
      <c r="N1128" s="17">
        <v>8.49999999999999</v>
      </c>
      <c r="O1128" s="14">
        <f t="shared" si="1"/>
        <v>120.2672</v>
      </c>
      <c r="P1128" s="86">
        <f t="array" ref="P1128">iferror(XLOOKUP(C1128,'Download of SFDC Activation Rep'!B:B,'Download of SFDC Activation Rep'!Z:Z),"")</f>
        <v>45897</v>
      </c>
      <c r="Q1128" s="86">
        <f t="shared" si="2"/>
        <v>45870</v>
      </c>
      <c r="R1128" s="13" t="str">
        <f t="shared" si="3"/>
        <v>Yes</v>
      </c>
      <c r="S1128" s="86">
        <f t="array" ref="S1128">iferror(XLOOKUP(C1128,'Download of SFDC Activation Rep'!B:B,'Download of SFDC Activation Rep'!Y:Y),"")</f>
        <v>45916</v>
      </c>
    </row>
    <row r="1129">
      <c r="A1129" s="17" t="s">
        <v>17</v>
      </c>
      <c r="B1129" s="85">
        <v>46143.0</v>
      </c>
      <c r="C1129" s="17">
        <v>4613356.0</v>
      </c>
      <c r="D1129" s="85">
        <v>46143.0</v>
      </c>
      <c r="E1129" s="17">
        <v>1.0</v>
      </c>
      <c r="F1129" s="17">
        <v>0.0</v>
      </c>
      <c r="G1129" s="17">
        <v>4929.75</v>
      </c>
      <c r="H1129" s="17">
        <v>4929.75</v>
      </c>
      <c r="I1129" s="17">
        <v>142.96</v>
      </c>
      <c r="K1129" s="17">
        <v>-2.9758</v>
      </c>
      <c r="L1129" s="17">
        <v>-5.5907996908</v>
      </c>
      <c r="M1129" s="17">
        <v>2.6149996908</v>
      </c>
      <c r="N1129" s="17">
        <v>0.0</v>
      </c>
      <c r="O1129" s="14">
        <f t="shared" si="1"/>
        <v>-2.9758</v>
      </c>
      <c r="P1129" s="86">
        <f t="array" ref="P1129">iferror(XLOOKUP(C1129,'Download of SFDC Activation Rep'!B:B,'Download of SFDC Activation Rep'!Z:Z),"")</f>
        <v>46136</v>
      </c>
      <c r="Q1129" s="86">
        <f t="shared" si="2"/>
        <v>46113</v>
      </c>
      <c r="R1129" s="13" t="str">
        <f t="shared" si="3"/>
        <v>Yes</v>
      </c>
      <c r="S1129" s="86">
        <f t="array" ref="S1129">iferror(XLOOKUP(C1129,'Download of SFDC Activation Rep'!B:B,'Download of SFDC Activation Rep'!Y:Y),"")</f>
        <v>46244</v>
      </c>
    </row>
    <row r="1130">
      <c r="A1130" s="17" t="s">
        <v>19</v>
      </c>
      <c r="B1130" s="85">
        <v>46143.0</v>
      </c>
      <c r="C1130" s="17">
        <v>4646113.0</v>
      </c>
      <c r="D1130" s="85">
        <v>46143.0</v>
      </c>
      <c r="E1130" s="17">
        <v>2.0</v>
      </c>
      <c r="F1130" s="17">
        <v>2.0</v>
      </c>
      <c r="G1130" s="17">
        <v>751.0</v>
      </c>
      <c r="H1130" s="17"/>
      <c r="I1130" s="17">
        <v>0.0</v>
      </c>
      <c r="K1130" s="17">
        <v>-0.3021</v>
      </c>
      <c r="L1130" s="17">
        <v>-0.419767656299999</v>
      </c>
      <c r="M1130" s="17">
        <v>0.117667656299999</v>
      </c>
      <c r="N1130" s="17">
        <v>0.0</v>
      </c>
      <c r="O1130" s="14">
        <f t="shared" si="1"/>
        <v>-0.3021</v>
      </c>
      <c r="P1130" s="86">
        <f t="array" ref="P1130">iferror(XLOOKUP(C1130,'Download of SFDC Activation Rep'!B:B,'Download of SFDC Activation Rep'!Z:Z),"")</f>
        <v>46099</v>
      </c>
      <c r="Q1130" s="86">
        <f t="shared" si="2"/>
        <v>46082</v>
      </c>
      <c r="R1130" s="13" t="str">
        <f t="shared" si="3"/>
        <v>Yes</v>
      </c>
      <c r="S1130" s="86">
        <f t="array" ref="S1130">iferror(XLOOKUP(C1130,'Download of SFDC Activation Rep'!B:B,'Download of SFDC Activation Rep'!Y:Y),"")</f>
        <v>46258</v>
      </c>
    </row>
    <row r="1131">
      <c r="A1131" s="17" t="s">
        <v>488</v>
      </c>
      <c r="B1131" s="85">
        <v>45992.0</v>
      </c>
      <c r="C1131" s="17">
        <v>4010351.0</v>
      </c>
      <c r="D1131" s="85">
        <v>45839.0</v>
      </c>
      <c r="E1131" s="17">
        <v>28.0</v>
      </c>
      <c r="F1131" s="17">
        <v>28.0</v>
      </c>
      <c r="G1131" s="17">
        <v>113070.02</v>
      </c>
      <c r="H1131" s="17"/>
      <c r="I1131" s="17">
        <v>25.5</v>
      </c>
      <c r="J1131" s="17"/>
      <c r="K1131" s="17">
        <v>7.53099999999999</v>
      </c>
      <c r="L1131" s="17">
        <v>-9.81887522760994</v>
      </c>
      <c r="M1131" s="17">
        <v>17.3498752276099</v>
      </c>
      <c r="N1131" s="17">
        <v>64.0</v>
      </c>
      <c r="O1131" s="14">
        <f t="shared" si="1"/>
        <v>71.531</v>
      </c>
      <c r="P1131" s="86">
        <f t="array" ref="P1131">iferror(XLOOKUP(C1131,'Download of SFDC Activation Rep'!B:B,'Download of SFDC Activation Rep'!Z:Z),"")</f>
        <v>45839</v>
      </c>
      <c r="Q1131" s="86">
        <f t="shared" si="2"/>
        <v>45839</v>
      </c>
      <c r="R1131" s="13" t="str">
        <f t="shared" si="3"/>
        <v>Yes</v>
      </c>
      <c r="S1131" s="86">
        <f t="array" ref="S1131">iferror(XLOOKUP(C1131,'Download of SFDC Activation Rep'!B:B,'Download of SFDC Activation Rep'!Y:Y),"")</f>
        <v>45853</v>
      </c>
    </row>
    <row r="1132">
      <c r="A1132" s="17" t="s">
        <v>489</v>
      </c>
      <c r="B1132" s="85">
        <v>45992.0</v>
      </c>
      <c r="C1132" s="17">
        <v>3683365.0</v>
      </c>
      <c r="D1132" s="85">
        <v>45992.0</v>
      </c>
      <c r="E1132" s="17">
        <v>1.0</v>
      </c>
      <c r="F1132" s="17">
        <v>0.0</v>
      </c>
      <c r="G1132" s="17">
        <v>82.39</v>
      </c>
      <c r="H1132" s="17">
        <v>82.39</v>
      </c>
      <c r="I1132" s="17">
        <v>2.39</v>
      </c>
      <c r="J1132" s="17"/>
      <c r="K1132" s="17">
        <v>0.1184</v>
      </c>
      <c r="L1132" s="17">
        <v>0.1175761</v>
      </c>
      <c r="M1132" s="17">
        <v>8.23900000000002E-4</v>
      </c>
      <c r="N1132" s="17">
        <v>52.0</v>
      </c>
      <c r="O1132" s="14">
        <f t="shared" si="1"/>
        <v>52.1184</v>
      </c>
      <c r="P1132" s="86">
        <f t="array" ref="P1132">iferror(XLOOKUP(C1132,'Download of SFDC Activation Rep'!B:B,'Download of SFDC Activation Rep'!Z:Z),"")</f>
        <v>46197</v>
      </c>
      <c r="Q1132" s="86">
        <f t="shared" si="2"/>
        <v>46174</v>
      </c>
      <c r="R1132" s="13" t="str">
        <f t="shared" si="3"/>
        <v>No</v>
      </c>
      <c r="S1132" s="86">
        <f t="array" ref="S1132">iferror(XLOOKUP(C1132,'Download of SFDC Activation Rep'!B:B,'Download of SFDC Activation Rep'!Y:Y),"")</f>
        <v>46361</v>
      </c>
    </row>
    <row r="1133">
      <c r="A1133" s="17" t="s">
        <v>488</v>
      </c>
      <c r="B1133" s="85">
        <v>45992.0</v>
      </c>
      <c r="C1133" s="17">
        <v>4269343.0</v>
      </c>
      <c r="D1133" s="85">
        <v>45992.0</v>
      </c>
      <c r="E1133" s="17">
        <v>21.0</v>
      </c>
      <c r="F1133" s="17">
        <v>9.0</v>
      </c>
      <c r="G1133" s="17">
        <v>20835.0</v>
      </c>
      <c r="H1133" s="17">
        <v>3760.0</v>
      </c>
      <c r="I1133" s="17">
        <v>321.04</v>
      </c>
      <c r="J1133" s="17"/>
      <c r="K1133" s="17">
        <v>213.7599</v>
      </c>
      <c r="L1133" s="17">
        <v>213.55155</v>
      </c>
      <c r="M1133" s="17">
        <v>0.208349999999995</v>
      </c>
      <c r="N1133" s="17">
        <v>0.0</v>
      </c>
      <c r="O1133" s="14">
        <f t="shared" si="1"/>
        <v>213.7599</v>
      </c>
      <c r="P1133" s="86">
        <f t="array" ref="P1133">iferror(XLOOKUP(C1133,'Download of SFDC Activation Rep'!B:B,'Download of SFDC Activation Rep'!Z:Z),"")</f>
        <v>45918</v>
      </c>
      <c r="Q1133" s="86">
        <f t="shared" si="2"/>
        <v>45901</v>
      </c>
      <c r="R1133" s="13" t="str">
        <f t="shared" si="3"/>
        <v>Yes</v>
      </c>
      <c r="S1133" s="86">
        <f t="array" ref="S1133">iferror(XLOOKUP(C1133,'Download of SFDC Activation Rep'!B:B,'Download of SFDC Activation Rep'!Y:Y),"")</f>
        <v>46001</v>
      </c>
    </row>
    <row r="1134">
      <c r="A1134" s="17" t="s">
        <v>19</v>
      </c>
      <c r="B1134" s="85">
        <v>46082.0</v>
      </c>
      <c r="C1134" s="17">
        <v>3947424.0</v>
      </c>
      <c r="D1134" s="85">
        <v>45809.0</v>
      </c>
      <c r="E1134" s="17">
        <v>68.0</v>
      </c>
      <c r="F1134" s="17">
        <v>68.0</v>
      </c>
      <c r="G1134" s="17">
        <v>168625.98</v>
      </c>
      <c r="I1134" s="17">
        <v>26.943078</v>
      </c>
      <c r="J1134" s="17">
        <v>7.5</v>
      </c>
      <c r="K1134" s="17">
        <v>17.8178999999999</v>
      </c>
      <c r="L1134" s="17">
        <v>-8.60263776017399</v>
      </c>
      <c r="M1134" s="17">
        <v>26.4205377601739</v>
      </c>
      <c r="N1134" s="17">
        <v>65.0</v>
      </c>
      <c r="O1134" s="14">
        <f t="shared" si="1"/>
        <v>82.8179</v>
      </c>
      <c r="P1134" s="86">
        <f t="array" ref="P1134">iferror(XLOOKUP(C1134,'Download of SFDC Activation Rep'!B:B,'Download of SFDC Activation Rep'!Z:Z),"")</f>
        <v>45805</v>
      </c>
      <c r="Q1134" s="86">
        <f t="shared" si="2"/>
        <v>45778</v>
      </c>
      <c r="R1134" s="13" t="str">
        <f t="shared" si="3"/>
        <v>Yes</v>
      </c>
      <c r="S1134" s="86">
        <f t="array" ref="S1134">iferror(XLOOKUP(C1134,'Download of SFDC Activation Rep'!B:B,'Download of SFDC Activation Rep'!Y:Y),"")</f>
        <v>45805</v>
      </c>
    </row>
    <row r="1135">
      <c r="A1135" s="17" t="s">
        <v>489</v>
      </c>
      <c r="B1135" s="85">
        <v>46082.0</v>
      </c>
      <c r="C1135" s="17">
        <v>4038405.0</v>
      </c>
      <c r="D1135" s="85">
        <v>45870.0</v>
      </c>
      <c r="E1135" s="17">
        <v>81.0</v>
      </c>
      <c r="F1135" s="17">
        <v>81.0</v>
      </c>
      <c r="G1135" s="17">
        <v>988708.19</v>
      </c>
      <c r="I1135" s="17">
        <v>372.708257</v>
      </c>
      <c r="J1135" s="17">
        <v>9.5</v>
      </c>
      <c r="K1135" s="17">
        <v>357.2486</v>
      </c>
      <c r="L1135" s="17">
        <v>202.700170050153</v>
      </c>
      <c r="M1135" s="17">
        <v>154.548429949847</v>
      </c>
      <c r="N1135" s="17">
        <v>5.19999999999999</v>
      </c>
      <c r="O1135" s="14">
        <f t="shared" si="1"/>
        <v>362.4486</v>
      </c>
      <c r="P1135" s="86">
        <f t="array" ref="P1135">iferror(XLOOKUP(C1135,'Download of SFDC Activation Rep'!B:B,'Download of SFDC Activation Rep'!Z:Z),"")</f>
        <v>45839</v>
      </c>
      <c r="Q1135" s="86">
        <f t="shared" si="2"/>
        <v>45839</v>
      </c>
      <c r="R1135" s="13" t="str">
        <f t="shared" si="3"/>
        <v>Yes</v>
      </c>
      <c r="S1135" s="86">
        <f t="array" ref="S1135">iferror(XLOOKUP(C1135,'Download of SFDC Activation Rep'!B:B,'Download of SFDC Activation Rep'!Y:Y),"")</f>
        <v>45877</v>
      </c>
    </row>
    <row r="1136">
      <c r="A1136" s="17" t="s">
        <v>19</v>
      </c>
      <c r="B1136" s="85">
        <v>46143.0</v>
      </c>
      <c r="C1136" s="17">
        <v>2428419.0</v>
      </c>
      <c r="D1136" s="85">
        <v>46023.0</v>
      </c>
      <c r="E1136" s="17">
        <v>397.0</v>
      </c>
      <c r="F1136" s="17">
        <v>397.0</v>
      </c>
      <c r="G1136" s="17">
        <v>196038.88</v>
      </c>
      <c r="H1136" s="17"/>
      <c r="I1136" s="17">
        <v>157.167176</v>
      </c>
      <c r="K1136" s="17">
        <v>89.9455</v>
      </c>
      <c r="L1136" s="17">
        <v>55.725665150624</v>
      </c>
      <c r="M1136" s="17">
        <v>34.219834849376</v>
      </c>
      <c r="N1136" s="17">
        <v>80.0</v>
      </c>
      <c r="O1136" s="14">
        <f t="shared" si="1"/>
        <v>169.9455</v>
      </c>
      <c r="P1136" s="86">
        <f t="array" ref="P1136">iferror(XLOOKUP(C1136,'Download of SFDC Activation Rep'!B:B,'Download of SFDC Activation Rep'!Z:Z),"")</f>
        <v>45891</v>
      </c>
      <c r="Q1136" s="86">
        <f t="shared" si="2"/>
        <v>45870</v>
      </c>
      <c r="R1136" s="13" t="str">
        <f t="shared" si="3"/>
        <v>Yes</v>
      </c>
      <c r="S1136" s="86">
        <f t="array" ref="S1136">iferror(XLOOKUP(C1136,'Download of SFDC Activation Rep'!B:B,'Download of SFDC Activation Rep'!Y:Y),"")</f>
        <v>46029</v>
      </c>
    </row>
    <row r="1137">
      <c r="A1137" s="17" t="s">
        <v>19</v>
      </c>
      <c r="B1137" s="85">
        <v>46113.0</v>
      </c>
      <c r="C1137" s="17">
        <v>3945715.0</v>
      </c>
      <c r="D1137" s="85">
        <v>45809.0</v>
      </c>
      <c r="E1137" s="17">
        <v>7.0</v>
      </c>
      <c r="F1137" s="17">
        <v>0.0</v>
      </c>
      <c r="G1137" s="17">
        <v>90736.0</v>
      </c>
      <c r="H1137" s="17">
        <v>90736.0</v>
      </c>
      <c r="I1137" s="17">
        <v>2631.34</v>
      </c>
      <c r="J1137" s="17"/>
      <c r="K1137" s="17">
        <v>-61.64</v>
      </c>
      <c r="L1137" s="17">
        <v>-109.771165260799</v>
      </c>
      <c r="M1137" s="17">
        <v>48.1311652607999</v>
      </c>
      <c r="N1137" s="17">
        <v>80.0</v>
      </c>
      <c r="O1137" s="14">
        <f t="shared" si="1"/>
        <v>608.144</v>
      </c>
      <c r="P1137" s="86">
        <f t="array" ref="P1137">iferror(XLOOKUP(C1137,'Download of SFDC Activation Rep'!B:B,'Download of SFDC Activation Rep'!Z:Z),"")</f>
        <v>45804</v>
      </c>
      <c r="Q1137" s="86">
        <f t="shared" si="2"/>
        <v>45778</v>
      </c>
      <c r="R1137" s="13" t="str">
        <f t="shared" si="3"/>
        <v>Yes</v>
      </c>
      <c r="S1137" s="86">
        <f t="array" ref="S1137">iferror(XLOOKUP(C1137,'Download of SFDC Activation Rep'!B:B,'Download of SFDC Activation Rep'!Y:Y),"")</f>
        <v>45804</v>
      </c>
    </row>
    <row r="1138">
      <c r="A1138" s="17" t="s">
        <v>488</v>
      </c>
      <c r="B1138" s="85">
        <v>46082.0</v>
      </c>
      <c r="C1138" s="17">
        <v>4010351.0</v>
      </c>
      <c r="D1138" s="85">
        <v>45839.0</v>
      </c>
      <c r="E1138" s="17">
        <v>14.0</v>
      </c>
      <c r="F1138" s="17">
        <v>14.0</v>
      </c>
      <c r="G1138" s="17">
        <v>17742.29</v>
      </c>
      <c r="H1138" s="17"/>
      <c r="I1138" s="17">
        <v>18.93</v>
      </c>
      <c r="J1138" s="17"/>
      <c r="K1138" s="17">
        <v>7.6209</v>
      </c>
      <c r="L1138" s="17">
        <v>3.579980326463</v>
      </c>
      <c r="M1138" s="17">
        <v>4.040919673537</v>
      </c>
      <c r="N1138" s="17">
        <v>64.0</v>
      </c>
      <c r="O1138" s="14">
        <f t="shared" si="1"/>
        <v>71.6209</v>
      </c>
      <c r="P1138" s="86">
        <f t="array" ref="P1138">iferror(XLOOKUP(C1138,'Download of SFDC Activation Rep'!B:B,'Download of SFDC Activation Rep'!Z:Z),"")</f>
        <v>45839</v>
      </c>
      <c r="Q1138" s="86">
        <f t="shared" si="2"/>
        <v>45839</v>
      </c>
      <c r="R1138" s="13" t="str">
        <f t="shared" si="3"/>
        <v>Yes</v>
      </c>
      <c r="S1138" s="86">
        <f t="array" ref="S1138">iferror(XLOOKUP(C1138,'Download of SFDC Activation Rep'!B:B,'Download of SFDC Activation Rep'!Y:Y),"")</f>
        <v>45853</v>
      </c>
    </row>
    <row r="1139">
      <c r="A1139" s="17" t="s">
        <v>19</v>
      </c>
      <c r="B1139" s="85">
        <v>46082.0</v>
      </c>
      <c r="C1139" s="17">
        <v>4134744.0</v>
      </c>
      <c r="D1139" s="85">
        <v>45992.0</v>
      </c>
      <c r="E1139" s="17">
        <v>27.0</v>
      </c>
      <c r="F1139" s="17">
        <v>20.0</v>
      </c>
      <c r="G1139" s="17">
        <v>40230.28</v>
      </c>
      <c r="H1139" s="17">
        <v>9507.88</v>
      </c>
      <c r="I1139" s="17">
        <v>382.787351</v>
      </c>
      <c r="K1139" s="17">
        <v>144.4797</v>
      </c>
      <c r="L1139" s="17">
        <v>139.643091128879</v>
      </c>
      <c r="M1139" s="17">
        <v>4.83660887112003</v>
      </c>
      <c r="N1139" s="17">
        <v>7.99999999999999</v>
      </c>
      <c r="O1139" s="14">
        <f t="shared" si="1"/>
        <v>214.28092</v>
      </c>
      <c r="P1139" s="86">
        <f t="array" ref="P1139">iferror(XLOOKUP(C1139,'Download of SFDC Activation Rep'!B:B,'Download of SFDC Activation Rep'!Z:Z),"")</f>
        <v>45896</v>
      </c>
      <c r="Q1139" s="86">
        <f t="shared" si="2"/>
        <v>45870</v>
      </c>
      <c r="R1139" s="13" t="str">
        <f t="shared" si="3"/>
        <v>Yes</v>
      </c>
      <c r="S1139" s="86">
        <f t="array" ref="S1139">iferror(XLOOKUP(C1139,'Download of SFDC Activation Rep'!B:B,'Download of SFDC Activation Rep'!Y:Y),"")</f>
        <v>46009</v>
      </c>
    </row>
    <row r="1140">
      <c r="A1140" s="17" t="s">
        <v>488</v>
      </c>
      <c r="B1140" s="85">
        <v>46113.0</v>
      </c>
      <c r="C1140" s="17">
        <v>4265889.0</v>
      </c>
      <c r="D1140" s="85">
        <v>45992.0</v>
      </c>
      <c r="E1140" s="17">
        <v>84.0</v>
      </c>
      <c r="F1140" s="17">
        <v>4.0</v>
      </c>
      <c r="G1140" s="17">
        <v>22192.39</v>
      </c>
      <c r="I1140" s="17">
        <v>618.05</v>
      </c>
      <c r="J1140" s="17">
        <v>1.5</v>
      </c>
      <c r="K1140" s="17">
        <v>-29.8433</v>
      </c>
      <c r="L1140" s="17">
        <v>-41.535661032722</v>
      </c>
      <c r="M1140" s="17">
        <v>11.6923610327219</v>
      </c>
      <c r="N1140" s="17">
        <v>20.0</v>
      </c>
      <c r="O1140" s="14">
        <f t="shared" si="1"/>
        <v>-9.8433</v>
      </c>
      <c r="P1140" s="86">
        <f t="array" ref="P1140">iferror(XLOOKUP(C1140,'Download of SFDC Activation Rep'!B:B,'Download of SFDC Activation Rep'!Z:Z),"")</f>
        <v>45993</v>
      </c>
      <c r="Q1140" s="86">
        <f t="shared" si="2"/>
        <v>45992</v>
      </c>
      <c r="R1140" s="13" t="str">
        <f t="shared" si="3"/>
        <v>Yes</v>
      </c>
      <c r="S1140" s="86">
        <f t="array" ref="S1140">iferror(XLOOKUP(C1140,'Download of SFDC Activation Rep'!B:B,'Download of SFDC Activation Rep'!Y:Y),"")</f>
        <v>45999</v>
      </c>
    </row>
    <row r="1141">
      <c r="A1141" s="17" t="s">
        <v>489</v>
      </c>
      <c r="B1141" s="85">
        <v>46113.0</v>
      </c>
      <c r="C1141" s="17">
        <v>4339749.0</v>
      </c>
      <c r="D1141" s="85">
        <v>46023.0</v>
      </c>
      <c r="E1141" s="17">
        <v>22.0</v>
      </c>
      <c r="F1141" s="17">
        <v>1.0</v>
      </c>
      <c r="G1141" s="17">
        <v>41527.69</v>
      </c>
      <c r="H1141" s="17"/>
      <c r="I1141" s="17">
        <v>1211.74</v>
      </c>
      <c r="K1141" s="17">
        <v>480.575</v>
      </c>
      <c r="L1141" s="17">
        <v>436.125377618014</v>
      </c>
      <c r="M1141" s="17">
        <v>44.4496223819859</v>
      </c>
      <c r="N1141" s="17">
        <v>65.0</v>
      </c>
      <c r="O1141" s="14">
        <f t="shared" si="1"/>
        <v>545.575</v>
      </c>
      <c r="P1141" s="86">
        <f t="array" ref="P1141">iferror(XLOOKUP(C1141,'Download of SFDC Activation Rep'!B:B,'Download of SFDC Activation Rep'!Z:Z),"")</f>
        <v>46037</v>
      </c>
      <c r="Q1141" s="86">
        <f t="shared" si="2"/>
        <v>46023</v>
      </c>
      <c r="R1141" s="13" t="str">
        <f t="shared" si="3"/>
        <v>Yes</v>
      </c>
      <c r="S1141" s="86">
        <f t="array" ref="S1141">iferror(XLOOKUP(C1141,'Download of SFDC Activation Rep'!B:B,'Download of SFDC Activation Rep'!Y:Y),"")</f>
        <v>46057</v>
      </c>
    </row>
    <row r="1142">
      <c r="A1142" s="17" t="s">
        <v>488</v>
      </c>
      <c r="B1142" s="85">
        <v>46054.0</v>
      </c>
      <c r="C1142" s="17">
        <v>4239920.0</v>
      </c>
      <c r="D1142" s="85">
        <v>45992.0</v>
      </c>
      <c r="E1142" s="17">
        <v>4.0</v>
      </c>
      <c r="F1142" s="17">
        <v>4.0</v>
      </c>
      <c r="G1142" s="17">
        <v>28692.17</v>
      </c>
      <c r="I1142" s="17">
        <v>0.0</v>
      </c>
      <c r="K1142" s="17">
        <v>-0.4889</v>
      </c>
      <c r="L1142" s="17">
        <v>-4.98442649542099</v>
      </c>
      <c r="M1142" s="17">
        <v>4.49552649542099</v>
      </c>
      <c r="N1142" s="17">
        <v>10.5</v>
      </c>
      <c r="O1142" s="14">
        <f t="shared" si="1"/>
        <v>10.0111</v>
      </c>
      <c r="P1142" s="86">
        <f t="array" ref="P1142">iferror(XLOOKUP(C1142,'Download of SFDC Activation Rep'!B:B,'Download of SFDC Activation Rep'!Z:Z),"")</f>
        <v>45979</v>
      </c>
      <c r="Q1142" s="86">
        <f t="shared" si="2"/>
        <v>45962</v>
      </c>
      <c r="R1142" s="13" t="str">
        <f t="shared" si="3"/>
        <v>Yes</v>
      </c>
      <c r="S1142" s="86">
        <f t="array" ref="S1142">iferror(XLOOKUP(C1142,'Download of SFDC Activation Rep'!B:B,'Download of SFDC Activation Rep'!Y:Y),"")</f>
        <v>46007</v>
      </c>
    </row>
    <row r="1143">
      <c r="A1143" s="17" t="s">
        <v>17</v>
      </c>
      <c r="B1143" s="85">
        <v>45901.0</v>
      </c>
      <c r="C1143" s="17">
        <v>3825826.0</v>
      </c>
      <c r="D1143" s="85">
        <v>45839.0</v>
      </c>
      <c r="E1143" s="17">
        <v>25.0</v>
      </c>
      <c r="F1143" s="17">
        <v>23.0</v>
      </c>
      <c r="G1143" s="17">
        <v>114519.0</v>
      </c>
      <c r="H1143" s="17">
        <v>3655.0</v>
      </c>
      <c r="I1143" s="17">
        <v>270.27</v>
      </c>
      <c r="J1143" s="17"/>
      <c r="K1143" s="17">
        <v>19.9089</v>
      </c>
      <c r="L1143" s="17">
        <v>18.76371</v>
      </c>
      <c r="M1143" s="17">
        <v>1.14518999999999</v>
      </c>
      <c r="N1143" s="17">
        <v>6.39999999999999</v>
      </c>
      <c r="O1143" s="14">
        <f t="shared" si="1"/>
        <v>26.3089</v>
      </c>
      <c r="P1143" s="86">
        <f t="array" ref="P1143">iferror(XLOOKUP(C1143,'Download of SFDC Activation Rep'!B:B,'Download of SFDC Activation Rep'!Z:Z),"")</f>
        <v>45810</v>
      </c>
      <c r="Q1143" s="86">
        <f t="shared" si="2"/>
        <v>45809</v>
      </c>
      <c r="R1143" s="13" t="str">
        <f t="shared" si="3"/>
        <v>Yes</v>
      </c>
      <c r="S1143" s="86">
        <f t="array" ref="S1143">iferror(XLOOKUP(C1143,'Download of SFDC Activation Rep'!B:B,'Download of SFDC Activation Rep'!Y:Y),"")</f>
        <v>45842</v>
      </c>
    </row>
    <row r="1144">
      <c r="A1144" s="17" t="s">
        <v>19</v>
      </c>
      <c r="B1144" s="85">
        <v>46174.0</v>
      </c>
      <c r="C1144" s="17">
        <v>4374819.0</v>
      </c>
      <c r="D1144" s="85">
        <v>46054.0</v>
      </c>
      <c r="E1144" s="17">
        <v>9.0</v>
      </c>
      <c r="F1144" s="17">
        <v>9.0</v>
      </c>
      <c r="G1144" s="17">
        <v>47832.52</v>
      </c>
      <c r="H1144" s="17"/>
      <c r="I1144" s="17">
        <v>181.75</v>
      </c>
      <c r="K1144" s="17">
        <v>180.209999999999</v>
      </c>
      <c r="L1144" s="17">
        <v>160.722575814124</v>
      </c>
      <c r="M1144" s="17">
        <v>19.4874241858758</v>
      </c>
      <c r="N1144" s="17">
        <v>64.0</v>
      </c>
      <c r="O1144" s="14">
        <f t="shared" si="1"/>
        <v>244.21</v>
      </c>
      <c r="P1144" s="86">
        <f t="array" ref="P1144">iferror(XLOOKUP(C1144,'Download of SFDC Activation Rep'!B:B,'Download of SFDC Activation Rep'!Z:Z),"")</f>
        <v>46197</v>
      </c>
      <c r="Q1144" s="86">
        <f t="shared" si="2"/>
        <v>46174</v>
      </c>
      <c r="R1144" s="13" t="str">
        <f t="shared" si="3"/>
        <v>Yes</v>
      </c>
      <c r="S1144" s="86">
        <f t="array" ref="S1144">iferror(XLOOKUP(C1144,'Download of SFDC Activation Rep'!B:B,'Download of SFDC Activation Rep'!Y:Y),"")</f>
        <v>46361</v>
      </c>
    </row>
    <row r="1145">
      <c r="A1145" s="17" t="s">
        <v>488</v>
      </c>
      <c r="B1145" s="85">
        <v>46082.0</v>
      </c>
      <c r="C1145" s="17">
        <v>3968250.0</v>
      </c>
      <c r="D1145" s="85">
        <v>45809.0</v>
      </c>
      <c r="E1145" s="17">
        <v>15.0</v>
      </c>
      <c r="F1145" s="17">
        <v>15.0</v>
      </c>
      <c r="G1145" s="17">
        <v>18824.76</v>
      </c>
      <c r="H1145" s="17"/>
      <c r="I1145" s="17">
        <v>0.0</v>
      </c>
      <c r="K1145" s="17">
        <v>-2.383</v>
      </c>
      <c r="L1145" s="17">
        <v>-5.332487868988</v>
      </c>
      <c r="M1145" s="17">
        <v>2.94948786898799</v>
      </c>
      <c r="N1145" s="17">
        <v>6.39999999999999</v>
      </c>
      <c r="O1145" s="14">
        <f t="shared" si="1"/>
        <v>4.017</v>
      </c>
      <c r="P1145" s="86">
        <f t="array" ref="P1145">iferror(XLOOKUP(C1145,'Download of SFDC Activation Rep'!B:B,'Download of SFDC Activation Rep'!Z:Z),"")</f>
        <v>45809</v>
      </c>
      <c r="Q1145" s="86">
        <f t="shared" si="2"/>
        <v>45809</v>
      </c>
      <c r="R1145" s="13" t="str">
        <f t="shared" si="3"/>
        <v>Yes</v>
      </c>
      <c r="S1145" s="86">
        <f t="array" ref="S1145">iferror(XLOOKUP(C1145,'Download of SFDC Activation Rep'!B:B,'Download of SFDC Activation Rep'!Y:Y),"")</f>
        <v>45826</v>
      </c>
    </row>
    <row r="1146">
      <c r="A1146" s="17" t="s">
        <v>488</v>
      </c>
      <c r="B1146" s="85">
        <v>46054.0</v>
      </c>
      <c r="C1146" s="17">
        <v>4030970.0</v>
      </c>
      <c r="D1146" s="85">
        <v>45870.0</v>
      </c>
      <c r="E1146" s="17">
        <v>19.0</v>
      </c>
      <c r="F1146" s="17">
        <v>19.0</v>
      </c>
      <c r="G1146" s="17">
        <v>207162.31</v>
      </c>
      <c r="H1146" s="17"/>
      <c r="I1146" s="17">
        <v>209.92683</v>
      </c>
      <c r="K1146" s="17">
        <v>207.100299999999</v>
      </c>
      <c r="L1146" s="17">
        <v>174.798521258196</v>
      </c>
      <c r="M1146" s="17">
        <v>32.3017787418029</v>
      </c>
      <c r="N1146" s="17">
        <v>1.99999999999999</v>
      </c>
      <c r="O1146" s="14">
        <f t="shared" si="1"/>
        <v>209.1003</v>
      </c>
      <c r="P1146" s="86">
        <f t="array" ref="P1146">iferror(XLOOKUP(C1146,'Download of SFDC Activation Rep'!B:B,'Download of SFDC Activation Rep'!Z:Z),"")</f>
        <v>45870</v>
      </c>
      <c r="Q1146" s="86">
        <f t="shared" si="2"/>
        <v>45870</v>
      </c>
      <c r="R1146" s="13" t="str">
        <f t="shared" si="3"/>
        <v>Yes</v>
      </c>
      <c r="S1146" s="86">
        <f t="array" ref="S1146">iferror(XLOOKUP(C1146,'Download of SFDC Activation Rep'!B:B,'Download of SFDC Activation Rep'!Y:Y),"")</f>
        <v>45876</v>
      </c>
    </row>
    <row r="1147">
      <c r="A1147" s="17" t="s">
        <v>488</v>
      </c>
      <c r="B1147" s="85">
        <v>45962.0</v>
      </c>
      <c r="C1147" s="17">
        <v>4222088.0</v>
      </c>
      <c r="D1147" s="85">
        <v>45962.0</v>
      </c>
      <c r="E1147" s="17">
        <v>1.0</v>
      </c>
      <c r="F1147" s="17">
        <v>0.0</v>
      </c>
      <c r="G1147" s="17">
        <v>59566.0</v>
      </c>
      <c r="I1147" s="17">
        <v>1727.41</v>
      </c>
      <c r="K1147" s="17">
        <v>26.493</v>
      </c>
      <c r="L1147" s="17">
        <v>-5.10395332538939</v>
      </c>
      <c r="M1147" s="17">
        <v>31.5969533253893</v>
      </c>
      <c r="N1147" s="17">
        <v>0.0</v>
      </c>
      <c r="O1147" s="14">
        <f t="shared" si="1"/>
        <v>26.493</v>
      </c>
      <c r="P1147" s="86">
        <f t="array" ref="P1147">iferror(XLOOKUP(C1147,'Download of SFDC Activation Rep'!B:B,'Download of SFDC Activation Rep'!Z:Z),"")</f>
        <v>45954</v>
      </c>
      <c r="Q1147" s="86">
        <f t="shared" si="2"/>
        <v>45931</v>
      </c>
      <c r="R1147" s="13" t="str">
        <f t="shared" si="3"/>
        <v>Yes</v>
      </c>
      <c r="S1147" s="86">
        <f t="array" ref="S1147">iferror(XLOOKUP(C1147,'Download of SFDC Activation Rep'!B:B,'Download of SFDC Activation Rep'!Y:Y),"")</f>
        <v>45985</v>
      </c>
    </row>
    <row r="1148">
      <c r="A1148" s="17" t="s">
        <v>19</v>
      </c>
      <c r="B1148" s="85">
        <v>45931.0</v>
      </c>
      <c r="C1148" s="17">
        <v>4031652.0</v>
      </c>
      <c r="D1148" s="85">
        <v>45901.0</v>
      </c>
      <c r="E1148" s="17">
        <v>193.0</v>
      </c>
      <c r="F1148" s="17">
        <v>193.0</v>
      </c>
      <c r="G1148" s="17">
        <v>2233175.17</v>
      </c>
      <c r="H1148" s="17"/>
      <c r="I1148" s="17">
        <v>1072.2087</v>
      </c>
      <c r="J1148" s="17">
        <v>0.5</v>
      </c>
      <c r="K1148" s="17">
        <v>1043.8488</v>
      </c>
      <c r="L1148" s="17">
        <v>602.520791245942</v>
      </c>
      <c r="M1148" s="17">
        <v>441.328008754057</v>
      </c>
      <c r="N1148" s="17">
        <v>7.99999999999999</v>
      </c>
      <c r="O1148" s="14">
        <f t="shared" si="1"/>
        <v>1051.8488</v>
      </c>
      <c r="P1148" s="86">
        <f t="array" ref="P1148">iferror(XLOOKUP(C1148,'Download of SFDC Activation Rep'!B:B,'Download of SFDC Activation Rep'!Z:Z),"")</f>
        <v>45881</v>
      </c>
      <c r="Q1148" s="86">
        <f t="shared" si="2"/>
        <v>45870</v>
      </c>
      <c r="R1148" s="13" t="str">
        <f t="shared" si="3"/>
        <v>Yes</v>
      </c>
      <c r="S1148" s="86">
        <f t="array" ref="S1148">iferror(XLOOKUP(C1148,'Download of SFDC Activation Rep'!B:B,'Download of SFDC Activation Rep'!Y:Y),"")</f>
        <v>45889</v>
      </c>
    </row>
    <row r="1149">
      <c r="A1149" s="17" t="s">
        <v>19</v>
      </c>
      <c r="B1149" s="85">
        <v>46082.0</v>
      </c>
      <c r="C1149" s="17">
        <v>4440958.0</v>
      </c>
      <c r="D1149" s="85">
        <v>46054.0</v>
      </c>
      <c r="E1149" s="17">
        <v>9.0</v>
      </c>
      <c r="F1149" s="17">
        <v>0.0</v>
      </c>
      <c r="G1149" s="17">
        <v>984912.0</v>
      </c>
      <c r="H1149" s="17">
        <v>961712.0</v>
      </c>
      <c r="I1149" s="17">
        <v>28185.45</v>
      </c>
      <c r="K1149" s="17">
        <v>-1727.4034</v>
      </c>
      <c r="L1149" s="17">
        <v>-2619.63793855359</v>
      </c>
      <c r="M1149" s="17">
        <v>892.234538553599</v>
      </c>
      <c r="N1149" s="17">
        <v>64.0</v>
      </c>
      <c r="O1149" s="14">
        <f t="shared" si="1"/>
        <v>4587.7246</v>
      </c>
      <c r="P1149" s="86">
        <f t="array" ref="P1149">iferror(XLOOKUP(C1149,'Download of SFDC Activation Rep'!B:B,'Download of SFDC Activation Rep'!Z:Z),"")</f>
        <v>46197</v>
      </c>
      <c r="Q1149" s="86">
        <f t="shared" si="2"/>
        <v>46174</v>
      </c>
      <c r="R1149" s="13" t="str">
        <f t="shared" si="3"/>
        <v>No</v>
      </c>
      <c r="S1149" s="86">
        <f t="array" ref="S1149">iferror(XLOOKUP(C1149,'Download of SFDC Activation Rep'!B:B,'Download of SFDC Activation Rep'!Y:Y),"")</f>
        <v>46361</v>
      </c>
    </row>
    <row r="1150">
      <c r="A1150" s="17" t="s">
        <v>488</v>
      </c>
      <c r="B1150" s="85">
        <v>46113.0</v>
      </c>
      <c r="C1150" s="17">
        <v>4342016.0</v>
      </c>
      <c r="D1150" s="85">
        <v>46023.0</v>
      </c>
      <c r="E1150" s="17">
        <v>1.0</v>
      </c>
      <c r="F1150" s="17">
        <v>1.0</v>
      </c>
      <c r="G1150" s="17">
        <v>200.0</v>
      </c>
      <c r="I1150" s="17">
        <v>0.0</v>
      </c>
      <c r="K1150" s="17">
        <v>-0.1379</v>
      </c>
      <c r="L1150" s="17">
        <v>-0.16923626</v>
      </c>
      <c r="M1150" s="17">
        <v>0.03133626</v>
      </c>
      <c r="N1150" s="17">
        <v>25.0</v>
      </c>
      <c r="O1150" s="14">
        <f t="shared" si="1"/>
        <v>24.8621</v>
      </c>
      <c r="P1150" s="86">
        <f t="array" ref="P1150">iferror(XLOOKUP(C1150,'Download of SFDC Activation Rep'!B:B,'Download of SFDC Activation Rep'!Z:Z),"")</f>
        <v>46036</v>
      </c>
      <c r="Q1150" s="86">
        <f t="shared" si="2"/>
        <v>46023</v>
      </c>
      <c r="R1150" s="13" t="str">
        <f t="shared" si="3"/>
        <v>Yes</v>
      </c>
      <c r="S1150" s="86">
        <f t="array" ref="S1150">iferror(XLOOKUP(C1150,'Download of SFDC Activation Rep'!B:B,'Download of SFDC Activation Rep'!Y:Y),"")</f>
        <v>46050</v>
      </c>
    </row>
    <row r="1151">
      <c r="A1151" s="17" t="s">
        <v>488</v>
      </c>
      <c r="B1151" s="85">
        <v>46023.0</v>
      </c>
      <c r="C1151" s="17">
        <v>4010351.0</v>
      </c>
      <c r="D1151" s="85">
        <v>45839.0</v>
      </c>
      <c r="E1151" s="17">
        <v>20.0</v>
      </c>
      <c r="F1151" s="17">
        <v>20.0</v>
      </c>
      <c r="G1151" s="17">
        <v>65371.01</v>
      </c>
      <c r="H1151" s="17"/>
      <c r="I1151" s="17">
        <v>17.5</v>
      </c>
      <c r="K1151" s="17">
        <v>3.74499999999999</v>
      </c>
      <c r="L1151" s="17">
        <v>-11.4048933820136</v>
      </c>
      <c r="M1151" s="17">
        <v>15.1498933820136</v>
      </c>
      <c r="N1151" s="17">
        <v>64.0</v>
      </c>
      <c r="O1151" s="14">
        <f t="shared" si="1"/>
        <v>67.745</v>
      </c>
      <c r="P1151" s="86">
        <f t="array" ref="P1151">iferror(XLOOKUP(C1151,'Download of SFDC Activation Rep'!B:B,'Download of SFDC Activation Rep'!Z:Z),"")</f>
        <v>45839</v>
      </c>
      <c r="Q1151" s="86">
        <f t="shared" si="2"/>
        <v>45839</v>
      </c>
      <c r="R1151" s="13" t="str">
        <f t="shared" si="3"/>
        <v>Yes</v>
      </c>
      <c r="S1151" s="86">
        <f t="array" ref="S1151">iferror(XLOOKUP(C1151,'Download of SFDC Activation Rep'!B:B,'Download of SFDC Activation Rep'!Y:Y),"")</f>
        <v>45853</v>
      </c>
    </row>
    <row r="1152">
      <c r="A1152" s="17" t="s">
        <v>488</v>
      </c>
      <c r="B1152" s="85">
        <v>46174.0</v>
      </c>
      <c r="C1152" s="17">
        <v>4410778.0</v>
      </c>
      <c r="D1152" s="85">
        <v>46082.0</v>
      </c>
      <c r="E1152" s="17">
        <v>2.0</v>
      </c>
      <c r="F1152" s="17">
        <v>2.0</v>
      </c>
      <c r="G1152" s="17">
        <v>7500.0</v>
      </c>
      <c r="H1152" s="17"/>
      <c r="I1152" s="17">
        <v>58.655</v>
      </c>
      <c r="K1152" s="17">
        <v>57.4741</v>
      </c>
      <c r="L1152" s="17">
        <v>56.35149025</v>
      </c>
      <c r="M1152" s="17">
        <v>1.12260974999999</v>
      </c>
      <c r="N1152" s="17">
        <v>2.79999999999999</v>
      </c>
      <c r="O1152" s="14">
        <f t="shared" si="1"/>
        <v>60.2741</v>
      </c>
      <c r="P1152" s="86">
        <f t="array" ref="P1152">iferror(XLOOKUP(C1152,'Download of SFDC Activation Rep'!B:B,'Download of SFDC Activation Rep'!Z:Z),"")</f>
        <v>46099</v>
      </c>
      <c r="Q1152" s="86">
        <f t="shared" si="2"/>
        <v>46082</v>
      </c>
      <c r="R1152" s="13" t="str">
        <f t="shared" si="3"/>
        <v>Yes</v>
      </c>
      <c r="S1152" s="86">
        <f t="array" ref="S1152">iferror(XLOOKUP(C1152,'Download of SFDC Activation Rep'!B:B,'Download of SFDC Activation Rep'!Y:Y),"")</f>
        <v>46101</v>
      </c>
    </row>
    <row r="1153">
      <c r="A1153" s="17" t="s">
        <v>1487</v>
      </c>
      <c r="B1153" s="85">
        <v>46113.0</v>
      </c>
      <c r="C1153" s="17">
        <v>3935770.0</v>
      </c>
      <c r="D1153" s="85">
        <v>45778.0</v>
      </c>
      <c r="E1153" s="17">
        <v>55.0</v>
      </c>
      <c r="F1153" s="17">
        <v>52.0</v>
      </c>
      <c r="G1153" s="17">
        <v>209551.17</v>
      </c>
      <c r="H1153" s="17"/>
      <c r="I1153" s="17">
        <v>801.194949</v>
      </c>
      <c r="K1153" s="17">
        <v>241.5093</v>
      </c>
      <c r="L1153" s="17">
        <v>144.567807318383</v>
      </c>
      <c r="M1153" s="17">
        <v>96.9414926816169</v>
      </c>
      <c r="N1153" s="17">
        <v>0.0</v>
      </c>
      <c r="O1153" s="14">
        <f t="shared" si="1"/>
        <v>241.5093</v>
      </c>
      <c r="P1153" s="86">
        <f t="array" ref="P1153">iferror(XLOOKUP(C1153,'Download of SFDC Activation Rep'!B:B,'Download of SFDC Activation Rep'!Z:Z),"")</f>
        <v>45797</v>
      </c>
      <c r="Q1153" s="86">
        <f t="shared" si="2"/>
        <v>45778</v>
      </c>
      <c r="R1153" s="13" t="str">
        <f t="shared" si="3"/>
        <v>Yes</v>
      </c>
      <c r="S1153" s="86">
        <f t="array" ref="S1153">iferror(XLOOKUP(C1153,'Download of SFDC Activation Rep'!B:B,'Download of SFDC Activation Rep'!Y:Y),"")</f>
        <v>45797</v>
      </c>
    </row>
    <row r="1154">
      <c r="A1154" s="17" t="s">
        <v>19</v>
      </c>
      <c r="B1154" s="85">
        <v>46054.0</v>
      </c>
      <c r="C1154" s="17">
        <v>4263325.0</v>
      </c>
      <c r="D1154" s="85">
        <v>45992.0</v>
      </c>
      <c r="E1154" s="17">
        <v>37.0</v>
      </c>
      <c r="F1154" s="17">
        <v>37.0</v>
      </c>
      <c r="G1154" s="17">
        <v>173778.48</v>
      </c>
      <c r="H1154" s="17"/>
      <c r="I1154" s="17">
        <v>286.91115</v>
      </c>
      <c r="K1154" s="17">
        <v>283.259899999999</v>
      </c>
      <c r="L1154" s="17">
        <v>252.567794741576</v>
      </c>
      <c r="M1154" s="17">
        <v>30.6921052584239</v>
      </c>
      <c r="N1154" s="17">
        <v>54.4</v>
      </c>
      <c r="O1154" s="14">
        <f t="shared" si="1"/>
        <v>337.6599</v>
      </c>
      <c r="P1154" s="86">
        <f t="array" ref="P1154">iferror(XLOOKUP(C1154,'Download of SFDC Activation Rep'!B:B,'Download of SFDC Activation Rep'!Z:Z),"")</f>
        <v>45961</v>
      </c>
      <c r="Q1154" s="86">
        <f t="shared" si="2"/>
        <v>45931</v>
      </c>
      <c r="R1154" s="13" t="str">
        <f t="shared" si="3"/>
        <v>Yes</v>
      </c>
      <c r="S1154" s="86">
        <f t="array" ref="S1154">iferror(XLOOKUP(C1154,'Download of SFDC Activation Rep'!B:B,'Download of SFDC Activation Rep'!Y:Y),"")</f>
        <v>46013</v>
      </c>
    </row>
    <row r="1155">
      <c r="A1155" s="17" t="s">
        <v>489</v>
      </c>
      <c r="B1155" s="85">
        <v>46113.0</v>
      </c>
      <c r="C1155" s="17">
        <v>4220233.0</v>
      </c>
      <c r="D1155" s="85">
        <v>45992.0</v>
      </c>
      <c r="E1155" s="17">
        <v>13.0</v>
      </c>
      <c r="F1155" s="17">
        <v>13.0</v>
      </c>
      <c r="G1155" s="17">
        <v>137747.09</v>
      </c>
      <c r="H1155" s="17"/>
      <c r="I1155" s="17">
        <v>372.85</v>
      </c>
      <c r="J1155" s="17"/>
      <c r="K1155" s="17">
        <v>316.2904</v>
      </c>
      <c r="L1155" s="17">
        <v>293.084130502378</v>
      </c>
      <c r="M1155" s="17">
        <v>23.2062694976219</v>
      </c>
      <c r="N1155" s="17">
        <v>76.0</v>
      </c>
      <c r="O1155" s="14">
        <f t="shared" si="1"/>
        <v>392.2904</v>
      </c>
      <c r="P1155" s="86">
        <f t="array" ref="P1155">iferror(XLOOKUP(C1155,'Download of SFDC Activation Rep'!B:B,'Download of SFDC Activation Rep'!Z:Z),"")</f>
        <v>45960</v>
      </c>
      <c r="Q1155" s="86">
        <f t="shared" si="2"/>
        <v>45931</v>
      </c>
      <c r="R1155" s="13" t="str">
        <f t="shared" si="3"/>
        <v>Yes</v>
      </c>
      <c r="S1155" s="86">
        <f t="array" ref="S1155">iferror(XLOOKUP(C1155,'Download of SFDC Activation Rep'!B:B,'Download of SFDC Activation Rep'!Y:Y),"")</f>
        <v>46006</v>
      </c>
    </row>
    <row r="1156">
      <c r="A1156" s="17" t="s">
        <v>488</v>
      </c>
      <c r="B1156" s="85">
        <v>46174.0</v>
      </c>
      <c r="C1156" s="17">
        <v>4509013.0</v>
      </c>
      <c r="D1156" s="85">
        <v>46113.0</v>
      </c>
      <c r="E1156" s="17">
        <v>8.0</v>
      </c>
      <c r="F1156" s="17">
        <v>8.0</v>
      </c>
      <c r="G1156" s="17">
        <v>6061.63</v>
      </c>
      <c r="I1156" s="17">
        <v>2.5</v>
      </c>
      <c r="J1156" s="17">
        <v>1.0</v>
      </c>
      <c r="K1156" s="17">
        <v>0.1412</v>
      </c>
      <c r="L1156" s="17">
        <v>-0.805366668519</v>
      </c>
      <c r="M1156" s="17">
        <v>0.946566668519</v>
      </c>
      <c r="N1156" s="17">
        <v>27.0</v>
      </c>
      <c r="O1156" s="14">
        <f t="shared" si="1"/>
        <v>27.1412</v>
      </c>
      <c r="P1156" s="86">
        <f t="array" ref="P1156">iferror(XLOOKUP(C1156,'Download of SFDC Activation Rep'!B:B,'Download of SFDC Activation Rep'!Z:Z),"")</f>
        <v>46077</v>
      </c>
      <c r="Q1156" s="86">
        <f t="shared" si="2"/>
        <v>46054</v>
      </c>
      <c r="R1156" s="13" t="str">
        <f t="shared" si="3"/>
        <v>Yes</v>
      </c>
      <c r="S1156" s="86">
        <f t="array" ref="S1156">iferror(XLOOKUP(C1156,'Download of SFDC Activation Rep'!B:B,'Download of SFDC Activation Rep'!Y:Y),"")</f>
        <v>46139</v>
      </c>
    </row>
    <row r="1157">
      <c r="A1157" s="17" t="s">
        <v>489</v>
      </c>
      <c r="B1157" s="85">
        <v>46023.0</v>
      </c>
      <c r="C1157" s="17">
        <v>3683365.0</v>
      </c>
      <c r="D1157" s="85">
        <v>45992.0</v>
      </c>
      <c r="E1157" s="17">
        <v>6.0</v>
      </c>
      <c r="F1157" s="17">
        <v>1.0</v>
      </c>
      <c r="G1157" s="17">
        <v>1873.69</v>
      </c>
      <c r="H1157" s="17">
        <v>1507.86</v>
      </c>
      <c r="I1157" s="17">
        <v>51.12</v>
      </c>
      <c r="K1157" s="17">
        <v>4.8486</v>
      </c>
      <c r="L1157" s="17">
        <v>4.7926158</v>
      </c>
      <c r="M1157" s="17">
        <v>0.0559842000000001</v>
      </c>
      <c r="N1157" s="17">
        <v>52.0</v>
      </c>
      <c r="O1157" s="14">
        <f t="shared" si="1"/>
        <v>66.64969</v>
      </c>
      <c r="P1157" s="86">
        <f t="array" ref="P1157">iferror(XLOOKUP(C1157,'Download of SFDC Activation Rep'!B:B,'Download of SFDC Activation Rep'!Z:Z),"")</f>
        <v>46197</v>
      </c>
      <c r="Q1157" s="86">
        <f t="shared" si="2"/>
        <v>46174</v>
      </c>
      <c r="R1157" s="13" t="str">
        <f t="shared" si="3"/>
        <v>No</v>
      </c>
      <c r="S1157" s="86">
        <f t="array" ref="S1157">iferror(XLOOKUP(C1157,'Download of SFDC Activation Rep'!B:B,'Download of SFDC Activation Rep'!Y:Y),"")</f>
        <v>46361</v>
      </c>
    </row>
    <row r="1158">
      <c r="A1158" s="17" t="s">
        <v>489</v>
      </c>
      <c r="B1158" s="85">
        <v>46143.0</v>
      </c>
      <c r="C1158" s="17">
        <v>4099073.0</v>
      </c>
      <c r="D1158" s="85">
        <v>45931.0</v>
      </c>
      <c r="E1158" s="17">
        <v>32.0</v>
      </c>
      <c r="F1158" s="17">
        <v>32.0</v>
      </c>
      <c r="G1158" s="17">
        <v>502469.99</v>
      </c>
      <c r="H1158" s="17"/>
      <c r="I1158" s="17">
        <v>0.0</v>
      </c>
      <c r="K1158" s="17">
        <v>-5.0974</v>
      </c>
      <c r="L1158" s="17">
        <v>-83.825051244187</v>
      </c>
      <c r="M1158" s="17">
        <v>78.727651244187</v>
      </c>
      <c r="N1158" s="17">
        <v>8.49999999999999</v>
      </c>
      <c r="O1158" s="14">
        <f t="shared" si="1"/>
        <v>3.4026</v>
      </c>
      <c r="P1158" s="86">
        <f t="array" ref="P1158">iferror(XLOOKUP(C1158,'Download of SFDC Activation Rep'!B:B,'Download of SFDC Activation Rep'!Z:Z),"")</f>
        <v>45870</v>
      </c>
      <c r="Q1158" s="86">
        <f t="shared" si="2"/>
        <v>45870</v>
      </c>
      <c r="R1158" s="13" t="str">
        <f t="shared" si="3"/>
        <v>Yes</v>
      </c>
      <c r="S1158" s="86">
        <f t="array" ref="S1158">iferror(XLOOKUP(C1158,'Download of SFDC Activation Rep'!B:B,'Download of SFDC Activation Rep'!Y:Y),"")</f>
        <v>45999</v>
      </c>
    </row>
    <row r="1159">
      <c r="A1159" s="17" t="s">
        <v>488</v>
      </c>
      <c r="B1159" s="85">
        <v>46113.0</v>
      </c>
      <c r="C1159" s="17">
        <v>3906405.0</v>
      </c>
      <c r="D1159" s="85">
        <v>45778.0</v>
      </c>
      <c r="E1159" s="17">
        <v>54.0</v>
      </c>
      <c r="F1159" s="17">
        <v>54.0</v>
      </c>
      <c r="G1159" s="17">
        <v>92275.61</v>
      </c>
      <c r="H1159" s="17"/>
      <c r="I1159" s="17">
        <v>26.75</v>
      </c>
      <c r="J1159" s="17">
        <v>12.5</v>
      </c>
      <c r="K1159" s="17">
        <v>13.9841</v>
      </c>
      <c r="L1159" s="17">
        <v>-1.39262809024099</v>
      </c>
      <c r="M1159" s="17">
        <v>15.3767280902409</v>
      </c>
      <c r="N1159" s="17">
        <v>29.75</v>
      </c>
      <c r="O1159" s="14">
        <f t="shared" si="1"/>
        <v>43.7341</v>
      </c>
      <c r="P1159" s="86">
        <f t="array" ref="P1159">iferror(XLOOKUP(C1159,'Download of SFDC Activation Rep'!B:B,'Download of SFDC Activation Rep'!Z:Z),"")</f>
        <v>45798</v>
      </c>
      <c r="Q1159" s="86">
        <f t="shared" si="2"/>
        <v>45778</v>
      </c>
      <c r="R1159" s="13" t="str">
        <f t="shared" si="3"/>
        <v>Yes</v>
      </c>
      <c r="S1159" s="86">
        <f t="array" ref="S1159">iferror(XLOOKUP(C1159,'Download of SFDC Activation Rep'!B:B,'Download of SFDC Activation Rep'!Y:Y),"")</f>
        <v>45807</v>
      </c>
    </row>
    <row r="1160">
      <c r="A1160" s="17" t="s">
        <v>488</v>
      </c>
      <c r="B1160" s="85">
        <v>46113.0</v>
      </c>
      <c r="C1160" s="17">
        <v>4443037.0</v>
      </c>
      <c r="D1160" s="85">
        <v>46082.0</v>
      </c>
      <c r="E1160" s="17">
        <v>5.0</v>
      </c>
      <c r="F1160" s="17">
        <v>0.0</v>
      </c>
      <c r="G1160" s="17">
        <v>2500.0</v>
      </c>
      <c r="H1160" s="17">
        <v>850.0</v>
      </c>
      <c r="I1160" s="17">
        <v>72.49</v>
      </c>
      <c r="J1160" s="17"/>
      <c r="K1160" s="17">
        <v>36.1911</v>
      </c>
      <c r="L1160" s="17">
        <v>36.1661</v>
      </c>
      <c r="M1160" s="17">
        <v>0.0250000000000056</v>
      </c>
      <c r="N1160" s="17">
        <v>25.0</v>
      </c>
      <c r="O1160" s="14">
        <f t="shared" si="1"/>
        <v>66.7161</v>
      </c>
      <c r="P1160" s="86">
        <f t="array" ref="P1160">iferror(XLOOKUP(C1160,'Download of SFDC Activation Rep'!B:B,'Download of SFDC Activation Rep'!Z:Z),"")</f>
        <v>46073</v>
      </c>
      <c r="Q1160" s="86">
        <f t="shared" si="2"/>
        <v>46054</v>
      </c>
      <c r="R1160" s="13" t="str">
        <f t="shared" si="3"/>
        <v>Yes</v>
      </c>
      <c r="S1160" s="86">
        <f t="array" ref="S1160">iferror(XLOOKUP(C1160,'Download of SFDC Activation Rep'!B:B,'Download of SFDC Activation Rep'!Y:Y),"")</f>
        <v>46108</v>
      </c>
    </row>
    <row r="1161">
      <c r="A1161" s="17" t="s">
        <v>489</v>
      </c>
      <c r="B1161" s="85">
        <v>45870.0</v>
      </c>
      <c r="C1161" s="17">
        <v>4038405.0</v>
      </c>
      <c r="D1161" s="85">
        <v>45870.0</v>
      </c>
      <c r="E1161" s="17">
        <v>84.0</v>
      </c>
      <c r="F1161" s="17">
        <v>84.0</v>
      </c>
      <c r="G1161" s="17">
        <v>814334.14</v>
      </c>
      <c r="H1161" s="17"/>
      <c r="I1161" s="17">
        <v>328.461063</v>
      </c>
      <c r="J1161" s="17">
        <v>12.0</v>
      </c>
      <c r="K1161" s="17">
        <v>312.3911</v>
      </c>
      <c r="L1161" s="17">
        <v>140.638637825224</v>
      </c>
      <c r="M1161" s="17">
        <v>171.752462174775</v>
      </c>
      <c r="N1161" s="17">
        <v>5.19999999999999</v>
      </c>
      <c r="O1161" s="14">
        <f t="shared" si="1"/>
        <v>317.5911</v>
      </c>
      <c r="P1161" s="86">
        <f t="array" ref="P1161">iferror(XLOOKUP(C1161,'Download of SFDC Activation Rep'!B:B,'Download of SFDC Activation Rep'!Z:Z),"")</f>
        <v>45839</v>
      </c>
      <c r="Q1161" s="86">
        <f t="shared" si="2"/>
        <v>45839</v>
      </c>
      <c r="R1161" s="13" t="str">
        <f t="shared" si="3"/>
        <v>Yes</v>
      </c>
      <c r="S1161" s="86">
        <f t="array" ref="S1161">iferror(XLOOKUP(C1161,'Download of SFDC Activation Rep'!B:B,'Download of SFDC Activation Rep'!Y:Y),"")</f>
        <v>45877</v>
      </c>
    </row>
    <row r="1162">
      <c r="A1162" s="17" t="s">
        <v>19</v>
      </c>
      <c r="B1162" s="85">
        <v>46143.0</v>
      </c>
      <c r="C1162" s="17">
        <v>4239924.0</v>
      </c>
      <c r="D1162" s="85">
        <v>45992.0</v>
      </c>
      <c r="E1162" s="17">
        <v>1.0</v>
      </c>
      <c r="F1162" s="17">
        <v>1.0</v>
      </c>
      <c r="G1162" s="17">
        <v>2997.09</v>
      </c>
      <c r="I1162" s="17">
        <v>0.0</v>
      </c>
      <c r="K1162" s="17">
        <v>-0.1521</v>
      </c>
      <c r="L1162" s="17">
        <v>-0.621687957417</v>
      </c>
      <c r="M1162" s="17">
        <v>0.469587957417</v>
      </c>
      <c r="N1162" s="17">
        <v>24.0</v>
      </c>
      <c r="O1162" s="14">
        <f t="shared" si="1"/>
        <v>23.8479</v>
      </c>
      <c r="P1162" s="86">
        <f t="array" ref="P1162">iferror(XLOOKUP(C1162,'Download of SFDC Activation Rep'!B:B,'Download of SFDC Activation Rep'!Z:Z),"")</f>
        <v>45979</v>
      </c>
      <c r="Q1162" s="86">
        <f t="shared" si="2"/>
        <v>45962</v>
      </c>
      <c r="R1162" s="13" t="str">
        <f t="shared" si="3"/>
        <v>Yes</v>
      </c>
      <c r="S1162" s="86">
        <f t="array" ref="S1162">iferror(XLOOKUP(C1162,'Download of SFDC Activation Rep'!B:B,'Download of SFDC Activation Rep'!Y:Y),"")</f>
        <v>45995</v>
      </c>
    </row>
    <row r="1163">
      <c r="A1163" s="17" t="s">
        <v>488</v>
      </c>
      <c r="B1163" s="85">
        <v>46174.0</v>
      </c>
      <c r="C1163" s="17">
        <v>4521121.0</v>
      </c>
      <c r="D1163" s="85">
        <v>46113.0</v>
      </c>
      <c r="E1163" s="17">
        <v>26.0</v>
      </c>
      <c r="F1163" s="17">
        <v>26.0</v>
      </c>
      <c r="G1163" s="17">
        <v>23289.45</v>
      </c>
      <c r="H1163" s="17"/>
      <c r="I1163" s="17">
        <v>364.865345</v>
      </c>
      <c r="J1163" s="17">
        <v>3.5</v>
      </c>
      <c r="K1163" s="17">
        <v>361.2969</v>
      </c>
      <c r="L1163" s="17">
        <v>357.7275433047</v>
      </c>
      <c r="M1163" s="17">
        <v>3.56935669530003</v>
      </c>
      <c r="N1163" s="17">
        <v>33.0</v>
      </c>
      <c r="O1163" s="14">
        <f t="shared" si="1"/>
        <v>394.2969</v>
      </c>
      <c r="P1163" s="86">
        <f t="array" ref="P1163">iferror(XLOOKUP(C1163,'Download of SFDC Activation Rep'!B:B,'Download of SFDC Activation Rep'!Z:Z),"")</f>
        <v>46120</v>
      </c>
      <c r="Q1163" s="86">
        <f t="shared" si="2"/>
        <v>46113</v>
      </c>
      <c r="R1163" s="13" t="str">
        <f t="shared" si="3"/>
        <v>Yes</v>
      </c>
      <c r="S1163" s="86">
        <f t="array" ref="S1163">iferror(XLOOKUP(C1163,'Download of SFDC Activation Rep'!B:B,'Download of SFDC Activation Rep'!Y:Y),"")</f>
        <v>46147</v>
      </c>
    </row>
    <row r="1164">
      <c r="A1164" s="17" t="s">
        <v>17</v>
      </c>
      <c r="B1164" s="85">
        <v>45992.0</v>
      </c>
      <c r="C1164" s="17">
        <v>4075965.0</v>
      </c>
      <c r="D1164" s="85">
        <v>45870.0</v>
      </c>
      <c r="E1164" s="17">
        <v>1.0</v>
      </c>
      <c r="F1164" s="17">
        <v>0.0</v>
      </c>
      <c r="G1164" s="17">
        <v>17617.24</v>
      </c>
      <c r="H1164" s="17">
        <v>17617.24</v>
      </c>
      <c r="I1164" s="17">
        <v>510.9</v>
      </c>
      <c r="K1164" s="17">
        <v>101.0224</v>
      </c>
      <c r="L1164" s="17">
        <v>91.6772851693552</v>
      </c>
      <c r="M1164" s="17">
        <v>9.34511483064471</v>
      </c>
      <c r="N1164" s="17">
        <v>25.0</v>
      </c>
      <c r="O1164" s="14">
        <f t="shared" si="1"/>
        <v>126.0224</v>
      </c>
      <c r="P1164" s="86">
        <f t="array" ref="P1164">iferror(XLOOKUP(C1164,'Download of SFDC Activation Rep'!B:B,'Download of SFDC Activation Rep'!Z:Z),"")</f>
        <v>45887</v>
      </c>
      <c r="Q1164" s="86">
        <f t="shared" si="2"/>
        <v>45870</v>
      </c>
      <c r="R1164" s="13" t="str">
        <f t="shared" si="3"/>
        <v>Yes</v>
      </c>
      <c r="S1164" s="86">
        <f t="array" ref="S1164">iferror(XLOOKUP(C1164,'Download of SFDC Activation Rep'!B:B,'Download of SFDC Activation Rep'!Y:Y),"")</f>
        <v>45891</v>
      </c>
    </row>
    <row r="1165">
      <c r="A1165" s="17" t="s">
        <v>17</v>
      </c>
      <c r="B1165" s="85">
        <v>45870.0</v>
      </c>
      <c r="C1165" s="17">
        <v>4064786.0</v>
      </c>
      <c r="D1165" s="85">
        <v>45870.0</v>
      </c>
      <c r="E1165" s="17">
        <v>2.0</v>
      </c>
      <c r="F1165" s="17">
        <v>0.0</v>
      </c>
      <c r="G1165" s="17">
        <v>2.0</v>
      </c>
      <c r="H1165" s="17"/>
      <c r="I1165" s="17">
        <v>0.06</v>
      </c>
      <c r="K1165" s="17">
        <v>-3.2106</v>
      </c>
      <c r="L1165" s="17">
        <v>-3.21062</v>
      </c>
      <c r="M1165" s="87">
        <v>2.0000000000131E-5</v>
      </c>
      <c r="N1165" s="17">
        <v>7.99999999999999</v>
      </c>
      <c r="O1165" s="14">
        <f t="shared" si="1"/>
        <v>4.7894</v>
      </c>
      <c r="P1165" s="86">
        <f t="array" ref="P1165">iferror(XLOOKUP(C1165,'Download of SFDC Activation Rep'!B:B,'Download of SFDC Activation Rep'!Z:Z),"")</f>
        <v>45870</v>
      </c>
      <c r="Q1165" s="86">
        <f t="shared" si="2"/>
        <v>45870</v>
      </c>
      <c r="R1165" s="13" t="str">
        <f t="shared" si="3"/>
        <v>Yes</v>
      </c>
      <c r="S1165" s="86">
        <f t="array" ref="S1165">iferror(XLOOKUP(C1165,'Download of SFDC Activation Rep'!B:B,'Download of SFDC Activation Rep'!Y:Y),"")</f>
        <v>45884</v>
      </c>
    </row>
    <row r="1166">
      <c r="A1166" s="17" t="s">
        <v>488</v>
      </c>
      <c r="B1166" s="85">
        <v>45992.0</v>
      </c>
      <c r="C1166" s="17">
        <v>4271411.0</v>
      </c>
      <c r="D1166" s="85">
        <v>45992.0</v>
      </c>
      <c r="E1166" s="17">
        <v>15.0</v>
      </c>
      <c r="F1166" s="17">
        <v>15.0</v>
      </c>
      <c r="G1166" s="17">
        <v>84556.13</v>
      </c>
      <c r="I1166" s="17">
        <v>0.0</v>
      </c>
      <c r="K1166" s="17">
        <v>-2.20859999999999</v>
      </c>
      <c r="L1166" s="17">
        <v>-15.4569683370515</v>
      </c>
      <c r="M1166" s="17">
        <v>13.2483683370514</v>
      </c>
      <c r="N1166" s="17">
        <v>0.0</v>
      </c>
      <c r="O1166" s="14">
        <f t="shared" si="1"/>
        <v>-2.2086</v>
      </c>
      <c r="P1166" s="86">
        <f t="array" ref="P1166">iferror(XLOOKUP(C1166,'Download of SFDC Activation Rep'!B:B,'Download of SFDC Activation Rep'!Z:Z),"")</f>
        <v>46007</v>
      </c>
      <c r="Q1166" s="86">
        <f t="shared" si="2"/>
        <v>45992</v>
      </c>
      <c r="R1166" s="13" t="str">
        <f t="shared" si="3"/>
        <v>Yes</v>
      </c>
      <c r="S1166" s="86">
        <f t="array" ref="S1166">iferror(XLOOKUP(C1166,'Download of SFDC Activation Rep'!B:B,'Download of SFDC Activation Rep'!Y:Y),"")</f>
        <v>46007</v>
      </c>
    </row>
    <row r="1167">
      <c r="A1167" s="17" t="s">
        <v>488</v>
      </c>
      <c r="B1167" s="85">
        <v>46023.0</v>
      </c>
      <c r="C1167" s="17">
        <v>4332104.0</v>
      </c>
      <c r="D1167" s="85">
        <v>46023.0</v>
      </c>
      <c r="E1167" s="17">
        <v>7.0</v>
      </c>
      <c r="F1167" s="17">
        <v>7.0</v>
      </c>
      <c r="G1167" s="17">
        <v>131899.88</v>
      </c>
      <c r="I1167" s="17">
        <v>0.0</v>
      </c>
      <c r="J1167" s="17"/>
      <c r="K1167" s="17">
        <v>-1.2474</v>
      </c>
      <c r="L1167" s="17">
        <v>-29.295165276497</v>
      </c>
      <c r="M1167" s="17">
        <v>28.047765276497</v>
      </c>
      <c r="N1167" s="17">
        <v>0.0</v>
      </c>
      <c r="O1167" s="14">
        <f t="shared" si="1"/>
        <v>-1.2474</v>
      </c>
      <c r="P1167" s="86">
        <f t="array" ref="P1167">iferror(XLOOKUP(C1167,'Download of SFDC Activation Rep'!B:B,'Download of SFDC Activation Rep'!Z:Z),"")</f>
        <v>46197</v>
      </c>
      <c r="Q1167" s="86">
        <f t="shared" si="2"/>
        <v>46174</v>
      </c>
      <c r="R1167" s="13" t="str">
        <f t="shared" si="3"/>
        <v>No</v>
      </c>
      <c r="S1167" s="86">
        <f t="array" ref="S1167">iferror(XLOOKUP(C1167,'Download of SFDC Activation Rep'!B:B,'Download of SFDC Activation Rep'!Y:Y),"")</f>
        <v>46361</v>
      </c>
    </row>
    <row r="1168">
      <c r="A1168" s="17" t="s">
        <v>17</v>
      </c>
      <c r="B1168" s="85">
        <v>46082.0</v>
      </c>
      <c r="C1168" s="17">
        <v>4410826.0</v>
      </c>
      <c r="D1168" s="85">
        <v>46082.0</v>
      </c>
      <c r="E1168" s="17">
        <v>2.0</v>
      </c>
      <c r="F1168" s="17">
        <v>2.0</v>
      </c>
      <c r="G1168" s="17">
        <v>1020.88</v>
      </c>
      <c r="H1168" s="17"/>
      <c r="I1168" s="17">
        <v>3.0</v>
      </c>
      <c r="K1168" s="17">
        <v>0.5632</v>
      </c>
      <c r="L1168" s="17">
        <v>0.413455994456</v>
      </c>
      <c r="M1168" s="17">
        <v>0.149744005543999</v>
      </c>
      <c r="N1168" s="17">
        <v>0.0</v>
      </c>
      <c r="O1168" s="14">
        <f t="shared" si="1"/>
        <v>0.5632</v>
      </c>
      <c r="P1168" s="86">
        <f t="array" ref="P1168">iferror(XLOOKUP(C1168,'Download of SFDC Activation Rep'!B:B,'Download of SFDC Activation Rep'!Z:Z),"")</f>
        <v>46099</v>
      </c>
      <c r="Q1168" s="86">
        <f t="shared" si="2"/>
        <v>46082</v>
      </c>
      <c r="R1168" s="13" t="str">
        <f t="shared" si="3"/>
        <v>Yes</v>
      </c>
      <c r="S1168" s="86">
        <f t="array" ref="S1168">iferror(XLOOKUP(C1168,'Download of SFDC Activation Rep'!B:B,'Download of SFDC Activation Rep'!Y:Y),"")</f>
        <v>46108</v>
      </c>
    </row>
    <row r="1169">
      <c r="A1169" s="17" t="s">
        <v>488</v>
      </c>
      <c r="B1169" s="85">
        <v>46082.0</v>
      </c>
      <c r="C1169" s="17">
        <v>4269343.0</v>
      </c>
      <c r="D1169" s="85">
        <v>45992.0</v>
      </c>
      <c r="E1169" s="17">
        <v>56.0</v>
      </c>
      <c r="F1169" s="17">
        <v>18.0</v>
      </c>
      <c r="G1169" s="17">
        <v>51973.0</v>
      </c>
      <c r="H1169" s="17">
        <v>13235.0</v>
      </c>
      <c r="I1169" s="17">
        <v>1046.44</v>
      </c>
      <c r="K1169" s="17">
        <v>153.6043</v>
      </c>
      <c r="L1169" s="17">
        <v>153.084569999999</v>
      </c>
      <c r="M1169" s="17">
        <v>0.519730000000009</v>
      </c>
      <c r="N1169" s="17">
        <v>36.0</v>
      </c>
      <c r="O1169" s="14">
        <f t="shared" si="1"/>
        <v>275.6318</v>
      </c>
      <c r="P1169" s="86">
        <f t="array" ref="P1169">iferror(XLOOKUP(C1169,'Download of SFDC Activation Rep'!B:B,'Download of SFDC Activation Rep'!Z:Z),"")</f>
        <v>45918</v>
      </c>
      <c r="Q1169" s="86">
        <f t="shared" si="2"/>
        <v>45901</v>
      </c>
      <c r="R1169" s="13" t="str">
        <f t="shared" si="3"/>
        <v>Yes</v>
      </c>
      <c r="S1169" s="86">
        <f t="array" ref="S1169">iferror(XLOOKUP(C1169,'Download of SFDC Activation Rep'!B:B,'Download of SFDC Activation Rep'!Y:Y),"")</f>
        <v>46001</v>
      </c>
    </row>
    <row r="1170">
      <c r="A1170" s="17" t="s">
        <v>1487</v>
      </c>
      <c r="B1170" s="85">
        <v>46082.0</v>
      </c>
      <c r="C1170" s="17">
        <v>4471409.0</v>
      </c>
      <c r="D1170" s="85">
        <v>46082.0</v>
      </c>
      <c r="E1170" s="17">
        <v>6.0</v>
      </c>
      <c r="F1170" s="17">
        <v>0.0</v>
      </c>
      <c r="G1170" s="17">
        <v>38326.25</v>
      </c>
      <c r="H1170" s="17">
        <v>8431.0</v>
      </c>
      <c r="I1170" s="17">
        <v>1141.46</v>
      </c>
      <c r="J1170" s="17"/>
      <c r="K1170" s="17">
        <v>31.4132</v>
      </c>
      <c r="L1170" s="17">
        <v>11.167243374</v>
      </c>
      <c r="M1170" s="17">
        <v>20.245956626</v>
      </c>
      <c r="N1170" s="17">
        <v>0.0</v>
      </c>
      <c r="O1170" s="14">
        <f t="shared" si="1"/>
        <v>86.2147</v>
      </c>
      <c r="P1170" s="86">
        <f t="array" ref="P1170">iferror(XLOOKUP(C1170,'Download of SFDC Activation Rep'!B:B,'Download of SFDC Activation Rep'!Z:Z),"")</f>
        <v>46092</v>
      </c>
      <c r="Q1170" s="86">
        <f t="shared" si="2"/>
        <v>46082</v>
      </c>
      <c r="R1170" s="13" t="str">
        <f t="shared" si="3"/>
        <v>Yes</v>
      </c>
      <c r="S1170" s="86">
        <f t="array" ref="S1170">iferror(XLOOKUP(C1170,'Download of SFDC Activation Rep'!B:B,'Download of SFDC Activation Rep'!Y:Y),"")</f>
        <v>46132</v>
      </c>
    </row>
    <row r="1171">
      <c r="A1171" s="17" t="s">
        <v>17</v>
      </c>
      <c r="B1171" s="85">
        <v>45962.0</v>
      </c>
      <c r="C1171" s="17">
        <v>3977410.0</v>
      </c>
      <c r="D1171" s="85">
        <v>45809.0</v>
      </c>
      <c r="E1171" s="17">
        <v>1.0</v>
      </c>
      <c r="F1171" s="17">
        <v>1.0</v>
      </c>
      <c r="G1171" s="17">
        <v>2472.0</v>
      </c>
      <c r="H1171" s="17"/>
      <c r="I1171" s="17">
        <v>0.0</v>
      </c>
      <c r="K1171" s="17">
        <v>-0.1384</v>
      </c>
      <c r="L1171" s="17">
        <v>-0.16312</v>
      </c>
      <c r="M1171" s="17">
        <v>0.0247199999999999</v>
      </c>
      <c r="N1171" s="17">
        <v>0.0</v>
      </c>
      <c r="O1171" s="14">
        <f t="shared" si="1"/>
        <v>-0.1384</v>
      </c>
      <c r="P1171" s="86">
        <f t="array" ref="P1171">iferror(XLOOKUP(C1171,'Download of SFDC Activation Rep'!B:B,'Download of SFDC Activation Rep'!Z:Z),"")</f>
        <v>45809</v>
      </c>
      <c r="Q1171" s="86">
        <f t="shared" si="2"/>
        <v>45809</v>
      </c>
      <c r="R1171" s="13" t="str">
        <f t="shared" si="3"/>
        <v>Yes</v>
      </c>
      <c r="S1171" s="86">
        <f t="array" ref="S1171">iferror(XLOOKUP(C1171,'Download of SFDC Activation Rep'!B:B,'Download of SFDC Activation Rep'!Y:Y),"")</f>
        <v>45838</v>
      </c>
    </row>
    <row r="1172">
      <c r="A1172" s="17" t="s">
        <v>19</v>
      </c>
      <c r="B1172" s="85">
        <v>46023.0</v>
      </c>
      <c r="C1172" s="17">
        <v>4112463.0</v>
      </c>
      <c r="D1172" s="85">
        <v>45931.0</v>
      </c>
      <c r="E1172" s="17">
        <v>37.0</v>
      </c>
      <c r="F1172" s="17">
        <v>37.0</v>
      </c>
      <c r="G1172" s="17">
        <v>164423.36</v>
      </c>
      <c r="H1172" s="17"/>
      <c r="I1172" s="17">
        <v>25.71362</v>
      </c>
      <c r="K1172" s="17">
        <v>7.2276</v>
      </c>
      <c r="L1172" s="17">
        <v>-29.7089017450169</v>
      </c>
      <c r="M1172" s="17">
        <v>36.9365017450169</v>
      </c>
      <c r="N1172" s="17">
        <v>64.0</v>
      </c>
      <c r="O1172" s="14">
        <f t="shared" si="1"/>
        <v>71.2276</v>
      </c>
      <c r="P1172" s="86">
        <f t="array" ref="P1172">iferror(XLOOKUP(C1172,'Download of SFDC Activation Rep'!B:B,'Download of SFDC Activation Rep'!Z:Z),"")</f>
        <v>45911</v>
      </c>
      <c r="Q1172" s="86">
        <f t="shared" si="2"/>
        <v>45901</v>
      </c>
      <c r="R1172" s="13" t="str">
        <f t="shared" si="3"/>
        <v>Yes</v>
      </c>
      <c r="S1172" s="86">
        <f t="array" ref="S1172">iferror(XLOOKUP(C1172,'Download of SFDC Activation Rep'!B:B,'Download of SFDC Activation Rep'!Y:Y),"")</f>
        <v>45945</v>
      </c>
    </row>
    <row r="1173">
      <c r="A1173" s="17" t="s">
        <v>17</v>
      </c>
      <c r="B1173" s="85">
        <v>46174.0</v>
      </c>
      <c r="C1173" s="17">
        <v>4686225.0</v>
      </c>
      <c r="D1173" s="85">
        <v>46174.0</v>
      </c>
      <c r="E1173" s="17">
        <v>1.0</v>
      </c>
      <c r="F1173" s="17">
        <v>0.0</v>
      </c>
      <c r="G1173" s="17">
        <v>10.0</v>
      </c>
      <c r="H1173" s="17">
        <v>10.0</v>
      </c>
      <c r="I1173" s="17">
        <v>0.39</v>
      </c>
      <c r="K1173" s="17">
        <v>-0.6823</v>
      </c>
      <c r="L1173" s="17">
        <v>-0.716686082</v>
      </c>
      <c r="M1173" s="17">
        <v>0.034386082</v>
      </c>
      <c r="N1173" s="17">
        <v>0.0</v>
      </c>
      <c r="O1173" s="14">
        <f t="shared" si="1"/>
        <v>-0.6823</v>
      </c>
      <c r="P1173" s="86">
        <f t="array" ref="P1173">iferror(XLOOKUP(C1173,'Download of SFDC Activation Rep'!B:B,'Download of SFDC Activation Rep'!Z:Z),"")</f>
        <v>46176</v>
      </c>
      <c r="Q1173" s="86">
        <f t="shared" si="2"/>
        <v>46174</v>
      </c>
      <c r="R1173" s="13" t="str">
        <f t="shared" si="3"/>
        <v>Yes</v>
      </c>
      <c r="S1173" s="86">
        <f t="array" ref="S1173">iferror(XLOOKUP(C1173,'Download of SFDC Activation Rep'!B:B,'Download of SFDC Activation Rep'!Y:Y),"")</f>
        <v>46181</v>
      </c>
    </row>
    <row r="1174">
      <c r="A1174" s="17" t="s">
        <v>19</v>
      </c>
      <c r="B1174" s="85">
        <v>46113.0</v>
      </c>
      <c r="C1174" s="17">
        <v>4031652.0</v>
      </c>
      <c r="D1174" s="85">
        <v>45901.0</v>
      </c>
      <c r="E1174" s="17">
        <v>177.0</v>
      </c>
      <c r="F1174" s="17">
        <v>177.0</v>
      </c>
      <c r="G1174" s="17">
        <v>1650371.8</v>
      </c>
      <c r="H1174" s="17"/>
      <c r="I1174" s="17">
        <v>1252.668915</v>
      </c>
      <c r="K1174" s="17">
        <v>1223.8694</v>
      </c>
      <c r="L1174" s="17">
        <v>884.20927335018</v>
      </c>
      <c r="M1174" s="17">
        <v>339.66012664982</v>
      </c>
      <c r="N1174" s="17">
        <v>80.0</v>
      </c>
      <c r="O1174" s="14">
        <f t="shared" si="1"/>
        <v>1303.8694</v>
      </c>
      <c r="P1174" s="86">
        <f t="array" ref="P1174">iferror(XLOOKUP(C1174,'Download of SFDC Activation Rep'!B:B,'Download of SFDC Activation Rep'!Z:Z),"")</f>
        <v>45881</v>
      </c>
      <c r="Q1174" s="86">
        <f t="shared" si="2"/>
        <v>45870</v>
      </c>
      <c r="R1174" s="13" t="str">
        <f t="shared" si="3"/>
        <v>Yes</v>
      </c>
      <c r="S1174" s="86">
        <f t="array" ref="S1174">iferror(XLOOKUP(C1174,'Download of SFDC Activation Rep'!B:B,'Download of SFDC Activation Rep'!Y:Y),"")</f>
        <v>45889</v>
      </c>
    </row>
    <row r="1175">
      <c r="A1175" s="17" t="s">
        <v>17</v>
      </c>
      <c r="B1175" s="85">
        <v>45992.0</v>
      </c>
      <c r="C1175" s="17">
        <v>4247168.0</v>
      </c>
      <c r="D1175" s="85">
        <v>45992.0</v>
      </c>
      <c r="E1175" s="17">
        <v>3.0</v>
      </c>
      <c r="F1175" s="17">
        <v>3.0</v>
      </c>
      <c r="G1175" s="17">
        <v>8762.03</v>
      </c>
      <c r="H1175" s="17"/>
      <c r="I1175" s="17">
        <v>0.0</v>
      </c>
      <c r="K1175" s="17">
        <v>-0.4386</v>
      </c>
      <c r="L1175" s="17">
        <v>-0.5262203</v>
      </c>
      <c r="M1175" s="17">
        <v>0.0876202999999999</v>
      </c>
      <c r="N1175" s="17">
        <v>0.0</v>
      </c>
      <c r="O1175" s="14">
        <f t="shared" si="1"/>
        <v>-0.4386</v>
      </c>
      <c r="P1175" s="86">
        <f t="array" ref="P1175">iferror(XLOOKUP(C1175,'Download of SFDC Activation Rep'!B:B,'Download of SFDC Activation Rep'!Z:Z),"")</f>
        <v>45968</v>
      </c>
      <c r="Q1175" s="86">
        <f t="shared" si="2"/>
        <v>45962</v>
      </c>
      <c r="R1175" s="13" t="str">
        <f t="shared" si="3"/>
        <v>Yes</v>
      </c>
      <c r="S1175" s="86">
        <f t="array" ref="S1175">iferror(XLOOKUP(C1175,'Download of SFDC Activation Rep'!B:B,'Download of SFDC Activation Rep'!Y:Y),"")</f>
        <v>46006</v>
      </c>
    </row>
    <row r="1176">
      <c r="A1176" s="17" t="s">
        <v>17</v>
      </c>
      <c r="B1176" s="85">
        <v>46023.0</v>
      </c>
      <c r="C1176" s="17">
        <v>4213575.0</v>
      </c>
      <c r="D1176" s="85">
        <v>45962.0</v>
      </c>
      <c r="E1176" s="17">
        <v>1.0</v>
      </c>
      <c r="F1176" s="17">
        <v>0.0</v>
      </c>
      <c r="G1176" s="17">
        <v>3177.08</v>
      </c>
      <c r="H1176" s="17"/>
      <c r="I1176" s="17">
        <v>123.91</v>
      </c>
      <c r="K1176" s="17">
        <v>47.2307</v>
      </c>
      <c r="L1176" s="17">
        <v>45.684690207628</v>
      </c>
      <c r="M1176" s="17">
        <v>1.5460097923719</v>
      </c>
      <c r="O1176" s="14">
        <f t="shared" si="1"/>
        <v>47.2307</v>
      </c>
      <c r="P1176" s="86">
        <f t="array" ref="P1176">iferror(XLOOKUP(C1176,'Download of SFDC Activation Rep'!B:B,'Download of SFDC Activation Rep'!Z:Z),"")</f>
        <v>45965</v>
      </c>
      <c r="Q1176" s="86">
        <f t="shared" si="2"/>
        <v>45962</v>
      </c>
      <c r="R1176" s="13" t="str">
        <f t="shared" si="3"/>
        <v>Yes</v>
      </c>
      <c r="S1176" s="86">
        <f t="array" ref="S1176">iferror(XLOOKUP(C1176,'Download of SFDC Activation Rep'!B:B,'Download of SFDC Activation Rep'!Y:Y),"")</f>
        <v>45966</v>
      </c>
    </row>
    <row r="1177">
      <c r="A1177" s="17" t="s">
        <v>17</v>
      </c>
      <c r="B1177" s="85">
        <v>45962.0</v>
      </c>
      <c r="C1177" s="17">
        <v>2967694.0</v>
      </c>
      <c r="D1177" s="85">
        <v>45292.0</v>
      </c>
      <c r="E1177" s="17">
        <v>8.0</v>
      </c>
      <c r="F1177" s="17">
        <v>0.0</v>
      </c>
      <c r="G1177" s="17">
        <v>143660.61</v>
      </c>
      <c r="H1177" s="17">
        <v>143660.61</v>
      </c>
      <c r="I1177" s="17">
        <v>4166.17</v>
      </c>
      <c r="J1177" s="17"/>
      <c r="K1177" s="17">
        <v>718.391</v>
      </c>
      <c r="L1177" s="17">
        <v>642.185822736679</v>
      </c>
      <c r="M1177" s="17">
        <v>76.2051772633205</v>
      </c>
      <c r="O1177" s="14">
        <f t="shared" si="1"/>
        <v>718.391</v>
      </c>
      <c r="P1177" s="86">
        <f t="array" ref="P1177">iferror(XLOOKUP(C1177,'Download of SFDC Activation Rep'!B:B,'Download of SFDC Activation Rep'!Z:Z),"")</f>
        <v>45924</v>
      </c>
      <c r="Q1177" s="86">
        <f t="shared" si="2"/>
        <v>45901</v>
      </c>
      <c r="R1177" s="13" t="str">
        <f t="shared" si="3"/>
        <v>Yes</v>
      </c>
      <c r="S1177" s="86">
        <f t="array" ref="S1177">iferror(XLOOKUP(C1177,'Download of SFDC Activation Rep'!B:B,'Download of SFDC Activation Rep'!Y:Y),"")</f>
        <v>46055</v>
      </c>
    </row>
    <row r="1178">
      <c r="A1178" s="17" t="s">
        <v>17</v>
      </c>
      <c r="B1178" s="85">
        <v>46113.0</v>
      </c>
      <c r="C1178" s="17">
        <v>4186958.0</v>
      </c>
      <c r="D1178" s="85">
        <v>45931.0</v>
      </c>
      <c r="E1178" s="17">
        <v>1.0</v>
      </c>
      <c r="F1178" s="17">
        <v>1.0</v>
      </c>
      <c r="G1178" s="17">
        <v>4500.0</v>
      </c>
      <c r="H1178" s="17"/>
      <c r="I1178" s="17">
        <v>1.5</v>
      </c>
      <c r="K1178" s="17">
        <v>0.5687</v>
      </c>
      <c r="L1178" s="17">
        <v>-0.0913658499999999</v>
      </c>
      <c r="M1178" s="17">
        <v>0.66006585</v>
      </c>
      <c r="O1178" s="14">
        <f t="shared" si="1"/>
        <v>0.5687</v>
      </c>
      <c r="P1178" s="86">
        <f t="array" ref="P1178">iferror(XLOOKUP(C1178,'Download of SFDC Activation Rep'!B:B,'Download of SFDC Activation Rep'!Z:Z),"")</f>
        <v>45931</v>
      </c>
      <c r="Q1178" s="86">
        <f t="shared" si="2"/>
        <v>45931</v>
      </c>
      <c r="R1178" s="13" t="str">
        <f t="shared" si="3"/>
        <v>Yes</v>
      </c>
      <c r="S1178" s="86">
        <f t="array" ref="S1178">iferror(XLOOKUP(C1178,'Download of SFDC Activation Rep'!B:B,'Download of SFDC Activation Rep'!Y:Y),"")</f>
        <v>45957</v>
      </c>
    </row>
    <row r="1179">
      <c r="A1179" s="17" t="s">
        <v>17</v>
      </c>
      <c r="B1179" s="85">
        <v>45809.0</v>
      </c>
      <c r="C1179" s="17">
        <v>3738104.0</v>
      </c>
      <c r="D1179" s="85">
        <v>45748.0</v>
      </c>
      <c r="E1179" s="17">
        <v>1.0</v>
      </c>
      <c r="F1179" s="17">
        <v>1.0</v>
      </c>
      <c r="G1179" s="17">
        <v>2237.6</v>
      </c>
      <c r="I1179" s="17">
        <v>22.38</v>
      </c>
      <c r="K1179" s="17">
        <v>22.02</v>
      </c>
      <c r="L1179" s="17">
        <v>20.1929062515794</v>
      </c>
      <c r="M1179" s="17">
        <v>1.82709374842055</v>
      </c>
      <c r="O1179" s="14">
        <f t="shared" si="1"/>
        <v>22.02</v>
      </c>
      <c r="P1179" s="86">
        <f t="array" ref="P1179">iferror(XLOOKUP(C1179,'Download of SFDC Activation Rep'!B:B,'Download of SFDC Activation Rep'!Z:Z),"")</f>
        <v>45806</v>
      </c>
      <c r="Q1179" s="86">
        <f t="shared" si="2"/>
        <v>45778</v>
      </c>
      <c r="R1179" s="13" t="str">
        <f t="shared" si="3"/>
        <v>Yes</v>
      </c>
      <c r="S1179" s="86">
        <f t="array" ref="S1179">iferror(XLOOKUP(C1179,'Download of SFDC Activation Rep'!B:B,'Download of SFDC Activation Rep'!Y:Y),"")</f>
        <v>45806</v>
      </c>
    </row>
    <row r="1180">
      <c r="A1180" s="17" t="s">
        <v>17</v>
      </c>
      <c r="B1180" s="85">
        <v>45870.0</v>
      </c>
      <c r="C1180" s="17">
        <v>3997416.0</v>
      </c>
      <c r="D1180" s="85">
        <v>45839.0</v>
      </c>
      <c r="E1180" s="17">
        <v>1.0</v>
      </c>
      <c r="F1180" s="17">
        <v>0.0</v>
      </c>
      <c r="G1180" s="17">
        <v>6700.0</v>
      </c>
      <c r="H1180" s="17">
        <v>6700.0</v>
      </c>
      <c r="I1180" s="17">
        <v>194.3</v>
      </c>
      <c r="K1180" s="17">
        <v>48.3878</v>
      </c>
      <c r="L1180" s="17">
        <v>48.3208</v>
      </c>
      <c r="M1180" s="17">
        <v>0.0670000000000001</v>
      </c>
      <c r="O1180" s="14">
        <f t="shared" si="1"/>
        <v>48.3878</v>
      </c>
      <c r="P1180" s="86">
        <f t="array" ref="P1180">iferror(XLOOKUP(C1180,'Download of SFDC Activation Rep'!B:B,'Download of SFDC Activation Rep'!Z:Z),"")</f>
        <v>45876</v>
      </c>
      <c r="Q1180" s="86">
        <f t="shared" si="2"/>
        <v>45870</v>
      </c>
      <c r="R1180" s="13" t="str">
        <f t="shared" si="3"/>
        <v>Yes</v>
      </c>
      <c r="S1180" s="86">
        <f t="array" ref="S1180">iferror(XLOOKUP(C1180,'Download of SFDC Activation Rep'!B:B,'Download of SFDC Activation Rep'!Y:Y),"")</f>
        <v>45849</v>
      </c>
    </row>
    <row r="1181">
      <c r="A1181" s="17" t="s">
        <v>488</v>
      </c>
      <c r="B1181" s="85">
        <v>46054.0</v>
      </c>
      <c r="C1181" s="17">
        <v>4079539.0</v>
      </c>
      <c r="D1181" s="85">
        <v>45870.0</v>
      </c>
      <c r="E1181" s="17">
        <v>8.0</v>
      </c>
      <c r="F1181" s="17">
        <v>0.0</v>
      </c>
      <c r="G1181" s="17">
        <v>51384.31</v>
      </c>
      <c r="H1181" s="17">
        <v>51384.31</v>
      </c>
      <c r="I1181" s="17">
        <v>1530.15</v>
      </c>
      <c r="K1181" s="17">
        <v>-64.8834</v>
      </c>
      <c r="L1181" s="17">
        <v>-103.238037377568</v>
      </c>
      <c r="M1181" s="17">
        <v>38.354637377568</v>
      </c>
      <c r="O1181" s="14">
        <f t="shared" si="1"/>
        <v>269.114615</v>
      </c>
      <c r="P1181" s="86">
        <f t="array" ref="P1181">iferror(XLOOKUP(C1181,'Download of SFDC Activation Rep'!B:B,'Download of SFDC Activation Rep'!Z:Z),"")</f>
        <v>45890</v>
      </c>
      <c r="Q1181" s="86">
        <f t="shared" si="2"/>
        <v>45870</v>
      </c>
      <c r="R1181" s="13" t="str">
        <f t="shared" si="3"/>
        <v>Yes</v>
      </c>
      <c r="S1181" s="86">
        <f t="array" ref="S1181">iferror(XLOOKUP(C1181,'Download of SFDC Activation Rep'!B:B,'Download of SFDC Activation Rep'!Y:Y),"")</f>
        <v>45899</v>
      </c>
    </row>
    <row r="1182">
      <c r="A1182" s="17" t="s">
        <v>17</v>
      </c>
      <c r="B1182" s="85">
        <v>46113.0</v>
      </c>
      <c r="C1182" s="17">
        <v>3997416.0</v>
      </c>
      <c r="D1182" s="85">
        <v>45839.0</v>
      </c>
      <c r="E1182" s="17">
        <v>2.0</v>
      </c>
      <c r="F1182" s="17">
        <v>0.0</v>
      </c>
      <c r="G1182" s="17">
        <v>12540.0</v>
      </c>
      <c r="H1182" s="17">
        <v>12540.0</v>
      </c>
      <c r="I1182" s="17">
        <v>363.66</v>
      </c>
      <c r="K1182" s="17">
        <v>50.2127</v>
      </c>
      <c r="L1182" s="17">
        <v>50.0873</v>
      </c>
      <c r="M1182" s="17">
        <v>0.125399999999999</v>
      </c>
      <c r="O1182" s="14">
        <f t="shared" si="1"/>
        <v>131.7227</v>
      </c>
      <c r="P1182" s="86">
        <f t="array" ref="P1182">iferror(XLOOKUP(C1182,'Download of SFDC Activation Rep'!B:B,'Download of SFDC Activation Rep'!Z:Z),"")</f>
        <v>45876</v>
      </c>
      <c r="Q1182" s="86">
        <f t="shared" si="2"/>
        <v>45870</v>
      </c>
      <c r="R1182" s="13" t="str">
        <f t="shared" si="3"/>
        <v>Yes</v>
      </c>
      <c r="S1182" s="86">
        <f t="array" ref="S1182">iferror(XLOOKUP(C1182,'Download of SFDC Activation Rep'!B:B,'Download of SFDC Activation Rep'!Y:Y),"")</f>
        <v>45849</v>
      </c>
    </row>
    <row r="1183">
      <c r="A1183" s="17" t="s">
        <v>17</v>
      </c>
      <c r="B1183" s="85">
        <v>46113.0</v>
      </c>
      <c r="C1183" s="17">
        <v>4221007.0</v>
      </c>
      <c r="D1183" s="85">
        <v>45962.0</v>
      </c>
      <c r="E1183" s="17">
        <v>6.0</v>
      </c>
      <c r="F1183" s="17">
        <v>0.0</v>
      </c>
      <c r="G1183" s="17">
        <v>69180.18</v>
      </c>
      <c r="H1183" s="17">
        <v>16449.1</v>
      </c>
      <c r="I1183" s="17">
        <v>2006.22</v>
      </c>
      <c r="K1183" s="17">
        <v>47.1706</v>
      </c>
      <c r="L1183" s="17">
        <v>11.165581614496</v>
      </c>
      <c r="M1183" s="17">
        <v>36.0050183855039</v>
      </c>
      <c r="O1183" s="14">
        <f t="shared" si="1"/>
        <v>154.08975</v>
      </c>
      <c r="P1183" s="86">
        <f t="array" ref="P1183">iferror(XLOOKUP(C1183,'Download of SFDC Activation Rep'!B:B,'Download of SFDC Activation Rep'!Z:Z),"")</f>
        <v>45966</v>
      </c>
      <c r="Q1183" s="86">
        <f t="shared" si="2"/>
        <v>45962</v>
      </c>
      <c r="R1183" s="13" t="str">
        <f t="shared" si="3"/>
        <v>Yes</v>
      </c>
      <c r="S1183" s="86">
        <f t="array" ref="S1183">iferror(XLOOKUP(C1183,'Download of SFDC Activation Rep'!B:B,'Download of SFDC Activation Rep'!Y:Y),"")</f>
        <v>45971</v>
      </c>
    </row>
    <row r="1184">
      <c r="A1184" s="17" t="s">
        <v>19</v>
      </c>
      <c r="B1184" s="85">
        <v>45474.0</v>
      </c>
      <c r="C1184" s="17">
        <v>2710123.0</v>
      </c>
      <c r="D1184" s="85">
        <v>45292.0</v>
      </c>
      <c r="E1184" s="17">
        <v>1.0</v>
      </c>
      <c r="F1184" s="17">
        <v>0.0</v>
      </c>
      <c r="G1184" s="17">
        <v>12844.25</v>
      </c>
      <c r="H1184" s="17"/>
      <c r="I1184" s="17">
        <v>372.48</v>
      </c>
      <c r="K1184" s="17">
        <v>28.275</v>
      </c>
      <c r="L1184" s="17">
        <v>25.0684146510487</v>
      </c>
      <c r="M1184" s="17">
        <v>3.2065853489513</v>
      </c>
      <c r="O1184" s="14">
        <f t="shared" si="1"/>
        <v>28.275</v>
      </c>
      <c r="P1184" s="86">
        <f t="array" ref="P1184">iferror(XLOOKUP(C1184,'Download of SFDC Activation Rep'!B:B,'Download of SFDC Activation Rep'!Z:Z),"")</f>
        <v>45873</v>
      </c>
      <c r="Q1184" s="86">
        <f t="shared" si="2"/>
        <v>45870</v>
      </c>
      <c r="R1184" s="13" t="str">
        <f t="shared" si="3"/>
        <v>No</v>
      </c>
      <c r="S1184" s="86">
        <f t="array" ref="S1184">iferror(XLOOKUP(C1184,'Download of SFDC Activation Rep'!B:B,'Download of SFDC Activation Rep'!Y:Y),"")</f>
        <v>45980</v>
      </c>
    </row>
    <row r="1185">
      <c r="A1185" s="17" t="s">
        <v>17</v>
      </c>
      <c r="B1185" s="85">
        <v>45992.0</v>
      </c>
      <c r="C1185" s="17">
        <v>4185373.0</v>
      </c>
      <c r="D1185" s="85">
        <v>45931.0</v>
      </c>
      <c r="E1185" s="17">
        <v>9.0</v>
      </c>
      <c r="F1185" s="17">
        <v>0.0</v>
      </c>
      <c r="G1185" s="17">
        <v>88850.0</v>
      </c>
      <c r="H1185" s="17">
        <v>32050.0</v>
      </c>
      <c r="I1185" s="17">
        <v>2576.66</v>
      </c>
      <c r="K1185" s="17">
        <v>283.5315</v>
      </c>
      <c r="L1185" s="17">
        <v>282.643</v>
      </c>
      <c r="M1185" s="17">
        <v>0.888500000000021</v>
      </c>
      <c r="O1185" s="14">
        <f t="shared" si="1"/>
        <v>283.5315</v>
      </c>
      <c r="P1185" s="86">
        <f t="array" ref="P1185">iferror(XLOOKUP(C1185,'Download of SFDC Activation Rep'!B:B,'Download of SFDC Activation Rep'!Z:Z),"")</f>
        <v>45940</v>
      </c>
      <c r="Q1185" s="86">
        <f t="shared" si="2"/>
        <v>45931</v>
      </c>
      <c r="R1185" s="13" t="str">
        <f t="shared" si="3"/>
        <v>Yes</v>
      </c>
      <c r="S1185" s="86">
        <f t="array" ref="S1185">iferror(XLOOKUP(C1185,'Download of SFDC Activation Rep'!B:B,'Download of SFDC Activation Rep'!Y:Y),"")</f>
        <v>45958</v>
      </c>
    </row>
    <row r="1186">
      <c r="A1186" s="17" t="s">
        <v>17</v>
      </c>
      <c r="B1186" s="85">
        <v>45870.0</v>
      </c>
      <c r="C1186" s="17">
        <v>2967694.0</v>
      </c>
      <c r="D1186" s="85">
        <v>45292.0</v>
      </c>
      <c r="E1186" s="17">
        <v>2.0</v>
      </c>
      <c r="F1186" s="17">
        <v>0.0</v>
      </c>
      <c r="G1186" s="17">
        <v>43748.04</v>
      </c>
      <c r="H1186" s="17">
        <v>43748.04</v>
      </c>
      <c r="I1186" s="17">
        <v>1268.7</v>
      </c>
      <c r="K1186" s="17">
        <v>161.164</v>
      </c>
      <c r="L1186" s="17">
        <v>137.957728335673</v>
      </c>
      <c r="M1186" s="17">
        <v>23.2062716643264</v>
      </c>
      <c r="O1186" s="14">
        <f t="shared" si="1"/>
        <v>161.164</v>
      </c>
      <c r="P1186" s="86">
        <f t="array" ref="P1186">iferror(XLOOKUP(C1186,'Download of SFDC Activation Rep'!B:B,'Download of SFDC Activation Rep'!Z:Z),"")</f>
        <v>45924</v>
      </c>
      <c r="Q1186" s="86">
        <f t="shared" si="2"/>
        <v>45901</v>
      </c>
      <c r="R1186" s="13" t="str">
        <f t="shared" si="3"/>
        <v>No</v>
      </c>
      <c r="S1186" s="86">
        <f t="array" ref="S1186">iferror(XLOOKUP(C1186,'Download of SFDC Activation Rep'!B:B,'Download of SFDC Activation Rep'!Y:Y),"")</f>
        <v>46055</v>
      </c>
    </row>
    <row r="1187">
      <c r="A1187" s="17" t="s">
        <v>17</v>
      </c>
      <c r="B1187" s="85">
        <v>46174.0</v>
      </c>
      <c r="C1187" s="17">
        <v>3383444.0</v>
      </c>
      <c r="D1187" s="85">
        <v>46082.0</v>
      </c>
      <c r="E1187" s="17">
        <v>6.0</v>
      </c>
      <c r="F1187" s="17">
        <v>0.0</v>
      </c>
      <c r="G1187" s="17">
        <v>128100.0</v>
      </c>
      <c r="H1187" s="17">
        <v>100600.0</v>
      </c>
      <c r="I1187" s="17">
        <v>3774.9</v>
      </c>
      <c r="K1187" s="17">
        <v>297.3129</v>
      </c>
      <c r="L1187" s="17">
        <v>181.26675132</v>
      </c>
      <c r="M1187" s="17">
        <v>116.046148679999</v>
      </c>
      <c r="O1187" s="14">
        <f t="shared" si="1"/>
        <v>297.3129</v>
      </c>
      <c r="P1187" s="86">
        <f t="array" ref="P1187">iferror(XLOOKUP(C1187,'Download of SFDC Activation Rep'!B:B,'Download of SFDC Activation Rep'!Z:Z),"")</f>
        <v>46197</v>
      </c>
      <c r="Q1187" s="86">
        <f t="shared" si="2"/>
        <v>46174</v>
      </c>
      <c r="R1187" s="13" t="str">
        <f t="shared" si="3"/>
        <v>Yes</v>
      </c>
      <c r="S1187" s="86">
        <f t="array" ref="S1187">iferror(XLOOKUP(C1187,'Download of SFDC Activation Rep'!B:B,'Download of SFDC Activation Rep'!Y:Y),"")</f>
        <v>46361</v>
      </c>
    </row>
    <row r="1188">
      <c r="A1188" s="17" t="s">
        <v>17</v>
      </c>
      <c r="B1188" s="85">
        <v>46082.0</v>
      </c>
      <c r="C1188" s="17">
        <v>4186958.0</v>
      </c>
      <c r="D1188" s="85">
        <v>45931.0</v>
      </c>
      <c r="E1188" s="17">
        <v>1.0</v>
      </c>
      <c r="F1188" s="17">
        <v>1.0</v>
      </c>
      <c r="G1188" s="17">
        <v>4500.0</v>
      </c>
      <c r="H1188" s="17"/>
      <c r="I1188" s="17">
        <v>1.5</v>
      </c>
      <c r="K1188" s="17">
        <v>0.5697</v>
      </c>
      <c r="L1188" s="17">
        <v>-0.0903658499999999</v>
      </c>
      <c r="M1188" s="17">
        <v>0.66006585</v>
      </c>
      <c r="O1188" s="14">
        <f t="shared" si="1"/>
        <v>0.5697</v>
      </c>
      <c r="P1188" s="86">
        <f t="array" ref="P1188">iferror(XLOOKUP(C1188,'Download of SFDC Activation Rep'!B:B,'Download of SFDC Activation Rep'!Z:Z),"")</f>
        <v>45931</v>
      </c>
      <c r="Q1188" s="86">
        <f t="shared" si="2"/>
        <v>45931</v>
      </c>
      <c r="R1188" s="13" t="str">
        <f t="shared" si="3"/>
        <v>Yes</v>
      </c>
      <c r="S1188" s="86">
        <f t="array" ref="S1188">iferror(XLOOKUP(C1188,'Download of SFDC Activation Rep'!B:B,'Download of SFDC Activation Rep'!Y:Y),"")</f>
        <v>45957</v>
      </c>
    </row>
    <row r="1189">
      <c r="A1189" s="17" t="s">
        <v>17</v>
      </c>
      <c r="B1189" s="85">
        <v>45962.0</v>
      </c>
      <c r="C1189" s="17">
        <v>3514759.0</v>
      </c>
      <c r="D1189" s="85">
        <v>45931.0</v>
      </c>
      <c r="E1189" s="17">
        <v>2.0</v>
      </c>
      <c r="F1189" s="17">
        <v>0.0</v>
      </c>
      <c r="G1189" s="17">
        <v>790.0</v>
      </c>
      <c r="H1189" s="17"/>
      <c r="I1189" s="17">
        <v>22.92</v>
      </c>
      <c r="K1189" s="17">
        <v>22.14</v>
      </c>
      <c r="L1189" s="17">
        <v>22.1321</v>
      </c>
      <c r="M1189" s="17">
        <v>0.00789999999999935</v>
      </c>
      <c r="O1189" s="14">
        <f t="shared" si="1"/>
        <v>22.14</v>
      </c>
      <c r="P1189" s="86">
        <f t="array" ref="P1189">iferror(XLOOKUP(C1189,'Download of SFDC Activation Rep'!B:B,'Download of SFDC Activation Rep'!Z:Z),"")</f>
        <v>45895</v>
      </c>
      <c r="Q1189" s="86">
        <f t="shared" si="2"/>
        <v>45870</v>
      </c>
      <c r="R1189" s="13" t="str">
        <f t="shared" si="3"/>
        <v>Yes</v>
      </c>
      <c r="S1189" s="86">
        <f t="array" ref="S1189">iferror(XLOOKUP(C1189,'Download of SFDC Activation Rep'!B:B,'Download of SFDC Activation Rep'!Y:Y),"")</f>
        <v>45954</v>
      </c>
    </row>
    <row r="1190">
      <c r="A1190" s="17" t="s">
        <v>17</v>
      </c>
      <c r="B1190" s="85">
        <v>46113.0</v>
      </c>
      <c r="C1190" s="17">
        <v>4185373.0</v>
      </c>
      <c r="D1190" s="85">
        <v>45931.0</v>
      </c>
      <c r="E1190" s="17">
        <v>7.0</v>
      </c>
      <c r="F1190" s="17">
        <v>0.0</v>
      </c>
      <c r="G1190" s="17">
        <v>41068.67</v>
      </c>
      <c r="H1190" s="17">
        <v>27500.0</v>
      </c>
      <c r="I1190" s="17">
        <v>1190.99</v>
      </c>
      <c r="K1190" s="17">
        <v>150.8612</v>
      </c>
      <c r="L1190" s="17">
        <v>150.4505133</v>
      </c>
      <c r="M1190" s="17">
        <v>0.410686699999985</v>
      </c>
      <c r="O1190" s="14">
        <f t="shared" si="1"/>
        <v>329.6112</v>
      </c>
      <c r="P1190" s="86">
        <f t="array" ref="P1190">iferror(XLOOKUP(C1190,'Download of SFDC Activation Rep'!B:B,'Download of SFDC Activation Rep'!Z:Z),"")</f>
        <v>45940</v>
      </c>
      <c r="Q1190" s="86">
        <f t="shared" si="2"/>
        <v>45931</v>
      </c>
      <c r="R1190" s="13" t="str">
        <f t="shared" si="3"/>
        <v>Yes</v>
      </c>
      <c r="S1190" s="86">
        <f t="array" ref="S1190">iferror(XLOOKUP(C1190,'Download of SFDC Activation Rep'!B:B,'Download of SFDC Activation Rep'!Y:Y),"")</f>
        <v>45958</v>
      </c>
    </row>
    <row r="1191">
      <c r="A1191" s="17" t="s">
        <v>17</v>
      </c>
      <c r="B1191" s="85">
        <v>46054.0</v>
      </c>
      <c r="C1191" s="17">
        <v>4125771.0</v>
      </c>
      <c r="D1191" s="85">
        <v>46023.0</v>
      </c>
      <c r="E1191" s="17">
        <v>4.0</v>
      </c>
      <c r="F1191" s="17">
        <v>0.0</v>
      </c>
      <c r="G1191" s="17">
        <v>89931.89</v>
      </c>
      <c r="H1191" s="17"/>
      <c r="I1191" s="17">
        <v>2608.02</v>
      </c>
      <c r="K1191" s="17">
        <v>395.989299999999</v>
      </c>
      <c r="L1191" s="17">
        <v>395.0899811</v>
      </c>
      <c r="M1191" s="17">
        <v>0.899318899999912</v>
      </c>
      <c r="O1191" s="14">
        <f t="shared" si="1"/>
        <v>395.9893</v>
      </c>
      <c r="P1191" s="86">
        <f t="array" ref="P1191">iferror(XLOOKUP(C1191,'Download of SFDC Activation Rep'!B:B,'Download of SFDC Activation Rep'!Z:Z),"")</f>
        <v>45979</v>
      </c>
      <c r="Q1191" s="86">
        <f t="shared" si="2"/>
        <v>45962</v>
      </c>
      <c r="R1191" s="13" t="str">
        <f t="shared" si="3"/>
        <v>Yes</v>
      </c>
      <c r="S1191" s="86">
        <f t="array" ref="S1191">iferror(XLOOKUP(C1191,'Download of SFDC Activation Rep'!B:B,'Download of SFDC Activation Rep'!Y:Y),"")</f>
        <v>46037</v>
      </c>
    </row>
    <row r="1192">
      <c r="A1192" s="17" t="s">
        <v>17</v>
      </c>
      <c r="B1192" s="85">
        <v>46054.0</v>
      </c>
      <c r="C1192" s="17">
        <v>2967694.0</v>
      </c>
      <c r="D1192" s="85">
        <v>45292.0</v>
      </c>
      <c r="E1192" s="17">
        <v>3.0</v>
      </c>
      <c r="F1192" s="17">
        <v>0.0</v>
      </c>
      <c r="G1192" s="17">
        <v>22025.76</v>
      </c>
      <c r="H1192" s="17">
        <v>22025.76</v>
      </c>
      <c r="I1192" s="17">
        <v>638.75</v>
      </c>
      <c r="K1192" s="17">
        <v>-33.4324</v>
      </c>
      <c r="L1192" s="17">
        <v>-45.116026064128</v>
      </c>
      <c r="M1192" s="17">
        <v>11.683626064128</v>
      </c>
      <c r="O1192" s="14">
        <f t="shared" si="1"/>
        <v>109.73504</v>
      </c>
      <c r="P1192" s="86">
        <f t="array" ref="P1192">iferror(XLOOKUP(C1192,'Download of SFDC Activation Rep'!B:B,'Download of SFDC Activation Rep'!Z:Z),"")</f>
        <v>45924</v>
      </c>
      <c r="Q1192" s="86">
        <f t="shared" si="2"/>
        <v>45901</v>
      </c>
      <c r="R1192" s="13" t="str">
        <f t="shared" si="3"/>
        <v>Yes</v>
      </c>
      <c r="S1192" s="86">
        <f t="array" ref="S1192">iferror(XLOOKUP(C1192,'Download of SFDC Activation Rep'!B:B,'Download of SFDC Activation Rep'!Y:Y),"")</f>
        <v>46055</v>
      </c>
    </row>
    <row r="1193">
      <c r="A1193" s="17" t="s">
        <v>17</v>
      </c>
      <c r="B1193" s="85">
        <v>46054.0</v>
      </c>
      <c r="C1193" s="17">
        <v>4162423.0</v>
      </c>
      <c r="D1193" s="85">
        <v>45962.0</v>
      </c>
      <c r="E1193" s="17">
        <v>9.0</v>
      </c>
      <c r="F1193" s="17">
        <v>1.0</v>
      </c>
      <c r="G1193" s="17">
        <v>1656.15</v>
      </c>
      <c r="H1193" s="17">
        <v>35.0</v>
      </c>
      <c r="I1193" s="17">
        <v>4.52</v>
      </c>
      <c r="K1193" s="17">
        <v>-8.9307</v>
      </c>
      <c r="L1193" s="17">
        <v>-8.9472615</v>
      </c>
      <c r="M1193" s="17">
        <v>0.0165615000000016</v>
      </c>
      <c r="O1193" s="14">
        <f t="shared" si="1"/>
        <v>-8.7032</v>
      </c>
      <c r="P1193" s="86">
        <f t="array" ref="P1193">iferror(XLOOKUP(C1193,'Download of SFDC Activation Rep'!B:B,'Download of SFDC Activation Rep'!Z:Z),"")</f>
        <v>45895</v>
      </c>
      <c r="Q1193" s="86">
        <f t="shared" si="2"/>
        <v>45870</v>
      </c>
      <c r="R1193" s="13" t="str">
        <f t="shared" si="3"/>
        <v>Yes</v>
      </c>
      <c r="S1193" s="86">
        <f t="array" ref="S1193">iferror(XLOOKUP(C1193,'Download of SFDC Activation Rep'!B:B,'Download of SFDC Activation Rep'!Y:Y),"")</f>
        <v>45954</v>
      </c>
    </row>
    <row r="1194">
      <c r="A1194" s="17" t="s">
        <v>17</v>
      </c>
      <c r="B1194" s="85">
        <v>46174.0</v>
      </c>
      <c r="C1194" s="17">
        <v>4125771.0</v>
      </c>
      <c r="D1194" s="85">
        <v>46023.0</v>
      </c>
      <c r="E1194" s="17">
        <v>2.0</v>
      </c>
      <c r="F1194" s="17">
        <v>0.0</v>
      </c>
      <c r="G1194" s="17">
        <v>9565.0</v>
      </c>
      <c r="I1194" s="17">
        <v>277.38</v>
      </c>
      <c r="K1194" s="17">
        <v>14.93</v>
      </c>
      <c r="L1194" s="17">
        <v>14.83435</v>
      </c>
      <c r="M1194" s="17">
        <v>0.0956499999999991</v>
      </c>
      <c r="O1194" s="14">
        <f t="shared" si="1"/>
        <v>14.93</v>
      </c>
      <c r="P1194" s="86">
        <f t="array" ref="P1194">iferror(XLOOKUP(C1194,'Download of SFDC Activation Rep'!B:B,'Download of SFDC Activation Rep'!Z:Z),"")</f>
        <v>45979</v>
      </c>
      <c r="Q1194" s="86">
        <f t="shared" si="2"/>
        <v>45962</v>
      </c>
      <c r="R1194" s="13" t="str">
        <f t="shared" si="3"/>
        <v>Yes</v>
      </c>
      <c r="S1194" s="86">
        <f t="array" ref="S1194">iferror(XLOOKUP(C1194,'Download of SFDC Activation Rep'!B:B,'Download of SFDC Activation Rep'!Y:Y),"")</f>
        <v>46037</v>
      </c>
    </row>
    <row r="1195">
      <c r="A1195" s="17" t="s">
        <v>17</v>
      </c>
      <c r="B1195" s="85">
        <v>45717.0</v>
      </c>
      <c r="C1195" s="17">
        <v>2967694.0</v>
      </c>
      <c r="D1195" s="85">
        <v>45292.0</v>
      </c>
      <c r="E1195" s="17">
        <v>7.0</v>
      </c>
      <c r="F1195" s="17">
        <v>0.0</v>
      </c>
      <c r="G1195" s="17">
        <v>168446.45</v>
      </c>
      <c r="H1195" s="17">
        <v>168446.45</v>
      </c>
      <c r="I1195" s="17">
        <v>4884.97</v>
      </c>
      <c r="K1195" s="17">
        <v>707.4273</v>
      </c>
      <c r="L1195" s="17">
        <v>618.072455278346</v>
      </c>
      <c r="M1195" s="17">
        <v>89.3548447216538</v>
      </c>
      <c r="O1195" s="14">
        <f t="shared" si="1"/>
        <v>707.4273</v>
      </c>
      <c r="P1195" s="86">
        <f t="array" ref="P1195">iferror(XLOOKUP(C1195,'Download of SFDC Activation Rep'!B:B,'Download of SFDC Activation Rep'!Z:Z),"")</f>
        <v>45924</v>
      </c>
      <c r="Q1195" s="86">
        <f t="shared" si="2"/>
        <v>45901</v>
      </c>
      <c r="R1195" s="13" t="str">
        <f t="shared" si="3"/>
        <v>No</v>
      </c>
      <c r="S1195" s="86">
        <f t="array" ref="S1195">iferror(XLOOKUP(C1195,'Download of SFDC Activation Rep'!B:B,'Download of SFDC Activation Rep'!Y:Y),"")</f>
        <v>46055</v>
      </c>
    </row>
    <row r="1196">
      <c r="A1196" s="17" t="s">
        <v>17</v>
      </c>
      <c r="B1196" s="85">
        <v>45931.0</v>
      </c>
      <c r="C1196" s="17">
        <v>4159804.0</v>
      </c>
      <c r="D1196" s="85">
        <v>45931.0</v>
      </c>
      <c r="E1196" s="17">
        <v>1.0</v>
      </c>
      <c r="F1196" s="17">
        <v>0.0</v>
      </c>
      <c r="G1196" s="17">
        <v>8280.0</v>
      </c>
      <c r="H1196" s="17"/>
      <c r="I1196" s="17">
        <v>240.12</v>
      </c>
      <c r="K1196" s="17">
        <v>20.8889</v>
      </c>
      <c r="L1196" s="17">
        <v>16.496750560148</v>
      </c>
      <c r="M1196" s="17">
        <v>4.39214943985199</v>
      </c>
      <c r="O1196" s="14">
        <f t="shared" si="1"/>
        <v>20.8889</v>
      </c>
      <c r="P1196" s="86">
        <f t="array" ref="P1196">iferror(XLOOKUP(C1196,'Download of SFDC Activation Rep'!B:B,'Download of SFDC Activation Rep'!Z:Z),"")</f>
        <v>45937</v>
      </c>
      <c r="Q1196" s="86">
        <f t="shared" si="2"/>
        <v>45931</v>
      </c>
      <c r="R1196" s="13" t="str">
        <f t="shared" si="3"/>
        <v>Yes</v>
      </c>
      <c r="S1196" s="86">
        <f t="array" ref="S1196">iferror(XLOOKUP(C1196,'Download of SFDC Activation Rep'!B:B,'Download of SFDC Activation Rep'!Y:Y),"")</f>
        <v>45939</v>
      </c>
    </row>
    <row r="1197">
      <c r="A1197" s="17" t="s">
        <v>17</v>
      </c>
      <c r="B1197" s="85">
        <v>45778.0</v>
      </c>
      <c r="C1197" s="17">
        <v>3916711.0</v>
      </c>
      <c r="D1197" s="85">
        <v>45778.0</v>
      </c>
      <c r="E1197" s="17">
        <v>1.0</v>
      </c>
      <c r="F1197" s="17">
        <v>1.0</v>
      </c>
      <c r="G1197" s="17">
        <v>1.25</v>
      </c>
      <c r="I1197" s="17">
        <v>0.0</v>
      </c>
      <c r="K1197" s="17">
        <v>-0.06</v>
      </c>
      <c r="L1197" s="17">
        <v>-0.0600124999999999</v>
      </c>
      <c r="M1197" s="87">
        <v>1.24999999999986E-5</v>
      </c>
      <c r="O1197" s="14">
        <f t="shared" si="1"/>
        <v>-0.06</v>
      </c>
      <c r="P1197" s="86">
        <f t="array" ref="P1197">iferror(XLOOKUP(C1197,'Download of SFDC Activation Rep'!B:B,'Download of SFDC Activation Rep'!Z:Z),"")</f>
        <v>45778</v>
      </c>
      <c r="Q1197" s="86">
        <f t="shared" si="2"/>
        <v>45778</v>
      </c>
      <c r="R1197" s="13" t="str">
        <f t="shared" si="3"/>
        <v>Yes</v>
      </c>
      <c r="S1197" s="86">
        <f t="array" ref="S1197">iferror(XLOOKUP(C1197,'Download of SFDC Activation Rep'!B:B,'Download of SFDC Activation Rep'!Y:Y),"")</f>
        <v>45791</v>
      </c>
    </row>
    <row r="1198">
      <c r="A1198" s="17" t="s">
        <v>488</v>
      </c>
      <c r="B1198" s="85">
        <v>46023.0</v>
      </c>
      <c r="C1198" s="17">
        <v>4027648.0</v>
      </c>
      <c r="D1198" s="85">
        <v>45839.0</v>
      </c>
      <c r="E1198" s="17">
        <v>1.0</v>
      </c>
      <c r="F1198" s="17">
        <v>1.0</v>
      </c>
      <c r="G1198" s="17">
        <v>230.78</v>
      </c>
      <c r="I1198" s="17">
        <v>0.0</v>
      </c>
      <c r="K1198" s="17">
        <v>-0.1506</v>
      </c>
      <c r="L1198" s="17">
        <v>-0.199674064893084</v>
      </c>
      <c r="M1198" s="17">
        <v>0.0490740648930839</v>
      </c>
      <c r="O1198" s="14">
        <f t="shared" si="1"/>
        <v>-0.1506</v>
      </c>
      <c r="P1198" s="86">
        <f t="array" ref="P1198">iferror(XLOOKUP(C1198,'Download of SFDC Activation Rep'!B:B,'Download of SFDC Activation Rep'!Z:Z),"")</f>
        <v>45869</v>
      </c>
      <c r="Q1198" s="86">
        <f t="shared" si="2"/>
        <v>45839</v>
      </c>
      <c r="R1198" s="13" t="str">
        <f t="shared" si="3"/>
        <v>Yes</v>
      </c>
      <c r="S1198" s="86">
        <f t="array" ref="S1198">iferror(XLOOKUP(C1198,'Download of SFDC Activation Rep'!B:B,'Download of SFDC Activation Rep'!Y:Y),"")</f>
        <v>45869</v>
      </c>
    </row>
    <row r="1199">
      <c r="A1199" s="17" t="s">
        <v>17</v>
      </c>
      <c r="B1199" s="85">
        <v>45505.0</v>
      </c>
      <c r="C1199" s="17">
        <v>3265302.0</v>
      </c>
      <c r="D1199" s="85">
        <v>45352.0</v>
      </c>
      <c r="E1199" s="17">
        <v>9.0</v>
      </c>
      <c r="F1199" s="17">
        <v>9.0</v>
      </c>
      <c r="G1199" s="17">
        <v>8862.83</v>
      </c>
      <c r="I1199" s="17">
        <v>0.0</v>
      </c>
      <c r="K1199" s="17">
        <v>-1.9</v>
      </c>
      <c r="L1199" s="17">
        <v>-6.22509876995359</v>
      </c>
      <c r="M1199" s="17">
        <v>4.32509876995359</v>
      </c>
      <c r="O1199" s="14">
        <f t="shared" si="1"/>
        <v>-1.9</v>
      </c>
      <c r="P1199" s="86">
        <f t="array" ref="P1199">iferror(XLOOKUP(C1199,'Download of SFDC Activation Rep'!B:B,'Download of SFDC Activation Rep'!Z:Z),"")</f>
        <v>45936</v>
      </c>
      <c r="Q1199" s="86">
        <f t="shared" si="2"/>
        <v>45931</v>
      </c>
      <c r="R1199" s="13" t="str">
        <f t="shared" si="3"/>
        <v>No</v>
      </c>
      <c r="S1199" s="86">
        <f t="array" ref="S1199">iferror(XLOOKUP(C1199,'Download of SFDC Activation Rep'!B:B,'Download of SFDC Activation Rep'!Y:Y),"")</f>
        <v>46031</v>
      </c>
    </row>
    <row r="1200">
      <c r="A1200" s="17" t="s">
        <v>488</v>
      </c>
      <c r="B1200" s="85">
        <v>45931.0</v>
      </c>
      <c r="C1200" s="17">
        <v>4079539.0</v>
      </c>
      <c r="D1200" s="85">
        <v>45870.0</v>
      </c>
      <c r="E1200" s="17">
        <v>3.0</v>
      </c>
      <c r="F1200" s="17">
        <v>0.0</v>
      </c>
      <c r="G1200" s="17">
        <v>56712.0</v>
      </c>
      <c r="H1200" s="17">
        <v>13939.5</v>
      </c>
      <c r="I1200" s="17">
        <v>1654.64</v>
      </c>
      <c r="K1200" s="17">
        <v>168.5565</v>
      </c>
      <c r="L1200" s="17">
        <v>122.414523928999</v>
      </c>
      <c r="M1200" s="17">
        <v>46.1419760710008</v>
      </c>
      <c r="O1200" s="14">
        <f t="shared" si="1"/>
        <v>168.5565</v>
      </c>
      <c r="P1200" s="86">
        <f t="array" ref="P1200">iferror(XLOOKUP(C1200,'Download of SFDC Activation Rep'!B:B,'Download of SFDC Activation Rep'!Z:Z),"")</f>
        <v>45890</v>
      </c>
      <c r="Q1200" s="86">
        <f t="shared" si="2"/>
        <v>45870</v>
      </c>
      <c r="R1200" s="13" t="str">
        <f t="shared" si="3"/>
        <v>Yes</v>
      </c>
      <c r="S1200" s="86">
        <f t="array" ref="S1200">iferror(XLOOKUP(C1200,'Download of SFDC Activation Rep'!B:B,'Download of SFDC Activation Rep'!Y:Y),"")</f>
        <v>45899</v>
      </c>
    </row>
    <row r="1201">
      <c r="A1201" s="17" t="s">
        <v>17</v>
      </c>
      <c r="B1201" s="85">
        <v>45962.0</v>
      </c>
      <c r="C1201" s="17">
        <v>3958943.0</v>
      </c>
      <c r="D1201" s="85">
        <v>45839.0</v>
      </c>
      <c r="E1201" s="17">
        <v>4.0</v>
      </c>
      <c r="F1201" s="17">
        <v>2.0</v>
      </c>
      <c r="G1201" s="17">
        <v>1858.35</v>
      </c>
      <c r="H1201" s="17">
        <v>1270.41</v>
      </c>
      <c r="I1201" s="17">
        <v>36.84</v>
      </c>
      <c r="K1201" s="17">
        <v>5.2952</v>
      </c>
      <c r="L1201" s="17">
        <v>5.2766165</v>
      </c>
      <c r="M1201" s="17">
        <v>0.0185835</v>
      </c>
      <c r="O1201" s="14">
        <f t="shared" si="1"/>
        <v>5.2952</v>
      </c>
      <c r="P1201" s="86">
        <f t="array" ref="P1201">iferror(XLOOKUP(C1201,'Download of SFDC Activation Rep'!B:B,'Download of SFDC Activation Rep'!Z:Z),"")</f>
        <v>45839</v>
      </c>
      <c r="Q1201" s="86">
        <f t="shared" si="2"/>
        <v>45839</v>
      </c>
      <c r="R1201" s="13" t="str">
        <f t="shared" si="3"/>
        <v>Yes</v>
      </c>
      <c r="S1201" s="86">
        <f t="array" ref="S1201">iferror(XLOOKUP(C1201,'Download of SFDC Activation Rep'!B:B,'Download of SFDC Activation Rep'!Y:Y),"")</f>
        <v>45862</v>
      </c>
    </row>
    <row r="1202">
      <c r="A1202" s="17" t="s">
        <v>19</v>
      </c>
      <c r="B1202" s="85">
        <v>45870.0</v>
      </c>
      <c r="C1202" s="17">
        <v>2710123.0</v>
      </c>
      <c r="D1202" s="85">
        <v>45292.0</v>
      </c>
      <c r="E1202" s="17">
        <v>1.0</v>
      </c>
      <c r="F1202" s="17">
        <v>0.0</v>
      </c>
      <c r="G1202" s="17">
        <v>13575.4</v>
      </c>
      <c r="H1202" s="17"/>
      <c r="I1202" s="17">
        <v>393.69</v>
      </c>
      <c r="K1202" s="17">
        <v>28.0997</v>
      </c>
      <c r="L1202" s="17">
        <v>20.8985906394001</v>
      </c>
      <c r="M1202" s="17">
        <v>7.20110936059985</v>
      </c>
      <c r="O1202" s="14">
        <f t="shared" si="1"/>
        <v>28.0997</v>
      </c>
      <c r="P1202" s="86">
        <f t="array" ref="P1202">iferror(XLOOKUP(C1202,'Download of SFDC Activation Rep'!B:B,'Download of SFDC Activation Rep'!Z:Z),"")</f>
        <v>45873</v>
      </c>
      <c r="Q1202" s="86">
        <f t="shared" si="2"/>
        <v>45870</v>
      </c>
      <c r="R1202" s="13" t="str">
        <f t="shared" si="3"/>
        <v>Yes</v>
      </c>
      <c r="S1202" s="86">
        <f t="array" ref="S1202">iferror(XLOOKUP(C1202,'Download of SFDC Activation Rep'!B:B,'Download of SFDC Activation Rep'!Y:Y),"")</f>
        <v>45980</v>
      </c>
    </row>
    <row r="1203">
      <c r="A1203" s="17" t="s">
        <v>17</v>
      </c>
      <c r="B1203" s="85">
        <v>45931.0</v>
      </c>
      <c r="C1203" s="17">
        <v>4100689.0</v>
      </c>
      <c r="D1203" s="85">
        <v>45901.0</v>
      </c>
      <c r="E1203" s="17">
        <v>7.0</v>
      </c>
      <c r="F1203" s="17">
        <v>0.0</v>
      </c>
      <c r="G1203" s="17">
        <v>93278.0</v>
      </c>
      <c r="H1203" s="17">
        <v>82294.0</v>
      </c>
      <c r="I1203" s="17">
        <v>2705.07</v>
      </c>
      <c r="K1203" s="17">
        <v>480.2566</v>
      </c>
      <c r="L1203" s="17">
        <v>479.323819999999</v>
      </c>
      <c r="M1203" s="17">
        <v>0.932780000000036</v>
      </c>
      <c r="O1203" s="14">
        <f t="shared" si="1"/>
        <v>480.2566</v>
      </c>
      <c r="P1203" s="86">
        <f t="array" ref="P1203">iferror(XLOOKUP(C1203,'Download of SFDC Activation Rep'!B:B,'Download of SFDC Activation Rep'!Z:Z),"")</f>
        <v>45903</v>
      </c>
      <c r="Q1203" s="86">
        <f t="shared" si="2"/>
        <v>45901</v>
      </c>
      <c r="R1203" s="13" t="str">
        <f t="shared" si="3"/>
        <v>Yes</v>
      </c>
      <c r="S1203" s="86">
        <f t="array" ref="S1203">iferror(XLOOKUP(C1203,'Download of SFDC Activation Rep'!B:B,'Download of SFDC Activation Rep'!Y:Y),"")</f>
        <v>45908</v>
      </c>
    </row>
    <row r="1204">
      <c r="A1204" s="17" t="s">
        <v>489</v>
      </c>
      <c r="B1204" s="85">
        <v>44866.0</v>
      </c>
      <c r="C1204" s="17">
        <v>2153287.0</v>
      </c>
      <c r="D1204" s="85">
        <v>44805.0</v>
      </c>
      <c r="E1204" s="17">
        <v>2.0</v>
      </c>
      <c r="F1204" s="17">
        <v>0.0</v>
      </c>
      <c r="G1204" s="17">
        <v>55158.08</v>
      </c>
      <c r="I1204" s="17">
        <v>1599.58</v>
      </c>
      <c r="K1204" s="17">
        <v>-59.61</v>
      </c>
      <c r="L1204" s="17">
        <v>-113.63681884423</v>
      </c>
      <c r="M1204" s="17">
        <v>54.0268188442306</v>
      </c>
      <c r="O1204" s="14">
        <f t="shared" si="1"/>
        <v>-59.61</v>
      </c>
      <c r="P1204" s="86">
        <f t="array" ref="P1204">iferror(XLOOKUP(C1204,'Download of SFDC Activation Rep'!B:B,'Download of SFDC Activation Rep'!Z:Z),"")</f>
        <v>46007</v>
      </c>
      <c r="Q1204" s="86">
        <f t="shared" si="2"/>
        <v>45992</v>
      </c>
      <c r="R1204" s="13" t="str">
        <f t="shared" si="3"/>
        <v>No</v>
      </c>
      <c r="S1204" s="86">
        <f t="array" ref="S1204">iferror(XLOOKUP(C1204,'Download of SFDC Activation Rep'!B:B,'Download of SFDC Activation Rep'!Y:Y),"")</f>
        <v>46021</v>
      </c>
    </row>
    <row r="1205">
      <c r="A1205" s="17" t="s">
        <v>17</v>
      </c>
      <c r="B1205" s="85">
        <v>46174.0</v>
      </c>
      <c r="C1205" s="17">
        <v>4307473.0</v>
      </c>
      <c r="D1205" s="85">
        <v>45992.0</v>
      </c>
      <c r="E1205" s="17">
        <v>2.0</v>
      </c>
      <c r="F1205" s="17">
        <v>0.0</v>
      </c>
      <c r="G1205" s="17">
        <v>25989.22</v>
      </c>
      <c r="H1205" s="17">
        <v>25989.22</v>
      </c>
      <c r="I1205" s="17">
        <v>753.69</v>
      </c>
      <c r="K1205" s="17">
        <v>22.8911</v>
      </c>
      <c r="L1205" s="17">
        <v>22.6312078</v>
      </c>
      <c r="M1205" s="17">
        <v>0.259892200000003</v>
      </c>
      <c r="O1205" s="14">
        <f t="shared" si="1"/>
        <v>22.8911</v>
      </c>
      <c r="P1205" s="86">
        <f t="array" ref="P1205">iferror(XLOOKUP(C1205,'Download of SFDC Activation Rep'!B:B,'Download of SFDC Activation Rep'!Z:Z),"")</f>
        <v>45841</v>
      </c>
      <c r="Q1205" s="86">
        <f t="shared" si="2"/>
        <v>45839</v>
      </c>
      <c r="R1205" s="13" t="str">
        <f t="shared" si="3"/>
        <v>Yes</v>
      </c>
      <c r="S1205" s="86">
        <f t="array" ref="S1205">iferror(XLOOKUP(C1205,'Download of SFDC Activation Rep'!B:B,'Download of SFDC Activation Rep'!Y:Y),"")</f>
        <v>46021</v>
      </c>
    </row>
    <row r="1206">
      <c r="A1206" s="17" t="s">
        <v>17</v>
      </c>
      <c r="B1206" s="85">
        <v>46082.0</v>
      </c>
      <c r="C1206" s="17">
        <v>4098415.0</v>
      </c>
      <c r="D1206" s="85">
        <v>45901.0</v>
      </c>
      <c r="E1206" s="17">
        <v>15.0</v>
      </c>
      <c r="F1206" s="17">
        <v>12.0</v>
      </c>
      <c r="G1206" s="17">
        <v>28552.08</v>
      </c>
      <c r="H1206" s="17"/>
      <c r="I1206" s="17">
        <v>199.16</v>
      </c>
      <c r="K1206" s="17">
        <v>179.4386</v>
      </c>
      <c r="L1206" s="17">
        <v>179.153079199999</v>
      </c>
      <c r="M1206" s="17">
        <v>0.285520800000057</v>
      </c>
      <c r="O1206" s="14">
        <f t="shared" si="1"/>
        <v>179.4386</v>
      </c>
      <c r="P1206" s="86">
        <f t="array" ref="P1206">iferror(XLOOKUP(C1206,'Download of SFDC Activation Rep'!B:B,'Download of SFDC Activation Rep'!Z:Z),"")</f>
        <v>45895</v>
      </c>
      <c r="Q1206" s="86">
        <f t="shared" si="2"/>
        <v>45870</v>
      </c>
      <c r="R1206" s="13" t="str">
        <f t="shared" si="3"/>
        <v>Yes</v>
      </c>
      <c r="S1206" s="86">
        <f t="array" ref="S1206">iferror(XLOOKUP(C1206,'Download of SFDC Activation Rep'!B:B,'Download of SFDC Activation Rep'!Y:Y),"")</f>
        <v>45910</v>
      </c>
    </row>
    <row r="1207">
      <c r="A1207" s="17" t="s">
        <v>17</v>
      </c>
      <c r="B1207" s="85">
        <v>46113.0</v>
      </c>
      <c r="C1207" s="17">
        <v>4138622.0</v>
      </c>
      <c r="D1207" s="85">
        <v>45901.0</v>
      </c>
      <c r="E1207" s="17">
        <v>20.0</v>
      </c>
      <c r="F1207" s="17">
        <v>14.0</v>
      </c>
      <c r="G1207" s="17">
        <v>120181.5</v>
      </c>
      <c r="H1207" s="17">
        <v>1000.0</v>
      </c>
      <c r="I1207" s="17">
        <v>850.2</v>
      </c>
      <c r="K1207" s="17">
        <v>114.332</v>
      </c>
      <c r="L1207" s="17">
        <v>113.130184999999</v>
      </c>
      <c r="M1207" s="17">
        <v>1.20181500000001</v>
      </c>
      <c r="O1207" s="14">
        <f t="shared" si="1"/>
        <v>120.832</v>
      </c>
      <c r="P1207" s="86">
        <f t="array" ref="P1207">iferror(XLOOKUP(C1207,'Download of SFDC Activation Rep'!B:B,'Download of SFDC Activation Rep'!Z:Z),"")</f>
        <v>45916</v>
      </c>
      <c r="Q1207" s="86">
        <f t="shared" si="2"/>
        <v>45901</v>
      </c>
      <c r="R1207" s="13" t="str">
        <f t="shared" si="3"/>
        <v>Yes</v>
      </c>
      <c r="S1207" s="86">
        <f t="array" ref="S1207">iferror(XLOOKUP(C1207,'Download of SFDC Activation Rep'!B:B,'Download of SFDC Activation Rep'!Y:Y),"")</f>
        <v>45966</v>
      </c>
    </row>
    <row r="1208">
      <c r="A1208" s="17" t="s">
        <v>17</v>
      </c>
      <c r="B1208" s="85">
        <v>46082.0</v>
      </c>
      <c r="C1208" s="17">
        <v>4161378.0</v>
      </c>
      <c r="D1208" s="85">
        <v>45931.0</v>
      </c>
      <c r="E1208" s="17">
        <v>3.0</v>
      </c>
      <c r="F1208" s="17">
        <v>3.0</v>
      </c>
      <c r="G1208" s="17">
        <v>11972.16</v>
      </c>
      <c r="H1208" s="17"/>
      <c r="I1208" s="17">
        <v>119.72</v>
      </c>
      <c r="K1208" s="17">
        <v>118.9728</v>
      </c>
      <c r="L1208" s="17">
        <v>89.553202981344</v>
      </c>
      <c r="M1208" s="17">
        <v>29.4195970186559</v>
      </c>
      <c r="O1208" s="14">
        <f t="shared" si="1"/>
        <v>118.9728</v>
      </c>
      <c r="P1208" s="86">
        <f t="array" ref="P1208">iferror(XLOOKUP(C1208,'Download of SFDC Activation Rep'!B:B,'Download of SFDC Activation Rep'!Z:Z),"")</f>
        <v>45931</v>
      </c>
      <c r="Q1208" s="86">
        <f t="shared" si="2"/>
        <v>45931</v>
      </c>
      <c r="R1208" s="13" t="str">
        <f t="shared" si="3"/>
        <v>Yes</v>
      </c>
      <c r="S1208" s="86">
        <f t="array" ref="S1208">iferror(XLOOKUP(C1208,'Download of SFDC Activation Rep'!B:B,'Download of SFDC Activation Rep'!Y:Y),"")</f>
        <v>45958</v>
      </c>
    </row>
    <row r="1209">
      <c r="A1209" s="17" t="s">
        <v>17</v>
      </c>
      <c r="B1209" s="85">
        <v>45931.0</v>
      </c>
      <c r="C1209" s="17">
        <v>3514759.0</v>
      </c>
      <c r="D1209" s="85">
        <v>45931.0</v>
      </c>
      <c r="E1209" s="17">
        <v>2.0</v>
      </c>
      <c r="F1209" s="17">
        <v>0.0</v>
      </c>
      <c r="G1209" s="17">
        <v>5596.6</v>
      </c>
      <c r="H1209" s="17">
        <v>5524.6</v>
      </c>
      <c r="I1209" s="17">
        <v>162.3</v>
      </c>
      <c r="K1209" s="17">
        <v>13.7224</v>
      </c>
      <c r="L1209" s="17">
        <v>13.6664339999999</v>
      </c>
      <c r="M1209" s="17">
        <v>0.0559660000000015</v>
      </c>
      <c r="O1209" s="14">
        <f t="shared" si="1"/>
        <v>13.7224</v>
      </c>
      <c r="P1209" s="86">
        <f t="array" ref="P1209">iferror(XLOOKUP(C1209,'Download of SFDC Activation Rep'!B:B,'Download of SFDC Activation Rep'!Z:Z),"")</f>
        <v>45895</v>
      </c>
      <c r="Q1209" s="86">
        <f t="shared" si="2"/>
        <v>45870</v>
      </c>
      <c r="R1209" s="13" t="str">
        <f t="shared" si="3"/>
        <v>Yes</v>
      </c>
      <c r="S1209" s="86">
        <f t="array" ref="S1209">iferror(XLOOKUP(C1209,'Download of SFDC Activation Rep'!B:B,'Download of SFDC Activation Rep'!Y:Y),"")</f>
        <v>45954</v>
      </c>
    </row>
    <row r="1210">
      <c r="A1210" s="17" t="s">
        <v>17</v>
      </c>
      <c r="B1210" s="85">
        <v>46023.0</v>
      </c>
      <c r="C1210" s="17">
        <v>4098415.0</v>
      </c>
      <c r="D1210" s="85">
        <v>45901.0</v>
      </c>
      <c r="E1210" s="17">
        <v>15.0</v>
      </c>
      <c r="F1210" s="17">
        <v>12.0</v>
      </c>
      <c r="G1210" s="17">
        <v>33988.23</v>
      </c>
      <c r="H1210" s="17"/>
      <c r="I1210" s="17">
        <v>165.76</v>
      </c>
      <c r="K1210" s="17">
        <v>87.3189</v>
      </c>
      <c r="L1210" s="17">
        <v>86.3549907</v>
      </c>
      <c r="M1210" s="17">
        <v>0.963909299999997</v>
      </c>
      <c r="O1210" s="14">
        <f t="shared" si="1"/>
        <v>87.3189</v>
      </c>
      <c r="P1210" s="86">
        <f t="array" ref="P1210">iferror(XLOOKUP(C1210,'Download of SFDC Activation Rep'!B:B,'Download of SFDC Activation Rep'!Z:Z),"")</f>
        <v>45895</v>
      </c>
      <c r="Q1210" s="86">
        <f t="shared" si="2"/>
        <v>45870</v>
      </c>
      <c r="R1210" s="13" t="str">
        <f t="shared" si="3"/>
        <v>Yes</v>
      </c>
      <c r="S1210" s="86">
        <f t="array" ref="S1210">iferror(XLOOKUP(C1210,'Download of SFDC Activation Rep'!B:B,'Download of SFDC Activation Rep'!Y:Y),"")</f>
        <v>45910</v>
      </c>
    </row>
    <row r="1211">
      <c r="A1211" s="17" t="s">
        <v>17</v>
      </c>
      <c r="B1211" s="85">
        <v>45323.0</v>
      </c>
      <c r="C1211" s="17">
        <v>489723.0</v>
      </c>
      <c r="D1211" s="85">
        <v>45200.0</v>
      </c>
      <c r="E1211" s="17">
        <v>4.0</v>
      </c>
      <c r="F1211" s="17">
        <v>4.0</v>
      </c>
      <c r="G1211" s="17">
        <v>7453.16</v>
      </c>
      <c r="H1211" s="17"/>
      <c r="I1211" s="17">
        <v>0.0</v>
      </c>
      <c r="K1211" s="17">
        <v>-0.98</v>
      </c>
      <c r="L1211" s="17">
        <v>-4.61717380884743</v>
      </c>
      <c r="M1211" s="17">
        <v>3.63717380884743</v>
      </c>
      <c r="O1211" s="14">
        <f t="shared" si="1"/>
        <v>-0.98</v>
      </c>
      <c r="P1211" s="86">
        <f t="array" ref="P1211">iferror(XLOOKUP(C1211,'Download of SFDC Activation Rep'!B:B,'Download of SFDC Activation Rep'!Z:Z),"")</f>
        <v>46112</v>
      </c>
      <c r="Q1211" s="86">
        <f t="shared" si="2"/>
        <v>46082</v>
      </c>
      <c r="R1211" s="13" t="str">
        <f t="shared" si="3"/>
        <v>No</v>
      </c>
      <c r="S1211" s="86">
        <f t="array" ref="S1211">iferror(XLOOKUP(C1211,'Download of SFDC Activation Rep'!B:B,'Download of SFDC Activation Rep'!Y:Y),"")</f>
        <v>46204</v>
      </c>
    </row>
    <row r="1212">
      <c r="A1212" s="17" t="s">
        <v>19</v>
      </c>
      <c r="B1212" s="85">
        <v>45292.0</v>
      </c>
      <c r="C1212" s="17">
        <v>2710123.0</v>
      </c>
      <c r="D1212" s="85">
        <v>45292.0</v>
      </c>
      <c r="E1212" s="17">
        <v>7.0</v>
      </c>
      <c r="F1212" s="17">
        <v>0.0</v>
      </c>
      <c r="G1212" s="17">
        <v>106638.27</v>
      </c>
      <c r="H1212" s="17"/>
      <c r="I1212" s="17">
        <v>3092.5</v>
      </c>
      <c r="K1212" s="17">
        <v>112.9109</v>
      </c>
      <c r="L1212" s="17">
        <v>86.2885036577057</v>
      </c>
      <c r="M1212" s="17">
        <v>26.6223963422942</v>
      </c>
      <c r="O1212" s="14">
        <f t="shared" si="1"/>
        <v>112.9109</v>
      </c>
      <c r="P1212" s="86">
        <f t="array" ref="P1212">iferror(XLOOKUP(C1212,'Download of SFDC Activation Rep'!B:B,'Download of SFDC Activation Rep'!Z:Z),"")</f>
        <v>45873</v>
      </c>
      <c r="Q1212" s="86">
        <f t="shared" si="2"/>
        <v>45870</v>
      </c>
      <c r="R1212" s="13" t="str">
        <f t="shared" si="3"/>
        <v>No</v>
      </c>
      <c r="S1212" s="86">
        <f t="array" ref="S1212">iferror(XLOOKUP(C1212,'Download of SFDC Activation Rep'!B:B,'Download of SFDC Activation Rep'!Y:Y),"")</f>
        <v>45980</v>
      </c>
    </row>
    <row r="1213">
      <c r="A1213" s="17" t="s">
        <v>17</v>
      </c>
      <c r="B1213" s="85">
        <v>46143.0</v>
      </c>
      <c r="C1213" s="17">
        <v>4233905.0</v>
      </c>
      <c r="D1213" s="85">
        <v>45992.0</v>
      </c>
      <c r="E1213" s="17">
        <v>23.0</v>
      </c>
      <c r="F1213" s="17">
        <v>22.0</v>
      </c>
      <c r="G1213" s="17">
        <v>21360.46</v>
      </c>
      <c r="H1213" s="17">
        <v>1166.0</v>
      </c>
      <c r="I1213" s="17">
        <v>33.81</v>
      </c>
      <c r="K1213" s="17">
        <v>-4.5493</v>
      </c>
      <c r="L1213" s="17">
        <v>-4.7629046</v>
      </c>
      <c r="M1213" s="17">
        <v>0.213604599999999</v>
      </c>
      <c r="O1213" s="14">
        <f t="shared" si="1"/>
        <v>-4.5493</v>
      </c>
      <c r="P1213" s="86">
        <f t="array" ref="P1213">iferror(XLOOKUP(C1213,'Download of SFDC Activation Rep'!B:B,'Download of SFDC Activation Rep'!Z:Z),"")</f>
        <v>45974</v>
      </c>
      <c r="Q1213" s="86">
        <f t="shared" si="2"/>
        <v>45962</v>
      </c>
      <c r="R1213" s="13" t="str">
        <f t="shared" si="3"/>
        <v>Yes</v>
      </c>
      <c r="S1213" s="86">
        <f t="array" ref="S1213">iferror(XLOOKUP(C1213,'Download of SFDC Activation Rep'!B:B,'Download of SFDC Activation Rep'!Y:Y),"")</f>
        <v>45999</v>
      </c>
    </row>
    <row r="1214">
      <c r="A1214" s="17" t="s">
        <v>17</v>
      </c>
      <c r="B1214" s="85">
        <v>46082.0</v>
      </c>
      <c r="C1214" s="17">
        <v>4318853.0</v>
      </c>
      <c r="D1214" s="85">
        <v>46023.0</v>
      </c>
      <c r="E1214" s="17">
        <v>9.0</v>
      </c>
      <c r="F1214" s="17">
        <v>0.0</v>
      </c>
      <c r="G1214" s="17">
        <v>23320.79</v>
      </c>
      <c r="H1214" s="17">
        <v>22855.79</v>
      </c>
      <c r="I1214" s="17">
        <v>676.3</v>
      </c>
      <c r="K1214" s="17">
        <v>20.374</v>
      </c>
      <c r="L1214" s="17">
        <v>14.5016808074719</v>
      </c>
      <c r="M1214" s="17">
        <v>5.872319192528</v>
      </c>
      <c r="O1214" s="14">
        <f t="shared" si="1"/>
        <v>168.936635</v>
      </c>
      <c r="P1214" s="86">
        <f t="array" ref="P1214">iferror(XLOOKUP(C1214,'Download of SFDC Activation Rep'!B:B,'Download of SFDC Activation Rep'!Z:Z),"")</f>
        <v>46027</v>
      </c>
      <c r="Q1214" s="86">
        <f t="shared" si="2"/>
        <v>46023</v>
      </c>
      <c r="R1214" s="13" t="str">
        <f t="shared" si="3"/>
        <v>Yes</v>
      </c>
      <c r="S1214" s="86">
        <f t="array" ref="S1214">iferror(XLOOKUP(C1214,'Download of SFDC Activation Rep'!B:B,'Download of SFDC Activation Rep'!Y:Y),"")</f>
        <v>46042</v>
      </c>
    </row>
    <row r="1215">
      <c r="A1215" s="17" t="s">
        <v>488</v>
      </c>
      <c r="B1215" s="85">
        <v>45901.0</v>
      </c>
      <c r="C1215" s="17">
        <v>4079539.0</v>
      </c>
      <c r="D1215" s="85">
        <v>45870.0</v>
      </c>
      <c r="E1215" s="17">
        <v>2.0</v>
      </c>
      <c r="F1215" s="17">
        <v>0.0</v>
      </c>
      <c r="G1215" s="17">
        <v>16343.88</v>
      </c>
      <c r="H1215" s="17">
        <v>16343.88</v>
      </c>
      <c r="I1215" s="17">
        <v>473.97</v>
      </c>
      <c r="K1215" s="17">
        <v>59.4417</v>
      </c>
      <c r="L1215" s="17">
        <v>50.7720425861101</v>
      </c>
      <c r="M1215" s="17">
        <v>8.66965741388988</v>
      </c>
      <c r="O1215" s="14">
        <f t="shared" si="1"/>
        <v>59.4417</v>
      </c>
      <c r="P1215" s="86">
        <f t="array" ref="P1215">iferror(XLOOKUP(C1215,'Download of SFDC Activation Rep'!B:B,'Download of SFDC Activation Rep'!Z:Z),"")</f>
        <v>45890</v>
      </c>
      <c r="Q1215" s="86">
        <f t="shared" si="2"/>
        <v>45870</v>
      </c>
      <c r="R1215" s="13" t="str">
        <f t="shared" si="3"/>
        <v>Yes</v>
      </c>
      <c r="S1215" s="86">
        <f t="array" ref="S1215">iferror(XLOOKUP(C1215,'Download of SFDC Activation Rep'!B:B,'Download of SFDC Activation Rep'!Y:Y),"")</f>
        <v>45899</v>
      </c>
    </row>
    <row r="1216">
      <c r="A1216" s="17" t="s">
        <v>17</v>
      </c>
      <c r="B1216" s="85">
        <v>45200.0</v>
      </c>
      <c r="C1216" s="17">
        <v>489723.0</v>
      </c>
      <c r="D1216" s="85">
        <v>45200.0</v>
      </c>
      <c r="E1216" s="17">
        <v>2.0</v>
      </c>
      <c r="F1216" s="17">
        <v>2.0</v>
      </c>
      <c r="G1216" s="17">
        <v>11968.4</v>
      </c>
      <c r="I1216" s="17">
        <v>0.0</v>
      </c>
      <c r="K1216" s="17">
        <v>-0.46</v>
      </c>
      <c r="L1216" s="17">
        <v>-7.87806871996851</v>
      </c>
      <c r="M1216" s="17">
        <v>7.41806871996851</v>
      </c>
      <c r="O1216" s="14">
        <f t="shared" si="1"/>
        <v>-0.46</v>
      </c>
      <c r="P1216" s="86">
        <f t="array" ref="P1216">iferror(XLOOKUP(C1216,'Download of SFDC Activation Rep'!B:B,'Download of SFDC Activation Rep'!Z:Z),"")</f>
        <v>46112</v>
      </c>
      <c r="Q1216" s="86">
        <f t="shared" si="2"/>
        <v>46082</v>
      </c>
      <c r="R1216" s="13" t="str">
        <f t="shared" si="3"/>
        <v>No</v>
      </c>
      <c r="S1216" s="86">
        <f t="array" ref="S1216">iferror(XLOOKUP(C1216,'Download of SFDC Activation Rep'!B:B,'Download of SFDC Activation Rep'!Y:Y),"")</f>
        <v>46204</v>
      </c>
    </row>
    <row r="1217">
      <c r="A1217" s="17" t="s">
        <v>17</v>
      </c>
      <c r="B1217" s="85">
        <v>45992.0</v>
      </c>
      <c r="C1217" s="17">
        <v>3090633.0</v>
      </c>
      <c r="D1217" s="85">
        <v>45474.0</v>
      </c>
      <c r="E1217" s="17">
        <v>1.0</v>
      </c>
      <c r="F1217" s="17">
        <v>1.0</v>
      </c>
      <c r="G1217" s="17">
        <v>2528.72</v>
      </c>
      <c r="I1217" s="17">
        <v>0.0</v>
      </c>
      <c r="K1217" s="17">
        <v>-0.15</v>
      </c>
      <c r="L1217" s="17">
        <v>-0.546203255532968</v>
      </c>
      <c r="M1217" s="17">
        <v>0.396203255532968</v>
      </c>
      <c r="O1217" s="14">
        <f t="shared" si="1"/>
        <v>-0.15</v>
      </c>
      <c r="P1217" s="86">
        <f t="array" ref="P1217">iferror(XLOOKUP(C1217,'Download of SFDC Activation Rep'!B:B,'Download of SFDC Activation Rep'!Z:Z),"")</f>
        <v>45961</v>
      </c>
      <c r="Q1217" s="86">
        <f t="shared" si="2"/>
        <v>45931</v>
      </c>
      <c r="R1217" s="13" t="str">
        <f t="shared" si="3"/>
        <v>Yes</v>
      </c>
      <c r="S1217" s="86">
        <f t="array" ref="S1217">iferror(XLOOKUP(C1217,'Download of SFDC Activation Rep'!B:B,'Download of SFDC Activation Rep'!Y:Y),"")</f>
        <v>46051</v>
      </c>
    </row>
    <row r="1218">
      <c r="A1218" s="17"/>
      <c r="B1218" s="85"/>
      <c r="C1218" s="17"/>
      <c r="D1218" s="85"/>
      <c r="E1218" s="17"/>
      <c r="F1218" s="17"/>
      <c r="G1218" s="17"/>
      <c r="I1218" s="17"/>
      <c r="K1218" s="17"/>
      <c r="L1218" s="17"/>
      <c r="M1218" s="17"/>
      <c r="O1218" s="14">
        <f t="shared" si="1"/>
        <v>0</v>
      </c>
      <c r="P1218" s="86" t="str">
        <f t="array" ref="P1218">iferror(XLOOKUP(C1218,'Download of SFDC Activation Rep'!B:B,'Download of SFDC Activation Rep'!Z:Z),"")</f>
        <v/>
      </c>
      <c r="Q1218" s="86" t="str">
        <f t="shared" si="2"/>
        <v/>
      </c>
      <c r="R1218" s="13" t="str">
        <f t="shared" si="3"/>
        <v>Yes</v>
      </c>
      <c r="S1218" s="86" t="str">
        <f t="array" ref="S1218">iferror(XLOOKUP(C1218,'Download of SFDC Activation Rep'!B:B,'Download of SFDC Activation Rep'!Y:Y),"")</f>
        <v/>
      </c>
    </row>
    <row r="1219">
      <c r="A1219" s="17"/>
      <c r="B1219" s="85"/>
      <c r="C1219" s="17"/>
      <c r="D1219" s="85"/>
      <c r="E1219" s="17"/>
      <c r="F1219" s="17"/>
      <c r="G1219" s="17"/>
      <c r="I1219" s="17"/>
      <c r="K1219" s="17"/>
      <c r="L1219" s="17"/>
      <c r="M1219" s="17"/>
      <c r="O1219" s="14">
        <f t="shared" si="1"/>
        <v>0</v>
      </c>
      <c r="P1219" s="86" t="str">
        <f t="array" ref="P1219">iferror(XLOOKUP(C1219,'Download of SFDC Activation Rep'!B:B,'Download of SFDC Activation Rep'!Z:Z),"")</f>
        <v/>
      </c>
      <c r="Q1219" s="86" t="str">
        <f t="shared" si="2"/>
        <v/>
      </c>
      <c r="R1219" s="13" t="str">
        <f t="shared" si="3"/>
        <v>Yes</v>
      </c>
      <c r="S1219" s="86" t="str">
        <f t="array" ref="S1219">iferror(XLOOKUP(C1219,'Download of SFDC Activation Rep'!B:B,'Download of SFDC Activation Rep'!Y:Y),"")</f>
        <v/>
      </c>
    </row>
    <row r="1220">
      <c r="A1220" s="17"/>
      <c r="B1220" s="85"/>
      <c r="C1220" s="17"/>
      <c r="D1220" s="85"/>
      <c r="E1220" s="17"/>
      <c r="F1220" s="17"/>
      <c r="G1220" s="17"/>
      <c r="I1220" s="17"/>
      <c r="K1220" s="17"/>
      <c r="L1220" s="17"/>
      <c r="M1220" s="17"/>
      <c r="O1220" s="14">
        <f t="shared" si="1"/>
        <v>0</v>
      </c>
      <c r="P1220" s="86" t="str">
        <f t="array" ref="P1220">iferror(XLOOKUP(C1220,'Download of SFDC Activation Rep'!B:B,'Download of SFDC Activation Rep'!Z:Z),"")</f>
        <v/>
      </c>
      <c r="Q1220" s="86" t="str">
        <f t="shared" si="2"/>
        <v/>
      </c>
      <c r="R1220" s="13" t="str">
        <f t="shared" si="3"/>
        <v>Yes</v>
      </c>
      <c r="S1220" s="86" t="str">
        <f t="array" ref="S1220">iferror(XLOOKUP(C1220,'Download of SFDC Activation Rep'!B:B,'Download of SFDC Activation Rep'!Y:Y),"")</f>
        <v/>
      </c>
    </row>
    <row r="1221">
      <c r="A1221" s="17"/>
      <c r="B1221" s="85"/>
      <c r="C1221" s="17"/>
      <c r="D1221" s="85"/>
      <c r="E1221" s="17"/>
      <c r="F1221" s="17"/>
      <c r="G1221" s="17"/>
      <c r="I1221" s="17"/>
      <c r="K1221" s="17"/>
      <c r="L1221" s="17"/>
      <c r="M1221" s="17"/>
      <c r="O1221" s="14">
        <f t="shared" si="1"/>
        <v>0</v>
      </c>
      <c r="P1221" s="86" t="str">
        <f t="array" ref="P1221">iferror(XLOOKUP(C1221,'Download of SFDC Activation Rep'!B:B,'Download of SFDC Activation Rep'!Z:Z),"")</f>
        <v/>
      </c>
      <c r="Q1221" s="86" t="str">
        <f t="shared" si="2"/>
        <v/>
      </c>
      <c r="R1221" s="13" t="str">
        <f t="shared" si="3"/>
        <v>Yes</v>
      </c>
      <c r="S1221" s="86" t="str">
        <f t="array" ref="S1221">iferror(XLOOKUP(C1221,'Download of SFDC Activation Rep'!B:B,'Download of SFDC Activation Rep'!Y:Y),"")</f>
        <v/>
      </c>
    </row>
    <row r="1222">
      <c r="A1222" s="17"/>
      <c r="B1222" s="85"/>
      <c r="C1222" s="17"/>
      <c r="D1222" s="85"/>
      <c r="E1222" s="17"/>
      <c r="F1222" s="17"/>
      <c r="G1222" s="17"/>
      <c r="I1222" s="17"/>
      <c r="K1222" s="17"/>
      <c r="L1222" s="17"/>
      <c r="M1222" s="17"/>
      <c r="O1222" s="14">
        <f t="shared" si="1"/>
        <v>0</v>
      </c>
      <c r="P1222" s="86" t="str">
        <f t="array" ref="P1222">iferror(XLOOKUP(C1222,'Download of SFDC Activation Rep'!B:B,'Download of SFDC Activation Rep'!Z:Z),"")</f>
        <v/>
      </c>
      <c r="Q1222" s="86" t="str">
        <f t="shared" si="2"/>
        <v/>
      </c>
      <c r="R1222" s="13" t="str">
        <f t="shared" si="3"/>
        <v>Yes</v>
      </c>
      <c r="S1222" s="86" t="str">
        <f t="array" ref="S1222">iferror(XLOOKUP(C1222,'Download of SFDC Activation Rep'!B:B,'Download of SFDC Activation Rep'!Y:Y),"")</f>
        <v/>
      </c>
    </row>
    <row r="1223">
      <c r="A1223" s="17"/>
      <c r="B1223" s="85"/>
      <c r="C1223" s="17"/>
      <c r="D1223" s="85"/>
      <c r="E1223" s="17"/>
      <c r="F1223" s="17"/>
      <c r="G1223" s="17"/>
      <c r="I1223" s="17"/>
      <c r="K1223" s="17"/>
      <c r="L1223" s="17"/>
      <c r="M1223" s="17"/>
      <c r="O1223" s="14">
        <f t="shared" si="1"/>
        <v>0</v>
      </c>
      <c r="P1223" s="86" t="str">
        <f t="array" ref="P1223">iferror(XLOOKUP(C1223,'Download of SFDC Activation Rep'!B:B,'Download of SFDC Activation Rep'!Z:Z),"")</f>
        <v/>
      </c>
      <c r="Q1223" s="86" t="str">
        <f t="shared" si="2"/>
        <v/>
      </c>
      <c r="R1223" s="13" t="str">
        <f t="shared" si="3"/>
        <v>Yes</v>
      </c>
      <c r="S1223" s="86" t="str">
        <f t="array" ref="S1223">iferror(XLOOKUP(C1223,'Download of SFDC Activation Rep'!B:B,'Download of SFDC Activation Rep'!Y:Y),"")</f>
        <v/>
      </c>
    </row>
    <row r="1224">
      <c r="A1224" s="17"/>
      <c r="B1224" s="85"/>
      <c r="C1224" s="17"/>
      <c r="D1224" s="85"/>
      <c r="E1224" s="17"/>
      <c r="F1224" s="17"/>
      <c r="G1224" s="17"/>
      <c r="I1224" s="17"/>
      <c r="K1224" s="17"/>
      <c r="L1224" s="17"/>
      <c r="M1224" s="17"/>
      <c r="O1224" s="14">
        <f t="shared" si="1"/>
        <v>0</v>
      </c>
      <c r="P1224" s="86" t="str">
        <f t="array" ref="P1224">iferror(XLOOKUP(C1224,'Download of SFDC Activation Rep'!B:B,'Download of SFDC Activation Rep'!Z:Z),"")</f>
        <v/>
      </c>
      <c r="Q1224" s="86" t="str">
        <f t="shared" si="2"/>
        <v/>
      </c>
      <c r="R1224" s="13" t="str">
        <f t="shared" si="3"/>
        <v>Yes</v>
      </c>
      <c r="S1224" s="86" t="str">
        <f t="array" ref="S1224">iferror(XLOOKUP(C1224,'Download of SFDC Activation Rep'!B:B,'Download of SFDC Activation Rep'!Y:Y),"")</f>
        <v/>
      </c>
    </row>
    <row r="1225">
      <c r="A1225" s="17"/>
      <c r="B1225" s="85"/>
      <c r="C1225" s="17"/>
      <c r="D1225" s="85"/>
      <c r="E1225" s="17"/>
      <c r="F1225" s="17"/>
      <c r="G1225" s="17"/>
      <c r="I1225" s="17"/>
      <c r="K1225" s="17"/>
      <c r="L1225" s="17"/>
      <c r="M1225" s="17"/>
      <c r="O1225" s="14">
        <f t="shared" si="1"/>
        <v>0</v>
      </c>
      <c r="P1225" s="86" t="str">
        <f t="array" ref="P1225">iferror(XLOOKUP(C1225,'Download of SFDC Activation Rep'!B:B,'Download of SFDC Activation Rep'!Z:Z),"")</f>
        <v/>
      </c>
      <c r="Q1225" s="86" t="str">
        <f t="shared" si="2"/>
        <v/>
      </c>
      <c r="R1225" s="13" t="str">
        <f t="shared" si="3"/>
        <v>Yes</v>
      </c>
      <c r="S1225" s="86" t="str">
        <f t="array" ref="S1225">iferror(XLOOKUP(C1225,'Download of SFDC Activation Rep'!B:B,'Download of SFDC Activation Rep'!Y:Y),"")</f>
        <v/>
      </c>
    </row>
    <row r="1226">
      <c r="A1226" s="17"/>
      <c r="B1226" s="85"/>
      <c r="C1226" s="17"/>
      <c r="D1226" s="85"/>
      <c r="E1226" s="17"/>
      <c r="F1226" s="17"/>
      <c r="G1226" s="17"/>
      <c r="I1226" s="17"/>
      <c r="K1226" s="17"/>
      <c r="L1226" s="17"/>
      <c r="M1226" s="17"/>
      <c r="O1226" s="14">
        <f t="shared" si="1"/>
        <v>0</v>
      </c>
      <c r="P1226" s="86" t="str">
        <f t="array" ref="P1226">iferror(XLOOKUP(C1226,'Download of SFDC Activation Rep'!B:B,'Download of SFDC Activation Rep'!Z:Z),"")</f>
        <v/>
      </c>
      <c r="Q1226" s="86" t="str">
        <f t="shared" si="2"/>
        <v/>
      </c>
      <c r="R1226" s="13" t="str">
        <f t="shared" si="3"/>
        <v>Yes</v>
      </c>
      <c r="S1226" s="86" t="str">
        <f t="array" ref="S1226">iferror(XLOOKUP(C1226,'Download of SFDC Activation Rep'!B:B,'Download of SFDC Activation Rep'!Y:Y),"")</f>
        <v/>
      </c>
    </row>
    <row r="1227">
      <c r="A1227" s="17"/>
      <c r="B1227" s="85"/>
      <c r="C1227" s="17"/>
      <c r="D1227" s="85"/>
      <c r="E1227" s="17"/>
      <c r="F1227" s="17"/>
      <c r="G1227" s="17"/>
      <c r="I1227" s="17"/>
      <c r="K1227" s="17"/>
      <c r="L1227" s="17"/>
      <c r="M1227" s="17"/>
      <c r="O1227" s="14">
        <f t="shared" si="1"/>
        <v>0</v>
      </c>
      <c r="P1227" s="86" t="str">
        <f t="array" ref="P1227">iferror(XLOOKUP(C1227,'Download of SFDC Activation Rep'!B:B,'Download of SFDC Activation Rep'!Z:Z),"")</f>
        <v/>
      </c>
      <c r="Q1227" s="86" t="str">
        <f t="shared" si="2"/>
        <v/>
      </c>
      <c r="R1227" s="13" t="str">
        <f t="shared" si="3"/>
        <v>Yes</v>
      </c>
      <c r="S1227" s="86" t="str">
        <f t="array" ref="S1227">iferror(XLOOKUP(C1227,'Download of SFDC Activation Rep'!B:B,'Download of SFDC Activation Rep'!Y:Y),"")</f>
        <v/>
      </c>
    </row>
    <row r="1228">
      <c r="A1228" s="17"/>
      <c r="B1228" s="85"/>
      <c r="C1228" s="17"/>
      <c r="D1228" s="85"/>
      <c r="E1228" s="17"/>
      <c r="F1228" s="17"/>
      <c r="G1228" s="17"/>
      <c r="I1228" s="17"/>
      <c r="K1228" s="17"/>
      <c r="L1228" s="17"/>
      <c r="M1228" s="17"/>
      <c r="O1228" s="14">
        <f t="shared" si="1"/>
        <v>0</v>
      </c>
      <c r="P1228" s="86" t="str">
        <f t="array" ref="P1228">iferror(XLOOKUP(C1228,'Download of SFDC Activation Rep'!B:B,'Download of SFDC Activation Rep'!Z:Z),"")</f>
        <v/>
      </c>
      <c r="Q1228" s="86" t="str">
        <f t="shared" si="2"/>
        <v/>
      </c>
      <c r="R1228" s="13" t="str">
        <f t="shared" si="3"/>
        <v>Yes</v>
      </c>
      <c r="S1228" s="86" t="str">
        <f t="array" ref="S1228">iferror(XLOOKUP(C1228,'Download of SFDC Activation Rep'!B:B,'Download of SFDC Activation Rep'!Y:Y),"")</f>
        <v/>
      </c>
    </row>
    <row r="1229">
      <c r="A1229" s="17"/>
      <c r="B1229" s="85"/>
      <c r="C1229" s="17"/>
      <c r="D1229" s="85"/>
      <c r="E1229" s="17"/>
      <c r="F1229" s="17"/>
      <c r="G1229" s="17"/>
      <c r="I1229" s="17"/>
      <c r="K1229" s="17"/>
      <c r="L1229" s="17"/>
      <c r="M1229" s="17"/>
      <c r="O1229" s="14">
        <f t="shared" si="1"/>
        <v>0</v>
      </c>
      <c r="P1229" s="86" t="str">
        <f t="array" ref="P1229">iferror(XLOOKUP(C1229,'Download of SFDC Activation Rep'!B:B,'Download of SFDC Activation Rep'!Z:Z),"")</f>
        <v/>
      </c>
      <c r="Q1229" s="86" t="str">
        <f t="shared" si="2"/>
        <v/>
      </c>
      <c r="R1229" s="13" t="str">
        <f t="shared" si="3"/>
        <v>Yes</v>
      </c>
      <c r="S1229" s="86" t="str">
        <f t="array" ref="S1229">iferror(XLOOKUP(C1229,'Download of SFDC Activation Rep'!B:B,'Download of SFDC Activation Rep'!Y:Y),"")</f>
        <v/>
      </c>
    </row>
    <row r="1230">
      <c r="A1230" s="17"/>
      <c r="B1230" s="85"/>
      <c r="C1230" s="17"/>
      <c r="D1230" s="85"/>
      <c r="E1230" s="17"/>
      <c r="F1230" s="17"/>
      <c r="G1230" s="17"/>
      <c r="I1230" s="17"/>
      <c r="K1230" s="17"/>
      <c r="L1230" s="17"/>
      <c r="M1230" s="17"/>
      <c r="O1230" s="14">
        <f t="shared" si="1"/>
        <v>0</v>
      </c>
      <c r="P1230" s="86" t="str">
        <f t="array" ref="P1230">iferror(XLOOKUP(C1230,'Download of SFDC Activation Rep'!B:B,'Download of SFDC Activation Rep'!Z:Z),"")</f>
        <v/>
      </c>
      <c r="Q1230" s="86" t="str">
        <f t="shared" si="2"/>
        <v/>
      </c>
      <c r="R1230" s="13" t="str">
        <f t="shared" si="3"/>
        <v>Yes</v>
      </c>
      <c r="S1230" s="86" t="str">
        <f t="array" ref="S1230">iferror(XLOOKUP(C1230,'Download of SFDC Activation Rep'!B:B,'Download of SFDC Activation Rep'!Y:Y),"")</f>
        <v/>
      </c>
    </row>
    <row r="1231">
      <c r="A1231" s="17"/>
      <c r="B1231" s="85"/>
      <c r="C1231" s="17"/>
      <c r="D1231" s="85"/>
      <c r="E1231" s="17"/>
      <c r="F1231" s="17"/>
      <c r="G1231" s="17"/>
      <c r="I1231" s="17"/>
      <c r="K1231" s="17"/>
      <c r="L1231" s="17"/>
      <c r="M1231" s="17"/>
      <c r="O1231" s="14">
        <f t="shared" si="1"/>
        <v>0</v>
      </c>
      <c r="P1231" s="86" t="str">
        <f t="array" ref="P1231">iferror(XLOOKUP(C1231,'Download of SFDC Activation Rep'!B:B,'Download of SFDC Activation Rep'!Z:Z),"")</f>
        <v/>
      </c>
      <c r="Q1231" s="86" t="str">
        <f t="shared" si="2"/>
        <v/>
      </c>
      <c r="R1231" s="13" t="str">
        <f t="shared" si="3"/>
        <v>Yes</v>
      </c>
      <c r="S1231" s="86" t="str">
        <f t="array" ref="S1231">iferror(XLOOKUP(C1231,'Download of SFDC Activation Rep'!B:B,'Download of SFDC Activation Rep'!Y:Y),"")</f>
        <v/>
      </c>
    </row>
    <row r="1232">
      <c r="A1232" s="17"/>
      <c r="B1232" s="85"/>
      <c r="C1232" s="17"/>
      <c r="D1232" s="85"/>
      <c r="E1232" s="17"/>
      <c r="F1232" s="17"/>
      <c r="G1232" s="17"/>
      <c r="I1232" s="17"/>
      <c r="K1232" s="17"/>
      <c r="L1232" s="17"/>
      <c r="M1232" s="17"/>
      <c r="O1232" s="14">
        <f t="shared" si="1"/>
        <v>0</v>
      </c>
      <c r="P1232" s="86" t="str">
        <f t="array" ref="P1232">iferror(XLOOKUP(C1232,'Download of SFDC Activation Rep'!B:B,'Download of SFDC Activation Rep'!Z:Z),"")</f>
        <v/>
      </c>
      <c r="Q1232" s="86" t="str">
        <f t="shared" si="2"/>
        <v/>
      </c>
      <c r="R1232" s="13" t="str">
        <f t="shared" si="3"/>
        <v>Yes</v>
      </c>
      <c r="S1232" s="86" t="str">
        <f t="array" ref="S1232">iferror(XLOOKUP(C1232,'Download of SFDC Activation Rep'!B:B,'Download of SFDC Activation Rep'!Y:Y),"")</f>
        <v/>
      </c>
    </row>
    <row r="1233">
      <c r="A1233" s="17"/>
      <c r="B1233" s="85"/>
      <c r="C1233" s="17"/>
      <c r="D1233" s="85"/>
      <c r="E1233" s="17"/>
      <c r="F1233" s="17"/>
      <c r="G1233" s="17"/>
      <c r="I1233" s="17"/>
      <c r="K1233" s="17"/>
      <c r="L1233" s="17"/>
      <c r="M1233" s="17"/>
      <c r="O1233" s="14">
        <f t="shared" si="1"/>
        <v>0</v>
      </c>
      <c r="P1233" s="86" t="str">
        <f t="array" ref="P1233">iferror(XLOOKUP(C1233,'Download of SFDC Activation Rep'!B:B,'Download of SFDC Activation Rep'!Z:Z),"")</f>
        <v/>
      </c>
      <c r="Q1233" s="86" t="str">
        <f t="shared" si="2"/>
        <v/>
      </c>
      <c r="R1233" s="13" t="str">
        <f t="shared" si="3"/>
        <v>Yes</v>
      </c>
      <c r="S1233" s="86" t="str">
        <f t="array" ref="S1233">iferror(XLOOKUP(C1233,'Download of SFDC Activation Rep'!B:B,'Download of SFDC Activation Rep'!Y:Y),"")</f>
        <v/>
      </c>
    </row>
    <row r="1234">
      <c r="A1234" s="17"/>
      <c r="B1234" s="85"/>
      <c r="C1234" s="17"/>
      <c r="D1234" s="85"/>
      <c r="E1234" s="17"/>
      <c r="F1234" s="17"/>
      <c r="G1234" s="17"/>
      <c r="I1234" s="17"/>
      <c r="K1234" s="17"/>
      <c r="L1234" s="17"/>
      <c r="M1234" s="17"/>
      <c r="O1234" s="14">
        <f t="shared" si="1"/>
        <v>0</v>
      </c>
      <c r="P1234" s="86" t="str">
        <f t="array" ref="P1234">iferror(XLOOKUP(C1234,'Download of SFDC Activation Rep'!B:B,'Download of SFDC Activation Rep'!Z:Z),"")</f>
        <v/>
      </c>
      <c r="Q1234" s="86" t="str">
        <f t="shared" si="2"/>
        <v/>
      </c>
      <c r="R1234" s="13" t="str">
        <f t="shared" si="3"/>
        <v>Yes</v>
      </c>
      <c r="S1234" s="86" t="str">
        <f t="array" ref="S1234">iferror(XLOOKUP(C1234,'Download of SFDC Activation Rep'!B:B,'Download of SFDC Activation Rep'!Y:Y),"")</f>
        <v/>
      </c>
    </row>
    <row r="1235">
      <c r="A1235" s="17"/>
      <c r="B1235" s="85"/>
      <c r="C1235" s="17"/>
      <c r="D1235" s="85"/>
      <c r="E1235" s="17"/>
      <c r="F1235" s="17"/>
      <c r="G1235" s="17"/>
      <c r="I1235" s="17"/>
      <c r="K1235" s="17"/>
      <c r="L1235" s="17"/>
      <c r="M1235" s="17"/>
      <c r="O1235" s="14">
        <f t="shared" si="1"/>
        <v>0</v>
      </c>
      <c r="P1235" s="86" t="str">
        <f t="array" ref="P1235">iferror(XLOOKUP(C1235,'Download of SFDC Activation Rep'!B:B,'Download of SFDC Activation Rep'!Z:Z),"")</f>
        <v/>
      </c>
      <c r="Q1235" s="86" t="str">
        <f t="shared" si="2"/>
        <v/>
      </c>
      <c r="R1235" s="13" t="str">
        <f t="shared" si="3"/>
        <v>Yes</v>
      </c>
      <c r="S1235" s="86" t="str">
        <f t="array" ref="S1235">iferror(XLOOKUP(C1235,'Download of SFDC Activation Rep'!B:B,'Download of SFDC Activation Rep'!Y:Y),"")</f>
        <v/>
      </c>
    </row>
    <row r="1236">
      <c r="A1236" s="17"/>
      <c r="B1236" s="85"/>
      <c r="C1236" s="17"/>
      <c r="D1236" s="85"/>
      <c r="E1236" s="17"/>
      <c r="F1236" s="17"/>
      <c r="G1236" s="17"/>
      <c r="I1236" s="17"/>
      <c r="K1236" s="17"/>
      <c r="L1236" s="17"/>
      <c r="M1236" s="17"/>
      <c r="O1236" s="14">
        <f t="shared" si="1"/>
        <v>0</v>
      </c>
      <c r="P1236" s="86" t="str">
        <f t="array" ref="P1236">iferror(XLOOKUP(C1236,'Download of SFDC Activation Rep'!B:B,'Download of SFDC Activation Rep'!Z:Z),"")</f>
        <v/>
      </c>
      <c r="Q1236" s="86" t="str">
        <f t="shared" si="2"/>
        <v/>
      </c>
      <c r="R1236" s="13" t="str">
        <f t="shared" si="3"/>
        <v>Yes</v>
      </c>
      <c r="S1236" s="86" t="str">
        <f t="array" ref="S1236">iferror(XLOOKUP(C1236,'Download of SFDC Activation Rep'!B:B,'Download of SFDC Activation Rep'!Y:Y),"")</f>
        <v/>
      </c>
    </row>
    <row r="1237">
      <c r="A1237" s="17"/>
      <c r="B1237" s="85"/>
      <c r="C1237" s="17"/>
      <c r="D1237" s="85"/>
      <c r="E1237" s="17"/>
      <c r="F1237" s="17"/>
      <c r="G1237" s="17"/>
      <c r="I1237" s="17"/>
      <c r="K1237" s="17"/>
      <c r="L1237" s="17"/>
      <c r="M1237" s="17"/>
      <c r="O1237" s="14">
        <f t="shared" si="1"/>
        <v>0</v>
      </c>
      <c r="P1237" s="86" t="str">
        <f t="array" ref="P1237">iferror(XLOOKUP(C1237,'Download of SFDC Activation Rep'!B:B,'Download of SFDC Activation Rep'!Z:Z),"")</f>
        <v/>
      </c>
      <c r="Q1237" s="86" t="str">
        <f t="shared" si="2"/>
        <v/>
      </c>
      <c r="R1237" s="13" t="str">
        <f t="shared" si="3"/>
        <v>Yes</v>
      </c>
      <c r="S1237" s="86" t="str">
        <f t="array" ref="S1237">iferror(XLOOKUP(C1237,'Download of SFDC Activation Rep'!B:B,'Download of SFDC Activation Rep'!Y:Y),"")</f>
        <v/>
      </c>
    </row>
    <row r="1238">
      <c r="A1238" s="17"/>
      <c r="B1238" s="85"/>
      <c r="C1238" s="17"/>
      <c r="D1238" s="85"/>
      <c r="E1238" s="17"/>
      <c r="F1238" s="17"/>
      <c r="G1238" s="17"/>
      <c r="I1238" s="17"/>
      <c r="K1238" s="17"/>
      <c r="L1238" s="17"/>
      <c r="M1238" s="17"/>
      <c r="O1238" s="14">
        <f t="shared" si="1"/>
        <v>0</v>
      </c>
      <c r="P1238" s="86" t="str">
        <f t="array" ref="P1238">iferror(XLOOKUP(C1238,'Download of SFDC Activation Rep'!B:B,'Download of SFDC Activation Rep'!Z:Z),"")</f>
        <v/>
      </c>
      <c r="Q1238" s="86" t="str">
        <f t="shared" si="2"/>
        <v/>
      </c>
      <c r="R1238" s="13" t="str">
        <f t="shared" si="3"/>
        <v>Yes</v>
      </c>
      <c r="S1238" s="86" t="str">
        <f t="array" ref="S1238">iferror(XLOOKUP(C1238,'Download of SFDC Activation Rep'!B:B,'Download of SFDC Activation Rep'!Y:Y),"")</f>
        <v/>
      </c>
    </row>
    <row r="1239">
      <c r="A1239" s="17"/>
      <c r="B1239" s="85"/>
      <c r="C1239" s="17"/>
      <c r="D1239" s="85"/>
      <c r="E1239" s="17"/>
      <c r="F1239" s="17"/>
      <c r="G1239" s="17"/>
      <c r="I1239" s="17"/>
      <c r="K1239" s="17"/>
      <c r="L1239" s="17"/>
      <c r="M1239" s="17"/>
      <c r="O1239" s="14">
        <f t="shared" si="1"/>
        <v>0</v>
      </c>
      <c r="P1239" s="86" t="str">
        <f t="array" ref="P1239">iferror(XLOOKUP(C1239,'Download of SFDC Activation Rep'!B:B,'Download of SFDC Activation Rep'!Z:Z),"")</f>
        <v/>
      </c>
      <c r="Q1239" s="86" t="str">
        <f t="shared" si="2"/>
        <v/>
      </c>
      <c r="R1239" s="13" t="str">
        <f t="shared" si="3"/>
        <v>Yes</v>
      </c>
      <c r="S1239" s="86" t="str">
        <f t="array" ref="S1239">iferror(XLOOKUP(C1239,'Download of SFDC Activation Rep'!B:B,'Download of SFDC Activation Rep'!Y:Y),"")</f>
        <v/>
      </c>
    </row>
    <row r="1240">
      <c r="A1240" s="17"/>
      <c r="B1240" s="85"/>
      <c r="C1240" s="17"/>
      <c r="D1240" s="85"/>
      <c r="E1240" s="17"/>
      <c r="F1240" s="17"/>
      <c r="G1240" s="17"/>
      <c r="I1240" s="17"/>
      <c r="K1240" s="17"/>
      <c r="L1240" s="17"/>
      <c r="M1240" s="17"/>
      <c r="O1240" s="14">
        <f t="shared" si="1"/>
        <v>0</v>
      </c>
      <c r="P1240" s="86" t="str">
        <f t="array" ref="P1240">iferror(XLOOKUP(C1240,'Download of SFDC Activation Rep'!B:B,'Download of SFDC Activation Rep'!Z:Z),"")</f>
        <v/>
      </c>
      <c r="Q1240" s="86" t="str">
        <f t="shared" si="2"/>
        <v/>
      </c>
      <c r="R1240" s="13" t="str">
        <f t="shared" si="3"/>
        <v>Yes</v>
      </c>
      <c r="S1240" s="86" t="str">
        <f t="array" ref="S1240">iferror(XLOOKUP(C1240,'Download of SFDC Activation Rep'!B:B,'Download of SFDC Activation Rep'!Y:Y),"")</f>
        <v/>
      </c>
    </row>
    <row r="1241">
      <c r="A1241" s="17"/>
      <c r="B1241" s="85"/>
      <c r="C1241" s="17"/>
      <c r="D1241" s="85"/>
      <c r="E1241" s="17"/>
      <c r="F1241" s="17"/>
      <c r="G1241" s="17"/>
      <c r="I1241" s="17"/>
      <c r="K1241" s="17"/>
      <c r="L1241" s="17"/>
      <c r="M1241" s="17"/>
      <c r="O1241" s="14">
        <f t="shared" si="1"/>
        <v>0</v>
      </c>
      <c r="P1241" s="86" t="str">
        <f t="array" ref="P1241">iferror(XLOOKUP(C1241,'Download of SFDC Activation Rep'!B:B,'Download of SFDC Activation Rep'!Z:Z),"")</f>
        <v/>
      </c>
      <c r="Q1241" s="86" t="str">
        <f t="shared" si="2"/>
        <v/>
      </c>
      <c r="R1241" s="13" t="str">
        <f t="shared" si="3"/>
        <v>Yes</v>
      </c>
      <c r="S1241" s="86" t="str">
        <f t="array" ref="S1241">iferror(XLOOKUP(C1241,'Download of SFDC Activation Rep'!B:B,'Download of SFDC Activation Rep'!Y:Y),"")</f>
        <v/>
      </c>
    </row>
    <row r="1242">
      <c r="A1242" s="17"/>
      <c r="B1242" s="85"/>
      <c r="C1242" s="17"/>
      <c r="D1242" s="85"/>
      <c r="E1242" s="17"/>
      <c r="F1242" s="17"/>
      <c r="G1242" s="17"/>
      <c r="I1242" s="17"/>
      <c r="K1242" s="17"/>
      <c r="L1242" s="17"/>
      <c r="M1242" s="17"/>
      <c r="O1242" s="14">
        <f t="shared" si="1"/>
        <v>0</v>
      </c>
      <c r="P1242" s="86" t="str">
        <f t="array" ref="P1242">iferror(XLOOKUP(C1242,'Download of SFDC Activation Rep'!B:B,'Download of SFDC Activation Rep'!Z:Z),"")</f>
        <v/>
      </c>
      <c r="Q1242" s="86" t="str">
        <f t="shared" si="2"/>
        <v/>
      </c>
      <c r="R1242" s="13" t="str">
        <f t="shared" si="3"/>
        <v>Yes</v>
      </c>
      <c r="S1242" s="86" t="str">
        <f t="array" ref="S1242">iferror(XLOOKUP(C1242,'Download of SFDC Activation Rep'!B:B,'Download of SFDC Activation Rep'!Y:Y),"")</f>
        <v/>
      </c>
    </row>
    <row r="1243">
      <c r="A1243" s="17"/>
      <c r="B1243" s="85"/>
      <c r="C1243" s="17"/>
      <c r="D1243" s="85"/>
      <c r="E1243" s="17"/>
      <c r="F1243" s="17"/>
      <c r="G1243" s="17"/>
      <c r="I1243" s="17"/>
      <c r="K1243" s="17"/>
      <c r="L1243" s="17"/>
      <c r="M1243" s="17"/>
      <c r="O1243" s="14">
        <f t="shared" si="1"/>
        <v>0</v>
      </c>
      <c r="P1243" s="86" t="str">
        <f t="array" ref="P1243">iferror(XLOOKUP(C1243,'Download of SFDC Activation Rep'!B:B,'Download of SFDC Activation Rep'!Z:Z),"")</f>
        <v/>
      </c>
      <c r="Q1243" s="86" t="str">
        <f t="shared" si="2"/>
        <v/>
      </c>
      <c r="R1243" s="13" t="str">
        <f t="shared" si="3"/>
        <v>Yes</v>
      </c>
      <c r="S1243" s="86" t="str">
        <f t="array" ref="S1243">iferror(XLOOKUP(C1243,'Download of SFDC Activation Rep'!B:B,'Download of SFDC Activation Rep'!Y:Y),"")</f>
        <v/>
      </c>
    </row>
    <row r="1244">
      <c r="A1244" s="17"/>
      <c r="B1244" s="85"/>
      <c r="C1244" s="17"/>
      <c r="D1244" s="85"/>
      <c r="E1244" s="17"/>
      <c r="F1244" s="17"/>
      <c r="G1244" s="17"/>
      <c r="I1244" s="17"/>
      <c r="K1244" s="17"/>
      <c r="L1244" s="17"/>
      <c r="M1244" s="17"/>
      <c r="O1244" s="14">
        <f t="shared" si="1"/>
        <v>0</v>
      </c>
      <c r="P1244" s="86" t="str">
        <f t="array" ref="P1244">iferror(XLOOKUP(C1244,'Download of SFDC Activation Rep'!B:B,'Download of SFDC Activation Rep'!Z:Z),"")</f>
        <v/>
      </c>
      <c r="Q1244" s="86" t="str">
        <f t="shared" si="2"/>
        <v/>
      </c>
      <c r="R1244" s="13" t="str">
        <f t="shared" si="3"/>
        <v>Yes</v>
      </c>
      <c r="S1244" s="86" t="str">
        <f t="array" ref="S1244">iferror(XLOOKUP(C1244,'Download of SFDC Activation Rep'!B:B,'Download of SFDC Activation Rep'!Y:Y),"")</f>
        <v/>
      </c>
    </row>
    <row r="1245">
      <c r="A1245" s="17"/>
      <c r="B1245" s="85"/>
      <c r="C1245" s="17"/>
      <c r="D1245" s="85"/>
      <c r="E1245" s="17"/>
      <c r="F1245" s="17"/>
      <c r="G1245" s="17"/>
      <c r="I1245" s="17"/>
      <c r="K1245" s="17"/>
      <c r="L1245" s="17"/>
      <c r="M1245" s="17"/>
      <c r="O1245" s="14">
        <f t="shared" si="1"/>
        <v>0</v>
      </c>
      <c r="P1245" s="86" t="str">
        <f t="array" ref="P1245">iferror(XLOOKUP(C1245,'Download of SFDC Activation Rep'!B:B,'Download of SFDC Activation Rep'!Z:Z),"")</f>
        <v/>
      </c>
      <c r="Q1245" s="86" t="str">
        <f t="shared" si="2"/>
        <v/>
      </c>
      <c r="R1245" s="13" t="str">
        <f t="shared" si="3"/>
        <v>Yes</v>
      </c>
      <c r="S1245" s="86" t="str">
        <f t="array" ref="S1245">iferror(XLOOKUP(C1245,'Download of SFDC Activation Rep'!B:B,'Download of SFDC Activation Rep'!Y:Y),"")</f>
        <v/>
      </c>
    </row>
    <row r="1246">
      <c r="A1246" s="17"/>
      <c r="B1246" s="85"/>
      <c r="C1246" s="17"/>
      <c r="D1246" s="85"/>
      <c r="E1246" s="17"/>
      <c r="F1246" s="17"/>
      <c r="G1246" s="17"/>
      <c r="I1246" s="17"/>
      <c r="K1246" s="17"/>
      <c r="L1246" s="17"/>
      <c r="M1246" s="17"/>
      <c r="O1246" s="14">
        <f t="shared" si="1"/>
        <v>0</v>
      </c>
      <c r="P1246" s="86" t="str">
        <f t="array" ref="P1246">iferror(XLOOKUP(C1246,'Download of SFDC Activation Rep'!B:B,'Download of SFDC Activation Rep'!Z:Z),"")</f>
        <v/>
      </c>
      <c r="Q1246" s="86" t="str">
        <f t="shared" si="2"/>
        <v/>
      </c>
      <c r="R1246" s="13" t="str">
        <f t="shared" si="3"/>
        <v>Yes</v>
      </c>
      <c r="S1246" s="86" t="str">
        <f t="array" ref="S1246">iferror(XLOOKUP(C1246,'Download of SFDC Activation Rep'!B:B,'Download of SFDC Activation Rep'!Y:Y),"")</f>
        <v/>
      </c>
    </row>
    <row r="1247">
      <c r="A1247" s="17"/>
      <c r="B1247" s="85"/>
      <c r="C1247" s="17"/>
      <c r="D1247" s="85"/>
      <c r="E1247" s="17"/>
      <c r="F1247" s="17"/>
      <c r="G1247" s="17"/>
      <c r="I1247" s="17"/>
      <c r="K1247" s="17"/>
      <c r="L1247" s="17"/>
      <c r="M1247" s="17"/>
      <c r="O1247" s="14">
        <f t="shared" si="1"/>
        <v>0</v>
      </c>
      <c r="P1247" s="86" t="str">
        <f t="array" ref="P1247">iferror(XLOOKUP(C1247,'Download of SFDC Activation Rep'!B:B,'Download of SFDC Activation Rep'!Z:Z),"")</f>
        <v/>
      </c>
      <c r="Q1247" s="86" t="str">
        <f t="shared" si="2"/>
        <v/>
      </c>
      <c r="R1247" s="13" t="str">
        <f t="shared" si="3"/>
        <v>Yes</v>
      </c>
      <c r="S1247" s="86" t="str">
        <f t="array" ref="S1247">iferror(XLOOKUP(C1247,'Download of SFDC Activation Rep'!B:B,'Download of SFDC Activation Rep'!Y:Y),"")</f>
        <v/>
      </c>
    </row>
    <row r="1248">
      <c r="A1248" s="17"/>
      <c r="B1248" s="85"/>
      <c r="C1248" s="17"/>
      <c r="D1248" s="85"/>
      <c r="E1248" s="17"/>
      <c r="F1248" s="17"/>
      <c r="G1248" s="17"/>
      <c r="I1248" s="17"/>
      <c r="K1248" s="17"/>
      <c r="L1248" s="17"/>
      <c r="M1248" s="17"/>
      <c r="O1248" s="14">
        <f t="shared" si="1"/>
        <v>0</v>
      </c>
      <c r="P1248" s="86" t="str">
        <f t="array" ref="P1248">iferror(XLOOKUP(C1248,'Download of SFDC Activation Rep'!B:B,'Download of SFDC Activation Rep'!Z:Z),"")</f>
        <v/>
      </c>
      <c r="Q1248" s="86" t="str">
        <f t="shared" si="2"/>
        <v/>
      </c>
      <c r="R1248" s="13" t="str">
        <f t="shared" si="3"/>
        <v>Yes</v>
      </c>
      <c r="S1248" s="86" t="str">
        <f t="array" ref="S1248">iferror(XLOOKUP(C1248,'Download of SFDC Activation Rep'!B:B,'Download of SFDC Activation Rep'!Y:Y),"")</f>
        <v/>
      </c>
    </row>
    <row r="1249">
      <c r="A1249" s="17"/>
      <c r="B1249" s="85"/>
      <c r="C1249" s="17"/>
      <c r="D1249" s="85"/>
      <c r="E1249" s="17"/>
      <c r="F1249" s="17"/>
      <c r="G1249" s="17"/>
      <c r="I1249" s="17"/>
      <c r="K1249" s="17"/>
      <c r="L1249" s="17"/>
      <c r="M1249" s="17"/>
      <c r="O1249" s="14">
        <f t="shared" si="1"/>
        <v>0</v>
      </c>
      <c r="P1249" s="86" t="str">
        <f t="array" ref="P1249">iferror(XLOOKUP(C1249,'Download of SFDC Activation Rep'!B:B,'Download of SFDC Activation Rep'!Z:Z),"")</f>
        <v/>
      </c>
      <c r="Q1249" s="86" t="str">
        <f t="shared" si="2"/>
        <v/>
      </c>
      <c r="R1249" s="13" t="str">
        <f t="shared" si="3"/>
        <v>Yes</v>
      </c>
      <c r="S1249" s="86" t="str">
        <f t="array" ref="S1249">iferror(XLOOKUP(C1249,'Download of SFDC Activation Rep'!B:B,'Download of SFDC Activation Rep'!Y:Y),"")</f>
        <v/>
      </c>
    </row>
    <row r="1250">
      <c r="A1250" s="17"/>
      <c r="B1250" s="85"/>
      <c r="C1250" s="17"/>
      <c r="D1250" s="85"/>
      <c r="E1250" s="17"/>
      <c r="F1250" s="17"/>
      <c r="G1250" s="17"/>
      <c r="I1250" s="17"/>
      <c r="K1250" s="17"/>
      <c r="L1250" s="17"/>
      <c r="M1250" s="17"/>
      <c r="O1250" s="14">
        <f t="shared" si="1"/>
        <v>0</v>
      </c>
      <c r="P1250" s="86" t="str">
        <f t="array" ref="P1250">iferror(XLOOKUP(C1250,'Download of SFDC Activation Rep'!B:B,'Download of SFDC Activation Rep'!Z:Z),"")</f>
        <v/>
      </c>
      <c r="Q1250" s="86" t="str">
        <f t="shared" si="2"/>
        <v/>
      </c>
      <c r="R1250" s="13" t="str">
        <f t="shared" si="3"/>
        <v>Yes</v>
      </c>
      <c r="S1250" s="86" t="str">
        <f t="array" ref="S1250">iferror(XLOOKUP(C1250,'Download of SFDC Activation Rep'!B:B,'Download of SFDC Activation Rep'!Y:Y),"")</f>
        <v/>
      </c>
    </row>
    <row r="1251">
      <c r="A1251" s="17"/>
      <c r="B1251" s="85"/>
      <c r="C1251" s="17"/>
      <c r="D1251" s="85"/>
      <c r="E1251" s="17"/>
      <c r="F1251" s="17"/>
      <c r="G1251" s="17"/>
      <c r="I1251" s="17"/>
      <c r="K1251" s="17"/>
      <c r="L1251" s="17"/>
      <c r="M1251" s="17"/>
      <c r="O1251" s="14">
        <f t="shared" si="1"/>
        <v>0</v>
      </c>
      <c r="P1251" s="86" t="str">
        <f t="array" ref="P1251">iferror(XLOOKUP(C1251,'Download of SFDC Activation Rep'!B:B,'Download of SFDC Activation Rep'!Z:Z),"")</f>
        <v/>
      </c>
      <c r="Q1251" s="86" t="str">
        <f t="shared" si="2"/>
        <v/>
      </c>
      <c r="R1251" s="13" t="str">
        <f t="shared" si="3"/>
        <v>Yes</v>
      </c>
      <c r="S1251" s="86" t="str">
        <f t="array" ref="S1251">iferror(XLOOKUP(C1251,'Download of SFDC Activation Rep'!B:B,'Download of SFDC Activation Rep'!Y:Y),"")</f>
        <v/>
      </c>
    </row>
    <row r="1252">
      <c r="A1252" s="17"/>
      <c r="B1252" s="85"/>
      <c r="C1252" s="17"/>
      <c r="D1252" s="85"/>
      <c r="E1252" s="17"/>
      <c r="F1252" s="17"/>
      <c r="G1252" s="17"/>
      <c r="I1252" s="17"/>
      <c r="K1252" s="17"/>
      <c r="L1252" s="17"/>
      <c r="M1252" s="17"/>
      <c r="O1252" s="14">
        <f t="shared" si="1"/>
        <v>0</v>
      </c>
      <c r="P1252" s="86" t="str">
        <f t="array" ref="P1252">iferror(XLOOKUP(C1252,'Download of SFDC Activation Rep'!B:B,'Download of SFDC Activation Rep'!Z:Z),"")</f>
        <v/>
      </c>
      <c r="Q1252" s="86" t="str">
        <f t="shared" si="2"/>
        <v/>
      </c>
      <c r="R1252" s="13" t="str">
        <f t="shared" si="3"/>
        <v>Yes</v>
      </c>
      <c r="S1252" s="86" t="str">
        <f t="array" ref="S1252">iferror(XLOOKUP(C1252,'Download of SFDC Activation Rep'!B:B,'Download of SFDC Activation Rep'!Y:Y),"")</f>
        <v/>
      </c>
    </row>
    <row r="1253">
      <c r="A1253" s="17"/>
      <c r="B1253" s="85"/>
      <c r="C1253" s="17"/>
      <c r="D1253" s="85"/>
      <c r="E1253" s="17"/>
      <c r="F1253" s="17"/>
      <c r="G1253" s="17"/>
      <c r="I1253" s="17"/>
      <c r="K1253" s="17"/>
      <c r="L1253" s="17"/>
      <c r="M1253" s="17"/>
      <c r="O1253" s="14">
        <f t="shared" si="1"/>
        <v>0</v>
      </c>
      <c r="P1253" s="86" t="str">
        <f t="array" ref="P1253">iferror(XLOOKUP(C1253,'Download of SFDC Activation Rep'!B:B,'Download of SFDC Activation Rep'!Z:Z),"")</f>
        <v/>
      </c>
      <c r="Q1253" s="86" t="str">
        <f t="shared" si="2"/>
        <v/>
      </c>
      <c r="R1253" s="13" t="str">
        <f t="shared" si="3"/>
        <v>Yes</v>
      </c>
      <c r="S1253" s="86" t="str">
        <f t="array" ref="S1253">iferror(XLOOKUP(C1253,'Download of SFDC Activation Rep'!B:B,'Download of SFDC Activation Rep'!Y:Y),"")</f>
        <v/>
      </c>
    </row>
    <row r="1254">
      <c r="A1254" s="17"/>
      <c r="B1254" s="85"/>
      <c r="C1254" s="17"/>
      <c r="D1254" s="85"/>
      <c r="E1254" s="17"/>
      <c r="F1254" s="17"/>
      <c r="G1254" s="17"/>
      <c r="I1254" s="17"/>
      <c r="K1254" s="17"/>
      <c r="L1254" s="17"/>
      <c r="M1254" s="17"/>
      <c r="O1254" s="14">
        <f t="shared" si="1"/>
        <v>0</v>
      </c>
      <c r="P1254" s="86" t="str">
        <f t="array" ref="P1254">iferror(XLOOKUP(C1254,'Download of SFDC Activation Rep'!B:B,'Download of SFDC Activation Rep'!Z:Z),"")</f>
        <v/>
      </c>
      <c r="Q1254" s="86" t="str">
        <f t="shared" si="2"/>
        <v/>
      </c>
      <c r="R1254" s="13" t="str">
        <f t="shared" si="3"/>
        <v>Yes</v>
      </c>
      <c r="S1254" s="86" t="str">
        <f t="array" ref="S1254">iferror(XLOOKUP(C1254,'Download of SFDC Activation Rep'!B:B,'Download of SFDC Activation Rep'!Y:Y),"")</f>
        <v/>
      </c>
    </row>
    <row r="1255">
      <c r="A1255" s="17"/>
      <c r="B1255" s="85"/>
      <c r="C1255" s="17"/>
      <c r="D1255" s="85"/>
      <c r="E1255" s="17"/>
      <c r="F1255" s="17"/>
      <c r="G1255" s="17"/>
      <c r="I1255" s="17"/>
      <c r="K1255" s="17"/>
      <c r="L1255" s="17"/>
      <c r="M1255" s="17"/>
      <c r="O1255" s="14">
        <f t="shared" si="1"/>
        <v>0</v>
      </c>
      <c r="P1255" s="86" t="str">
        <f t="array" ref="P1255">iferror(XLOOKUP(C1255,'Download of SFDC Activation Rep'!B:B,'Download of SFDC Activation Rep'!Z:Z),"")</f>
        <v/>
      </c>
      <c r="Q1255" s="86" t="str">
        <f t="shared" si="2"/>
        <v/>
      </c>
      <c r="R1255" s="13" t="str">
        <f t="shared" si="3"/>
        <v>Yes</v>
      </c>
      <c r="S1255" s="86" t="str">
        <f t="array" ref="S1255">iferror(XLOOKUP(C1255,'Download of SFDC Activation Rep'!B:B,'Download of SFDC Activation Rep'!Y:Y),"")</f>
        <v/>
      </c>
    </row>
    <row r="1256">
      <c r="A1256" s="17"/>
      <c r="B1256" s="85"/>
      <c r="C1256" s="17"/>
      <c r="D1256" s="85"/>
      <c r="E1256" s="17"/>
      <c r="F1256" s="17"/>
      <c r="G1256" s="17"/>
      <c r="I1256" s="17"/>
      <c r="K1256" s="17"/>
      <c r="L1256" s="17"/>
      <c r="M1256" s="17"/>
      <c r="O1256" s="14">
        <f t="shared" si="1"/>
        <v>0</v>
      </c>
      <c r="P1256" s="86" t="str">
        <f t="array" ref="P1256">iferror(XLOOKUP(C1256,'Download of SFDC Activation Rep'!B:B,'Download of SFDC Activation Rep'!Z:Z),"")</f>
        <v/>
      </c>
      <c r="Q1256" s="86" t="str">
        <f t="shared" si="2"/>
        <v/>
      </c>
      <c r="R1256" s="13" t="str">
        <f t="shared" si="3"/>
        <v>Yes</v>
      </c>
      <c r="S1256" s="86" t="str">
        <f t="array" ref="S1256">iferror(XLOOKUP(C1256,'Download of SFDC Activation Rep'!B:B,'Download of SFDC Activation Rep'!Y:Y),"")</f>
        <v/>
      </c>
    </row>
    <row r="1257">
      <c r="A1257" s="17"/>
      <c r="B1257" s="85"/>
      <c r="C1257" s="17"/>
      <c r="D1257" s="85"/>
      <c r="E1257" s="17"/>
      <c r="F1257" s="17"/>
      <c r="G1257" s="17"/>
      <c r="I1257" s="17"/>
      <c r="K1257" s="17"/>
      <c r="L1257" s="17"/>
      <c r="M1257" s="17"/>
      <c r="O1257" s="14">
        <f t="shared" si="1"/>
        <v>0</v>
      </c>
      <c r="P1257" s="86" t="str">
        <f t="array" ref="P1257">iferror(XLOOKUP(C1257,'Download of SFDC Activation Rep'!B:B,'Download of SFDC Activation Rep'!Z:Z),"")</f>
        <v/>
      </c>
      <c r="Q1257" s="86" t="str">
        <f t="shared" si="2"/>
        <v/>
      </c>
      <c r="R1257" s="13" t="str">
        <f t="shared" si="3"/>
        <v>Yes</v>
      </c>
      <c r="S1257" s="86" t="str">
        <f t="array" ref="S1257">iferror(XLOOKUP(C1257,'Download of SFDC Activation Rep'!B:B,'Download of SFDC Activation Rep'!Y:Y),"")</f>
        <v/>
      </c>
    </row>
    <row r="1258">
      <c r="A1258" s="17"/>
      <c r="B1258" s="85"/>
      <c r="C1258" s="17"/>
      <c r="D1258" s="85"/>
      <c r="E1258" s="17"/>
      <c r="F1258" s="17"/>
      <c r="G1258" s="17"/>
      <c r="I1258" s="17"/>
      <c r="K1258" s="17"/>
      <c r="L1258" s="17"/>
      <c r="M1258" s="17"/>
      <c r="O1258" s="14">
        <f t="shared" si="1"/>
        <v>0</v>
      </c>
      <c r="P1258" s="86" t="str">
        <f t="array" ref="P1258">iferror(XLOOKUP(C1258,'Download of SFDC Activation Rep'!B:B,'Download of SFDC Activation Rep'!Z:Z),"")</f>
        <v/>
      </c>
      <c r="Q1258" s="86" t="str">
        <f t="shared" si="2"/>
        <v/>
      </c>
      <c r="R1258" s="13" t="str">
        <f t="shared" si="3"/>
        <v>Yes</v>
      </c>
      <c r="S1258" s="86" t="str">
        <f t="array" ref="S1258">iferror(XLOOKUP(C1258,'Download of SFDC Activation Rep'!B:B,'Download of SFDC Activation Rep'!Y:Y),"")</f>
        <v/>
      </c>
    </row>
    <row r="1259">
      <c r="A1259" s="17"/>
      <c r="B1259" s="85"/>
      <c r="C1259" s="17"/>
      <c r="D1259" s="85"/>
      <c r="E1259" s="17"/>
      <c r="F1259" s="17"/>
      <c r="G1259" s="17"/>
      <c r="I1259" s="17"/>
      <c r="K1259" s="17"/>
      <c r="L1259" s="17"/>
      <c r="M1259" s="17"/>
      <c r="O1259" s="14">
        <f t="shared" si="1"/>
        <v>0</v>
      </c>
      <c r="P1259" s="86" t="str">
        <f t="array" ref="P1259">iferror(XLOOKUP(C1259,'Download of SFDC Activation Rep'!B:B,'Download of SFDC Activation Rep'!Z:Z),"")</f>
        <v/>
      </c>
      <c r="Q1259" s="86" t="str">
        <f t="shared" si="2"/>
        <v/>
      </c>
      <c r="R1259" s="13" t="str">
        <f t="shared" si="3"/>
        <v>Yes</v>
      </c>
      <c r="S1259" s="86" t="str">
        <f t="array" ref="S1259">iferror(XLOOKUP(C1259,'Download of SFDC Activation Rep'!B:B,'Download of SFDC Activation Rep'!Y:Y),"")</f>
        <v/>
      </c>
    </row>
    <row r="1260">
      <c r="A1260" s="17"/>
      <c r="B1260" s="85"/>
      <c r="C1260" s="17"/>
      <c r="D1260" s="85"/>
      <c r="E1260" s="17"/>
      <c r="F1260" s="17"/>
      <c r="G1260" s="17"/>
      <c r="I1260" s="17"/>
      <c r="K1260" s="17"/>
      <c r="L1260" s="17"/>
      <c r="M1260" s="17"/>
      <c r="O1260" s="14">
        <f t="shared" si="1"/>
        <v>0</v>
      </c>
      <c r="P1260" s="86" t="str">
        <f t="array" ref="P1260">iferror(XLOOKUP(C1260,'Download of SFDC Activation Rep'!B:B,'Download of SFDC Activation Rep'!Z:Z),"")</f>
        <v/>
      </c>
      <c r="Q1260" s="86" t="str">
        <f t="shared" si="2"/>
        <v/>
      </c>
      <c r="R1260" s="13" t="str">
        <f t="shared" si="3"/>
        <v>Yes</v>
      </c>
      <c r="S1260" s="86" t="str">
        <f t="array" ref="S1260">iferror(XLOOKUP(C1260,'Download of SFDC Activation Rep'!B:B,'Download of SFDC Activation Rep'!Y:Y),"")</f>
        <v/>
      </c>
    </row>
    <row r="1261">
      <c r="A1261" s="17"/>
      <c r="B1261" s="85"/>
      <c r="C1261" s="17"/>
      <c r="D1261" s="85"/>
      <c r="E1261" s="17"/>
      <c r="F1261" s="17"/>
      <c r="G1261" s="17"/>
      <c r="I1261" s="17"/>
      <c r="K1261" s="17"/>
      <c r="L1261" s="17"/>
      <c r="M1261" s="17"/>
      <c r="O1261" s="14">
        <f t="shared" si="1"/>
        <v>0</v>
      </c>
      <c r="P1261" s="86" t="str">
        <f t="array" ref="P1261">iferror(XLOOKUP(C1261,'Download of SFDC Activation Rep'!B:B,'Download of SFDC Activation Rep'!Z:Z),"")</f>
        <v/>
      </c>
      <c r="Q1261" s="86" t="str">
        <f t="shared" si="2"/>
        <v/>
      </c>
      <c r="R1261" s="13" t="str">
        <f t="shared" si="3"/>
        <v>Yes</v>
      </c>
      <c r="S1261" s="86" t="str">
        <f t="array" ref="S1261">iferror(XLOOKUP(C1261,'Download of SFDC Activation Rep'!B:B,'Download of SFDC Activation Rep'!Y:Y),"")</f>
        <v/>
      </c>
    </row>
    <row r="1262">
      <c r="A1262" s="17"/>
      <c r="B1262" s="85"/>
      <c r="C1262" s="17"/>
      <c r="D1262" s="85"/>
      <c r="E1262" s="17"/>
      <c r="F1262" s="17"/>
      <c r="G1262" s="17"/>
      <c r="I1262" s="17"/>
      <c r="K1262" s="17"/>
      <c r="L1262" s="17"/>
      <c r="M1262" s="17"/>
      <c r="O1262" s="14">
        <f t="shared" si="1"/>
        <v>0</v>
      </c>
      <c r="P1262" s="86" t="str">
        <f t="array" ref="P1262">iferror(XLOOKUP(C1262,'Download of SFDC Activation Rep'!B:B,'Download of SFDC Activation Rep'!Z:Z),"")</f>
        <v/>
      </c>
      <c r="Q1262" s="86" t="str">
        <f t="shared" si="2"/>
        <v/>
      </c>
      <c r="R1262" s="13" t="str">
        <f t="shared" si="3"/>
        <v>Yes</v>
      </c>
      <c r="S1262" s="86" t="str">
        <f t="array" ref="S1262">iferror(XLOOKUP(C1262,'Download of SFDC Activation Rep'!B:B,'Download of SFDC Activation Rep'!Y:Y),"")</f>
        <v/>
      </c>
    </row>
    <row r="1263">
      <c r="A1263" s="17"/>
      <c r="B1263" s="85"/>
      <c r="C1263" s="17"/>
      <c r="D1263" s="85"/>
      <c r="E1263" s="17"/>
      <c r="F1263" s="17"/>
      <c r="G1263" s="17"/>
      <c r="I1263" s="17"/>
      <c r="K1263" s="17"/>
      <c r="L1263" s="17"/>
      <c r="M1263" s="17"/>
      <c r="O1263" s="14">
        <f t="shared" si="1"/>
        <v>0</v>
      </c>
      <c r="P1263" s="86" t="str">
        <f t="array" ref="P1263">iferror(XLOOKUP(C1263,'Download of SFDC Activation Rep'!B:B,'Download of SFDC Activation Rep'!Z:Z),"")</f>
        <v/>
      </c>
      <c r="Q1263" s="86" t="str">
        <f t="shared" si="2"/>
        <v/>
      </c>
      <c r="R1263" s="13" t="str">
        <f t="shared" si="3"/>
        <v>Yes</v>
      </c>
      <c r="S1263" s="86" t="str">
        <f t="array" ref="S1263">iferror(XLOOKUP(C1263,'Download of SFDC Activation Rep'!B:B,'Download of SFDC Activation Rep'!Y:Y),"")</f>
        <v/>
      </c>
    </row>
    <row r="1264">
      <c r="A1264" s="17"/>
      <c r="B1264" s="85"/>
      <c r="C1264" s="17"/>
      <c r="D1264" s="85"/>
      <c r="E1264" s="17"/>
      <c r="F1264" s="17"/>
      <c r="G1264" s="17"/>
      <c r="I1264" s="17"/>
      <c r="K1264" s="17"/>
      <c r="L1264" s="17"/>
      <c r="M1264" s="17"/>
      <c r="O1264" s="14">
        <f t="shared" si="1"/>
        <v>0</v>
      </c>
      <c r="P1264" s="86" t="str">
        <f t="array" ref="P1264">iferror(XLOOKUP(C1264,'Download of SFDC Activation Rep'!B:B,'Download of SFDC Activation Rep'!Z:Z),"")</f>
        <v/>
      </c>
      <c r="Q1264" s="86" t="str">
        <f t="shared" si="2"/>
        <v/>
      </c>
      <c r="R1264" s="13" t="str">
        <f t="shared" si="3"/>
        <v>Yes</v>
      </c>
      <c r="S1264" s="86" t="str">
        <f t="array" ref="S1264">iferror(XLOOKUP(C1264,'Download of SFDC Activation Rep'!B:B,'Download of SFDC Activation Rep'!Y:Y),"")</f>
        <v/>
      </c>
    </row>
    <row r="1265">
      <c r="A1265" s="17"/>
      <c r="B1265" s="85"/>
      <c r="C1265" s="17"/>
      <c r="D1265" s="85"/>
      <c r="E1265" s="17"/>
      <c r="F1265" s="17"/>
      <c r="G1265" s="17"/>
      <c r="I1265" s="17"/>
      <c r="K1265" s="17"/>
      <c r="L1265" s="17"/>
      <c r="M1265" s="17"/>
      <c r="O1265" s="14">
        <f t="shared" si="1"/>
        <v>0</v>
      </c>
      <c r="P1265" s="86" t="str">
        <f t="array" ref="P1265">iferror(XLOOKUP(C1265,'Download of SFDC Activation Rep'!B:B,'Download of SFDC Activation Rep'!Z:Z),"")</f>
        <v/>
      </c>
      <c r="Q1265" s="86" t="str">
        <f t="shared" si="2"/>
        <v/>
      </c>
      <c r="R1265" s="13" t="str">
        <f t="shared" si="3"/>
        <v>Yes</v>
      </c>
      <c r="S1265" s="86" t="str">
        <f t="array" ref="S1265">iferror(XLOOKUP(C1265,'Download of SFDC Activation Rep'!B:B,'Download of SFDC Activation Rep'!Y:Y),"")</f>
        <v/>
      </c>
    </row>
    <row r="1266">
      <c r="A1266" s="17"/>
      <c r="B1266" s="85"/>
      <c r="C1266" s="17"/>
      <c r="D1266" s="85"/>
      <c r="E1266" s="17"/>
      <c r="F1266" s="17"/>
      <c r="G1266" s="17"/>
      <c r="I1266" s="17"/>
      <c r="K1266" s="17"/>
      <c r="L1266" s="17"/>
      <c r="M1266" s="17"/>
      <c r="O1266" s="14">
        <f t="shared" si="1"/>
        <v>0</v>
      </c>
      <c r="P1266" s="86" t="str">
        <f t="array" ref="P1266">iferror(XLOOKUP(C1266,'Download of SFDC Activation Rep'!B:B,'Download of SFDC Activation Rep'!Z:Z),"")</f>
        <v/>
      </c>
      <c r="Q1266" s="86" t="str">
        <f t="shared" si="2"/>
        <v/>
      </c>
      <c r="R1266" s="13" t="str">
        <f t="shared" si="3"/>
        <v>Yes</v>
      </c>
      <c r="S1266" s="86" t="str">
        <f t="array" ref="S1266">iferror(XLOOKUP(C1266,'Download of SFDC Activation Rep'!B:B,'Download of SFDC Activation Rep'!Y:Y),"")</f>
        <v/>
      </c>
    </row>
    <row r="1267">
      <c r="A1267" s="17"/>
      <c r="B1267" s="85"/>
      <c r="C1267" s="17"/>
      <c r="D1267" s="85"/>
      <c r="E1267" s="17"/>
      <c r="F1267" s="17"/>
      <c r="G1267" s="17"/>
      <c r="I1267" s="17"/>
      <c r="K1267" s="17"/>
      <c r="L1267" s="17"/>
      <c r="M1267" s="17"/>
      <c r="O1267" s="14">
        <f t="shared" si="1"/>
        <v>0</v>
      </c>
      <c r="P1267" s="86" t="str">
        <f t="array" ref="P1267">iferror(XLOOKUP(C1267,'Download of SFDC Activation Rep'!B:B,'Download of SFDC Activation Rep'!Z:Z),"")</f>
        <v/>
      </c>
      <c r="Q1267" s="86" t="str">
        <f t="shared" si="2"/>
        <v/>
      </c>
      <c r="R1267" s="13" t="str">
        <f t="shared" si="3"/>
        <v>Yes</v>
      </c>
      <c r="S1267" s="86" t="str">
        <f t="array" ref="S1267">iferror(XLOOKUP(C1267,'Download of SFDC Activation Rep'!B:B,'Download of SFDC Activation Rep'!Y:Y),"")</f>
        <v/>
      </c>
    </row>
    <row r="1268">
      <c r="A1268" s="17"/>
      <c r="B1268" s="85"/>
      <c r="C1268" s="17"/>
      <c r="D1268" s="85"/>
      <c r="E1268" s="17"/>
      <c r="F1268" s="17"/>
      <c r="G1268" s="17"/>
      <c r="I1268" s="17"/>
      <c r="K1268" s="17"/>
      <c r="L1268" s="17"/>
      <c r="M1268" s="17"/>
      <c r="O1268" s="14">
        <f t="shared" si="1"/>
        <v>0</v>
      </c>
      <c r="P1268" s="86" t="str">
        <f t="array" ref="P1268">iferror(XLOOKUP(C1268,'Download of SFDC Activation Rep'!B:B,'Download of SFDC Activation Rep'!Z:Z),"")</f>
        <v/>
      </c>
      <c r="Q1268" s="86" t="str">
        <f t="shared" si="2"/>
        <v/>
      </c>
      <c r="R1268" s="13" t="str">
        <f t="shared" si="3"/>
        <v>Yes</v>
      </c>
      <c r="S1268" s="86" t="str">
        <f t="array" ref="S1268">iferror(XLOOKUP(C1268,'Download of SFDC Activation Rep'!B:B,'Download of SFDC Activation Rep'!Y:Y),"")</f>
        <v/>
      </c>
    </row>
    <row r="1269">
      <c r="A1269" s="17"/>
      <c r="B1269" s="85"/>
      <c r="C1269" s="17"/>
      <c r="D1269" s="85"/>
      <c r="E1269" s="17"/>
      <c r="F1269" s="17"/>
      <c r="G1269" s="17"/>
      <c r="I1269" s="17"/>
      <c r="K1269" s="17"/>
      <c r="L1269" s="17"/>
      <c r="M1269" s="17"/>
      <c r="O1269" s="14">
        <f t="shared" si="1"/>
        <v>0</v>
      </c>
      <c r="P1269" s="86" t="str">
        <f t="array" ref="P1269">iferror(XLOOKUP(C1269,'Download of SFDC Activation Rep'!B:B,'Download of SFDC Activation Rep'!Z:Z),"")</f>
        <v/>
      </c>
      <c r="Q1269" s="86" t="str">
        <f t="shared" si="2"/>
        <v/>
      </c>
      <c r="R1269" s="13" t="str">
        <f t="shared" si="3"/>
        <v>Yes</v>
      </c>
      <c r="S1269" s="86" t="str">
        <f t="array" ref="S1269">iferror(XLOOKUP(C1269,'Download of SFDC Activation Rep'!B:B,'Download of SFDC Activation Rep'!Y:Y),"")</f>
        <v/>
      </c>
    </row>
    <row r="1270">
      <c r="A1270" s="17"/>
      <c r="B1270" s="85"/>
      <c r="C1270" s="17"/>
      <c r="D1270" s="85"/>
      <c r="E1270" s="17"/>
      <c r="F1270" s="17"/>
      <c r="G1270" s="17"/>
      <c r="I1270" s="17"/>
      <c r="K1270" s="17"/>
      <c r="L1270" s="17"/>
      <c r="M1270" s="17"/>
      <c r="O1270" s="14">
        <f t="shared" si="1"/>
        <v>0</v>
      </c>
      <c r="P1270" s="86" t="str">
        <f t="array" ref="P1270">iferror(XLOOKUP(C1270,'Download of SFDC Activation Rep'!B:B,'Download of SFDC Activation Rep'!Z:Z),"")</f>
        <v/>
      </c>
      <c r="Q1270" s="86" t="str">
        <f t="shared" si="2"/>
        <v/>
      </c>
      <c r="R1270" s="13" t="str">
        <f t="shared" si="3"/>
        <v>Yes</v>
      </c>
      <c r="S1270" s="86" t="str">
        <f t="array" ref="S1270">iferror(XLOOKUP(C1270,'Download of SFDC Activation Rep'!B:B,'Download of SFDC Activation Rep'!Y:Y),"")</f>
        <v/>
      </c>
    </row>
    <row r="1271">
      <c r="A1271" s="17"/>
      <c r="B1271" s="85"/>
      <c r="C1271" s="17"/>
      <c r="D1271" s="85"/>
      <c r="E1271" s="17"/>
      <c r="F1271" s="17"/>
      <c r="G1271" s="17"/>
      <c r="I1271" s="17"/>
      <c r="K1271" s="17"/>
      <c r="L1271" s="17"/>
      <c r="M1271" s="17"/>
      <c r="O1271" s="14">
        <f t="shared" si="1"/>
        <v>0</v>
      </c>
      <c r="P1271" s="86" t="str">
        <f t="array" ref="P1271">iferror(XLOOKUP(C1271,'Download of SFDC Activation Rep'!B:B,'Download of SFDC Activation Rep'!Z:Z),"")</f>
        <v/>
      </c>
      <c r="Q1271" s="86" t="str">
        <f t="shared" si="2"/>
        <v/>
      </c>
      <c r="R1271" s="13" t="str">
        <f t="shared" si="3"/>
        <v>Yes</v>
      </c>
      <c r="S1271" s="86" t="str">
        <f t="array" ref="S1271">iferror(XLOOKUP(C1271,'Download of SFDC Activation Rep'!B:B,'Download of SFDC Activation Rep'!Y:Y),"")</f>
        <v/>
      </c>
    </row>
    <row r="1272">
      <c r="A1272" s="17"/>
      <c r="B1272" s="85"/>
      <c r="C1272" s="17"/>
      <c r="D1272" s="85"/>
      <c r="E1272" s="17"/>
      <c r="F1272" s="17"/>
      <c r="G1272" s="17"/>
      <c r="I1272" s="17"/>
      <c r="K1272" s="17"/>
      <c r="L1272" s="17"/>
      <c r="M1272" s="17"/>
      <c r="O1272" s="14">
        <f t="shared" si="1"/>
        <v>0</v>
      </c>
      <c r="P1272" s="86" t="str">
        <f t="array" ref="P1272">iferror(XLOOKUP(C1272,'Download of SFDC Activation Rep'!B:B,'Download of SFDC Activation Rep'!Z:Z),"")</f>
        <v/>
      </c>
      <c r="Q1272" s="86" t="str">
        <f t="shared" si="2"/>
        <v/>
      </c>
      <c r="R1272" s="13" t="str">
        <f t="shared" si="3"/>
        <v>Yes</v>
      </c>
      <c r="S1272" s="86" t="str">
        <f t="array" ref="S1272">iferror(XLOOKUP(C1272,'Download of SFDC Activation Rep'!B:B,'Download of SFDC Activation Rep'!Y:Y),"")</f>
        <v/>
      </c>
    </row>
    <row r="1273">
      <c r="A1273" s="17"/>
      <c r="B1273" s="85"/>
      <c r="C1273" s="17"/>
      <c r="D1273" s="85"/>
      <c r="E1273" s="17"/>
      <c r="F1273" s="17"/>
      <c r="G1273" s="17"/>
      <c r="I1273" s="17"/>
      <c r="K1273" s="17"/>
      <c r="L1273" s="17"/>
      <c r="M1273" s="17"/>
      <c r="O1273" s="14">
        <f t="shared" si="1"/>
        <v>0</v>
      </c>
      <c r="P1273" s="86" t="str">
        <f t="array" ref="P1273">iferror(XLOOKUP(C1273,'Download of SFDC Activation Rep'!B:B,'Download of SFDC Activation Rep'!Z:Z),"")</f>
        <v/>
      </c>
      <c r="Q1273" s="86" t="str">
        <f t="shared" si="2"/>
        <v/>
      </c>
      <c r="R1273" s="13" t="str">
        <f t="shared" si="3"/>
        <v>Yes</v>
      </c>
      <c r="S1273" s="86" t="str">
        <f t="array" ref="S1273">iferror(XLOOKUP(C1273,'Download of SFDC Activation Rep'!B:B,'Download of SFDC Activation Rep'!Y:Y),"")</f>
        <v/>
      </c>
    </row>
    <row r="1274">
      <c r="A1274" s="17"/>
      <c r="B1274" s="85"/>
      <c r="C1274" s="17"/>
      <c r="D1274" s="85"/>
      <c r="E1274" s="17"/>
      <c r="F1274" s="17"/>
      <c r="G1274" s="17"/>
      <c r="I1274" s="17"/>
      <c r="K1274" s="17"/>
      <c r="L1274" s="17"/>
      <c r="M1274" s="17"/>
      <c r="O1274" s="14">
        <f t="shared" si="1"/>
        <v>0</v>
      </c>
      <c r="P1274" s="86" t="str">
        <f t="array" ref="P1274">iferror(XLOOKUP(C1274,'Download of SFDC Activation Rep'!B:B,'Download of SFDC Activation Rep'!Z:Z),"")</f>
        <v/>
      </c>
      <c r="Q1274" s="86" t="str">
        <f t="shared" si="2"/>
        <v/>
      </c>
      <c r="R1274" s="13" t="str">
        <f t="shared" si="3"/>
        <v>Yes</v>
      </c>
      <c r="S1274" s="86" t="str">
        <f t="array" ref="S1274">iferror(XLOOKUP(C1274,'Download of SFDC Activation Rep'!B:B,'Download of SFDC Activation Rep'!Y:Y),"")</f>
        <v/>
      </c>
    </row>
    <row r="1275">
      <c r="A1275" s="17"/>
      <c r="B1275" s="85"/>
      <c r="C1275" s="17"/>
      <c r="D1275" s="85"/>
      <c r="E1275" s="17"/>
      <c r="F1275" s="17"/>
      <c r="G1275" s="17"/>
      <c r="I1275" s="17"/>
      <c r="K1275" s="17"/>
      <c r="L1275" s="17"/>
      <c r="M1275" s="17"/>
      <c r="O1275" s="14">
        <f t="shared" si="1"/>
        <v>0</v>
      </c>
      <c r="P1275" s="86" t="str">
        <f t="array" ref="P1275">iferror(XLOOKUP(C1275,'Download of SFDC Activation Rep'!B:B,'Download of SFDC Activation Rep'!Z:Z),"")</f>
        <v/>
      </c>
      <c r="Q1275" s="86" t="str">
        <f t="shared" si="2"/>
        <v/>
      </c>
      <c r="R1275" s="13" t="str">
        <f t="shared" si="3"/>
        <v>Yes</v>
      </c>
      <c r="S1275" s="86" t="str">
        <f t="array" ref="S1275">iferror(XLOOKUP(C1275,'Download of SFDC Activation Rep'!B:B,'Download of SFDC Activation Rep'!Y:Y),"")</f>
        <v/>
      </c>
    </row>
    <row r="1276">
      <c r="A1276" s="17"/>
      <c r="B1276" s="85"/>
      <c r="C1276" s="17"/>
      <c r="D1276" s="85"/>
      <c r="E1276" s="17"/>
      <c r="F1276" s="17"/>
      <c r="G1276" s="17"/>
      <c r="I1276" s="17"/>
      <c r="K1276" s="17"/>
      <c r="L1276" s="17"/>
      <c r="M1276" s="17"/>
      <c r="O1276" s="14">
        <f t="shared" si="1"/>
        <v>0</v>
      </c>
      <c r="P1276" s="86" t="str">
        <f t="array" ref="P1276">iferror(XLOOKUP(C1276,'Download of SFDC Activation Rep'!B:B,'Download of SFDC Activation Rep'!Z:Z),"")</f>
        <v/>
      </c>
      <c r="Q1276" s="86" t="str">
        <f t="shared" si="2"/>
        <v/>
      </c>
      <c r="R1276" s="13" t="str">
        <f t="shared" si="3"/>
        <v>Yes</v>
      </c>
      <c r="S1276" s="86" t="str">
        <f t="array" ref="S1276">iferror(XLOOKUP(C1276,'Download of SFDC Activation Rep'!B:B,'Download of SFDC Activation Rep'!Y:Y),"")</f>
        <v/>
      </c>
    </row>
    <row r="1277">
      <c r="A1277" s="17"/>
      <c r="B1277" s="85"/>
      <c r="C1277" s="17"/>
      <c r="D1277" s="85"/>
      <c r="E1277" s="17"/>
      <c r="F1277" s="17"/>
      <c r="G1277" s="17"/>
      <c r="I1277" s="17"/>
      <c r="K1277" s="17"/>
      <c r="L1277" s="17"/>
      <c r="M1277" s="17"/>
      <c r="O1277" s="14">
        <f t="shared" si="1"/>
        <v>0</v>
      </c>
      <c r="P1277" s="86" t="str">
        <f t="array" ref="P1277">iferror(XLOOKUP(C1277,'Download of SFDC Activation Rep'!B:B,'Download of SFDC Activation Rep'!Z:Z),"")</f>
        <v/>
      </c>
      <c r="Q1277" s="86" t="str">
        <f t="shared" si="2"/>
        <v/>
      </c>
      <c r="R1277" s="13" t="str">
        <f t="shared" si="3"/>
        <v>Yes</v>
      </c>
      <c r="S1277" s="86" t="str">
        <f t="array" ref="S1277">iferror(XLOOKUP(C1277,'Download of SFDC Activation Rep'!B:B,'Download of SFDC Activation Rep'!Y:Y),"")</f>
        <v/>
      </c>
    </row>
    <row r="1278">
      <c r="A1278" s="17"/>
      <c r="B1278" s="85"/>
      <c r="C1278" s="17"/>
      <c r="D1278" s="85"/>
      <c r="E1278" s="17"/>
      <c r="F1278" s="17"/>
      <c r="G1278" s="17"/>
      <c r="I1278" s="17"/>
      <c r="K1278" s="17"/>
      <c r="L1278" s="17"/>
      <c r="M1278" s="17"/>
      <c r="O1278" s="14">
        <f t="shared" si="1"/>
        <v>0</v>
      </c>
      <c r="P1278" s="86" t="str">
        <f t="array" ref="P1278">iferror(XLOOKUP(C1278,'Download of SFDC Activation Rep'!B:B,'Download of SFDC Activation Rep'!Z:Z),"")</f>
        <v/>
      </c>
      <c r="Q1278" s="86" t="str">
        <f t="shared" si="2"/>
        <v/>
      </c>
      <c r="R1278" s="13" t="str">
        <f t="shared" si="3"/>
        <v>Yes</v>
      </c>
      <c r="S1278" s="86" t="str">
        <f t="array" ref="S1278">iferror(XLOOKUP(C1278,'Download of SFDC Activation Rep'!B:B,'Download of SFDC Activation Rep'!Y:Y),"")</f>
        <v/>
      </c>
    </row>
    <row r="1279">
      <c r="A1279" s="17"/>
      <c r="B1279" s="85"/>
      <c r="C1279" s="17"/>
      <c r="D1279" s="85"/>
      <c r="E1279" s="17"/>
      <c r="F1279" s="17"/>
      <c r="G1279" s="17"/>
      <c r="I1279" s="17"/>
      <c r="K1279" s="17"/>
      <c r="L1279" s="17"/>
      <c r="M1279" s="17"/>
      <c r="O1279" s="14">
        <f t="shared" si="1"/>
        <v>0</v>
      </c>
      <c r="P1279" s="86" t="str">
        <f t="array" ref="P1279">iferror(XLOOKUP(C1279,'Download of SFDC Activation Rep'!B:B,'Download of SFDC Activation Rep'!Z:Z),"")</f>
        <v/>
      </c>
      <c r="Q1279" s="86" t="str">
        <f t="shared" si="2"/>
        <v/>
      </c>
      <c r="R1279" s="13" t="str">
        <f t="shared" si="3"/>
        <v>Yes</v>
      </c>
      <c r="S1279" s="86" t="str">
        <f t="array" ref="S1279">iferror(XLOOKUP(C1279,'Download of SFDC Activation Rep'!B:B,'Download of SFDC Activation Rep'!Y:Y),"")</f>
        <v/>
      </c>
    </row>
    <row r="1280">
      <c r="A1280" s="17"/>
      <c r="B1280" s="85"/>
      <c r="C1280" s="17"/>
      <c r="D1280" s="85"/>
      <c r="E1280" s="17"/>
      <c r="F1280" s="17"/>
      <c r="G1280" s="17"/>
      <c r="I1280" s="17"/>
      <c r="K1280" s="17"/>
      <c r="L1280" s="17"/>
      <c r="M1280" s="17"/>
      <c r="O1280" s="14">
        <f t="shared" si="1"/>
        <v>0</v>
      </c>
      <c r="P1280" s="86" t="str">
        <f t="array" ref="P1280">iferror(XLOOKUP(C1280,'Download of SFDC Activation Rep'!B:B,'Download of SFDC Activation Rep'!Z:Z),"")</f>
        <v/>
      </c>
      <c r="Q1280" s="86" t="str">
        <f t="shared" si="2"/>
        <v/>
      </c>
      <c r="R1280" s="13" t="str">
        <f t="shared" si="3"/>
        <v>Yes</v>
      </c>
      <c r="S1280" s="86" t="str">
        <f t="array" ref="S1280">iferror(XLOOKUP(C1280,'Download of SFDC Activation Rep'!B:B,'Download of SFDC Activation Rep'!Y:Y),"")</f>
        <v/>
      </c>
    </row>
    <row r="1281">
      <c r="A1281" s="17"/>
      <c r="B1281" s="85"/>
      <c r="C1281" s="17"/>
      <c r="D1281" s="85"/>
      <c r="E1281" s="17"/>
      <c r="F1281" s="17"/>
      <c r="G1281" s="17"/>
      <c r="I1281" s="17"/>
      <c r="K1281" s="17"/>
      <c r="L1281" s="17"/>
      <c r="M1281" s="17"/>
      <c r="O1281" s="14">
        <f t="shared" si="1"/>
        <v>0</v>
      </c>
      <c r="P1281" s="86" t="str">
        <f t="array" ref="P1281">iferror(XLOOKUP(C1281,'Download of SFDC Activation Rep'!B:B,'Download of SFDC Activation Rep'!Z:Z),"")</f>
        <v/>
      </c>
      <c r="Q1281" s="86" t="str">
        <f t="shared" si="2"/>
        <v/>
      </c>
      <c r="R1281" s="13" t="str">
        <f t="shared" si="3"/>
        <v>Yes</v>
      </c>
      <c r="S1281" s="86" t="str">
        <f t="array" ref="S1281">iferror(XLOOKUP(C1281,'Download of SFDC Activation Rep'!B:B,'Download of SFDC Activation Rep'!Y:Y),"")</f>
        <v/>
      </c>
    </row>
    <row r="1282">
      <c r="A1282" s="17"/>
      <c r="B1282" s="85"/>
      <c r="C1282" s="17"/>
      <c r="D1282" s="85"/>
      <c r="E1282" s="17"/>
      <c r="F1282" s="17"/>
      <c r="G1282" s="17"/>
      <c r="I1282" s="17"/>
      <c r="K1282" s="17"/>
      <c r="L1282" s="17"/>
      <c r="M1282" s="17"/>
      <c r="O1282" s="14">
        <f t="shared" si="1"/>
        <v>0</v>
      </c>
      <c r="P1282" s="86" t="str">
        <f t="array" ref="P1282">iferror(XLOOKUP(C1282,'Download of SFDC Activation Rep'!B:B,'Download of SFDC Activation Rep'!Z:Z),"")</f>
        <v/>
      </c>
      <c r="Q1282" s="86" t="str">
        <f t="shared" si="2"/>
        <v/>
      </c>
      <c r="R1282" s="13" t="str">
        <f t="shared" si="3"/>
        <v>Yes</v>
      </c>
      <c r="S1282" s="86" t="str">
        <f t="array" ref="S1282">iferror(XLOOKUP(C1282,'Download of SFDC Activation Rep'!B:B,'Download of SFDC Activation Rep'!Y:Y),"")</f>
        <v/>
      </c>
    </row>
    <row r="1283">
      <c r="A1283" s="17"/>
      <c r="B1283" s="85"/>
      <c r="C1283" s="17"/>
      <c r="D1283" s="85"/>
      <c r="E1283" s="17"/>
      <c r="F1283" s="17"/>
      <c r="G1283" s="17"/>
      <c r="I1283" s="17"/>
      <c r="K1283" s="17"/>
      <c r="L1283" s="17"/>
      <c r="M1283" s="17"/>
      <c r="O1283" s="14">
        <f t="shared" si="1"/>
        <v>0</v>
      </c>
      <c r="P1283" s="86" t="str">
        <f t="array" ref="P1283">iferror(XLOOKUP(C1283,'Download of SFDC Activation Rep'!B:B,'Download of SFDC Activation Rep'!Z:Z),"")</f>
        <v/>
      </c>
      <c r="Q1283" s="86" t="str">
        <f t="shared" si="2"/>
        <v/>
      </c>
      <c r="R1283" s="13" t="str">
        <f t="shared" si="3"/>
        <v>Yes</v>
      </c>
      <c r="S1283" s="86" t="str">
        <f t="array" ref="S1283">iferror(XLOOKUP(C1283,'Download of SFDC Activation Rep'!B:B,'Download of SFDC Activation Rep'!Y:Y),"")</f>
        <v/>
      </c>
    </row>
    <row r="1284">
      <c r="A1284" s="17"/>
      <c r="B1284" s="85"/>
      <c r="C1284" s="17"/>
      <c r="D1284" s="85"/>
      <c r="E1284" s="17"/>
      <c r="F1284" s="17"/>
      <c r="G1284" s="17"/>
      <c r="I1284" s="17"/>
      <c r="K1284" s="17"/>
      <c r="L1284" s="17"/>
      <c r="M1284" s="17"/>
      <c r="O1284" s="14">
        <f t="shared" si="1"/>
        <v>0</v>
      </c>
      <c r="P1284" s="86" t="str">
        <f t="array" ref="P1284">iferror(XLOOKUP(C1284,'Download of SFDC Activation Rep'!B:B,'Download of SFDC Activation Rep'!Z:Z),"")</f>
        <v/>
      </c>
      <c r="Q1284" s="86" t="str">
        <f t="shared" si="2"/>
        <v/>
      </c>
      <c r="R1284" s="13" t="str">
        <f t="shared" si="3"/>
        <v>Yes</v>
      </c>
      <c r="S1284" s="86" t="str">
        <f t="array" ref="S1284">iferror(XLOOKUP(C1284,'Download of SFDC Activation Rep'!B:B,'Download of SFDC Activation Rep'!Y:Y),"")</f>
        <v/>
      </c>
    </row>
    <row r="1285">
      <c r="A1285" s="17"/>
      <c r="B1285" s="85"/>
      <c r="C1285" s="17"/>
      <c r="D1285" s="85"/>
      <c r="E1285" s="17"/>
      <c r="F1285" s="17"/>
      <c r="G1285" s="17"/>
      <c r="I1285" s="17"/>
      <c r="K1285" s="17"/>
      <c r="L1285" s="17"/>
      <c r="M1285" s="17"/>
      <c r="O1285" s="14">
        <f t="shared" si="1"/>
        <v>0</v>
      </c>
      <c r="P1285" s="86" t="str">
        <f t="array" ref="P1285">iferror(XLOOKUP(C1285,'Download of SFDC Activation Rep'!B:B,'Download of SFDC Activation Rep'!Z:Z),"")</f>
        <v/>
      </c>
      <c r="Q1285" s="86" t="str">
        <f t="shared" si="2"/>
        <v/>
      </c>
      <c r="R1285" s="13" t="str">
        <f t="shared" si="3"/>
        <v>Yes</v>
      </c>
      <c r="S1285" s="86" t="str">
        <f t="array" ref="S1285">iferror(XLOOKUP(C1285,'Download of SFDC Activation Rep'!B:B,'Download of SFDC Activation Rep'!Y:Y),"")</f>
        <v/>
      </c>
    </row>
    <row r="1286">
      <c r="A1286" s="17"/>
      <c r="B1286" s="85"/>
      <c r="C1286" s="17"/>
      <c r="D1286" s="85"/>
      <c r="E1286" s="17"/>
      <c r="F1286" s="17"/>
      <c r="G1286" s="17"/>
      <c r="I1286" s="17"/>
      <c r="K1286" s="17"/>
      <c r="L1286" s="17"/>
      <c r="M1286" s="17"/>
      <c r="O1286" s="14">
        <f t="shared" si="1"/>
        <v>0</v>
      </c>
      <c r="P1286" s="86" t="str">
        <f t="array" ref="P1286">iferror(XLOOKUP(C1286,'Download of SFDC Activation Rep'!B:B,'Download of SFDC Activation Rep'!Z:Z),"")</f>
        <v/>
      </c>
      <c r="Q1286" s="86" t="str">
        <f t="shared" si="2"/>
        <v/>
      </c>
      <c r="R1286" s="13" t="str">
        <f t="shared" si="3"/>
        <v>Yes</v>
      </c>
      <c r="S1286" s="86" t="str">
        <f t="array" ref="S1286">iferror(XLOOKUP(C1286,'Download of SFDC Activation Rep'!B:B,'Download of SFDC Activation Rep'!Y:Y),"")</f>
        <v/>
      </c>
    </row>
    <row r="1287">
      <c r="A1287" s="17"/>
      <c r="B1287" s="85"/>
      <c r="C1287" s="17"/>
      <c r="D1287" s="85"/>
      <c r="E1287" s="17"/>
      <c r="F1287" s="17"/>
      <c r="G1287" s="17"/>
      <c r="I1287" s="17"/>
      <c r="K1287" s="17"/>
      <c r="L1287" s="17"/>
      <c r="M1287" s="17"/>
      <c r="O1287" s="14">
        <f t="shared" si="1"/>
        <v>0</v>
      </c>
      <c r="P1287" s="86" t="str">
        <f t="array" ref="P1287">iferror(XLOOKUP(C1287,'Download of SFDC Activation Rep'!B:B,'Download of SFDC Activation Rep'!Z:Z),"")</f>
        <v/>
      </c>
      <c r="Q1287" s="86" t="str">
        <f t="shared" si="2"/>
        <v/>
      </c>
      <c r="R1287" s="13" t="str">
        <f t="shared" si="3"/>
        <v>Yes</v>
      </c>
      <c r="S1287" s="86" t="str">
        <f t="array" ref="S1287">iferror(XLOOKUP(C1287,'Download of SFDC Activation Rep'!B:B,'Download of SFDC Activation Rep'!Y:Y),"")</f>
        <v/>
      </c>
    </row>
    <row r="1288">
      <c r="A1288" s="17"/>
      <c r="B1288" s="85"/>
      <c r="C1288" s="17"/>
      <c r="D1288" s="85"/>
      <c r="E1288" s="17"/>
      <c r="F1288" s="17"/>
      <c r="G1288" s="17"/>
      <c r="I1288" s="17"/>
      <c r="K1288" s="17"/>
      <c r="L1288" s="17"/>
      <c r="M1288" s="17"/>
      <c r="O1288" s="14">
        <f t="shared" si="1"/>
        <v>0</v>
      </c>
      <c r="P1288" s="86" t="str">
        <f t="array" ref="P1288">iferror(XLOOKUP(C1288,'Download of SFDC Activation Rep'!B:B,'Download of SFDC Activation Rep'!Z:Z),"")</f>
        <v/>
      </c>
      <c r="Q1288" s="86" t="str">
        <f t="shared" si="2"/>
        <v/>
      </c>
      <c r="R1288" s="13" t="str">
        <f t="shared" si="3"/>
        <v>Yes</v>
      </c>
      <c r="S1288" s="86" t="str">
        <f t="array" ref="S1288">iferror(XLOOKUP(C1288,'Download of SFDC Activation Rep'!B:B,'Download of SFDC Activation Rep'!Y:Y),"")</f>
        <v/>
      </c>
    </row>
    <row r="1289">
      <c r="A1289" s="17"/>
      <c r="B1289" s="85"/>
      <c r="C1289" s="17"/>
      <c r="D1289" s="85"/>
      <c r="E1289" s="17"/>
      <c r="F1289" s="17"/>
      <c r="G1289" s="17"/>
      <c r="I1289" s="17"/>
      <c r="K1289" s="17"/>
      <c r="L1289" s="17"/>
      <c r="M1289" s="17"/>
      <c r="O1289" s="14">
        <f t="shared" si="1"/>
        <v>0</v>
      </c>
      <c r="P1289" s="86" t="str">
        <f t="array" ref="P1289">iferror(XLOOKUP(C1289,'Download of SFDC Activation Rep'!B:B,'Download of SFDC Activation Rep'!Z:Z),"")</f>
        <v/>
      </c>
      <c r="Q1289" s="86" t="str">
        <f t="shared" si="2"/>
        <v/>
      </c>
      <c r="R1289" s="13" t="str">
        <f t="shared" si="3"/>
        <v>Yes</v>
      </c>
      <c r="S1289" s="86" t="str">
        <f t="array" ref="S1289">iferror(XLOOKUP(C1289,'Download of SFDC Activation Rep'!B:B,'Download of SFDC Activation Rep'!Y:Y),"")</f>
        <v/>
      </c>
    </row>
    <row r="1290">
      <c r="A1290" s="17"/>
      <c r="B1290" s="85"/>
      <c r="C1290" s="17"/>
      <c r="D1290" s="85"/>
      <c r="E1290" s="17"/>
      <c r="F1290" s="17"/>
      <c r="G1290" s="17"/>
      <c r="I1290" s="17"/>
      <c r="K1290" s="17"/>
      <c r="L1290" s="17"/>
      <c r="M1290" s="17"/>
      <c r="O1290" s="14">
        <f t="shared" si="1"/>
        <v>0</v>
      </c>
      <c r="P1290" s="86" t="str">
        <f t="array" ref="P1290">iferror(XLOOKUP(C1290,'Download of SFDC Activation Rep'!B:B,'Download of SFDC Activation Rep'!Z:Z),"")</f>
        <v/>
      </c>
      <c r="Q1290" s="86" t="str">
        <f t="shared" si="2"/>
        <v/>
      </c>
      <c r="R1290" s="13" t="str">
        <f t="shared" si="3"/>
        <v>Yes</v>
      </c>
      <c r="S1290" s="86" t="str">
        <f t="array" ref="S1290">iferror(XLOOKUP(C1290,'Download of SFDC Activation Rep'!B:B,'Download of SFDC Activation Rep'!Y:Y),"")</f>
        <v/>
      </c>
    </row>
    <row r="1291">
      <c r="A1291" s="17"/>
      <c r="B1291" s="85"/>
      <c r="C1291" s="17"/>
      <c r="D1291" s="85"/>
      <c r="E1291" s="17"/>
      <c r="F1291" s="17"/>
      <c r="G1291" s="17"/>
      <c r="I1291" s="17"/>
      <c r="K1291" s="17"/>
      <c r="L1291" s="17"/>
      <c r="M1291" s="17"/>
      <c r="O1291" s="14">
        <f t="shared" si="1"/>
        <v>0</v>
      </c>
      <c r="P1291" s="86" t="str">
        <f t="array" ref="P1291">iferror(XLOOKUP(C1291,'Download of SFDC Activation Rep'!B:B,'Download of SFDC Activation Rep'!Z:Z),"")</f>
        <v/>
      </c>
      <c r="Q1291" s="86" t="str">
        <f t="shared" si="2"/>
        <v/>
      </c>
      <c r="R1291" s="13" t="str">
        <f t="shared" si="3"/>
        <v>Yes</v>
      </c>
      <c r="S1291" s="86" t="str">
        <f t="array" ref="S1291">iferror(XLOOKUP(C1291,'Download of SFDC Activation Rep'!B:B,'Download of SFDC Activation Rep'!Y:Y),"")</f>
        <v/>
      </c>
    </row>
    <row r="1292">
      <c r="A1292" s="17"/>
      <c r="B1292" s="85"/>
      <c r="C1292" s="17"/>
      <c r="D1292" s="85"/>
      <c r="E1292" s="17"/>
      <c r="F1292" s="17"/>
      <c r="G1292" s="17"/>
      <c r="I1292" s="17"/>
      <c r="K1292" s="17"/>
      <c r="L1292" s="17"/>
      <c r="M1292" s="17"/>
      <c r="O1292" s="14">
        <f t="shared" si="1"/>
        <v>0</v>
      </c>
      <c r="P1292" s="86" t="str">
        <f t="array" ref="P1292">iferror(XLOOKUP(C1292,'Download of SFDC Activation Rep'!B:B,'Download of SFDC Activation Rep'!Z:Z),"")</f>
        <v/>
      </c>
      <c r="Q1292" s="86" t="str">
        <f t="shared" si="2"/>
        <v/>
      </c>
      <c r="R1292" s="13" t="str">
        <f t="shared" si="3"/>
        <v>Yes</v>
      </c>
      <c r="S1292" s="86" t="str">
        <f t="array" ref="S1292">iferror(XLOOKUP(C1292,'Download of SFDC Activation Rep'!B:B,'Download of SFDC Activation Rep'!Y:Y),"")</f>
        <v/>
      </c>
    </row>
    <row r="1293">
      <c r="A1293" s="17"/>
      <c r="B1293" s="85"/>
      <c r="C1293" s="17"/>
      <c r="D1293" s="85"/>
      <c r="E1293" s="17"/>
      <c r="F1293" s="17"/>
      <c r="G1293" s="17"/>
      <c r="I1293" s="17"/>
      <c r="K1293" s="17"/>
      <c r="L1293" s="17"/>
      <c r="M1293" s="17"/>
      <c r="O1293" s="14">
        <f t="shared" si="1"/>
        <v>0</v>
      </c>
      <c r="P1293" s="86" t="str">
        <f t="array" ref="P1293">iferror(XLOOKUP(C1293,'Download of SFDC Activation Rep'!B:B,'Download of SFDC Activation Rep'!Z:Z),"")</f>
        <v/>
      </c>
      <c r="Q1293" s="86" t="str">
        <f t="shared" si="2"/>
        <v/>
      </c>
      <c r="R1293" s="13" t="str">
        <f t="shared" si="3"/>
        <v>Yes</v>
      </c>
      <c r="S1293" s="86" t="str">
        <f t="array" ref="S1293">iferror(XLOOKUP(C1293,'Download of SFDC Activation Rep'!B:B,'Download of SFDC Activation Rep'!Y:Y),"")</f>
        <v/>
      </c>
    </row>
    <row r="1294">
      <c r="A1294" s="17"/>
      <c r="B1294" s="85"/>
      <c r="C1294" s="17"/>
      <c r="D1294" s="85"/>
      <c r="E1294" s="17"/>
      <c r="F1294" s="17"/>
      <c r="G1294" s="17"/>
      <c r="I1294" s="17"/>
      <c r="K1294" s="17"/>
      <c r="L1294" s="17"/>
      <c r="M1294" s="17"/>
      <c r="O1294" s="14">
        <f t="shared" si="1"/>
        <v>0</v>
      </c>
      <c r="P1294" s="86" t="str">
        <f t="array" ref="P1294">iferror(XLOOKUP(C1294,'Download of SFDC Activation Rep'!B:B,'Download of SFDC Activation Rep'!Z:Z),"")</f>
        <v/>
      </c>
      <c r="Q1294" s="86" t="str">
        <f t="shared" si="2"/>
        <v/>
      </c>
      <c r="R1294" s="13" t="str">
        <f t="shared" si="3"/>
        <v>Yes</v>
      </c>
      <c r="S1294" s="86" t="str">
        <f t="array" ref="S1294">iferror(XLOOKUP(C1294,'Download of SFDC Activation Rep'!B:B,'Download of SFDC Activation Rep'!Y:Y),"")</f>
        <v/>
      </c>
    </row>
    <row r="1295">
      <c r="A1295" s="17"/>
      <c r="B1295" s="85"/>
      <c r="C1295" s="17"/>
      <c r="D1295" s="85"/>
      <c r="E1295" s="17"/>
      <c r="F1295" s="17"/>
      <c r="G1295" s="17"/>
      <c r="I1295" s="17"/>
      <c r="K1295" s="17"/>
      <c r="L1295" s="17"/>
      <c r="M1295" s="17"/>
      <c r="O1295" s="14">
        <f t="shared" si="1"/>
        <v>0</v>
      </c>
      <c r="P1295" s="86" t="str">
        <f t="array" ref="P1295">iferror(XLOOKUP(C1295,'Download of SFDC Activation Rep'!B:B,'Download of SFDC Activation Rep'!Z:Z),"")</f>
        <v/>
      </c>
      <c r="Q1295" s="86" t="str">
        <f t="shared" si="2"/>
        <v/>
      </c>
      <c r="R1295" s="13" t="str">
        <f t="shared" si="3"/>
        <v>Yes</v>
      </c>
      <c r="S1295" s="86" t="str">
        <f t="array" ref="S1295">iferror(XLOOKUP(C1295,'Download of SFDC Activation Rep'!B:B,'Download of SFDC Activation Rep'!Y:Y),"")</f>
        <v/>
      </c>
    </row>
    <row r="1296">
      <c r="A1296" s="17"/>
      <c r="B1296" s="85"/>
      <c r="C1296" s="17"/>
      <c r="D1296" s="85"/>
      <c r="E1296" s="17"/>
      <c r="F1296" s="17"/>
      <c r="G1296" s="17"/>
      <c r="I1296" s="17"/>
      <c r="K1296" s="17"/>
      <c r="L1296" s="17"/>
      <c r="M1296" s="17"/>
      <c r="O1296" s="14">
        <f t="shared" si="1"/>
        <v>0</v>
      </c>
      <c r="P1296" s="86" t="str">
        <f t="array" ref="P1296">iferror(XLOOKUP(C1296,'Download of SFDC Activation Rep'!B:B,'Download of SFDC Activation Rep'!Z:Z),"")</f>
        <v/>
      </c>
      <c r="Q1296" s="86" t="str">
        <f t="shared" si="2"/>
        <v/>
      </c>
      <c r="R1296" s="13" t="str">
        <f t="shared" si="3"/>
        <v>Yes</v>
      </c>
      <c r="S1296" s="86" t="str">
        <f t="array" ref="S1296">iferror(XLOOKUP(C1296,'Download of SFDC Activation Rep'!B:B,'Download of SFDC Activation Rep'!Y:Y),"")</f>
        <v/>
      </c>
    </row>
    <row r="1297">
      <c r="A1297" s="17"/>
      <c r="B1297" s="85"/>
      <c r="C1297" s="17"/>
      <c r="D1297" s="85"/>
      <c r="E1297" s="17"/>
      <c r="F1297" s="17"/>
      <c r="G1297" s="17"/>
      <c r="I1297" s="17"/>
      <c r="K1297" s="17"/>
      <c r="L1297" s="17"/>
      <c r="M1297" s="17"/>
      <c r="O1297" s="14">
        <f t="shared" si="1"/>
        <v>0</v>
      </c>
      <c r="P1297" s="86" t="str">
        <f t="array" ref="P1297">iferror(XLOOKUP(C1297,'Download of SFDC Activation Rep'!B:B,'Download of SFDC Activation Rep'!Z:Z),"")</f>
        <v/>
      </c>
      <c r="Q1297" s="86" t="str">
        <f t="shared" si="2"/>
        <v/>
      </c>
      <c r="R1297" s="13" t="str">
        <f t="shared" si="3"/>
        <v>Yes</v>
      </c>
      <c r="S1297" s="86" t="str">
        <f t="array" ref="S1297">iferror(XLOOKUP(C1297,'Download of SFDC Activation Rep'!B:B,'Download of SFDC Activation Rep'!Y:Y),"")</f>
        <v/>
      </c>
    </row>
    <row r="1298">
      <c r="A1298" s="17"/>
      <c r="B1298" s="85"/>
      <c r="C1298" s="17"/>
      <c r="D1298" s="85"/>
      <c r="E1298" s="17"/>
      <c r="F1298" s="17"/>
      <c r="G1298" s="17"/>
      <c r="I1298" s="17"/>
      <c r="K1298" s="17"/>
      <c r="L1298" s="17"/>
      <c r="M1298" s="17"/>
      <c r="O1298" s="14">
        <f t="shared" si="1"/>
        <v>0</v>
      </c>
      <c r="P1298" s="86" t="str">
        <f t="array" ref="P1298">iferror(XLOOKUP(C1298,'Download of SFDC Activation Rep'!B:B,'Download of SFDC Activation Rep'!Z:Z),"")</f>
        <v/>
      </c>
      <c r="Q1298" s="86" t="str">
        <f t="shared" si="2"/>
        <v/>
      </c>
      <c r="R1298" s="13" t="str">
        <f t="shared" si="3"/>
        <v>Yes</v>
      </c>
      <c r="S1298" s="86" t="str">
        <f t="array" ref="S1298">iferror(XLOOKUP(C1298,'Download of SFDC Activation Rep'!B:B,'Download of SFDC Activation Rep'!Y:Y),"")</f>
        <v/>
      </c>
    </row>
    <row r="1299">
      <c r="A1299" s="17"/>
      <c r="B1299" s="85"/>
      <c r="C1299" s="17"/>
      <c r="D1299" s="85"/>
      <c r="E1299" s="17"/>
      <c r="F1299" s="17"/>
      <c r="G1299" s="17"/>
      <c r="I1299" s="17"/>
      <c r="K1299" s="17"/>
      <c r="L1299" s="17"/>
      <c r="M1299" s="17"/>
      <c r="O1299" s="14">
        <f t="shared" si="1"/>
        <v>0</v>
      </c>
      <c r="P1299" s="86" t="str">
        <f t="array" ref="P1299">iferror(XLOOKUP(C1299,'Download of SFDC Activation Rep'!B:B,'Download of SFDC Activation Rep'!Z:Z),"")</f>
        <v/>
      </c>
      <c r="Q1299" s="86" t="str">
        <f t="shared" si="2"/>
        <v/>
      </c>
      <c r="R1299" s="13" t="str">
        <f t="shared" si="3"/>
        <v>Yes</v>
      </c>
      <c r="S1299" s="86" t="str">
        <f t="array" ref="S1299">iferror(XLOOKUP(C1299,'Download of SFDC Activation Rep'!B:B,'Download of SFDC Activation Rep'!Y:Y),"")</f>
        <v/>
      </c>
    </row>
    <row r="1300">
      <c r="A1300" s="17"/>
      <c r="B1300" s="85"/>
      <c r="C1300" s="17"/>
      <c r="D1300" s="85"/>
      <c r="E1300" s="17"/>
      <c r="F1300" s="17"/>
      <c r="G1300" s="17"/>
      <c r="I1300" s="17"/>
      <c r="K1300" s="17"/>
      <c r="L1300" s="17"/>
      <c r="M1300" s="17"/>
      <c r="O1300" s="14">
        <f t="shared" si="1"/>
        <v>0</v>
      </c>
      <c r="P1300" s="86" t="str">
        <f t="array" ref="P1300">iferror(XLOOKUP(C1300,'Download of SFDC Activation Rep'!B:B,'Download of SFDC Activation Rep'!Z:Z),"")</f>
        <v/>
      </c>
      <c r="Q1300" s="86" t="str">
        <f t="shared" si="2"/>
        <v/>
      </c>
      <c r="R1300" s="13" t="str">
        <f t="shared" si="3"/>
        <v>Yes</v>
      </c>
      <c r="S1300" s="86" t="str">
        <f t="array" ref="S1300">iferror(XLOOKUP(C1300,'Download of SFDC Activation Rep'!B:B,'Download of SFDC Activation Rep'!Y:Y),"")</f>
        <v/>
      </c>
    </row>
    <row r="1301">
      <c r="A1301" s="17"/>
      <c r="B1301" s="85"/>
      <c r="C1301" s="17"/>
      <c r="D1301" s="85"/>
      <c r="E1301" s="17"/>
      <c r="F1301" s="17"/>
      <c r="G1301" s="17"/>
      <c r="I1301" s="17"/>
      <c r="K1301" s="17"/>
      <c r="L1301" s="17"/>
      <c r="M1301" s="17"/>
      <c r="O1301" s="14">
        <f t="shared" si="1"/>
        <v>0</v>
      </c>
      <c r="P1301" s="86" t="str">
        <f t="array" ref="P1301">iferror(XLOOKUP(C1301,'Download of SFDC Activation Rep'!B:B,'Download of SFDC Activation Rep'!Z:Z),"")</f>
        <v/>
      </c>
      <c r="Q1301" s="86" t="str">
        <f t="shared" si="2"/>
        <v/>
      </c>
      <c r="R1301" s="13" t="str">
        <f t="shared" si="3"/>
        <v>Yes</v>
      </c>
      <c r="S1301" s="86" t="str">
        <f t="array" ref="S1301">iferror(XLOOKUP(C1301,'Download of SFDC Activation Rep'!B:B,'Download of SFDC Activation Rep'!Y:Y),"")</f>
        <v/>
      </c>
    </row>
    <row r="1302">
      <c r="A1302" s="17"/>
      <c r="B1302" s="85"/>
      <c r="C1302" s="17"/>
      <c r="D1302" s="85"/>
      <c r="E1302" s="17"/>
      <c r="F1302" s="17"/>
      <c r="G1302" s="17"/>
      <c r="I1302" s="17"/>
      <c r="K1302" s="17"/>
      <c r="L1302" s="17"/>
      <c r="M1302" s="17"/>
      <c r="O1302" s="14">
        <f t="shared" si="1"/>
        <v>0</v>
      </c>
      <c r="P1302" s="86" t="str">
        <f t="array" ref="P1302">iferror(XLOOKUP(C1302,'Download of SFDC Activation Rep'!B:B,'Download of SFDC Activation Rep'!Z:Z),"")</f>
        <v/>
      </c>
      <c r="Q1302" s="86" t="str">
        <f t="shared" si="2"/>
        <v/>
      </c>
      <c r="R1302" s="13" t="str">
        <f t="shared" si="3"/>
        <v>Yes</v>
      </c>
      <c r="S1302" s="86" t="str">
        <f t="array" ref="S1302">iferror(XLOOKUP(C1302,'Download of SFDC Activation Rep'!B:B,'Download of SFDC Activation Rep'!Y:Y),"")</f>
        <v/>
      </c>
    </row>
    <row r="1303">
      <c r="A1303" s="17"/>
      <c r="B1303" s="85"/>
      <c r="C1303" s="17"/>
      <c r="D1303" s="85"/>
      <c r="E1303" s="17"/>
      <c r="F1303" s="17"/>
      <c r="G1303" s="17"/>
      <c r="I1303" s="17"/>
      <c r="K1303" s="17"/>
      <c r="L1303" s="17"/>
      <c r="M1303" s="17"/>
      <c r="O1303" s="14">
        <f t="shared" si="1"/>
        <v>0</v>
      </c>
      <c r="P1303" s="86" t="str">
        <f t="array" ref="P1303">iferror(XLOOKUP(C1303,'Download of SFDC Activation Rep'!B:B,'Download of SFDC Activation Rep'!Z:Z),"")</f>
        <v/>
      </c>
      <c r="Q1303" s="86" t="str">
        <f t="shared" si="2"/>
        <v/>
      </c>
      <c r="R1303" s="13" t="str">
        <f t="shared" si="3"/>
        <v>Yes</v>
      </c>
      <c r="S1303" s="86" t="str">
        <f t="array" ref="S1303">iferror(XLOOKUP(C1303,'Download of SFDC Activation Rep'!B:B,'Download of SFDC Activation Rep'!Y:Y),"")</f>
        <v/>
      </c>
    </row>
    <row r="1304">
      <c r="A1304" s="17"/>
      <c r="B1304" s="85"/>
      <c r="C1304" s="17"/>
      <c r="D1304" s="85"/>
      <c r="E1304" s="17"/>
      <c r="F1304" s="17"/>
      <c r="G1304" s="17"/>
      <c r="I1304" s="17"/>
      <c r="K1304" s="17"/>
      <c r="L1304" s="17"/>
      <c r="M1304" s="17"/>
      <c r="O1304" s="14">
        <f t="shared" si="1"/>
        <v>0</v>
      </c>
      <c r="P1304" s="86" t="str">
        <f t="array" ref="P1304">iferror(XLOOKUP(C1304,'Download of SFDC Activation Rep'!B:B,'Download of SFDC Activation Rep'!Z:Z),"")</f>
        <v/>
      </c>
      <c r="Q1304" s="86" t="str">
        <f t="shared" si="2"/>
        <v/>
      </c>
      <c r="R1304" s="13" t="str">
        <f t="shared" si="3"/>
        <v>Yes</v>
      </c>
      <c r="S1304" s="86" t="str">
        <f t="array" ref="S1304">iferror(XLOOKUP(C1304,'Download of SFDC Activation Rep'!B:B,'Download of SFDC Activation Rep'!Y:Y),"")</f>
        <v/>
      </c>
    </row>
    <row r="1305">
      <c r="A1305" s="17"/>
      <c r="B1305" s="85"/>
      <c r="C1305" s="17"/>
      <c r="D1305" s="85"/>
      <c r="E1305" s="17"/>
      <c r="F1305" s="17"/>
      <c r="G1305" s="17"/>
      <c r="I1305" s="17"/>
      <c r="K1305" s="17"/>
      <c r="L1305" s="17"/>
      <c r="M1305" s="17"/>
      <c r="O1305" s="14">
        <f t="shared" si="1"/>
        <v>0</v>
      </c>
      <c r="P1305" s="86" t="str">
        <f t="array" ref="P1305">iferror(XLOOKUP(C1305,'Download of SFDC Activation Rep'!B:B,'Download of SFDC Activation Rep'!Z:Z),"")</f>
        <v/>
      </c>
      <c r="Q1305" s="86" t="str">
        <f t="shared" si="2"/>
        <v/>
      </c>
      <c r="R1305" s="13" t="str">
        <f t="shared" si="3"/>
        <v>Yes</v>
      </c>
      <c r="S1305" s="86" t="str">
        <f t="array" ref="S1305">iferror(XLOOKUP(C1305,'Download of SFDC Activation Rep'!B:B,'Download of SFDC Activation Rep'!Y:Y),"")</f>
        <v/>
      </c>
    </row>
    <row r="1306">
      <c r="A1306" s="17"/>
      <c r="B1306" s="85"/>
      <c r="C1306" s="17"/>
      <c r="D1306" s="85"/>
      <c r="E1306" s="17"/>
      <c r="F1306" s="17"/>
      <c r="G1306" s="17"/>
      <c r="I1306" s="17"/>
      <c r="K1306" s="17"/>
      <c r="L1306" s="17"/>
      <c r="M1306" s="17"/>
      <c r="O1306" s="14">
        <f t="shared" si="1"/>
        <v>0</v>
      </c>
      <c r="P1306" s="86" t="str">
        <f t="array" ref="P1306">iferror(XLOOKUP(C1306,'Download of SFDC Activation Rep'!B:B,'Download of SFDC Activation Rep'!Z:Z),"")</f>
        <v/>
      </c>
      <c r="Q1306" s="86" t="str">
        <f t="shared" si="2"/>
        <v/>
      </c>
      <c r="R1306" s="13" t="str">
        <f t="shared" si="3"/>
        <v>Yes</v>
      </c>
      <c r="S1306" s="86" t="str">
        <f t="array" ref="S1306">iferror(XLOOKUP(C1306,'Download of SFDC Activation Rep'!B:B,'Download of SFDC Activation Rep'!Y:Y),"")</f>
        <v/>
      </c>
    </row>
    <row r="1307">
      <c r="A1307" s="17"/>
      <c r="B1307" s="85"/>
      <c r="C1307" s="17"/>
      <c r="D1307" s="85"/>
      <c r="E1307" s="17"/>
      <c r="F1307" s="17"/>
      <c r="G1307" s="17"/>
      <c r="I1307" s="17"/>
      <c r="K1307" s="17"/>
      <c r="L1307" s="17"/>
      <c r="M1307" s="17"/>
      <c r="O1307" s="14">
        <f t="shared" si="1"/>
        <v>0</v>
      </c>
      <c r="P1307" s="86" t="str">
        <f t="array" ref="P1307">iferror(XLOOKUP(C1307,'Download of SFDC Activation Rep'!B:B,'Download of SFDC Activation Rep'!Z:Z),"")</f>
        <v/>
      </c>
      <c r="Q1307" s="86" t="str">
        <f t="shared" si="2"/>
        <v/>
      </c>
      <c r="R1307" s="13" t="str">
        <f t="shared" si="3"/>
        <v>Yes</v>
      </c>
      <c r="S1307" s="86" t="str">
        <f t="array" ref="S1307">iferror(XLOOKUP(C1307,'Download of SFDC Activation Rep'!B:B,'Download of SFDC Activation Rep'!Y:Y),"")</f>
        <v/>
      </c>
    </row>
    <row r="1308">
      <c r="A1308" s="17"/>
      <c r="B1308" s="85"/>
      <c r="C1308" s="17"/>
      <c r="D1308" s="85"/>
      <c r="E1308" s="17"/>
      <c r="F1308" s="17"/>
      <c r="G1308" s="17"/>
      <c r="I1308" s="17"/>
      <c r="K1308" s="17"/>
      <c r="L1308" s="17"/>
      <c r="M1308" s="17"/>
      <c r="O1308" s="14">
        <f t="shared" si="1"/>
        <v>0</v>
      </c>
      <c r="P1308" s="86" t="str">
        <f t="array" ref="P1308">iferror(XLOOKUP(C1308,'Download of SFDC Activation Rep'!B:B,'Download of SFDC Activation Rep'!Z:Z),"")</f>
        <v/>
      </c>
      <c r="Q1308" s="86" t="str">
        <f t="shared" si="2"/>
        <v/>
      </c>
      <c r="R1308" s="13" t="str">
        <f t="shared" si="3"/>
        <v>Yes</v>
      </c>
      <c r="S1308" s="86" t="str">
        <f t="array" ref="S1308">iferror(XLOOKUP(C1308,'Download of SFDC Activation Rep'!B:B,'Download of SFDC Activation Rep'!Y:Y),"")</f>
        <v/>
      </c>
    </row>
    <row r="1309">
      <c r="A1309" s="17"/>
      <c r="B1309" s="85"/>
      <c r="C1309" s="17"/>
      <c r="D1309" s="85"/>
      <c r="E1309" s="17"/>
      <c r="F1309" s="17"/>
      <c r="G1309" s="17"/>
      <c r="I1309" s="17"/>
      <c r="K1309" s="17"/>
      <c r="L1309" s="17"/>
      <c r="M1309" s="17"/>
      <c r="O1309" s="14">
        <f t="shared" si="1"/>
        <v>0</v>
      </c>
      <c r="P1309" s="86" t="str">
        <f t="array" ref="P1309">iferror(XLOOKUP(C1309,'Download of SFDC Activation Rep'!B:B,'Download of SFDC Activation Rep'!Z:Z),"")</f>
        <v/>
      </c>
      <c r="Q1309" s="86" t="str">
        <f t="shared" si="2"/>
        <v/>
      </c>
      <c r="R1309" s="13" t="str">
        <f t="shared" si="3"/>
        <v>Yes</v>
      </c>
      <c r="S1309" s="86" t="str">
        <f t="array" ref="S1309">iferror(XLOOKUP(C1309,'Download of SFDC Activation Rep'!B:B,'Download of SFDC Activation Rep'!Y:Y),"")</f>
        <v/>
      </c>
    </row>
    <row r="1310">
      <c r="A1310" s="17"/>
      <c r="B1310" s="85"/>
      <c r="C1310" s="17"/>
      <c r="D1310" s="85"/>
      <c r="E1310" s="17"/>
      <c r="F1310" s="17"/>
      <c r="G1310" s="17"/>
      <c r="I1310" s="17"/>
      <c r="K1310" s="17"/>
      <c r="L1310" s="17"/>
      <c r="M1310" s="17"/>
      <c r="O1310" s="14">
        <f t="shared" si="1"/>
        <v>0</v>
      </c>
      <c r="P1310" s="86" t="str">
        <f t="array" ref="P1310">iferror(XLOOKUP(C1310,'Download of SFDC Activation Rep'!B:B,'Download of SFDC Activation Rep'!Z:Z),"")</f>
        <v/>
      </c>
      <c r="Q1310" s="86" t="str">
        <f t="shared" si="2"/>
        <v/>
      </c>
      <c r="R1310" s="13" t="str">
        <f t="shared" si="3"/>
        <v>Yes</v>
      </c>
      <c r="S1310" s="86" t="str">
        <f t="array" ref="S1310">iferror(XLOOKUP(C1310,'Download of SFDC Activation Rep'!B:B,'Download of SFDC Activation Rep'!Y:Y),"")</f>
        <v/>
      </c>
    </row>
    <row r="1311">
      <c r="A1311" s="17"/>
      <c r="B1311" s="85"/>
      <c r="C1311" s="17"/>
      <c r="D1311" s="85"/>
      <c r="E1311" s="17"/>
      <c r="F1311" s="17"/>
      <c r="G1311" s="17"/>
      <c r="I1311" s="17"/>
      <c r="K1311" s="17"/>
      <c r="L1311" s="17"/>
      <c r="M1311" s="17"/>
      <c r="O1311" s="14">
        <f t="shared" si="1"/>
        <v>0</v>
      </c>
      <c r="P1311" s="86" t="str">
        <f t="array" ref="P1311">iferror(XLOOKUP(C1311,'Download of SFDC Activation Rep'!B:B,'Download of SFDC Activation Rep'!Z:Z),"")</f>
        <v/>
      </c>
      <c r="Q1311" s="86" t="str">
        <f t="shared" si="2"/>
        <v/>
      </c>
      <c r="R1311" s="13" t="str">
        <f t="shared" si="3"/>
        <v>Yes</v>
      </c>
      <c r="S1311" s="86" t="str">
        <f t="array" ref="S1311">iferror(XLOOKUP(C1311,'Download of SFDC Activation Rep'!B:B,'Download of SFDC Activation Rep'!Y:Y),"")</f>
        <v/>
      </c>
    </row>
    <row r="1312">
      <c r="A1312" s="17"/>
      <c r="B1312" s="85"/>
      <c r="C1312" s="17"/>
      <c r="D1312" s="85"/>
      <c r="E1312" s="17"/>
      <c r="F1312" s="17"/>
      <c r="G1312" s="17"/>
      <c r="I1312" s="17"/>
      <c r="K1312" s="17"/>
      <c r="L1312" s="17"/>
      <c r="M1312" s="17"/>
      <c r="O1312" s="14">
        <f t="shared" si="1"/>
        <v>0</v>
      </c>
      <c r="P1312" s="86" t="str">
        <f t="array" ref="P1312">iferror(XLOOKUP(C1312,'Download of SFDC Activation Rep'!B:B,'Download of SFDC Activation Rep'!Z:Z),"")</f>
        <v/>
      </c>
      <c r="Q1312" s="86" t="str">
        <f t="shared" si="2"/>
        <v/>
      </c>
      <c r="R1312" s="13" t="str">
        <f t="shared" si="3"/>
        <v>Yes</v>
      </c>
      <c r="S1312" s="86" t="str">
        <f t="array" ref="S1312">iferror(XLOOKUP(C1312,'Download of SFDC Activation Rep'!B:B,'Download of SFDC Activation Rep'!Y:Y),"")</f>
        <v/>
      </c>
    </row>
    <row r="1313">
      <c r="A1313" s="17"/>
      <c r="B1313" s="85"/>
      <c r="C1313" s="17"/>
      <c r="D1313" s="85"/>
      <c r="E1313" s="17"/>
      <c r="F1313" s="17"/>
      <c r="G1313" s="17"/>
      <c r="I1313" s="17"/>
      <c r="K1313" s="17"/>
      <c r="L1313" s="17"/>
      <c r="M1313" s="17"/>
      <c r="O1313" s="14">
        <f t="shared" si="1"/>
        <v>0</v>
      </c>
      <c r="P1313" s="86" t="str">
        <f t="array" ref="P1313">iferror(XLOOKUP(C1313,'Download of SFDC Activation Rep'!B:B,'Download of SFDC Activation Rep'!Z:Z),"")</f>
        <v/>
      </c>
      <c r="Q1313" s="86" t="str">
        <f t="shared" si="2"/>
        <v/>
      </c>
      <c r="R1313" s="13" t="str">
        <f t="shared" si="3"/>
        <v>Yes</v>
      </c>
      <c r="S1313" s="86" t="str">
        <f t="array" ref="S1313">iferror(XLOOKUP(C1313,'Download of SFDC Activation Rep'!B:B,'Download of SFDC Activation Rep'!Y:Y),"")</f>
        <v/>
      </c>
    </row>
    <row r="1314">
      <c r="A1314" s="17"/>
      <c r="B1314" s="85"/>
      <c r="C1314" s="17"/>
      <c r="D1314" s="85"/>
      <c r="E1314" s="17"/>
      <c r="F1314" s="17"/>
      <c r="G1314" s="17"/>
      <c r="I1314" s="17"/>
      <c r="K1314" s="17"/>
      <c r="L1314" s="17"/>
      <c r="M1314" s="17"/>
      <c r="O1314" s="14">
        <f t="shared" si="1"/>
        <v>0</v>
      </c>
      <c r="P1314" s="86" t="str">
        <f t="array" ref="P1314">iferror(XLOOKUP(C1314,'Download of SFDC Activation Rep'!B:B,'Download of SFDC Activation Rep'!Z:Z),"")</f>
        <v/>
      </c>
      <c r="Q1314" s="86" t="str">
        <f t="shared" si="2"/>
        <v/>
      </c>
      <c r="R1314" s="13" t="str">
        <f t="shared" si="3"/>
        <v>Yes</v>
      </c>
      <c r="S1314" s="86" t="str">
        <f t="array" ref="S1314">iferror(XLOOKUP(C1314,'Download of SFDC Activation Rep'!B:B,'Download of SFDC Activation Rep'!Y:Y),"")</f>
        <v/>
      </c>
    </row>
    <row r="1315">
      <c r="A1315" s="17"/>
      <c r="B1315" s="85"/>
      <c r="C1315" s="17"/>
      <c r="D1315" s="85"/>
      <c r="E1315" s="17"/>
      <c r="F1315" s="17"/>
      <c r="G1315" s="17"/>
      <c r="I1315" s="17"/>
      <c r="K1315" s="17"/>
      <c r="L1315" s="17"/>
      <c r="M1315" s="17"/>
      <c r="O1315" s="14">
        <f t="shared" si="1"/>
        <v>0</v>
      </c>
      <c r="P1315" s="86" t="str">
        <f t="array" ref="P1315">iferror(XLOOKUP(C1315,'Download of SFDC Activation Rep'!B:B,'Download of SFDC Activation Rep'!Z:Z),"")</f>
        <v/>
      </c>
      <c r="Q1315" s="86" t="str">
        <f t="shared" si="2"/>
        <v/>
      </c>
      <c r="R1315" s="13" t="str">
        <f t="shared" si="3"/>
        <v>Yes</v>
      </c>
      <c r="S1315" s="86" t="str">
        <f t="array" ref="S1315">iferror(XLOOKUP(C1315,'Download of SFDC Activation Rep'!B:B,'Download of SFDC Activation Rep'!Y:Y),"")</f>
        <v/>
      </c>
    </row>
    <row r="1316">
      <c r="A1316" s="17"/>
      <c r="B1316" s="85"/>
      <c r="C1316" s="17"/>
      <c r="D1316" s="85"/>
      <c r="E1316" s="17"/>
      <c r="F1316" s="17"/>
      <c r="G1316" s="17"/>
      <c r="I1316" s="17"/>
      <c r="K1316" s="17"/>
      <c r="L1316" s="17"/>
      <c r="M1316" s="17"/>
      <c r="O1316" s="14">
        <f t="shared" si="1"/>
        <v>0</v>
      </c>
      <c r="P1316" s="86" t="str">
        <f t="array" ref="P1316">iferror(XLOOKUP(C1316,'Download of SFDC Activation Rep'!B:B,'Download of SFDC Activation Rep'!Z:Z),"")</f>
        <v/>
      </c>
      <c r="Q1316" s="86" t="str">
        <f t="shared" si="2"/>
        <v/>
      </c>
      <c r="R1316" s="13" t="str">
        <f t="shared" si="3"/>
        <v>Yes</v>
      </c>
      <c r="S1316" s="86" t="str">
        <f t="array" ref="S1316">iferror(XLOOKUP(C1316,'Download of SFDC Activation Rep'!B:B,'Download of SFDC Activation Rep'!Y:Y),"")</f>
        <v/>
      </c>
    </row>
    <row r="1317">
      <c r="A1317" s="17"/>
      <c r="B1317" s="85"/>
      <c r="C1317" s="17"/>
      <c r="D1317" s="85"/>
      <c r="E1317" s="17"/>
      <c r="F1317" s="17"/>
      <c r="G1317" s="17"/>
      <c r="I1317" s="17"/>
      <c r="K1317" s="17"/>
      <c r="L1317" s="17"/>
      <c r="M1317" s="17"/>
      <c r="O1317" s="14">
        <f t="shared" si="1"/>
        <v>0</v>
      </c>
      <c r="P1317" s="86" t="str">
        <f t="array" ref="P1317">iferror(XLOOKUP(C1317,'Download of SFDC Activation Rep'!B:B,'Download of SFDC Activation Rep'!Z:Z),"")</f>
        <v/>
      </c>
      <c r="Q1317" s="86" t="str">
        <f t="shared" si="2"/>
        <v/>
      </c>
      <c r="R1317" s="13" t="str">
        <f t="shared" si="3"/>
        <v>Yes</v>
      </c>
      <c r="S1317" s="86" t="str">
        <f t="array" ref="S1317">iferror(XLOOKUP(C1317,'Download of SFDC Activation Rep'!B:B,'Download of SFDC Activation Rep'!Y:Y),"")</f>
        <v/>
      </c>
    </row>
    <row r="1318">
      <c r="A1318" s="17"/>
      <c r="B1318" s="85"/>
      <c r="C1318" s="17"/>
      <c r="D1318" s="85"/>
      <c r="E1318" s="17"/>
      <c r="F1318" s="17"/>
      <c r="G1318" s="17"/>
      <c r="I1318" s="17"/>
      <c r="K1318" s="17"/>
      <c r="L1318" s="17"/>
      <c r="M1318" s="17"/>
      <c r="O1318" s="14">
        <f t="shared" si="1"/>
        <v>0</v>
      </c>
      <c r="P1318" s="86" t="str">
        <f t="array" ref="P1318">iferror(XLOOKUP(C1318,'Download of SFDC Activation Rep'!B:B,'Download of SFDC Activation Rep'!Z:Z),"")</f>
        <v/>
      </c>
      <c r="Q1318" s="86" t="str">
        <f t="shared" si="2"/>
        <v/>
      </c>
      <c r="R1318" s="13" t="str">
        <f t="shared" si="3"/>
        <v>Yes</v>
      </c>
      <c r="S1318" s="86" t="str">
        <f t="array" ref="S1318">iferror(XLOOKUP(C1318,'Download of SFDC Activation Rep'!B:B,'Download of SFDC Activation Rep'!Y:Y),"")</f>
        <v/>
      </c>
    </row>
    <row r="1319">
      <c r="A1319" s="17"/>
      <c r="B1319" s="85"/>
      <c r="C1319" s="17"/>
      <c r="D1319" s="85"/>
      <c r="E1319" s="17"/>
      <c r="F1319" s="17"/>
      <c r="G1319" s="17"/>
      <c r="I1319" s="17"/>
      <c r="K1319" s="17"/>
      <c r="L1319" s="17"/>
      <c r="M1319" s="17"/>
      <c r="O1319" s="14">
        <f t="shared" si="1"/>
        <v>0</v>
      </c>
      <c r="P1319" s="86" t="str">
        <f t="array" ref="P1319">iferror(XLOOKUP(C1319,'Download of SFDC Activation Rep'!B:B,'Download of SFDC Activation Rep'!Z:Z),"")</f>
        <v/>
      </c>
      <c r="Q1319" s="86" t="str">
        <f t="shared" si="2"/>
        <v/>
      </c>
      <c r="R1319" s="13" t="str">
        <f t="shared" si="3"/>
        <v>Yes</v>
      </c>
      <c r="S1319" s="86" t="str">
        <f t="array" ref="S1319">iferror(XLOOKUP(C1319,'Download of SFDC Activation Rep'!B:B,'Download of SFDC Activation Rep'!Y:Y),"")</f>
        <v/>
      </c>
    </row>
    <row r="1320">
      <c r="A1320" s="17"/>
      <c r="B1320" s="85"/>
      <c r="C1320" s="17"/>
      <c r="D1320" s="85"/>
      <c r="E1320" s="17"/>
      <c r="F1320" s="17"/>
      <c r="G1320" s="17"/>
      <c r="I1320" s="17"/>
      <c r="K1320" s="17"/>
      <c r="L1320" s="17"/>
      <c r="M1320" s="17"/>
      <c r="O1320" s="14">
        <f t="shared" si="1"/>
        <v>0</v>
      </c>
      <c r="P1320" s="86" t="str">
        <f t="array" ref="P1320">iferror(XLOOKUP(C1320,'Download of SFDC Activation Rep'!B:B,'Download of SFDC Activation Rep'!Z:Z),"")</f>
        <v/>
      </c>
      <c r="Q1320" s="86" t="str">
        <f t="shared" si="2"/>
        <v/>
      </c>
      <c r="R1320" s="13" t="str">
        <f t="shared" si="3"/>
        <v>Yes</v>
      </c>
      <c r="S1320" s="86" t="str">
        <f t="array" ref="S1320">iferror(XLOOKUP(C1320,'Download of SFDC Activation Rep'!B:B,'Download of SFDC Activation Rep'!Y:Y),"")</f>
        <v/>
      </c>
    </row>
    <row r="1321">
      <c r="A1321" s="17"/>
      <c r="B1321" s="85"/>
      <c r="C1321" s="17"/>
      <c r="D1321" s="85"/>
      <c r="E1321" s="17"/>
      <c r="F1321" s="17"/>
      <c r="G1321" s="17"/>
      <c r="I1321" s="17"/>
      <c r="K1321" s="17"/>
      <c r="L1321" s="17"/>
      <c r="M1321" s="17"/>
      <c r="O1321" s="14">
        <f t="shared" si="1"/>
        <v>0</v>
      </c>
      <c r="P1321" s="86" t="str">
        <f t="array" ref="P1321">iferror(XLOOKUP(C1321,'Download of SFDC Activation Rep'!B:B,'Download of SFDC Activation Rep'!Z:Z),"")</f>
        <v/>
      </c>
      <c r="Q1321" s="86" t="str">
        <f t="shared" si="2"/>
        <v/>
      </c>
      <c r="R1321" s="13" t="str">
        <f t="shared" si="3"/>
        <v>Yes</v>
      </c>
      <c r="S1321" s="86" t="str">
        <f t="array" ref="S1321">iferror(XLOOKUP(C1321,'Download of SFDC Activation Rep'!B:B,'Download of SFDC Activation Rep'!Y:Y),"")</f>
        <v/>
      </c>
    </row>
    <row r="1322">
      <c r="A1322" s="17"/>
      <c r="B1322" s="85"/>
      <c r="C1322" s="17"/>
      <c r="D1322" s="85"/>
      <c r="E1322" s="17"/>
      <c r="F1322" s="17"/>
      <c r="G1322" s="17"/>
      <c r="I1322" s="17"/>
      <c r="K1322" s="17"/>
      <c r="L1322" s="17"/>
      <c r="M1322" s="17"/>
      <c r="O1322" s="14">
        <f t="shared" si="1"/>
        <v>0</v>
      </c>
      <c r="P1322" s="86" t="str">
        <f t="array" ref="P1322">iferror(XLOOKUP(C1322,'Download of SFDC Activation Rep'!B:B,'Download of SFDC Activation Rep'!Z:Z),"")</f>
        <v/>
      </c>
      <c r="Q1322" s="86" t="str">
        <f t="shared" si="2"/>
        <v/>
      </c>
      <c r="R1322" s="13" t="str">
        <f t="shared" si="3"/>
        <v>Yes</v>
      </c>
      <c r="S1322" s="86" t="str">
        <f t="array" ref="S1322">iferror(XLOOKUP(C1322,'Download of SFDC Activation Rep'!B:B,'Download of SFDC Activation Rep'!Y:Y),"")</f>
        <v/>
      </c>
    </row>
    <row r="1323">
      <c r="A1323" s="17"/>
      <c r="B1323" s="85"/>
      <c r="C1323" s="17"/>
      <c r="D1323" s="85"/>
      <c r="E1323" s="17"/>
      <c r="F1323" s="17"/>
      <c r="G1323" s="17"/>
      <c r="I1323" s="17"/>
      <c r="K1323" s="17"/>
      <c r="L1323" s="17"/>
      <c r="M1323" s="17"/>
      <c r="O1323" s="14">
        <f t="shared" si="1"/>
        <v>0</v>
      </c>
      <c r="P1323" s="86" t="str">
        <f t="array" ref="P1323">iferror(XLOOKUP(C1323,'Download of SFDC Activation Rep'!B:B,'Download of SFDC Activation Rep'!Z:Z),"")</f>
        <v/>
      </c>
      <c r="Q1323" s="86" t="str">
        <f t="shared" si="2"/>
        <v/>
      </c>
      <c r="R1323" s="13" t="str">
        <f t="shared" si="3"/>
        <v>Yes</v>
      </c>
      <c r="S1323" s="86" t="str">
        <f t="array" ref="S1323">iferror(XLOOKUP(C1323,'Download of SFDC Activation Rep'!B:B,'Download of SFDC Activation Rep'!Y:Y),"")</f>
        <v/>
      </c>
    </row>
    <row r="1324">
      <c r="A1324" s="17"/>
      <c r="B1324" s="85"/>
      <c r="C1324" s="17"/>
      <c r="D1324" s="85"/>
      <c r="E1324" s="17"/>
      <c r="F1324" s="17"/>
      <c r="G1324" s="17"/>
      <c r="I1324" s="17"/>
      <c r="K1324" s="17"/>
      <c r="L1324" s="17"/>
      <c r="M1324" s="17"/>
      <c r="O1324" s="14">
        <f t="shared" si="1"/>
        <v>0</v>
      </c>
      <c r="P1324" s="86" t="str">
        <f t="array" ref="P1324">iferror(XLOOKUP(C1324,'Download of SFDC Activation Rep'!B:B,'Download of SFDC Activation Rep'!Z:Z),"")</f>
        <v/>
      </c>
      <c r="Q1324" s="86" t="str">
        <f t="shared" si="2"/>
        <v/>
      </c>
      <c r="R1324" s="13" t="str">
        <f t="shared" si="3"/>
        <v>Yes</v>
      </c>
      <c r="S1324" s="86" t="str">
        <f t="array" ref="S1324">iferror(XLOOKUP(C1324,'Download of SFDC Activation Rep'!B:B,'Download of SFDC Activation Rep'!Y:Y),"")</f>
        <v/>
      </c>
    </row>
    <row r="1325">
      <c r="A1325" s="17"/>
      <c r="B1325" s="85"/>
      <c r="C1325" s="17"/>
      <c r="D1325" s="85"/>
      <c r="E1325" s="17"/>
      <c r="F1325" s="17"/>
      <c r="G1325" s="17"/>
      <c r="I1325" s="17"/>
      <c r="K1325" s="17"/>
      <c r="L1325" s="17"/>
      <c r="M1325" s="17"/>
      <c r="O1325" s="14">
        <f t="shared" si="1"/>
        <v>0</v>
      </c>
      <c r="P1325" s="86" t="str">
        <f t="array" ref="P1325">iferror(XLOOKUP(C1325,'Download of SFDC Activation Rep'!B:B,'Download of SFDC Activation Rep'!Z:Z),"")</f>
        <v/>
      </c>
      <c r="Q1325" s="86" t="str">
        <f t="shared" si="2"/>
        <v/>
      </c>
      <c r="R1325" s="13" t="str">
        <f t="shared" si="3"/>
        <v>Yes</v>
      </c>
      <c r="S1325" s="86" t="str">
        <f t="array" ref="S1325">iferror(XLOOKUP(C1325,'Download of SFDC Activation Rep'!B:B,'Download of SFDC Activation Rep'!Y:Y),"")</f>
        <v/>
      </c>
    </row>
    <row r="1326">
      <c r="A1326" s="17"/>
      <c r="B1326" s="85"/>
      <c r="C1326" s="17"/>
      <c r="D1326" s="85"/>
      <c r="E1326" s="17"/>
      <c r="F1326" s="17"/>
      <c r="G1326" s="17"/>
      <c r="I1326" s="17"/>
      <c r="K1326" s="17"/>
      <c r="L1326" s="17"/>
      <c r="M1326" s="17"/>
      <c r="O1326" s="14">
        <f t="shared" si="1"/>
        <v>0</v>
      </c>
      <c r="P1326" s="86" t="str">
        <f t="array" ref="P1326">iferror(XLOOKUP(C1326,'Download of SFDC Activation Rep'!B:B,'Download of SFDC Activation Rep'!Z:Z),"")</f>
        <v/>
      </c>
      <c r="Q1326" s="86" t="str">
        <f t="shared" si="2"/>
        <v/>
      </c>
      <c r="R1326" s="13" t="str">
        <f t="shared" si="3"/>
        <v>Yes</v>
      </c>
      <c r="S1326" s="86" t="str">
        <f t="array" ref="S1326">iferror(XLOOKUP(C1326,'Download of SFDC Activation Rep'!B:B,'Download of SFDC Activation Rep'!Y:Y),"")</f>
        <v/>
      </c>
    </row>
    <row r="1327">
      <c r="A1327" s="17"/>
      <c r="B1327" s="85"/>
      <c r="C1327" s="17"/>
      <c r="D1327" s="85"/>
      <c r="E1327" s="17"/>
      <c r="F1327" s="17"/>
      <c r="G1327" s="17"/>
      <c r="I1327" s="17"/>
      <c r="K1327" s="17"/>
      <c r="L1327" s="17"/>
      <c r="M1327" s="17"/>
      <c r="O1327" s="14">
        <f t="shared" si="1"/>
        <v>0</v>
      </c>
      <c r="P1327" s="86" t="str">
        <f t="array" ref="P1327">iferror(XLOOKUP(C1327,'Download of SFDC Activation Rep'!B:B,'Download of SFDC Activation Rep'!Z:Z),"")</f>
        <v/>
      </c>
      <c r="Q1327" s="86" t="str">
        <f t="shared" si="2"/>
        <v/>
      </c>
      <c r="R1327" s="13" t="str">
        <f t="shared" si="3"/>
        <v>Yes</v>
      </c>
      <c r="S1327" s="86" t="str">
        <f t="array" ref="S1327">iferror(XLOOKUP(C1327,'Download of SFDC Activation Rep'!B:B,'Download of SFDC Activation Rep'!Y:Y),"")</f>
        <v/>
      </c>
    </row>
    <row r="1328">
      <c r="A1328" s="17"/>
      <c r="B1328" s="85"/>
      <c r="C1328" s="17"/>
      <c r="D1328" s="85"/>
      <c r="E1328" s="17"/>
      <c r="F1328" s="17"/>
      <c r="G1328" s="17"/>
      <c r="I1328" s="17"/>
      <c r="K1328" s="17"/>
      <c r="L1328" s="17"/>
      <c r="M1328" s="17"/>
      <c r="O1328" s="14">
        <f t="shared" si="1"/>
        <v>0</v>
      </c>
      <c r="P1328" s="86" t="str">
        <f t="array" ref="P1328">iferror(XLOOKUP(C1328,'Download of SFDC Activation Rep'!B:B,'Download of SFDC Activation Rep'!Z:Z),"")</f>
        <v/>
      </c>
      <c r="Q1328" s="86" t="str">
        <f t="shared" si="2"/>
        <v/>
      </c>
      <c r="R1328" s="13" t="str">
        <f t="shared" si="3"/>
        <v>Yes</v>
      </c>
      <c r="S1328" s="86" t="str">
        <f t="array" ref="S1328">iferror(XLOOKUP(C1328,'Download of SFDC Activation Rep'!B:B,'Download of SFDC Activation Rep'!Y:Y),"")</f>
        <v/>
      </c>
    </row>
    <row r="1329">
      <c r="A1329" s="17"/>
      <c r="B1329" s="85"/>
      <c r="C1329" s="17"/>
      <c r="D1329" s="85"/>
      <c r="E1329" s="17"/>
      <c r="F1329" s="17"/>
      <c r="G1329" s="17"/>
      <c r="I1329" s="17"/>
      <c r="K1329" s="17"/>
      <c r="L1329" s="17"/>
      <c r="M1329" s="17"/>
      <c r="O1329" s="14">
        <f t="shared" si="1"/>
        <v>0</v>
      </c>
      <c r="P1329" s="86" t="str">
        <f t="array" ref="P1329">iferror(XLOOKUP(C1329,'Download of SFDC Activation Rep'!B:B,'Download of SFDC Activation Rep'!Z:Z),"")</f>
        <v/>
      </c>
      <c r="Q1329" s="86" t="str">
        <f t="shared" si="2"/>
        <v/>
      </c>
      <c r="R1329" s="13" t="str">
        <f t="shared" si="3"/>
        <v>Yes</v>
      </c>
      <c r="S1329" s="86" t="str">
        <f t="array" ref="S1329">iferror(XLOOKUP(C1329,'Download of SFDC Activation Rep'!B:B,'Download of SFDC Activation Rep'!Y:Y),"")</f>
        <v/>
      </c>
    </row>
    <row r="1330">
      <c r="A1330" s="17"/>
      <c r="B1330" s="85"/>
      <c r="C1330" s="17"/>
      <c r="D1330" s="85"/>
      <c r="E1330" s="17"/>
      <c r="F1330" s="17"/>
      <c r="G1330" s="17"/>
      <c r="I1330" s="17"/>
      <c r="K1330" s="17"/>
      <c r="L1330" s="17"/>
      <c r="M1330" s="17"/>
      <c r="O1330" s="14">
        <f t="shared" si="1"/>
        <v>0</v>
      </c>
      <c r="P1330" s="86" t="str">
        <f t="array" ref="P1330">iferror(XLOOKUP(C1330,'Download of SFDC Activation Rep'!B:B,'Download of SFDC Activation Rep'!Z:Z),"")</f>
        <v/>
      </c>
      <c r="Q1330" s="86" t="str">
        <f t="shared" si="2"/>
        <v/>
      </c>
      <c r="R1330" s="13" t="str">
        <f t="shared" si="3"/>
        <v>Yes</v>
      </c>
      <c r="S1330" s="86" t="str">
        <f t="array" ref="S1330">iferror(XLOOKUP(C1330,'Download of SFDC Activation Rep'!B:B,'Download of SFDC Activation Rep'!Y:Y),"")</f>
        <v/>
      </c>
    </row>
    <row r="1331">
      <c r="A1331" s="17"/>
      <c r="B1331" s="85"/>
      <c r="C1331" s="17"/>
      <c r="D1331" s="85"/>
      <c r="E1331" s="17"/>
      <c r="F1331" s="17"/>
      <c r="G1331" s="17"/>
      <c r="I1331" s="17"/>
      <c r="K1331" s="17"/>
      <c r="L1331" s="17"/>
      <c r="M1331" s="17"/>
      <c r="O1331" s="14">
        <f t="shared" si="1"/>
        <v>0</v>
      </c>
      <c r="P1331" s="86" t="str">
        <f t="array" ref="P1331">iferror(XLOOKUP(C1331,'Download of SFDC Activation Rep'!B:B,'Download of SFDC Activation Rep'!Z:Z),"")</f>
        <v/>
      </c>
      <c r="Q1331" s="86" t="str">
        <f t="shared" si="2"/>
        <v/>
      </c>
      <c r="R1331" s="13" t="str">
        <f t="shared" si="3"/>
        <v>Yes</v>
      </c>
      <c r="S1331" s="86" t="str">
        <f t="array" ref="S1331">iferror(XLOOKUP(C1331,'Download of SFDC Activation Rep'!B:B,'Download of SFDC Activation Rep'!Y:Y),"")</f>
        <v/>
      </c>
    </row>
    <row r="1332">
      <c r="A1332" s="17"/>
      <c r="B1332" s="85"/>
      <c r="C1332" s="17"/>
      <c r="D1332" s="85"/>
      <c r="E1332" s="17"/>
      <c r="F1332" s="17"/>
      <c r="G1332" s="17"/>
      <c r="I1332" s="17"/>
      <c r="K1332" s="17"/>
      <c r="L1332" s="17"/>
      <c r="M1332" s="17"/>
      <c r="O1332" s="14">
        <f t="shared" si="1"/>
        <v>0</v>
      </c>
      <c r="P1332" s="86" t="str">
        <f t="array" ref="P1332">iferror(XLOOKUP(C1332,'Download of SFDC Activation Rep'!B:B,'Download of SFDC Activation Rep'!Z:Z),"")</f>
        <v/>
      </c>
      <c r="Q1332" s="86" t="str">
        <f t="shared" si="2"/>
        <v/>
      </c>
      <c r="R1332" s="13" t="str">
        <f t="shared" si="3"/>
        <v>Yes</v>
      </c>
      <c r="S1332" s="86" t="str">
        <f t="array" ref="S1332">iferror(XLOOKUP(C1332,'Download of SFDC Activation Rep'!B:B,'Download of SFDC Activation Rep'!Y:Y),"")</f>
        <v/>
      </c>
    </row>
    <row r="1333">
      <c r="A1333" s="17"/>
      <c r="B1333" s="85"/>
      <c r="C1333" s="17"/>
      <c r="D1333" s="85"/>
      <c r="E1333" s="17"/>
      <c r="F1333" s="17"/>
      <c r="G1333" s="17"/>
      <c r="I1333" s="17"/>
      <c r="K1333" s="17"/>
      <c r="L1333" s="17"/>
      <c r="M1333" s="17"/>
      <c r="O1333" s="14">
        <f t="shared" si="1"/>
        <v>0</v>
      </c>
      <c r="P1333" s="86" t="str">
        <f t="array" ref="P1333">iferror(XLOOKUP(C1333,'Download of SFDC Activation Rep'!B:B,'Download of SFDC Activation Rep'!Z:Z),"")</f>
        <v/>
      </c>
      <c r="Q1333" s="86" t="str">
        <f t="shared" si="2"/>
        <v/>
      </c>
      <c r="R1333" s="13" t="str">
        <f t="shared" si="3"/>
        <v>Yes</v>
      </c>
      <c r="S1333" s="86" t="str">
        <f t="array" ref="S1333">iferror(XLOOKUP(C1333,'Download of SFDC Activation Rep'!B:B,'Download of SFDC Activation Rep'!Y:Y),"")</f>
        <v/>
      </c>
    </row>
    <row r="1334">
      <c r="A1334" s="17"/>
      <c r="B1334" s="85"/>
      <c r="C1334" s="17"/>
      <c r="D1334" s="85"/>
      <c r="E1334" s="17"/>
      <c r="F1334" s="17"/>
      <c r="G1334" s="17"/>
      <c r="I1334" s="17"/>
      <c r="K1334" s="17"/>
      <c r="L1334" s="17"/>
      <c r="M1334" s="17"/>
      <c r="O1334" s="14">
        <f t="shared" si="1"/>
        <v>0</v>
      </c>
      <c r="P1334" s="86" t="str">
        <f t="array" ref="P1334">iferror(XLOOKUP(C1334,'Download of SFDC Activation Rep'!B:B,'Download of SFDC Activation Rep'!Z:Z),"")</f>
        <v/>
      </c>
      <c r="Q1334" s="86" t="str">
        <f t="shared" si="2"/>
        <v/>
      </c>
      <c r="R1334" s="13" t="str">
        <f t="shared" si="3"/>
        <v>Yes</v>
      </c>
      <c r="S1334" s="86" t="str">
        <f t="array" ref="S1334">iferror(XLOOKUP(C1334,'Download of SFDC Activation Rep'!B:B,'Download of SFDC Activation Rep'!Y:Y),"")</f>
        <v/>
      </c>
    </row>
    <row r="1335">
      <c r="A1335" s="17"/>
      <c r="B1335" s="85"/>
      <c r="C1335" s="17"/>
      <c r="D1335" s="85"/>
      <c r="E1335" s="17"/>
      <c r="F1335" s="17"/>
      <c r="G1335" s="17"/>
      <c r="I1335" s="17"/>
      <c r="K1335" s="17"/>
      <c r="L1335" s="17"/>
      <c r="M1335" s="17"/>
      <c r="O1335" s="14">
        <f t="shared" si="1"/>
        <v>0</v>
      </c>
      <c r="P1335" s="86" t="str">
        <f t="array" ref="P1335">iferror(XLOOKUP(C1335,'Download of SFDC Activation Rep'!B:B,'Download of SFDC Activation Rep'!Z:Z),"")</f>
        <v/>
      </c>
      <c r="Q1335" s="86" t="str">
        <f t="shared" si="2"/>
        <v/>
      </c>
      <c r="R1335" s="13" t="str">
        <f t="shared" si="3"/>
        <v>Yes</v>
      </c>
      <c r="S1335" s="86" t="str">
        <f t="array" ref="S1335">iferror(XLOOKUP(C1335,'Download of SFDC Activation Rep'!B:B,'Download of SFDC Activation Rep'!Y:Y),"")</f>
        <v/>
      </c>
    </row>
    <row r="1336">
      <c r="A1336" s="17"/>
      <c r="B1336" s="85"/>
      <c r="C1336" s="17"/>
      <c r="D1336" s="85"/>
      <c r="E1336" s="17"/>
      <c r="F1336" s="17"/>
      <c r="G1336" s="17"/>
      <c r="I1336" s="17"/>
      <c r="K1336" s="17"/>
      <c r="L1336" s="17"/>
      <c r="M1336" s="17"/>
      <c r="O1336" s="14">
        <f t="shared" si="1"/>
        <v>0</v>
      </c>
      <c r="P1336" s="86" t="str">
        <f t="array" ref="P1336">iferror(XLOOKUP(C1336,'Download of SFDC Activation Rep'!B:B,'Download of SFDC Activation Rep'!Z:Z),"")</f>
        <v/>
      </c>
      <c r="Q1336" s="86" t="str">
        <f t="shared" si="2"/>
        <v/>
      </c>
      <c r="R1336" s="13" t="str">
        <f t="shared" si="3"/>
        <v>Yes</v>
      </c>
      <c r="S1336" s="86" t="str">
        <f t="array" ref="S1336">iferror(XLOOKUP(C1336,'Download of SFDC Activation Rep'!B:B,'Download of SFDC Activation Rep'!Y:Y),"")</f>
        <v/>
      </c>
    </row>
    <row r="1337">
      <c r="A1337" s="17"/>
      <c r="B1337" s="85"/>
      <c r="C1337" s="17"/>
      <c r="D1337" s="85"/>
      <c r="E1337" s="17"/>
      <c r="F1337" s="17"/>
      <c r="G1337" s="17"/>
      <c r="I1337" s="17"/>
      <c r="K1337" s="17"/>
      <c r="L1337" s="17"/>
      <c r="M1337" s="17"/>
      <c r="O1337" s="14">
        <f t="shared" si="1"/>
        <v>0</v>
      </c>
      <c r="P1337" s="86" t="str">
        <f t="array" ref="P1337">iferror(XLOOKUP(C1337,'Download of SFDC Activation Rep'!B:B,'Download of SFDC Activation Rep'!Z:Z),"")</f>
        <v/>
      </c>
      <c r="Q1337" s="86" t="str">
        <f t="shared" si="2"/>
        <v/>
      </c>
      <c r="R1337" s="13" t="str">
        <f t="shared" si="3"/>
        <v>Yes</v>
      </c>
      <c r="S1337" s="86" t="str">
        <f t="array" ref="S1337">iferror(XLOOKUP(C1337,'Download of SFDC Activation Rep'!B:B,'Download of SFDC Activation Rep'!Y:Y),"")</f>
        <v/>
      </c>
    </row>
    <row r="1338">
      <c r="A1338" s="17"/>
      <c r="B1338" s="85"/>
      <c r="C1338" s="17"/>
      <c r="D1338" s="85"/>
      <c r="E1338" s="17"/>
      <c r="F1338" s="17"/>
      <c r="G1338" s="17"/>
      <c r="I1338" s="17"/>
      <c r="K1338" s="17"/>
      <c r="L1338" s="17"/>
      <c r="M1338" s="17"/>
      <c r="O1338" s="14">
        <f t="shared" si="1"/>
        <v>0</v>
      </c>
      <c r="P1338" s="86" t="str">
        <f t="array" ref="P1338">iferror(XLOOKUP(C1338,'Download of SFDC Activation Rep'!B:B,'Download of SFDC Activation Rep'!Z:Z),"")</f>
        <v/>
      </c>
      <c r="Q1338" s="86" t="str">
        <f t="shared" si="2"/>
        <v/>
      </c>
      <c r="R1338" s="13" t="str">
        <f t="shared" si="3"/>
        <v>Yes</v>
      </c>
      <c r="S1338" s="86" t="str">
        <f t="array" ref="S1338">iferror(XLOOKUP(C1338,'Download of SFDC Activation Rep'!B:B,'Download of SFDC Activation Rep'!Y:Y),"")</f>
        <v/>
      </c>
    </row>
    <row r="1339">
      <c r="A1339" s="17"/>
      <c r="B1339" s="85"/>
      <c r="C1339" s="17"/>
      <c r="D1339" s="85"/>
      <c r="E1339" s="17"/>
      <c r="F1339" s="17"/>
      <c r="G1339" s="17"/>
      <c r="I1339" s="17"/>
      <c r="K1339" s="17"/>
      <c r="L1339" s="17"/>
      <c r="M1339" s="17"/>
      <c r="O1339" s="14">
        <f t="shared" si="1"/>
        <v>0</v>
      </c>
      <c r="P1339" s="86" t="str">
        <f t="array" ref="P1339">iferror(XLOOKUP(C1339,'Download of SFDC Activation Rep'!B:B,'Download of SFDC Activation Rep'!Z:Z),"")</f>
        <v/>
      </c>
      <c r="Q1339" s="86" t="str">
        <f t="shared" si="2"/>
        <v/>
      </c>
      <c r="R1339" s="13" t="str">
        <f t="shared" si="3"/>
        <v>Yes</v>
      </c>
      <c r="S1339" s="86" t="str">
        <f t="array" ref="S1339">iferror(XLOOKUP(C1339,'Download of SFDC Activation Rep'!B:B,'Download of SFDC Activation Rep'!Y:Y),"")</f>
        <v/>
      </c>
    </row>
    <row r="1340">
      <c r="A1340" s="17"/>
      <c r="B1340" s="85"/>
      <c r="C1340" s="17"/>
      <c r="D1340" s="85"/>
      <c r="E1340" s="17"/>
      <c r="F1340" s="17"/>
      <c r="G1340" s="17"/>
      <c r="I1340" s="17"/>
      <c r="K1340" s="17"/>
      <c r="L1340" s="17"/>
      <c r="M1340" s="17"/>
      <c r="O1340" s="14">
        <f t="shared" si="1"/>
        <v>0</v>
      </c>
      <c r="P1340" s="86" t="str">
        <f t="array" ref="P1340">iferror(XLOOKUP(C1340,'Download of SFDC Activation Rep'!B:B,'Download of SFDC Activation Rep'!Z:Z),"")</f>
        <v/>
      </c>
      <c r="Q1340" s="86" t="str">
        <f t="shared" si="2"/>
        <v/>
      </c>
      <c r="R1340" s="13" t="str">
        <f t="shared" si="3"/>
        <v>Yes</v>
      </c>
      <c r="S1340" s="86" t="str">
        <f t="array" ref="S1340">iferror(XLOOKUP(C1340,'Download of SFDC Activation Rep'!B:B,'Download of SFDC Activation Rep'!Y:Y),"")</f>
        <v/>
      </c>
    </row>
    <row r="1341">
      <c r="A1341" s="17"/>
      <c r="B1341" s="85"/>
      <c r="C1341" s="17"/>
      <c r="D1341" s="85"/>
      <c r="E1341" s="17"/>
      <c r="F1341" s="17"/>
      <c r="G1341" s="17"/>
      <c r="I1341" s="17"/>
      <c r="K1341" s="17"/>
      <c r="L1341" s="17"/>
      <c r="M1341" s="17"/>
      <c r="O1341" s="14">
        <f t="shared" si="1"/>
        <v>0</v>
      </c>
      <c r="P1341" s="86" t="str">
        <f t="array" ref="P1341">iferror(XLOOKUP(C1341,'Download of SFDC Activation Rep'!B:B,'Download of SFDC Activation Rep'!Z:Z),"")</f>
        <v/>
      </c>
      <c r="Q1341" s="86" t="str">
        <f t="shared" si="2"/>
        <v/>
      </c>
      <c r="R1341" s="13" t="str">
        <f t="shared" si="3"/>
        <v>Yes</v>
      </c>
      <c r="S1341" s="86" t="str">
        <f t="array" ref="S1341">iferror(XLOOKUP(C1341,'Download of SFDC Activation Rep'!B:B,'Download of SFDC Activation Rep'!Y:Y),"")</f>
        <v/>
      </c>
    </row>
    <row r="1342">
      <c r="A1342" s="17"/>
      <c r="B1342" s="85"/>
      <c r="C1342" s="17"/>
      <c r="D1342" s="85"/>
      <c r="E1342" s="17"/>
      <c r="F1342" s="17"/>
      <c r="G1342" s="17"/>
      <c r="I1342" s="17"/>
      <c r="K1342" s="17"/>
      <c r="L1342" s="17"/>
      <c r="M1342" s="17"/>
      <c r="O1342" s="14">
        <f t="shared" si="1"/>
        <v>0</v>
      </c>
      <c r="P1342" s="86" t="str">
        <f t="array" ref="P1342">iferror(XLOOKUP(C1342,'Download of SFDC Activation Rep'!B:B,'Download of SFDC Activation Rep'!Z:Z),"")</f>
        <v/>
      </c>
      <c r="Q1342" s="86" t="str">
        <f t="shared" si="2"/>
        <v/>
      </c>
      <c r="R1342" s="13" t="str">
        <f t="shared" si="3"/>
        <v>Yes</v>
      </c>
      <c r="S1342" s="86" t="str">
        <f t="array" ref="S1342">iferror(XLOOKUP(C1342,'Download of SFDC Activation Rep'!B:B,'Download of SFDC Activation Rep'!Y:Y),"")</f>
        <v/>
      </c>
    </row>
    <row r="1343">
      <c r="A1343" s="17"/>
      <c r="B1343" s="85"/>
      <c r="C1343" s="17"/>
      <c r="D1343" s="85"/>
      <c r="E1343" s="17"/>
      <c r="F1343" s="17"/>
      <c r="G1343" s="17"/>
      <c r="I1343" s="17"/>
      <c r="K1343" s="17"/>
      <c r="L1343" s="17"/>
      <c r="M1343" s="17"/>
      <c r="O1343" s="14">
        <f t="shared" si="1"/>
        <v>0</v>
      </c>
      <c r="P1343" s="86" t="str">
        <f t="array" ref="P1343">iferror(XLOOKUP(C1343,'Download of SFDC Activation Rep'!B:B,'Download of SFDC Activation Rep'!Z:Z),"")</f>
        <v/>
      </c>
      <c r="Q1343" s="86" t="str">
        <f t="shared" si="2"/>
        <v/>
      </c>
      <c r="R1343" s="13" t="str">
        <f t="shared" si="3"/>
        <v>Yes</v>
      </c>
      <c r="S1343" s="86" t="str">
        <f t="array" ref="S1343">iferror(XLOOKUP(C1343,'Download of SFDC Activation Rep'!B:B,'Download of SFDC Activation Rep'!Y:Y),"")</f>
        <v/>
      </c>
    </row>
    <row r="1344">
      <c r="A1344" s="17"/>
      <c r="B1344" s="85"/>
      <c r="C1344" s="17"/>
      <c r="D1344" s="85"/>
      <c r="E1344" s="17"/>
      <c r="F1344" s="17"/>
      <c r="G1344" s="17"/>
      <c r="I1344" s="17"/>
      <c r="K1344" s="17"/>
      <c r="L1344" s="17"/>
      <c r="M1344" s="17"/>
      <c r="O1344" s="14">
        <f t="shared" si="1"/>
        <v>0</v>
      </c>
      <c r="P1344" s="86" t="str">
        <f t="array" ref="P1344">iferror(XLOOKUP(C1344,'Download of SFDC Activation Rep'!B:B,'Download of SFDC Activation Rep'!Z:Z),"")</f>
        <v/>
      </c>
      <c r="Q1344" s="86" t="str">
        <f t="shared" si="2"/>
        <v/>
      </c>
      <c r="R1344" s="13" t="str">
        <f t="shared" si="3"/>
        <v>Yes</v>
      </c>
      <c r="S1344" s="86" t="str">
        <f t="array" ref="S1344">iferror(XLOOKUP(C1344,'Download of SFDC Activation Rep'!B:B,'Download of SFDC Activation Rep'!Y:Y),"")</f>
        <v/>
      </c>
    </row>
    <row r="1345">
      <c r="A1345" s="17"/>
      <c r="B1345" s="85"/>
      <c r="C1345" s="17"/>
      <c r="D1345" s="85"/>
      <c r="E1345" s="17"/>
      <c r="F1345" s="17"/>
      <c r="G1345" s="17"/>
      <c r="I1345" s="17"/>
      <c r="K1345" s="17"/>
      <c r="L1345" s="17"/>
      <c r="M1345" s="17"/>
      <c r="O1345" s="14">
        <f t="shared" si="1"/>
        <v>0</v>
      </c>
      <c r="P1345" s="86" t="str">
        <f t="array" ref="P1345">iferror(XLOOKUP(C1345,'Download of SFDC Activation Rep'!B:B,'Download of SFDC Activation Rep'!Z:Z),"")</f>
        <v/>
      </c>
      <c r="Q1345" s="86" t="str">
        <f t="shared" si="2"/>
        <v/>
      </c>
      <c r="R1345" s="13" t="str">
        <f t="shared" si="3"/>
        <v>Yes</v>
      </c>
      <c r="S1345" s="86" t="str">
        <f t="array" ref="S1345">iferror(XLOOKUP(C1345,'Download of SFDC Activation Rep'!B:B,'Download of SFDC Activation Rep'!Y:Y),"")</f>
        <v/>
      </c>
    </row>
    <row r="1346">
      <c r="A1346" s="17"/>
      <c r="B1346" s="85"/>
      <c r="C1346" s="17"/>
      <c r="D1346" s="85"/>
      <c r="E1346" s="17"/>
      <c r="F1346" s="17"/>
      <c r="G1346" s="17"/>
      <c r="I1346" s="17"/>
      <c r="K1346" s="17"/>
      <c r="L1346" s="17"/>
      <c r="M1346" s="17"/>
      <c r="O1346" s="14">
        <f t="shared" si="1"/>
        <v>0</v>
      </c>
      <c r="P1346" s="86" t="str">
        <f t="array" ref="P1346">iferror(XLOOKUP(C1346,'Download of SFDC Activation Rep'!B:B,'Download of SFDC Activation Rep'!Z:Z),"")</f>
        <v/>
      </c>
      <c r="Q1346" s="86" t="str">
        <f t="shared" si="2"/>
        <v/>
      </c>
      <c r="R1346" s="13" t="str">
        <f t="shared" si="3"/>
        <v>Yes</v>
      </c>
      <c r="S1346" s="86" t="str">
        <f t="array" ref="S1346">iferror(XLOOKUP(C1346,'Download of SFDC Activation Rep'!B:B,'Download of SFDC Activation Rep'!Y:Y),"")</f>
        <v/>
      </c>
    </row>
    <row r="1347">
      <c r="A1347" s="17"/>
      <c r="B1347" s="85"/>
      <c r="C1347" s="17"/>
      <c r="D1347" s="85"/>
      <c r="E1347" s="17"/>
      <c r="F1347" s="17"/>
      <c r="G1347" s="17"/>
      <c r="I1347" s="17"/>
      <c r="K1347" s="17"/>
      <c r="L1347" s="17"/>
      <c r="M1347" s="17"/>
      <c r="O1347" s="14">
        <f t="shared" si="1"/>
        <v>0</v>
      </c>
      <c r="P1347" s="86" t="str">
        <f t="array" ref="P1347">iferror(XLOOKUP(C1347,'Download of SFDC Activation Rep'!B:B,'Download of SFDC Activation Rep'!Z:Z),"")</f>
        <v/>
      </c>
      <c r="Q1347" s="86" t="str">
        <f t="shared" si="2"/>
        <v/>
      </c>
      <c r="R1347" s="13" t="str">
        <f t="shared" si="3"/>
        <v>Yes</v>
      </c>
      <c r="S1347" s="86" t="str">
        <f t="array" ref="S1347">iferror(XLOOKUP(C1347,'Download of SFDC Activation Rep'!B:B,'Download of SFDC Activation Rep'!Y:Y),"")</f>
        <v/>
      </c>
    </row>
    <row r="1348">
      <c r="A1348" s="17"/>
      <c r="B1348" s="85"/>
      <c r="C1348" s="17"/>
      <c r="D1348" s="85"/>
      <c r="E1348" s="17"/>
      <c r="F1348" s="17"/>
      <c r="G1348" s="17"/>
      <c r="I1348" s="17"/>
      <c r="K1348" s="17"/>
      <c r="L1348" s="17"/>
      <c r="M1348" s="17"/>
      <c r="O1348" s="14">
        <f t="shared" si="1"/>
        <v>0</v>
      </c>
      <c r="P1348" s="86" t="str">
        <f t="array" ref="P1348">iferror(XLOOKUP(C1348,'Download of SFDC Activation Rep'!B:B,'Download of SFDC Activation Rep'!Z:Z),"")</f>
        <v/>
      </c>
      <c r="Q1348" s="86" t="str">
        <f t="shared" si="2"/>
        <v/>
      </c>
      <c r="R1348" s="13" t="str">
        <f t="shared" si="3"/>
        <v>Yes</v>
      </c>
      <c r="S1348" s="86" t="str">
        <f t="array" ref="S1348">iferror(XLOOKUP(C1348,'Download of SFDC Activation Rep'!B:B,'Download of SFDC Activation Rep'!Y:Y),"")</f>
        <v/>
      </c>
    </row>
    <row r="1349">
      <c r="A1349" s="17"/>
      <c r="B1349" s="85"/>
      <c r="C1349" s="17"/>
      <c r="D1349" s="85"/>
      <c r="E1349" s="17"/>
      <c r="F1349" s="17"/>
      <c r="G1349" s="17"/>
      <c r="I1349" s="17"/>
      <c r="K1349" s="17"/>
      <c r="L1349" s="17"/>
      <c r="M1349" s="17"/>
      <c r="O1349" s="14">
        <f t="shared" si="1"/>
        <v>0</v>
      </c>
      <c r="P1349" s="86" t="str">
        <f t="array" ref="P1349">iferror(XLOOKUP(C1349,'Download of SFDC Activation Rep'!B:B,'Download of SFDC Activation Rep'!Z:Z),"")</f>
        <v/>
      </c>
      <c r="Q1349" s="86" t="str">
        <f t="shared" si="2"/>
        <v/>
      </c>
      <c r="R1349" s="13" t="str">
        <f t="shared" si="3"/>
        <v>Yes</v>
      </c>
      <c r="S1349" s="86" t="str">
        <f t="array" ref="S1349">iferror(XLOOKUP(C1349,'Download of SFDC Activation Rep'!B:B,'Download of SFDC Activation Rep'!Y:Y),"")</f>
        <v/>
      </c>
    </row>
    <row r="1350">
      <c r="A1350" s="17"/>
      <c r="B1350" s="85"/>
      <c r="C1350" s="17"/>
      <c r="D1350" s="85"/>
      <c r="E1350" s="17"/>
      <c r="F1350" s="17"/>
      <c r="G1350" s="17"/>
      <c r="I1350" s="17"/>
      <c r="K1350" s="17"/>
      <c r="L1350" s="17"/>
      <c r="M1350" s="17"/>
      <c r="O1350" s="14">
        <f t="shared" si="1"/>
        <v>0</v>
      </c>
      <c r="P1350" s="86" t="str">
        <f t="array" ref="P1350">iferror(XLOOKUP(C1350,'Download of SFDC Activation Rep'!B:B,'Download of SFDC Activation Rep'!Z:Z),"")</f>
        <v/>
      </c>
      <c r="Q1350" s="86" t="str">
        <f t="shared" si="2"/>
        <v/>
      </c>
      <c r="R1350" s="13" t="str">
        <f t="shared" si="3"/>
        <v>Yes</v>
      </c>
      <c r="S1350" s="86" t="str">
        <f t="array" ref="S1350">iferror(XLOOKUP(C1350,'Download of SFDC Activation Rep'!B:B,'Download of SFDC Activation Rep'!Y:Y),"")</f>
        <v/>
      </c>
    </row>
    <row r="1351">
      <c r="A1351" s="17"/>
      <c r="B1351" s="85"/>
      <c r="C1351" s="17"/>
      <c r="D1351" s="85"/>
      <c r="E1351" s="17"/>
      <c r="F1351" s="17"/>
      <c r="G1351" s="17"/>
      <c r="I1351" s="17"/>
      <c r="K1351" s="17"/>
      <c r="L1351" s="17"/>
      <c r="M1351" s="17"/>
      <c r="O1351" s="14">
        <f t="shared" si="1"/>
        <v>0</v>
      </c>
      <c r="P1351" s="86" t="str">
        <f t="array" ref="P1351">iferror(XLOOKUP(C1351,'Download of SFDC Activation Rep'!B:B,'Download of SFDC Activation Rep'!Z:Z),"")</f>
        <v/>
      </c>
      <c r="Q1351" s="86" t="str">
        <f t="shared" si="2"/>
        <v/>
      </c>
      <c r="R1351" s="13" t="str">
        <f t="shared" si="3"/>
        <v>Yes</v>
      </c>
      <c r="S1351" s="86" t="str">
        <f t="array" ref="S1351">iferror(XLOOKUP(C1351,'Download of SFDC Activation Rep'!B:B,'Download of SFDC Activation Rep'!Y:Y),"")</f>
        <v/>
      </c>
    </row>
    <row r="1352">
      <c r="A1352" s="17"/>
      <c r="B1352" s="85"/>
      <c r="C1352" s="17"/>
      <c r="D1352" s="85"/>
      <c r="E1352" s="17"/>
      <c r="F1352" s="17"/>
      <c r="G1352" s="17"/>
      <c r="I1352" s="17"/>
      <c r="K1352" s="17"/>
      <c r="L1352" s="17"/>
      <c r="M1352" s="17"/>
      <c r="O1352" s="14">
        <f t="shared" si="1"/>
        <v>0</v>
      </c>
      <c r="P1352" s="86" t="str">
        <f t="array" ref="P1352">iferror(XLOOKUP(C1352,'Download of SFDC Activation Rep'!B:B,'Download of SFDC Activation Rep'!Z:Z),"")</f>
        <v/>
      </c>
      <c r="Q1352" s="86" t="str">
        <f t="shared" si="2"/>
        <v/>
      </c>
      <c r="R1352" s="13" t="str">
        <f t="shared" si="3"/>
        <v>Yes</v>
      </c>
      <c r="S1352" s="86" t="str">
        <f t="array" ref="S1352">iferror(XLOOKUP(C1352,'Download of SFDC Activation Rep'!B:B,'Download of SFDC Activation Rep'!Y:Y),"")</f>
        <v/>
      </c>
    </row>
    <row r="1353">
      <c r="A1353" s="17"/>
      <c r="B1353" s="85"/>
      <c r="C1353" s="17"/>
      <c r="D1353" s="85"/>
      <c r="E1353" s="17"/>
      <c r="F1353" s="17"/>
      <c r="G1353" s="17"/>
      <c r="I1353" s="17"/>
      <c r="K1353" s="17"/>
      <c r="L1353" s="17"/>
      <c r="M1353" s="17"/>
      <c r="O1353" s="14">
        <f t="shared" si="1"/>
        <v>0</v>
      </c>
      <c r="P1353" s="86" t="str">
        <f t="array" ref="P1353">iferror(XLOOKUP(C1353,'Download of SFDC Activation Rep'!B:B,'Download of SFDC Activation Rep'!Z:Z),"")</f>
        <v/>
      </c>
      <c r="Q1353" s="86" t="str">
        <f t="shared" si="2"/>
        <v/>
      </c>
      <c r="R1353" s="13" t="str">
        <f t="shared" si="3"/>
        <v>Yes</v>
      </c>
      <c r="S1353" s="86" t="str">
        <f t="array" ref="S1353">iferror(XLOOKUP(C1353,'Download of SFDC Activation Rep'!B:B,'Download of SFDC Activation Rep'!Y:Y),"")</f>
        <v/>
      </c>
    </row>
    <row r="1354">
      <c r="A1354" s="17"/>
      <c r="B1354" s="85"/>
      <c r="C1354" s="17"/>
      <c r="D1354" s="85"/>
      <c r="E1354" s="17"/>
      <c r="F1354" s="17"/>
      <c r="G1354" s="17"/>
      <c r="I1354" s="17"/>
      <c r="K1354" s="17"/>
      <c r="L1354" s="17"/>
      <c r="M1354" s="17"/>
      <c r="O1354" s="14">
        <f t="shared" si="1"/>
        <v>0</v>
      </c>
      <c r="P1354" s="86" t="str">
        <f t="array" ref="P1354">iferror(XLOOKUP(C1354,'Download of SFDC Activation Rep'!B:B,'Download of SFDC Activation Rep'!Z:Z),"")</f>
        <v/>
      </c>
      <c r="Q1354" s="86" t="str">
        <f t="shared" si="2"/>
        <v/>
      </c>
      <c r="R1354" s="13" t="str">
        <f t="shared" si="3"/>
        <v>Yes</v>
      </c>
      <c r="S1354" s="86" t="str">
        <f t="array" ref="S1354">iferror(XLOOKUP(C1354,'Download of SFDC Activation Rep'!B:B,'Download of SFDC Activation Rep'!Y:Y),"")</f>
        <v/>
      </c>
    </row>
    <row r="1355">
      <c r="A1355" s="17"/>
      <c r="B1355" s="85"/>
      <c r="C1355" s="17"/>
      <c r="D1355" s="85"/>
      <c r="E1355" s="17"/>
      <c r="F1355" s="17"/>
      <c r="G1355" s="17"/>
      <c r="I1355" s="17"/>
      <c r="K1355" s="17"/>
      <c r="L1355" s="17"/>
      <c r="M1355" s="17"/>
      <c r="O1355" s="14">
        <f t="shared" si="1"/>
        <v>0</v>
      </c>
      <c r="P1355" s="86" t="str">
        <f t="array" ref="P1355">iferror(XLOOKUP(C1355,'Download of SFDC Activation Rep'!B:B,'Download of SFDC Activation Rep'!Z:Z),"")</f>
        <v/>
      </c>
      <c r="Q1355" s="86" t="str">
        <f t="shared" si="2"/>
        <v/>
      </c>
      <c r="R1355" s="13" t="str">
        <f t="shared" si="3"/>
        <v>Yes</v>
      </c>
      <c r="S1355" s="86" t="str">
        <f t="array" ref="S1355">iferror(XLOOKUP(C1355,'Download of SFDC Activation Rep'!B:B,'Download of SFDC Activation Rep'!Y:Y),"")</f>
        <v/>
      </c>
    </row>
    <row r="1356">
      <c r="A1356" s="17"/>
      <c r="B1356" s="85"/>
      <c r="C1356" s="17"/>
      <c r="D1356" s="85"/>
      <c r="E1356" s="17"/>
      <c r="F1356" s="17"/>
      <c r="G1356" s="17"/>
      <c r="I1356" s="17"/>
      <c r="K1356" s="17"/>
      <c r="L1356" s="17"/>
      <c r="M1356" s="17"/>
      <c r="O1356" s="14">
        <f t="shared" si="1"/>
        <v>0</v>
      </c>
      <c r="P1356" s="86" t="str">
        <f t="array" ref="P1356">iferror(XLOOKUP(C1356,'Download of SFDC Activation Rep'!B:B,'Download of SFDC Activation Rep'!Z:Z),"")</f>
        <v/>
      </c>
      <c r="Q1356" s="86" t="str">
        <f t="shared" si="2"/>
        <v/>
      </c>
      <c r="R1356" s="13" t="str">
        <f t="shared" si="3"/>
        <v>Yes</v>
      </c>
      <c r="S1356" s="86" t="str">
        <f t="array" ref="S1356">iferror(XLOOKUP(C1356,'Download of SFDC Activation Rep'!B:B,'Download of SFDC Activation Rep'!Y:Y),"")</f>
        <v/>
      </c>
    </row>
    <row r="1357">
      <c r="A1357" s="17"/>
      <c r="B1357" s="85"/>
      <c r="C1357" s="17"/>
      <c r="D1357" s="85"/>
      <c r="E1357" s="17"/>
      <c r="F1357" s="17"/>
      <c r="G1357" s="17"/>
      <c r="I1357" s="17"/>
      <c r="K1357" s="17"/>
      <c r="L1357" s="17"/>
      <c r="M1357" s="17"/>
      <c r="O1357" s="14">
        <f t="shared" si="1"/>
        <v>0</v>
      </c>
      <c r="P1357" s="86" t="str">
        <f t="array" ref="P1357">iferror(XLOOKUP(C1357,'Download of SFDC Activation Rep'!B:B,'Download of SFDC Activation Rep'!Z:Z),"")</f>
        <v/>
      </c>
      <c r="Q1357" s="86" t="str">
        <f t="shared" si="2"/>
        <v/>
      </c>
      <c r="R1357" s="13" t="str">
        <f t="shared" si="3"/>
        <v>Yes</v>
      </c>
      <c r="S1357" s="86" t="str">
        <f t="array" ref="S1357">iferror(XLOOKUP(C1357,'Download of SFDC Activation Rep'!B:B,'Download of SFDC Activation Rep'!Y:Y),"")</f>
        <v/>
      </c>
    </row>
    <row r="1358">
      <c r="A1358" s="17"/>
      <c r="B1358" s="85"/>
      <c r="C1358" s="17"/>
      <c r="D1358" s="85"/>
      <c r="E1358" s="17"/>
      <c r="F1358" s="17"/>
      <c r="G1358" s="17"/>
      <c r="I1358" s="17"/>
      <c r="K1358" s="17"/>
      <c r="L1358" s="17"/>
      <c r="M1358" s="17"/>
      <c r="O1358" s="14">
        <f t="shared" si="1"/>
        <v>0</v>
      </c>
      <c r="P1358" s="86" t="str">
        <f t="array" ref="P1358">iferror(XLOOKUP(C1358,'Download of SFDC Activation Rep'!B:B,'Download of SFDC Activation Rep'!Z:Z),"")</f>
        <v/>
      </c>
      <c r="Q1358" s="86" t="str">
        <f t="shared" si="2"/>
        <v/>
      </c>
      <c r="R1358" s="13" t="str">
        <f t="shared" si="3"/>
        <v>Yes</v>
      </c>
      <c r="S1358" s="86" t="str">
        <f t="array" ref="S1358">iferror(XLOOKUP(C1358,'Download of SFDC Activation Rep'!B:B,'Download of SFDC Activation Rep'!Y:Y),"")</f>
        <v/>
      </c>
    </row>
    <row r="1359">
      <c r="A1359" s="17"/>
      <c r="B1359" s="85"/>
      <c r="C1359" s="17"/>
      <c r="D1359" s="85"/>
      <c r="E1359" s="17"/>
      <c r="F1359" s="17"/>
      <c r="G1359" s="17"/>
      <c r="I1359" s="17"/>
      <c r="K1359" s="17"/>
      <c r="L1359" s="17"/>
      <c r="M1359" s="17"/>
      <c r="O1359" s="14">
        <f t="shared" si="1"/>
        <v>0</v>
      </c>
      <c r="P1359" s="86" t="str">
        <f t="array" ref="P1359">iferror(XLOOKUP(C1359,'Download of SFDC Activation Rep'!B:B,'Download of SFDC Activation Rep'!Z:Z),"")</f>
        <v/>
      </c>
      <c r="Q1359" s="86" t="str">
        <f t="shared" si="2"/>
        <v/>
      </c>
      <c r="R1359" s="13" t="str">
        <f t="shared" si="3"/>
        <v>Yes</v>
      </c>
      <c r="S1359" s="86" t="str">
        <f t="array" ref="S1359">iferror(XLOOKUP(C1359,'Download of SFDC Activation Rep'!B:B,'Download of SFDC Activation Rep'!Y:Y),"")</f>
        <v/>
      </c>
    </row>
    <row r="1360">
      <c r="A1360" s="17"/>
      <c r="B1360" s="85"/>
      <c r="C1360" s="17"/>
      <c r="D1360" s="85"/>
      <c r="E1360" s="17"/>
      <c r="F1360" s="17"/>
      <c r="G1360" s="17"/>
      <c r="I1360" s="17"/>
      <c r="K1360" s="17"/>
      <c r="L1360" s="17"/>
      <c r="M1360" s="17"/>
      <c r="O1360" s="14">
        <f t="shared" si="1"/>
        <v>0</v>
      </c>
      <c r="P1360" s="86" t="str">
        <f t="array" ref="P1360">iferror(XLOOKUP(C1360,'Download of SFDC Activation Rep'!B:B,'Download of SFDC Activation Rep'!Z:Z),"")</f>
        <v/>
      </c>
      <c r="Q1360" s="86" t="str">
        <f t="shared" si="2"/>
        <v/>
      </c>
      <c r="R1360" s="13" t="str">
        <f t="shared" si="3"/>
        <v>Yes</v>
      </c>
      <c r="S1360" s="86" t="str">
        <f t="array" ref="S1360">iferror(XLOOKUP(C1360,'Download of SFDC Activation Rep'!B:B,'Download of SFDC Activation Rep'!Y:Y),"")</f>
        <v/>
      </c>
    </row>
    <row r="1361">
      <c r="A1361" s="17"/>
      <c r="B1361" s="85"/>
      <c r="C1361" s="17"/>
      <c r="D1361" s="85"/>
      <c r="E1361" s="17"/>
      <c r="F1361" s="17"/>
      <c r="G1361" s="17"/>
      <c r="I1361" s="17"/>
      <c r="K1361" s="17"/>
      <c r="L1361" s="17"/>
      <c r="M1361" s="17"/>
      <c r="O1361" s="14">
        <f t="shared" si="1"/>
        <v>0</v>
      </c>
      <c r="P1361" s="86" t="str">
        <f t="array" ref="P1361">iferror(XLOOKUP(C1361,'Download of SFDC Activation Rep'!B:B,'Download of SFDC Activation Rep'!Z:Z),"")</f>
        <v/>
      </c>
      <c r="Q1361" s="86" t="str">
        <f t="shared" si="2"/>
        <v/>
      </c>
      <c r="R1361" s="13" t="str">
        <f t="shared" si="3"/>
        <v>Yes</v>
      </c>
      <c r="S1361" s="86" t="str">
        <f t="array" ref="S1361">iferror(XLOOKUP(C1361,'Download of SFDC Activation Rep'!B:B,'Download of SFDC Activation Rep'!Y:Y),"")</f>
        <v/>
      </c>
    </row>
    <row r="1362">
      <c r="A1362" s="17"/>
      <c r="B1362" s="85"/>
      <c r="C1362" s="17"/>
      <c r="D1362" s="85"/>
      <c r="E1362" s="17"/>
      <c r="F1362" s="17"/>
      <c r="G1362" s="17"/>
      <c r="I1362" s="17"/>
      <c r="K1362" s="17"/>
      <c r="L1362" s="17"/>
      <c r="M1362" s="17"/>
      <c r="O1362" s="14">
        <f t="shared" si="1"/>
        <v>0</v>
      </c>
      <c r="P1362" s="86" t="str">
        <f t="array" ref="P1362">iferror(XLOOKUP(C1362,'Download of SFDC Activation Rep'!B:B,'Download of SFDC Activation Rep'!Z:Z),"")</f>
        <v/>
      </c>
      <c r="Q1362" s="86" t="str">
        <f t="shared" si="2"/>
        <v/>
      </c>
      <c r="R1362" s="13" t="str">
        <f t="shared" si="3"/>
        <v>Yes</v>
      </c>
      <c r="S1362" s="86" t="str">
        <f t="array" ref="S1362">iferror(XLOOKUP(C1362,'Download of SFDC Activation Rep'!B:B,'Download of SFDC Activation Rep'!Y:Y),"")</f>
        <v/>
      </c>
    </row>
    <row r="1363">
      <c r="A1363" s="17"/>
      <c r="B1363" s="85"/>
      <c r="C1363" s="17"/>
      <c r="D1363" s="85"/>
      <c r="E1363" s="17"/>
      <c r="F1363" s="17"/>
      <c r="G1363" s="17"/>
      <c r="I1363" s="17"/>
      <c r="K1363" s="17"/>
      <c r="L1363" s="17"/>
      <c r="M1363" s="17"/>
      <c r="O1363" s="14">
        <f t="shared" si="1"/>
        <v>0</v>
      </c>
      <c r="P1363" s="86" t="str">
        <f t="array" ref="P1363">iferror(XLOOKUP(C1363,'Download of SFDC Activation Rep'!B:B,'Download of SFDC Activation Rep'!Z:Z),"")</f>
        <v/>
      </c>
      <c r="Q1363" s="86" t="str">
        <f t="shared" si="2"/>
        <v/>
      </c>
      <c r="R1363" s="13" t="str">
        <f t="shared" si="3"/>
        <v>Yes</v>
      </c>
      <c r="S1363" s="86" t="str">
        <f t="array" ref="S1363">iferror(XLOOKUP(C1363,'Download of SFDC Activation Rep'!B:B,'Download of SFDC Activation Rep'!Y:Y),"")</f>
        <v/>
      </c>
    </row>
    <row r="1364">
      <c r="A1364" s="17"/>
      <c r="B1364" s="85"/>
      <c r="C1364" s="17"/>
      <c r="D1364" s="85"/>
      <c r="E1364" s="17"/>
      <c r="F1364" s="17"/>
      <c r="G1364" s="17"/>
      <c r="I1364" s="17"/>
      <c r="K1364" s="17"/>
      <c r="L1364" s="17"/>
      <c r="M1364" s="17"/>
      <c r="O1364" s="14">
        <f t="shared" si="1"/>
        <v>0</v>
      </c>
      <c r="P1364" s="86" t="str">
        <f t="array" ref="P1364">iferror(XLOOKUP(C1364,'Download of SFDC Activation Rep'!B:B,'Download of SFDC Activation Rep'!Z:Z),"")</f>
        <v/>
      </c>
      <c r="Q1364" s="86" t="str">
        <f t="shared" si="2"/>
        <v/>
      </c>
      <c r="R1364" s="13" t="str">
        <f t="shared" si="3"/>
        <v>Yes</v>
      </c>
      <c r="S1364" s="86" t="str">
        <f t="array" ref="S1364">iferror(XLOOKUP(C1364,'Download of SFDC Activation Rep'!B:B,'Download of SFDC Activation Rep'!Y:Y),"")</f>
        <v/>
      </c>
    </row>
    <row r="1365">
      <c r="A1365" s="17"/>
      <c r="B1365" s="85"/>
      <c r="C1365" s="17"/>
      <c r="D1365" s="85"/>
      <c r="E1365" s="17"/>
      <c r="F1365" s="17"/>
      <c r="G1365" s="17"/>
      <c r="I1365" s="17"/>
      <c r="K1365" s="17"/>
      <c r="L1365" s="17"/>
      <c r="M1365" s="17"/>
      <c r="O1365" s="14">
        <f t="shared" si="1"/>
        <v>0</v>
      </c>
      <c r="P1365" s="86" t="str">
        <f t="array" ref="P1365">iferror(XLOOKUP(C1365,'Download of SFDC Activation Rep'!B:B,'Download of SFDC Activation Rep'!Z:Z),"")</f>
        <v/>
      </c>
      <c r="Q1365" s="86" t="str">
        <f t="shared" si="2"/>
        <v/>
      </c>
      <c r="R1365" s="13" t="str">
        <f t="shared" si="3"/>
        <v>Yes</v>
      </c>
      <c r="S1365" s="86" t="str">
        <f t="array" ref="S1365">iferror(XLOOKUP(C1365,'Download of SFDC Activation Rep'!B:B,'Download of SFDC Activation Rep'!Y:Y),"")</f>
        <v/>
      </c>
    </row>
    <row r="1366">
      <c r="A1366" s="17"/>
      <c r="B1366" s="85"/>
      <c r="C1366" s="17"/>
      <c r="D1366" s="85"/>
      <c r="E1366" s="17"/>
      <c r="F1366" s="17"/>
      <c r="G1366" s="17"/>
      <c r="I1366" s="17"/>
      <c r="K1366" s="17"/>
      <c r="L1366" s="17"/>
      <c r="M1366" s="17"/>
      <c r="O1366" s="14">
        <f t="shared" si="1"/>
        <v>0</v>
      </c>
      <c r="P1366" s="86" t="str">
        <f t="array" ref="P1366">iferror(XLOOKUP(C1366,'Download of SFDC Activation Rep'!B:B,'Download of SFDC Activation Rep'!Z:Z),"")</f>
        <v/>
      </c>
      <c r="Q1366" s="86" t="str">
        <f t="shared" si="2"/>
        <v/>
      </c>
      <c r="R1366" s="13" t="str">
        <f t="shared" si="3"/>
        <v>Yes</v>
      </c>
      <c r="S1366" s="86" t="str">
        <f t="array" ref="S1366">iferror(XLOOKUP(C1366,'Download of SFDC Activation Rep'!B:B,'Download of SFDC Activation Rep'!Y:Y),"")</f>
        <v/>
      </c>
    </row>
    <row r="1367">
      <c r="A1367" s="17"/>
      <c r="B1367" s="85"/>
      <c r="C1367" s="17"/>
      <c r="D1367" s="85"/>
      <c r="E1367" s="17"/>
      <c r="F1367" s="17"/>
      <c r="G1367" s="17"/>
      <c r="I1367" s="17"/>
      <c r="K1367" s="17"/>
      <c r="L1367" s="17"/>
      <c r="M1367" s="17"/>
      <c r="O1367" s="14">
        <f t="shared" si="1"/>
        <v>0</v>
      </c>
      <c r="P1367" s="86" t="str">
        <f t="array" ref="P1367">iferror(XLOOKUP(C1367,'Download of SFDC Activation Rep'!B:B,'Download of SFDC Activation Rep'!Z:Z),"")</f>
        <v/>
      </c>
      <c r="Q1367" s="86" t="str">
        <f t="shared" si="2"/>
        <v/>
      </c>
      <c r="R1367" s="13" t="str">
        <f t="shared" si="3"/>
        <v>Yes</v>
      </c>
      <c r="S1367" s="86" t="str">
        <f t="array" ref="S1367">iferror(XLOOKUP(C1367,'Download of SFDC Activation Rep'!B:B,'Download of SFDC Activation Rep'!Y:Y),"")</f>
        <v/>
      </c>
    </row>
    <row r="1368">
      <c r="A1368" s="17"/>
      <c r="B1368" s="85"/>
      <c r="C1368" s="17"/>
      <c r="D1368" s="85"/>
      <c r="E1368" s="17"/>
      <c r="F1368" s="17"/>
      <c r="G1368" s="17"/>
      <c r="I1368" s="17"/>
      <c r="K1368" s="17"/>
      <c r="L1368" s="17"/>
      <c r="M1368" s="17"/>
      <c r="O1368" s="14">
        <f t="shared" si="1"/>
        <v>0</v>
      </c>
      <c r="P1368" s="86" t="str">
        <f t="array" ref="P1368">iferror(XLOOKUP(C1368,'Download of SFDC Activation Rep'!B:B,'Download of SFDC Activation Rep'!Z:Z),"")</f>
        <v/>
      </c>
      <c r="Q1368" s="86" t="str">
        <f t="shared" si="2"/>
        <v/>
      </c>
      <c r="R1368" s="13" t="str">
        <f t="shared" si="3"/>
        <v>Yes</v>
      </c>
      <c r="S1368" s="86" t="str">
        <f t="array" ref="S1368">iferror(XLOOKUP(C1368,'Download of SFDC Activation Rep'!B:B,'Download of SFDC Activation Rep'!Y:Y),"")</f>
        <v/>
      </c>
    </row>
    <row r="1369">
      <c r="A1369" s="17"/>
      <c r="B1369" s="85"/>
      <c r="C1369" s="17"/>
      <c r="D1369" s="85"/>
      <c r="E1369" s="17"/>
      <c r="F1369" s="17"/>
      <c r="G1369" s="17"/>
      <c r="I1369" s="17"/>
      <c r="K1369" s="17"/>
      <c r="L1369" s="17"/>
      <c r="M1369" s="17"/>
      <c r="O1369" s="14">
        <f t="shared" si="1"/>
        <v>0</v>
      </c>
      <c r="P1369" s="86" t="str">
        <f t="array" ref="P1369">iferror(XLOOKUP(C1369,'Download of SFDC Activation Rep'!B:B,'Download of SFDC Activation Rep'!Z:Z),"")</f>
        <v/>
      </c>
      <c r="Q1369" s="86" t="str">
        <f t="shared" si="2"/>
        <v/>
      </c>
      <c r="R1369" s="13" t="str">
        <f t="shared" si="3"/>
        <v>Yes</v>
      </c>
      <c r="S1369" s="86" t="str">
        <f t="array" ref="S1369">iferror(XLOOKUP(C1369,'Download of SFDC Activation Rep'!B:B,'Download of SFDC Activation Rep'!Y:Y),"")</f>
        <v/>
      </c>
    </row>
    <row r="1370">
      <c r="A1370" s="17"/>
      <c r="B1370" s="85"/>
      <c r="C1370" s="17"/>
      <c r="D1370" s="85"/>
      <c r="E1370" s="17"/>
      <c r="F1370" s="17"/>
      <c r="G1370" s="17"/>
      <c r="I1370" s="17"/>
      <c r="K1370" s="17"/>
      <c r="L1370" s="17"/>
      <c r="M1370" s="17"/>
      <c r="O1370" s="14">
        <f t="shared" si="1"/>
        <v>0</v>
      </c>
      <c r="P1370" s="86" t="str">
        <f t="array" ref="P1370">iferror(XLOOKUP(C1370,'Download of SFDC Activation Rep'!B:B,'Download of SFDC Activation Rep'!Z:Z),"")</f>
        <v/>
      </c>
      <c r="Q1370" s="86" t="str">
        <f t="shared" si="2"/>
        <v/>
      </c>
      <c r="R1370" s="13" t="str">
        <f t="shared" si="3"/>
        <v>Yes</v>
      </c>
      <c r="S1370" s="86" t="str">
        <f t="array" ref="S1370">iferror(XLOOKUP(C1370,'Download of SFDC Activation Rep'!B:B,'Download of SFDC Activation Rep'!Y:Y),"")</f>
        <v/>
      </c>
    </row>
    <row r="1371">
      <c r="A1371" s="17"/>
      <c r="B1371" s="85"/>
      <c r="C1371" s="17"/>
      <c r="D1371" s="85"/>
      <c r="E1371" s="17"/>
      <c r="F1371" s="17"/>
      <c r="G1371" s="17"/>
      <c r="I1371" s="17"/>
      <c r="K1371" s="17"/>
      <c r="L1371" s="17"/>
      <c r="M1371" s="17"/>
      <c r="O1371" s="14">
        <f t="shared" si="1"/>
        <v>0</v>
      </c>
      <c r="P1371" s="86" t="str">
        <f t="array" ref="P1371">iferror(XLOOKUP(C1371,'Download of SFDC Activation Rep'!B:B,'Download of SFDC Activation Rep'!Z:Z),"")</f>
        <v/>
      </c>
      <c r="Q1371" s="86" t="str">
        <f t="shared" si="2"/>
        <v/>
      </c>
      <c r="R1371" s="13" t="str">
        <f t="shared" si="3"/>
        <v>Yes</v>
      </c>
      <c r="S1371" s="86" t="str">
        <f t="array" ref="S1371">iferror(XLOOKUP(C1371,'Download of SFDC Activation Rep'!B:B,'Download of SFDC Activation Rep'!Y:Y),"")</f>
        <v/>
      </c>
    </row>
    <row r="1372">
      <c r="A1372" s="17"/>
      <c r="B1372" s="85"/>
      <c r="C1372" s="17"/>
      <c r="D1372" s="85"/>
      <c r="E1372" s="17"/>
      <c r="F1372" s="17"/>
      <c r="G1372" s="17"/>
      <c r="I1372" s="17"/>
      <c r="K1372" s="17"/>
      <c r="L1372" s="17"/>
      <c r="M1372" s="17"/>
      <c r="O1372" s="14">
        <f t="shared" si="1"/>
        <v>0</v>
      </c>
      <c r="P1372" s="86" t="str">
        <f t="array" ref="P1372">iferror(XLOOKUP(C1372,'Download of SFDC Activation Rep'!B:B,'Download of SFDC Activation Rep'!Z:Z),"")</f>
        <v/>
      </c>
      <c r="Q1372" s="86" t="str">
        <f t="shared" si="2"/>
        <v/>
      </c>
      <c r="R1372" s="13" t="str">
        <f t="shared" si="3"/>
        <v>Yes</v>
      </c>
      <c r="S1372" s="86" t="str">
        <f t="array" ref="S1372">iferror(XLOOKUP(C1372,'Download of SFDC Activation Rep'!B:B,'Download of SFDC Activation Rep'!Y:Y),"")</f>
        <v/>
      </c>
    </row>
    <row r="1373">
      <c r="A1373" s="17"/>
      <c r="B1373" s="85"/>
      <c r="C1373" s="17"/>
      <c r="D1373" s="85"/>
      <c r="E1373" s="17"/>
      <c r="F1373" s="17"/>
      <c r="G1373" s="17"/>
      <c r="I1373" s="17"/>
      <c r="K1373" s="17"/>
      <c r="L1373" s="17"/>
      <c r="M1373" s="17"/>
      <c r="O1373" s="14">
        <f t="shared" si="1"/>
        <v>0</v>
      </c>
      <c r="P1373" s="86" t="str">
        <f t="array" ref="P1373">iferror(XLOOKUP(C1373,'Download of SFDC Activation Rep'!B:B,'Download of SFDC Activation Rep'!Z:Z),"")</f>
        <v/>
      </c>
      <c r="Q1373" s="86" t="str">
        <f t="shared" si="2"/>
        <v/>
      </c>
      <c r="R1373" s="13" t="str">
        <f t="shared" si="3"/>
        <v>Yes</v>
      </c>
      <c r="S1373" s="86" t="str">
        <f t="array" ref="S1373">iferror(XLOOKUP(C1373,'Download of SFDC Activation Rep'!B:B,'Download of SFDC Activation Rep'!Y:Y),"")</f>
        <v/>
      </c>
    </row>
    <row r="1374">
      <c r="A1374" s="17"/>
      <c r="B1374" s="85"/>
      <c r="C1374" s="17"/>
      <c r="D1374" s="85"/>
      <c r="E1374" s="17"/>
      <c r="F1374" s="17"/>
      <c r="G1374" s="17"/>
      <c r="I1374" s="17"/>
      <c r="K1374" s="17"/>
      <c r="L1374" s="17"/>
      <c r="M1374" s="17"/>
      <c r="O1374" s="14">
        <f t="shared" si="1"/>
        <v>0</v>
      </c>
      <c r="P1374" s="86" t="str">
        <f t="array" ref="P1374">iferror(XLOOKUP(C1374,'Download of SFDC Activation Rep'!B:B,'Download of SFDC Activation Rep'!Z:Z),"")</f>
        <v/>
      </c>
      <c r="Q1374" s="86" t="str">
        <f t="shared" si="2"/>
        <v/>
      </c>
      <c r="R1374" s="13" t="str">
        <f t="shared" si="3"/>
        <v>Yes</v>
      </c>
      <c r="S1374" s="86" t="str">
        <f t="array" ref="S1374">iferror(XLOOKUP(C1374,'Download of SFDC Activation Rep'!B:B,'Download of SFDC Activation Rep'!Y:Y),"")</f>
        <v/>
      </c>
    </row>
    <row r="1375">
      <c r="A1375" s="17"/>
      <c r="B1375" s="85"/>
      <c r="C1375" s="17"/>
      <c r="D1375" s="85"/>
      <c r="E1375" s="17"/>
      <c r="F1375" s="17"/>
      <c r="G1375" s="17"/>
      <c r="I1375" s="17"/>
      <c r="K1375" s="17"/>
      <c r="L1375" s="17"/>
      <c r="M1375" s="17"/>
      <c r="O1375" s="14">
        <f t="shared" si="1"/>
        <v>0</v>
      </c>
      <c r="P1375" s="86" t="str">
        <f t="array" ref="P1375">iferror(XLOOKUP(C1375,'Download of SFDC Activation Rep'!B:B,'Download of SFDC Activation Rep'!Z:Z),"")</f>
        <v/>
      </c>
      <c r="Q1375" s="86" t="str">
        <f t="shared" si="2"/>
        <v/>
      </c>
      <c r="R1375" s="13" t="str">
        <f t="shared" si="3"/>
        <v>Yes</v>
      </c>
      <c r="S1375" s="86" t="str">
        <f t="array" ref="S1375">iferror(XLOOKUP(C1375,'Download of SFDC Activation Rep'!B:B,'Download of SFDC Activation Rep'!Y:Y),"")</f>
        <v/>
      </c>
    </row>
    <row r="1376">
      <c r="A1376" s="17"/>
      <c r="B1376" s="85"/>
      <c r="C1376" s="17"/>
      <c r="D1376" s="85"/>
      <c r="E1376" s="17"/>
      <c r="F1376" s="17"/>
      <c r="G1376" s="17"/>
      <c r="I1376" s="17"/>
      <c r="K1376" s="17"/>
      <c r="L1376" s="17"/>
      <c r="M1376" s="17"/>
      <c r="O1376" s="14">
        <f t="shared" si="1"/>
        <v>0</v>
      </c>
      <c r="P1376" s="86" t="str">
        <f t="array" ref="P1376">iferror(XLOOKUP(C1376,'Download of SFDC Activation Rep'!B:B,'Download of SFDC Activation Rep'!Z:Z),"")</f>
        <v/>
      </c>
      <c r="Q1376" s="86" t="str">
        <f t="shared" si="2"/>
        <v/>
      </c>
      <c r="R1376" s="13" t="str">
        <f t="shared" si="3"/>
        <v>Yes</v>
      </c>
      <c r="S1376" s="86" t="str">
        <f t="array" ref="S1376">iferror(XLOOKUP(C1376,'Download of SFDC Activation Rep'!B:B,'Download of SFDC Activation Rep'!Y:Y),"")</f>
        <v/>
      </c>
    </row>
    <row r="1377">
      <c r="A1377" s="17"/>
      <c r="B1377" s="85"/>
      <c r="C1377" s="17"/>
      <c r="D1377" s="85"/>
      <c r="E1377" s="17"/>
      <c r="F1377" s="17"/>
      <c r="G1377" s="17"/>
      <c r="I1377" s="17"/>
      <c r="K1377" s="17"/>
      <c r="L1377" s="17"/>
      <c r="M1377" s="17"/>
      <c r="O1377" s="14">
        <f t="shared" si="1"/>
        <v>0</v>
      </c>
      <c r="P1377" s="86" t="str">
        <f t="array" ref="P1377">iferror(XLOOKUP(C1377,'Download of SFDC Activation Rep'!B:B,'Download of SFDC Activation Rep'!Z:Z),"")</f>
        <v/>
      </c>
      <c r="Q1377" s="86" t="str">
        <f t="shared" si="2"/>
        <v/>
      </c>
      <c r="R1377" s="13" t="str">
        <f t="shared" si="3"/>
        <v>Yes</v>
      </c>
      <c r="S1377" s="86" t="str">
        <f t="array" ref="S1377">iferror(XLOOKUP(C1377,'Download of SFDC Activation Rep'!B:B,'Download of SFDC Activation Rep'!Y:Y),"")</f>
        <v/>
      </c>
    </row>
    <row r="1378">
      <c r="A1378" s="17"/>
      <c r="B1378" s="85"/>
      <c r="C1378" s="17"/>
      <c r="D1378" s="85"/>
      <c r="E1378" s="17"/>
      <c r="F1378" s="17"/>
      <c r="G1378" s="17"/>
      <c r="I1378" s="17"/>
      <c r="K1378" s="17"/>
      <c r="L1378" s="17"/>
      <c r="M1378" s="17"/>
      <c r="O1378" s="14">
        <f t="shared" si="1"/>
        <v>0</v>
      </c>
      <c r="P1378" s="86" t="str">
        <f t="array" ref="P1378">iferror(XLOOKUP(C1378,'Download of SFDC Activation Rep'!B:B,'Download of SFDC Activation Rep'!Z:Z),"")</f>
        <v/>
      </c>
      <c r="Q1378" s="86" t="str">
        <f t="shared" si="2"/>
        <v/>
      </c>
      <c r="R1378" s="13" t="str">
        <f t="shared" si="3"/>
        <v>Yes</v>
      </c>
      <c r="S1378" s="86" t="str">
        <f t="array" ref="S1378">iferror(XLOOKUP(C1378,'Download of SFDC Activation Rep'!B:B,'Download of SFDC Activation Rep'!Y:Y),"")</f>
        <v/>
      </c>
    </row>
    <row r="1379">
      <c r="A1379" s="17"/>
      <c r="B1379" s="85"/>
      <c r="C1379" s="17"/>
      <c r="D1379" s="85"/>
      <c r="E1379" s="17"/>
      <c r="F1379" s="17"/>
      <c r="G1379" s="17"/>
      <c r="I1379" s="17"/>
      <c r="K1379" s="17"/>
      <c r="L1379" s="17"/>
      <c r="M1379" s="17"/>
      <c r="O1379" s="14">
        <f t="shared" si="1"/>
        <v>0</v>
      </c>
      <c r="P1379" s="86" t="str">
        <f t="array" ref="P1379">iferror(XLOOKUP(C1379,'Download of SFDC Activation Rep'!B:B,'Download of SFDC Activation Rep'!Z:Z),"")</f>
        <v/>
      </c>
      <c r="Q1379" s="86" t="str">
        <f t="shared" si="2"/>
        <v/>
      </c>
      <c r="R1379" s="13" t="str">
        <f t="shared" si="3"/>
        <v>Yes</v>
      </c>
      <c r="S1379" s="86" t="str">
        <f t="array" ref="S1379">iferror(XLOOKUP(C1379,'Download of SFDC Activation Rep'!B:B,'Download of SFDC Activation Rep'!Y:Y),"")</f>
        <v/>
      </c>
    </row>
    <row r="1380">
      <c r="A1380" s="17"/>
      <c r="B1380" s="85"/>
      <c r="C1380" s="17"/>
      <c r="D1380" s="85"/>
      <c r="E1380" s="17"/>
      <c r="F1380" s="17"/>
      <c r="G1380" s="17"/>
      <c r="I1380" s="17"/>
      <c r="K1380" s="17"/>
      <c r="L1380" s="17"/>
      <c r="M1380" s="17"/>
      <c r="O1380" s="14">
        <f t="shared" si="1"/>
        <v>0</v>
      </c>
      <c r="P1380" s="86" t="str">
        <f t="array" ref="P1380">iferror(XLOOKUP(C1380,'Download of SFDC Activation Rep'!B:B,'Download of SFDC Activation Rep'!Z:Z),"")</f>
        <v/>
      </c>
      <c r="Q1380" s="86" t="str">
        <f t="shared" si="2"/>
        <v/>
      </c>
      <c r="R1380" s="13" t="str">
        <f t="shared" si="3"/>
        <v>Yes</v>
      </c>
      <c r="S1380" s="86" t="str">
        <f t="array" ref="S1380">iferror(XLOOKUP(C1380,'Download of SFDC Activation Rep'!B:B,'Download of SFDC Activation Rep'!Y:Y),"")</f>
        <v/>
      </c>
    </row>
    <row r="1381">
      <c r="A1381" s="17"/>
      <c r="B1381" s="85"/>
      <c r="C1381" s="17"/>
      <c r="D1381" s="85"/>
      <c r="E1381" s="17"/>
      <c r="F1381" s="17"/>
      <c r="G1381" s="17"/>
      <c r="I1381" s="17"/>
      <c r="K1381" s="17"/>
      <c r="L1381" s="17"/>
      <c r="M1381" s="17"/>
      <c r="O1381" s="14">
        <f t="shared" si="1"/>
        <v>0</v>
      </c>
      <c r="P1381" s="86" t="str">
        <f t="array" ref="P1381">iferror(XLOOKUP(C1381,'Download of SFDC Activation Rep'!B:B,'Download of SFDC Activation Rep'!Z:Z),"")</f>
        <v/>
      </c>
      <c r="Q1381" s="86" t="str">
        <f t="shared" si="2"/>
        <v/>
      </c>
      <c r="R1381" s="13" t="str">
        <f t="shared" si="3"/>
        <v>Yes</v>
      </c>
      <c r="S1381" s="86" t="str">
        <f t="array" ref="S1381">iferror(XLOOKUP(C1381,'Download of SFDC Activation Rep'!B:B,'Download of SFDC Activation Rep'!Y:Y),"")</f>
        <v/>
      </c>
    </row>
    <row r="1382">
      <c r="A1382" s="17"/>
      <c r="B1382" s="85"/>
      <c r="C1382" s="17"/>
      <c r="D1382" s="85"/>
      <c r="E1382" s="17"/>
      <c r="F1382" s="17"/>
      <c r="G1382" s="17"/>
      <c r="I1382" s="17"/>
      <c r="K1382" s="17"/>
      <c r="L1382" s="17"/>
      <c r="M1382" s="17"/>
      <c r="O1382" s="14">
        <f t="shared" si="1"/>
        <v>0</v>
      </c>
      <c r="P1382" s="86" t="str">
        <f t="array" ref="P1382">iferror(XLOOKUP(C1382,'Download of SFDC Activation Rep'!B:B,'Download of SFDC Activation Rep'!Z:Z),"")</f>
        <v/>
      </c>
      <c r="Q1382" s="86" t="str">
        <f t="shared" si="2"/>
        <v/>
      </c>
      <c r="R1382" s="13" t="str">
        <f t="shared" si="3"/>
        <v>Yes</v>
      </c>
      <c r="S1382" s="86" t="str">
        <f t="array" ref="S1382">iferror(XLOOKUP(C1382,'Download of SFDC Activation Rep'!B:B,'Download of SFDC Activation Rep'!Y:Y),"")</f>
        <v/>
      </c>
    </row>
    <row r="1383">
      <c r="A1383" s="17"/>
      <c r="B1383" s="85"/>
      <c r="C1383" s="17"/>
      <c r="D1383" s="85"/>
      <c r="E1383" s="17"/>
      <c r="F1383" s="17"/>
      <c r="G1383" s="17"/>
      <c r="I1383" s="17"/>
      <c r="K1383" s="17"/>
      <c r="L1383" s="17"/>
      <c r="M1383" s="17"/>
      <c r="O1383" s="14">
        <f t="shared" si="1"/>
        <v>0</v>
      </c>
      <c r="P1383" s="86" t="str">
        <f t="array" ref="P1383">iferror(XLOOKUP(C1383,'Download of SFDC Activation Rep'!B:B,'Download of SFDC Activation Rep'!Z:Z),"")</f>
        <v/>
      </c>
      <c r="Q1383" s="86" t="str">
        <f t="shared" si="2"/>
        <v/>
      </c>
      <c r="R1383" s="13" t="str">
        <f t="shared" si="3"/>
        <v>Yes</v>
      </c>
      <c r="S1383" s="86" t="str">
        <f t="array" ref="S1383">iferror(XLOOKUP(C1383,'Download of SFDC Activation Rep'!B:B,'Download of SFDC Activation Rep'!Y:Y),"")</f>
        <v/>
      </c>
    </row>
    <row r="1384">
      <c r="A1384" s="17"/>
      <c r="B1384" s="85"/>
      <c r="C1384" s="17"/>
      <c r="D1384" s="85"/>
      <c r="E1384" s="17"/>
      <c r="F1384" s="17"/>
      <c r="G1384" s="17"/>
      <c r="I1384" s="17"/>
      <c r="K1384" s="17"/>
      <c r="L1384" s="17"/>
      <c r="M1384" s="17"/>
      <c r="O1384" s="14">
        <f t="shared" si="1"/>
        <v>0</v>
      </c>
      <c r="P1384" s="86" t="str">
        <f t="array" ref="P1384">iferror(XLOOKUP(C1384,'Download of SFDC Activation Rep'!B:B,'Download of SFDC Activation Rep'!Z:Z),"")</f>
        <v/>
      </c>
      <c r="Q1384" s="86" t="str">
        <f t="shared" si="2"/>
        <v/>
      </c>
      <c r="R1384" s="13" t="str">
        <f t="shared" si="3"/>
        <v>Yes</v>
      </c>
      <c r="S1384" s="86" t="str">
        <f t="array" ref="S1384">iferror(XLOOKUP(C1384,'Download of SFDC Activation Rep'!B:B,'Download of SFDC Activation Rep'!Y:Y),"")</f>
        <v/>
      </c>
    </row>
    <row r="1385">
      <c r="A1385" s="17"/>
      <c r="B1385" s="85"/>
      <c r="C1385" s="17"/>
      <c r="D1385" s="85"/>
      <c r="E1385" s="17"/>
      <c r="F1385" s="17"/>
      <c r="G1385" s="17"/>
      <c r="I1385" s="17"/>
      <c r="K1385" s="17"/>
      <c r="L1385" s="17"/>
      <c r="M1385" s="17"/>
      <c r="O1385" s="14">
        <f t="shared" si="1"/>
        <v>0</v>
      </c>
      <c r="P1385" s="86" t="str">
        <f t="array" ref="P1385">iferror(XLOOKUP(C1385,'Download of SFDC Activation Rep'!B:B,'Download of SFDC Activation Rep'!Z:Z),"")</f>
        <v/>
      </c>
      <c r="Q1385" s="86" t="str">
        <f t="shared" si="2"/>
        <v/>
      </c>
      <c r="R1385" s="13" t="str">
        <f t="shared" si="3"/>
        <v>Yes</v>
      </c>
      <c r="S1385" s="86" t="str">
        <f t="array" ref="S1385">iferror(XLOOKUP(C1385,'Download of SFDC Activation Rep'!B:B,'Download of SFDC Activation Rep'!Y:Y),"")</f>
        <v/>
      </c>
    </row>
    <row r="1386">
      <c r="A1386" s="17"/>
      <c r="B1386" s="85"/>
      <c r="C1386" s="17"/>
      <c r="D1386" s="85"/>
      <c r="E1386" s="17"/>
      <c r="F1386" s="17"/>
      <c r="G1386" s="17"/>
      <c r="I1386" s="17"/>
      <c r="K1386" s="17"/>
      <c r="L1386" s="17"/>
      <c r="M1386" s="17"/>
      <c r="O1386" s="14">
        <f t="shared" si="1"/>
        <v>0</v>
      </c>
      <c r="P1386" s="86" t="str">
        <f t="array" ref="P1386">iferror(XLOOKUP(C1386,'Download of SFDC Activation Rep'!B:B,'Download of SFDC Activation Rep'!Z:Z),"")</f>
        <v/>
      </c>
      <c r="Q1386" s="86" t="str">
        <f t="shared" si="2"/>
        <v/>
      </c>
      <c r="R1386" s="13" t="str">
        <f t="shared" si="3"/>
        <v>Yes</v>
      </c>
      <c r="S1386" s="86" t="str">
        <f t="array" ref="S1386">iferror(XLOOKUP(C1386,'Download of SFDC Activation Rep'!B:B,'Download of SFDC Activation Rep'!Y:Y),"")</f>
        <v/>
      </c>
    </row>
    <row r="1387">
      <c r="A1387" s="17"/>
      <c r="B1387" s="85"/>
      <c r="C1387" s="17"/>
      <c r="D1387" s="85"/>
      <c r="E1387" s="17"/>
      <c r="F1387" s="17"/>
      <c r="G1387" s="17"/>
      <c r="I1387" s="17"/>
      <c r="K1387" s="17"/>
      <c r="L1387" s="17"/>
      <c r="M1387" s="17"/>
      <c r="O1387" s="14">
        <f t="shared" si="1"/>
        <v>0</v>
      </c>
      <c r="P1387" s="86" t="str">
        <f t="array" ref="P1387">iferror(XLOOKUP(C1387,'Download of SFDC Activation Rep'!B:B,'Download of SFDC Activation Rep'!Z:Z),"")</f>
        <v/>
      </c>
      <c r="Q1387" s="86" t="str">
        <f t="shared" si="2"/>
        <v/>
      </c>
      <c r="R1387" s="13" t="str">
        <f t="shared" si="3"/>
        <v>Yes</v>
      </c>
      <c r="S1387" s="86" t="str">
        <f t="array" ref="S1387">iferror(XLOOKUP(C1387,'Download of SFDC Activation Rep'!B:B,'Download of SFDC Activation Rep'!Y:Y),"")</f>
        <v/>
      </c>
    </row>
    <row r="1388">
      <c r="A1388" s="17"/>
      <c r="B1388" s="85"/>
      <c r="C1388" s="17"/>
      <c r="D1388" s="85"/>
      <c r="E1388" s="17"/>
      <c r="F1388" s="17"/>
      <c r="G1388" s="17"/>
      <c r="I1388" s="17"/>
      <c r="K1388" s="17"/>
      <c r="L1388" s="17"/>
      <c r="M1388" s="17"/>
      <c r="O1388" s="14">
        <f t="shared" si="1"/>
        <v>0</v>
      </c>
      <c r="P1388" s="86" t="str">
        <f t="array" ref="P1388">iferror(XLOOKUP(C1388,'Download of SFDC Activation Rep'!B:B,'Download of SFDC Activation Rep'!Z:Z),"")</f>
        <v/>
      </c>
      <c r="Q1388" s="86" t="str">
        <f t="shared" si="2"/>
        <v/>
      </c>
      <c r="R1388" s="13" t="str">
        <f t="shared" si="3"/>
        <v>Yes</v>
      </c>
      <c r="S1388" s="86" t="str">
        <f t="array" ref="S1388">iferror(XLOOKUP(C1388,'Download of SFDC Activation Rep'!B:B,'Download of SFDC Activation Rep'!Y:Y),"")</f>
        <v/>
      </c>
    </row>
    <row r="1389">
      <c r="A1389" s="17"/>
      <c r="B1389" s="85"/>
      <c r="C1389" s="17"/>
      <c r="D1389" s="85"/>
      <c r="E1389" s="17"/>
      <c r="F1389" s="17"/>
      <c r="G1389" s="17"/>
      <c r="I1389" s="17"/>
      <c r="K1389" s="17"/>
      <c r="L1389" s="17"/>
      <c r="M1389" s="17"/>
      <c r="O1389" s="14">
        <f t="shared" si="1"/>
        <v>0</v>
      </c>
      <c r="P1389" s="86" t="str">
        <f t="array" ref="P1389">iferror(XLOOKUP(C1389,'Download of SFDC Activation Rep'!B:B,'Download of SFDC Activation Rep'!Z:Z),"")</f>
        <v/>
      </c>
      <c r="Q1389" s="86" t="str">
        <f t="shared" si="2"/>
        <v/>
      </c>
      <c r="R1389" s="13" t="str">
        <f t="shared" si="3"/>
        <v>Yes</v>
      </c>
      <c r="S1389" s="86" t="str">
        <f t="array" ref="S1389">iferror(XLOOKUP(C1389,'Download of SFDC Activation Rep'!B:B,'Download of SFDC Activation Rep'!Y:Y),"")</f>
        <v/>
      </c>
    </row>
    <row r="1390">
      <c r="A1390" s="17"/>
      <c r="B1390" s="85"/>
      <c r="C1390" s="17"/>
      <c r="D1390" s="85"/>
      <c r="E1390" s="17"/>
      <c r="F1390" s="17"/>
      <c r="G1390" s="17"/>
      <c r="I1390" s="17"/>
      <c r="K1390" s="17"/>
      <c r="L1390" s="17"/>
      <c r="M1390" s="17"/>
      <c r="O1390" s="14">
        <f t="shared" si="1"/>
        <v>0</v>
      </c>
      <c r="P1390" s="86" t="str">
        <f t="array" ref="P1390">iferror(XLOOKUP(C1390,'Download of SFDC Activation Rep'!B:B,'Download of SFDC Activation Rep'!Z:Z),"")</f>
        <v/>
      </c>
      <c r="Q1390" s="86" t="str">
        <f t="shared" si="2"/>
        <v/>
      </c>
      <c r="R1390" s="13" t="str">
        <f t="shared" si="3"/>
        <v>Yes</v>
      </c>
      <c r="S1390" s="86" t="str">
        <f t="array" ref="S1390">iferror(XLOOKUP(C1390,'Download of SFDC Activation Rep'!B:B,'Download of SFDC Activation Rep'!Y:Y),"")</f>
        <v/>
      </c>
    </row>
    <row r="1391">
      <c r="A1391" s="17"/>
      <c r="B1391" s="85"/>
      <c r="C1391" s="17"/>
      <c r="D1391" s="85"/>
      <c r="E1391" s="17"/>
      <c r="F1391" s="17"/>
      <c r="G1391" s="17"/>
      <c r="I1391" s="17"/>
      <c r="K1391" s="17"/>
      <c r="L1391" s="17"/>
      <c r="M1391" s="17"/>
      <c r="O1391" s="14">
        <f t="shared" si="1"/>
        <v>0</v>
      </c>
      <c r="P1391" s="86" t="str">
        <f t="array" ref="P1391">iferror(XLOOKUP(C1391,'Download of SFDC Activation Rep'!B:B,'Download of SFDC Activation Rep'!Z:Z),"")</f>
        <v/>
      </c>
      <c r="Q1391" s="86" t="str">
        <f t="shared" si="2"/>
        <v/>
      </c>
      <c r="R1391" s="13" t="str">
        <f t="shared" si="3"/>
        <v>Yes</v>
      </c>
      <c r="S1391" s="86" t="str">
        <f t="array" ref="S1391">iferror(XLOOKUP(C1391,'Download of SFDC Activation Rep'!B:B,'Download of SFDC Activation Rep'!Y:Y),"")</f>
        <v/>
      </c>
    </row>
    <row r="1392">
      <c r="A1392" s="17"/>
      <c r="B1392" s="85"/>
      <c r="C1392" s="17"/>
      <c r="D1392" s="85"/>
      <c r="E1392" s="17"/>
      <c r="F1392" s="17"/>
      <c r="G1392" s="17"/>
      <c r="I1392" s="17"/>
      <c r="K1392" s="17"/>
      <c r="L1392" s="17"/>
      <c r="M1392" s="17"/>
      <c r="O1392" s="14">
        <f t="shared" si="1"/>
        <v>0</v>
      </c>
      <c r="P1392" s="86" t="str">
        <f t="array" ref="P1392">iferror(XLOOKUP(C1392,'Download of SFDC Activation Rep'!B:B,'Download of SFDC Activation Rep'!Z:Z),"")</f>
        <v/>
      </c>
      <c r="Q1392" s="86" t="str">
        <f t="shared" si="2"/>
        <v/>
      </c>
      <c r="R1392" s="13" t="str">
        <f t="shared" si="3"/>
        <v>Yes</v>
      </c>
      <c r="S1392" s="86" t="str">
        <f t="array" ref="S1392">iferror(XLOOKUP(C1392,'Download of SFDC Activation Rep'!B:B,'Download of SFDC Activation Rep'!Y:Y),"")</f>
        <v/>
      </c>
    </row>
    <row r="1393">
      <c r="A1393" s="17"/>
      <c r="B1393" s="85"/>
      <c r="C1393" s="17"/>
      <c r="D1393" s="85"/>
      <c r="E1393" s="17"/>
      <c r="F1393" s="17"/>
      <c r="G1393" s="17"/>
      <c r="I1393" s="17"/>
      <c r="K1393" s="17"/>
      <c r="L1393" s="17"/>
      <c r="M1393" s="17"/>
      <c r="O1393" s="14">
        <f t="shared" si="1"/>
        <v>0</v>
      </c>
      <c r="P1393" s="86" t="str">
        <f t="array" ref="P1393">iferror(XLOOKUP(C1393,'Download of SFDC Activation Rep'!B:B,'Download of SFDC Activation Rep'!Z:Z),"")</f>
        <v/>
      </c>
      <c r="Q1393" s="86" t="str">
        <f t="shared" si="2"/>
        <v/>
      </c>
      <c r="R1393" s="13" t="str">
        <f t="shared" si="3"/>
        <v>Yes</v>
      </c>
      <c r="S1393" s="86" t="str">
        <f t="array" ref="S1393">iferror(XLOOKUP(C1393,'Download of SFDC Activation Rep'!B:B,'Download of SFDC Activation Rep'!Y:Y),"")</f>
        <v/>
      </c>
    </row>
    <row r="1394">
      <c r="A1394" s="17"/>
      <c r="B1394" s="85"/>
      <c r="C1394" s="17"/>
      <c r="D1394" s="85"/>
      <c r="E1394" s="17"/>
      <c r="F1394" s="17"/>
      <c r="G1394" s="17"/>
      <c r="I1394" s="17"/>
      <c r="K1394" s="17"/>
      <c r="L1394" s="17"/>
      <c r="M1394" s="17"/>
      <c r="O1394" s="14">
        <f t="shared" si="1"/>
        <v>0</v>
      </c>
      <c r="P1394" s="86" t="str">
        <f t="array" ref="P1394">iferror(XLOOKUP(C1394,'Download of SFDC Activation Rep'!B:B,'Download of SFDC Activation Rep'!Z:Z),"")</f>
        <v/>
      </c>
      <c r="Q1394" s="86" t="str">
        <f t="shared" si="2"/>
        <v/>
      </c>
      <c r="R1394" s="13" t="str">
        <f t="shared" si="3"/>
        <v>Yes</v>
      </c>
      <c r="S1394" s="86" t="str">
        <f t="array" ref="S1394">iferror(XLOOKUP(C1394,'Download of SFDC Activation Rep'!B:B,'Download of SFDC Activation Rep'!Y:Y),"")</f>
        <v/>
      </c>
    </row>
    <row r="1395">
      <c r="A1395" s="17"/>
      <c r="B1395" s="85"/>
      <c r="C1395" s="17"/>
      <c r="D1395" s="85"/>
      <c r="E1395" s="17"/>
      <c r="F1395" s="17"/>
      <c r="G1395" s="17"/>
      <c r="I1395" s="17"/>
      <c r="K1395" s="17"/>
      <c r="L1395" s="17"/>
      <c r="M1395" s="17"/>
      <c r="O1395" s="14">
        <f t="shared" si="1"/>
        <v>0</v>
      </c>
      <c r="P1395" s="86" t="str">
        <f t="array" ref="P1395">iferror(XLOOKUP(C1395,'Download of SFDC Activation Rep'!B:B,'Download of SFDC Activation Rep'!Z:Z),"")</f>
        <v/>
      </c>
      <c r="Q1395" s="86" t="str">
        <f t="shared" si="2"/>
        <v/>
      </c>
      <c r="R1395" s="13" t="str">
        <f t="shared" si="3"/>
        <v>Yes</v>
      </c>
      <c r="S1395" s="86" t="str">
        <f t="array" ref="S1395">iferror(XLOOKUP(C1395,'Download of SFDC Activation Rep'!B:B,'Download of SFDC Activation Rep'!Y:Y),"")</f>
        <v/>
      </c>
    </row>
    <row r="1396">
      <c r="A1396" s="17"/>
      <c r="B1396" s="85"/>
      <c r="C1396" s="17"/>
      <c r="D1396" s="85"/>
      <c r="E1396" s="17"/>
      <c r="F1396" s="17"/>
      <c r="G1396" s="17"/>
      <c r="I1396" s="17"/>
      <c r="K1396" s="17"/>
      <c r="L1396" s="17"/>
      <c r="M1396" s="17"/>
      <c r="O1396" s="14">
        <f t="shared" si="1"/>
        <v>0</v>
      </c>
      <c r="P1396" s="86" t="str">
        <f t="array" ref="P1396">iferror(XLOOKUP(C1396,'Download of SFDC Activation Rep'!B:B,'Download of SFDC Activation Rep'!Z:Z),"")</f>
        <v/>
      </c>
      <c r="Q1396" s="86" t="str">
        <f t="shared" si="2"/>
        <v/>
      </c>
      <c r="R1396" s="13" t="str">
        <f t="shared" si="3"/>
        <v>Yes</v>
      </c>
      <c r="S1396" s="86" t="str">
        <f t="array" ref="S1396">iferror(XLOOKUP(C1396,'Download of SFDC Activation Rep'!B:B,'Download of SFDC Activation Rep'!Y:Y),"")</f>
        <v/>
      </c>
    </row>
    <row r="1397">
      <c r="A1397" s="17"/>
      <c r="B1397" s="85"/>
      <c r="C1397" s="17"/>
      <c r="D1397" s="85"/>
      <c r="E1397" s="17"/>
      <c r="F1397" s="17"/>
      <c r="G1397" s="17"/>
      <c r="I1397" s="17"/>
      <c r="K1397" s="17"/>
      <c r="L1397" s="17"/>
      <c r="M1397" s="17"/>
      <c r="O1397" s="14">
        <f t="shared" si="1"/>
        <v>0</v>
      </c>
      <c r="P1397" s="86" t="str">
        <f t="array" ref="P1397">iferror(XLOOKUP(C1397,'Download of SFDC Activation Rep'!B:B,'Download of SFDC Activation Rep'!Z:Z),"")</f>
        <v/>
      </c>
      <c r="Q1397" s="86" t="str">
        <f t="shared" si="2"/>
        <v/>
      </c>
      <c r="R1397" s="13" t="str">
        <f t="shared" si="3"/>
        <v>Yes</v>
      </c>
      <c r="S1397" s="86" t="str">
        <f t="array" ref="S1397">iferror(XLOOKUP(C1397,'Download of SFDC Activation Rep'!B:B,'Download of SFDC Activation Rep'!Y:Y),"")</f>
        <v/>
      </c>
    </row>
    <row r="1398">
      <c r="A1398" s="17"/>
      <c r="B1398" s="85"/>
      <c r="C1398" s="17"/>
      <c r="D1398" s="85"/>
      <c r="E1398" s="17"/>
      <c r="F1398" s="17"/>
      <c r="G1398" s="17"/>
      <c r="I1398" s="17"/>
      <c r="K1398" s="17"/>
      <c r="L1398" s="17"/>
      <c r="M1398" s="17"/>
      <c r="O1398" s="14">
        <f t="shared" si="1"/>
        <v>0</v>
      </c>
      <c r="P1398" s="86" t="str">
        <f t="array" ref="P1398">iferror(XLOOKUP(C1398,'Download of SFDC Activation Rep'!B:B,'Download of SFDC Activation Rep'!Z:Z),"")</f>
        <v/>
      </c>
      <c r="Q1398" s="86" t="str">
        <f t="shared" si="2"/>
        <v/>
      </c>
      <c r="R1398" s="13" t="str">
        <f t="shared" si="3"/>
        <v>Yes</v>
      </c>
      <c r="S1398" s="86" t="str">
        <f t="array" ref="S1398">iferror(XLOOKUP(C1398,'Download of SFDC Activation Rep'!B:B,'Download of SFDC Activation Rep'!Y:Y),"")</f>
        <v/>
      </c>
    </row>
    <row r="1399">
      <c r="A1399" s="17"/>
      <c r="B1399" s="85"/>
      <c r="C1399" s="17"/>
      <c r="D1399" s="85"/>
      <c r="E1399" s="17"/>
      <c r="F1399" s="17"/>
      <c r="G1399" s="17"/>
      <c r="I1399" s="17"/>
      <c r="K1399" s="17"/>
      <c r="L1399" s="17"/>
      <c r="M1399" s="17"/>
      <c r="O1399" s="14">
        <f t="shared" si="1"/>
        <v>0</v>
      </c>
      <c r="P1399" s="86" t="str">
        <f t="array" ref="P1399">iferror(XLOOKUP(C1399,'Download of SFDC Activation Rep'!B:B,'Download of SFDC Activation Rep'!Z:Z),"")</f>
        <v/>
      </c>
      <c r="Q1399" s="86" t="str">
        <f t="shared" si="2"/>
        <v/>
      </c>
      <c r="R1399" s="13" t="str">
        <f t="shared" si="3"/>
        <v>Yes</v>
      </c>
      <c r="S1399" s="86" t="str">
        <f t="array" ref="S1399">iferror(XLOOKUP(C1399,'Download of SFDC Activation Rep'!B:B,'Download of SFDC Activation Rep'!Y:Y),"")</f>
        <v/>
      </c>
    </row>
    <row r="1400">
      <c r="A1400" s="17"/>
      <c r="B1400" s="85"/>
      <c r="C1400" s="17"/>
      <c r="D1400" s="85"/>
      <c r="E1400" s="17"/>
      <c r="F1400" s="17"/>
      <c r="G1400" s="17"/>
      <c r="I1400" s="17"/>
      <c r="K1400" s="17"/>
      <c r="L1400" s="17"/>
      <c r="M1400" s="17"/>
      <c r="O1400" s="14">
        <f t="shared" si="1"/>
        <v>0</v>
      </c>
      <c r="P1400" s="86" t="str">
        <f t="array" ref="P1400">iferror(XLOOKUP(C1400,'Download of SFDC Activation Rep'!B:B,'Download of SFDC Activation Rep'!Z:Z),"")</f>
        <v/>
      </c>
      <c r="Q1400" s="86" t="str">
        <f t="shared" si="2"/>
        <v/>
      </c>
      <c r="R1400" s="13" t="str">
        <f t="shared" si="3"/>
        <v>Yes</v>
      </c>
      <c r="S1400" s="86" t="str">
        <f t="array" ref="S1400">iferror(XLOOKUP(C1400,'Download of SFDC Activation Rep'!B:B,'Download of SFDC Activation Rep'!Y:Y),"")</f>
        <v/>
      </c>
    </row>
    <row r="1401">
      <c r="A1401" s="17"/>
      <c r="B1401" s="85"/>
      <c r="C1401" s="17"/>
      <c r="D1401" s="85"/>
      <c r="E1401" s="17"/>
      <c r="F1401" s="17"/>
      <c r="G1401" s="17"/>
      <c r="I1401" s="17"/>
      <c r="K1401" s="17"/>
      <c r="L1401" s="17"/>
      <c r="M1401" s="17"/>
      <c r="O1401" s="14">
        <f t="shared" si="1"/>
        <v>0</v>
      </c>
      <c r="P1401" s="86" t="str">
        <f t="array" ref="P1401">iferror(XLOOKUP(C1401,'Download of SFDC Activation Rep'!B:B,'Download of SFDC Activation Rep'!Z:Z),"")</f>
        <v/>
      </c>
      <c r="Q1401" s="86" t="str">
        <f t="shared" si="2"/>
        <v/>
      </c>
      <c r="R1401" s="13" t="str">
        <f t="shared" si="3"/>
        <v>Yes</v>
      </c>
      <c r="S1401" s="86" t="str">
        <f t="array" ref="S1401">iferror(XLOOKUP(C1401,'Download of SFDC Activation Rep'!B:B,'Download of SFDC Activation Rep'!Y:Y),"")</f>
        <v/>
      </c>
    </row>
    <row r="1402">
      <c r="A1402" s="17"/>
      <c r="B1402" s="85"/>
      <c r="C1402" s="17"/>
      <c r="D1402" s="85"/>
      <c r="E1402" s="17"/>
      <c r="F1402" s="17"/>
      <c r="G1402" s="17"/>
      <c r="I1402" s="17"/>
      <c r="K1402" s="17"/>
      <c r="L1402" s="17"/>
      <c r="M1402" s="17"/>
      <c r="O1402" s="14">
        <f t="shared" si="1"/>
        <v>0</v>
      </c>
      <c r="P1402" s="86" t="str">
        <f t="array" ref="P1402">iferror(XLOOKUP(C1402,'Download of SFDC Activation Rep'!B:B,'Download of SFDC Activation Rep'!Z:Z),"")</f>
        <v/>
      </c>
      <c r="Q1402" s="86" t="str">
        <f t="shared" si="2"/>
        <v/>
      </c>
      <c r="R1402" s="13" t="str">
        <f t="shared" si="3"/>
        <v>Yes</v>
      </c>
      <c r="S1402" s="86" t="str">
        <f t="array" ref="S1402">iferror(XLOOKUP(C1402,'Download of SFDC Activation Rep'!B:B,'Download of SFDC Activation Rep'!Y:Y),"")</f>
        <v/>
      </c>
    </row>
    <row r="1403">
      <c r="A1403" s="17"/>
      <c r="B1403" s="85"/>
      <c r="C1403" s="17"/>
      <c r="D1403" s="85"/>
      <c r="E1403" s="17"/>
      <c r="F1403" s="17"/>
      <c r="G1403" s="17"/>
      <c r="I1403" s="17"/>
      <c r="K1403" s="17"/>
      <c r="L1403" s="17"/>
      <c r="M1403" s="17"/>
      <c r="O1403" s="14">
        <f t="shared" si="1"/>
        <v>0</v>
      </c>
      <c r="P1403" s="86" t="str">
        <f t="array" ref="P1403">iferror(XLOOKUP(C1403,'Download of SFDC Activation Rep'!B:B,'Download of SFDC Activation Rep'!Z:Z),"")</f>
        <v/>
      </c>
      <c r="Q1403" s="86" t="str">
        <f t="shared" si="2"/>
        <v/>
      </c>
      <c r="R1403" s="13" t="str">
        <f t="shared" si="3"/>
        <v>Yes</v>
      </c>
      <c r="S1403" s="86" t="str">
        <f t="array" ref="S1403">iferror(XLOOKUP(C1403,'Download of SFDC Activation Rep'!B:B,'Download of SFDC Activation Rep'!Y:Y),"")</f>
        <v/>
      </c>
    </row>
    <row r="1404">
      <c r="A1404" s="17"/>
      <c r="B1404" s="85"/>
      <c r="C1404" s="17"/>
      <c r="D1404" s="85"/>
      <c r="E1404" s="17"/>
      <c r="F1404" s="17"/>
      <c r="G1404" s="17"/>
      <c r="I1404" s="17"/>
      <c r="K1404" s="17"/>
      <c r="L1404" s="17"/>
      <c r="M1404" s="17"/>
      <c r="O1404" s="14">
        <f t="shared" si="1"/>
        <v>0</v>
      </c>
      <c r="P1404" s="86" t="str">
        <f t="array" ref="P1404">iferror(XLOOKUP(C1404,'Download of SFDC Activation Rep'!B:B,'Download of SFDC Activation Rep'!Z:Z),"")</f>
        <v/>
      </c>
      <c r="Q1404" s="86" t="str">
        <f t="shared" si="2"/>
        <v/>
      </c>
      <c r="R1404" s="13" t="str">
        <f t="shared" si="3"/>
        <v>Yes</v>
      </c>
      <c r="S1404" s="86" t="str">
        <f t="array" ref="S1404">iferror(XLOOKUP(C1404,'Download of SFDC Activation Rep'!B:B,'Download of SFDC Activation Rep'!Y:Y),"")</f>
        <v/>
      </c>
    </row>
    <row r="1405">
      <c r="A1405" s="17"/>
      <c r="B1405" s="85"/>
      <c r="C1405" s="17"/>
      <c r="D1405" s="85"/>
      <c r="E1405" s="17"/>
      <c r="F1405" s="17"/>
      <c r="G1405" s="17"/>
      <c r="I1405" s="17"/>
      <c r="K1405" s="17"/>
      <c r="L1405" s="17"/>
      <c r="M1405" s="17"/>
      <c r="O1405" s="14">
        <f t="shared" si="1"/>
        <v>0</v>
      </c>
      <c r="P1405" s="86" t="str">
        <f t="array" ref="P1405">iferror(XLOOKUP(C1405,'Download of SFDC Activation Rep'!B:B,'Download of SFDC Activation Rep'!Z:Z),"")</f>
        <v/>
      </c>
      <c r="Q1405" s="86" t="str">
        <f t="shared" si="2"/>
        <v/>
      </c>
      <c r="R1405" s="13" t="str">
        <f t="shared" si="3"/>
        <v>Yes</v>
      </c>
      <c r="S1405" s="86" t="str">
        <f t="array" ref="S1405">iferror(XLOOKUP(C1405,'Download of SFDC Activation Rep'!B:B,'Download of SFDC Activation Rep'!Y:Y),"")</f>
        <v/>
      </c>
    </row>
    <row r="1406">
      <c r="A1406" s="17"/>
      <c r="B1406" s="85"/>
      <c r="C1406" s="17"/>
      <c r="D1406" s="85"/>
      <c r="E1406" s="17"/>
      <c r="F1406" s="17"/>
      <c r="G1406" s="17"/>
      <c r="I1406" s="17"/>
      <c r="K1406" s="17"/>
      <c r="L1406" s="17"/>
      <c r="M1406" s="17"/>
      <c r="O1406" s="14">
        <f t="shared" si="1"/>
        <v>0</v>
      </c>
      <c r="P1406" s="86" t="str">
        <f t="array" ref="P1406">iferror(XLOOKUP(C1406,'Download of SFDC Activation Rep'!B:B,'Download of SFDC Activation Rep'!Z:Z),"")</f>
        <v/>
      </c>
      <c r="Q1406" s="86" t="str">
        <f t="shared" si="2"/>
        <v/>
      </c>
      <c r="R1406" s="13" t="str">
        <f t="shared" si="3"/>
        <v>Yes</v>
      </c>
      <c r="S1406" s="86" t="str">
        <f t="array" ref="S1406">iferror(XLOOKUP(C1406,'Download of SFDC Activation Rep'!B:B,'Download of SFDC Activation Rep'!Y:Y),"")</f>
        <v/>
      </c>
    </row>
    <row r="1407">
      <c r="A1407" s="17"/>
      <c r="B1407" s="85"/>
      <c r="C1407" s="17"/>
      <c r="D1407" s="85"/>
      <c r="E1407" s="17"/>
      <c r="F1407" s="17"/>
      <c r="G1407" s="17"/>
      <c r="I1407" s="17"/>
      <c r="K1407" s="17"/>
      <c r="L1407" s="17"/>
      <c r="M1407" s="17"/>
      <c r="O1407" s="14">
        <f t="shared" si="1"/>
        <v>0</v>
      </c>
      <c r="P1407" s="86" t="str">
        <f t="array" ref="P1407">iferror(XLOOKUP(C1407,'Download of SFDC Activation Rep'!B:B,'Download of SFDC Activation Rep'!Z:Z),"")</f>
        <v/>
      </c>
      <c r="Q1407" s="86" t="str">
        <f t="shared" si="2"/>
        <v/>
      </c>
      <c r="R1407" s="13" t="str">
        <f t="shared" si="3"/>
        <v>Yes</v>
      </c>
      <c r="S1407" s="86" t="str">
        <f t="array" ref="S1407">iferror(XLOOKUP(C1407,'Download of SFDC Activation Rep'!B:B,'Download of SFDC Activation Rep'!Y:Y),"")</f>
        <v/>
      </c>
    </row>
    <row r="1408">
      <c r="A1408" s="17"/>
      <c r="B1408" s="85"/>
      <c r="C1408" s="17"/>
      <c r="D1408" s="85"/>
      <c r="E1408" s="17"/>
      <c r="F1408" s="17"/>
      <c r="G1408" s="17"/>
      <c r="I1408" s="17"/>
      <c r="K1408" s="17"/>
      <c r="L1408" s="17"/>
      <c r="M1408" s="17"/>
      <c r="O1408" s="14">
        <f t="shared" si="1"/>
        <v>0</v>
      </c>
      <c r="P1408" s="86" t="str">
        <f t="array" ref="P1408">iferror(XLOOKUP(C1408,'Download of SFDC Activation Rep'!B:B,'Download of SFDC Activation Rep'!Z:Z),"")</f>
        <v/>
      </c>
      <c r="Q1408" s="86" t="str">
        <f t="shared" si="2"/>
        <v/>
      </c>
      <c r="R1408" s="13" t="str">
        <f t="shared" si="3"/>
        <v>Yes</v>
      </c>
      <c r="S1408" s="86" t="str">
        <f t="array" ref="S1408">iferror(XLOOKUP(C1408,'Download of SFDC Activation Rep'!B:B,'Download of SFDC Activation Rep'!Y:Y),"")</f>
        <v/>
      </c>
    </row>
    <row r="1409">
      <c r="A1409" s="17"/>
      <c r="B1409" s="85"/>
      <c r="C1409" s="17"/>
      <c r="D1409" s="85"/>
      <c r="E1409" s="17"/>
      <c r="F1409" s="17"/>
      <c r="G1409" s="17"/>
      <c r="I1409" s="17"/>
      <c r="K1409" s="17"/>
      <c r="L1409" s="17"/>
      <c r="M1409" s="17"/>
      <c r="O1409" s="14">
        <f t="shared" si="1"/>
        <v>0</v>
      </c>
      <c r="P1409" s="86" t="str">
        <f t="array" ref="P1409">iferror(XLOOKUP(C1409,'Download of SFDC Activation Rep'!B:B,'Download of SFDC Activation Rep'!Z:Z),"")</f>
        <v/>
      </c>
      <c r="Q1409" s="86" t="str">
        <f t="shared" si="2"/>
        <v/>
      </c>
      <c r="R1409" s="13" t="str">
        <f t="shared" si="3"/>
        <v>Yes</v>
      </c>
      <c r="S1409" s="86" t="str">
        <f t="array" ref="S1409">iferror(XLOOKUP(C1409,'Download of SFDC Activation Rep'!B:B,'Download of SFDC Activation Rep'!Y:Y),"")</f>
        <v/>
      </c>
    </row>
    <row r="1410">
      <c r="A1410" s="17"/>
      <c r="B1410" s="85"/>
      <c r="C1410" s="17"/>
      <c r="D1410" s="85"/>
      <c r="E1410" s="17"/>
      <c r="F1410" s="17"/>
      <c r="G1410" s="17"/>
      <c r="I1410" s="17"/>
      <c r="K1410" s="17"/>
      <c r="L1410" s="17"/>
      <c r="M1410" s="17"/>
      <c r="O1410" s="14">
        <f t="shared" si="1"/>
        <v>0</v>
      </c>
      <c r="P1410" s="86" t="str">
        <f t="array" ref="P1410">iferror(XLOOKUP(C1410,'Download of SFDC Activation Rep'!B:B,'Download of SFDC Activation Rep'!Z:Z),"")</f>
        <v/>
      </c>
      <c r="Q1410" s="86" t="str">
        <f t="shared" si="2"/>
        <v/>
      </c>
      <c r="R1410" s="13" t="str">
        <f t="shared" si="3"/>
        <v>Yes</v>
      </c>
      <c r="S1410" s="86" t="str">
        <f t="array" ref="S1410">iferror(XLOOKUP(C1410,'Download of SFDC Activation Rep'!B:B,'Download of SFDC Activation Rep'!Y:Y),"")</f>
        <v/>
      </c>
    </row>
    <row r="1411">
      <c r="A1411" s="17"/>
      <c r="B1411" s="85"/>
      <c r="C1411" s="17"/>
      <c r="D1411" s="85"/>
      <c r="E1411" s="17"/>
      <c r="F1411" s="17"/>
      <c r="G1411" s="17"/>
      <c r="I1411" s="17"/>
      <c r="K1411" s="17"/>
      <c r="L1411" s="17"/>
      <c r="M1411" s="17"/>
      <c r="O1411" s="14">
        <f t="shared" si="1"/>
        <v>0</v>
      </c>
      <c r="P1411" s="86" t="str">
        <f t="array" ref="P1411">iferror(XLOOKUP(C1411,'Download of SFDC Activation Rep'!B:B,'Download of SFDC Activation Rep'!Z:Z),"")</f>
        <v/>
      </c>
      <c r="Q1411" s="86" t="str">
        <f t="shared" si="2"/>
        <v/>
      </c>
      <c r="R1411" s="13" t="str">
        <f t="shared" si="3"/>
        <v>Yes</v>
      </c>
      <c r="S1411" s="86" t="str">
        <f t="array" ref="S1411">iferror(XLOOKUP(C1411,'Download of SFDC Activation Rep'!B:B,'Download of SFDC Activation Rep'!Y:Y),"")</f>
        <v/>
      </c>
    </row>
    <row r="1412">
      <c r="A1412" s="17"/>
      <c r="B1412" s="85"/>
      <c r="C1412" s="17"/>
      <c r="D1412" s="85"/>
      <c r="E1412" s="17"/>
      <c r="F1412" s="17"/>
      <c r="G1412" s="17"/>
      <c r="I1412" s="17"/>
      <c r="K1412" s="17"/>
      <c r="L1412" s="17"/>
      <c r="M1412" s="17"/>
      <c r="O1412" s="14">
        <f t="shared" si="1"/>
        <v>0</v>
      </c>
      <c r="P1412" s="86" t="str">
        <f t="array" ref="P1412">iferror(XLOOKUP(C1412,'Download of SFDC Activation Rep'!B:B,'Download of SFDC Activation Rep'!Z:Z),"")</f>
        <v/>
      </c>
      <c r="Q1412" s="86" t="str">
        <f t="shared" si="2"/>
        <v/>
      </c>
      <c r="R1412" s="13" t="str">
        <f t="shared" si="3"/>
        <v>Yes</v>
      </c>
      <c r="S1412" s="86" t="str">
        <f t="array" ref="S1412">iferror(XLOOKUP(C1412,'Download of SFDC Activation Rep'!B:B,'Download of SFDC Activation Rep'!Y:Y),"")</f>
        <v/>
      </c>
    </row>
    <row r="1413">
      <c r="A1413" s="17"/>
      <c r="B1413" s="85"/>
      <c r="C1413" s="17"/>
      <c r="D1413" s="85"/>
      <c r="E1413" s="17"/>
      <c r="F1413" s="17"/>
      <c r="G1413" s="17"/>
      <c r="I1413" s="17"/>
      <c r="K1413" s="17"/>
      <c r="L1413" s="17"/>
      <c r="M1413" s="17"/>
      <c r="O1413" s="14">
        <f t="shared" si="1"/>
        <v>0</v>
      </c>
      <c r="P1413" s="86" t="str">
        <f t="array" ref="P1413">iferror(XLOOKUP(C1413,'Download of SFDC Activation Rep'!B:B,'Download of SFDC Activation Rep'!Z:Z),"")</f>
        <v/>
      </c>
      <c r="Q1413" s="86" t="str">
        <f t="shared" si="2"/>
        <v/>
      </c>
      <c r="R1413" s="13" t="str">
        <f t="shared" si="3"/>
        <v>Yes</v>
      </c>
      <c r="S1413" s="86" t="str">
        <f t="array" ref="S1413">iferror(XLOOKUP(C1413,'Download of SFDC Activation Rep'!B:B,'Download of SFDC Activation Rep'!Y:Y),"")</f>
        <v/>
      </c>
    </row>
    <row r="1414">
      <c r="A1414" s="17"/>
      <c r="B1414" s="85"/>
      <c r="C1414" s="17"/>
      <c r="D1414" s="85"/>
      <c r="E1414" s="17"/>
      <c r="F1414" s="17"/>
      <c r="G1414" s="17"/>
      <c r="I1414" s="17"/>
      <c r="K1414" s="17"/>
      <c r="L1414" s="17"/>
      <c r="M1414" s="17"/>
      <c r="O1414" s="14">
        <f t="shared" si="1"/>
        <v>0</v>
      </c>
      <c r="P1414" s="86" t="str">
        <f t="array" ref="P1414">iferror(XLOOKUP(C1414,'Download of SFDC Activation Rep'!B:B,'Download of SFDC Activation Rep'!Z:Z),"")</f>
        <v/>
      </c>
      <c r="Q1414" s="86" t="str">
        <f t="shared" si="2"/>
        <v/>
      </c>
      <c r="R1414" s="13" t="str">
        <f t="shared" si="3"/>
        <v>Yes</v>
      </c>
      <c r="S1414" s="86" t="str">
        <f t="array" ref="S1414">iferror(XLOOKUP(C1414,'Download of SFDC Activation Rep'!B:B,'Download of SFDC Activation Rep'!Y:Y),"")</f>
        <v/>
      </c>
    </row>
    <row r="1415">
      <c r="A1415" s="17"/>
      <c r="B1415" s="85"/>
      <c r="C1415" s="17"/>
      <c r="D1415" s="85"/>
      <c r="E1415" s="17"/>
      <c r="F1415" s="17"/>
      <c r="G1415" s="17"/>
      <c r="I1415" s="17"/>
      <c r="K1415" s="17"/>
      <c r="L1415" s="17"/>
      <c r="M1415" s="17"/>
      <c r="O1415" s="14">
        <f t="shared" si="1"/>
        <v>0</v>
      </c>
      <c r="P1415" s="86" t="str">
        <f t="array" ref="P1415">iferror(XLOOKUP(C1415,'Download of SFDC Activation Rep'!B:B,'Download of SFDC Activation Rep'!Z:Z),"")</f>
        <v/>
      </c>
      <c r="Q1415" s="86" t="str">
        <f t="shared" si="2"/>
        <v/>
      </c>
      <c r="R1415" s="13" t="str">
        <f t="shared" si="3"/>
        <v>Yes</v>
      </c>
      <c r="S1415" s="86" t="str">
        <f t="array" ref="S1415">iferror(XLOOKUP(C1415,'Download of SFDC Activation Rep'!B:B,'Download of SFDC Activation Rep'!Y:Y),"")</f>
        <v/>
      </c>
    </row>
    <row r="1416">
      <c r="A1416" s="17"/>
      <c r="B1416" s="85"/>
      <c r="C1416" s="17"/>
      <c r="D1416" s="85"/>
      <c r="E1416" s="17"/>
      <c r="F1416" s="17"/>
      <c r="G1416" s="17"/>
      <c r="I1416" s="17"/>
      <c r="K1416" s="17"/>
      <c r="L1416" s="17"/>
      <c r="M1416" s="17"/>
      <c r="O1416" s="14">
        <f t="shared" si="1"/>
        <v>0</v>
      </c>
      <c r="P1416" s="86" t="str">
        <f t="array" ref="P1416">iferror(XLOOKUP(C1416,'Download of SFDC Activation Rep'!B:B,'Download of SFDC Activation Rep'!Z:Z),"")</f>
        <v/>
      </c>
      <c r="Q1416" s="86" t="str">
        <f t="shared" si="2"/>
        <v/>
      </c>
      <c r="R1416" s="13" t="str">
        <f t="shared" si="3"/>
        <v>Yes</v>
      </c>
      <c r="S1416" s="86" t="str">
        <f t="array" ref="S1416">iferror(XLOOKUP(C1416,'Download of SFDC Activation Rep'!B:B,'Download of SFDC Activation Rep'!Y:Y),"")</f>
        <v/>
      </c>
    </row>
    <row r="1417">
      <c r="A1417" s="17"/>
      <c r="B1417" s="85"/>
      <c r="C1417" s="17"/>
      <c r="D1417" s="85"/>
      <c r="E1417" s="17"/>
      <c r="F1417" s="17"/>
      <c r="G1417" s="17"/>
      <c r="I1417" s="17"/>
      <c r="K1417" s="17"/>
      <c r="L1417" s="17"/>
      <c r="M1417" s="17"/>
      <c r="O1417" s="14">
        <f t="shared" si="1"/>
        <v>0</v>
      </c>
      <c r="P1417" s="86" t="str">
        <f t="array" ref="P1417">iferror(XLOOKUP(C1417,'Download of SFDC Activation Rep'!B:B,'Download of SFDC Activation Rep'!Z:Z),"")</f>
        <v/>
      </c>
      <c r="Q1417" s="86" t="str">
        <f t="shared" si="2"/>
        <v/>
      </c>
      <c r="R1417" s="13" t="str">
        <f t="shared" si="3"/>
        <v>Yes</v>
      </c>
      <c r="S1417" s="86" t="str">
        <f t="array" ref="S1417">iferror(XLOOKUP(C1417,'Download of SFDC Activation Rep'!B:B,'Download of SFDC Activation Rep'!Y:Y),"")</f>
        <v/>
      </c>
    </row>
    <row r="1418">
      <c r="A1418" s="17"/>
      <c r="B1418" s="85"/>
      <c r="C1418" s="17"/>
      <c r="D1418" s="85"/>
      <c r="E1418" s="17"/>
      <c r="F1418" s="17"/>
      <c r="G1418" s="17"/>
      <c r="I1418" s="17"/>
      <c r="K1418" s="17"/>
      <c r="L1418" s="17"/>
      <c r="M1418" s="17"/>
      <c r="O1418" s="14">
        <f t="shared" si="1"/>
        <v>0</v>
      </c>
      <c r="P1418" s="86" t="str">
        <f t="array" ref="P1418">iferror(XLOOKUP(C1418,'Download of SFDC Activation Rep'!B:B,'Download of SFDC Activation Rep'!Z:Z),"")</f>
        <v/>
      </c>
      <c r="Q1418" s="86" t="str">
        <f t="shared" si="2"/>
        <v/>
      </c>
      <c r="R1418" s="13" t="str">
        <f t="shared" si="3"/>
        <v>Yes</v>
      </c>
      <c r="S1418" s="86" t="str">
        <f t="array" ref="S1418">iferror(XLOOKUP(C1418,'Download of SFDC Activation Rep'!B:B,'Download of SFDC Activation Rep'!Y:Y),"")</f>
        <v/>
      </c>
    </row>
    <row r="1419">
      <c r="A1419" s="17"/>
      <c r="B1419" s="85"/>
      <c r="C1419" s="17"/>
      <c r="D1419" s="85"/>
      <c r="E1419" s="17"/>
      <c r="F1419" s="17"/>
      <c r="G1419" s="17"/>
      <c r="I1419" s="17"/>
      <c r="K1419" s="17"/>
      <c r="L1419" s="17"/>
      <c r="M1419" s="17"/>
      <c r="O1419" s="14">
        <f t="shared" si="1"/>
        <v>0</v>
      </c>
      <c r="P1419" s="86" t="str">
        <f t="array" ref="P1419">iferror(XLOOKUP(C1419,'Download of SFDC Activation Rep'!B:B,'Download of SFDC Activation Rep'!Z:Z),"")</f>
        <v/>
      </c>
      <c r="Q1419" s="86" t="str">
        <f t="shared" si="2"/>
        <v/>
      </c>
      <c r="R1419" s="13" t="str">
        <f t="shared" si="3"/>
        <v>Yes</v>
      </c>
      <c r="S1419" s="86" t="str">
        <f t="array" ref="S1419">iferror(XLOOKUP(C1419,'Download of SFDC Activation Rep'!B:B,'Download of SFDC Activation Rep'!Y:Y),"")</f>
        <v/>
      </c>
    </row>
    <row r="1420">
      <c r="A1420" s="17"/>
      <c r="B1420" s="85"/>
      <c r="C1420" s="17"/>
      <c r="D1420" s="85"/>
      <c r="E1420" s="17"/>
      <c r="F1420" s="17"/>
      <c r="G1420" s="17"/>
      <c r="I1420" s="17"/>
      <c r="K1420" s="17"/>
      <c r="L1420" s="17"/>
      <c r="M1420" s="17"/>
      <c r="O1420" s="14">
        <f t="shared" si="1"/>
        <v>0</v>
      </c>
      <c r="P1420" s="86" t="str">
        <f t="array" ref="P1420">iferror(XLOOKUP(C1420,'Download of SFDC Activation Rep'!B:B,'Download of SFDC Activation Rep'!Z:Z),"")</f>
        <v/>
      </c>
      <c r="Q1420" s="86" t="str">
        <f t="shared" si="2"/>
        <v/>
      </c>
      <c r="R1420" s="13" t="str">
        <f t="shared" si="3"/>
        <v>Yes</v>
      </c>
      <c r="S1420" s="86" t="str">
        <f t="array" ref="S1420">iferror(XLOOKUP(C1420,'Download of SFDC Activation Rep'!B:B,'Download of SFDC Activation Rep'!Y:Y),"")</f>
        <v/>
      </c>
    </row>
    <row r="1421">
      <c r="A1421" s="17"/>
      <c r="B1421" s="85"/>
      <c r="C1421" s="17"/>
      <c r="D1421" s="85"/>
      <c r="E1421" s="17"/>
      <c r="F1421" s="17"/>
      <c r="G1421" s="17"/>
      <c r="I1421" s="17"/>
      <c r="K1421" s="17"/>
      <c r="L1421" s="17"/>
      <c r="M1421" s="17"/>
      <c r="O1421" s="14">
        <f t="shared" si="1"/>
        <v>0</v>
      </c>
      <c r="P1421" s="86" t="str">
        <f t="array" ref="P1421">iferror(XLOOKUP(C1421,'Download of SFDC Activation Rep'!B:B,'Download of SFDC Activation Rep'!Z:Z),"")</f>
        <v/>
      </c>
      <c r="Q1421" s="86" t="str">
        <f t="shared" si="2"/>
        <v/>
      </c>
      <c r="R1421" s="13" t="str">
        <f t="shared" si="3"/>
        <v>Yes</v>
      </c>
      <c r="S1421" s="86" t="str">
        <f t="array" ref="S1421">iferror(XLOOKUP(C1421,'Download of SFDC Activation Rep'!B:B,'Download of SFDC Activation Rep'!Y:Y),"")</f>
        <v/>
      </c>
    </row>
    <row r="1422">
      <c r="A1422" s="17"/>
      <c r="B1422" s="85"/>
      <c r="C1422" s="17"/>
      <c r="D1422" s="85"/>
      <c r="E1422" s="17"/>
      <c r="F1422" s="17"/>
      <c r="G1422" s="17"/>
      <c r="I1422" s="17"/>
      <c r="K1422" s="17"/>
      <c r="L1422" s="17"/>
      <c r="M1422" s="17"/>
      <c r="O1422" s="14">
        <f t="shared" si="1"/>
        <v>0</v>
      </c>
      <c r="P1422" s="86" t="str">
        <f t="array" ref="P1422">iferror(XLOOKUP(C1422,'Download of SFDC Activation Rep'!B:B,'Download of SFDC Activation Rep'!Z:Z),"")</f>
        <v/>
      </c>
      <c r="Q1422" s="86" t="str">
        <f t="shared" si="2"/>
        <v/>
      </c>
      <c r="R1422" s="13" t="str">
        <f t="shared" si="3"/>
        <v>Yes</v>
      </c>
      <c r="S1422" s="86" t="str">
        <f t="array" ref="S1422">iferror(XLOOKUP(C1422,'Download of SFDC Activation Rep'!B:B,'Download of SFDC Activation Rep'!Y:Y),"")</f>
        <v/>
      </c>
    </row>
    <row r="1423">
      <c r="A1423" s="17"/>
      <c r="B1423" s="85"/>
      <c r="C1423" s="17"/>
      <c r="D1423" s="85"/>
      <c r="E1423" s="17"/>
      <c r="F1423" s="17"/>
      <c r="G1423" s="17"/>
      <c r="I1423" s="17"/>
      <c r="K1423" s="17"/>
      <c r="L1423" s="17"/>
      <c r="M1423" s="17"/>
      <c r="O1423" s="14">
        <f t="shared" si="1"/>
        <v>0</v>
      </c>
      <c r="P1423" s="86" t="str">
        <f t="array" ref="P1423">iferror(XLOOKUP(C1423,'Download of SFDC Activation Rep'!B:B,'Download of SFDC Activation Rep'!Z:Z),"")</f>
        <v/>
      </c>
      <c r="Q1423" s="86" t="str">
        <f t="shared" si="2"/>
        <v/>
      </c>
      <c r="R1423" s="13" t="str">
        <f t="shared" si="3"/>
        <v>Yes</v>
      </c>
      <c r="S1423" s="86" t="str">
        <f t="array" ref="S1423">iferror(XLOOKUP(C1423,'Download of SFDC Activation Rep'!B:B,'Download of SFDC Activation Rep'!Y:Y),"")</f>
        <v/>
      </c>
    </row>
    <row r="1424">
      <c r="A1424" s="17"/>
      <c r="B1424" s="85"/>
      <c r="C1424" s="17"/>
      <c r="D1424" s="85"/>
      <c r="E1424" s="17"/>
      <c r="F1424" s="17"/>
      <c r="G1424" s="17"/>
      <c r="I1424" s="17"/>
      <c r="K1424" s="17"/>
      <c r="L1424" s="17"/>
      <c r="M1424" s="17"/>
      <c r="O1424" s="14">
        <f t="shared" si="1"/>
        <v>0</v>
      </c>
      <c r="P1424" s="86" t="str">
        <f t="array" ref="P1424">iferror(XLOOKUP(C1424,'Download of SFDC Activation Rep'!B:B,'Download of SFDC Activation Rep'!Z:Z),"")</f>
        <v/>
      </c>
      <c r="Q1424" s="86" t="str">
        <f t="shared" si="2"/>
        <v/>
      </c>
      <c r="R1424" s="13" t="str">
        <f t="shared" si="3"/>
        <v>Yes</v>
      </c>
      <c r="S1424" s="86" t="str">
        <f t="array" ref="S1424">iferror(XLOOKUP(C1424,'Download of SFDC Activation Rep'!B:B,'Download of SFDC Activation Rep'!Y:Y),"")</f>
        <v/>
      </c>
    </row>
    <row r="1425">
      <c r="A1425" s="17"/>
      <c r="B1425" s="85"/>
      <c r="C1425" s="17"/>
      <c r="D1425" s="85"/>
      <c r="E1425" s="17"/>
      <c r="F1425" s="17"/>
      <c r="G1425" s="17"/>
      <c r="I1425" s="17"/>
      <c r="K1425" s="17"/>
      <c r="L1425" s="17"/>
      <c r="M1425" s="17"/>
      <c r="O1425" s="14">
        <f t="shared" si="1"/>
        <v>0</v>
      </c>
      <c r="P1425" s="86" t="str">
        <f t="array" ref="P1425">iferror(XLOOKUP(C1425,'Download of SFDC Activation Rep'!B:B,'Download of SFDC Activation Rep'!Z:Z),"")</f>
        <v/>
      </c>
      <c r="Q1425" s="86" t="str">
        <f t="shared" si="2"/>
        <v/>
      </c>
      <c r="R1425" s="13" t="str">
        <f t="shared" si="3"/>
        <v>Yes</v>
      </c>
      <c r="S1425" s="86" t="str">
        <f t="array" ref="S1425">iferror(XLOOKUP(C1425,'Download of SFDC Activation Rep'!B:B,'Download of SFDC Activation Rep'!Y:Y),"")</f>
        <v/>
      </c>
    </row>
    <row r="1426">
      <c r="A1426" s="17"/>
      <c r="B1426" s="85"/>
      <c r="C1426" s="17"/>
      <c r="D1426" s="85"/>
      <c r="E1426" s="17"/>
      <c r="F1426" s="17"/>
      <c r="G1426" s="17"/>
      <c r="I1426" s="17"/>
      <c r="K1426" s="17"/>
      <c r="L1426" s="17"/>
      <c r="M1426" s="17"/>
      <c r="O1426" s="14">
        <f t="shared" si="1"/>
        <v>0</v>
      </c>
      <c r="P1426" s="86" t="str">
        <f t="array" ref="P1426">iferror(XLOOKUP(C1426,'Download of SFDC Activation Rep'!B:B,'Download of SFDC Activation Rep'!Z:Z),"")</f>
        <v/>
      </c>
      <c r="Q1426" s="86" t="str">
        <f t="shared" si="2"/>
        <v/>
      </c>
      <c r="R1426" s="13" t="str">
        <f t="shared" si="3"/>
        <v>Yes</v>
      </c>
      <c r="S1426" s="86" t="str">
        <f t="array" ref="S1426">iferror(XLOOKUP(C1426,'Download of SFDC Activation Rep'!B:B,'Download of SFDC Activation Rep'!Y:Y),"")</f>
        <v/>
      </c>
    </row>
    <row r="1427">
      <c r="A1427" s="17"/>
      <c r="B1427" s="85"/>
      <c r="C1427" s="17"/>
      <c r="D1427" s="85"/>
      <c r="E1427" s="17"/>
      <c r="F1427" s="17"/>
      <c r="G1427" s="17"/>
      <c r="I1427" s="17"/>
      <c r="K1427" s="17"/>
      <c r="L1427" s="17"/>
      <c r="M1427" s="17"/>
      <c r="O1427" s="14">
        <f t="shared" si="1"/>
        <v>0</v>
      </c>
      <c r="P1427" s="86" t="str">
        <f t="array" ref="P1427">iferror(XLOOKUP(C1427,'Download of SFDC Activation Rep'!B:B,'Download of SFDC Activation Rep'!Z:Z),"")</f>
        <v/>
      </c>
      <c r="Q1427" s="86" t="str">
        <f t="shared" si="2"/>
        <v/>
      </c>
      <c r="R1427" s="13" t="str">
        <f t="shared" si="3"/>
        <v>Yes</v>
      </c>
      <c r="S1427" s="86" t="str">
        <f t="array" ref="S1427">iferror(XLOOKUP(C1427,'Download of SFDC Activation Rep'!B:B,'Download of SFDC Activation Rep'!Y:Y),"")</f>
        <v/>
      </c>
    </row>
    <row r="1428">
      <c r="A1428" s="17"/>
      <c r="B1428" s="85"/>
      <c r="C1428" s="17"/>
      <c r="D1428" s="85"/>
      <c r="E1428" s="17"/>
      <c r="F1428" s="17"/>
      <c r="G1428" s="17"/>
      <c r="I1428" s="17"/>
      <c r="K1428" s="17"/>
      <c r="L1428" s="17"/>
      <c r="M1428" s="17"/>
      <c r="O1428" s="14">
        <f t="shared" si="1"/>
        <v>0</v>
      </c>
      <c r="P1428" s="86" t="str">
        <f t="array" ref="P1428">iferror(XLOOKUP(C1428,'Download of SFDC Activation Rep'!B:B,'Download of SFDC Activation Rep'!Z:Z),"")</f>
        <v/>
      </c>
      <c r="Q1428" s="86" t="str">
        <f t="shared" si="2"/>
        <v/>
      </c>
      <c r="R1428" s="13" t="str">
        <f t="shared" si="3"/>
        <v>Yes</v>
      </c>
      <c r="S1428" s="86" t="str">
        <f t="array" ref="S1428">iferror(XLOOKUP(C1428,'Download of SFDC Activation Rep'!B:B,'Download of SFDC Activation Rep'!Y:Y),"")</f>
        <v/>
      </c>
    </row>
    <row r="1429">
      <c r="A1429" s="17"/>
      <c r="B1429" s="85"/>
      <c r="C1429" s="17"/>
      <c r="D1429" s="85"/>
      <c r="E1429" s="17"/>
      <c r="F1429" s="17"/>
      <c r="G1429" s="17"/>
      <c r="I1429" s="17"/>
      <c r="K1429" s="17"/>
      <c r="L1429" s="17"/>
      <c r="M1429" s="17"/>
      <c r="O1429" s="14">
        <f t="shared" si="1"/>
        <v>0</v>
      </c>
      <c r="P1429" s="86" t="str">
        <f t="array" ref="P1429">iferror(XLOOKUP(C1429,'Download of SFDC Activation Rep'!B:B,'Download of SFDC Activation Rep'!Z:Z),"")</f>
        <v/>
      </c>
      <c r="Q1429" s="86" t="str">
        <f t="shared" si="2"/>
        <v/>
      </c>
      <c r="R1429" s="13" t="str">
        <f t="shared" si="3"/>
        <v>Yes</v>
      </c>
      <c r="S1429" s="86" t="str">
        <f t="array" ref="S1429">iferror(XLOOKUP(C1429,'Download of SFDC Activation Rep'!B:B,'Download of SFDC Activation Rep'!Y:Y),"")</f>
        <v/>
      </c>
    </row>
    <row r="1430">
      <c r="A1430" s="17"/>
      <c r="B1430" s="85"/>
      <c r="C1430" s="17"/>
      <c r="D1430" s="85"/>
      <c r="E1430" s="17"/>
      <c r="F1430" s="17"/>
      <c r="G1430" s="17"/>
      <c r="I1430" s="17"/>
      <c r="K1430" s="17"/>
      <c r="L1430" s="17"/>
      <c r="M1430" s="17"/>
      <c r="O1430" s="14">
        <f t="shared" si="1"/>
        <v>0</v>
      </c>
      <c r="P1430" s="86" t="str">
        <f t="array" ref="P1430">iferror(XLOOKUP(C1430,'Download of SFDC Activation Rep'!B:B,'Download of SFDC Activation Rep'!Z:Z),"")</f>
        <v/>
      </c>
      <c r="Q1430" s="86" t="str">
        <f t="shared" si="2"/>
        <v/>
      </c>
      <c r="R1430" s="13" t="str">
        <f t="shared" si="3"/>
        <v>Yes</v>
      </c>
      <c r="S1430" s="86" t="str">
        <f t="array" ref="S1430">iferror(XLOOKUP(C1430,'Download of SFDC Activation Rep'!B:B,'Download of SFDC Activation Rep'!Y:Y),"")</f>
        <v/>
      </c>
    </row>
    <row r="1431">
      <c r="A1431" s="17"/>
      <c r="B1431" s="85"/>
      <c r="C1431" s="17"/>
      <c r="D1431" s="85"/>
      <c r="E1431" s="17"/>
      <c r="F1431" s="17"/>
      <c r="G1431" s="17"/>
      <c r="I1431" s="17"/>
      <c r="K1431" s="17"/>
      <c r="L1431" s="17"/>
      <c r="M1431" s="17"/>
      <c r="O1431" s="14">
        <f t="shared" si="1"/>
        <v>0</v>
      </c>
      <c r="P1431" s="86" t="str">
        <f t="array" ref="P1431">iferror(XLOOKUP(C1431,'Download of SFDC Activation Rep'!B:B,'Download of SFDC Activation Rep'!Z:Z),"")</f>
        <v/>
      </c>
      <c r="Q1431" s="86" t="str">
        <f t="shared" si="2"/>
        <v/>
      </c>
      <c r="R1431" s="13" t="str">
        <f t="shared" si="3"/>
        <v>Yes</v>
      </c>
      <c r="S1431" s="86" t="str">
        <f t="array" ref="S1431">iferror(XLOOKUP(C1431,'Download of SFDC Activation Rep'!B:B,'Download of SFDC Activation Rep'!Y:Y),"")</f>
        <v/>
      </c>
    </row>
    <row r="1432">
      <c r="A1432" s="17"/>
      <c r="B1432" s="85"/>
      <c r="C1432" s="17"/>
      <c r="D1432" s="85"/>
      <c r="E1432" s="17"/>
      <c r="F1432" s="17"/>
      <c r="G1432" s="17"/>
      <c r="I1432" s="17"/>
      <c r="K1432" s="17"/>
      <c r="L1432" s="17"/>
      <c r="M1432" s="17"/>
      <c r="O1432" s="14">
        <f t="shared" si="1"/>
        <v>0</v>
      </c>
      <c r="P1432" s="86" t="str">
        <f t="array" ref="P1432">iferror(XLOOKUP(C1432,'Download of SFDC Activation Rep'!B:B,'Download of SFDC Activation Rep'!Z:Z),"")</f>
        <v/>
      </c>
      <c r="Q1432" s="86" t="str">
        <f t="shared" si="2"/>
        <v/>
      </c>
      <c r="R1432" s="13" t="str">
        <f t="shared" si="3"/>
        <v>Yes</v>
      </c>
      <c r="S1432" s="86" t="str">
        <f t="array" ref="S1432">iferror(XLOOKUP(C1432,'Download of SFDC Activation Rep'!B:B,'Download of SFDC Activation Rep'!Y:Y),"")</f>
        <v/>
      </c>
    </row>
    <row r="1433">
      <c r="A1433" s="17"/>
      <c r="B1433" s="85"/>
      <c r="C1433" s="17"/>
      <c r="D1433" s="85"/>
      <c r="E1433" s="17"/>
      <c r="F1433" s="17"/>
      <c r="G1433" s="17"/>
      <c r="I1433" s="17"/>
      <c r="K1433" s="17"/>
      <c r="L1433" s="17"/>
      <c r="M1433" s="17"/>
      <c r="O1433" s="14">
        <f t="shared" si="1"/>
        <v>0</v>
      </c>
      <c r="P1433" s="86" t="str">
        <f t="array" ref="P1433">iferror(XLOOKUP(C1433,'Download of SFDC Activation Rep'!B:B,'Download of SFDC Activation Rep'!Z:Z),"")</f>
        <v/>
      </c>
      <c r="Q1433" s="86" t="str">
        <f t="shared" si="2"/>
        <v/>
      </c>
      <c r="R1433" s="13" t="str">
        <f t="shared" si="3"/>
        <v>Yes</v>
      </c>
      <c r="S1433" s="86" t="str">
        <f t="array" ref="S1433">iferror(XLOOKUP(C1433,'Download of SFDC Activation Rep'!B:B,'Download of SFDC Activation Rep'!Y:Y),"")</f>
        <v/>
      </c>
    </row>
    <row r="1434">
      <c r="A1434" s="17"/>
      <c r="B1434" s="85"/>
      <c r="C1434" s="17"/>
      <c r="D1434" s="85"/>
      <c r="E1434" s="17"/>
      <c r="F1434" s="17"/>
      <c r="G1434" s="17"/>
      <c r="I1434" s="17"/>
      <c r="K1434" s="17"/>
      <c r="L1434" s="17"/>
      <c r="M1434" s="17"/>
      <c r="O1434" s="14">
        <f t="shared" si="1"/>
        <v>0</v>
      </c>
      <c r="P1434" s="86" t="str">
        <f t="array" ref="P1434">iferror(XLOOKUP(C1434,'Download of SFDC Activation Rep'!B:B,'Download of SFDC Activation Rep'!Z:Z),"")</f>
        <v/>
      </c>
      <c r="Q1434" s="86" t="str">
        <f t="shared" si="2"/>
        <v/>
      </c>
      <c r="R1434" s="13" t="str">
        <f t="shared" si="3"/>
        <v>Yes</v>
      </c>
      <c r="S1434" s="86" t="str">
        <f t="array" ref="S1434">iferror(XLOOKUP(C1434,'Download of SFDC Activation Rep'!B:B,'Download of SFDC Activation Rep'!Y:Y),"")</f>
        <v/>
      </c>
    </row>
    <row r="1435">
      <c r="A1435" s="17"/>
      <c r="B1435" s="85"/>
      <c r="C1435" s="17"/>
      <c r="D1435" s="85"/>
      <c r="E1435" s="17"/>
      <c r="F1435" s="17"/>
      <c r="G1435" s="17"/>
      <c r="I1435" s="17"/>
      <c r="K1435" s="17"/>
      <c r="L1435" s="17"/>
      <c r="M1435" s="17"/>
      <c r="O1435" s="14">
        <f t="shared" si="1"/>
        <v>0</v>
      </c>
      <c r="P1435" s="86" t="str">
        <f t="array" ref="P1435">iferror(XLOOKUP(C1435,'Download of SFDC Activation Rep'!B:B,'Download of SFDC Activation Rep'!Z:Z),"")</f>
        <v/>
      </c>
      <c r="Q1435" s="86" t="str">
        <f t="shared" si="2"/>
        <v/>
      </c>
      <c r="R1435" s="13" t="str">
        <f t="shared" si="3"/>
        <v>Yes</v>
      </c>
      <c r="S1435" s="86" t="str">
        <f t="array" ref="S1435">iferror(XLOOKUP(C1435,'Download of SFDC Activation Rep'!B:B,'Download of SFDC Activation Rep'!Y:Y),"")</f>
        <v/>
      </c>
    </row>
    <row r="1436">
      <c r="A1436" s="17"/>
      <c r="B1436" s="85"/>
      <c r="C1436" s="17"/>
      <c r="D1436" s="85"/>
      <c r="E1436" s="17"/>
      <c r="F1436" s="17"/>
      <c r="G1436" s="17"/>
      <c r="I1436" s="17"/>
      <c r="K1436" s="17"/>
      <c r="L1436" s="17"/>
      <c r="M1436" s="17"/>
      <c r="O1436" s="14">
        <f t="shared" si="1"/>
        <v>0</v>
      </c>
      <c r="P1436" s="86" t="str">
        <f t="array" ref="P1436">iferror(XLOOKUP(C1436,'Download of SFDC Activation Rep'!B:B,'Download of SFDC Activation Rep'!Z:Z),"")</f>
        <v/>
      </c>
      <c r="Q1436" s="86" t="str">
        <f t="shared" si="2"/>
        <v/>
      </c>
      <c r="R1436" s="13" t="str">
        <f t="shared" si="3"/>
        <v>Yes</v>
      </c>
      <c r="S1436" s="86" t="str">
        <f t="array" ref="S1436">iferror(XLOOKUP(C1436,'Download of SFDC Activation Rep'!B:B,'Download of SFDC Activation Rep'!Y:Y),"")</f>
        <v/>
      </c>
    </row>
    <row r="1437">
      <c r="A1437" s="17"/>
      <c r="B1437" s="85"/>
      <c r="C1437" s="17"/>
      <c r="D1437" s="85"/>
      <c r="E1437" s="17"/>
      <c r="F1437" s="17"/>
      <c r="G1437" s="17"/>
      <c r="I1437" s="17"/>
      <c r="K1437" s="17"/>
      <c r="L1437" s="17"/>
      <c r="M1437" s="17"/>
      <c r="O1437" s="14">
        <f t="shared" si="1"/>
        <v>0</v>
      </c>
      <c r="P1437" s="86" t="str">
        <f t="array" ref="P1437">iferror(XLOOKUP(C1437,'Download of SFDC Activation Rep'!B:B,'Download of SFDC Activation Rep'!Z:Z),"")</f>
        <v/>
      </c>
      <c r="Q1437" s="86" t="str">
        <f t="shared" si="2"/>
        <v/>
      </c>
      <c r="R1437" s="13" t="str">
        <f t="shared" si="3"/>
        <v>Yes</v>
      </c>
      <c r="S1437" s="86" t="str">
        <f t="array" ref="S1437">iferror(XLOOKUP(C1437,'Download of SFDC Activation Rep'!B:B,'Download of SFDC Activation Rep'!Y:Y),"")</f>
        <v/>
      </c>
    </row>
    <row r="1438">
      <c r="A1438" s="17"/>
      <c r="B1438" s="85"/>
      <c r="C1438" s="17"/>
      <c r="D1438" s="85"/>
      <c r="E1438" s="17"/>
      <c r="F1438" s="17"/>
      <c r="G1438" s="17"/>
      <c r="I1438" s="17"/>
      <c r="K1438" s="17"/>
      <c r="L1438" s="17"/>
      <c r="M1438" s="17"/>
      <c r="O1438" s="14">
        <f t="shared" si="1"/>
        <v>0</v>
      </c>
      <c r="P1438" s="86" t="str">
        <f t="array" ref="P1438">iferror(XLOOKUP(C1438,'Download of SFDC Activation Rep'!B:B,'Download of SFDC Activation Rep'!Z:Z),"")</f>
        <v/>
      </c>
      <c r="Q1438" s="86" t="str">
        <f t="shared" si="2"/>
        <v/>
      </c>
      <c r="R1438" s="13" t="str">
        <f t="shared" si="3"/>
        <v>Yes</v>
      </c>
      <c r="S1438" s="86" t="str">
        <f t="array" ref="S1438">iferror(XLOOKUP(C1438,'Download of SFDC Activation Rep'!B:B,'Download of SFDC Activation Rep'!Y:Y),"")</f>
        <v/>
      </c>
    </row>
    <row r="1439">
      <c r="A1439" s="17"/>
      <c r="B1439" s="85"/>
      <c r="C1439" s="17"/>
      <c r="D1439" s="85"/>
      <c r="E1439" s="17"/>
      <c r="F1439" s="17"/>
      <c r="G1439" s="17"/>
      <c r="I1439" s="17"/>
      <c r="K1439" s="17"/>
      <c r="L1439" s="17"/>
      <c r="M1439" s="17"/>
      <c r="O1439" s="14">
        <f t="shared" si="1"/>
        <v>0</v>
      </c>
      <c r="P1439" s="86" t="str">
        <f t="array" ref="P1439">iferror(XLOOKUP(C1439,'Download of SFDC Activation Rep'!B:B,'Download of SFDC Activation Rep'!Z:Z),"")</f>
        <v/>
      </c>
      <c r="Q1439" s="86" t="str">
        <f t="shared" si="2"/>
        <v/>
      </c>
      <c r="R1439" s="13" t="str">
        <f t="shared" si="3"/>
        <v>Yes</v>
      </c>
      <c r="S1439" s="86" t="str">
        <f t="array" ref="S1439">iferror(XLOOKUP(C1439,'Download of SFDC Activation Rep'!B:B,'Download of SFDC Activation Rep'!Y:Y),"")</f>
        <v/>
      </c>
    </row>
    <row r="1440">
      <c r="A1440" s="17"/>
      <c r="B1440" s="85"/>
      <c r="C1440" s="17"/>
      <c r="D1440" s="85"/>
      <c r="E1440" s="17"/>
      <c r="F1440" s="17"/>
      <c r="G1440" s="17"/>
      <c r="I1440" s="17"/>
      <c r="K1440" s="17"/>
      <c r="L1440" s="17"/>
      <c r="M1440" s="17"/>
      <c r="O1440" s="14">
        <f t="shared" si="1"/>
        <v>0</v>
      </c>
      <c r="P1440" s="86" t="str">
        <f t="array" ref="P1440">iferror(XLOOKUP(C1440,'Download of SFDC Activation Rep'!B:B,'Download of SFDC Activation Rep'!Z:Z),"")</f>
        <v/>
      </c>
      <c r="Q1440" s="86" t="str">
        <f t="shared" si="2"/>
        <v/>
      </c>
      <c r="R1440" s="13" t="str">
        <f t="shared" si="3"/>
        <v>Yes</v>
      </c>
      <c r="S1440" s="86" t="str">
        <f t="array" ref="S1440">iferror(XLOOKUP(C1440,'Download of SFDC Activation Rep'!B:B,'Download of SFDC Activation Rep'!Y:Y),"")</f>
        <v/>
      </c>
    </row>
    <row r="1441">
      <c r="A1441" s="17"/>
      <c r="B1441" s="85"/>
      <c r="C1441" s="17"/>
      <c r="D1441" s="85"/>
      <c r="E1441" s="17"/>
      <c r="F1441" s="17"/>
      <c r="G1441" s="17"/>
      <c r="I1441" s="17"/>
      <c r="K1441" s="17"/>
      <c r="L1441" s="17"/>
      <c r="M1441" s="17"/>
      <c r="O1441" s="14">
        <f t="shared" si="1"/>
        <v>0</v>
      </c>
      <c r="P1441" s="86" t="str">
        <f t="array" ref="P1441">iferror(XLOOKUP(C1441,'Download of SFDC Activation Rep'!B:B,'Download of SFDC Activation Rep'!Z:Z),"")</f>
        <v/>
      </c>
      <c r="Q1441" s="86" t="str">
        <f t="shared" si="2"/>
        <v/>
      </c>
      <c r="R1441" s="13" t="str">
        <f t="shared" si="3"/>
        <v>Yes</v>
      </c>
      <c r="S1441" s="86" t="str">
        <f t="array" ref="S1441">iferror(XLOOKUP(C1441,'Download of SFDC Activation Rep'!B:B,'Download of SFDC Activation Rep'!Y:Y),"")</f>
        <v/>
      </c>
    </row>
    <row r="1442">
      <c r="A1442" s="17"/>
      <c r="B1442" s="85"/>
      <c r="C1442" s="17"/>
      <c r="D1442" s="85"/>
      <c r="E1442" s="17"/>
      <c r="F1442" s="17"/>
      <c r="G1442" s="17"/>
      <c r="I1442" s="17"/>
      <c r="K1442" s="17"/>
      <c r="L1442" s="17"/>
      <c r="M1442" s="17"/>
      <c r="O1442" s="14">
        <f t="shared" si="1"/>
        <v>0</v>
      </c>
      <c r="P1442" s="86" t="str">
        <f t="array" ref="P1442">iferror(XLOOKUP(C1442,'Download of SFDC Activation Rep'!B:B,'Download of SFDC Activation Rep'!Z:Z),"")</f>
        <v/>
      </c>
      <c r="Q1442" s="86" t="str">
        <f t="shared" si="2"/>
        <v/>
      </c>
      <c r="R1442" s="13" t="str">
        <f t="shared" si="3"/>
        <v>Yes</v>
      </c>
      <c r="S1442" s="86" t="str">
        <f t="array" ref="S1442">iferror(XLOOKUP(C1442,'Download of SFDC Activation Rep'!B:B,'Download of SFDC Activation Rep'!Y:Y),"")</f>
        <v/>
      </c>
    </row>
    <row r="1443">
      <c r="A1443" s="17"/>
      <c r="B1443" s="85"/>
      <c r="C1443" s="17"/>
      <c r="D1443" s="85"/>
      <c r="E1443" s="17"/>
      <c r="F1443" s="17"/>
      <c r="G1443" s="17"/>
      <c r="I1443" s="17"/>
      <c r="K1443" s="17"/>
      <c r="L1443" s="17"/>
      <c r="M1443" s="17"/>
      <c r="O1443" s="14">
        <f t="shared" si="1"/>
        <v>0</v>
      </c>
      <c r="P1443" s="86" t="str">
        <f t="array" ref="P1443">iferror(XLOOKUP(C1443,'Download of SFDC Activation Rep'!B:B,'Download of SFDC Activation Rep'!Z:Z),"")</f>
        <v/>
      </c>
      <c r="Q1443" s="86" t="str">
        <f t="shared" si="2"/>
        <v/>
      </c>
      <c r="R1443" s="13" t="str">
        <f t="shared" si="3"/>
        <v>Yes</v>
      </c>
      <c r="S1443" s="86" t="str">
        <f t="array" ref="S1443">iferror(XLOOKUP(C1443,'Download of SFDC Activation Rep'!B:B,'Download of SFDC Activation Rep'!Y:Y),"")</f>
        <v/>
      </c>
    </row>
    <row r="1444">
      <c r="A1444" s="17"/>
      <c r="B1444" s="85"/>
      <c r="C1444" s="17"/>
      <c r="D1444" s="85"/>
      <c r="E1444" s="17"/>
      <c r="F1444" s="17"/>
      <c r="G1444" s="17"/>
      <c r="I1444" s="17"/>
      <c r="K1444" s="17"/>
      <c r="L1444" s="17"/>
      <c r="M1444" s="17"/>
      <c r="O1444" s="14">
        <f t="shared" si="1"/>
        <v>0</v>
      </c>
      <c r="P1444" s="86" t="str">
        <f t="array" ref="P1444">iferror(XLOOKUP(C1444,'Download of SFDC Activation Rep'!B:B,'Download of SFDC Activation Rep'!Z:Z),"")</f>
        <v/>
      </c>
      <c r="Q1444" s="86" t="str">
        <f t="shared" si="2"/>
        <v/>
      </c>
      <c r="R1444" s="13" t="str">
        <f t="shared" si="3"/>
        <v>Yes</v>
      </c>
      <c r="S1444" s="86" t="str">
        <f t="array" ref="S1444">iferror(XLOOKUP(C1444,'Download of SFDC Activation Rep'!B:B,'Download of SFDC Activation Rep'!Y:Y),"")</f>
        <v/>
      </c>
    </row>
    <row r="1445">
      <c r="A1445" s="17"/>
      <c r="B1445" s="85"/>
      <c r="C1445" s="17"/>
      <c r="D1445" s="85"/>
      <c r="E1445" s="17"/>
      <c r="F1445" s="17"/>
      <c r="G1445" s="17"/>
      <c r="I1445" s="17"/>
      <c r="K1445" s="17"/>
      <c r="L1445" s="17"/>
      <c r="M1445" s="17"/>
      <c r="O1445" s="14">
        <f t="shared" si="1"/>
        <v>0</v>
      </c>
      <c r="P1445" s="86" t="str">
        <f t="array" ref="P1445">iferror(XLOOKUP(C1445,'Download of SFDC Activation Rep'!B:B,'Download of SFDC Activation Rep'!Z:Z),"")</f>
        <v/>
      </c>
      <c r="Q1445" s="86" t="str">
        <f t="shared" si="2"/>
        <v/>
      </c>
      <c r="R1445" s="13" t="str">
        <f t="shared" si="3"/>
        <v>Yes</v>
      </c>
      <c r="S1445" s="86" t="str">
        <f t="array" ref="S1445">iferror(XLOOKUP(C1445,'Download of SFDC Activation Rep'!B:B,'Download of SFDC Activation Rep'!Y:Y),"")</f>
        <v/>
      </c>
    </row>
    <row r="1446">
      <c r="A1446" s="17"/>
      <c r="B1446" s="85"/>
      <c r="C1446" s="17"/>
      <c r="D1446" s="85"/>
      <c r="E1446" s="17"/>
      <c r="F1446" s="17"/>
      <c r="G1446" s="17"/>
      <c r="I1446" s="17"/>
      <c r="K1446" s="17"/>
      <c r="L1446" s="17"/>
      <c r="M1446" s="17"/>
      <c r="O1446" s="14">
        <f t="shared" si="1"/>
        <v>0</v>
      </c>
      <c r="P1446" s="86" t="str">
        <f t="array" ref="P1446">iferror(XLOOKUP(C1446,'Download of SFDC Activation Rep'!B:B,'Download of SFDC Activation Rep'!Z:Z),"")</f>
        <v/>
      </c>
      <c r="Q1446" s="86" t="str">
        <f t="shared" si="2"/>
        <v/>
      </c>
      <c r="R1446" s="13" t="str">
        <f t="shared" si="3"/>
        <v>Yes</v>
      </c>
      <c r="S1446" s="86" t="str">
        <f t="array" ref="S1446">iferror(XLOOKUP(C1446,'Download of SFDC Activation Rep'!B:B,'Download of SFDC Activation Rep'!Y:Y),"")</f>
        <v/>
      </c>
    </row>
    <row r="1447">
      <c r="A1447" s="17"/>
      <c r="B1447" s="85"/>
      <c r="C1447" s="17"/>
      <c r="D1447" s="85"/>
      <c r="E1447" s="17"/>
      <c r="F1447" s="17"/>
      <c r="G1447" s="17"/>
      <c r="I1447" s="17"/>
      <c r="K1447" s="17"/>
      <c r="L1447" s="17"/>
      <c r="M1447" s="17"/>
      <c r="O1447" s="14">
        <f t="shared" si="1"/>
        <v>0</v>
      </c>
      <c r="P1447" s="86" t="str">
        <f t="array" ref="P1447">iferror(XLOOKUP(C1447,'Download of SFDC Activation Rep'!B:B,'Download of SFDC Activation Rep'!Z:Z),"")</f>
        <v/>
      </c>
      <c r="Q1447" s="86" t="str">
        <f t="shared" si="2"/>
        <v/>
      </c>
      <c r="R1447" s="13" t="str">
        <f t="shared" si="3"/>
        <v>Yes</v>
      </c>
      <c r="S1447" s="86" t="str">
        <f t="array" ref="S1447">iferror(XLOOKUP(C1447,'Download of SFDC Activation Rep'!B:B,'Download of SFDC Activation Rep'!Y:Y),"")</f>
        <v/>
      </c>
    </row>
    <row r="1448">
      <c r="A1448" s="17"/>
      <c r="B1448" s="85"/>
      <c r="C1448" s="17"/>
      <c r="D1448" s="85"/>
      <c r="E1448" s="17"/>
      <c r="F1448" s="17"/>
      <c r="G1448" s="17"/>
      <c r="I1448" s="17"/>
      <c r="K1448" s="17"/>
      <c r="L1448" s="17"/>
      <c r="M1448" s="17"/>
      <c r="O1448" s="14">
        <f t="shared" si="1"/>
        <v>0</v>
      </c>
      <c r="P1448" s="86" t="str">
        <f t="array" ref="P1448">iferror(XLOOKUP(C1448,'Download of SFDC Activation Rep'!B:B,'Download of SFDC Activation Rep'!Z:Z),"")</f>
        <v/>
      </c>
      <c r="Q1448" s="86" t="str">
        <f t="shared" si="2"/>
        <v/>
      </c>
      <c r="R1448" s="13" t="str">
        <f t="shared" si="3"/>
        <v>Yes</v>
      </c>
      <c r="S1448" s="86" t="str">
        <f t="array" ref="S1448">iferror(XLOOKUP(C1448,'Download of SFDC Activation Rep'!B:B,'Download of SFDC Activation Rep'!Y:Y),"")</f>
        <v/>
      </c>
    </row>
    <row r="1449">
      <c r="A1449" s="17"/>
      <c r="B1449" s="85"/>
      <c r="C1449" s="17"/>
      <c r="D1449" s="85"/>
      <c r="E1449" s="17"/>
      <c r="F1449" s="17"/>
      <c r="G1449" s="17"/>
      <c r="I1449" s="17"/>
      <c r="K1449" s="17"/>
      <c r="L1449" s="17"/>
      <c r="M1449" s="17"/>
      <c r="O1449" s="14">
        <f t="shared" si="1"/>
        <v>0</v>
      </c>
      <c r="P1449" s="86" t="str">
        <f t="array" ref="P1449">iferror(XLOOKUP(C1449,'Download of SFDC Activation Rep'!B:B,'Download of SFDC Activation Rep'!Z:Z),"")</f>
        <v/>
      </c>
      <c r="Q1449" s="86" t="str">
        <f t="shared" si="2"/>
        <v/>
      </c>
      <c r="R1449" s="13" t="str">
        <f t="shared" si="3"/>
        <v>Yes</v>
      </c>
      <c r="S1449" s="86" t="str">
        <f t="array" ref="S1449">iferror(XLOOKUP(C1449,'Download of SFDC Activation Rep'!B:B,'Download of SFDC Activation Rep'!Y:Y),"")</f>
        <v/>
      </c>
    </row>
    <row r="1450">
      <c r="A1450" s="17"/>
      <c r="B1450" s="85"/>
      <c r="C1450" s="17"/>
      <c r="D1450" s="85"/>
      <c r="E1450" s="17"/>
      <c r="F1450" s="17"/>
      <c r="G1450" s="17"/>
      <c r="I1450" s="17"/>
      <c r="K1450" s="17"/>
      <c r="L1450" s="17"/>
      <c r="M1450" s="17"/>
      <c r="O1450" s="14">
        <f t="shared" si="1"/>
        <v>0</v>
      </c>
      <c r="P1450" s="86" t="str">
        <f t="array" ref="P1450">iferror(XLOOKUP(C1450,'Download of SFDC Activation Rep'!B:B,'Download of SFDC Activation Rep'!Z:Z),"")</f>
        <v/>
      </c>
      <c r="Q1450" s="86" t="str">
        <f t="shared" si="2"/>
        <v/>
      </c>
      <c r="R1450" s="13" t="str">
        <f t="shared" si="3"/>
        <v>Yes</v>
      </c>
      <c r="S1450" s="86" t="str">
        <f t="array" ref="S1450">iferror(XLOOKUP(C1450,'Download of SFDC Activation Rep'!B:B,'Download of SFDC Activation Rep'!Y:Y),"")</f>
        <v/>
      </c>
    </row>
    <row r="1451">
      <c r="A1451" s="17"/>
      <c r="B1451" s="85"/>
      <c r="C1451" s="17"/>
      <c r="D1451" s="85"/>
      <c r="E1451" s="17"/>
      <c r="F1451" s="17"/>
      <c r="G1451" s="17"/>
      <c r="I1451" s="17"/>
      <c r="K1451" s="17"/>
      <c r="L1451" s="17"/>
      <c r="M1451" s="17"/>
      <c r="O1451" s="14">
        <f t="shared" si="1"/>
        <v>0</v>
      </c>
      <c r="P1451" s="86" t="str">
        <f t="array" ref="P1451">iferror(XLOOKUP(C1451,'Download of SFDC Activation Rep'!B:B,'Download of SFDC Activation Rep'!Z:Z),"")</f>
        <v/>
      </c>
      <c r="Q1451" s="86" t="str">
        <f t="shared" si="2"/>
        <v/>
      </c>
      <c r="R1451" s="13" t="str">
        <f t="shared" si="3"/>
        <v>Yes</v>
      </c>
      <c r="S1451" s="86" t="str">
        <f t="array" ref="S1451">iferror(XLOOKUP(C1451,'Download of SFDC Activation Rep'!B:B,'Download of SFDC Activation Rep'!Y:Y),"")</f>
        <v/>
      </c>
    </row>
    <row r="1452">
      <c r="A1452" s="17"/>
      <c r="B1452" s="85"/>
      <c r="C1452" s="17"/>
      <c r="D1452" s="85"/>
      <c r="E1452" s="17"/>
      <c r="F1452" s="17"/>
      <c r="G1452" s="17"/>
      <c r="I1452" s="17"/>
      <c r="K1452" s="17"/>
      <c r="L1452" s="17"/>
      <c r="M1452" s="17"/>
      <c r="O1452" s="14">
        <f t="shared" si="1"/>
        <v>0</v>
      </c>
      <c r="P1452" s="86" t="str">
        <f t="array" ref="P1452">iferror(XLOOKUP(C1452,'Download of SFDC Activation Rep'!B:B,'Download of SFDC Activation Rep'!Z:Z),"")</f>
        <v/>
      </c>
      <c r="Q1452" s="86" t="str">
        <f t="shared" si="2"/>
        <v/>
      </c>
      <c r="R1452" s="13" t="str">
        <f t="shared" si="3"/>
        <v>Yes</v>
      </c>
      <c r="S1452" s="86" t="str">
        <f t="array" ref="S1452">iferror(XLOOKUP(C1452,'Download of SFDC Activation Rep'!B:B,'Download of SFDC Activation Rep'!Y:Y),"")</f>
        <v/>
      </c>
    </row>
    <row r="1453">
      <c r="A1453" s="17"/>
      <c r="B1453" s="85"/>
      <c r="C1453" s="17"/>
      <c r="D1453" s="85"/>
      <c r="E1453" s="17"/>
      <c r="F1453" s="17"/>
      <c r="G1453" s="17"/>
      <c r="I1453" s="17"/>
      <c r="K1453" s="17"/>
      <c r="L1453" s="17"/>
      <c r="M1453" s="17"/>
      <c r="O1453" s="14">
        <f t="shared" si="1"/>
        <v>0</v>
      </c>
      <c r="P1453" s="86" t="str">
        <f t="array" ref="P1453">iferror(XLOOKUP(C1453,'Download of SFDC Activation Rep'!B:B,'Download of SFDC Activation Rep'!Z:Z),"")</f>
        <v/>
      </c>
      <c r="Q1453" s="86" t="str">
        <f t="shared" si="2"/>
        <v/>
      </c>
      <c r="R1453" s="13" t="str">
        <f t="shared" si="3"/>
        <v>Yes</v>
      </c>
      <c r="S1453" s="86" t="str">
        <f t="array" ref="S1453">iferror(XLOOKUP(C1453,'Download of SFDC Activation Rep'!B:B,'Download of SFDC Activation Rep'!Y:Y),"")</f>
        <v/>
      </c>
    </row>
    <row r="1454">
      <c r="A1454" s="17"/>
      <c r="B1454" s="85"/>
      <c r="C1454" s="17"/>
      <c r="D1454" s="85"/>
      <c r="E1454" s="17"/>
      <c r="F1454" s="17"/>
      <c r="G1454" s="17"/>
      <c r="I1454" s="17"/>
      <c r="K1454" s="17"/>
      <c r="L1454" s="17"/>
      <c r="M1454" s="17"/>
      <c r="O1454" s="14">
        <f t="shared" si="1"/>
        <v>0</v>
      </c>
      <c r="P1454" s="86" t="str">
        <f t="array" ref="P1454">iferror(XLOOKUP(C1454,'Download of SFDC Activation Rep'!B:B,'Download of SFDC Activation Rep'!Z:Z),"")</f>
        <v/>
      </c>
      <c r="Q1454" s="86" t="str">
        <f t="shared" si="2"/>
        <v/>
      </c>
      <c r="R1454" s="13" t="str">
        <f t="shared" si="3"/>
        <v>Yes</v>
      </c>
      <c r="S1454" s="86" t="str">
        <f t="array" ref="S1454">iferror(XLOOKUP(C1454,'Download of SFDC Activation Rep'!B:B,'Download of SFDC Activation Rep'!Y:Y),"")</f>
        <v/>
      </c>
    </row>
    <row r="1455">
      <c r="A1455" s="17"/>
      <c r="B1455" s="85"/>
      <c r="C1455" s="17"/>
      <c r="D1455" s="85"/>
      <c r="E1455" s="17"/>
      <c r="F1455" s="17"/>
      <c r="G1455" s="17"/>
      <c r="I1455" s="17"/>
      <c r="K1455" s="17"/>
      <c r="L1455" s="17"/>
      <c r="M1455" s="17"/>
      <c r="O1455" s="14">
        <f t="shared" si="1"/>
        <v>0</v>
      </c>
      <c r="P1455" s="86" t="str">
        <f t="array" ref="P1455">iferror(XLOOKUP(C1455,'Download of SFDC Activation Rep'!B:B,'Download of SFDC Activation Rep'!Z:Z),"")</f>
        <v/>
      </c>
      <c r="Q1455" s="86" t="str">
        <f t="shared" si="2"/>
        <v/>
      </c>
      <c r="R1455" s="13" t="str">
        <f t="shared" si="3"/>
        <v>Yes</v>
      </c>
      <c r="S1455" s="86" t="str">
        <f t="array" ref="S1455">iferror(XLOOKUP(C1455,'Download of SFDC Activation Rep'!B:B,'Download of SFDC Activation Rep'!Y:Y),"")</f>
        <v/>
      </c>
    </row>
    <row r="1456">
      <c r="A1456" s="17"/>
      <c r="B1456" s="85"/>
      <c r="C1456" s="17"/>
      <c r="D1456" s="85"/>
      <c r="E1456" s="17"/>
      <c r="F1456" s="17"/>
      <c r="G1456" s="17"/>
      <c r="I1456" s="17"/>
      <c r="K1456" s="17"/>
      <c r="L1456" s="17"/>
      <c r="M1456" s="17"/>
      <c r="O1456" s="14">
        <f t="shared" si="1"/>
        <v>0</v>
      </c>
      <c r="P1456" s="86" t="str">
        <f t="array" ref="P1456">iferror(XLOOKUP(C1456,'Download of SFDC Activation Rep'!B:B,'Download of SFDC Activation Rep'!Z:Z),"")</f>
        <v/>
      </c>
      <c r="Q1456" s="86" t="str">
        <f t="shared" si="2"/>
        <v/>
      </c>
      <c r="R1456" s="13" t="str">
        <f t="shared" si="3"/>
        <v>Yes</v>
      </c>
      <c r="S1456" s="86" t="str">
        <f t="array" ref="S1456">iferror(XLOOKUP(C1456,'Download of SFDC Activation Rep'!B:B,'Download of SFDC Activation Rep'!Y:Y),"")</f>
        <v/>
      </c>
    </row>
    <row r="1457">
      <c r="A1457" s="17"/>
      <c r="B1457" s="85"/>
      <c r="C1457" s="17"/>
      <c r="D1457" s="85"/>
      <c r="E1457" s="17"/>
      <c r="F1457" s="17"/>
      <c r="G1457" s="17"/>
      <c r="I1457" s="17"/>
      <c r="K1457" s="17"/>
      <c r="L1457" s="17"/>
      <c r="M1457" s="17"/>
      <c r="O1457" s="14">
        <f t="shared" si="1"/>
        <v>0</v>
      </c>
      <c r="P1457" s="86" t="str">
        <f t="array" ref="P1457">iferror(XLOOKUP(C1457,'Download of SFDC Activation Rep'!B:B,'Download of SFDC Activation Rep'!Z:Z),"")</f>
        <v/>
      </c>
      <c r="Q1457" s="86" t="str">
        <f t="shared" si="2"/>
        <v/>
      </c>
      <c r="R1457" s="13" t="str">
        <f t="shared" si="3"/>
        <v>Yes</v>
      </c>
      <c r="S1457" s="86" t="str">
        <f t="array" ref="S1457">iferror(XLOOKUP(C1457,'Download of SFDC Activation Rep'!B:B,'Download of SFDC Activation Rep'!Y:Y),"")</f>
        <v/>
      </c>
    </row>
    <row r="1458">
      <c r="A1458" s="17"/>
      <c r="B1458" s="85"/>
      <c r="C1458" s="17"/>
      <c r="D1458" s="85"/>
      <c r="E1458" s="17"/>
      <c r="F1458" s="17"/>
      <c r="G1458" s="17"/>
      <c r="I1458" s="17"/>
      <c r="K1458" s="17"/>
      <c r="L1458" s="17"/>
      <c r="M1458" s="17"/>
      <c r="O1458" s="14">
        <f t="shared" si="1"/>
        <v>0</v>
      </c>
      <c r="P1458" s="86" t="str">
        <f t="array" ref="P1458">iferror(XLOOKUP(C1458,'Download of SFDC Activation Rep'!B:B,'Download of SFDC Activation Rep'!Z:Z),"")</f>
        <v/>
      </c>
      <c r="Q1458" s="86" t="str">
        <f t="shared" si="2"/>
        <v/>
      </c>
      <c r="R1458" s="13" t="str">
        <f t="shared" si="3"/>
        <v>Yes</v>
      </c>
      <c r="S1458" s="86" t="str">
        <f t="array" ref="S1458">iferror(XLOOKUP(C1458,'Download of SFDC Activation Rep'!B:B,'Download of SFDC Activation Rep'!Y:Y),"")</f>
        <v/>
      </c>
    </row>
    <row r="1459">
      <c r="A1459" s="17"/>
      <c r="B1459" s="85"/>
      <c r="C1459" s="17"/>
      <c r="D1459" s="85"/>
      <c r="E1459" s="17"/>
      <c r="F1459" s="17"/>
      <c r="G1459" s="17"/>
      <c r="I1459" s="17"/>
      <c r="K1459" s="17"/>
      <c r="L1459" s="17"/>
      <c r="M1459" s="17"/>
      <c r="O1459" s="14">
        <f t="shared" si="1"/>
        <v>0</v>
      </c>
      <c r="P1459" s="86" t="str">
        <f t="array" ref="P1459">iferror(XLOOKUP(C1459,'Download of SFDC Activation Rep'!B:B,'Download of SFDC Activation Rep'!Z:Z),"")</f>
        <v/>
      </c>
      <c r="Q1459" s="86" t="str">
        <f t="shared" si="2"/>
        <v/>
      </c>
      <c r="R1459" s="13" t="str">
        <f t="shared" si="3"/>
        <v>Yes</v>
      </c>
      <c r="S1459" s="86" t="str">
        <f t="array" ref="S1459">iferror(XLOOKUP(C1459,'Download of SFDC Activation Rep'!B:B,'Download of SFDC Activation Rep'!Y:Y),"")</f>
        <v/>
      </c>
    </row>
    <row r="1460">
      <c r="A1460" s="17"/>
      <c r="B1460" s="85"/>
      <c r="C1460" s="17"/>
      <c r="D1460" s="85"/>
      <c r="E1460" s="17"/>
      <c r="F1460" s="17"/>
      <c r="G1460" s="17"/>
      <c r="I1460" s="17"/>
      <c r="K1460" s="17"/>
      <c r="L1460" s="17"/>
      <c r="M1460" s="17"/>
      <c r="O1460" s="14">
        <f t="shared" si="1"/>
        <v>0</v>
      </c>
      <c r="P1460" s="86" t="str">
        <f t="array" ref="P1460">iferror(XLOOKUP(C1460,'Download of SFDC Activation Rep'!B:B,'Download of SFDC Activation Rep'!Z:Z),"")</f>
        <v/>
      </c>
      <c r="Q1460" s="86" t="str">
        <f t="shared" si="2"/>
        <v/>
      </c>
      <c r="R1460" s="13" t="str">
        <f t="shared" si="3"/>
        <v>Yes</v>
      </c>
      <c r="S1460" s="86" t="str">
        <f t="array" ref="S1460">iferror(XLOOKUP(C1460,'Download of SFDC Activation Rep'!B:B,'Download of SFDC Activation Rep'!Y:Y),"")</f>
        <v/>
      </c>
    </row>
    <row r="1461">
      <c r="A1461" s="17"/>
      <c r="B1461" s="85"/>
      <c r="C1461" s="17"/>
      <c r="D1461" s="85"/>
      <c r="E1461" s="17"/>
      <c r="F1461" s="17"/>
      <c r="G1461" s="17"/>
      <c r="I1461" s="17"/>
      <c r="K1461" s="17"/>
      <c r="L1461" s="17"/>
      <c r="M1461" s="17"/>
      <c r="O1461" s="14">
        <f t="shared" si="1"/>
        <v>0</v>
      </c>
      <c r="P1461" s="86" t="str">
        <f t="array" ref="P1461">iferror(XLOOKUP(C1461,'Download of SFDC Activation Rep'!B:B,'Download of SFDC Activation Rep'!Z:Z),"")</f>
        <v/>
      </c>
      <c r="Q1461" s="86" t="str">
        <f t="shared" si="2"/>
        <v/>
      </c>
      <c r="R1461" s="13" t="str">
        <f t="shared" si="3"/>
        <v>Yes</v>
      </c>
      <c r="S1461" s="86" t="str">
        <f t="array" ref="S1461">iferror(XLOOKUP(C1461,'Download of SFDC Activation Rep'!B:B,'Download of SFDC Activation Rep'!Y:Y),"")</f>
        <v/>
      </c>
    </row>
    <row r="1462">
      <c r="A1462" s="17"/>
      <c r="B1462" s="85"/>
      <c r="C1462" s="17"/>
      <c r="D1462" s="85"/>
      <c r="E1462" s="17"/>
      <c r="F1462" s="17"/>
      <c r="G1462" s="17"/>
      <c r="I1462" s="17"/>
      <c r="K1462" s="17"/>
      <c r="L1462" s="17"/>
      <c r="M1462" s="17"/>
      <c r="O1462" s="14">
        <f t="shared" si="1"/>
        <v>0</v>
      </c>
      <c r="P1462" s="86" t="str">
        <f t="array" ref="P1462">iferror(XLOOKUP(C1462,'Download of SFDC Activation Rep'!B:B,'Download of SFDC Activation Rep'!Z:Z),"")</f>
        <v/>
      </c>
      <c r="Q1462" s="86" t="str">
        <f t="shared" si="2"/>
        <v/>
      </c>
      <c r="R1462" s="13" t="str">
        <f t="shared" si="3"/>
        <v>Yes</v>
      </c>
      <c r="S1462" s="86" t="str">
        <f t="array" ref="S1462">iferror(XLOOKUP(C1462,'Download of SFDC Activation Rep'!B:B,'Download of SFDC Activation Rep'!Y:Y),"")</f>
        <v/>
      </c>
    </row>
    <row r="1463">
      <c r="A1463" s="17"/>
      <c r="B1463" s="85"/>
      <c r="C1463" s="17"/>
      <c r="D1463" s="85"/>
      <c r="E1463" s="17"/>
      <c r="F1463" s="17"/>
      <c r="G1463" s="17"/>
      <c r="I1463" s="17"/>
      <c r="K1463" s="17"/>
      <c r="L1463" s="17"/>
      <c r="M1463" s="17"/>
      <c r="O1463" s="14">
        <f t="shared" si="1"/>
        <v>0</v>
      </c>
      <c r="P1463" s="86" t="str">
        <f t="array" ref="P1463">iferror(XLOOKUP(C1463,'Download of SFDC Activation Rep'!B:B,'Download of SFDC Activation Rep'!Z:Z),"")</f>
        <v/>
      </c>
      <c r="Q1463" s="86" t="str">
        <f t="shared" si="2"/>
        <v/>
      </c>
      <c r="R1463" s="13" t="str">
        <f t="shared" si="3"/>
        <v>Yes</v>
      </c>
      <c r="S1463" s="86" t="str">
        <f t="array" ref="S1463">iferror(XLOOKUP(C1463,'Download of SFDC Activation Rep'!B:B,'Download of SFDC Activation Rep'!Y:Y),"")</f>
        <v/>
      </c>
    </row>
    <row r="1464">
      <c r="A1464" s="17"/>
      <c r="B1464" s="85"/>
      <c r="C1464" s="17"/>
      <c r="D1464" s="85"/>
      <c r="E1464" s="17"/>
      <c r="F1464" s="17"/>
      <c r="G1464" s="17"/>
      <c r="I1464" s="17"/>
      <c r="K1464" s="17"/>
      <c r="L1464" s="17"/>
      <c r="M1464" s="17"/>
      <c r="O1464" s="14">
        <f t="shared" si="1"/>
        <v>0</v>
      </c>
      <c r="P1464" s="86" t="str">
        <f t="array" ref="P1464">iferror(XLOOKUP(C1464,'Download of SFDC Activation Rep'!B:B,'Download of SFDC Activation Rep'!Z:Z),"")</f>
        <v/>
      </c>
      <c r="Q1464" s="86" t="str">
        <f t="shared" si="2"/>
        <v/>
      </c>
      <c r="R1464" s="13" t="str">
        <f t="shared" si="3"/>
        <v>Yes</v>
      </c>
      <c r="S1464" s="86" t="str">
        <f t="array" ref="S1464">iferror(XLOOKUP(C1464,'Download of SFDC Activation Rep'!B:B,'Download of SFDC Activation Rep'!Y:Y),"")</f>
        <v/>
      </c>
    </row>
    <row r="1465">
      <c r="A1465" s="17"/>
      <c r="B1465" s="85"/>
      <c r="C1465" s="17"/>
      <c r="D1465" s="85"/>
      <c r="E1465" s="17"/>
      <c r="F1465" s="17"/>
      <c r="G1465" s="17"/>
      <c r="I1465" s="17"/>
      <c r="K1465" s="17"/>
      <c r="L1465" s="17"/>
      <c r="M1465" s="17"/>
      <c r="O1465" s="14">
        <f t="shared" si="1"/>
        <v>0</v>
      </c>
      <c r="P1465" s="86" t="str">
        <f t="array" ref="P1465">iferror(XLOOKUP(C1465,'Download of SFDC Activation Rep'!B:B,'Download of SFDC Activation Rep'!Z:Z),"")</f>
        <v/>
      </c>
      <c r="Q1465" s="86" t="str">
        <f t="shared" si="2"/>
        <v/>
      </c>
      <c r="R1465" s="13" t="str">
        <f t="shared" si="3"/>
        <v>Yes</v>
      </c>
      <c r="S1465" s="86" t="str">
        <f t="array" ref="S1465">iferror(XLOOKUP(C1465,'Download of SFDC Activation Rep'!B:B,'Download of SFDC Activation Rep'!Y:Y),"")</f>
        <v/>
      </c>
    </row>
    <row r="1466">
      <c r="A1466" s="17"/>
      <c r="B1466" s="85"/>
      <c r="C1466" s="17"/>
      <c r="D1466" s="85"/>
      <c r="E1466" s="17"/>
      <c r="F1466" s="17"/>
      <c r="G1466" s="17"/>
      <c r="I1466" s="17"/>
      <c r="K1466" s="17"/>
      <c r="L1466" s="17"/>
      <c r="M1466" s="17"/>
      <c r="O1466" s="14">
        <f t="shared" si="1"/>
        <v>0</v>
      </c>
      <c r="P1466" s="86" t="str">
        <f t="array" ref="P1466">iferror(XLOOKUP(C1466,'Download of SFDC Activation Rep'!B:B,'Download of SFDC Activation Rep'!Z:Z),"")</f>
        <v/>
      </c>
      <c r="Q1466" s="86" t="str">
        <f t="shared" si="2"/>
        <v/>
      </c>
      <c r="R1466" s="13" t="str">
        <f t="shared" si="3"/>
        <v>Yes</v>
      </c>
      <c r="S1466" s="86" t="str">
        <f t="array" ref="S1466">iferror(XLOOKUP(C1466,'Download of SFDC Activation Rep'!B:B,'Download of SFDC Activation Rep'!Y:Y),"")</f>
        <v/>
      </c>
    </row>
    <row r="1467">
      <c r="A1467" s="17"/>
      <c r="B1467" s="85"/>
      <c r="C1467" s="17"/>
      <c r="D1467" s="85"/>
      <c r="E1467" s="17"/>
      <c r="F1467" s="17"/>
      <c r="G1467" s="17"/>
      <c r="I1467" s="17"/>
      <c r="K1467" s="17"/>
      <c r="L1467" s="17"/>
      <c r="M1467" s="17"/>
      <c r="O1467" s="14">
        <f t="shared" si="1"/>
        <v>0</v>
      </c>
      <c r="P1467" s="86" t="str">
        <f t="array" ref="P1467">iferror(XLOOKUP(C1467,'Download of SFDC Activation Rep'!B:B,'Download of SFDC Activation Rep'!Z:Z),"")</f>
        <v/>
      </c>
      <c r="Q1467" s="86" t="str">
        <f t="shared" si="2"/>
        <v/>
      </c>
      <c r="R1467" s="13" t="str">
        <f t="shared" si="3"/>
        <v>Yes</v>
      </c>
      <c r="S1467" s="86" t="str">
        <f t="array" ref="S1467">iferror(XLOOKUP(C1467,'Download of SFDC Activation Rep'!B:B,'Download of SFDC Activation Rep'!Y:Y),"")</f>
        <v/>
      </c>
    </row>
    <row r="1468">
      <c r="A1468" s="17"/>
      <c r="B1468" s="85"/>
      <c r="C1468" s="17"/>
      <c r="D1468" s="85"/>
      <c r="E1468" s="17"/>
      <c r="F1468" s="17"/>
      <c r="G1468" s="17"/>
      <c r="I1468" s="17"/>
      <c r="K1468" s="17"/>
      <c r="L1468" s="17"/>
      <c r="M1468" s="17"/>
      <c r="O1468" s="14">
        <f t="shared" si="1"/>
        <v>0</v>
      </c>
      <c r="P1468" s="86" t="str">
        <f t="array" ref="P1468">iferror(XLOOKUP(C1468,'Download of SFDC Activation Rep'!B:B,'Download of SFDC Activation Rep'!Z:Z),"")</f>
        <v/>
      </c>
      <c r="Q1468" s="86" t="str">
        <f t="shared" si="2"/>
        <v/>
      </c>
      <c r="R1468" s="13" t="str">
        <f t="shared" si="3"/>
        <v>Yes</v>
      </c>
      <c r="S1468" s="86" t="str">
        <f t="array" ref="S1468">iferror(XLOOKUP(C1468,'Download of SFDC Activation Rep'!B:B,'Download of SFDC Activation Rep'!Y:Y),"")</f>
        <v/>
      </c>
    </row>
    <row r="1469">
      <c r="A1469" s="17"/>
      <c r="B1469" s="85"/>
      <c r="C1469" s="17"/>
      <c r="D1469" s="85"/>
      <c r="E1469" s="17"/>
      <c r="F1469" s="17"/>
      <c r="G1469" s="17"/>
      <c r="I1469" s="17"/>
      <c r="K1469" s="17"/>
      <c r="L1469" s="17"/>
      <c r="M1469" s="17"/>
      <c r="O1469" s="14">
        <f t="shared" si="1"/>
        <v>0</v>
      </c>
      <c r="P1469" s="86" t="str">
        <f t="array" ref="P1469">iferror(XLOOKUP(C1469,'Download of SFDC Activation Rep'!B:B,'Download of SFDC Activation Rep'!Z:Z),"")</f>
        <v/>
      </c>
      <c r="Q1469" s="86" t="str">
        <f t="shared" si="2"/>
        <v/>
      </c>
      <c r="R1469" s="13" t="str">
        <f t="shared" si="3"/>
        <v>Yes</v>
      </c>
      <c r="S1469" s="86" t="str">
        <f t="array" ref="S1469">iferror(XLOOKUP(C1469,'Download of SFDC Activation Rep'!B:B,'Download of SFDC Activation Rep'!Y:Y),"")</f>
        <v/>
      </c>
    </row>
    <row r="1470">
      <c r="A1470" s="17"/>
      <c r="B1470" s="85"/>
      <c r="C1470" s="17"/>
      <c r="D1470" s="85"/>
      <c r="E1470" s="17"/>
      <c r="F1470" s="17"/>
      <c r="G1470" s="17"/>
      <c r="I1470" s="17"/>
      <c r="K1470" s="17"/>
      <c r="L1470" s="17"/>
      <c r="M1470" s="17"/>
      <c r="O1470" s="14">
        <f t="shared" si="1"/>
        <v>0</v>
      </c>
      <c r="P1470" s="86" t="str">
        <f t="array" ref="P1470">iferror(XLOOKUP(C1470,'Download of SFDC Activation Rep'!B:B,'Download of SFDC Activation Rep'!Z:Z),"")</f>
        <v/>
      </c>
      <c r="Q1470" s="86" t="str">
        <f t="shared" si="2"/>
        <v/>
      </c>
      <c r="R1470" s="13" t="str">
        <f t="shared" si="3"/>
        <v>Yes</v>
      </c>
      <c r="S1470" s="86" t="str">
        <f t="array" ref="S1470">iferror(XLOOKUP(C1470,'Download of SFDC Activation Rep'!B:B,'Download of SFDC Activation Rep'!Y:Y),"")</f>
        <v/>
      </c>
    </row>
    <row r="1471">
      <c r="A1471" s="17"/>
      <c r="B1471" s="85"/>
      <c r="C1471" s="17"/>
      <c r="D1471" s="85"/>
      <c r="E1471" s="17"/>
      <c r="F1471" s="17"/>
      <c r="G1471" s="17"/>
      <c r="I1471" s="17"/>
      <c r="K1471" s="17"/>
      <c r="L1471" s="17"/>
      <c r="M1471" s="17"/>
      <c r="O1471" s="14">
        <f t="shared" si="1"/>
        <v>0</v>
      </c>
      <c r="P1471" s="86" t="str">
        <f t="array" ref="P1471">iferror(XLOOKUP(C1471,'Download of SFDC Activation Rep'!B:B,'Download of SFDC Activation Rep'!Z:Z),"")</f>
        <v/>
      </c>
      <c r="Q1471" s="86" t="str">
        <f t="shared" si="2"/>
        <v/>
      </c>
      <c r="R1471" s="13" t="str">
        <f t="shared" si="3"/>
        <v>Yes</v>
      </c>
      <c r="S1471" s="86" t="str">
        <f t="array" ref="S1471">iferror(XLOOKUP(C1471,'Download of SFDC Activation Rep'!B:B,'Download of SFDC Activation Rep'!Y:Y),"")</f>
        <v/>
      </c>
    </row>
    <row r="1472">
      <c r="A1472" s="17"/>
      <c r="B1472" s="85"/>
      <c r="C1472" s="17"/>
      <c r="D1472" s="85"/>
      <c r="E1472" s="17"/>
      <c r="F1472" s="17"/>
      <c r="G1472" s="17"/>
      <c r="I1472" s="17"/>
      <c r="K1472" s="17"/>
      <c r="L1472" s="17"/>
      <c r="M1472" s="17"/>
      <c r="O1472" s="14">
        <f t="shared" si="1"/>
        <v>0</v>
      </c>
      <c r="P1472" s="86" t="str">
        <f t="array" ref="P1472">iferror(XLOOKUP(C1472,'Download of SFDC Activation Rep'!B:B,'Download of SFDC Activation Rep'!Z:Z),"")</f>
        <v/>
      </c>
      <c r="Q1472" s="86" t="str">
        <f t="shared" si="2"/>
        <v/>
      </c>
      <c r="R1472" s="13" t="str">
        <f t="shared" si="3"/>
        <v>Yes</v>
      </c>
      <c r="S1472" s="86" t="str">
        <f t="array" ref="S1472">iferror(XLOOKUP(C1472,'Download of SFDC Activation Rep'!B:B,'Download of SFDC Activation Rep'!Y:Y),"")</f>
        <v/>
      </c>
    </row>
    <row r="1473">
      <c r="A1473" s="17"/>
      <c r="B1473" s="85"/>
      <c r="C1473" s="17"/>
      <c r="D1473" s="85"/>
      <c r="E1473" s="17"/>
      <c r="F1473" s="17"/>
      <c r="G1473" s="17"/>
      <c r="I1473" s="17"/>
      <c r="K1473" s="17"/>
      <c r="L1473" s="17"/>
      <c r="M1473" s="17"/>
      <c r="O1473" s="14">
        <f t="shared" si="1"/>
        <v>0</v>
      </c>
      <c r="P1473" s="86" t="str">
        <f t="array" ref="P1473">iferror(XLOOKUP(C1473,'Download of SFDC Activation Rep'!B:B,'Download of SFDC Activation Rep'!Z:Z),"")</f>
        <v/>
      </c>
      <c r="Q1473" s="86" t="str">
        <f t="shared" si="2"/>
        <v/>
      </c>
      <c r="R1473" s="13" t="str">
        <f t="shared" si="3"/>
        <v>Yes</v>
      </c>
      <c r="S1473" s="86" t="str">
        <f t="array" ref="S1473">iferror(XLOOKUP(C1473,'Download of SFDC Activation Rep'!B:B,'Download of SFDC Activation Rep'!Y:Y),"")</f>
        <v/>
      </c>
    </row>
    <row r="1474">
      <c r="A1474" s="17"/>
      <c r="B1474" s="85"/>
      <c r="C1474" s="17"/>
      <c r="D1474" s="85"/>
      <c r="E1474" s="17"/>
      <c r="F1474" s="17"/>
      <c r="G1474" s="17"/>
      <c r="I1474" s="17"/>
      <c r="K1474" s="17"/>
      <c r="L1474" s="17"/>
      <c r="M1474" s="17"/>
      <c r="O1474" s="14">
        <f t="shared" si="1"/>
        <v>0</v>
      </c>
      <c r="P1474" s="86" t="str">
        <f t="array" ref="P1474">iferror(XLOOKUP(C1474,'Download of SFDC Activation Rep'!B:B,'Download of SFDC Activation Rep'!Z:Z),"")</f>
        <v/>
      </c>
      <c r="Q1474" s="86" t="str">
        <f t="shared" si="2"/>
        <v/>
      </c>
      <c r="R1474" s="13" t="str">
        <f t="shared" si="3"/>
        <v>Yes</v>
      </c>
      <c r="S1474" s="86" t="str">
        <f t="array" ref="S1474">iferror(XLOOKUP(C1474,'Download of SFDC Activation Rep'!B:B,'Download of SFDC Activation Rep'!Y:Y),"")</f>
        <v/>
      </c>
    </row>
    <row r="1475">
      <c r="A1475" s="17"/>
      <c r="B1475" s="85"/>
      <c r="C1475" s="17"/>
      <c r="D1475" s="85"/>
      <c r="E1475" s="17"/>
      <c r="F1475" s="17"/>
      <c r="G1475" s="17"/>
      <c r="I1475" s="17"/>
      <c r="K1475" s="17"/>
      <c r="L1475" s="17"/>
      <c r="M1475" s="17"/>
      <c r="O1475" s="14">
        <f t="shared" si="1"/>
        <v>0</v>
      </c>
      <c r="P1475" s="86" t="str">
        <f t="array" ref="P1475">iferror(XLOOKUP(C1475,'Download of SFDC Activation Rep'!B:B,'Download of SFDC Activation Rep'!Z:Z),"")</f>
        <v/>
      </c>
      <c r="Q1475" s="86" t="str">
        <f t="shared" si="2"/>
        <v/>
      </c>
      <c r="R1475" s="13" t="str">
        <f t="shared" si="3"/>
        <v>Yes</v>
      </c>
      <c r="S1475" s="86" t="str">
        <f t="array" ref="S1475">iferror(XLOOKUP(C1475,'Download of SFDC Activation Rep'!B:B,'Download of SFDC Activation Rep'!Y:Y),"")</f>
        <v/>
      </c>
    </row>
    <row r="1476">
      <c r="A1476" s="17"/>
      <c r="B1476" s="85"/>
      <c r="C1476" s="17"/>
      <c r="D1476" s="85"/>
      <c r="E1476" s="17"/>
      <c r="F1476" s="17"/>
      <c r="G1476" s="17"/>
      <c r="I1476" s="17"/>
      <c r="K1476" s="17"/>
      <c r="L1476" s="17"/>
      <c r="M1476" s="17"/>
      <c r="O1476" s="14">
        <f t="shared" si="1"/>
        <v>0</v>
      </c>
      <c r="P1476" s="86" t="str">
        <f t="array" ref="P1476">iferror(XLOOKUP(C1476,'Download of SFDC Activation Rep'!B:B,'Download of SFDC Activation Rep'!Z:Z),"")</f>
        <v/>
      </c>
      <c r="Q1476" s="86" t="str">
        <f t="shared" si="2"/>
        <v/>
      </c>
      <c r="R1476" s="13" t="str">
        <f t="shared" si="3"/>
        <v>Yes</v>
      </c>
      <c r="S1476" s="86" t="str">
        <f t="array" ref="S1476">iferror(XLOOKUP(C1476,'Download of SFDC Activation Rep'!B:B,'Download of SFDC Activation Rep'!Y:Y),"")</f>
        <v/>
      </c>
    </row>
    <row r="1477">
      <c r="A1477" s="17"/>
      <c r="B1477" s="85"/>
      <c r="C1477" s="17"/>
      <c r="D1477" s="85"/>
      <c r="E1477" s="17"/>
      <c r="F1477" s="17"/>
      <c r="G1477" s="17"/>
      <c r="I1477" s="17"/>
      <c r="K1477" s="17"/>
      <c r="L1477" s="17"/>
      <c r="M1477" s="17"/>
      <c r="O1477" s="14">
        <f t="shared" si="1"/>
        <v>0</v>
      </c>
      <c r="P1477" s="86" t="str">
        <f t="array" ref="P1477">iferror(XLOOKUP(C1477,'Download of SFDC Activation Rep'!B:B,'Download of SFDC Activation Rep'!Z:Z),"")</f>
        <v/>
      </c>
      <c r="Q1477" s="86" t="str">
        <f t="shared" si="2"/>
        <v/>
      </c>
      <c r="R1477" s="13" t="str">
        <f t="shared" si="3"/>
        <v>Yes</v>
      </c>
      <c r="S1477" s="86" t="str">
        <f t="array" ref="S1477">iferror(XLOOKUP(C1477,'Download of SFDC Activation Rep'!B:B,'Download of SFDC Activation Rep'!Y:Y),"")</f>
        <v/>
      </c>
    </row>
    <row r="1478">
      <c r="A1478" s="17"/>
      <c r="B1478" s="85"/>
      <c r="C1478" s="17"/>
      <c r="D1478" s="85"/>
      <c r="E1478" s="17"/>
      <c r="F1478" s="17"/>
      <c r="G1478" s="17"/>
      <c r="I1478" s="17"/>
      <c r="K1478" s="17"/>
      <c r="L1478" s="17"/>
      <c r="M1478" s="17"/>
      <c r="O1478" s="14">
        <f t="shared" si="1"/>
        <v>0</v>
      </c>
      <c r="P1478" s="86" t="str">
        <f t="array" ref="P1478">iferror(XLOOKUP(C1478,'Download of SFDC Activation Rep'!B:B,'Download of SFDC Activation Rep'!Z:Z),"")</f>
        <v/>
      </c>
      <c r="Q1478" s="86" t="str">
        <f t="shared" si="2"/>
        <v/>
      </c>
      <c r="R1478" s="13" t="str">
        <f t="shared" si="3"/>
        <v>Yes</v>
      </c>
      <c r="S1478" s="86" t="str">
        <f t="array" ref="S1478">iferror(XLOOKUP(C1478,'Download of SFDC Activation Rep'!B:B,'Download of SFDC Activation Rep'!Y:Y),"")</f>
        <v/>
      </c>
    </row>
    <row r="1479">
      <c r="A1479" s="17"/>
      <c r="B1479" s="85"/>
      <c r="C1479" s="17"/>
      <c r="D1479" s="85"/>
      <c r="E1479" s="17"/>
      <c r="F1479" s="17"/>
      <c r="G1479" s="17"/>
      <c r="I1479" s="17"/>
      <c r="K1479" s="17"/>
      <c r="L1479" s="17"/>
      <c r="M1479" s="17"/>
      <c r="O1479" s="14">
        <f t="shared" si="1"/>
        <v>0</v>
      </c>
      <c r="P1479" s="86" t="str">
        <f t="array" ref="P1479">iferror(XLOOKUP(C1479,'Download of SFDC Activation Rep'!B:B,'Download of SFDC Activation Rep'!Z:Z),"")</f>
        <v/>
      </c>
      <c r="Q1479" s="86" t="str">
        <f t="shared" si="2"/>
        <v/>
      </c>
      <c r="R1479" s="13" t="str">
        <f t="shared" si="3"/>
        <v>Yes</v>
      </c>
      <c r="S1479" s="86" t="str">
        <f t="array" ref="S1479">iferror(XLOOKUP(C1479,'Download of SFDC Activation Rep'!B:B,'Download of SFDC Activation Rep'!Y:Y),"")</f>
        <v/>
      </c>
    </row>
    <row r="1480">
      <c r="A1480" s="17"/>
      <c r="B1480" s="85"/>
      <c r="C1480" s="17"/>
      <c r="D1480" s="85"/>
      <c r="E1480" s="17"/>
      <c r="F1480" s="17"/>
      <c r="G1480" s="17"/>
      <c r="I1480" s="17"/>
      <c r="K1480" s="17"/>
      <c r="L1480" s="17"/>
      <c r="M1480" s="17"/>
      <c r="O1480" s="14">
        <f t="shared" si="1"/>
        <v>0</v>
      </c>
      <c r="P1480" s="86" t="str">
        <f t="array" ref="P1480">iferror(XLOOKUP(C1480,'Download of SFDC Activation Rep'!B:B,'Download of SFDC Activation Rep'!Z:Z),"")</f>
        <v/>
      </c>
      <c r="Q1480" s="86" t="str">
        <f t="shared" si="2"/>
        <v/>
      </c>
      <c r="R1480" s="13" t="str">
        <f t="shared" si="3"/>
        <v>Yes</v>
      </c>
      <c r="S1480" s="86" t="str">
        <f t="array" ref="S1480">iferror(XLOOKUP(C1480,'Download of SFDC Activation Rep'!B:B,'Download of SFDC Activation Rep'!Y:Y),"")</f>
        <v/>
      </c>
    </row>
    <row r="1481">
      <c r="A1481" s="17"/>
      <c r="B1481" s="85"/>
      <c r="C1481" s="17"/>
      <c r="D1481" s="85"/>
      <c r="E1481" s="17"/>
      <c r="F1481" s="17"/>
      <c r="G1481" s="17"/>
      <c r="I1481" s="17"/>
      <c r="K1481" s="17"/>
      <c r="L1481" s="17"/>
      <c r="M1481" s="17"/>
      <c r="O1481" s="14">
        <f t="shared" si="1"/>
        <v>0</v>
      </c>
      <c r="P1481" s="86" t="str">
        <f t="array" ref="P1481">iferror(XLOOKUP(C1481,'Download of SFDC Activation Rep'!B:B,'Download of SFDC Activation Rep'!Z:Z),"")</f>
        <v/>
      </c>
      <c r="Q1481" s="86" t="str">
        <f t="shared" si="2"/>
        <v/>
      </c>
      <c r="R1481" s="13" t="str">
        <f t="shared" si="3"/>
        <v>Yes</v>
      </c>
      <c r="S1481" s="86" t="str">
        <f t="array" ref="S1481">iferror(XLOOKUP(C1481,'Download of SFDC Activation Rep'!B:B,'Download of SFDC Activation Rep'!Y:Y),"")</f>
        <v/>
      </c>
    </row>
    <row r="1482">
      <c r="A1482" s="17"/>
      <c r="B1482" s="85"/>
      <c r="C1482" s="17"/>
      <c r="D1482" s="85"/>
      <c r="E1482" s="17"/>
      <c r="F1482" s="17"/>
      <c r="G1482" s="17"/>
      <c r="I1482" s="17"/>
      <c r="K1482" s="17"/>
      <c r="L1482" s="17"/>
      <c r="M1482" s="17"/>
      <c r="O1482" s="14">
        <f t="shared" si="1"/>
        <v>0</v>
      </c>
      <c r="P1482" s="86" t="str">
        <f t="array" ref="P1482">iferror(XLOOKUP(C1482,'Download of SFDC Activation Rep'!B:B,'Download of SFDC Activation Rep'!Z:Z),"")</f>
        <v/>
      </c>
      <c r="Q1482" s="86" t="str">
        <f t="shared" si="2"/>
        <v/>
      </c>
      <c r="R1482" s="13" t="str">
        <f t="shared" si="3"/>
        <v>Yes</v>
      </c>
      <c r="S1482" s="86" t="str">
        <f t="array" ref="S1482">iferror(XLOOKUP(C1482,'Download of SFDC Activation Rep'!B:B,'Download of SFDC Activation Rep'!Y:Y),"")</f>
        <v/>
      </c>
    </row>
    <row r="1483">
      <c r="A1483" s="17"/>
      <c r="B1483" s="85"/>
      <c r="C1483" s="17"/>
      <c r="D1483" s="85"/>
      <c r="E1483" s="17"/>
      <c r="F1483" s="17"/>
      <c r="G1483" s="17"/>
      <c r="I1483" s="17"/>
      <c r="K1483" s="17"/>
      <c r="L1483" s="17"/>
      <c r="M1483" s="17"/>
      <c r="O1483" s="14">
        <f t="shared" si="1"/>
        <v>0</v>
      </c>
      <c r="P1483" s="86" t="str">
        <f t="array" ref="P1483">iferror(XLOOKUP(C1483,'Download of SFDC Activation Rep'!B:B,'Download of SFDC Activation Rep'!Z:Z),"")</f>
        <v/>
      </c>
      <c r="Q1483" s="86" t="str">
        <f t="shared" si="2"/>
        <v/>
      </c>
      <c r="R1483" s="13" t="str">
        <f t="shared" si="3"/>
        <v>Yes</v>
      </c>
      <c r="S1483" s="86" t="str">
        <f t="array" ref="S1483">iferror(XLOOKUP(C1483,'Download of SFDC Activation Rep'!B:B,'Download of SFDC Activation Rep'!Y:Y),"")</f>
        <v/>
      </c>
    </row>
    <row r="1484">
      <c r="A1484" s="17"/>
      <c r="B1484" s="85"/>
      <c r="C1484" s="17"/>
      <c r="D1484" s="85"/>
      <c r="E1484" s="17"/>
      <c r="F1484" s="17"/>
      <c r="G1484" s="17"/>
      <c r="I1484" s="17"/>
      <c r="K1484" s="17"/>
      <c r="L1484" s="17"/>
      <c r="M1484" s="17"/>
      <c r="O1484" s="14">
        <f t="shared" si="1"/>
        <v>0</v>
      </c>
      <c r="P1484" s="86" t="str">
        <f t="array" ref="P1484">iferror(XLOOKUP(C1484,'Download of SFDC Activation Rep'!B:B,'Download of SFDC Activation Rep'!Z:Z),"")</f>
        <v/>
      </c>
      <c r="Q1484" s="86" t="str">
        <f t="shared" si="2"/>
        <v/>
      </c>
      <c r="R1484" s="13" t="str">
        <f t="shared" si="3"/>
        <v>Yes</v>
      </c>
      <c r="S1484" s="86" t="str">
        <f t="array" ref="S1484">iferror(XLOOKUP(C1484,'Download of SFDC Activation Rep'!B:B,'Download of SFDC Activation Rep'!Y:Y),"")</f>
        <v/>
      </c>
    </row>
    <row r="1485">
      <c r="A1485" s="17"/>
      <c r="B1485" s="85"/>
      <c r="C1485" s="17"/>
      <c r="D1485" s="85"/>
      <c r="E1485" s="17"/>
      <c r="F1485" s="17"/>
      <c r="G1485" s="17"/>
      <c r="I1485" s="17"/>
      <c r="K1485" s="17"/>
      <c r="L1485" s="17"/>
      <c r="M1485" s="17"/>
      <c r="O1485" s="14">
        <f t="shared" si="1"/>
        <v>0</v>
      </c>
      <c r="P1485" s="86" t="str">
        <f t="array" ref="P1485">iferror(XLOOKUP(C1485,'Download of SFDC Activation Rep'!B:B,'Download of SFDC Activation Rep'!Z:Z),"")</f>
        <v/>
      </c>
      <c r="Q1485" s="86" t="str">
        <f t="shared" si="2"/>
        <v/>
      </c>
      <c r="R1485" s="13" t="str">
        <f t="shared" si="3"/>
        <v>Yes</v>
      </c>
      <c r="S1485" s="86" t="str">
        <f t="array" ref="S1485">iferror(XLOOKUP(C1485,'Download of SFDC Activation Rep'!B:B,'Download of SFDC Activation Rep'!Y:Y),"")</f>
        <v/>
      </c>
    </row>
    <row r="1486">
      <c r="A1486" s="17"/>
      <c r="B1486" s="85"/>
      <c r="C1486" s="17"/>
      <c r="D1486" s="85"/>
      <c r="E1486" s="17"/>
      <c r="F1486" s="17"/>
      <c r="G1486" s="17"/>
      <c r="I1486" s="17"/>
      <c r="K1486" s="17"/>
      <c r="L1486" s="17"/>
      <c r="M1486" s="17"/>
      <c r="O1486" s="14">
        <f t="shared" si="1"/>
        <v>0</v>
      </c>
      <c r="P1486" s="86" t="str">
        <f t="array" ref="P1486">iferror(XLOOKUP(C1486,'Download of SFDC Activation Rep'!B:B,'Download of SFDC Activation Rep'!Z:Z),"")</f>
        <v/>
      </c>
      <c r="Q1486" s="86" t="str">
        <f t="shared" si="2"/>
        <v/>
      </c>
      <c r="R1486" s="13" t="str">
        <f t="shared" si="3"/>
        <v>Yes</v>
      </c>
      <c r="S1486" s="86" t="str">
        <f t="array" ref="S1486">iferror(XLOOKUP(C1486,'Download of SFDC Activation Rep'!B:B,'Download of SFDC Activation Rep'!Y:Y),"")</f>
        <v/>
      </c>
    </row>
    <row r="1487">
      <c r="A1487" s="17"/>
      <c r="B1487" s="85"/>
      <c r="C1487" s="17"/>
      <c r="D1487" s="85"/>
      <c r="E1487" s="17"/>
      <c r="F1487" s="17"/>
      <c r="G1487" s="17"/>
      <c r="I1487" s="17"/>
      <c r="K1487" s="17"/>
      <c r="L1487" s="17"/>
      <c r="M1487" s="17"/>
      <c r="O1487" s="14">
        <f t="shared" si="1"/>
        <v>0</v>
      </c>
      <c r="P1487" s="86" t="str">
        <f t="array" ref="P1487">iferror(XLOOKUP(C1487,'Download of SFDC Activation Rep'!B:B,'Download of SFDC Activation Rep'!Z:Z),"")</f>
        <v/>
      </c>
      <c r="Q1487" s="86" t="str">
        <f t="shared" si="2"/>
        <v/>
      </c>
      <c r="R1487" s="13" t="str">
        <f t="shared" si="3"/>
        <v>Yes</v>
      </c>
      <c r="S1487" s="86" t="str">
        <f t="array" ref="S1487">iferror(XLOOKUP(C1487,'Download of SFDC Activation Rep'!B:B,'Download of SFDC Activation Rep'!Y:Y),"")</f>
        <v/>
      </c>
    </row>
    <row r="1488">
      <c r="A1488" s="17"/>
      <c r="B1488" s="85"/>
      <c r="C1488" s="17"/>
      <c r="D1488" s="85"/>
      <c r="E1488" s="17"/>
      <c r="F1488" s="17"/>
      <c r="G1488" s="17"/>
      <c r="I1488" s="17"/>
      <c r="K1488" s="17"/>
      <c r="L1488" s="17"/>
      <c r="M1488" s="17"/>
      <c r="O1488" s="14">
        <f t="shared" si="1"/>
        <v>0</v>
      </c>
      <c r="P1488" s="86" t="str">
        <f t="array" ref="P1488">iferror(XLOOKUP(C1488,'Download of SFDC Activation Rep'!B:B,'Download of SFDC Activation Rep'!Z:Z),"")</f>
        <v/>
      </c>
      <c r="Q1488" s="86" t="str">
        <f t="shared" si="2"/>
        <v/>
      </c>
      <c r="R1488" s="13" t="str">
        <f t="shared" si="3"/>
        <v>Yes</v>
      </c>
      <c r="S1488" s="86" t="str">
        <f t="array" ref="S1488">iferror(XLOOKUP(C1488,'Download of SFDC Activation Rep'!B:B,'Download of SFDC Activation Rep'!Y:Y),"")</f>
        <v/>
      </c>
    </row>
    <row r="1489">
      <c r="A1489" s="17"/>
      <c r="B1489" s="85"/>
      <c r="C1489" s="17"/>
      <c r="D1489" s="85"/>
      <c r="E1489" s="17"/>
      <c r="F1489" s="17"/>
      <c r="G1489" s="17"/>
      <c r="I1489" s="17"/>
      <c r="K1489" s="17"/>
      <c r="L1489" s="17"/>
      <c r="M1489" s="17"/>
      <c r="O1489" s="14">
        <f t="shared" si="1"/>
        <v>0</v>
      </c>
      <c r="P1489" s="86" t="str">
        <f t="array" ref="P1489">iferror(XLOOKUP(C1489,'Download of SFDC Activation Rep'!B:B,'Download of SFDC Activation Rep'!Z:Z),"")</f>
        <v/>
      </c>
      <c r="Q1489" s="86" t="str">
        <f t="shared" si="2"/>
        <v/>
      </c>
      <c r="R1489" s="13" t="str">
        <f t="shared" si="3"/>
        <v>Yes</v>
      </c>
      <c r="S1489" s="86" t="str">
        <f t="array" ref="S1489">iferror(XLOOKUP(C1489,'Download of SFDC Activation Rep'!B:B,'Download of SFDC Activation Rep'!Y:Y),"")</f>
        <v/>
      </c>
    </row>
    <row r="1490">
      <c r="A1490" s="17"/>
      <c r="B1490" s="85"/>
      <c r="C1490" s="17"/>
      <c r="D1490" s="85"/>
      <c r="E1490" s="17"/>
      <c r="F1490" s="17"/>
      <c r="G1490" s="17"/>
      <c r="I1490" s="17"/>
      <c r="K1490" s="17"/>
      <c r="L1490" s="17"/>
      <c r="M1490" s="17"/>
      <c r="O1490" s="14">
        <f t="shared" si="1"/>
        <v>0</v>
      </c>
      <c r="P1490" s="86" t="str">
        <f t="array" ref="P1490">iferror(XLOOKUP(C1490,'Download of SFDC Activation Rep'!B:B,'Download of SFDC Activation Rep'!Z:Z),"")</f>
        <v/>
      </c>
      <c r="Q1490" s="86" t="str">
        <f t="shared" si="2"/>
        <v/>
      </c>
      <c r="R1490" s="13" t="str">
        <f t="shared" si="3"/>
        <v>Yes</v>
      </c>
      <c r="S1490" s="86" t="str">
        <f t="array" ref="S1490">iferror(XLOOKUP(C1490,'Download of SFDC Activation Rep'!B:B,'Download of SFDC Activation Rep'!Y:Y),"")</f>
        <v/>
      </c>
    </row>
    <row r="1491">
      <c r="A1491" s="17"/>
      <c r="B1491" s="85"/>
      <c r="C1491" s="17"/>
      <c r="D1491" s="85"/>
      <c r="E1491" s="17"/>
      <c r="F1491" s="17"/>
      <c r="G1491" s="17"/>
      <c r="I1491" s="17"/>
      <c r="K1491" s="17"/>
      <c r="L1491" s="17"/>
      <c r="M1491" s="17"/>
      <c r="O1491" s="14">
        <f t="shared" si="1"/>
        <v>0</v>
      </c>
      <c r="P1491" s="86" t="str">
        <f t="array" ref="P1491">iferror(XLOOKUP(C1491,'Download of SFDC Activation Rep'!B:B,'Download of SFDC Activation Rep'!Z:Z),"")</f>
        <v/>
      </c>
      <c r="Q1491" s="86" t="str">
        <f t="shared" si="2"/>
        <v/>
      </c>
      <c r="R1491" s="13" t="str">
        <f t="shared" si="3"/>
        <v>Yes</v>
      </c>
      <c r="S1491" s="86" t="str">
        <f t="array" ref="S1491">iferror(XLOOKUP(C1491,'Download of SFDC Activation Rep'!B:B,'Download of SFDC Activation Rep'!Y:Y),"")</f>
        <v/>
      </c>
    </row>
    <row r="1492">
      <c r="A1492" s="17"/>
      <c r="B1492" s="85"/>
      <c r="C1492" s="17"/>
      <c r="D1492" s="85"/>
      <c r="E1492" s="17"/>
      <c r="F1492" s="17"/>
      <c r="G1492" s="17"/>
      <c r="I1492" s="17"/>
      <c r="K1492" s="17"/>
      <c r="L1492" s="17"/>
      <c r="M1492" s="17"/>
      <c r="O1492" s="14">
        <f t="shared" si="1"/>
        <v>0</v>
      </c>
      <c r="P1492" s="86" t="str">
        <f t="array" ref="P1492">iferror(XLOOKUP(C1492,'Download of SFDC Activation Rep'!B:B,'Download of SFDC Activation Rep'!Z:Z),"")</f>
        <v/>
      </c>
      <c r="Q1492" s="86" t="str">
        <f t="shared" si="2"/>
        <v/>
      </c>
      <c r="R1492" s="13" t="str">
        <f t="shared" si="3"/>
        <v>Yes</v>
      </c>
      <c r="S1492" s="86" t="str">
        <f t="array" ref="S1492">iferror(XLOOKUP(C1492,'Download of SFDC Activation Rep'!B:B,'Download of SFDC Activation Rep'!Y:Y),"")</f>
        <v/>
      </c>
    </row>
    <row r="1493">
      <c r="A1493" s="17"/>
      <c r="B1493" s="85"/>
      <c r="C1493" s="17"/>
      <c r="D1493" s="85"/>
      <c r="E1493" s="17"/>
      <c r="F1493" s="17"/>
      <c r="G1493" s="17"/>
      <c r="I1493" s="17"/>
      <c r="K1493" s="17"/>
      <c r="L1493" s="17"/>
      <c r="M1493" s="17"/>
      <c r="O1493" s="14">
        <f t="shared" si="1"/>
        <v>0</v>
      </c>
      <c r="P1493" s="86" t="str">
        <f t="array" ref="P1493">iferror(XLOOKUP(C1493,'Download of SFDC Activation Rep'!B:B,'Download of SFDC Activation Rep'!Z:Z),"")</f>
        <v/>
      </c>
      <c r="Q1493" s="86" t="str">
        <f t="shared" si="2"/>
        <v/>
      </c>
      <c r="R1493" s="13" t="str">
        <f t="shared" si="3"/>
        <v>Yes</v>
      </c>
      <c r="S1493" s="86" t="str">
        <f t="array" ref="S1493">iferror(XLOOKUP(C1493,'Download of SFDC Activation Rep'!B:B,'Download of SFDC Activation Rep'!Y:Y),"")</f>
        <v/>
      </c>
    </row>
    <row r="1494">
      <c r="A1494" s="17"/>
      <c r="B1494" s="85"/>
      <c r="C1494" s="17"/>
      <c r="D1494" s="85"/>
      <c r="E1494" s="17"/>
      <c r="F1494" s="17"/>
      <c r="G1494" s="17"/>
      <c r="I1494" s="17"/>
      <c r="K1494" s="17"/>
      <c r="L1494" s="17"/>
      <c r="M1494" s="17"/>
      <c r="O1494" s="14">
        <f t="shared" si="1"/>
        <v>0</v>
      </c>
      <c r="P1494" s="86" t="str">
        <f t="array" ref="P1494">iferror(XLOOKUP(C1494,'Download of SFDC Activation Rep'!B:B,'Download of SFDC Activation Rep'!Z:Z),"")</f>
        <v/>
      </c>
      <c r="Q1494" s="86" t="str">
        <f t="shared" si="2"/>
        <v/>
      </c>
      <c r="R1494" s="13" t="str">
        <f t="shared" si="3"/>
        <v>Yes</v>
      </c>
      <c r="S1494" s="86" t="str">
        <f t="array" ref="S1494">iferror(XLOOKUP(C1494,'Download of SFDC Activation Rep'!B:B,'Download of SFDC Activation Rep'!Y:Y),"")</f>
        <v/>
      </c>
    </row>
    <row r="1495">
      <c r="A1495" s="17"/>
      <c r="B1495" s="85"/>
      <c r="C1495" s="17"/>
      <c r="D1495" s="85"/>
      <c r="E1495" s="17"/>
      <c r="F1495" s="17"/>
      <c r="G1495" s="17"/>
      <c r="I1495" s="17"/>
      <c r="K1495" s="17"/>
      <c r="L1495" s="17"/>
      <c r="M1495" s="17"/>
      <c r="O1495" s="14">
        <f t="shared" si="1"/>
        <v>0</v>
      </c>
      <c r="P1495" s="86" t="str">
        <f t="array" ref="P1495">iferror(XLOOKUP(C1495,'Download of SFDC Activation Rep'!B:B,'Download of SFDC Activation Rep'!Z:Z),"")</f>
        <v/>
      </c>
      <c r="Q1495" s="86" t="str">
        <f t="shared" si="2"/>
        <v/>
      </c>
      <c r="R1495" s="13" t="str">
        <f t="shared" si="3"/>
        <v>Yes</v>
      </c>
      <c r="S1495" s="86" t="str">
        <f t="array" ref="S1495">iferror(XLOOKUP(C1495,'Download of SFDC Activation Rep'!B:B,'Download of SFDC Activation Rep'!Y:Y),"")</f>
        <v/>
      </c>
    </row>
    <row r="1496">
      <c r="A1496" s="17"/>
      <c r="B1496" s="85"/>
      <c r="C1496" s="17"/>
      <c r="D1496" s="85"/>
      <c r="E1496" s="17"/>
      <c r="F1496" s="17"/>
      <c r="G1496" s="17"/>
      <c r="I1496" s="17"/>
      <c r="K1496" s="17"/>
      <c r="L1496" s="17"/>
      <c r="M1496" s="17"/>
      <c r="O1496" s="14">
        <f t="shared" si="1"/>
        <v>0</v>
      </c>
      <c r="P1496" s="86" t="str">
        <f t="array" ref="P1496">iferror(XLOOKUP(C1496,'Download of SFDC Activation Rep'!B:B,'Download of SFDC Activation Rep'!Z:Z),"")</f>
        <v/>
      </c>
      <c r="Q1496" s="86" t="str">
        <f t="shared" si="2"/>
        <v/>
      </c>
      <c r="R1496" s="13" t="str">
        <f t="shared" si="3"/>
        <v>Yes</v>
      </c>
      <c r="S1496" s="86" t="str">
        <f t="array" ref="S1496">iferror(XLOOKUP(C1496,'Download of SFDC Activation Rep'!B:B,'Download of SFDC Activation Rep'!Y:Y),"")</f>
        <v/>
      </c>
    </row>
    <row r="1497">
      <c r="A1497" s="17"/>
      <c r="B1497" s="85"/>
      <c r="C1497" s="17"/>
      <c r="D1497" s="85"/>
      <c r="E1497" s="17"/>
      <c r="F1497" s="17"/>
      <c r="G1497" s="17"/>
      <c r="I1497" s="17"/>
      <c r="K1497" s="17"/>
      <c r="L1497" s="17"/>
      <c r="M1497" s="17"/>
      <c r="O1497" s="14">
        <f t="shared" si="1"/>
        <v>0</v>
      </c>
      <c r="P1497" s="86" t="str">
        <f t="array" ref="P1497">iferror(XLOOKUP(C1497,'Download of SFDC Activation Rep'!B:B,'Download of SFDC Activation Rep'!Z:Z),"")</f>
        <v/>
      </c>
      <c r="Q1497" s="86" t="str">
        <f t="shared" si="2"/>
        <v/>
      </c>
      <c r="R1497" s="13" t="str">
        <f t="shared" si="3"/>
        <v>Yes</v>
      </c>
      <c r="S1497" s="86" t="str">
        <f t="array" ref="S1497">iferror(XLOOKUP(C1497,'Download of SFDC Activation Rep'!B:B,'Download of SFDC Activation Rep'!Y:Y),"")</f>
        <v/>
      </c>
    </row>
    <row r="1498">
      <c r="A1498" s="17"/>
      <c r="B1498" s="85"/>
      <c r="C1498" s="17"/>
      <c r="D1498" s="85"/>
      <c r="E1498" s="17"/>
      <c r="F1498" s="17"/>
      <c r="G1498" s="17"/>
      <c r="I1498" s="17"/>
      <c r="K1498" s="17"/>
      <c r="L1498" s="17"/>
      <c r="M1498" s="17"/>
      <c r="O1498" s="14">
        <f t="shared" si="1"/>
        <v>0</v>
      </c>
      <c r="P1498" s="86" t="str">
        <f t="array" ref="P1498">iferror(XLOOKUP(C1498,'Download of SFDC Activation Rep'!B:B,'Download of SFDC Activation Rep'!Z:Z),"")</f>
        <v/>
      </c>
      <c r="Q1498" s="86" t="str">
        <f t="shared" si="2"/>
        <v/>
      </c>
      <c r="R1498" s="13" t="str">
        <f t="shared" si="3"/>
        <v>Yes</v>
      </c>
      <c r="S1498" s="86" t="str">
        <f t="array" ref="S1498">iferror(XLOOKUP(C1498,'Download of SFDC Activation Rep'!B:B,'Download of SFDC Activation Rep'!Y:Y),"")</f>
        <v/>
      </c>
    </row>
    <row r="1499">
      <c r="A1499" s="17"/>
      <c r="B1499" s="85"/>
      <c r="C1499" s="17"/>
      <c r="D1499" s="85"/>
      <c r="E1499" s="17"/>
      <c r="F1499" s="17"/>
      <c r="G1499" s="17"/>
      <c r="I1499" s="17"/>
      <c r="K1499" s="17"/>
      <c r="L1499" s="17"/>
      <c r="M1499" s="17"/>
      <c r="O1499" s="14">
        <f t="shared" si="1"/>
        <v>0</v>
      </c>
      <c r="P1499" s="86" t="str">
        <f t="array" ref="P1499">iferror(XLOOKUP(C1499,'Download of SFDC Activation Rep'!B:B,'Download of SFDC Activation Rep'!Z:Z),"")</f>
        <v/>
      </c>
      <c r="Q1499" s="86" t="str">
        <f t="shared" si="2"/>
        <v/>
      </c>
      <c r="R1499" s="13" t="str">
        <f t="shared" si="3"/>
        <v>Yes</v>
      </c>
      <c r="S1499" s="86" t="str">
        <f t="array" ref="S1499">iferror(XLOOKUP(C1499,'Download of SFDC Activation Rep'!B:B,'Download of SFDC Activation Rep'!Y:Y),"")</f>
        <v/>
      </c>
    </row>
    <row r="1500">
      <c r="A1500" s="17"/>
      <c r="B1500" s="85"/>
      <c r="C1500" s="17"/>
      <c r="D1500" s="85"/>
      <c r="E1500" s="17"/>
      <c r="F1500" s="17"/>
      <c r="G1500" s="17"/>
      <c r="I1500" s="17"/>
      <c r="K1500" s="17"/>
      <c r="L1500" s="17"/>
      <c r="M1500" s="17"/>
      <c r="O1500" s="14">
        <f t="shared" si="1"/>
        <v>0</v>
      </c>
      <c r="P1500" s="86" t="str">
        <f t="array" ref="P1500">iferror(XLOOKUP(C1500,'Download of SFDC Activation Rep'!B:B,'Download of SFDC Activation Rep'!Z:Z),"")</f>
        <v/>
      </c>
      <c r="Q1500" s="86" t="str">
        <f t="shared" si="2"/>
        <v/>
      </c>
      <c r="R1500" s="13" t="str">
        <f t="shared" si="3"/>
        <v>Yes</v>
      </c>
      <c r="S1500" s="86" t="str">
        <f t="array" ref="S1500">iferror(XLOOKUP(C1500,'Download of SFDC Activation Rep'!B:B,'Download of SFDC Activation Rep'!Y:Y),"")</f>
        <v/>
      </c>
    </row>
    <row r="1501">
      <c r="A1501" s="17"/>
      <c r="B1501" s="85"/>
      <c r="C1501" s="17"/>
      <c r="D1501" s="85"/>
      <c r="E1501" s="17"/>
      <c r="F1501" s="17"/>
      <c r="G1501" s="17"/>
      <c r="I1501" s="17"/>
      <c r="K1501" s="17"/>
      <c r="L1501" s="17"/>
      <c r="M1501" s="17"/>
      <c r="O1501" s="14">
        <f t="shared" si="1"/>
        <v>0</v>
      </c>
      <c r="P1501" s="86" t="str">
        <f t="array" ref="P1501">iferror(XLOOKUP(C1501,'Download of SFDC Activation Rep'!B:B,'Download of SFDC Activation Rep'!Z:Z),"")</f>
        <v/>
      </c>
      <c r="Q1501" s="86" t="str">
        <f t="shared" si="2"/>
        <v/>
      </c>
      <c r="R1501" s="13" t="str">
        <f t="shared" si="3"/>
        <v>Yes</v>
      </c>
      <c r="S1501" s="86" t="str">
        <f t="array" ref="S1501">iferror(XLOOKUP(C1501,'Download of SFDC Activation Rep'!B:B,'Download of SFDC Activation Rep'!Y:Y),"")</f>
        <v/>
      </c>
    </row>
    <row r="1502">
      <c r="A1502" s="17"/>
      <c r="B1502" s="85"/>
      <c r="C1502" s="17"/>
      <c r="D1502" s="85"/>
      <c r="E1502" s="17"/>
      <c r="F1502" s="17"/>
      <c r="G1502" s="17"/>
      <c r="I1502" s="17"/>
      <c r="K1502" s="17"/>
      <c r="L1502" s="17"/>
      <c r="M1502" s="17"/>
      <c r="O1502" s="14">
        <f t="shared" si="1"/>
        <v>0</v>
      </c>
      <c r="P1502" s="86" t="str">
        <f t="array" ref="P1502">iferror(XLOOKUP(C1502,'Download of SFDC Activation Rep'!B:B,'Download of SFDC Activation Rep'!Z:Z),"")</f>
        <v/>
      </c>
      <c r="Q1502" s="86" t="str">
        <f t="shared" si="2"/>
        <v/>
      </c>
      <c r="R1502" s="13" t="str">
        <f t="shared" si="3"/>
        <v>Yes</v>
      </c>
      <c r="S1502" s="86" t="str">
        <f t="array" ref="S1502">iferror(XLOOKUP(C1502,'Download of SFDC Activation Rep'!B:B,'Download of SFDC Activation Rep'!Y:Y),"")</f>
        <v/>
      </c>
    </row>
    <row r="1503">
      <c r="A1503" s="17"/>
      <c r="B1503" s="85"/>
      <c r="C1503" s="17"/>
      <c r="D1503" s="85"/>
      <c r="E1503" s="17"/>
      <c r="F1503" s="17"/>
      <c r="G1503" s="17"/>
      <c r="I1503" s="17"/>
      <c r="K1503" s="17"/>
      <c r="L1503" s="17"/>
      <c r="M1503" s="17"/>
      <c r="O1503" s="14">
        <f t="shared" si="1"/>
        <v>0</v>
      </c>
      <c r="P1503" s="86" t="str">
        <f t="array" ref="P1503">iferror(XLOOKUP(C1503,'Download of SFDC Activation Rep'!B:B,'Download of SFDC Activation Rep'!Z:Z),"")</f>
        <v/>
      </c>
      <c r="Q1503" s="86" t="str">
        <f t="shared" si="2"/>
        <v/>
      </c>
      <c r="R1503" s="13" t="str">
        <f t="shared" si="3"/>
        <v>Yes</v>
      </c>
      <c r="S1503" s="86" t="str">
        <f t="array" ref="S1503">iferror(XLOOKUP(C1503,'Download of SFDC Activation Rep'!B:B,'Download of SFDC Activation Rep'!Y:Y),"")</f>
        <v/>
      </c>
    </row>
    <row r="1504">
      <c r="A1504" s="17"/>
      <c r="B1504" s="85"/>
      <c r="C1504" s="17"/>
      <c r="D1504" s="85"/>
      <c r="E1504" s="17"/>
      <c r="F1504" s="17"/>
      <c r="G1504" s="17"/>
      <c r="I1504" s="17"/>
      <c r="K1504" s="17"/>
      <c r="L1504" s="17"/>
      <c r="M1504" s="17"/>
      <c r="O1504" s="14">
        <f t="shared" si="1"/>
        <v>0</v>
      </c>
      <c r="P1504" s="86" t="str">
        <f t="array" ref="P1504">iferror(XLOOKUP(C1504,'Download of SFDC Activation Rep'!B:B,'Download of SFDC Activation Rep'!Z:Z),"")</f>
        <v/>
      </c>
      <c r="Q1504" s="86" t="str">
        <f t="shared" si="2"/>
        <v/>
      </c>
      <c r="R1504" s="13" t="str">
        <f t="shared" si="3"/>
        <v>Yes</v>
      </c>
      <c r="S1504" s="86" t="str">
        <f t="array" ref="S1504">iferror(XLOOKUP(C1504,'Download of SFDC Activation Rep'!B:B,'Download of SFDC Activation Rep'!Y:Y),"")</f>
        <v/>
      </c>
    </row>
    <row r="1505">
      <c r="A1505" s="17"/>
      <c r="B1505" s="85"/>
      <c r="C1505" s="17"/>
      <c r="D1505" s="85"/>
      <c r="E1505" s="17"/>
      <c r="F1505" s="17"/>
      <c r="G1505" s="17"/>
      <c r="I1505" s="17"/>
      <c r="K1505" s="17"/>
      <c r="L1505" s="17"/>
      <c r="M1505" s="17"/>
      <c r="O1505" s="14">
        <f t="shared" si="1"/>
        <v>0</v>
      </c>
      <c r="P1505" s="86" t="str">
        <f t="array" ref="P1505">iferror(XLOOKUP(C1505,'Download of SFDC Activation Rep'!B:B,'Download of SFDC Activation Rep'!Z:Z),"")</f>
        <v/>
      </c>
      <c r="Q1505" s="86" t="str">
        <f t="shared" si="2"/>
        <v/>
      </c>
      <c r="R1505" s="13" t="str">
        <f t="shared" si="3"/>
        <v>Yes</v>
      </c>
      <c r="S1505" s="86" t="str">
        <f t="array" ref="S1505">iferror(XLOOKUP(C1505,'Download of SFDC Activation Rep'!B:B,'Download of SFDC Activation Rep'!Y:Y),"")</f>
        <v/>
      </c>
    </row>
    <row r="1506">
      <c r="A1506" s="17"/>
      <c r="B1506" s="85"/>
      <c r="C1506" s="17"/>
      <c r="D1506" s="85"/>
      <c r="E1506" s="17"/>
      <c r="F1506" s="17"/>
      <c r="G1506" s="17"/>
      <c r="I1506" s="17"/>
      <c r="K1506" s="17"/>
      <c r="L1506" s="17"/>
      <c r="M1506" s="17"/>
      <c r="O1506" s="14">
        <f t="shared" si="1"/>
        <v>0</v>
      </c>
      <c r="P1506" s="86" t="str">
        <f t="array" ref="P1506">iferror(XLOOKUP(C1506,'Download of SFDC Activation Rep'!B:B,'Download of SFDC Activation Rep'!Z:Z),"")</f>
        <v/>
      </c>
      <c r="Q1506" s="86" t="str">
        <f t="shared" si="2"/>
        <v/>
      </c>
      <c r="R1506" s="13" t="str">
        <f t="shared" si="3"/>
        <v>Yes</v>
      </c>
      <c r="S1506" s="86" t="str">
        <f t="array" ref="S1506">iferror(XLOOKUP(C1506,'Download of SFDC Activation Rep'!B:B,'Download of SFDC Activation Rep'!Y:Y),"")</f>
        <v/>
      </c>
    </row>
    <row r="1507">
      <c r="A1507" s="17"/>
      <c r="B1507" s="85"/>
      <c r="C1507" s="17"/>
      <c r="D1507" s="85"/>
      <c r="E1507" s="17"/>
      <c r="F1507" s="17"/>
      <c r="G1507" s="17"/>
      <c r="I1507" s="17"/>
      <c r="K1507" s="17"/>
      <c r="L1507" s="17"/>
      <c r="M1507" s="17"/>
      <c r="O1507" s="14">
        <f t="shared" si="1"/>
        <v>0</v>
      </c>
      <c r="P1507" s="86" t="str">
        <f t="array" ref="P1507">iferror(XLOOKUP(C1507,'Download of SFDC Activation Rep'!B:B,'Download of SFDC Activation Rep'!Z:Z),"")</f>
        <v/>
      </c>
      <c r="Q1507" s="86" t="str">
        <f t="shared" si="2"/>
        <v/>
      </c>
      <c r="R1507" s="13" t="str">
        <f t="shared" si="3"/>
        <v>Yes</v>
      </c>
      <c r="S1507" s="86" t="str">
        <f t="array" ref="S1507">iferror(XLOOKUP(C1507,'Download of SFDC Activation Rep'!B:B,'Download of SFDC Activation Rep'!Y:Y),"")</f>
        <v/>
      </c>
    </row>
    <row r="1508">
      <c r="A1508" s="17"/>
      <c r="B1508" s="85"/>
      <c r="C1508" s="17"/>
      <c r="D1508" s="85"/>
      <c r="E1508" s="17"/>
      <c r="F1508" s="17"/>
      <c r="G1508" s="17"/>
      <c r="I1508" s="17"/>
      <c r="K1508" s="17"/>
      <c r="L1508" s="17"/>
      <c r="M1508" s="17"/>
      <c r="O1508" s="14">
        <f t="shared" si="1"/>
        <v>0</v>
      </c>
      <c r="P1508" s="86" t="str">
        <f t="array" ref="P1508">iferror(XLOOKUP(C1508,'Download of SFDC Activation Rep'!B:B,'Download of SFDC Activation Rep'!Z:Z),"")</f>
        <v/>
      </c>
      <c r="Q1508" s="86" t="str">
        <f t="shared" si="2"/>
        <v/>
      </c>
      <c r="R1508" s="13" t="str">
        <f t="shared" si="3"/>
        <v>Yes</v>
      </c>
      <c r="S1508" s="86" t="str">
        <f t="array" ref="S1508">iferror(XLOOKUP(C1508,'Download of SFDC Activation Rep'!B:B,'Download of SFDC Activation Rep'!Y:Y),"")</f>
        <v/>
      </c>
    </row>
    <row r="1509">
      <c r="A1509" s="17"/>
      <c r="B1509" s="85"/>
      <c r="C1509" s="17"/>
      <c r="D1509" s="85"/>
      <c r="E1509" s="17"/>
      <c r="F1509" s="17"/>
      <c r="G1509" s="17"/>
      <c r="I1509" s="17"/>
      <c r="K1509" s="17"/>
      <c r="L1509" s="17"/>
      <c r="M1509" s="17"/>
      <c r="O1509" s="14">
        <f t="shared" si="1"/>
        <v>0</v>
      </c>
      <c r="P1509" s="86" t="str">
        <f t="array" ref="P1509">iferror(XLOOKUP(C1509,'Download of SFDC Activation Rep'!B:B,'Download of SFDC Activation Rep'!Z:Z),"")</f>
        <v/>
      </c>
      <c r="Q1509" s="86" t="str">
        <f t="shared" si="2"/>
        <v/>
      </c>
      <c r="R1509" s="13" t="str">
        <f t="shared" si="3"/>
        <v>Yes</v>
      </c>
      <c r="S1509" s="86" t="str">
        <f t="array" ref="S1509">iferror(XLOOKUP(C1509,'Download of SFDC Activation Rep'!B:B,'Download of SFDC Activation Rep'!Y:Y),"")</f>
        <v/>
      </c>
    </row>
    <row r="1510">
      <c r="A1510" s="17"/>
      <c r="B1510" s="85"/>
      <c r="C1510" s="17"/>
      <c r="D1510" s="85"/>
      <c r="E1510" s="17"/>
      <c r="F1510" s="17"/>
      <c r="G1510" s="17"/>
      <c r="I1510" s="17"/>
      <c r="K1510" s="17"/>
      <c r="L1510" s="17"/>
      <c r="M1510" s="17"/>
      <c r="O1510" s="14">
        <f t="shared" si="1"/>
        <v>0</v>
      </c>
      <c r="P1510" s="86" t="str">
        <f t="array" ref="P1510">iferror(XLOOKUP(C1510,'Download of SFDC Activation Rep'!B:B,'Download of SFDC Activation Rep'!Z:Z),"")</f>
        <v/>
      </c>
      <c r="Q1510" s="86" t="str">
        <f t="shared" si="2"/>
        <v/>
      </c>
      <c r="R1510" s="13" t="str">
        <f t="shared" si="3"/>
        <v>Yes</v>
      </c>
      <c r="S1510" s="86" t="str">
        <f t="array" ref="S1510">iferror(XLOOKUP(C1510,'Download of SFDC Activation Rep'!B:B,'Download of SFDC Activation Rep'!Y:Y),"")</f>
        <v/>
      </c>
    </row>
    <row r="1511">
      <c r="A1511" s="17"/>
      <c r="B1511" s="85"/>
      <c r="C1511" s="17"/>
      <c r="D1511" s="85"/>
      <c r="E1511" s="17"/>
      <c r="F1511" s="17"/>
      <c r="G1511" s="17"/>
      <c r="I1511" s="17"/>
      <c r="K1511" s="17"/>
      <c r="L1511" s="17"/>
      <c r="M1511" s="17"/>
      <c r="O1511" s="14">
        <f t="shared" si="1"/>
        <v>0</v>
      </c>
      <c r="P1511" s="86" t="str">
        <f t="array" ref="P1511">iferror(XLOOKUP(C1511,'Download of SFDC Activation Rep'!B:B,'Download of SFDC Activation Rep'!Z:Z),"")</f>
        <v/>
      </c>
      <c r="Q1511" s="86" t="str">
        <f t="shared" si="2"/>
        <v/>
      </c>
      <c r="R1511" s="13" t="str">
        <f t="shared" si="3"/>
        <v>Yes</v>
      </c>
      <c r="S1511" s="86" t="str">
        <f t="array" ref="S1511">iferror(XLOOKUP(C1511,'Download of SFDC Activation Rep'!B:B,'Download of SFDC Activation Rep'!Y:Y),"")</f>
        <v/>
      </c>
    </row>
    <row r="1512">
      <c r="A1512" s="17"/>
      <c r="B1512" s="85"/>
      <c r="C1512" s="17"/>
      <c r="D1512" s="85"/>
      <c r="E1512" s="17"/>
      <c r="F1512" s="17"/>
      <c r="G1512" s="17"/>
      <c r="I1512" s="17"/>
      <c r="K1512" s="17"/>
      <c r="L1512" s="17"/>
      <c r="M1512" s="17"/>
      <c r="O1512" s="14">
        <f t="shared" si="1"/>
        <v>0</v>
      </c>
      <c r="P1512" s="86" t="str">
        <f t="array" ref="P1512">iferror(XLOOKUP(C1512,'Download of SFDC Activation Rep'!B:B,'Download of SFDC Activation Rep'!Z:Z),"")</f>
        <v/>
      </c>
      <c r="Q1512" s="86" t="str">
        <f t="shared" si="2"/>
        <v/>
      </c>
      <c r="R1512" s="13" t="str">
        <f t="shared" si="3"/>
        <v>Yes</v>
      </c>
      <c r="S1512" s="86" t="str">
        <f t="array" ref="S1512">iferror(XLOOKUP(C1512,'Download of SFDC Activation Rep'!B:B,'Download of SFDC Activation Rep'!Y:Y),"")</f>
        <v/>
      </c>
    </row>
    <row r="1513">
      <c r="A1513" s="17"/>
      <c r="B1513" s="85"/>
      <c r="C1513" s="17"/>
      <c r="D1513" s="85"/>
      <c r="E1513" s="17"/>
      <c r="F1513" s="17"/>
      <c r="G1513" s="17"/>
      <c r="I1513" s="17"/>
      <c r="K1513" s="17"/>
      <c r="L1513" s="17"/>
      <c r="M1513" s="17"/>
      <c r="O1513" s="14">
        <f t="shared" si="1"/>
        <v>0</v>
      </c>
      <c r="P1513" s="86" t="str">
        <f t="array" ref="P1513">iferror(XLOOKUP(C1513,'Download of SFDC Activation Rep'!B:B,'Download of SFDC Activation Rep'!Z:Z),"")</f>
        <v/>
      </c>
      <c r="Q1513" s="86" t="str">
        <f t="shared" si="2"/>
        <v/>
      </c>
      <c r="R1513" s="13" t="str">
        <f t="shared" si="3"/>
        <v>Yes</v>
      </c>
      <c r="S1513" s="86" t="str">
        <f t="array" ref="S1513">iferror(XLOOKUP(C1513,'Download of SFDC Activation Rep'!B:B,'Download of SFDC Activation Rep'!Y:Y),"")</f>
        <v/>
      </c>
    </row>
    <row r="1514">
      <c r="A1514" s="17"/>
      <c r="B1514" s="85"/>
      <c r="C1514" s="17"/>
      <c r="D1514" s="85"/>
      <c r="E1514" s="17"/>
      <c r="F1514" s="17"/>
      <c r="G1514" s="17"/>
      <c r="I1514" s="17"/>
      <c r="K1514" s="17"/>
      <c r="L1514" s="17"/>
      <c r="M1514" s="17"/>
      <c r="O1514" s="14">
        <f t="shared" si="1"/>
        <v>0</v>
      </c>
      <c r="P1514" s="86" t="str">
        <f t="array" ref="P1514">iferror(XLOOKUP(C1514,'Download of SFDC Activation Rep'!B:B,'Download of SFDC Activation Rep'!Z:Z),"")</f>
        <v/>
      </c>
      <c r="Q1514" s="86" t="str">
        <f t="shared" si="2"/>
        <v/>
      </c>
      <c r="R1514" s="13" t="str">
        <f t="shared" si="3"/>
        <v>Yes</v>
      </c>
      <c r="S1514" s="86" t="str">
        <f t="array" ref="S1514">iferror(XLOOKUP(C1514,'Download of SFDC Activation Rep'!B:B,'Download of SFDC Activation Rep'!Y:Y),"")</f>
        <v/>
      </c>
    </row>
    <row r="1515">
      <c r="A1515" s="17"/>
      <c r="B1515" s="85"/>
      <c r="C1515" s="17"/>
      <c r="D1515" s="85"/>
      <c r="E1515" s="17"/>
      <c r="F1515" s="17"/>
      <c r="G1515" s="17"/>
      <c r="I1515" s="17"/>
      <c r="K1515" s="17"/>
      <c r="L1515" s="17"/>
      <c r="M1515" s="17"/>
      <c r="O1515" s="14">
        <f t="shared" si="1"/>
        <v>0</v>
      </c>
      <c r="P1515" s="86" t="str">
        <f t="array" ref="P1515">iferror(XLOOKUP(C1515,'Download of SFDC Activation Rep'!B:B,'Download of SFDC Activation Rep'!Z:Z),"")</f>
        <v/>
      </c>
      <c r="Q1515" s="86" t="str">
        <f t="shared" si="2"/>
        <v/>
      </c>
      <c r="R1515" s="13" t="str">
        <f t="shared" si="3"/>
        <v>Yes</v>
      </c>
      <c r="S1515" s="86" t="str">
        <f t="array" ref="S1515">iferror(XLOOKUP(C1515,'Download of SFDC Activation Rep'!B:B,'Download of SFDC Activation Rep'!Y:Y),"")</f>
        <v/>
      </c>
    </row>
    <row r="1516">
      <c r="A1516" s="17"/>
      <c r="B1516" s="85"/>
      <c r="C1516" s="17"/>
      <c r="D1516" s="85"/>
      <c r="E1516" s="17"/>
      <c r="F1516" s="17"/>
      <c r="G1516" s="17"/>
      <c r="I1516" s="17"/>
      <c r="K1516" s="17"/>
      <c r="L1516" s="17"/>
      <c r="M1516" s="17"/>
      <c r="O1516" s="14">
        <f t="shared" si="1"/>
        <v>0</v>
      </c>
      <c r="P1516" s="86" t="str">
        <f t="array" ref="P1516">iferror(XLOOKUP(C1516,'Download of SFDC Activation Rep'!B:B,'Download of SFDC Activation Rep'!Z:Z),"")</f>
        <v/>
      </c>
      <c r="Q1516" s="86" t="str">
        <f t="shared" si="2"/>
        <v/>
      </c>
      <c r="R1516" s="13" t="str">
        <f t="shared" si="3"/>
        <v>Yes</v>
      </c>
      <c r="S1516" s="86" t="str">
        <f t="array" ref="S1516">iferror(XLOOKUP(C1516,'Download of SFDC Activation Rep'!B:B,'Download of SFDC Activation Rep'!Y:Y),"")</f>
        <v/>
      </c>
    </row>
    <row r="1517">
      <c r="A1517" s="17"/>
      <c r="B1517" s="85"/>
      <c r="C1517" s="17"/>
      <c r="D1517" s="85"/>
      <c r="E1517" s="17"/>
      <c r="F1517" s="17"/>
      <c r="G1517" s="17"/>
      <c r="I1517" s="17"/>
      <c r="K1517" s="17"/>
      <c r="L1517" s="17"/>
      <c r="M1517" s="17"/>
      <c r="O1517" s="14">
        <f t="shared" si="1"/>
        <v>0</v>
      </c>
      <c r="P1517" s="86" t="str">
        <f t="array" ref="P1517">iferror(XLOOKUP(C1517,'Download of SFDC Activation Rep'!B:B,'Download of SFDC Activation Rep'!Z:Z),"")</f>
        <v/>
      </c>
      <c r="Q1517" s="86" t="str">
        <f t="shared" si="2"/>
        <v/>
      </c>
      <c r="R1517" s="13" t="str">
        <f t="shared" si="3"/>
        <v>Yes</v>
      </c>
      <c r="S1517" s="86" t="str">
        <f t="array" ref="S1517">iferror(XLOOKUP(C1517,'Download of SFDC Activation Rep'!B:B,'Download of SFDC Activation Rep'!Y:Y),"")</f>
        <v/>
      </c>
    </row>
    <row r="1518">
      <c r="A1518" s="17"/>
      <c r="B1518" s="85"/>
      <c r="C1518" s="17"/>
      <c r="D1518" s="85"/>
      <c r="E1518" s="17"/>
      <c r="F1518" s="17"/>
      <c r="G1518" s="17"/>
      <c r="I1518" s="17"/>
      <c r="K1518" s="17"/>
      <c r="L1518" s="17"/>
      <c r="M1518" s="17"/>
      <c r="O1518" s="14">
        <f t="shared" si="1"/>
        <v>0</v>
      </c>
      <c r="P1518" s="86" t="str">
        <f t="array" ref="P1518">iferror(XLOOKUP(C1518,'Download of SFDC Activation Rep'!B:B,'Download of SFDC Activation Rep'!Z:Z),"")</f>
        <v/>
      </c>
      <c r="Q1518" s="86" t="str">
        <f t="shared" si="2"/>
        <v/>
      </c>
      <c r="R1518" s="13" t="str">
        <f t="shared" si="3"/>
        <v>Yes</v>
      </c>
      <c r="S1518" s="86" t="str">
        <f t="array" ref="S1518">iferror(XLOOKUP(C1518,'Download of SFDC Activation Rep'!B:B,'Download of SFDC Activation Rep'!Y:Y),"")</f>
        <v/>
      </c>
    </row>
    <row r="1519">
      <c r="A1519" s="17"/>
      <c r="B1519" s="85"/>
      <c r="C1519" s="17"/>
      <c r="D1519" s="85"/>
      <c r="E1519" s="17"/>
      <c r="F1519" s="17"/>
      <c r="G1519" s="17"/>
      <c r="I1519" s="17"/>
      <c r="K1519" s="17"/>
      <c r="L1519" s="17"/>
      <c r="M1519" s="17"/>
      <c r="O1519" s="14">
        <f t="shared" si="1"/>
        <v>0</v>
      </c>
      <c r="P1519" s="86" t="str">
        <f t="array" ref="P1519">iferror(XLOOKUP(C1519,'Download of SFDC Activation Rep'!B:B,'Download of SFDC Activation Rep'!Z:Z),"")</f>
        <v/>
      </c>
      <c r="Q1519" s="86" t="str">
        <f t="shared" si="2"/>
        <v/>
      </c>
      <c r="R1519" s="13" t="str">
        <f t="shared" si="3"/>
        <v>Yes</v>
      </c>
      <c r="S1519" s="86" t="str">
        <f t="array" ref="S1519">iferror(XLOOKUP(C1519,'Download of SFDC Activation Rep'!B:B,'Download of SFDC Activation Rep'!Y:Y),"")</f>
        <v/>
      </c>
    </row>
    <row r="1520">
      <c r="A1520" s="17"/>
      <c r="B1520" s="85"/>
      <c r="C1520" s="17"/>
      <c r="D1520" s="85"/>
      <c r="E1520" s="17"/>
      <c r="F1520" s="17"/>
      <c r="G1520" s="17"/>
      <c r="I1520" s="17"/>
      <c r="K1520" s="17"/>
      <c r="L1520" s="17"/>
      <c r="M1520" s="17"/>
      <c r="O1520" s="14">
        <f t="shared" si="1"/>
        <v>0</v>
      </c>
      <c r="P1520" s="86" t="str">
        <f t="array" ref="P1520">iferror(XLOOKUP(C1520,'Download of SFDC Activation Rep'!B:B,'Download of SFDC Activation Rep'!Z:Z),"")</f>
        <v/>
      </c>
      <c r="Q1520" s="86" t="str">
        <f t="shared" si="2"/>
        <v/>
      </c>
      <c r="R1520" s="13" t="str">
        <f t="shared" si="3"/>
        <v>Yes</v>
      </c>
      <c r="S1520" s="86" t="str">
        <f t="array" ref="S1520">iferror(XLOOKUP(C1520,'Download of SFDC Activation Rep'!B:B,'Download of SFDC Activation Rep'!Y:Y),"")</f>
        <v/>
      </c>
    </row>
    <row r="1521">
      <c r="A1521" s="17"/>
      <c r="B1521" s="85"/>
      <c r="C1521" s="17"/>
      <c r="D1521" s="85"/>
      <c r="E1521" s="17"/>
      <c r="F1521" s="17"/>
      <c r="G1521" s="17"/>
      <c r="I1521" s="17"/>
      <c r="K1521" s="17"/>
      <c r="L1521" s="17"/>
      <c r="M1521" s="17"/>
      <c r="O1521" s="14">
        <f t="shared" si="1"/>
        <v>0</v>
      </c>
      <c r="P1521" s="86" t="str">
        <f t="array" ref="P1521">iferror(XLOOKUP(C1521,'Download of SFDC Activation Rep'!B:B,'Download of SFDC Activation Rep'!Z:Z),"")</f>
        <v/>
      </c>
      <c r="Q1521" s="86" t="str">
        <f t="shared" si="2"/>
        <v/>
      </c>
      <c r="R1521" s="13" t="str">
        <f t="shared" si="3"/>
        <v>Yes</v>
      </c>
      <c r="S1521" s="86" t="str">
        <f t="array" ref="S1521">iferror(XLOOKUP(C1521,'Download of SFDC Activation Rep'!B:B,'Download of SFDC Activation Rep'!Y:Y),"")</f>
        <v/>
      </c>
    </row>
    <row r="1522">
      <c r="A1522" s="17"/>
      <c r="B1522" s="85"/>
      <c r="C1522" s="17"/>
      <c r="D1522" s="85"/>
      <c r="E1522" s="17"/>
      <c r="F1522" s="17"/>
      <c r="G1522" s="17"/>
      <c r="I1522" s="17"/>
      <c r="K1522" s="17"/>
      <c r="L1522" s="17"/>
      <c r="M1522" s="17"/>
      <c r="O1522" s="14">
        <f t="shared" si="1"/>
        <v>0</v>
      </c>
      <c r="P1522" s="86" t="str">
        <f t="array" ref="P1522">iferror(XLOOKUP(C1522,'Download of SFDC Activation Rep'!B:B,'Download of SFDC Activation Rep'!Z:Z),"")</f>
        <v/>
      </c>
      <c r="Q1522" s="86" t="str">
        <f t="shared" si="2"/>
        <v/>
      </c>
      <c r="R1522" s="13" t="str">
        <f t="shared" si="3"/>
        <v>Yes</v>
      </c>
      <c r="S1522" s="86" t="str">
        <f t="array" ref="S1522">iferror(XLOOKUP(C1522,'Download of SFDC Activation Rep'!B:B,'Download of SFDC Activation Rep'!Y:Y),"")</f>
        <v/>
      </c>
    </row>
    <row r="1523">
      <c r="A1523" s="17"/>
      <c r="B1523" s="85"/>
      <c r="C1523" s="17"/>
      <c r="D1523" s="85"/>
      <c r="E1523" s="17"/>
      <c r="F1523" s="17"/>
      <c r="G1523" s="17"/>
      <c r="I1523" s="17"/>
      <c r="K1523" s="17"/>
      <c r="L1523" s="17"/>
      <c r="M1523" s="17"/>
      <c r="O1523" s="14">
        <f t="shared" si="1"/>
        <v>0</v>
      </c>
      <c r="P1523" s="86" t="str">
        <f t="array" ref="P1523">iferror(XLOOKUP(C1523,'Download of SFDC Activation Rep'!B:B,'Download of SFDC Activation Rep'!Z:Z),"")</f>
        <v/>
      </c>
      <c r="Q1523" s="86" t="str">
        <f t="shared" si="2"/>
        <v/>
      </c>
      <c r="R1523" s="13" t="str">
        <f t="shared" si="3"/>
        <v>Yes</v>
      </c>
      <c r="S1523" s="86" t="str">
        <f t="array" ref="S1523">iferror(XLOOKUP(C1523,'Download of SFDC Activation Rep'!B:B,'Download of SFDC Activation Rep'!Y:Y),"")</f>
        <v/>
      </c>
    </row>
    <row r="1524">
      <c r="A1524" s="17"/>
      <c r="B1524" s="85"/>
      <c r="C1524" s="17"/>
      <c r="D1524" s="85"/>
      <c r="E1524" s="17"/>
      <c r="F1524" s="17"/>
      <c r="G1524" s="17"/>
      <c r="I1524" s="17"/>
      <c r="K1524" s="17"/>
      <c r="L1524" s="17"/>
      <c r="M1524" s="17"/>
      <c r="O1524" s="14">
        <f t="shared" si="1"/>
        <v>0</v>
      </c>
      <c r="P1524" s="86" t="str">
        <f t="array" ref="P1524">iferror(XLOOKUP(C1524,'Download of SFDC Activation Rep'!B:B,'Download of SFDC Activation Rep'!Z:Z),"")</f>
        <v/>
      </c>
      <c r="Q1524" s="86" t="str">
        <f t="shared" si="2"/>
        <v/>
      </c>
      <c r="R1524" s="13" t="str">
        <f t="shared" si="3"/>
        <v>Yes</v>
      </c>
      <c r="S1524" s="86" t="str">
        <f t="array" ref="S1524">iferror(XLOOKUP(C1524,'Download of SFDC Activation Rep'!B:B,'Download of SFDC Activation Rep'!Y:Y),"")</f>
        <v/>
      </c>
    </row>
    <row r="1525">
      <c r="A1525" s="17"/>
      <c r="B1525" s="85"/>
      <c r="C1525" s="17"/>
      <c r="D1525" s="85"/>
      <c r="E1525" s="17"/>
      <c r="F1525" s="17"/>
      <c r="G1525" s="17"/>
      <c r="I1525" s="17"/>
      <c r="K1525" s="17"/>
      <c r="L1525" s="17"/>
      <c r="M1525" s="17"/>
      <c r="O1525" s="14">
        <f t="shared" si="1"/>
        <v>0</v>
      </c>
      <c r="P1525" s="86" t="str">
        <f t="array" ref="P1525">iferror(XLOOKUP(C1525,'Download of SFDC Activation Rep'!B:B,'Download of SFDC Activation Rep'!Z:Z),"")</f>
        <v/>
      </c>
      <c r="Q1525" s="86" t="str">
        <f t="shared" si="2"/>
        <v/>
      </c>
      <c r="R1525" s="13" t="str">
        <f t="shared" si="3"/>
        <v>Yes</v>
      </c>
      <c r="S1525" s="86" t="str">
        <f t="array" ref="S1525">iferror(XLOOKUP(C1525,'Download of SFDC Activation Rep'!B:B,'Download of SFDC Activation Rep'!Y:Y),"")</f>
        <v/>
      </c>
    </row>
    <row r="1526">
      <c r="A1526" s="17"/>
      <c r="B1526" s="85"/>
      <c r="C1526" s="17"/>
      <c r="D1526" s="85"/>
      <c r="E1526" s="17"/>
      <c r="F1526" s="17"/>
      <c r="G1526" s="17"/>
      <c r="I1526" s="17"/>
      <c r="K1526" s="17"/>
      <c r="L1526" s="17"/>
      <c r="M1526" s="17"/>
      <c r="O1526" s="14">
        <f t="shared" si="1"/>
        <v>0</v>
      </c>
      <c r="P1526" s="86" t="str">
        <f t="array" ref="P1526">iferror(XLOOKUP(C1526,'Download of SFDC Activation Rep'!B:B,'Download of SFDC Activation Rep'!Z:Z),"")</f>
        <v/>
      </c>
      <c r="Q1526" s="86" t="str">
        <f t="shared" si="2"/>
        <v/>
      </c>
      <c r="R1526" s="13" t="str">
        <f t="shared" si="3"/>
        <v>Yes</v>
      </c>
      <c r="S1526" s="86" t="str">
        <f t="array" ref="S1526">iferror(XLOOKUP(C1526,'Download of SFDC Activation Rep'!B:B,'Download of SFDC Activation Rep'!Y:Y),"")</f>
        <v/>
      </c>
    </row>
    <row r="1527">
      <c r="A1527" s="17"/>
      <c r="B1527" s="85"/>
      <c r="C1527" s="17"/>
      <c r="D1527" s="85"/>
      <c r="E1527" s="17"/>
      <c r="F1527" s="17"/>
      <c r="G1527" s="17"/>
      <c r="I1527" s="17"/>
      <c r="K1527" s="17"/>
      <c r="L1527" s="17"/>
      <c r="M1527" s="17"/>
      <c r="O1527" s="14">
        <f t="shared" si="1"/>
        <v>0</v>
      </c>
      <c r="P1527" s="86" t="str">
        <f t="array" ref="P1527">iferror(XLOOKUP(C1527,'Download of SFDC Activation Rep'!B:B,'Download of SFDC Activation Rep'!Z:Z),"")</f>
        <v/>
      </c>
      <c r="Q1527" s="86" t="str">
        <f t="shared" si="2"/>
        <v/>
      </c>
      <c r="R1527" s="13" t="str">
        <f t="shared" si="3"/>
        <v>Yes</v>
      </c>
      <c r="S1527" s="86" t="str">
        <f t="array" ref="S1527">iferror(XLOOKUP(C1527,'Download of SFDC Activation Rep'!B:B,'Download of SFDC Activation Rep'!Y:Y),"")</f>
        <v/>
      </c>
    </row>
    <row r="1528">
      <c r="A1528" s="17"/>
      <c r="B1528" s="85"/>
      <c r="C1528" s="17"/>
      <c r="D1528" s="85"/>
      <c r="E1528" s="17"/>
      <c r="F1528" s="17"/>
      <c r="G1528" s="17"/>
      <c r="I1528" s="17"/>
      <c r="K1528" s="17"/>
      <c r="L1528" s="17"/>
      <c r="M1528" s="17"/>
      <c r="O1528" s="14">
        <f t="shared" si="1"/>
        <v>0</v>
      </c>
      <c r="P1528" s="86" t="str">
        <f t="array" ref="P1528">iferror(XLOOKUP(C1528,'Download of SFDC Activation Rep'!B:B,'Download of SFDC Activation Rep'!Z:Z),"")</f>
        <v/>
      </c>
      <c r="Q1528" s="86" t="str">
        <f t="shared" si="2"/>
        <v/>
      </c>
      <c r="R1528" s="13" t="str">
        <f t="shared" si="3"/>
        <v>Yes</v>
      </c>
      <c r="S1528" s="86" t="str">
        <f t="array" ref="S1528">iferror(XLOOKUP(C1528,'Download of SFDC Activation Rep'!B:B,'Download of SFDC Activation Rep'!Y:Y),"")</f>
        <v/>
      </c>
    </row>
    <row r="1529">
      <c r="A1529" s="17"/>
      <c r="B1529" s="85"/>
      <c r="C1529" s="17"/>
      <c r="D1529" s="85"/>
      <c r="E1529" s="17"/>
      <c r="F1529" s="17"/>
      <c r="G1529" s="17"/>
      <c r="I1529" s="17"/>
      <c r="K1529" s="17"/>
      <c r="L1529" s="17"/>
      <c r="M1529" s="17"/>
      <c r="O1529" s="14">
        <f t="shared" si="1"/>
        <v>0</v>
      </c>
      <c r="P1529" s="86" t="str">
        <f t="array" ref="P1529">iferror(XLOOKUP(C1529,'Download of SFDC Activation Rep'!B:B,'Download of SFDC Activation Rep'!Z:Z),"")</f>
        <v/>
      </c>
      <c r="Q1529" s="86" t="str">
        <f t="shared" si="2"/>
        <v/>
      </c>
      <c r="R1529" s="13" t="str">
        <f t="shared" si="3"/>
        <v>Yes</v>
      </c>
      <c r="S1529" s="86" t="str">
        <f t="array" ref="S1529">iferror(XLOOKUP(C1529,'Download of SFDC Activation Rep'!B:B,'Download of SFDC Activation Rep'!Y:Y),"")</f>
        <v/>
      </c>
    </row>
    <row r="1530">
      <c r="A1530" s="17"/>
      <c r="B1530" s="85"/>
      <c r="C1530" s="17"/>
      <c r="D1530" s="85"/>
      <c r="E1530" s="17"/>
      <c r="F1530" s="17"/>
      <c r="G1530" s="17"/>
      <c r="I1530" s="17"/>
      <c r="K1530" s="17"/>
      <c r="L1530" s="17"/>
      <c r="M1530" s="17"/>
      <c r="O1530" s="14">
        <f t="shared" si="1"/>
        <v>0</v>
      </c>
      <c r="P1530" s="86" t="str">
        <f t="array" ref="P1530">iferror(XLOOKUP(C1530,'Download of SFDC Activation Rep'!B:B,'Download of SFDC Activation Rep'!Z:Z),"")</f>
        <v/>
      </c>
      <c r="Q1530" s="86" t="str">
        <f t="shared" si="2"/>
        <v/>
      </c>
      <c r="R1530" s="13" t="str">
        <f t="shared" si="3"/>
        <v>Yes</v>
      </c>
      <c r="S1530" s="86" t="str">
        <f t="array" ref="S1530">iferror(XLOOKUP(C1530,'Download of SFDC Activation Rep'!B:B,'Download of SFDC Activation Rep'!Y:Y),"")</f>
        <v/>
      </c>
    </row>
    <row r="1531">
      <c r="A1531" s="17"/>
      <c r="B1531" s="85"/>
      <c r="C1531" s="17"/>
      <c r="D1531" s="85"/>
      <c r="E1531" s="17"/>
      <c r="F1531" s="17"/>
      <c r="G1531" s="17"/>
      <c r="I1531" s="17"/>
      <c r="K1531" s="17"/>
      <c r="L1531" s="17"/>
      <c r="M1531" s="17"/>
      <c r="O1531" s="14">
        <f t="shared" si="1"/>
        <v>0</v>
      </c>
      <c r="P1531" s="86" t="str">
        <f t="array" ref="P1531">iferror(XLOOKUP(C1531,'Download of SFDC Activation Rep'!B:B,'Download of SFDC Activation Rep'!Z:Z),"")</f>
        <v/>
      </c>
      <c r="Q1531" s="86" t="str">
        <f t="shared" si="2"/>
        <v/>
      </c>
      <c r="R1531" s="13" t="str">
        <f t="shared" si="3"/>
        <v>Yes</v>
      </c>
      <c r="S1531" s="86" t="str">
        <f t="array" ref="S1531">iferror(XLOOKUP(C1531,'Download of SFDC Activation Rep'!B:B,'Download of SFDC Activation Rep'!Y:Y),"")</f>
        <v/>
      </c>
    </row>
    <row r="1532">
      <c r="A1532" s="17"/>
      <c r="B1532" s="85"/>
      <c r="C1532" s="17"/>
      <c r="D1532" s="85"/>
      <c r="E1532" s="17"/>
      <c r="F1532" s="17"/>
      <c r="G1532" s="17"/>
      <c r="I1532" s="17"/>
      <c r="K1532" s="17"/>
      <c r="L1532" s="17"/>
      <c r="M1532" s="17"/>
      <c r="O1532" s="14">
        <f t="shared" si="1"/>
        <v>0</v>
      </c>
      <c r="P1532" s="86" t="str">
        <f t="array" ref="P1532">iferror(XLOOKUP(C1532,'Download of SFDC Activation Rep'!B:B,'Download of SFDC Activation Rep'!Z:Z),"")</f>
        <v/>
      </c>
      <c r="Q1532" s="86" t="str">
        <f t="shared" si="2"/>
        <v/>
      </c>
      <c r="R1532" s="13" t="str">
        <f t="shared" si="3"/>
        <v>Yes</v>
      </c>
      <c r="S1532" s="86" t="str">
        <f t="array" ref="S1532">iferror(XLOOKUP(C1532,'Download of SFDC Activation Rep'!B:B,'Download of SFDC Activation Rep'!Y:Y),"")</f>
        <v/>
      </c>
    </row>
    <row r="1533">
      <c r="A1533" s="17"/>
      <c r="B1533" s="85"/>
      <c r="C1533" s="17"/>
      <c r="D1533" s="85"/>
      <c r="E1533" s="17"/>
      <c r="F1533" s="17"/>
      <c r="G1533" s="17"/>
      <c r="I1533" s="17"/>
      <c r="K1533" s="17"/>
      <c r="L1533" s="17"/>
      <c r="M1533" s="17"/>
      <c r="O1533" s="14">
        <f t="shared" si="1"/>
        <v>0</v>
      </c>
      <c r="P1533" s="86" t="str">
        <f t="array" ref="P1533">iferror(XLOOKUP(C1533,'Download of SFDC Activation Rep'!B:B,'Download of SFDC Activation Rep'!Z:Z),"")</f>
        <v/>
      </c>
      <c r="Q1533" s="86" t="str">
        <f t="shared" si="2"/>
        <v/>
      </c>
      <c r="R1533" s="13" t="str">
        <f t="shared" si="3"/>
        <v>Yes</v>
      </c>
      <c r="S1533" s="86" t="str">
        <f t="array" ref="S1533">iferror(XLOOKUP(C1533,'Download of SFDC Activation Rep'!B:B,'Download of SFDC Activation Rep'!Y:Y),"")</f>
        <v/>
      </c>
    </row>
    <row r="1534">
      <c r="A1534" s="17"/>
      <c r="B1534" s="85"/>
      <c r="C1534" s="17"/>
      <c r="D1534" s="85"/>
      <c r="E1534" s="17"/>
      <c r="F1534" s="17"/>
      <c r="G1534" s="17"/>
      <c r="I1534" s="17"/>
      <c r="K1534" s="17"/>
      <c r="L1534" s="17"/>
      <c r="M1534" s="17"/>
      <c r="O1534" s="14">
        <f t="shared" si="1"/>
        <v>0</v>
      </c>
      <c r="P1534" s="86" t="str">
        <f t="array" ref="P1534">iferror(XLOOKUP(C1534,'Download of SFDC Activation Rep'!B:B,'Download of SFDC Activation Rep'!Z:Z),"")</f>
        <v/>
      </c>
      <c r="Q1534" s="86" t="str">
        <f t="shared" si="2"/>
        <v/>
      </c>
      <c r="R1534" s="13" t="str">
        <f t="shared" si="3"/>
        <v>Yes</v>
      </c>
      <c r="S1534" s="86" t="str">
        <f t="array" ref="S1534">iferror(XLOOKUP(C1534,'Download of SFDC Activation Rep'!B:B,'Download of SFDC Activation Rep'!Y:Y),"")</f>
        <v/>
      </c>
    </row>
    <row r="1535">
      <c r="A1535" s="17"/>
      <c r="B1535" s="85"/>
      <c r="C1535" s="17"/>
      <c r="D1535" s="85"/>
      <c r="E1535" s="17"/>
      <c r="F1535" s="17"/>
      <c r="G1535" s="17"/>
      <c r="I1535" s="17"/>
      <c r="K1535" s="17"/>
      <c r="L1535" s="17"/>
      <c r="M1535" s="17"/>
      <c r="O1535" s="14">
        <f t="shared" si="1"/>
        <v>0</v>
      </c>
      <c r="P1535" s="86" t="str">
        <f t="array" ref="P1535">iferror(XLOOKUP(C1535,'Download of SFDC Activation Rep'!B:B,'Download of SFDC Activation Rep'!Z:Z),"")</f>
        <v/>
      </c>
      <c r="Q1535" s="86" t="str">
        <f t="shared" si="2"/>
        <v/>
      </c>
      <c r="R1535" s="13" t="str">
        <f t="shared" si="3"/>
        <v>Yes</v>
      </c>
      <c r="S1535" s="86" t="str">
        <f t="array" ref="S1535">iferror(XLOOKUP(C1535,'Download of SFDC Activation Rep'!B:B,'Download of SFDC Activation Rep'!Y:Y),"")</f>
        <v/>
      </c>
    </row>
    <row r="1536">
      <c r="A1536" s="17"/>
      <c r="B1536" s="85"/>
      <c r="C1536" s="17"/>
      <c r="D1536" s="85"/>
      <c r="E1536" s="17"/>
      <c r="F1536" s="17"/>
      <c r="G1536" s="17"/>
      <c r="I1536" s="17"/>
      <c r="K1536" s="17"/>
      <c r="L1536" s="17"/>
      <c r="M1536" s="17"/>
      <c r="O1536" s="14">
        <f t="shared" si="1"/>
        <v>0</v>
      </c>
      <c r="P1536" s="86" t="str">
        <f t="array" ref="P1536">iferror(XLOOKUP(C1536,'Download of SFDC Activation Rep'!B:B,'Download of SFDC Activation Rep'!Z:Z),"")</f>
        <v/>
      </c>
      <c r="Q1536" s="86" t="str">
        <f t="shared" si="2"/>
        <v/>
      </c>
      <c r="R1536" s="13" t="str">
        <f t="shared" si="3"/>
        <v>Yes</v>
      </c>
      <c r="S1536" s="86" t="str">
        <f t="array" ref="S1536">iferror(XLOOKUP(C1536,'Download of SFDC Activation Rep'!B:B,'Download of SFDC Activation Rep'!Y:Y),"")</f>
        <v/>
      </c>
    </row>
    <row r="1537">
      <c r="A1537" s="17"/>
      <c r="B1537" s="85"/>
      <c r="C1537" s="17"/>
      <c r="D1537" s="85"/>
      <c r="E1537" s="17"/>
      <c r="F1537" s="17"/>
      <c r="G1537" s="17"/>
      <c r="I1537" s="17"/>
      <c r="K1537" s="17"/>
      <c r="L1537" s="17"/>
      <c r="M1537" s="17"/>
      <c r="O1537" s="14">
        <f t="shared" si="1"/>
        <v>0</v>
      </c>
      <c r="P1537" s="86" t="str">
        <f t="array" ref="P1537">iferror(XLOOKUP(C1537,'Download of SFDC Activation Rep'!B:B,'Download of SFDC Activation Rep'!Z:Z),"")</f>
        <v/>
      </c>
      <c r="Q1537" s="86" t="str">
        <f t="shared" si="2"/>
        <v/>
      </c>
      <c r="R1537" s="13" t="str">
        <f t="shared" si="3"/>
        <v>Yes</v>
      </c>
      <c r="S1537" s="86" t="str">
        <f t="array" ref="S1537">iferror(XLOOKUP(C1537,'Download of SFDC Activation Rep'!B:B,'Download of SFDC Activation Rep'!Y:Y),"")</f>
        <v/>
      </c>
    </row>
    <row r="1538">
      <c r="A1538" s="17"/>
      <c r="B1538" s="85"/>
      <c r="C1538" s="17"/>
      <c r="D1538" s="85"/>
      <c r="E1538" s="17"/>
      <c r="F1538" s="17"/>
      <c r="G1538" s="17"/>
      <c r="I1538" s="17"/>
      <c r="K1538" s="17"/>
      <c r="L1538" s="17"/>
      <c r="M1538" s="17"/>
      <c r="O1538" s="14">
        <f t="shared" si="1"/>
        <v>0</v>
      </c>
      <c r="P1538" s="86" t="str">
        <f t="array" ref="P1538">iferror(XLOOKUP(C1538,'Download of SFDC Activation Rep'!B:B,'Download of SFDC Activation Rep'!Z:Z),"")</f>
        <v/>
      </c>
      <c r="Q1538" s="86" t="str">
        <f t="shared" si="2"/>
        <v/>
      </c>
      <c r="R1538" s="13" t="str">
        <f t="shared" si="3"/>
        <v>Yes</v>
      </c>
      <c r="S1538" s="86" t="str">
        <f t="array" ref="S1538">iferror(XLOOKUP(C1538,'Download of SFDC Activation Rep'!B:B,'Download of SFDC Activation Rep'!Y:Y),"")</f>
        <v/>
      </c>
    </row>
    <row r="1539">
      <c r="A1539" s="17"/>
      <c r="B1539" s="85"/>
      <c r="C1539" s="17"/>
      <c r="D1539" s="85"/>
      <c r="E1539" s="17"/>
      <c r="F1539" s="17"/>
      <c r="G1539" s="17"/>
      <c r="I1539" s="17"/>
      <c r="K1539" s="17"/>
      <c r="L1539" s="17"/>
      <c r="M1539" s="17"/>
      <c r="O1539" s="14">
        <f t="shared" si="1"/>
        <v>0</v>
      </c>
      <c r="P1539" s="86" t="str">
        <f t="array" ref="P1539">iferror(XLOOKUP(C1539,'Download of SFDC Activation Rep'!B:B,'Download of SFDC Activation Rep'!Z:Z),"")</f>
        <v/>
      </c>
      <c r="Q1539" s="86" t="str">
        <f t="shared" si="2"/>
        <v/>
      </c>
      <c r="R1539" s="13" t="str">
        <f t="shared" si="3"/>
        <v>Yes</v>
      </c>
      <c r="S1539" s="86" t="str">
        <f t="array" ref="S1539">iferror(XLOOKUP(C1539,'Download of SFDC Activation Rep'!B:B,'Download of SFDC Activation Rep'!Y:Y),"")</f>
        <v/>
      </c>
    </row>
    <row r="1540">
      <c r="A1540" s="17"/>
      <c r="B1540" s="85"/>
      <c r="C1540" s="17"/>
      <c r="D1540" s="85"/>
      <c r="E1540" s="17"/>
      <c r="F1540" s="17"/>
      <c r="G1540" s="17"/>
      <c r="I1540" s="17"/>
      <c r="K1540" s="17"/>
      <c r="L1540" s="17"/>
      <c r="M1540" s="17"/>
      <c r="O1540" s="14">
        <f t="shared" si="1"/>
        <v>0</v>
      </c>
      <c r="P1540" s="86" t="str">
        <f t="array" ref="P1540">iferror(XLOOKUP(C1540,'Download of SFDC Activation Rep'!B:B,'Download of SFDC Activation Rep'!Z:Z),"")</f>
        <v/>
      </c>
      <c r="Q1540" s="86" t="str">
        <f t="shared" si="2"/>
        <v/>
      </c>
      <c r="R1540" s="13" t="str">
        <f t="shared" si="3"/>
        <v>Yes</v>
      </c>
      <c r="S1540" s="86" t="str">
        <f t="array" ref="S1540">iferror(XLOOKUP(C1540,'Download of SFDC Activation Rep'!B:B,'Download of SFDC Activation Rep'!Y:Y),"")</f>
        <v/>
      </c>
    </row>
    <row r="1541">
      <c r="A1541" s="17"/>
      <c r="B1541" s="85"/>
      <c r="C1541" s="17"/>
      <c r="D1541" s="85"/>
      <c r="E1541" s="17"/>
      <c r="F1541" s="17"/>
      <c r="G1541" s="17"/>
      <c r="I1541" s="17"/>
      <c r="K1541" s="17"/>
      <c r="L1541" s="17"/>
      <c r="M1541" s="17"/>
      <c r="O1541" s="14">
        <f t="shared" si="1"/>
        <v>0</v>
      </c>
      <c r="P1541" s="86" t="str">
        <f t="array" ref="P1541">iferror(XLOOKUP(C1541,'Download of SFDC Activation Rep'!B:B,'Download of SFDC Activation Rep'!Z:Z),"")</f>
        <v/>
      </c>
      <c r="Q1541" s="86" t="str">
        <f t="shared" si="2"/>
        <v/>
      </c>
      <c r="R1541" s="13" t="str">
        <f t="shared" si="3"/>
        <v>Yes</v>
      </c>
      <c r="S1541" s="86" t="str">
        <f t="array" ref="S1541">iferror(XLOOKUP(C1541,'Download of SFDC Activation Rep'!B:B,'Download of SFDC Activation Rep'!Y:Y),"")</f>
        <v/>
      </c>
    </row>
    <row r="1542">
      <c r="A1542" s="17"/>
      <c r="B1542" s="85"/>
      <c r="C1542" s="17"/>
      <c r="D1542" s="85"/>
      <c r="E1542" s="17"/>
      <c r="F1542" s="17"/>
      <c r="G1542" s="17"/>
      <c r="I1542" s="17"/>
      <c r="K1542" s="17"/>
      <c r="L1542" s="17"/>
      <c r="M1542" s="17"/>
      <c r="O1542" s="14">
        <f t="shared" si="1"/>
        <v>0</v>
      </c>
      <c r="P1542" s="86" t="str">
        <f t="array" ref="P1542">iferror(XLOOKUP(C1542,'Download of SFDC Activation Rep'!B:B,'Download of SFDC Activation Rep'!Z:Z),"")</f>
        <v/>
      </c>
      <c r="Q1542" s="86" t="str">
        <f t="shared" si="2"/>
        <v/>
      </c>
      <c r="R1542" s="13" t="str">
        <f t="shared" si="3"/>
        <v>Yes</v>
      </c>
      <c r="S1542" s="86" t="str">
        <f t="array" ref="S1542">iferror(XLOOKUP(C1542,'Download of SFDC Activation Rep'!B:B,'Download of SFDC Activation Rep'!Y:Y),"")</f>
        <v/>
      </c>
    </row>
    <row r="1543">
      <c r="A1543" s="17"/>
      <c r="B1543" s="85"/>
      <c r="C1543" s="17"/>
      <c r="D1543" s="85"/>
      <c r="E1543" s="17"/>
      <c r="F1543" s="17"/>
      <c r="G1543" s="17"/>
      <c r="I1543" s="17"/>
      <c r="K1543" s="17"/>
      <c r="L1543" s="17"/>
      <c r="M1543" s="17"/>
      <c r="O1543" s="14">
        <f t="shared" si="1"/>
        <v>0</v>
      </c>
      <c r="P1543" s="86" t="str">
        <f t="array" ref="P1543">iferror(XLOOKUP(C1543,'Download of SFDC Activation Rep'!B:B,'Download of SFDC Activation Rep'!Z:Z),"")</f>
        <v/>
      </c>
      <c r="Q1543" s="86" t="str">
        <f t="shared" si="2"/>
        <v/>
      </c>
      <c r="R1543" s="13" t="str">
        <f t="shared" si="3"/>
        <v>Yes</v>
      </c>
      <c r="S1543" s="86" t="str">
        <f t="array" ref="S1543">iferror(XLOOKUP(C1543,'Download of SFDC Activation Rep'!B:B,'Download of SFDC Activation Rep'!Y:Y),"")</f>
        <v/>
      </c>
    </row>
    <row r="1544">
      <c r="A1544" s="17"/>
      <c r="B1544" s="85"/>
      <c r="C1544" s="17"/>
      <c r="D1544" s="85"/>
      <c r="E1544" s="17"/>
      <c r="F1544" s="17"/>
      <c r="G1544" s="17"/>
      <c r="I1544" s="17"/>
      <c r="K1544" s="17"/>
      <c r="L1544" s="17"/>
      <c r="M1544" s="17"/>
      <c r="O1544" s="14">
        <f t="shared" si="1"/>
        <v>0</v>
      </c>
      <c r="P1544" s="86" t="str">
        <f t="array" ref="P1544">iferror(XLOOKUP(C1544,'Download of SFDC Activation Rep'!B:B,'Download of SFDC Activation Rep'!Z:Z),"")</f>
        <v/>
      </c>
      <c r="Q1544" s="86" t="str">
        <f t="shared" si="2"/>
        <v/>
      </c>
      <c r="R1544" s="13" t="str">
        <f t="shared" si="3"/>
        <v>Yes</v>
      </c>
      <c r="S1544" s="86" t="str">
        <f t="array" ref="S1544">iferror(XLOOKUP(C1544,'Download of SFDC Activation Rep'!B:B,'Download of SFDC Activation Rep'!Y:Y),"")</f>
        <v/>
      </c>
    </row>
    <row r="1545">
      <c r="A1545" s="17"/>
      <c r="B1545" s="85"/>
      <c r="C1545" s="17"/>
      <c r="D1545" s="85"/>
      <c r="E1545" s="17"/>
      <c r="F1545" s="17"/>
      <c r="G1545" s="17"/>
      <c r="I1545" s="17"/>
      <c r="K1545" s="17"/>
      <c r="L1545" s="17"/>
      <c r="M1545" s="17"/>
      <c r="O1545" s="14">
        <f t="shared" si="1"/>
        <v>0</v>
      </c>
      <c r="P1545" s="86" t="str">
        <f t="array" ref="P1545">iferror(XLOOKUP(C1545,'Download of SFDC Activation Rep'!B:B,'Download of SFDC Activation Rep'!Z:Z),"")</f>
        <v/>
      </c>
      <c r="Q1545" s="86" t="str">
        <f t="shared" si="2"/>
        <v/>
      </c>
      <c r="R1545" s="13" t="str">
        <f t="shared" si="3"/>
        <v>Yes</v>
      </c>
      <c r="S1545" s="86" t="str">
        <f t="array" ref="S1545">iferror(XLOOKUP(C1545,'Download of SFDC Activation Rep'!B:B,'Download of SFDC Activation Rep'!Y:Y),"")</f>
        <v/>
      </c>
    </row>
    <row r="1546">
      <c r="A1546" s="17"/>
      <c r="B1546" s="85"/>
      <c r="C1546" s="17"/>
      <c r="D1546" s="85"/>
      <c r="E1546" s="17"/>
      <c r="F1546" s="17"/>
      <c r="G1546" s="17"/>
      <c r="I1546" s="17"/>
      <c r="K1546" s="17"/>
      <c r="L1546" s="17"/>
      <c r="M1546" s="17"/>
      <c r="O1546" s="14">
        <f t="shared" si="1"/>
        <v>0</v>
      </c>
      <c r="P1546" s="86" t="str">
        <f t="array" ref="P1546">iferror(XLOOKUP(C1546,'Download of SFDC Activation Rep'!B:B,'Download of SFDC Activation Rep'!Z:Z),"")</f>
        <v/>
      </c>
      <c r="Q1546" s="86" t="str">
        <f t="shared" si="2"/>
        <v/>
      </c>
      <c r="R1546" s="13" t="str">
        <f t="shared" si="3"/>
        <v>Yes</v>
      </c>
      <c r="S1546" s="86" t="str">
        <f t="array" ref="S1546">iferror(XLOOKUP(C1546,'Download of SFDC Activation Rep'!B:B,'Download of SFDC Activation Rep'!Y:Y),"")</f>
        <v/>
      </c>
    </row>
    <row r="1547">
      <c r="A1547" s="17"/>
      <c r="B1547" s="85"/>
      <c r="C1547" s="17"/>
      <c r="D1547" s="85"/>
      <c r="E1547" s="17"/>
      <c r="F1547" s="17"/>
      <c r="G1547" s="17"/>
      <c r="I1547" s="17"/>
      <c r="K1547" s="17"/>
      <c r="L1547" s="17"/>
      <c r="M1547" s="17"/>
      <c r="O1547" s="14">
        <f t="shared" si="1"/>
        <v>0</v>
      </c>
      <c r="P1547" s="86" t="str">
        <f t="array" ref="P1547">iferror(XLOOKUP(C1547,'Download of SFDC Activation Rep'!B:B,'Download of SFDC Activation Rep'!Z:Z),"")</f>
        <v/>
      </c>
      <c r="Q1547" s="86" t="str">
        <f t="shared" si="2"/>
        <v/>
      </c>
      <c r="R1547" s="13" t="str">
        <f t="shared" si="3"/>
        <v>Yes</v>
      </c>
      <c r="S1547" s="86" t="str">
        <f t="array" ref="S1547">iferror(XLOOKUP(C1547,'Download of SFDC Activation Rep'!B:B,'Download of SFDC Activation Rep'!Y:Y),"")</f>
        <v/>
      </c>
    </row>
    <row r="1548">
      <c r="A1548" s="17"/>
      <c r="B1548" s="85"/>
      <c r="C1548" s="17"/>
      <c r="D1548" s="85"/>
      <c r="E1548" s="17"/>
      <c r="F1548" s="17"/>
      <c r="G1548" s="17"/>
      <c r="I1548" s="17"/>
      <c r="K1548" s="17"/>
      <c r="L1548" s="17"/>
      <c r="M1548" s="17"/>
      <c r="O1548" s="14">
        <f t="shared" si="1"/>
        <v>0</v>
      </c>
      <c r="P1548" s="86" t="str">
        <f t="array" ref="P1548">iferror(XLOOKUP(C1548,'Download of SFDC Activation Rep'!B:B,'Download of SFDC Activation Rep'!Z:Z),"")</f>
        <v/>
      </c>
      <c r="Q1548" s="86" t="str">
        <f t="shared" si="2"/>
        <v/>
      </c>
      <c r="R1548" s="13" t="str">
        <f t="shared" si="3"/>
        <v>Yes</v>
      </c>
      <c r="S1548" s="86" t="str">
        <f t="array" ref="S1548">iferror(XLOOKUP(C1548,'Download of SFDC Activation Rep'!B:B,'Download of SFDC Activation Rep'!Y:Y),"")</f>
        <v/>
      </c>
    </row>
    <row r="1549">
      <c r="A1549" s="17"/>
      <c r="B1549" s="85"/>
      <c r="C1549" s="17"/>
      <c r="D1549" s="85"/>
      <c r="E1549" s="17"/>
      <c r="F1549" s="17"/>
      <c r="G1549" s="17"/>
      <c r="I1549" s="17"/>
      <c r="K1549" s="17"/>
      <c r="L1549" s="17"/>
      <c r="M1549" s="17"/>
      <c r="O1549" s="14">
        <f t="shared" si="1"/>
        <v>0</v>
      </c>
      <c r="P1549" s="86" t="str">
        <f t="array" ref="P1549">iferror(XLOOKUP(C1549,'Download of SFDC Activation Rep'!B:B,'Download of SFDC Activation Rep'!Z:Z),"")</f>
        <v/>
      </c>
      <c r="Q1549" s="86" t="str">
        <f t="shared" si="2"/>
        <v/>
      </c>
      <c r="R1549" s="13" t="str">
        <f t="shared" si="3"/>
        <v>Yes</v>
      </c>
      <c r="S1549" s="86" t="str">
        <f t="array" ref="S1549">iferror(XLOOKUP(C1549,'Download of SFDC Activation Rep'!B:B,'Download of SFDC Activation Rep'!Y:Y),"")</f>
        <v/>
      </c>
    </row>
    <row r="1550">
      <c r="A1550" s="17"/>
      <c r="B1550" s="85"/>
      <c r="C1550" s="17"/>
      <c r="D1550" s="85"/>
      <c r="E1550" s="17"/>
      <c r="F1550" s="17"/>
      <c r="G1550" s="17"/>
      <c r="I1550" s="17"/>
      <c r="K1550" s="17"/>
      <c r="L1550" s="17"/>
      <c r="M1550" s="17"/>
      <c r="O1550" s="14">
        <f t="shared" si="1"/>
        <v>0</v>
      </c>
      <c r="P1550" s="86" t="str">
        <f t="array" ref="P1550">iferror(XLOOKUP(C1550,'Download of SFDC Activation Rep'!B:B,'Download of SFDC Activation Rep'!Z:Z),"")</f>
        <v/>
      </c>
      <c r="Q1550" s="86" t="str">
        <f t="shared" si="2"/>
        <v/>
      </c>
      <c r="R1550" s="13" t="str">
        <f t="shared" si="3"/>
        <v>Yes</v>
      </c>
      <c r="S1550" s="86" t="str">
        <f t="array" ref="S1550">iferror(XLOOKUP(C1550,'Download of SFDC Activation Rep'!B:B,'Download of SFDC Activation Rep'!Y:Y),"")</f>
        <v/>
      </c>
    </row>
    <row r="1551">
      <c r="A1551" s="17"/>
      <c r="B1551" s="85"/>
      <c r="C1551" s="17"/>
      <c r="D1551" s="85"/>
      <c r="E1551" s="17"/>
      <c r="F1551" s="17"/>
      <c r="G1551" s="17"/>
      <c r="I1551" s="17"/>
      <c r="K1551" s="17"/>
      <c r="L1551" s="17"/>
      <c r="M1551" s="17"/>
      <c r="O1551" s="14">
        <f t="shared" si="1"/>
        <v>0</v>
      </c>
      <c r="P1551" s="86" t="str">
        <f t="array" ref="P1551">iferror(XLOOKUP(C1551,'Download of SFDC Activation Rep'!B:B,'Download of SFDC Activation Rep'!Z:Z),"")</f>
        <v/>
      </c>
      <c r="Q1551" s="86" t="str">
        <f t="shared" si="2"/>
        <v/>
      </c>
      <c r="R1551" s="13" t="str">
        <f t="shared" si="3"/>
        <v>Yes</v>
      </c>
      <c r="S1551" s="86" t="str">
        <f t="array" ref="S1551">iferror(XLOOKUP(C1551,'Download of SFDC Activation Rep'!B:B,'Download of SFDC Activation Rep'!Y:Y),"")</f>
        <v/>
      </c>
    </row>
    <row r="1552">
      <c r="A1552" s="17"/>
      <c r="B1552" s="85"/>
      <c r="C1552" s="17"/>
      <c r="D1552" s="85"/>
      <c r="E1552" s="17"/>
      <c r="F1552" s="17"/>
      <c r="G1552" s="17"/>
      <c r="I1552" s="17"/>
      <c r="K1552" s="17"/>
      <c r="L1552" s="17"/>
      <c r="M1552" s="17"/>
      <c r="O1552" s="14">
        <f t="shared" si="1"/>
        <v>0</v>
      </c>
      <c r="P1552" s="86" t="str">
        <f t="array" ref="P1552">iferror(XLOOKUP(C1552,'Download of SFDC Activation Rep'!B:B,'Download of SFDC Activation Rep'!Z:Z),"")</f>
        <v/>
      </c>
      <c r="Q1552" s="86" t="str">
        <f t="shared" si="2"/>
        <v/>
      </c>
      <c r="R1552" s="13" t="str">
        <f t="shared" si="3"/>
        <v>Yes</v>
      </c>
      <c r="S1552" s="86" t="str">
        <f t="array" ref="S1552">iferror(XLOOKUP(C1552,'Download of SFDC Activation Rep'!B:B,'Download of SFDC Activation Rep'!Y:Y),"")</f>
        <v/>
      </c>
    </row>
    <row r="1553">
      <c r="A1553" s="17"/>
      <c r="B1553" s="85"/>
      <c r="C1553" s="17"/>
      <c r="D1553" s="85"/>
      <c r="E1553" s="17"/>
      <c r="F1553" s="17"/>
      <c r="G1553" s="17"/>
      <c r="I1553" s="17"/>
      <c r="K1553" s="17"/>
      <c r="L1553" s="17"/>
      <c r="M1553" s="17"/>
      <c r="O1553" s="14">
        <f t="shared" si="1"/>
        <v>0</v>
      </c>
      <c r="P1553" s="86" t="str">
        <f t="array" ref="P1553">iferror(XLOOKUP(C1553,'Download of SFDC Activation Rep'!B:B,'Download of SFDC Activation Rep'!Z:Z),"")</f>
        <v/>
      </c>
      <c r="Q1553" s="86" t="str">
        <f t="shared" si="2"/>
        <v/>
      </c>
      <c r="R1553" s="13" t="str">
        <f t="shared" si="3"/>
        <v>Yes</v>
      </c>
      <c r="S1553" s="86" t="str">
        <f t="array" ref="S1553">iferror(XLOOKUP(C1553,'Download of SFDC Activation Rep'!B:B,'Download of SFDC Activation Rep'!Y:Y),"")</f>
        <v/>
      </c>
    </row>
    <row r="1554">
      <c r="A1554" s="17"/>
      <c r="B1554" s="85"/>
      <c r="C1554" s="17"/>
      <c r="D1554" s="85"/>
      <c r="E1554" s="17"/>
      <c r="F1554" s="17"/>
      <c r="G1554" s="17"/>
      <c r="I1554" s="17"/>
      <c r="K1554" s="17"/>
      <c r="L1554" s="17"/>
      <c r="M1554" s="17"/>
      <c r="O1554" s="14">
        <f t="shared" si="1"/>
        <v>0</v>
      </c>
      <c r="P1554" s="86" t="str">
        <f t="array" ref="P1554">iferror(XLOOKUP(C1554,'Download of SFDC Activation Rep'!B:B,'Download of SFDC Activation Rep'!Z:Z),"")</f>
        <v/>
      </c>
      <c r="Q1554" s="86" t="str">
        <f t="shared" si="2"/>
        <v/>
      </c>
      <c r="R1554" s="13" t="str">
        <f t="shared" si="3"/>
        <v>Yes</v>
      </c>
      <c r="S1554" s="86" t="str">
        <f t="array" ref="S1554">iferror(XLOOKUP(C1554,'Download of SFDC Activation Rep'!B:B,'Download of SFDC Activation Rep'!Y:Y),"")</f>
        <v/>
      </c>
    </row>
    <row r="1555">
      <c r="A1555" s="17"/>
      <c r="B1555" s="85"/>
      <c r="C1555" s="17"/>
      <c r="D1555" s="85"/>
      <c r="E1555" s="17"/>
      <c r="F1555" s="17"/>
      <c r="G1555" s="17"/>
      <c r="I1555" s="17"/>
      <c r="K1555" s="17"/>
      <c r="L1555" s="17"/>
      <c r="M1555" s="17"/>
      <c r="O1555" s="14">
        <f t="shared" si="1"/>
        <v>0</v>
      </c>
      <c r="P1555" s="86" t="str">
        <f t="array" ref="P1555">iferror(XLOOKUP(C1555,'Download of SFDC Activation Rep'!B:B,'Download of SFDC Activation Rep'!Z:Z),"")</f>
        <v/>
      </c>
      <c r="Q1555" s="86" t="str">
        <f t="shared" si="2"/>
        <v/>
      </c>
      <c r="R1555" s="13" t="str">
        <f t="shared" si="3"/>
        <v>Yes</v>
      </c>
      <c r="S1555" s="86" t="str">
        <f t="array" ref="S1555">iferror(XLOOKUP(C1555,'Download of SFDC Activation Rep'!B:B,'Download of SFDC Activation Rep'!Y:Y),"")</f>
        <v/>
      </c>
    </row>
    <row r="1556">
      <c r="A1556" s="17"/>
      <c r="B1556" s="85"/>
      <c r="C1556" s="17"/>
      <c r="D1556" s="85"/>
      <c r="E1556" s="17"/>
      <c r="F1556" s="17"/>
      <c r="G1556" s="17"/>
      <c r="I1556" s="17"/>
      <c r="K1556" s="17"/>
      <c r="L1556" s="17"/>
      <c r="M1556" s="17"/>
      <c r="O1556" s="14">
        <f t="shared" si="1"/>
        <v>0</v>
      </c>
      <c r="P1556" s="86" t="str">
        <f t="array" ref="P1556">iferror(XLOOKUP(C1556,'Download of SFDC Activation Rep'!B:B,'Download of SFDC Activation Rep'!Z:Z),"")</f>
        <v/>
      </c>
      <c r="Q1556" s="86" t="str">
        <f t="shared" si="2"/>
        <v/>
      </c>
      <c r="R1556" s="13" t="str">
        <f t="shared" si="3"/>
        <v>Yes</v>
      </c>
      <c r="S1556" s="86" t="str">
        <f t="array" ref="S1556">iferror(XLOOKUP(C1556,'Download of SFDC Activation Rep'!B:B,'Download of SFDC Activation Rep'!Y:Y),"")</f>
        <v/>
      </c>
    </row>
    <row r="1557">
      <c r="A1557" s="17"/>
      <c r="B1557" s="85"/>
      <c r="C1557" s="17"/>
      <c r="D1557" s="85"/>
      <c r="E1557" s="17"/>
      <c r="F1557" s="17"/>
      <c r="G1557" s="17"/>
      <c r="I1557" s="17"/>
      <c r="K1557" s="17"/>
      <c r="L1557" s="17"/>
      <c r="M1557" s="17"/>
      <c r="O1557" s="14">
        <f t="shared" si="1"/>
        <v>0</v>
      </c>
      <c r="P1557" s="86" t="str">
        <f t="array" ref="P1557">iferror(XLOOKUP(C1557,'Download of SFDC Activation Rep'!B:B,'Download of SFDC Activation Rep'!Z:Z),"")</f>
        <v/>
      </c>
      <c r="Q1557" s="86" t="str">
        <f t="shared" si="2"/>
        <v/>
      </c>
      <c r="R1557" s="13" t="str">
        <f t="shared" si="3"/>
        <v>Yes</v>
      </c>
      <c r="S1557" s="86" t="str">
        <f t="array" ref="S1557">iferror(XLOOKUP(C1557,'Download of SFDC Activation Rep'!B:B,'Download of SFDC Activation Rep'!Y:Y),"")</f>
        <v/>
      </c>
    </row>
    <row r="1558">
      <c r="A1558" s="17"/>
      <c r="B1558" s="85"/>
      <c r="C1558" s="17"/>
      <c r="D1558" s="85"/>
      <c r="E1558" s="17"/>
      <c r="F1558" s="17"/>
      <c r="G1558" s="17"/>
      <c r="I1558" s="17"/>
      <c r="K1558" s="17"/>
      <c r="L1558" s="17"/>
      <c r="M1558" s="17"/>
      <c r="O1558" s="14">
        <f t="shared" si="1"/>
        <v>0</v>
      </c>
      <c r="P1558" s="86" t="str">
        <f t="array" ref="P1558">iferror(XLOOKUP(C1558,'Download of SFDC Activation Rep'!B:B,'Download of SFDC Activation Rep'!Z:Z),"")</f>
        <v/>
      </c>
      <c r="Q1558" s="86" t="str">
        <f t="shared" si="2"/>
        <v/>
      </c>
      <c r="R1558" s="13" t="str">
        <f t="shared" si="3"/>
        <v>Yes</v>
      </c>
      <c r="S1558" s="86" t="str">
        <f t="array" ref="S1558">iferror(XLOOKUP(C1558,'Download of SFDC Activation Rep'!B:B,'Download of SFDC Activation Rep'!Y:Y),"")</f>
        <v/>
      </c>
    </row>
    <row r="1559">
      <c r="A1559" s="17"/>
      <c r="B1559" s="85"/>
      <c r="C1559" s="17"/>
      <c r="D1559" s="85"/>
      <c r="E1559" s="17"/>
      <c r="F1559" s="17"/>
      <c r="G1559" s="17"/>
      <c r="I1559" s="17"/>
      <c r="K1559" s="17"/>
      <c r="L1559" s="17"/>
      <c r="M1559" s="17"/>
      <c r="O1559" s="14">
        <f t="shared" si="1"/>
        <v>0</v>
      </c>
      <c r="P1559" s="86" t="str">
        <f t="array" ref="P1559">iferror(XLOOKUP(C1559,'Download of SFDC Activation Rep'!B:B,'Download of SFDC Activation Rep'!Z:Z),"")</f>
        <v/>
      </c>
      <c r="Q1559" s="86" t="str">
        <f t="shared" si="2"/>
        <v/>
      </c>
      <c r="R1559" s="13" t="str">
        <f t="shared" si="3"/>
        <v>Yes</v>
      </c>
      <c r="S1559" s="86" t="str">
        <f t="array" ref="S1559">iferror(XLOOKUP(C1559,'Download of SFDC Activation Rep'!B:B,'Download of SFDC Activation Rep'!Y:Y),"")</f>
        <v/>
      </c>
    </row>
    <row r="1560">
      <c r="A1560" s="17"/>
      <c r="B1560" s="85"/>
      <c r="C1560" s="17"/>
      <c r="D1560" s="85"/>
      <c r="E1560" s="17"/>
      <c r="F1560" s="17"/>
      <c r="G1560" s="17"/>
      <c r="I1560" s="17"/>
      <c r="K1560" s="17"/>
      <c r="L1560" s="17"/>
      <c r="M1560" s="17"/>
      <c r="O1560" s="14">
        <f t="shared" si="1"/>
        <v>0</v>
      </c>
      <c r="P1560" s="86" t="str">
        <f t="array" ref="P1560">iferror(XLOOKUP(C1560,'Download of SFDC Activation Rep'!B:B,'Download of SFDC Activation Rep'!Z:Z),"")</f>
        <v/>
      </c>
      <c r="Q1560" s="86" t="str">
        <f t="shared" si="2"/>
        <v/>
      </c>
      <c r="R1560" s="13" t="str">
        <f t="shared" si="3"/>
        <v>Yes</v>
      </c>
      <c r="S1560" s="86" t="str">
        <f t="array" ref="S1560">iferror(XLOOKUP(C1560,'Download of SFDC Activation Rep'!B:B,'Download of SFDC Activation Rep'!Y:Y),"")</f>
        <v/>
      </c>
    </row>
    <row r="1561">
      <c r="A1561" s="17"/>
      <c r="B1561" s="85"/>
      <c r="C1561" s="17"/>
      <c r="D1561" s="85"/>
      <c r="E1561" s="17"/>
      <c r="F1561" s="17"/>
      <c r="G1561" s="17"/>
      <c r="I1561" s="17"/>
      <c r="K1561" s="17"/>
      <c r="L1561" s="17"/>
      <c r="M1561" s="17"/>
      <c r="O1561" s="14">
        <f t="shared" si="1"/>
        <v>0</v>
      </c>
      <c r="P1561" s="86" t="str">
        <f t="array" ref="P1561">iferror(XLOOKUP(C1561,'Download of SFDC Activation Rep'!B:B,'Download of SFDC Activation Rep'!Z:Z),"")</f>
        <v/>
      </c>
      <c r="Q1561" s="86" t="str">
        <f t="shared" si="2"/>
        <v/>
      </c>
      <c r="R1561" s="13" t="str">
        <f t="shared" si="3"/>
        <v>Yes</v>
      </c>
      <c r="S1561" s="86" t="str">
        <f t="array" ref="S1561">iferror(XLOOKUP(C1561,'Download of SFDC Activation Rep'!B:B,'Download of SFDC Activation Rep'!Y:Y),"")</f>
        <v/>
      </c>
    </row>
    <row r="1562">
      <c r="A1562" s="17"/>
      <c r="B1562" s="85"/>
      <c r="C1562" s="17"/>
      <c r="D1562" s="85"/>
      <c r="E1562" s="17"/>
      <c r="F1562" s="17"/>
      <c r="G1562" s="17"/>
      <c r="I1562" s="17"/>
      <c r="K1562" s="17"/>
      <c r="L1562" s="17"/>
      <c r="M1562" s="17"/>
      <c r="O1562" s="14">
        <f t="shared" si="1"/>
        <v>0</v>
      </c>
      <c r="P1562" s="86" t="str">
        <f t="array" ref="P1562">iferror(XLOOKUP(C1562,'Download of SFDC Activation Rep'!B:B,'Download of SFDC Activation Rep'!Z:Z),"")</f>
        <v/>
      </c>
      <c r="Q1562" s="86" t="str">
        <f t="shared" si="2"/>
        <v/>
      </c>
      <c r="R1562" s="13" t="str">
        <f t="shared" si="3"/>
        <v>Yes</v>
      </c>
      <c r="S1562" s="86" t="str">
        <f t="array" ref="S1562">iferror(XLOOKUP(C1562,'Download of SFDC Activation Rep'!B:B,'Download of SFDC Activation Rep'!Y:Y),"")</f>
        <v/>
      </c>
    </row>
    <row r="1563">
      <c r="A1563" s="17"/>
      <c r="B1563" s="85"/>
      <c r="C1563" s="17"/>
      <c r="D1563" s="85"/>
      <c r="E1563" s="17"/>
      <c r="F1563" s="17"/>
      <c r="G1563" s="17"/>
      <c r="I1563" s="17"/>
      <c r="K1563" s="17"/>
      <c r="L1563" s="17"/>
      <c r="M1563" s="17"/>
      <c r="O1563" s="14">
        <f t="shared" si="1"/>
        <v>0</v>
      </c>
      <c r="P1563" s="86" t="str">
        <f t="array" ref="P1563">iferror(XLOOKUP(C1563,'Download of SFDC Activation Rep'!B:B,'Download of SFDC Activation Rep'!Z:Z),"")</f>
        <v/>
      </c>
      <c r="Q1563" s="86" t="str">
        <f t="shared" si="2"/>
        <v/>
      </c>
      <c r="R1563" s="13" t="str">
        <f t="shared" si="3"/>
        <v>Yes</v>
      </c>
      <c r="S1563" s="86" t="str">
        <f t="array" ref="S1563">iferror(XLOOKUP(C1563,'Download of SFDC Activation Rep'!B:B,'Download of SFDC Activation Rep'!Y:Y),"")</f>
        <v/>
      </c>
    </row>
    <row r="1564">
      <c r="A1564" s="17"/>
      <c r="B1564" s="85"/>
      <c r="C1564" s="17"/>
      <c r="D1564" s="85"/>
      <c r="E1564" s="17"/>
      <c r="F1564" s="17"/>
      <c r="G1564" s="17"/>
      <c r="I1564" s="17"/>
      <c r="K1564" s="17"/>
      <c r="L1564" s="17"/>
      <c r="M1564" s="17"/>
      <c r="O1564" s="14">
        <f t="shared" si="1"/>
        <v>0</v>
      </c>
      <c r="P1564" s="86" t="str">
        <f t="array" ref="P1564">iferror(XLOOKUP(C1564,'Download of SFDC Activation Rep'!B:B,'Download of SFDC Activation Rep'!Z:Z),"")</f>
        <v/>
      </c>
      <c r="Q1564" s="86" t="str">
        <f t="shared" si="2"/>
        <v/>
      </c>
      <c r="R1564" s="13" t="str">
        <f t="shared" si="3"/>
        <v>Yes</v>
      </c>
      <c r="S1564" s="86" t="str">
        <f t="array" ref="S1564">iferror(XLOOKUP(C1564,'Download of SFDC Activation Rep'!B:B,'Download of SFDC Activation Rep'!Y:Y),"")</f>
        <v/>
      </c>
    </row>
    <row r="1565">
      <c r="A1565" s="17"/>
      <c r="B1565" s="85"/>
      <c r="C1565" s="17"/>
      <c r="D1565" s="85"/>
      <c r="E1565" s="17"/>
      <c r="F1565" s="17"/>
      <c r="G1565" s="17"/>
      <c r="I1565" s="17"/>
      <c r="K1565" s="17"/>
      <c r="L1565" s="17"/>
      <c r="M1565" s="17"/>
      <c r="O1565" s="14">
        <f t="shared" si="1"/>
        <v>0</v>
      </c>
      <c r="P1565" s="86" t="str">
        <f t="array" ref="P1565">iferror(XLOOKUP(C1565,'Download of SFDC Activation Rep'!B:B,'Download of SFDC Activation Rep'!Z:Z),"")</f>
        <v/>
      </c>
      <c r="Q1565" s="86" t="str">
        <f t="shared" si="2"/>
        <v/>
      </c>
      <c r="R1565" s="13" t="str">
        <f t="shared" si="3"/>
        <v>Yes</v>
      </c>
      <c r="S1565" s="86" t="str">
        <f t="array" ref="S1565">iferror(XLOOKUP(C1565,'Download of SFDC Activation Rep'!B:B,'Download of SFDC Activation Rep'!Y:Y),"")</f>
        <v/>
      </c>
    </row>
    <row r="1566">
      <c r="A1566" s="17"/>
      <c r="B1566" s="85"/>
      <c r="C1566" s="17"/>
      <c r="D1566" s="85"/>
      <c r="E1566" s="17"/>
      <c r="F1566" s="17"/>
      <c r="G1566" s="17"/>
      <c r="I1566" s="17"/>
      <c r="K1566" s="17"/>
      <c r="L1566" s="17"/>
      <c r="M1566" s="17"/>
      <c r="O1566" s="14">
        <f t="shared" si="1"/>
        <v>0</v>
      </c>
      <c r="P1566" s="86" t="str">
        <f t="array" ref="P1566">iferror(XLOOKUP(C1566,'Download of SFDC Activation Rep'!B:B,'Download of SFDC Activation Rep'!Z:Z),"")</f>
        <v/>
      </c>
      <c r="Q1566" s="86" t="str">
        <f t="shared" si="2"/>
        <v/>
      </c>
      <c r="R1566" s="13" t="str">
        <f t="shared" si="3"/>
        <v>Yes</v>
      </c>
      <c r="S1566" s="86" t="str">
        <f t="array" ref="S1566">iferror(XLOOKUP(C1566,'Download of SFDC Activation Rep'!B:B,'Download of SFDC Activation Rep'!Y:Y),"")</f>
        <v/>
      </c>
    </row>
    <row r="1567">
      <c r="A1567" s="17"/>
      <c r="B1567" s="85"/>
      <c r="C1567" s="17"/>
      <c r="D1567" s="85"/>
      <c r="E1567" s="17"/>
      <c r="F1567" s="17"/>
      <c r="G1567" s="17"/>
      <c r="I1567" s="17"/>
      <c r="K1567" s="17"/>
      <c r="L1567" s="17"/>
      <c r="M1567" s="17"/>
      <c r="O1567" s="14">
        <f t="shared" si="1"/>
        <v>0</v>
      </c>
      <c r="P1567" s="86" t="str">
        <f t="array" ref="P1567">iferror(XLOOKUP(C1567,'Download of SFDC Activation Rep'!B:B,'Download of SFDC Activation Rep'!Z:Z),"")</f>
        <v/>
      </c>
      <c r="Q1567" s="86" t="str">
        <f t="shared" si="2"/>
        <v/>
      </c>
      <c r="R1567" s="13" t="str">
        <f t="shared" si="3"/>
        <v>Yes</v>
      </c>
      <c r="S1567" s="86" t="str">
        <f t="array" ref="S1567">iferror(XLOOKUP(C1567,'Download of SFDC Activation Rep'!B:B,'Download of SFDC Activation Rep'!Y:Y),"")</f>
        <v/>
      </c>
    </row>
    <row r="1568">
      <c r="A1568" s="17"/>
      <c r="B1568" s="85"/>
      <c r="C1568" s="17"/>
      <c r="D1568" s="85"/>
      <c r="E1568" s="17"/>
      <c r="F1568" s="17"/>
      <c r="G1568" s="17"/>
      <c r="I1568" s="17"/>
      <c r="K1568" s="17"/>
      <c r="L1568" s="17"/>
      <c r="M1568" s="17"/>
      <c r="O1568" s="14">
        <f t="shared" si="1"/>
        <v>0</v>
      </c>
      <c r="P1568" s="86" t="str">
        <f t="array" ref="P1568">iferror(XLOOKUP(C1568,'Download of SFDC Activation Rep'!B:B,'Download of SFDC Activation Rep'!Z:Z),"")</f>
        <v/>
      </c>
      <c r="Q1568" s="86" t="str">
        <f t="shared" si="2"/>
        <v/>
      </c>
      <c r="R1568" s="13" t="str">
        <f t="shared" si="3"/>
        <v>Yes</v>
      </c>
      <c r="S1568" s="86" t="str">
        <f t="array" ref="S1568">iferror(XLOOKUP(C1568,'Download of SFDC Activation Rep'!B:B,'Download of SFDC Activation Rep'!Y:Y),"")</f>
        <v/>
      </c>
    </row>
    <row r="1569">
      <c r="A1569" s="17"/>
      <c r="B1569" s="85"/>
      <c r="C1569" s="17"/>
      <c r="D1569" s="85"/>
      <c r="E1569" s="17"/>
      <c r="F1569" s="17"/>
      <c r="G1569" s="17"/>
      <c r="I1569" s="17"/>
      <c r="K1569" s="17"/>
      <c r="L1569" s="17"/>
      <c r="M1569" s="17"/>
      <c r="O1569" s="14">
        <f t="shared" si="1"/>
        <v>0</v>
      </c>
      <c r="P1569" s="86" t="str">
        <f t="array" ref="P1569">iferror(XLOOKUP(C1569,'Download of SFDC Activation Rep'!B:B,'Download of SFDC Activation Rep'!Z:Z),"")</f>
        <v/>
      </c>
      <c r="Q1569" s="86" t="str">
        <f t="shared" si="2"/>
        <v/>
      </c>
      <c r="R1569" s="13" t="str">
        <f t="shared" si="3"/>
        <v>Yes</v>
      </c>
      <c r="S1569" s="86" t="str">
        <f t="array" ref="S1569">iferror(XLOOKUP(C1569,'Download of SFDC Activation Rep'!B:B,'Download of SFDC Activation Rep'!Y:Y),"")</f>
        <v/>
      </c>
    </row>
    <row r="1570">
      <c r="A1570" s="17"/>
      <c r="B1570" s="85"/>
      <c r="C1570" s="17"/>
      <c r="D1570" s="85"/>
      <c r="E1570" s="17"/>
      <c r="F1570" s="17"/>
      <c r="G1570" s="17"/>
      <c r="I1570" s="17"/>
      <c r="K1570" s="17"/>
      <c r="L1570" s="17"/>
      <c r="M1570" s="17"/>
      <c r="O1570" s="14">
        <f t="shared" si="1"/>
        <v>0</v>
      </c>
      <c r="P1570" s="86" t="str">
        <f t="array" ref="P1570">iferror(XLOOKUP(C1570,'Download of SFDC Activation Rep'!B:B,'Download of SFDC Activation Rep'!Z:Z),"")</f>
        <v/>
      </c>
      <c r="Q1570" s="86" t="str">
        <f t="shared" si="2"/>
        <v/>
      </c>
      <c r="R1570" s="13" t="str">
        <f t="shared" si="3"/>
        <v>Yes</v>
      </c>
      <c r="S1570" s="86" t="str">
        <f t="array" ref="S1570">iferror(XLOOKUP(C1570,'Download of SFDC Activation Rep'!B:B,'Download of SFDC Activation Rep'!Y:Y),"")</f>
        <v/>
      </c>
    </row>
    <row r="1571">
      <c r="A1571" s="17"/>
      <c r="B1571" s="85"/>
      <c r="C1571" s="17"/>
      <c r="D1571" s="85"/>
      <c r="E1571" s="17"/>
      <c r="F1571" s="17"/>
      <c r="G1571" s="17"/>
      <c r="I1571" s="17"/>
      <c r="K1571" s="17"/>
      <c r="L1571" s="17"/>
      <c r="M1571" s="17"/>
      <c r="O1571" s="14">
        <f t="shared" si="1"/>
        <v>0</v>
      </c>
      <c r="P1571" s="86" t="str">
        <f t="array" ref="P1571">iferror(XLOOKUP(C1571,'Download of SFDC Activation Rep'!B:B,'Download of SFDC Activation Rep'!Z:Z),"")</f>
        <v/>
      </c>
      <c r="Q1571" s="86" t="str">
        <f t="shared" si="2"/>
        <v/>
      </c>
      <c r="R1571" s="13" t="str">
        <f t="shared" si="3"/>
        <v>Yes</v>
      </c>
      <c r="S1571" s="86" t="str">
        <f t="array" ref="S1571">iferror(XLOOKUP(C1571,'Download of SFDC Activation Rep'!B:B,'Download of SFDC Activation Rep'!Y:Y),"")</f>
        <v/>
      </c>
    </row>
    <row r="1572">
      <c r="A1572" s="17"/>
      <c r="B1572" s="85"/>
      <c r="C1572" s="17"/>
      <c r="D1572" s="85"/>
      <c r="E1572" s="17"/>
      <c r="F1572" s="17"/>
      <c r="G1572" s="17"/>
      <c r="I1572" s="17"/>
      <c r="K1572" s="17"/>
      <c r="L1572" s="17"/>
      <c r="M1572" s="17"/>
      <c r="O1572" s="14">
        <f t="shared" si="1"/>
        <v>0</v>
      </c>
      <c r="P1572" s="86" t="str">
        <f t="array" ref="P1572">iferror(XLOOKUP(C1572,'Download of SFDC Activation Rep'!B:B,'Download of SFDC Activation Rep'!Z:Z),"")</f>
        <v/>
      </c>
      <c r="Q1572" s="86" t="str">
        <f t="shared" si="2"/>
        <v/>
      </c>
      <c r="R1572" s="13" t="str">
        <f t="shared" si="3"/>
        <v>Yes</v>
      </c>
      <c r="S1572" s="86" t="str">
        <f t="array" ref="S1572">iferror(XLOOKUP(C1572,'Download of SFDC Activation Rep'!B:B,'Download of SFDC Activation Rep'!Y:Y),"")</f>
        <v/>
      </c>
    </row>
    <row r="1573">
      <c r="A1573" s="17"/>
      <c r="B1573" s="85"/>
      <c r="C1573" s="17"/>
      <c r="D1573" s="85"/>
      <c r="E1573" s="17"/>
      <c r="F1573" s="17"/>
      <c r="G1573" s="17"/>
      <c r="I1573" s="17"/>
      <c r="K1573" s="17"/>
      <c r="L1573" s="17"/>
      <c r="M1573" s="17"/>
      <c r="O1573" s="14">
        <f t="shared" si="1"/>
        <v>0</v>
      </c>
      <c r="P1573" s="86" t="str">
        <f t="array" ref="P1573">iferror(XLOOKUP(C1573,'Download of SFDC Activation Rep'!B:B,'Download of SFDC Activation Rep'!Z:Z),"")</f>
        <v/>
      </c>
      <c r="Q1573" s="86" t="str">
        <f t="shared" si="2"/>
        <v/>
      </c>
      <c r="R1573" s="13" t="str">
        <f t="shared" si="3"/>
        <v>Yes</v>
      </c>
      <c r="S1573" s="86" t="str">
        <f t="array" ref="S1573">iferror(XLOOKUP(C1573,'Download of SFDC Activation Rep'!B:B,'Download of SFDC Activation Rep'!Y:Y),"")</f>
        <v/>
      </c>
    </row>
    <row r="1574">
      <c r="A1574" s="17"/>
      <c r="B1574" s="85"/>
      <c r="C1574" s="17"/>
      <c r="D1574" s="85"/>
      <c r="E1574" s="17"/>
      <c r="F1574" s="17"/>
      <c r="G1574" s="17"/>
      <c r="I1574" s="17"/>
      <c r="K1574" s="17"/>
      <c r="L1574" s="17"/>
      <c r="M1574" s="17"/>
      <c r="O1574" s="14">
        <f t="shared" si="1"/>
        <v>0</v>
      </c>
      <c r="P1574" s="86" t="str">
        <f t="array" ref="P1574">iferror(XLOOKUP(C1574,'Download of SFDC Activation Rep'!B:B,'Download of SFDC Activation Rep'!Z:Z),"")</f>
        <v/>
      </c>
      <c r="Q1574" s="86" t="str">
        <f t="shared" si="2"/>
        <v/>
      </c>
      <c r="R1574" s="13" t="str">
        <f t="shared" si="3"/>
        <v>Yes</v>
      </c>
      <c r="S1574" s="86" t="str">
        <f t="array" ref="S1574">iferror(XLOOKUP(C1574,'Download of SFDC Activation Rep'!B:B,'Download of SFDC Activation Rep'!Y:Y),"")</f>
        <v/>
      </c>
    </row>
    <row r="1575">
      <c r="A1575" s="17"/>
      <c r="B1575" s="85"/>
      <c r="C1575" s="17"/>
      <c r="D1575" s="85"/>
      <c r="E1575" s="17"/>
      <c r="F1575" s="17"/>
      <c r="G1575" s="17"/>
      <c r="I1575" s="17"/>
      <c r="K1575" s="17"/>
      <c r="L1575" s="17"/>
      <c r="M1575" s="17"/>
      <c r="O1575" s="14">
        <f t="shared" si="1"/>
        <v>0</v>
      </c>
      <c r="P1575" s="86" t="str">
        <f t="array" ref="P1575">iferror(XLOOKUP(C1575,'Download of SFDC Activation Rep'!B:B,'Download of SFDC Activation Rep'!Z:Z),"")</f>
        <v/>
      </c>
      <c r="Q1575" s="86" t="str">
        <f t="shared" si="2"/>
        <v/>
      </c>
      <c r="R1575" s="13" t="str">
        <f t="shared" si="3"/>
        <v>Yes</v>
      </c>
      <c r="S1575" s="86" t="str">
        <f t="array" ref="S1575">iferror(XLOOKUP(C1575,'Download of SFDC Activation Rep'!B:B,'Download of SFDC Activation Rep'!Y:Y),"")</f>
        <v/>
      </c>
    </row>
    <row r="1576">
      <c r="A1576" s="17"/>
      <c r="B1576" s="85"/>
      <c r="C1576" s="17"/>
      <c r="D1576" s="85"/>
      <c r="E1576" s="17"/>
      <c r="F1576" s="17"/>
      <c r="G1576" s="17"/>
      <c r="I1576" s="17"/>
      <c r="K1576" s="17"/>
      <c r="L1576" s="17"/>
      <c r="M1576" s="17"/>
      <c r="O1576" s="14">
        <f t="shared" si="1"/>
        <v>0</v>
      </c>
      <c r="P1576" s="86" t="str">
        <f t="array" ref="P1576">iferror(XLOOKUP(C1576,'Download of SFDC Activation Rep'!B:B,'Download of SFDC Activation Rep'!Z:Z),"")</f>
        <v/>
      </c>
      <c r="Q1576" s="86" t="str">
        <f t="shared" si="2"/>
        <v/>
      </c>
      <c r="R1576" s="13" t="str">
        <f t="shared" si="3"/>
        <v>Yes</v>
      </c>
      <c r="S1576" s="86" t="str">
        <f t="array" ref="S1576">iferror(XLOOKUP(C1576,'Download of SFDC Activation Rep'!B:B,'Download of SFDC Activation Rep'!Y:Y),"")</f>
        <v/>
      </c>
    </row>
    <row r="1577">
      <c r="A1577" s="17"/>
      <c r="B1577" s="85"/>
      <c r="C1577" s="17"/>
      <c r="D1577" s="85"/>
      <c r="E1577" s="17"/>
      <c r="F1577" s="17"/>
      <c r="G1577" s="17"/>
      <c r="I1577" s="17"/>
      <c r="K1577" s="17"/>
      <c r="L1577" s="17"/>
      <c r="M1577" s="17"/>
      <c r="O1577" s="14">
        <f t="shared" si="1"/>
        <v>0</v>
      </c>
      <c r="P1577" s="86" t="str">
        <f t="array" ref="P1577">iferror(XLOOKUP(C1577,'Download of SFDC Activation Rep'!B:B,'Download of SFDC Activation Rep'!Z:Z),"")</f>
        <v/>
      </c>
      <c r="Q1577" s="86" t="str">
        <f t="shared" si="2"/>
        <v/>
      </c>
      <c r="R1577" s="13" t="str">
        <f t="shared" si="3"/>
        <v>Yes</v>
      </c>
      <c r="S1577" s="86" t="str">
        <f t="array" ref="S1577">iferror(XLOOKUP(C1577,'Download of SFDC Activation Rep'!B:B,'Download of SFDC Activation Rep'!Y:Y),"")</f>
        <v/>
      </c>
    </row>
    <row r="1578">
      <c r="A1578" s="17"/>
      <c r="B1578" s="85"/>
      <c r="C1578" s="17"/>
      <c r="D1578" s="85"/>
      <c r="E1578" s="17"/>
      <c r="F1578" s="17"/>
      <c r="G1578" s="17"/>
      <c r="I1578" s="17"/>
      <c r="K1578" s="17"/>
      <c r="L1578" s="17"/>
      <c r="M1578" s="17"/>
      <c r="O1578" s="14">
        <f t="shared" si="1"/>
        <v>0</v>
      </c>
      <c r="P1578" s="86" t="str">
        <f t="array" ref="P1578">iferror(XLOOKUP(C1578,'Download of SFDC Activation Rep'!B:B,'Download of SFDC Activation Rep'!Z:Z),"")</f>
        <v/>
      </c>
      <c r="Q1578" s="86" t="str">
        <f t="shared" si="2"/>
        <v/>
      </c>
      <c r="R1578" s="13" t="str">
        <f t="shared" si="3"/>
        <v>Yes</v>
      </c>
      <c r="S1578" s="86" t="str">
        <f t="array" ref="S1578">iferror(XLOOKUP(C1578,'Download of SFDC Activation Rep'!B:B,'Download of SFDC Activation Rep'!Y:Y),"")</f>
        <v/>
      </c>
    </row>
    <row r="1579">
      <c r="A1579" s="17"/>
      <c r="B1579" s="85"/>
      <c r="C1579" s="17"/>
      <c r="D1579" s="85"/>
      <c r="E1579" s="17"/>
      <c r="F1579" s="17"/>
      <c r="G1579" s="17"/>
      <c r="I1579" s="17"/>
      <c r="K1579" s="17"/>
      <c r="L1579" s="17"/>
      <c r="M1579" s="17"/>
      <c r="O1579" s="14">
        <f t="shared" si="1"/>
        <v>0</v>
      </c>
      <c r="P1579" s="86" t="str">
        <f t="array" ref="P1579">iferror(XLOOKUP(C1579,'Download of SFDC Activation Rep'!B:B,'Download of SFDC Activation Rep'!Z:Z),"")</f>
        <v/>
      </c>
      <c r="Q1579" s="86" t="str">
        <f t="shared" si="2"/>
        <v/>
      </c>
      <c r="R1579" s="13" t="str">
        <f t="shared" si="3"/>
        <v>Yes</v>
      </c>
      <c r="S1579" s="86" t="str">
        <f t="array" ref="S1579">iferror(XLOOKUP(C1579,'Download of SFDC Activation Rep'!B:B,'Download of SFDC Activation Rep'!Y:Y),"")</f>
        <v/>
      </c>
    </row>
    <row r="1580">
      <c r="A1580" s="17"/>
      <c r="B1580" s="85"/>
      <c r="C1580" s="17"/>
      <c r="D1580" s="85"/>
      <c r="E1580" s="17"/>
      <c r="F1580" s="17"/>
      <c r="G1580" s="17"/>
      <c r="I1580" s="17"/>
      <c r="K1580" s="17"/>
      <c r="L1580" s="17"/>
      <c r="M1580" s="17"/>
      <c r="O1580" s="14">
        <f t="shared" si="1"/>
        <v>0</v>
      </c>
      <c r="P1580" s="86" t="str">
        <f t="array" ref="P1580">iferror(XLOOKUP(C1580,'Download of SFDC Activation Rep'!B:B,'Download of SFDC Activation Rep'!Z:Z),"")</f>
        <v/>
      </c>
      <c r="Q1580" s="86" t="str">
        <f t="shared" si="2"/>
        <v/>
      </c>
      <c r="R1580" s="13" t="str">
        <f t="shared" si="3"/>
        <v>Yes</v>
      </c>
      <c r="S1580" s="86" t="str">
        <f t="array" ref="S1580">iferror(XLOOKUP(C1580,'Download of SFDC Activation Rep'!B:B,'Download of SFDC Activation Rep'!Y:Y),"")</f>
        <v/>
      </c>
    </row>
    <row r="1581">
      <c r="A1581" s="17"/>
      <c r="B1581" s="85"/>
      <c r="C1581" s="17"/>
      <c r="D1581" s="85"/>
      <c r="E1581" s="17"/>
      <c r="F1581" s="17"/>
      <c r="G1581" s="17"/>
      <c r="I1581" s="17"/>
      <c r="K1581" s="17"/>
      <c r="L1581" s="17"/>
      <c r="M1581" s="17"/>
      <c r="O1581" s="14">
        <f t="shared" si="1"/>
        <v>0</v>
      </c>
      <c r="P1581" s="86" t="str">
        <f t="array" ref="P1581">iferror(XLOOKUP(C1581,'Download of SFDC Activation Rep'!B:B,'Download of SFDC Activation Rep'!Z:Z),"")</f>
        <v/>
      </c>
      <c r="Q1581" s="86" t="str">
        <f t="shared" si="2"/>
        <v/>
      </c>
      <c r="R1581" s="13" t="str">
        <f t="shared" si="3"/>
        <v>Yes</v>
      </c>
      <c r="S1581" s="86" t="str">
        <f t="array" ref="S1581">iferror(XLOOKUP(C1581,'Download of SFDC Activation Rep'!B:B,'Download of SFDC Activation Rep'!Y:Y),"")</f>
        <v/>
      </c>
    </row>
    <row r="1582">
      <c r="A1582" s="17"/>
      <c r="B1582" s="85"/>
      <c r="C1582" s="17"/>
      <c r="D1582" s="85"/>
      <c r="E1582" s="17"/>
      <c r="F1582" s="17"/>
      <c r="G1582" s="17"/>
      <c r="I1582" s="17"/>
      <c r="K1582" s="17"/>
      <c r="L1582" s="17"/>
      <c r="M1582" s="17"/>
      <c r="O1582" s="14">
        <f t="shared" si="1"/>
        <v>0</v>
      </c>
      <c r="P1582" s="86" t="str">
        <f t="array" ref="P1582">iferror(XLOOKUP(C1582,'Download of SFDC Activation Rep'!B:B,'Download of SFDC Activation Rep'!Z:Z),"")</f>
        <v/>
      </c>
      <c r="Q1582" s="86" t="str">
        <f t="shared" si="2"/>
        <v/>
      </c>
      <c r="R1582" s="13" t="str">
        <f t="shared" si="3"/>
        <v>Yes</v>
      </c>
      <c r="S1582" s="86" t="str">
        <f t="array" ref="S1582">iferror(XLOOKUP(C1582,'Download of SFDC Activation Rep'!B:B,'Download of SFDC Activation Rep'!Y:Y),"")</f>
        <v/>
      </c>
    </row>
    <row r="1583">
      <c r="A1583" s="17"/>
      <c r="B1583" s="85"/>
      <c r="C1583" s="17"/>
      <c r="D1583" s="85"/>
      <c r="E1583" s="17"/>
      <c r="F1583" s="17"/>
      <c r="G1583" s="17"/>
      <c r="I1583" s="17"/>
      <c r="K1583" s="17"/>
      <c r="L1583" s="17"/>
      <c r="M1583" s="17"/>
      <c r="O1583" s="14">
        <f t="shared" si="1"/>
        <v>0</v>
      </c>
      <c r="P1583" s="86" t="str">
        <f t="array" ref="P1583">iferror(XLOOKUP(C1583,'Download of SFDC Activation Rep'!B:B,'Download of SFDC Activation Rep'!Z:Z),"")</f>
        <v/>
      </c>
      <c r="Q1583" s="86" t="str">
        <f t="shared" si="2"/>
        <v/>
      </c>
      <c r="R1583" s="13" t="str">
        <f t="shared" si="3"/>
        <v>Yes</v>
      </c>
      <c r="S1583" s="86" t="str">
        <f t="array" ref="S1583">iferror(XLOOKUP(C1583,'Download of SFDC Activation Rep'!B:B,'Download of SFDC Activation Rep'!Y:Y),"")</f>
        <v/>
      </c>
    </row>
    <row r="1584">
      <c r="A1584" s="17"/>
      <c r="B1584" s="85"/>
      <c r="C1584" s="17"/>
      <c r="D1584" s="85"/>
      <c r="E1584" s="17"/>
      <c r="F1584" s="17"/>
      <c r="G1584" s="17"/>
      <c r="I1584" s="17"/>
      <c r="K1584" s="17"/>
      <c r="L1584" s="17"/>
      <c r="M1584" s="17"/>
      <c r="O1584" s="14">
        <f t="shared" si="1"/>
        <v>0</v>
      </c>
      <c r="P1584" s="86" t="str">
        <f t="array" ref="P1584">iferror(XLOOKUP(C1584,'Download of SFDC Activation Rep'!B:B,'Download of SFDC Activation Rep'!Z:Z),"")</f>
        <v/>
      </c>
      <c r="Q1584" s="86" t="str">
        <f t="shared" si="2"/>
        <v/>
      </c>
      <c r="R1584" s="13" t="str">
        <f t="shared" si="3"/>
        <v>Yes</v>
      </c>
      <c r="S1584" s="86" t="str">
        <f t="array" ref="S1584">iferror(XLOOKUP(C1584,'Download of SFDC Activation Rep'!B:B,'Download of SFDC Activation Rep'!Y:Y),"")</f>
        <v/>
      </c>
    </row>
    <row r="1585">
      <c r="A1585" s="17"/>
      <c r="B1585" s="85"/>
      <c r="C1585" s="17"/>
      <c r="D1585" s="85"/>
      <c r="E1585" s="17"/>
      <c r="F1585" s="17"/>
      <c r="G1585" s="17"/>
      <c r="I1585" s="17"/>
      <c r="K1585" s="17"/>
      <c r="L1585" s="17"/>
      <c r="M1585" s="17"/>
      <c r="O1585" s="14">
        <f t="shared" si="1"/>
        <v>0</v>
      </c>
      <c r="P1585" s="86" t="str">
        <f t="array" ref="P1585">iferror(XLOOKUP(C1585,'Download of SFDC Activation Rep'!B:B,'Download of SFDC Activation Rep'!Z:Z),"")</f>
        <v/>
      </c>
      <c r="Q1585" s="86" t="str">
        <f t="shared" si="2"/>
        <v/>
      </c>
      <c r="R1585" s="13" t="str">
        <f t="shared" si="3"/>
        <v>Yes</v>
      </c>
      <c r="S1585" s="86" t="str">
        <f t="array" ref="S1585">iferror(XLOOKUP(C1585,'Download of SFDC Activation Rep'!B:B,'Download of SFDC Activation Rep'!Y:Y),"")</f>
        <v/>
      </c>
    </row>
    <row r="1586">
      <c r="A1586" s="17"/>
      <c r="B1586" s="85"/>
      <c r="C1586" s="17"/>
      <c r="D1586" s="85"/>
      <c r="E1586" s="17"/>
      <c r="F1586" s="17"/>
      <c r="G1586" s="17"/>
      <c r="I1586" s="17"/>
      <c r="K1586" s="17"/>
      <c r="L1586" s="17"/>
      <c r="M1586" s="17"/>
      <c r="O1586" s="14">
        <f t="shared" si="1"/>
        <v>0</v>
      </c>
      <c r="P1586" s="86" t="str">
        <f t="array" ref="P1586">iferror(XLOOKUP(C1586,'Download of SFDC Activation Rep'!B:B,'Download of SFDC Activation Rep'!Z:Z),"")</f>
        <v/>
      </c>
      <c r="Q1586" s="86" t="str">
        <f t="shared" si="2"/>
        <v/>
      </c>
      <c r="R1586" s="13" t="str">
        <f t="shared" si="3"/>
        <v>Yes</v>
      </c>
      <c r="S1586" s="86" t="str">
        <f t="array" ref="S1586">iferror(XLOOKUP(C1586,'Download of SFDC Activation Rep'!B:B,'Download of SFDC Activation Rep'!Y:Y),"")</f>
        <v/>
      </c>
    </row>
    <row r="1587">
      <c r="A1587" s="17"/>
      <c r="B1587" s="85"/>
      <c r="C1587" s="17"/>
      <c r="D1587" s="85"/>
      <c r="E1587" s="17"/>
      <c r="F1587" s="17"/>
      <c r="G1587" s="17"/>
      <c r="I1587" s="17"/>
      <c r="K1587" s="17"/>
      <c r="L1587" s="17"/>
      <c r="M1587" s="17"/>
      <c r="O1587" s="14">
        <f t="shared" si="1"/>
        <v>0</v>
      </c>
      <c r="P1587" s="86" t="str">
        <f t="array" ref="P1587">iferror(XLOOKUP(C1587,'Download of SFDC Activation Rep'!B:B,'Download of SFDC Activation Rep'!Z:Z),"")</f>
        <v/>
      </c>
      <c r="Q1587" s="86" t="str">
        <f t="shared" si="2"/>
        <v/>
      </c>
      <c r="R1587" s="13" t="str">
        <f t="shared" si="3"/>
        <v>Yes</v>
      </c>
      <c r="S1587" s="86" t="str">
        <f t="array" ref="S1587">iferror(XLOOKUP(C1587,'Download of SFDC Activation Rep'!B:B,'Download of SFDC Activation Rep'!Y:Y),"")</f>
        <v/>
      </c>
    </row>
    <row r="1588">
      <c r="A1588" s="17"/>
      <c r="B1588" s="85"/>
      <c r="C1588" s="17"/>
      <c r="D1588" s="85"/>
      <c r="E1588" s="17"/>
      <c r="F1588" s="17"/>
      <c r="G1588" s="17"/>
      <c r="I1588" s="17"/>
      <c r="K1588" s="17"/>
      <c r="L1588" s="17"/>
      <c r="M1588" s="17"/>
      <c r="O1588" s="14">
        <f t="shared" si="1"/>
        <v>0</v>
      </c>
      <c r="P1588" s="86" t="str">
        <f t="array" ref="P1588">iferror(XLOOKUP(C1588,'Download of SFDC Activation Rep'!B:B,'Download of SFDC Activation Rep'!Z:Z),"")</f>
        <v/>
      </c>
      <c r="Q1588" s="86" t="str">
        <f t="shared" si="2"/>
        <v/>
      </c>
      <c r="R1588" s="13" t="str">
        <f t="shared" si="3"/>
        <v>Yes</v>
      </c>
      <c r="S1588" s="86" t="str">
        <f t="array" ref="S1588">iferror(XLOOKUP(C1588,'Download of SFDC Activation Rep'!B:B,'Download of SFDC Activation Rep'!Y:Y),"")</f>
        <v/>
      </c>
    </row>
    <row r="1589">
      <c r="A1589" s="17"/>
      <c r="B1589" s="85"/>
      <c r="C1589" s="17"/>
      <c r="D1589" s="85"/>
      <c r="E1589" s="17"/>
      <c r="F1589" s="17"/>
      <c r="G1589" s="17"/>
      <c r="I1589" s="17"/>
      <c r="K1589" s="17"/>
      <c r="L1589" s="17"/>
      <c r="M1589" s="17"/>
      <c r="O1589" s="14">
        <f t="shared" si="1"/>
        <v>0</v>
      </c>
      <c r="P1589" s="86" t="str">
        <f t="array" ref="P1589">iferror(XLOOKUP(C1589,'Download of SFDC Activation Rep'!B:B,'Download of SFDC Activation Rep'!Z:Z),"")</f>
        <v/>
      </c>
      <c r="Q1589" s="86" t="str">
        <f t="shared" si="2"/>
        <v/>
      </c>
      <c r="R1589" s="13" t="str">
        <f t="shared" si="3"/>
        <v>Yes</v>
      </c>
      <c r="S1589" s="86" t="str">
        <f t="array" ref="S1589">iferror(XLOOKUP(C1589,'Download of SFDC Activation Rep'!B:B,'Download of SFDC Activation Rep'!Y:Y),"")</f>
        <v/>
      </c>
    </row>
    <row r="1590">
      <c r="A1590" s="17"/>
      <c r="B1590" s="85"/>
      <c r="C1590" s="17"/>
      <c r="D1590" s="85"/>
      <c r="E1590" s="17"/>
      <c r="F1590" s="17"/>
      <c r="G1590" s="17"/>
      <c r="I1590" s="17"/>
      <c r="K1590" s="17"/>
      <c r="L1590" s="17"/>
      <c r="M1590" s="17"/>
      <c r="O1590" s="14">
        <f t="shared" si="1"/>
        <v>0</v>
      </c>
      <c r="P1590" s="86" t="str">
        <f t="array" ref="P1590">iferror(XLOOKUP(C1590,'Download of SFDC Activation Rep'!B:B,'Download of SFDC Activation Rep'!Z:Z),"")</f>
        <v/>
      </c>
      <c r="Q1590" s="86" t="str">
        <f t="shared" si="2"/>
        <v/>
      </c>
      <c r="R1590" s="13" t="str">
        <f t="shared" si="3"/>
        <v>Yes</v>
      </c>
      <c r="S1590" s="86" t="str">
        <f t="array" ref="S1590">iferror(XLOOKUP(C1590,'Download of SFDC Activation Rep'!B:B,'Download of SFDC Activation Rep'!Y:Y),"")</f>
        <v/>
      </c>
    </row>
    <row r="1591">
      <c r="A1591" s="17"/>
      <c r="B1591" s="85"/>
      <c r="C1591" s="17"/>
      <c r="D1591" s="85"/>
      <c r="E1591" s="17"/>
      <c r="F1591" s="17"/>
      <c r="G1591" s="17"/>
      <c r="I1591" s="17"/>
      <c r="K1591" s="17"/>
      <c r="L1591" s="17"/>
      <c r="M1591" s="17"/>
      <c r="O1591" s="14">
        <f t="shared" si="1"/>
        <v>0</v>
      </c>
      <c r="P1591" s="86" t="str">
        <f t="array" ref="P1591">iferror(XLOOKUP(C1591,'Download of SFDC Activation Rep'!B:B,'Download of SFDC Activation Rep'!Z:Z),"")</f>
        <v/>
      </c>
      <c r="Q1591" s="86" t="str">
        <f t="shared" si="2"/>
        <v/>
      </c>
      <c r="R1591" s="13" t="str">
        <f t="shared" si="3"/>
        <v>Yes</v>
      </c>
      <c r="S1591" s="86" t="str">
        <f t="array" ref="S1591">iferror(XLOOKUP(C1591,'Download of SFDC Activation Rep'!B:B,'Download of SFDC Activation Rep'!Y:Y),"")</f>
        <v/>
      </c>
    </row>
    <row r="1592">
      <c r="A1592" s="17"/>
      <c r="B1592" s="85"/>
      <c r="C1592" s="17"/>
      <c r="D1592" s="85"/>
      <c r="E1592" s="17"/>
      <c r="F1592" s="17"/>
      <c r="G1592" s="17"/>
      <c r="I1592" s="17"/>
      <c r="K1592" s="17"/>
      <c r="L1592" s="17"/>
      <c r="M1592" s="17"/>
      <c r="O1592" s="14">
        <f t="shared" si="1"/>
        <v>0</v>
      </c>
      <c r="P1592" s="86" t="str">
        <f t="array" ref="P1592">iferror(XLOOKUP(C1592,'Download of SFDC Activation Rep'!B:B,'Download of SFDC Activation Rep'!Z:Z),"")</f>
        <v/>
      </c>
      <c r="Q1592" s="86" t="str">
        <f t="shared" si="2"/>
        <v/>
      </c>
      <c r="R1592" s="13" t="str">
        <f t="shared" si="3"/>
        <v>Yes</v>
      </c>
      <c r="S1592" s="86" t="str">
        <f t="array" ref="S1592">iferror(XLOOKUP(C1592,'Download of SFDC Activation Rep'!B:B,'Download of SFDC Activation Rep'!Y:Y),"")</f>
        <v/>
      </c>
    </row>
    <row r="1593">
      <c r="A1593" s="17"/>
      <c r="B1593" s="85"/>
      <c r="C1593" s="17"/>
      <c r="D1593" s="85"/>
      <c r="E1593" s="17"/>
      <c r="F1593" s="17"/>
      <c r="G1593" s="17"/>
      <c r="I1593" s="17"/>
      <c r="K1593" s="17"/>
      <c r="L1593" s="17"/>
      <c r="M1593" s="17"/>
      <c r="O1593" s="14">
        <f t="shared" si="1"/>
        <v>0</v>
      </c>
      <c r="P1593" s="86" t="str">
        <f t="array" ref="P1593">iferror(XLOOKUP(C1593,'Download of SFDC Activation Rep'!B:B,'Download of SFDC Activation Rep'!Z:Z),"")</f>
        <v/>
      </c>
      <c r="Q1593" s="86" t="str">
        <f t="shared" si="2"/>
        <v/>
      </c>
      <c r="R1593" s="13" t="str">
        <f t="shared" si="3"/>
        <v>Yes</v>
      </c>
      <c r="S1593" s="86" t="str">
        <f t="array" ref="S1593">iferror(XLOOKUP(C1593,'Download of SFDC Activation Rep'!B:B,'Download of SFDC Activation Rep'!Y:Y),"")</f>
        <v/>
      </c>
    </row>
    <row r="1594">
      <c r="A1594" s="17"/>
      <c r="B1594" s="85"/>
      <c r="C1594" s="17"/>
      <c r="D1594" s="85"/>
      <c r="E1594" s="17"/>
      <c r="F1594" s="17"/>
      <c r="G1594" s="17"/>
      <c r="I1594" s="17"/>
      <c r="K1594" s="17"/>
      <c r="L1594" s="17"/>
      <c r="M1594" s="17"/>
      <c r="O1594" s="14">
        <f t="shared" si="1"/>
        <v>0</v>
      </c>
      <c r="P1594" s="86" t="str">
        <f t="array" ref="P1594">iferror(XLOOKUP(C1594,'Download of SFDC Activation Rep'!B:B,'Download of SFDC Activation Rep'!Z:Z),"")</f>
        <v/>
      </c>
      <c r="Q1594" s="86" t="str">
        <f t="shared" si="2"/>
        <v/>
      </c>
      <c r="R1594" s="13" t="str">
        <f t="shared" si="3"/>
        <v>Yes</v>
      </c>
      <c r="S1594" s="86" t="str">
        <f t="array" ref="S1594">iferror(XLOOKUP(C1594,'Download of SFDC Activation Rep'!B:B,'Download of SFDC Activation Rep'!Y:Y),"")</f>
        <v/>
      </c>
    </row>
    <row r="1595">
      <c r="A1595" s="17"/>
      <c r="B1595" s="85"/>
      <c r="C1595" s="17"/>
      <c r="D1595" s="85"/>
      <c r="E1595" s="17"/>
      <c r="F1595" s="17"/>
      <c r="G1595" s="17"/>
      <c r="I1595" s="17"/>
      <c r="K1595" s="17"/>
      <c r="L1595" s="17"/>
      <c r="M1595" s="17"/>
      <c r="O1595" s="14">
        <f t="shared" si="1"/>
        <v>0</v>
      </c>
      <c r="P1595" s="86" t="str">
        <f t="array" ref="P1595">iferror(XLOOKUP(C1595,'Download of SFDC Activation Rep'!B:B,'Download of SFDC Activation Rep'!Z:Z),"")</f>
        <v/>
      </c>
      <c r="Q1595" s="86" t="str">
        <f t="shared" si="2"/>
        <v/>
      </c>
      <c r="R1595" s="13" t="str">
        <f t="shared" si="3"/>
        <v>Yes</v>
      </c>
      <c r="S1595" s="86" t="str">
        <f t="array" ref="S1595">iferror(XLOOKUP(C1595,'Download of SFDC Activation Rep'!B:B,'Download of SFDC Activation Rep'!Y:Y),"")</f>
        <v/>
      </c>
    </row>
    <row r="1596">
      <c r="A1596" s="17"/>
      <c r="B1596" s="85"/>
      <c r="C1596" s="17"/>
      <c r="D1596" s="85"/>
      <c r="E1596" s="17"/>
      <c r="F1596" s="17"/>
      <c r="G1596" s="17"/>
      <c r="I1596" s="17"/>
      <c r="K1596" s="17"/>
      <c r="L1596" s="17"/>
      <c r="M1596" s="17"/>
      <c r="O1596" s="14">
        <f t="shared" si="1"/>
        <v>0</v>
      </c>
      <c r="P1596" s="86" t="str">
        <f t="array" ref="P1596">iferror(XLOOKUP(C1596,'Download of SFDC Activation Rep'!B:B,'Download of SFDC Activation Rep'!Z:Z),"")</f>
        <v/>
      </c>
      <c r="Q1596" s="86" t="str">
        <f t="shared" si="2"/>
        <v/>
      </c>
      <c r="R1596" s="13" t="str">
        <f t="shared" si="3"/>
        <v>Yes</v>
      </c>
      <c r="S1596" s="86" t="str">
        <f t="array" ref="S1596">iferror(XLOOKUP(C1596,'Download of SFDC Activation Rep'!B:B,'Download of SFDC Activation Rep'!Y:Y),"")</f>
        <v/>
      </c>
    </row>
    <row r="1597">
      <c r="A1597" s="17"/>
      <c r="B1597" s="85"/>
      <c r="C1597" s="17"/>
      <c r="D1597" s="85"/>
      <c r="E1597" s="17"/>
      <c r="F1597" s="17"/>
      <c r="G1597" s="17"/>
      <c r="I1597" s="17"/>
      <c r="K1597" s="17"/>
      <c r="L1597" s="17"/>
      <c r="M1597" s="17"/>
      <c r="O1597" s="14">
        <f t="shared" si="1"/>
        <v>0</v>
      </c>
      <c r="P1597" s="86" t="str">
        <f t="array" ref="P1597">iferror(XLOOKUP(C1597,'Download of SFDC Activation Rep'!B:B,'Download of SFDC Activation Rep'!Z:Z),"")</f>
        <v/>
      </c>
      <c r="Q1597" s="86" t="str">
        <f t="shared" si="2"/>
        <v/>
      </c>
      <c r="R1597" s="13" t="str">
        <f t="shared" si="3"/>
        <v>Yes</v>
      </c>
      <c r="S1597" s="86" t="str">
        <f t="array" ref="S1597">iferror(XLOOKUP(C1597,'Download of SFDC Activation Rep'!B:B,'Download of SFDC Activation Rep'!Y:Y),"")</f>
        <v/>
      </c>
    </row>
    <row r="1598">
      <c r="A1598" s="17"/>
      <c r="B1598" s="85"/>
      <c r="C1598" s="17"/>
      <c r="D1598" s="85"/>
      <c r="E1598" s="17"/>
      <c r="F1598" s="17"/>
      <c r="G1598" s="17"/>
      <c r="I1598" s="17"/>
      <c r="K1598" s="17"/>
      <c r="L1598" s="17"/>
      <c r="M1598" s="17"/>
      <c r="O1598" s="14">
        <f t="shared" si="1"/>
        <v>0</v>
      </c>
      <c r="P1598" s="86" t="str">
        <f t="array" ref="P1598">iferror(XLOOKUP(C1598,'Download of SFDC Activation Rep'!B:B,'Download of SFDC Activation Rep'!Z:Z),"")</f>
        <v/>
      </c>
      <c r="Q1598" s="86" t="str">
        <f t="shared" si="2"/>
        <v/>
      </c>
      <c r="R1598" s="13" t="str">
        <f t="shared" si="3"/>
        <v>Yes</v>
      </c>
      <c r="S1598" s="86" t="str">
        <f t="array" ref="S1598">iferror(XLOOKUP(C1598,'Download of SFDC Activation Rep'!B:B,'Download of SFDC Activation Rep'!Y:Y),"")</f>
        <v/>
      </c>
    </row>
    <row r="1599">
      <c r="A1599" s="17"/>
      <c r="B1599" s="85"/>
      <c r="C1599" s="17"/>
      <c r="D1599" s="85"/>
      <c r="E1599" s="17"/>
      <c r="F1599" s="17"/>
      <c r="G1599" s="17"/>
      <c r="I1599" s="17"/>
      <c r="K1599" s="17"/>
      <c r="L1599" s="17"/>
      <c r="M1599" s="17"/>
      <c r="O1599" s="14">
        <f t="shared" si="1"/>
        <v>0</v>
      </c>
      <c r="P1599" s="86" t="str">
        <f t="array" ref="P1599">iferror(XLOOKUP(C1599,'Download of SFDC Activation Rep'!B:B,'Download of SFDC Activation Rep'!Z:Z),"")</f>
        <v/>
      </c>
      <c r="Q1599" s="86" t="str">
        <f t="shared" si="2"/>
        <v/>
      </c>
      <c r="R1599" s="13" t="str">
        <f t="shared" si="3"/>
        <v>Yes</v>
      </c>
      <c r="S1599" s="86" t="str">
        <f t="array" ref="S1599">iferror(XLOOKUP(C1599,'Download of SFDC Activation Rep'!B:B,'Download of SFDC Activation Rep'!Y:Y),"")</f>
        <v/>
      </c>
    </row>
    <row r="1600">
      <c r="A1600" s="17"/>
      <c r="B1600" s="85"/>
      <c r="C1600" s="17"/>
      <c r="D1600" s="85"/>
      <c r="E1600" s="17"/>
      <c r="F1600" s="17"/>
      <c r="G1600" s="17"/>
      <c r="I1600" s="17"/>
      <c r="K1600" s="17"/>
      <c r="L1600" s="17"/>
      <c r="M1600" s="17"/>
      <c r="O1600" s="14">
        <f t="shared" si="1"/>
        <v>0</v>
      </c>
      <c r="P1600" s="86" t="str">
        <f t="array" ref="P1600">iferror(XLOOKUP(C1600,'Download of SFDC Activation Rep'!B:B,'Download of SFDC Activation Rep'!Z:Z),"")</f>
        <v/>
      </c>
      <c r="Q1600" s="86" t="str">
        <f t="shared" si="2"/>
        <v/>
      </c>
      <c r="R1600" s="13" t="str">
        <f t="shared" si="3"/>
        <v>Yes</v>
      </c>
      <c r="S1600" s="86" t="str">
        <f t="array" ref="S1600">iferror(XLOOKUP(C1600,'Download of SFDC Activation Rep'!B:B,'Download of SFDC Activation Rep'!Y:Y),"")</f>
        <v/>
      </c>
    </row>
    <row r="1601">
      <c r="A1601" s="17"/>
      <c r="B1601" s="85"/>
      <c r="C1601" s="17"/>
      <c r="D1601" s="85"/>
      <c r="E1601" s="17"/>
      <c r="F1601" s="17"/>
      <c r="G1601" s="17"/>
      <c r="I1601" s="17"/>
      <c r="K1601" s="17"/>
      <c r="L1601" s="17"/>
      <c r="M1601" s="17"/>
      <c r="O1601" s="14">
        <f t="shared" si="1"/>
        <v>0</v>
      </c>
      <c r="P1601" s="86" t="str">
        <f t="array" ref="P1601">iferror(XLOOKUP(C1601,'Download of SFDC Activation Rep'!B:B,'Download of SFDC Activation Rep'!Z:Z),"")</f>
        <v/>
      </c>
      <c r="Q1601" s="86" t="str">
        <f t="shared" si="2"/>
        <v/>
      </c>
      <c r="R1601" s="13" t="str">
        <f t="shared" si="3"/>
        <v>Yes</v>
      </c>
      <c r="S1601" s="86" t="str">
        <f t="array" ref="S1601">iferror(XLOOKUP(C1601,'Download of SFDC Activation Rep'!B:B,'Download of SFDC Activation Rep'!Y:Y),"")</f>
        <v/>
      </c>
    </row>
    <row r="1602">
      <c r="A1602" s="17"/>
      <c r="B1602" s="85"/>
      <c r="C1602" s="17"/>
      <c r="D1602" s="85"/>
      <c r="E1602" s="17"/>
      <c r="F1602" s="17"/>
      <c r="G1602" s="17"/>
      <c r="I1602" s="17"/>
      <c r="K1602" s="17"/>
      <c r="L1602" s="17"/>
      <c r="M1602" s="17"/>
      <c r="O1602" s="14">
        <f t="shared" si="1"/>
        <v>0</v>
      </c>
      <c r="P1602" s="86" t="str">
        <f t="array" ref="P1602">iferror(XLOOKUP(C1602,'Download of SFDC Activation Rep'!B:B,'Download of SFDC Activation Rep'!Z:Z),"")</f>
        <v/>
      </c>
      <c r="Q1602" s="86" t="str">
        <f t="shared" si="2"/>
        <v/>
      </c>
      <c r="R1602" s="13" t="str">
        <f t="shared" si="3"/>
        <v>Yes</v>
      </c>
      <c r="S1602" s="86" t="str">
        <f t="array" ref="S1602">iferror(XLOOKUP(C1602,'Download of SFDC Activation Rep'!B:B,'Download of SFDC Activation Rep'!Y:Y),"")</f>
        <v/>
      </c>
    </row>
    <row r="1603">
      <c r="A1603" s="17"/>
      <c r="B1603" s="85"/>
      <c r="C1603" s="17"/>
      <c r="D1603" s="85"/>
      <c r="E1603" s="17"/>
      <c r="F1603" s="17"/>
      <c r="G1603" s="17"/>
      <c r="I1603" s="17"/>
      <c r="K1603" s="17"/>
      <c r="L1603" s="17"/>
      <c r="M1603" s="17"/>
      <c r="O1603" s="14">
        <f t="shared" si="1"/>
        <v>0</v>
      </c>
      <c r="P1603" s="86" t="str">
        <f t="array" ref="P1603">iferror(XLOOKUP(C1603,'Download of SFDC Activation Rep'!B:B,'Download of SFDC Activation Rep'!Z:Z),"")</f>
        <v/>
      </c>
      <c r="Q1603" s="86" t="str">
        <f t="shared" si="2"/>
        <v/>
      </c>
      <c r="R1603" s="13" t="str">
        <f t="shared" si="3"/>
        <v>Yes</v>
      </c>
      <c r="S1603" s="86" t="str">
        <f t="array" ref="S1603">iferror(XLOOKUP(C1603,'Download of SFDC Activation Rep'!B:B,'Download of SFDC Activation Rep'!Y:Y),"")</f>
        <v/>
      </c>
    </row>
    <row r="1604">
      <c r="A1604" s="17"/>
      <c r="B1604" s="85"/>
      <c r="C1604" s="17"/>
      <c r="D1604" s="85"/>
      <c r="E1604" s="17"/>
      <c r="F1604" s="17"/>
      <c r="G1604" s="17"/>
      <c r="I1604" s="17"/>
      <c r="K1604" s="17"/>
      <c r="L1604" s="17"/>
      <c r="M1604" s="17"/>
      <c r="O1604" s="14">
        <f t="shared" si="1"/>
        <v>0</v>
      </c>
      <c r="P1604" s="86" t="str">
        <f t="array" ref="P1604">iferror(XLOOKUP(C1604,'Download of SFDC Activation Rep'!B:B,'Download of SFDC Activation Rep'!Z:Z),"")</f>
        <v/>
      </c>
      <c r="Q1604" s="86" t="str">
        <f t="shared" si="2"/>
        <v/>
      </c>
      <c r="R1604" s="13" t="str">
        <f t="shared" si="3"/>
        <v>Yes</v>
      </c>
      <c r="S1604" s="86" t="str">
        <f t="array" ref="S1604">iferror(XLOOKUP(C1604,'Download of SFDC Activation Rep'!B:B,'Download of SFDC Activation Rep'!Y:Y),"")</f>
        <v/>
      </c>
    </row>
    <row r="1605">
      <c r="A1605" s="17"/>
      <c r="B1605" s="85"/>
      <c r="C1605" s="17"/>
      <c r="D1605" s="85"/>
      <c r="E1605" s="17"/>
      <c r="F1605" s="17"/>
      <c r="G1605" s="17"/>
      <c r="I1605" s="17"/>
      <c r="K1605" s="17"/>
      <c r="L1605" s="17"/>
      <c r="M1605" s="17"/>
      <c r="O1605" s="14">
        <f t="shared" si="1"/>
        <v>0</v>
      </c>
      <c r="P1605" s="86" t="str">
        <f t="array" ref="P1605">iferror(XLOOKUP(C1605,'Download of SFDC Activation Rep'!B:B,'Download of SFDC Activation Rep'!Z:Z),"")</f>
        <v/>
      </c>
      <c r="Q1605" s="86" t="str">
        <f t="shared" si="2"/>
        <v/>
      </c>
      <c r="R1605" s="13" t="str">
        <f t="shared" si="3"/>
        <v>Yes</v>
      </c>
      <c r="S1605" s="86" t="str">
        <f t="array" ref="S1605">iferror(XLOOKUP(C1605,'Download of SFDC Activation Rep'!B:B,'Download of SFDC Activation Rep'!Y:Y),"")</f>
        <v/>
      </c>
    </row>
    <row r="1606">
      <c r="A1606" s="17"/>
      <c r="B1606" s="85"/>
      <c r="C1606" s="17"/>
      <c r="D1606" s="85"/>
      <c r="E1606" s="17"/>
      <c r="F1606" s="17"/>
      <c r="G1606" s="17"/>
      <c r="I1606" s="17"/>
      <c r="K1606" s="17"/>
      <c r="L1606" s="17"/>
      <c r="M1606" s="17"/>
      <c r="O1606" s="14">
        <f t="shared" si="1"/>
        <v>0</v>
      </c>
      <c r="P1606" s="86" t="str">
        <f t="array" ref="P1606">iferror(XLOOKUP(C1606,'Download of SFDC Activation Rep'!B:B,'Download of SFDC Activation Rep'!Z:Z),"")</f>
        <v/>
      </c>
      <c r="Q1606" s="86" t="str">
        <f t="shared" si="2"/>
        <v/>
      </c>
      <c r="R1606" s="13" t="str">
        <f t="shared" si="3"/>
        <v>Yes</v>
      </c>
      <c r="S1606" s="86" t="str">
        <f t="array" ref="S1606">iferror(XLOOKUP(C1606,'Download of SFDC Activation Rep'!B:B,'Download of SFDC Activation Rep'!Y:Y),"")</f>
        <v/>
      </c>
    </row>
    <row r="1607">
      <c r="A1607" s="17"/>
      <c r="B1607" s="85"/>
      <c r="C1607" s="17"/>
      <c r="D1607" s="85"/>
      <c r="E1607" s="17"/>
      <c r="F1607" s="17"/>
      <c r="G1607" s="17"/>
      <c r="I1607" s="17"/>
      <c r="K1607" s="17"/>
      <c r="L1607" s="17"/>
      <c r="M1607" s="17"/>
      <c r="O1607" s="14">
        <f t="shared" si="1"/>
        <v>0</v>
      </c>
      <c r="P1607" s="86" t="str">
        <f t="array" ref="P1607">iferror(XLOOKUP(C1607,'Download of SFDC Activation Rep'!B:B,'Download of SFDC Activation Rep'!Z:Z),"")</f>
        <v/>
      </c>
      <c r="Q1607" s="86" t="str">
        <f t="shared" si="2"/>
        <v/>
      </c>
      <c r="R1607" s="13" t="str">
        <f t="shared" si="3"/>
        <v>Yes</v>
      </c>
      <c r="S1607" s="86" t="str">
        <f t="array" ref="S1607">iferror(XLOOKUP(C1607,'Download of SFDC Activation Rep'!B:B,'Download of SFDC Activation Rep'!Y:Y),"")</f>
        <v/>
      </c>
    </row>
    <row r="1608">
      <c r="A1608" s="17"/>
      <c r="B1608" s="85"/>
      <c r="C1608" s="17"/>
      <c r="D1608" s="85"/>
      <c r="E1608" s="17"/>
      <c r="F1608" s="17"/>
      <c r="G1608" s="17"/>
      <c r="I1608" s="17"/>
      <c r="K1608" s="17"/>
      <c r="L1608" s="17"/>
      <c r="M1608" s="17"/>
      <c r="O1608" s="14">
        <f t="shared" si="1"/>
        <v>0</v>
      </c>
      <c r="P1608" s="86" t="str">
        <f t="array" ref="P1608">iferror(XLOOKUP(C1608,'Download of SFDC Activation Rep'!B:B,'Download of SFDC Activation Rep'!Z:Z),"")</f>
        <v/>
      </c>
      <c r="Q1608" s="86" t="str">
        <f t="shared" si="2"/>
        <v/>
      </c>
      <c r="R1608" s="13" t="str">
        <f t="shared" si="3"/>
        <v>Yes</v>
      </c>
      <c r="S1608" s="86" t="str">
        <f t="array" ref="S1608">iferror(XLOOKUP(C1608,'Download of SFDC Activation Rep'!B:B,'Download of SFDC Activation Rep'!Y:Y),"")</f>
        <v/>
      </c>
    </row>
    <row r="1609">
      <c r="A1609" s="17"/>
      <c r="B1609" s="85"/>
      <c r="C1609" s="17"/>
      <c r="D1609" s="85"/>
      <c r="E1609" s="17"/>
      <c r="F1609" s="17"/>
      <c r="G1609" s="17"/>
      <c r="I1609" s="17"/>
      <c r="K1609" s="17"/>
      <c r="L1609" s="17"/>
      <c r="M1609" s="17"/>
      <c r="O1609" s="14">
        <f t="shared" si="1"/>
        <v>0</v>
      </c>
      <c r="P1609" s="86" t="str">
        <f t="array" ref="P1609">iferror(XLOOKUP(C1609,'Download of SFDC Activation Rep'!B:B,'Download of SFDC Activation Rep'!Z:Z),"")</f>
        <v/>
      </c>
      <c r="Q1609" s="86" t="str">
        <f t="shared" si="2"/>
        <v/>
      </c>
      <c r="R1609" s="13" t="str">
        <f t="shared" si="3"/>
        <v>Yes</v>
      </c>
      <c r="S1609" s="86" t="str">
        <f t="array" ref="S1609">iferror(XLOOKUP(C1609,'Download of SFDC Activation Rep'!B:B,'Download of SFDC Activation Rep'!Y:Y),"")</f>
        <v/>
      </c>
    </row>
    <row r="1610">
      <c r="A1610" s="17"/>
      <c r="B1610" s="85"/>
      <c r="C1610" s="17"/>
      <c r="D1610" s="85"/>
      <c r="E1610" s="17"/>
      <c r="F1610" s="17"/>
      <c r="G1610" s="17"/>
      <c r="I1610" s="17"/>
      <c r="K1610" s="17"/>
      <c r="L1610" s="17"/>
      <c r="M1610" s="17"/>
      <c r="O1610" s="14">
        <f t="shared" si="1"/>
        <v>0</v>
      </c>
      <c r="P1610" s="86" t="str">
        <f t="array" ref="P1610">iferror(XLOOKUP(C1610,'Download of SFDC Activation Rep'!B:B,'Download of SFDC Activation Rep'!Z:Z),"")</f>
        <v/>
      </c>
      <c r="Q1610" s="86" t="str">
        <f t="shared" si="2"/>
        <v/>
      </c>
      <c r="R1610" s="13" t="str">
        <f t="shared" si="3"/>
        <v>Yes</v>
      </c>
      <c r="S1610" s="86" t="str">
        <f t="array" ref="S1610">iferror(XLOOKUP(C1610,'Download of SFDC Activation Rep'!B:B,'Download of SFDC Activation Rep'!Y:Y),"")</f>
        <v/>
      </c>
    </row>
    <row r="1611">
      <c r="A1611" s="17"/>
      <c r="B1611" s="85"/>
      <c r="C1611" s="17"/>
      <c r="D1611" s="85"/>
      <c r="E1611" s="17"/>
      <c r="F1611" s="17"/>
      <c r="G1611" s="17"/>
      <c r="I1611" s="17"/>
      <c r="K1611" s="17"/>
      <c r="L1611" s="17"/>
      <c r="M1611" s="17"/>
      <c r="O1611" s="14">
        <f t="shared" si="1"/>
        <v>0</v>
      </c>
      <c r="P1611" s="86" t="str">
        <f t="array" ref="P1611">iferror(XLOOKUP(C1611,'Download of SFDC Activation Rep'!B:B,'Download of SFDC Activation Rep'!Z:Z),"")</f>
        <v/>
      </c>
      <c r="Q1611" s="86" t="str">
        <f t="shared" si="2"/>
        <v/>
      </c>
      <c r="R1611" s="13" t="str">
        <f t="shared" si="3"/>
        <v>Yes</v>
      </c>
      <c r="S1611" s="86" t="str">
        <f t="array" ref="S1611">iferror(XLOOKUP(C1611,'Download of SFDC Activation Rep'!B:B,'Download of SFDC Activation Rep'!Y:Y),"")</f>
        <v/>
      </c>
    </row>
    <row r="1612">
      <c r="A1612" s="17"/>
      <c r="B1612" s="85"/>
      <c r="C1612" s="17"/>
      <c r="D1612" s="85"/>
      <c r="E1612" s="17"/>
      <c r="F1612" s="17"/>
      <c r="G1612" s="17"/>
      <c r="I1612" s="17"/>
      <c r="K1612" s="17"/>
      <c r="L1612" s="17"/>
      <c r="M1612" s="17"/>
      <c r="O1612" s="14">
        <f t="shared" si="1"/>
        <v>0</v>
      </c>
      <c r="P1612" s="86" t="str">
        <f t="array" ref="P1612">iferror(XLOOKUP(C1612,'Download of SFDC Activation Rep'!B:B,'Download of SFDC Activation Rep'!Z:Z),"")</f>
        <v/>
      </c>
      <c r="Q1612" s="86" t="str">
        <f t="shared" si="2"/>
        <v/>
      </c>
      <c r="R1612" s="13" t="str">
        <f t="shared" si="3"/>
        <v>Yes</v>
      </c>
      <c r="S1612" s="86" t="str">
        <f t="array" ref="S1612">iferror(XLOOKUP(C1612,'Download of SFDC Activation Rep'!B:B,'Download of SFDC Activation Rep'!Y:Y),"")</f>
        <v/>
      </c>
    </row>
    <row r="1613">
      <c r="A1613" s="17"/>
      <c r="B1613" s="85"/>
      <c r="C1613" s="17"/>
      <c r="D1613" s="85"/>
      <c r="E1613" s="17"/>
      <c r="F1613" s="17"/>
      <c r="G1613" s="17"/>
      <c r="I1613" s="17"/>
      <c r="K1613" s="17"/>
      <c r="L1613" s="17"/>
      <c r="M1613" s="17"/>
      <c r="O1613" s="14">
        <f t="shared" si="1"/>
        <v>0</v>
      </c>
      <c r="P1613" s="86" t="str">
        <f t="array" ref="P1613">iferror(XLOOKUP(C1613,'Download of SFDC Activation Rep'!B:B,'Download of SFDC Activation Rep'!Z:Z),"")</f>
        <v/>
      </c>
      <c r="Q1613" s="86" t="str">
        <f t="shared" si="2"/>
        <v/>
      </c>
      <c r="R1613" s="13" t="str">
        <f t="shared" si="3"/>
        <v>Yes</v>
      </c>
      <c r="S1613" s="86" t="str">
        <f t="array" ref="S1613">iferror(XLOOKUP(C1613,'Download of SFDC Activation Rep'!B:B,'Download of SFDC Activation Rep'!Y:Y),"")</f>
        <v/>
      </c>
    </row>
    <row r="1614">
      <c r="A1614" s="17"/>
      <c r="B1614" s="85"/>
      <c r="C1614" s="17"/>
      <c r="D1614" s="85"/>
      <c r="E1614" s="17"/>
      <c r="F1614" s="17"/>
      <c r="G1614" s="17"/>
      <c r="I1614" s="17"/>
      <c r="K1614" s="17"/>
      <c r="L1614" s="17"/>
      <c r="M1614" s="17"/>
      <c r="O1614" s="14">
        <f t="shared" si="1"/>
        <v>0</v>
      </c>
      <c r="P1614" s="86" t="str">
        <f t="array" ref="P1614">iferror(XLOOKUP(C1614,'Download of SFDC Activation Rep'!B:B,'Download of SFDC Activation Rep'!Z:Z),"")</f>
        <v/>
      </c>
      <c r="Q1614" s="86" t="str">
        <f t="shared" si="2"/>
        <v/>
      </c>
      <c r="R1614" s="13" t="str">
        <f t="shared" si="3"/>
        <v>Yes</v>
      </c>
      <c r="S1614" s="86" t="str">
        <f t="array" ref="S1614">iferror(XLOOKUP(C1614,'Download of SFDC Activation Rep'!B:B,'Download of SFDC Activation Rep'!Y:Y),"")</f>
        <v/>
      </c>
    </row>
    <row r="1615">
      <c r="A1615" s="17"/>
      <c r="B1615" s="85"/>
      <c r="C1615" s="17"/>
      <c r="D1615" s="85"/>
      <c r="E1615" s="17"/>
      <c r="F1615" s="17"/>
      <c r="G1615" s="17"/>
      <c r="I1615" s="17"/>
      <c r="K1615" s="17"/>
      <c r="L1615" s="17"/>
      <c r="M1615" s="17"/>
      <c r="O1615" s="14">
        <f t="shared" si="1"/>
        <v>0</v>
      </c>
      <c r="P1615" s="86" t="str">
        <f t="array" ref="P1615">iferror(XLOOKUP(C1615,'Download of SFDC Activation Rep'!B:B,'Download of SFDC Activation Rep'!Z:Z),"")</f>
        <v/>
      </c>
      <c r="Q1615" s="86" t="str">
        <f t="shared" si="2"/>
        <v/>
      </c>
      <c r="R1615" s="13" t="str">
        <f t="shared" si="3"/>
        <v>Yes</v>
      </c>
      <c r="S1615" s="86" t="str">
        <f t="array" ref="S1615">iferror(XLOOKUP(C1615,'Download of SFDC Activation Rep'!B:B,'Download of SFDC Activation Rep'!Y:Y),"")</f>
        <v/>
      </c>
    </row>
    <row r="1616">
      <c r="A1616" s="17"/>
      <c r="B1616" s="85"/>
      <c r="C1616" s="17"/>
      <c r="D1616" s="85"/>
      <c r="E1616" s="17"/>
      <c r="F1616" s="17"/>
      <c r="G1616" s="17"/>
      <c r="I1616" s="17"/>
      <c r="K1616" s="17"/>
      <c r="L1616" s="17"/>
      <c r="M1616" s="17"/>
      <c r="O1616" s="14">
        <f t="shared" si="1"/>
        <v>0</v>
      </c>
      <c r="P1616" s="86" t="str">
        <f t="array" ref="P1616">iferror(XLOOKUP(C1616,'Download of SFDC Activation Rep'!B:B,'Download of SFDC Activation Rep'!Z:Z),"")</f>
        <v/>
      </c>
      <c r="Q1616" s="86" t="str">
        <f t="shared" si="2"/>
        <v/>
      </c>
      <c r="R1616" s="13" t="str">
        <f t="shared" si="3"/>
        <v>Yes</v>
      </c>
      <c r="S1616" s="86" t="str">
        <f t="array" ref="S1616">iferror(XLOOKUP(C1616,'Download of SFDC Activation Rep'!B:B,'Download of SFDC Activation Rep'!Y:Y),"")</f>
        <v/>
      </c>
    </row>
    <row r="1617">
      <c r="A1617" s="17"/>
      <c r="B1617" s="85"/>
      <c r="C1617" s="17"/>
      <c r="D1617" s="85"/>
      <c r="E1617" s="17"/>
      <c r="F1617" s="17"/>
      <c r="G1617" s="17"/>
      <c r="I1617" s="17"/>
      <c r="K1617" s="17"/>
      <c r="L1617" s="17"/>
      <c r="M1617" s="17"/>
      <c r="O1617" s="14">
        <f t="shared" si="1"/>
        <v>0</v>
      </c>
      <c r="P1617" s="86" t="str">
        <f t="array" ref="P1617">iferror(XLOOKUP(C1617,'Download of SFDC Activation Rep'!B:B,'Download of SFDC Activation Rep'!Z:Z),"")</f>
        <v/>
      </c>
      <c r="Q1617" s="86" t="str">
        <f t="shared" si="2"/>
        <v/>
      </c>
      <c r="R1617" s="13" t="str">
        <f t="shared" si="3"/>
        <v>Yes</v>
      </c>
      <c r="S1617" s="86" t="str">
        <f t="array" ref="S1617">iferror(XLOOKUP(C1617,'Download of SFDC Activation Rep'!B:B,'Download of SFDC Activation Rep'!Y:Y),"")</f>
        <v/>
      </c>
    </row>
    <row r="1618">
      <c r="A1618" s="17"/>
      <c r="B1618" s="85"/>
      <c r="C1618" s="17"/>
      <c r="D1618" s="85"/>
      <c r="E1618" s="17"/>
      <c r="F1618" s="17"/>
      <c r="G1618" s="17"/>
      <c r="I1618" s="17"/>
      <c r="K1618" s="17"/>
      <c r="L1618" s="17"/>
      <c r="M1618" s="17"/>
      <c r="O1618" s="14">
        <f t="shared" si="1"/>
        <v>0</v>
      </c>
      <c r="P1618" s="86" t="str">
        <f t="array" ref="P1618">iferror(XLOOKUP(C1618,'Download of SFDC Activation Rep'!B:B,'Download of SFDC Activation Rep'!Z:Z),"")</f>
        <v/>
      </c>
      <c r="Q1618" s="86" t="str">
        <f t="shared" si="2"/>
        <v/>
      </c>
      <c r="R1618" s="13" t="str">
        <f t="shared" si="3"/>
        <v>Yes</v>
      </c>
      <c r="S1618" s="86" t="str">
        <f t="array" ref="S1618">iferror(XLOOKUP(C1618,'Download of SFDC Activation Rep'!B:B,'Download of SFDC Activation Rep'!Y:Y),"")</f>
        <v/>
      </c>
    </row>
    <row r="1619">
      <c r="A1619" s="17"/>
      <c r="B1619" s="85"/>
      <c r="C1619" s="17"/>
      <c r="D1619" s="85"/>
      <c r="E1619" s="17"/>
      <c r="F1619" s="17"/>
      <c r="G1619" s="17"/>
      <c r="I1619" s="17"/>
      <c r="K1619" s="17"/>
      <c r="L1619" s="17"/>
      <c r="M1619" s="17"/>
      <c r="O1619" s="14">
        <f t="shared" si="1"/>
        <v>0</v>
      </c>
      <c r="P1619" s="86" t="str">
        <f t="array" ref="P1619">iferror(XLOOKUP(C1619,'Download of SFDC Activation Rep'!B:B,'Download of SFDC Activation Rep'!Z:Z),"")</f>
        <v/>
      </c>
      <c r="Q1619" s="86" t="str">
        <f t="shared" si="2"/>
        <v/>
      </c>
      <c r="R1619" s="13" t="str">
        <f t="shared" si="3"/>
        <v>Yes</v>
      </c>
      <c r="S1619" s="86" t="str">
        <f t="array" ref="S1619">iferror(XLOOKUP(C1619,'Download of SFDC Activation Rep'!B:B,'Download of SFDC Activation Rep'!Y:Y),"")</f>
        <v/>
      </c>
    </row>
    <row r="1620">
      <c r="A1620" s="17"/>
      <c r="B1620" s="85"/>
      <c r="C1620" s="17"/>
      <c r="D1620" s="85"/>
      <c r="E1620" s="17"/>
      <c r="F1620" s="17"/>
      <c r="G1620" s="17"/>
      <c r="I1620" s="17"/>
      <c r="K1620" s="17"/>
      <c r="L1620" s="17"/>
      <c r="M1620" s="17"/>
      <c r="O1620" s="14">
        <f t="shared" si="1"/>
        <v>0</v>
      </c>
      <c r="P1620" s="86" t="str">
        <f t="array" ref="P1620">iferror(XLOOKUP(C1620,'Download of SFDC Activation Rep'!B:B,'Download of SFDC Activation Rep'!Z:Z),"")</f>
        <v/>
      </c>
      <c r="Q1620" s="86" t="str">
        <f t="shared" si="2"/>
        <v/>
      </c>
      <c r="R1620" s="13" t="str">
        <f t="shared" si="3"/>
        <v>Yes</v>
      </c>
      <c r="S1620" s="86" t="str">
        <f t="array" ref="S1620">iferror(XLOOKUP(C1620,'Download of SFDC Activation Rep'!B:B,'Download of SFDC Activation Rep'!Y:Y),"")</f>
        <v/>
      </c>
    </row>
    <row r="1621">
      <c r="A1621" s="17"/>
      <c r="B1621" s="85"/>
      <c r="C1621" s="17"/>
      <c r="D1621" s="85"/>
      <c r="E1621" s="17"/>
      <c r="F1621" s="17"/>
      <c r="G1621" s="17"/>
      <c r="I1621" s="17"/>
      <c r="K1621" s="17"/>
      <c r="L1621" s="17"/>
      <c r="M1621" s="17"/>
      <c r="O1621" s="14">
        <f t="shared" si="1"/>
        <v>0</v>
      </c>
      <c r="P1621" s="86" t="str">
        <f t="array" ref="P1621">iferror(XLOOKUP(C1621,'Download of SFDC Activation Rep'!B:B,'Download of SFDC Activation Rep'!Z:Z),"")</f>
        <v/>
      </c>
      <c r="Q1621" s="86" t="str">
        <f t="shared" si="2"/>
        <v/>
      </c>
      <c r="R1621" s="13" t="str">
        <f t="shared" si="3"/>
        <v>Yes</v>
      </c>
      <c r="S1621" s="86" t="str">
        <f t="array" ref="S1621">iferror(XLOOKUP(C1621,'Download of SFDC Activation Rep'!B:B,'Download of SFDC Activation Rep'!Y:Y),"")</f>
        <v/>
      </c>
    </row>
    <row r="1622">
      <c r="A1622" s="17"/>
      <c r="B1622" s="85"/>
      <c r="C1622" s="17"/>
      <c r="D1622" s="85"/>
      <c r="E1622" s="17"/>
      <c r="F1622" s="17"/>
      <c r="G1622" s="17"/>
      <c r="I1622" s="17"/>
      <c r="K1622" s="17"/>
      <c r="L1622" s="17"/>
      <c r="M1622" s="17"/>
      <c r="O1622" s="14">
        <f t="shared" si="1"/>
        <v>0</v>
      </c>
      <c r="P1622" s="86" t="str">
        <f t="array" ref="P1622">iferror(XLOOKUP(C1622,'Download of SFDC Activation Rep'!B:B,'Download of SFDC Activation Rep'!Z:Z),"")</f>
        <v/>
      </c>
      <c r="Q1622" s="86" t="str">
        <f t="shared" si="2"/>
        <v/>
      </c>
      <c r="R1622" s="13" t="str">
        <f t="shared" si="3"/>
        <v>Yes</v>
      </c>
      <c r="S1622" s="86" t="str">
        <f t="array" ref="S1622">iferror(XLOOKUP(C1622,'Download of SFDC Activation Rep'!B:B,'Download of SFDC Activation Rep'!Y:Y),"")</f>
        <v/>
      </c>
    </row>
    <row r="1623">
      <c r="A1623" s="17"/>
      <c r="B1623" s="85"/>
      <c r="C1623" s="17"/>
      <c r="D1623" s="85"/>
      <c r="E1623" s="17"/>
      <c r="F1623" s="17"/>
      <c r="G1623" s="17"/>
      <c r="I1623" s="17"/>
      <c r="K1623" s="17"/>
      <c r="L1623" s="17"/>
      <c r="M1623" s="17"/>
      <c r="O1623" s="14">
        <f t="shared" si="1"/>
        <v>0</v>
      </c>
      <c r="P1623" s="86" t="str">
        <f t="array" ref="P1623">iferror(XLOOKUP(C1623,'Download of SFDC Activation Rep'!B:B,'Download of SFDC Activation Rep'!Z:Z),"")</f>
        <v/>
      </c>
      <c r="Q1623" s="86" t="str">
        <f t="shared" si="2"/>
        <v/>
      </c>
      <c r="R1623" s="13" t="str">
        <f t="shared" si="3"/>
        <v>Yes</v>
      </c>
      <c r="S1623" s="86" t="str">
        <f t="array" ref="S1623">iferror(XLOOKUP(C1623,'Download of SFDC Activation Rep'!B:B,'Download of SFDC Activation Rep'!Y:Y),"")</f>
        <v/>
      </c>
    </row>
    <row r="1624">
      <c r="A1624" s="17"/>
      <c r="B1624" s="85"/>
      <c r="C1624" s="17"/>
      <c r="D1624" s="85"/>
      <c r="E1624" s="17"/>
      <c r="F1624" s="17"/>
      <c r="G1624" s="17"/>
      <c r="I1624" s="17"/>
      <c r="K1624" s="17"/>
      <c r="L1624" s="17"/>
      <c r="M1624" s="17"/>
      <c r="O1624" s="14">
        <f t="shared" si="1"/>
        <v>0</v>
      </c>
      <c r="P1624" s="86" t="str">
        <f t="array" ref="P1624">iferror(XLOOKUP(C1624,'Download of SFDC Activation Rep'!B:B,'Download of SFDC Activation Rep'!Z:Z),"")</f>
        <v/>
      </c>
      <c r="Q1624" s="86" t="str">
        <f t="shared" si="2"/>
        <v/>
      </c>
      <c r="R1624" s="13" t="str">
        <f t="shared" si="3"/>
        <v>Yes</v>
      </c>
      <c r="S1624" s="86" t="str">
        <f t="array" ref="S1624">iferror(XLOOKUP(C1624,'Download of SFDC Activation Rep'!B:B,'Download of SFDC Activation Rep'!Y:Y),"")</f>
        <v/>
      </c>
    </row>
    <row r="1625">
      <c r="A1625" s="17"/>
      <c r="B1625" s="85"/>
      <c r="C1625" s="17"/>
      <c r="D1625" s="85"/>
      <c r="E1625" s="17"/>
      <c r="F1625" s="17"/>
      <c r="G1625" s="17"/>
      <c r="I1625" s="17"/>
      <c r="K1625" s="17"/>
      <c r="L1625" s="17"/>
      <c r="M1625" s="17"/>
      <c r="O1625" s="14">
        <f t="shared" si="1"/>
        <v>0</v>
      </c>
      <c r="P1625" s="86" t="str">
        <f t="array" ref="P1625">iferror(XLOOKUP(C1625,'Download of SFDC Activation Rep'!B:B,'Download of SFDC Activation Rep'!Z:Z),"")</f>
        <v/>
      </c>
      <c r="Q1625" s="86" t="str">
        <f t="shared" si="2"/>
        <v/>
      </c>
      <c r="R1625" s="13" t="str">
        <f t="shared" si="3"/>
        <v>Yes</v>
      </c>
      <c r="S1625" s="86" t="str">
        <f t="array" ref="S1625">iferror(XLOOKUP(C1625,'Download of SFDC Activation Rep'!B:B,'Download of SFDC Activation Rep'!Y:Y),"")</f>
        <v/>
      </c>
    </row>
    <row r="1626">
      <c r="A1626" s="17"/>
      <c r="B1626" s="85"/>
      <c r="C1626" s="17"/>
      <c r="D1626" s="85"/>
      <c r="E1626" s="17"/>
      <c r="F1626" s="17"/>
      <c r="G1626" s="17"/>
      <c r="I1626" s="17"/>
      <c r="K1626" s="17"/>
      <c r="L1626" s="17"/>
      <c r="M1626" s="17"/>
      <c r="O1626" s="14">
        <f t="shared" si="1"/>
        <v>0</v>
      </c>
      <c r="P1626" s="86" t="str">
        <f t="array" ref="P1626">iferror(XLOOKUP(C1626,'Download of SFDC Activation Rep'!B:B,'Download of SFDC Activation Rep'!Z:Z),"")</f>
        <v/>
      </c>
      <c r="Q1626" s="86" t="str">
        <f t="shared" si="2"/>
        <v/>
      </c>
      <c r="R1626" s="13" t="str">
        <f t="shared" si="3"/>
        <v>Yes</v>
      </c>
      <c r="S1626" s="86" t="str">
        <f t="array" ref="S1626">iferror(XLOOKUP(C1626,'Download of SFDC Activation Rep'!B:B,'Download of SFDC Activation Rep'!Y:Y),"")</f>
        <v/>
      </c>
    </row>
    <row r="1627">
      <c r="A1627" s="17"/>
      <c r="B1627" s="85"/>
      <c r="C1627" s="17"/>
      <c r="D1627" s="85"/>
      <c r="E1627" s="17"/>
      <c r="F1627" s="17"/>
      <c r="G1627" s="17"/>
      <c r="I1627" s="17"/>
      <c r="K1627" s="17"/>
      <c r="L1627" s="17"/>
      <c r="M1627" s="17"/>
      <c r="O1627" s="14">
        <f t="shared" si="1"/>
        <v>0</v>
      </c>
      <c r="P1627" s="86" t="str">
        <f t="array" ref="P1627">iferror(XLOOKUP(C1627,'Download of SFDC Activation Rep'!B:B,'Download of SFDC Activation Rep'!Z:Z),"")</f>
        <v/>
      </c>
      <c r="Q1627" s="86" t="str">
        <f t="shared" si="2"/>
        <v/>
      </c>
      <c r="R1627" s="13" t="str">
        <f t="shared" si="3"/>
        <v>Yes</v>
      </c>
      <c r="S1627" s="86" t="str">
        <f t="array" ref="S1627">iferror(XLOOKUP(C1627,'Download of SFDC Activation Rep'!B:B,'Download of SFDC Activation Rep'!Y:Y),"")</f>
        <v/>
      </c>
    </row>
    <row r="1628">
      <c r="A1628" s="17"/>
      <c r="B1628" s="85"/>
      <c r="C1628" s="17"/>
      <c r="D1628" s="85"/>
      <c r="E1628" s="17"/>
      <c r="F1628" s="17"/>
      <c r="G1628" s="17"/>
      <c r="I1628" s="17"/>
      <c r="K1628" s="17"/>
      <c r="L1628" s="17"/>
      <c r="M1628" s="17"/>
      <c r="O1628" s="14">
        <f t="shared" si="1"/>
        <v>0</v>
      </c>
      <c r="P1628" s="86" t="str">
        <f t="array" ref="P1628">iferror(XLOOKUP(C1628,'Download of SFDC Activation Rep'!B:B,'Download of SFDC Activation Rep'!Z:Z),"")</f>
        <v/>
      </c>
      <c r="Q1628" s="86" t="str">
        <f t="shared" si="2"/>
        <v/>
      </c>
      <c r="R1628" s="13" t="str">
        <f t="shared" si="3"/>
        <v>Yes</v>
      </c>
      <c r="S1628" s="86" t="str">
        <f t="array" ref="S1628">iferror(XLOOKUP(C1628,'Download of SFDC Activation Rep'!B:B,'Download of SFDC Activation Rep'!Y:Y),"")</f>
        <v/>
      </c>
    </row>
    <row r="1629">
      <c r="A1629" s="17"/>
      <c r="B1629" s="85"/>
      <c r="C1629" s="17"/>
      <c r="D1629" s="85"/>
      <c r="E1629" s="17"/>
      <c r="F1629" s="17"/>
      <c r="G1629" s="17"/>
      <c r="I1629" s="17"/>
      <c r="K1629" s="17"/>
      <c r="L1629" s="17"/>
      <c r="M1629" s="17"/>
      <c r="O1629" s="14">
        <f t="shared" si="1"/>
        <v>0</v>
      </c>
      <c r="P1629" s="86" t="str">
        <f t="array" ref="P1629">iferror(XLOOKUP(C1629,'Download of SFDC Activation Rep'!B:B,'Download of SFDC Activation Rep'!Z:Z),"")</f>
        <v/>
      </c>
      <c r="Q1629" s="86" t="str">
        <f t="shared" si="2"/>
        <v/>
      </c>
      <c r="R1629" s="13" t="str">
        <f t="shared" si="3"/>
        <v>Yes</v>
      </c>
      <c r="S1629" s="86" t="str">
        <f t="array" ref="S1629">iferror(XLOOKUP(C1629,'Download of SFDC Activation Rep'!B:B,'Download of SFDC Activation Rep'!Y:Y),"")</f>
        <v/>
      </c>
    </row>
    <row r="1630">
      <c r="A1630" s="17"/>
      <c r="B1630" s="85"/>
      <c r="C1630" s="17"/>
      <c r="D1630" s="85"/>
      <c r="E1630" s="17"/>
      <c r="F1630" s="17"/>
      <c r="G1630" s="17"/>
      <c r="I1630" s="17"/>
      <c r="K1630" s="17"/>
      <c r="L1630" s="17"/>
      <c r="M1630" s="17"/>
      <c r="O1630" s="14">
        <f t="shared" si="1"/>
        <v>0</v>
      </c>
      <c r="P1630" s="86" t="str">
        <f t="array" ref="P1630">iferror(XLOOKUP(C1630,'Download of SFDC Activation Rep'!B:B,'Download of SFDC Activation Rep'!Z:Z),"")</f>
        <v/>
      </c>
      <c r="Q1630" s="86" t="str">
        <f t="shared" si="2"/>
        <v/>
      </c>
      <c r="R1630" s="13" t="str">
        <f t="shared" si="3"/>
        <v>Yes</v>
      </c>
      <c r="S1630" s="86" t="str">
        <f t="array" ref="S1630">iferror(XLOOKUP(C1630,'Download of SFDC Activation Rep'!B:B,'Download of SFDC Activation Rep'!Y:Y),"")</f>
        <v/>
      </c>
    </row>
    <row r="1631">
      <c r="A1631" s="17"/>
      <c r="B1631" s="85"/>
      <c r="C1631" s="17"/>
      <c r="D1631" s="85"/>
      <c r="E1631" s="17"/>
      <c r="F1631" s="17"/>
      <c r="G1631" s="17"/>
      <c r="I1631" s="17"/>
      <c r="K1631" s="17"/>
      <c r="L1631" s="17"/>
      <c r="M1631" s="17"/>
      <c r="O1631" s="14">
        <f t="shared" si="1"/>
        <v>0</v>
      </c>
      <c r="P1631" s="86" t="str">
        <f t="array" ref="P1631">iferror(XLOOKUP(C1631,'Download of SFDC Activation Rep'!B:B,'Download of SFDC Activation Rep'!Z:Z),"")</f>
        <v/>
      </c>
      <c r="Q1631" s="86" t="str">
        <f t="shared" si="2"/>
        <v/>
      </c>
      <c r="R1631" s="13" t="str">
        <f t="shared" si="3"/>
        <v>Yes</v>
      </c>
      <c r="S1631" s="86" t="str">
        <f t="array" ref="S1631">iferror(XLOOKUP(C1631,'Download of SFDC Activation Rep'!B:B,'Download of SFDC Activation Rep'!Y:Y),"")</f>
        <v/>
      </c>
    </row>
    <row r="1632">
      <c r="A1632" s="17"/>
      <c r="B1632" s="85"/>
      <c r="C1632" s="17"/>
      <c r="D1632" s="85"/>
      <c r="E1632" s="17"/>
      <c r="F1632" s="17"/>
      <c r="G1632" s="17"/>
      <c r="I1632" s="17"/>
      <c r="K1632" s="17"/>
      <c r="L1632" s="17"/>
      <c r="M1632" s="17"/>
      <c r="O1632" s="14">
        <f t="shared" si="1"/>
        <v>0</v>
      </c>
      <c r="P1632" s="86" t="str">
        <f t="array" ref="P1632">iferror(XLOOKUP(C1632,'Download of SFDC Activation Rep'!B:B,'Download of SFDC Activation Rep'!Z:Z),"")</f>
        <v/>
      </c>
      <c r="Q1632" s="86" t="str">
        <f t="shared" si="2"/>
        <v/>
      </c>
      <c r="R1632" s="13" t="str">
        <f t="shared" si="3"/>
        <v>Yes</v>
      </c>
      <c r="S1632" s="86" t="str">
        <f t="array" ref="S1632">iferror(XLOOKUP(C1632,'Download of SFDC Activation Rep'!B:B,'Download of SFDC Activation Rep'!Y:Y),"")</f>
        <v/>
      </c>
    </row>
    <row r="1633">
      <c r="A1633" s="17"/>
      <c r="B1633" s="85"/>
      <c r="C1633" s="17"/>
      <c r="D1633" s="85"/>
      <c r="E1633" s="17"/>
      <c r="F1633" s="17"/>
      <c r="G1633" s="17"/>
      <c r="I1633" s="17"/>
      <c r="K1633" s="17"/>
      <c r="L1633" s="17"/>
      <c r="M1633" s="17"/>
      <c r="O1633" s="14">
        <f t="shared" si="1"/>
        <v>0</v>
      </c>
      <c r="P1633" s="86" t="str">
        <f t="array" ref="P1633">iferror(XLOOKUP(C1633,'Download of SFDC Activation Rep'!B:B,'Download of SFDC Activation Rep'!Z:Z),"")</f>
        <v/>
      </c>
      <c r="Q1633" s="86" t="str">
        <f t="shared" si="2"/>
        <v/>
      </c>
      <c r="R1633" s="13" t="str">
        <f t="shared" si="3"/>
        <v>Yes</v>
      </c>
      <c r="S1633" s="86" t="str">
        <f t="array" ref="S1633">iferror(XLOOKUP(C1633,'Download of SFDC Activation Rep'!B:B,'Download of SFDC Activation Rep'!Y:Y),"")</f>
        <v/>
      </c>
    </row>
    <row r="1634">
      <c r="A1634" s="17"/>
      <c r="B1634" s="85"/>
      <c r="C1634" s="17"/>
      <c r="D1634" s="85"/>
      <c r="E1634" s="17"/>
      <c r="F1634" s="17"/>
      <c r="G1634" s="17"/>
      <c r="I1634" s="17"/>
      <c r="K1634" s="17"/>
      <c r="L1634" s="17"/>
      <c r="M1634" s="17"/>
      <c r="O1634" s="14">
        <f t="shared" si="1"/>
        <v>0</v>
      </c>
      <c r="P1634" s="86" t="str">
        <f t="array" ref="P1634">iferror(XLOOKUP(C1634,'Download of SFDC Activation Rep'!B:B,'Download of SFDC Activation Rep'!Z:Z),"")</f>
        <v/>
      </c>
      <c r="Q1634" s="86" t="str">
        <f t="shared" si="2"/>
        <v/>
      </c>
      <c r="R1634" s="13" t="str">
        <f t="shared" si="3"/>
        <v>Yes</v>
      </c>
      <c r="S1634" s="86" t="str">
        <f t="array" ref="S1634">iferror(XLOOKUP(C1634,'Download of SFDC Activation Rep'!B:B,'Download of SFDC Activation Rep'!Y:Y),"")</f>
        <v/>
      </c>
    </row>
    <row r="1635">
      <c r="A1635" s="17"/>
      <c r="B1635" s="85"/>
      <c r="C1635" s="17"/>
      <c r="D1635" s="85"/>
      <c r="E1635" s="17"/>
      <c r="F1635" s="17"/>
      <c r="G1635" s="17"/>
      <c r="I1635" s="17"/>
      <c r="K1635" s="17"/>
      <c r="L1635" s="17"/>
      <c r="M1635" s="17"/>
      <c r="O1635" s="14">
        <f t="shared" si="1"/>
        <v>0</v>
      </c>
      <c r="P1635" s="86" t="str">
        <f t="array" ref="P1635">iferror(XLOOKUP(C1635,'Download of SFDC Activation Rep'!B:B,'Download of SFDC Activation Rep'!Z:Z),"")</f>
        <v/>
      </c>
      <c r="Q1635" s="86" t="str">
        <f t="shared" si="2"/>
        <v/>
      </c>
      <c r="R1635" s="13" t="str">
        <f t="shared" si="3"/>
        <v>Yes</v>
      </c>
      <c r="S1635" s="86" t="str">
        <f t="array" ref="S1635">iferror(XLOOKUP(C1635,'Download of SFDC Activation Rep'!B:B,'Download of SFDC Activation Rep'!Y:Y),"")</f>
        <v/>
      </c>
    </row>
    <row r="1636">
      <c r="A1636" s="17"/>
      <c r="B1636" s="85"/>
      <c r="C1636" s="17"/>
      <c r="D1636" s="85"/>
      <c r="E1636" s="17"/>
      <c r="F1636" s="17"/>
      <c r="G1636" s="17"/>
      <c r="I1636" s="17"/>
      <c r="K1636" s="17"/>
      <c r="L1636" s="17"/>
      <c r="M1636" s="17"/>
      <c r="O1636" s="14">
        <f t="shared" si="1"/>
        <v>0</v>
      </c>
      <c r="P1636" s="86" t="str">
        <f t="array" ref="P1636">iferror(XLOOKUP(C1636,'Download of SFDC Activation Rep'!B:B,'Download of SFDC Activation Rep'!Z:Z),"")</f>
        <v/>
      </c>
      <c r="Q1636" s="86" t="str">
        <f t="shared" si="2"/>
        <v/>
      </c>
      <c r="R1636" s="13" t="str">
        <f t="shared" si="3"/>
        <v>Yes</v>
      </c>
      <c r="S1636" s="86" t="str">
        <f t="array" ref="S1636">iferror(XLOOKUP(C1636,'Download of SFDC Activation Rep'!B:B,'Download of SFDC Activation Rep'!Y:Y),"")</f>
        <v/>
      </c>
    </row>
    <row r="1637">
      <c r="A1637" s="17"/>
      <c r="B1637" s="85"/>
      <c r="C1637" s="17"/>
      <c r="D1637" s="85"/>
      <c r="E1637" s="17"/>
      <c r="F1637" s="17"/>
      <c r="G1637" s="17"/>
      <c r="I1637" s="17"/>
      <c r="K1637" s="17"/>
      <c r="L1637" s="17"/>
      <c r="M1637" s="17"/>
      <c r="O1637" s="14">
        <f t="shared" si="1"/>
        <v>0</v>
      </c>
      <c r="P1637" s="86" t="str">
        <f t="array" ref="P1637">iferror(XLOOKUP(C1637,'Download of SFDC Activation Rep'!B:B,'Download of SFDC Activation Rep'!Z:Z),"")</f>
        <v/>
      </c>
      <c r="Q1637" s="86" t="str">
        <f t="shared" si="2"/>
        <v/>
      </c>
      <c r="R1637" s="13" t="str">
        <f t="shared" si="3"/>
        <v>Yes</v>
      </c>
      <c r="S1637" s="86" t="str">
        <f t="array" ref="S1637">iferror(XLOOKUP(C1637,'Download of SFDC Activation Rep'!B:B,'Download of SFDC Activation Rep'!Y:Y),"")</f>
        <v/>
      </c>
    </row>
    <row r="1638">
      <c r="A1638" s="17"/>
      <c r="B1638" s="85"/>
      <c r="C1638" s="17"/>
      <c r="D1638" s="85"/>
      <c r="E1638" s="17"/>
      <c r="F1638" s="17"/>
      <c r="G1638" s="17"/>
      <c r="I1638" s="17"/>
      <c r="K1638" s="17"/>
      <c r="L1638" s="17"/>
      <c r="M1638" s="17"/>
      <c r="O1638" s="14">
        <f t="shared" si="1"/>
        <v>0</v>
      </c>
      <c r="P1638" s="86" t="str">
        <f t="array" ref="P1638">iferror(XLOOKUP(C1638,'Download of SFDC Activation Rep'!B:B,'Download of SFDC Activation Rep'!Z:Z),"")</f>
        <v/>
      </c>
      <c r="Q1638" s="86" t="str">
        <f t="shared" si="2"/>
        <v/>
      </c>
      <c r="R1638" s="13" t="str">
        <f t="shared" si="3"/>
        <v>Yes</v>
      </c>
      <c r="S1638" s="86" t="str">
        <f t="array" ref="S1638">iferror(XLOOKUP(C1638,'Download of SFDC Activation Rep'!B:B,'Download of SFDC Activation Rep'!Y:Y),"")</f>
        <v/>
      </c>
    </row>
    <row r="1639">
      <c r="A1639" s="17"/>
      <c r="B1639" s="85"/>
      <c r="C1639" s="17"/>
      <c r="D1639" s="85"/>
      <c r="E1639" s="17"/>
      <c r="F1639" s="17"/>
      <c r="G1639" s="17"/>
      <c r="I1639" s="17"/>
      <c r="K1639" s="17"/>
      <c r="L1639" s="17"/>
      <c r="M1639" s="17"/>
      <c r="O1639" s="14">
        <f t="shared" si="1"/>
        <v>0</v>
      </c>
      <c r="P1639" s="86" t="str">
        <f t="array" ref="P1639">iferror(XLOOKUP(C1639,'Download of SFDC Activation Rep'!B:B,'Download of SFDC Activation Rep'!Z:Z),"")</f>
        <v/>
      </c>
      <c r="Q1639" s="86" t="str">
        <f t="shared" si="2"/>
        <v/>
      </c>
      <c r="R1639" s="13" t="str">
        <f t="shared" si="3"/>
        <v>Yes</v>
      </c>
      <c r="S1639" s="86" t="str">
        <f t="array" ref="S1639">iferror(XLOOKUP(C1639,'Download of SFDC Activation Rep'!B:B,'Download of SFDC Activation Rep'!Y:Y),"")</f>
        <v/>
      </c>
    </row>
    <row r="1640">
      <c r="A1640" s="17"/>
      <c r="B1640" s="85"/>
      <c r="C1640" s="17"/>
      <c r="D1640" s="85"/>
      <c r="E1640" s="17"/>
      <c r="F1640" s="17"/>
      <c r="G1640" s="17"/>
      <c r="I1640" s="17"/>
      <c r="K1640" s="17"/>
      <c r="L1640" s="17"/>
      <c r="M1640" s="17"/>
      <c r="O1640" s="14">
        <f t="shared" si="1"/>
        <v>0</v>
      </c>
      <c r="P1640" s="86" t="str">
        <f t="array" ref="P1640">iferror(XLOOKUP(C1640,'Download of SFDC Activation Rep'!B:B,'Download of SFDC Activation Rep'!Z:Z),"")</f>
        <v/>
      </c>
      <c r="Q1640" s="86" t="str">
        <f t="shared" si="2"/>
        <v/>
      </c>
      <c r="R1640" s="13" t="str">
        <f t="shared" si="3"/>
        <v>Yes</v>
      </c>
      <c r="S1640" s="86" t="str">
        <f t="array" ref="S1640">iferror(XLOOKUP(C1640,'Download of SFDC Activation Rep'!B:B,'Download of SFDC Activation Rep'!Y:Y),"")</f>
        <v/>
      </c>
    </row>
    <row r="1641">
      <c r="A1641" s="17"/>
      <c r="B1641" s="85"/>
      <c r="C1641" s="17"/>
      <c r="D1641" s="85"/>
      <c r="E1641" s="17"/>
      <c r="F1641" s="17"/>
      <c r="G1641" s="17"/>
      <c r="I1641" s="17"/>
      <c r="K1641" s="17"/>
      <c r="L1641" s="17"/>
      <c r="M1641" s="17"/>
      <c r="O1641" s="14">
        <f t="shared" si="1"/>
        <v>0</v>
      </c>
      <c r="P1641" s="86" t="str">
        <f t="array" ref="P1641">iferror(XLOOKUP(C1641,'Download of SFDC Activation Rep'!B:B,'Download of SFDC Activation Rep'!Z:Z),"")</f>
        <v/>
      </c>
      <c r="Q1641" s="86" t="str">
        <f t="shared" si="2"/>
        <v/>
      </c>
      <c r="R1641" s="13" t="str">
        <f t="shared" si="3"/>
        <v>Yes</v>
      </c>
      <c r="S1641" s="86" t="str">
        <f t="array" ref="S1641">iferror(XLOOKUP(C1641,'Download of SFDC Activation Rep'!B:B,'Download of SFDC Activation Rep'!Y:Y),"")</f>
        <v/>
      </c>
    </row>
    <row r="1642">
      <c r="A1642" s="17"/>
      <c r="B1642" s="85"/>
      <c r="C1642" s="17"/>
      <c r="D1642" s="85"/>
      <c r="E1642" s="17"/>
      <c r="F1642" s="17"/>
      <c r="G1642" s="17"/>
      <c r="I1642" s="17"/>
      <c r="K1642" s="17"/>
      <c r="L1642" s="17"/>
      <c r="M1642" s="17"/>
      <c r="O1642" s="14">
        <f t="shared" si="1"/>
        <v>0</v>
      </c>
      <c r="P1642" s="86" t="str">
        <f t="array" ref="P1642">iferror(XLOOKUP(C1642,'Download of SFDC Activation Rep'!B:B,'Download of SFDC Activation Rep'!Z:Z),"")</f>
        <v/>
      </c>
      <c r="Q1642" s="86" t="str">
        <f t="shared" si="2"/>
        <v/>
      </c>
      <c r="R1642" s="13" t="str">
        <f t="shared" si="3"/>
        <v>Yes</v>
      </c>
      <c r="S1642" s="86" t="str">
        <f t="array" ref="S1642">iferror(XLOOKUP(C1642,'Download of SFDC Activation Rep'!B:B,'Download of SFDC Activation Rep'!Y:Y),"")</f>
        <v/>
      </c>
    </row>
    <row r="1643">
      <c r="A1643" s="17"/>
      <c r="B1643" s="85"/>
      <c r="C1643" s="17"/>
      <c r="D1643" s="85"/>
      <c r="E1643" s="17"/>
      <c r="F1643" s="17"/>
      <c r="G1643" s="17"/>
      <c r="I1643" s="17"/>
      <c r="K1643" s="17"/>
      <c r="L1643" s="17"/>
      <c r="M1643" s="17"/>
      <c r="O1643" s="14">
        <f t="shared" si="1"/>
        <v>0</v>
      </c>
      <c r="P1643" s="86" t="str">
        <f t="array" ref="P1643">iferror(XLOOKUP(C1643,'Download of SFDC Activation Rep'!B:B,'Download of SFDC Activation Rep'!Z:Z),"")</f>
        <v/>
      </c>
      <c r="Q1643" s="86" t="str">
        <f t="shared" si="2"/>
        <v/>
      </c>
      <c r="R1643" s="13" t="str">
        <f t="shared" si="3"/>
        <v>Yes</v>
      </c>
      <c r="S1643" s="86" t="str">
        <f t="array" ref="S1643">iferror(XLOOKUP(C1643,'Download of SFDC Activation Rep'!B:B,'Download of SFDC Activation Rep'!Y:Y),"")</f>
        <v/>
      </c>
    </row>
    <row r="1644">
      <c r="A1644" s="17"/>
      <c r="B1644" s="85"/>
      <c r="C1644" s="17"/>
      <c r="D1644" s="85"/>
      <c r="E1644" s="17"/>
      <c r="F1644" s="17"/>
      <c r="G1644" s="17"/>
      <c r="I1644" s="17"/>
      <c r="K1644" s="17"/>
      <c r="L1644" s="17"/>
      <c r="M1644" s="17"/>
      <c r="O1644" s="14">
        <f t="shared" si="1"/>
        <v>0</v>
      </c>
      <c r="P1644" s="86" t="str">
        <f t="array" ref="P1644">iferror(XLOOKUP(C1644,'Download of SFDC Activation Rep'!B:B,'Download of SFDC Activation Rep'!Z:Z),"")</f>
        <v/>
      </c>
      <c r="Q1644" s="86" t="str">
        <f t="shared" si="2"/>
        <v/>
      </c>
      <c r="R1644" s="13" t="str">
        <f t="shared" si="3"/>
        <v>Yes</v>
      </c>
      <c r="S1644" s="86" t="str">
        <f t="array" ref="S1644">iferror(XLOOKUP(C1644,'Download of SFDC Activation Rep'!B:B,'Download of SFDC Activation Rep'!Y:Y),"")</f>
        <v/>
      </c>
    </row>
    <row r="1645">
      <c r="A1645" s="17"/>
      <c r="B1645" s="85"/>
      <c r="C1645" s="17"/>
      <c r="D1645" s="85"/>
      <c r="E1645" s="17"/>
      <c r="F1645" s="17"/>
      <c r="G1645" s="17"/>
      <c r="I1645" s="17"/>
      <c r="K1645" s="17"/>
      <c r="L1645" s="17"/>
      <c r="M1645" s="17"/>
      <c r="O1645" s="14">
        <f t="shared" si="1"/>
        <v>0</v>
      </c>
      <c r="P1645" s="86" t="str">
        <f t="array" ref="P1645">iferror(XLOOKUP(C1645,'Download of SFDC Activation Rep'!B:B,'Download of SFDC Activation Rep'!Z:Z),"")</f>
        <v/>
      </c>
      <c r="Q1645" s="86" t="str">
        <f t="shared" si="2"/>
        <v/>
      </c>
      <c r="R1645" s="13" t="str">
        <f t="shared" si="3"/>
        <v>Yes</v>
      </c>
      <c r="S1645" s="86" t="str">
        <f t="array" ref="S1645">iferror(XLOOKUP(C1645,'Download of SFDC Activation Rep'!B:B,'Download of SFDC Activation Rep'!Y:Y),"")</f>
        <v/>
      </c>
    </row>
    <row r="1646">
      <c r="A1646" s="17"/>
      <c r="B1646" s="85"/>
      <c r="C1646" s="17"/>
      <c r="D1646" s="85"/>
      <c r="E1646" s="17"/>
      <c r="F1646" s="17"/>
      <c r="G1646" s="17"/>
      <c r="I1646" s="17"/>
      <c r="K1646" s="17"/>
      <c r="L1646" s="17"/>
      <c r="M1646" s="17"/>
      <c r="O1646" s="14">
        <f t="shared" si="1"/>
        <v>0</v>
      </c>
      <c r="P1646" s="86" t="str">
        <f t="array" ref="P1646">iferror(XLOOKUP(C1646,'Download of SFDC Activation Rep'!B:B,'Download of SFDC Activation Rep'!Z:Z),"")</f>
        <v/>
      </c>
      <c r="Q1646" s="86" t="str">
        <f t="shared" si="2"/>
        <v/>
      </c>
      <c r="R1646" s="13" t="str">
        <f t="shared" si="3"/>
        <v>Yes</v>
      </c>
      <c r="S1646" s="86" t="str">
        <f t="array" ref="S1646">iferror(XLOOKUP(C1646,'Download of SFDC Activation Rep'!B:B,'Download of SFDC Activation Rep'!Y:Y),"")</f>
        <v/>
      </c>
    </row>
    <row r="1647">
      <c r="A1647" s="17"/>
      <c r="B1647" s="85"/>
      <c r="C1647" s="17"/>
      <c r="D1647" s="85"/>
      <c r="E1647" s="17"/>
      <c r="F1647" s="17"/>
      <c r="G1647" s="17"/>
      <c r="I1647" s="17"/>
      <c r="K1647" s="17"/>
      <c r="L1647" s="17"/>
      <c r="M1647" s="17"/>
      <c r="O1647" s="14">
        <f t="shared" si="1"/>
        <v>0</v>
      </c>
      <c r="P1647" s="86" t="str">
        <f t="array" ref="P1647">iferror(XLOOKUP(C1647,'Download of SFDC Activation Rep'!B:B,'Download of SFDC Activation Rep'!Z:Z),"")</f>
        <v/>
      </c>
      <c r="Q1647" s="86" t="str">
        <f t="shared" si="2"/>
        <v/>
      </c>
      <c r="R1647" s="13" t="str">
        <f t="shared" si="3"/>
        <v>Yes</v>
      </c>
      <c r="S1647" s="86" t="str">
        <f t="array" ref="S1647">iferror(XLOOKUP(C1647,'Download of SFDC Activation Rep'!B:B,'Download of SFDC Activation Rep'!Y:Y),"")</f>
        <v/>
      </c>
    </row>
    <row r="1648">
      <c r="A1648" s="17"/>
      <c r="B1648" s="85"/>
      <c r="C1648" s="17"/>
      <c r="D1648" s="85"/>
      <c r="E1648" s="17"/>
      <c r="F1648" s="17"/>
      <c r="G1648" s="17"/>
      <c r="I1648" s="17"/>
      <c r="K1648" s="17"/>
      <c r="L1648" s="17"/>
      <c r="M1648" s="17"/>
      <c r="O1648" s="14">
        <f t="shared" si="1"/>
        <v>0</v>
      </c>
      <c r="P1648" s="86" t="str">
        <f t="array" ref="P1648">iferror(XLOOKUP(C1648,'Download of SFDC Activation Rep'!B:B,'Download of SFDC Activation Rep'!Z:Z),"")</f>
        <v/>
      </c>
      <c r="Q1648" s="86" t="str">
        <f t="shared" si="2"/>
        <v/>
      </c>
      <c r="R1648" s="13" t="str">
        <f t="shared" si="3"/>
        <v>Yes</v>
      </c>
      <c r="S1648" s="86" t="str">
        <f t="array" ref="S1648">iferror(XLOOKUP(C1648,'Download of SFDC Activation Rep'!B:B,'Download of SFDC Activation Rep'!Y:Y),"")</f>
        <v/>
      </c>
    </row>
    <row r="1649">
      <c r="A1649" s="17"/>
      <c r="B1649" s="85"/>
      <c r="C1649" s="17"/>
      <c r="D1649" s="85"/>
      <c r="E1649" s="17"/>
      <c r="F1649" s="17"/>
      <c r="G1649" s="17"/>
      <c r="I1649" s="17"/>
      <c r="K1649" s="17"/>
      <c r="L1649" s="17"/>
      <c r="M1649" s="17"/>
      <c r="O1649" s="14">
        <f t="shared" si="1"/>
        <v>0</v>
      </c>
      <c r="P1649" s="86" t="str">
        <f t="array" ref="P1649">iferror(XLOOKUP(C1649,'Download of SFDC Activation Rep'!B:B,'Download of SFDC Activation Rep'!Z:Z),"")</f>
        <v/>
      </c>
      <c r="Q1649" s="86" t="str">
        <f t="shared" si="2"/>
        <v/>
      </c>
      <c r="R1649" s="13" t="str">
        <f t="shared" si="3"/>
        <v>Yes</v>
      </c>
      <c r="S1649" s="86" t="str">
        <f t="array" ref="S1649">iferror(XLOOKUP(C1649,'Download of SFDC Activation Rep'!B:B,'Download of SFDC Activation Rep'!Y:Y),"")</f>
        <v/>
      </c>
    </row>
    <row r="1650">
      <c r="A1650" s="17"/>
      <c r="B1650" s="85"/>
      <c r="C1650" s="17"/>
      <c r="D1650" s="85"/>
      <c r="E1650" s="17"/>
      <c r="F1650" s="17"/>
      <c r="G1650" s="17"/>
      <c r="I1650" s="17"/>
      <c r="K1650" s="17"/>
      <c r="L1650" s="17"/>
      <c r="M1650" s="17"/>
      <c r="O1650" s="14">
        <f t="shared" si="1"/>
        <v>0</v>
      </c>
      <c r="P1650" s="86" t="str">
        <f t="array" ref="P1650">iferror(XLOOKUP(C1650,'Download of SFDC Activation Rep'!B:B,'Download of SFDC Activation Rep'!Z:Z),"")</f>
        <v/>
      </c>
      <c r="Q1650" s="86" t="str">
        <f t="shared" si="2"/>
        <v/>
      </c>
      <c r="R1650" s="13" t="str">
        <f t="shared" si="3"/>
        <v>Yes</v>
      </c>
      <c r="S1650" s="86" t="str">
        <f t="array" ref="S1650">iferror(XLOOKUP(C1650,'Download of SFDC Activation Rep'!B:B,'Download of SFDC Activation Rep'!Y:Y),"")</f>
        <v/>
      </c>
    </row>
    <row r="1651">
      <c r="A1651" s="17"/>
      <c r="B1651" s="85"/>
      <c r="C1651" s="17"/>
      <c r="D1651" s="85"/>
      <c r="E1651" s="17"/>
      <c r="F1651" s="17"/>
      <c r="G1651" s="17"/>
      <c r="I1651" s="17"/>
      <c r="K1651" s="17"/>
      <c r="L1651" s="17"/>
      <c r="M1651" s="17"/>
      <c r="O1651" s="14">
        <f t="shared" si="1"/>
        <v>0</v>
      </c>
      <c r="P1651" s="86" t="str">
        <f t="array" ref="P1651">iferror(XLOOKUP(C1651,'Download of SFDC Activation Rep'!B:B,'Download of SFDC Activation Rep'!Z:Z),"")</f>
        <v/>
      </c>
      <c r="Q1651" s="86" t="str">
        <f t="shared" si="2"/>
        <v/>
      </c>
      <c r="R1651" s="13" t="str">
        <f t="shared" si="3"/>
        <v>Yes</v>
      </c>
      <c r="S1651" s="86" t="str">
        <f t="array" ref="S1651">iferror(XLOOKUP(C1651,'Download of SFDC Activation Rep'!B:B,'Download of SFDC Activation Rep'!Y:Y),"")</f>
        <v/>
      </c>
    </row>
    <row r="1652">
      <c r="A1652" s="17"/>
      <c r="B1652" s="85"/>
      <c r="C1652" s="17"/>
      <c r="D1652" s="85"/>
      <c r="E1652" s="17"/>
      <c r="F1652" s="17"/>
      <c r="G1652" s="17"/>
      <c r="I1652" s="17"/>
      <c r="K1652" s="17"/>
      <c r="L1652" s="17"/>
      <c r="M1652" s="17"/>
      <c r="O1652" s="14">
        <f t="shared" si="1"/>
        <v>0</v>
      </c>
      <c r="P1652" s="86" t="str">
        <f t="array" ref="P1652">iferror(XLOOKUP(C1652,'Download of SFDC Activation Rep'!B:B,'Download of SFDC Activation Rep'!Z:Z),"")</f>
        <v/>
      </c>
      <c r="Q1652" s="86" t="str">
        <f t="shared" si="2"/>
        <v/>
      </c>
      <c r="R1652" s="13" t="str">
        <f t="shared" si="3"/>
        <v>Yes</v>
      </c>
      <c r="S1652" s="86" t="str">
        <f t="array" ref="S1652">iferror(XLOOKUP(C1652,'Download of SFDC Activation Rep'!B:B,'Download of SFDC Activation Rep'!Y:Y),"")</f>
        <v/>
      </c>
    </row>
    <row r="1653">
      <c r="A1653" s="17"/>
      <c r="B1653" s="85"/>
      <c r="C1653" s="17"/>
      <c r="D1653" s="85"/>
      <c r="E1653" s="17"/>
      <c r="F1653" s="17"/>
      <c r="G1653" s="17"/>
      <c r="I1653" s="17"/>
      <c r="K1653" s="17"/>
      <c r="L1653" s="17"/>
      <c r="M1653" s="17"/>
      <c r="O1653" s="14">
        <f t="shared" si="1"/>
        <v>0</v>
      </c>
      <c r="P1653" s="86" t="str">
        <f t="array" ref="P1653">iferror(XLOOKUP(C1653,'Download of SFDC Activation Rep'!B:B,'Download of SFDC Activation Rep'!Z:Z),"")</f>
        <v/>
      </c>
      <c r="Q1653" s="86" t="str">
        <f t="shared" si="2"/>
        <v/>
      </c>
      <c r="R1653" s="13" t="str">
        <f t="shared" si="3"/>
        <v>Yes</v>
      </c>
      <c r="S1653" s="86" t="str">
        <f t="array" ref="S1653">iferror(XLOOKUP(C1653,'Download of SFDC Activation Rep'!B:B,'Download of SFDC Activation Rep'!Y:Y),"")</f>
        <v/>
      </c>
    </row>
    <row r="1654">
      <c r="A1654" s="17"/>
      <c r="B1654" s="85"/>
      <c r="C1654" s="17"/>
      <c r="D1654" s="85"/>
      <c r="E1654" s="17"/>
      <c r="F1654" s="17"/>
      <c r="G1654" s="17"/>
      <c r="I1654" s="17"/>
      <c r="K1654" s="17"/>
      <c r="L1654" s="17"/>
      <c r="M1654" s="17"/>
      <c r="O1654" s="14">
        <f t="shared" si="1"/>
        <v>0</v>
      </c>
      <c r="P1654" s="86" t="str">
        <f t="array" ref="P1654">iferror(XLOOKUP(C1654,'Download of SFDC Activation Rep'!B:B,'Download of SFDC Activation Rep'!Z:Z),"")</f>
        <v/>
      </c>
      <c r="Q1654" s="86" t="str">
        <f t="shared" si="2"/>
        <v/>
      </c>
      <c r="R1654" s="13" t="str">
        <f t="shared" si="3"/>
        <v>Yes</v>
      </c>
      <c r="S1654" s="86" t="str">
        <f t="array" ref="S1654">iferror(XLOOKUP(C1654,'Download of SFDC Activation Rep'!B:B,'Download of SFDC Activation Rep'!Y:Y),"")</f>
        <v/>
      </c>
    </row>
    <row r="1655">
      <c r="A1655" s="17"/>
      <c r="B1655" s="85"/>
      <c r="C1655" s="17"/>
      <c r="D1655" s="85"/>
      <c r="E1655" s="17"/>
      <c r="F1655" s="17"/>
      <c r="G1655" s="17"/>
      <c r="I1655" s="17"/>
      <c r="K1655" s="17"/>
      <c r="L1655" s="17"/>
      <c r="M1655" s="17"/>
      <c r="O1655" s="14">
        <f t="shared" si="1"/>
        <v>0</v>
      </c>
      <c r="P1655" s="86" t="str">
        <f t="array" ref="P1655">iferror(XLOOKUP(C1655,'Download of SFDC Activation Rep'!B:B,'Download of SFDC Activation Rep'!Z:Z),"")</f>
        <v/>
      </c>
      <c r="Q1655" s="86" t="str">
        <f t="shared" si="2"/>
        <v/>
      </c>
      <c r="R1655" s="13" t="str">
        <f t="shared" si="3"/>
        <v>Yes</v>
      </c>
      <c r="S1655" s="86" t="str">
        <f t="array" ref="S1655">iferror(XLOOKUP(C1655,'Download of SFDC Activation Rep'!B:B,'Download of SFDC Activation Rep'!Y:Y),"")</f>
        <v/>
      </c>
    </row>
    <row r="1656">
      <c r="A1656" s="17"/>
      <c r="B1656" s="85"/>
      <c r="C1656" s="17"/>
      <c r="D1656" s="85"/>
      <c r="E1656" s="17"/>
      <c r="F1656" s="17"/>
      <c r="G1656" s="17"/>
      <c r="I1656" s="17"/>
      <c r="K1656" s="17"/>
      <c r="L1656" s="17"/>
      <c r="M1656" s="17"/>
      <c r="O1656" s="14">
        <f t="shared" si="1"/>
        <v>0</v>
      </c>
      <c r="P1656" s="86" t="str">
        <f t="array" ref="P1656">iferror(XLOOKUP(C1656,'Download of SFDC Activation Rep'!B:B,'Download of SFDC Activation Rep'!Z:Z),"")</f>
        <v/>
      </c>
      <c r="Q1656" s="86" t="str">
        <f t="shared" si="2"/>
        <v/>
      </c>
      <c r="R1656" s="13" t="str">
        <f t="shared" si="3"/>
        <v>Yes</v>
      </c>
      <c r="S1656" s="86" t="str">
        <f t="array" ref="S1656">iferror(XLOOKUP(C1656,'Download of SFDC Activation Rep'!B:B,'Download of SFDC Activation Rep'!Y:Y),"")</f>
        <v/>
      </c>
    </row>
    <row r="1657">
      <c r="A1657" s="17"/>
      <c r="B1657" s="85"/>
      <c r="C1657" s="17"/>
      <c r="D1657" s="85"/>
      <c r="E1657" s="17"/>
      <c r="F1657" s="17"/>
      <c r="G1657" s="17"/>
      <c r="I1657" s="17"/>
      <c r="K1657" s="17"/>
      <c r="L1657" s="17"/>
      <c r="M1657" s="17"/>
      <c r="O1657" s="14">
        <f t="shared" si="1"/>
        <v>0</v>
      </c>
      <c r="P1657" s="86" t="str">
        <f t="array" ref="P1657">iferror(XLOOKUP(C1657,'Download of SFDC Activation Rep'!B:B,'Download of SFDC Activation Rep'!Z:Z),"")</f>
        <v/>
      </c>
      <c r="Q1657" s="86" t="str">
        <f t="shared" si="2"/>
        <v/>
      </c>
      <c r="R1657" s="13" t="str">
        <f t="shared" si="3"/>
        <v>Yes</v>
      </c>
      <c r="S1657" s="86" t="str">
        <f t="array" ref="S1657">iferror(XLOOKUP(C1657,'Download of SFDC Activation Rep'!B:B,'Download of SFDC Activation Rep'!Y:Y),"")</f>
        <v/>
      </c>
    </row>
    <row r="1658">
      <c r="A1658" s="17"/>
      <c r="B1658" s="85"/>
      <c r="C1658" s="17"/>
      <c r="D1658" s="85"/>
      <c r="E1658" s="17"/>
      <c r="F1658" s="17"/>
      <c r="G1658" s="17"/>
      <c r="I1658" s="17"/>
      <c r="K1658" s="17"/>
      <c r="L1658" s="17"/>
      <c r="M1658" s="17"/>
      <c r="O1658" s="14">
        <f t="shared" si="1"/>
        <v>0</v>
      </c>
      <c r="P1658" s="86" t="str">
        <f t="array" ref="P1658">iferror(XLOOKUP(C1658,'Download of SFDC Activation Rep'!B:B,'Download of SFDC Activation Rep'!Z:Z),"")</f>
        <v/>
      </c>
      <c r="Q1658" s="86" t="str">
        <f t="shared" si="2"/>
        <v/>
      </c>
      <c r="R1658" s="13" t="str">
        <f t="shared" si="3"/>
        <v>Yes</v>
      </c>
      <c r="S1658" s="86" t="str">
        <f t="array" ref="S1658">iferror(XLOOKUP(C1658,'Download of SFDC Activation Rep'!B:B,'Download of SFDC Activation Rep'!Y:Y),"")</f>
        <v/>
      </c>
    </row>
    <row r="1659">
      <c r="A1659" s="17"/>
      <c r="B1659" s="85"/>
      <c r="C1659" s="17"/>
      <c r="D1659" s="85"/>
      <c r="E1659" s="17"/>
      <c r="F1659" s="17"/>
      <c r="G1659" s="17"/>
      <c r="I1659" s="17"/>
      <c r="K1659" s="17"/>
      <c r="L1659" s="17"/>
      <c r="M1659" s="17"/>
      <c r="O1659" s="14">
        <f t="shared" si="1"/>
        <v>0</v>
      </c>
      <c r="P1659" s="86" t="str">
        <f t="array" ref="P1659">iferror(XLOOKUP(C1659,'Download of SFDC Activation Rep'!B:B,'Download of SFDC Activation Rep'!Z:Z),"")</f>
        <v/>
      </c>
      <c r="Q1659" s="86" t="str">
        <f t="shared" si="2"/>
        <v/>
      </c>
      <c r="R1659" s="13" t="str">
        <f t="shared" si="3"/>
        <v>Yes</v>
      </c>
      <c r="S1659" s="86" t="str">
        <f t="array" ref="S1659">iferror(XLOOKUP(C1659,'Download of SFDC Activation Rep'!B:B,'Download of SFDC Activation Rep'!Y:Y),"")</f>
        <v/>
      </c>
    </row>
    <row r="1660">
      <c r="A1660" s="17"/>
      <c r="B1660" s="85"/>
      <c r="C1660" s="17"/>
      <c r="D1660" s="85"/>
      <c r="E1660" s="17"/>
      <c r="F1660" s="17"/>
      <c r="G1660" s="17"/>
      <c r="I1660" s="17"/>
      <c r="K1660" s="17"/>
      <c r="L1660" s="17"/>
      <c r="M1660" s="17"/>
      <c r="O1660" s="14">
        <f t="shared" si="1"/>
        <v>0</v>
      </c>
      <c r="P1660" s="86" t="str">
        <f t="array" ref="P1660">iferror(XLOOKUP(C1660,'Download of SFDC Activation Rep'!B:B,'Download of SFDC Activation Rep'!Z:Z),"")</f>
        <v/>
      </c>
      <c r="Q1660" s="86" t="str">
        <f t="shared" si="2"/>
        <v/>
      </c>
      <c r="R1660" s="13" t="str">
        <f t="shared" si="3"/>
        <v>Yes</v>
      </c>
      <c r="S1660" s="86" t="str">
        <f t="array" ref="S1660">iferror(XLOOKUP(C1660,'Download of SFDC Activation Rep'!B:B,'Download of SFDC Activation Rep'!Y:Y),"")</f>
        <v/>
      </c>
    </row>
    <row r="1661">
      <c r="A1661" s="17"/>
      <c r="B1661" s="85"/>
      <c r="C1661" s="17"/>
      <c r="D1661" s="85"/>
      <c r="E1661" s="17"/>
      <c r="F1661" s="17"/>
      <c r="G1661" s="17"/>
      <c r="I1661" s="17"/>
      <c r="K1661" s="17"/>
      <c r="L1661" s="17"/>
      <c r="M1661" s="17"/>
      <c r="O1661" s="14">
        <f t="shared" si="1"/>
        <v>0</v>
      </c>
      <c r="P1661" s="86" t="str">
        <f t="array" ref="P1661">iferror(XLOOKUP(C1661,'Download of SFDC Activation Rep'!B:B,'Download of SFDC Activation Rep'!Z:Z),"")</f>
        <v/>
      </c>
      <c r="Q1661" s="86" t="str">
        <f t="shared" si="2"/>
        <v/>
      </c>
      <c r="R1661" s="13" t="str">
        <f t="shared" si="3"/>
        <v>Yes</v>
      </c>
      <c r="S1661" s="86" t="str">
        <f t="array" ref="S1661">iferror(XLOOKUP(C1661,'Download of SFDC Activation Rep'!B:B,'Download of SFDC Activation Rep'!Y:Y),"")</f>
        <v/>
      </c>
    </row>
    <row r="1662">
      <c r="A1662" s="17"/>
      <c r="B1662" s="85"/>
      <c r="C1662" s="17"/>
      <c r="D1662" s="85"/>
      <c r="E1662" s="17"/>
      <c r="F1662" s="17"/>
      <c r="G1662" s="17"/>
      <c r="I1662" s="17"/>
      <c r="K1662" s="17"/>
      <c r="L1662" s="17"/>
      <c r="M1662" s="17"/>
      <c r="O1662" s="14">
        <f t="shared" si="1"/>
        <v>0</v>
      </c>
      <c r="P1662" s="86" t="str">
        <f t="array" ref="P1662">iferror(XLOOKUP(C1662,'Download of SFDC Activation Rep'!B:B,'Download of SFDC Activation Rep'!Z:Z),"")</f>
        <v/>
      </c>
      <c r="Q1662" s="86" t="str">
        <f t="shared" si="2"/>
        <v/>
      </c>
      <c r="R1662" s="13" t="str">
        <f t="shared" si="3"/>
        <v>Yes</v>
      </c>
      <c r="S1662" s="86" t="str">
        <f t="array" ref="S1662">iferror(XLOOKUP(C1662,'Download of SFDC Activation Rep'!B:B,'Download of SFDC Activation Rep'!Y:Y),"")</f>
        <v/>
      </c>
    </row>
    <row r="1663">
      <c r="A1663" s="17"/>
      <c r="B1663" s="85"/>
      <c r="C1663" s="17"/>
      <c r="D1663" s="85"/>
      <c r="E1663" s="17"/>
      <c r="F1663" s="17"/>
      <c r="G1663" s="17"/>
      <c r="I1663" s="17"/>
      <c r="K1663" s="17"/>
      <c r="L1663" s="17"/>
      <c r="M1663" s="17"/>
      <c r="O1663" s="14">
        <f t="shared" si="1"/>
        <v>0</v>
      </c>
      <c r="P1663" s="86" t="str">
        <f t="array" ref="P1663">iferror(XLOOKUP(C1663,'Download of SFDC Activation Rep'!B:B,'Download of SFDC Activation Rep'!Z:Z),"")</f>
        <v/>
      </c>
      <c r="Q1663" s="86" t="str">
        <f t="shared" si="2"/>
        <v/>
      </c>
      <c r="R1663" s="13" t="str">
        <f t="shared" si="3"/>
        <v>Yes</v>
      </c>
      <c r="S1663" s="86" t="str">
        <f t="array" ref="S1663">iferror(XLOOKUP(C1663,'Download of SFDC Activation Rep'!B:B,'Download of SFDC Activation Rep'!Y:Y),"")</f>
        <v/>
      </c>
    </row>
    <row r="1664">
      <c r="A1664" s="17"/>
      <c r="B1664" s="85"/>
      <c r="C1664" s="17"/>
      <c r="D1664" s="85"/>
      <c r="E1664" s="17"/>
      <c r="F1664" s="17"/>
      <c r="G1664" s="17"/>
      <c r="I1664" s="17"/>
      <c r="K1664" s="17"/>
      <c r="L1664" s="17"/>
      <c r="M1664" s="17"/>
      <c r="O1664" s="14">
        <f t="shared" si="1"/>
        <v>0</v>
      </c>
      <c r="P1664" s="86" t="str">
        <f t="array" ref="P1664">iferror(XLOOKUP(C1664,'Download of SFDC Activation Rep'!B:B,'Download of SFDC Activation Rep'!Z:Z),"")</f>
        <v/>
      </c>
      <c r="Q1664" s="86" t="str">
        <f t="shared" si="2"/>
        <v/>
      </c>
      <c r="R1664" s="13" t="str">
        <f t="shared" si="3"/>
        <v>Yes</v>
      </c>
      <c r="S1664" s="86" t="str">
        <f t="array" ref="S1664">iferror(XLOOKUP(C1664,'Download of SFDC Activation Rep'!B:B,'Download of SFDC Activation Rep'!Y:Y),"")</f>
        <v/>
      </c>
    </row>
    <row r="1665">
      <c r="A1665" s="17"/>
      <c r="B1665" s="85"/>
      <c r="C1665" s="17"/>
      <c r="D1665" s="85"/>
      <c r="E1665" s="17"/>
      <c r="F1665" s="17"/>
      <c r="G1665" s="17"/>
      <c r="I1665" s="17"/>
      <c r="K1665" s="17"/>
      <c r="L1665" s="17"/>
      <c r="M1665" s="17"/>
      <c r="O1665" s="14">
        <f t="shared" si="1"/>
        <v>0</v>
      </c>
      <c r="P1665" s="86" t="str">
        <f t="array" ref="P1665">iferror(XLOOKUP(C1665,'Download of SFDC Activation Rep'!B:B,'Download of SFDC Activation Rep'!Z:Z),"")</f>
        <v/>
      </c>
      <c r="Q1665" s="86" t="str">
        <f t="shared" si="2"/>
        <v/>
      </c>
      <c r="R1665" s="13" t="str">
        <f t="shared" si="3"/>
        <v>Yes</v>
      </c>
      <c r="S1665" s="86" t="str">
        <f t="array" ref="S1665">iferror(XLOOKUP(C1665,'Download of SFDC Activation Rep'!B:B,'Download of SFDC Activation Rep'!Y:Y),"")</f>
        <v/>
      </c>
    </row>
    <row r="1666">
      <c r="A1666" s="17"/>
      <c r="B1666" s="85"/>
      <c r="C1666" s="17"/>
      <c r="D1666" s="85"/>
      <c r="E1666" s="17"/>
      <c r="F1666" s="17"/>
      <c r="G1666" s="17"/>
      <c r="I1666" s="17"/>
      <c r="K1666" s="17"/>
      <c r="L1666" s="17"/>
      <c r="M1666" s="17"/>
      <c r="O1666" s="14">
        <f t="shared" si="1"/>
        <v>0</v>
      </c>
      <c r="P1666" s="86" t="str">
        <f t="array" ref="P1666">iferror(XLOOKUP(C1666,'Download of SFDC Activation Rep'!B:B,'Download of SFDC Activation Rep'!Z:Z),"")</f>
        <v/>
      </c>
      <c r="Q1666" s="86" t="str">
        <f t="shared" si="2"/>
        <v/>
      </c>
      <c r="R1666" s="13" t="str">
        <f t="shared" si="3"/>
        <v>Yes</v>
      </c>
      <c r="S1666" s="86" t="str">
        <f t="array" ref="S1666">iferror(XLOOKUP(C1666,'Download of SFDC Activation Rep'!B:B,'Download of SFDC Activation Rep'!Y:Y),"")</f>
        <v/>
      </c>
    </row>
    <row r="1667">
      <c r="A1667" s="17"/>
      <c r="B1667" s="85"/>
      <c r="C1667" s="17"/>
      <c r="D1667" s="85"/>
      <c r="E1667" s="17"/>
      <c r="F1667" s="17"/>
      <c r="G1667" s="17"/>
      <c r="I1667" s="17"/>
      <c r="K1667" s="17"/>
      <c r="L1667" s="17"/>
      <c r="M1667" s="17"/>
      <c r="O1667" s="14">
        <f t="shared" si="1"/>
        <v>0</v>
      </c>
      <c r="P1667" s="86" t="str">
        <f t="array" ref="P1667">iferror(XLOOKUP(C1667,'Download of SFDC Activation Rep'!B:B,'Download of SFDC Activation Rep'!Z:Z),"")</f>
        <v/>
      </c>
      <c r="Q1667" s="86" t="str">
        <f t="shared" si="2"/>
        <v/>
      </c>
      <c r="R1667" s="13" t="str">
        <f t="shared" si="3"/>
        <v>Yes</v>
      </c>
      <c r="S1667" s="86" t="str">
        <f t="array" ref="S1667">iferror(XLOOKUP(C1667,'Download of SFDC Activation Rep'!B:B,'Download of SFDC Activation Rep'!Y:Y),"")</f>
        <v/>
      </c>
    </row>
    <row r="1668">
      <c r="A1668" s="17"/>
      <c r="B1668" s="85"/>
      <c r="C1668" s="17"/>
      <c r="D1668" s="85"/>
      <c r="E1668" s="17"/>
      <c r="F1668" s="17"/>
      <c r="G1668" s="17"/>
      <c r="I1668" s="17"/>
      <c r="K1668" s="17"/>
      <c r="L1668" s="17"/>
      <c r="M1668" s="17"/>
      <c r="O1668" s="14">
        <f t="shared" si="1"/>
        <v>0</v>
      </c>
      <c r="P1668" s="86" t="str">
        <f t="array" ref="P1668">iferror(XLOOKUP(C1668,'Download of SFDC Activation Rep'!B:B,'Download of SFDC Activation Rep'!Z:Z),"")</f>
        <v/>
      </c>
      <c r="Q1668" s="86" t="str">
        <f t="shared" si="2"/>
        <v/>
      </c>
      <c r="R1668" s="13" t="str">
        <f t="shared" si="3"/>
        <v>Yes</v>
      </c>
      <c r="S1668" s="86" t="str">
        <f t="array" ref="S1668">iferror(XLOOKUP(C1668,'Download of SFDC Activation Rep'!B:B,'Download of SFDC Activation Rep'!Y:Y),"")</f>
        <v/>
      </c>
    </row>
    <row r="1669">
      <c r="A1669" s="17"/>
      <c r="B1669" s="85"/>
      <c r="C1669" s="17"/>
      <c r="D1669" s="85"/>
      <c r="E1669" s="17"/>
      <c r="F1669" s="17"/>
      <c r="G1669" s="17"/>
      <c r="I1669" s="17"/>
      <c r="K1669" s="17"/>
      <c r="L1669" s="17"/>
      <c r="M1669" s="17"/>
      <c r="O1669" s="14">
        <f t="shared" si="1"/>
        <v>0</v>
      </c>
      <c r="P1669" s="86" t="str">
        <f t="array" ref="P1669">iferror(XLOOKUP(C1669,'Download of SFDC Activation Rep'!B:B,'Download of SFDC Activation Rep'!Z:Z),"")</f>
        <v/>
      </c>
      <c r="Q1669" s="86" t="str">
        <f t="shared" si="2"/>
        <v/>
      </c>
      <c r="R1669" s="13" t="str">
        <f t="shared" si="3"/>
        <v>Yes</v>
      </c>
      <c r="S1669" s="86" t="str">
        <f t="array" ref="S1669">iferror(XLOOKUP(C1669,'Download of SFDC Activation Rep'!B:B,'Download of SFDC Activation Rep'!Y:Y),"")</f>
        <v/>
      </c>
    </row>
    <row r="1670">
      <c r="A1670" s="17"/>
      <c r="B1670" s="85"/>
      <c r="C1670" s="17"/>
      <c r="D1670" s="85"/>
      <c r="E1670" s="17"/>
      <c r="F1670" s="17"/>
      <c r="G1670" s="17"/>
      <c r="I1670" s="17"/>
      <c r="K1670" s="17"/>
      <c r="L1670" s="17"/>
      <c r="M1670" s="17"/>
      <c r="O1670" s="14">
        <f t="shared" si="1"/>
        <v>0</v>
      </c>
      <c r="P1670" s="86" t="str">
        <f t="array" ref="P1670">iferror(XLOOKUP(C1670,'Download of SFDC Activation Rep'!B:B,'Download of SFDC Activation Rep'!Z:Z),"")</f>
        <v/>
      </c>
      <c r="Q1670" s="86" t="str">
        <f t="shared" si="2"/>
        <v/>
      </c>
      <c r="R1670" s="13" t="str">
        <f t="shared" si="3"/>
        <v>Yes</v>
      </c>
      <c r="S1670" s="86" t="str">
        <f t="array" ref="S1670">iferror(XLOOKUP(C1670,'Download of SFDC Activation Rep'!B:B,'Download of SFDC Activation Rep'!Y:Y),"")</f>
        <v/>
      </c>
    </row>
    <row r="1671">
      <c r="A1671" s="17"/>
      <c r="B1671" s="85"/>
      <c r="C1671" s="17"/>
      <c r="D1671" s="85"/>
      <c r="E1671" s="17"/>
      <c r="F1671" s="17"/>
      <c r="G1671" s="17"/>
      <c r="I1671" s="17"/>
      <c r="K1671" s="17"/>
      <c r="L1671" s="17"/>
      <c r="M1671" s="17"/>
      <c r="O1671" s="14">
        <f t="shared" si="1"/>
        <v>0</v>
      </c>
      <c r="P1671" s="86" t="str">
        <f t="array" ref="P1671">iferror(XLOOKUP(C1671,'Download of SFDC Activation Rep'!B:B,'Download of SFDC Activation Rep'!Z:Z),"")</f>
        <v/>
      </c>
      <c r="Q1671" s="86" t="str">
        <f t="shared" si="2"/>
        <v/>
      </c>
      <c r="R1671" s="13" t="str">
        <f t="shared" si="3"/>
        <v>Yes</v>
      </c>
      <c r="S1671" s="86" t="str">
        <f t="array" ref="S1671">iferror(XLOOKUP(C1671,'Download of SFDC Activation Rep'!B:B,'Download of SFDC Activation Rep'!Y:Y),"")</f>
        <v/>
      </c>
    </row>
    <row r="1672">
      <c r="A1672" s="17"/>
      <c r="B1672" s="85"/>
      <c r="C1672" s="17"/>
      <c r="D1672" s="85"/>
      <c r="E1672" s="17"/>
      <c r="F1672" s="17"/>
      <c r="G1672" s="17"/>
      <c r="I1672" s="17"/>
      <c r="K1672" s="17"/>
      <c r="L1672" s="17"/>
      <c r="M1672" s="17"/>
      <c r="O1672" s="14">
        <f t="shared" si="1"/>
        <v>0</v>
      </c>
      <c r="P1672" s="86" t="str">
        <f t="array" ref="P1672">iferror(XLOOKUP(C1672,'Download of SFDC Activation Rep'!B:B,'Download of SFDC Activation Rep'!Z:Z),"")</f>
        <v/>
      </c>
      <c r="Q1672" s="86" t="str">
        <f t="shared" si="2"/>
        <v/>
      </c>
      <c r="R1672" s="13" t="str">
        <f t="shared" si="3"/>
        <v>Yes</v>
      </c>
      <c r="S1672" s="86" t="str">
        <f t="array" ref="S1672">iferror(XLOOKUP(C1672,'Download of SFDC Activation Rep'!B:B,'Download of SFDC Activation Rep'!Y:Y),"")</f>
        <v/>
      </c>
    </row>
    <row r="1673">
      <c r="A1673" s="17"/>
      <c r="B1673" s="85"/>
      <c r="C1673" s="17"/>
      <c r="D1673" s="85"/>
      <c r="E1673" s="17"/>
      <c r="F1673" s="17"/>
      <c r="G1673" s="17"/>
      <c r="I1673" s="17"/>
      <c r="K1673" s="17"/>
      <c r="L1673" s="17"/>
      <c r="M1673" s="17"/>
      <c r="O1673" s="14">
        <f t="shared" si="1"/>
        <v>0</v>
      </c>
      <c r="P1673" s="86" t="str">
        <f t="array" ref="P1673">iferror(XLOOKUP(C1673,'Download of SFDC Activation Rep'!B:B,'Download of SFDC Activation Rep'!Z:Z),"")</f>
        <v/>
      </c>
      <c r="Q1673" s="86" t="str">
        <f t="shared" si="2"/>
        <v/>
      </c>
      <c r="R1673" s="13" t="str">
        <f t="shared" si="3"/>
        <v>Yes</v>
      </c>
      <c r="S1673" s="86" t="str">
        <f t="array" ref="S1673">iferror(XLOOKUP(C1673,'Download of SFDC Activation Rep'!B:B,'Download of SFDC Activation Rep'!Y:Y),"")</f>
        <v/>
      </c>
    </row>
    <row r="1674">
      <c r="A1674" s="17"/>
      <c r="B1674" s="85"/>
      <c r="C1674" s="17"/>
      <c r="D1674" s="85"/>
      <c r="E1674" s="17"/>
      <c r="F1674" s="17"/>
      <c r="G1674" s="17"/>
      <c r="I1674" s="17"/>
      <c r="K1674" s="17"/>
      <c r="L1674" s="17"/>
      <c r="M1674" s="17"/>
      <c r="O1674" s="14">
        <f t="shared" si="1"/>
        <v>0</v>
      </c>
      <c r="P1674" s="86" t="str">
        <f t="array" ref="P1674">iferror(XLOOKUP(C1674,'Download of SFDC Activation Rep'!B:B,'Download of SFDC Activation Rep'!Z:Z),"")</f>
        <v/>
      </c>
      <c r="Q1674" s="86" t="str">
        <f t="shared" si="2"/>
        <v/>
      </c>
      <c r="R1674" s="13" t="str">
        <f t="shared" si="3"/>
        <v>Yes</v>
      </c>
      <c r="S1674" s="86" t="str">
        <f t="array" ref="S1674">iferror(XLOOKUP(C1674,'Download of SFDC Activation Rep'!B:B,'Download of SFDC Activation Rep'!Y:Y),"")</f>
        <v/>
      </c>
    </row>
    <row r="1675">
      <c r="A1675" s="17"/>
      <c r="B1675" s="85"/>
      <c r="C1675" s="17"/>
      <c r="D1675" s="85"/>
      <c r="E1675" s="17"/>
      <c r="F1675" s="17"/>
      <c r="G1675" s="17"/>
      <c r="I1675" s="17"/>
      <c r="K1675" s="17"/>
      <c r="L1675" s="17"/>
      <c r="M1675" s="17"/>
      <c r="O1675" s="14">
        <f t="shared" si="1"/>
        <v>0</v>
      </c>
      <c r="P1675" s="86" t="str">
        <f t="array" ref="P1675">iferror(XLOOKUP(C1675,'Download of SFDC Activation Rep'!B:B,'Download of SFDC Activation Rep'!Z:Z),"")</f>
        <v/>
      </c>
      <c r="Q1675" s="86" t="str">
        <f t="shared" si="2"/>
        <v/>
      </c>
      <c r="R1675" s="13" t="str">
        <f t="shared" si="3"/>
        <v>Yes</v>
      </c>
      <c r="S1675" s="86" t="str">
        <f t="array" ref="S1675">iferror(XLOOKUP(C1675,'Download of SFDC Activation Rep'!B:B,'Download of SFDC Activation Rep'!Y:Y),"")</f>
        <v/>
      </c>
    </row>
    <row r="1676">
      <c r="A1676" s="17"/>
      <c r="B1676" s="85"/>
      <c r="C1676" s="17"/>
      <c r="D1676" s="85"/>
      <c r="E1676" s="17"/>
      <c r="F1676" s="17"/>
      <c r="G1676" s="17"/>
      <c r="I1676" s="17"/>
      <c r="K1676" s="17"/>
      <c r="L1676" s="17"/>
      <c r="M1676" s="17"/>
      <c r="O1676" s="14">
        <f t="shared" si="1"/>
        <v>0</v>
      </c>
      <c r="P1676" s="86" t="str">
        <f t="array" ref="P1676">iferror(XLOOKUP(C1676,'Download of SFDC Activation Rep'!B:B,'Download of SFDC Activation Rep'!Z:Z),"")</f>
        <v/>
      </c>
      <c r="Q1676" s="86" t="str">
        <f t="shared" si="2"/>
        <v/>
      </c>
      <c r="R1676" s="13" t="str">
        <f t="shared" si="3"/>
        <v>Yes</v>
      </c>
      <c r="S1676" s="86" t="str">
        <f t="array" ref="S1676">iferror(XLOOKUP(C1676,'Download of SFDC Activation Rep'!B:B,'Download of SFDC Activation Rep'!Y:Y),"")</f>
        <v/>
      </c>
    </row>
    <row r="1677">
      <c r="A1677" s="17"/>
      <c r="B1677" s="85"/>
      <c r="C1677" s="17"/>
      <c r="D1677" s="85"/>
      <c r="E1677" s="17"/>
      <c r="F1677" s="17"/>
      <c r="G1677" s="17"/>
      <c r="I1677" s="17"/>
      <c r="K1677" s="17"/>
      <c r="L1677" s="17"/>
      <c r="M1677" s="17"/>
      <c r="O1677" s="14">
        <f t="shared" si="1"/>
        <v>0</v>
      </c>
      <c r="P1677" s="86" t="str">
        <f t="array" ref="P1677">iferror(XLOOKUP(C1677,'Download of SFDC Activation Rep'!B:B,'Download of SFDC Activation Rep'!Z:Z),"")</f>
        <v/>
      </c>
      <c r="Q1677" s="86" t="str">
        <f t="shared" si="2"/>
        <v/>
      </c>
      <c r="R1677" s="13" t="str">
        <f t="shared" si="3"/>
        <v>Yes</v>
      </c>
      <c r="S1677" s="86" t="str">
        <f t="array" ref="S1677">iferror(XLOOKUP(C1677,'Download of SFDC Activation Rep'!B:B,'Download of SFDC Activation Rep'!Y:Y),"")</f>
        <v/>
      </c>
    </row>
    <row r="1678">
      <c r="A1678" s="17"/>
      <c r="B1678" s="85"/>
      <c r="C1678" s="17"/>
      <c r="D1678" s="85"/>
      <c r="E1678" s="17"/>
      <c r="F1678" s="17"/>
      <c r="G1678" s="17"/>
      <c r="I1678" s="17"/>
      <c r="K1678" s="17"/>
      <c r="L1678" s="17"/>
      <c r="M1678" s="17"/>
      <c r="O1678" s="14">
        <f t="shared" si="1"/>
        <v>0</v>
      </c>
      <c r="P1678" s="86" t="str">
        <f t="array" ref="P1678">iferror(XLOOKUP(C1678,'Download of SFDC Activation Rep'!B:B,'Download of SFDC Activation Rep'!Z:Z),"")</f>
        <v/>
      </c>
      <c r="Q1678" s="86" t="str">
        <f t="shared" si="2"/>
        <v/>
      </c>
      <c r="R1678" s="13" t="str">
        <f t="shared" si="3"/>
        <v>Yes</v>
      </c>
      <c r="S1678" s="86" t="str">
        <f t="array" ref="S1678">iferror(XLOOKUP(C1678,'Download of SFDC Activation Rep'!B:B,'Download of SFDC Activation Rep'!Y:Y),"")</f>
        <v/>
      </c>
    </row>
    <row r="1679">
      <c r="A1679" s="17"/>
      <c r="B1679" s="85"/>
      <c r="C1679" s="17"/>
      <c r="D1679" s="85"/>
      <c r="E1679" s="17"/>
      <c r="F1679" s="17"/>
      <c r="G1679" s="17"/>
      <c r="I1679" s="17"/>
      <c r="K1679" s="17"/>
      <c r="L1679" s="17"/>
      <c r="M1679" s="17"/>
      <c r="O1679" s="14">
        <f t="shared" si="1"/>
        <v>0</v>
      </c>
      <c r="P1679" s="86" t="str">
        <f t="array" ref="P1679">iferror(XLOOKUP(C1679,'Download of SFDC Activation Rep'!B:B,'Download of SFDC Activation Rep'!Z:Z),"")</f>
        <v/>
      </c>
      <c r="Q1679" s="86" t="str">
        <f t="shared" si="2"/>
        <v/>
      </c>
      <c r="R1679" s="13" t="str">
        <f t="shared" si="3"/>
        <v>Yes</v>
      </c>
      <c r="S1679" s="86" t="str">
        <f t="array" ref="S1679">iferror(XLOOKUP(C1679,'Download of SFDC Activation Rep'!B:B,'Download of SFDC Activation Rep'!Y:Y),"")</f>
        <v/>
      </c>
    </row>
    <row r="1680">
      <c r="A1680" s="17"/>
      <c r="B1680" s="85"/>
      <c r="C1680" s="17"/>
      <c r="D1680" s="85"/>
      <c r="E1680" s="17"/>
      <c r="F1680" s="17"/>
      <c r="G1680" s="17"/>
      <c r="I1680" s="17"/>
      <c r="K1680" s="17"/>
      <c r="L1680" s="17"/>
      <c r="M1680" s="17"/>
      <c r="O1680" s="14">
        <f t="shared" si="1"/>
        <v>0</v>
      </c>
      <c r="P1680" s="86" t="str">
        <f t="array" ref="P1680">iferror(XLOOKUP(C1680,'Download of SFDC Activation Rep'!B:B,'Download of SFDC Activation Rep'!Z:Z),"")</f>
        <v/>
      </c>
      <c r="Q1680" s="86" t="str">
        <f t="shared" si="2"/>
        <v/>
      </c>
      <c r="R1680" s="13" t="str">
        <f t="shared" si="3"/>
        <v>Yes</v>
      </c>
      <c r="S1680" s="86" t="str">
        <f t="array" ref="S1680">iferror(XLOOKUP(C1680,'Download of SFDC Activation Rep'!B:B,'Download of SFDC Activation Rep'!Y:Y),"")</f>
        <v/>
      </c>
    </row>
    <row r="1681">
      <c r="A1681" s="17"/>
      <c r="B1681" s="85"/>
      <c r="C1681" s="17"/>
      <c r="D1681" s="85"/>
      <c r="E1681" s="17"/>
      <c r="F1681" s="17"/>
      <c r="G1681" s="17"/>
      <c r="I1681" s="17"/>
      <c r="K1681" s="17"/>
      <c r="L1681" s="17"/>
      <c r="M1681" s="17"/>
      <c r="O1681" s="14">
        <f t="shared" si="1"/>
        <v>0</v>
      </c>
      <c r="P1681" s="86" t="str">
        <f t="array" ref="P1681">iferror(XLOOKUP(C1681,'Download of SFDC Activation Rep'!B:B,'Download of SFDC Activation Rep'!Z:Z),"")</f>
        <v/>
      </c>
      <c r="Q1681" s="86" t="str">
        <f t="shared" si="2"/>
        <v/>
      </c>
      <c r="R1681" s="13" t="str">
        <f t="shared" si="3"/>
        <v>Yes</v>
      </c>
      <c r="S1681" s="86" t="str">
        <f t="array" ref="S1681">iferror(XLOOKUP(C1681,'Download of SFDC Activation Rep'!B:B,'Download of SFDC Activation Rep'!Y:Y),"")</f>
        <v/>
      </c>
    </row>
    <row r="1682">
      <c r="A1682" s="17"/>
      <c r="B1682" s="85"/>
      <c r="C1682" s="17"/>
      <c r="D1682" s="85"/>
      <c r="E1682" s="17"/>
      <c r="F1682" s="17"/>
      <c r="G1682" s="17"/>
      <c r="I1682" s="17"/>
      <c r="K1682" s="17"/>
      <c r="L1682" s="17"/>
      <c r="M1682" s="17"/>
      <c r="O1682" s="14">
        <f t="shared" si="1"/>
        <v>0</v>
      </c>
      <c r="P1682" s="86" t="str">
        <f t="array" ref="P1682">iferror(XLOOKUP(C1682,'Download of SFDC Activation Rep'!B:B,'Download of SFDC Activation Rep'!Z:Z),"")</f>
        <v/>
      </c>
      <c r="Q1682" s="86" t="str">
        <f t="shared" si="2"/>
        <v/>
      </c>
      <c r="R1682" s="13" t="str">
        <f t="shared" si="3"/>
        <v>Yes</v>
      </c>
      <c r="S1682" s="86" t="str">
        <f t="array" ref="S1682">iferror(XLOOKUP(C1682,'Download of SFDC Activation Rep'!B:B,'Download of SFDC Activation Rep'!Y:Y),"")</f>
        <v/>
      </c>
    </row>
    <row r="1683">
      <c r="A1683" s="17"/>
      <c r="B1683" s="85"/>
      <c r="C1683" s="17"/>
      <c r="D1683" s="85"/>
      <c r="E1683" s="17"/>
      <c r="F1683" s="17"/>
      <c r="G1683" s="17"/>
      <c r="I1683" s="17"/>
      <c r="K1683" s="17"/>
      <c r="L1683" s="17"/>
      <c r="M1683" s="17"/>
      <c r="O1683" s="14">
        <f t="shared" si="1"/>
        <v>0</v>
      </c>
      <c r="P1683" s="86" t="str">
        <f t="array" ref="P1683">iferror(XLOOKUP(C1683,'Download of SFDC Activation Rep'!B:B,'Download of SFDC Activation Rep'!Z:Z),"")</f>
        <v/>
      </c>
      <c r="Q1683" s="86" t="str">
        <f t="shared" si="2"/>
        <v/>
      </c>
      <c r="R1683" s="13" t="str">
        <f t="shared" si="3"/>
        <v>Yes</v>
      </c>
      <c r="S1683" s="86" t="str">
        <f t="array" ref="S1683">iferror(XLOOKUP(C1683,'Download of SFDC Activation Rep'!B:B,'Download of SFDC Activation Rep'!Y:Y),"")</f>
        <v/>
      </c>
    </row>
    <row r="1684">
      <c r="A1684" s="17"/>
      <c r="B1684" s="85"/>
      <c r="C1684" s="17"/>
      <c r="D1684" s="85"/>
      <c r="E1684" s="17"/>
      <c r="F1684" s="17"/>
      <c r="G1684" s="17"/>
      <c r="I1684" s="17"/>
      <c r="K1684" s="17"/>
      <c r="L1684" s="17"/>
      <c r="M1684" s="17"/>
      <c r="O1684" s="14">
        <f t="shared" si="1"/>
        <v>0</v>
      </c>
      <c r="P1684" s="86" t="str">
        <f t="array" ref="P1684">iferror(XLOOKUP(C1684,'Download of SFDC Activation Rep'!B:B,'Download of SFDC Activation Rep'!Z:Z),"")</f>
        <v/>
      </c>
      <c r="Q1684" s="86" t="str">
        <f t="shared" si="2"/>
        <v/>
      </c>
      <c r="R1684" s="13" t="str">
        <f t="shared" si="3"/>
        <v>Yes</v>
      </c>
      <c r="S1684" s="86" t="str">
        <f t="array" ref="S1684">iferror(XLOOKUP(C1684,'Download of SFDC Activation Rep'!B:B,'Download of SFDC Activation Rep'!Y:Y),"")</f>
        <v/>
      </c>
    </row>
    <row r="1685">
      <c r="A1685" s="17"/>
      <c r="B1685" s="85"/>
      <c r="C1685" s="17"/>
      <c r="D1685" s="85"/>
      <c r="E1685" s="17"/>
      <c r="F1685" s="17"/>
      <c r="G1685" s="17"/>
      <c r="I1685" s="17"/>
      <c r="K1685" s="17"/>
      <c r="L1685" s="17"/>
      <c r="M1685" s="17"/>
      <c r="O1685" s="14">
        <f t="shared" si="1"/>
        <v>0</v>
      </c>
      <c r="P1685" s="86" t="str">
        <f t="array" ref="P1685">iferror(XLOOKUP(C1685,'Download of SFDC Activation Rep'!B:B,'Download of SFDC Activation Rep'!Z:Z),"")</f>
        <v/>
      </c>
      <c r="Q1685" s="86" t="str">
        <f t="shared" si="2"/>
        <v/>
      </c>
      <c r="R1685" s="13" t="str">
        <f t="shared" si="3"/>
        <v>Yes</v>
      </c>
      <c r="S1685" s="86" t="str">
        <f t="array" ref="S1685">iferror(XLOOKUP(C1685,'Download of SFDC Activation Rep'!B:B,'Download of SFDC Activation Rep'!Y:Y),"")</f>
        <v/>
      </c>
    </row>
    <row r="1686">
      <c r="A1686" s="17"/>
      <c r="B1686" s="85"/>
      <c r="C1686" s="17"/>
      <c r="D1686" s="85"/>
      <c r="E1686" s="17"/>
      <c r="F1686" s="17"/>
      <c r="G1686" s="17"/>
      <c r="I1686" s="17"/>
      <c r="K1686" s="17"/>
      <c r="L1686" s="17"/>
      <c r="M1686" s="17"/>
      <c r="O1686" s="14">
        <f t="shared" si="1"/>
        <v>0</v>
      </c>
      <c r="P1686" s="86" t="str">
        <f t="array" ref="P1686">iferror(XLOOKUP(C1686,'Download of SFDC Activation Rep'!B:B,'Download of SFDC Activation Rep'!Z:Z),"")</f>
        <v/>
      </c>
      <c r="Q1686" s="86" t="str">
        <f t="shared" si="2"/>
        <v/>
      </c>
      <c r="R1686" s="13" t="str">
        <f t="shared" si="3"/>
        <v>Yes</v>
      </c>
      <c r="S1686" s="86" t="str">
        <f t="array" ref="S1686">iferror(XLOOKUP(C1686,'Download of SFDC Activation Rep'!B:B,'Download of SFDC Activation Rep'!Y:Y),"")</f>
        <v/>
      </c>
    </row>
    <row r="1687">
      <c r="A1687" s="17"/>
      <c r="B1687" s="85"/>
      <c r="C1687" s="17"/>
      <c r="D1687" s="85"/>
      <c r="E1687" s="17"/>
      <c r="F1687" s="17"/>
      <c r="G1687" s="17"/>
      <c r="I1687" s="17"/>
      <c r="K1687" s="17"/>
      <c r="L1687" s="17"/>
      <c r="M1687" s="17"/>
      <c r="O1687" s="14">
        <f t="shared" si="1"/>
        <v>0</v>
      </c>
      <c r="P1687" s="86" t="str">
        <f t="array" ref="P1687">iferror(XLOOKUP(C1687,'Download of SFDC Activation Rep'!B:B,'Download of SFDC Activation Rep'!Z:Z),"")</f>
        <v/>
      </c>
      <c r="Q1687" s="86" t="str">
        <f t="shared" si="2"/>
        <v/>
      </c>
      <c r="R1687" s="13" t="str">
        <f t="shared" si="3"/>
        <v>Yes</v>
      </c>
      <c r="S1687" s="86" t="str">
        <f t="array" ref="S1687">iferror(XLOOKUP(C1687,'Download of SFDC Activation Rep'!B:B,'Download of SFDC Activation Rep'!Y:Y),"")</f>
        <v/>
      </c>
    </row>
    <row r="1688">
      <c r="A1688" s="17"/>
      <c r="B1688" s="85"/>
      <c r="C1688" s="17"/>
      <c r="D1688" s="85"/>
      <c r="E1688" s="17"/>
      <c r="F1688" s="17"/>
      <c r="G1688" s="17"/>
      <c r="I1688" s="17"/>
      <c r="K1688" s="17"/>
      <c r="L1688" s="17"/>
      <c r="M1688" s="17"/>
      <c r="O1688" s="14">
        <f t="shared" si="1"/>
        <v>0</v>
      </c>
      <c r="P1688" s="86" t="str">
        <f t="array" ref="P1688">iferror(XLOOKUP(C1688,'Download of SFDC Activation Rep'!B:B,'Download of SFDC Activation Rep'!Z:Z),"")</f>
        <v/>
      </c>
      <c r="Q1688" s="86" t="str">
        <f t="shared" si="2"/>
        <v/>
      </c>
      <c r="R1688" s="13" t="str">
        <f t="shared" si="3"/>
        <v>Yes</v>
      </c>
      <c r="S1688" s="86" t="str">
        <f t="array" ref="S1688">iferror(XLOOKUP(C1688,'Download of SFDC Activation Rep'!B:B,'Download of SFDC Activation Rep'!Y:Y),"")</f>
        <v/>
      </c>
    </row>
    <row r="1689">
      <c r="A1689" s="17"/>
      <c r="B1689" s="85"/>
      <c r="C1689" s="17"/>
      <c r="D1689" s="85"/>
      <c r="E1689" s="17"/>
      <c r="F1689" s="17"/>
      <c r="G1689" s="17"/>
      <c r="I1689" s="17"/>
      <c r="K1689" s="17"/>
      <c r="L1689" s="17"/>
      <c r="M1689" s="17"/>
      <c r="O1689" s="14">
        <f t="shared" si="1"/>
        <v>0</v>
      </c>
      <c r="P1689" s="86" t="str">
        <f t="array" ref="P1689">iferror(XLOOKUP(C1689,'Download of SFDC Activation Rep'!B:B,'Download of SFDC Activation Rep'!Z:Z),"")</f>
        <v/>
      </c>
      <c r="Q1689" s="86" t="str">
        <f t="shared" si="2"/>
        <v/>
      </c>
      <c r="R1689" s="13" t="str">
        <f t="shared" si="3"/>
        <v>Yes</v>
      </c>
      <c r="S1689" s="86" t="str">
        <f t="array" ref="S1689">iferror(XLOOKUP(C1689,'Download of SFDC Activation Rep'!B:B,'Download of SFDC Activation Rep'!Y:Y),"")</f>
        <v/>
      </c>
    </row>
    <row r="1690">
      <c r="A1690" s="17"/>
      <c r="B1690" s="85"/>
      <c r="C1690" s="17"/>
      <c r="D1690" s="85"/>
      <c r="E1690" s="17"/>
      <c r="F1690" s="17"/>
      <c r="G1690" s="17"/>
      <c r="I1690" s="17"/>
      <c r="K1690" s="17"/>
      <c r="L1690" s="17"/>
      <c r="M1690" s="17"/>
      <c r="O1690" s="14">
        <f t="shared" si="1"/>
        <v>0</v>
      </c>
      <c r="P1690" s="86" t="str">
        <f t="array" ref="P1690">iferror(XLOOKUP(C1690,'Download of SFDC Activation Rep'!B:B,'Download of SFDC Activation Rep'!Z:Z),"")</f>
        <v/>
      </c>
      <c r="Q1690" s="86" t="str">
        <f t="shared" si="2"/>
        <v/>
      </c>
      <c r="R1690" s="13" t="str">
        <f t="shared" si="3"/>
        <v>Yes</v>
      </c>
      <c r="S1690" s="86" t="str">
        <f t="array" ref="S1690">iferror(XLOOKUP(C1690,'Download of SFDC Activation Rep'!B:B,'Download of SFDC Activation Rep'!Y:Y),"")</f>
        <v/>
      </c>
    </row>
    <row r="1691">
      <c r="A1691" s="17"/>
      <c r="B1691" s="85"/>
      <c r="C1691" s="17"/>
      <c r="D1691" s="85"/>
      <c r="E1691" s="17"/>
      <c r="F1691" s="17"/>
      <c r="G1691" s="17"/>
      <c r="I1691" s="17"/>
      <c r="K1691" s="17"/>
      <c r="L1691" s="17"/>
      <c r="M1691" s="17"/>
      <c r="O1691" s="14">
        <f t="shared" si="1"/>
        <v>0</v>
      </c>
      <c r="P1691" s="86" t="str">
        <f t="array" ref="P1691">iferror(XLOOKUP(C1691,'Download of SFDC Activation Rep'!B:B,'Download of SFDC Activation Rep'!Z:Z),"")</f>
        <v/>
      </c>
      <c r="Q1691" s="86" t="str">
        <f t="shared" si="2"/>
        <v/>
      </c>
      <c r="R1691" s="13" t="str">
        <f t="shared" si="3"/>
        <v>Yes</v>
      </c>
      <c r="S1691" s="86" t="str">
        <f t="array" ref="S1691">iferror(XLOOKUP(C1691,'Download of SFDC Activation Rep'!B:B,'Download of SFDC Activation Rep'!Y:Y),"")</f>
        <v/>
      </c>
    </row>
    <row r="1692">
      <c r="A1692" s="17"/>
      <c r="B1692" s="85"/>
      <c r="C1692" s="17"/>
      <c r="D1692" s="85"/>
      <c r="E1692" s="17"/>
      <c r="F1692" s="17"/>
      <c r="G1692" s="17"/>
      <c r="I1692" s="17"/>
      <c r="K1692" s="17"/>
      <c r="L1692" s="17"/>
      <c r="M1692" s="17"/>
      <c r="O1692" s="14">
        <f t="shared" si="1"/>
        <v>0</v>
      </c>
      <c r="P1692" s="86" t="str">
        <f t="array" ref="P1692">iferror(XLOOKUP(C1692,'Download of SFDC Activation Rep'!B:B,'Download of SFDC Activation Rep'!Z:Z),"")</f>
        <v/>
      </c>
      <c r="Q1692" s="86" t="str">
        <f t="shared" si="2"/>
        <v/>
      </c>
      <c r="R1692" s="13" t="str">
        <f t="shared" si="3"/>
        <v>Yes</v>
      </c>
      <c r="S1692" s="86" t="str">
        <f t="array" ref="S1692">iferror(XLOOKUP(C1692,'Download of SFDC Activation Rep'!B:B,'Download of SFDC Activation Rep'!Y:Y),"")</f>
        <v/>
      </c>
    </row>
    <row r="1693">
      <c r="A1693" s="17"/>
      <c r="B1693" s="85"/>
      <c r="C1693" s="17"/>
      <c r="D1693" s="85"/>
      <c r="E1693" s="17"/>
      <c r="F1693" s="17"/>
      <c r="G1693" s="17"/>
      <c r="I1693" s="17"/>
      <c r="K1693" s="17"/>
      <c r="L1693" s="17"/>
      <c r="M1693" s="17"/>
      <c r="O1693" s="14">
        <f t="shared" si="1"/>
        <v>0</v>
      </c>
      <c r="P1693" s="86" t="str">
        <f t="array" ref="P1693">iferror(XLOOKUP(C1693,'Download of SFDC Activation Rep'!B:B,'Download of SFDC Activation Rep'!Z:Z),"")</f>
        <v/>
      </c>
      <c r="Q1693" s="86" t="str">
        <f t="shared" si="2"/>
        <v/>
      </c>
      <c r="R1693" s="13" t="str">
        <f t="shared" si="3"/>
        <v>Yes</v>
      </c>
      <c r="S1693" s="86" t="str">
        <f t="array" ref="S1693">iferror(XLOOKUP(C1693,'Download of SFDC Activation Rep'!B:B,'Download of SFDC Activation Rep'!Y:Y),"")</f>
        <v/>
      </c>
    </row>
    <row r="1694">
      <c r="A1694" s="17"/>
      <c r="B1694" s="85"/>
      <c r="C1694" s="17"/>
      <c r="D1694" s="85"/>
      <c r="E1694" s="17"/>
      <c r="F1694" s="17"/>
      <c r="G1694" s="17"/>
      <c r="I1694" s="17"/>
      <c r="K1694" s="17"/>
      <c r="L1694" s="17"/>
      <c r="M1694" s="17"/>
      <c r="O1694" s="14">
        <f t="shared" si="1"/>
        <v>0</v>
      </c>
      <c r="P1694" s="86" t="str">
        <f t="array" ref="P1694">iferror(XLOOKUP(C1694,'Download of SFDC Activation Rep'!B:B,'Download of SFDC Activation Rep'!Z:Z),"")</f>
        <v/>
      </c>
      <c r="Q1694" s="86" t="str">
        <f t="shared" si="2"/>
        <v/>
      </c>
      <c r="R1694" s="13" t="str">
        <f t="shared" si="3"/>
        <v>Yes</v>
      </c>
      <c r="S1694" s="86" t="str">
        <f t="array" ref="S1694">iferror(XLOOKUP(C1694,'Download of SFDC Activation Rep'!B:B,'Download of SFDC Activation Rep'!Y:Y),"")</f>
        <v/>
      </c>
    </row>
    <row r="1695">
      <c r="A1695" s="17"/>
      <c r="B1695" s="85"/>
      <c r="C1695" s="17"/>
      <c r="D1695" s="85"/>
      <c r="E1695" s="17"/>
      <c r="F1695" s="17"/>
      <c r="G1695" s="17"/>
      <c r="I1695" s="17"/>
      <c r="K1695" s="17"/>
      <c r="L1695" s="17"/>
      <c r="M1695" s="17"/>
      <c r="O1695" s="14">
        <f t="shared" si="1"/>
        <v>0</v>
      </c>
      <c r="P1695" s="86" t="str">
        <f t="array" ref="P1695">iferror(XLOOKUP(C1695,'Download of SFDC Activation Rep'!B:B,'Download of SFDC Activation Rep'!Z:Z),"")</f>
        <v/>
      </c>
      <c r="Q1695" s="86" t="str">
        <f t="shared" si="2"/>
        <v/>
      </c>
      <c r="R1695" s="13" t="str">
        <f t="shared" si="3"/>
        <v>Yes</v>
      </c>
      <c r="S1695" s="86" t="str">
        <f t="array" ref="S1695">iferror(XLOOKUP(C1695,'Download of SFDC Activation Rep'!B:B,'Download of SFDC Activation Rep'!Y:Y),"")</f>
        <v/>
      </c>
    </row>
    <row r="1696">
      <c r="A1696" s="17"/>
      <c r="B1696" s="85"/>
      <c r="C1696" s="17"/>
      <c r="D1696" s="85"/>
      <c r="E1696" s="17"/>
      <c r="F1696" s="17"/>
      <c r="G1696" s="17"/>
      <c r="I1696" s="17"/>
      <c r="K1696" s="17"/>
      <c r="L1696" s="17"/>
      <c r="M1696" s="17"/>
      <c r="O1696" s="14">
        <f t="shared" si="1"/>
        <v>0</v>
      </c>
      <c r="P1696" s="86" t="str">
        <f t="array" ref="P1696">iferror(XLOOKUP(C1696,'Download of SFDC Activation Rep'!B:B,'Download of SFDC Activation Rep'!Z:Z),"")</f>
        <v/>
      </c>
      <c r="Q1696" s="86" t="str">
        <f t="shared" si="2"/>
        <v/>
      </c>
      <c r="R1696" s="13" t="str">
        <f t="shared" si="3"/>
        <v>Yes</v>
      </c>
      <c r="S1696" s="86" t="str">
        <f t="array" ref="S1696">iferror(XLOOKUP(C1696,'Download of SFDC Activation Rep'!B:B,'Download of SFDC Activation Rep'!Y:Y),"")</f>
        <v/>
      </c>
    </row>
    <row r="1697">
      <c r="A1697" s="17"/>
      <c r="B1697" s="85"/>
      <c r="C1697" s="17"/>
      <c r="D1697" s="85"/>
      <c r="E1697" s="17"/>
      <c r="F1697" s="17"/>
      <c r="G1697" s="17"/>
      <c r="I1697" s="17"/>
      <c r="K1697" s="17"/>
      <c r="L1697" s="17"/>
      <c r="M1697" s="17"/>
      <c r="O1697" s="14">
        <f t="shared" si="1"/>
        <v>0</v>
      </c>
      <c r="P1697" s="86" t="str">
        <f t="array" ref="P1697">iferror(XLOOKUP(C1697,'Download of SFDC Activation Rep'!B:B,'Download of SFDC Activation Rep'!Z:Z),"")</f>
        <v/>
      </c>
      <c r="Q1697" s="86" t="str">
        <f t="shared" si="2"/>
        <v/>
      </c>
      <c r="R1697" s="13" t="str">
        <f t="shared" si="3"/>
        <v>Yes</v>
      </c>
      <c r="S1697" s="86" t="str">
        <f t="array" ref="S1697">iferror(XLOOKUP(C1697,'Download of SFDC Activation Rep'!B:B,'Download of SFDC Activation Rep'!Y:Y),"")</f>
        <v/>
      </c>
    </row>
    <row r="1698">
      <c r="A1698" s="17"/>
      <c r="B1698" s="85"/>
      <c r="C1698" s="17"/>
      <c r="D1698" s="85"/>
      <c r="E1698" s="17"/>
      <c r="F1698" s="17"/>
      <c r="G1698" s="17"/>
      <c r="I1698" s="17"/>
      <c r="K1698" s="17"/>
      <c r="L1698" s="17"/>
      <c r="M1698" s="17"/>
      <c r="O1698" s="14">
        <f t="shared" si="1"/>
        <v>0</v>
      </c>
      <c r="P1698" s="86" t="str">
        <f t="array" ref="P1698">iferror(XLOOKUP(C1698,'Download of SFDC Activation Rep'!B:B,'Download of SFDC Activation Rep'!Z:Z),"")</f>
        <v/>
      </c>
      <c r="Q1698" s="86" t="str">
        <f t="shared" si="2"/>
        <v/>
      </c>
      <c r="R1698" s="13" t="str">
        <f t="shared" si="3"/>
        <v>Yes</v>
      </c>
      <c r="S1698" s="86" t="str">
        <f t="array" ref="S1698">iferror(XLOOKUP(C1698,'Download of SFDC Activation Rep'!B:B,'Download of SFDC Activation Rep'!Y:Y),"")</f>
        <v/>
      </c>
    </row>
    <row r="1699">
      <c r="A1699" s="17"/>
      <c r="B1699" s="85"/>
      <c r="C1699" s="17"/>
      <c r="D1699" s="85"/>
      <c r="E1699" s="17"/>
      <c r="F1699" s="17"/>
      <c r="G1699" s="17"/>
      <c r="I1699" s="17"/>
      <c r="K1699" s="17"/>
      <c r="L1699" s="17"/>
      <c r="M1699" s="17"/>
      <c r="O1699" s="14">
        <f t="shared" si="1"/>
        <v>0</v>
      </c>
      <c r="P1699" s="86" t="str">
        <f t="array" ref="P1699">iferror(XLOOKUP(C1699,'Download of SFDC Activation Rep'!B:B,'Download of SFDC Activation Rep'!Z:Z),"")</f>
        <v/>
      </c>
      <c r="Q1699" s="86" t="str">
        <f t="shared" si="2"/>
        <v/>
      </c>
      <c r="R1699" s="13" t="str">
        <f t="shared" si="3"/>
        <v>Yes</v>
      </c>
      <c r="S1699" s="86" t="str">
        <f t="array" ref="S1699">iferror(XLOOKUP(C1699,'Download of SFDC Activation Rep'!B:B,'Download of SFDC Activation Rep'!Y:Y),"")</f>
        <v/>
      </c>
    </row>
    <row r="1700">
      <c r="A1700" s="17"/>
      <c r="B1700" s="85"/>
      <c r="C1700" s="17"/>
      <c r="D1700" s="85"/>
      <c r="E1700" s="17"/>
      <c r="F1700" s="17"/>
      <c r="G1700" s="17"/>
      <c r="I1700" s="17"/>
      <c r="K1700" s="17"/>
      <c r="L1700" s="17"/>
      <c r="M1700" s="17"/>
      <c r="O1700" s="14">
        <f t="shared" si="1"/>
        <v>0</v>
      </c>
      <c r="P1700" s="86" t="str">
        <f t="array" ref="P1700">iferror(XLOOKUP(C1700,'Download of SFDC Activation Rep'!B:B,'Download of SFDC Activation Rep'!Z:Z),"")</f>
        <v/>
      </c>
      <c r="Q1700" s="86" t="str">
        <f t="shared" si="2"/>
        <v/>
      </c>
      <c r="R1700" s="13" t="str">
        <f t="shared" si="3"/>
        <v>Yes</v>
      </c>
      <c r="S1700" s="86" t="str">
        <f t="array" ref="S1700">iferror(XLOOKUP(C1700,'Download of SFDC Activation Rep'!B:B,'Download of SFDC Activation Rep'!Y:Y),"")</f>
        <v/>
      </c>
    </row>
    <row r="1701">
      <c r="A1701" s="17"/>
      <c r="B1701" s="85"/>
      <c r="C1701" s="17"/>
      <c r="D1701" s="85"/>
      <c r="E1701" s="17"/>
      <c r="F1701" s="17"/>
      <c r="G1701" s="17"/>
      <c r="I1701" s="17"/>
      <c r="K1701" s="17"/>
      <c r="L1701" s="17"/>
      <c r="M1701" s="17"/>
      <c r="O1701" s="14">
        <f t="shared" si="1"/>
        <v>0</v>
      </c>
      <c r="P1701" s="86" t="str">
        <f t="array" ref="P1701">iferror(XLOOKUP(C1701,'Download of SFDC Activation Rep'!B:B,'Download of SFDC Activation Rep'!Z:Z),"")</f>
        <v/>
      </c>
      <c r="Q1701" s="86" t="str">
        <f t="shared" si="2"/>
        <v/>
      </c>
      <c r="R1701" s="13" t="str">
        <f t="shared" si="3"/>
        <v>Yes</v>
      </c>
      <c r="S1701" s="86" t="str">
        <f t="array" ref="S1701">iferror(XLOOKUP(C1701,'Download of SFDC Activation Rep'!B:B,'Download of SFDC Activation Rep'!Y:Y),"")</f>
        <v/>
      </c>
    </row>
    <row r="1702">
      <c r="A1702" s="17"/>
      <c r="B1702" s="85"/>
      <c r="C1702" s="17"/>
      <c r="D1702" s="85"/>
      <c r="E1702" s="17"/>
      <c r="F1702" s="17"/>
      <c r="G1702" s="17"/>
      <c r="I1702" s="17"/>
      <c r="K1702" s="17"/>
      <c r="L1702" s="17"/>
      <c r="M1702" s="17"/>
      <c r="O1702" s="14">
        <f t="shared" si="1"/>
        <v>0</v>
      </c>
      <c r="P1702" s="86" t="str">
        <f t="array" ref="P1702">iferror(XLOOKUP(C1702,'Download of SFDC Activation Rep'!B:B,'Download of SFDC Activation Rep'!Z:Z),"")</f>
        <v/>
      </c>
      <c r="Q1702" s="86" t="str">
        <f t="shared" si="2"/>
        <v/>
      </c>
      <c r="R1702" s="13" t="str">
        <f t="shared" si="3"/>
        <v>Yes</v>
      </c>
      <c r="S1702" s="86" t="str">
        <f t="array" ref="S1702">iferror(XLOOKUP(C1702,'Download of SFDC Activation Rep'!B:B,'Download of SFDC Activation Rep'!Y:Y),"")</f>
        <v/>
      </c>
    </row>
    <row r="1703">
      <c r="A1703" s="17"/>
      <c r="B1703" s="85"/>
      <c r="C1703" s="17"/>
      <c r="D1703" s="85"/>
      <c r="E1703" s="17"/>
      <c r="F1703" s="17"/>
      <c r="G1703" s="17"/>
      <c r="I1703" s="17"/>
      <c r="K1703" s="17"/>
      <c r="L1703" s="17"/>
      <c r="M1703" s="17"/>
      <c r="O1703" s="14">
        <f t="shared" si="1"/>
        <v>0</v>
      </c>
      <c r="P1703" s="86" t="str">
        <f t="array" ref="P1703">iferror(XLOOKUP(C1703,'Download of SFDC Activation Rep'!B:B,'Download of SFDC Activation Rep'!Z:Z),"")</f>
        <v/>
      </c>
      <c r="Q1703" s="86" t="str">
        <f t="shared" si="2"/>
        <v/>
      </c>
      <c r="R1703" s="13" t="str">
        <f t="shared" si="3"/>
        <v>Yes</v>
      </c>
      <c r="S1703" s="86" t="str">
        <f t="array" ref="S1703">iferror(XLOOKUP(C1703,'Download of SFDC Activation Rep'!B:B,'Download of SFDC Activation Rep'!Y:Y),"")</f>
        <v/>
      </c>
    </row>
    <row r="1704">
      <c r="A1704" s="17"/>
      <c r="B1704" s="85"/>
      <c r="C1704" s="17"/>
      <c r="D1704" s="85"/>
      <c r="E1704" s="17"/>
      <c r="F1704" s="17"/>
      <c r="G1704" s="17"/>
      <c r="I1704" s="17"/>
      <c r="K1704" s="17"/>
      <c r="L1704" s="17"/>
      <c r="M1704" s="17"/>
      <c r="O1704" s="14">
        <f t="shared" si="1"/>
        <v>0</v>
      </c>
      <c r="P1704" s="86" t="str">
        <f t="array" ref="P1704">iferror(XLOOKUP(C1704,'Download of SFDC Activation Rep'!B:B,'Download of SFDC Activation Rep'!Z:Z),"")</f>
        <v/>
      </c>
      <c r="Q1704" s="86" t="str">
        <f t="shared" si="2"/>
        <v/>
      </c>
      <c r="R1704" s="13" t="str">
        <f t="shared" si="3"/>
        <v>Yes</v>
      </c>
      <c r="S1704" s="86" t="str">
        <f t="array" ref="S1704">iferror(XLOOKUP(C1704,'Download of SFDC Activation Rep'!B:B,'Download of SFDC Activation Rep'!Y:Y),"")</f>
        <v/>
      </c>
    </row>
    <row r="1705">
      <c r="A1705" s="17"/>
      <c r="B1705" s="85"/>
      <c r="C1705" s="17"/>
      <c r="D1705" s="85"/>
      <c r="E1705" s="17"/>
      <c r="F1705" s="17"/>
      <c r="G1705" s="17"/>
      <c r="I1705" s="17"/>
      <c r="K1705" s="17"/>
      <c r="L1705" s="17"/>
      <c r="M1705" s="17"/>
      <c r="O1705" s="14">
        <f t="shared" si="1"/>
        <v>0</v>
      </c>
      <c r="P1705" s="86" t="str">
        <f t="array" ref="P1705">iferror(XLOOKUP(C1705,'Download of SFDC Activation Rep'!B:B,'Download of SFDC Activation Rep'!Z:Z),"")</f>
        <v/>
      </c>
      <c r="Q1705" s="86" t="str">
        <f t="shared" si="2"/>
        <v/>
      </c>
      <c r="R1705" s="13" t="str">
        <f t="shared" si="3"/>
        <v>Yes</v>
      </c>
      <c r="S1705" s="86" t="str">
        <f t="array" ref="S1705">iferror(XLOOKUP(C1705,'Download of SFDC Activation Rep'!B:B,'Download of SFDC Activation Rep'!Y:Y),"")</f>
        <v/>
      </c>
    </row>
    <row r="1706">
      <c r="A1706" s="17"/>
      <c r="B1706" s="85"/>
      <c r="C1706" s="17"/>
      <c r="D1706" s="85"/>
      <c r="E1706" s="17"/>
      <c r="F1706" s="17"/>
      <c r="G1706" s="17"/>
      <c r="I1706" s="17"/>
      <c r="K1706" s="17"/>
      <c r="L1706" s="17"/>
      <c r="M1706" s="17"/>
      <c r="O1706" s="14">
        <f t="shared" si="1"/>
        <v>0</v>
      </c>
      <c r="P1706" s="86" t="str">
        <f t="array" ref="P1706">iferror(XLOOKUP(C1706,'Download of SFDC Activation Rep'!B:B,'Download of SFDC Activation Rep'!Z:Z),"")</f>
        <v/>
      </c>
      <c r="Q1706" s="86" t="str">
        <f t="shared" si="2"/>
        <v/>
      </c>
      <c r="R1706" s="13" t="str">
        <f t="shared" si="3"/>
        <v>Yes</v>
      </c>
      <c r="S1706" s="86" t="str">
        <f t="array" ref="S1706">iferror(XLOOKUP(C1706,'Download of SFDC Activation Rep'!B:B,'Download of SFDC Activation Rep'!Y:Y),"")</f>
        <v/>
      </c>
    </row>
    <row r="1707">
      <c r="A1707" s="17"/>
      <c r="B1707" s="85"/>
      <c r="C1707" s="17"/>
      <c r="D1707" s="85"/>
      <c r="E1707" s="17"/>
      <c r="F1707" s="17"/>
      <c r="G1707" s="17"/>
      <c r="I1707" s="17"/>
      <c r="K1707" s="17"/>
      <c r="L1707" s="17"/>
      <c r="M1707" s="17"/>
      <c r="O1707" s="14">
        <f t="shared" si="1"/>
        <v>0</v>
      </c>
      <c r="P1707" s="86" t="str">
        <f t="array" ref="P1707">iferror(XLOOKUP(C1707,'Download of SFDC Activation Rep'!B:B,'Download of SFDC Activation Rep'!Z:Z),"")</f>
        <v/>
      </c>
      <c r="Q1707" s="86" t="str">
        <f t="shared" si="2"/>
        <v/>
      </c>
      <c r="R1707" s="13" t="str">
        <f t="shared" si="3"/>
        <v>Yes</v>
      </c>
      <c r="S1707" s="86" t="str">
        <f t="array" ref="S1707">iferror(XLOOKUP(C1707,'Download of SFDC Activation Rep'!B:B,'Download of SFDC Activation Rep'!Y:Y),"")</f>
        <v/>
      </c>
    </row>
    <row r="1708">
      <c r="A1708" s="17"/>
      <c r="B1708" s="85"/>
      <c r="C1708" s="17"/>
      <c r="D1708" s="85"/>
      <c r="E1708" s="17"/>
      <c r="F1708" s="17"/>
      <c r="G1708" s="17"/>
      <c r="I1708" s="17"/>
      <c r="K1708" s="17"/>
      <c r="L1708" s="17"/>
      <c r="M1708" s="17"/>
      <c r="O1708" s="14">
        <f t="shared" si="1"/>
        <v>0</v>
      </c>
      <c r="P1708" s="86" t="str">
        <f t="array" ref="P1708">iferror(XLOOKUP(C1708,'Download of SFDC Activation Rep'!B:B,'Download of SFDC Activation Rep'!Z:Z),"")</f>
        <v/>
      </c>
      <c r="Q1708" s="86" t="str">
        <f t="shared" si="2"/>
        <v/>
      </c>
      <c r="R1708" s="13" t="str">
        <f t="shared" si="3"/>
        <v>Yes</v>
      </c>
      <c r="S1708" s="86" t="str">
        <f t="array" ref="S1708">iferror(XLOOKUP(C1708,'Download of SFDC Activation Rep'!B:B,'Download of SFDC Activation Rep'!Y:Y),"")</f>
        <v/>
      </c>
    </row>
    <row r="1709">
      <c r="A1709" s="17"/>
      <c r="B1709" s="85"/>
      <c r="C1709" s="17"/>
      <c r="D1709" s="85"/>
      <c r="E1709" s="17"/>
      <c r="F1709" s="17"/>
      <c r="G1709" s="17"/>
      <c r="I1709" s="17"/>
      <c r="K1709" s="17"/>
      <c r="L1709" s="17"/>
      <c r="M1709" s="17"/>
      <c r="O1709" s="14">
        <f t="shared" si="1"/>
        <v>0</v>
      </c>
      <c r="P1709" s="86" t="str">
        <f t="array" ref="P1709">iferror(XLOOKUP(C1709,'Download of SFDC Activation Rep'!B:B,'Download of SFDC Activation Rep'!Z:Z),"")</f>
        <v/>
      </c>
      <c r="Q1709" s="86" t="str">
        <f t="shared" si="2"/>
        <v/>
      </c>
      <c r="R1709" s="13" t="str">
        <f t="shared" si="3"/>
        <v>Yes</v>
      </c>
      <c r="S1709" s="86" t="str">
        <f t="array" ref="S1709">iferror(XLOOKUP(C1709,'Download of SFDC Activation Rep'!B:B,'Download of SFDC Activation Rep'!Y:Y),"")</f>
        <v/>
      </c>
    </row>
    <row r="1710">
      <c r="A1710" s="17"/>
      <c r="B1710" s="85"/>
      <c r="C1710" s="17"/>
      <c r="D1710" s="85"/>
      <c r="E1710" s="17"/>
      <c r="F1710" s="17"/>
      <c r="G1710" s="17"/>
      <c r="I1710" s="17"/>
      <c r="K1710" s="17"/>
      <c r="L1710" s="17"/>
      <c r="M1710" s="17"/>
      <c r="O1710" s="14">
        <f t="shared" si="1"/>
        <v>0</v>
      </c>
      <c r="P1710" s="86" t="str">
        <f t="array" ref="P1710">iferror(XLOOKUP(C1710,'Download of SFDC Activation Rep'!B:B,'Download of SFDC Activation Rep'!Z:Z),"")</f>
        <v/>
      </c>
      <c r="Q1710" s="86" t="str">
        <f t="shared" si="2"/>
        <v/>
      </c>
      <c r="R1710" s="13" t="str">
        <f t="shared" si="3"/>
        <v>Yes</v>
      </c>
      <c r="S1710" s="86" t="str">
        <f t="array" ref="S1710">iferror(XLOOKUP(C1710,'Download of SFDC Activation Rep'!B:B,'Download of SFDC Activation Rep'!Y:Y),"")</f>
        <v/>
      </c>
    </row>
    <row r="1711">
      <c r="A1711" s="17"/>
      <c r="B1711" s="85"/>
      <c r="C1711" s="17"/>
      <c r="D1711" s="85"/>
      <c r="E1711" s="17"/>
      <c r="F1711" s="17"/>
      <c r="G1711" s="17"/>
      <c r="I1711" s="17"/>
      <c r="K1711" s="17"/>
      <c r="L1711" s="17"/>
      <c r="M1711" s="17"/>
      <c r="O1711" s="14">
        <f t="shared" si="1"/>
        <v>0</v>
      </c>
      <c r="P1711" s="86" t="str">
        <f t="array" ref="P1711">iferror(XLOOKUP(C1711,'Download of SFDC Activation Rep'!B:B,'Download of SFDC Activation Rep'!Z:Z),"")</f>
        <v/>
      </c>
      <c r="Q1711" s="86" t="str">
        <f t="shared" si="2"/>
        <v/>
      </c>
      <c r="R1711" s="13" t="str">
        <f t="shared" si="3"/>
        <v>Yes</v>
      </c>
      <c r="S1711" s="86" t="str">
        <f t="array" ref="S1711">iferror(XLOOKUP(C1711,'Download of SFDC Activation Rep'!B:B,'Download of SFDC Activation Rep'!Y:Y),"")</f>
        <v/>
      </c>
    </row>
    <row r="1712">
      <c r="A1712" s="17"/>
      <c r="B1712" s="85"/>
      <c r="C1712" s="17"/>
      <c r="D1712" s="85"/>
      <c r="E1712" s="17"/>
      <c r="F1712" s="17"/>
      <c r="G1712" s="17"/>
      <c r="I1712" s="17"/>
      <c r="K1712" s="17"/>
      <c r="L1712" s="17"/>
      <c r="M1712" s="17"/>
      <c r="O1712" s="14">
        <f t="shared" si="1"/>
        <v>0</v>
      </c>
      <c r="P1712" s="86" t="str">
        <f t="array" ref="P1712">iferror(XLOOKUP(C1712,'Download of SFDC Activation Rep'!B:B,'Download of SFDC Activation Rep'!Z:Z),"")</f>
        <v/>
      </c>
      <c r="Q1712" s="86" t="str">
        <f t="shared" si="2"/>
        <v/>
      </c>
      <c r="R1712" s="13" t="str">
        <f t="shared" si="3"/>
        <v>Yes</v>
      </c>
      <c r="S1712" s="86" t="str">
        <f t="array" ref="S1712">iferror(XLOOKUP(C1712,'Download of SFDC Activation Rep'!B:B,'Download of SFDC Activation Rep'!Y:Y),"")</f>
        <v/>
      </c>
    </row>
    <row r="1713">
      <c r="A1713" s="17"/>
      <c r="B1713" s="85"/>
      <c r="C1713" s="17"/>
      <c r="D1713" s="85"/>
      <c r="E1713" s="17"/>
      <c r="F1713" s="17"/>
      <c r="G1713" s="17"/>
      <c r="I1713" s="17"/>
      <c r="K1713" s="17"/>
      <c r="L1713" s="17"/>
      <c r="M1713" s="17"/>
      <c r="O1713" s="14">
        <f t="shared" si="1"/>
        <v>0</v>
      </c>
      <c r="P1713" s="86" t="str">
        <f t="array" ref="P1713">iferror(XLOOKUP(C1713,'Download of SFDC Activation Rep'!B:B,'Download of SFDC Activation Rep'!Z:Z),"")</f>
        <v/>
      </c>
      <c r="Q1713" s="86" t="str">
        <f t="shared" si="2"/>
        <v/>
      </c>
      <c r="R1713" s="13" t="str">
        <f t="shared" si="3"/>
        <v>Yes</v>
      </c>
      <c r="S1713" s="86" t="str">
        <f t="array" ref="S1713">iferror(XLOOKUP(C1713,'Download of SFDC Activation Rep'!B:B,'Download of SFDC Activation Rep'!Y:Y),"")</f>
        <v/>
      </c>
    </row>
    <row r="1714">
      <c r="A1714" s="17"/>
      <c r="B1714" s="85"/>
      <c r="C1714" s="17"/>
      <c r="D1714" s="85"/>
      <c r="E1714" s="17"/>
      <c r="F1714" s="17"/>
      <c r="G1714" s="17"/>
      <c r="I1714" s="17"/>
      <c r="K1714" s="17"/>
      <c r="L1714" s="17"/>
      <c r="M1714" s="17"/>
      <c r="O1714" s="14">
        <f t="shared" si="1"/>
        <v>0</v>
      </c>
      <c r="P1714" s="86" t="str">
        <f t="array" ref="P1714">iferror(XLOOKUP(C1714,'Download of SFDC Activation Rep'!B:B,'Download of SFDC Activation Rep'!Z:Z),"")</f>
        <v/>
      </c>
      <c r="Q1714" s="86" t="str">
        <f t="shared" si="2"/>
        <v/>
      </c>
      <c r="R1714" s="13" t="str">
        <f t="shared" si="3"/>
        <v>Yes</v>
      </c>
      <c r="S1714" s="86" t="str">
        <f t="array" ref="S1714">iferror(XLOOKUP(C1714,'Download of SFDC Activation Rep'!B:B,'Download of SFDC Activation Rep'!Y:Y),"")</f>
        <v/>
      </c>
    </row>
    <row r="1715">
      <c r="A1715" s="17"/>
      <c r="B1715" s="85"/>
      <c r="C1715" s="17"/>
      <c r="D1715" s="85"/>
      <c r="E1715" s="17"/>
      <c r="F1715" s="17"/>
      <c r="G1715" s="17"/>
      <c r="I1715" s="17"/>
      <c r="K1715" s="17"/>
      <c r="L1715" s="17"/>
      <c r="M1715" s="17"/>
      <c r="O1715" s="14">
        <f t="shared" si="1"/>
        <v>0</v>
      </c>
      <c r="P1715" s="86" t="str">
        <f t="array" ref="P1715">iferror(XLOOKUP(C1715,'Download of SFDC Activation Rep'!B:B,'Download of SFDC Activation Rep'!Z:Z),"")</f>
        <v/>
      </c>
      <c r="Q1715" s="86" t="str">
        <f t="shared" si="2"/>
        <v/>
      </c>
      <c r="R1715" s="13" t="str">
        <f t="shared" si="3"/>
        <v>Yes</v>
      </c>
      <c r="S1715" s="86" t="str">
        <f t="array" ref="S1715">iferror(XLOOKUP(C1715,'Download of SFDC Activation Rep'!B:B,'Download of SFDC Activation Rep'!Y:Y),"")</f>
        <v/>
      </c>
    </row>
    <row r="1716">
      <c r="A1716" s="17"/>
      <c r="B1716" s="85"/>
      <c r="C1716" s="17"/>
      <c r="D1716" s="85"/>
      <c r="E1716" s="17"/>
      <c r="F1716" s="17"/>
      <c r="G1716" s="17"/>
      <c r="I1716" s="17"/>
      <c r="K1716" s="17"/>
      <c r="L1716" s="17"/>
      <c r="M1716" s="17"/>
      <c r="O1716" s="14">
        <f t="shared" si="1"/>
        <v>0</v>
      </c>
      <c r="P1716" s="86" t="str">
        <f t="array" ref="P1716">iferror(XLOOKUP(C1716,'Download of SFDC Activation Rep'!B:B,'Download of SFDC Activation Rep'!Z:Z),"")</f>
        <v/>
      </c>
      <c r="Q1716" s="86" t="str">
        <f t="shared" si="2"/>
        <v/>
      </c>
      <c r="R1716" s="13" t="str">
        <f t="shared" si="3"/>
        <v>Yes</v>
      </c>
      <c r="S1716" s="86" t="str">
        <f t="array" ref="S1716">iferror(XLOOKUP(C1716,'Download of SFDC Activation Rep'!B:B,'Download of SFDC Activation Rep'!Y:Y),"")</f>
        <v/>
      </c>
    </row>
    <row r="1717">
      <c r="A1717" s="17"/>
      <c r="B1717" s="85"/>
      <c r="C1717" s="17"/>
      <c r="D1717" s="85"/>
      <c r="E1717" s="17"/>
      <c r="F1717" s="17"/>
      <c r="G1717" s="17"/>
      <c r="I1717" s="17"/>
      <c r="K1717" s="17"/>
      <c r="L1717" s="17"/>
      <c r="M1717" s="17"/>
      <c r="O1717" s="14">
        <f t="shared" si="1"/>
        <v>0</v>
      </c>
      <c r="P1717" s="86" t="str">
        <f t="array" ref="P1717">iferror(XLOOKUP(C1717,'Download of SFDC Activation Rep'!B:B,'Download of SFDC Activation Rep'!Z:Z),"")</f>
        <v/>
      </c>
      <c r="Q1717" s="86" t="str">
        <f t="shared" si="2"/>
        <v/>
      </c>
      <c r="R1717" s="13" t="str">
        <f t="shared" si="3"/>
        <v>Yes</v>
      </c>
      <c r="S1717" s="86" t="str">
        <f t="array" ref="S1717">iferror(XLOOKUP(C1717,'Download of SFDC Activation Rep'!B:B,'Download of SFDC Activation Rep'!Y:Y),"")</f>
        <v/>
      </c>
    </row>
    <row r="1718">
      <c r="A1718" s="17"/>
      <c r="B1718" s="85"/>
      <c r="C1718" s="17"/>
      <c r="D1718" s="85"/>
      <c r="E1718" s="17"/>
      <c r="F1718" s="17"/>
      <c r="G1718" s="17"/>
      <c r="I1718" s="17"/>
      <c r="K1718" s="17"/>
      <c r="L1718" s="17"/>
      <c r="M1718" s="17"/>
      <c r="O1718" s="14">
        <f t="shared" si="1"/>
        <v>0</v>
      </c>
      <c r="P1718" s="86" t="str">
        <f t="array" ref="P1718">iferror(XLOOKUP(C1718,'Download of SFDC Activation Rep'!B:B,'Download of SFDC Activation Rep'!Z:Z),"")</f>
        <v/>
      </c>
      <c r="Q1718" s="86" t="str">
        <f t="shared" si="2"/>
        <v/>
      </c>
      <c r="R1718" s="13" t="str">
        <f t="shared" si="3"/>
        <v>Yes</v>
      </c>
      <c r="S1718" s="86" t="str">
        <f t="array" ref="S1718">iferror(XLOOKUP(C1718,'Download of SFDC Activation Rep'!B:B,'Download of SFDC Activation Rep'!Y:Y),"")</f>
        <v/>
      </c>
    </row>
    <row r="1719">
      <c r="A1719" s="17"/>
      <c r="B1719" s="85"/>
      <c r="C1719" s="17"/>
      <c r="D1719" s="85"/>
      <c r="E1719" s="17"/>
      <c r="F1719" s="17"/>
      <c r="G1719" s="17"/>
      <c r="I1719" s="17"/>
      <c r="K1719" s="17"/>
      <c r="L1719" s="17"/>
      <c r="M1719" s="17"/>
      <c r="O1719" s="14">
        <f t="shared" si="1"/>
        <v>0</v>
      </c>
      <c r="P1719" s="86" t="str">
        <f t="array" ref="P1719">iferror(XLOOKUP(C1719,'Download of SFDC Activation Rep'!B:B,'Download of SFDC Activation Rep'!Z:Z),"")</f>
        <v/>
      </c>
      <c r="Q1719" s="86" t="str">
        <f t="shared" si="2"/>
        <v/>
      </c>
      <c r="R1719" s="13" t="str">
        <f t="shared" si="3"/>
        <v>Yes</v>
      </c>
      <c r="S1719" s="86" t="str">
        <f t="array" ref="S1719">iferror(XLOOKUP(C1719,'Download of SFDC Activation Rep'!B:B,'Download of SFDC Activation Rep'!Y:Y),"")</f>
        <v/>
      </c>
    </row>
    <row r="1720">
      <c r="A1720" s="17"/>
      <c r="B1720" s="85"/>
      <c r="C1720" s="17"/>
      <c r="D1720" s="85"/>
      <c r="E1720" s="17"/>
      <c r="F1720" s="17"/>
      <c r="G1720" s="17"/>
      <c r="I1720" s="17"/>
      <c r="K1720" s="17"/>
      <c r="L1720" s="17"/>
      <c r="M1720" s="17"/>
      <c r="O1720" s="14">
        <f t="shared" si="1"/>
        <v>0</v>
      </c>
      <c r="P1720" s="86" t="str">
        <f t="array" ref="P1720">iferror(XLOOKUP(C1720,'Download of SFDC Activation Rep'!B:B,'Download of SFDC Activation Rep'!Z:Z),"")</f>
        <v/>
      </c>
      <c r="Q1720" s="86" t="str">
        <f t="shared" si="2"/>
        <v/>
      </c>
      <c r="R1720" s="13" t="str">
        <f t="shared" si="3"/>
        <v>Yes</v>
      </c>
      <c r="S1720" s="86" t="str">
        <f t="array" ref="S1720">iferror(XLOOKUP(C1720,'Download of SFDC Activation Rep'!B:B,'Download of SFDC Activation Rep'!Y:Y),"")</f>
        <v/>
      </c>
    </row>
    <row r="1721">
      <c r="A1721" s="17"/>
      <c r="B1721" s="85"/>
      <c r="C1721" s="17"/>
      <c r="D1721" s="85"/>
      <c r="E1721" s="17"/>
      <c r="F1721" s="17"/>
      <c r="G1721" s="17"/>
      <c r="I1721" s="17"/>
      <c r="K1721" s="17"/>
      <c r="L1721" s="17"/>
      <c r="M1721" s="17"/>
      <c r="O1721" s="14">
        <f t="shared" si="1"/>
        <v>0</v>
      </c>
      <c r="P1721" s="86" t="str">
        <f t="array" ref="P1721">iferror(XLOOKUP(C1721,'Download of SFDC Activation Rep'!B:B,'Download of SFDC Activation Rep'!Z:Z),"")</f>
        <v/>
      </c>
      <c r="Q1721" s="86" t="str">
        <f t="shared" si="2"/>
        <v/>
      </c>
      <c r="R1721" s="13" t="str">
        <f t="shared" si="3"/>
        <v>Yes</v>
      </c>
      <c r="S1721" s="86" t="str">
        <f t="array" ref="S1721">iferror(XLOOKUP(C1721,'Download of SFDC Activation Rep'!B:B,'Download of SFDC Activation Rep'!Y:Y),"")</f>
        <v/>
      </c>
    </row>
    <row r="1722">
      <c r="A1722" s="17"/>
      <c r="B1722" s="85"/>
      <c r="C1722" s="17"/>
      <c r="D1722" s="85"/>
      <c r="E1722" s="17"/>
      <c r="F1722" s="17"/>
      <c r="G1722" s="17"/>
      <c r="I1722" s="17"/>
      <c r="K1722" s="17"/>
      <c r="L1722" s="17"/>
      <c r="M1722" s="17"/>
      <c r="O1722" s="14">
        <f t="shared" si="1"/>
        <v>0</v>
      </c>
      <c r="P1722" s="86" t="str">
        <f t="array" ref="P1722">iferror(XLOOKUP(C1722,'Download of SFDC Activation Rep'!B:B,'Download of SFDC Activation Rep'!Z:Z),"")</f>
        <v/>
      </c>
      <c r="Q1722" s="86" t="str">
        <f t="shared" si="2"/>
        <v/>
      </c>
      <c r="R1722" s="13" t="str">
        <f t="shared" si="3"/>
        <v>Yes</v>
      </c>
      <c r="S1722" s="86" t="str">
        <f t="array" ref="S1722">iferror(XLOOKUP(C1722,'Download of SFDC Activation Rep'!B:B,'Download of SFDC Activation Rep'!Y:Y),"")</f>
        <v/>
      </c>
    </row>
    <row r="1723">
      <c r="A1723" s="17"/>
      <c r="B1723" s="85"/>
      <c r="C1723" s="17"/>
      <c r="D1723" s="85"/>
      <c r="E1723" s="17"/>
      <c r="F1723" s="17"/>
      <c r="G1723" s="17"/>
      <c r="I1723" s="17"/>
      <c r="K1723" s="17"/>
      <c r="L1723" s="17"/>
      <c r="M1723" s="17"/>
      <c r="O1723" s="14">
        <f t="shared" si="1"/>
        <v>0</v>
      </c>
      <c r="P1723" s="86" t="str">
        <f t="array" ref="P1723">iferror(XLOOKUP(C1723,'Download of SFDC Activation Rep'!B:B,'Download of SFDC Activation Rep'!Z:Z),"")</f>
        <v/>
      </c>
      <c r="Q1723" s="86" t="str">
        <f t="shared" si="2"/>
        <v/>
      </c>
      <c r="R1723" s="13" t="str">
        <f t="shared" si="3"/>
        <v>Yes</v>
      </c>
      <c r="S1723" s="86" t="str">
        <f t="array" ref="S1723">iferror(XLOOKUP(C1723,'Download of SFDC Activation Rep'!B:B,'Download of SFDC Activation Rep'!Y:Y),"")</f>
        <v/>
      </c>
    </row>
    <row r="1724">
      <c r="A1724" s="17"/>
      <c r="B1724" s="85"/>
      <c r="C1724" s="17"/>
      <c r="D1724" s="85"/>
      <c r="E1724" s="17"/>
      <c r="F1724" s="17"/>
      <c r="G1724" s="17"/>
      <c r="I1724" s="17"/>
      <c r="K1724" s="17"/>
      <c r="L1724" s="17"/>
      <c r="M1724" s="17"/>
      <c r="O1724" s="14">
        <f t="shared" si="1"/>
        <v>0</v>
      </c>
      <c r="P1724" s="86" t="str">
        <f t="array" ref="P1724">iferror(XLOOKUP(C1724,'Download of SFDC Activation Rep'!B:B,'Download of SFDC Activation Rep'!Z:Z),"")</f>
        <v/>
      </c>
      <c r="Q1724" s="86" t="str">
        <f t="shared" si="2"/>
        <v/>
      </c>
      <c r="R1724" s="13" t="str">
        <f t="shared" si="3"/>
        <v>Yes</v>
      </c>
      <c r="S1724" s="86" t="str">
        <f t="array" ref="S1724">iferror(XLOOKUP(C1724,'Download of SFDC Activation Rep'!B:B,'Download of SFDC Activation Rep'!Y:Y),"")</f>
        <v/>
      </c>
    </row>
    <row r="1725">
      <c r="A1725" s="17"/>
      <c r="B1725" s="85"/>
      <c r="C1725" s="17"/>
      <c r="D1725" s="85"/>
      <c r="E1725" s="17"/>
      <c r="F1725" s="17"/>
      <c r="G1725" s="17"/>
      <c r="I1725" s="17"/>
      <c r="K1725" s="17"/>
      <c r="L1725" s="17"/>
      <c r="M1725" s="17"/>
      <c r="O1725" s="14">
        <f t="shared" si="1"/>
        <v>0</v>
      </c>
      <c r="P1725" s="86" t="str">
        <f t="array" ref="P1725">iferror(XLOOKUP(C1725,'Download of SFDC Activation Rep'!B:B,'Download of SFDC Activation Rep'!Z:Z),"")</f>
        <v/>
      </c>
      <c r="Q1725" s="86" t="str">
        <f t="shared" si="2"/>
        <v/>
      </c>
      <c r="R1725" s="13" t="str">
        <f t="shared" si="3"/>
        <v>Yes</v>
      </c>
      <c r="S1725" s="86" t="str">
        <f t="array" ref="S1725">iferror(XLOOKUP(C1725,'Download of SFDC Activation Rep'!B:B,'Download of SFDC Activation Rep'!Y:Y),"")</f>
        <v/>
      </c>
    </row>
    <row r="1726">
      <c r="A1726" s="17"/>
      <c r="B1726" s="85"/>
      <c r="C1726" s="17"/>
      <c r="D1726" s="85"/>
      <c r="E1726" s="17"/>
      <c r="F1726" s="17"/>
      <c r="G1726" s="17"/>
      <c r="I1726" s="17"/>
      <c r="K1726" s="17"/>
      <c r="L1726" s="17"/>
      <c r="M1726" s="17"/>
      <c r="O1726" s="14">
        <f t="shared" si="1"/>
        <v>0</v>
      </c>
      <c r="P1726" s="86" t="str">
        <f t="array" ref="P1726">iferror(XLOOKUP(C1726,'Download of SFDC Activation Rep'!B:B,'Download of SFDC Activation Rep'!Z:Z),"")</f>
        <v/>
      </c>
      <c r="Q1726" s="86" t="str">
        <f t="shared" si="2"/>
        <v/>
      </c>
      <c r="R1726" s="13" t="str">
        <f t="shared" si="3"/>
        <v>Yes</v>
      </c>
      <c r="S1726" s="86" t="str">
        <f t="array" ref="S1726">iferror(XLOOKUP(C1726,'Download of SFDC Activation Rep'!B:B,'Download of SFDC Activation Rep'!Y:Y),"")</f>
        <v/>
      </c>
    </row>
    <row r="1727">
      <c r="A1727" s="17"/>
      <c r="B1727" s="85"/>
      <c r="C1727" s="17"/>
      <c r="D1727" s="85"/>
      <c r="E1727" s="17"/>
      <c r="F1727" s="17"/>
      <c r="G1727" s="17"/>
      <c r="I1727" s="17"/>
      <c r="K1727" s="17"/>
      <c r="L1727" s="17"/>
      <c r="M1727" s="17"/>
      <c r="O1727" s="14">
        <f t="shared" si="1"/>
        <v>0</v>
      </c>
      <c r="P1727" s="86" t="str">
        <f t="array" ref="P1727">iferror(XLOOKUP(C1727,'Download of SFDC Activation Rep'!B:B,'Download of SFDC Activation Rep'!Z:Z),"")</f>
        <v/>
      </c>
      <c r="Q1727" s="86" t="str">
        <f t="shared" si="2"/>
        <v/>
      </c>
      <c r="R1727" s="13" t="str">
        <f t="shared" si="3"/>
        <v>Yes</v>
      </c>
      <c r="S1727" s="86" t="str">
        <f t="array" ref="S1727">iferror(XLOOKUP(C1727,'Download of SFDC Activation Rep'!B:B,'Download of SFDC Activation Rep'!Y:Y),"")</f>
        <v/>
      </c>
    </row>
    <row r="1728">
      <c r="A1728" s="17"/>
      <c r="B1728" s="85"/>
      <c r="C1728" s="17"/>
      <c r="D1728" s="85"/>
      <c r="E1728" s="17"/>
      <c r="F1728" s="17"/>
      <c r="G1728" s="17"/>
      <c r="I1728" s="17"/>
      <c r="K1728" s="17"/>
      <c r="L1728" s="17"/>
      <c r="M1728" s="17"/>
      <c r="O1728" s="14">
        <f t="shared" si="1"/>
        <v>0</v>
      </c>
      <c r="P1728" s="86" t="str">
        <f t="array" ref="P1728">iferror(XLOOKUP(C1728,'Download of SFDC Activation Rep'!B:B,'Download of SFDC Activation Rep'!Z:Z),"")</f>
        <v/>
      </c>
      <c r="Q1728" s="86" t="str">
        <f t="shared" si="2"/>
        <v/>
      </c>
      <c r="R1728" s="13" t="str">
        <f t="shared" si="3"/>
        <v>Yes</v>
      </c>
      <c r="S1728" s="86" t="str">
        <f t="array" ref="S1728">iferror(XLOOKUP(C1728,'Download of SFDC Activation Rep'!B:B,'Download of SFDC Activation Rep'!Y:Y),"")</f>
        <v/>
      </c>
    </row>
    <row r="1729">
      <c r="A1729" s="17"/>
      <c r="B1729" s="85"/>
      <c r="C1729" s="17"/>
      <c r="D1729" s="85"/>
      <c r="E1729" s="17"/>
      <c r="F1729" s="17"/>
      <c r="G1729" s="17"/>
      <c r="I1729" s="17"/>
      <c r="K1729" s="17"/>
      <c r="L1729" s="17"/>
      <c r="M1729" s="17"/>
      <c r="O1729" s="14">
        <f t="shared" si="1"/>
        <v>0</v>
      </c>
      <c r="P1729" s="86" t="str">
        <f t="array" ref="P1729">iferror(XLOOKUP(C1729,'Download of SFDC Activation Rep'!B:B,'Download of SFDC Activation Rep'!Z:Z),"")</f>
        <v/>
      </c>
      <c r="Q1729" s="86" t="str">
        <f t="shared" si="2"/>
        <v/>
      </c>
      <c r="R1729" s="13" t="str">
        <f t="shared" si="3"/>
        <v>Yes</v>
      </c>
      <c r="S1729" s="86" t="str">
        <f t="array" ref="S1729">iferror(XLOOKUP(C1729,'Download of SFDC Activation Rep'!B:B,'Download of SFDC Activation Rep'!Y:Y),"")</f>
        <v/>
      </c>
    </row>
    <row r="1730">
      <c r="A1730" s="17"/>
      <c r="B1730" s="85"/>
      <c r="C1730" s="17"/>
      <c r="D1730" s="85"/>
      <c r="E1730" s="17"/>
      <c r="F1730" s="17"/>
      <c r="G1730" s="17"/>
      <c r="I1730" s="17"/>
      <c r="K1730" s="17"/>
      <c r="L1730" s="17"/>
      <c r="M1730" s="17"/>
      <c r="O1730" s="14">
        <f t="shared" si="1"/>
        <v>0</v>
      </c>
      <c r="P1730" s="86" t="str">
        <f t="array" ref="P1730">iferror(XLOOKUP(C1730,'Download of SFDC Activation Rep'!B:B,'Download of SFDC Activation Rep'!Z:Z),"")</f>
        <v/>
      </c>
      <c r="Q1730" s="86" t="str">
        <f t="shared" si="2"/>
        <v/>
      </c>
      <c r="R1730" s="13" t="str">
        <f t="shared" si="3"/>
        <v>Yes</v>
      </c>
      <c r="S1730" s="86" t="str">
        <f t="array" ref="S1730">iferror(XLOOKUP(C1730,'Download of SFDC Activation Rep'!B:B,'Download of SFDC Activation Rep'!Y:Y),"")</f>
        <v/>
      </c>
    </row>
    <row r="1731">
      <c r="A1731" s="17"/>
      <c r="B1731" s="85"/>
      <c r="C1731" s="17"/>
      <c r="D1731" s="85"/>
      <c r="E1731" s="17"/>
      <c r="F1731" s="17"/>
      <c r="G1731" s="17"/>
      <c r="I1731" s="17"/>
      <c r="K1731" s="17"/>
      <c r="L1731" s="17"/>
      <c r="M1731" s="17"/>
      <c r="O1731" s="14">
        <f t="shared" si="1"/>
        <v>0</v>
      </c>
      <c r="P1731" s="86" t="str">
        <f t="array" ref="P1731">iferror(XLOOKUP(C1731,'Download of SFDC Activation Rep'!B:B,'Download of SFDC Activation Rep'!Z:Z),"")</f>
        <v/>
      </c>
      <c r="Q1731" s="86" t="str">
        <f t="shared" si="2"/>
        <v/>
      </c>
      <c r="R1731" s="13" t="str">
        <f t="shared" si="3"/>
        <v>Yes</v>
      </c>
      <c r="S1731" s="86" t="str">
        <f t="array" ref="S1731">iferror(XLOOKUP(C1731,'Download of SFDC Activation Rep'!B:B,'Download of SFDC Activation Rep'!Y:Y),"")</f>
        <v/>
      </c>
    </row>
    <row r="1732">
      <c r="A1732" s="17"/>
      <c r="B1732" s="85"/>
      <c r="C1732" s="17"/>
      <c r="D1732" s="85"/>
      <c r="E1732" s="17"/>
      <c r="F1732" s="17"/>
      <c r="G1732" s="17"/>
      <c r="I1732" s="17"/>
      <c r="K1732" s="17"/>
      <c r="L1732" s="17"/>
      <c r="M1732" s="17"/>
      <c r="O1732" s="14">
        <f t="shared" si="1"/>
        <v>0</v>
      </c>
      <c r="P1732" s="86" t="str">
        <f t="array" ref="P1732">iferror(XLOOKUP(C1732,'Download of SFDC Activation Rep'!B:B,'Download of SFDC Activation Rep'!Z:Z),"")</f>
        <v/>
      </c>
      <c r="Q1732" s="86" t="str">
        <f t="shared" si="2"/>
        <v/>
      </c>
      <c r="R1732" s="13" t="str">
        <f t="shared" si="3"/>
        <v>Yes</v>
      </c>
      <c r="S1732" s="86" t="str">
        <f t="array" ref="S1732">iferror(XLOOKUP(C1732,'Download of SFDC Activation Rep'!B:B,'Download of SFDC Activation Rep'!Y:Y),"")</f>
        <v/>
      </c>
    </row>
    <row r="1733">
      <c r="A1733" s="17"/>
      <c r="B1733" s="85"/>
      <c r="C1733" s="17"/>
      <c r="D1733" s="85"/>
      <c r="E1733" s="17"/>
      <c r="F1733" s="17"/>
      <c r="G1733" s="17"/>
      <c r="I1733" s="17"/>
      <c r="K1733" s="17"/>
      <c r="L1733" s="17"/>
      <c r="M1733" s="17"/>
      <c r="O1733" s="14">
        <f t="shared" si="1"/>
        <v>0</v>
      </c>
      <c r="P1733" s="86" t="str">
        <f t="array" ref="P1733">iferror(XLOOKUP(C1733,'Download of SFDC Activation Rep'!B:B,'Download of SFDC Activation Rep'!Z:Z),"")</f>
        <v/>
      </c>
      <c r="Q1733" s="86" t="str">
        <f t="shared" si="2"/>
        <v/>
      </c>
      <c r="R1733" s="13" t="str">
        <f t="shared" si="3"/>
        <v>Yes</v>
      </c>
      <c r="S1733" s="86" t="str">
        <f t="array" ref="S1733">iferror(XLOOKUP(C1733,'Download of SFDC Activation Rep'!B:B,'Download of SFDC Activation Rep'!Y:Y),"")</f>
        <v/>
      </c>
    </row>
    <row r="1734">
      <c r="A1734" s="17"/>
      <c r="B1734" s="85"/>
      <c r="C1734" s="17"/>
      <c r="D1734" s="85"/>
      <c r="E1734" s="17"/>
      <c r="F1734" s="17"/>
      <c r="G1734" s="17"/>
      <c r="I1734" s="17"/>
      <c r="K1734" s="17"/>
      <c r="L1734" s="17"/>
      <c r="M1734" s="17"/>
      <c r="O1734" s="14">
        <f t="shared" si="1"/>
        <v>0</v>
      </c>
      <c r="P1734" s="86" t="str">
        <f t="array" ref="P1734">iferror(XLOOKUP(C1734,'Download of SFDC Activation Rep'!B:B,'Download of SFDC Activation Rep'!Z:Z),"")</f>
        <v/>
      </c>
      <c r="Q1734" s="86" t="str">
        <f t="shared" si="2"/>
        <v/>
      </c>
      <c r="R1734" s="13" t="str">
        <f t="shared" si="3"/>
        <v>Yes</v>
      </c>
      <c r="S1734" s="86" t="str">
        <f t="array" ref="S1734">iferror(XLOOKUP(C1734,'Download of SFDC Activation Rep'!B:B,'Download of SFDC Activation Rep'!Y:Y),"")</f>
        <v/>
      </c>
    </row>
    <row r="1735">
      <c r="A1735" s="17"/>
      <c r="B1735" s="85"/>
      <c r="C1735" s="17"/>
      <c r="D1735" s="85"/>
      <c r="E1735" s="17"/>
      <c r="F1735" s="17"/>
      <c r="G1735" s="17"/>
      <c r="I1735" s="17"/>
      <c r="K1735" s="17"/>
      <c r="L1735" s="17"/>
      <c r="M1735" s="17"/>
      <c r="O1735" s="14">
        <f t="shared" si="1"/>
        <v>0</v>
      </c>
      <c r="P1735" s="86" t="str">
        <f t="array" ref="P1735">iferror(XLOOKUP(C1735,'Download of SFDC Activation Rep'!B:B,'Download of SFDC Activation Rep'!Z:Z),"")</f>
        <v/>
      </c>
      <c r="Q1735" s="86" t="str">
        <f t="shared" si="2"/>
        <v/>
      </c>
      <c r="R1735" s="13" t="str">
        <f t="shared" si="3"/>
        <v>Yes</v>
      </c>
      <c r="S1735" s="86" t="str">
        <f t="array" ref="S1735">iferror(XLOOKUP(C1735,'Download of SFDC Activation Rep'!B:B,'Download of SFDC Activation Rep'!Y:Y),"")</f>
        <v/>
      </c>
    </row>
    <row r="1736">
      <c r="A1736" s="17"/>
      <c r="B1736" s="85"/>
      <c r="C1736" s="17"/>
      <c r="D1736" s="85"/>
      <c r="E1736" s="17"/>
      <c r="F1736" s="17"/>
      <c r="G1736" s="17"/>
      <c r="I1736" s="17"/>
      <c r="K1736" s="17"/>
      <c r="L1736" s="17"/>
      <c r="M1736" s="17"/>
      <c r="O1736" s="14">
        <f t="shared" si="1"/>
        <v>0</v>
      </c>
      <c r="P1736" s="86" t="str">
        <f t="array" ref="P1736">iferror(XLOOKUP(C1736,'Download of SFDC Activation Rep'!B:B,'Download of SFDC Activation Rep'!Z:Z),"")</f>
        <v/>
      </c>
      <c r="Q1736" s="86" t="str">
        <f t="shared" si="2"/>
        <v/>
      </c>
      <c r="R1736" s="13" t="str">
        <f t="shared" si="3"/>
        <v>Yes</v>
      </c>
      <c r="S1736" s="86" t="str">
        <f t="array" ref="S1736">iferror(XLOOKUP(C1736,'Download of SFDC Activation Rep'!B:B,'Download of SFDC Activation Rep'!Y:Y),"")</f>
        <v/>
      </c>
    </row>
    <row r="1737">
      <c r="A1737" s="17"/>
      <c r="B1737" s="85"/>
      <c r="C1737" s="17"/>
      <c r="D1737" s="85"/>
      <c r="E1737" s="17"/>
      <c r="F1737" s="17"/>
      <c r="G1737" s="17"/>
      <c r="I1737" s="17"/>
      <c r="K1737" s="17"/>
      <c r="L1737" s="17"/>
      <c r="M1737" s="17"/>
      <c r="O1737" s="14">
        <f t="shared" si="1"/>
        <v>0</v>
      </c>
      <c r="P1737" s="86" t="str">
        <f t="array" ref="P1737">iferror(XLOOKUP(C1737,'Download of SFDC Activation Rep'!B:B,'Download of SFDC Activation Rep'!Z:Z),"")</f>
        <v/>
      </c>
      <c r="Q1737" s="86" t="str">
        <f t="shared" si="2"/>
        <v/>
      </c>
      <c r="R1737" s="13" t="str">
        <f t="shared" si="3"/>
        <v>Yes</v>
      </c>
      <c r="S1737" s="86" t="str">
        <f t="array" ref="S1737">iferror(XLOOKUP(C1737,'Download of SFDC Activation Rep'!B:B,'Download of SFDC Activation Rep'!Y:Y),"")</f>
        <v/>
      </c>
    </row>
    <row r="1738">
      <c r="A1738" s="17"/>
      <c r="B1738" s="85"/>
      <c r="C1738" s="17"/>
      <c r="D1738" s="85"/>
      <c r="E1738" s="17"/>
      <c r="F1738" s="17"/>
      <c r="G1738" s="17"/>
      <c r="I1738" s="17"/>
      <c r="K1738" s="17"/>
      <c r="L1738" s="17"/>
      <c r="M1738" s="17"/>
      <c r="O1738" s="14">
        <f t="shared" si="1"/>
        <v>0</v>
      </c>
      <c r="P1738" s="86" t="str">
        <f t="array" ref="P1738">iferror(XLOOKUP(C1738,'Download of SFDC Activation Rep'!B:B,'Download of SFDC Activation Rep'!Z:Z),"")</f>
        <v/>
      </c>
      <c r="Q1738" s="86" t="str">
        <f t="shared" si="2"/>
        <v/>
      </c>
      <c r="R1738" s="13" t="str">
        <f t="shared" si="3"/>
        <v>Yes</v>
      </c>
      <c r="S1738" s="86" t="str">
        <f t="array" ref="S1738">iferror(XLOOKUP(C1738,'Download of SFDC Activation Rep'!B:B,'Download of SFDC Activation Rep'!Y:Y),"")</f>
        <v/>
      </c>
    </row>
    <row r="1739">
      <c r="A1739" s="17"/>
      <c r="B1739" s="85"/>
      <c r="C1739" s="17"/>
      <c r="D1739" s="85"/>
      <c r="E1739" s="17"/>
      <c r="F1739" s="17"/>
      <c r="G1739" s="17"/>
      <c r="I1739" s="17"/>
      <c r="K1739" s="17"/>
      <c r="L1739" s="17"/>
      <c r="M1739" s="17"/>
      <c r="O1739" s="14">
        <f t="shared" si="1"/>
        <v>0</v>
      </c>
      <c r="P1739" s="86" t="str">
        <f t="array" ref="P1739">iferror(XLOOKUP(C1739,'Download of SFDC Activation Rep'!B:B,'Download of SFDC Activation Rep'!Z:Z),"")</f>
        <v/>
      </c>
      <c r="Q1739" s="86" t="str">
        <f t="shared" si="2"/>
        <v/>
      </c>
      <c r="R1739" s="13" t="str">
        <f t="shared" si="3"/>
        <v>Yes</v>
      </c>
      <c r="S1739" s="86" t="str">
        <f t="array" ref="S1739">iferror(XLOOKUP(C1739,'Download of SFDC Activation Rep'!B:B,'Download of SFDC Activation Rep'!Y:Y),"")</f>
        <v/>
      </c>
    </row>
    <row r="1740">
      <c r="A1740" s="17"/>
      <c r="B1740" s="85"/>
      <c r="C1740" s="17"/>
      <c r="D1740" s="85"/>
      <c r="E1740" s="17"/>
      <c r="F1740" s="17"/>
      <c r="G1740" s="17"/>
      <c r="I1740" s="17"/>
      <c r="K1740" s="17"/>
      <c r="L1740" s="17"/>
      <c r="M1740" s="17"/>
      <c r="O1740" s="14">
        <f t="shared" si="1"/>
        <v>0</v>
      </c>
      <c r="P1740" s="86" t="str">
        <f t="array" ref="P1740">iferror(XLOOKUP(C1740,'Download of SFDC Activation Rep'!B:B,'Download of SFDC Activation Rep'!Z:Z),"")</f>
        <v/>
      </c>
      <c r="Q1740" s="86" t="str">
        <f t="shared" si="2"/>
        <v/>
      </c>
      <c r="R1740" s="13" t="str">
        <f t="shared" si="3"/>
        <v>Yes</v>
      </c>
      <c r="S1740" s="86" t="str">
        <f t="array" ref="S1740">iferror(XLOOKUP(C1740,'Download of SFDC Activation Rep'!B:B,'Download of SFDC Activation Rep'!Y:Y),"")</f>
        <v/>
      </c>
    </row>
    <row r="1741">
      <c r="A1741" s="17"/>
      <c r="B1741" s="85"/>
      <c r="C1741" s="17"/>
      <c r="D1741" s="85"/>
      <c r="E1741" s="17"/>
      <c r="F1741" s="17"/>
      <c r="G1741" s="17"/>
      <c r="I1741" s="17"/>
      <c r="K1741" s="17"/>
      <c r="L1741" s="17"/>
      <c r="M1741" s="17"/>
      <c r="O1741" s="14">
        <f t="shared" si="1"/>
        <v>0</v>
      </c>
      <c r="P1741" s="86" t="str">
        <f t="array" ref="P1741">iferror(XLOOKUP(C1741,'Download of SFDC Activation Rep'!B:B,'Download of SFDC Activation Rep'!Z:Z),"")</f>
        <v/>
      </c>
      <c r="Q1741" s="86" t="str">
        <f t="shared" si="2"/>
        <v/>
      </c>
      <c r="R1741" s="13" t="str">
        <f t="shared" si="3"/>
        <v>Yes</v>
      </c>
      <c r="S1741" s="86" t="str">
        <f t="array" ref="S1741">iferror(XLOOKUP(C1741,'Download of SFDC Activation Rep'!B:B,'Download of SFDC Activation Rep'!Y:Y),"")</f>
        <v/>
      </c>
    </row>
    <row r="1742">
      <c r="A1742" s="17"/>
      <c r="B1742" s="85"/>
      <c r="C1742" s="17"/>
      <c r="D1742" s="85"/>
      <c r="E1742" s="17"/>
      <c r="F1742" s="17"/>
      <c r="G1742" s="17"/>
      <c r="I1742" s="17"/>
      <c r="K1742" s="17"/>
      <c r="L1742" s="17"/>
      <c r="M1742" s="17"/>
      <c r="O1742" s="14">
        <f t="shared" si="1"/>
        <v>0</v>
      </c>
      <c r="P1742" s="86" t="str">
        <f t="array" ref="P1742">iferror(XLOOKUP(C1742,'Download of SFDC Activation Rep'!B:B,'Download of SFDC Activation Rep'!Z:Z),"")</f>
        <v/>
      </c>
      <c r="Q1742" s="86" t="str">
        <f t="shared" si="2"/>
        <v/>
      </c>
      <c r="R1742" s="13" t="str">
        <f t="shared" si="3"/>
        <v>Yes</v>
      </c>
      <c r="S1742" s="86" t="str">
        <f t="array" ref="S1742">iferror(XLOOKUP(C1742,'Download of SFDC Activation Rep'!B:B,'Download of SFDC Activation Rep'!Y:Y),"")</f>
        <v/>
      </c>
    </row>
    <row r="1743">
      <c r="A1743" s="17"/>
      <c r="B1743" s="85"/>
      <c r="C1743" s="17"/>
      <c r="D1743" s="85"/>
      <c r="E1743" s="17"/>
      <c r="F1743" s="17"/>
      <c r="G1743" s="17"/>
      <c r="I1743" s="17"/>
      <c r="K1743" s="17"/>
      <c r="L1743" s="17"/>
      <c r="M1743" s="17"/>
      <c r="O1743" s="14">
        <f t="shared" si="1"/>
        <v>0</v>
      </c>
      <c r="P1743" s="86" t="str">
        <f t="array" ref="P1743">iferror(XLOOKUP(C1743,'Download of SFDC Activation Rep'!B:B,'Download of SFDC Activation Rep'!Z:Z),"")</f>
        <v/>
      </c>
      <c r="Q1743" s="86" t="str">
        <f t="shared" si="2"/>
        <v/>
      </c>
      <c r="R1743" s="13" t="str">
        <f t="shared" si="3"/>
        <v>Yes</v>
      </c>
      <c r="S1743" s="86" t="str">
        <f t="array" ref="S1743">iferror(XLOOKUP(C1743,'Download of SFDC Activation Rep'!B:B,'Download of SFDC Activation Rep'!Y:Y),"")</f>
        <v/>
      </c>
    </row>
    <row r="1744">
      <c r="A1744" s="17"/>
      <c r="B1744" s="85"/>
      <c r="C1744" s="17"/>
      <c r="D1744" s="85"/>
      <c r="E1744" s="17"/>
      <c r="F1744" s="17"/>
      <c r="G1744" s="17"/>
      <c r="I1744" s="17"/>
      <c r="K1744" s="17"/>
      <c r="L1744" s="17"/>
      <c r="M1744" s="17"/>
      <c r="O1744" s="14">
        <f t="shared" si="1"/>
        <v>0</v>
      </c>
      <c r="P1744" s="86" t="str">
        <f t="array" ref="P1744">iferror(XLOOKUP(C1744,'Download of SFDC Activation Rep'!B:B,'Download of SFDC Activation Rep'!Z:Z),"")</f>
        <v/>
      </c>
      <c r="Q1744" s="86" t="str">
        <f t="shared" si="2"/>
        <v/>
      </c>
      <c r="R1744" s="13" t="str">
        <f t="shared" si="3"/>
        <v>Yes</v>
      </c>
      <c r="S1744" s="86" t="str">
        <f t="array" ref="S1744">iferror(XLOOKUP(C1744,'Download of SFDC Activation Rep'!B:B,'Download of SFDC Activation Rep'!Y:Y),"")</f>
        <v/>
      </c>
    </row>
    <row r="1745">
      <c r="A1745" s="17"/>
      <c r="B1745" s="85"/>
      <c r="C1745" s="17"/>
      <c r="D1745" s="85"/>
      <c r="E1745" s="17"/>
      <c r="F1745" s="17"/>
      <c r="G1745" s="17"/>
      <c r="I1745" s="17"/>
      <c r="K1745" s="17"/>
      <c r="L1745" s="17"/>
      <c r="M1745" s="17"/>
      <c r="O1745" s="14">
        <f t="shared" si="1"/>
        <v>0</v>
      </c>
      <c r="P1745" s="86" t="str">
        <f t="array" ref="P1745">iferror(XLOOKUP(C1745,'Download of SFDC Activation Rep'!B:B,'Download of SFDC Activation Rep'!Z:Z),"")</f>
        <v/>
      </c>
      <c r="Q1745" s="86" t="str">
        <f t="shared" si="2"/>
        <v/>
      </c>
      <c r="R1745" s="13" t="str">
        <f t="shared" si="3"/>
        <v>Yes</v>
      </c>
      <c r="S1745" s="86" t="str">
        <f t="array" ref="S1745">iferror(XLOOKUP(C1745,'Download of SFDC Activation Rep'!B:B,'Download of SFDC Activation Rep'!Y:Y),"")</f>
        <v/>
      </c>
    </row>
    <row r="1746">
      <c r="A1746" s="17"/>
      <c r="B1746" s="85"/>
      <c r="C1746" s="17"/>
      <c r="D1746" s="85"/>
      <c r="E1746" s="17"/>
      <c r="F1746" s="17"/>
      <c r="G1746" s="17"/>
      <c r="I1746" s="17"/>
      <c r="K1746" s="17"/>
      <c r="L1746" s="17"/>
      <c r="M1746" s="17"/>
      <c r="O1746" s="14">
        <f t="shared" si="1"/>
        <v>0</v>
      </c>
      <c r="P1746" s="86" t="str">
        <f t="array" ref="P1746">iferror(XLOOKUP(C1746,'Download of SFDC Activation Rep'!B:B,'Download of SFDC Activation Rep'!Z:Z),"")</f>
        <v/>
      </c>
      <c r="Q1746" s="86" t="str">
        <f t="shared" si="2"/>
        <v/>
      </c>
      <c r="R1746" s="13" t="str">
        <f t="shared" si="3"/>
        <v>Yes</v>
      </c>
      <c r="S1746" s="86" t="str">
        <f t="array" ref="S1746">iferror(XLOOKUP(C1746,'Download of SFDC Activation Rep'!B:B,'Download of SFDC Activation Rep'!Y:Y),"")</f>
        <v/>
      </c>
    </row>
    <row r="1747">
      <c r="A1747" s="17"/>
      <c r="B1747" s="85"/>
      <c r="C1747" s="17"/>
      <c r="D1747" s="85"/>
      <c r="E1747" s="17"/>
      <c r="F1747" s="17"/>
      <c r="G1747" s="17"/>
      <c r="I1747" s="17"/>
      <c r="K1747" s="17"/>
      <c r="L1747" s="17"/>
      <c r="M1747" s="17"/>
      <c r="O1747" s="14">
        <f t="shared" si="1"/>
        <v>0</v>
      </c>
      <c r="P1747" s="86" t="str">
        <f t="array" ref="P1747">iferror(XLOOKUP(C1747,'Download of SFDC Activation Rep'!B:B,'Download of SFDC Activation Rep'!Z:Z),"")</f>
        <v/>
      </c>
      <c r="Q1747" s="86" t="str">
        <f t="shared" si="2"/>
        <v/>
      </c>
      <c r="R1747" s="13" t="str">
        <f t="shared" si="3"/>
        <v>Yes</v>
      </c>
      <c r="S1747" s="86" t="str">
        <f t="array" ref="S1747">iferror(XLOOKUP(C1747,'Download of SFDC Activation Rep'!B:B,'Download of SFDC Activation Rep'!Y:Y),"")</f>
        <v/>
      </c>
    </row>
    <row r="1748">
      <c r="A1748" s="17"/>
      <c r="B1748" s="85"/>
      <c r="C1748" s="17"/>
      <c r="D1748" s="85"/>
      <c r="E1748" s="17"/>
      <c r="F1748" s="17"/>
      <c r="G1748" s="17"/>
      <c r="I1748" s="17"/>
      <c r="K1748" s="17"/>
      <c r="L1748" s="17"/>
      <c r="M1748" s="17"/>
      <c r="O1748" s="14">
        <f t="shared" si="1"/>
        <v>0</v>
      </c>
      <c r="P1748" s="86" t="str">
        <f t="array" ref="P1748">iferror(XLOOKUP(C1748,'Download of SFDC Activation Rep'!B:B,'Download of SFDC Activation Rep'!Z:Z),"")</f>
        <v/>
      </c>
      <c r="Q1748" s="86" t="str">
        <f t="shared" si="2"/>
        <v/>
      </c>
      <c r="R1748" s="13" t="str">
        <f t="shared" si="3"/>
        <v>Yes</v>
      </c>
      <c r="S1748" s="86" t="str">
        <f t="array" ref="S1748">iferror(XLOOKUP(C1748,'Download of SFDC Activation Rep'!B:B,'Download of SFDC Activation Rep'!Y:Y),"")</f>
        <v/>
      </c>
    </row>
    <row r="1749">
      <c r="A1749" s="17"/>
      <c r="B1749" s="85"/>
      <c r="C1749" s="17"/>
      <c r="D1749" s="85"/>
      <c r="E1749" s="17"/>
      <c r="F1749" s="17"/>
      <c r="G1749" s="17"/>
      <c r="I1749" s="17"/>
      <c r="K1749" s="17"/>
      <c r="L1749" s="17"/>
      <c r="M1749" s="17"/>
      <c r="O1749" s="14">
        <f t="shared" si="1"/>
        <v>0</v>
      </c>
      <c r="P1749" s="86" t="str">
        <f t="array" ref="P1749">iferror(XLOOKUP(C1749,'Download of SFDC Activation Rep'!B:B,'Download of SFDC Activation Rep'!Z:Z),"")</f>
        <v/>
      </c>
      <c r="Q1749" s="86" t="str">
        <f t="shared" si="2"/>
        <v/>
      </c>
      <c r="R1749" s="13" t="str">
        <f t="shared" si="3"/>
        <v>Yes</v>
      </c>
      <c r="S1749" s="86" t="str">
        <f t="array" ref="S1749">iferror(XLOOKUP(C1749,'Download of SFDC Activation Rep'!B:B,'Download of SFDC Activation Rep'!Y:Y),"")</f>
        <v/>
      </c>
    </row>
    <row r="1750">
      <c r="A1750" s="17"/>
      <c r="B1750" s="85"/>
      <c r="C1750" s="17"/>
      <c r="D1750" s="85"/>
      <c r="E1750" s="17"/>
      <c r="F1750" s="17"/>
      <c r="G1750" s="17"/>
      <c r="I1750" s="17"/>
      <c r="K1750" s="17"/>
      <c r="L1750" s="17"/>
      <c r="M1750" s="17"/>
      <c r="O1750" s="14">
        <f t="shared" si="1"/>
        <v>0</v>
      </c>
      <c r="P1750" s="86" t="str">
        <f t="array" ref="P1750">iferror(XLOOKUP(C1750,'Download of SFDC Activation Rep'!B:B,'Download of SFDC Activation Rep'!Z:Z),"")</f>
        <v/>
      </c>
      <c r="Q1750" s="86" t="str">
        <f t="shared" si="2"/>
        <v/>
      </c>
      <c r="R1750" s="13" t="str">
        <f t="shared" si="3"/>
        <v>Yes</v>
      </c>
      <c r="S1750" s="86" t="str">
        <f t="array" ref="S1750">iferror(XLOOKUP(C1750,'Download of SFDC Activation Rep'!B:B,'Download of SFDC Activation Rep'!Y:Y),"")</f>
        <v/>
      </c>
    </row>
    <row r="1751">
      <c r="A1751" s="17"/>
      <c r="B1751" s="85"/>
      <c r="C1751" s="17"/>
      <c r="D1751" s="85"/>
      <c r="E1751" s="17"/>
      <c r="F1751" s="17"/>
      <c r="G1751" s="17"/>
      <c r="I1751" s="17"/>
      <c r="K1751" s="17"/>
      <c r="L1751" s="17"/>
      <c r="M1751" s="17"/>
      <c r="O1751" s="14">
        <f t="shared" si="1"/>
        <v>0</v>
      </c>
      <c r="P1751" s="86" t="str">
        <f t="array" ref="P1751">iferror(XLOOKUP(C1751,'Download of SFDC Activation Rep'!B:B,'Download of SFDC Activation Rep'!Z:Z),"")</f>
        <v/>
      </c>
      <c r="Q1751" s="86" t="str">
        <f t="shared" si="2"/>
        <v/>
      </c>
      <c r="R1751" s="13" t="str">
        <f t="shared" si="3"/>
        <v>Yes</v>
      </c>
      <c r="S1751" s="86" t="str">
        <f t="array" ref="S1751">iferror(XLOOKUP(C1751,'Download of SFDC Activation Rep'!B:B,'Download of SFDC Activation Rep'!Y:Y),"")</f>
        <v/>
      </c>
    </row>
    <row r="1752">
      <c r="A1752" s="17"/>
      <c r="B1752" s="85"/>
      <c r="C1752" s="17"/>
      <c r="D1752" s="85"/>
      <c r="E1752" s="17"/>
      <c r="F1752" s="17"/>
      <c r="G1752" s="17"/>
      <c r="I1752" s="17"/>
      <c r="K1752" s="17"/>
      <c r="L1752" s="17"/>
      <c r="M1752" s="17"/>
      <c r="O1752" s="14">
        <f t="shared" si="1"/>
        <v>0</v>
      </c>
      <c r="P1752" s="86" t="str">
        <f t="array" ref="P1752">iferror(XLOOKUP(C1752,'Download of SFDC Activation Rep'!B:B,'Download of SFDC Activation Rep'!Z:Z),"")</f>
        <v/>
      </c>
      <c r="Q1752" s="86" t="str">
        <f t="shared" si="2"/>
        <v/>
      </c>
      <c r="R1752" s="13" t="str">
        <f t="shared" si="3"/>
        <v>Yes</v>
      </c>
      <c r="S1752" s="86" t="str">
        <f t="array" ref="S1752">iferror(XLOOKUP(C1752,'Download of SFDC Activation Rep'!B:B,'Download of SFDC Activation Rep'!Y:Y),"")</f>
        <v/>
      </c>
    </row>
    <row r="1753">
      <c r="A1753" s="17"/>
      <c r="B1753" s="85"/>
      <c r="C1753" s="17"/>
      <c r="D1753" s="85"/>
      <c r="E1753" s="17"/>
      <c r="F1753" s="17"/>
      <c r="G1753" s="17"/>
      <c r="I1753" s="17"/>
      <c r="K1753" s="17"/>
      <c r="L1753" s="17"/>
      <c r="M1753" s="17"/>
      <c r="O1753" s="14">
        <f t="shared" si="1"/>
        <v>0</v>
      </c>
      <c r="P1753" s="86" t="str">
        <f t="array" ref="P1753">iferror(XLOOKUP(C1753,'Download of SFDC Activation Rep'!B:B,'Download of SFDC Activation Rep'!Z:Z),"")</f>
        <v/>
      </c>
      <c r="Q1753" s="86" t="str">
        <f t="shared" si="2"/>
        <v/>
      </c>
      <c r="R1753" s="13" t="str">
        <f t="shared" si="3"/>
        <v>Yes</v>
      </c>
      <c r="S1753" s="86" t="str">
        <f t="array" ref="S1753">iferror(XLOOKUP(C1753,'Download of SFDC Activation Rep'!B:B,'Download of SFDC Activation Rep'!Y:Y),"")</f>
        <v/>
      </c>
    </row>
    <row r="1754">
      <c r="A1754" s="17"/>
      <c r="B1754" s="85"/>
      <c r="C1754" s="17"/>
      <c r="D1754" s="85"/>
      <c r="E1754" s="17"/>
      <c r="F1754" s="17"/>
      <c r="G1754" s="17"/>
      <c r="I1754" s="17"/>
      <c r="K1754" s="17"/>
      <c r="L1754" s="17"/>
      <c r="M1754" s="17"/>
      <c r="O1754" s="14">
        <f t="shared" si="1"/>
        <v>0</v>
      </c>
      <c r="P1754" s="86" t="str">
        <f t="array" ref="P1754">iferror(XLOOKUP(C1754,'Download of SFDC Activation Rep'!B:B,'Download of SFDC Activation Rep'!Z:Z),"")</f>
        <v/>
      </c>
      <c r="Q1754" s="86" t="str">
        <f t="shared" si="2"/>
        <v/>
      </c>
      <c r="R1754" s="13" t="str">
        <f t="shared" si="3"/>
        <v>Yes</v>
      </c>
      <c r="S1754" s="86" t="str">
        <f t="array" ref="S1754">iferror(XLOOKUP(C1754,'Download of SFDC Activation Rep'!B:B,'Download of SFDC Activation Rep'!Y:Y),"")</f>
        <v/>
      </c>
    </row>
    <row r="1755">
      <c r="A1755" s="17"/>
      <c r="B1755" s="85"/>
      <c r="C1755" s="17"/>
      <c r="D1755" s="85"/>
      <c r="E1755" s="17"/>
      <c r="F1755" s="17"/>
      <c r="G1755" s="17"/>
      <c r="I1755" s="17"/>
      <c r="K1755" s="17"/>
      <c r="L1755" s="17"/>
      <c r="M1755" s="17"/>
      <c r="O1755" s="14">
        <f t="shared" si="1"/>
        <v>0</v>
      </c>
      <c r="P1755" s="86" t="str">
        <f t="array" ref="P1755">iferror(XLOOKUP(C1755,'Download of SFDC Activation Rep'!B:B,'Download of SFDC Activation Rep'!Z:Z),"")</f>
        <v/>
      </c>
      <c r="Q1755" s="86" t="str">
        <f t="shared" si="2"/>
        <v/>
      </c>
      <c r="R1755" s="13" t="str">
        <f t="shared" si="3"/>
        <v>Yes</v>
      </c>
      <c r="S1755" s="86" t="str">
        <f t="array" ref="S1755">iferror(XLOOKUP(C1755,'Download of SFDC Activation Rep'!B:B,'Download of SFDC Activation Rep'!Y:Y),"")</f>
        <v/>
      </c>
    </row>
    <row r="1756">
      <c r="A1756" s="17"/>
      <c r="B1756" s="85"/>
      <c r="C1756" s="17"/>
      <c r="D1756" s="85"/>
      <c r="E1756" s="17"/>
      <c r="F1756" s="17"/>
      <c r="G1756" s="17"/>
      <c r="I1756" s="17"/>
      <c r="K1756" s="17"/>
      <c r="L1756" s="17"/>
      <c r="M1756" s="17"/>
      <c r="O1756" s="14">
        <f t="shared" si="1"/>
        <v>0</v>
      </c>
      <c r="P1756" s="86" t="str">
        <f t="array" ref="P1756">iferror(XLOOKUP(C1756,'Download of SFDC Activation Rep'!B:B,'Download of SFDC Activation Rep'!Z:Z),"")</f>
        <v/>
      </c>
      <c r="Q1756" s="86" t="str">
        <f t="shared" si="2"/>
        <v/>
      </c>
      <c r="R1756" s="13" t="str">
        <f t="shared" si="3"/>
        <v>Yes</v>
      </c>
      <c r="S1756" s="86" t="str">
        <f t="array" ref="S1756">iferror(XLOOKUP(C1756,'Download of SFDC Activation Rep'!B:B,'Download of SFDC Activation Rep'!Y:Y),"")</f>
        <v/>
      </c>
    </row>
    <row r="1757">
      <c r="A1757" s="17"/>
      <c r="B1757" s="85"/>
      <c r="C1757" s="17"/>
      <c r="D1757" s="85"/>
      <c r="E1757" s="17"/>
      <c r="F1757" s="17"/>
      <c r="G1757" s="17"/>
      <c r="I1757" s="17"/>
      <c r="K1757" s="17"/>
      <c r="L1757" s="17"/>
      <c r="M1757" s="17"/>
      <c r="O1757" s="14">
        <f t="shared" si="1"/>
        <v>0</v>
      </c>
      <c r="P1757" s="86" t="str">
        <f t="array" ref="P1757">iferror(XLOOKUP(C1757,'Download of SFDC Activation Rep'!B:B,'Download of SFDC Activation Rep'!Z:Z),"")</f>
        <v/>
      </c>
      <c r="Q1757" s="86" t="str">
        <f t="shared" si="2"/>
        <v/>
      </c>
      <c r="R1757" s="13" t="str">
        <f t="shared" si="3"/>
        <v>Yes</v>
      </c>
      <c r="S1757" s="86" t="str">
        <f t="array" ref="S1757">iferror(XLOOKUP(C1757,'Download of SFDC Activation Rep'!B:B,'Download of SFDC Activation Rep'!Y:Y),"")</f>
        <v/>
      </c>
    </row>
    <row r="1758">
      <c r="A1758" s="17"/>
      <c r="B1758" s="85"/>
      <c r="C1758" s="17"/>
      <c r="D1758" s="85"/>
      <c r="E1758" s="17"/>
      <c r="F1758" s="17"/>
      <c r="G1758" s="17"/>
      <c r="I1758" s="17"/>
      <c r="K1758" s="17"/>
      <c r="L1758" s="17"/>
      <c r="M1758" s="17"/>
      <c r="O1758" s="14">
        <f t="shared" si="1"/>
        <v>0</v>
      </c>
      <c r="P1758" s="86" t="str">
        <f t="array" ref="P1758">iferror(XLOOKUP(C1758,'Download of SFDC Activation Rep'!B:B,'Download of SFDC Activation Rep'!Z:Z),"")</f>
        <v/>
      </c>
      <c r="Q1758" s="86" t="str">
        <f t="shared" si="2"/>
        <v/>
      </c>
      <c r="R1758" s="13" t="str">
        <f t="shared" si="3"/>
        <v>Yes</v>
      </c>
      <c r="S1758" s="86" t="str">
        <f t="array" ref="S1758">iferror(XLOOKUP(C1758,'Download of SFDC Activation Rep'!B:B,'Download of SFDC Activation Rep'!Y:Y),"")</f>
        <v/>
      </c>
    </row>
    <row r="1759">
      <c r="A1759" s="17"/>
      <c r="B1759" s="85"/>
      <c r="C1759" s="17"/>
      <c r="D1759" s="85"/>
      <c r="E1759" s="17"/>
      <c r="F1759" s="17"/>
      <c r="G1759" s="17"/>
      <c r="I1759" s="17"/>
      <c r="K1759" s="17"/>
      <c r="L1759" s="17"/>
      <c r="M1759" s="17"/>
      <c r="O1759" s="14">
        <f t="shared" si="1"/>
        <v>0</v>
      </c>
      <c r="P1759" s="86" t="str">
        <f t="array" ref="P1759">iferror(XLOOKUP(C1759,'Download of SFDC Activation Rep'!B:B,'Download of SFDC Activation Rep'!Z:Z),"")</f>
        <v/>
      </c>
      <c r="Q1759" s="86" t="str">
        <f t="shared" si="2"/>
        <v/>
      </c>
      <c r="R1759" s="13" t="str">
        <f t="shared" si="3"/>
        <v>Yes</v>
      </c>
      <c r="S1759" s="86" t="str">
        <f t="array" ref="S1759">iferror(XLOOKUP(C1759,'Download of SFDC Activation Rep'!B:B,'Download of SFDC Activation Rep'!Y:Y),"")</f>
        <v/>
      </c>
    </row>
    <row r="1760">
      <c r="A1760" s="17"/>
      <c r="B1760" s="85"/>
      <c r="C1760" s="17"/>
      <c r="D1760" s="85"/>
      <c r="E1760" s="17"/>
      <c r="F1760" s="17"/>
      <c r="G1760" s="17"/>
      <c r="I1760" s="17"/>
      <c r="K1760" s="17"/>
      <c r="L1760" s="17"/>
      <c r="M1760" s="17"/>
      <c r="O1760" s="14">
        <f t="shared" si="1"/>
        <v>0</v>
      </c>
      <c r="P1760" s="86" t="str">
        <f t="array" ref="P1760">iferror(XLOOKUP(C1760,'Download of SFDC Activation Rep'!B:B,'Download of SFDC Activation Rep'!Z:Z),"")</f>
        <v/>
      </c>
      <c r="Q1760" s="86" t="str">
        <f t="shared" si="2"/>
        <v/>
      </c>
      <c r="R1760" s="13" t="str">
        <f t="shared" si="3"/>
        <v>Yes</v>
      </c>
      <c r="S1760" s="86" t="str">
        <f t="array" ref="S1760">iferror(XLOOKUP(C1760,'Download of SFDC Activation Rep'!B:B,'Download of SFDC Activation Rep'!Y:Y),"")</f>
        <v/>
      </c>
    </row>
    <row r="1761">
      <c r="A1761" s="17"/>
      <c r="B1761" s="85"/>
      <c r="C1761" s="17"/>
      <c r="D1761" s="85"/>
      <c r="E1761" s="17"/>
      <c r="F1761" s="17"/>
      <c r="G1761" s="17"/>
      <c r="I1761" s="17"/>
      <c r="K1761" s="17"/>
      <c r="L1761" s="17"/>
      <c r="M1761" s="17"/>
      <c r="O1761" s="14">
        <f t="shared" si="1"/>
        <v>0</v>
      </c>
      <c r="P1761" s="86" t="str">
        <f t="array" ref="P1761">iferror(XLOOKUP(C1761,'Download of SFDC Activation Rep'!B:B,'Download of SFDC Activation Rep'!Z:Z),"")</f>
        <v/>
      </c>
      <c r="Q1761" s="86" t="str">
        <f t="shared" si="2"/>
        <v/>
      </c>
      <c r="R1761" s="13" t="str">
        <f t="shared" si="3"/>
        <v>Yes</v>
      </c>
      <c r="S1761" s="86" t="str">
        <f t="array" ref="S1761">iferror(XLOOKUP(C1761,'Download of SFDC Activation Rep'!B:B,'Download of SFDC Activation Rep'!Y:Y),"")</f>
        <v/>
      </c>
    </row>
    <row r="1762">
      <c r="A1762" s="17"/>
      <c r="B1762" s="85"/>
      <c r="C1762" s="17"/>
      <c r="D1762" s="85"/>
      <c r="E1762" s="17"/>
      <c r="F1762" s="17"/>
      <c r="G1762" s="17"/>
      <c r="I1762" s="17"/>
      <c r="K1762" s="17"/>
      <c r="L1762" s="17"/>
      <c r="M1762" s="17"/>
      <c r="O1762" s="14">
        <f t="shared" si="1"/>
        <v>0</v>
      </c>
      <c r="P1762" s="86" t="str">
        <f t="array" ref="P1762">iferror(XLOOKUP(C1762,'Download of SFDC Activation Rep'!B:B,'Download of SFDC Activation Rep'!Z:Z),"")</f>
        <v/>
      </c>
      <c r="Q1762" s="86" t="str">
        <f t="shared" si="2"/>
        <v/>
      </c>
      <c r="R1762" s="13" t="str">
        <f t="shared" si="3"/>
        <v>Yes</v>
      </c>
      <c r="S1762" s="86" t="str">
        <f t="array" ref="S1762">iferror(XLOOKUP(C1762,'Download of SFDC Activation Rep'!B:B,'Download of SFDC Activation Rep'!Y:Y),"")</f>
        <v/>
      </c>
    </row>
    <row r="1763">
      <c r="A1763" s="17"/>
      <c r="B1763" s="85"/>
      <c r="C1763" s="17"/>
      <c r="D1763" s="85"/>
      <c r="E1763" s="17"/>
      <c r="F1763" s="17"/>
      <c r="G1763" s="17"/>
      <c r="I1763" s="17"/>
      <c r="K1763" s="17"/>
      <c r="L1763" s="17"/>
      <c r="M1763" s="17"/>
      <c r="O1763" s="14">
        <f t="shared" si="1"/>
        <v>0</v>
      </c>
      <c r="P1763" s="86" t="str">
        <f t="array" ref="P1763">iferror(XLOOKUP(C1763,'Download of SFDC Activation Rep'!B:B,'Download of SFDC Activation Rep'!Z:Z),"")</f>
        <v/>
      </c>
      <c r="Q1763" s="86" t="str">
        <f t="shared" si="2"/>
        <v/>
      </c>
      <c r="R1763" s="13" t="str">
        <f t="shared" si="3"/>
        <v>Yes</v>
      </c>
      <c r="S1763" s="86" t="str">
        <f t="array" ref="S1763">iferror(XLOOKUP(C1763,'Download of SFDC Activation Rep'!B:B,'Download of SFDC Activation Rep'!Y:Y),"")</f>
        <v/>
      </c>
    </row>
    <row r="1764">
      <c r="A1764" s="17"/>
      <c r="B1764" s="85"/>
      <c r="C1764" s="17"/>
      <c r="D1764" s="85"/>
      <c r="E1764" s="17"/>
      <c r="F1764" s="17"/>
      <c r="G1764" s="17"/>
      <c r="I1764" s="17"/>
      <c r="K1764" s="17"/>
      <c r="L1764" s="17"/>
      <c r="M1764" s="17"/>
      <c r="O1764" s="14">
        <f t="shared" si="1"/>
        <v>0</v>
      </c>
      <c r="P1764" s="86" t="str">
        <f t="array" ref="P1764">iferror(XLOOKUP(C1764,'Download of SFDC Activation Rep'!B:B,'Download of SFDC Activation Rep'!Z:Z),"")</f>
        <v/>
      </c>
      <c r="Q1764" s="86" t="str">
        <f t="shared" si="2"/>
        <v/>
      </c>
      <c r="R1764" s="13" t="str">
        <f t="shared" si="3"/>
        <v>Yes</v>
      </c>
      <c r="S1764" s="86" t="str">
        <f t="array" ref="S1764">iferror(XLOOKUP(C1764,'Download of SFDC Activation Rep'!B:B,'Download of SFDC Activation Rep'!Y:Y),"")</f>
        <v/>
      </c>
    </row>
    <row r="1765">
      <c r="A1765" s="17"/>
      <c r="B1765" s="85"/>
      <c r="C1765" s="17"/>
      <c r="D1765" s="85"/>
      <c r="E1765" s="17"/>
      <c r="F1765" s="17"/>
      <c r="G1765" s="17"/>
      <c r="I1765" s="17"/>
      <c r="K1765" s="17"/>
      <c r="L1765" s="17"/>
      <c r="M1765" s="17"/>
      <c r="O1765" s="14">
        <f t="shared" si="1"/>
        <v>0</v>
      </c>
      <c r="P1765" s="86" t="str">
        <f t="array" ref="P1765">iferror(XLOOKUP(C1765,'Download of SFDC Activation Rep'!B:B,'Download of SFDC Activation Rep'!Z:Z),"")</f>
        <v/>
      </c>
      <c r="Q1765" s="86" t="str">
        <f t="shared" si="2"/>
        <v/>
      </c>
      <c r="R1765" s="13" t="str">
        <f t="shared" si="3"/>
        <v>Yes</v>
      </c>
      <c r="S1765" s="86" t="str">
        <f t="array" ref="S1765">iferror(XLOOKUP(C1765,'Download of SFDC Activation Rep'!B:B,'Download of SFDC Activation Rep'!Y:Y),"")</f>
        <v/>
      </c>
    </row>
    <row r="1766">
      <c r="A1766" s="17"/>
      <c r="B1766" s="85"/>
      <c r="C1766" s="17"/>
      <c r="D1766" s="85"/>
      <c r="E1766" s="17"/>
      <c r="F1766" s="17"/>
      <c r="G1766" s="17"/>
      <c r="I1766" s="17"/>
      <c r="K1766" s="17"/>
      <c r="L1766" s="17"/>
      <c r="M1766" s="17"/>
      <c r="O1766" s="14">
        <f t="shared" si="1"/>
        <v>0</v>
      </c>
      <c r="P1766" s="86" t="str">
        <f t="array" ref="P1766">iferror(XLOOKUP(C1766,'Download of SFDC Activation Rep'!B:B,'Download of SFDC Activation Rep'!Z:Z),"")</f>
        <v/>
      </c>
      <c r="Q1766" s="86" t="str">
        <f t="shared" si="2"/>
        <v/>
      </c>
      <c r="R1766" s="13" t="str">
        <f t="shared" si="3"/>
        <v>Yes</v>
      </c>
      <c r="S1766" s="86" t="str">
        <f t="array" ref="S1766">iferror(XLOOKUP(C1766,'Download of SFDC Activation Rep'!B:B,'Download of SFDC Activation Rep'!Y:Y),"")</f>
        <v/>
      </c>
    </row>
    <row r="1767">
      <c r="A1767" s="17"/>
      <c r="B1767" s="85"/>
      <c r="C1767" s="17"/>
      <c r="D1767" s="85"/>
      <c r="E1767" s="17"/>
      <c r="F1767" s="17"/>
      <c r="G1767" s="17"/>
      <c r="I1767" s="17"/>
      <c r="K1767" s="17"/>
      <c r="L1767" s="17"/>
      <c r="M1767" s="17"/>
      <c r="O1767" s="14">
        <f t="shared" si="1"/>
        <v>0</v>
      </c>
      <c r="P1767" s="86" t="str">
        <f t="array" ref="P1767">iferror(XLOOKUP(C1767,'Download of SFDC Activation Rep'!B:B,'Download of SFDC Activation Rep'!Z:Z),"")</f>
        <v/>
      </c>
      <c r="Q1767" s="86" t="str">
        <f t="shared" si="2"/>
        <v/>
      </c>
      <c r="R1767" s="13" t="str">
        <f t="shared" si="3"/>
        <v>Yes</v>
      </c>
      <c r="S1767" s="86" t="str">
        <f t="array" ref="S1767">iferror(XLOOKUP(C1767,'Download of SFDC Activation Rep'!B:B,'Download of SFDC Activation Rep'!Y:Y),"")</f>
        <v/>
      </c>
    </row>
    <row r="1768">
      <c r="A1768" s="17"/>
      <c r="B1768" s="85"/>
      <c r="C1768" s="17"/>
      <c r="D1768" s="85"/>
      <c r="E1768" s="17"/>
      <c r="F1768" s="17"/>
      <c r="G1768" s="17"/>
      <c r="I1768" s="17"/>
      <c r="K1768" s="17"/>
      <c r="L1768" s="17"/>
      <c r="M1768" s="17"/>
      <c r="O1768" s="14">
        <f t="shared" si="1"/>
        <v>0</v>
      </c>
      <c r="P1768" s="86" t="str">
        <f t="array" ref="P1768">iferror(XLOOKUP(C1768,'Download of SFDC Activation Rep'!B:B,'Download of SFDC Activation Rep'!Z:Z),"")</f>
        <v/>
      </c>
      <c r="Q1768" s="86" t="str">
        <f t="shared" si="2"/>
        <v/>
      </c>
      <c r="R1768" s="13" t="str">
        <f t="shared" si="3"/>
        <v>Yes</v>
      </c>
      <c r="S1768" s="86" t="str">
        <f t="array" ref="S1768">iferror(XLOOKUP(C1768,'Download of SFDC Activation Rep'!B:B,'Download of SFDC Activation Rep'!Y:Y),"")</f>
        <v/>
      </c>
    </row>
    <row r="1769">
      <c r="A1769" s="17"/>
      <c r="B1769" s="85"/>
      <c r="C1769" s="17"/>
      <c r="D1769" s="85"/>
      <c r="E1769" s="17"/>
      <c r="F1769" s="17"/>
      <c r="G1769" s="17"/>
      <c r="I1769" s="17"/>
      <c r="K1769" s="17"/>
      <c r="L1769" s="17"/>
      <c r="M1769" s="17"/>
      <c r="O1769" s="14">
        <f t="shared" si="1"/>
        <v>0</v>
      </c>
      <c r="P1769" s="86" t="str">
        <f t="array" ref="P1769">iferror(XLOOKUP(C1769,'Download of SFDC Activation Rep'!B:B,'Download of SFDC Activation Rep'!Z:Z),"")</f>
        <v/>
      </c>
      <c r="Q1769" s="86" t="str">
        <f t="shared" si="2"/>
        <v/>
      </c>
      <c r="R1769" s="13" t="str">
        <f t="shared" si="3"/>
        <v>Yes</v>
      </c>
      <c r="S1769" s="86" t="str">
        <f t="array" ref="S1769">iferror(XLOOKUP(C1769,'Download of SFDC Activation Rep'!B:B,'Download of SFDC Activation Rep'!Y:Y),"")</f>
        <v/>
      </c>
    </row>
    <row r="1770">
      <c r="A1770" s="17"/>
      <c r="B1770" s="85"/>
      <c r="C1770" s="17"/>
      <c r="D1770" s="85"/>
      <c r="E1770" s="17"/>
      <c r="F1770" s="17"/>
      <c r="G1770" s="17"/>
      <c r="I1770" s="17"/>
      <c r="K1770" s="17"/>
      <c r="L1770" s="17"/>
      <c r="M1770" s="17"/>
      <c r="O1770" s="14">
        <f t="shared" si="1"/>
        <v>0</v>
      </c>
      <c r="P1770" s="86" t="str">
        <f t="array" ref="P1770">iferror(XLOOKUP(C1770,'Download of SFDC Activation Rep'!B:B,'Download of SFDC Activation Rep'!Z:Z),"")</f>
        <v/>
      </c>
      <c r="Q1770" s="86" t="str">
        <f t="shared" si="2"/>
        <v/>
      </c>
      <c r="R1770" s="13" t="str">
        <f t="shared" si="3"/>
        <v>Yes</v>
      </c>
      <c r="S1770" s="86" t="str">
        <f t="array" ref="S1770">iferror(XLOOKUP(C1770,'Download of SFDC Activation Rep'!B:B,'Download of SFDC Activation Rep'!Y:Y),"")</f>
        <v/>
      </c>
    </row>
    <row r="1771">
      <c r="A1771" s="17"/>
      <c r="B1771" s="85"/>
      <c r="C1771" s="17"/>
      <c r="D1771" s="85"/>
      <c r="E1771" s="17"/>
      <c r="F1771" s="17"/>
      <c r="G1771" s="17"/>
      <c r="I1771" s="17"/>
      <c r="K1771" s="17"/>
      <c r="L1771" s="17"/>
      <c r="M1771" s="17"/>
      <c r="O1771" s="14">
        <f t="shared" si="1"/>
        <v>0</v>
      </c>
      <c r="P1771" s="86" t="str">
        <f t="array" ref="P1771">iferror(XLOOKUP(C1771,'Download of SFDC Activation Rep'!B:B,'Download of SFDC Activation Rep'!Z:Z),"")</f>
        <v/>
      </c>
      <c r="Q1771" s="86" t="str">
        <f t="shared" si="2"/>
        <v/>
      </c>
      <c r="R1771" s="13" t="str">
        <f t="shared" si="3"/>
        <v>Yes</v>
      </c>
      <c r="S1771" s="86" t="str">
        <f t="array" ref="S1771">iferror(XLOOKUP(C1771,'Download of SFDC Activation Rep'!B:B,'Download of SFDC Activation Rep'!Y:Y),"")</f>
        <v/>
      </c>
    </row>
    <row r="1772">
      <c r="A1772" s="17"/>
      <c r="B1772" s="85"/>
      <c r="C1772" s="17"/>
      <c r="D1772" s="85"/>
      <c r="E1772" s="17"/>
      <c r="F1772" s="17"/>
      <c r="G1772" s="17"/>
      <c r="I1772" s="17"/>
      <c r="K1772" s="17"/>
      <c r="L1772" s="17"/>
      <c r="M1772" s="17"/>
      <c r="O1772" s="14">
        <f t="shared" si="1"/>
        <v>0</v>
      </c>
      <c r="P1772" s="86" t="str">
        <f t="array" ref="P1772">iferror(XLOOKUP(C1772,'Download of SFDC Activation Rep'!B:B,'Download of SFDC Activation Rep'!Z:Z),"")</f>
        <v/>
      </c>
      <c r="Q1772" s="86" t="str">
        <f t="shared" si="2"/>
        <v/>
      </c>
      <c r="R1772" s="13" t="str">
        <f t="shared" si="3"/>
        <v>Yes</v>
      </c>
      <c r="S1772" s="86" t="str">
        <f t="array" ref="S1772">iferror(XLOOKUP(C1772,'Download of SFDC Activation Rep'!B:B,'Download of SFDC Activation Rep'!Y:Y),"")</f>
        <v/>
      </c>
    </row>
    <row r="1773">
      <c r="A1773" s="17"/>
      <c r="B1773" s="85"/>
      <c r="C1773" s="17"/>
      <c r="D1773" s="85"/>
      <c r="E1773" s="17"/>
      <c r="F1773" s="17"/>
      <c r="G1773" s="17"/>
      <c r="I1773" s="17"/>
      <c r="K1773" s="17"/>
      <c r="L1773" s="17"/>
      <c r="M1773" s="17"/>
      <c r="O1773" s="14">
        <f t="shared" si="1"/>
        <v>0</v>
      </c>
      <c r="P1773" s="86" t="str">
        <f t="array" ref="P1773">iferror(XLOOKUP(C1773,'Download of SFDC Activation Rep'!B:B,'Download of SFDC Activation Rep'!Z:Z),"")</f>
        <v/>
      </c>
      <c r="Q1773" s="86" t="str">
        <f t="shared" si="2"/>
        <v/>
      </c>
      <c r="R1773" s="13" t="str">
        <f t="shared" si="3"/>
        <v>Yes</v>
      </c>
      <c r="S1773" s="86" t="str">
        <f t="array" ref="S1773">iferror(XLOOKUP(C1773,'Download of SFDC Activation Rep'!B:B,'Download of SFDC Activation Rep'!Y:Y),"")</f>
        <v/>
      </c>
    </row>
    <row r="1774">
      <c r="A1774" s="17"/>
      <c r="B1774" s="85"/>
      <c r="C1774" s="17"/>
      <c r="D1774" s="85"/>
      <c r="E1774" s="17"/>
      <c r="F1774" s="17"/>
      <c r="G1774" s="17"/>
      <c r="I1774" s="17"/>
      <c r="K1774" s="17"/>
      <c r="L1774" s="17"/>
      <c r="M1774" s="17"/>
      <c r="O1774" s="14">
        <f t="shared" si="1"/>
        <v>0</v>
      </c>
      <c r="P1774" s="86" t="str">
        <f t="array" ref="P1774">iferror(XLOOKUP(C1774,'Download of SFDC Activation Rep'!B:B,'Download of SFDC Activation Rep'!Z:Z),"")</f>
        <v/>
      </c>
      <c r="Q1774" s="86" t="str">
        <f t="shared" si="2"/>
        <v/>
      </c>
      <c r="R1774" s="13" t="str">
        <f t="shared" si="3"/>
        <v>Yes</v>
      </c>
      <c r="S1774" s="86" t="str">
        <f t="array" ref="S1774">iferror(XLOOKUP(C1774,'Download of SFDC Activation Rep'!B:B,'Download of SFDC Activation Rep'!Y:Y),"")</f>
        <v/>
      </c>
    </row>
    <row r="1775">
      <c r="A1775" s="17"/>
      <c r="B1775" s="85"/>
      <c r="C1775" s="17"/>
      <c r="D1775" s="85"/>
      <c r="E1775" s="17"/>
      <c r="F1775" s="17"/>
      <c r="G1775" s="17"/>
      <c r="I1775" s="17"/>
      <c r="K1775" s="17"/>
      <c r="L1775" s="17"/>
      <c r="M1775" s="17"/>
      <c r="O1775" s="14">
        <f t="shared" si="1"/>
        <v>0</v>
      </c>
      <c r="P1775" s="86" t="str">
        <f t="array" ref="P1775">iferror(XLOOKUP(C1775,'Download of SFDC Activation Rep'!B:B,'Download of SFDC Activation Rep'!Z:Z),"")</f>
        <v/>
      </c>
      <c r="Q1775" s="86" t="str">
        <f t="shared" si="2"/>
        <v/>
      </c>
      <c r="R1775" s="13" t="str">
        <f t="shared" si="3"/>
        <v>Yes</v>
      </c>
      <c r="S1775" s="86" t="str">
        <f t="array" ref="S1775">iferror(XLOOKUP(C1775,'Download of SFDC Activation Rep'!B:B,'Download of SFDC Activation Rep'!Y:Y),"")</f>
        <v/>
      </c>
    </row>
    <row r="1776">
      <c r="A1776" s="17"/>
      <c r="B1776" s="85"/>
      <c r="C1776" s="17"/>
      <c r="D1776" s="85"/>
      <c r="E1776" s="17"/>
      <c r="F1776" s="17"/>
      <c r="G1776" s="17"/>
      <c r="I1776" s="17"/>
      <c r="K1776" s="17"/>
      <c r="L1776" s="17"/>
      <c r="M1776" s="17"/>
      <c r="O1776" s="14">
        <f t="shared" si="1"/>
        <v>0</v>
      </c>
      <c r="P1776" s="86" t="str">
        <f t="array" ref="P1776">iferror(XLOOKUP(C1776,'Download of SFDC Activation Rep'!B:B,'Download of SFDC Activation Rep'!Z:Z),"")</f>
        <v/>
      </c>
      <c r="Q1776" s="86" t="str">
        <f t="shared" si="2"/>
        <v/>
      </c>
      <c r="R1776" s="13" t="str">
        <f t="shared" si="3"/>
        <v>Yes</v>
      </c>
      <c r="S1776" s="86" t="str">
        <f t="array" ref="S1776">iferror(XLOOKUP(C1776,'Download of SFDC Activation Rep'!B:B,'Download of SFDC Activation Rep'!Y:Y),"")</f>
        <v/>
      </c>
    </row>
    <row r="1777">
      <c r="A1777" s="17"/>
      <c r="B1777" s="85"/>
      <c r="C1777" s="17"/>
      <c r="D1777" s="85"/>
      <c r="E1777" s="17"/>
      <c r="F1777" s="17"/>
      <c r="G1777" s="17"/>
      <c r="I1777" s="17"/>
      <c r="K1777" s="17"/>
      <c r="L1777" s="17"/>
      <c r="M1777" s="17"/>
      <c r="O1777" s="14">
        <f t="shared" si="1"/>
        <v>0</v>
      </c>
      <c r="P1777" s="86" t="str">
        <f t="array" ref="P1777">iferror(XLOOKUP(C1777,'Download of SFDC Activation Rep'!B:B,'Download of SFDC Activation Rep'!Z:Z),"")</f>
        <v/>
      </c>
      <c r="Q1777" s="86" t="str">
        <f t="shared" si="2"/>
        <v/>
      </c>
      <c r="R1777" s="13" t="str">
        <f t="shared" si="3"/>
        <v>Yes</v>
      </c>
      <c r="S1777" s="86" t="str">
        <f t="array" ref="S1777">iferror(XLOOKUP(C1777,'Download of SFDC Activation Rep'!B:B,'Download of SFDC Activation Rep'!Y:Y),"")</f>
        <v/>
      </c>
    </row>
    <row r="1778">
      <c r="A1778" s="17"/>
      <c r="B1778" s="85"/>
      <c r="C1778" s="17"/>
      <c r="D1778" s="85"/>
      <c r="E1778" s="17"/>
      <c r="F1778" s="17"/>
      <c r="G1778" s="17"/>
      <c r="I1778" s="17"/>
      <c r="K1778" s="17"/>
      <c r="L1778" s="17"/>
      <c r="M1778" s="17"/>
      <c r="O1778" s="14">
        <f t="shared" si="1"/>
        <v>0</v>
      </c>
      <c r="P1778" s="86" t="str">
        <f t="array" ref="P1778">iferror(XLOOKUP(C1778,'Download of SFDC Activation Rep'!B:B,'Download of SFDC Activation Rep'!Z:Z),"")</f>
        <v/>
      </c>
      <c r="Q1778" s="86" t="str">
        <f t="shared" si="2"/>
        <v/>
      </c>
      <c r="R1778" s="13" t="str">
        <f t="shared" si="3"/>
        <v>Yes</v>
      </c>
      <c r="S1778" s="86" t="str">
        <f t="array" ref="S1778">iferror(XLOOKUP(C1778,'Download of SFDC Activation Rep'!B:B,'Download of SFDC Activation Rep'!Y:Y),"")</f>
        <v/>
      </c>
    </row>
    <row r="1779">
      <c r="A1779" s="17"/>
      <c r="B1779" s="85"/>
      <c r="C1779" s="17"/>
      <c r="D1779" s="85"/>
      <c r="E1779" s="17"/>
      <c r="F1779" s="17"/>
      <c r="G1779" s="17"/>
      <c r="I1779" s="17"/>
      <c r="K1779" s="17"/>
      <c r="L1779" s="17"/>
      <c r="M1779" s="17"/>
      <c r="O1779" s="14">
        <f t="shared" si="1"/>
        <v>0</v>
      </c>
      <c r="P1779" s="86" t="str">
        <f t="array" ref="P1779">iferror(XLOOKUP(C1779,'Download of SFDC Activation Rep'!B:B,'Download of SFDC Activation Rep'!Z:Z),"")</f>
        <v/>
      </c>
      <c r="Q1779" s="86" t="str">
        <f t="shared" si="2"/>
        <v/>
      </c>
      <c r="R1779" s="13" t="str">
        <f t="shared" si="3"/>
        <v>Yes</v>
      </c>
      <c r="S1779" s="86" t="str">
        <f t="array" ref="S1779">iferror(XLOOKUP(C1779,'Download of SFDC Activation Rep'!B:B,'Download of SFDC Activation Rep'!Y:Y),"")</f>
        <v/>
      </c>
    </row>
    <row r="1780">
      <c r="A1780" s="17"/>
      <c r="B1780" s="85"/>
      <c r="C1780" s="17"/>
      <c r="D1780" s="85"/>
      <c r="E1780" s="17"/>
      <c r="F1780" s="17"/>
      <c r="G1780" s="17"/>
      <c r="I1780" s="17"/>
      <c r="K1780" s="17"/>
      <c r="L1780" s="17"/>
      <c r="M1780" s="17"/>
      <c r="O1780" s="14">
        <f t="shared" si="1"/>
        <v>0</v>
      </c>
      <c r="P1780" s="86" t="str">
        <f t="array" ref="P1780">iferror(XLOOKUP(C1780,'Download of SFDC Activation Rep'!B:B,'Download of SFDC Activation Rep'!Z:Z),"")</f>
        <v/>
      </c>
      <c r="Q1780" s="86" t="str">
        <f t="shared" si="2"/>
        <v/>
      </c>
      <c r="R1780" s="13" t="str">
        <f t="shared" si="3"/>
        <v>Yes</v>
      </c>
      <c r="S1780" s="86" t="str">
        <f t="array" ref="S1780">iferror(XLOOKUP(C1780,'Download of SFDC Activation Rep'!B:B,'Download of SFDC Activation Rep'!Y:Y),"")</f>
        <v/>
      </c>
    </row>
    <row r="1781">
      <c r="A1781" s="17"/>
      <c r="B1781" s="85"/>
      <c r="C1781" s="17"/>
      <c r="D1781" s="85"/>
      <c r="E1781" s="17"/>
      <c r="F1781" s="17"/>
      <c r="G1781" s="17"/>
      <c r="I1781" s="17"/>
      <c r="K1781" s="17"/>
      <c r="L1781" s="17"/>
      <c r="M1781" s="17"/>
      <c r="O1781" s="14">
        <f t="shared" si="1"/>
        <v>0</v>
      </c>
      <c r="P1781" s="86" t="str">
        <f t="array" ref="P1781">iferror(XLOOKUP(C1781,'Download of SFDC Activation Rep'!B:B,'Download of SFDC Activation Rep'!Z:Z),"")</f>
        <v/>
      </c>
      <c r="Q1781" s="86" t="str">
        <f t="shared" si="2"/>
        <v/>
      </c>
      <c r="R1781" s="13" t="str">
        <f t="shared" si="3"/>
        <v>Yes</v>
      </c>
      <c r="S1781" s="86" t="str">
        <f t="array" ref="S1781">iferror(XLOOKUP(C1781,'Download of SFDC Activation Rep'!B:B,'Download of SFDC Activation Rep'!Y:Y),"")</f>
        <v/>
      </c>
    </row>
    <row r="1782">
      <c r="A1782" s="17"/>
      <c r="B1782" s="85"/>
      <c r="C1782" s="17"/>
      <c r="D1782" s="85"/>
      <c r="E1782" s="17"/>
      <c r="F1782" s="17"/>
      <c r="G1782" s="17"/>
      <c r="I1782" s="17"/>
      <c r="K1782" s="17"/>
      <c r="L1782" s="17"/>
      <c r="M1782" s="17"/>
      <c r="O1782" s="14">
        <f t="shared" si="1"/>
        <v>0</v>
      </c>
      <c r="P1782" s="86" t="str">
        <f t="array" ref="P1782">iferror(XLOOKUP(C1782,'Download of SFDC Activation Rep'!B:B,'Download of SFDC Activation Rep'!Z:Z),"")</f>
        <v/>
      </c>
      <c r="Q1782" s="86" t="str">
        <f t="shared" si="2"/>
        <v/>
      </c>
      <c r="R1782" s="13" t="str">
        <f t="shared" si="3"/>
        <v>Yes</v>
      </c>
      <c r="S1782" s="86" t="str">
        <f t="array" ref="S1782">iferror(XLOOKUP(C1782,'Download of SFDC Activation Rep'!B:B,'Download of SFDC Activation Rep'!Y:Y),"")</f>
        <v/>
      </c>
    </row>
    <row r="1783">
      <c r="A1783" s="17"/>
      <c r="B1783" s="85"/>
      <c r="C1783" s="17"/>
      <c r="D1783" s="85"/>
      <c r="E1783" s="17"/>
      <c r="F1783" s="17"/>
      <c r="G1783" s="17"/>
      <c r="I1783" s="17"/>
      <c r="K1783" s="17"/>
      <c r="L1783" s="17"/>
      <c r="M1783" s="17"/>
      <c r="O1783" s="14">
        <f t="shared" si="1"/>
        <v>0</v>
      </c>
      <c r="P1783" s="86" t="str">
        <f t="array" ref="P1783">iferror(XLOOKUP(C1783,'Download of SFDC Activation Rep'!B:B,'Download of SFDC Activation Rep'!Z:Z),"")</f>
        <v/>
      </c>
      <c r="Q1783" s="86" t="str">
        <f t="shared" si="2"/>
        <v/>
      </c>
      <c r="R1783" s="13" t="str">
        <f t="shared" si="3"/>
        <v>Yes</v>
      </c>
      <c r="S1783" s="86" t="str">
        <f t="array" ref="S1783">iferror(XLOOKUP(C1783,'Download of SFDC Activation Rep'!B:B,'Download of SFDC Activation Rep'!Y:Y),"")</f>
        <v/>
      </c>
    </row>
    <row r="1784">
      <c r="A1784" s="17"/>
      <c r="B1784" s="85"/>
      <c r="C1784" s="17"/>
      <c r="D1784" s="85"/>
      <c r="E1784" s="17"/>
      <c r="F1784" s="17"/>
      <c r="G1784" s="17"/>
      <c r="I1784" s="17"/>
      <c r="K1784" s="17"/>
      <c r="L1784" s="17"/>
      <c r="M1784" s="17"/>
      <c r="O1784" s="14">
        <f t="shared" si="1"/>
        <v>0</v>
      </c>
      <c r="P1784" s="86" t="str">
        <f t="array" ref="P1784">iferror(XLOOKUP(C1784,'Download of SFDC Activation Rep'!B:B,'Download of SFDC Activation Rep'!Z:Z),"")</f>
        <v/>
      </c>
      <c r="Q1784" s="86" t="str">
        <f t="shared" si="2"/>
        <v/>
      </c>
      <c r="R1784" s="13" t="str">
        <f t="shared" si="3"/>
        <v>Yes</v>
      </c>
      <c r="S1784" s="86" t="str">
        <f t="array" ref="S1784">iferror(XLOOKUP(C1784,'Download of SFDC Activation Rep'!B:B,'Download of SFDC Activation Rep'!Y:Y),"")</f>
        <v/>
      </c>
    </row>
    <row r="1785">
      <c r="A1785" s="17"/>
      <c r="B1785" s="85"/>
      <c r="C1785" s="17"/>
      <c r="D1785" s="85"/>
      <c r="E1785" s="17"/>
      <c r="F1785" s="17"/>
      <c r="G1785" s="17"/>
      <c r="I1785" s="17"/>
      <c r="K1785" s="17"/>
      <c r="L1785" s="17"/>
      <c r="M1785" s="17"/>
      <c r="O1785" s="14">
        <f t="shared" si="1"/>
        <v>0</v>
      </c>
      <c r="P1785" s="86" t="str">
        <f t="array" ref="P1785">iferror(XLOOKUP(C1785,'Download of SFDC Activation Rep'!B:B,'Download of SFDC Activation Rep'!Z:Z),"")</f>
        <v/>
      </c>
      <c r="Q1785" s="86" t="str">
        <f t="shared" si="2"/>
        <v/>
      </c>
      <c r="R1785" s="13" t="str">
        <f t="shared" si="3"/>
        <v>Yes</v>
      </c>
      <c r="S1785" s="86" t="str">
        <f t="array" ref="S1785">iferror(XLOOKUP(C1785,'Download of SFDC Activation Rep'!B:B,'Download of SFDC Activation Rep'!Y:Y),"")</f>
        <v/>
      </c>
    </row>
    <row r="1786">
      <c r="A1786" s="17"/>
      <c r="B1786" s="85"/>
      <c r="C1786" s="17"/>
      <c r="D1786" s="85"/>
      <c r="E1786" s="17"/>
      <c r="F1786" s="17"/>
      <c r="G1786" s="17"/>
      <c r="I1786" s="17"/>
      <c r="K1786" s="17"/>
      <c r="L1786" s="17"/>
      <c r="M1786" s="17"/>
      <c r="O1786" s="14">
        <f t="shared" si="1"/>
        <v>0</v>
      </c>
      <c r="P1786" s="86" t="str">
        <f t="array" ref="P1786">iferror(XLOOKUP(C1786,'Download of SFDC Activation Rep'!B:B,'Download of SFDC Activation Rep'!Z:Z),"")</f>
        <v/>
      </c>
      <c r="Q1786" s="86" t="str">
        <f t="shared" si="2"/>
        <v/>
      </c>
      <c r="R1786" s="13" t="str">
        <f t="shared" si="3"/>
        <v>Yes</v>
      </c>
      <c r="S1786" s="86" t="str">
        <f t="array" ref="S1786">iferror(XLOOKUP(C1786,'Download of SFDC Activation Rep'!B:B,'Download of SFDC Activation Rep'!Y:Y),"")</f>
        <v/>
      </c>
    </row>
    <row r="1787">
      <c r="A1787" s="17"/>
      <c r="B1787" s="85"/>
      <c r="C1787" s="17"/>
      <c r="D1787" s="85"/>
      <c r="E1787" s="17"/>
      <c r="F1787" s="17"/>
      <c r="G1787" s="17"/>
      <c r="I1787" s="17"/>
      <c r="K1787" s="17"/>
      <c r="L1787" s="17"/>
      <c r="M1787" s="17"/>
      <c r="O1787" s="14">
        <f t="shared" si="1"/>
        <v>0</v>
      </c>
      <c r="P1787" s="86" t="str">
        <f t="array" ref="P1787">iferror(XLOOKUP(C1787,'Download of SFDC Activation Rep'!B:B,'Download of SFDC Activation Rep'!Z:Z),"")</f>
        <v/>
      </c>
      <c r="Q1787" s="86" t="str">
        <f t="shared" si="2"/>
        <v/>
      </c>
      <c r="R1787" s="13" t="str">
        <f t="shared" si="3"/>
        <v>Yes</v>
      </c>
      <c r="S1787" s="86" t="str">
        <f t="array" ref="S1787">iferror(XLOOKUP(C1787,'Download of SFDC Activation Rep'!B:B,'Download of SFDC Activation Rep'!Y:Y),"")</f>
        <v/>
      </c>
    </row>
    <row r="1788">
      <c r="A1788" s="17"/>
      <c r="B1788" s="85"/>
      <c r="C1788" s="17"/>
      <c r="D1788" s="85"/>
      <c r="E1788" s="17"/>
      <c r="F1788" s="17"/>
      <c r="G1788" s="17"/>
      <c r="I1788" s="17"/>
      <c r="K1788" s="17"/>
      <c r="L1788" s="17"/>
      <c r="M1788" s="17"/>
      <c r="O1788" s="14">
        <f t="shared" si="1"/>
        <v>0</v>
      </c>
      <c r="P1788" s="86" t="str">
        <f t="array" ref="P1788">iferror(XLOOKUP(C1788,'Download of SFDC Activation Rep'!B:B,'Download of SFDC Activation Rep'!Z:Z),"")</f>
        <v/>
      </c>
      <c r="Q1788" s="86" t="str">
        <f t="shared" si="2"/>
        <v/>
      </c>
      <c r="R1788" s="13" t="str">
        <f t="shared" si="3"/>
        <v>Yes</v>
      </c>
      <c r="S1788" s="86" t="str">
        <f t="array" ref="S1788">iferror(XLOOKUP(C1788,'Download of SFDC Activation Rep'!B:B,'Download of SFDC Activation Rep'!Y:Y),"")</f>
        <v/>
      </c>
    </row>
    <row r="1789">
      <c r="A1789" s="17"/>
      <c r="B1789" s="85"/>
      <c r="C1789" s="17"/>
      <c r="D1789" s="85"/>
      <c r="E1789" s="17"/>
      <c r="F1789" s="17"/>
      <c r="G1789" s="17"/>
      <c r="I1789" s="17"/>
      <c r="K1789" s="17"/>
      <c r="L1789" s="17"/>
      <c r="M1789" s="17"/>
      <c r="O1789" s="14">
        <f t="shared" si="1"/>
        <v>0</v>
      </c>
      <c r="P1789" s="86" t="str">
        <f t="array" ref="P1789">iferror(XLOOKUP(C1789,'Download of SFDC Activation Rep'!B:B,'Download of SFDC Activation Rep'!Z:Z),"")</f>
        <v/>
      </c>
      <c r="Q1789" s="86" t="str">
        <f t="shared" si="2"/>
        <v/>
      </c>
      <c r="R1789" s="13" t="str">
        <f t="shared" si="3"/>
        <v>Yes</v>
      </c>
      <c r="S1789" s="86" t="str">
        <f t="array" ref="S1789">iferror(XLOOKUP(C1789,'Download of SFDC Activation Rep'!B:B,'Download of SFDC Activation Rep'!Y:Y),"")</f>
        <v/>
      </c>
    </row>
    <row r="1790">
      <c r="A1790" s="17"/>
      <c r="B1790" s="85"/>
      <c r="C1790" s="17"/>
      <c r="D1790" s="85"/>
      <c r="E1790" s="17"/>
      <c r="F1790" s="17"/>
      <c r="G1790" s="17"/>
      <c r="I1790" s="17"/>
      <c r="K1790" s="17"/>
      <c r="L1790" s="17"/>
      <c r="M1790" s="17"/>
      <c r="O1790" s="14">
        <f t="shared" si="1"/>
        <v>0</v>
      </c>
      <c r="P1790" s="86" t="str">
        <f t="array" ref="P1790">iferror(XLOOKUP(C1790,'Download of SFDC Activation Rep'!B:B,'Download of SFDC Activation Rep'!Z:Z),"")</f>
        <v/>
      </c>
      <c r="Q1790" s="86" t="str">
        <f t="shared" si="2"/>
        <v/>
      </c>
      <c r="R1790" s="13" t="str">
        <f t="shared" si="3"/>
        <v>Yes</v>
      </c>
      <c r="S1790" s="86" t="str">
        <f t="array" ref="S1790">iferror(XLOOKUP(C1790,'Download of SFDC Activation Rep'!B:B,'Download of SFDC Activation Rep'!Y:Y),"")</f>
        <v/>
      </c>
    </row>
    <row r="1791">
      <c r="A1791" s="17"/>
      <c r="B1791" s="85"/>
      <c r="C1791" s="17"/>
      <c r="D1791" s="85"/>
      <c r="E1791" s="17"/>
      <c r="F1791" s="17"/>
      <c r="G1791" s="17"/>
      <c r="I1791" s="17"/>
      <c r="K1791" s="17"/>
      <c r="L1791" s="17"/>
      <c r="M1791" s="17"/>
      <c r="O1791" s="14">
        <f t="shared" si="1"/>
        <v>0</v>
      </c>
      <c r="P1791" s="86" t="str">
        <f t="array" ref="P1791">iferror(XLOOKUP(C1791,'Download of SFDC Activation Rep'!B:B,'Download of SFDC Activation Rep'!Z:Z),"")</f>
        <v/>
      </c>
      <c r="Q1791" s="86" t="str">
        <f t="shared" si="2"/>
        <v/>
      </c>
      <c r="R1791" s="13" t="str">
        <f t="shared" si="3"/>
        <v>Yes</v>
      </c>
      <c r="S1791" s="86" t="str">
        <f t="array" ref="S1791">iferror(XLOOKUP(C1791,'Download of SFDC Activation Rep'!B:B,'Download of SFDC Activation Rep'!Y:Y),"")</f>
        <v/>
      </c>
    </row>
    <row r="1792">
      <c r="A1792" s="17"/>
      <c r="B1792" s="85"/>
      <c r="C1792" s="17"/>
      <c r="D1792" s="85"/>
      <c r="E1792" s="17"/>
      <c r="F1792" s="17"/>
      <c r="G1792" s="17"/>
      <c r="I1792" s="17"/>
      <c r="K1792" s="17"/>
      <c r="L1792" s="17"/>
      <c r="M1792" s="17"/>
      <c r="O1792" s="14">
        <f t="shared" si="1"/>
        <v>0</v>
      </c>
      <c r="P1792" s="86" t="str">
        <f t="array" ref="P1792">iferror(XLOOKUP(C1792,'Download of SFDC Activation Rep'!B:B,'Download of SFDC Activation Rep'!Z:Z),"")</f>
        <v/>
      </c>
      <c r="Q1792" s="86" t="str">
        <f t="shared" si="2"/>
        <v/>
      </c>
      <c r="R1792" s="13" t="str">
        <f t="shared" si="3"/>
        <v>Yes</v>
      </c>
      <c r="S1792" s="86" t="str">
        <f t="array" ref="S1792">iferror(XLOOKUP(C1792,'Download of SFDC Activation Rep'!B:B,'Download of SFDC Activation Rep'!Y:Y),"")</f>
        <v/>
      </c>
    </row>
    <row r="1793">
      <c r="A1793" s="17"/>
      <c r="B1793" s="85"/>
      <c r="C1793" s="17"/>
      <c r="D1793" s="85"/>
      <c r="E1793" s="17"/>
      <c r="F1793" s="17"/>
      <c r="G1793" s="17"/>
      <c r="I1793" s="17"/>
      <c r="K1793" s="17"/>
      <c r="L1793" s="17"/>
      <c r="M1793" s="17"/>
      <c r="O1793" s="14">
        <f t="shared" si="1"/>
        <v>0</v>
      </c>
      <c r="P1793" s="86" t="str">
        <f t="array" ref="P1793">iferror(XLOOKUP(C1793,'Download of SFDC Activation Rep'!B:B,'Download of SFDC Activation Rep'!Z:Z),"")</f>
        <v/>
      </c>
      <c r="Q1793" s="86" t="str">
        <f t="shared" si="2"/>
        <v/>
      </c>
      <c r="R1793" s="13" t="str">
        <f t="shared" si="3"/>
        <v>Yes</v>
      </c>
      <c r="S1793" s="86" t="str">
        <f t="array" ref="S1793">iferror(XLOOKUP(C1793,'Download of SFDC Activation Rep'!B:B,'Download of SFDC Activation Rep'!Y:Y),"")</f>
        <v/>
      </c>
    </row>
    <row r="1794">
      <c r="A1794" s="17"/>
      <c r="B1794" s="85"/>
      <c r="C1794" s="17"/>
      <c r="D1794" s="85"/>
      <c r="E1794" s="17"/>
      <c r="F1794" s="17"/>
      <c r="G1794" s="17"/>
      <c r="I1794" s="17"/>
      <c r="K1794" s="17"/>
      <c r="L1794" s="17"/>
      <c r="M1794" s="17"/>
      <c r="O1794" s="14">
        <f t="shared" si="1"/>
        <v>0</v>
      </c>
      <c r="P1794" s="86" t="str">
        <f t="array" ref="P1794">iferror(XLOOKUP(C1794,'Download of SFDC Activation Rep'!B:B,'Download of SFDC Activation Rep'!Z:Z),"")</f>
        <v/>
      </c>
      <c r="Q1794" s="86" t="str">
        <f t="shared" si="2"/>
        <v/>
      </c>
      <c r="R1794" s="13" t="str">
        <f t="shared" si="3"/>
        <v>Yes</v>
      </c>
      <c r="S1794" s="86" t="str">
        <f t="array" ref="S1794">iferror(XLOOKUP(C1794,'Download of SFDC Activation Rep'!B:B,'Download of SFDC Activation Rep'!Y:Y),"")</f>
        <v/>
      </c>
    </row>
    <row r="1795">
      <c r="A1795" s="17"/>
      <c r="B1795" s="85"/>
      <c r="C1795" s="17"/>
      <c r="D1795" s="85"/>
      <c r="E1795" s="17"/>
      <c r="F1795" s="17"/>
      <c r="G1795" s="17"/>
      <c r="I1795" s="17"/>
      <c r="K1795" s="17"/>
      <c r="L1795" s="17"/>
      <c r="M1795" s="17"/>
      <c r="O1795" s="14">
        <f t="shared" si="1"/>
        <v>0</v>
      </c>
      <c r="P1795" s="86" t="str">
        <f t="array" ref="P1795">iferror(XLOOKUP(C1795,'Download of SFDC Activation Rep'!B:B,'Download of SFDC Activation Rep'!Z:Z),"")</f>
        <v/>
      </c>
      <c r="Q1795" s="86" t="str">
        <f t="shared" si="2"/>
        <v/>
      </c>
      <c r="R1795" s="13" t="str">
        <f t="shared" si="3"/>
        <v>Yes</v>
      </c>
      <c r="S1795" s="86" t="str">
        <f t="array" ref="S1795">iferror(XLOOKUP(C1795,'Download of SFDC Activation Rep'!B:B,'Download of SFDC Activation Rep'!Y:Y),"")</f>
        <v/>
      </c>
    </row>
    <row r="1796">
      <c r="A1796" s="17"/>
      <c r="B1796" s="85"/>
      <c r="C1796" s="17"/>
      <c r="D1796" s="85"/>
      <c r="E1796" s="17"/>
      <c r="F1796" s="17"/>
      <c r="G1796" s="17"/>
      <c r="I1796" s="17"/>
      <c r="K1796" s="17"/>
      <c r="L1796" s="17"/>
      <c r="M1796" s="17"/>
      <c r="O1796" s="14">
        <f t="shared" si="1"/>
        <v>0</v>
      </c>
      <c r="P1796" s="86" t="str">
        <f t="array" ref="P1796">iferror(XLOOKUP(C1796,'Download of SFDC Activation Rep'!B:B,'Download of SFDC Activation Rep'!Z:Z),"")</f>
        <v/>
      </c>
      <c r="Q1796" s="86" t="str">
        <f t="shared" si="2"/>
        <v/>
      </c>
      <c r="R1796" s="13" t="str">
        <f t="shared" si="3"/>
        <v>Yes</v>
      </c>
      <c r="S1796" s="86" t="str">
        <f t="array" ref="S1796">iferror(XLOOKUP(C1796,'Download of SFDC Activation Rep'!B:B,'Download of SFDC Activation Rep'!Y:Y),"")</f>
        <v/>
      </c>
    </row>
    <row r="1797">
      <c r="A1797" s="17"/>
      <c r="B1797" s="85"/>
      <c r="C1797" s="17"/>
      <c r="D1797" s="85"/>
      <c r="E1797" s="17"/>
      <c r="F1797" s="17"/>
      <c r="G1797" s="17"/>
      <c r="I1797" s="17"/>
      <c r="K1797" s="17"/>
      <c r="L1797" s="17"/>
      <c r="M1797" s="17"/>
      <c r="O1797" s="14">
        <f t="shared" si="1"/>
        <v>0</v>
      </c>
      <c r="P1797" s="86" t="str">
        <f t="array" ref="P1797">iferror(XLOOKUP(C1797,'Download of SFDC Activation Rep'!B:B,'Download of SFDC Activation Rep'!Z:Z),"")</f>
        <v/>
      </c>
      <c r="Q1797" s="86" t="str">
        <f t="shared" si="2"/>
        <v/>
      </c>
      <c r="R1797" s="13" t="str">
        <f t="shared" si="3"/>
        <v>Yes</v>
      </c>
      <c r="S1797" s="86" t="str">
        <f t="array" ref="S1797">iferror(XLOOKUP(C1797,'Download of SFDC Activation Rep'!B:B,'Download of SFDC Activation Rep'!Y:Y),"")</f>
        <v/>
      </c>
    </row>
    <row r="1798">
      <c r="A1798" s="17"/>
      <c r="B1798" s="85"/>
      <c r="C1798" s="17"/>
      <c r="D1798" s="85"/>
      <c r="E1798" s="17"/>
      <c r="F1798" s="17"/>
      <c r="G1798" s="17"/>
      <c r="I1798" s="17"/>
      <c r="K1798" s="17"/>
      <c r="L1798" s="17"/>
      <c r="M1798" s="17"/>
      <c r="O1798" s="14">
        <f t="shared" si="1"/>
        <v>0</v>
      </c>
      <c r="P1798" s="86" t="str">
        <f t="array" ref="P1798">iferror(XLOOKUP(C1798,'Download of SFDC Activation Rep'!B:B,'Download of SFDC Activation Rep'!Z:Z),"")</f>
        <v/>
      </c>
      <c r="Q1798" s="86" t="str">
        <f t="shared" si="2"/>
        <v/>
      </c>
      <c r="R1798" s="13" t="str">
        <f t="shared" si="3"/>
        <v>Yes</v>
      </c>
      <c r="S1798" s="86" t="str">
        <f t="array" ref="S1798">iferror(XLOOKUP(C1798,'Download of SFDC Activation Rep'!B:B,'Download of SFDC Activation Rep'!Y:Y),"")</f>
        <v/>
      </c>
    </row>
    <row r="1799">
      <c r="A1799" s="17"/>
      <c r="B1799" s="85"/>
      <c r="C1799" s="17"/>
      <c r="D1799" s="85"/>
      <c r="E1799" s="17"/>
      <c r="F1799" s="17"/>
      <c r="G1799" s="17"/>
      <c r="I1799" s="17"/>
      <c r="K1799" s="17"/>
      <c r="L1799" s="17"/>
      <c r="M1799" s="17"/>
      <c r="O1799" s="14">
        <f t="shared" si="1"/>
        <v>0</v>
      </c>
      <c r="P1799" s="86" t="str">
        <f t="array" ref="P1799">iferror(XLOOKUP(C1799,'Download of SFDC Activation Rep'!B:B,'Download of SFDC Activation Rep'!Z:Z),"")</f>
        <v/>
      </c>
      <c r="Q1799" s="86" t="str">
        <f t="shared" si="2"/>
        <v/>
      </c>
      <c r="R1799" s="13" t="str">
        <f t="shared" si="3"/>
        <v>Yes</v>
      </c>
      <c r="S1799" s="86" t="str">
        <f t="array" ref="S1799">iferror(XLOOKUP(C1799,'Download of SFDC Activation Rep'!B:B,'Download of SFDC Activation Rep'!Y:Y),"")</f>
        <v/>
      </c>
    </row>
    <row r="1800">
      <c r="A1800" s="17"/>
      <c r="B1800" s="85"/>
      <c r="C1800" s="17"/>
      <c r="D1800" s="85"/>
      <c r="E1800" s="17"/>
      <c r="F1800" s="17"/>
      <c r="G1800" s="17"/>
      <c r="I1800" s="17"/>
      <c r="K1800" s="17"/>
      <c r="L1800" s="17"/>
      <c r="M1800" s="17"/>
      <c r="O1800" s="14">
        <f t="shared" si="1"/>
        <v>0</v>
      </c>
      <c r="P1800" s="86" t="str">
        <f t="array" ref="P1800">iferror(XLOOKUP(C1800,'Download of SFDC Activation Rep'!B:B,'Download of SFDC Activation Rep'!Z:Z),"")</f>
        <v/>
      </c>
      <c r="Q1800" s="86" t="str">
        <f t="shared" si="2"/>
        <v/>
      </c>
      <c r="R1800" s="13" t="str">
        <f t="shared" si="3"/>
        <v>Yes</v>
      </c>
      <c r="S1800" s="86" t="str">
        <f t="array" ref="S1800">iferror(XLOOKUP(C1800,'Download of SFDC Activation Rep'!B:B,'Download of SFDC Activation Rep'!Y:Y),"")</f>
        <v/>
      </c>
    </row>
    <row r="1801">
      <c r="A1801" s="17"/>
      <c r="B1801" s="85"/>
      <c r="C1801" s="17"/>
      <c r="D1801" s="85"/>
      <c r="E1801" s="17"/>
      <c r="F1801" s="17"/>
      <c r="G1801" s="17"/>
      <c r="I1801" s="17"/>
      <c r="K1801" s="17"/>
      <c r="L1801" s="17"/>
      <c r="M1801" s="17"/>
      <c r="O1801" s="14">
        <f t="shared" si="1"/>
        <v>0</v>
      </c>
      <c r="P1801" s="86" t="str">
        <f t="array" ref="P1801">iferror(XLOOKUP(C1801,'Download of SFDC Activation Rep'!B:B,'Download of SFDC Activation Rep'!Z:Z),"")</f>
        <v/>
      </c>
      <c r="Q1801" s="86" t="str">
        <f t="shared" si="2"/>
        <v/>
      </c>
      <c r="R1801" s="13" t="str">
        <f t="shared" si="3"/>
        <v>Yes</v>
      </c>
      <c r="S1801" s="86" t="str">
        <f t="array" ref="S1801">iferror(XLOOKUP(C1801,'Download of SFDC Activation Rep'!B:B,'Download of SFDC Activation Rep'!Y:Y),"")</f>
        <v/>
      </c>
    </row>
    <row r="1802">
      <c r="A1802" s="17"/>
      <c r="B1802" s="85"/>
      <c r="C1802" s="17"/>
      <c r="D1802" s="85"/>
      <c r="E1802" s="17"/>
      <c r="F1802" s="17"/>
      <c r="G1802" s="17"/>
      <c r="I1802" s="17"/>
      <c r="K1802" s="17"/>
      <c r="L1802" s="17"/>
      <c r="M1802" s="17"/>
      <c r="O1802" s="14">
        <f t="shared" si="1"/>
        <v>0</v>
      </c>
      <c r="P1802" s="86" t="str">
        <f t="array" ref="P1802">iferror(XLOOKUP(C1802,'Download of SFDC Activation Rep'!B:B,'Download of SFDC Activation Rep'!Z:Z),"")</f>
        <v/>
      </c>
      <c r="Q1802" s="86" t="str">
        <f t="shared" si="2"/>
        <v/>
      </c>
      <c r="R1802" s="13" t="str">
        <f t="shared" si="3"/>
        <v>Yes</v>
      </c>
      <c r="S1802" s="86" t="str">
        <f t="array" ref="S1802">iferror(XLOOKUP(C1802,'Download of SFDC Activation Rep'!B:B,'Download of SFDC Activation Rep'!Y:Y),"")</f>
        <v/>
      </c>
    </row>
    <row r="1803">
      <c r="A1803" s="17"/>
      <c r="B1803" s="85"/>
      <c r="C1803" s="17"/>
      <c r="D1803" s="85"/>
      <c r="E1803" s="17"/>
      <c r="F1803" s="17"/>
      <c r="G1803" s="17"/>
      <c r="I1803" s="17"/>
      <c r="K1803" s="17"/>
      <c r="L1803" s="17"/>
      <c r="M1803" s="17"/>
      <c r="O1803" s="14">
        <f t="shared" si="1"/>
        <v>0</v>
      </c>
      <c r="P1803" s="86" t="str">
        <f t="array" ref="P1803">iferror(XLOOKUP(C1803,'Download of SFDC Activation Rep'!B:B,'Download of SFDC Activation Rep'!Z:Z),"")</f>
        <v/>
      </c>
      <c r="Q1803" s="86" t="str">
        <f t="shared" si="2"/>
        <v/>
      </c>
      <c r="R1803" s="13" t="str">
        <f t="shared" si="3"/>
        <v>Yes</v>
      </c>
      <c r="S1803" s="86" t="str">
        <f t="array" ref="S1803">iferror(XLOOKUP(C1803,'Download of SFDC Activation Rep'!B:B,'Download of SFDC Activation Rep'!Y:Y),"")</f>
        <v/>
      </c>
    </row>
    <row r="1804">
      <c r="A1804" s="17"/>
      <c r="B1804" s="85"/>
      <c r="C1804" s="17"/>
      <c r="D1804" s="85"/>
      <c r="E1804" s="17"/>
      <c r="F1804" s="17"/>
      <c r="G1804" s="17"/>
      <c r="I1804" s="17"/>
      <c r="K1804" s="17"/>
      <c r="L1804" s="17"/>
      <c r="M1804" s="17"/>
      <c r="O1804" s="14">
        <f t="shared" si="1"/>
        <v>0</v>
      </c>
      <c r="P1804" s="86" t="str">
        <f t="array" ref="P1804">iferror(XLOOKUP(C1804,'Download of SFDC Activation Rep'!B:B,'Download of SFDC Activation Rep'!Z:Z),"")</f>
        <v/>
      </c>
      <c r="Q1804" s="86" t="str">
        <f t="shared" si="2"/>
        <v/>
      </c>
      <c r="R1804" s="13" t="str">
        <f t="shared" si="3"/>
        <v>Yes</v>
      </c>
      <c r="S1804" s="86" t="str">
        <f t="array" ref="S1804">iferror(XLOOKUP(C1804,'Download of SFDC Activation Rep'!B:B,'Download of SFDC Activation Rep'!Y:Y),"")</f>
        <v/>
      </c>
    </row>
    <row r="1805">
      <c r="A1805" s="17"/>
      <c r="B1805" s="85"/>
      <c r="C1805" s="17"/>
      <c r="D1805" s="85"/>
      <c r="E1805" s="17"/>
      <c r="F1805" s="17"/>
      <c r="G1805" s="17"/>
      <c r="I1805" s="17"/>
      <c r="K1805" s="17"/>
      <c r="L1805" s="17"/>
      <c r="M1805" s="17"/>
      <c r="O1805" s="14">
        <f t="shared" si="1"/>
        <v>0</v>
      </c>
      <c r="P1805" s="86" t="str">
        <f t="array" ref="P1805">iferror(XLOOKUP(C1805,'Download of SFDC Activation Rep'!B:B,'Download of SFDC Activation Rep'!Z:Z),"")</f>
        <v/>
      </c>
      <c r="Q1805" s="86" t="str">
        <f t="shared" si="2"/>
        <v/>
      </c>
      <c r="R1805" s="13" t="str">
        <f t="shared" si="3"/>
        <v>Yes</v>
      </c>
      <c r="S1805" s="86" t="str">
        <f t="array" ref="S1805">iferror(XLOOKUP(C1805,'Download of SFDC Activation Rep'!B:B,'Download of SFDC Activation Rep'!Y:Y),"")</f>
        <v/>
      </c>
    </row>
    <row r="1806">
      <c r="A1806" s="17"/>
      <c r="B1806" s="85"/>
      <c r="C1806" s="17"/>
      <c r="D1806" s="85"/>
      <c r="E1806" s="17"/>
      <c r="F1806" s="17"/>
      <c r="G1806" s="17"/>
      <c r="I1806" s="17"/>
      <c r="K1806" s="17"/>
      <c r="L1806" s="17"/>
      <c r="M1806" s="17"/>
      <c r="O1806" s="14">
        <f t="shared" si="1"/>
        <v>0</v>
      </c>
      <c r="P1806" s="86" t="str">
        <f t="array" ref="P1806">iferror(XLOOKUP(C1806,'Download of SFDC Activation Rep'!B:B,'Download of SFDC Activation Rep'!Z:Z),"")</f>
        <v/>
      </c>
      <c r="Q1806" s="86" t="str">
        <f t="shared" si="2"/>
        <v/>
      </c>
      <c r="R1806" s="13" t="str">
        <f t="shared" si="3"/>
        <v>Yes</v>
      </c>
      <c r="S1806" s="86" t="str">
        <f t="array" ref="S1806">iferror(XLOOKUP(C1806,'Download of SFDC Activation Rep'!B:B,'Download of SFDC Activation Rep'!Y:Y),"")</f>
        <v/>
      </c>
    </row>
    <row r="1807">
      <c r="A1807" s="17"/>
      <c r="B1807" s="85"/>
      <c r="C1807" s="17"/>
      <c r="D1807" s="85"/>
      <c r="E1807" s="17"/>
      <c r="F1807" s="17"/>
      <c r="G1807" s="17"/>
      <c r="I1807" s="17"/>
      <c r="K1807" s="17"/>
      <c r="L1807" s="17"/>
      <c r="M1807" s="17"/>
      <c r="O1807" s="14">
        <f t="shared" si="1"/>
        <v>0</v>
      </c>
      <c r="P1807" s="86" t="str">
        <f t="array" ref="P1807">iferror(XLOOKUP(C1807,'Download of SFDC Activation Rep'!B:B,'Download of SFDC Activation Rep'!Z:Z),"")</f>
        <v/>
      </c>
      <c r="Q1807" s="86" t="str">
        <f t="shared" si="2"/>
        <v/>
      </c>
      <c r="R1807" s="13" t="str">
        <f t="shared" si="3"/>
        <v>Yes</v>
      </c>
      <c r="S1807" s="86" t="str">
        <f t="array" ref="S1807">iferror(XLOOKUP(C1807,'Download of SFDC Activation Rep'!B:B,'Download of SFDC Activation Rep'!Y:Y),"")</f>
        <v/>
      </c>
    </row>
    <row r="1808">
      <c r="A1808" s="17"/>
      <c r="B1808" s="85"/>
      <c r="C1808" s="17"/>
      <c r="D1808" s="85"/>
      <c r="E1808" s="17"/>
      <c r="F1808" s="17"/>
      <c r="G1808" s="17"/>
      <c r="I1808" s="17"/>
      <c r="K1808" s="17"/>
      <c r="L1808" s="17"/>
      <c r="M1808" s="17"/>
      <c r="O1808" s="14">
        <f t="shared" si="1"/>
        <v>0</v>
      </c>
      <c r="P1808" s="86" t="str">
        <f t="array" ref="P1808">iferror(XLOOKUP(C1808,'Download of SFDC Activation Rep'!B:B,'Download of SFDC Activation Rep'!Z:Z),"")</f>
        <v/>
      </c>
      <c r="Q1808" s="86" t="str">
        <f t="shared" si="2"/>
        <v/>
      </c>
      <c r="R1808" s="13" t="str">
        <f t="shared" si="3"/>
        <v>Yes</v>
      </c>
      <c r="S1808" s="86" t="str">
        <f t="array" ref="S1808">iferror(XLOOKUP(C1808,'Download of SFDC Activation Rep'!B:B,'Download of SFDC Activation Rep'!Y:Y),"")</f>
        <v/>
      </c>
    </row>
    <row r="1809">
      <c r="A1809" s="17"/>
      <c r="B1809" s="85"/>
      <c r="C1809" s="17"/>
      <c r="D1809" s="85"/>
      <c r="E1809" s="17"/>
      <c r="F1809" s="17"/>
      <c r="G1809" s="17"/>
      <c r="I1809" s="17"/>
      <c r="K1809" s="17"/>
      <c r="L1809" s="17"/>
      <c r="M1809" s="17"/>
      <c r="O1809" s="14">
        <f t="shared" si="1"/>
        <v>0</v>
      </c>
      <c r="P1809" s="86" t="str">
        <f t="array" ref="P1809">iferror(XLOOKUP(C1809,'Download of SFDC Activation Rep'!B:B,'Download of SFDC Activation Rep'!Z:Z),"")</f>
        <v/>
      </c>
      <c r="Q1809" s="86" t="str">
        <f t="shared" si="2"/>
        <v/>
      </c>
      <c r="R1809" s="13" t="str">
        <f t="shared" si="3"/>
        <v>Yes</v>
      </c>
      <c r="S1809" s="86" t="str">
        <f t="array" ref="S1809">iferror(XLOOKUP(C1809,'Download of SFDC Activation Rep'!B:B,'Download of SFDC Activation Rep'!Y:Y),"")</f>
        <v/>
      </c>
    </row>
    <row r="1810">
      <c r="A1810" s="17"/>
      <c r="B1810" s="85"/>
      <c r="C1810" s="17"/>
      <c r="D1810" s="85"/>
      <c r="E1810" s="17"/>
      <c r="F1810" s="17"/>
      <c r="G1810" s="17"/>
      <c r="I1810" s="17"/>
      <c r="K1810" s="17"/>
      <c r="L1810" s="17"/>
      <c r="M1810" s="17"/>
      <c r="O1810" s="14">
        <f t="shared" si="1"/>
        <v>0</v>
      </c>
      <c r="P1810" s="86" t="str">
        <f t="array" ref="P1810">iferror(XLOOKUP(C1810,'Download of SFDC Activation Rep'!B:B,'Download of SFDC Activation Rep'!Z:Z),"")</f>
        <v/>
      </c>
      <c r="Q1810" s="86" t="str">
        <f t="shared" si="2"/>
        <v/>
      </c>
      <c r="R1810" s="13" t="str">
        <f t="shared" si="3"/>
        <v>Yes</v>
      </c>
      <c r="S1810" s="86" t="str">
        <f t="array" ref="S1810">iferror(XLOOKUP(C1810,'Download of SFDC Activation Rep'!B:B,'Download of SFDC Activation Rep'!Y:Y),"")</f>
        <v/>
      </c>
    </row>
    <row r="1811">
      <c r="A1811" s="17"/>
      <c r="B1811" s="85"/>
      <c r="C1811" s="17"/>
      <c r="D1811" s="85"/>
      <c r="E1811" s="17"/>
      <c r="F1811" s="17"/>
      <c r="G1811" s="17"/>
      <c r="I1811" s="17"/>
      <c r="K1811" s="17"/>
      <c r="L1811" s="17"/>
      <c r="M1811" s="17"/>
      <c r="O1811" s="14">
        <f t="shared" si="1"/>
        <v>0</v>
      </c>
      <c r="P1811" s="86" t="str">
        <f t="array" ref="P1811">iferror(XLOOKUP(C1811,'Download of SFDC Activation Rep'!B:B,'Download of SFDC Activation Rep'!Z:Z),"")</f>
        <v/>
      </c>
      <c r="Q1811" s="86" t="str">
        <f t="shared" si="2"/>
        <v/>
      </c>
      <c r="R1811" s="13" t="str">
        <f t="shared" si="3"/>
        <v>Yes</v>
      </c>
      <c r="S1811" s="86" t="str">
        <f t="array" ref="S1811">iferror(XLOOKUP(C1811,'Download of SFDC Activation Rep'!B:B,'Download of SFDC Activation Rep'!Y:Y),"")</f>
        <v/>
      </c>
    </row>
    <row r="1812">
      <c r="A1812" s="17"/>
      <c r="B1812" s="85"/>
      <c r="C1812" s="17"/>
      <c r="D1812" s="85"/>
      <c r="E1812" s="17"/>
      <c r="F1812" s="17"/>
      <c r="G1812" s="17"/>
      <c r="I1812" s="17"/>
      <c r="K1812" s="17"/>
      <c r="L1812" s="17"/>
      <c r="M1812" s="17"/>
      <c r="O1812" s="14">
        <f t="shared" si="1"/>
        <v>0</v>
      </c>
      <c r="P1812" s="86" t="str">
        <f t="array" ref="P1812">iferror(XLOOKUP(C1812,'Download of SFDC Activation Rep'!B:B,'Download of SFDC Activation Rep'!Z:Z),"")</f>
        <v/>
      </c>
      <c r="Q1812" s="86" t="str">
        <f t="shared" si="2"/>
        <v/>
      </c>
      <c r="R1812" s="13" t="str">
        <f t="shared" si="3"/>
        <v>Yes</v>
      </c>
      <c r="S1812" s="86" t="str">
        <f t="array" ref="S1812">iferror(XLOOKUP(C1812,'Download of SFDC Activation Rep'!B:B,'Download of SFDC Activation Rep'!Y:Y),"")</f>
        <v/>
      </c>
    </row>
    <row r="1813">
      <c r="A1813" s="17"/>
      <c r="B1813" s="85"/>
      <c r="C1813" s="17"/>
      <c r="D1813" s="85"/>
      <c r="E1813" s="17"/>
      <c r="F1813" s="17"/>
      <c r="G1813" s="17"/>
      <c r="I1813" s="17"/>
      <c r="K1813" s="17"/>
      <c r="L1813" s="17"/>
      <c r="M1813" s="17"/>
      <c r="O1813" s="14">
        <f t="shared" si="1"/>
        <v>0</v>
      </c>
      <c r="P1813" s="86" t="str">
        <f t="array" ref="P1813">iferror(XLOOKUP(C1813,'Download of SFDC Activation Rep'!B:B,'Download of SFDC Activation Rep'!Z:Z),"")</f>
        <v/>
      </c>
      <c r="Q1813" s="86" t="str">
        <f t="shared" si="2"/>
        <v/>
      </c>
      <c r="R1813" s="13" t="str">
        <f t="shared" si="3"/>
        <v>Yes</v>
      </c>
      <c r="S1813" s="86" t="str">
        <f t="array" ref="S1813">iferror(XLOOKUP(C1813,'Download of SFDC Activation Rep'!B:B,'Download of SFDC Activation Rep'!Y:Y),"")</f>
        <v/>
      </c>
    </row>
    <row r="1814">
      <c r="A1814" s="17"/>
      <c r="B1814" s="85"/>
      <c r="C1814" s="17"/>
      <c r="D1814" s="85"/>
      <c r="E1814" s="17"/>
      <c r="F1814" s="17"/>
      <c r="G1814" s="17"/>
      <c r="I1814" s="17"/>
      <c r="K1814" s="17"/>
      <c r="L1814" s="17"/>
      <c r="M1814" s="17"/>
      <c r="O1814" s="14">
        <f t="shared" si="1"/>
        <v>0</v>
      </c>
      <c r="P1814" s="86" t="str">
        <f t="array" ref="P1814">iferror(XLOOKUP(C1814,'Download of SFDC Activation Rep'!B:B,'Download of SFDC Activation Rep'!Z:Z),"")</f>
        <v/>
      </c>
      <c r="Q1814" s="86" t="str">
        <f t="shared" si="2"/>
        <v/>
      </c>
      <c r="R1814" s="13" t="str">
        <f t="shared" si="3"/>
        <v>Yes</v>
      </c>
      <c r="S1814" s="86" t="str">
        <f t="array" ref="S1814">iferror(XLOOKUP(C1814,'Download of SFDC Activation Rep'!B:B,'Download of SFDC Activation Rep'!Y:Y),"")</f>
        <v/>
      </c>
    </row>
    <row r="1815">
      <c r="A1815" s="17"/>
      <c r="B1815" s="85"/>
      <c r="C1815" s="17"/>
      <c r="D1815" s="85"/>
      <c r="E1815" s="17"/>
      <c r="F1815" s="17"/>
      <c r="G1815" s="17"/>
      <c r="I1815" s="17"/>
      <c r="K1815" s="17"/>
      <c r="L1815" s="17"/>
      <c r="M1815" s="17"/>
      <c r="O1815" s="14">
        <f t="shared" si="1"/>
        <v>0</v>
      </c>
      <c r="P1815" s="86" t="str">
        <f t="array" ref="P1815">iferror(XLOOKUP(C1815,'Download of SFDC Activation Rep'!B:B,'Download of SFDC Activation Rep'!Z:Z),"")</f>
        <v/>
      </c>
      <c r="Q1815" s="86" t="str">
        <f t="shared" si="2"/>
        <v/>
      </c>
      <c r="R1815" s="13" t="str">
        <f t="shared" si="3"/>
        <v>Yes</v>
      </c>
      <c r="S1815" s="86" t="str">
        <f t="array" ref="S1815">iferror(XLOOKUP(C1815,'Download of SFDC Activation Rep'!B:B,'Download of SFDC Activation Rep'!Y:Y),"")</f>
        <v/>
      </c>
    </row>
    <row r="1816">
      <c r="A1816" s="17"/>
      <c r="B1816" s="85"/>
      <c r="C1816" s="17"/>
      <c r="D1816" s="85"/>
      <c r="E1816" s="17"/>
      <c r="F1816" s="17"/>
      <c r="G1816" s="17"/>
      <c r="I1816" s="17"/>
      <c r="K1816" s="17"/>
      <c r="L1816" s="17"/>
      <c r="M1816" s="17"/>
      <c r="O1816" s="14">
        <f t="shared" si="1"/>
        <v>0</v>
      </c>
      <c r="P1816" s="86" t="str">
        <f t="array" ref="P1816">iferror(XLOOKUP(C1816,'Download of SFDC Activation Rep'!B:B,'Download of SFDC Activation Rep'!Z:Z),"")</f>
        <v/>
      </c>
      <c r="Q1816" s="86" t="str">
        <f t="shared" si="2"/>
        <v/>
      </c>
      <c r="R1816" s="13" t="str">
        <f t="shared" si="3"/>
        <v>Yes</v>
      </c>
      <c r="S1816" s="86" t="str">
        <f t="array" ref="S1816">iferror(XLOOKUP(C1816,'Download of SFDC Activation Rep'!B:B,'Download of SFDC Activation Rep'!Y:Y),"")</f>
        <v/>
      </c>
    </row>
    <row r="1817">
      <c r="A1817" s="17"/>
      <c r="B1817" s="85"/>
      <c r="C1817" s="17"/>
      <c r="D1817" s="85"/>
      <c r="E1817" s="17"/>
      <c r="F1817" s="17"/>
      <c r="G1817" s="17"/>
      <c r="I1817" s="17"/>
      <c r="K1817" s="17"/>
      <c r="L1817" s="17"/>
      <c r="M1817" s="17"/>
      <c r="O1817" s="14">
        <f t="shared" si="1"/>
        <v>0</v>
      </c>
      <c r="P1817" s="86" t="str">
        <f t="array" ref="P1817">iferror(XLOOKUP(C1817,'Download of SFDC Activation Rep'!B:B,'Download of SFDC Activation Rep'!Z:Z),"")</f>
        <v/>
      </c>
      <c r="Q1817" s="86" t="str">
        <f t="shared" si="2"/>
        <v/>
      </c>
      <c r="R1817" s="13" t="str">
        <f t="shared" si="3"/>
        <v>Yes</v>
      </c>
      <c r="S1817" s="86" t="str">
        <f t="array" ref="S1817">iferror(XLOOKUP(C1817,'Download of SFDC Activation Rep'!B:B,'Download of SFDC Activation Rep'!Y:Y),"")</f>
        <v/>
      </c>
    </row>
    <row r="1818">
      <c r="A1818" s="17"/>
      <c r="B1818" s="85"/>
      <c r="C1818" s="17"/>
      <c r="D1818" s="85"/>
      <c r="E1818" s="17"/>
      <c r="F1818" s="17"/>
      <c r="G1818" s="17"/>
      <c r="I1818" s="17"/>
      <c r="K1818" s="17"/>
      <c r="L1818" s="17"/>
      <c r="M1818" s="17"/>
      <c r="O1818" s="14">
        <f t="shared" si="1"/>
        <v>0</v>
      </c>
      <c r="P1818" s="86" t="str">
        <f t="array" ref="P1818">iferror(XLOOKUP(C1818,'Download of SFDC Activation Rep'!B:B,'Download of SFDC Activation Rep'!Z:Z),"")</f>
        <v/>
      </c>
      <c r="Q1818" s="86" t="str">
        <f t="shared" si="2"/>
        <v/>
      </c>
      <c r="R1818" s="13" t="str">
        <f t="shared" si="3"/>
        <v>Yes</v>
      </c>
      <c r="S1818" s="86" t="str">
        <f t="array" ref="S1818">iferror(XLOOKUP(C1818,'Download of SFDC Activation Rep'!B:B,'Download of SFDC Activation Rep'!Y:Y),"")</f>
        <v/>
      </c>
    </row>
    <row r="1819">
      <c r="A1819" s="17"/>
      <c r="B1819" s="85"/>
      <c r="C1819" s="17"/>
      <c r="D1819" s="85"/>
      <c r="E1819" s="17"/>
      <c r="F1819" s="17"/>
      <c r="G1819" s="17"/>
      <c r="I1819" s="17"/>
      <c r="K1819" s="17"/>
      <c r="L1819" s="17"/>
      <c r="M1819" s="17"/>
      <c r="O1819" s="14">
        <f t="shared" si="1"/>
        <v>0</v>
      </c>
      <c r="P1819" s="86" t="str">
        <f t="array" ref="P1819">iferror(XLOOKUP(C1819,'Download of SFDC Activation Rep'!B:B,'Download of SFDC Activation Rep'!Z:Z),"")</f>
        <v/>
      </c>
      <c r="Q1819" s="86" t="str">
        <f t="shared" si="2"/>
        <v/>
      </c>
      <c r="R1819" s="13" t="str">
        <f t="shared" si="3"/>
        <v>Yes</v>
      </c>
      <c r="S1819" s="86" t="str">
        <f t="array" ref="S1819">iferror(XLOOKUP(C1819,'Download of SFDC Activation Rep'!B:B,'Download of SFDC Activation Rep'!Y:Y),"")</f>
        <v/>
      </c>
    </row>
    <row r="1820">
      <c r="A1820" s="17"/>
      <c r="B1820" s="85"/>
      <c r="C1820" s="17"/>
      <c r="D1820" s="85"/>
      <c r="E1820" s="17"/>
      <c r="F1820" s="17"/>
      <c r="G1820" s="17"/>
      <c r="I1820" s="17"/>
      <c r="K1820" s="17"/>
      <c r="L1820" s="17"/>
      <c r="M1820" s="17"/>
      <c r="O1820" s="14">
        <f t="shared" si="1"/>
        <v>0</v>
      </c>
      <c r="P1820" s="86" t="str">
        <f t="array" ref="P1820">iferror(XLOOKUP(C1820,'Download of SFDC Activation Rep'!B:B,'Download of SFDC Activation Rep'!Z:Z),"")</f>
        <v/>
      </c>
      <c r="Q1820" s="86" t="str">
        <f t="shared" si="2"/>
        <v/>
      </c>
      <c r="R1820" s="13" t="str">
        <f t="shared" si="3"/>
        <v>Yes</v>
      </c>
      <c r="S1820" s="86" t="str">
        <f t="array" ref="S1820">iferror(XLOOKUP(C1820,'Download of SFDC Activation Rep'!B:B,'Download of SFDC Activation Rep'!Y:Y),"")</f>
        <v/>
      </c>
    </row>
    <row r="1821">
      <c r="A1821" s="17"/>
      <c r="B1821" s="85"/>
      <c r="C1821" s="17"/>
      <c r="D1821" s="85"/>
      <c r="E1821" s="17"/>
      <c r="F1821" s="17"/>
      <c r="G1821" s="17"/>
      <c r="I1821" s="17"/>
      <c r="K1821" s="17"/>
      <c r="L1821" s="17"/>
      <c r="M1821" s="17"/>
      <c r="O1821" s="14">
        <f t="shared" si="1"/>
        <v>0</v>
      </c>
      <c r="P1821" s="86" t="str">
        <f t="array" ref="P1821">iferror(XLOOKUP(C1821,'Download of SFDC Activation Rep'!B:B,'Download of SFDC Activation Rep'!Z:Z),"")</f>
        <v/>
      </c>
      <c r="Q1821" s="86" t="str">
        <f t="shared" si="2"/>
        <v/>
      </c>
      <c r="R1821" s="13" t="str">
        <f t="shared" si="3"/>
        <v>Yes</v>
      </c>
      <c r="S1821" s="86" t="str">
        <f t="array" ref="S1821">iferror(XLOOKUP(C1821,'Download of SFDC Activation Rep'!B:B,'Download of SFDC Activation Rep'!Y:Y),"")</f>
        <v/>
      </c>
    </row>
    <row r="1822">
      <c r="A1822" s="17"/>
      <c r="B1822" s="85"/>
      <c r="C1822" s="17"/>
      <c r="D1822" s="85"/>
      <c r="E1822" s="17"/>
      <c r="F1822" s="17"/>
      <c r="G1822" s="17"/>
      <c r="I1822" s="17"/>
      <c r="K1822" s="17"/>
      <c r="L1822" s="17"/>
      <c r="M1822" s="17"/>
      <c r="O1822" s="14">
        <f t="shared" si="1"/>
        <v>0</v>
      </c>
      <c r="P1822" s="86" t="str">
        <f t="array" ref="P1822">iferror(XLOOKUP(C1822,'Download of SFDC Activation Rep'!B:B,'Download of SFDC Activation Rep'!Z:Z),"")</f>
        <v/>
      </c>
      <c r="Q1822" s="86" t="str">
        <f t="shared" si="2"/>
        <v/>
      </c>
      <c r="R1822" s="13" t="str">
        <f t="shared" si="3"/>
        <v>Yes</v>
      </c>
      <c r="S1822" s="86" t="str">
        <f t="array" ref="S1822">iferror(XLOOKUP(C1822,'Download of SFDC Activation Rep'!B:B,'Download of SFDC Activation Rep'!Y:Y),"")</f>
        <v/>
      </c>
    </row>
    <row r="1823">
      <c r="A1823" s="17"/>
      <c r="B1823" s="85"/>
      <c r="C1823" s="17"/>
      <c r="D1823" s="85"/>
      <c r="E1823" s="17"/>
      <c r="F1823" s="17"/>
      <c r="G1823" s="17"/>
      <c r="I1823" s="17"/>
      <c r="K1823" s="17"/>
      <c r="L1823" s="17"/>
      <c r="M1823" s="17"/>
      <c r="O1823" s="14">
        <f t="shared" si="1"/>
        <v>0</v>
      </c>
      <c r="P1823" s="86" t="str">
        <f t="array" ref="P1823">iferror(XLOOKUP(C1823,'Download of SFDC Activation Rep'!B:B,'Download of SFDC Activation Rep'!Z:Z),"")</f>
        <v/>
      </c>
      <c r="Q1823" s="86" t="str">
        <f t="shared" si="2"/>
        <v/>
      </c>
      <c r="R1823" s="13" t="str">
        <f t="shared" si="3"/>
        <v>Yes</v>
      </c>
      <c r="S1823" s="86" t="str">
        <f t="array" ref="S1823">iferror(XLOOKUP(C1823,'Download of SFDC Activation Rep'!B:B,'Download of SFDC Activation Rep'!Y:Y),"")</f>
        <v/>
      </c>
    </row>
    <row r="1824">
      <c r="A1824" s="17"/>
      <c r="B1824" s="85"/>
      <c r="C1824" s="17"/>
      <c r="D1824" s="85"/>
      <c r="E1824" s="17"/>
      <c r="F1824" s="17"/>
      <c r="G1824" s="17"/>
      <c r="I1824" s="17"/>
      <c r="K1824" s="17"/>
      <c r="L1824" s="17"/>
      <c r="M1824" s="17"/>
      <c r="O1824" s="14">
        <f t="shared" si="1"/>
        <v>0</v>
      </c>
      <c r="P1824" s="86" t="str">
        <f t="array" ref="P1824">iferror(XLOOKUP(C1824,'Download of SFDC Activation Rep'!B:B,'Download of SFDC Activation Rep'!Z:Z),"")</f>
        <v/>
      </c>
      <c r="Q1824" s="86" t="str">
        <f t="shared" si="2"/>
        <v/>
      </c>
      <c r="R1824" s="13" t="str">
        <f t="shared" si="3"/>
        <v>Yes</v>
      </c>
      <c r="S1824" s="86" t="str">
        <f t="array" ref="S1824">iferror(XLOOKUP(C1824,'Download of SFDC Activation Rep'!B:B,'Download of SFDC Activation Rep'!Y:Y),"")</f>
        <v/>
      </c>
    </row>
    <row r="1825">
      <c r="A1825" s="17"/>
      <c r="B1825" s="85"/>
      <c r="C1825" s="17"/>
      <c r="D1825" s="85"/>
      <c r="E1825" s="17"/>
      <c r="F1825" s="17"/>
      <c r="G1825" s="17"/>
      <c r="I1825" s="17"/>
      <c r="K1825" s="17"/>
      <c r="L1825" s="17"/>
      <c r="M1825" s="17"/>
      <c r="O1825" s="14">
        <f t="shared" si="1"/>
        <v>0</v>
      </c>
      <c r="P1825" s="86" t="str">
        <f t="array" ref="P1825">iferror(XLOOKUP(C1825,'Download of SFDC Activation Rep'!B:B,'Download of SFDC Activation Rep'!Z:Z),"")</f>
        <v/>
      </c>
      <c r="Q1825" s="86" t="str">
        <f t="shared" si="2"/>
        <v/>
      </c>
      <c r="R1825" s="13" t="str">
        <f t="shared" si="3"/>
        <v>Yes</v>
      </c>
      <c r="S1825" s="86" t="str">
        <f t="array" ref="S1825">iferror(XLOOKUP(C1825,'Download of SFDC Activation Rep'!B:B,'Download of SFDC Activation Rep'!Y:Y),"")</f>
        <v/>
      </c>
    </row>
    <row r="1826">
      <c r="A1826" s="17"/>
      <c r="B1826" s="85"/>
      <c r="C1826" s="17"/>
      <c r="D1826" s="85"/>
      <c r="E1826" s="17"/>
      <c r="F1826" s="17"/>
      <c r="G1826" s="17"/>
      <c r="I1826" s="17"/>
      <c r="K1826" s="17"/>
      <c r="L1826" s="17"/>
      <c r="M1826" s="17"/>
      <c r="O1826" s="14">
        <f t="shared" si="1"/>
        <v>0</v>
      </c>
      <c r="P1826" s="86" t="str">
        <f t="array" ref="P1826">iferror(XLOOKUP(C1826,'Download of SFDC Activation Rep'!B:B,'Download of SFDC Activation Rep'!Z:Z),"")</f>
        <v/>
      </c>
      <c r="Q1826" s="86" t="str">
        <f t="shared" si="2"/>
        <v/>
      </c>
      <c r="R1826" s="13" t="str">
        <f t="shared" si="3"/>
        <v>Yes</v>
      </c>
      <c r="S1826" s="86" t="str">
        <f t="array" ref="S1826">iferror(XLOOKUP(C1826,'Download of SFDC Activation Rep'!B:B,'Download of SFDC Activation Rep'!Y:Y),"")</f>
        <v/>
      </c>
    </row>
    <row r="1827">
      <c r="A1827" s="17"/>
      <c r="B1827" s="85"/>
      <c r="C1827" s="17"/>
      <c r="D1827" s="85"/>
      <c r="E1827" s="17"/>
      <c r="F1827" s="17"/>
      <c r="G1827" s="17"/>
      <c r="I1827" s="17"/>
      <c r="K1827" s="17"/>
      <c r="L1827" s="17"/>
      <c r="M1827" s="17"/>
      <c r="O1827" s="14">
        <f t="shared" si="1"/>
        <v>0</v>
      </c>
      <c r="P1827" s="86" t="str">
        <f t="array" ref="P1827">iferror(XLOOKUP(C1827,'Download of SFDC Activation Rep'!B:B,'Download of SFDC Activation Rep'!Z:Z),"")</f>
        <v/>
      </c>
      <c r="Q1827" s="86" t="str">
        <f t="shared" si="2"/>
        <v/>
      </c>
      <c r="R1827" s="13" t="str">
        <f t="shared" si="3"/>
        <v>Yes</v>
      </c>
      <c r="S1827" s="86" t="str">
        <f t="array" ref="S1827">iferror(XLOOKUP(C1827,'Download of SFDC Activation Rep'!B:B,'Download of SFDC Activation Rep'!Y:Y),"")</f>
        <v/>
      </c>
    </row>
    <row r="1828">
      <c r="A1828" s="17"/>
      <c r="B1828" s="85"/>
      <c r="C1828" s="17"/>
      <c r="D1828" s="85"/>
      <c r="E1828" s="17"/>
      <c r="F1828" s="17"/>
      <c r="G1828" s="17"/>
      <c r="I1828" s="17"/>
      <c r="K1828" s="17"/>
      <c r="L1828" s="17"/>
      <c r="M1828" s="17"/>
      <c r="O1828" s="14">
        <f t="shared" si="1"/>
        <v>0</v>
      </c>
      <c r="P1828" s="86" t="str">
        <f t="array" ref="P1828">iferror(XLOOKUP(C1828,'Download of SFDC Activation Rep'!B:B,'Download of SFDC Activation Rep'!Z:Z),"")</f>
        <v/>
      </c>
      <c r="Q1828" s="86" t="str">
        <f t="shared" si="2"/>
        <v/>
      </c>
      <c r="R1828" s="13" t="str">
        <f t="shared" si="3"/>
        <v>Yes</v>
      </c>
      <c r="S1828" s="86" t="str">
        <f t="array" ref="S1828">iferror(XLOOKUP(C1828,'Download of SFDC Activation Rep'!B:B,'Download of SFDC Activation Rep'!Y:Y),"")</f>
        <v/>
      </c>
    </row>
    <row r="1829">
      <c r="A1829" s="17"/>
      <c r="B1829" s="85"/>
      <c r="C1829" s="17"/>
      <c r="D1829" s="85"/>
      <c r="E1829" s="17"/>
      <c r="F1829" s="17"/>
      <c r="G1829" s="17"/>
      <c r="I1829" s="17"/>
      <c r="K1829" s="17"/>
      <c r="L1829" s="17"/>
      <c r="M1829" s="17"/>
      <c r="O1829" s="14">
        <f t="shared" si="1"/>
        <v>0</v>
      </c>
      <c r="P1829" s="86" t="str">
        <f t="array" ref="P1829">iferror(XLOOKUP(C1829,'Download of SFDC Activation Rep'!B:B,'Download of SFDC Activation Rep'!Z:Z),"")</f>
        <v/>
      </c>
      <c r="Q1829" s="86" t="str">
        <f t="shared" si="2"/>
        <v/>
      </c>
      <c r="R1829" s="13" t="str">
        <f t="shared" si="3"/>
        <v>Yes</v>
      </c>
      <c r="S1829" s="86" t="str">
        <f t="array" ref="S1829">iferror(XLOOKUP(C1829,'Download of SFDC Activation Rep'!B:B,'Download of SFDC Activation Rep'!Y:Y),"")</f>
        <v/>
      </c>
    </row>
    <row r="1830">
      <c r="A1830" s="17"/>
      <c r="B1830" s="85"/>
      <c r="C1830" s="17"/>
      <c r="D1830" s="85"/>
      <c r="E1830" s="17"/>
      <c r="F1830" s="17"/>
      <c r="G1830" s="17"/>
      <c r="I1830" s="17"/>
      <c r="K1830" s="17"/>
      <c r="L1830" s="17"/>
      <c r="M1830" s="17"/>
      <c r="O1830" s="14">
        <f t="shared" si="1"/>
        <v>0</v>
      </c>
      <c r="P1830" s="86" t="str">
        <f t="array" ref="P1830">iferror(XLOOKUP(C1830,'Download of SFDC Activation Rep'!B:B,'Download of SFDC Activation Rep'!Z:Z),"")</f>
        <v/>
      </c>
      <c r="Q1830" s="86" t="str">
        <f t="shared" si="2"/>
        <v/>
      </c>
      <c r="R1830" s="13" t="str">
        <f t="shared" si="3"/>
        <v>Yes</v>
      </c>
      <c r="S1830" s="86" t="str">
        <f t="array" ref="S1830">iferror(XLOOKUP(C1830,'Download of SFDC Activation Rep'!B:B,'Download of SFDC Activation Rep'!Y:Y),"")</f>
        <v/>
      </c>
    </row>
    <row r="1831">
      <c r="A1831" s="17"/>
      <c r="B1831" s="85"/>
      <c r="C1831" s="17"/>
      <c r="D1831" s="85"/>
      <c r="E1831" s="17"/>
      <c r="F1831" s="17"/>
      <c r="G1831" s="17"/>
      <c r="I1831" s="17"/>
      <c r="K1831" s="17"/>
      <c r="L1831" s="17"/>
      <c r="M1831" s="17"/>
      <c r="O1831" s="14">
        <f t="shared" si="1"/>
        <v>0</v>
      </c>
      <c r="P1831" s="86" t="str">
        <f t="array" ref="P1831">iferror(XLOOKUP(C1831,'Download of SFDC Activation Rep'!B:B,'Download of SFDC Activation Rep'!Z:Z),"")</f>
        <v/>
      </c>
      <c r="Q1831" s="86" t="str">
        <f t="shared" si="2"/>
        <v/>
      </c>
      <c r="R1831" s="13" t="str">
        <f t="shared" si="3"/>
        <v>Yes</v>
      </c>
      <c r="S1831" s="86" t="str">
        <f t="array" ref="S1831">iferror(XLOOKUP(C1831,'Download of SFDC Activation Rep'!B:B,'Download of SFDC Activation Rep'!Y:Y),"")</f>
        <v/>
      </c>
    </row>
    <row r="1832">
      <c r="A1832" s="17"/>
      <c r="B1832" s="85"/>
      <c r="C1832" s="17"/>
      <c r="D1832" s="85"/>
      <c r="E1832" s="17"/>
      <c r="F1832" s="17"/>
      <c r="G1832" s="17"/>
      <c r="I1832" s="17"/>
      <c r="K1832" s="17"/>
      <c r="L1832" s="17"/>
      <c r="M1832" s="17"/>
      <c r="O1832" s="14">
        <f t="shared" si="1"/>
        <v>0</v>
      </c>
      <c r="P1832" s="86" t="str">
        <f t="array" ref="P1832">iferror(XLOOKUP(C1832,'Download of SFDC Activation Rep'!B:B,'Download of SFDC Activation Rep'!Z:Z),"")</f>
        <v/>
      </c>
      <c r="Q1832" s="86" t="str">
        <f t="shared" si="2"/>
        <v/>
      </c>
      <c r="R1832" s="13" t="str">
        <f t="shared" si="3"/>
        <v>Yes</v>
      </c>
      <c r="S1832" s="86" t="str">
        <f t="array" ref="S1832">iferror(XLOOKUP(C1832,'Download of SFDC Activation Rep'!B:B,'Download of SFDC Activation Rep'!Y:Y),"")</f>
        <v/>
      </c>
    </row>
    <row r="1833">
      <c r="A1833" s="17"/>
      <c r="B1833" s="85"/>
      <c r="C1833" s="17"/>
      <c r="D1833" s="85"/>
      <c r="E1833" s="17"/>
      <c r="F1833" s="17"/>
      <c r="G1833" s="17"/>
      <c r="I1833" s="17"/>
      <c r="K1833" s="17"/>
      <c r="L1833" s="17"/>
      <c r="M1833" s="17"/>
      <c r="O1833" s="14">
        <f t="shared" si="1"/>
        <v>0</v>
      </c>
      <c r="P1833" s="86" t="str">
        <f t="array" ref="P1833">iferror(XLOOKUP(C1833,'Download of SFDC Activation Rep'!B:B,'Download of SFDC Activation Rep'!Z:Z),"")</f>
        <v/>
      </c>
      <c r="Q1833" s="86" t="str">
        <f t="shared" si="2"/>
        <v/>
      </c>
      <c r="R1833" s="13" t="str">
        <f t="shared" si="3"/>
        <v>Yes</v>
      </c>
      <c r="S1833" s="86" t="str">
        <f t="array" ref="S1833">iferror(XLOOKUP(C1833,'Download of SFDC Activation Rep'!B:B,'Download of SFDC Activation Rep'!Y:Y),"")</f>
        <v/>
      </c>
    </row>
    <row r="1834">
      <c r="A1834" s="17"/>
      <c r="B1834" s="85"/>
      <c r="C1834" s="17"/>
      <c r="D1834" s="85"/>
      <c r="E1834" s="17"/>
      <c r="F1834" s="17"/>
      <c r="G1834" s="17"/>
      <c r="I1834" s="17"/>
      <c r="K1834" s="17"/>
      <c r="L1834" s="17"/>
      <c r="M1834" s="17"/>
      <c r="O1834" s="14">
        <f t="shared" si="1"/>
        <v>0</v>
      </c>
      <c r="P1834" s="86" t="str">
        <f t="array" ref="P1834">iferror(XLOOKUP(C1834,'Download of SFDC Activation Rep'!B:B,'Download of SFDC Activation Rep'!Z:Z),"")</f>
        <v/>
      </c>
      <c r="Q1834" s="86" t="str">
        <f t="shared" si="2"/>
        <v/>
      </c>
      <c r="R1834" s="13" t="str">
        <f t="shared" si="3"/>
        <v>Yes</v>
      </c>
      <c r="S1834" s="86" t="str">
        <f t="array" ref="S1834">iferror(XLOOKUP(C1834,'Download of SFDC Activation Rep'!B:B,'Download of SFDC Activation Rep'!Y:Y),"")</f>
        <v/>
      </c>
    </row>
    <row r="1835">
      <c r="A1835" s="17"/>
      <c r="B1835" s="85"/>
      <c r="C1835" s="17"/>
      <c r="D1835" s="85"/>
      <c r="E1835" s="17"/>
      <c r="F1835" s="17"/>
      <c r="G1835" s="17"/>
      <c r="I1835" s="17"/>
      <c r="K1835" s="17"/>
      <c r="L1835" s="17"/>
      <c r="M1835" s="17"/>
      <c r="O1835" s="14">
        <f t="shared" si="1"/>
        <v>0</v>
      </c>
      <c r="P1835" s="86" t="str">
        <f t="array" ref="P1835">iferror(XLOOKUP(C1835,'Download of SFDC Activation Rep'!B:B,'Download of SFDC Activation Rep'!Z:Z),"")</f>
        <v/>
      </c>
      <c r="Q1835" s="86" t="str">
        <f t="shared" si="2"/>
        <v/>
      </c>
      <c r="R1835" s="13" t="str">
        <f t="shared" si="3"/>
        <v>Yes</v>
      </c>
      <c r="S1835" s="86" t="str">
        <f t="array" ref="S1835">iferror(XLOOKUP(C1835,'Download of SFDC Activation Rep'!B:B,'Download of SFDC Activation Rep'!Y:Y),"")</f>
        <v/>
      </c>
    </row>
    <row r="1836">
      <c r="A1836" s="17"/>
      <c r="B1836" s="85"/>
      <c r="C1836" s="17"/>
      <c r="D1836" s="85"/>
      <c r="E1836" s="17"/>
      <c r="F1836" s="17"/>
      <c r="G1836" s="17"/>
      <c r="I1836" s="17"/>
      <c r="K1836" s="17"/>
      <c r="L1836" s="17"/>
      <c r="M1836" s="17"/>
      <c r="O1836" s="14">
        <f t="shared" si="1"/>
        <v>0</v>
      </c>
      <c r="P1836" s="86" t="str">
        <f t="array" ref="P1836">iferror(XLOOKUP(C1836,'Download of SFDC Activation Rep'!B:B,'Download of SFDC Activation Rep'!Z:Z),"")</f>
        <v/>
      </c>
      <c r="Q1836" s="86" t="str">
        <f t="shared" si="2"/>
        <v/>
      </c>
      <c r="R1836" s="13" t="str">
        <f t="shared" si="3"/>
        <v>Yes</v>
      </c>
      <c r="S1836" s="86" t="str">
        <f t="array" ref="S1836">iferror(XLOOKUP(C1836,'Download of SFDC Activation Rep'!B:B,'Download of SFDC Activation Rep'!Y:Y),"")</f>
        <v/>
      </c>
    </row>
    <row r="1837">
      <c r="A1837" s="17"/>
      <c r="B1837" s="85"/>
      <c r="C1837" s="17"/>
      <c r="D1837" s="85"/>
      <c r="E1837" s="17"/>
      <c r="F1837" s="17"/>
      <c r="G1837" s="17"/>
      <c r="I1837" s="17"/>
      <c r="K1837" s="17"/>
      <c r="L1837" s="17"/>
      <c r="M1837" s="17"/>
      <c r="O1837" s="14">
        <f t="shared" si="1"/>
        <v>0</v>
      </c>
      <c r="P1837" s="86" t="str">
        <f t="array" ref="P1837">iferror(XLOOKUP(C1837,'Download of SFDC Activation Rep'!B:B,'Download of SFDC Activation Rep'!Z:Z),"")</f>
        <v/>
      </c>
      <c r="Q1837" s="86" t="str">
        <f t="shared" si="2"/>
        <v/>
      </c>
      <c r="R1837" s="13" t="str">
        <f t="shared" si="3"/>
        <v>Yes</v>
      </c>
      <c r="S1837" s="86" t="str">
        <f t="array" ref="S1837">iferror(XLOOKUP(C1837,'Download of SFDC Activation Rep'!B:B,'Download of SFDC Activation Rep'!Y:Y),"")</f>
        <v/>
      </c>
    </row>
    <row r="1838">
      <c r="A1838" s="17"/>
      <c r="B1838" s="85"/>
      <c r="C1838" s="17"/>
      <c r="D1838" s="85"/>
      <c r="E1838" s="17"/>
      <c r="F1838" s="17"/>
      <c r="G1838" s="17"/>
      <c r="I1838" s="17"/>
      <c r="K1838" s="17"/>
      <c r="L1838" s="17"/>
      <c r="M1838" s="17"/>
      <c r="O1838" s="14">
        <f t="shared" si="1"/>
        <v>0</v>
      </c>
      <c r="P1838" s="86" t="str">
        <f t="array" ref="P1838">iferror(XLOOKUP(C1838,'Download of SFDC Activation Rep'!B:B,'Download of SFDC Activation Rep'!Z:Z),"")</f>
        <v/>
      </c>
      <c r="Q1838" s="86" t="str">
        <f t="shared" si="2"/>
        <v/>
      </c>
      <c r="R1838" s="13" t="str">
        <f t="shared" si="3"/>
        <v>Yes</v>
      </c>
      <c r="S1838" s="86" t="str">
        <f t="array" ref="S1838">iferror(XLOOKUP(C1838,'Download of SFDC Activation Rep'!B:B,'Download of SFDC Activation Rep'!Y:Y),"")</f>
        <v/>
      </c>
    </row>
    <row r="1839">
      <c r="A1839" s="17"/>
      <c r="B1839" s="85"/>
      <c r="C1839" s="17"/>
      <c r="D1839" s="85"/>
      <c r="E1839" s="17"/>
      <c r="F1839" s="17"/>
      <c r="G1839" s="17"/>
      <c r="I1839" s="17"/>
      <c r="K1839" s="17"/>
      <c r="L1839" s="17"/>
      <c r="M1839" s="17"/>
      <c r="O1839" s="14">
        <f t="shared" si="1"/>
        <v>0</v>
      </c>
      <c r="P1839" s="86" t="str">
        <f t="array" ref="P1839">iferror(XLOOKUP(C1839,'Download of SFDC Activation Rep'!B:B,'Download of SFDC Activation Rep'!Z:Z),"")</f>
        <v/>
      </c>
      <c r="Q1839" s="86" t="str">
        <f t="shared" si="2"/>
        <v/>
      </c>
      <c r="R1839" s="13" t="str">
        <f t="shared" si="3"/>
        <v>Yes</v>
      </c>
      <c r="S1839" s="86" t="str">
        <f t="array" ref="S1839">iferror(XLOOKUP(C1839,'Download of SFDC Activation Rep'!B:B,'Download of SFDC Activation Rep'!Y:Y),"")</f>
        <v/>
      </c>
    </row>
    <row r="1840">
      <c r="A1840" s="17"/>
      <c r="B1840" s="85"/>
      <c r="C1840" s="17"/>
      <c r="D1840" s="85"/>
      <c r="E1840" s="17"/>
      <c r="F1840" s="17"/>
      <c r="G1840" s="17"/>
      <c r="I1840" s="17"/>
      <c r="K1840" s="17"/>
      <c r="L1840" s="17"/>
      <c r="M1840" s="17"/>
      <c r="O1840" s="14">
        <f t="shared" si="1"/>
        <v>0</v>
      </c>
      <c r="P1840" s="86" t="str">
        <f t="array" ref="P1840">iferror(XLOOKUP(C1840,'Download of SFDC Activation Rep'!B:B,'Download of SFDC Activation Rep'!Z:Z),"")</f>
        <v/>
      </c>
      <c r="Q1840" s="86" t="str">
        <f t="shared" si="2"/>
        <v/>
      </c>
      <c r="R1840" s="13" t="str">
        <f t="shared" si="3"/>
        <v>Yes</v>
      </c>
      <c r="S1840" s="86" t="str">
        <f t="array" ref="S1840">iferror(XLOOKUP(C1840,'Download of SFDC Activation Rep'!B:B,'Download of SFDC Activation Rep'!Y:Y),"")</f>
        <v/>
      </c>
    </row>
    <row r="1841">
      <c r="A1841" s="17"/>
      <c r="B1841" s="85"/>
      <c r="C1841" s="17"/>
      <c r="D1841" s="85"/>
      <c r="E1841" s="17"/>
      <c r="F1841" s="17"/>
      <c r="G1841" s="17"/>
      <c r="I1841" s="17"/>
      <c r="K1841" s="17"/>
      <c r="L1841" s="17"/>
      <c r="M1841" s="17"/>
      <c r="O1841" s="14">
        <f t="shared" si="1"/>
        <v>0</v>
      </c>
      <c r="P1841" s="86" t="str">
        <f t="array" ref="P1841">iferror(XLOOKUP(C1841,'Download of SFDC Activation Rep'!B:B,'Download of SFDC Activation Rep'!Z:Z),"")</f>
        <v/>
      </c>
      <c r="Q1841" s="86" t="str">
        <f t="shared" si="2"/>
        <v/>
      </c>
      <c r="R1841" s="13" t="str">
        <f t="shared" si="3"/>
        <v>Yes</v>
      </c>
      <c r="S1841" s="86" t="str">
        <f t="array" ref="S1841">iferror(XLOOKUP(C1841,'Download of SFDC Activation Rep'!B:B,'Download of SFDC Activation Rep'!Y:Y),"")</f>
        <v/>
      </c>
    </row>
    <row r="1842">
      <c r="A1842" s="17"/>
      <c r="B1842" s="85"/>
      <c r="C1842" s="17"/>
      <c r="D1842" s="85"/>
      <c r="E1842" s="17"/>
      <c r="F1842" s="17"/>
      <c r="G1842" s="17"/>
      <c r="I1842" s="17"/>
      <c r="K1842" s="17"/>
      <c r="L1842" s="17"/>
      <c r="M1842" s="17"/>
      <c r="O1842" s="14">
        <f t="shared" si="1"/>
        <v>0</v>
      </c>
      <c r="P1842" s="86" t="str">
        <f t="array" ref="P1842">iferror(XLOOKUP(C1842,'Download of SFDC Activation Rep'!B:B,'Download of SFDC Activation Rep'!Z:Z),"")</f>
        <v/>
      </c>
      <c r="Q1842" s="86" t="str">
        <f t="shared" si="2"/>
        <v/>
      </c>
      <c r="R1842" s="13" t="str">
        <f t="shared" si="3"/>
        <v>Yes</v>
      </c>
      <c r="S1842" s="86" t="str">
        <f t="array" ref="S1842">iferror(XLOOKUP(C1842,'Download of SFDC Activation Rep'!B:B,'Download of SFDC Activation Rep'!Y:Y),"")</f>
        <v/>
      </c>
    </row>
    <row r="1843">
      <c r="A1843" s="17"/>
      <c r="B1843" s="85"/>
      <c r="C1843" s="17"/>
      <c r="D1843" s="85"/>
      <c r="E1843" s="17"/>
      <c r="F1843" s="17"/>
      <c r="G1843" s="17"/>
      <c r="I1843" s="17"/>
      <c r="K1843" s="17"/>
      <c r="L1843" s="17"/>
      <c r="M1843" s="17"/>
      <c r="O1843" s="14">
        <f t="shared" si="1"/>
        <v>0</v>
      </c>
      <c r="P1843" s="86" t="str">
        <f t="array" ref="P1843">iferror(XLOOKUP(C1843,'Download of SFDC Activation Rep'!B:B,'Download of SFDC Activation Rep'!Z:Z),"")</f>
        <v/>
      </c>
      <c r="Q1843" s="86" t="str">
        <f t="shared" si="2"/>
        <v/>
      </c>
      <c r="R1843" s="13" t="str">
        <f t="shared" si="3"/>
        <v>Yes</v>
      </c>
      <c r="S1843" s="86" t="str">
        <f t="array" ref="S1843">iferror(XLOOKUP(C1843,'Download of SFDC Activation Rep'!B:B,'Download of SFDC Activation Rep'!Y:Y),"")</f>
        <v/>
      </c>
    </row>
    <row r="1844">
      <c r="A1844" s="17"/>
      <c r="B1844" s="85"/>
      <c r="C1844" s="17"/>
      <c r="D1844" s="85"/>
      <c r="E1844" s="17"/>
      <c r="F1844" s="17"/>
      <c r="G1844" s="17"/>
      <c r="I1844" s="17"/>
      <c r="K1844" s="17"/>
      <c r="L1844" s="17"/>
      <c r="M1844" s="17"/>
      <c r="O1844" s="14">
        <f t="shared" si="1"/>
        <v>0</v>
      </c>
      <c r="P1844" s="86" t="str">
        <f t="array" ref="P1844">iferror(XLOOKUP(C1844,'Download of SFDC Activation Rep'!B:B,'Download of SFDC Activation Rep'!Z:Z),"")</f>
        <v/>
      </c>
      <c r="Q1844" s="86" t="str">
        <f t="shared" si="2"/>
        <v/>
      </c>
      <c r="R1844" s="13" t="str">
        <f t="shared" si="3"/>
        <v>Yes</v>
      </c>
      <c r="S1844" s="86" t="str">
        <f t="array" ref="S1844">iferror(XLOOKUP(C1844,'Download of SFDC Activation Rep'!B:B,'Download of SFDC Activation Rep'!Y:Y),"")</f>
        <v/>
      </c>
    </row>
    <row r="1845">
      <c r="A1845" s="17"/>
      <c r="B1845" s="85"/>
      <c r="C1845" s="17"/>
      <c r="D1845" s="85"/>
      <c r="E1845" s="17"/>
      <c r="F1845" s="17"/>
      <c r="G1845" s="17"/>
      <c r="I1845" s="17"/>
      <c r="K1845" s="17"/>
      <c r="L1845" s="17"/>
      <c r="M1845" s="17"/>
      <c r="O1845" s="14">
        <f t="shared" si="1"/>
        <v>0</v>
      </c>
      <c r="P1845" s="86" t="str">
        <f t="array" ref="P1845">iferror(XLOOKUP(C1845,'Download of SFDC Activation Rep'!B:B,'Download of SFDC Activation Rep'!Z:Z),"")</f>
        <v/>
      </c>
      <c r="Q1845" s="86" t="str">
        <f t="shared" si="2"/>
        <v/>
      </c>
      <c r="R1845" s="13" t="str">
        <f t="shared" si="3"/>
        <v>Yes</v>
      </c>
      <c r="S1845" s="86" t="str">
        <f t="array" ref="S1845">iferror(XLOOKUP(C1845,'Download of SFDC Activation Rep'!B:B,'Download of SFDC Activation Rep'!Y:Y),"")</f>
        <v/>
      </c>
    </row>
    <row r="1846">
      <c r="A1846" s="17"/>
      <c r="B1846" s="85"/>
      <c r="C1846" s="17"/>
      <c r="D1846" s="85"/>
      <c r="E1846" s="17"/>
      <c r="F1846" s="17"/>
      <c r="G1846" s="17"/>
      <c r="I1846" s="17"/>
      <c r="K1846" s="17"/>
      <c r="L1846" s="17"/>
      <c r="M1846" s="17"/>
      <c r="O1846" s="14">
        <f t="shared" si="1"/>
        <v>0</v>
      </c>
      <c r="P1846" s="86" t="str">
        <f t="array" ref="P1846">iferror(XLOOKUP(C1846,'Download of SFDC Activation Rep'!B:B,'Download of SFDC Activation Rep'!Z:Z),"")</f>
        <v/>
      </c>
      <c r="Q1846" s="86" t="str">
        <f t="shared" si="2"/>
        <v/>
      </c>
      <c r="R1846" s="13" t="str">
        <f t="shared" si="3"/>
        <v>Yes</v>
      </c>
      <c r="S1846" s="86" t="str">
        <f t="array" ref="S1846">iferror(XLOOKUP(C1846,'Download of SFDC Activation Rep'!B:B,'Download of SFDC Activation Rep'!Y:Y),"")</f>
        <v/>
      </c>
    </row>
    <row r="1847">
      <c r="A1847" s="17"/>
      <c r="B1847" s="85"/>
      <c r="C1847" s="17"/>
      <c r="D1847" s="85"/>
      <c r="E1847" s="17"/>
      <c r="F1847" s="17"/>
      <c r="G1847" s="17"/>
      <c r="I1847" s="17"/>
      <c r="K1847" s="17"/>
      <c r="L1847" s="17"/>
      <c r="M1847" s="17"/>
      <c r="O1847" s="14">
        <f t="shared" si="1"/>
        <v>0</v>
      </c>
      <c r="P1847" s="86" t="str">
        <f t="array" ref="P1847">iferror(XLOOKUP(C1847,'Download of SFDC Activation Rep'!B:B,'Download of SFDC Activation Rep'!Z:Z),"")</f>
        <v/>
      </c>
      <c r="Q1847" s="86" t="str">
        <f t="shared" si="2"/>
        <v/>
      </c>
      <c r="R1847" s="13" t="str">
        <f t="shared" si="3"/>
        <v>Yes</v>
      </c>
      <c r="S1847" s="86" t="str">
        <f t="array" ref="S1847">iferror(XLOOKUP(C1847,'Download of SFDC Activation Rep'!B:B,'Download of SFDC Activation Rep'!Y:Y),"")</f>
        <v/>
      </c>
    </row>
    <row r="1848">
      <c r="A1848" s="17"/>
      <c r="B1848" s="85"/>
      <c r="C1848" s="17"/>
      <c r="D1848" s="85"/>
      <c r="E1848" s="17"/>
      <c r="F1848" s="17"/>
      <c r="G1848" s="17"/>
      <c r="I1848" s="17"/>
      <c r="K1848" s="17"/>
      <c r="L1848" s="17"/>
      <c r="M1848" s="17"/>
      <c r="O1848" s="14">
        <f t="shared" si="1"/>
        <v>0</v>
      </c>
      <c r="P1848" s="86" t="str">
        <f t="array" ref="P1848">iferror(XLOOKUP(C1848,'Download of SFDC Activation Rep'!B:B,'Download of SFDC Activation Rep'!Z:Z),"")</f>
        <v/>
      </c>
      <c r="Q1848" s="86" t="str">
        <f t="shared" si="2"/>
        <v/>
      </c>
      <c r="R1848" s="13" t="str">
        <f t="shared" si="3"/>
        <v>Yes</v>
      </c>
      <c r="S1848" s="86" t="str">
        <f t="array" ref="S1848">iferror(XLOOKUP(C1848,'Download of SFDC Activation Rep'!B:B,'Download of SFDC Activation Rep'!Y:Y),"")</f>
        <v/>
      </c>
    </row>
    <row r="1849">
      <c r="A1849" s="17"/>
      <c r="B1849" s="85"/>
      <c r="C1849" s="17"/>
      <c r="D1849" s="85"/>
      <c r="E1849" s="17"/>
      <c r="F1849" s="17"/>
      <c r="G1849" s="17"/>
      <c r="I1849" s="17"/>
      <c r="K1849" s="17"/>
      <c r="L1849" s="17"/>
      <c r="M1849" s="17"/>
      <c r="O1849" s="14">
        <f t="shared" si="1"/>
        <v>0</v>
      </c>
      <c r="P1849" s="86" t="str">
        <f t="array" ref="P1849">iferror(XLOOKUP(C1849,'Download of SFDC Activation Rep'!B:B,'Download of SFDC Activation Rep'!Z:Z),"")</f>
        <v/>
      </c>
      <c r="Q1849" s="86" t="str">
        <f t="shared" si="2"/>
        <v/>
      </c>
      <c r="R1849" s="13" t="str">
        <f t="shared" si="3"/>
        <v>Yes</v>
      </c>
      <c r="S1849" s="86" t="str">
        <f t="array" ref="S1849">iferror(XLOOKUP(C1849,'Download of SFDC Activation Rep'!B:B,'Download of SFDC Activation Rep'!Y:Y),"")</f>
        <v/>
      </c>
    </row>
    <row r="1850">
      <c r="A1850" s="17"/>
      <c r="B1850" s="85"/>
      <c r="C1850" s="17"/>
      <c r="D1850" s="85"/>
      <c r="E1850" s="17"/>
      <c r="F1850" s="17"/>
      <c r="G1850" s="17"/>
      <c r="I1850" s="17"/>
      <c r="K1850" s="17"/>
      <c r="L1850" s="17"/>
      <c r="M1850" s="17"/>
      <c r="O1850" s="14">
        <f t="shared" si="1"/>
        <v>0</v>
      </c>
      <c r="P1850" s="86" t="str">
        <f t="array" ref="P1850">iferror(XLOOKUP(C1850,'Download of SFDC Activation Rep'!B:B,'Download of SFDC Activation Rep'!Z:Z),"")</f>
        <v/>
      </c>
      <c r="Q1850" s="86" t="str">
        <f t="shared" si="2"/>
        <v/>
      </c>
      <c r="R1850" s="13" t="str">
        <f t="shared" si="3"/>
        <v>Yes</v>
      </c>
      <c r="S1850" s="86" t="str">
        <f t="array" ref="S1850">iferror(XLOOKUP(C1850,'Download of SFDC Activation Rep'!B:B,'Download of SFDC Activation Rep'!Y:Y),"")</f>
        <v/>
      </c>
    </row>
    <row r="1851">
      <c r="A1851" s="17"/>
      <c r="B1851" s="85"/>
      <c r="C1851" s="17"/>
      <c r="D1851" s="85"/>
      <c r="E1851" s="17"/>
      <c r="F1851" s="17"/>
      <c r="G1851" s="17"/>
      <c r="I1851" s="17"/>
      <c r="K1851" s="17"/>
      <c r="L1851" s="17"/>
      <c r="M1851" s="17"/>
      <c r="O1851" s="14">
        <f t="shared" si="1"/>
        <v>0</v>
      </c>
      <c r="P1851" s="86" t="str">
        <f t="array" ref="P1851">iferror(XLOOKUP(C1851,'Download of SFDC Activation Rep'!B:B,'Download of SFDC Activation Rep'!Z:Z),"")</f>
        <v/>
      </c>
      <c r="Q1851" s="86" t="str">
        <f t="shared" si="2"/>
        <v/>
      </c>
      <c r="R1851" s="13" t="str">
        <f t="shared" si="3"/>
        <v>Yes</v>
      </c>
      <c r="S1851" s="86" t="str">
        <f t="array" ref="S1851">iferror(XLOOKUP(C1851,'Download of SFDC Activation Rep'!B:B,'Download of SFDC Activation Rep'!Y:Y),"")</f>
        <v/>
      </c>
    </row>
    <row r="1852">
      <c r="A1852" s="17"/>
      <c r="B1852" s="85"/>
      <c r="C1852" s="17"/>
      <c r="D1852" s="85"/>
      <c r="E1852" s="17"/>
      <c r="F1852" s="17"/>
      <c r="G1852" s="17"/>
      <c r="I1852" s="17"/>
      <c r="K1852" s="17"/>
      <c r="L1852" s="17"/>
      <c r="M1852" s="17"/>
      <c r="O1852" s="14">
        <f t="shared" si="1"/>
        <v>0</v>
      </c>
      <c r="P1852" s="86" t="str">
        <f t="array" ref="P1852">iferror(XLOOKUP(C1852,'Download of SFDC Activation Rep'!B:B,'Download of SFDC Activation Rep'!Z:Z),"")</f>
        <v/>
      </c>
      <c r="Q1852" s="86" t="str">
        <f t="shared" si="2"/>
        <v/>
      </c>
      <c r="R1852" s="13" t="str">
        <f t="shared" si="3"/>
        <v>Yes</v>
      </c>
      <c r="S1852" s="86" t="str">
        <f t="array" ref="S1852">iferror(XLOOKUP(C1852,'Download of SFDC Activation Rep'!B:B,'Download of SFDC Activation Rep'!Y:Y),"")</f>
        <v/>
      </c>
    </row>
    <row r="1853">
      <c r="A1853" s="17"/>
      <c r="B1853" s="85"/>
      <c r="C1853" s="17"/>
      <c r="D1853" s="85"/>
      <c r="E1853" s="17"/>
      <c r="F1853" s="17"/>
      <c r="G1853" s="17"/>
      <c r="I1853" s="17"/>
      <c r="K1853" s="17"/>
      <c r="L1853" s="17"/>
      <c r="M1853" s="17"/>
      <c r="O1853" s="14">
        <f t="shared" si="1"/>
        <v>0</v>
      </c>
      <c r="P1853" s="86" t="str">
        <f t="array" ref="P1853">iferror(XLOOKUP(C1853,'Download of SFDC Activation Rep'!B:B,'Download of SFDC Activation Rep'!Z:Z),"")</f>
        <v/>
      </c>
      <c r="Q1853" s="86" t="str">
        <f t="shared" si="2"/>
        <v/>
      </c>
      <c r="R1853" s="13" t="str">
        <f t="shared" si="3"/>
        <v>Yes</v>
      </c>
      <c r="S1853" s="86" t="str">
        <f t="array" ref="S1853">iferror(XLOOKUP(C1853,'Download of SFDC Activation Rep'!B:B,'Download of SFDC Activation Rep'!Y:Y),"")</f>
        <v/>
      </c>
    </row>
    <row r="1854">
      <c r="A1854" s="17"/>
      <c r="B1854" s="85"/>
      <c r="C1854" s="17"/>
      <c r="D1854" s="85"/>
      <c r="E1854" s="17"/>
      <c r="F1854" s="17"/>
      <c r="G1854" s="17"/>
      <c r="I1854" s="17"/>
      <c r="K1854" s="17"/>
      <c r="L1854" s="17"/>
      <c r="M1854" s="17"/>
      <c r="O1854" s="14">
        <f t="shared" si="1"/>
        <v>0</v>
      </c>
      <c r="P1854" s="86" t="str">
        <f t="array" ref="P1854">iferror(XLOOKUP(C1854,'Download of SFDC Activation Rep'!B:B,'Download of SFDC Activation Rep'!Z:Z),"")</f>
        <v/>
      </c>
      <c r="Q1854" s="86" t="str">
        <f t="shared" si="2"/>
        <v/>
      </c>
      <c r="R1854" s="13" t="str">
        <f t="shared" si="3"/>
        <v>Yes</v>
      </c>
      <c r="S1854" s="86" t="str">
        <f t="array" ref="S1854">iferror(XLOOKUP(C1854,'Download of SFDC Activation Rep'!B:B,'Download of SFDC Activation Rep'!Y:Y),"")</f>
        <v/>
      </c>
    </row>
    <row r="1855">
      <c r="A1855" s="17"/>
      <c r="B1855" s="85"/>
      <c r="C1855" s="17"/>
      <c r="D1855" s="85"/>
      <c r="E1855" s="17"/>
      <c r="F1855" s="17"/>
      <c r="G1855" s="17"/>
      <c r="I1855" s="17"/>
      <c r="K1855" s="17"/>
      <c r="L1855" s="17"/>
      <c r="M1855" s="17"/>
      <c r="O1855" s="14">
        <f t="shared" si="1"/>
        <v>0</v>
      </c>
      <c r="P1855" s="86" t="str">
        <f t="array" ref="P1855">iferror(XLOOKUP(C1855,'Download of SFDC Activation Rep'!B:B,'Download of SFDC Activation Rep'!Z:Z),"")</f>
        <v/>
      </c>
      <c r="Q1855" s="86" t="str">
        <f t="shared" si="2"/>
        <v/>
      </c>
      <c r="R1855" s="13" t="str">
        <f t="shared" si="3"/>
        <v>Yes</v>
      </c>
      <c r="S1855" s="86" t="str">
        <f t="array" ref="S1855">iferror(XLOOKUP(C1855,'Download of SFDC Activation Rep'!B:B,'Download of SFDC Activation Rep'!Y:Y),"")</f>
        <v/>
      </c>
    </row>
    <row r="1856">
      <c r="A1856" s="17"/>
      <c r="B1856" s="85"/>
      <c r="C1856" s="17"/>
      <c r="D1856" s="85"/>
      <c r="E1856" s="17"/>
      <c r="F1856" s="17"/>
      <c r="G1856" s="17"/>
      <c r="I1856" s="17"/>
      <c r="K1856" s="17"/>
      <c r="L1856" s="17"/>
      <c r="M1856" s="17"/>
      <c r="O1856" s="14">
        <f t="shared" si="1"/>
        <v>0</v>
      </c>
      <c r="P1856" s="86" t="str">
        <f t="array" ref="P1856">iferror(XLOOKUP(C1856,'Download of SFDC Activation Rep'!B:B,'Download of SFDC Activation Rep'!Z:Z),"")</f>
        <v/>
      </c>
      <c r="Q1856" s="86" t="str">
        <f t="shared" si="2"/>
        <v/>
      </c>
      <c r="R1856" s="13" t="str">
        <f t="shared" si="3"/>
        <v>Yes</v>
      </c>
      <c r="S1856" s="86" t="str">
        <f t="array" ref="S1856">iferror(XLOOKUP(C1856,'Download of SFDC Activation Rep'!B:B,'Download of SFDC Activation Rep'!Y:Y),"")</f>
        <v/>
      </c>
    </row>
    <row r="1857">
      <c r="A1857" s="17"/>
      <c r="B1857" s="85"/>
      <c r="C1857" s="17"/>
      <c r="D1857" s="85"/>
      <c r="E1857" s="17"/>
      <c r="F1857" s="17"/>
      <c r="G1857" s="17"/>
      <c r="I1857" s="17"/>
      <c r="K1857" s="17"/>
      <c r="L1857" s="17"/>
      <c r="M1857" s="17"/>
      <c r="O1857" s="14">
        <f t="shared" si="1"/>
        <v>0</v>
      </c>
      <c r="P1857" s="86" t="str">
        <f t="array" ref="P1857">iferror(XLOOKUP(C1857,'Download of SFDC Activation Rep'!B:B,'Download of SFDC Activation Rep'!Z:Z),"")</f>
        <v/>
      </c>
      <c r="Q1857" s="86" t="str">
        <f t="shared" si="2"/>
        <v/>
      </c>
      <c r="R1857" s="13" t="str">
        <f t="shared" si="3"/>
        <v>Yes</v>
      </c>
      <c r="S1857" s="86" t="str">
        <f t="array" ref="S1857">iferror(XLOOKUP(C1857,'Download of SFDC Activation Rep'!B:B,'Download of SFDC Activation Rep'!Y:Y),"")</f>
        <v/>
      </c>
    </row>
    <row r="1858">
      <c r="A1858" s="17"/>
      <c r="B1858" s="85"/>
      <c r="C1858" s="17"/>
      <c r="D1858" s="85"/>
      <c r="E1858" s="17"/>
      <c r="F1858" s="17"/>
      <c r="G1858" s="17"/>
      <c r="I1858" s="17"/>
      <c r="K1858" s="17"/>
      <c r="L1858" s="17"/>
      <c r="M1858" s="17"/>
      <c r="O1858" s="14">
        <f t="shared" si="1"/>
        <v>0</v>
      </c>
      <c r="P1858" s="86" t="str">
        <f t="array" ref="P1858">iferror(XLOOKUP(C1858,'Download of SFDC Activation Rep'!B:B,'Download of SFDC Activation Rep'!Z:Z),"")</f>
        <v/>
      </c>
      <c r="Q1858" s="86" t="str">
        <f t="shared" si="2"/>
        <v/>
      </c>
      <c r="R1858" s="13" t="str">
        <f t="shared" si="3"/>
        <v>Yes</v>
      </c>
      <c r="S1858" s="86" t="str">
        <f t="array" ref="S1858">iferror(XLOOKUP(C1858,'Download of SFDC Activation Rep'!B:B,'Download of SFDC Activation Rep'!Y:Y),"")</f>
        <v/>
      </c>
    </row>
    <row r="1859">
      <c r="A1859" s="17"/>
      <c r="B1859" s="85"/>
      <c r="C1859" s="17"/>
      <c r="D1859" s="85"/>
      <c r="E1859" s="17"/>
      <c r="F1859" s="17"/>
      <c r="G1859" s="17"/>
      <c r="I1859" s="17"/>
      <c r="K1859" s="17"/>
      <c r="L1859" s="17"/>
      <c r="M1859" s="17"/>
      <c r="O1859" s="14">
        <f t="shared" si="1"/>
        <v>0</v>
      </c>
      <c r="P1859" s="86" t="str">
        <f t="array" ref="P1859">iferror(XLOOKUP(C1859,'Download of SFDC Activation Rep'!B:B,'Download of SFDC Activation Rep'!Z:Z),"")</f>
        <v/>
      </c>
      <c r="Q1859" s="86" t="str">
        <f t="shared" si="2"/>
        <v/>
      </c>
      <c r="R1859" s="13" t="str">
        <f t="shared" si="3"/>
        <v>Yes</v>
      </c>
      <c r="S1859" s="86" t="str">
        <f t="array" ref="S1859">iferror(XLOOKUP(C1859,'Download of SFDC Activation Rep'!B:B,'Download of SFDC Activation Rep'!Y:Y),"")</f>
        <v/>
      </c>
    </row>
    <row r="1860">
      <c r="A1860" s="17"/>
      <c r="B1860" s="85"/>
      <c r="C1860" s="17"/>
      <c r="D1860" s="85"/>
      <c r="E1860" s="17"/>
      <c r="F1860" s="17"/>
      <c r="G1860" s="17"/>
      <c r="I1860" s="17"/>
      <c r="K1860" s="17"/>
      <c r="L1860" s="17"/>
      <c r="M1860" s="17"/>
      <c r="O1860" s="14">
        <f t="shared" si="1"/>
        <v>0</v>
      </c>
      <c r="P1860" s="86" t="str">
        <f t="array" ref="P1860">iferror(XLOOKUP(C1860,'Download of SFDC Activation Rep'!B:B,'Download of SFDC Activation Rep'!Z:Z),"")</f>
        <v/>
      </c>
      <c r="Q1860" s="86" t="str">
        <f t="shared" si="2"/>
        <v/>
      </c>
      <c r="R1860" s="13" t="str">
        <f t="shared" si="3"/>
        <v>Yes</v>
      </c>
      <c r="S1860" s="86" t="str">
        <f t="array" ref="S1860">iferror(XLOOKUP(C1860,'Download of SFDC Activation Rep'!B:B,'Download of SFDC Activation Rep'!Y:Y),"")</f>
        <v/>
      </c>
    </row>
    <row r="1861">
      <c r="A1861" s="17"/>
      <c r="B1861" s="85"/>
      <c r="C1861" s="17"/>
      <c r="D1861" s="85"/>
      <c r="E1861" s="17"/>
      <c r="F1861" s="17"/>
      <c r="G1861" s="17"/>
      <c r="I1861" s="17"/>
      <c r="K1861" s="17"/>
      <c r="L1861" s="17"/>
      <c r="M1861" s="17"/>
      <c r="O1861" s="14">
        <f t="shared" si="1"/>
        <v>0</v>
      </c>
      <c r="P1861" s="86" t="str">
        <f t="array" ref="P1861">iferror(XLOOKUP(C1861,'Download of SFDC Activation Rep'!B:B,'Download of SFDC Activation Rep'!Z:Z),"")</f>
        <v/>
      </c>
      <c r="Q1861" s="86" t="str">
        <f t="shared" si="2"/>
        <v/>
      </c>
      <c r="R1861" s="13" t="str">
        <f t="shared" si="3"/>
        <v>Yes</v>
      </c>
      <c r="S1861" s="86" t="str">
        <f t="array" ref="S1861">iferror(XLOOKUP(C1861,'Download of SFDC Activation Rep'!B:B,'Download of SFDC Activation Rep'!Y:Y),"")</f>
        <v/>
      </c>
    </row>
    <row r="1862">
      <c r="A1862" s="17"/>
      <c r="B1862" s="85"/>
      <c r="C1862" s="17"/>
      <c r="D1862" s="85"/>
      <c r="E1862" s="17"/>
      <c r="F1862" s="17"/>
      <c r="G1862" s="17"/>
      <c r="I1862" s="17"/>
      <c r="K1862" s="17"/>
      <c r="L1862" s="17"/>
      <c r="M1862" s="17"/>
      <c r="O1862" s="14">
        <f t="shared" si="1"/>
        <v>0</v>
      </c>
      <c r="P1862" s="86" t="str">
        <f t="array" ref="P1862">iferror(XLOOKUP(C1862,'Download of SFDC Activation Rep'!B:B,'Download of SFDC Activation Rep'!Z:Z),"")</f>
        <v/>
      </c>
      <c r="Q1862" s="86" t="str">
        <f t="shared" si="2"/>
        <v/>
      </c>
      <c r="R1862" s="13" t="str">
        <f t="shared" si="3"/>
        <v>Yes</v>
      </c>
      <c r="S1862" s="86" t="str">
        <f t="array" ref="S1862">iferror(XLOOKUP(C1862,'Download of SFDC Activation Rep'!B:B,'Download of SFDC Activation Rep'!Y:Y),"")</f>
        <v/>
      </c>
    </row>
    <row r="1863">
      <c r="A1863" s="17"/>
      <c r="B1863" s="85"/>
      <c r="C1863" s="17"/>
      <c r="D1863" s="85"/>
      <c r="E1863" s="17"/>
      <c r="F1863" s="17"/>
      <c r="G1863" s="17"/>
      <c r="I1863" s="17"/>
      <c r="K1863" s="17"/>
      <c r="L1863" s="17"/>
      <c r="M1863" s="17"/>
      <c r="O1863" s="14">
        <f t="shared" si="1"/>
        <v>0</v>
      </c>
      <c r="P1863" s="86" t="str">
        <f t="array" ref="P1863">iferror(XLOOKUP(C1863,'Download of SFDC Activation Rep'!B:B,'Download of SFDC Activation Rep'!Z:Z),"")</f>
        <v/>
      </c>
      <c r="Q1863" s="86" t="str">
        <f t="shared" si="2"/>
        <v/>
      </c>
      <c r="R1863" s="13" t="str">
        <f t="shared" si="3"/>
        <v>Yes</v>
      </c>
      <c r="S1863" s="86" t="str">
        <f t="array" ref="S1863">iferror(XLOOKUP(C1863,'Download of SFDC Activation Rep'!B:B,'Download of SFDC Activation Rep'!Y:Y),"")</f>
        <v/>
      </c>
    </row>
    <row r="1864">
      <c r="A1864" s="17"/>
      <c r="B1864" s="85"/>
      <c r="C1864" s="17"/>
      <c r="D1864" s="85"/>
      <c r="E1864" s="17"/>
      <c r="F1864" s="17"/>
      <c r="G1864" s="17"/>
      <c r="I1864" s="17"/>
      <c r="K1864" s="17"/>
      <c r="L1864" s="17"/>
      <c r="M1864" s="17"/>
      <c r="O1864" s="14">
        <f t="shared" si="1"/>
        <v>0</v>
      </c>
      <c r="P1864" s="86" t="str">
        <f t="array" ref="P1864">iferror(XLOOKUP(C1864,'Download of SFDC Activation Rep'!B:B,'Download of SFDC Activation Rep'!Z:Z),"")</f>
        <v/>
      </c>
      <c r="Q1864" s="86" t="str">
        <f t="shared" si="2"/>
        <v/>
      </c>
      <c r="R1864" s="13" t="str">
        <f t="shared" si="3"/>
        <v>Yes</v>
      </c>
      <c r="S1864" s="86" t="str">
        <f t="array" ref="S1864">iferror(XLOOKUP(C1864,'Download of SFDC Activation Rep'!B:B,'Download of SFDC Activation Rep'!Y:Y),"")</f>
        <v/>
      </c>
    </row>
    <row r="1865">
      <c r="A1865" s="17"/>
      <c r="B1865" s="85"/>
      <c r="C1865" s="17"/>
      <c r="D1865" s="85"/>
      <c r="E1865" s="17"/>
      <c r="F1865" s="17"/>
      <c r="G1865" s="17"/>
      <c r="I1865" s="17"/>
      <c r="K1865" s="17"/>
      <c r="L1865" s="17"/>
      <c r="M1865" s="17"/>
      <c r="O1865" s="14">
        <f t="shared" si="1"/>
        <v>0</v>
      </c>
      <c r="P1865" s="86" t="str">
        <f t="array" ref="P1865">iferror(XLOOKUP(C1865,'Download of SFDC Activation Rep'!B:B,'Download of SFDC Activation Rep'!Z:Z),"")</f>
        <v/>
      </c>
      <c r="Q1865" s="86" t="str">
        <f t="shared" si="2"/>
        <v/>
      </c>
      <c r="R1865" s="13" t="str">
        <f t="shared" si="3"/>
        <v>Yes</v>
      </c>
      <c r="S1865" s="86" t="str">
        <f t="array" ref="S1865">iferror(XLOOKUP(C1865,'Download of SFDC Activation Rep'!B:B,'Download of SFDC Activation Rep'!Y:Y),"")</f>
        <v/>
      </c>
    </row>
    <row r="1866">
      <c r="A1866" s="17"/>
      <c r="B1866" s="85"/>
      <c r="C1866" s="17"/>
      <c r="D1866" s="85"/>
      <c r="E1866" s="17"/>
      <c r="F1866" s="17"/>
      <c r="G1866" s="17"/>
      <c r="I1866" s="17"/>
      <c r="K1866" s="17"/>
      <c r="L1866" s="17"/>
      <c r="M1866" s="17"/>
      <c r="O1866" s="14">
        <f t="shared" si="1"/>
        <v>0</v>
      </c>
      <c r="P1866" s="86" t="str">
        <f t="array" ref="P1866">iferror(XLOOKUP(C1866,'Download of SFDC Activation Rep'!B:B,'Download of SFDC Activation Rep'!Z:Z),"")</f>
        <v/>
      </c>
      <c r="Q1866" s="86" t="str">
        <f t="shared" si="2"/>
        <v/>
      </c>
      <c r="R1866" s="13" t="str">
        <f t="shared" si="3"/>
        <v>Yes</v>
      </c>
      <c r="S1866" s="86" t="str">
        <f t="array" ref="S1866">iferror(XLOOKUP(C1866,'Download of SFDC Activation Rep'!B:B,'Download of SFDC Activation Rep'!Y:Y),"")</f>
        <v/>
      </c>
    </row>
    <row r="1867">
      <c r="A1867" s="17"/>
      <c r="B1867" s="85"/>
      <c r="C1867" s="17"/>
      <c r="D1867" s="85"/>
      <c r="E1867" s="17"/>
      <c r="F1867" s="17"/>
      <c r="G1867" s="17"/>
      <c r="I1867" s="17"/>
      <c r="K1867" s="17"/>
      <c r="L1867" s="17"/>
      <c r="M1867" s="17"/>
      <c r="O1867" s="14">
        <f t="shared" si="1"/>
        <v>0</v>
      </c>
      <c r="P1867" s="86" t="str">
        <f t="array" ref="P1867">iferror(XLOOKUP(C1867,'Download of SFDC Activation Rep'!B:B,'Download of SFDC Activation Rep'!Z:Z),"")</f>
        <v/>
      </c>
      <c r="Q1867" s="86" t="str">
        <f t="shared" si="2"/>
        <v/>
      </c>
      <c r="R1867" s="13" t="str">
        <f t="shared" si="3"/>
        <v>Yes</v>
      </c>
      <c r="S1867" s="86" t="str">
        <f t="array" ref="S1867">iferror(XLOOKUP(C1867,'Download of SFDC Activation Rep'!B:B,'Download of SFDC Activation Rep'!Y:Y),"")</f>
        <v/>
      </c>
    </row>
    <row r="1868">
      <c r="A1868" s="17"/>
      <c r="B1868" s="85"/>
      <c r="C1868" s="17"/>
      <c r="D1868" s="85"/>
      <c r="E1868" s="17"/>
      <c r="F1868" s="17"/>
      <c r="G1868" s="17"/>
      <c r="I1868" s="17"/>
      <c r="K1868" s="17"/>
      <c r="L1868" s="17"/>
      <c r="M1868" s="17"/>
      <c r="O1868" s="14">
        <f t="shared" si="1"/>
        <v>0</v>
      </c>
      <c r="P1868" s="86" t="str">
        <f t="array" ref="P1868">iferror(XLOOKUP(C1868,'Download of SFDC Activation Rep'!B:B,'Download of SFDC Activation Rep'!Z:Z),"")</f>
        <v/>
      </c>
      <c r="Q1868" s="86" t="str">
        <f t="shared" si="2"/>
        <v/>
      </c>
      <c r="R1868" s="13" t="str">
        <f t="shared" si="3"/>
        <v>Yes</v>
      </c>
      <c r="S1868" s="86" t="str">
        <f t="array" ref="S1868">iferror(XLOOKUP(C1868,'Download of SFDC Activation Rep'!B:B,'Download of SFDC Activation Rep'!Y:Y),"")</f>
        <v/>
      </c>
    </row>
    <row r="1869">
      <c r="A1869" s="17"/>
      <c r="B1869" s="85"/>
      <c r="C1869" s="17"/>
      <c r="D1869" s="85"/>
      <c r="E1869" s="17"/>
      <c r="F1869" s="17"/>
      <c r="G1869" s="17"/>
      <c r="I1869" s="17"/>
      <c r="K1869" s="17"/>
      <c r="L1869" s="17"/>
      <c r="M1869" s="17"/>
      <c r="O1869" s="14">
        <f t="shared" si="1"/>
        <v>0</v>
      </c>
      <c r="P1869" s="86" t="str">
        <f t="array" ref="P1869">iferror(XLOOKUP(C1869,'Download of SFDC Activation Rep'!B:B,'Download of SFDC Activation Rep'!Z:Z),"")</f>
        <v/>
      </c>
      <c r="Q1869" s="86" t="str">
        <f t="shared" si="2"/>
        <v/>
      </c>
      <c r="R1869" s="13" t="str">
        <f t="shared" si="3"/>
        <v>Yes</v>
      </c>
      <c r="S1869" s="86" t="str">
        <f t="array" ref="S1869">iferror(XLOOKUP(C1869,'Download of SFDC Activation Rep'!B:B,'Download of SFDC Activation Rep'!Y:Y),"")</f>
        <v/>
      </c>
    </row>
    <row r="1870">
      <c r="A1870" s="17"/>
      <c r="B1870" s="85"/>
      <c r="C1870" s="17"/>
      <c r="D1870" s="85"/>
      <c r="E1870" s="17"/>
      <c r="F1870" s="17"/>
      <c r="G1870" s="17"/>
      <c r="I1870" s="17"/>
      <c r="K1870" s="17"/>
      <c r="L1870" s="17"/>
      <c r="M1870" s="17"/>
      <c r="O1870" s="14">
        <f t="shared" si="1"/>
        <v>0</v>
      </c>
      <c r="P1870" s="86" t="str">
        <f t="array" ref="P1870">iferror(XLOOKUP(C1870,'Download of SFDC Activation Rep'!B:B,'Download of SFDC Activation Rep'!Z:Z),"")</f>
        <v/>
      </c>
      <c r="Q1870" s="86" t="str">
        <f t="shared" si="2"/>
        <v/>
      </c>
      <c r="R1870" s="13" t="str">
        <f t="shared" si="3"/>
        <v>Yes</v>
      </c>
      <c r="S1870" s="86" t="str">
        <f t="array" ref="S1870">iferror(XLOOKUP(C1870,'Download of SFDC Activation Rep'!B:B,'Download of SFDC Activation Rep'!Y:Y),"")</f>
        <v/>
      </c>
    </row>
    <row r="1871">
      <c r="A1871" s="17"/>
      <c r="B1871" s="85"/>
      <c r="C1871" s="17"/>
      <c r="D1871" s="85"/>
      <c r="E1871" s="17"/>
      <c r="F1871" s="17"/>
      <c r="G1871" s="17"/>
      <c r="I1871" s="17"/>
      <c r="K1871" s="17"/>
      <c r="L1871" s="17"/>
      <c r="M1871" s="17"/>
      <c r="O1871" s="14">
        <f t="shared" si="1"/>
        <v>0</v>
      </c>
      <c r="P1871" s="86" t="str">
        <f t="array" ref="P1871">iferror(XLOOKUP(C1871,'Download of SFDC Activation Rep'!B:B,'Download of SFDC Activation Rep'!Z:Z),"")</f>
        <v/>
      </c>
      <c r="Q1871" s="86" t="str">
        <f t="shared" si="2"/>
        <v/>
      </c>
      <c r="R1871" s="13" t="str">
        <f t="shared" si="3"/>
        <v>Yes</v>
      </c>
      <c r="S1871" s="86" t="str">
        <f t="array" ref="S1871">iferror(XLOOKUP(C1871,'Download of SFDC Activation Rep'!B:B,'Download of SFDC Activation Rep'!Y:Y),"")</f>
        <v/>
      </c>
    </row>
    <row r="1872">
      <c r="A1872" s="17"/>
      <c r="B1872" s="85"/>
      <c r="C1872" s="17"/>
      <c r="D1872" s="85"/>
      <c r="E1872" s="17"/>
      <c r="F1872" s="17"/>
      <c r="G1872" s="17"/>
      <c r="I1872" s="17"/>
      <c r="K1872" s="17"/>
      <c r="L1872" s="17"/>
      <c r="M1872" s="17"/>
      <c r="O1872" s="14">
        <f t="shared" si="1"/>
        <v>0</v>
      </c>
      <c r="P1872" s="86" t="str">
        <f t="array" ref="P1872">iferror(XLOOKUP(C1872,'Download of SFDC Activation Rep'!B:B,'Download of SFDC Activation Rep'!Z:Z),"")</f>
        <v/>
      </c>
      <c r="Q1872" s="86" t="str">
        <f t="shared" si="2"/>
        <v/>
      </c>
      <c r="R1872" s="13" t="str">
        <f t="shared" si="3"/>
        <v>Yes</v>
      </c>
      <c r="S1872" s="86" t="str">
        <f t="array" ref="S1872">iferror(XLOOKUP(C1872,'Download of SFDC Activation Rep'!B:B,'Download of SFDC Activation Rep'!Y:Y),"")</f>
        <v/>
      </c>
    </row>
    <row r="1873">
      <c r="A1873" s="17"/>
      <c r="B1873" s="85"/>
      <c r="C1873" s="17"/>
      <c r="D1873" s="85"/>
      <c r="E1873" s="17"/>
      <c r="F1873" s="17"/>
      <c r="G1873" s="17"/>
      <c r="I1873" s="17"/>
      <c r="K1873" s="17"/>
      <c r="L1873" s="17"/>
      <c r="M1873" s="17"/>
      <c r="O1873" s="14">
        <f t="shared" si="1"/>
        <v>0</v>
      </c>
      <c r="P1873" s="86" t="str">
        <f t="array" ref="P1873">iferror(XLOOKUP(C1873,'Download of SFDC Activation Rep'!B:B,'Download of SFDC Activation Rep'!Z:Z),"")</f>
        <v/>
      </c>
      <c r="Q1873" s="86" t="str">
        <f t="shared" si="2"/>
        <v/>
      </c>
      <c r="R1873" s="13" t="str">
        <f t="shared" si="3"/>
        <v>Yes</v>
      </c>
      <c r="S1873" s="86" t="str">
        <f t="array" ref="S1873">iferror(XLOOKUP(C1873,'Download of SFDC Activation Rep'!B:B,'Download of SFDC Activation Rep'!Y:Y),"")</f>
        <v/>
      </c>
    </row>
    <row r="1874">
      <c r="A1874" s="17"/>
      <c r="B1874" s="85"/>
      <c r="C1874" s="17"/>
      <c r="D1874" s="85"/>
      <c r="E1874" s="17"/>
      <c r="F1874" s="17"/>
      <c r="G1874" s="17"/>
      <c r="I1874" s="17"/>
      <c r="K1874" s="17"/>
      <c r="L1874" s="17"/>
      <c r="M1874" s="17"/>
      <c r="O1874" s="14">
        <f t="shared" si="1"/>
        <v>0</v>
      </c>
      <c r="P1874" s="86" t="str">
        <f t="array" ref="P1874">iferror(XLOOKUP(C1874,'Download of SFDC Activation Rep'!B:B,'Download of SFDC Activation Rep'!Z:Z),"")</f>
        <v/>
      </c>
      <c r="Q1874" s="86" t="str">
        <f t="shared" si="2"/>
        <v/>
      </c>
      <c r="R1874" s="13" t="str">
        <f t="shared" si="3"/>
        <v>Yes</v>
      </c>
      <c r="S1874" s="86" t="str">
        <f t="array" ref="S1874">iferror(XLOOKUP(C1874,'Download of SFDC Activation Rep'!B:B,'Download of SFDC Activation Rep'!Y:Y),"")</f>
        <v/>
      </c>
    </row>
    <row r="1875">
      <c r="A1875" s="17"/>
      <c r="B1875" s="85"/>
      <c r="C1875" s="17"/>
      <c r="D1875" s="85"/>
      <c r="E1875" s="17"/>
      <c r="F1875" s="17"/>
      <c r="G1875" s="17"/>
      <c r="I1875" s="17"/>
      <c r="K1875" s="17"/>
      <c r="L1875" s="17"/>
      <c r="M1875" s="17"/>
      <c r="O1875" s="14">
        <f t="shared" si="1"/>
        <v>0</v>
      </c>
      <c r="P1875" s="86" t="str">
        <f t="array" ref="P1875">iferror(XLOOKUP(C1875,'Download of SFDC Activation Rep'!B:B,'Download of SFDC Activation Rep'!Z:Z),"")</f>
        <v/>
      </c>
      <c r="Q1875" s="86" t="str">
        <f t="shared" si="2"/>
        <v/>
      </c>
      <c r="R1875" s="13" t="str">
        <f t="shared" si="3"/>
        <v>Yes</v>
      </c>
      <c r="S1875" s="86" t="str">
        <f t="array" ref="S1875">iferror(XLOOKUP(C1875,'Download of SFDC Activation Rep'!B:B,'Download of SFDC Activation Rep'!Y:Y),"")</f>
        <v/>
      </c>
    </row>
    <row r="1876">
      <c r="A1876" s="17"/>
      <c r="B1876" s="85"/>
      <c r="C1876" s="17"/>
      <c r="D1876" s="85"/>
      <c r="E1876" s="17"/>
      <c r="F1876" s="17"/>
      <c r="G1876" s="17"/>
      <c r="I1876" s="17"/>
      <c r="K1876" s="17"/>
      <c r="L1876" s="17"/>
      <c r="M1876" s="17"/>
      <c r="O1876" s="14">
        <f t="shared" si="1"/>
        <v>0</v>
      </c>
      <c r="P1876" s="86" t="str">
        <f t="array" ref="P1876">iferror(XLOOKUP(C1876,'Download of SFDC Activation Rep'!B:B,'Download of SFDC Activation Rep'!Z:Z),"")</f>
        <v/>
      </c>
      <c r="Q1876" s="86" t="str">
        <f t="shared" si="2"/>
        <v/>
      </c>
      <c r="R1876" s="13" t="str">
        <f t="shared" si="3"/>
        <v>Yes</v>
      </c>
      <c r="S1876" s="86" t="str">
        <f t="array" ref="S1876">iferror(XLOOKUP(C1876,'Download of SFDC Activation Rep'!B:B,'Download of SFDC Activation Rep'!Y:Y),"")</f>
        <v/>
      </c>
    </row>
    <row r="1877">
      <c r="A1877" s="17"/>
      <c r="B1877" s="85"/>
      <c r="C1877" s="17"/>
      <c r="D1877" s="85"/>
      <c r="E1877" s="17"/>
      <c r="F1877" s="17"/>
      <c r="G1877" s="17"/>
      <c r="I1877" s="17"/>
      <c r="K1877" s="17"/>
      <c r="L1877" s="17"/>
      <c r="M1877" s="17"/>
      <c r="O1877" s="14">
        <f t="shared" si="1"/>
        <v>0</v>
      </c>
      <c r="P1877" s="86" t="str">
        <f t="array" ref="P1877">iferror(XLOOKUP(C1877,'Download of SFDC Activation Rep'!B:B,'Download of SFDC Activation Rep'!Z:Z),"")</f>
        <v/>
      </c>
      <c r="Q1877" s="86" t="str">
        <f t="shared" si="2"/>
        <v/>
      </c>
      <c r="R1877" s="13" t="str">
        <f t="shared" si="3"/>
        <v>Yes</v>
      </c>
      <c r="S1877" s="86" t="str">
        <f t="array" ref="S1877">iferror(XLOOKUP(C1877,'Download of SFDC Activation Rep'!B:B,'Download of SFDC Activation Rep'!Y:Y),"")</f>
        <v/>
      </c>
    </row>
    <row r="1878">
      <c r="A1878" s="17"/>
      <c r="B1878" s="85"/>
      <c r="C1878" s="17"/>
      <c r="D1878" s="85"/>
      <c r="E1878" s="17"/>
      <c r="F1878" s="17"/>
      <c r="G1878" s="17"/>
      <c r="I1878" s="17"/>
      <c r="K1878" s="17"/>
      <c r="L1878" s="17"/>
      <c r="M1878" s="17"/>
      <c r="O1878" s="14">
        <f t="shared" si="1"/>
        <v>0</v>
      </c>
      <c r="P1878" s="86" t="str">
        <f t="array" ref="P1878">iferror(XLOOKUP(C1878,'Download of SFDC Activation Rep'!B:B,'Download of SFDC Activation Rep'!Z:Z),"")</f>
        <v/>
      </c>
      <c r="Q1878" s="86" t="str">
        <f t="shared" si="2"/>
        <v/>
      </c>
      <c r="R1878" s="13" t="str">
        <f t="shared" si="3"/>
        <v>Yes</v>
      </c>
      <c r="S1878" s="86" t="str">
        <f t="array" ref="S1878">iferror(XLOOKUP(C1878,'Download of SFDC Activation Rep'!B:B,'Download of SFDC Activation Rep'!Y:Y),"")</f>
        <v/>
      </c>
    </row>
    <row r="1879">
      <c r="A1879" s="17"/>
      <c r="B1879" s="85"/>
      <c r="C1879" s="17"/>
      <c r="D1879" s="85"/>
      <c r="E1879" s="17"/>
      <c r="F1879" s="17"/>
      <c r="G1879" s="17"/>
      <c r="I1879" s="17"/>
      <c r="K1879" s="17"/>
      <c r="L1879" s="17"/>
      <c r="M1879" s="17"/>
      <c r="O1879" s="14">
        <f t="shared" si="1"/>
        <v>0</v>
      </c>
      <c r="P1879" s="86" t="str">
        <f t="array" ref="P1879">iferror(XLOOKUP(C1879,'Download of SFDC Activation Rep'!B:B,'Download of SFDC Activation Rep'!Z:Z),"")</f>
        <v/>
      </c>
      <c r="Q1879" s="86" t="str">
        <f t="shared" si="2"/>
        <v/>
      </c>
      <c r="R1879" s="13" t="str">
        <f t="shared" si="3"/>
        <v>Yes</v>
      </c>
      <c r="S1879" s="86" t="str">
        <f t="array" ref="S1879">iferror(XLOOKUP(C1879,'Download of SFDC Activation Rep'!B:B,'Download of SFDC Activation Rep'!Y:Y),"")</f>
        <v/>
      </c>
    </row>
    <row r="1880">
      <c r="A1880" s="17"/>
      <c r="B1880" s="85"/>
      <c r="C1880" s="17"/>
      <c r="D1880" s="85"/>
      <c r="E1880" s="17"/>
      <c r="F1880" s="17"/>
      <c r="G1880" s="17"/>
      <c r="I1880" s="17"/>
      <c r="K1880" s="17"/>
      <c r="L1880" s="17"/>
      <c r="M1880" s="17"/>
      <c r="O1880" s="14">
        <f t="shared" si="1"/>
        <v>0</v>
      </c>
      <c r="P1880" s="86" t="str">
        <f t="array" ref="P1880">iferror(XLOOKUP(C1880,'Download of SFDC Activation Rep'!B:B,'Download of SFDC Activation Rep'!Z:Z),"")</f>
        <v/>
      </c>
      <c r="Q1880" s="86" t="str">
        <f t="shared" si="2"/>
        <v/>
      </c>
      <c r="R1880" s="13" t="str">
        <f t="shared" si="3"/>
        <v>Yes</v>
      </c>
      <c r="S1880" s="86" t="str">
        <f t="array" ref="S1880">iferror(XLOOKUP(C1880,'Download of SFDC Activation Rep'!B:B,'Download of SFDC Activation Rep'!Y:Y),"")</f>
        <v/>
      </c>
    </row>
    <row r="1881">
      <c r="A1881" s="17"/>
      <c r="B1881" s="85"/>
      <c r="C1881" s="17"/>
      <c r="D1881" s="85"/>
      <c r="E1881" s="17"/>
      <c r="F1881" s="17"/>
      <c r="G1881" s="17"/>
      <c r="I1881" s="17"/>
      <c r="K1881" s="17"/>
      <c r="L1881" s="17"/>
      <c r="M1881" s="17"/>
      <c r="O1881" s="14">
        <f t="shared" si="1"/>
        <v>0</v>
      </c>
      <c r="P1881" s="86" t="str">
        <f t="array" ref="P1881">iferror(XLOOKUP(C1881,'Download of SFDC Activation Rep'!B:B,'Download of SFDC Activation Rep'!Z:Z),"")</f>
        <v/>
      </c>
      <c r="Q1881" s="86" t="str">
        <f t="shared" si="2"/>
        <v/>
      </c>
      <c r="R1881" s="13" t="str">
        <f t="shared" si="3"/>
        <v>Yes</v>
      </c>
      <c r="S1881" s="86" t="str">
        <f t="array" ref="S1881">iferror(XLOOKUP(C1881,'Download of SFDC Activation Rep'!B:B,'Download of SFDC Activation Rep'!Y:Y),"")</f>
        <v/>
      </c>
    </row>
    <row r="1882">
      <c r="A1882" s="17"/>
      <c r="B1882" s="85"/>
      <c r="C1882" s="17"/>
      <c r="D1882" s="85"/>
      <c r="E1882" s="17"/>
      <c r="F1882" s="17"/>
      <c r="G1882" s="17"/>
      <c r="I1882" s="17"/>
      <c r="K1882" s="17"/>
      <c r="L1882" s="17"/>
      <c r="M1882" s="17"/>
      <c r="O1882" s="14">
        <f t="shared" si="1"/>
        <v>0</v>
      </c>
      <c r="P1882" s="86" t="str">
        <f t="array" ref="P1882">iferror(XLOOKUP(C1882,'Download of SFDC Activation Rep'!B:B,'Download of SFDC Activation Rep'!Z:Z),"")</f>
        <v/>
      </c>
      <c r="Q1882" s="86" t="str">
        <f t="shared" si="2"/>
        <v/>
      </c>
      <c r="R1882" s="13" t="str">
        <f t="shared" si="3"/>
        <v>Yes</v>
      </c>
      <c r="S1882" s="86" t="str">
        <f t="array" ref="S1882">iferror(XLOOKUP(C1882,'Download of SFDC Activation Rep'!B:B,'Download of SFDC Activation Rep'!Y:Y),"")</f>
        <v/>
      </c>
    </row>
    <row r="1883">
      <c r="A1883" s="17"/>
      <c r="B1883" s="85"/>
      <c r="C1883" s="17"/>
      <c r="D1883" s="85"/>
      <c r="E1883" s="17"/>
      <c r="F1883" s="17"/>
      <c r="G1883" s="17"/>
      <c r="I1883" s="17"/>
      <c r="K1883" s="17"/>
      <c r="L1883" s="17"/>
      <c r="M1883" s="17"/>
      <c r="O1883" s="14">
        <f t="shared" si="1"/>
        <v>0</v>
      </c>
      <c r="P1883" s="86" t="str">
        <f t="array" ref="P1883">iferror(XLOOKUP(C1883,'Download of SFDC Activation Rep'!B:B,'Download of SFDC Activation Rep'!Z:Z),"")</f>
        <v/>
      </c>
      <c r="Q1883" s="86" t="str">
        <f t="shared" si="2"/>
        <v/>
      </c>
      <c r="R1883" s="13" t="str">
        <f t="shared" si="3"/>
        <v>Yes</v>
      </c>
      <c r="S1883" s="86" t="str">
        <f t="array" ref="S1883">iferror(XLOOKUP(C1883,'Download of SFDC Activation Rep'!B:B,'Download of SFDC Activation Rep'!Y:Y),"")</f>
        <v/>
      </c>
    </row>
    <row r="1884">
      <c r="A1884" s="17"/>
      <c r="B1884" s="85"/>
      <c r="C1884" s="17"/>
      <c r="D1884" s="85"/>
      <c r="E1884" s="17"/>
      <c r="F1884" s="17"/>
      <c r="G1884" s="17"/>
      <c r="I1884" s="17"/>
      <c r="K1884" s="17"/>
      <c r="L1884" s="17"/>
      <c r="M1884" s="17"/>
      <c r="O1884" s="14">
        <f t="shared" si="1"/>
        <v>0</v>
      </c>
      <c r="P1884" s="86" t="str">
        <f t="array" ref="P1884">iferror(XLOOKUP(C1884,'Download of SFDC Activation Rep'!B:B,'Download of SFDC Activation Rep'!Z:Z),"")</f>
        <v/>
      </c>
      <c r="Q1884" s="86" t="str">
        <f t="shared" si="2"/>
        <v/>
      </c>
      <c r="R1884" s="13" t="str">
        <f t="shared" si="3"/>
        <v>Yes</v>
      </c>
      <c r="S1884" s="86" t="str">
        <f t="array" ref="S1884">iferror(XLOOKUP(C1884,'Download of SFDC Activation Rep'!B:B,'Download of SFDC Activation Rep'!Y:Y),"")</f>
        <v/>
      </c>
    </row>
    <row r="1885">
      <c r="A1885" s="17"/>
      <c r="B1885" s="85"/>
      <c r="C1885" s="17"/>
      <c r="D1885" s="85"/>
      <c r="E1885" s="17"/>
      <c r="F1885" s="17"/>
      <c r="G1885" s="17"/>
      <c r="I1885" s="17"/>
      <c r="K1885" s="17"/>
      <c r="L1885" s="17"/>
      <c r="M1885" s="17"/>
      <c r="O1885" s="14">
        <f t="shared" si="1"/>
        <v>0</v>
      </c>
      <c r="P1885" s="86" t="str">
        <f t="array" ref="P1885">iferror(XLOOKUP(C1885,'Download of SFDC Activation Rep'!B:B,'Download of SFDC Activation Rep'!Z:Z),"")</f>
        <v/>
      </c>
      <c r="Q1885" s="86" t="str">
        <f t="shared" si="2"/>
        <v/>
      </c>
      <c r="R1885" s="13" t="str">
        <f t="shared" si="3"/>
        <v>Yes</v>
      </c>
      <c r="S1885" s="86" t="str">
        <f t="array" ref="S1885">iferror(XLOOKUP(C1885,'Download of SFDC Activation Rep'!B:B,'Download of SFDC Activation Rep'!Y:Y),"")</f>
        <v/>
      </c>
    </row>
    <row r="1886">
      <c r="A1886" s="17"/>
      <c r="B1886" s="85"/>
      <c r="C1886" s="17"/>
      <c r="D1886" s="85"/>
      <c r="E1886" s="17"/>
      <c r="F1886" s="17"/>
      <c r="G1886" s="17"/>
      <c r="I1886" s="17"/>
      <c r="K1886" s="17"/>
      <c r="L1886" s="17"/>
      <c r="M1886" s="17"/>
      <c r="O1886" s="14">
        <f t="shared" si="1"/>
        <v>0</v>
      </c>
      <c r="P1886" s="86" t="str">
        <f t="array" ref="P1886">iferror(XLOOKUP(C1886,'Download of SFDC Activation Rep'!B:B,'Download of SFDC Activation Rep'!Z:Z),"")</f>
        <v/>
      </c>
      <c r="Q1886" s="86" t="str">
        <f t="shared" si="2"/>
        <v/>
      </c>
      <c r="R1886" s="13" t="str">
        <f t="shared" si="3"/>
        <v>Yes</v>
      </c>
      <c r="S1886" s="86" t="str">
        <f t="array" ref="S1886">iferror(XLOOKUP(C1886,'Download of SFDC Activation Rep'!B:B,'Download of SFDC Activation Rep'!Y:Y),"")</f>
        <v/>
      </c>
    </row>
    <row r="1887">
      <c r="A1887" s="17"/>
      <c r="B1887" s="85"/>
      <c r="C1887" s="17"/>
      <c r="D1887" s="85"/>
      <c r="E1887" s="17"/>
      <c r="F1887" s="17"/>
      <c r="G1887" s="17"/>
      <c r="I1887" s="17"/>
      <c r="K1887" s="17"/>
      <c r="L1887" s="17"/>
      <c r="M1887" s="17"/>
      <c r="O1887" s="14">
        <f t="shared" si="1"/>
        <v>0</v>
      </c>
      <c r="P1887" s="86" t="str">
        <f t="array" ref="P1887">iferror(XLOOKUP(C1887,'Download of SFDC Activation Rep'!B:B,'Download of SFDC Activation Rep'!Z:Z),"")</f>
        <v/>
      </c>
      <c r="Q1887" s="86" t="str">
        <f t="shared" si="2"/>
        <v/>
      </c>
      <c r="R1887" s="13" t="str">
        <f t="shared" si="3"/>
        <v>Yes</v>
      </c>
      <c r="S1887" s="86" t="str">
        <f t="array" ref="S1887">iferror(XLOOKUP(C1887,'Download of SFDC Activation Rep'!B:B,'Download of SFDC Activation Rep'!Y:Y),"")</f>
        <v/>
      </c>
    </row>
    <row r="1888">
      <c r="A1888" s="17"/>
      <c r="B1888" s="85"/>
      <c r="C1888" s="17"/>
      <c r="D1888" s="85"/>
      <c r="E1888" s="17"/>
      <c r="F1888" s="17"/>
      <c r="G1888" s="17"/>
      <c r="I1888" s="17"/>
      <c r="K1888" s="17"/>
      <c r="L1888" s="17"/>
      <c r="M1888" s="17"/>
      <c r="O1888" s="14">
        <f t="shared" si="1"/>
        <v>0</v>
      </c>
      <c r="P1888" s="86" t="str">
        <f t="array" ref="P1888">iferror(XLOOKUP(C1888,'Download of SFDC Activation Rep'!B:B,'Download of SFDC Activation Rep'!Z:Z),"")</f>
        <v/>
      </c>
      <c r="Q1888" s="86" t="str">
        <f t="shared" si="2"/>
        <v/>
      </c>
      <c r="R1888" s="13" t="str">
        <f t="shared" si="3"/>
        <v>Yes</v>
      </c>
      <c r="S1888" s="86" t="str">
        <f t="array" ref="S1888">iferror(XLOOKUP(C1888,'Download of SFDC Activation Rep'!B:B,'Download of SFDC Activation Rep'!Y:Y),"")</f>
        <v/>
      </c>
    </row>
    <row r="1889">
      <c r="A1889" s="17"/>
      <c r="B1889" s="85"/>
      <c r="C1889" s="17"/>
      <c r="D1889" s="85"/>
      <c r="E1889" s="17"/>
      <c r="F1889" s="17"/>
      <c r="G1889" s="17"/>
      <c r="I1889" s="17"/>
      <c r="K1889" s="17"/>
      <c r="L1889" s="17"/>
      <c r="M1889" s="17"/>
      <c r="O1889" s="14">
        <f t="shared" si="1"/>
        <v>0</v>
      </c>
      <c r="P1889" s="86" t="str">
        <f t="array" ref="P1889">iferror(XLOOKUP(C1889,'Download of SFDC Activation Rep'!B:B,'Download of SFDC Activation Rep'!Z:Z),"")</f>
        <v/>
      </c>
      <c r="Q1889" s="86" t="str">
        <f t="shared" si="2"/>
        <v/>
      </c>
      <c r="R1889" s="13" t="str">
        <f t="shared" si="3"/>
        <v>Yes</v>
      </c>
      <c r="S1889" s="86" t="str">
        <f t="array" ref="S1889">iferror(XLOOKUP(C1889,'Download of SFDC Activation Rep'!B:B,'Download of SFDC Activation Rep'!Y:Y),"")</f>
        <v/>
      </c>
    </row>
    <row r="1890">
      <c r="A1890" s="17"/>
      <c r="B1890" s="85"/>
      <c r="C1890" s="17"/>
      <c r="D1890" s="85"/>
      <c r="E1890" s="17"/>
      <c r="F1890" s="17"/>
      <c r="G1890" s="17"/>
      <c r="I1890" s="17"/>
      <c r="K1890" s="17"/>
      <c r="L1890" s="17"/>
      <c r="M1890" s="17"/>
      <c r="O1890" s="14">
        <f t="shared" si="1"/>
        <v>0</v>
      </c>
      <c r="P1890" s="86" t="str">
        <f t="array" ref="P1890">iferror(XLOOKUP(C1890,'Download of SFDC Activation Rep'!B:B,'Download of SFDC Activation Rep'!Z:Z),"")</f>
        <v/>
      </c>
      <c r="Q1890" s="86" t="str">
        <f t="shared" si="2"/>
        <v/>
      </c>
      <c r="R1890" s="13" t="str">
        <f t="shared" si="3"/>
        <v>Yes</v>
      </c>
      <c r="S1890" s="86" t="str">
        <f t="array" ref="S1890">iferror(XLOOKUP(C1890,'Download of SFDC Activation Rep'!B:B,'Download of SFDC Activation Rep'!Y:Y),"")</f>
        <v/>
      </c>
    </row>
    <row r="1891">
      <c r="A1891" s="17"/>
      <c r="B1891" s="85"/>
      <c r="C1891" s="17"/>
      <c r="D1891" s="85"/>
      <c r="E1891" s="17"/>
      <c r="F1891" s="17"/>
      <c r="G1891" s="17"/>
      <c r="I1891" s="17"/>
      <c r="K1891" s="17"/>
      <c r="L1891" s="17"/>
      <c r="M1891" s="17"/>
      <c r="O1891" s="14">
        <f t="shared" si="1"/>
        <v>0</v>
      </c>
      <c r="P1891" s="86" t="str">
        <f t="array" ref="P1891">iferror(XLOOKUP(C1891,'Download of SFDC Activation Rep'!B:B,'Download of SFDC Activation Rep'!Z:Z),"")</f>
        <v/>
      </c>
      <c r="Q1891" s="86" t="str">
        <f t="shared" si="2"/>
        <v/>
      </c>
      <c r="R1891" s="13" t="str">
        <f t="shared" si="3"/>
        <v>Yes</v>
      </c>
      <c r="S1891" s="86" t="str">
        <f t="array" ref="S1891">iferror(XLOOKUP(C1891,'Download of SFDC Activation Rep'!B:B,'Download of SFDC Activation Rep'!Y:Y),"")</f>
        <v/>
      </c>
    </row>
    <row r="1892">
      <c r="A1892" s="17"/>
      <c r="B1892" s="85"/>
      <c r="C1892" s="17"/>
      <c r="D1892" s="85"/>
      <c r="E1892" s="17"/>
      <c r="F1892" s="17"/>
      <c r="G1892" s="17"/>
      <c r="I1892" s="17"/>
      <c r="K1892" s="17"/>
      <c r="L1892" s="17"/>
      <c r="M1892" s="17"/>
      <c r="O1892" s="14">
        <f t="shared" si="1"/>
        <v>0</v>
      </c>
      <c r="P1892" s="86" t="str">
        <f t="array" ref="P1892">iferror(XLOOKUP(C1892,'Download of SFDC Activation Rep'!B:B,'Download of SFDC Activation Rep'!Z:Z),"")</f>
        <v/>
      </c>
      <c r="Q1892" s="86" t="str">
        <f t="shared" si="2"/>
        <v/>
      </c>
      <c r="R1892" s="13" t="str">
        <f t="shared" si="3"/>
        <v>Yes</v>
      </c>
      <c r="S1892" s="86" t="str">
        <f t="array" ref="S1892">iferror(XLOOKUP(C1892,'Download of SFDC Activation Rep'!B:B,'Download of SFDC Activation Rep'!Y:Y),"")</f>
        <v/>
      </c>
    </row>
    <row r="1893">
      <c r="A1893" s="17"/>
      <c r="B1893" s="85"/>
      <c r="C1893" s="17"/>
      <c r="D1893" s="85"/>
      <c r="E1893" s="17"/>
      <c r="F1893" s="17"/>
      <c r="G1893" s="17"/>
      <c r="I1893" s="17"/>
      <c r="K1893" s="17"/>
      <c r="L1893" s="17"/>
      <c r="M1893" s="17"/>
      <c r="O1893" s="14">
        <f t="shared" si="1"/>
        <v>0</v>
      </c>
      <c r="P1893" s="86" t="str">
        <f t="array" ref="P1893">iferror(XLOOKUP(C1893,'Download of SFDC Activation Rep'!B:B,'Download of SFDC Activation Rep'!Z:Z),"")</f>
        <v/>
      </c>
      <c r="Q1893" s="86" t="str">
        <f t="shared" si="2"/>
        <v/>
      </c>
      <c r="R1893" s="13" t="str">
        <f t="shared" si="3"/>
        <v>Yes</v>
      </c>
      <c r="S1893" s="86" t="str">
        <f t="array" ref="S1893">iferror(XLOOKUP(C1893,'Download of SFDC Activation Rep'!B:B,'Download of SFDC Activation Rep'!Y:Y),"")</f>
        <v/>
      </c>
    </row>
    <row r="1894">
      <c r="A1894" s="17"/>
      <c r="B1894" s="85"/>
      <c r="C1894" s="17"/>
      <c r="D1894" s="85"/>
      <c r="E1894" s="17"/>
      <c r="F1894" s="17"/>
      <c r="G1894" s="17"/>
      <c r="I1894" s="17"/>
      <c r="K1894" s="17"/>
      <c r="L1894" s="17"/>
      <c r="M1894" s="17"/>
      <c r="O1894" s="14">
        <f t="shared" si="1"/>
        <v>0</v>
      </c>
      <c r="P1894" s="86" t="str">
        <f t="array" ref="P1894">iferror(XLOOKUP(C1894,'Download of SFDC Activation Rep'!B:B,'Download of SFDC Activation Rep'!Z:Z),"")</f>
        <v/>
      </c>
      <c r="Q1894" s="86" t="str">
        <f t="shared" si="2"/>
        <v/>
      </c>
      <c r="R1894" s="13" t="str">
        <f t="shared" si="3"/>
        <v>Yes</v>
      </c>
      <c r="S1894" s="86" t="str">
        <f t="array" ref="S1894">iferror(XLOOKUP(C1894,'Download of SFDC Activation Rep'!B:B,'Download of SFDC Activation Rep'!Y:Y),"")</f>
        <v/>
      </c>
    </row>
    <row r="1895">
      <c r="A1895" s="17"/>
      <c r="B1895" s="85"/>
      <c r="C1895" s="17"/>
      <c r="D1895" s="85"/>
      <c r="E1895" s="17"/>
      <c r="F1895" s="17"/>
      <c r="G1895" s="17"/>
      <c r="I1895" s="17"/>
      <c r="K1895" s="17"/>
      <c r="L1895" s="17"/>
      <c r="M1895" s="17"/>
      <c r="O1895" s="14">
        <f t="shared" si="1"/>
        <v>0</v>
      </c>
      <c r="P1895" s="86" t="str">
        <f t="array" ref="P1895">iferror(XLOOKUP(C1895,'Download of SFDC Activation Rep'!B:B,'Download of SFDC Activation Rep'!Z:Z),"")</f>
        <v/>
      </c>
      <c r="Q1895" s="86" t="str">
        <f t="shared" si="2"/>
        <v/>
      </c>
      <c r="R1895" s="13" t="str">
        <f t="shared" si="3"/>
        <v>Yes</v>
      </c>
      <c r="S1895" s="86" t="str">
        <f t="array" ref="S1895">iferror(XLOOKUP(C1895,'Download of SFDC Activation Rep'!B:B,'Download of SFDC Activation Rep'!Y:Y),"")</f>
        <v/>
      </c>
    </row>
    <row r="1896">
      <c r="A1896" s="17"/>
      <c r="B1896" s="85"/>
      <c r="C1896" s="17"/>
      <c r="D1896" s="85"/>
      <c r="E1896" s="17"/>
      <c r="F1896" s="17"/>
      <c r="G1896" s="17"/>
      <c r="I1896" s="17"/>
      <c r="K1896" s="17"/>
      <c r="L1896" s="17"/>
      <c r="M1896" s="17"/>
      <c r="O1896" s="14">
        <f t="shared" si="1"/>
        <v>0</v>
      </c>
      <c r="P1896" s="86" t="str">
        <f t="array" ref="P1896">iferror(XLOOKUP(C1896,'Download of SFDC Activation Rep'!B:B,'Download of SFDC Activation Rep'!Z:Z),"")</f>
        <v/>
      </c>
      <c r="Q1896" s="86" t="str">
        <f t="shared" si="2"/>
        <v/>
      </c>
      <c r="R1896" s="13" t="str">
        <f t="shared" si="3"/>
        <v>Yes</v>
      </c>
      <c r="S1896" s="86" t="str">
        <f t="array" ref="S1896">iferror(XLOOKUP(C1896,'Download of SFDC Activation Rep'!B:B,'Download of SFDC Activation Rep'!Y:Y),"")</f>
        <v/>
      </c>
    </row>
    <row r="1897">
      <c r="A1897" s="17"/>
      <c r="B1897" s="85"/>
      <c r="C1897" s="17"/>
      <c r="D1897" s="85"/>
      <c r="E1897" s="17"/>
      <c r="F1897" s="17"/>
      <c r="G1897" s="17"/>
      <c r="I1897" s="17"/>
      <c r="K1897" s="17"/>
      <c r="L1897" s="17"/>
      <c r="M1897" s="17"/>
      <c r="O1897" s="14">
        <f t="shared" si="1"/>
        <v>0</v>
      </c>
      <c r="P1897" s="86" t="str">
        <f t="array" ref="P1897">iferror(XLOOKUP(C1897,'Download of SFDC Activation Rep'!B:B,'Download of SFDC Activation Rep'!Z:Z),"")</f>
        <v/>
      </c>
      <c r="Q1897" s="86" t="str">
        <f t="shared" si="2"/>
        <v/>
      </c>
      <c r="R1897" s="13" t="str">
        <f t="shared" si="3"/>
        <v>Yes</v>
      </c>
      <c r="S1897" s="86" t="str">
        <f t="array" ref="S1897">iferror(XLOOKUP(C1897,'Download of SFDC Activation Rep'!B:B,'Download of SFDC Activation Rep'!Y:Y),"")</f>
        <v/>
      </c>
    </row>
    <row r="1898">
      <c r="A1898" s="17"/>
      <c r="B1898" s="85"/>
      <c r="C1898" s="17"/>
      <c r="D1898" s="85"/>
      <c r="E1898" s="17"/>
      <c r="F1898" s="17"/>
      <c r="G1898" s="17"/>
      <c r="I1898" s="17"/>
      <c r="K1898" s="17"/>
      <c r="L1898" s="17"/>
      <c r="M1898" s="17"/>
      <c r="O1898" s="14">
        <f t="shared" si="1"/>
        <v>0</v>
      </c>
      <c r="P1898" s="86" t="str">
        <f t="array" ref="P1898">iferror(XLOOKUP(C1898,'Download of SFDC Activation Rep'!B:B,'Download of SFDC Activation Rep'!Z:Z),"")</f>
        <v/>
      </c>
      <c r="Q1898" s="86" t="str">
        <f t="shared" si="2"/>
        <v/>
      </c>
      <c r="R1898" s="13" t="str">
        <f t="shared" si="3"/>
        <v>Yes</v>
      </c>
      <c r="S1898" s="86" t="str">
        <f t="array" ref="S1898">iferror(XLOOKUP(C1898,'Download of SFDC Activation Rep'!B:B,'Download of SFDC Activation Rep'!Y:Y),"")</f>
        <v/>
      </c>
    </row>
    <row r="1899">
      <c r="A1899" s="17"/>
      <c r="B1899" s="85"/>
      <c r="C1899" s="17"/>
      <c r="D1899" s="85"/>
      <c r="E1899" s="17"/>
      <c r="F1899" s="17"/>
      <c r="G1899" s="17"/>
      <c r="I1899" s="17"/>
      <c r="K1899" s="17"/>
      <c r="L1899" s="17"/>
      <c r="M1899" s="17"/>
      <c r="O1899" s="14">
        <f t="shared" si="1"/>
        <v>0</v>
      </c>
      <c r="P1899" s="86" t="str">
        <f t="array" ref="P1899">iferror(XLOOKUP(C1899,'Download of SFDC Activation Rep'!B:B,'Download of SFDC Activation Rep'!Z:Z),"")</f>
        <v/>
      </c>
      <c r="Q1899" s="86" t="str">
        <f t="shared" si="2"/>
        <v/>
      </c>
      <c r="R1899" s="13" t="str">
        <f t="shared" si="3"/>
        <v>Yes</v>
      </c>
      <c r="S1899" s="86" t="str">
        <f t="array" ref="S1899">iferror(XLOOKUP(C1899,'Download of SFDC Activation Rep'!B:B,'Download of SFDC Activation Rep'!Y:Y),"")</f>
        <v/>
      </c>
    </row>
    <row r="1900">
      <c r="A1900" s="17"/>
      <c r="B1900" s="85"/>
      <c r="C1900" s="17"/>
      <c r="D1900" s="85"/>
      <c r="E1900" s="17"/>
      <c r="F1900" s="17"/>
      <c r="G1900" s="17"/>
      <c r="I1900" s="17"/>
      <c r="K1900" s="17"/>
      <c r="L1900" s="17"/>
      <c r="M1900" s="17"/>
      <c r="O1900" s="14">
        <f t="shared" si="1"/>
        <v>0</v>
      </c>
      <c r="P1900" s="86" t="str">
        <f t="array" ref="P1900">iferror(XLOOKUP(C1900,'Download of SFDC Activation Rep'!B:B,'Download of SFDC Activation Rep'!Z:Z),"")</f>
        <v/>
      </c>
      <c r="Q1900" s="86" t="str">
        <f t="shared" si="2"/>
        <v/>
      </c>
      <c r="R1900" s="13" t="str">
        <f t="shared" si="3"/>
        <v>Yes</v>
      </c>
      <c r="S1900" s="86" t="str">
        <f t="array" ref="S1900">iferror(XLOOKUP(C1900,'Download of SFDC Activation Rep'!B:B,'Download of SFDC Activation Rep'!Y:Y),"")</f>
        <v/>
      </c>
    </row>
    <row r="1901">
      <c r="A1901" s="17"/>
      <c r="B1901" s="85"/>
      <c r="C1901" s="17"/>
      <c r="D1901" s="85"/>
      <c r="E1901" s="17"/>
      <c r="F1901" s="17"/>
      <c r="G1901" s="17"/>
      <c r="I1901" s="17"/>
      <c r="K1901" s="17"/>
      <c r="L1901" s="17"/>
      <c r="M1901" s="17"/>
      <c r="O1901" s="14">
        <f t="shared" si="1"/>
        <v>0</v>
      </c>
      <c r="P1901" s="86" t="str">
        <f t="array" ref="P1901">iferror(XLOOKUP(C1901,'Download of SFDC Activation Rep'!B:B,'Download of SFDC Activation Rep'!Z:Z),"")</f>
        <v/>
      </c>
      <c r="Q1901" s="86" t="str">
        <f t="shared" si="2"/>
        <v/>
      </c>
      <c r="R1901" s="13" t="str">
        <f t="shared" si="3"/>
        <v>Yes</v>
      </c>
      <c r="S1901" s="86" t="str">
        <f t="array" ref="S1901">iferror(XLOOKUP(C1901,'Download of SFDC Activation Rep'!B:B,'Download of SFDC Activation Rep'!Y:Y),"")</f>
        <v/>
      </c>
    </row>
    <row r="1902">
      <c r="A1902" s="17"/>
      <c r="B1902" s="85"/>
      <c r="C1902" s="17"/>
      <c r="D1902" s="85"/>
      <c r="E1902" s="17"/>
      <c r="F1902" s="17"/>
      <c r="G1902" s="17"/>
      <c r="I1902" s="17"/>
      <c r="K1902" s="17"/>
      <c r="L1902" s="17"/>
      <c r="M1902" s="17"/>
      <c r="O1902" s="14">
        <f t="shared" si="1"/>
        <v>0</v>
      </c>
      <c r="P1902" s="86" t="str">
        <f t="array" ref="P1902">iferror(XLOOKUP(C1902,'Download of SFDC Activation Rep'!B:B,'Download of SFDC Activation Rep'!Z:Z),"")</f>
        <v/>
      </c>
      <c r="Q1902" s="86" t="str">
        <f t="shared" si="2"/>
        <v/>
      </c>
      <c r="R1902" s="13" t="str">
        <f t="shared" si="3"/>
        <v>Yes</v>
      </c>
      <c r="S1902" s="86" t="str">
        <f t="array" ref="S1902">iferror(XLOOKUP(C1902,'Download of SFDC Activation Rep'!B:B,'Download of SFDC Activation Rep'!Y:Y),"")</f>
        <v/>
      </c>
    </row>
    <row r="1903">
      <c r="A1903" s="17"/>
      <c r="B1903" s="85"/>
      <c r="C1903" s="17"/>
      <c r="D1903" s="85"/>
      <c r="E1903" s="17"/>
      <c r="F1903" s="17"/>
      <c r="G1903" s="17"/>
      <c r="I1903" s="17"/>
      <c r="K1903" s="17"/>
      <c r="L1903" s="17"/>
      <c r="M1903" s="17"/>
      <c r="O1903" s="14">
        <f t="shared" si="1"/>
        <v>0</v>
      </c>
      <c r="P1903" s="86" t="str">
        <f t="array" ref="P1903">iferror(XLOOKUP(C1903,'Download of SFDC Activation Rep'!B:B,'Download of SFDC Activation Rep'!Z:Z),"")</f>
        <v/>
      </c>
      <c r="Q1903" s="86" t="str">
        <f t="shared" si="2"/>
        <v/>
      </c>
      <c r="R1903" s="13" t="str">
        <f t="shared" si="3"/>
        <v>Yes</v>
      </c>
      <c r="S1903" s="86" t="str">
        <f t="array" ref="S1903">iferror(XLOOKUP(C1903,'Download of SFDC Activation Rep'!B:B,'Download of SFDC Activation Rep'!Y:Y),"")</f>
        <v/>
      </c>
    </row>
    <row r="1904">
      <c r="A1904" s="17"/>
      <c r="B1904" s="85"/>
      <c r="C1904" s="17"/>
      <c r="D1904" s="85"/>
      <c r="E1904" s="17"/>
      <c r="F1904" s="17"/>
      <c r="G1904" s="17"/>
      <c r="I1904" s="17"/>
      <c r="K1904" s="17"/>
      <c r="L1904" s="17"/>
      <c r="M1904" s="17"/>
      <c r="O1904" s="14">
        <f t="shared" si="1"/>
        <v>0</v>
      </c>
      <c r="P1904" s="86" t="str">
        <f t="array" ref="P1904">iferror(XLOOKUP(C1904,'Download of SFDC Activation Rep'!B:B,'Download of SFDC Activation Rep'!Z:Z),"")</f>
        <v/>
      </c>
      <c r="Q1904" s="86" t="str">
        <f t="shared" si="2"/>
        <v/>
      </c>
      <c r="R1904" s="13" t="str">
        <f t="shared" si="3"/>
        <v>Yes</v>
      </c>
      <c r="S1904" s="86" t="str">
        <f t="array" ref="S1904">iferror(XLOOKUP(C1904,'Download of SFDC Activation Rep'!B:B,'Download of SFDC Activation Rep'!Y:Y),"")</f>
        <v/>
      </c>
    </row>
    <row r="1905">
      <c r="A1905" s="17"/>
      <c r="B1905" s="85"/>
      <c r="C1905" s="17"/>
      <c r="D1905" s="85"/>
      <c r="E1905" s="17"/>
      <c r="F1905" s="17"/>
      <c r="G1905" s="17"/>
      <c r="I1905" s="17"/>
      <c r="K1905" s="17"/>
      <c r="L1905" s="17"/>
      <c r="M1905" s="17"/>
      <c r="O1905" s="14">
        <f t="shared" si="1"/>
        <v>0</v>
      </c>
      <c r="P1905" s="86" t="str">
        <f t="array" ref="P1905">iferror(XLOOKUP(C1905,'Download of SFDC Activation Rep'!B:B,'Download of SFDC Activation Rep'!Z:Z),"")</f>
        <v/>
      </c>
      <c r="Q1905" s="86" t="str">
        <f t="shared" si="2"/>
        <v/>
      </c>
      <c r="R1905" s="13" t="str">
        <f t="shared" si="3"/>
        <v>Yes</v>
      </c>
      <c r="S1905" s="86" t="str">
        <f t="array" ref="S1905">iferror(XLOOKUP(C1905,'Download of SFDC Activation Rep'!B:B,'Download of SFDC Activation Rep'!Y:Y),"")</f>
        <v/>
      </c>
    </row>
    <row r="1906">
      <c r="A1906" s="17"/>
      <c r="B1906" s="85"/>
      <c r="C1906" s="17"/>
      <c r="D1906" s="85"/>
      <c r="E1906" s="17"/>
      <c r="F1906" s="17"/>
      <c r="G1906" s="17"/>
      <c r="I1906" s="17"/>
      <c r="K1906" s="17"/>
      <c r="L1906" s="17"/>
      <c r="M1906" s="17"/>
      <c r="O1906" s="14">
        <f t="shared" si="1"/>
        <v>0</v>
      </c>
      <c r="P1906" s="86" t="str">
        <f t="array" ref="P1906">iferror(XLOOKUP(C1906,'Download of SFDC Activation Rep'!B:B,'Download of SFDC Activation Rep'!Z:Z),"")</f>
        <v/>
      </c>
      <c r="Q1906" s="86" t="str">
        <f t="shared" si="2"/>
        <v/>
      </c>
      <c r="R1906" s="13" t="str">
        <f t="shared" si="3"/>
        <v>Yes</v>
      </c>
      <c r="S1906" s="86" t="str">
        <f t="array" ref="S1906">iferror(XLOOKUP(C1906,'Download of SFDC Activation Rep'!B:B,'Download of SFDC Activation Rep'!Y:Y),"")</f>
        <v/>
      </c>
    </row>
    <row r="1907">
      <c r="A1907" s="17"/>
      <c r="B1907" s="85"/>
      <c r="C1907" s="17"/>
      <c r="D1907" s="85"/>
      <c r="E1907" s="17"/>
      <c r="F1907" s="17"/>
      <c r="G1907" s="17"/>
      <c r="I1907" s="17"/>
      <c r="K1907" s="17"/>
      <c r="L1907" s="17"/>
      <c r="M1907" s="17"/>
      <c r="O1907" s="14">
        <f t="shared" si="1"/>
        <v>0</v>
      </c>
      <c r="P1907" s="86" t="str">
        <f t="array" ref="P1907">iferror(XLOOKUP(C1907,'Download of SFDC Activation Rep'!B:B,'Download of SFDC Activation Rep'!Z:Z),"")</f>
        <v/>
      </c>
      <c r="Q1907" s="86" t="str">
        <f t="shared" si="2"/>
        <v/>
      </c>
      <c r="R1907" s="13" t="str">
        <f t="shared" si="3"/>
        <v>Yes</v>
      </c>
      <c r="S1907" s="86" t="str">
        <f t="array" ref="S1907">iferror(XLOOKUP(C1907,'Download of SFDC Activation Rep'!B:B,'Download of SFDC Activation Rep'!Y:Y),"")</f>
        <v/>
      </c>
    </row>
    <row r="1908">
      <c r="A1908" s="17"/>
      <c r="B1908" s="85"/>
      <c r="C1908" s="17"/>
      <c r="D1908" s="85"/>
      <c r="E1908" s="17"/>
      <c r="F1908" s="17"/>
      <c r="G1908" s="17"/>
      <c r="I1908" s="17"/>
      <c r="K1908" s="17"/>
      <c r="L1908" s="17"/>
      <c r="M1908" s="17"/>
      <c r="O1908" s="14">
        <f t="shared" si="1"/>
        <v>0</v>
      </c>
      <c r="P1908" s="86" t="str">
        <f t="array" ref="P1908">iferror(XLOOKUP(C1908,'Download of SFDC Activation Rep'!B:B,'Download of SFDC Activation Rep'!Z:Z),"")</f>
        <v/>
      </c>
      <c r="Q1908" s="86" t="str">
        <f t="shared" si="2"/>
        <v/>
      </c>
      <c r="R1908" s="13" t="str">
        <f t="shared" si="3"/>
        <v>Yes</v>
      </c>
      <c r="S1908" s="86" t="str">
        <f t="array" ref="S1908">iferror(XLOOKUP(C1908,'Download of SFDC Activation Rep'!B:B,'Download of SFDC Activation Rep'!Y:Y),"")</f>
        <v/>
      </c>
    </row>
    <row r="1909">
      <c r="A1909" s="17"/>
      <c r="B1909" s="85"/>
      <c r="C1909" s="17"/>
      <c r="D1909" s="85"/>
      <c r="E1909" s="17"/>
      <c r="F1909" s="17"/>
      <c r="G1909" s="17"/>
      <c r="I1909" s="17"/>
      <c r="K1909" s="17"/>
      <c r="L1909" s="17"/>
      <c r="M1909" s="17"/>
      <c r="O1909" s="14">
        <f t="shared" si="1"/>
        <v>0</v>
      </c>
      <c r="P1909" s="86" t="str">
        <f t="array" ref="P1909">iferror(XLOOKUP(C1909,'Download of SFDC Activation Rep'!B:B,'Download of SFDC Activation Rep'!Z:Z),"")</f>
        <v/>
      </c>
      <c r="Q1909" s="86" t="str">
        <f t="shared" si="2"/>
        <v/>
      </c>
      <c r="R1909" s="13" t="str">
        <f t="shared" si="3"/>
        <v>Yes</v>
      </c>
      <c r="S1909" s="86" t="str">
        <f t="array" ref="S1909">iferror(XLOOKUP(C1909,'Download of SFDC Activation Rep'!B:B,'Download of SFDC Activation Rep'!Y:Y),"")</f>
        <v/>
      </c>
    </row>
    <row r="1910">
      <c r="A1910" s="17"/>
      <c r="B1910" s="85"/>
      <c r="C1910" s="17"/>
      <c r="D1910" s="85"/>
      <c r="E1910" s="17"/>
      <c r="F1910" s="17"/>
      <c r="G1910" s="17"/>
      <c r="I1910" s="17"/>
      <c r="K1910" s="17"/>
      <c r="L1910" s="17"/>
      <c r="M1910" s="17"/>
      <c r="O1910" s="14">
        <f t="shared" si="1"/>
        <v>0</v>
      </c>
      <c r="P1910" s="86" t="str">
        <f t="array" ref="P1910">iferror(XLOOKUP(C1910,'Download of SFDC Activation Rep'!B:B,'Download of SFDC Activation Rep'!Z:Z),"")</f>
        <v/>
      </c>
      <c r="Q1910" s="86" t="str">
        <f t="shared" si="2"/>
        <v/>
      </c>
      <c r="R1910" s="13" t="str">
        <f t="shared" si="3"/>
        <v>Yes</v>
      </c>
      <c r="S1910" s="86" t="str">
        <f t="array" ref="S1910">iferror(XLOOKUP(C1910,'Download of SFDC Activation Rep'!B:B,'Download of SFDC Activation Rep'!Y:Y),"")</f>
        <v/>
      </c>
    </row>
    <row r="1911">
      <c r="A1911" s="17"/>
      <c r="B1911" s="85"/>
      <c r="C1911" s="17"/>
      <c r="D1911" s="85"/>
      <c r="E1911" s="17"/>
      <c r="F1911" s="17"/>
      <c r="G1911" s="17"/>
      <c r="I1911" s="17"/>
      <c r="K1911" s="17"/>
      <c r="L1911" s="17"/>
      <c r="M1911" s="17"/>
      <c r="O1911" s="14">
        <f t="shared" si="1"/>
        <v>0</v>
      </c>
      <c r="P1911" s="86" t="str">
        <f t="array" ref="P1911">iferror(XLOOKUP(C1911,'Download of SFDC Activation Rep'!B:B,'Download of SFDC Activation Rep'!Z:Z),"")</f>
        <v/>
      </c>
      <c r="Q1911" s="86" t="str">
        <f t="shared" si="2"/>
        <v/>
      </c>
      <c r="R1911" s="13" t="str">
        <f t="shared" si="3"/>
        <v>Yes</v>
      </c>
      <c r="S1911" s="86" t="str">
        <f t="array" ref="S1911">iferror(XLOOKUP(C1911,'Download of SFDC Activation Rep'!B:B,'Download of SFDC Activation Rep'!Y:Y),"")</f>
        <v/>
      </c>
    </row>
    <row r="1912">
      <c r="A1912" s="17"/>
      <c r="B1912" s="85"/>
      <c r="C1912" s="17"/>
      <c r="D1912" s="85"/>
      <c r="E1912" s="17"/>
      <c r="F1912" s="17"/>
      <c r="G1912" s="17"/>
      <c r="I1912" s="17"/>
      <c r="K1912" s="17"/>
      <c r="L1912" s="17"/>
      <c r="M1912" s="17"/>
      <c r="O1912" s="14">
        <f t="shared" si="1"/>
        <v>0</v>
      </c>
      <c r="P1912" s="86" t="str">
        <f t="array" ref="P1912">iferror(XLOOKUP(C1912,'Download of SFDC Activation Rep'!B:B,'Download of SFDC Activation Rep'!Z:Z),"")</f>
        <v/>
      </c>
      <c r="Q1912" s="86" t="str">
        <f t="shared" si="2"/>
        <v/>
      </c>
      <c r="R1912" s="13" t="str">
        <f t="shared" si="3"/>
        <v>Yes</v>
      </c>
      <c r="S1912" s="86" t="str">
        <f t="array" ref="S1912">iferror(XLOOKUP(C1912,'Download of SFDC Activation Rep'!B:B,'Download of SFDC Activation Rep'!Y:Y),"")</f>
        <v/>
      </c>
    </row>
    <row r="1913">
      <c r="A1913" s="17"/>
      <c r="B1913" s="85"/>
      <c r="C1913" s="17"/>
      <c r="D1913" s="85"/>
      <c r="E1913" s="17"/>
      <c r="F1913" s="17"/>
      <c r="G1913" s="17"/>
      <c r="I1913" s="17"/>
      <c r="K1913" s="17"/>
      <c r="L1913" s="17"/>
      <c r="M1913" s="17"/>
      <c r="O1913" s="14">
        <f t="shared" si="1"/>
        <v>0</v>
      </c>
      <c r="P1913" s="86" t="str">
        <f t="array" ref="P1913">iferror(XLOOKUP(C1913,'Download of SFDC Activation Rep'!B:B,'Download of SFDC Activation Rep'!Z:Z),"")</f>
        <v/>
      </c>
      <c r="Q1913" s="86" t="str">
        <f t="shared" si="2"/>
        <v/>
      </c>
      <c r="R1913" s="13" t="str">
        <f t="shared" si="3"/>
        <v>Yes</v>
      </c>
      <c r="S1913" s="86" t="str">
        <f t="array" ref="S1913">iferror(XLOOKUP(C1913,'Download of SFDC Activation Rep'!B:B,'Download of SFDC Activation Rep'!Y:Y),"")</f>
        <v/>
      </c>
    </row>
    <row r="1914">
      <c r="A1914" s="17"/>
      <c r="B1914" s="85"/>
      <c r="C1914" s="17"/>
      <c r="D1914" s="85"/>
      <c r="E1914" s="17"/>
      <c r="F1914" s="17"/>
      <c r="G1914" s="17"/>
      <c r="I1914" s="17"/>
      <c r="K1914" s="17"/>
      <c r="L1914" s="17"/>
      <c r="M1914" s="17"/>
      <c r="O1914" s="14">
        <f t="shared" si="1"/>
        <v>0</v>
      </c>
      <c r="P1914" s="86" t="str">
        <f t="array" ref="P1914">iferror(XLOOKUP(C1914,'Download of SFDC Activation Rep'!B:B,'Download of SFDC Activation Rep'!Z:Z),"")</f>
        <v/>
      </c>
      <c r="Q1914" s="86" t="str">
        <f t="shared" si="2"/>
        <v/>
      </c>
      <c r="R1914" s="13" t="str">
        <f t="shared" si="3"/>
        <v>Yes</v>
      </c>
      <c r="S1914" s="86" t="str">
        <f t="array" ref="S1914">iferror(XLOOKUP(C1914,'Download of SFDC Activation Rep'!B:B,'Download of SFDC Activation Rep'!Y:Y),"")</f>
        <v/>
      </c>
    </row>
    <row r="1915">
      <c r="A1915" s="17"/>
      <c r="B1915" s="85"/>
      <c r="C1915" s="17"/>
      <c r="D1915" s="85"/>
      <c r="E1915" s="17"/>
      <c r="F1915" s="17"/>
      <c r="G1915" s="17"/>
      <c r="I1915" s="17"/>
      <c r="K1915" s="17"/>
      <c r="L1915" s="17"/>
      <c r="M1915" s="17"/>
      <c r="O1915" s="14">
        <f t="shared" si="1"/>
        <v>0</v>
      </c>
      <c r="P1915" s="86" t="str">
        <f t="array" ref="P1915">iferror(XLOOKUP(C1915,'Download of SFDC Activation Rep'!B:B,'Download of SFDC Activation Rep'!Z:Z),"")</f>
        <v/>
      </c>
      <c r="Q1915" s="86" t="str">
        <f t="shared" si="2"/>
        <v/>
      </c>
      <c r="R1915" s="13" t="str">
        <f t="shared" si="3"/>
        <v>Yes</v>
      </c>
      <c r="S1915" s="86" t="str">
        <f t="array" ref="S1915">iferror(XLOOKUP(C1915,'Download of SFDC Activation Rep'!B:B,'Download of SFDC Activation Rep'!Y:Y),"")</f>
        <v/>
      </c>
    </row>
    <row r="1916">
      <c r="A1916" s="17"/>
      <c r="B1916" s="85"/>
      <c r="C1916" s="17"/>
      <c r="D1916" s="85"/>
      <c r="E1916" s="17"/>
      <c r="F1916" s="17"/>
      <c r="G1916" s="17"/>
      <c r="I1916" s="17"/>
      <c r="K1916" s="17"/>
      <c r="L1916" s="17"/>
      <c r="M1916" s="17"/>
      <c r="O1916" s="14">
        <f t="shared" si="1"/>
        <v>0</v>
      </c>
      <c r="P1916" s="86" t="str">
        <f t="array" ref="P1916">iferror(XLOOKUP(C1916,'Download of SFDC Activation Rep'!B:B,'Download of SFDC Activation Rep'!Z:Z),"")</f>
        <v/>
      </c>
      <c r="Q1916" s="86" t="str">
        <f t="shared" si="2"/>
        <v/>
      </c>
      <c r="R1916" s="13" t="str">
        <f t="shared" si="3"/>
        <v>Yes</v>
      </c>
      <c r="S1916" s="86" t="str">
        <f t="array" ref="S1916">iferror(XLOOKUP(C1916,'Download of SFDC Activation Rep'!B:B,'Download of SFDC Activation Rep'!Y:Y),"")</f>
        <v/>
      </c>
    </row>
    <row r="1917">
      <c r="A1917" s="17"/>
      <c r="B1917" s="85"/>
      <c r="C1917" s="17"/>
      <c r="D1917" s="85"/>
      <c r="E1917" s="17"/>
      <c r="F1917" s="17"/>
      <c r="G1917" s="17"/>
      <c r="I1917" s="17"/>
      <c r="K1917" s="17"/>
      <c r="L1917" s="17"/>
      <c r="M1917" s="17"/>
      <c r="O1917" s="14">
        <f t="shared" si="1"/>
        <v>0</v>
      </c>
      <c r="P1917" s="86" t="str">
        <f t="array" ref="P1917">iferror(XLOOKUP(C1917,'Download of SFDC Activation Rep'!B:B,'Download of SFDC Activation Rep'!Z:Z),"")</f>
        <v/>
      </c>
      <c r="Q1917" s="86" t="str">
        <f t="shared" si="2"/>
        <v/>
      </c>
      <c r="R1917" s="13" t="str">
        <f t="shared" si="3"/>
        <v>Yes</v>
      </c>
      <c r="S1917" s="86" t="str">
        <f t="array" ref="S1917">iferror(XLOOKUP(C1917,'Download of SFDC Activation Rep'!B:B,'Download of SFDC Activation Rep'!Y:Y),"")</f>
        <v/>
      </c>
    </row>
    <row r="1918">
      <c r="A1918" s="17"/>
      <c r="B1918" s="85"/>
      <c r="C1918" s="17"/>
      <c r="D1918" s="85"/>
      <c r="E1918" s="17"/>
      <c r="F1918" s="17"/>
      <c r="G1918" s="17"/>
      <c r="I1918" s="17"/>
      <c r="K1918" s="17"/>
      <c r="L1918" s="17"/>
      <c r="M1918" s="17"/>
      <c r="O1918" s="14">
        <f t="shared" si="1"/>
        <v>0</v>
      </c>
      <c r="P1918" s="86" t="str">
        <f t="array" ref="P1918">iferror(XLOOKUP(C1918,'Download of SFDC Activation Rep'!B:B,'Download of SFDC Activation Rep'!Z:Z),"")</f>
        <v/>
      </c>
      <c r="Q1918" s="86" t="str">
        <f t="shared" si="2"/>
        <v/>
      </c>
      <c r="R1918" s="13" t="str">
        <f t="shared" si="3"/>
        <v>Yes</v>
      </c>
      <c r="S1918" s="86" t="str">
        <f t="array" ref="S1918">iferror(XLOOKUP(C1918,'Download of SFDC Activation Rep'!B:B,'Download of SFDC Activation Rep'!Y:Y),"")</f>
        <v/>
      </c>
    </row>
    <row r="1919">
      <c r="A1919" s="17"/>
      <c r="B1919" s="85"/>
      <c r="C1919" s="17"/>
      <c r="D1919" s="85"/>
      <c r="E1919" s="17"/>
      <c r="F1919" s="17"/>
      <c r="G1919" s="17"/>
      <c r="I1919" s="17"/>
      <c r="K1919" s="17"/>
      <c r="L1919" s="17"/>
      <c r="M1919" s="17"/>
      <c r="O1919" s="14">
        <f t="shared" si="1"/>
        <v>0</v>
      </c>
      <c r="P1919" s="86" t="str">
        <f t="array" ref="P1919">iferror(XLOOKUP(C1919,'Download of SFDC Activation Rep'!B:B,'Download of SFDC Activation Rep'!Z:Z),"")</f>
        <v/>
      </c>
      <c r="Q1919" s="86" t="str">
        <f t="shared" si="2"/>
        <v/>
      </c>
      <c r="R1919" s="13" t="str">
        <f t="shared" si="3"/>
        <v>Yes</v>
      </c>
      <c r="S1919" s="86" t="str">
        <f t="array" ref="S1919">iferror(XLOOKUP(C1919,'Download of SFDC Activation Rep'!B:B,'Download of SFDC Activation Rep'!Y:Y),"")</f>
        <v/>
      </c>
    </row>
    <row r="1920">
      <c r="A1920" s="17"/>
      <c r="B1920" s="85"/>
      <c r="C1920" s="17"/>
      <c r="D1920" s="85"/>
      <c r="E1920" s="17"/>
      <c r="F1920" s="17"/>
      <c r="G1920" s="17"/>
      <c r="I1920" s="17"/>
      <c r="K1920" s="17"/>
      <c r="L1920" s="17"/>
      <c r="M1920" s="17"/>
      <c r="O1920" s="14">
        <f t="shared" si="1"/>
        <v>0</v>
      </c>
      <c r="P1920" s="86" t="str">
        <f t="array" ref="P1920">iferror(XLOOKUP(C1920,'Download of SFDC Activation Rep'!B:B,'Download of SFDC Activation Rep'!Z:Z),"")</f>
        <v/>
      </c>
      <c r="Q1920" s="86" t="str">
        <f t="shared" si="2"/>
        <v/>
      </c>
      <c r="R1920" s="13" t="str">
        <f t="shared" si="3"/>
        <v>Yes</v>
      </c>
      <c r="S1920" s="86" t="str">
        <f t="array" ref="S1920">iferror(XLOOKUP(C1920,'Download of SFDC Activation Rep'!B:B,'Download of SFDC Activation Rep'!Y:Y),"")</f>
        <v/>
      </c>
    </row>
    <row r="1921">
      <c r="A1921" s="17"/>
      <c r="B1921" s="85"/>
      <c r="C1921" s="17"/>
      <c r="D1921" s="85"/>
      <c r="E1921" s="17"/>
      <c r="F1921" s="17"/>
      <c r="G1921" s="17"/>
      <c r="I1921" s="17"/>
      <c r="K1921" s="17"/>
      <c r="L1921" s="17"/>
      <c r="M1921" s="17"/>
      <c r="O1921" s="14">
        <f t="shared" si="1"/>
        <v>0</v>
      </c>
      <c r="P1921" s="86" t="str">
        <f t="array" ref="P1921">iferror(XLOOKUP(C1921,'Download of SFDC Activation Rep'!B:B,'Download of SFDC Activation Rep'!Z:Z),"")</f>
        <v/>
      </c>
      <c r="Q1921" s="86" t="str">
        <f t="shared" si="2"/>
        <v/>
      </c>
      <c r="R1921" s="13" t="str">
        <f t="shared" si="3"/>
        <v>Yes</v>
      </c>
      <c r="S1921" s="86" t="str">
        <f t="array" ref="S1921">iferror(XLOOKUP(C1921,'Download of SFDC Activation Rep'!B:B,'Download of SFDC Activation Rep'!Y:Y),"")</f>
        <v/>
      </c>
    </row>
    <row r="1922">
      <c r="A1922" s="17"/>
      <c r="B1922" s="85"/>
      <c r="C1922" s="17"/>
      <c r="D1922" s="85"/>
      <c r="E1922" s="17"/>
      <c r="F1922" s="17"/>
      <c r="G1922" s="17"/>
      <c r="I1922" s="17"/>
      <c r="K1922" s="17"/>
      <c r="L1922" s="17"/>
      <c r="M1922" s="17"/>
      <c r="O1922" s="14">
        <f t="shared" si="1"/>
        <v>0</v>
      </c>
      <c r="P1922" s="86" t="str">
        <f t="array" ref="P1922">iferror(XLOOKUP(C1922,'Download of SFDC Activation Rep'!B:B,'Download of SFDC Activation Rep'!Z:Z),"")</f>
        <v/>
      </c>
      <c r="Q1922" s="86" t="str">
        <f t="shared" si="2"/>
        <v/>
      </c>
      <c r="R1922" s="13" t="str">
        <f t="shared" si="3"/>
        <v>Yes</v>
      </c>
      <c r="S1922" s="86" t="str">
        <f t="array" ref="S1922">iferror(XLOOKUP(C1922,'Download of SFDC Activation Rep'!B:B,'Download of SFDC Activation Rep'!Y:Y),"")</f>
        <v/>
      </c>
    </row>
    <row r="1923">
      <c r="A1923" s="17"/>
      <c r="B1923" s="85"/>
      <c r="C1923" s="17"/>
      <c r="D1923" s="85"/>
      <c r="E1923" s="17"/>
      <c r="F1923" s="17"/>
      <c r="G1923" s="17"/>
      <c r="I1923" s="17"/>
      <c r="K1923" s="17"/>
      <c r="L1923" s="17"/>
      <c r="M1923" s="17"/>
      <c r="O1923" s="14">
        <f t="shared" si="1"/>
        <v>0</v>
      </c>
      <c r="P1923" s="86" t="str">
        <f t="array" ref="P1923">iferror(XLOOKUP(C1923,'Download of SFDC Activation Rep'!B:B,'Download of SFDC Activation Rep'!Z:Z),"")</f>
        <v/>
      </c>
      <c r="Q1923" s="86" t="str">
        <f t="shared" si="2"/>
        <v/>
      </c>
      <c r="R1923" s="13" t="str">
        <f t="shared" si="3"/>
        <v>Yes</v>
      </c>
      <c r="S1923" s="86" t="str">
        <f t="array" ref="S1923">iferror(XLOOKUP(C1923,'Download of SFDC Activation Rep'!B:B,'Download of SFDC Activation Rep'!Y:Y),"")</f>
        <v/>
      </c>
    </row>
    <row r="1924">
      <c r="A1924" s="17"/>
      <c r="B1924" s="85"/>
      <c r="C1924" s="17"/>
      <c r="D1924" s="85"/>
      <c r="E1924" s="17"/>
      <c r="F1924" s="17"/>
      <c r="G1924" s="17"/>
      <c r="I1924" s="17"/>
      <c r="K1924" s="17"/>
      <c r="L1924" s="17"/>
      <c r="M1924" s="17"/>
      <c r="O1924" s="14">
        <f t="shared" si="1"/>
        <v>0</v>
      </c>
      <c r="P1924" s="86" t="str">
        <f t="array" ref="P1924">iferror(XLOOKUP(C1924,'Download of SFDC Activation Rep'!B:B,'Download of SFDC Activation Rep'!Z:Z),"")</f>
        <v/>
      </c>
      <c r="Q1924" s="86" t="str">
        <f t="shared" si="2"/>
        <v/>
      </c>
      <c r="R1924" s="13" t="str">
        <f t="shared" si="3"/>
        <v>Yes</v>
      </c>
      <c r="S1924" s="86" t="str">
        <f t="array" ref="S1924">iferror(XLOOKUP(C1924,'Download of SFDC Activation Rep'!B:B,'Download of SFDC Activation Rep'!Y:Y),"")</f>
        <v/>
      </c>
    </row>
    <row r="1925">
      <c r="A1925" s="17"/>
      <c r="B1925" s="85"/>
      <c r="C1925" s="17"/>
      <c r="D1925" s="85"/>
      <c r="E1925" s="17"/>
      <c r="F1925" s="17"/>
      <c r="G1925" s="17"/>
      <c r="I1925" s="17"/>
      <c r="K1925" s="17"/>
      <c r="L1925" s="17"/>
      <c r="M1925" s="17"/>
      <c r="O1925" s="14">
        <f t="shared" si="1"/>
        <v>0</v>
      </c>
      <c r="P1925" s="86" t="str">
        <f t="array" ref="P1925">iferror(XLOOKUP(C1925,'Download of SFDC Activation Rep'!B:B,'Download of SFDC Activation Rep'!Z:Z),"")</f>
        <v/>
      </c>
      <c r="Q1925" s="86" t="str">
        <f t="shared" si="2"/>
        <v/>
      </c>
      <c r="R1925" s="13" t="str">
        <f t="shared" si="3"/>
        <v>Yes</v>
      </c>
      <c r="S1925" s="86" t="str">
        <f t="array" ref="S1925">iferror(XLOOKUP(C1925,'Download of SFDC Activation Rep'!B:B,'Download of SFDC Activation Rep'!Y:Y),"")</f>
        <v/>
      </c>
    </row>
    <row r="1926">
      <c r="A1926" s="17"/>
      <c r="B1926" s="85"/>
      <c r="C1926" s="17"/>
      <c r="D1926" s="85"/>
      <c r="E1926" s="17"/>
      <c r="F1926" s="17"/>
      <c r="G1926" s="17"/>
      <c r="I1926" s="17"/>
      <c r="K1926" s="17"/>
      <c r="L1926" s="17"/>
      <c r="M1926" s="17"/>
      <c r="O1926" s="14">
        <f t="shared" si="1"/>
        <v>0</v>
      </c>
      <c r="P1926" s="86" t="str">
        <f t="array" ref="P1926">iferror(XLOOKUP(C1926,'Download of SFDC Activation Rep'!B:B,'Download of SFDC Activation Rep'!Z:Z),"")</f>
        <v/>
      </c>
      <c r="Q1926" s="86" t="str">
        <f t="shared" si="2"/>
        <v/>
      </c>
      <c r="R1926" s="13" t="str">
        <f t="shared" si="3"/>
        <v>Yes</v>
      </c>
      <c r="S1926" s="86" t="str">
        <f t="array" ref="S1926">iferror(XLOOKUP(C1926,'Download of SFDC Activation Rep'!B:B,'Download of SFDC Activation Rep'!Y:Y),"")</f>
        <v/>
      </c>
    </row>
    <row r="1927">
      <c r="A1927" s="17"/>
      <c r="B1927" s="85"/>
      <c r="C1927" s="17"/>
      <c r="D1927" s="85"/>
      <c r="E1927" s="17"/>
      <c r="F1927" s="17"/>
      <c r="G1927" s="17"/>
      <c r="I1927" s="17"/>
      <c r="K1927" s="17"/>
      <c r="L1927" s="17"/>
      <c r="M1927" s="17"/>
      <c r="O1927" s="14">
        <f t="shared" si="1"/>
        <v>0</v>
      </c>
      <c r="P1927" s="86" t="str">
        <f t="array" ref="P1927">iferror(XLOOKUP(C1927,'Download of SFDC Activation Rep'!B:B,'Download of SFDC Activation Rep'!Z:Z),"")</f>
        <v/>
      </c>
      <c r="Q1927" s="86" t="str">
        <f t="shared" si="2"/>
        <v/>
      </c>
      <c r="R1927" s="13" t="str">
        <f t="shared" si="3"/>
        <v>Yes</v>
      </c>
      <c r="S1927" s="86" t="str">
        <f t="array" ref="S1927">iferror(XLOOKUP(C1927,'Download of SFDC Activation Rep'!B:B,'Download of SFDC Activation Rep'!Y:Y),"")</f>
        <v/>
      </c>
    </row>
    <row r="1928">
      <c r="A1928" s="17"/>
      <c r="B1928" s="85"/>
      <c r="C1928" s="17"/>
      <c r="D1928" s="85"/>
      <c r="E1928" s="17"/>
      <c r="F1928" s="17"/>
      <c r="G1928" s="17"/>
      <c r="I1928" s="17"/>
      <c r="K1928" s="17"/>
      <c r="L1928" s="17"/>
      <c r="M1928" s="17"/>
      <c r="O1928" s="14">
        <f t="shared" si="1"/>
        <v>0</v>
      </c>
      <c r="P1928" s="86" t="str">
        <f t="array" ref="P1928">iferror(XLOOKUP(C1928,'Download of SFDC Activation Rep'!B:B,'Download of SFDC Activation Rep'!Z:Z),"")</f>
        <v/>
      </c>
      <c r="Q1928" s="86" t="str">
        <f t="shared" si="2"/>
        <v/>
      </c>
      <c r="R1928" s="13" t="str">
        <f t="shared" si="3"/>
        <v>Yes</v>
      </c>
      <c r="S1928" s="86" t="str">
        <f t="array" ref="S1928">iferror(XLOOKUP(C1928,'Download of SFDC Activation Rep'!B:B,'Download of SFDC Activation Rep'!Y:Y),"")</f>
        <v/>
      </c>
    </row>
    <row r="1929">
      <c r="A1929" s="17"/>
      <c r="B1929" s="85"/>
      <c r="C1929" s="17"/>
      <c r="D1929" s="85"/>
      <c r="E1929" s="17"/>
      <c r="F1929" s="17"/>
      <c r="G1929" s="17"/>
      <c r="I1929" s="17"/>
      <c r="K1929" s="17"/>
      <c r="L1929" s="17"/>
      <c r="M1929" s="17"/>
      <c r="O1929" s="14">
        <f t="shared" si="1"/>
        <v>0</v>
      </c>
      <c r="P1929" s="86" t="str">
        <f t="array" ref="P1929">iferror(XLOOKUP(C1929,'Download of SFDC Activation Rep'!B:B,'Download of SFDC Activation Rep'!Z:Z),"")</f>
        <v/>
      </c>
      <c r="Q1929" s="86" t="str">
        <f t="shared" si="2"/>
        <v/>
      </c>
      <c r="R1929" s="13" t="str">
        <f t="shared" si="3"/>
        <v>Yes</v>
      </c>
      <c r="S1929" s="86" t="str">
        <f t="array" ref="S1929">iferror(XLOOKUP(C1929,'Download of SFDC Activation Rep'!B:B,'Download of SFDC Activation Rep'!Y:Y),"")</f>
        <v/>
      </c>
    </row>
    <row r="1930">
      <c r="A1930" s="17"/>
      <c r="B1930" s="85"/>
      <c r="C1930" s="17"/>
      <c r="D1930" s="85"/>
      <c r="E1930" s="17"/>
      <c r="F1930" s="17"/>
      <c r="G1930" s="17"/>
      <c r="I1930" s="17"/>
      <c r="K1930" s="17"/>
      <c r="L1930" s="17"/>
      <c r="M1930" s="17"/>
      <c r="O1930" s="14">
        <f t="shared" si="1"/>
        <v>0</v>
      </c>
      <c r="P1930" s="86" t="str">
        <f t="array" ref="P1930">iferror(XLOOKUP(C1930,'Download of SFDC Activation Rep'!B:B,'Download of SFDC Activation Rep'!Z:Z),"")</f>
        <v/>
      </c>
      <c r="Q1930" s="86" t="str">
        <f t="shared" si="2"/>
        <v/>
      </c>
      <c r="R1930" s="13" t="str">
        <f t="shared" si="3"/>
        <v>Yes</v>
      </c>
      <c r="S1930" s="86" t="str">
        <f t="array" ref="S1930">iferror(XLOOKUP(C1930,'Download of SFDC Activation Rep'!B:B,'Download of SFDC Activation Rep'!Y:Y),"")</f>
        <v/>
      </c>
    </row>
    <row r="1931">
      <c r="A1931" s="17"/>
      <c r="B1931" s="85"/>
      <c r="C1931" s="17"/>
      <c r="D1931" s="85"/>
      <c r="E1931" s="17"/>
      <c r="F1931" s="17"/>
      <c r="G1931" s="17"/>
      <c r="I1931" s="17"/>
      <c r="K1931" s="17"/>
      <c r="L1931" s="17"/>
      <c r="M1931" s="17"/>
      <c r="O1931" s="14">
        <f t="shared" si="1"/>
        <v>0</v>
      </c>
      <c r="P1931" s="86" t="str">
        <f t="array" ref="P1931">iferror(XLOOKUP(C1931,'Download of SFDC Activation Rep'!B:B,'Download of SFDC Activation Rep'!Z:Z),"")</f>
        <v/>
      </c>
      <c r="Q1931" s="86" t="str">
        <f t="shared" si="2"/>
        <v/>
      </c>
      <c r="R1931" s="13" t="str">
        <f t="shared" si="3"/>
        <v>Yes</v>
      </c>
      <c r="S1931" s="86" t="str">
        <f t="array" ref="S1931">iferror(XLOOKUP(C1931,'Download of SFDC Activation Rep'!B:B,'Download of SFDC Activation Rep'!Y:Y),"")</f>
        <v/>
      </c>
    </row>
    <row r="1932">
      <c r="A1932" s="17"/>
      <c r="B1932" s="85"/>
      <c r="C1932" s="17"/>
      <c r="D1932" s="85"/>
      <c r="E1932" s="17"/>
      <c r="F1932" s="17"/>
      <c r="G1932" s="17"/>
      <c r="I1932" s="17"/>
      <c r="K1932" s="17"/>
      <c r="L1932" s="17"/>
      <c r="M1932" s="17"/>
      <c r="O1932" s="14">
        <f t="shared" si="1"/>
        <v>0</v>
      </c>
      <c r="P1932" s="86" t="str">
        <f t="array" ref="P1932">iferror(XLOOKUP(C1932,'Download of SFDC Activation Rep'!B:B,'Download of SFDC Activation Rep'!Z:Z),"")</f>
        <v/>
      </c>
      <c r="Q1932" s="86" t="str">
        <f t="shared" si="2"/>
        <v/>
      </c>
      <c r="R1932" s="13" t="str">
        <f t="shared" si="3"/>
        <v>Yes</v>
      </c>
      <c r="S1932" s="86" t="str">
        <f t="array" ref="S1932">iferror(XLOOKUP(C1932,'Download of SFDC Activation Rep'!B:B,'Download of SFDC Activation Rep'!Y:Y),"")</f>
        <v/>
      </c>
    </row>
    <row r="1933">
      <c r="A1933" s="17"/>
      <c r="B1933" s="85"/>
      <c r="C1933" s="17"/>
      <c r="D1933" s="85"/>
      <c r="E1933" s="17"/>
      <c r="F1933" s="17"/>
      <c r="G1933" s="17"/>
      <c r="I1933" s="17"/>
      <c r="K1933" s="17"/>
      <c r="L1933" s="17"/>
      <c r="M1933" s="17"/>
      <c r="O1933" s="14">
        <f t="shared" si="1"/>
        <v>0</v>
      </c>
      <c r="P1933" s="86" t="str">
        <f t="array" ref="P1933">iferror(XLOOKUP(C1933,'Download of SFDC Activation Rep'!B:B,'Download of SFDC Activation Rep'!Z:Z),"")</f>
        <v/>
      </c>
      <c r="Q1933" s="86" t="str">
        <f t="shared" si="2"/>
        <v/>
      </c>
      <c r="R1933" s="13" t="str">
        <f t="shared" si="3"/>
        <v>Yes</v>
      </c>
      <c r="S1933" s="86" t="str">
        <f t="array" ref="S1933">iferror(XLOOKUP(C1933,'Download of SFDC Activation Rep'!B:B,'Download of SFDC Activation Rep'!Y:Y),"")</f>
        <v/>
      </c>
    </row>
    <row r="1934">
      <c r="A1934" s="17"/>
      <c r="B1934" s="85"/>
      <c r="C1934" s="17"/>
      <c r="D1934" s="85"/>
      <c r="E1934" s="17"/>
      <c r="F1934" s="17"/>
      <c r="G1934" s="17"/>
      <c r="I1934" s="17"/>
      <c r="K1934" s="17"/>
      <c r="L1934" s="17"/>
      <c r="M1934" s="17"/>
      <c r="O1934" s="14">
        <f t="shared" si="1"/>
        <v>0</v>
      </c>
      <c r="P1934" s="86" t="str">
        <f t="array" ref="P1934">iferror(XLOOKUP(C1934,'Download of SFDC Activation Rep'!B:B,'Download of SFDC Activation Rep'!Z:Z),"")</f>
        <v/>
      </c>
      <c r="Q1934" s="86" t="str">
        <f t="shared" si="2"/>
        <v/>
      </c>
      <c r="R1934" s="13" t="str">
        <f t="shared" si="3"/>
        <v>Yes</v>
      </c>
      <c r="S1934" s="86" t="str">
        <f t="array" ref="S1934">iferror(XLOOKUP(C1934,'Download of SFDC Activation Rep'!B:B,'Download of SFDC Activation Rep'!Y:Y),"")</f>
        <v/>
      </c>
    </row>
    <row r="1935">
      <c r="A1935" s="17"/>
      <c r="B1935" s="85"/>
      <c r="C1935" s="17"/>
      <c r="D1935" s="85"/>
      <c r="E1935" s="17"/>
      <c r="F1935" s="17"/>
      <c r="G1935" s="17"/>
      <c r="I1935" s="17"/>
      <c r="K1935" s="17"/>
      <c r="L1935" s="17"/>
      <c r="M1935" s="17"/>
      <c r="O1935" s="14">
        <f t="shared" si="1"/>
        <v>0</v>
      </c>
      <c r="P1935" s="86" t="str">
        <f t="array" ref="P1935">iferror(XLOOKUP(C1935,'Download of SFDC Activation Rep'!B:B,'Download of SFDC Activation Rep'!Z:Z),"")</f>
        <v/>
      </c>
      <c r="Q1935" s="86" t="str">
        <f t="shared" si="2"/>
        <v/>
      </c>
      <c r="R1935" s="13" t="str">
        <f t="shared" si="3"/>
        <v>Yes</v>
      </c>
      <c r="S1935" s="86" t="str">
        <f t="array" ref="S1935">iferror(XLOOKUP(C1935,'Download of SFDC Activation Rep'!B:B,'Download of SFDC Activation Rep'!Y:Y),"")</f>
        <v/>
      </c>
    </row>
    <row r="1936">
      <c r="A1936" s="17"/>
      <c r="B1936" s="85"/>
      <c r="C1936" s="17"/>
      <c r="D1936" s="85"/>
      <c r="E1936" s="17"/>
      <c r="F1936" s="17"/>
      <c r="G1936" s="17"/>
      <c r="I1936" s="17"/>
      <c r="K1936" s="17"/>
      <c r="L1936" s="17"/>
      <c r="M1936" s="17"/>
      <c r="O1936" s="14">
        <f t="shared" si="1"/>
        <v>0</v>
      </c>
      <c r="P1936" s="86" t="str">
        <f t="array" ref="P1936">iferror(XLOOKUP(C1936,'Download of SFDC Activation Rep'!B:B,'Download of SFDC Activation Rep'!Z:Z),"")</f>
        <v/>
      </c>
      <c r="Q1936" s="86" t="str">
        <f t="shared" si="2"/>
        <v/>
      </c>
      <c r="R1936" s="13" t="str">
        <f t="shared" si="3"/>
        <v>Yes</v>
      </c>
      <c r="S1936" s="86" t="str">
        <f t="array" ref="S1936">iferror(XLOOKUP(C1936,'Download of SFDC Activation Rep'!B:B,'Download of SFDC Activation Rep'!Y:Y),"")</f>
        <v/>
      </c>
    </row>
    <row r="1937">
      <c r="A1937" s="17"/>
      <c r="B1937" s="85"/>
      <c r="C1937" s="17"/>
      <c r="D1937" s="85"/>
      <c r="E1937" s="17"/>
      <c r="F1937" s="17"/>
      <c r="G1937" s="17"/>
      <c r="I1937" s="17"/>
      <c r="K1937" s="17"/>
      <c r="L1937" s="17"/>
      <c r="M1937" s="17"/>
      <c r="O1937" s="14">
        <f t="shared" si="1"/>
        <v>0</v>
      </c>
      <c r="P1937" s="86" t="str">
        <f t="array" ref="P1937">iferror(XLOOKUP(C1937,'Download of SFDC Activation Rep'!B:B,'Download of SFDC Activation Rep'!Z:Z),"")</f>
        <v/>
      </c>
      <c r="Q1937" s="86" t="str">
        <f t="shared" si="2"/>
        <v/>
      </c>
      <c r="R1937" s="13" t="str">
        <f t="shared" si="3"/>
        <v>Yes</v>
      </c>
      <c r="S1937" s="86" t="str">
        <f t="array" ref="S1937">iferror(XLOOKUP(C1937,'Download of SFDC Activation Rep'!B:B,'Download of SFDC Activation Rep'!Y:Y),"")</f>
        <v/>
      </c>
    </row>
    <row r="1938">
      <c r="A1938" s="17"/>
      <c r="B1938" s="85"/>
      <c r="C1938" s="17"/>
      <c r="D1938" s="85"/>
      <c r="E1938" s="17"/>
      <c r="F1938" s="17"/>
      <c r="G1938" s="17"/>
      <c r="I1938" s="17"/>
      <c r="K1938" s="17"/>
      <c r="L1938" s="17"/>
      <c r="M1938" s="17"/>
      <c r="O1938" s="14">
        <f t="shared" si="1"/>
        <v>0</v>
      </c>
      <c r="P1938" s="86" t="str">
        <f t="array" ref="P1938">iferror(XLOOKUP(C1938,'Download of SFDC Activation Rep'!B:B,'Download of SFDC Activation Rep'!Z:Z),"")</f>
        <v/>
      </c>
      <c r="Q1938" s="86" t="str">
        <f t="shared" si="2"/>
        <v/>
      </c>
      <c r="R1938" s="13" t="str">
        <f t="shared" si="3"/>
        <v>Yes</v>
      </c>
      <c r="S1938" s="86" t="str">
        <f t="array" ref="S1938">iferror(XLOOKUP(C1938,'Download of SFDC Activation Rep'!B:B,'Download of SFDC Activation Rep'!Y:Y),"")</f>
        <v/>
      </c>
    </row>
    <row r="1939">
      <c r="A1939" s="17"/>
      <c r="B1939" s="85"/>
      <c r="C1939" s="17"/>
      <c r="D1939" s="85"/>
      <c r="E1939" s="17"/>
      <c r="F1939" s="17"/>
      <c r="G1939" s="17"/>
      <c r="I1939" s="17"/>
      <c r="K1939" s="17"/>
      <c r="L1939" s="17"/>
      <c r="M1939" s="17"/>
      <c r="O1939" s="14">
        <f t="shared" si="1"/>
        <v>0</v>
      </c>
      <c r="P1939" s="86" t="str">
        <f t="array" ref="P1939">iferror(XLOOKUP(C1939,'Download of SFDC Activation Rep'!B:B,'Download of SFDC Activation Rep'!Z:Z),"")</f>
        <v/>
      </c>
      <c r="Q1939" s="86" t="str">
        <f t="shared" si="2"/>
        <v/>
      </c>
      <c r="R1939" s="13" t="str">
        <f t="shared" si="3"/>
        <v>Yes</v>
      </c>
      <c r="S1939" s="86" t="str">
        <f t="array" ref="S1939">iferror(XLOOKUP(C1939,'Download of SFDC Activation Rep'!B:B,'Download of SFDC Activation Rep'!Y:Y),"")</f>
        <v/>
      </c>
    </row>
    <row r="1940">
      <c r="A1940" s="17"/>
      <c r="B1940" s="85"/>
      <c r="C1940" s="17"/>
      <c r="D1940" s="85"/>
      <c r="E1940" s="17"/>
      <c r="F1940" s="17"/>
      <c r="G1940" s="17"/>
      <c r="I1940" s="17"/>
      <c r="K1940" s="17"/>
      <c r="L1940" s="17"/>
      <c r="M1940" s="17"/>
      <c r="O1940" s="14">
        <f t="shared" si="1"/>
        <v>0</v>
      </c>
      <c r="P1940" s="86" t="str">
        <f t="array" ref="P1940">iferror(XLOOKUP(C1940,'Download of SFDC Activation Rep'!B:B,'Download of SFDC Activation Rep'!Z:Z),"")</f>
        <v/>
      </c>
      <c r="Q1940" s="86" t="str">
        <f t="shared" si="2"/>
        <v/>
      </c>
      <c r="R1940" s="13" t="str">
        <f t="shared" si="3"/>
        <v>Yes</v>
      </c>
      <c r="S1940" s="86" t="str">
        <f t="array" ref="S1940">iferror(XLOOKUP(C1940,'Download of SFDC Activation Rep'!B:B,'Download of SFDC Activation Rep'!Y:Y),"")</f>
        <v/>
      </c>
    </row>
    <row r="1941">
      <c r="A1941" s="17"/>
      <c r="B1941" s="85"/>
      <c r="C1941" s="17"/>
      <c r="D1941" s="85"/>
      <c r="E1941" s="17"/>
      <c r="F1941" s="17"/>
      <c r="G1941" s="17"/>
      <c r="I1941" s="17"/>
      <c r="K1941" s="17"/>
      <c r="L1941" s="17"/>
      <c r="M1941" s="17"/>
      <c r="O1941" s="14">
        <f t="shared" si="1"/>
        <v>0</v>
      </c>
      <c r="P1941" s="86" t="str">
        <f t="array" ref="P1941">iferror(XLOOKUP(C1941,'Download of SFDC Activation Rep'!B:B,'Download of SFDC Activation Rep'!Z:Z),"")</f>
        <v/>
      </c>
      <c r="Q1941" s="86" t="str">
        <f t="shared" si="2"/>
        <v/>
      </c>
      <c r="R1941" s="13" t="str">
        <f t="shared" si="3"/>
        <v>Yes</v>
      </c>
      <c r="S1941" s="86" t="str">
        <f t="array" ref="S1941">iferror(XLOOKUP(C1941,'Download of SFDC Activation Rep'!B:B,'Download of SFDC Activation Rep'!Y:Y),"")</f>
        <v/>
      </c>
    </row>
    <row r="1942">
      <c r="A1942" s="17"/>
      <c r="B1942" s="85"/>
      <c r="C1942" s="17"/>
      <c r="D1942" s="85"/>
      <c r="E1942" s="17"/>
      <c r="F1942" s="17"/>
      <c r="G1942" s="17"/>
      <c r="I1942" s="17"/>
      <c r="K1942" s="17"/>
      <c r="L1942" s="17"/>
      <c r="M1942" s="17"/>
      <c r="O1942" s="14">
        <f t="shared" si="1"/>
        <v>0</v>
      </c>
      <c r="P1942" s="86" t="str">
        <f t="array" ref="P1942">iferror(XLOOKUP(C1942,'Download of SFDC Activation Rep'!B:B,'Download of SFDC Activation Rep'!Z:Z),"")</f>
        <v/>
      </c>
      <c r="Q1942" s="86" t="str">
        <f t="shared" si="2"/>
        <v/>
      </c>
      <c r="R1942" s="13" t="str">
        <f t="shared" si="3"/>
        <v>Yes</v>
      </c>
      <c r="S1942" s="86" t="str">
        <f t="array" ref="S1942">iferror(XLOOKUP(C1942,'Download of SFDC Activation Rep'!B:B,'Download of SFDC Activation Rep'!Y:Y),"")</f>
        <v/>
      </c>
    </row>
    <row r="1943">
      <c r="A1943" s="17"/>
      <c r="B1943" s="85"/>
      <c r="C1943" s="17"/>
      <c r="D1943" s="85"/>
      <c r="E1943" s="17"/>
      <c r="F1943" s="17"/>
      <c r="G1943" s="17"/>
      <c r="I1943" s="17"/>
      <c r="K1943" s="17"/>
      <c r="L1943" s="17"/>
      <c r="M1943" s="17"/>
      <c r="O1943" s="14">
        <f t="shared" si="1"/>
        <v>0</v>
      </c>
      <c r="P1943" s="86" t="str">
        <f t="array" ref="P1943">iferror(XLOOKUP(C1943,'Download of SFDC Activation Rep'!B:B,'Download of SFDC Activation Rep'!Z:Z),"")</f>
        <v/>
      </c>
      <c r="Q1943" s="86" t="str">
        <f t="shared" si="2"/>
        <v/>
      </c>
      <c r="R1943" s="13" t="str">
        <f t="shared" si="3"/>
        <v>Yes</v>
      </c>
      <c r="S1943" s="86" t="str">
        <f t="array" ref="S1943">iferror(XLOOKUP(C1943,'Download of SFDC Activation Rep'!B:B,'Download of SFDC Activation Rep'!Y:Y),"")</f>
        <v/>
      </c>
    </row>
    <row r="1944">
      <c r="A1944" s="17"/>
      <c r="B1944" s="85"/>
      <c r="C1944" s="17"/>
      <c r="D1944" s="85"/>
      <c r="E1944" s="17"/>
      <c r="F1944" s="17"/>
      <c r="G1944" s="17"/>
      <c r="I1944" s="17"/>
      <c r="K1944" s="17"/>
      <c r="L1944" s="17"/>
      <c r="M1944" s="17"/>
      <c r="O1944" s="14">
        <f t="shared" si="1"/>
        <v>0</v>
      </c>
      <c r="P1944" s="86" t="str">
        <f t="array" ref="P1944">iferror(XLOOKUP(C1944,'Download of SFDC Activation Rep'!B:B,'Download of SFDC Activation Rep'!Z:Z),"")</f>
        <v/>
      </c>
      <c r="Q1944" s="86" t="str">
        <f t="shared" si="2"/>
        <v/>
      </c>
      <c r="R1944" s="13" t="str">
        <f t="shared" si="3"/>
        <v>Yes</v>
      </c>
      <c r="S1944" s="86" t="str">
        <f t="array" ref="S1944">iferror(XLOOKUP(C1944,'Download of SFDC Activation Rep'!B:B,'Download of SFDC Activation Rep'!Y:Y),"")</f>
        <v/>
      </c>
    </row>
    <row r="1945">
      <c r="A1945" s="17"/>
      <c r="B1945" s="85"/>
      <c r="C1945" s="17"/>
      <c r="D1945" s="85"/>
      <c r="E1945" s="17"/>
      <c r="F1945" s="17"/>
      <c r="G1945" s="17"/>
      <c r="I1945" s="17"/>
      <c r="K1945" s="17"/>
      <c r="L1945" s="17"/>
      <c r="M1945" s="17"/>
      <c r="O1945" s="14">
        <f t="shared" si="1"/>
        <v>0</v>
      </c>
      <c r="P1945" s="86" t="str">
        <f t="array" ref="P1945">iferror(XLOOKUP(C1945,'Download of SFDC Activation Rep'!B:B,'Download of SFDC Activation Rep'!Z:Z),"")</f>
        <v/>
      </c>
      <c r="Q1945" s="86" t="str">
        <f t="shared" si="2"/>
        <v/>
      </c>
      <c r="R1945" s="13" t="str">
        <f t="shared" si="3"/>
        <v>Yes</v>
      </c>
      <c r="S1945" s="86" t="str">
        <f t="array" ref="S1945">iferror(XLOOKUP(C1945,'Download of SFDC Activation Rep'!B:B,'Download of SFDC Activation Rep'!Y:Y),"")</f>
        <v/>
      </c>
    </row>
    <row r="1946">
      <c r="A1946" s="17"/>
      <c r="B1946" s="85"/>
      <c r="C1946" s="17"/>
      <c r="D1946" s="85"/>
      <c r="E1946" s="17"/>
      <c r="F1946" s="17"/>
      <c r="G1946" s="17"/>
      <c r="I1946" s="17"/>
      <c r="K1946" s="17"/>
      <c r="L1946" s="17"/>
      <c r="M1946" s="17"/>
      <c r="O1946" s="14">
        <f t="shared" si="1"/>
        <v>0</v>
      </c>
      <c r="P1946" s="86" t="str">
        <f t="array" ref="P1946">iferror(XLOOKUP(C1946,'Download of SFDC Activation Rep'!B:B,'Download of SFDC Activation Rep'!Z:Z),"")</f>
        <v/>
      </c>
      <c r="Q1946" s="86" t="str">
        <f t="shared" si="2"/>
        <v/>
      </c>
      <c r="R1946" s="13" t="str">
        <f t="shared" si="3"/>
        <v>Yes</v>
      </c>
      <c r="S1946" s="86" t="str">
        <f t="array" ref="S1946">iferror(XLOOKUP(C1946,'Download of SFDC Activation Rep'!B:B,'Download of SFDC Activation Rep'!Y:Y),"")</f>
        <v/>
      </c>
    </row>
    <row r="1947">
      <c r="A1947" s="17"/>
      <c r="B1947" s="85"/>
      <c r="C1947" s="17"/>
      <c r="D1947" s="85"/>
      <c r="E1947" s="17"/>
      <c r="F1947" s="17"/>
      <c r="G1947" s="17"/>
      <c r="I1947" s="17"/>
      <c r="K1947" s="17"/>
      <c r="L1947" s="17"/>
      <c r="M1947" s="17"/>
      <c r="O1947" s="14">
        <f t="shared" si="1"/>
        <v>0</v>
      </c>
      <c r="P1947" s="86" t="str">
        <f t="array" ref="P1947">iferror(XLOOKUP(C1947,'Download of SFDC Activation Rep'!B:B,'Download of SFDC Activation Rep'!Z:Z),"")</f>
        <v/>
      </c>
      <c r="Q1947" s="86" t="str">
        <f t="shared" si="2"/>
        <v/>
      </c>
      <c r="R1947" s="13" t="str">
        <f t="shared" si="3"/>
        <v>Yes</v>
      </c>
      <c r="S1947" s="86" t="str">
        <f t="array" ref="S1947">iferror(XLOOKUP(C1947,'Download of SFDC Activation Rep'!B:B,'Download of SFDC Activation Rep'!Y:Y),"")</f>
        <v/>
      </c>
    </row>
    <row r="1948">
      <c r="A1948" s="17"/>
      <c r="B1948" s="85"/>
      <c r="C1948" s="17"/>
      <c r="D1948" s="85"/>
      <c r="E1948" s="17"/>
      <c r="F1948" s="17"/>
      <c r="G1948" s="17"/>
      <c r="I1948" s="17"/>
      <c r="K1948" s="17"/>
      <c r="L1948" s="17"/>
      <c r="M1948" s="17"/>
      <c r="O1948" s="14">
        <f t="shared" si="1"/>
        <v>0</v>
      </c>
      <c r="P1948" s="86" t="str">
        <f t="array" ref="P1948">iferror(XLOOKUP(C1948,'Download of SFDC Activation Rep'!B:B,'Download of SFDC Activation Rep'!Z:Z),"")</f>
        <v/>
      </c>
      <c r="Q1948" s="86" t="str">
        <f t="shared" si="2"/>
        <v/>
      </c>
      <c r="R1948" s="13" t="str">
        <f t="shared" si="3"/>
        <v>Yes</v>
      </c>
      <c r="S1948" s="86" t="str">
        <f t="array" ref="S1948">iferror(XLOOKUP(C1948,'Download of SFDC Activation Rep'!B:B,'Download of SFDC Activation Rep'!Y:Y),"")</f>
        <v/>
      </c>
    </row>
    <row r="1949">
      <c r="A1949" s="17"/>
      <c r="B1949" s="85"/>
      <c r="C1949" s="17"/>
      <c r="D1949" s="85"/>
      <c r="E1949" s="17"/>
      <c r="F1949" s="17"/>
      <c r="G1949" s="17"/>
      <c r="I1949" s="17"/>
      <c r="K1949" s="17"/>
      <c r="L1949" s="17"/>
      <c r="M1949" s="17"/>
      <c r="O1949" s="14">
        <f t="shared" si="1"/>
        <v>0</v>
      </c>
      <c r="P1949" s="86" t="str">
        <f t="array" ref="P1949">iferror(XLOOKUP(C1949,'Download of SFDC Activation Rep'!B:B,'Download of SFDC Activation Rep'!Z:Z),"")</f>
        <v/>
      </c>
      <c r="Q1949" s="86" t="str">
        <f t="shared" si="2"/>
        <v/>
      </c>
      <c r="R1949" s="13" t="str">
        <f t="shared" si="3"/>
        <v>Yes</v>
      </c>
      <c r="S1949" s="86" t="str">
        <f t="array" ref="S1949">iferror(XLOOKUP(C1949,'Download of SFDC Activation Rep'!B:B,'Download of SFDC Activation Rep'!Y:Y),"")</f>
        <v/>
      </c>
    </row>
    <row r="1950">
      <c r="A1950" s="17"/>
      <c r="B1950" s="85"/>
      <c r="C1950" s="17"/>
      <c r="D1950" s="85"/>
      <c r="E1950" s="17"/>
      <c r="F1950" s="17"/>
      <c r="G1950" s="17"/>
      <c r="I1950" s="17"/>
      <c r="K1950" s="17"/>
      <c r="L1950" s="17"/>
      <c r="M1950" s="17"/>
      <c r="O1950" s="14">
        <f t="shared" si="1"/>
        <v>0</v>
      </c>
      <c r="P1950" s="86" t="str">
        <f t="array" ref="P1950">iferror(XLOOKUP(C1950,'Download of SFDC Activation Rep'!B:B,'Download of SFDC Activation Rep'!Z:Z),"")</f>
        <v/>
      </c>
      <c r="Q1950" s="86" t="str">
        <f t="shared" si="2"/>
        <v/>
      </c>
      <c r="R1950" s="13" t="str">
        <f t="shared" si="3"/>
        <v>Yes</v>
      </c>
      <c r="S1950" s="86" t="str">
        <f t="array" ref="S1950">iferror(XLOOKUP(C1950,'Download of SFDC Activation Rep'!B:B,'Download of SFDC Activation Rep'!Y:Y),"")</f>
        <v/>
      </c>
    </row>
    <row r="1951">
      <c r="A1951" s="17"/>
      <c r="B1951" s="85"/>
      <c r="C1951" s="17"/>
      <c r="D1951" s="85"/>
      <c r="E1951" s="17"/>
      <c r="F1951" s="17"/>
      <c r="G1951" s="17"/>
      <c r="I1951" s="17"/>
      <c r="K1951" s="17"/>
      <c r="L1951" s="17"/>
      <c r="M1951" s="17"/>
      <c r="O1951" s="14">
        <f t="shared" si="1"/>
        <v>0</v>
      </c>
      <c r="P1951" s="86" t="str">
        <f t="array" ref="P1951">iferror(XLOOKUP(C1951,'Download of SFDC Activation Rep'!B:B,'Download of SFDC Activation Rep'!Z:Z),"")</f>
        <v/>
      </c>
      <c r="Q1951" s="86" t="str">
        <f t="shared" si="2"/>
        <v/>
      </c>
      <c r="R1951" s="13" t="str">
        <f t="shared" si="3"/>
        <v>Yes</v>
      </c>
      <c r="S1951" s="86" t="str">
        <f t="array" ref="S1951">iferror(XLOOKUP(C1951,'Download of SFDC Activation Rep'!B:B,'Download of SFDC Activation Rep'!Y:Y),"")</f>
        <v/>
      </c>
    </row>
    <row r="1952">
      <c r="A1952" s="17"/>
      <c r="B1952" s="85"/>
      <c r="C1952" s="17"/>
      <c r="D1952" s="85"/>
      <c r="E1952" s="17"/>
      <c r="F1952" s="17"/>
      <c r="G1952" s="17"/>
      <c r="I1952" s="17"/>
      <c r="K1952" s="17"/>
      <c r="L1952" s="17"/>
      <c r="M1952" s="17"/>
      <c r="O1952" s="14">
        <f t="shared" si="1"/>
        <v>0</v>
      </c>
      <c r="P1952" s="86" t="str">
        <f t="array" ref="P1952">iferror(XLOOKUP(C1952,'Download of SFDC Activation Rep'!B:B,'Download of SFDC Activation Rep'!Z:Z),"")</f>
        <v/>
      </c>
      <c r="Q1952" s="86" t="str">
        <f t="shared" si="2"/>
        <v/>
      </c>
      <c r="R1952" s="13" t="str">
        <f t="shared" si="3"/>
        <v>Yes</v>
      </c>
      <c r="S1952" s="86" t="str">
        <f t="array" ref="S1952">iferror(XLOOKUP(C1952,'Download of SFDC Activation Rep'!B:B,'Download of SFDC Activation Rep'!Y:Y),"")</f>
        <v/>
      </c>
    </row>
    <row r="1953">
      <c r="A1953" s="17"/>
      <c r="B1953" s="85"/>
      <c r="C1953" s="17"/>
      <c r="D1953" s="85"/>
      <c r="E1953" s="17"/>
      <c r="F1953" s="17"/>
      <c r="G1953" s="17"/>
      <c r="I1953" s="17"/>
      <c r="K1953" s="17"/>
      <c r="L1953" s="17"/>
      <c r="M1953" s="17"/>
      <c r="O1953" s="14">
        <f t="shared" si="1"/>
        <v>0</v>
      </c>
      <c r="P1953" s="86" t="str">
        <f t="array" ref="P1953">iferror(XLOOKUP(C1953,'Download of SFDC Activation Rep'!B:B,'Download of SFDC Activation Rep'!Z:Z),"")</f>
        <v/>
      </c>
      <c r="Q1953" s="86" t="str">
        <f t="shared" si="2"/>
        <v/>
      </c>
      <c r="R1953" s="13" t="str">
        <f t="shared" si="3"/>
        <v>Yes</v>
      </c>
      <c r="S1953" s="86" t="str">
        <f t="array" ref="S1953">iferror(XLOOKUP(C1953,'Download of SFDC Activation Rep'!B:B,'Download of SFDC Activation Rep'!Y:Y),"")</f>
        <v/>
      </c>
    </row>
    <row r="1954">
      <c r="A1954" s="17"/>
      <c r="B1954" s="85"/>
      <c r="C1954" s="17"/>
      <c r="D1954" s="85"/>
      <c r="E1954" s="17"/>
      <c r="F1954" s="17"/>
      <c r="G1954" s="17"/>
      <c r="I1954" s="17"/>
      <c r="K1954" s="17"/>
      <c r="L1954" s="17"/>
      <c r="M1954" s="17"/>
      <c r="O1954" s="14">
        <f t="shared" si="1"/>
        <v>0</v>
      </c>
      <c r="P1954" s="86" t="str">
        <f t="array" ref="P1954">iferror(XLOOKUP(C1954,'Download of SFDC Activation Rep'!B:B,'Download of SFDC Activation Rep'!Z:Z),"")</f>
        <v/>
      </c>
      <c r="Q1954" s="86" t="str">
        <f t="shared" si="2"/>
        <v/>
      </c>
      <c r="R1954" s="13" t="str">
        <f t="shared" si="3"/>
        <v>Yes</v>
      </c>
      <c r="S1954" s="86" t="str">
        <f t="array" ref="S1954">iferror(XLOOKUP(C1954,'Download of SFDC Activation Rep'!B:B,'Download of SFDC Activation Rep'!Y:Y),"")</f>
        <v/>
      </c>
    </row>
    <row r="1955">
      <c r="A1955" s="17"/>
      <c r="B1955" s="85"/>
      <c r="C1955" s="17"/>
      <c r="D1955" s="85"/>
      <c r="E1955" s="17"/>
      <c r="F1955" s="17"/>
      <c r="G1955" s="17"/>
      <c r="I1955" s="17"/>
      <c r="K1955" s="17"/>
      <c r="L1955" s="17"/>
      <c r="M1955" s="17"/>
      <c r="O1955" s="14">
        <f t="shared" si="1"/>
        <v>0</v>
      </c>
      <c r="P1955" s="86" t="str">
        <f t="array" ref="P1955">iferror(XLOOKUP(C1955,'Download of SFDC Activation Rep'!B:B,'Download of SFDC Activation Rep'!Z:Z),"")</f>
        <v/>
      </c>
      <c r="Q1955" s="86" t="str">
        <f t="shared" si="2"/>
        <v/>
      </c>
      <c r="R1955" s="13" t="str">
        <f t="shared" si="3"/>
        <v>Yes</v>
      </c>
      <c r="S1955" s="86" t="str">
        <f t="array" ref="S1955">iferror(XLOOKUP(C1955,'Download of SFDC Activation Rep'!B:B,'Download of SFDC Activation Rep'!Y:Y),"")</f>
        <v/>
      </c>
    </row>
    <row r="1956">
      <c r="A1956" s="17"/>
      <c r="B1956" s="85"/>
      <c r="C1956" s="17"/>
      <c r="D1956" s="85"/>
      <c r="E1956" s="17"/>
      <c r="F1956" s="17"/>
      <c r="G1956" s="17"/>
      <c r="I1956" s="17"/>
      <c r="K1956" s="17"/>
      <c r="L1956" s="17"/>
      <c r="M1956" s="17"/>
      <c r="O1956" s="14">
        <f t="shared" si="1"/>
        <v>0</v>
      </c>
      <c r="P1956" s="86" t="str">
        <f t="array" ref="P1956">iferror(XLOOKUP(C1956,'Download of SFDC Activation Rep'!B:B,'Download of SFDC Activation Rep'!Z:Z),"")</f>
        <v/>
      </c>
      <c r="Q1956" s="86" t="str">
        <f t="shared" si="2"/>
        <v/>
      </c>
      <c r="R1956" s="13" t="str">
        <f t="shared" si="3"/>
        <v>Yes</v>
      </c>
      <c r="S1956" s="86" t="str">
        <f t="array" ref="S1956">iferror(XLOOKUP(C1956,'Download of SFDC Activation Rep'!B:B,'Download of SFDC Activation Rep'!Y:Y),"")</f>
        <v/>
      </c>
    </row>
    <row r="1957">
      <c r="A1957" s="17"/>
      <c r="B1957" s="85"/>
      <c r="C1957" s="17"/>
      <c r="D1957" s="85"/>
      <c r="E1957" s="17"/>
      <c r="F1957" s="17"/>
      <c r="G1957" s="17"/>
      <c r="I1957" s="17"/>
      <c r="K1957" s="17"/>
      <c r="L1957" s="17"/>
      <c r="M1957" s="17"/>
      <c r="O1957" s="14">
        <f t="shared" si="1"/>
        <v>0</v>
      </c>
      <c r="P1957" s="86" t="str">
        <f t="array" ref="P1957">iferror(XLOOKUP(C1957,'Download of SFDC Activation Rep'!B:B,'Download of SFDC Activation Rep'!Z:Z),"")</f>
        <v/>
      </c>
      <c r="Q1957" s="86" t="str">
        <f t="shared" si="2"/>
        <v/>
      </c>
      <c r="R1957" s="13" t="str">
        <f t="shared" si="3"/>
        <v>Yes</v>
      </c>
      <c r="S1957" s="86" t="str">
        <f t="array" ref="S1957">iferror(XLOOKUP(C1957,'Download of SFDC Activation Rep'!B:B,'Download of SFDC Activation Rep'!Y:Y),"")</f>
        <v/>
      </c>
    </row>
    <row r="1958">
      <c r="A1958" s="17"/>
      <c r="B1958" s="85"/>
      <c r="C1958" s="17"/>
      <c r="D1958" s="85"/>
      <c r="E1958" s="17"/>
      <c r="F1958" s="17"/>
      <c r="G1958" s="17"/>
      <c r="I1958" s="17"/>
      <c r="K1958" s="17"/>
      <c r="L1958" s="17"/>
      <c r="M1958" s="17"/>
      <c r="O1958" s="14">
        <f t="shared" si="1"/>
        <v>0</v>
      </c>
      <c r="P1958" s="86" t="str">
        <f t="array" ref="P1958">iferror(XLOOKUP(C1958,'Download of SFDC Activation Rep'!B:B,'Download of SFDC Activation Rep'!Z:Z),"")</f>
        <v/>
      </c>
      <c r="Q1958" s="86" t="str">
        <f t="shared" si="2"/>
        <v/>
      </c>
      <c r="R1958" s="13" t="str">
        <f t="shared" si="3"/>
        <v>Yes</v>
      </c>
      <c r="S1958" s="86" t="str">
        <f t="array" ref="S1958">iferror(XLOOKUP(C1958,'Download of SFDC Activation Rep'!B:B,'Download of SFDC Activation Rep'!Y:Y),"")</f>
        <v/>
      </c>
    </row>
    <row r="1959">
      <c r="A1959" s="17"/>
      <c r="B1959" s="85"/>
      <c r="C1959" s="17"/>
      <c r="D1959" s="85"/>
      <c r="E1959" s="17"/>
      <c r="F1959" s="17"/>
      <c r="G1959" s="17"/>
      <c r="I1959" s="17"/>
      <c r="K1959" s="17"/>
      <c r="L1959" s="17"/>
      <c r="M1959" s="17"/>
      <c r="O1959" s="14">
        <f t="shared" si="1"/>
        <v>0</v>
      </c>
      <c r="P1959" s="86" t="str">
        <f t="array" ref="P1959">iferror(XLOOKUP(C1959,'Download of SFDC Activation Rep'!B:B,'Download of SFDC Activation Rep'!Z:Z),"")</f>
        <v/>
      </c>
      <c r="Q1959" s="86" t="str">
        <f t="shared" si="2"/>
        <v/>
      </c>
      <c r="R1959" s="13" t="str">
        <f t="shared" si="3"/>
        <v>Yes</v>
      </c>
      <c r="S1959" s="86" t="str">
        <f t="array" ref="S1959">iferror(XLOOKUP(C1959,'Download of SFDC Activation Rep'!B:B,'Download of SFDC Activation Rep'!Y:Y),"")</f>
        <v/>
      </c>
    </row>
    <row r="1960">
      <c r="A1960" s="17"/>
      <c r="B1960" s="85"/>
      <c r="C1960" s="17"/>
      <c r="D1960" s="85"/>
      <c r="E1960" s="17"/>
      <c r="F1960" s="17"/>
      <c r="G1960" s="17"/>
      <c r="I1960" s="17"/>
      <c r="K1960" s="17"/>
      <c r="L1960" s="17"/>
      <c r="M1960" s="17"/>
      <c r="O1960" s="14">
        <f t="shared" si="1"/>
        <v>0</v>
      </c>
      <c r="P1960" s="86" t="str">
        <f t="array" ref="P1960">iferror(XLOOKUP(C1960,'Download of SFDC Activation Rep'!B:B,'Download of SFDC Activation Rep'!Z:Z),"")</f>
        <v/>
      </c>
      <c r="Q1960" s="86" t="str">
        <f t="shared" si="2"/>
        <v/>
      </c>
      <c r="R1960" s="13" t="str">
        <f t="shared" si="3"/>
        <v>Yes</v>
      </c>
      <c r="S1960" s="86" t="str">
        <f t="array" ref="S1960">iferror(XLOOKUP(C1960,'Download of SFDC Activation Rep'!B:B,'Download of SFDC Activation Rep'!Y:Y),"")</f>
        <v/>
      </c>
    </row>
    <row r="1961">
      <c r="A1961" s="17"/>
      <c r="B1961" s="85"/>
      <c r="C1961" s="17"/>
      <c r="D1961" s="85"/>
      <c r="E1961" s="17"/>
      <c r="F1961" s="17"/>
      <c r="G1961" s="17"/>
      <c r="I1961" s="17"/>
      <c r="K1961" s="17"/>
      <c r="L1961" s="17"/>
      <c r="M1961" s="17"/>
      <c r="O1961" s="14">
        <f t="shared" si="1"/>
        <v>0</v>
      </c>
      <c r="P1961" s="86" t="str">
        <f t="array" ref="P1961">iferror(XLOOKUP(C1961,'Download of SFDC Activation Rep'!B:B,'Download of SFDC Activation Rep'!Z:Z),"")</f>
        <v/>
      </c>
      <c r="Q1961" s="86" t="str">
        <f t="shared" si="2"/>
        <v/>
      </c>
      <c r="R1961" s="13" t="str">
        <f t="shared" si="3"/>
        <v>Yes</v>
      </c>
      <c r="S1961" s="86" t="str">
        <f t="array" ref="S1961">iferror(XLOOKUP(C1961,'Download of SFDC Activation Rep'!B:B,'Download of SFDC Activation Rep'!Y:Y),"")</f>
        <v/>
      </c>
    </row>
    <row r="1962">
      <c r="A1962" s="17"/>
      <c r="B1962" s="85"/>
      <c r="C1962" s="17"/>
      <c r="D1962" s="85"/>
      <c r="E1962" s="17"/>
      <c r="F1962" s="17"/>
      <c r="G1962" s="17"/>
      <c r="I1962" s="17"/>
      <c r="K1962" s="17"/>
      <c r="L1962" s="17"/>
      <c r="M1962" s="17"/>
      <c r="O1962" s="14">
        <f t="shared" si="1"/>
        <v>0</v>
      </c>
      <c r="P1962" s="86" t="str">
        <f t="array" ref="P1962">iferror(XLOOKUP(C1962,'Download of SFDC Activation Rep'!B:B,'Download of SFDC Activation Rep'!Z:Z),"")</f>
        <v/>
      </c>
      <c r="Q1962" s="86" t="str">
        <f t="shared" si="2"/>
        <v/>
      </c>
      <c r="R1962" s="13" t="str">
        <f t="shared" si="3"/>
        <v>Yes</v>
      </c>
      <c r="S1962" s="86" t="str">
        <f t="array" ref="S1962">iferror(XLOOKUP(C1962,'Download of SFDC Activation Rep'!B:B,'Download of SFDC Activation Rep'!Y:Y),"")</f>
        <v/>
      </c>
    </row>
    <row r="1963">
      <c r="A1963" s="17"/>
      <c r="B1963" s="85"/>
      <c r="C1963" s="17"/>
      <c r="D1963" s="85"/>
      <c r="E1963" s="17"/>
      <c r="F1963" s="17"/>
      <c r="G1963" s="17"/>
      <c r="I1963" s="17"/>
      <c r="K1963" s="17"/>
      <c r="L1963" s="17"/>
      <c r="M1963" s="17"/>
      <c r="O1963" s="14">
        <f t="shared" si="1"/>
        <v>0</v>
      </c>
      <c r="P1963" s="86" t="str">
        <f t="array" ref="P1963">iferror(XLOOKUP(C1963,'Download of SFDC Activation Rep'!B:B,'Download of SFDC Activation Rep'!Z:Z),"")</f>
        <v/>
      </c>
      <c r="Q1963" s="86" t="str">
        <f t="shared" si="2"/>
        <v/>
      </c>
      <c r="R1963" s="13" t="str">
        <f t="shared" si="3"/>
        <v>Yes</v>
      </c>
      <c r="S1963" s="86" t="str">
        <f t="array" ref="S1963">iferror(XLOOKUP(C1963,'Download of SFDC Activation Rep'!B:B,'Download of SFDC Activation Rep'!Y:Y),"")</f>
        <v/>
      </c>
    </row>
    <row r="1964">
      <c r="A1964" s="17"/>
      <c r="B1964" s="85"/>
      <c r="C1964" s="17"/>
      <c r="D1964" s="85"/>
      <c r="E1964" s="17"/>
      <c r="F1964" s="17"/>
      <c r="G1964" s="17"/>
      <c r="I1964" s="17"/>
      <c r="K1964" s="17"/>
      <c r="L1964" s="17"/>
      <c r="M1964" s="17"/>
      <c r="O1964" s="14">
        <f t="shared" si="1"/>
        <v>0</v>
      </c>
      <c r="P1964" s="86" t="str">
        <f t="array" ref="P1964">iferror(XLOOKUP(C1964,'Download of SFDC Activation Rep'!B:B,'Download of SFDC Activation Rep'!Z:Z),"")</f>
        <v/>
      </c>
      <c r="Q1964" s="86" t="str">
        <f t="shared" si="2"/>
        <v/>
      </c>
      <c r="R1964" s="13" t="str">
        <f t="shared" si="3"/>
        <v>Yes</v>
      </c>
      <c r="S1964" s="86" t="str">
        <f t="array" ref="S1964">iferror(XLOOKUP(C1964,'Download of SFDC Activation Rep'!B:B,'Download of SFDC Activation Rep'!Y:Y),"")</f>
        <v/>
      </c>
    </row>
    <row r="1965">
      <c r="A1965" s="17"/>
      <c r="B1965" s="85"/>
      <c r="C1965" s="17"/>
      <c r="D1965" s="85"/>
      <c r="E1965" s="17"/>
      <c r="F1965" s="17"/>
      <c r="G1965" s="17"/>
      <c r="I1965" s="17"/>
      <c r="K1965" s="17"/>
      <c r="L1965" s="17"/>
      <c r="M1965" s="17"/>
      <c r="O1965" s="14">
        <f t="shared" si="1"/>
        <v>0</v>
      </c>
      <c r="P1965" s="86" t="str">
        <f t="array" ref="P1965">iferror(XLOOKUP(C1965,'Download of SFDC Activation Rep'!B:B,'Download of SFDC Activation Rep'!Z:Z),"")</f>
        <v/>
      </c>
      <c r="Q1965" s="86" t="str">
        <f t="shared" si="2"/>
        <v/>
      </c>
      <c r="R1965" s="13" t="str">
        <f t="shared" si="3"/>
        <v>Yes</v>
      </c>
      <c r="S1965" s="86" t="str">
        <f t="array" ref="S1965">iferror(XLOOKUP(C1965,'Download of SFDC Activation Rep'!B:B,'Download of SFDC Activation Rep'!Y:Y),"")</f>
        <v/>
      </c>
    </row>
    <row r="1966">
      <c r="A1966" s="17"/>
      <c r="B1966" s="85"/>
      <c r="C1966" s="17"/>
      <c r="D1966" s="85"/>
      <c r="E1966" s="17"/>
      <c r="F1966" s="17"/>
      <c r="G1966" s="17"/>
      <c r="I1966" s="17"/>
      <c r="K1966" s="17"/>
      <c r="L1966" s="17"/>
      <c r="M1966" s="17"/>
      <c r="O1966" s="14">
        <f t="shared" si="1"/>
        <v>0</v>
      </c>
      <c r="P1966" s="86" t="str">
        <f t="array" ref="P1966">iferror(XLOOKUP(C1966,'Download of SFDC Activation Rep'!B:B,'Download of SFDC Activation Rep'!Z:Z),"")</f>
        <v/>
      </c>
      <c r="Q1966" s="86" t="str">
        <f t="shared" si="2"/>
        <v/>
      </c>
      <c r="R1966" s="13" t="str">
        <f t="shared" si="3"/>
        <v>Yes</v>
      </c>
      <c r="S1966" s="86" t="str">
        <f t="array" ref="S1966">iferror(XLOOKUP(C1966,'Download of SFDC Activation Rep'!B:B,'Download of SFDC Activation Rep'!Y:Y),"")</f>
        <v/>
      </c>
    </row>
    <row r="1967">
      <c r="A1967" s="17"/>
      <c r="B1967" s="85"/>
      <c r="C1967" s="17"/>
      <c r="D1967" s="85"/>
      <c r="E1967" s="17"/>
      <c r="F1967" s="17"/>
      <c r="G1967" s="17"/>
      <c r="I1967" s="17"/>
      <c r="K1967" s="17"/>
      <c r="L1967" s="17"/>
      <c r="M1967" s="17"/>
      <c r="O1967" s="14">
        <f t="shared" si="1"/>
        <v>0</v>
      </c>
      <c r="P1967" s="86" t="str">
        <f t="array" ref="P1967">iferror(XLOOKUP(C1967,'Download of SFDC Activation Rep'!B:B,'Download of SFDC Activation Rep'!Z:Z),"")</f>
        <v/>
      </c>
      <c r="Q1967" s="86" t="str">
        <f t="shared" si="2"/>
        <v/>
      </c>
      <c r="R1967" s="13" t="str">
        <f t="shared" si="3"/>
        <v>Yes</v>
      </c>
      <c r="S1967" s="86" t="str">
        <f t="array" ref="S1967">iferror(XLOOKUP(C1967,'Download of SFDC Activation Rep'!B:B,'Download of SFDC Activation Rep'!Y:Y),"")</f>
        <v/>
      </c>
    </row>
    <row r="1968">
      <c r="A1968" s="17"/>
      <c r="B1968" s="85"/>
      <c r="C1968" s="17"/>
      <c r="D1968" s="85"/>
      <c r="E1968" s="17"/>
      <c r="F1968" s="17"/>
      <c r="G1968" s="17"/>
      <c r="I1968" s="17"/>
      <c r="K1968" s="17"/>
      <c r="L1968" s="17"/>
      <c r="M1968" s="17"/>
      <c r="O1968" s="14">
        <f t="shared" si="1"/>
        <v>0</v>
      </c>
      <c r="P1968" s="86" t="str">
        <f t="array" ref="P1968">iferror(XLOOKUP(C1968,'Download of SFDC Activation Rep'!B:B,'Download of SFDC Activation Rep'!Z:Z),"")</f>
        <v/>
      </c>
      <c r="Q1968" s="86" t="str">
        <f t="shared" si="2"/>
        <v/>
      </c>
      <c r="R1968" s="13" t="str">
        <f t="shared" si="3"/>
        <v>Yes</v>
      </c>
      <c r="S1968" s="86" t="str">
        <f t="array" ref="S1968">iferror(XLOOKUP(C1968,'Download of SFDC Activation Rep'!B:B,'Download of SFDC Activation Rep'!Y:Y),"")</f>
        <v/>
      </c>
    </row>
    <row r="1969">
      <c r="A1969" s="17"/>
      <c r="B1969" s="85"/>
      <c r="C1969" s="17"/>
      <c r="D1969" s="85"/>
      <c r="E1969" s="17"/>
      <c r="F1969" s="17"/>
      <c r="G1969" s="17"/>
      <c r="I1969" s="17"/>
      <c r="K1969" s="17"/>
      <c r="L1969" s="17"/>
      <c r="M1969" s="17"/>
      <c r="O1969" s="14">
        <f t="shared" si="1"/>
        <v>0</v>
      </c>
      <c r="P1969" s="86" t="str">
        <f t="array" ref="P1969">iferror(XLOOKUP(C1969,'Download of SFDC Activation Rep'!B:B,'Download of SFDC Activation Rep'!Z:Z),"")</f>
        <v/>
      </c>
      <c r="Q1969" s="86" t="str">
        <f t="shared" si="2"/>
        <v/>
      </c>
      <c r="R1969" s="13" t="str">
        <f t="shared" si="3"/>
        <v>Yes</v>
      </c>
      <c r="S1969" s="86" t="str">
        <f t="array" ref="S1969">iferror(XLOOKUP(C1969,'Download of SFDC Activation Rep'!B:B,'Download of SFDC Activation Rep'!Y:Y),"")</f>
        <v/>
      </c>
    </row>
    <row r="1970">
      <c r="A1970" s="17"/>
      <c r="B1970" s="85"/>
      <c r="C1970" s="17"/>
      <c r="D1970" s="85"/>
      <c r="E1970" s="17"/>
      <c r="F1970" s="17"/>
      <c r="G1970" s="17"/>
      <c r="I1970" s="17"/>
      <c r="K1970" s="17"/>
      <c r="L1970" s="17"/>
      <c r="M1970" s="17"/>
      <c r="O1970" s="14">
        <f t="shared" si="1"/>
        <v>0</v>
      </c>
      <c r="P1970" s="86" t="str">
        <f t="array" ref="P1970">iferror(XLOOKUP(C1970,'Download of SFDC Activation Rep'!B:B,'Download of SFDC Activation Rep'!Z:Z),"")</f>
        <v/>
      </c>
      <c r="Q1970" s="86" t="str">
        <f t="shared" si="2"/>
        <v/>
      </c>
      <c r="R1970" s="13" t="str">
        <f t="shared" si="3"/>
        <v>Yes</v>
      </c>
      <c r="S1970" s="86" t="str">
        <f t="array" ref="S1970">iferror(XLOOKUP(C1970,'Download of SFDC Activation Rep'!B:B,'Download of SFDC Activation Rep'!Y:Y),"")</f>
        <v/>
      </c>
    </row>
    <row r="1971">
      <c r="A1971" s="17"/>
      <c r="B1971" s="85"/>
      <c r="C1971" s="17"/>
      <c r="D1971" s="85"/>
      <c r="E1971" s="17"/>
      <c r="F1971" s="17"/>
      <c r="G1971" s="17"/>
      <c r="I1971" s="17"/>
      <c r="K1971" s="17"/>
      <c r="L1971" s="17"/>
      <c r="M1971" s="17"/>
      <c r="O1971" s="14">
        <f t="shared" si="1"/>
        <v>0</v>
      </c>
      <c r="P1971" s="86" t="str">
        <f t="array" ref="P1971">iferror(XLOOKUP(C1971,'Download of SFDC Activation Rep'!B:B,'Download of SFDC Activation Rep'!Z:Z),"")</f>
        <v/>
      </c>
      <c r="Q1971" s="86" t="str">
        <f t="shared" si="2"/>
        <v/>
      </c>
      <c r="R1971" s="13" t="str">
        <f t="shared" si="3"/>
        <v>Yes</v>
      </c>
      <c r="S1971" s="86" t="str">
        <f t="array" ref="S1971">iferror(XLOOKUP(C1971,'Download of SFDC Activation Rep'!B:B,'Download of SFDC Activation Rep'!Y:Y),"")</f>
        <v/>
      </c>
    </row>
    <row r="1972">
      <c r="A1972" s="17"/>
      <c r="B1972" s="85"/>
      <c r="C1972" s="17"/>
      <c r="D1972" s="85"/>
      <c r="E1972" s="17"/>
      <c r="F1972" s="17"/>
      <c r="G1972" s="17"/>
      <c r="I1972" s="17"/>
      <c r="K1972" s="17"/>
      <c r="L1972" s="17"/>
      <c r="M1972" s="17"/>
      <c r="O1972" s="14">
        <f t="shared" si="1"/>
        <v>0</v>
      </c>
      <c r="P1972" s="86" t="str">
        <f t="array" ref="P1972">iferror(XLOOKUP(C1972,'Download of SFDC Activation Rep'!B:B,'Download of SFDC Activation Rep'!Z:Z),"")</f>
        <v/>
      </c>
      <c r="Q1972" s="86" t="str">
        <f t="shared" si="2"/>
        <v/>
      </c>
      <c r="R1972" s="13" t="str">
        <f t="shared" si="3"/>
        <v>Yes</v>
      </c>
      <c r="S1972" s="86" t="str">
        <f t="array" ref="S1972">iferror(XLOOKUP(C1972,'Download of SFDC Activation Rep'!B:B,'Download of SFDC Activation Rep'!Y:Y),"")</f>
        <v/>
      </c>
    </row>
    <row r="1973">
      <c r="A1973" s="17"/>
      <c r="B1973" s="85"/>
      <c r="C1973" s="17"/>
      <c r="D1973" s="85"/>
      <c r="E1973" s="17"/>
      <c r="F1973" s="17"/>
      <c r="G1973" s="17"/>
      <c r="I1973" s="17"/>
      <c r="K1973" s="17"/>
      <c r="L1973" s="17"/>
      <c r="M1973" s="17"/>
      <c r="O1973" s="14">
        <f t="shared" si="1"/>
        <v>0</v>
      </c>
      <c r="P1973" s="86" t="str">
        <f t="array" ref="P1973">iferror(XLOOKUP(C1973,'Download of SFDC Activation Rep'!B:B,'Download of SFDC Activation Rep'!Z:Z),"")</f>
        <v/>
      </c>
      <c r="Q1973" s="86" t="str">
        <f t="shared" si="2"/>
        <v/>
      </c>
      <c r="R1973" s="13" t="str">
        <f t="shared" si="3"/>
        <v>Yes</v>
      </c>
      <c r="S1973" s="86" t="str">
        <f t="array" ref="S1973">iferror(XLOOKUP(C1973,'Download of SFDC Activation Rep'!B:B,'Download of SFDC Activation Rep'!Y:Y),"")</f>
        <v/>
      </c>
    </row>
    <row r="1974">
      <c r="A1974" s="17"/>
      <c r="B1974" s="85"/>
      <c r="C1974" s="17"/>
      <c r="D1974" s="85"/>
      <c r="E1974" s="17"/>
      <c r="F1974" s="17"/>
      <c r="G1974" s="17"/>
      <c r="I1974" s="17"/>
      <c r="K1974" s="17"/>
      <c r="L1974" s="17"/>
      <c r="M1974" s="17"/>
      <c r="O1974" s="14">
        <f t="shared" si="1"/>
        <v>0</v>
      </c>
      <c r="P1974" s="86" t="str">
        <f t="array" ref="P1974">iferror(XLOOKUP(C1974,'Download of SFDC Activation Rep'!B:B,'Download of SFDC Activation Rep'!Z:Z),"")</f>
        <v/>
      </c>
      <c r="Q1974" s="86" t="str">
        <f t="shared" si="2"/>
        <v/>
      </c>
      <c r="R1974" s="13" t="str">
        <f t="shared" si="3"/>
        <v>Yes</v>
      </c>
      <c r="S1974" s="86" t="str">
        <f t="array" ref="S1974">iferror(XLOOKUP(C1974,'Download of SFDC Activation Rep'!B:B,'Download of SFDC Activation Rep'!Y:Y),"")</f>
        <v/>
      </c>
    </row>
    <row r="1975">
      <c r="A1975" s="17"/>
      <c r="B1975" s="85"/>
      <c r="C1975" s="17"/>
      <c r="D1975" s="85"/>
      <c r="E1975" s="17"/>
      <c r="F1975" s="17"/>
      <c r="G1975" s="17"/>
      <c r="I1975" s="17"/>
      <c r="K1975" s="17"/>
      <c r="L1975" s="17"/>
      <c r="M1975" s="17"/>
      <c r="O1975" s="14">
        <f t="shared" si="1"/>
        <v>0</v>
      </c>
      <c r="P1975" s="86" t="str">
        <f t="array" ref="P1975">iferror(XLOOKUP(C1975,'Download of SFDC Activation Rep'!B:B,'Download of SFDC Activation Rep'!Z:Z),"")</f>
        <v/>
      </c>
      <c r="Q1975" s="86" t="str">
        <f t="shared" si="2"/>
        <v/>
      </c>
      <c r="R1975" s="13" t="str">
        <f t="shared" si="3"/>
        <v>Yes</v>
      </c>
      <c r="S1975" s="86" t="str">
        <f t="array" ref="S1975">iferror(XLOOKUP(C1975,'Download of SFDC Activation Rep'!B:B,'Download of SFDC Activation Rep'!Y:Y),"")</f>
        <v/>
      </c>
    </row>
    <row r="1976">
      <c r="A1976" s="17"/>
      <c r="B1976" s="85"/>
      <c r="C1976" s="17"/>
      <c r="D1976" s="85"/>
      <c r="E1976" s="17"/>
      <c r="F1976" s="17"/>
      <c r="G1976" s="17"/>
      <c r="I1976" s="17"/>
      <c r="K1976" s="17"/>
      <c r="L1976" s="17"/>
      <c r="M1976" s="17"/>
      <c r="O1976" s="14">
        <f t="shared" si="1"/>
        <v>0</v>
      </c>
      <c r="P1976" s="86" t="str">
        <f t="array" ref="P1976">iferror(XLOOKUP(C1976,'Download of SFDC Activation Rep'!B:B,'Download of SFDC Activation Rep'!Z:Z),"")</f>
        <v/>
      </c>
      <c r="Q1976" s="86" t="str">
        <f t="shared" si="2"/>
        <v/>
      </c>
      <c r="R1976" s="13" t="str">
        <f t="shared" si="3"/>
        <v>Yes</v>
      </c>
      <c r="S1976" s="86" t="str">
        <f t="array" ref="S1976">iferror(XLOOKUP(C1976,'Download of SFDC Activation Rep'!B:B,'Download of SFDC Activation Rep'!Y:Y),"")</f>
        <v/>
      </c>
    </row>
    <row r="1977">
      <c r="A1977" s="17"/>
      <c r="B1977" s="85"/>
      <c r="C1977" s="17"/>
      <c r="D1977" s="85"/>
      <c r="E1977" s="17"/>
      <c r="F1977" s="17"/>
      <c r="G1977" s="17"/>
      <c r="I1977" s="17"/>
      <c r="K1977" s="17"/>
      <c r="L1977" s="17"/>
      <c r="M1977" s="17"/>
      <c r="O1977" s="14">
        <f t="shared" si="1"/>
        <v>0</v>
      </c>
      <c r="P1977" s="86" t="str">
        <f t="array" ref="P1977">iferror(XLOOKUP(C1977,'Download of SFDC Activation Rep'!B:B,'Download of SFDC Activation Rep'!Z:Z),"")</f>
        <v/>
      </c>
      <c r="Q1977" s="86" t="str">
        <f t="shared" si="2"/>
        <v/>
      </c>
      <c r="R1977" s="13" t="str">
        <f t="shared" si="3"/>
        <v>Yes</v>
      </c>
      <c r="S1977" s="86" t="str">
        <f t="array" ref="S1977">iferror(XLOOKUP(C1977,'Download of SFDC Activation Rep'!B:B,'Download of SFDC Activation Rep'!Y:Y),"")</f>
        <v/>
      </c>
    </row>
    <row r="1978">
      <c r="A1978" s="17"/>
      <c r="B1978" s="85"/>
      <c r="C1978" s="17"/>
      <c r="D1978" s="85"/>
      <c r="E1978" s="17"/>
      <c r="F1978" s="17"/>
      <c r="G1978" s="17"/>
      <c r="I1978" s="17"/>
      <c r="K1978" s="17"/>
      <c r="L1978" s="17"/>
      <c r="M1978" s="17"/>
      <c r="O1978" s="14">
        <f t="shared" si="1"/>
        <v>0</v>
      </c>
      <c r="P1978" s="86" t="str">
        <f t="array" ref="P1978">iferror(XLOOKUP(C1978,'Download of SFDC Activation Rep'!B:B,'Download of SFDC Activation Rep'!Z:Z),"")</f>
        <v/>
      </c>
      <c r="Q1978" s="86" t="str">
        <f t="shared" si="2"/>
        <v/>
      </c>
      <c r="R1978" s="13" t="str">
        <f t="shared" si="3"/>
        <v>Yes</v>
      </c>
      <c r="S1978" s="86" t="str">
        <f t="array" ref="S1978">iferror(XLOOKUP(C1978,'Download of SFDC Activation Rep'!B:B,'Download of SFDC Activation Rep'!Y:Y),"")</f>
        <v/>
      </c>
    </row>
    <row r="1979">
      <c r="A1979" s="17"/>
      <c r="B1979" s="85"/>
      <c r="C1979" s="17"/>
      <c r="D1979" s="85"/>
      <c r="E1979" s="17"/>
      <c r="F1979" s="17"/>
      <c r="G1979" s="17"/>
      <c r="I1979" s="17"/>
      <c r="K1979" s="17"/>
      <c r="L1979" s="17"/>
      <c r="M1979" s="17"/>
      <c r="O1979" s="14">
        <f t="shared" si="1"/>
        <v>0</v>
      </c>
      <c r="P1979" s="86" t="str">
        <f t="array" ref="P1979">iferror(XLOOKUP(C1979,'Download of SFDC Activation Rep'!B:B,'Download of SFDC Activation Rep'!Z:Z),"")</f>
        <v/>
      </c>
      <c r="Q1979" s="86" t="str">
        <f t="shared" si="2"/>
        <v/>
      </c>
      <c r="R1979" s="13" t="str">
        <f t="shared" si="3"/>
        <v>Yes</v>
      </c>
      <c r="S1979" s="86" t="str">
        <f t="array" ref="S1979">iferror(XLOOKUP(C1979,'Download of SFDC Activation Rep'!B:B,'Download of SFDC Activation Rep'!Y:Y),"")</f>
        <v/>
      </c>
    </row>
    <row r="1980">
      <c r="A1980" s="17"/>
      <c r="B1980" s="85"/>
      <c r="C1980" s="17"/>
      <c r="D1980" s="85"/>
      <c r="E1980" s="17"/>
      <c r="F1980" s="17"/>
      <c r="G1980" s="17"/>
      <c r="I1980" s="17"/>
      <c r="K1980" s="17"/>
      <c r="L1980" s="17"/>
      <c r="M1980" s="17"/>
      <c r="O1980" s="14">
        <f t="shared" si="1"/>
        <v>0</v>
      </c>
      <c r="P1980" s="86" t="str">
        <f t="array" ref="P1980">iferror(XLOOKUP(C1980,'Download of SFDC Activation Rep'!B:B,'Download of SFDC Activation Rep'!Z:Z),"")</f>
        <v/>
      </c>
      <c r="Q1980" s="86" t="str">
        <f t="shared" si="2"/>
        <v/>
      </c>
      <c r="R1980" s="13" t="str">
        <f t="shared" si="3"/>
        <v>Yes</v>
      </c>
      <c r="S1980" s="86" t="str">
        <f t="array" ref="S1980">iferror(XLOOKUP(C1980,'Download of SFDC Activation Rep'!B:B,'Download of SFDC Activation Rep'!Y:Y),"")</f>
        <v/>
      </c>
    </row>
    <row r="1981">
      <c r="A1981" s="17"/>
      <c r="B1981" s="85"/>
      <c r="C1981" s="17"/>
      <c r="D1981" s="85"/>
      <c r="E1981" s="17"/>
      <c r="F1981" s="17"/>
      <c r="G1981" s="17"/>
      <c r="I1981" s="17"/>
      <c r="K1981" s="17"/>
      <c r="L1981" s="17"/>
      <c r="M1981" s="17"/>
      <c r="O1981" s="14">
        <f t="shared" si="1"/>
        <v>0</v>
      </c>
      <c r="P1981" s="86" t="str">
        <f t="array" ref="P1981">iferror(XLOOKUP(C1981,'Download of SFDC Activation Rep'!B:B,'Download of SFDC Activation Rep'!Z:Z),"")</f>
        <v/>
      </c>
      <c r="Q1981" s="86" t="str">
        <f t="shared" si="2"/>
        <v/>
      </c>
      <c r="R1981" s="13" t="str">
        <f t="shared" si="3"/>
        <v>Yes</v>
      </c>
      <c r="S1981" s="86" t="str">
        <f t="array" ref="S1981">iferror(XLOOKUP(C1981,'Download of SFDC Activation Rep'!B:B,'Download of SFDC Activation Rep'!Y:Y),"")</f>
        <v/>
      </c>
    </row>
    <row r="1982">
      <c r="A1982" s="17"/>
      <c r="B1982" s="85"/>
      <c r="C1982" s="17"/>
      <c r="D1982" s="85"/>
      <c r="E1982" s="17"/>
      <c r="F1982" s="17"/>
      <c r="G1982" s="17"/>
      <c r="I1982" s="17"/>
      <c r="K1982" s="17"/>
      <c r="L1982" s="17"/>
      <c r="M1982" s="17"/>
      <c r="O1982" s="14">
        <f t="shared" si="1"/>
        <v>0</v>
      </c>
      <c r="P1982" s="86" t="str">
        <f t="array" ref="P1982">iferror(XLOOKUP(C1982,'Download of SFDC Activation Rep'!B:B,'Download of SFDC Activation Rep'!Z:Z),"")</f>
        <v/>
      </c>
      <c r="Q1982" s="86" t="str">
        <f t="shared" si="2"/>
        <v/>
      </c>
      <c r="R1982" s="13" t="str">
        <f t="shared" si="3"/>
        <v>Yes</v>
      </c>
      <c r="S1982" s="86" t="str">
        <f t="array" ref="S1982">iferror(XLOOKUP(C1982,'Download of SFDC Activation Rep'!B:B,'Download of SFDC Activation Rep'!Y:Y),"")</f>
        <v/>
      </c>
    </row>
    <row r="1983">
      <c r="A1983" s="17"/>
      <c r="B1983" s="85"/>
      <c r="C1983" s="17"/>
      <c r="D1983" s="85"/>
      <c r="E1983" s="17"/>
      <c r="F1983" s="17"/>
      <c r="G1983" s="17"/>
      <c r="I1983" s="17"/>
      <c r="K1983" s="17"/>
      <c r="L1983" s="17"/>
      <c r="M1983" s="17"/>
      <c r="O1983" s="14">
        <f t="shared" si="1"/>
        <v>0</v>
      </c>
      <c r="P1983" s="86" t="str">
        <f t="array" ref="P1983">iferror(XLOOKUP(C1983,'Download of SFDC Activation Rep'!B:B,'Download of SFDC Activation Rep'!Z:Z),"")</f>
        <v/>
      </c>
      <c r="Q1983" s="86" t="str">
        <f t="shared" si="2"/>
        <v/>
      </c>
      <c r="R1983" s="13" t="str">
        <f t="shared" si="3"/>
        <v>Yes</v>
      </c>
      <c r="S1983" s="86" t="str">
        <f t="array" ref="S1983">iferror(XLOOKUP(C1983,'Download of SFDC Activation Rep'!B:B,'Download of SFDC Activation Rep'!Y:Y),"")</f>
        <v/>
      </c>
    </row>
    <row r="1984">
      <c r="A1984" s="17"/>
      <c r="B1984" s="85"/>
      <c r="C1984" s="17"/>
      <c r="D1984" s="85"/>
      <c r="E1984" s="17"/>
      <c r="F1984" s="17"/>
      <c r="G1984" s="17"/>
      <c r="I1984" s="17"/>
      <c r="K1984" s="17"/>
      <c r="L1984" s="17"/>
      <c r="M1984" s="17"/>
      <c r="O1984" s="14">
        <f t="shared" si="1"/>
        <v>0</v>
      </c>
      <c r="P1984" s="86" t="str">
        <f t="array" ref="P1984">iferror(XLOOKUP(C1984,'Download of SFDC Activation Rep'!B:B,'Download of SFDC Activation Rep'!Z:Z),"")</f>
        <v/>
      </c>
      <c r="Q1984" s="86" t="str">
        <f t="shared" si="2"/>
        <v/>
      </c>
      <c r="R1984" s="13" t="str">
        <f t="shared" si="3"/>
        <v>Yes</v>
      </c>
      <c r="S1984" s="86" t="str">
        <f t="array" ref="S1984">iferror(XLOOKUP(C1984,'Download of SFDC Activation Rep'!B:B,'Download of SFDC Activation Rep'!Y:Y),"")</f>
        <v/>
      </c>
    </row>
    <row r="1985">
      <c r="A1985" s="17"/>
      <c r="B1985" s="85"/>
      <c r="C1985" s="17"/>
      <c r="D1985" s="85"/>
      <c r="E1985" s="17"/>
      <c r="F1985" s="17"/>
      <c r="G1985" s="17"/>
      <c r="I1985" s="17"/>
      <c r="K1985" s="17"/>
      <c r="L1985" s="17"/>
      <c r="M1985" s="17"/>
      <c r="O1985" s="14">
        <f t="shared" si="1"/>
        <v>0</v>
      </c>
      <c r="P1985" s="86" t="str">
        <f t="array" ref="P1985">iferror(XLOOKUP(C1985,'Download of SFDC Activation Rep'!B:B,'Download of SFDC Activation Rep'!Z:Z),"")</f>
        <v/>
      </c>
      <c r="Q1985" s="86" t="str">
        <f t="shared" si="2"/>
        <v/>
      </c>
      <c r="R1985" s="13" t="str">
        <f t="shared" si="3"/>
        <v>Yes</v>
      </c>
      <c r="S1985" s="86" t="str">
        <f t="array" ref="S1985">iferror(XLOOKUP(C1985,'Download of SFDC Activation Rep'!B:B,'Download of SFDC Activation Rep'!Y:Y),"")</f>
        <v/>
      </c>
    </row>
    <row r="1986">
      <c r="A1986" s="17"/>
      <c r="B1986" s="85"/>
      <c r="C1986" s="17"/>
      <c r="D1986" s="85"/>
      <c r="E1986" s="17"/>
      <c r="F1986" s="17"/>
      <c r="G1986" s="17"/>
      <c r="I1986" s="17"/>
      <c r="K1986" s="17"/>
      <c r="L1986" s="17"/>
      <c r="M1986" s="17"/>
      <c r="O1986" s="14">
        <f t="shared" si="1"/>
        <v>0</v>
      </c>
      <c r="P1986" s="86" t="str">
        <f t="array" ref="P1986">iferror(XLOOKUP(C1986,'Download of SFDC Activation Rep'!B:B,'Download of SFDC Activation Rep'!Z:Z),"")</f>
        <v/>
      </c>
      <c r="Q1986" s="86" t="str">
        <f t="shared" si="2"/>
        <v/>
      </c>
      <c r="R1986" s="13" t="str">
        <f t="shared" si="3"/>
        <v>Yes</v>
      </c>
      <c r="S1986" s="86" t="str">
        <f t="array" ref="S1986">iferror(XLOOKUP(C1986,'Download of SFDC Activation Rep'!B:B,'Download of SFDC Activation Rep'!Y:Y),"")</f>
        <v/>
      </c>
    </row>
    <row r="1987">
      <c r="A1987" s="17"/>
      <c r="B1987" s="85"/>
      <c r="C1987" s="17"/>
      <c r="D1987" s="85"/>
      <c r="E1987" s="17"/>
      <c r="F1987" s="17"/>
      <c r="G1987" s="17"/>
      <c r="I1987" s="17"/>
      <c r="K1987" s="17"/>
      <c r="L1987" s="17"/>
      <c r="M1987" s="17"/>
      <c r="O1987" s="14">
        <f t="shared" si="1"/>
        <v>0</v>
      </c>
      <c r="P1987" s="86" t="str">
        <f t="array" ref="P1987">iferror(XLOOKUP(C1987,'Download of SFDC Activation Rep'!B:B,'Download of SFDC Activation Rep'!Z:Z),"")</f>
        <v/>
      </c>
      <c r="Q1987" s="86" t="str">
        <f t="shared" si="2"/>
        <v/>
      </c>
      <c r="R1987" s="13" t="str">
        <f t="shared" si="3"/>
        <v>Yes</v>
      </c>
      <c r="S1987" s="86" t="str">
        <f t="array" ref="S1987">iferror(XLOOKUP(C1987,'Download of SFDC Activation Rep'!B:B,'Download of SFDC Activation Rep'!Y:Y),"")</f>
        <v/>
      </c>
    </row>
    <row r="1988">
      <c r="A1988" s="17"/>
      <c r="B1988" s="85"/>
      <c r="C1988" s="17"/>
      <c r="D1988" s="85"/>
      <c r="E1988" s="17"/>
      <c r="F1988" s="17"/>
      <c r="G1988" s="17"/>
      <c r="I1988" s="17"/>
      <c r="K1988" s="17"/>
      <c r="L1988" s="17"/>
      <c r="M1988" s="17"/>
      <c r="O1988" s="14">
        <f t="shared" si="1"/>
        <v>0</v>
      </c>
      <c r="P1988" s="86" t="str">
        <f t="array" ref="P1988">iferror(XLOOKUP(C1988,'Download of SFDC Activation Rep'!B:B,'Download of SFDC Activation Rep'!Z:Z),"")</f>
        <v/>
      </c>
      <c r="Q1988" s="86" t="str">
        <f t="shared" si="2"/>
        <v/>
      </c>
      <c r="R1988" s="13" t="str">
        <f t="shared" si="3"/>
        <v>Yes</v>
      </c>
      <c r="S1988" s="86" t="str">
        <f t="array" ref="S1988">iferror(XLOOKUP(C1988,'Download of SFDC Activation Rep'!B:B,'Download of SFDC Activation Rep'!Y:Y),"")</f>
        <v/>
      </c>
    </row>
    <row r="1989">
      <c r="A1989" s="17"/>
      <c r="B1989" s="85"/>
      <c r="C1989" s="17"/>
      <c r="D1989" s="85"/>
      <c r="E1989" s="17"/>
      <c r="F1989" s="17"/>
      <c r="G1989" s="17"/>
      <c r="I1989" s="17"/>
      <c r="K1989" s="17"/>
      <c r="L1989" s="17"/>
      <c r="M1989" s="17"/>
      <c r="O1989" s="14">
        <f t="shared" si="1"/>
        <v>0</v>
      </c>
      <c r="P1989" s="86" t="str">
        <f t="array" ref="P1989">iferror(XLOOKUP(C1989,'Download of SFDC Activation Rep'!B:B,'Download of SFDC Activation Rep'!Z:Z),"")</f>
        <v/>
      </c>
      <c r="Q1989" s="86" t="str">
        <f t="shared" si="2"/>
        <v/>
      </c>
      <c r="R1989" s="13" t="str">
        <f t="shared" si="3"/>
        <v>Yes</v>
      </c>
      <c r="S1989" s="86" t="str">
        <f t="array" ref="S1989">iferror(XLOOKUP(C1989,'Download of SFDC Activation Rep'!B:B,'Download of SFDC Activation Rep'!Y:Y),"")</f>
        <v/>
      </c>
    </row>
    <row r="1990">
      <c r="A1990" s="17"/>
      <c r="B1990" s="85"/>
      <c r="C1990" s="17"/>
      <c r="D1990" s="85"/>
      <c r="E1990" s="17"/>
      <c r="F1990" s="17"/>
      <c r="G1990" s="17"/>
      <c r="I1990" s="17"/>
      <c r="K1990" s="17"/>
      <c r="L1990" s="17"/>
      <c r="M1990" s="17"/>
      <c r="O1990" s="14">
        <f t="shared" si="1"/>
        <v>0</v>
      </c>
      <c r="P1990" s="86" t="str">
        <f t="array" ref="P1990">iferror(XLOOKUP(C1990,'Download of SFDC Activation Rep'!B:B,'Download of SFDC Activation Rep'!Z:Z),"")</f>
        <v/>
      </c>
      <c r="Q1990" s="86" t="str">
        <f t="shared" si="2"/>
        <v/>
      </c>
      <c r="R1990" s="13" t="str">
        <f t="shared" si="3"/>
        <v>Yes</v>
      </c>
      <c r="S1990" s="86" t="str">
        <f t="array" ref="S1990">iferror(XLOOKUP(C1990,'Download of SFDC Activation Rep'!B:B,'Download of SFDC Activation Rep'!Y:Y),"")</f>
        <v/>
      </c>
    </row>
    <row r="1991">
      <c r="A1991" s="17"/>
      <c r="B1991" s="85"/>
      <c r="C1991" s="17"/>
      <c r="D1991" s="85"/>
      <c r="E1991" s="17"/>
      <c r="F1991" s="17"/>
      <c r="G1991" s="17"/>
      <c r="I1991" s="17"/>
      <c r="K1991" s="17"/>
      <c r="L1991" s="17"/>
      <c r="M1991" s="17"/>
      <c r="O1991" s="14">
        <f t="shared" si="1"/>
        <v>0</v>
      </c>
      <c r="P1991" s="86" t="str">
        <f t="array" ref="P1991">iferror(XLOOKUP(C1991,'Download of SFDC Activation Rep'!B:B,'Download of SFDC Activation Rep'!Z:Z),"")</f>
        <v/>
      </c>
      <c r="Q1991" s="86" t="str">
        <f t="shared" si="2"/>
        <v/>
      </c>
      <c r="R1991" s="13" t="str">
        <f t="shared" si="3"/>
        <v>Yes</v>
      </c>
      <c r="S1991" s="86" t="str">
        <f t="array" ref="S1991">iferror(XLOOKUP(C1991,'Download of SFDC Activation Rep'!B:B,'Download of SFDC Activation Rep'!Y:Y),"")</f>
        <v/>
      </c>
    </row>
    <row r="1992">
      <c r="A1992" s="17"/>
      <c r="B1992" s="85"/>
      <c r="C1992" s="17"/>
      <c r="D1992" s="85"/>
      <c r="E1992" s="17"/>
      <c r="F1992" s="17"/>
      <c r="G1992" s="17"/>
      <c r="I1992" s="17"/>
      <c r="K1992" s="17"/>
      <c r="L1992" s="17"/>
      <c r="M1992" s="17"/>
      <c r="O1992" s="14">
        <f t="shared" si="1"/>
        <v>0</v>
      </c>
      <c r="P1992" s="86" t="str">
        <f t="array" ref="P1992">iferror(XLOOKUP(C1992,'Download of SFDC Activation Rep'!B:B,'Download of SFDC Activation Rep'!Z:Z),"")</f>
        <v/>
      </c>
      <c r="Q1992" s="86" t="str">
        <f t="shared" si="2"/>
        <v/>
      </c>
      <c r="R1992" s="13" t="str">
        <f t="shared" si="3"/>
        <v>Yes</v>
      </c>
      <c r="S1992" s="86" t="str">
        <f t="array" ref="S1992">iferror(XLOOKUP(C1992,'Download of SFDC Activation Rep'!B:B,'Download of SFDC Activation Rep'!Y:Y),"")</f>
        <v/>
      </c>
    </row>
    <row r="1993">
      <c r="A1993" s="17"/>
      <c r="B1993" s="85"/>
      <c r="C1993" s="17"/>
      <c r="D1993" s="85"/>
      <c r="E1993" s="17"/>
      <c r="F1993" s="17"/>
      <c r="G1993" s="17"/>
      <c r="I1993" s="17"/>
      <c r="K1993" s="17"/>
      <c r="L1993" s="17"/>
      <c r="M1993" s="17"/>
      <c r="O1993" s="14">
        <f t="shared" si="1"/>
        <v>0</v>
      </c>
      <c r="P1993" s="86" t="str">
        <f t="array" ref="P1993">iferror(XLOOKUP(C1993,'Download of SFDC Activation Rep'!B:B,'Download of SFDC Activation Rep'!Z:Z),"")</f>
        <v/>
      </c>
      <c r="Q1993" s="86" t="str">
        <f t="shared" si="2"/>
        <v/>
      </c>
      <c r="R1993" s="13" t="str">
        <f t="shared" si="3"/>
        <v>Yes</v>
      </c>
      <c r="S1993" s="86" t="str">
        <f t="array" ref="S1993">iferror(XLOOKUP(C1993,'Download of SFDC Activation Rep'!B:B,'Download of SFDC Activation Rep'!Y:Y),"")</f>
        <v/>
      </c>
    </row>
    <row r="1994">
      <c r="A1994" s="17"/>
      <c r="B1994" s="85"/>
      <c r="C1994" s="17"/>
      <c r="D1994" s="85"/>
      <c r="E1994" s="17"/>
      <c r="F1994" s="17"/>
      <c r="G1994" s="17"/>
      <c r="I1994" s="17"/>
      <c r="K1994" s="17"/>
      <c r="L1994" s="17"/>
      <c r="M1994" s="17"/>
      <c r="O1994" s="14">
        <f t="shared" si="1"/>
        <v>0</v>
      </c>
      <c r="P1994" s="86" t="str">
        <f t="array" ref="P1994">iferror(XLOOKUP(C1994,'Download of SFDC Activation Rep'!B:B,'Download of SFDC Activation Rep'!Z:Z),"")</f>
        <v/>
      </c>
      <c r="Q1994" s="86" t="str">
        <f t="shared" si="2"/>
        <v/>
      </c>
      <c r="R1994" s="13" t="str">
        <f t="shared" si="3"/>
        <v>Yes</v>
      </c>
      <c r="S1994" s="86" t="str">
        <f t="array" ref="S1994">iferror(XLOOKUP(C1994,'Download of SFDC Activation Rep'!B:B,'Download of SFDC Activation Rep'!Y:Y),"")</f>
        <v/>
      </c>
    </row>
    <row r="1995">
      <c r="A1995" s="17"/>
      <c r="B1995" s="85"/>
      <c r="C1995" s="17"/>
      <c r="D1995" s="85"/>
      <c r="E1995" s="17"/>
      <c r="F1995" s="17"/>
      <c r="G1995" s="17"/>
      <c r="I1995" s="17"/>
      <c r="K1995" s="17"/>
      <c r="L1995" s="17"/>
      <c r="M1995" s="17"/>
      <c r="O1995" s="14">
        <f t="shared" si="1"/>
        <v>0</v>
      </c>
      <c r="P1995" s="86" t="str">
        <f t="array" ref="P1995">iferror(XLOOKUP(C1995,'Download of SFDC Activation Rep'!B:B,'Download of SFDC Activation Rep'!Z:Z),"")</f>
        <v/>
      </c>
      <c r="Q1995" s="86" t="str">
        <f t="shared" si="2"/>
        <v/>
      </c>
      <c r="R1995" s="13" t="str">
        <f t="shared" si="3"/>
        <v>Yes</v>
      </c>
      <c r="S1995" s="86" t="str">
        <f t="array" ref="S1995">iferror(XLOOKUP(C1995,'Download of SFDC Activation Rep'!B:B,'Download of SFDC Activation Rep'!Y:Y),"")</f>
        <v/>
      </c>
    </row>
    <row r="1996">
      <c r="A1996" s="17"/>
      <c r="B1996" s="85"/>
      <c r="C1996" s="17"/>
      <c r="D1996" s="85"/>
      <c r="E1996" s="17"/>
      <c r="F1996" s="17"/>
      <c r="G1996" s="17"/>
      <c r="I1996" s="17"/>
      <c r="K1996" s="17"/>
      <c r="L1996" s="17"/>
      <c r="M1996" s="17"/>
      <c r="O1996" s="14">
        <f t="shared" si="1"/>
        <v>0</v>
      </c>
      <c r="P1996" s="86" t="str">
        <f t="array" ref="P1996">iferror(XLOOKUP(C1996,'Download of SFDC Activation Rep'!B:B,'Download of SFDC Activation Rep'!Z:Z),"")</f>
        <v/>
      </c>
      <c r="Q1996" s="86" t="str">
        <f t="shared" si="2"/>
        <v/>
      </c>
      <c r="R1996" s="13" t="str">
        <f t="shared" si="3"/>
        <v>Yes</v>
      </c>
      <c r="S1996" s="86" t="str">
        <f t="array" ref="S1996">iferror(XLOOKUP(C1996,'Download of SFDC Activation Rep'!B:B,'Download of SFDC Activation Rep'!Y:Y),"")</f>
        <v/>
      </c>
    </row>
    <row r="1997">
      <c r="A1997" s="17"/>
      <c r="B1997" s="85"/>
      <c r="C1997" s="17"/>
      <c r="D1997" s="85"/>
      <c r="E1997" s="17"/>
      <c r="F1997" s="17"/>
      <c r="G1997" s="17"/>
      <c r="I1997" s="17"/>
      <c r="K1997" s="17"/>
      <c r="L1997" s="17"/>
      <c r="M1997" s="17"/>
      <c r="O1997" s="14">
        <f t="shared" si="1"/>
        <v>0</v>
      </c>
      <c r="P1997" s="86" t="str">
        <f t="array" ref="P1997">iferror(XLOOKUP(C1997,'Download of SFDC Activation Rep'!B:B,'Download of SFDC Activation Rep'!Z:Z),"")</f>
        <v/>
      </c>
      <c r="Q1997" s="86" t="str">
        <f t="shared" si="2"/>
        <v/>
      </c>
      <c r="R1997" s="13" t="str">
        <f t="shared" si="3"/>
        <v>Yes</v>
      </c>
      <c r="S1997" s="86" t="str">
        <f t="array" ref="S1997">iferror(XLOOKUP(C1997,'Download of SFDC Activation Rep'!B:B,'Download of SFDC Activation Rep'!Y:Y),"")</f>
        <v/>
      </c>
    </row>
    <row r="1998">
      <c r="A1998" s="17"/>
      <c r="B1998" s="85"/>
      <c r="C1998" s="17"/>
      <c r="D1998" s="85"/>
      <c r="E1998" s="17"/>
      <c r="F1998" s="17"/>
      <c r="G1998" s="17"/>
      <c r="I1998" s="17"/>
      <c r="K1998" s="17"/>
      <c r="L1998" s="17"/>
      <c r="M1998" s="17"/>
      <c r="O1998" s="14">
        <f t="shared" si="1"/>
        <v>0</v>
      </c>
      <c r="P1998" s="86" t="str">
        <f t="array" ref="P1998">iferror(XLOOKUP(C1998,'Download of SFDC Activation Rep'!B:B,'Download of SFDC Activation Rep'!Z:Z),"")</f>
        <v/>
      </c>
      <c r="Q1998" s="86" t="str">
        <f t="shared" si="2"/>
        <v/>
      </c>
      <c r="R1998" s="13" t="str">
        <f t="shared" si="3"/>
        <v>Yes</v>
      </c>
      <c r="S1998" s="86" t="str">
        <f t="array" ref="S1998">iferror(XLOOKUP(C1998,'Download of SFDC Activation Rep'!B:B,'Download of SFDC Activation Rep'!Y:Y),"")</f>
        <v/>
      </c>
    </row>
    <row r="1999">
      <c r="A1999" s="17"/>
      <c r="B1999" s="85"/>
      <c r="C1999" s="17"/>
      <c r="D1999" s="85"/>
      <c r="E1999" s="17"/>
      <c r="F1999" s="17"/>
      <c r="G1999" s="17"/>
      <c r="I1999" s="17"/>
      <c r="K1999" s="17"/>
      <c r="L1999" s="17"/>
      <c r="M1999" s="17"/>
      <c r="O1999" s="14">
        <f t="shared" si="1"/>
        <v>0</v>
      </c>
      <c r="P1999" s="86" t="str">
        <f t="array" ref="P1999">iferror(XLOOKUP(C1999,'Download of SFDC Activation Rep'!B:B,'Download of SFDC Activation Rep'!Z:Z),"")</f>
        <v/>
      </c>
      <c r="Q1999" s="86" t="str">
        <f t="shared" si="2"/>
        <v/>
      </c>
      <c r="R1999" s="13" t="str">
        <f t="shared" si="3"/>
        <v>Yes</v>
      </c>
      <c r="S1999" s="86" t="str">
        <f t="array" ref="S1999">iferror(XLOOKUP(C1999,'Download of SFDC Activation Rep'!B:B,'Download of SFDC Activation Rep'!Y:Y),"")</f>
        <v/>
      </c>
    </row>
    <row r="2000">
      <c r="A2000" s="17"/>
      <c r="B2000" s="85"/>
      <c r="C2000" s="17"/>
      <c r="D2000" s="85"/>
      <c r="E2000" s="17"/>
      <c r="F2000" s="17"/>
      <c r="G2000" s="17"/>
      <c r="I2000" s="17"/>
      <c r="K2000" s="17"/>
      <c r="L2000" s="17"/>
      <c r="M2000" s="17"/>
      <c r="O2000" s="14">
        <f t="shared" si="1"/>
        <v>0</v>
      </c>
      <c r="P2000" s="86" t="str">
        <f t="array" ref="P2000">iferror(XLOOKUP(C2000,'Download of SFDC Activation Rep'!B:B,'Download of SFDC Activation Rep'!Z:Z),"")</f>
        <v/>
      </c>
      <c r="Q2000" s="86" t="str">
        <f t="shared" si="2"/>
        <v/>
      </c>
      <c r="R2000" s="13" t="str">
        <f t="shared" si="3"/>
        <v>Yes</v>
      </c>
      <c r="S2000" s="86" t="str">
        <f t="array" ref="S2000">iferror(XLOOKUP(C2000,'Download of SFDC Activation Rep'!B:B,'Download of SFDC Activation Rep'!Y:Y),"")</f>
        <v/>
      </c>
    </row>
    <row r="2001">
      <c r="A2001" s="17"/>
      <c r="B2001" s="85"/>
      <c r="C2001" s="17"/>
      <c r="D2001" s="85"/>
      <c r="E2001" s="17"/>
      <c r="F2001" s="17"/>
      <c r="G2001" s="17"/>
      <c r="I2001" s="17"/>
      <c r="K2001" s="17"/>
      <c r="L2001" s="17"/>
      <c r="M2001" s="17"/>
      <c r="O2001" s="14">
        <f t="shared" si="1"/>
        <v>0</v>
      </c>
      <c r="P2001" s="86" t="str">
        <f t="array" ref="P2001">iferror(XLOOKUP(C2001,'Download of SFDC Activation Rep'!B:B,'Download of SFDC Activation Rep'!Z:Z),"")</f>
        <v/>
      </c>
      <c r="Q2001" s="86" t="str">
        <f t="shared" si="2"/>
        <v/>
      </c>
      <c r="R2001" s="13" t="str">
        <f t="shared" si="3"/>
        <v>Yes</v>
      </c>
      <c r="S2001" s="86" t="str">
        <f t="array" ref="S2001">iferror(XLOOKUP(C2001,'Download of SFDC Activation Rep'!B:B,'Download of SFDC Activation Rep'!Y:Y),"")</f>
        <v/>
      </c>
    </row>
    <row r="2002">
      <c r="A2002" s="17"/>
      <c r="B2002" s="85"/>
      <c r="C2002" s="17"/>
      <c r="D2002" s="85"/>
      <c r="E2002" s="17"/>
      <c r="F2002" s="17"/>
      <c r="G2002" s="17"/>
      <c r="I2002" s="17"/>
      <c r="K2002" s="17"/>
      <c r="L2002" s="17"/>
      <c r="M2002" s="17"/>
      <c r="O2002" s="14">
        <f t="shared" si="1"/>
        <v>0</v>
      </c>
      <c r="P2002" s="86" t="str">
        <f t="array" ref="P2002">iferror(XLOOKUP(C2002,'Download of SFDC Activation Rep'!B:B,'Download of SFDC Activation Rep'!Z:Z),"")</f>
        <v/>
      </c>
      <c r="Q2002" s="86" t="str">
        <f t="shared" si="2"/>
        <v/>
      </c>
      <c r="R2002" s="13" t="str">
        <f t="shared" si="3"/>
        <v>Yes</v>
      </c>
      <c r="S2002" s="86" t="str">
        <f t="array" ref="S2002">iferror(XLOOKUP(C2002,'Download of SFDC Activation Rep'!B:B,'Download of SFDC Activation Rep'!Y:Y),"")</f>
        <v/>
      </c>
    </row>
    <row r="2003">
      <c r="A2003" s="17"/>
      <c r="B2003" s="85"/>
      <c r="C2003" s="17"/>
      <c r="D2003" s="85"/>
      <c r="E2003" s="17"/>
      <c r="F2003" s="17"/>
      <c r="G2003" s="17"/>
      <c r="I2003" s="17"/>
      <c r="K2003" s="17"/>
      <c r="L2003" s="17"/>
      <c r="M2003" s="17"/>
      <c r="O2003" s="14">
        <f t="shared" si="1"/>
        <v>0</v>
      </c>
      <c r="P2003" s="86" t="str">
        <f t="array" ref="P2003">iferror(XLOOKUP(C2003,'Download of SFDC Activation Rep'!B:B,'Download of SFDC Activation Rep'!Z:Z),"")</f>
        <v/>
      </c>
      <c r="Q2003" s="86" t="str">
        <f t="shared" si="2"/>
        <v/>
      </c>
      <c r="R2003" s="13" t="str">
        <f t="shared" si="3"/>
        <v>Yes</v>
      </c>
      <c r="S2003" s="86" t="str">
        <f t="array" ref="S2003">iferror(XLOOKUP(C2003,'Download of SFDC Activation Rep'!B:B,'Download of SFDC Activation Rep'!Y:Y),"")</f>
        <v/>
      </c>
    </row>
    <row r="2004">
      <c r="A2004" s="17"/>
      <c r="B2004" s="85"/>
      <c r="C2004" s="17"/>
      <c r="D2004" s="85"/>
      <c r="E2004" s="17"/>
      <c r="F2004" s="17"/>
      <c r="G2004" s="17"/>
      <c r="I2004" s="17"/>
      <c r="K2004" s="17"/>
      <c r="L2004" s="17"/>
      <c r="M2004" s="17"/>
      <c r="O2004" s="14">
        <f t="shared" si="1"/>
        <v>0</v>
      </c>
      <c r="P2004" s="86" t="str">
        <f t="array" ref="P2004">iferror(XLOOKUP(C2004,'Download of SFDC Activation Rep'!B:B,'Download of SFDC Activation Rep'!Z:Z),"")</f>
        <v/>
      </c>
      <c r="Q2004" s="86" t="str">
        <f t="shared" si="2"/>
        <v/>
      </c>
      <c r="R2004" s="13" t="str">
        <f t="shared" si="3"/>
        <v>Yes</v>
      </c>
      <c r="S2004" s="86" t="str">
        <f t="array" ref="S2004">iferror(XLOOKUP(C2004,'Download of SFDC Activation Rep'!B:B,'Download of SFDC Activation Rep'!Y:Y),"")</f>
        <v/>
      </c>
    </row>
    <row r="2005">
      <c r="A2005" s="17"/>
      <c r="B2005" s="85"/>
      <c r="C2005" s="17"/>
      <c r="D2005" s="85"/>
      <c r="E2005" s="17"/>
      <c r="F2005" s="17"/>
      <c r="G2005" s="17"/>
      <c r="I2005" s="17"/>
      <c r="K2005" s="17"/>
      <c r="L2005" s="17"/>
      <c r="M2005" s="17"/>
      <c r="O2005" s="14">
        <f t="shared" si="1"/>
        <v>0</v>
      </c>
      <c r="P2005" s="86" t="str">
        <f t="array" ref="P2005">iferror(XLOOKUP(C2005,'Download of SFDC Activation Rep'!B:B,'Download of SFDC Activation Rep'!Z:Z),"")</f>
        <v/>
      </c>
      <c r="Q2005" s="86" t="str">
        <f t="shared" si="2"/>
        <v/>
      </c>
      <c r="R2005" s="13" t="str">
        <f t="shared" si="3"/>
        <v>Yes</v>
      </c>
      <c r="S2005" s="86" t="str">
        <f t="array" ref="S2005">iferror(XLOOKUP(C2005,'Download of SFDC Activation Rep'!B:B,'Download of SFDC Activation Rep'!Y:Y),"")</f>
        <v/>
      </c>
    </row>
    <row r="2006">
      <c r="A2006" s="17"/>
      <c r="B2006" s="85"/>
      <c r="C2006" s="17"/>
      <c r="D2006" s="85"/>
      <c r="E2006" s="17"/>
      <c r="F2006" s="17"/>
      <c r="G2006" s="17"/>
      <c r="I2006" s="17"/>
      <c r="K2006" s="17"/>
      <c r="L2006" s="17"/>
      <c r="M2006" s="17"/>
      <c r="O2006" s="14">
        <f t="shared" si="1"/>
        <v>0</v>
      </c>
      <c r="P2006" s="86" t="str">
        <f t="array" ref="P2006">iferror(XLOOKUP(C2006,'Download of SFDC Activation Rep'!B:B,'Download of SFDC Activation Rep'!Z:Z),"")</f>
        <v/>
      </c>
      <c r="Q2006" s="86" t="str">
        <f t="shared" si="2"/>
        <v/>
      </c>
      <c r="R2006" s="13" t="str">
        <f t="shared" si="3"/>
        <v>Yes</v>
      </c>
      <c r="S2006" s="86" t="str">
        <f t="array" ref="S2006">iferror(XLOOKUP(C2006,'Download of SFDC Activation Rep'!B:B,'Download of SFDC Activation Rep'!Y:Y),"")</f>
        <v/>
      </c>
    </row>
    <row r="2007">
      <c r="A2007" s="17"/>
      <c r="B2007" s="85"/>
      <c r="C2007" s="17"/>
      <c r="D2007" s="85"/>
      <c r="E2007" s="17"/>
      <c r="F2007" s="17"/>
      <c r="G2007" s="17"/>
      <c r="I2007" s="17"/>
      <c r="K2007" s="17"/>
      <c r="L2007" s="17"/>
      <c r="M2007" s="17"/>
      <c r="O2007" s="14">
        <f t="shared" si="1"/>
        <v>0</v>
      </c>
      <c r="P2007" s="86" t="str">
        <f t="array" ref="P2007">iferror(XLOOKUP(C2007,'Download of SFDC Activation Rep'!B:B,'Download of SFDC Activation Rep'!Z:Z),"")</f>
        <v/>
      </c>
      <c r="Q2007" s="86" t="str">
        <f t="shared" si="2"/>
        <v/>
      </c>
      <c r="R2007" s="13" t="str">
        <f t="shared" si="3"/>
        <v>Yes</v>
      </c>
      <c r="S2007" s="86" t="str">
        <f t="array" ref="S2007">iferror(XLOOKUP(C2007,'Download of SFDC Activation Rep'!B:B,'Download of SFDC Activation Rep'!Y:Y),"")</f>
        <v/>
      </c>
    </row>
    <row r="2008">
      <c r="A2008" s="17"/>
      <c r="B2008" s="85"/>
      <c r="C2008" s="17"/>
      <c r="D2008" s="85"/>
      <c r="E2008" s="17"/>
      <c r="F2008" s="17"/>
      <c r="G2008" s="17"/>
      <c r="I2008" s="17"/>
      <c r="K2008" s="17"/>
      <c r="L2008" s="17"/>
      <c r="M2008" s="17"/>
      <c r="O2008" s="14">
        <f t="shared" si="1"/>
        <v>0</v>
      </c>
      <c r="P2008" s="86" t="str">
        <f t="array" ref="P2008">iferror(XLOOKUP(C2008,'Download of SFDC Activation Rep'!B:B,'Download of SFDC Activation Rep'!Z:Z),"")</f>
        <v/>
      </c>
      <c r="Q2008" s="86" t="str">
        <f t="shared" si="2"/>
        <v/>
      </c>
      <c r="R2008" s="13" t="str">
        <f t="shared" si="3"/>
        <v>Yes</v>
      </c>
      <c r="S2008" s="86" t="str">
        <f t="array" ref="S2008">iferror(XLOOKUP(C2008,'Download of SFDC Activation Rep'!B:B,'Download of SFDC Activation Rep'!Y:Y),"")</f>
        <v/>
      </c>
    </row>
    <row r="2009">
      <c r="A2009" s="17"/>
      <c r="B2009" s="85"/>
      <c r="C2009" s="17"/>
      <c r="D2009" s="85"/>
      <c r="E2009" s="17"/>
      <c r="F2009" s="17"/>
      <c r="G2009" s="17"/>
      <c r="I2009" s="17"/>
      <c r="K2009" s="17"/>
      <c r="L2009" s="17"/>
      <c r="M2009" s="17"/>
      <c r="O2009" s="14">
        <f t="shared" si="1"/>
        <v>0</v>
      </c>
      <c r="P2009" s="86" t="str">
        <f t="array" ref="P2009">iferror(XLOOKUP(C2009,'Download of SFDC Activation Rep'!B:B,'Download of SFDC Activation Rep'!Z:Z),"")</f>
        <v/>
      </c>
      <c r="Q2009" s="86" t="str">
        <f t="shared" si="2"/>
        <v/>
      </c>
      <c r="R2009" s="13" t="str">
        <f t="shared" si="3"/>
        <v>Yes</v>
      </c>
      <c r="S2009" s="86" t="str">
        <f t="array" ref="S2009">iferror(XLOOKUP(C2009,'Download of SFDC Activation Rep'!B:B,'Download of SFDC Activation Rep'!Y:Y),"")</f>
        <v/>
      </c>
    </row>
    <row r="2010">
      <c r="A2010" s="17"/>
      <c r="B2010" s="85"/>
      <c r="C2010" s="17"/>
      <c r="D2010" s="85"/>
      <c r="E2010" s="17"/>
      <c r="F2010" s="17"/>
      <c r="G2010" s="17"/>
      <c r="I2010" s="17"/>
      <c r="K2010" s="17"/>
      <c r="L2010" s="17"/>
      <c r="M2010" s="17"/>
      <c r="O2010" s="14">
        <f t="shared" si="1"/>
        <v>0</v>
      </c>
      <c r="P2010" s="86" t="str">
        <f t="array" ref="P2010">iferror(XLOOKUP(C2010,'Download of SFDC Activation Rep'!B:B,'Download of SFDC Activation Rep'!Z:Z),"")</f>
        <v/>
      </c>
      <c r="Q2010" s="86" t="str">
        <f t="shared" si="2"/>
        <v/>
      </c>
      <c r="R2010" s="13" t="str">
        <f t="shared" si="3"/>
        <v>Yes</v>
      </c>
      <c r="S2010" s="86" t="str">
        <f t="array" ref="S2010">iferror(XLOOKUP(C2010,'Download of SFDC Activation Rep'!B:B,'Download of SFDC Activation Rep'!Y:Y),"")</f>
        <v/>
      </c>
    </row>
    <row r="2011">
      <c r="A2011" s="17"/>
      <c r="B2011" s="85"/>
      <c r="C2011" s="17"/>
      <c r="D2011" s="85"/>
      <c r="E2011" s="17"/>
      <c r="F2011" s="17"/>
      <c r="G2011" s="17"/>
      <c r="I2011" s="17"/>
      <c r="K2011" s="17"/>
      <c r="L2011" s="17"/>
      <c r="M2011" s="17"/>
      <c r="O2011" s="14">
        <f t="shared" si="1"/>
        <v>0</v>
      </c>
      <c r="P2011" s="86" t="str">
        <f t="array" ref="P2011">iferror(XLOOKUP(C2011,'Download of SFDC Activation Rep'!B:B,'Download of SFDC Activation Rep'!Z:Z),"")</f>
        <v/>
      </c>
      <c r="Q2011" s="86" t="str">
        <f t="shared" si="2"/>
        <v/>
      </c>
      <c r="R2011" s="13" t="str">
        <f t="shared" si="3"/>
        <v>Yes</v>
      </c>
      <c r="S2011" s="86" t="str">
        <f t="array" ref="S2011">iferror(XLOOKUP(C2011,'Download of SFDC Activation Rep'!B:B,'Download of SFDC Activation Rep'!Y:Y),"")</f>
        <v/>
      </c>
    </row>
    <row r="2012">
      <c r="A2012" s="17"/>
      <c r="B2012" s="85"/>
      <c r="C2012" s="17"/>
      <c r="D2012" s="85"/>
      <c r="E2012" s="17"/>
      <c r="F2012" s="17"/>
      <c r="G2012" s="17"/>
      <c r="I2012" s="17"/>
      <c r="K2012" s="17"/>
      <c r="L2012" s="17"/>
      <c r="M2012" s="17"/>
      <c r="O2012" s="14">
        <f t="shared" si="1"/>
        <v>0</v>
      </c>
      <c r="P2012" s="86" t="str">
        <f t="array" ref="P2012">iferror(XLOOKUP(C2012,'Download of SFDC Activation Rep'!B:B,'Download of SFDC Activation Rep'!Z:Z),"")</f>
        <v/>
      </c>
      <c r="Q2012" s="86" t="str">
        <f t="shared" si="2"/>
        <v/>
      </c>
      <c r="R2012" s="13" t="str">
        <f t="shared" si="3"/>
        <v>Yes</v>
      </c>
      <c r="S2012" s="86" t="str">
        <f t="array" ref="S2012">iferror(XLOOKUP(C2012,'Download of SFDC Activation Rep'!B:B,'Download of SFDC Activation Rep'!Y:Y),"")</f>
        <v/>
      </c>
    </row>
    <row r="2013">
      <c r="A2013" s="17"/>
      <c r="B2013" s="85"/>
      <c r="C2013" s="17"/>
      <c r="D2013" s="85"/>
      <c r="E2013" s="17"/>
      <c r="F2013" s="17"/>
      <c r="G2013" s="17"/>
      <c r="I2013" s="17"/>
      <c r="K2013" s="17"/>
      <c r="L2013" s="17"/>
      <c r="M2013" s="17"/>
      <c r="O2013" s="14">
        <f t="shared" si="1"/>
        <v>0</v>
      </c>
      <c r="P2013" s="86" t="str">
        <f t="array" ref="P2013">iferror(XLOOKUP(C2013,'Download of SFDC Activation Rep'!B:B,'Download of SFDC Activation Rep'!Z:Z),"")</f>
        <v/>
      </c>
      <c r="Q2013" s="86" t="str">
        <f t="shared" si="2"/>
        <v/>
      </c>
      <c r="R2013" s="13" t="str">
        <f t="shared" si="3"/>
        <v>Yes</v>
      </c>
      <c r="S2013" s="86" t="str">
        <f t="array" ref="S2013">iferror(XLOOKUP(C2013,'Download of SFDC Activation Rep'!B:B,'Download of SFDC Activation Rep'!Y:Y),"")</f>
        <v/>
      </c>
    </row>
    <row r="2014">
      <c r="A2014" s="17"/>
      <c r="B2014" s="85"/>
      <c r="C2014" s="17"/>
      <c r="D2014" s="85"/>
      <c r="E2014" s="17"/>
      <c r="F2014" s="17"/>
      <c r="G2014" s="17"/>
      <c r="I2014" s="17"/>
      <c r="K2014" s="17"/>
      <c r="L2014" s="17"/>
      <c r="M2014" s="17"/>
      <c r="O2014" s="14">
        <f t="shared" si="1"/>
        <v>0</v>
      </c>
      <c r="P2014" s="86" t="str">
        <f t="array" ref="P2014">iferror(XLOOKUP(C2014,'Download of SFDC Activation Rep'!B:B,'Download of SFDC Activation Rep'!Z:Z),"")</f>
        <v/>
      </c>
      <c r="Q2014" s="86" t="str">
        <f t="shared" si="2"/>
        <v/>
      </c>
      <c r="R2014" s="13" t="str">
        <f t="shared" si="3"/>
        <v>Yes</v>
      </c>
      <c r="S2014" s="86" t="str">
        <f t="array" ref="S2014">iferror(XLOOKUP(C2014,'Download of SFDC Activation Rep'!B:B,'Download of SFDC Activation Rep'!Y:Y),"")</f>
        <v/>
      </c>
    </row>
    <row r="2015">
      <c r="A2015" s="17"/>
      <c r="B2015" s="85"/>
      <c r="C2015" s="17"/>
      <c r="D2015" s="85"/>
      <c r="E2015" s="17"/>
      <c r="F2015" s="17"/>
      <c r="G2015" s="17"/>
      <c r="I2015" s="17"/>
      <c r="K2015" s="17"/>
      <c r="L2015" s="17"/>
      <c r="M2015" s="17"/>
      <c r="O2015" s="14">
        <f t="shared" si="1"/>
        <v>0</v>
      </c>
      <c r="P2015" s="86" t="str">
        <f t="array" ref="P2015">iferror(XLOOKUP(C2015,'Download of SFDC Activation Rep'!B:B,'Download of SFDC Activation Rep'!Z:Z),"")</f>
        <v/>
      </c>
      <c r="Q2015" s="86" t="str">
        <f t="shared" si="2"/>
        <v/>
      </c>
      <c r="R2015" s="13" t="str">
        <f t="shared" si="3"/>
        <v>Yes</v>
      </c>
      <c r="S2015" s="86" t="str">
        <f t="array" ref="S2015">iferror(XLOOKUP(C2015,'Download of SFDC Activation Rep'!B:B,'Download of SFDC Activation Rep'!Y:Y),"")</f>
        <v/>
      </c>
    </row>
    <row r="2016">
      <c r="A2016" s="17"/>
      <c r="B2016" s="85"/>
      <c r="C2016" s="17"/>
      <c r="D2016" s="85"/>
      <c r="E2016" s="17"/>
      <c r="F2016" s="17"/>
      <c r="G2016" s="17"/>
      <c r="I2016" s="17"/>
      <c r="K2016" s="17"/>
      <c r="L2016" s="17"/>
      <c r="M2016" s="17"/>
      <c r="O2016" s="14">
        <f t="shared" si="1"/>
        <v>0</v>
      </c>
      <c r="P2016" s="86" t="str">
        <f t="array" ref="P2016">iferror(XLOOKUP(C2016,'Download of SFDC Activation Rep'!B:B,'Download of SFDC Activation Rep'!Z:Z),"")</f>
        <v/>
      </c>
      <c r="Q2016" s="86" t="str">
        <f t="shared" si="2"/>
        <v/>
      </c>
      <c r="R2016" s="13" t="str">
        <f t="shared" si="3"/>
        <v>Yes</v>
      </c>
      <c r="S2016" s="86" t="str">
        <f t="array" ref="S2016">iferror(XLOOKUP(C2016,'Download of SFDC Activation Rep'!B:B,'Download of SFDC Activation Rep'!Y:Y),"")</f>
        <v/>
      </c>
    </row>
    <row r="2017">
      <c r="A2017" s="17"/>
      <c r="B2017" s="85"/>
      <c r="C2017" s="17"/>
      <c r="D2017" s="85"/>
      <c r="E2017" s="17"/>
      <c r="F2017" s="17"/>
      <c r="G2017" s="17"/>
      <c r="I2017" s="17"/>
      <c r="K2017" s="17"/>
      <c r="L2017" s="17"/>
      <c r="M2017" s="17"/>
      <c r="O2017" s="14">
        <f t="shared" si="1"/>
        <v>0</v>
      </c>
      <c r="P2017" s="86" t="str">
        <f t="array" ref="P2017">iferror(XLOOKUP(C2017,'Download of SFDC Activation Rep'!B:B,'Download of SFDC Activation Rep'!Z:Z),"")</f>
        <v/>
      </c>
      <c r="Q2017" s="86" t="str">
        <f t="shared" si="2"/>
        <v/>
      </c>
      <c r="R2017" s="13" t="str">
        <f t="shared" si="3"/>
        <v>Yes</v>
      </c>
      <c r="S2017" s="86" t="str">
        <f t="array" ref="S2017">iferror(XLOOKUP(C2017,'Download of SFDC Activation Rep'!B:B,'Download of SFDC Activation Rep'!Y:Y),"")</f>
        <v/>
      </c>
    </row>
    <row r="2018">
      <c r="A2018" s="17"/>
      <c r="B2018" s="85"/>
      <c r="C2018" s="17"/>
      <c r="D2018" s="85"/>
      <c r="E2018" s="17"/>
      <c r="F2018" s="17"/>
      <c r="G2018" s="17"/>
      <c r="I2018" s="17"/>
      <c r="K2018" s="17"/>
      <c r="L2018" s="17"/>
      <c r="M2018" s="17"/>
      <c r="O2018" s="14">
        <f t="shared" si="1"/>
        <v>0</v>
      </c>
      <c r="P2018" s="86" t="str">
        <f t="array" ref="P2018">iferror(XLOOKUP(C2018,'Download of SFDC Activation Rep'!B:B,'Download of SFDC Activation Rep'!Z:Z),"")</f>
        <v/>
      </c>
      <c r="Q2018" s="86" t="str">
        <f t="shared" si="2"/>
        <v/>
      </c>
      <c r="R2018" s="13" t="str">
        <f t="shared" si="3"/>
        <v>Yes</v>
      </c>
      <c r="S2018" s="86" t="str">
        <f t="array" ref="S2018">iferror(XLOOKUP(C2018,'Download of SFDC Activation Rep'!B:B,'Download of SFDC Activation Rep'!Y:Y),"")</f>
        <v/>
      </c>
    </row>
    <row r="2019">
      <c r="A2019" s="17"/>
      <c r="B2019" s="85"/>
      <c r="C2019" s="17"/>
      <c r="D2019" s="85"/>
      <c r="E2019" s="17"/>
      <c r="F2019" s="17"/>
      <c r="G2019" s="17"/>
      <c r="I2019" s="17"/>
      <c r="K2019" s="17"/>
      <c r="L2019" s="17"/>
      <c r="M2019" s="17"/>
      <c r="O2019" s="14">
        <f t="shared" si="1"/>
        <v>0</v>
      </c>
      <c r="P2019" s="86" t="str">
        <f t="array" ref="P2019">iferror(XLOOKUP(C2019,'Download of SFDC Activation Rep'!B:B,'Download of SFDC Activation Rep'!Z:Z),"")</f>
        <v/>
      </c>
      <c r="Q2019" s="86" t="str">
        <f t="shared" si="2"/>
        <v/>
      </c>
      <c r="R2019" s="13" t="str">
        <f t="shared" si="3"/>
        <v>Yes</v>
      </c>
      <c r="S2019" s="86" t="str">
        <f t="array" ref="S2019">iferror(XLOOKUP(C2019,'Download of SFDC Activation Rep'!B:B,'Download of SFDC Activation Rep'!Y:Y),"")</f>
        <v/>
      </c>
    </row>
    <row r="2020">
      <c r="A2020" s="17"/>
      <c r="B2020" s="85"/>
      <c r="C2020" s="17"/>
      <c r="D2020" s="85"/>
      <c r="E2020" s="17"/>
      <c r="F2020" s="17"/>
      <c r="G2020" s="17"/>
      <c r="I2020" s="17"/>
      <c r="K2020" s="17"/>
      <c r="L2020" s="17"/>
      <c r="M2020" s="17"/>
      <c r="O2020" s="14">
        <f t="shared" si="1"/>
        <v>0</v>
      </c>
      <c r="P2020" s="86" t="str">
        <f t="array" ref="P2020">iferror(XLOOKUP(C2020,'Download of SFDC Activation Rep'!B:B,'Download of SFDC Activation Rep'!Z:Z),"")</f>
        <v/>
      </c>
      <c r="Q2020" s="86" t="str">
        <f t="shared" si="2"/>
        <v/>
      </c>
      <c r="R2020" s="13" t="str">
        <f t="shared" si="3"/>
        <v>Yes</v>
      </c>
      <c r="S2020" s="86" t="str">
        <f t="array" ref="S2020">iferror(XLOOKUP(C2020,'Download of SFDC Activation Rep'!B:B,'Download of SFDC Activation Rep'!Y:Y),"")</f>
        <v/>
      </c>
    </row>
    <row r="2021">
      <c r="A2021" s="17"/>
      <c r="B2021" s="85"/>
      <c r="C2021" s="17"/>
      <c r="D2021" s="85"/>
      <c r="E2021" s="17"/>
      <c r="F2021" s="17"/>
      <c r="G2021" s="17"/>
      <c r="I2021" s="17"/>
      <c r="K2021" s="17"/>
      <c r="L2021" s="17"/>
      <c r="M2021" s="17"/>
      <c r="O2021" s="14">
        <f t="shared" si="1"/>
        <v>0</v>
      </c>
      <c r="P2021" s="86" t="str">
        <f t="array" ref="P2021">iferror(XLOOKUP(C2021,'Download of SFDC Activation Rep'!B:B,'Download of SFDC Activation Rep'!Z:Z),"")</f>
        <v/>
      </c>
      <c r="Q2021" s="86" t="str">
        <f t="shared" si="2"/>
        <v/>
      </c>
      <c r="R2021" s="13" t="str">
        <f t="shared" si="3"/>
        <v>Yes</v>
      </c>
      <c r="S2021" s="86" t="str">
        <f t="array" ref="S2021">iferror(XLOOKUP(C2021,'Download of SFDC Activation Rep'!B:B,'Download of SFDC Activation Rep'!Y:Y),"")</f>
        <v/>
      </c>
    </row>
    <row r="2022">
      <c r="A2022" s="17"/>
      <c r="B2022" s="85"/>
      <c r="C2022" s="17"/>
      <c r="D2022" s="85"/>
      <c r="E2022" s="17"/>
      <c r="F2022" s="17"/>
      <c r="G2022" s="17"/>
      <c r="I2022" s="17"/>
      <c r="K2022" s="17"/>
      <c r="L2022" s="17"/>
      <c r="M2022" s="17"/>
      <c r="O2022" s="14">
        <f t="shared" si="1"/>
        <v>0</v>
      </c>
      <c r="P2022" s="86" t="str">
        <f t="array" ref="P2022">iferror(XLOOKUP(C2022,'Download of SFDC Activation Rep'!B:B,'Download of SFDC Activation Rep'!Z:Z),"")</f>
        <v/>
      </c>
      <c r="Q2022" s="86" t="str">
        <f t="shared" si="2"/>
        <v/>
      </c>
      <c r="R2022" s="13" t="str">
        <f t="shared" si="3"/>
        <v>Yes</v>
      </c>
      <c r="S2022" s="86" t="str">
        <f t="array" ref="S2022">iferror(XLOOKUP(C2022,'Download of SFDC Activation Rep'!B:B,'Download of SFDC Activation Rep'!Y:Y),"")</f>
        <v/>
      </c>
    </row>
    <row r="2023">
      <c r="A2023" s="17"/>
      <c r="B2023" s="85"/>
      <c r="C2023" s="17"/>
      <c r="D2023" s="85"/>
      <c r="E2023" s="17"/>
      <c r="F2023" s="17"/>
      <c r="G2023" s="17"/>
      <c r="I2023" s="17"/>
      <c r="K2023" s="17"/>
      <c r="L2023" s="17"/>
      <c r="M2023" s="17"/>
      <c r="O2023" s="14">
        <f t="shared" si="1"/>
        <v>0</v>
      </c>
      <c r="P2023" s="86" t="str">
        <f t="array" ref="P2023">iferror(XLOOKUP(C2023,'Download of SFDC Activation Rep'!B:B,'Download of SFDC Activation Rep'!Z:Z),"")</f>
        <v/>
      </c>
      <c r="Q2023" s="86" t="str">
        <f t="shared" si="2"/>
        <v/>
      </c>
      <c r="R2023" s="13" t="str">
        <f t="shared" si="3"/>
        <v>Yes</v>
      </c>
      <c r="S2023" s="86" t="str">
        <f t="array" ref="S2023">iferror(XLOOKUP(C2023,'Download of SFDC Activation Rep'!B:B,'Download of SFDC Activation Rep'!Y:Y),"")</f>
        <v/>
      </c>
    </row>
    <row r="2024">
      <c r="A2024" s="17"/>
      <c r="B2024" s="85"/>
      <c r="C2024" s="17"/>
      <c r="D2024" s="85"/>
      <c r="E2024" s="17"/>
      <c r="F2024" s="17"/>
      <c r="G2024" s="17"/>
      <c r="I2024" s="17"/>
      <c r="K2024" s="17"/>
      <c r="L2024" s="17"/>
      <c r="M2024" s="17"/>
      <c r="O2024" s="14">
        <f t="shared" si="1"/>
        <v>0</v>
      </c>
      <c r="P2024" s="86" t="str">
        <f t="array" ref="P2024">iferror(XLOOKUP(C2024,'Download of SFDC Activation Rep'!B:B,'Download of SFDC Activation Rep'!Z:Z),"")</f>
        <v/>
      </c>
      <c r="Q2024" s="86" t="str">
        <f t="shared" si="2"/>
        <v/>
      </c>
      <c r="R2024" s="13" t="str">
        <f t="shared" si="3"/>
        <v>Yes</v>
      </c>
      <c r="S2024" s="86" t="str">
        <f t="array" ref="S2024">iferror(XLOOKUP(C2024,'Download of SFDC Activation Rep'!B:B,'Download of SFDC Activation Rep'!Y:Y),"")</f>
        <v/>
      </c>
    </row>
    <row r="2025">
      <c r="A2025" s="17"/>
      <c r="B2025" s="85"/>
      <c r="C2025" s="17"/>
      <c r="D2025" s="85"/>
      <c r="E2025" s="17"/>
      <c r="F2025" s="17"/>
      <c r="G2025" s="17"/>
      <c r="I2025" s="17"/>
      <c r="K2025" s="17"/>
      <c r="L2025" s="17"/>
      <c r="M2025" s="17"/>
      <c r="O2025" s="14">
        <f t="shared" si="1"/>
        <v>0</v>
      </c>
      <c r="P2025" s="86" t="str">
        <f t="array" ref="P2025">iferror(XLOOKUP(C2025,'Download of SFDC Activation Rep'!B:B,'Download of SFDC Activation Rep'!Z:Z),"")</f>
        <v/>
      </c>
      <c r="Q2025" s="86" t="str">
        <f t="shared" si="2"/>
        <v/>
      </c>
      <c r="R2025" s="13" t="str">
        <f t="shared" si="3"/>
        <v>Yes</v>
      </c>
      <c r="S2025" s="86" t="str">
        <f t="array" ref="S2025">iferror(XLOOKUP(C2025,'Download of SFDC Activation Rep'!B:B,'Download of SFDC Activation Rep'!Y:Y),"")</f>
        <v/>
      </c>
    </row>
    <row r="2026">
      <c r="A2026" s="17"/>
      <c r="B2026" s="85"/>
      <c r="C2026" s="17"/>
      <c r="D2026" s="85"/>
      <c r="E2026" s="17"/>
      <c r="F2026" s="17"/>
      <c r="G2026" s="17"/>
      <c r="I2026" s="17"/>
      <c r="K2026" s="17"/>
      <c r="L2026" s="17"/>
      <c r="M2026" s="17"/>
      <c r="O2026" s="14">
        <f t="shared" si="1"/>
        <v>0</v>
      </c>
      <c r="P2026" s="86" t="str">
        <f t="array" ref="P2026">iferror(XLOOKUP(C2026,'Download of SFDC Activation Rep'!B:B,'Download of SFDC Activation Rep'!Z:Z),"")</f>
        <v/>
      </c>
      <c r="Q2026" s="86" t="str">
        <f t="shared" si="2"/>
        <v/>
      </c>
      <c r="R2026" s="13" t="str">
        <f t="shared" si="3"/>
        <v>Yes</v>
      </c>
      <c r="S2026" s="86" t="str">
        <f t="array" ref="S2026">iferror(XLOOKUP(C2026,'Download of SFDC Activation Rep'!B:B,'Download of SFDC Activation Rep'!Y:Y),"")</f>
        <v/>
      </c>
    </row>
    <row r="2027">
      <c r="A2027" s="17"/>
      <c r="B2027" s="85"/>
      <c r="C2027" s="17"/>
      <c r="D2027" s="85"/>
      <c r="E2027" s="17"/>
      <c r="F2027" s="17"/>
      <c r="G2027" s="17"/>
      <c r="I2027" s="17"/>
      <c r="K2027" s="17"/>
      <c r="L2027" s="17"/>
      <c r="M2027" s="17"/>
      <c r="O2027" s="14">
        <f t="shared" si="1"/>
        <v>0</v>
      </c>
      <c r="P2027" s="86" t="str">
        <f t="array" ref="P2027">iferror(XLOOKUP(C2027,'Download of SFDC Activation Rep'!B:B,'Download of SFDC Activation Rep'!Z:Z),"")</f>
        <v/>
      </c>
      <c r="Q2027" s="86" t="str">
        <f t="shared" si="2"/>
        <v/>
      </c>
      <c r="R2027" s="13" t="str">
        <f t="shared" si="3"/>
        <v>Yes</v>
      </c>
      <c r="S2027" s="86" t="str">
        <f t="array" ref="S2027">iferror(XLOOKUP(C2027,'Download of SFDC Activation Rep'!B:B,'Download of SFDC Activation Rep'!Y:Y),"")</f>
        <v/>
      </c>
    </row>
    <row r="2028">
      <c r="A2028" s="17"/>
      <c r="B2028" s="85"/>
      <c r="C2028" s="17"/>
      <c r="D2028" s="85"/>
      <c r="E2028" s="17"/>
      <c r="F2028" s="17"/>
      <c r="G2028" s="17"/>
      <c r="I2028" s="17"/>
      <c r="K2028" s="17"/>
      <c r="L2028" s="17"/>
      <c r="M2028" s="17"/>
      <c r="O2028" s="14">
        <f t="shared" si="1"/>
        <v>0</v>
      </c>
      <c r="P2028" s="86" t="str">
        <f t="array" ref="P2028">iferror(XLOOKUP(C2028,'Download of SFDC Activation Rep'!B:B,'Download of SFDC Activation Rep'!Z:Z),"")</f>
        <v/>
      </c>
      <c r="Q2028" s="86" t="str">
        <f t="shared" si="2"/>
        <v/>
      </c>
      <c r="R2028" s="13" t="str">
        <f t="shared" si="3"/>
        <v>Yes</v>
      </c>
      <c r="S2028" s="86" t="str">
        <f t="array" ref="S2028">iferror(XLOOKUP(C2028,'Download of SFDC Activation Rep'!B:B,'Download of SFDC Activation Rep'!Y:Y),"")</f>
        <v/>
      </c>
    </row>
    <row r="2029">
      <c r="A2029" s="17"/>
      <c r="B2029" s="85"/>
      <c r="C2029" s="17"/>
      <c r="D2029" s="85"/>
      <c r="E2029" s="17"/>
      <c r="F2029" s="17"/>
      <c r="G2029" s="17"/>
      <c r="I2029" s="17"/>
      <c r="K2029" s="17"/>
      <c r="L2029" s="17"/>
      <c r="M2029" s="17"/>
      <c r="O2029" s="14">
        <f t="shared" si="1"/>
        <v>0</v>
      </c>
      <c r="P2029" s="86" t="str">
        <f t="array" ref="P2029">iferror(XLOOKUP(C2029,'Download of SFDC Activation Rep'!B:B,'Download of SFDC Activation Rep'!Z:Z),"")</f>
        <v/>
      </c>
      <c r="Q2029" s="86" t="str">
        <f t="shared" si="2"/>
        <v/>
      </c>
      <c r="R2029" s="13" t="str">
        <f t="shared" si="3"/>
        <v>Yes</v>
      </c>
      <c r="S2029" s="86" t="str">
        <f t="array" ref="S2029">iferror(XLOOKUP(C2029,'Download of SFDC Activation Rep'!B:B,'Download of SFDC Activation Rep'!Y:Y),"")</f>
        <v/>
      </c>
    </row>
    <row r="2030">
      <c r="A2030" s="17"/>
      <c r="B2030" s="85"/>
      <c r="C2030" s="17"/>
      <c r="D2030" s="85"/>
      <c r="E2030" s="17"/>
      <c r="F2030" s="17"/>
      <c r="G2030" s="17"/>
      <c r="I2030" s="17"/>
      <c r="K2030" s="17"/>
      <c r="L2030" s="17"/>
      <c r="M2030" s="17"/>
      <c r="O2030" s="14">
        <f t="shared" si="1"/>
        <v>0</v>
      </c>
      <c r="P2030" s="86" t="str">
        <f t="array" ref="P2030">iferror(XLOOKUP(C2030,'Download of SFDC Activation Rep'!B:B,'Download of SFDC Activation Rep'!Z:Z),"")</f>
        <v/>
      </c>
      <c r="Q2030" s="86" t="str">
        <f t="shared" si="2"/>
        <v/>
      </c>
      <c r="R2030" s="13" t="str">
        <f t="shared" si="3"/>
        <v>Yes</v>
      </c>
      <c r="S2030" s="86" t="str">
        <f t="array" ref="S2030">iferror(XLOOKUP(C2030,'Download of SFDC Activation Rep'!B:B,'Download of SFDC Activation Rep'!Y:Y),"")</f>
        <v/>
      </c>
    </row>
    <row r="2031">
      <c r="A2031" s="17"/>
      <c r="B2031" s="85"/>
      <c r="C2031" s="17"/>
      <c r="D2031" s="85"/>
      <c r="E2031" s="17"/>
      <c r="F2031" s="17"/>
      <c r="G2031" s="17"/>
      <c r="I2031" s="17"/>
      <c r="K2031" s="17"/>
      <c r="L2031" s="17"/>
      <c r="M2031" s="17"/>
      <c r="O2031" s="14">
        <f t="shared" si="1"/>
        <v>0</v>
      </c>
      <c r="P2031" s="86" t="str">
        <f t="array" ref="P2031">iferror(XLOOKUP(C2031,'Download of SFDC Activation Rep'!B:B,'Download of SFDC Activation Rep'!Z:Z),"")</f>
        <v/>
      </c>
      <c r="Q2031" s="86" t="str">
        <f t="shared" si="2"/>
        <v/>
      </c>
      <c r="R2031" s="13" t="str">
        <f t="shared" si="3"/>
        <v>Yes</v>
      </c>
      <c r="S2031" s="86" t="str">
        <f t="array" ref="S2031">iferror(XLOOKUP(C2031,'Download of SFDC Activation Rep'!B:B,'Download of SFDC Activation Rep'!Y:Y),"")</f>
        <v/>
      </c>
    </row>
    <row r="2032">
      <c r="A2032" s="17"/>
      <c r="B2032" s="85"/>
      <c r="C2032" s="17"/>
      <c r="D2032" s="85"/>
      <c r="E2032" s="17"/>
      <c r="F2032" s="17"/>
      <c r="G2032" s="17"/>
      <c r="I2032" s="17"/>
      <c r="K2032" s="17"/>
      <c r="L2032" s="17"/>
      <c r="M2032" s="17"/>
      <c r="O2032" s="14">
        <f t="shared" si="1"/>
        <v>0</v>
      </c>
      <c r="P2032" s="86" t="str">
        <f t="array" ref="P2032">iferror(XLOOKUP(C2032,'Download of SFDC Activation Rep'!B:B,'Download of SFDC Activation Rep'!Z:Z),"")</f>
        <v/>
      </c>
      <c r="Q2032" s="86" t="str">
        <f t="shared" si="2"/>
        <v/>
      </c>
      <c r="R2032" s="13" t="str">
        <f t="shared" si="3"/>
        <v>Yes</v>
      </c>
      <c r="S2032" s="86" t="str">
        <f t="array" ref="S2032">iferror(XLOOKUP(C2032,'Download of SFDC Activation Rep'!B:B,'Download of SFDC Activation Rep'!Y:Y),"")</f>
        <v/>
      </c>
    </row>
    <row r="2033">
      <c r="A2033" s="17"/>
      <c r="B2033" s="85"/>
      <c r="C2033" s="17"/>
      <c r="D2033" s="85"/>
      <c r="E2033" s="17"/>
      <c r="F2033" s="17"/>
      <c r="G2033" s="17"/>
      <c r="I2033" s="17"/>
      <c r="K2033" s="17"/>
      <c r="L2033" s="17"/>
      <c r="M2033" s="17"/>
      <c r="O2033" s="14">
        <f t="shared" si="1"/>
        <v>0</v>
      </c>
      <c r="P2033" s="86" t="str">
        <f t="array" ref="P2033">iferror(XLOOKUP(C2033,'Download of SFDC Activation Rep'!B:B,'Download of SFDC Activation Rep'!Z:Z),"")</f>
        <v/>
      </c>
      <c r="Q2033" s="86" t="str">
        <f t="shared" si="2"/>
        <v/>
      </c>
      <c r="R2033" s="13" t="str">
        <f t="shared" si="3"/>
        <v>Yes</v>
      </c>
      <c r="S2033" s="86" t="str">
        <f t="array" ref="S2033">iferror(XLOOKUP(C2033,'Download of SFDC Activation Rep'!B:B,'Download of SFDC Activation Rep'!Y:Y),"")</f>
        <v/>
      </c>
    </row>
    <row r="2034">
      <c r="A2034" s="17"/>
      <c r="B2034" s="85"/>
      <c r="C2034" s="17"/>
      <c r="D2034" s="85"/>
      <c r="E2034" s="17"/>
      <c r="F2034" s="17"/>
      <c r="G2034" s="17"/>
      <c r="I2034" s="17"/>
      <c r="K2034" s="17"/>
      <c r="L2034" s="17"/>
      <c r="M2034" s="17"/>
      <c r="O2034" s="14">
        <f t="shared" si="1"/>
        <v>0</v>
      </c>
      <c r="P2034" s="86" t="str">
        <f t="array" ref="P2034">iferror(XLOOKUP(C2034,'Download of SFDC Activation Rep'!B:B,'Download of SFDC Activation Rep'!Z:Z),"")</f>
        <v/>
      </c>
      <c r="Q2034" s="86" t="str">
        <f t="shared" si="2"/>
        <v/>
      </c>
      <c r="R2034" s="13" t="str">
        <f t="shared" si="3"/>
        <v>Yes</v>
      </c>
      <c r="S2034" s="86" t="str">
        <f t="array" ref="S2034">iferror(XLOOKUP(C2034,'Download of SFDC Activation Rep'!B:B,'Download of SFDC Activation Rep'!Y:Y),"")</f>
        <v/>
      </c>
    </row>
    <row r="2035">
      <c r="A2035" s="17"/>
      <c r="B2035" s="85"/>
      <c r="C2035" s="17"/>
      <c r="D2035" s="85"/>
      <c r="E2035" s="17"/>
      <c r="F2035" s="17"/>
      <c r="G2035" s="17"/>
      <c r="I2035" s="17"/>
      <c r="K2035" s="17"/>
      <c r="L2035" s="17"/>
      <c r="M2035" s="17"/>
      <c r="O2035" s="14">
        <f t="shared" si="1"/>
        <v>0</v>
      </c>
      <c r="P2035" s="86" t="str">
        <f t="array" ref="P2035">iferror(XLOOKUP(C2035,'Download of SFDC Activation Rep'!B:B,'Download of SFDC Activation Rep'!Z:Z),"")</f>
        <v/>
      </c>
      <c r="Q2035" s="86" t="str">
        <f t="shared" si="2"/>
        <v/>
      </c>
      <c r="R2035" s="13" t="str">
        <f t="shared" si="3"/>
        <v>Yes</v>
      </c>
      <c r="S2035" s="86" t="str">
        <f t="array" ref="S2035">iferror(XLOOKUP(C2035,'Download of SFDC Activation Rep'!B:B,'Download of SFDC Activation Rep'!Y:Y),"")</f>
        <v/>
      </c>
    </row>
    <row r="2036">
      <c r="A2036" s="17"/>
      <c r="B2036" s="85"/>
      <c r="C2036" s="17"/>
      <c r="D2036" s="85"/>
      <c r="E2036" s="17"/>
      <c r="F2036" s="17"/>
      <c r="G2036" s="17"/>
      <c r="I2036" s="17"/>
      <c r="K2036" s="17"/>
      <c r="L2036" s="17"/>
      <c r="M2036" s="17"/>
      <c r="O2036" s="14">
        <f t="shared" si="1"/>
        <v>0</v>
      </c>
      <c r="P2036" s="86" t="str">
        <f t="array" ref="P2036">iferror(XLOOKUP(C2036,'Download of SFDC Activation Rep'!B:B,'Download of SFDC Activation Rep'!Z:Z),"")</f>
        <v/>
      </c>
      <c r="Q2036" s="86" t="str">
        <f t="shared" si="2"/>
        <v/>
      </c>
      <c r="R2036" s="13" t="str">
        <f t="shared" si="3"/>
        <v>Yes</v>
      </c>
      <c r="S2036" s="86" t="str">
        <f t="array" ref="S2036">iferror(XLOOKUP(C2036,'Download of SFDC Activation Rep'!B:B,'Download of SFDC Activation Rep'!Y:Y),"")</f>
        <v/>
      </c>
    </row>
    <row r="2037">
      <c r="A2037" s="17"/>
      <c r="B2037" s="85"/>
      <c r="C2037" s="17"/>
      <c r="D2037" s="85"/>
      <c r="E2037" s="17"/>
      <c r="F2037" s="17"/>
      <c r="G2037" s="17"/>
      <c r="I2037" s="17"/>
      <c r="K2037" s="17"/>
      <c r="L2037" s="17"/>
      <c r="M2037" s="17"/>
      <c r="O2037" s="14">
        <f t="shared" si="1"/>
        <v>0</v>
      </c>
      <c r="P2037" s="86" t="str">
        <f t="array" ref="P2037">iferror(XLOOKUP(C2037,'Download of SFDC Activation Rep'!B:B,'Download of SFDC Activation Rep'!Z:Z),"")</f>
        <v/>
      </c>
      <c r="Q2037" s="86" t="str">
        <f t="shared" si="2"/>
        <v/>
      </c>
      <c r="R2037" s="13" t="str">
        <f t="shared" si="3"/>
        <v>Yes</v>
      </c>
      <c r="S2037" s="86" t="str">
        <f t="array" ref="S2037">iferror(XLOOKUP(C2037,'Download of SFDC Activation Rep'!B:B,'Download of SFDC Activation Rep'!Y:Y),"")</f>
        <v/>
      </c>
    </row>
    <row r="2038">
      <c r="A2038" s="17"/>
      <c r="B2038" s="85"/>
      <c r="C2038" s="17"/>
      <c r="D2038" s="85"/>
      <c r="E2038" s="17"/>
      <c r="F2038" s="17"/>
      <c r="G2038" s="17"/>
      <c r="I2038" s="17"/>
      <c r="K2038" s="17"/>
      <c r="L2038" s="17"/>
      <c r="M2038" s="17"/>
      <c r="O2038" s="14">
        <f t="shared" si="1"/>
        <v>0</v>
      </c>
      <c r="P2038" s="86" t="str">
        <f t="array" ref="P2038">iferror(XLOOKUP(C2038,'Download of SFDC Activation Rep'!B:B,'Download of SFDC Activation Rep'!Z:Z),"")</f>
        <v/>
      </c>
      <c r="Q2038" s="86" t="str">
        <f t="shared" si="2"/>
        <v/>
      </c>
      <c r="R2038" s="13" t="str">
        <f t="shared" si="3"/>
        <v>Yes</v>
      </c>
      <c r="S2038" s="86" t="str">
        <f t="array" ref="S2038">iferror(XLOOKUP(C2038,'Download of SFDC Activation Rep'!B:B,'Download of SFDC Activation Rep'!Y:Y),"")</f>
        <v/>
      </c>
    </row>
    <row r="2039">
      <c r="A2039" s="17"/>
      <c r="B2039" s="85"/>
      <c r="C2039" s="17"/>
      <c r="D2039" s="85"/>
      <c r="E2039" s="17"/>
      <c r="F2039" s="17"/>
      <c r="G2039" s="17"/>
      <c r="I2039" s="17"/>
      <c r="K2039" s="17"/>
      <c r="L2039" s="17"/>
      <c r="M2039" s="17"/>
      <c r="O2039" s="14">
        <f t="shared" si="1"/>
        <v>0</v>
      </c>
      <c r="P2039" s="86" t="str">
        <f t="array" ref="P2039">iferror(XLOOKUP(C2039,'Download of SFDC Activation Rep'!B:B,'Download of SFDC Activation Rep'!Z:Z),"")</f>
        <v/>
      </c>
      <c r="Q2039" s="86" t="str">
        <f t="shared" si="2"/>
        <v/>
      </c>
      <c r="R2039" s="13" t="str">
        <f t="shared" si="3"/>
        <v>Yes</v>
      </c>
      <c r="S2039" s="86" t="str">
        <f t="array" ref="S2039">iferror(XLOOKUP(C2039,'Download of SFDC Activation Rep'!B:B,'Download of SFDC Activation Rep'!Y:Y),"")</f>
        <v/>
      </c>
    </row>
    <row r="2040">
      <c r="A2040" s="17"/>
      <c r="B2040" s="85"/>
      <c r="C2040" s="17"/>
      <c r="D2040" s="85"/>
      <c r="E2040" s="17"/>
      <c r="F2040" s="17"/>
      <c r="G2040" s="17"/>
      <c r="I2040" s="17"/>
      <c r="K2040" s="17"/>
      <c r="L2040" s="17"/>
      <c r="M2040" s="17"/>
      <c r="O2040" s="14">
        <f t="shared" si="1"/>
        <v>0</v>
      </c>
      <c r="P2040" s="86" t="str">
        <f t="array" ref="P2040">iferror(XLOOKUP(C2040,'Download of SFDC Activation Rep'!B:B,'Download of SFDC Activation Rep'!Z:Z),"")</f>
        <v/>
      </c>
      <c r="Q2040" s="86" t="str">
        <f t="shared" si="2"/>
        <v/>
      </c>
      <c r="R2040" s="13" t="str">
        <f t="shared" si="3"/>
        <v>Yes</v>
      </c>
      <c r="S2040" s="86" t="str">
        <f t="array" ref="S2040">iferror(XLOOKUP(C2040,'Download of SFDC Activation Rep'!B:B,'Download of SFDC Activation Rep'!Y:Y),"")</f>
        <v/>
      </c>
    </row>
    <row r="2041">
      <c r="A2041" s="17"/>
      <c r="B2041" s="85"/>
      <c r="C2041" s="17"/>
      <c r="D2041" s="85"/>
      <c r="E2041" s="17"/>
      <c r="F2041" s="17"/>
      <c r="G2041" s="17"/>
      <c r="I2041" s="17"/>
      <c r="K2041" s="17"/>
      <c r="L2041" s="17"/>
      <c r="M2041" s="17"/>
      <c r="O2041" s="14">
        <f t="shared" si="1"/>
        <v>0</v>
      </c>
      <c r="P2041" s="86" t="str">
        <f t="array" ref="P2041">iferror(XLOOKUP(C2041,'Download of SFDC Activation Rep'!B:B,'Download of SFDC Activation Rep'!Z:Z),"")</f>
        <v/>
      </c>
      <c r="Q2041" s="86" t="str">
        <f t="shared" si="2"/>
        <v/>
      </c>
      <c r="R2041" s="13" t="str">
        <f t="shared" si="3"/>
        <v>Yes</v>
      </c>
      <c r="S2041" s="86" t="str">
        <f t="array" ref="S2041">iferror(XLOOKUP(C2041,'Download of SFDC Activation Rep'!B:B,'Download of SFDC Activation Rep'!Y:Y),"")</f>
        <v/>
      </c>
    </row>
    <row r="2042">
      <c r="A2042" s="17"/>
      <c r="B2042" s="85"/>
      <c r="C2042" s="17"/>
      <c r="D2042" s="85"/>
      <c r="E2042" s="17"/>
      <c r="F2042" s="17"/>
      <c r="G2042" s="17"/>
      <c r="I2042" s="17"/>
      <c r="K2042" s="17"/>
      <c r="L2042" s="17"/>
      <c r="M2042" s="17"/>
      <c r="O2042" s="14">
        <f t="shared" si="1"/>
        <v>0</v>
      </c>
      <c r="P2042" s="86" t="str">
        <f t="array" ref="P2042">iferror(XLOOKUP(C2042,'Download of SFDC Activation Rep'!B:B,'Download of SFDC Activation Rep'!Z:Z),"")</f>
        <v/>
      </c>
      <c r="Q2042" s="86" t="str">
        <f t="shared" si="2"/>
        <v/>
      </c>
      <c r="R2042" s="13" t="str">
        <f t="shared" si="3"/>
        <v>Yes</v>
      </c>
      <c r="S2042" s="86" t="str">
        <f t="array" ref="S2042">iferror(XLOOKUP(C2042,'Download of SFDC Activation Rep'!B:B,'Download of SFDC Activation Rep'!Y:Y),"")</f>
        <v/>
      </c>
    </row>
    <row r="2043">
      <c r="A2043" s="17"/>
      <c r="B2043" s="85"/>
      <c r="C2043" s="17"/>
      <c r="D2043" s="85"/>
      <c r="E2043" s="17"/>
      <c r="F2043" s="17"/>
      <c r="G2043" s="17"/>
      <c r="I2043" s="17"/>
      <c r="K2043" s="17"/>
      <c r="L2043" s="17"/>
      <c r="M2043" s="17"/>
      <c r="O2043" s="14">
        <f t="shared" si="1"/>
        <v>0</v>
      </c>
      <c r="P2043" s="86" t="str">
        <f t="array" ref="P2043">iferror(XLOOKUP(C2043,'Download of SFDC Activation Rep'!B:B,'Download of SFDC Activation Rep'!Z:Z),"")</f>
        <v/>
      </c>
      <c r="Q2043" s="86" t="str">
        <f t="shared" si="2"/>
        <v/>
      </c>
      <c r="R2043" s="13" t="str">
        <f t="shared" si="3"/>
        <v>Yes</v>
      </c>
      <c r="S2043" s="86" t="str">
        <f t="array" ref="S2043">iferror(XLOOKUP(C2043,'Download of SFDC Activation Rep'!B:B,'Download of SFDC Activation Rep'!Y:Y),"")</f>
        <v/>
      </c>
    </row>
    <row r="2044">
      <c r="A2044" s="17"/>
      <c r="B2044" s="85"/>
      <c r="C2044" s="17"/>
      <c r="D2044" s="85"/>
      <c r="E2044" s="17"/>
      <c r="F2044" s="17"/>
      <c r="G2044" s="17"/>
      <c r="I2044" s="17"/>
      <c r="K2044" s="17"/>
      <c r="L2044" s="17"/>
      <c r="M2044" s="17"/>
      <c r="O2044" s="14">
        <f t="shared" si="1"/>
        <v>0</v>
      </c>
      <c r="P2044" s="86" t="str">
        <f t="array" ref="P2044">iferror(XLOOKUP(C2044,'Download of SFDC Activation Rep'!B:B,'Download of SFDC Activation Rep'!Z:Z),"")</f>
        <v/>
      </c>
      <c r="Q2044" s="86" t="str">
        <f t="shared" si="2"/>
        <v/>
      </c>
      <c r="R2044" s="13" t="str">
        <f t="shared" si="3"/>
        <v>Yes</v>
      </c>
      <c r="S2044" s="86" t="str">
        <f t="array" ref="S2044">iferror(XLOOKUP(C2044,'Download of SFDC Activation Rep'!B:B,'Download of SFDC Activation Rep'!Y:Y),"")</f>
        <v/>
      </c>
    </row>
    <row r="2045">
      <c r="A2045" s="17"/>
      <c r="B2045" s="85"/>
      <c r="C2045" s="17"/>
      <c r="D2045" s="85"/>
      <c r="E2045" s="17"/>
      <c r="F2045" s="17"/>
      <c r="G2045" s="17"/>
      <c r="I2045" s="17"/>
      <c r="K2045" s="17"/>
      <c r="L2045" s="17"/>
      <c r="M2045" s="17"/>
      <c r="O2045" s="14">
        <f t="shared" si="1"/>
        <v>0</v>
      </c>
      <c r="P2045" s="86" t="str">
        <f t="array" ref="P2045">iferror(XLOOKUP(C2045,'Download of SFDC Activation Rep'!B:B,'Download of SFDC Activation Rep'!Z:Z),"")</f>
        <v/>
      </c>
      <c r="Q2045" s="86" t="str">
        <f t="shared" si="2"/>
        <v/>
      </c>
      <c r="R2045" s="13" t="str">
        <f t="shared" si="3"/>
        <v>Yes</v>
      </c>
      <c r="S2045" s="86" t="str">
        <f t="array" ref="S2045">iferror(XLOOKUP(C2045,'Download of SFDC Activation Rep'!B:B,'Download of SFDC Activation Rep'!Y:Y),"")</f>
        <v/>
      </c>
    </row>
    <row r="2046">
      <c r="A2046" s="17"/>
      <c r="B2046" s="85"/>
      <c r="C2046" s="17"/>
      <c r="D2046" s="85"/>
      <c r="E2046" s="17"/>
      <c r="F2046" s="17"/>
      <c r="G2046" s="17"/>
      <c r="I2046" s="17"/>
      <c r="K2046" s="17"/>
      <c r="L2046" s="17"/>
      <c r="M2046" s="17"/>
      <c r="O2046" s="14">
        <f t="shared" si="1"/>
        <v>0</v>
      </c>
      <c r="P2046" s="86" t="str">
        <f t="array" ref="P2046">iferror(XLOOKUP(C2046,'Download of SFDC Activation Rep'!B:B,'Download of SFDC Activation Rep'!Z:Z),"")</f>
        <v/>
      </c>
      <c r="Q2046" s="86" t="str">
        <f t="shared" si="2"/>
        <v/>
      </c>
      <c r="R2046" s="13" t="str">
        <f t="shared" si="3"/>
        <v>Yes</v>
      </c>
      <c r="S2046" s="86" t="str">
        <f t="array" ref="S2046">iferror(XLOOKUP(C2046,'Download of SFDC Activation Rep'!B:B,'Download of SFDC Activation Rep'!Y:Y),"")</f>
        <v/>
      </c>
    </row>
    <row r="2047">
      <c r="A2047" s="17"/>
      <c r="B2047" s="85"/>
      <c r="C2047" s="17"/>
      <c r="D2047" s="85"/>
      <c r="E2047" s="17"/>
      <c r="F2047" s="17"/>
      <c r="G2047" s="17"/>
      <c r="I2047" s="17"/>
      <c r="K2047" s="17"/>
      <c r="L2047" s="17"/>
      <c r="M2047" s="17"/>
      <c r="O2047" s="14">
        <f t="shared" si="1"/>
        <v>0</v>
      </c>
      <c r="P2047" s="86" t="str">
        <f t="array" ref="P2047">iferror(XLOOKUP(C2047,'Download of SFDC Activation Rep'!B:B,'Download of SFDC Activation Rep'!Z:Z),"")</f>
        <v/>
      </c>
      <c r="Q2047" s="86" t="str">
        <f t="shared" si="2"/>
        <v/>
      </c>
      <c r="R2047" s="13" t="str">
        <f t="shared" si="3"/>
        <v>Yes</v>
      </c>
      <c r="S2047" s="86" t="str">
        <f t="array" ref="S2047">iferror(XLOOKUP(C2047,'Download of SFDC Activation Rep'!B:B,'Download of SFDC Activation Rep'!Y:Y),"")</f>
        <v/>
      </c>
    </row>
    <row r="2048">
      <c r="A2048" s="17"/>
      <c r="B2048" s="85"/>
      <c r="C2048" s="17"/>
      <c r="D2048" s="85"/>
      <c r="E2048" s="17"/>
      <c r="F2048" s="17"/>
      <c r="G2048" s="17"/>
      <c r="I2048" s="17"/>
      <c r="K2048" s="17"/>
      <c r="L2048" s="17"/>
      <c r="M2048" s="17"/>
      <c r="O2048" s="14">
        <f t="shared" si="1"/>
        <v>0</v>
      </c>
      <c r="P2048" s="86" t="str">
        <f t="array" ref="P2048">iferror(XLOOKUP(C2048,'Download of SFDC Activation Rep'!B:B,'Download of SFDC Activation Rep'!Z:Z),"")</f>
        <v/>
      </c>
      <c r="Q2048" s="86" t="str">
        <f t="shared" si="2"/>
        <v/>
      </c>
      <c r="R2048" s="13" t="str">
        <f t="shared" si="3"/>
        <v>Yes</v>
      </c>
      <c r="S2048" s="86" t="str">
        <f t="array" ref="S2048">iferror(XLOOKUP(C2048,'Download of SFDC Activation Rep'!B:B,'Download of SFDC Activation Rep'!Y:Y),"")</f>
        <v/>
      </c>
    </row>
    <row r="2049">
      <c r="A2049" s="17"/>
      <c r="B2049" s="85"/>
      <c r="C2049" s="17"/>
      <c r="D2049" s="85"/>
      <c r="E2049" s="17"/>
      <c r="F2049" s="17"/>
      <c r="G2049" s="17"/>
      <c r="I2049" s="17"/>
      <c r="K2049" s="17"/>
      <c r="L2049" s="17"/>
      <c r="M2049" s="17"/>
      <c r="O2049" s="14">
        <f t="shared" si="1"/>
        <v>0</v>
      </c>
      <c r="P2049" s="86" t="str">
        <f t="array" ref="P2049">iferror(XLOOKUP(C2049,'Download of SFDC Activation Rep'!B:B,'Download of SFDC Activation Rep'!Z:Z),"")</f>
        <v/>
      </c>
      <c r="Q2049" s="86" t="str">
        <f t="shared" si="2"/>
        <v/>
      </c>
      <c r="R2049" s="13" t="str">
        <f t="shared" si="3"/>
        <v>Yes</v>
      </c>
      <c r="S2049" s="86" t="str">
        <f t="array" ref="S2049">iferror(XLOOKUP(C2049,'Download of SFDC Activation Rep'!B:B,'Download of SFDC Activation Rep'!Y:Y),"")</f>
        <v/>
      </c>
    </row>
    <row r="2050">
      <c r="A2050" s="17"/>
      <c r="B2050" s="85"/>
      <c r="C2050" s="17"/>
      <c r="D2050" s="85"/>
      <c r="E2050" s="17"/>
      <c r="F2050" s="17"/>
      <c r="G2050" s="17"/>
      <c r="I2050" s="17"/>
      <c r="K2050" s="17"/>
      <c r="L2050" s="17"/>
      <c r="M2050" s="17"/>
      <c r="O2050" s="14">
        <f t="shared" si="1"/>
        <v>0</v>
      </c>
      <c r="P2050" s="86" t="str">
        <f t="array" ref="P2050">iferror(XLOOKUP(C2050,'Download of SFDC Activation Rep'!B:B,'Download of SFDC Activation Rep'!Z:Z),"")</f>
        <v/>
      </c>
      <c r="Q2050" s="86" t="str">
        <f t="shared" si="2"/>
        <v/>
      </c>
      <c r="R2050" s="13" t="str">
        <f t="shared" si="3"/>
        <v>Yes</v>
      </c>
      <c r="S2050" s="86" t="str">
        <f t="array" ref="S2050">iferror(XLOOKUP(C2050,'Download of SFDC Activation Rep'!B:B,'Download of SFDC Activation Rep'!Y:Y),"")</f>
        <v/>
      </c>
    </row>
    <row r="2051">
      <c r="A2051" s="17"/>
      <c r="B2051" s="85"/>
      <c r="C2051" s="17"/>
      <c r="D2051" s="85"/>
      <c r="E2051" s="17"/>
      <c r="F2051" s="17"/>
      <c r="G2051" s="17"/>
      <c r="I2051" s="17"/>
      <c r="K2051" s="17"/>
      <c r="L2051" s="17"/>
      <c r="M2051" s="17"/>
      <c r="O2051" s="14">
        <f t="shared" si="1"/>
        <v>0</v>
      </c>
      <c r="P2051" s="86" t="str">
        <f t="array" ref="P2051">iferror(XLOOKUP(C2051,'Download of SFDC Activation Rep'!B:B,'Download of SFDC Activation Rep'!Z:Z),"")</f>
        <v/>
      </c>
      <c r="Q2051" s="86" t="str">
        <f t="shared" si="2"/>
        <v/>
      </c>
      <c r="R2051" s="13" t="str">
        <f t="shared" si="3"/>
        <v>Yes</v>
      </c>
      <c r="S2051" s="86" t="str">
        <f t="array" ref="S2051">iferror(XLOOKUP(C2051,'Download of SFDC Activation Rep'!B:B,'Download of SFDC Activation Rep'!Y:Y),"")</f>
        <v/>
      </c>
    </row>
    <row r="2052">
      <c r="A2052" s="17"/>
      <c r="B2052" s="85"/>
      <c r="C2052" s="17"/>
      <c r="D2052" s="85"/>
      <c r="E2052" s="17"/>
      <c r="F2052" s="17"/>
      <c r="G2052" s="17"/>
      <c r="I2052" s="17"/>
      <c r="K2052" s="17"/>
      <c r="L2052" s="17"/>
      <c r="M2052" s="17"/>
      <c r="O2052" s="14">
        <f t="shared" si="1"/>
        <v>0</v>
      </c>
      <c r="P2052" s="86" t="str">
        <f t="array" ref="P2052">iferror(XLOOKUP(C2052,'Download of SFDC Activation Rep'!B:B,'Download of SFDC Activation Rep'!Z:Z),"")</f>
        <v/>
      </c>
      <c r="Q2052" s="86" t="str">
        <f t="shared" si="2"/>
        <v/>
      </c>
      <c r="R2052" s="13" t="str">
        <f t="shared" si="3"/>
        <v>Yes</v>
      </c>
      <c r="S2052" s="86" t="str">
        <f t="array" ref="S2052">iferror(XLOOKUP(C2052,'Download of SFDC Activation Rep'!B:B,'Download of SFDC Activation Rep'!Y:Y),"")</f>
        <v/>
      </c>
    </row>
    <row r="2053">
      <c r="A2053" s="17"/>
      <c r="B2053" s="85"/>
      <c r="C2053" s="17"/>
      <c r="D2053" s="85"/>
      <c r="E2053" s="17"/>
      <c r="F2053" s="17"/>
      <c r="G2053" s="17"/>
      <c r="I2053" s="17"/>
      <c r="K2053" s="17"/>
      <c r="L2053" s="17"/>
      <c r="M2053" s="17"/>
      <c r="O2053" s="14">
        <f t="shared" si="1"/>
        <v>0</v>
      </c>
      <c r="P2053" s="86" t="str">
        <f t="array" ref="P2053">iferror(XLOOKUP(C2053,'Download of SFDC Activation Rep'!B:B,'Download of SFDC Activation Rep'!Z:Z),"")</f>
        <v/>
      </c>
      <c r="Q2053" s="86" t="str">
        <f t="shared" si="2"/>
        <v/>
      </c>
      <c r="R2053" s="13" t="str">
        <f t="shared" si="3"/>
        <v>Yes</v>
      </c>
      <c r="S2053" s="86" t="str">
        <f t="array" ref="S2053">iferror(XLOOKUP(C2053,'Download of SFDC Activation Rep'!B:B,'Download of SFDC Activation Rep'!Y:Y),"")</f>
        <v/>
      </c>
    </row>
    <row r="2054">
      <c r="A2054" s="17"/>
      <c r="B2054" s="85"/>
      <c r="C2054" s="17"/>
      <c r="D2054" s="85"/>
      <c r="E2054" s="17"/>
      <c r="F2054" s="17"/>
      <c r="G2054" s="17"/>
      <c r="I2054" s="17"/>
      <c r="K2054" s="17"/>
      <c r="L2054" s="17"/>
      <c r="M2054" s="17"/>
      <c r="O2054" s="14">
        <f t="shared" si="1"/>
        <v>0</v>
      </c>
      <c r="P2054" s="86" t="str">
        <f t="array" ref="P2054">iferror(XLOOKUP(C2054,'Download of SFDC Activation Rep'!B:B,'Download of SFDC Activation Rep'!Z:Z),"")</f>
        <v/>
      </c>
      <c r="Q2054" s="86" t="str">
        <f t="shared" si="2"/>
        <v/>
      </c>
      <c r="R2054" s="13" t="str">
        <f t="shared" si="3"/>
        <v>Yes</v>
      </c>
      <c r="S2054" s="86" t="str">
        <f t="array" ref="S2054">iferror(XLOOKUP(C2054,'Download of SFDC Activation Rep'!B:B,'Download of SFDC Activation Rep'!Y:Y),"")</f>
        <v/>
      </c>
    </row>
    <row r="2055">
      <c r="A2055" s="17"/>
      <c r="B2055" s="85"/>
      <c r="C2055" s="17"/>
      <c r="D2055" s="85"/>
      <c r="E2055" s="17"/>
      <c r="F2055" s="17"/>
      <c r="G2055" s="17"/>
      <c r="I2055" s="17"/>
      <c r="K2055" s="17"/>
      <c r="L2055" s="17"/>
      <c r="M2055" s="17"/>
      <c r="O2055" s="14">
        <f t="shared" si="1"/>
        <v>0</v>
      </c>
      <c r="P2055" s="86" t="str">
        <f t="array" ref="P2055">iferror(XLOOKUP(C2055,'Download of SFDC Activation Rep'!B:B,'Download of SFDC Activation Rep'!Z:Z),"")</f>
        <v/>
      </c>
      <c r="Q2055" s="86" t="str">
        <f t="shared" si="2"/>
        <v/>
      </c>
      <c r="R2055" s="13" t="str">
        <f t="shared" si="3"/>
        <v>Yes</v>
      </c>
      <c r="S2055" s="86" t="str">
        <f t="array" ref="S2055">iferror(XLOOKUP(C2055,'Download of SFDC Activation Rep'!B:B,'Download of SFDC Activation Rep'!Y:Y),"")</f>
        <v/>
      </c>
    </row>
    <row r="2056">
      <c r="A2056" s="17"/>
      <c r="B2056" s="85"/>
      <c r="C2056" s="17"/>
      <c r="D2056" s="85"/>
      <c r="E2056" s="17"/>
      <c r="F2056" s="17"/>
      <c r="G2056" s="17"/>
      <c r="I2056" s="17"/>
      <c r="K2056" s="17"/>
      <c r="L2056" s="17"/>
      <c r="M2056" s="17"/>
      <c r="O2056" s="14">
        <f t="shared" si="1"/>
        <v>0</v>
      </c>
      <c r="P2056" s="86" t="str">
        <f t="array" ref="P2056">iferror(XLOOKUP(C2056,'Download of SFDC Activation Rep'!B:B,'Download of SFDC Activation Rep'!Z:Z),"")</f>
        <v/>
      </c>
      <c r="Q2056" s="86" t="str">
        <f t="shared" si="2"/>
        <v/>
      </c>
      <c r="R2056" s="13" t="str">
        <f t="shared" si="3"/>
        <v>Yes</v>
      </c>
      <c r="S2056" s="86" t="str">
        <f t="array" ref="S2056">iferror(XLOOKUP(C2056,'Download of SFDC Activation Rep'!B:B,'Download of SFDC Activation Rep'!Y:Y),"")</f>
        <v/>
      </c>
    </row>
    <row r="2057">
      <c r="A2057" s="17"/>
      <c r="B2057" s="85"/>
      <c r="C2057" s="17"/>
      <c r="D2057" s="85"/>
      <c r="E2057" s="17"/>
      <c r="F2057" s="17"/>
      <c r="G2057" s="17"/>
      <c r="I2057" s="17"/>
      <c r="K2057" s="17"/>
      <c r="L2057" s="17"/>
      <c r="M2057" s="17"/>
      <c r="O2057" s="14">
        <f t="shared" si="1"/>
        <v>0</v>
      </c>
      <c r="P2057" s="86" t="str">
        <f t="array" ref="P2057">iferror(XLOOKUP(C2057,'Download of SFDC Activation Rep'!B:B,'Download of SFDC Activation Rep'!Z:Z),"")</f>
        <v/>
      </c>
      <c r="Q2057" s="86" t="str">
        <f t="shared" si="2"/>
        <v/>
      </c>
      <c r="R2057" s="13" t="str">
        <f t="shared" si="3"/>
        <v>Yes</v>
      </c>
      <c r="S2057" s="86" t="str">
        <f t="array" ref="S2057">iferror(XLOOKUP(C2057,'Download of SFDC Activation Rep'!B:B,'Download of SFDC Activation Rep'!Y:Y),"")</f>
        <v/>
      </c>
    </row>
    <row r="2058">
      <c r="A2058" s="17"/>
      <c r="B2058" s="85"/>
      <c r="C2058" s="17"/>
      <c r="D2058" s="85"/>
      <c r="E2058" s="17"/>
      <c r="F2058" s="17"/>
      <c r="G2058" s="17"/>
      <c r="I2058" s="17"/>
      <c r="K2058" s="17"/>
      <c r="L2058" s="17"/>
      <c r="M2058" s="17"/>
      <c r="O2058" s="14">
        <f t="shared" si="1"/>
        <v>0</v>
      </c>
      <c r="P2058" s="86" t="str">
        <f t="array" ref="P2058">iferror(XLOOKUP(C2058,'Download of SFDC Activation Rep'!B:B,'Download of SFDC Activation Rep'!Z:Z),"")</f>
        <v/>
      </c>
      <c r="Q2058" s="86" t="str">
        <f t="shared" si="2"/>
        <v/>
      </c>
      <c r="R2058" s="13" t="str">
        <f t="shared" si="3"/>
        <v>Yes</v>
      </c>
      <c r="S2058" s="86" t="str">
        <f t="array" ref="S2058">iferror(XLOOKUP(C2058,'Download of SFDC Activation Rep'!B:B,'Download of SFDC Activation Rep'!Y:Y),"")</f>
        <v/>
      </c>
    </row>
    <row r="2059">
      <c r="A2059" s="17"/>
      <c r="B2059" s="85"/>
      <c r="C2059" s="17"/>
      <c r="D2059" s="85"/>
      <c r="E2059" s="17"/>
      <c r="F2059" s="17"/>
      <c r="G2059" s="17"/>
      <c r="I2059" s="17"/>
      <c r="K2059" s="17"/>
      <c r="L2059" s="17"/>
      <c r="M2059" s="17"/>
      <c r="O2059" s="14">
        <f t="shared" si="1"/>
        <v>0</v>
      </c>
      <c r="P2059" s="86" t="str">
        <f t="array" ref="P2059">iferror(XLOOKUP(C2059,'Download of SFDC Activation Rep'!B:B,'Download of SFDC Activation Rep'!Z:Z),"")</f>
        <v/>
      </c>
      <c r="Q2059" s="86" t="str">
        <f t="shared" si="2"/>
        <v/>
      </c>
      <c r="R2059" s="13" t="str">
        <f t="shared" si="3"/>
        <v>Yes</v>
      </c>
      <c r="S2059" s="86" t="str">
        <f t="array" ref="S2059">iferror(XLOOKUP(C2059,'Download of SFDC Activation Rep'!B:B,'Download of SFDC Activation Rep'!Y:Y),"")</f>
        <v/>
      </c>
    </row>
    <row r="2060">
      <c r="A2060" s="17"/>
      <c r="B2060" s="85"/>
      <c r="C2060" s="17"/>
      <c r="D2060" s="85"/>
      <c r="E2060" s="17"/>
      <c r="F2060" s="17"/>
      <c r="G2060" s="17"/>
      <c r="I2060" s="17"/>
      <c r="K2060" s="17"/>
      <c r="L2060" s="17"/>
      <c r="M2060" s="17"/>
      <c r="O2060" s="14">
        <f t="shared" si="1"/>
        <v>0</v>
      </c>
      <c r="P2060" s="86" t="str">
        <f t="array" ref="P2060">iferror(XLOOKUP(C2060,'Download of SFDC Activation Rep'!B:B,'Download of SFDC Activation Rep'!Z:Z),"")</f>
        <v/>
      </c>
      <c r="Q2060" s="86" t="str">
        <f t="shared" si="2"/>
        <v/>
      </c>
      <c r="R2060" s="13" t="str">
        <f t="shared" si="3"/>
        <v>Yes</v>
      </c>
      <c r="S2060" s="86" t="str">
        <f t="array" ref="S2060">iferror(XLOOKUP(C2060,'Download of SFDC Activation Rep'!B:B,'Download of SFDC Activation Rep'!Y:Y),"")</f>
        <v/>
      </c>
    </row>
    <row r="2061">
      <c r="A2061" s="17"/>
      <c r="B2061" s="85"/>
      <c r="C2061" s="17"/>
      <c r="D2061" s="85"/>
      <c r="E2061" s="17"/>
      <c r="F2061" s="17"/>
      <c r="G2061" s="17"/>
      <c r="I2061" s="17"/>
      <c r="K2061" s="17"/>
      <c r="L2061" s="17"/>
      <c r="M2061" s="17"/>
      <c r="O2061" s="14">
        <f t="shared" si="1"/>
        <v>0</v>
      </c>
      <c r="P2061" s="86" t="str">
        <f t="array" ref="P2061">iferror(XLOOKUP(C2061,'Download of SFDC Activation Rep'!B:B,'Download of SFDC Activation Rep'!Z:Z),"")</f>
        <v/>
      </c>
      <c r="Q2061" s="86" t="str">
        <f t="shared" si="2"/>
        <v/>
      </c>
      <c r="R2061" s="13" t="str">
        <f t="shared" si="3"/>
        <v>Yes</v>
      </c>
      <c r="S2061" s="86" t="str">
        <f t="array" ref="S2061">iferror(XLOOKUP(C2061,'Download of SFDC Activation Rep'!B:B,'Download of SFDC Activation Rep'!Y:Y),"")</f>
        <v/>
      </c>
    </row>
    <row r="2062">
      <c r="A2062" s="17"/>
      <c r="B2062" s="85"/>
      <c r="C2062" s="17"/>
      <c r="D2062" s="85"/>
      <c r="E2062" s="17"/>
      <c r="F2062" s="17"/>
      <c r="G2062" s="17"/>
      <c r="I2062" s="17"/>
      <c r="K2062" s="17"/>
      <c r="L2062" s="17"/>
      <c r="M2062" s="17"/>
      <c r="O2062" s="14">
        <f t="shared" si="1"/>
        <v>0</v>
      </c>
      <c r="P2062" s="86" t="str">
        <f t="array" ref="P2062">iferror(XLOOKUP(C2062,'Download of SFDC Activation Rep'!B:B,'Download of SFDC Activation Rep'!Z:Z),"")</f>
        <v/>
      </c>
      <c r="Q2062" s="86" t="str">
        <f t="shared" si="2"/>
        <v/>
      </c>
      <c r="R2062" s="13" t="str">
        <f t="shared" si="3"/>
        <v>Yes</v>
      </c>
      <c r="S2062" s="86" t="str">
        <f t="array" ref="S2062">iferror(XLOOKUP(C2062,'Download of SFDC Activation Rep'!B:B,'Download of SFDC Activation Rep'!Y:Y),"")</f>
        <v/>
      </c>
    </row>
    <row r="2063">
      <c r="A2063" s="17"/>
      <c r="B2063" s="85"/>
      <c r="C2063" s="17"/>
      <c r="D2063" s="85"/>
      <c r="E2063" s="17"/>
      <c r="F2063" s="17"/>
      <c r="G2063" s="17"/>
      <c r="I2063" s="17"/>
      <c r="K2063" s="17"/>
      <c r="L2063" s="17"/>
      <c r="M2063" s="17"/>
      <c r="O2063" s="14">
        <f t="shared" si="1"/>
        <v>0</v>
      </c>
      <c r="P2063" s="86" t="str">
        <f t="array" ref="P2063">iferror(XLOOKUP(C2063,'Download of SFDC Activation Rep'!B:B,'Download of SFDC Activation Rep'!Z:Z),"")</f>
        <v/>
      </c>
      <c r="Q2063" s="86" t="str">
        <f t="shared" si="2"/>
        <v/>
      </c>
      <c r="R2063" s="13" t="str">
        <f t="shared" si="3"/>
        <v>Yes</v>
      </c>
      <c r="S2063" s="86" t="str">
        <f t="array" ref="S2063">iferror(XLOOKUP(C2063,'Download of SFDC Activation Rep'!B:B,'Download of SFDC Activation Rep'!Y:Y),"")</f>
        <v/>
      </c>
    </row>
    <row r="2064">
      <c r="A2064" s="17"/>
      <c r="B2064" s="85"/>
      <c r="C2064" s="17"/>
      <c r="D2064" s="85"/>
      <c r="E2064" s="17"/>
      <c r="F2064" s="17"/>
      <c r="G2064" s="17"/>
      <c r="I2064" s="17"/>
      <c r="K2064" s="17"/>
      <c r="L2064" s="17"/>
      <c r="M2064" s="17"/>
      <c r="O2064" s="14">
        <f t="shared" si="1"/>
        <v>0</v>
      </c>
      <c r="P2064" s="86" t="str">
        <f t="array" ref="P2064">iferror(XLOOKUP(C2064,'Download of SFDC Activation Rep'!B:B,'Download of SFDC Activation Rep'!Z:Z),"")</f>
        <v/>
      </c>
      <c r="Q2064" s="86" t="str">
        <f t="shared" si="2"/>
        <v/>
      </c>
      <c r="R2064" s="13" t="str">
        <f t="shared" si="3"/>
        <v>Yes</v>
      </c>
      <c r="S2064" s="86" t="str">
        <f t="array" ref="S2064">iferror(XLOOKUP(C2064,'Download of SFDC Activation Rep'!B:B,'Download of SFDC Activation Rep'!Y:Y),"")</f>
        <v/>
      </c>
    </row>
    <row r="2065">
      <c r="A2065" s="17"/>
      <c r="B2065" s="85"/>
      <c r="C2065" s="17"/>
      <c r="D2065" s="85"/>
      <c r="E2065" s="17"/>
      <c r="F2065" s="17"/>
      <c r="G2065" s="17"/>
      <c r="I2065" s="17"/>
      <c r="K2065" s="17"/>
      <c r="L2065" s="17"/>
      <c r="M2065" s="17"/>
      <c r="O2065" s="14">
        <f t="shared" si="1"/>
        <v>0</v>
      </c>
      <c r="P2065" s="86" t="str">
        <f t="array" ref="P2065">iferror(XLOOKUP(C2065,'Download of SFDC Activation Rep'!B:B,'Download of SFDC Activation Rep'!Z:Z),"")</f>
        <v/>
      </c>
      <c r="Q2065" s="86" t="str">
        <f t="shared" si="2"/>
        <v/>
      </c>
      <c r="R2065" s="13" t="str">
        <f t="shared" si="3"/>
        <v>Yes</v>
      </c>
      <c r="S2065" s="86" t="str">
        <f t="array" ref="S2065">iferror(XLOOKUP(C2065,'Download of SFDC Activation Rep'!B:B,'Download of SFDC Activation Rep'!Y:Y),"")</f>
        <v/>
      </c>
    </row>
    <row r="2066">
      <c r="A2066" s="17"/>
      <c r="B2066" s="85"/>
      <c r="C2066" s="17"/>
      <c r="D2066" s="85"/>
      <c r="E2066" s="17"/>
      <c r="F2066" s="17"/>
      <c r="G2066" s="17"/>
      <c r="I2066" s="17"/>
      <c r="K2066" s="17"/>
      <c r="L2066" s="17"/>
      <c r="M2066" s="17"/>
      <c r="O2066" s="14">
        <f t="shared" si="1"/>
        <v>0</v>
      </c>
      <c r="P2066" s="86" t="str">
        <f t="array" ref="P2066">iferror(XLOOKUP(C2066,'Download of SFDC Activation Rep'!B:B,'Download of SFDC Activation Rep'!Z:Z),"")</f>
        <v/>
      </c>
      <c r="Q2066" s="86" t="str">
        <f t="shared" si="2"/>
        <v/>
      </c>
      <c r="R2066" s="13" t="str">
        <f t="shared" si="3"/>
        <v>Yes</v>
      </c>
      <c r="S2066" s="86" t="str">
        <f t="array" ref="S2066">iferror(XLOOKUP(C2066,'Download of SFDC Activation Rep'!B:B,'Download of SFDC Activation Rep'!Y:Y),"")</f>
        <v/>
      </c>
    </row>
    <row r="2067">
      <c r="A2067" s="17"/>
      <c r="B2067" s="85"/>
      <c r="C2067" s="17"/>
      <c r="D2067" s="85"/>
      <c r="E2067" s="17"/>
      <c r="F2067" s="17"/>
      <c r="G2067" s="17"/>
      <c r="I2067" s="17"/>
      <c r="K2067" s="17"/>
      <c r="L2067" s="17"/>
      <c r="M2067" s="17"/>
      <c r="O2067" s="14">
        <f t="shared" si="1"/>
        <v>0</v>
      </c>
      <c r="P2067" s="86" t="str">
        <f t="array" ref="P2067">iferror(XLOOKUP(C2067,'Download of SFDC Activation Rep'!B:B,'Download of SFDC Activation Rep'!Z:Z),"")</f>
        <v/>
      </c>
      <c r="Q2067" s="86" t="str">
        <f t="shared" si="2"/>
        <v/>
      </c>
      <c r="R2067" s="13" t="str">
        <f t="shared" si="3"/>
        <v>Yes</v>
      </c>
      <c r="S2067" s="86" t="str">
        <f t="array" ref="S2067">iferror(XLOOKUP(C2067,'Download of SFDC Activation Rep'!B:B,'Download of SFDC Activation Rep'!Y:Y),"")</f>
        <v/>
      </c>
    </row>
    <row r="2068">
      <c r="A2068" s="17"/>
      <c r="B2068" s="85"/>
      <c r="C2068" s="17"/>
      <c r="D2068" s="85"/>
      <c r="E2068" s="17"/>
      <c r="F2068" s="17"/>
      <c r="G2068" s="17"/>
      <c r="I2068" s="17"/>
      <c r="K2068" s="17"/>
      <c r="L2068" s="17"/>
      <c r="M2068" s="17"/>
      <c r="O2068" s="14">
        <f t="shared" si="1"/>
        <v>0</v>
      </c>
      <c r="P2068" s="86" t="str">
        <f t="array" ref="P2068">iferror(XLOOKUP(C2068,'Download of SFDC Activation Rep'!B:B,'Download of SFDC Activation Rep'!Z:Z),"")</f>
        <v/>
      </c>
      <c r="Q2068" s="86" t="str">
        <f t="shared" si="2"/>
        <v/>
      </c>
      <c r="R2068" s="13" t="str">
        <f t="shared" si="3"/>
        <v>Yes</v>
      </c>
      <c r="S2068" s="86" t="str">
        <f t="array" ref="S2068">iferror(XLOOKUP(C2068,'Download of SFDC Activation Rep'!B:B,'Download of SFDC Activation Rep'!Y:Y),"")</f>
        <v/>
      </c>
    </row>
    <row r="2069">
      <c r="A2069" s="17"/>
      <c r="B2069" s="85"/>
      <c r="C2069" s="17"/>
      <c r="D2069" s="85"/>
      <c r="E2069" s="17"/>
      <c r="F2069" s="17"/>
      <c r="G2069" s="17"/>
      <c r="I2069" s="17"/>
      <c r="K2069" s="17"/>
      <c r="L2069" s="17"/>
      <c r="M2069" s="17"/>
      <c r="O2069" s="14">
        <f t="shared" si="1"/>
        <v>0</v>
      </c>
      <c r="P2069" s="86" t="str">
        <f t="array" ref="P2069">iferror(XLOOKUP(C2069,'Download of SFDC Activation Rep'!B:B,'Download of SFDC Activation Rep'!Z:Z),"")</f>
        <v/>
      </c>
      <c r="Q2069" s="86" t="str">
        <f t="shared" si="2"/>
        <v/>
      </c>
      <c r="R2069" s="13" t="str">
        <f t="shared" si="3"/>
        <v>Yes</v>
      </c>
      <c r="S2069" s="86" t="str">
        <f t="array" ref="S2069">iferror(XLOOKUP(C2069,'Download of SFDC Activation Rep'!B:B,'Download of SFDC Activation Rep'!Y:Y),"")</f>
        <v/>
      </c>
    </row>
    <row r="2070">
      <c r="A2070" s="17"/>
      <c r="B2070" s="85"/>
      <c r="C2070" s="17"/>
      <c r="D2070" s="85"/>
      <c r="E2070" s="17"/>
      <c r="F2070" s="17"/>
      <c r="G2070" s="17"/>
      <c r="I2070" s="17"/>
      <c r="K2070" s="17"/>
      <c r="L2070" s="17"/>
      <c r="M2070" s="17"/>
      <c r="O2070" s="14">
        <f t="shared" si="1"/>
        <v>0</v>
      </c>
      <c r="P2070" s="86" t="str">
        <f t="array" ref="P2070">iferror(XLOOKUP(C2070,'Download of SFDC Activation Rep'!B:B,'Download of SFDC Activation Rep'!Z:Z),"")</f>
        <v/>
      </c>
      <c r="Q2070" s="86" t="str">
        <f t="shared" si="2"/>
        <v/>
      </c>
      <c r="R2070" s="13" t="str">
        <f t="shared" si="3"/>
        <v>Yes</v>
      </c>
      <c r="S2070" s="86" t="str">
        <f t="array" ref="S2070">iferror(XLOOKUP(C2070,'Download of SFDC Activation Rep'!B:B,'Download of SFDC Activation Rep'!Y:Y),"")</f>
        <v/>
      </c>
    </row>
    <row r="2071">
      <c r="A2071" s="17"/>
      <c r="B2071" s="85"/>
      <c r="C2071" s="17"/>
      <c r="D2071" s="85"/>
      <c r="E2071" s="17"/>
      <c r="F2071" s="17"/>
      <c r="G2071" s="17"/>
      <c r="I2071" s="17"/>
      <c r="K2071" s="17"/>
      <c r="L2071" s="17"/>
      <c r="M2071" s="17"/>
      <c r="O2071" s="14">
        <f t="shared" si="1"/>
        <v>0</v>
      </c>
      <c r="P2071" s="86" t="str">
        <f t="array" ref="P2071">iferror(XLOOKUP(C2071,'Download of SFDC Activation Rep'!B:B,'Download of SFDC Activation Rep'!Z:Z),"")</f>
        <v/>
      </c>
      <c r="Q2071" s="86" t="str">
        <f t="shared" si="2"/>
        <v/>
      </c>
      <c r="R2071" s="13" t="str">
        <f t="shared" si="3"/>
        <v>Yes</v>
      </c>
      <c r="S2071" s="86" t="str">
        <f t="array" ref="S2071">iferror(XLOOKUP(C2071,'Download of SFDC Activation Rep'!B:B,'Download of SFDC Activation Rep'!Y:Y),"")</f>
        <v/>
      </c>
    </row>
    <row r="2072">
      <c r="A2072" s="17"/>
      <c r="B2072" s="85"/>
      <c r="C2072" s="17"/>
      <c r="D2072" s="85"/>
      <c r="E2072" s="17"/>
      <c r="F2072" s="17"/>
      <c r="G2072" s="17"/>
      <c r="I2072" s="17"/>
      <c r="K2072" s="17"/>
      <c r="L2072" s="17"/>
      <c r="M2072" s="17"/>
      <c r="O2072" s="14">
        <f t="shared" si="1"/>
        <v>0</v>
      </c>
      <c r="P2072" s="86" t="str">
        <f t="array" ref="P2072">iferror(XLOOKUP(C2072,'Download of SFDC Activation Rep'!B:B,'Download of SFDC Activation Rep'!Z:Z),"")</f>
        <v/>
      </c>
      <c r="Q2072" s="86" t="str">
        <f t="shared" si="2"/>
        <v/>
      </c>
      <c r="R2072" s="13" t="str">
        <f t="shared" si="3"/>
        <v>Yes</v>
      </c>
      <c r="S2072" s="86" t="str">
        <f t="array" ref="S2072">iferror(XLOOKUP(C2072,'Download of SFDC Activation Rep'!B:B,'Download of SFDC Activation Rep'!Y:Y),"")</f>
        <v/>
      </c>
    </row>
    <row r="2073">
      <c r="A2073" s="17"/>
      <c r="B2073" s="85"/>
      <c r="C2073" s="17"/>
      <c r="D2073" s="85"/>
      <c r="E2073" s="17"/>
      <c r="F2073" s="17"/>
      <c r="G2073" s="17"/>
      <c r="I2073" s="17"/>
      <c r="K2073" s="17"/>
      <c r="L2073" s="17"/>
      <c r="M2073" s="17"/>
      <c r="O2073" s="14">
        <f t="shared" si="1"/>
        <v>0</v>
      </c>
      <c r="P2073" s="86" t="str">
        <f t="array" ref="P2073">iferror(XLOOKUP(C2073,'Download of SFDC Activation Rep'!B:B,'Download of SFDC Activation Rep'!Z:Z),"")</f>
        <v/>
      </c>
      <c r="Q2073" s="86" t="str">
        <f t="shared" si="2"/>
        <v/>
      </c>
      <c r="R2073" s="13" t="str">
        <f t="shared" si="3"/>
        <v>Yes</v>
      </c>
      <c r="S2073" s="86" t="str">
        <f t="array" ref="S2073">iferror(XLOOKUP(C2073,'Download of SFDC Activation Rep'!B:B,'Download of SFDC Activation Rep'!Y:Y),"")</f>
        <v/>
      </c>
    </row>
    <row r="2074">
      <c r="A2074" s="17"/>
      <c r="B2074" s="85"/>
      <c r="C2074" s="17"/>
      <c r="D2074" s="85"/>
      <c r="E2074" s="17"/>
      <c r="F2074" s="17"/>
      <c r="G2074" s="17"/>
      <c r="I2074" s="17"/>
      <c r="K2074" s="17"/>
      <c r="L2074" s="17"/>
      <c r="M2074" s="17"/>
      <c r="O2074" s="14">
        <f t="shared" si="1"/>
        <v>0</v>
      </c>
      <c r="P2074" s="86" t="str">
        <f t="array" ref="P2074">iferror(XLOOKUP(C2074,'Download of SFDC Activation Rep'!B:B,'Download of SFDC Activation Rep'!Z:Z),"")</f>
        <v/>
      </c>
      <c r="Q2074" s="86" t="str">
        <f t="shared" si="2"/>
        <v/>
      </c>
      <c r="R2074" s="13" t="str">
        <f t="shared" si="3"/>
        <v>Yes</v>
      </c>
      <c r="S2074" s="86" t="str">
        <f t="array" ref="S2074">iferror(XLOOKUP(C2074,'Download of SFDC Activation Rep'!B:B,'Download of SFDC Activation Rep'!Y:Y),"")</f>
        <v/>
      </c>
    </row>
    <row r="2075">
      <c r="A2075" s="17"/>
      <c r="B2075" s="85"/>
      <c r="C2075" s="17"/>
      <c r="D2075" s="85"/>
      <c r="E2075" s="17"/>
      <c r="F2075" s="17"/>
      <c r="G2075" s="17"/>
      <c r="I2075" s="17"/>
      <c r="K2075" s="17"/>
      <c r="L2075" s="17"/>
      <c r="M2075" s="17"/>
      <c r="O2075" s="14">
        <f t="shared" si="1"/>
        <v>0</v>
      </c>
      <c r="P2075" s="86" t="str">
        <f t="array" ref="P2075">iferror(XLOOKUP(C2075,'Download of SFDC Activation Rep'!B:B,'Download of SFDC Activation Rep'!Z:Z),"")</f>
        <v/>
      </c>
      <c r="Q2075" s="86" t="str">
        <f t="shared" si="2"/>
        <v/>
      </c>
      <c r="R2075" s="13" t="str">
        <f t="shared" si="3"/>
        <v>Yes</v>
      </c>
      <c r="S2075" s="86" t="str">
        <f t="array" ref="S2075">iferror(XLOOKUP(C2075,'Download of SFDC Activation Rep'!B:B,'Download of SFDC Activation Rep'!Y:Y),"")</f>
        <v/>
      </c>
    </row>
    <row r="2076">
      <c r="A2076" s="17"/>
      <c r="B2076" s="85"/>
      <c r="C2076" s="17"/>
      <c r="D2076" s="85"/>
      <c r="E2076" s="17"/>
      <c r="F2076" s="17"/>
      <c r="G2076" s="17"/>
      <c r="I2076" s="17"/>
      <c r="K2076" s="17"/>
      <c r="L2076" s="17"/>
      <c r="M2076" s="17"/>
      <c r="O2076" s="14">
        <f t="shared" si="1"/>
        <v>0</v>
      </c>
      <c r="P2076" s="86" t="str">
        <f t="array" ref="P2076">iferror(XLOOKUP(C2076,'Download of SFDC Activation Rep'!B:B,'Download of SFDC Activation Rep'!Z:Z),"")</f>
        <v/>
      </c>
      <c r="Q2076" s="86" t="str">
        <f t="shared" si="2"/>
        <v/>
      </c>
      <c r="R2076" s="13" t="str">
        <f t="shared" si="3"/>
        <v>Yes</v>
      </c>
      <c r="S2076" s="86" t="str">
        <f t="array" ref="S2076">iferror(XLOOKUP(C2076,'Download of SFDC Activation Rep'!B:B,'Download of SFDC Activation Rep'!Y:Y),"")</f>
        <v/>
      </c>
    </row>
    <row r="2077">
      <c r="A2077" s="17"/>
      <c r="B2077" s="85"/>
      <c r="C2077" s="17"/>
      <c r="D2077" s="85"/>
      <c r="E2077" s="17"/>
      <c r="F2077" s="17"/>
      <c r="G2077" s="17"/>
      <c r="I2077" s="17"/>
      <c r="K2077" s="17"/>
      <c r="L2077" s="17"/>
      <c r="M2077" s="17"/>
      <c r="O2077" s="14">
        <f t="shared" si="1"/>
        <v>0</v>
      </c>
      <c r="P2077" s="86" t="str">
        <f t="array" ref="P2077">iferror(XLOOKUP(C2077,'Download of SFDC Activation Rep'!B:B,'Download of SFDC Activation Rep'!Z:Z),"")</f>
        <v/>
      </c>
      <c r="Q2077" s="86" t="str">
        <f t="shared" si="2"/>
        <v/>
      </c>
      <c r="R2077" s="13" t="str">
        <f t="shared" si="3"/>
        <v>Yes</v>
      </c>
      <c r="S2077" s="86" t="str">
        <f t="array" ref="S2077">iferror(XLOOKUP(C2077,'Download of SFDC Activation Rep'!B:B,'Download of SFDC Activation Rep'!Y:Y),"")</f>
        <v/>
      </c>
    </row>
    <row r="2078">
      <c r="A2078" s="17"/>
      <c r="B2078" s="85"/>
      <c r="C2078" s="17"/>
      <c r="D2078" s="85"/>
      <c r="E2078" s="17"/>
      <c r="F2078" s="17"/>
      <c r="G2078" s="17"/>
      <c r="I2078" s="17"/>
      <c r="K2078" s="17"/>
      <c r="L2078" s="17"/>
      <c r="M2078" s="17"/>
      <c r="O2078" s="14">
        <f t="shared" si="1"/>
        <v>0</v>
      </c>
      <c r="P2078" s="86" t="str">
        <f t="array" ref="P2078">iferror(XLOOKUP(C2078,'Download of SFDC Activation Rep'!B:B,'Download of SFDC Activation Rep'!Z:Z),"")</f>
        <v/>
      </c>
      <c r="Q2078" s="86" t="str">
        <f t="shared" si="2"/>
        <v/>
      </c>
      <c r="R2078" s="13" t="str">
        <f t="shared" si="3"/>
        <v>Yes</v>
      </c>
      <c r="S2078" s="86" t="str">
        <f t="array" ref="S2078">iferror(XLOOKUP(C2078,'Download of SFDC Activation Rep'!B:B,'Download of SFDC Activation Rep'!Y:Y),"")</f>
        <v/>
      </c>
    </row>
    <row r="2079">
      <c r="A2079" s="17"/>
      <c r="B2079" s="85"/>
      <c r="C2079" s="17"/>
      <c r="D2079" s="85"/>
      <c r="E2079" s="17"/>
      <c r="F2079" s="17"/>
      <c r="G2079" s="17"/>
      <c r="I2079" s="17"/>
      <c r="K2079" s="17"/>
      <c r="L2079" s="17"/>
      <c r="M2079" s="17"/>
      <c r="O2079" s="14">
        <f t="shared" si="1"/>
        <v>0</v>
      </c>
      <c r="P2079" s="86" t="str">
        <f t="array" ref="P2079">iferror(XLOOKUP(C2079,'Download of SFDC Activation Rep'!B:B,'Download of SFDC Activation Rep'!Z:Z),"")</f>
        <v/>
      </c>
      <c r="Q2079" s="86" t="str">
        <f t="shared" si="2"/>
        <v/>
      </c>
      <c r="R2079" s="13" t="str">
        <f t="shared" si="3"/>
        <v>Yes</v>
      </c>
      <c r="S2079" s="86" t="str">
        <f t="array" ref="S2079">iferror(XLOOKUP(C2079,'Download of SFDC Activation Rep'!B:B,'Download of SFDC Activation Rep'!Y:Y),"")</f>
        <v/>
      </c>
    </row>
    <row r="2080">
      <c r="A2080" s="17"/>
      <c r="B2080" s="85"/>
      <c r="C2080" s="17"/>
      <c r="D2080" s="85"/>
      <c r="E2080" s="17"/>
      <c r="F2080" s="17"/>
      <c r="G2080" s="17"/>
      <c r="I2080" s="17"/>
      <c r="K2080" s="17"/>
      <c r="L2080" s="17"/>
      <c r="M2080" s="17"/>
      <c r="O2080" s="14">
        <f t="shared" si="1"/>
        <v>0</v>
      </c>
      <c r="P2080" s="86" t="str">
        <f t="array" ref="P2080">iferror(XLOOKUP(C2080,'Download of SFDC Activation Rep'!B:B,'Download of SFDC Activation Rep'!Z:Z),"")</f>
        <v/>
      </c>
      <c r="Q2080" s="86" t="str">
        <f t="shared" si="2"/>
        <v/>
      </c>
      <c r="R2080" s="13" t="str">
        <f t="shared" si="3"/>
        <v>Yes</v>
      </c>
      <c r="S2080" s="86" t="str">
        <f t="array" ref="S2080">iferror(XLOOKUP(C2080,'Download of SFDC Activation Rep'!B:B,'Download of SFDC Activation Rep'!Y:Y),"")</f>
        <v/>
      </c>
    </row>
    <row r="2081">
      <c r="A2081" s="17"/>
      <c r="B2081" s="85"/>
      <c r="C2081" s="17"/>
      <c r="D2081" s="85"/>
      <c r="E2081" s="17"/>
      <c r="F2081" s="17"/>
      <c r="G2081" s="17"/>
      <c r="I2081" s="17"/>
      <c r="K2081" s="17"/>
      <c r="L2081" s="17"/>
      <c r="M2081" s="17"/>
      <c r="O2081" s="14">
        <f t="shared" si="1"/>
        <v>0</v>
      </c>
      <c r="P2081" s="86" t="str">
        <f t="array" ref="P2081">iferror(XLOOKUP(C2081,'Download of SFDC Activation Rep'!B:B,'Download of SFDC Activation Rep'!Z:Z),"")</f>
        <v/>
      </c>
      <c r="Q2081" s="86" t="str">
        <f t="shared" si="2"/>
        <v/>
      </c>
      <c r="R2081" s="13" t="str">
        <f t="shared" si="3"/>
        <v>Yes</v>
      </c>
      <c r="S2081" s="86" t="str">
        <f t="array" ref="S2081">iferror(XLOOKUP(C2081,'Download of SFDC Activation Rep'!B:B,'Download of SFDC Activation Rep'!Y:Y),"")</f>
        <v/>
      </c>
    </row>
    <row r="2082">
      <c r="A2082" s="17"/>
      <c r="B2082" s="85"/>
      <c r="C2082" s="17"/>
      <c r="D2082" s="85"/>
      <c r="E2082" s="17"/>
      <c r="F2082" s="17"/>
      <c r="G2082" s="17"/>
      <c r="I2082" s="17"/>
      <c r="K2082" s="17"/>
      <c r="L2082" s="17"/>
      <c r="M2082" s="17"/>
      <c r="O2082" s="14">
        <f t="shared" si="1"/>
        <v>0</v>
      </c>
      <c r="P2082" s="86" t="str">
        <f t="array" ref="P2082">iferror(XLOOKUP(C2082,'Download of SFDC Activation Rep'!B:B,'Download of SFDC Activation Rep'!Z:Z),"")</f>
        <v/>
      </c>
      <c r="Q2082" s="86" t="str">
        <f t="shared" si="2"/>
        <v/>
      </c>
      <c r="R2082" s="13" t="str">
        <f t="shared" si="3"/>
        <v>Yes</v>
      </c>
      <c r="S2082" s="86" t="str">
        <f t="array" ref="S2082">iferror(XLOOKUP(C2082,'Download of SFDC Activation Rep'!B:B,'Download of SFDC Activation Rep'!Y:Y),"")</f>
        <v/>
      </c>
    </row>
    <row r="2083">
      <c r="A2083" s="17"/>
      <c r="B2083" s="85"/>
      <c r="C2083" s="17"/>
      <c r="D2083" s="85"/>
      <c r="E2083" s="17"/>
      <c r="F2083" s="17"/>
      <c r="G2083" s="17"/>
      <c r="I2083" s="17"/>
      <c r="K2083" s="17"/>
      <c r="L2083" s="17"/>
      <c r="M2083" s="17"/>
      <c r="O2083" s="14">
        <f t="shared" si="1"/>
        <v>0</v>
      </c>
      <c r="P2083" s="86" t="str">
        <f t="array" ref="P2083">iferror(XLOOKUP(C2083,'Download of SFDC Activation Rep'!B:B,'Download of SFDC Activation Rep'!Z:Z),"")</f>
        <v/>
      </c>
      <c r="Q2083" s="86" t="str">
        <f t="shared" si="2"/>
        <v/>
      </c>
      <c r="R2083" s="13" t="str">
        <f t="shared" si="3"/>
        <v>Yes</v>
      </c>
      <c r="S2083" s="86" t="str">
        <f t="array" ref="S2083">iferror(XLOOKUP(C2083,'Download of SFDC Activation Rep'!B:B,'Download of SFDC Activation Rep'!Y:Y),"")</f>
        <v/>
      </c>
    </row>
    <row r="2084">
      <c r="A2084" s="17"/>
      <c r="B2084" s="85"/>
      <c r="C2084" s="17"/>
      <c r="D2084" s="85"/>
      <c r="E2084" s="17"/>
      <c r="F2084" s="17"/>
      <c r="G2084" s="17"/>
      <c r="I2084" s="17"/>
      <c r="K2084" s="17"/>
      <c r="L2084" s="17"/>
      <c r="M2084" s="17"/>
      <c r="O2084" s="14">
        <f t="shared" si="1"/>
        <v>0</v>
      </c>
      <c r="P2084" s="86" t="str">
        <f t="array" ref="P2084">iferror(XLOOKUP(C2084,'Download of SFDC Activation Rep'!B:B,'Download of SFDC Activation Rep'!Z:Z),"")</f>
        <v/>
      </c>
      <c r="Q2084" s="86" t="str">
        <f t="shared" si="2"/>
        <v/>
      </c>
      <c r="R2084" s="13" t="str">
        <f t="shared" si="3"/>
        <v>Yes</v>
      </c>
      <c r="S2084" s="86" t="str">
        <f t="array" ref="S2084">iferror(XLOOKUP(C2084,'Download of SFDC Activation Rep'!B:B,'Download of SFDC Activation Rep'!Y:Y),"")</f>
        <v/>
      </c>
    </row>
    <row r="2085">
      <c r="A2085" s="17"/>
      <c r="B2085" s="85"/>
      <c r="C2085" s="17"/>
      <c r="D2085" s="85"/>
      <c r="E2085" s="17"/>
      <c r="F2085" s="17"/>
      <c r="G2085" s="17"/>
      <c r="I2085" s="17"/>
      <c r="K2085" s="17"/>
      <c r="L2085" s="17"/>
      <c r="M2085" s="17"/>
      <c r="O2085" s="14">
        <f t="shared" si="1"/>
        <v>0</v>
      </c>
      <c r="P2085" s="86" t="str">
        <f t="array" ref="P2085">iferror(XLOOKUP(C2085,'Download of SFDC Activation Rep'!B:B,'Download of SFDC Activation Rep'!Z:Z),"")</f>
        <v/>
      </c>
      <c r="Q2085" s="86" t="str">
        <f t="shared" si="2"/>
        <v/>
      </c>
      <c r="R2085" s="13" t="str">
        <f t="shared" si="3"/>
        <v>Yes</v>
      </c>
      <c r="S2085" s="86" t="str">
        <f t="array" ref="S2085">iferror(XLOOKUP(C2085,'Download of SFDC Activation Rep'!B:B,'Download of SFDC Activation Rep'!Y:Y),"")</f>
        <v/>
      </c>
    </row>
    <row r="2086">
      <c r="A2086" s="17"/>
      <c r="B2086" s="85"/>
      <c r="C2086" s="17"/>
      <c r="D2086" s="85"/>
      <c r="E2086" s="17"/>
      <c r="F2086" s="17"/>
      <c r="G2086" s="17"/>
      <c r="I2086" s="17"/>
      <c r="K2086" s="17"/>
      <c r="L2086" s="17"/>
      <c r="M2086" s="17"/>
      <c r="O2086" s="14">
        <f t="shared" si="1"/>
        <v>0</v>
      </c>
      <c r="P2086" s="86" t="str">
        <f t="array" ref="P2086">iferror(XLOOKUP(C2086,'Download of SFDC Activation Rep'!B:B,'Download of SFDC Activation Rep'!Z:Z),"")</f>
        <v/>
      </c>
      <c r="Q2086" s="86" t="str">
        <f t="shared" si="2"/>
        <v/>
      </c>
      <c r="R2086" s="13" t="str">
        <f t="shared" si="3"/>
        <v>Yes</v>
      </c>
      <c r="S2086" s="86" t="str">
        <f t="array" ref="S2086">iferror(XLOOKUP(C2086,'Download of SFDC Activation Rep'!B:B,'Download of SFDC Activation Rep'!Y:Y),"")</f>
        <v/>
      </c>
    </row>
    <row r="2087">
      <c r="A2087" s="17"/>
      <c r="B2087" s="85"/>
      <c r="C2087" s="17"/>
      <c r="D2087" s="85"/>
      <c r="E2087" s="17"/>
      <c r="F2087" s="17"/>
      <c r="G2087" s="17"/>
      <c r="I2087" s="17"/>
      <c r="K2087" s="17"/>
      <c r="L2087" s="17"/>
      <c r="M2087" s="17"/>
      <c r="O2087" s="14">
        <f t="shared" si="1"/>
        <v>0</v>
      </c>
      <c r="P2087" s="86" t="str">
        <f t="array" ref="P2087">iferror(XLOOKUP(C2087,'Download of SFDC Activation Rep'!B:B,'Download of SFDC Activation Rep'!Z:Z),"")</f>
        <v/>
      </c>
      <c r="Q2087" s="86" t="str">
        <f t="shared" si="2"/>
        <v/>
      </c>
      <c r="R2087" s="13" t="str">
        <f t="shared" si="3"/>
        <v>Yes</v>
      </c>
      <c r="S2087" s="86" t="str">
        <f t="array" ref="S2087">iferror(XLOOKUP(C2087,'Download of SFDC Activation Rep'!B:B,'Download of SFDC Activation Rep'!Y:Y),"")</f>
        <v/>
      </c>
    </row>
    <row r="2088">
      <c r="A2088" s="17"/>
      <c r="B2088" s="85"/>
      <c r="C2088" s="17"/>
      <c r="D2088" s="85"/>
      <c r="E2088" s="17"/>
      <c r="F2088" s="17"/>
      <c r="G2088" s="17"/>
      <c r="I2088" s="17"/>
      <c r="K2088" s="17"/>
      <c r="L2088" s="17"/>
      <c r="M2088" s="17"/>
      <c r="O2088" s="14">
        <f t="shared" si="1"/>
        <v>0</v>
      </c>
      <c r="P2088" s="86" t="str">
        <f t="array" ref="P2088">iferror(XLOOKUP(C2088,'Download of SFDC Activation Rep'!B:B,'Download of SFDC Activation Rep'!Z:Z),"")</f>
        <v/>
      </c>
      <c r="Q2088" s="86" t="str">
        <f t="shared" si="2"/>
        <v/>
      </c>
      <c r="R2088" s="13" t="str">
        <f t="shared" si="3"/>
        <v>Yes</v>
      </c>
      <c r="S2088" s="86" t="str">
        <f t="array" ref="S2088">iferror(XLOOKUP(C2088,'Download of SFDC Activation Rep'!B:B,'Download of SFDC Activation Rep'!Y:Y),"")</f>
        <v/>
      </c>
    </row>
    <row r="2089">
      <c r="A2089" s="17"/>
      <c r="B2089" s="85"/>
      <c r="C2089" s="17"/>
      <c r="D2089" s="85"/>
      <c r="E2089" s="17"/>
      <c r="F2089" s="17"/>
      <c r="G2089" s="17"/>
      <c r="I2089" s="17"/>
      <c r="K2089" s="17"/>
      <c r="L2089" s="17"/>
      <c r="M2089" s="17"/>
      <c r="O2089" s="14">
        <f t="shared" si="1"/>
        <v>0</v>
      </c>
      <c r="P2089" s="86" t="str">
        <f t="array" ref="P2089">iferror(XLOOKUP(C2089,'Download of SFDC Activation Rep'!B:B,'Download of SFDC Activation Rep'!Z:Z),"")</f>
        <v/>
      </c>
      <c r="Q2089" s="86" t="str">
        <f t="shared" si="2"/>
        <v/>
      </c>
      <c r="R2089" s="13" t="str">
        <f t="shared" si="3"/>
        <v>Yes</v>
      </c>
      <c r="S2089" s="86" t="str">
        <f t="array" ref="S2089">iferror(XLOOKUP(C2089,'Download of SFDC Activation Rep'!B:B,'Download of SFDC Activation Rep'!Y:Y),"")</f>
        <v/>
      </c>
    </row>
    <row r="2090">
      <c r="A2090" s="17"/>
      <c r="B2090" s="85"/>
      <c r="C2090" s="17"/>
      <c r="D2090" s="85"/>
      <c r="E2090" s="17"/>
      <c r="F2090" s="17"/>
      <c r="G2090" s="17"/>
      <c r="I2090" s="17"/>
      <c r="K2090" s="17"/>
      <c r="L2090" s="17"/>
      <c r="M2090" s="17"/>
      <c r="O2090" s="14">
        <f t="shared" si="1"/>
        <v>0</v>
      </c>
      <c r="P2090" s="86" t="str">
        <f t="array" ref="P2090">iferror(XLOOKUP(C2090,'Download of SFDC Activation Rep'!B:B,'Download of SFDC Activation Rep'!Z:Z),"")</f>
        <v/>
      </c>
      <c r="Q2090" s="86" t="str">
        <f t="shared" si="2"/>
        <v/>
      </c>
      <c r="R2090" s="13" t="str">
        <f t="shared" si="3"/>
        <v>Yes</v>
      </c>
      <c r="S2090" s="86" t="str">
        <f t="array" ref="S2090">iferror(XLOOKUP(C2090,'Download of SFDC Activation Rep'!B:B,'Download of SFDC Activation Rep'!Y:Y),"")</f>
        <v/>
      </c>
    </row>
    <row r="2091">
      <c r="A2091" s="17"/>
      <c r="B2091" s="85"/>
      <c r="C2091" s="17"/>
      <c r="D2091" s="85"/>
      <c r="E2091" s="17"/>
      <c r="F2091" s="17"/>
      <c r="G2091" s="17"/>
      <c r="I2091" s="17"/>
      <c r="K2091" s="17"/>
      <c r="L2091" s="17"/>
      <c r="M2091" s="17"/>
      <c r="O2091" s="14">
        <f t="shared" si="1"/>
        <v>0</v>
      </c>
      <c r="P2091" s="86" t="str">
        <f t="array" ref="P2091">iferror(XLOOKUP(C2091,'Download of SFDC Activation Rep'!B:B,'Download of SFDC Activation Rep'!Z:Z),"")</f>
        <v/>
      </c>
      <c r="Q2091" s="86" t="str">
        <f t="shared" si="2"/>
        <v/>
      </c>
      <c r="R2091" s="13" t="str">
        <f t="shared" si="3"/>
        <v>Yes</v>
      </c>
      <c r="S2091" s="86" t="str">
        <f t="array" ref="S2091">iferror(XLOOKUP(C2091,'Download of SFDC Activation Rep'!B:B,'Download of SFDC Activation Rep'!Y:Y),"")</f>
        <v/>
      </c>
    </row>
    <row r="2092">
      <c r="A2092" s="17"/>
      <c r="B2092" s="85"/>
      <c r="C2092" s="17"/>
      <c r="D2092" s="85"/>
      <c r="E2092" s="17"/>
      <c r="F2092" s="17"/>
      <c r="G2092" s="17"/>
      <c r="I2092" s="17"/>
      <c r="K2092" s="17"/>
      <c r="L2092" s="17"/>
      <c r="M2092" s="17"/>
      <c r="O2092" s="14">
        <f t="shared" si="1"/>
        <v>0</v>
      </c>
      <c r="P2092" s="86" t="str">
        <f t="array" ref="P2092">iferror(XLOOKUP(C2092,'Download of SFDC Activation Rep'!B:B,'Download of SFDC Activation Rep'!Z:Z),"")</f>
        <v/>
      </c>
      <c r="Q2092" s="86" t="str">
        <f t="shared" si="2"/>
        <v/>
      </c>
      <c r="R2092" s="13" t="str">
        <f t="shared" si="3"/>
        <v>Yes</v>
      </c>
      <c r="S2092" s="86" t="str">
        <f t="array" ref="S2092">iferror(XLOOKUP(C2092,'Download of SFDC Activation Rep'!B:B,'Download of SFDC Activation Rep'!Y:Y),"")</f>
        <v/>
      </c>
    </row>
    <row r="2093">
      <c r="A2093" s="17"/>
      <c r="B2093" s="85"/>
      <c r="C2093" s="17"/>
      <c r="D2093" s="85"/>
      <c r="E2093" s="17"/>
      <c r="F2093" s="17"/>
      <c r="G2093" s="17"/>
      <c r="I2093" s="17"/>
      <c r="K2093" s="17"/>
      <c r="L2093" s="17"/>
      <c r="M2093" s="17"/>
      <c r="O2093" s="14">
        <f t="shared" si="1"/>
        <v>0</v>
      </c>
      <c r="P2093" s="86" t="str">
        <f t="array" ref="P2093">iferror(XLOOKUP(C2093,'Download of SFDC Activation Rep'!B:B,'Download of SFDC Activation Rep'!Z:Z),"")</f>
        <v/>
      </c>
      <c r="Q2093" s="86" t="str">
        <f t="shared" si="2"/>
        <v/>
      </c>
      <c r="R2093" s="13" t="str">
        <f t="shared" si="3"/>
        <v>Yes</v>
      </c>
      <c r="S2093" s="86" t="str">
        <f t="array" ref="S2093">iferror(XLOOKUP(C2093,'Download of SFDC Activation Rep'!B:B,'Download of SFDC Activation Rep'!Y:Y),"")</f>
        <v/>
      </c>
    </row>
    <row r="2094">
      <c r="A2094" s="17"/>
      <c r="B2094" s="85"/>
      <c r="C2094" s="17"/>
      <c r="D2094" s="85"/>
      <c r="E2094" s="17"/>
      <c r="F2094" s="17"/>
      <c r="G2094" s="17"/>
      <c r="I2094" s="17"/>
      <c r="K2094" s="17"/>
      <c r="L2094" s="17"/>
      <c r="M2094" s="17"/>
      <c r="O2094" s="14">
        <f t="shared" si="1"/>
        <v>0</v>
      </c>
      <c r="P2094" s="86" t="str">
        <f t="array" ref="P2094">iferror(XLOOKUP(C2094,'Download of SFDC Activation Rep'!B:B,'Download of SFDC Activation Rep'!Z:Z),"")</f>
        <v/>
      </c>
      <c r="Q2094" s="86" t="str">
        <f t="shared" si="2"/>
        <v/>
      </c>
      <c r="R2094" s="13" t="str">
        <f t="shared" si="3"/>
        <v>Yes</v>
      </c>
      <c r="S2094" s="86" t="str">
        <f t="array" ref="S2094">iferror(XLOOKUP(C2094,'Download of SFDC Activation Rep'!B:B,'Download of SFDC Activation Rep'!Y:Y),"")</f>
        <v/>
      </c>
    </row>
    <row r="2095">
      <c r="A2095" s="17"/>
      <c r="B2095" s="85"/>
      <c r="C2095" s="17"/>
      <c r="D2095" s="85"/>
      <c r="E2095" s="17"/>
      <c r="F2095" s="17"/>
      <c r="G2095" s="17"/>
      <c r="I2095" s="17"/>
      <c r="K2095" s="17"/>
      <c r="L2095" s="17"/>
      <c r="M2095" s="17"/>
      <c r="O2095" s="14">
        <f t="shared" si="1"/>
        <v>0</v>
      </c>
      <c r="P2095" s="86" t="str">
        <f t="array" ref="P2095">iferror(XLOOKUP(C2095,'Download of SFDC Activation Rep'!B:B,'Download of SFDC Activation Rep'!Z:Z),"")</f>
        <v/>
      </c>
      <c r="Q2095" s="86" t="str">
        <f t="shared" si="2"/>
        <v/>
      </c>
      <c r="R2095" s="13" t="str">
        <f t="shared" si="3"/>
        <v>Yes</v>
      </c>
      <c r="S2095" s="86" t="str">
        <f t="array" ref="S2095">iferror(XLOOKUP(C2095,'Download of SFDC Activation Rep'!B:B,'Download of SFDC Activation Rep'!Y:Y),"")</f>
        <v/>
      </c>
    </row>
    <row r="2096">
      <c r="A2096" s="17"/>
      <c r="B2096" s="85"/>
      <c r="C2096" s="17"/>
      <c r="D2096" s="85"/>
      <c r="E2096" s="17"/>
      <c r="F2096" s="17"/>
      <c r="G2096" s="17"/>
      <c r="I2096" s="17"/>
      <c r="K2096" s="17"/>
      <c r="L2096" s="17"/>
      <c r="M2096" s="17"/>
      <c r="O2096" s="14">
        <f t="shared" si="1"/>
        <v>0</v>
      </c>
      <c r="P2096" s="86" t="str">
        <f t="array" ref="P2096">iferror(XLOOKUP(C2096,'Download of SFDC Activation Rep'!B:B,'Download of SFDC Activation Rep'!Z:Z),"")</f>
        <v/>
      </c>
      <c r="Q2096" s="86" t="str">
        <f t="shared" si="2"/>
        <v/>
      </c>
      <c r="R2096" s="13" t="str">
        <f t="shared" si="3"/>
        <v>Yes</v>
      </c>
      <c r="S2096" s="86" t="str">
        <f t="array" ref="S2096">iferror(XLOOKUP(C2096,'Download of SFDC Activation Rep'!B:B,'Download of SFDC Activation Rep'!Y:Y),"")</f>
        <v/>
      </c>
    </row>
    <row r="2097">
      <c r="A2097" s="17"/>
      <c r="B2097" s="85"/>
      <c r="C2097" s="17"/>
      <c r="D2097" s="85"/>
      <c r="E2097" s="17"/>
      <c r="F2097" s="17"/>
      <c r="G2097" s="17"/>
      <c r="I2097" s="17"/>
      <c r="K2097" s="17"/>
      <c r="L2097" s="17"/>
      <c r="M2097" s="17"/>
      <c r="O2097" s="14">
        <f t="shared" si="1"/>
        <v>0</v>
      </c>
      <c r="P2097" s="86" t="str">
        <f t="array" ref="P2097">iferror(XLOOKUP(C2097,'Download of SFDC Activation Rep'!B:B,'Download of SFDC Activation Rep'!Z:Z),"")</f>
        <v/>
      </c>
      <c r="Q2097" s="86" t="str">
        <f t="shared" si="2"/>
        <v/>
      </c>
      <c r="R2097" s="13" t="str">
        <f t="shared" si="3"/>
        <v>Yes</v>
      </c>
      <c r="S2097" s="86" t="str">
        <f t="array" ref="S2097">iferror(XLOOKUP(C2097,'Download of SFDC Activation Rep'!B:B,'Download of SFDC Activation Rep'!Y:Y),"")</f>
        <v/>
      </c>
    </row>
    <row r="2098">
      <c r="A2098" s="17"/>
      <c r="B2098" s="85"/>
      <c r="C2098" s="17"/>
      <c r="D2098" s="85"/>
      <c r="E2098" s="17"/>
      <c r="F2098" s="17"/>
      <c r="G2098" s="17"/>
      <c r="I2098" s="17"/>
      <c r="K2098" s="17"/>
      <c r="L2098" s="17"/>
      <c r="M2098" s="17"/>
      <c r="O2098" s="14">
        <f t="shared" si="1"/>
        <v>0</v>
      </c>
      <c r="P2098" s="86" t="str">
        <f t="array" ref="P2098">iferror(XLOOKUP(C2098,'Download of SFDC Activation Rep'!B:B,'Download of SFDC Activation Rep'!Z:Z),"")</f>
        <v/>
      </c>
      <c r="Q2098" s="86" t="str">
        <f t="shared" si="2"/>
        <v/>
      </c>
      <c r="R2098" s="13" t="str">
        <f t="shared" si="3"/>
        <v>Yes</v>
      </c>
      <c r="S2098" s="86" t="str">
        <f t="array" ref="S2098">iferror(XLOOKUP(C2098,'Download of SFDC Activation Rep'!B:B,'Download of SFDC Activation Rep'!Y:Y),"")</f>
        <v/>
      </c>
    </row>
    <row r="2099">
      <c r="A2099" s="17"/>
      <c r="B2099" s="85"/>
      <c r="C2099" s="17"/>
      <c r="D2099" s="85"/>
      <c r="E2099" s="17"/>
      <c r="F2099" s="17"/>
      <c r="G2099" s="17"/>
      <c r="I2099" s="17"/>
      <c r="K2099" s="17"/>
      <c r="L2099" s="17"/>
      <c r="M2099" s="17"/>
      <c r="O2099" s="14">
        <f t="shared" si="1"/>
        <v>0</v>
      </c>
      <c r="P2099" s="86" t="str">
        <f t="array" ref="P2099">iferror(XLOOKUP(C2099,'Download of SFDC Activation Rep'!B:B,'Download of SFDC Activation Rep'!Z:Z),"")</f>
        <v/>
      </c>
      <c r="Q2099" s="86" t="str">
        <f t="shared" si="2"/>
        <v/>
      </c>
      <c r="R2099" s="13" t="str">
        <f t="shared" si="3"/>
        <v>Yes</v>
      </c>
      <c r="S2099" s="86" t="str">
        <f t="array" ref="S2099">iferror(XLOOKUP(C2099,'Download of SFDC Activation Rep'!B:B,'Download of SFDC Activation Rep'!Y:Y),"")</f>
        <v/>
      </c>
    </row>
    <row r="2100">
      <c r="A2100" s="17"/>
      <c r="B2100" s="85"/>
      <c r="C2100" s="17"/>
      <c r="D2100" s="85"/>
      <c r="E2100" s="17"/>
      <c r="F2100" s="17"/>
      <c r="G2100" s="17"/>
      <c r="I2100" s="17"/>
      <c r="K2100" s="17"/>
      <c r="L2100" s="17"/>
      <c r="M2100" s="17"/>
      <c r="O2100" s="14">
        <f t="shared" si="1"/>
        <v>0</v>
      </c>
      <c r="P2100" s="86" t="str">
        <f t="array" ref="P2100">iferror(XLOOKUP(C2100,'Download of SFDC Activation Rep'!B:B,'Download of SFDC Activation Rep'!Z:Z),"")</f>
        <v/>
      </c>
      <c r="Q2100" s="86" t="str">
        <f t="shared" si="2"/>
        <v/>
      </c>
      <c r="R2100" s="13" t="str">
        <f t="shared" si="3"/>
        <v>Yes</v>
      </c>
      <c r="S2100" s="86" t="str">
        <f t="array" ref="S2100">iferror(XLOOKUP(C2100,'Download of SFDC Activation Rep'!B:B,'Download of SFDC Activation Rep'!Y:Y),"")</f>
        <v/>
      </c>
    </row>
    <row r="2101">
      <c r="A2101" s="17"/>
      <c r="B2101" s="85"/>
      <c r="C2101" s="17"/>
      <c r="D2101" s="85"/>
      <c r="E2101" s="17"/>
      <c r="F2101" s="17"/>
      <c r="G2101" s="17"/>
      <c r="I2101" s="17"/>
      <c r="K2101" s="17"/>
      <c r="L2101" s="17"/>
      <c r="M2101" s="17"/>
      <c r="O2101" s="14">
        <f t="shared" si="1"/>
        <v>0</v>
      </c>
      <c r="P2101" s="86" t="str">
        <f t="array" ref="P2101">iferror(XLOOKUP(C2101,'Download of SFDC Activation Rep'!B:B,'Download of SFDC Activation Rep'!Z:Z),"")</f>
        <v/>
      </c>
      <c r="Q2101" s="86" t="str">
        <f t="shared" si="2"/>
        <v/>
      </c>
      <c r="R2101" s="13" t="str">
        <f t="shared" si="3"/>
        <v>Yes</v>
      </c>
      <c r="S2101" s="86" t="str">
        <f t="array" ref="S2101">iferror(XLOOKUP(C2101,'Download of SFDC Activation Rep'!B:B,'Download of SFDC Activation Rep'!Y:Y),"")</f>
        <v/>
      </c>
    </row>
    <row r="2102">
      <c r="A2102" s="17"/>
      <c r="B2102" s="85"/>
      <c r="C2102" s="17"/>
      <c r="D2102" s="85"/>
      <c r="E2102" s="17"/>
      <c r="F2102" s="17"/>
      <c r="G2102" s="17"/>
      <c r="I2102" s="17"/>
      <c r="K2102" s="17"/>
      <c r="L2102" s="17"/>
      <c r="M2102" s="17"/>
      <c r="O2102" s="14">
        <f t="shared" si="1"/>
        <v>0</v>
      </c>
      <c r="P2102" s="86" t="str">
        <f t="array" ref="P2102">iferror(XLOOKUP(C2102,'Download of SFDC Activation Rep'!B:B,'Download of SFDC Activation Rep'!Z:Z),"")</f>
        <v/>
      </c>
      <c r="Q2102" s="86" t="str">
        <f t="shared" si="2"/>
        <v/>
      </c>
      <c r="R2102" s="13" t="str">
        <f t="shared" si="3"/>
        <v>Yes</v>
      </c>
      <c r="S2102" s="86" t="str">
        <f t="array" ref="S2102">iferror(XLOOKUP(C2102,'Download of SFDC Activation Rep'!B:B,'Download of SFDC Activation Rep'!Y:Y),"")</f>
        <v/>
      </c>
    </row>
    <row r="2103">
      <c r="A2103" s="17"/>
      <c r="B2103" s="85"/>
      <c r="C2103" s="17"/>
      <c r="D2103" s="85"/>
      <c r="E2103" s="17"/>
      <c r="F2103" s="17"/>
      <c r="G2103" s="17"/>
      <c r="I2103" s="17"/>
      <c r="K2103" s="17"/>
      <c r="L2103" s="17"/>
      <c r="M2103" s="17"/>
      <c r="O2103" s="14">
        <f t="shared" si="1"/>
        <v>0</v>
      </c>
      <c r="P2103" s="86" t="str">
        <f t="array" ref="P2103">iferror(XLOOKUP(C2103,'Download of SFDC Activation Rep'!B:B,'Download of SFDC Activation Rep'!Z:Z),"")</f>
        <v/>
      </c>
      <c r="Q2103" s="86" t="str">
        <f t="shared" si="2"/>
        <v/>
      </c>
      <c r="R2103" s="13" t="str">
        <f t="shared" si="3"/>
        <v>Yes</v>
      </c>
      <c r="S2103" s="86" t="str">
        <f t="array" ref="S2103">iferror(XLOOKUP(C2103,'Download of SFDC Activation Rep'!B:B,'Download of SFDC Activation Rep'!Y:Y),"")</f>
        <v/>
      </c>
    </row>
    <row r="2104">
      <c r="A2104" s="17"/>
      <c r="B2104" s="85"/>
      <c r="C2104" s="17"/>
      <c r="D2104" s="85"/>
      <c r="E2104" s="17"/>
      <c r="F2104" s="17"/>
      <c r="G2104" s="17"/>
      <c r="I2104" s="17"/>
      <c r="K2104" s="17"/>
      <c r="L2104" s="17"/>
      <c r="M2104" s="17"/>
      <c r="O2104" s="14">
        <f t="shared" si="1"/>
        <v>0</v>
      </c>
      <c r="P2104" s="86" t="str">
        <f t="array" ref="P2104">iferror(XLOOKUP(C2104,'Download of SFDC Activation Rep'!B:B,'Download of SFDC Activation Rep'!Z:Z),"")</f>
        <v/>
      </c>
      <c r="Q2104" s="86" t="str">
        <f t="shared" si="2"/>
        <v/>
      </c>
      <c r="R2104" s="13" t="str">
        <f t="shared" si="3"/>
        <v>Yes</v>
      </c>
      <c r="S2104" s="86" t="str">
        <f t="array" ref="S2104">iferror(XLOOKUP(C2104,'Download of SFDC Activation Rep'!B:B,'Download of SFDC Activation Rep'!Y:Y),"")</f>
        <v/>
      </c>
    </row>
    <row r="2105">
      <c r="A2105" s="17"/>
      <c r="B2105" s="85"/>
      <c r="C2105" s="17"/>
      <c r="D2105" s="85"/>
      <c r="E2105" s="17"/>
      <c r="F2105" s="17"/>
      <c r="G2105" s="17"/>
      <c r="I2105" s="17"/>
      <c r="K2105" s="17"/>
      <c r="L2105" s="17"/>
      <c r="M2105" s="17"/>
      <c r="O2105" s="14">
        <f t="shared" si="1"/>
        <v>0</v>
      </c>
      <c r="P2105" s="86" t="str">
        <f t="array" ref="P2105">iferror(XLOOKUP(C2105,'Download of SFDC Activation Rep'!B:B,'Download of SFDC Activation Rep'!Z:Z),"")</f>
        <v/>
      </c>
      <c r="Q2105" s="86" t="str">
        <f t="shared" si="2"/>
        <v/>
      </c>
      <c r="R2105" s="13" t="str">
        <f t="shared" si="3"/>
        <v>Yes</v>
      </c>
      <c r="S2105" s="86" t="str">
        <f t="array" ref="S2105">iferror(XLOOKUP(C2105,'Download of SFDC Activation Rep'!B:B,'Download of SFDC Activation Rep'!Y:Y),"")</f>
        <v/>
      </c>
    </row>
    <row r="2106">
      <c r="A2106" s="17"/>
      <c r="B2106" s="85"/>
      <c r="C2106" s="17"/>
      <c r="D2106" s="85"/>
      <c r="E2106" s="17"/>
      <c r="F2106" s="17"/>
      <c r="G2106" s="17"/>
      <c r="I2106" s="17"/>
      <c r="K2106" s="17"/>
      <c r="L2106" s="17"/>
      <c r="M2106" s="17"/>
      <c r="O2106" s="14">
        <f t="shared" si="1"/>
        <v>0</v>
      </c>
      <c r="P2106" s="86" t="str">
        <f t="array" ref="P2106">iferror(XLOOKUP(C2106,'Download of SFDC Activation Rep'!B:B,'Download of SFDC Activation Rep'!Z:Z),"")</f>
        <v/>
      </c>
      <c r="Q2106" s="86" t="str">
        <f t="shared" si="2"/>
        <v/>
      </c>
      <c r="R2106" s="13" t="str">
        <f t="shared" si="3"/>
        <v>Yes</v>
      </c>
      <c r="S2106" s="86" t="str">
        <f t="array" ref="S2106">iferror(XLOOKUP(C2106,'Download of SFDC Activation Rep'!B:B,'Download of SFDC Activation Rep'!Y:Y),"")</f>
        <v/>
      </c>
    </row>
    <row r="2107">
      <c r="A2107" s="17"/>
      <c r="B2107" s="85"/>
      <c r="C2107" s="17"/>
      <c r="D2107" s="85"/>
      <c r="E2107" s="17"/>
      <c r="F2107" s="17"/>
      <c r="G2107" s="17"/>
      <c r="I2107" s="17"/>
      <c r="K2107" s="17"/>
      <c r="L2107" s="17"/>
      <c r="M2107" s="17"/>
      <c r="O2107" s="14">
        <f t="shared" si="1"/>
        <v>0</v>
      </c>
      <c r="P2107" s="86" t="str">
        <f t="array" ref="P2107">iferror(XLOOKUP(C2107,'Download of SFDC Activation Rep'!B:B,'Download of SFDC Activation Rep'!Z:Z),"")</f>
        <v/>
      </c>
      <c r="Q2107" s="86" t="str">
        <f t="shared" si="2"/>
        <v/>
      </c>
      <c r="R2107" s="13" t="str">
        <f t="shared" si="3"/>
        <v>Yes</v>
      </c>
      <c r="S2107" s="86" t="str">
        <f t="array" ref="S2107">iferror(XLOOKUP(C2107,'Download of SFDC Activation Rep'!B:B,'Download of SFDC Activation Rep'!Y:Y),"")</f>
        <v/>
      </c>
    </row>
    <row r="2108">
      <c r="A2108" s="17"/>
      <c r="B2108" s="85"/>
      <c r="C2108" s="17"/>
      <c r="D2108" s="85"/>
      <c r="E2108" s="17"/>
      <c r="F2108" s="17"/>
      <c r="G2108" s="17"/>
      <c r="I2108" s="17"/>
      <c r="K2108" s="17"/>
      <c r="L2108" s="17"/>
      <c r="M2108" s="17"/>
      <c r="O2108" s="14">
        <f t="shared" si="1"/>
        <v>0</v>
      </c>
      <c r="P2108" s="86" t="str">
        <f t="array" ref="P2108">iferror(XLOOKUP(C2108,'Download of SFDC Activation Rep'!B:B,'Download of SFDC Activation Rep'!Z:Z),"")</f>
        <v/>
      </c>
      <c r="Q2108" s="86" t="str">
        <f t="shared" si="2"/>
        <v/>
      </c>
      <c r="R2108" s="13" t="str">
        <f t="shared" si="3"/>
        <v>Yes</v>
      </c>
      <c r="S2108" s="86" t="str">
        <f t="array" ref="S2108">iferror(XLOOKUP(C2108,'Download of SFDC Activation Rep'!B:B,'Download of SFDC Activation Rep'!Y:Y),"")</f>
        <v/>
      </c>
    </row>
    <row r="2109">
      <c r="A2109" s="17"/>
      <c r="B2109" s="85"/>
      <c r="C2109" s="17"/>
      <c r="D2109" s="85"/>
      <c r="E2109" s="17"/>
      <c r="F2109" s="17"/>
      <c r="G2109" s="17"/>
      <c r="I2109" s="17"/>
      <c r="K2109" s="17"/>
      <c r="L2109" s="17"/>
      <c r="M2109" s="17"/>
      <c r="O2109" s="14">
        <f t="shared" si="1"/>
        <v>0</v>
      </c>
      <c r="P2109" s="86" t="str">
        <f t="array" ref="P2109">iferror(XLOOKUP(C2109,'Download of SFDC Activation Rep'!B:B,'Download of SFDC Activation Rep'!Z:Z),"")</f>
        <v/>
      </c>
      <c r="Q2109" s="86" t="str">
        <f t="shared" si="2"/>
        <v/>
      </c>
      <c r="R2109" s="13" t="str">
        <f t="shared" si="3"/>
        <v>Yes</v>
      </c>
      <c r="S2109" s="86" t="str">
        <f t="array" ref="S2109">iferror(XLOOKUP(C2109,'Download of SFDC Activation Rep'!B:B,'Download of SFDC Activation Rep'!Y:Y),"")</f>
        <v/>
      </c>
    </row>
    <row r="2110">
      <c r="A2110" s="17"/>
      <c r="B2110" s="85"/>
      <c r="C2110" s="17"/>
      <c r="D2110" s="85"/>
      <c r="E2110" s="17"/>
      <c r="F2110" s="17"/>
      <c r="G2110" s="17"/>
      <c r="I2110" s="17"/>
      <c r="K2110" s="17"/>
      <c r="L2110" s="17"/>
      <c r="M2110" s="17"/>
      <c r="O2110" s="14">
        <f t="shared" si="1"/>
        <v>0</v>
      </c>
      <c r="P2110" s="86" t="str">
        <f t="array" ref="P2110">iferror(XLOOKUP(C2110,'Download of SFDC Activation Rep'!B:B,'Download of SFDC Activation Rep'!Z:Z),"")</f>
        <v/>
      </c>
      <c r="Q2110" s="86" t="str">
        <f t="shared" si="2"/>
        <v/>
      </c>
      <c r="R2110" s="13" t="str">
        <f t="shared" si="3"/>
        <v>Yes</v>
      </c>
      <c r="S2110" s="86" t="str">
        <f t="array" ref="S2110">iferror(XLOOKUP(C2110,'Download of SFDC Activation Rep'!B:B,'Download of SFDC Activation Rep'!Y:Y),"")</f>
        <v/>
      </c>
    </row>
    <row r="2111">
      <c r="A2111" s="17"/>
      <c r="B2111" s="85"/>
      <c r="C2111" s="17"/>
      <c r="D2111" s="85"/>
      <c r="E2111" s="17"/>
      <c r="F2111" s="17"/>
      <c r="G2111" s="17"/>
      <c r="I2111" s="17"/>
      <c r="K2111" s="17"/>
      <c r="L2111" s="17"/>
      <c r="M2111" s="17"/>
      <c r="O2111" s="14">
        <f t="shared" si="1"/>
        <v>0</v>
      </c>
      <c r="P2111" s="86" t="str">
        <f t="array" ref="P2111">iferror(XLOOKUP(C2111,'Download of SFDC Activation Rep'!B:B,'Download of SFDC Activation Rep'!Z:Z),"")</f>
        <v/>
      </c>
      <c r="Q2111" s="86" t="str">
        <f t="shared" si="2"/>
        <v/>
      </c>
      <c r="R2111" s="13" t="str">
        <f t="shared" si="3"/>
        <v>Yes</v>
      </c>
      <c r="S2111" s="86" t="str">
        <f t="array" ref="S2111">iferror(XLOOKUP(C2111,'Download of SFDC Activation Rep'!B:B,'Download of SFDC Activation Rep'!Y:Y),"")</f>
        <v/>
      </c>
    </row>
    <row r="2112">
      <c r="A2112" s="17"/>
      <c r="B2112" s="85"/>
      <c r="C2112" s="17"/>
      <c r="D2112" s="85"/>
      <c r="E2112" s="17"/>
      <c r="F2112" s="17"/>
      <c r="G2112" s="17"/>
      <c r="I2112" s="17"/>
      <c r="K2112" s="17"/>
      <c r="L2112" s="17"/>
      <c r="M2112" s="17"/>
      <c r="O2112" s="14">
        <f t="shared" si="1"/>
        <v>0</v>
      </c>
      <c r="P2112" s="86" t="str">
        <f t="array" ref="P2112">iferror(XLOOKUP(C2112,'Download of SFDC Activation Rep'!B:B,'Download of SFDC Activation Rep'!Z:Z),"")</f>
        <v/>
      </c>
      <c r="Q2112" s="86" t="str">
        <f t="shared" si="2"/>
        <v/>
      </c>
      <c r="R2112" s="13" t="str">
        <f t="shared" si="3"/>
        <v>Yes</v>
      </c>
      <c r="S2112" s="86" t="str">
        <f t="array" ref="S2112">iferror(XLOOKUP(C2112,'Download of SFDC Activation Rep'!B:B,'Download of SFDC Activation Rep'!Y:Y),"")</f>
        <v/>
      </c>
    </row>
    <row r="2113">
      <c r="A2113" s="17"/>
      <c r="B2113" s="85"/>
      <c r="C2113" s="17"/>
      <c r="D2113" s="85"/>
      <c r="E2113" s="17"/>
      <c r="F2113" s="17"/>
      <c r="G2113" s="17"/>
      <c r="I2113" s="17"/>
      <c r="K2113" s="17"/>
      <c r="L2113" s="17"/>
      <c r="M2113" s="17"/>
      <c r="O2113" s="14">
        <f t="shared" si="1"/>
        <v>0</v>
      </c>
      <c r="P2113" s="86" t="str">
        <f t="array" ref="P2113">iferror(XLOOKUP(C2113,'Download of SFDC Activation Rep'!B:B,'Download of SFDC Activation Rep'!Z:Z),"")</f>
        <v/>
      </c>
      <c r="Q2113" s="86" t="str">
        <f t="shared" si="2"/>
        <v/>
      </c>
      <c r="R2113" s="13" t="str">
        <f t="shared" si="3"/>
        <v>Yes</v>
      </c>
      <c r="S2113" s="86" t="str">
        <f t="array" ref="S2113">iferror(XLOOKUP(C2113,'Download of SFDC Activation Rep'!B:B,'Download of SFDC Activation Rep'!Y:Y),"")</f>
        <v/>
      </c>
    </row>
    <row r="2114">
      <c r="A2114" s="17"/>
      <c r="B2114" s="85"/>
      <c r="C2114" s="17"/>
      <c r="D2114" s="85"/>
      <c r="E2114" s="17"/>
      <c r="F2114" s="17"/>
      <c r="G2114" s="17"/>
      <c r="I2114" s="17"/>
      <c r="K2114" s="17"/>
      <c r="L2114" s="17"/>
      <c r="M2114" s="17"/>
      <c r="O2114" s="14">
        <f t="shared" si="1"/>
        <v>0</v>
      </c>
      <c r="P2114" s="86" t="str">
        <f t="array" ref="P2114">iferror(XLOOKUP(C2114,'Download of SFDC Activation Rep'!B:B,'Download of SFDC Activation Rep'!Z:Z),"")</f>
        <v/>
      </c>
      <c r="Q2114" s="86" t="str">
        <f t="shared" si="2"/>
        <v/>
      </c>
      <c r="R2114" s="13" t="str">
        <f t="shared" si="3"/>
        <v>Yes</v>
      </c>
      <c r="S2114" s="86" t="str">
        <f t="array" ref="S2114">iferror(XLOOKUP(C2114,'Download of SFDC Activation Rep'!B:B,'Download of SFDC Activation Rep'!Y:Y),"")</f>
        <v/>
      </c>
    </row>
    <row r="2115">
      <c r="A2115" s="17"/>
      <c r="B2115" s="85"/>
      <c r="C2115" s="17"/>
      <c r="D2115" s="85"/>
      <c r="E2115" s="17"/>
      <c r="F2115" s="17"/>
      <c r="G2115" s="17"/>
      <c r="I2115" s="17"/>
      <c r="K2115" s="17"/>
      <c r="L2115" s="17"/>
      <c r="M2115" s="17"/>
      <c r="O2115" s="14">
        <f t="shared" si="1"/>
        <v>0</v>
      </c>
      <c r="P2115" s="86" t="str">
        <f t="array" ref="P2115">iferror(XLOOKUP(C2115,'Download of SFDC Activation Rep'!B:B,'Download of SFDC Activation Rep'!Z:Z),"")</f>
        <v/>
      </c>
      <c r="Q2115" s="86" t="str">
        <f t="shared" si="2"/>
        <v/>
      </c>
      <c r="R2115" s="13" t="str">
        <f t="shared" si="3"/>
        <v>Yes</v>
      </c>
      <c r="S2115" s="86" t="str">
        <f t="array" ref="S2115">iferror(XLOOKUP(C2115,'Download of SFDC Activation Rep'!B:B,'Download of SFDC Activation Rep'!Y:Y),"")</f>
        <v/>
      </c>
    </row>
    <row r="2116">
      <c r="A2116" s="17"/>
      <c r="B2116" s="85"/>
      <c r="C2116" s="17"/>
      <c r="D2116" s="85"/>
      <c r="E2116" s="17"/>
      <c r="F2116" s="17"/>
      <c r="G2116" s="17"/>
      <c r="I2116" s="17"/>
      <c r="K2116" s="17"/>
      <c r="L2116" s="17"/>
      <c r="M2116" s="17"/>
      <c r="O2116" s="14">
        <f t="shared" si="1"/>
        <v>0</v>
      </c>
      <c r="P2116" s="86" t="str">
        <f t="array" ref="P2116">iferror(XLOOKUP(C2116,'Download of SFDC Activation Rep'!B:B,'Download of SFDC Activation Rep'!Z:Z),"")</f>
        <v/>
      </c>
      <c r="Q2116" s="86" t="str">
        <f t="shared" si="2"/>
        <v/>
      </c>
      <c r="R2116" s="13" t="str">
        <f t="shared" si="3"/>
        <v>Yes</v>
      </c>
      <c r="S2116" s="86" t="str">
        <f t="array" ref="S2116">iferror(XLOOKUP(C2116,'Download of SFDC Activation Rep'!B:B,'Download of SFDC Activation Rep'!Y:Y),"")</f>
        <v/>
      </c>
    </row>
    <row r="2117">
      <c r="A2117" s="17"/>
      <c r="B2117" s="85"/>
      <c r="C2117" s="17"/>
      <c r="D2117" s="85"/>
      <c r="E2117" s="17"/>
      <c r="F2117" s="17"/>
      <c r="G2117" s="17"/>
      <c r="I2117" s="17"/>
      <c r="K2117" s="17"/>
      <c r="L2117" s="17"/>
      <c r="M2117" s="17"/>
      <c r="O2117" s="14">
        <f t="shared" si="1"/>
        <v>0</v>
      </c>
      <c r="P2117" s="86" t="str">
        <f t="array" ref="P2117">iferror(XLOOKUP(C2117,'Download of SFDC Activation Rep'!B:B,'Download of SFDC Activation Rep'!Z:Z),"")</f>
        <v/>
      </c>
      <c r="Q2117" s="86" t="str">
        <f t="shared" si="2"/>
        <v/>
      </c>
      <c r="R2117" s="13" t="str">
        <f t="shared" si="3"/>
        <v>Yes</v>
      </c>
      <c r="S2117" s="86" t="str">
        <f t="array" ref="S2117">iferror(XLOOKUP(C2117,'Download of SFDC Activation Rep'!B:B,'Download of SFDC Activation Rep'!Y:Y),"")</f>
        <v/>
      </c>
    </row>
    <row r="2118">
      <c r="A2118" s="17"/>
      <c r="B2118" s="85"/>
      <c r="C2118" s="17"/>
      <c r="D2118" s="85"/>
      <c r="E2118" s="17"/>
      <c r="F2118" s="17"/>
      <c r="G2118" s="17"/>
      <c r="I2118" s="17"/>
      <c r="K2118" s="17"/>
      <c r="L2118" s="17"/>
      <c r="M2118" s="17"/>
      <c r="O2118" s="14">
        <f t="shared" si="1"/>
        <v>0</v>
      </c>
      <c r="P2118" s="86" t="str">
        <f t="array" ref="P2118">iferror(XLOOKUP(C2118,'Download of SFDC Activation Rep'!B:B,'Download of SFDC Activation Rep'!Z:Z),"")</f>
        <v/>
      </c>
      <c r="Q2118" s="86" t="str">
        <f t="shared" si="2"/>
        <v/>
      </c>
      <c r="R2118" s="13" t="str">
        <f t="shared" si="3"/>
        <v>Yes</v>
      </c>
      <c r="S2118" s="86" t="str">
        <f t="array" ref="S2118">iferror(XLOOKUP(C2118,'Download of SFDC Activation Rep'!B:B,'Download of SFDC Activation Rep'!Y:Y),"")</f>
        <v/>
      </c>
    </row>
    <row r="2119">
      <c r="A2119" s="17"/>
      <c r="B2119" s="85"/>
      <c r="C2119" s="17"/>
      <c r="D2119" s="85"/>
      <c r="E2119" s="17"/>
      <c r="F2119" s="17"/>
      <c r="G2119" s="17"/>
      <c r="I2119" s="17"/>
      <c r="K2119" s="17"/>
      <c r="L2119" s="17"/>
      <c r="M2119" s="17"/>
      <c r="O2119" s="14">
        <f t="shared" si="1"/>
        <v>0</v>
      </c>
      <c r="P2119" s="86" t="str">
        <f t="array" ref="P2119">iferror(XLOOKUP(C2119,'Download of SFDC Activation Rep'!B:B,'Download of SFDC Activation Rep'!Z:Z),"")</f>
        <v/>
      </c>
      <c r="Q2119" s="86" t="str">
        <f t="shared" si="2"/>
        <v/>
      </c>
      <c r="R2119" s="13" t="str">
        <f t="shared" si="3"/>
        <v>Yes</v>
      </c>
      <c r="S2119" s="86" t="str">
        <f t="array" ref="S2119">iferror(XLOOKUP(C2119,'Download of SFDC Activation Rep'!B:B,'Download of SFDC Activation Rep'!Y:Y),"")</f>
        <v/>
      </c>
    </row>
    <row r="2120">
      <c r="A2120" s="17"/>
      <c r="B2120" s="85"/>
      <c r="C2120" s="17"/>
      <c r="D2120" s="85"/>
      <c r="E2120" s="17"/>
      <c r="F2120" s="17"/>
      <c r="G2120" s="17"/>
      <c r="I2120" s="17"/>
      <c r="K2120" s="17"/>
      <c r="L2120" s="17"/>
      <c r="M2120" s="17"/>
      <c r="O2120" s="14">
        <f t="shared" si="1"/>
        <v>0</v>
      </c>
      <c r="P2120" s="86" t="str">
        <f t="array" ref="P2120">iferror(XLOOKUP(C2120,'Download of SFDC Activation Rep'!B:B,'Download of SFDC Activation Rep'!Z:Z),"")</f>
        <v/>
      </c>
      <c r="Q2120" s="86" t="str">
        <f t="shared" si="2"/>
        <v/>
      </c>
      <c r="R2120" s="13" t="str">
        <f t="shared" si="3"/>
        <v>Yes</v>
      </c>
      <c r="S2120" s="86" t="str">
        <f t="array" ref="S2120">iferror(XLOOKUP(C2120,'Download of SFDC Activation Rep'!B:B,'Download of SFDC Activation Rep'!Y:Y),"")</f>
        <v/>
      </c>
    </row>
    <row r="2121">
      <c r="A2121" s="17"/>
      <c r="B2121" s="85"/>
      <c r="C2121" s="17"/>
      <c r="D2121" s="85"/>
      <c r="E2121" s="17"/>
      <c r="F2121" s="17"/>
      <c r="G2121" s="17"/>
      <c r="I2121" s="17"/>
      <c r="K2121" s="17"/>
      <c r="L2121" s="17"/>
      <c r="M2121" s="17"/>
      <c r="O2121" s="14">
        <f t="shared" si="1"/>
        <v>0</v>
      </c>
      <c r="P2121" s="86" t="str">
        <f t="array" ref="P2121">iferror(XLOOKUP(C2121,'Download of SFDC Activation Rep'!B:B,'Download of SFDC Activation Rep'!Z:Z),"")</f>
        <v/>
      </c>
      <c r="Q2121" s="86" t="str">
        <f t="shared" si="2"/>
        <v/>
      </c>
      <c r="R2121" s="13" t="str">
        <f t="shared" si="3"/>
        <v>Yes</v>
      </c>
      <c r="S2121" s="86" t="str">
        <f t="array" ref="S2121">iferror(XLOOKUP(C2121,'Download of SFDC Activation Rep'!B:B,'Download of SFDC Activation Rep'!Y:Y),"")</f>
        <v/>
      </c>
    </row>
    <row r="2122">
      <c r="A2122" s="17"/>
      <c r="B2122" s="85"/>
      <c r="C2122" s="17"/>
      <c r="D2122" s="85"/>
      <c r="E2122" s="17"/>
      <c r="F2122" s="17"/>
      <c r="G2122" s="17"/>
      <c r="I2122" s="17"/>
      <c r="K2122" s="17"/>
      <c r="L2122" s="17"/>
      <c r="M2122" s="17"/>
      <c r="O2122" s="14">
        <f t="shared" si="1"/>
        <v>0</v>
      </c>
      <c r="P2122" s="86" t="str">
        <f t="array" ref="P2122">iferror(XLOOKUP(C2122,'Download of SFDC Activation Rep'!B:B,'Download of SFDC Activation Rep'!Z:Z),"")</f>
        <v/>
      </c>
      <c r="Q2122" s="86" t="str">
        <f t="shared" si="2"/>
        <v/>
      </c>
      <c r="R2122" s="13" t="str">
        <f t="shared" si="3"/>
        <v>Yes</v>
      </c>
      <c r="S2122" s="86" t="str">
        <f t="array" ref="S2122">iferror(XLOOKUP(C2122,'Download of SFDC Activation Rep'!B:B,'Download of SFDC Activation Rep'!Y:Y),"")</f>
        <v/>
      </c>
    </row>
    <row r="2123">
      <c r="A2123" s="17"/>
      <c r="B2123" s="85"/>
      <c r="C2123" s="17"/>
      <c r="D2123" s="85"/>
      <c r="E2123" s="17"/>
      <c r="F2123" s="17"/>
      <c r="G2123" s="17"/>
      <c r="I2123" s="17"/>
      <c r="K2123" s="17"/>
      <c r="L2123" s="17"/>
      <c r="M2123" s="17"/>
      <c r="O2123" s="14">
        <f t="shared" si="1"/>
        <v>0</v>
      </c>
      <c r="P2123" s="86" t="str">
        <f t="array" ref="P2123">iferror(XLOOKUP(C2123,'Download of SFDC Activation Rep'!B:B,'Download of SFDC Activation Rep'!Z:Z),"")</f>
        <v/>
      </c>
      <c r="Q2123" s="86" t="str">
        <f t="shared" si="2"/>
        <v/>
      </c>
      <c r="R2123" s="13" t="str">
        <f t="shared" si="3"/>
        <v>Yes</v>
      </c>
      <c r="S2123" s="86" t="str">
        <f t="array" ref="S2123">iferror(XLOOKUP(C2123,'Download of SFDC Activation Rep'!B:B,'Download of SFDC Activation Rep'!Y:Y),"")</f>
        <v/>
      </c>
    </row>
    <row r="2124">
      <c r="A2124" s="17"/>
      <c r="B2124" s="85"/>
      <c r="C2124" s="17"/>
      <c r="D2124" s="85"/>
      <c r="E2124" s="17"/>
      <c r="F2124" s="17"/>
      <c r="G2124" s="17"/>
      <c r="I2124" s="17"/>
      <c r="K2124" s="17"/>
      <c r="L2124" s="17"/>
      <c r="M2124" s="17"/>
      <c r="O2124" s="14">
        <f t="shared" si="1"/>
        <v>0</v>
      </c>
      <c r="P2124" s="86" t="str">
        <f t="array" ref="P2124">iferror(XLOOKUP(C2124,'Download of SFDC Activation Rep'!B:B,'Download of SFDC Activation Rep'!Z:Z),"")</f>
        <v/>
      </c>
      <c r="Q2124" s="86" t="str">
        <f t="shared" si="2"/>
        <v/>
      </c>
      <c r="R2124" s="13" t="str">
        <f t="shared" si="3"/>
        <v>Yes</v>
      </c>
      <c r="S2124" s="86" t="str">
        <f t="array" ref="S2124">iferror(XLOOKUP(C2124,'Download of SFDC Activation Rep'!B:B,'Download of SFDC Activation Rep'!Y:Y),"")</f>
        <v/>
      </c>
    </row>
    <row r="2125">
      <c r="A2125" s="17"/>
      <c r="B2125" s="85"/>
      <c r="C2125" s="17"/>
      <c r="D2125" s="85"/>
      <c r="E2125" s="17"/>
      <c r="F2125" s="17"/>
      <c r="G2125" s="17"/>
      <c r="I2125" s="17"/>
      <c r="K2125" s="17"/>
      <c r="L2125" s="17"/>
      <c r="M2125" s="17"/>
      <c r="O2125" s="14">
        <f t="shared" si="1"/>
        <v>0</v>
      </c>
      <c r="P2125" s="86" t="str">
        <f t="array" ref="P2125">iferror(XLOOKUP(C2125,'Download of SFDC Activation Rep'!B:B,'Download of SFDC Activation Rep'!Z:Z),"")</f>
        <v/>
      </c>
      <c r="Q2125" s="86" t="str">
        <f t="shared" si="2"/>
        <v/>
      </c>
      <c r="R2125" s="13" t="str">
        <f t="shared" si="3"/>
        <v>Yes</v>
      </c>
      <c r="S2125" s="86" t="str">
        <f t="array" ref="S2125">iferror(XLOOKUP(C2125,'Download of SFDC Activation Rep'!B:B,'Download of SFDC Activation Rep'!Y:Y),"")</f>
        <v/>
      </c>
    </row>
    <row r="2126">
      <c r="A2126" s="17"/>
      <c r="B2126" s="85"/>
      <c r="C2126" s="17"/>
      <c r="D2126" s="85"/>
      <c r="E2126" s="17"/>
      <c r="F2126" s="17"/>
      <c r="G2126" s="17"/>
      <c r="I2126" s="17"/>
      <c r="K2126" s="17"/>
      <c r="L2126" s="17"/>
      <c r="M2126" s="17"/>
      <c r="O2126" s="14">
        <f t="shared" si="1"/>
        <v>0</v>
      </c>
      <c r="P2126" s="86" t="str">
        <f t="array" ref="P2126">iferror(XLOOKUP(C2126,'Download of SFDC Activation Rep'!B:B,'Download of SFDC Activation Rep'!Z:Z),"")</f>
        <v/>
      </c>
      <c r="Q2126" s="86" t="str">
        <f t="shared" si="2"/>
        <v/>
      </c>
      <c r="R2126" s="13" t="str">
        <f t="shared" si="3"/>
        <v>Yes</v>
      </c>
      <c r="S2126" s="86" t="str">
        <f t="array" ref="S2126">iferror(XLOOKUP(C2126,'Download of SFDC Activation Rep'!B:B,'Download of SFDC Activation Rep'!Y:Y),"")</f>
        <v/>
      </c>
    </row>
    <row r="2127">
      <c r="A2127" s="17"/>
      <c r="B2127" s="85"/>
      <c r="C2127" s="17"/>
      <c r="D2127" s="85"/>
      <c r="E2127" s="17"/>
      <c r="F2127" s="17"/>
      <c r="G2127" s="17"/>
      <c r="I2127" s="17"/>
      <c r="K2127" s="17"/>
      <c r="L2127" s="17"/>
      <c r="M2127" s="17"/>
      <c r="O2127" s="14">
        <f t="shared" si="1"/>
        <v>0</v>
      </c>
      <c r="P2127" s="86" t="str">
        <f t="array" ref="P2127">iferror(XLOOKUP(C2127,'Download of SFDC Activation Rep'!B:B,'Download of SFDC Activation Rep'!Z:Z),"")</f>
        <v/>
      </c>
      <c r="Q2127" s="86" t="str">
        <f t="shared" si="2"/>
        <v/>
      </c>
      <c r="R2127" s="13" t="str">
        <f t="shared" si="3"/>
        <v>Yes</v>
      </c>
      <c r="S2127" s="86" t="str">
        <f t="array" ref="S2127">iferror(XLOOKUP(C2127,'Download of SFDC Activation Rep'!B:B,'Download of SFDC Activation Rep'!Y:Y),"")</f>
        <v/>
      </c>
    </row>
    <row r="2128">
      <c r="A2128" s="17"/>
      <c r="B2128" s="85"/>
      <c r="C2128" s="17"/>
      <c r="D2128" s="85"/>
      <c r="E2128" s="17"/>
      <c r="F2128" s="17"/>
      <c r="G2128" s="17"/>
      <c r="I2128" s="17"/>
      <c r="K2128" s="17"/>
      <c r="L2128" s="17"/>
      <c r="M2128" s="17"/>
      <c r="O2128" s="14">
        <f t="shared" si="1"/>
        <v>0</v>
      </c>
      <c r="P2128" s="86" t="str">
        <f t="array" ref="P2128">iferror(XLOOKUP(C2128,'Download of SFDC Activation Rep'!B:B,'Download of SFDC Activation Rep'!Z:Z),"")</f>
        <v/>
      </c>
      <c r="Q2128" s="86" t="str">
        <f t="shared" si="2"/>
        <v/>
      </c>
      <c r="R2128" s="13" t="str">
        <f t="shared" si="3"/>
        <v>Yes</v>
      </c>
      <c r="S2128" s="86" t="str">
        <f t="array" ref="S2128">iferror(XLOOKUP(C2128,'Download of SFDC Activation Rep'!B:B,'Download of SFDC Activation Rep'!Y:Y),"")</f>
        <v/>
      </c>
    </row>
    <row r="2129">
      <c r="A2129" s="17"/>
      <c r="B2129" s="85"/>
      <c r="C2129" s="17"/>
      <c r="D2129" s="85"/>
      <c r="E2129" s="17"/>
      <c r="F2129" s="17"/>
      <c r="G2129" s="17"/>
      <c r="I2129" s="17"/>
      <c r="K2129" s="17"/>
      <c r="L2129" s="17"/>
      <c r="M2129" s="17"/>
      <c r="O2129" s="14">
        <f t="shared" si="1"/>
        <v>0</v>
      </c>
      <c r="P2129" s="86" t="str">
        <f t="array" ref="P2129">iferror(XLOOKUP(C2129,'Download of SFDC Activation Rep'!B:B,'Download of SFDC Activation Rep'!Z:Z),"")</f>
        <v/>
      </c>
      <c r="Q2129" s="86" t="str">
        <f t="shared" si="2"/>
        <v/>
      </c>
      <c r="R2129" s="13" t="str">
        <f t="shared" si="3"/>
        <v>Yes</v>
      </c>
      <c r="S2129" s="86" t="str">
        <f t="array" ref="S2129">iferror(XLOOKUP(C2129,'Download of SFDC Activation Rep'!B:B,'Download of SFDC Activation Rep'!Y:Y),"")</f>
        <v/>
      </c>
    </row>
    <row r="2130">
      <c r="A2130" s="17"/>
      <c r="B2130" s="85"/>
      <c r="C2130" s="17"/>
      <c r="D2130" s="85"/>
      <c r="E2130" s="17"/>
      <c r="F2130" s="17"/>
      <c r="G2130" s="17"/>
      <c r="I2130" s="17"/>
      <c r="K2130" s="17"/>
      <c r="L2130" s="17"/>
      <c r="M2130" s="17"/>
      <c r="O2130" s="14">
        <f t="shared" si="1"/>
        <v>0</v>
      </c>
      <c r="P2130" s="86" t="str">
        <f t="array" ref="P2130">iferror(XLOOKUP(C2130,'Download of SFDC Activation Rep'!B:B,'Download of SFDC Activation Rep'!Z:Z),"")</f>
        <v/>
      </c>
      <c r="Q2130" s="86" t="str">
        <f t="shared" si="2"/>
        <v/>
      </c>
      <c r="R2130" s="13" t="str">
        <f t="shared" si="3"/>
        <v>Yes</v>
      </c>
      <c r="S2130" s="86" t="str">
        <f t="array" ref="S2130">iferror(XLOOKUP(C2130,'Download of SFDC Activation Rep'!B:B,'Download of SFDC Activation Rep'!Y:Y),"")</f>
        <v/>
      </c>
    </row>
    <row r="2131">
      <c r="A2131" s="17"/>
      <c r="B2131" s="85"/>
      <c r="C2131" s="17"/>
      <c r="D2131" s="85"/>
      <c r="E2131" s="17"/>
      <c r="F2131" s="17"/>
      <c r="G2131" s="17"/>
      <c r="I2131" s="17"/>
      <c r="K2131" s="17"/>
      <c r="L2131" s="17"/>
      <c r="M2131" s="17"/>
      <c r="O2131" s="14">
        <f t="shared" si="1"/>
        <v>0</v>
      </c>
      <c r="P2131" s="86" t="str">
        <f t="array" ref="P2131">iferror(XLOOKUP(C2131,'Download of SFDC Activation Rep'!B:B,'Download of SFDC Activation Rep'!Z:Z),"")</f>
        <v/>
      </c>
      <c r="Q2131" s="86" t="str">
        <f t="shared" si="2"/>
        <v/>
      </c>
      <c r="R2131" s="13" t="str">
        <f t="shared" si="3"/>
        <v>Yes</v>
      </c>
      <c r="S2131" s="86" t="str">
        <f t="array" ref="S2131">iferror(XLOOKUP(C2131,'Download of SFDC Activation Rep'!B:B,'Download of SFDC Activation Rep'!Y:Y),"")</f>
        <v/>
      </c>
    </row>
    <row r="2132">
      <c r="A2132" s="17"/>
      <c r="B2132" s="85"/>
      <c r="C2132" s="17"/>
      <c r="D2132" s="85"/>
      <c r="E2132" s="17"/>
      <c r="F2132" s="17"/>
      <c r="G2132" s="17"/>
      <c r="I2132" s="17"/>
      <c r="K2132" s="17"/>
      <c r="L2132" s="17"/>
      <c r="M2132" s="17"/>
      <c r="O2132" s="14">
        <f t="shared" si="1"/>
        <v>0</v>
      </c>
      <c r="P2132" s="86" t="str">
        <f t="array" ref="P2132">iferror(XLOOKUP(C2132,'Download of SFDC Activation Rep'!B:B,'Download of SFDC Activation Rep'!Z:Z),"")</f>
        <v/>
      </c>
      <c r="Q2132" s="86" t="str">
        <f t="shared" si="2"/>
        <v/>
      </c>
      <c r="R2132" s="13" t="str">
        <f t="shared" si="3"/>
        <v>Yes</v>
      </c>
      <c r="S2132" s="86" t="str">
        <f t="array" ref="S2132">iferror(XLOOKUP(C2132,'Download of SFDC Activation Rep'!B:B,'Download of SFDC Activation Rep'!Y:Y),"")</f>
        <v/>
      </c>
    </row>
    <row r="2133">
      <c r="A2133" s="17"/>
      <c r="B2133" s="85"/>
      <c r="C2133" s="17"/>
      <c r="D2133" s="85"/>
      <c r="E2133" s="17"/>
      <c r="F2133" s="17"/>
      <c r="G2133" s="17"/>
      <c r="I2133" s="17"/>
      <c r="K2133" s="17"/>
      <c r="L2133" s="17"/>
      <c r="M2133" s="17"/>
      <c r="O2133" s="14">
        <f t="shared" si="1"/>
        <v>0</v>
      </c>
      <c r="P2133" s="86" t="str">
        <f t="array" ref="P2133">iferror(XLOOKUP(C2133,'Download of SFDC Activation Rep'!B:B,'Download of SFDC Activation Rep'!Z:Z),"")</f>
        <v/>
      </c>
      <c r="Q2133" s="86" t="str">
        <f t="shared" si="2"/>
        <v/>
      </c>
      <c r="R2133" s="13" t="str">
        <f t="shared" si="3"/>
        <v>Yes</v>
      </c>
      <c r="S2133" s="86" t="str">
        <f t="array" ref="S2133">iferror(XLOOKUP(C2133,'Download of SFDC Activation Rep'!B:B,'Download of SFDC Activation Rep'!Y:Y),"")</f>
        <v/>
      </c>
    </row>
    <row r="2134">
      <c r="A2134" s="17"/>
      <c r="B2134" s="85"/>
      <c r="C2134" s="17"/>
      <c r="D2134" s="85"/>
      <c r="E2134" s="17"/>
      <c r="F2134" s="17"/>
      <c r="G2134" s="17"/>
      <c r="I2134" s="17"/>
      <c r="K2134" s="17"/>
      <c r="L2134" s="17"/>
      <c r="M2134" s="17"/>
      <c r="O2134" s="14">
        <f t="shared" si="1"/>
        <v>0</v>
      </c>
      <c r="P2134" s="86" t="str">
        <f t="array" ref="P2134">iferror(XLOOKUP(C2134,'Download of SFDC Activation Rep'!B:B,'Download of SFDC Activation Rep'!Z:Z),"")</f>
        <v/>
      </c>
      <c r="Q2134" s="86" t="str">
        <f t="shared" si="2"/>
        <v/>
      </c>
      <c r="R2134" s="13" t="str">
        <f t="shared" si="3"/>
        <v>Yes</v>
      </c>
      <c r="S2134" s="86" t="str">
        <f t="array" ref="S2134">iferror(XLOOKUP(C2134,'Download of SFDC Activation Rep'!B:B,'Download of SFDC Activation Rep'!Y:Y),"")</f>
        <v/>
      </c>
    </row>
    <row r="2135">
      <c r="A2135" s="17"/>
      <c r="B2135" s="85"/>
      <c r="C2135" s="17"/>
      <c r="D2135" s="85"/>
      <c r="E2135" s="17"/>
      <c r="F2135" s="17"/>
      <c r="G2135" s="17"/>
      <c r="I2135" s="17"/>
      <c r="K2135" s="17"/>
      <c r="L2135" s="17"/>
      <c r="M2135" s="17"/>
      <c r="O2135" s="14">
        <f t="shared" si="1"/>
        <v>0</v>
      </c>
      <c r="P2135" s="86" t="str">
        <f t="array" ref="P2135">iferror(XLOOKUP(C2135,'Download of SFDC Activation Rep'!B:B,'Download of SFDC Activation Rep'!Z:Z),"")</f>
        <v/>
      </c>
      <c r="Q2135" s="86" t="str">
        <f t="shared" si="2"/>
        <v/>
      </c>
      <c r="R2135" s="13" t="str">
        <f t="shared" si="3"/>
        <v>Yes</v>
      </c>
      <c r="S2135" s="86" t="str">
        <f t="array" ref="S2135">iferror(XLOOKUP(C2135,'Download of SFDC Activation Rep'!B:B,'Download of SFDC Activation Rep'!Y:Y),"")</f>
        <v/>
      </c>
    </row>
    <row r="2136">
      <c r="A2136" s="17"/>
      <c r="B2136" s="85"/>
      <c r="C2136" s="17"/>
      <c r="D2136" s="85"/>
      <c r="E2136" s="17"/>
      <c r="F2136" s="17"/>
      <c r="G2136" s="17"/>
      <c r="I2136" s="17"/>
      <c r="K2136" s="17"/>
      <c r="L2136" s="17"/>
      <c r="M2136" s="17"/>
      <c r="O2136" s="14">
        <f t="shared" si="1"/>
        <v>0</v>
      </c>
      <c r="P2136" s="86" t="str">
        <f t="array" ref="P2136">iferror(XLOOKUP(C2136,'Download of SFDC Activation Rep'!B:B,'Download of SFDC Activation Rep'!Z:Z),"")</f>
        <v/>
      </c>
      <c r="Q2136" s="86" t="str">
        <f t="shared" si="2"/>
        <v/>
      </c>
      <c r="R2136" s="13" t="str">
        <f t="shared" si="3"/>
        <v>Yes</v>
      </c>
      <c r="S2136" s="86" t="str">
        <f t="array" ref="S2136">iferror(XLOOKUP(C2136,'Download of SFDC Activation Rep'!B:B,'Download of SFDC Activation Rep'!Y:Y),"")</f>
        <v/>
      </c>
    </row>
    <row r="2137">
      <c r="A2137" s="17"/>
      <c r="B2137" s="85"/>
      <c r="C2137" s="17"/>
      <c r="D2137" s="85"/>
      <c r="E2137" s="17"/>
      <c r="F2137" s="17"/>
      <c r="G2137" s="17"/>
      <c r="I2137" s="17"/>
      <c r="K2137" s="17"/>
      <c r="L2137" s="17"/>
      <c r="M2137" s="17"/>
      <c r="O2137" s="14">
        <f t="shared" si="1"/>
        <v>0</v>
      </c>
      <c r="P2137" s="86" t="str">
        <f t="array" ref="P2137">iferror(XLOOKUP(C2137,'Download of SFDC Activation Rep'!B:B,'Download of SFDC Activation Rep'!Z:Z),"")</f>
        <v/>
      </c>
      <c r="Q2137" s="86" t="str">
        <f t="shared" si="2"/>
        <v/>
      </c>
      <c r="R2137" s="13" t="str">
        <f t="shared" si="3"/>
        <v>Yes</v>
      </c>
      <c r="S2137" s="86" t="str">
        <f t="array" ref="S2137">iferror(XLOOKUP(C2137,'Download of SFDC Activation Rep'!B:B,'Download of SFDC Activation Rep'!Y:Y),"")</f>
        <v/>
      </c>
    </row>
    <row r="2138">
      <c r="A2138" s="17"/>
      <c r="B2138" s="85"/>
      <c r="C2138" s="17"/>
      <c r="D2138" s="85"/>
      <c r="E2138" s="17"/>
      <c r="F2138" s="17"/>
      <c r="G2138" s="17"/>
      <c r="I2138" s="17"/>
      <c r="K2138" s="17"/>
      <c r="L2138" s="17"/>
      <c r="M2138" s="17"/>
      <c r="O2138" s="14">
        <f t="shared" si="1"/>
        <v>0</v>
      </c>
      <c r="P2138" s="86" t="str">
        <f t="array" ref="P2138">iferror(XLOOKUP(C2138,'Download of SFDC Activation Rep'!B:B,'Download of SFDC Activation Rep'!Z:Z),"")</f>
        <v/>
      </c>
      <c r="Q2138" s="86" t="str">
        <f t="shared" si="2"/>
        <v/>
      </c>
      <c r="R2138" s="13" t="str">
        <f t="shared" si="3"/>
        <v>Yes</v>
      </c>
      <c r="S2138" s="86" t="str">
        <f t="array" ref="S2138">iferror(XLOOKUP(C2138,'Download of SFDC Activation Rep'!B:B,'Download of SFDC Activation Rep'!Y:Y),"")</f>
        <v/>
      </c>
    </row>
    <row r="2139">
      <c r="A2139" s="17"/>
      <c r="B2139" s="85"/>
      <c r="C2139" s="17"/>
      <c r="D2139" s="85"/>
      <c r="E2139" s="17"/>
      <c r="F2139" s="17"/>
      <c r="G2139" s="17"/>
      <c r="I2139" s="17"/>
      <c r="K2139" s="17"/>
      <c r="L2139" s="17"/>
      <c r="M2139" s="17"/>
      <c r="O2139" s="14">
        <f t="shared" si="1"/>
        <v>0</v>
      </c>
      <c r="P2139" s="86" t="str">
        <f t="array" ref="P2139">iferror(XLOOKUP(C2139,'Download of SFDC Activation Rep'!B:B,'Download of SFDC Activation Rep'!Z:Z),"")</f>
        <v/>
      </c>
      <c r="Q2139" s="86" t="str">
        <f t="shared" si="2"/>
        <v/>
      </c>
      <c r="R2139" s="13" t="str">
        <f t="shared" si="3"/>
        <v>Yes</v>
      </c>
      <c r="S2139" s="86" t="str">
        <f t="array" ref="S2139">iferror(XLOOKUP(C2139,'Download of SFDC Activation Rep'!B:B,'Download of SFDC Activation Rep'!Y:Y),"")</f>
        <v/>
      </c>
    </row>
    <row r="2140">
      <c r="A2140" s="17"/>
      <c r="B2140" s="85"/>
      <c r="C2140" s="17"/>
      <c r="D2140" s="85"/>
      <c r="E2140" s="17"/>
      <c r="F2140" s="17"/>
      <c r="G2140" s="17"/>
      <c r="I2140" s="17"/>
      <c r="K2140" s="17"/>
      <c r="L2140" s="17"/>
      <c r="M2140" s="17"/>
      <c r="O2140" s="14">
        <f t="shared" si="1"/>
        <v>0</v>
      </c>
      <c r="P2140" s="86" t="str">
        <f t="array" ref="P2140">iferror(XLOOKUP(C2140,'Download of SFDC Activation Rep'!B:B,'Download of SFDC Activation Rep'!Z:Z),"")</f>
        <v/>
      </c>
      <c r="Q2140" s="86" t="str">
        <f t="shared" si="2"/>
        <v/>
      </c>
      <c r="R2140" s="13" t="str">
        <f t="shared" si="3"/>
        <v>Yes</v>
      </c>
      <c r="S2140" s="86" t="str">
        <f t="array" ref="S2140">iferror(XLOOKUP(C2140,'Download of SFDC Activation Rep'!B:B,'Download of SFDC Activation Rep'!Y:Y),"")</f>
        <v/>
      </c>
    </row>
    <row r="2141">
      <c r="A2141" s="17"/>
      <c r="B2141" s="85"/>
      <c r="C2141" s="17"/>
      <c r="D2141" s="85"/>
      <c r="E2141" s="17"/>
      <c r="F2141" s="17"/>
      <c r="G2141" s="17"/>
      <c r="I2141" s="17"/>
      <c r="K2141" s="17"/>
      <c r="L2141" s="17"/>
      <c r="M2141" s="17"/>
      <c r="O2141" s="14">
        <f t="shared" si="1"/>
        <v>0</v>
      </c>
      <c r="P2141" s="86" t="str">
        <f t="array" ref="P2141">iferror(XLOOKUP(C2141,'Download of SFDC Activation Rep'!B:B,'Download of SFDC Activation Rep'!Z:Z),"")</f>
        <v/>
      </c>
      <c r="Q2141" s="86" t="str">
        <f t="shared" si="2"/>
        <v/>
      </c>
      <c r="R2141" s="13" t="str">
        <f t="shared" si="3"/>
        <v>Yes</v>
      </c>
      <c r="S2141" s="86" t="str">
        <f t="array" ref="S2141">iferror(XLOOKUP(C2141,'Download of SFDC Activation Rep'!B:B,'Download of SFDC Activation Rep'!Y:Y),"")</f>
        <v/>
      </c>
    </row>
    <row r="2142">
      <c r="A2142" s="17"/>
      <c r="B2142" s="85"/>
      <c r="C2142" s="17"/>
      <c r="D2142" s="85"/>
      <c r="E2142" s="17"/>
      <c r="F2142" s="17"/>
      <c r="G2142" s="17"/>
      <c r="I2142" s="17"/>
      <c r="K2142" s="17"/>
      <c r="L2142" s="17"/>
      <c r="M2142" s="17"/>
      <c r="O2142" s="14">
        <f t="shared" si="1"/>
        <v>0</v>
      </c>
      <c r="P2142" s="86" t="str">
        <f t="array" ref="P2142">iferror(XLOOKUP(C2142,'Download of SFDC Activation Rep'!B:B,'Download of SFDC Activation Rep'!Z:Z),"")</f>
        <v/>
      </c>
      <c r="Q2142" s="86" t="str">
        <f t="shared" si="2"/>
        <v/>
      </c>
      <c r="R2142" s="13" t="str">
        <f t="shared" si="3"/>
        <v>Yes</v>
      </c>
      <c r="S2142" s="86" t="str">
        <f t="array" ref="S2142">iferror(XLOOKUP(C2142,'Download of SFDC Activation Rep'!B:B,'Download of SFDC Activation Rep'!Y:Y),"")</f>
        <v/>
      </c>
    </row>
    <row r="2143">
      <c r="A2143" s="17"/>
      <c r="B2143" s="85"/>
      <c r="C2143" s="17"/>
      <c r="D2143" s="85"/>
      <c r="E2143" s="17"/>
      <c r="F2143" s="17"/>
      <c r="G2143" s="17"/>
      <c r="I2143" s="17"/>
      <c r="K2143" s="17"/>
      <c r="L2143" s="17"/>
      <c r="M2143" s="17"/>
      <c r="O2143" s="14">
        <f t="shared" si="1"/>
        <v>0</v>
      </c>
      <c r="P2143" s="86" t="str">
        <f t="array" ref="P2143">iferror(XLOOKUP(C2143,'Download of SFDC Activation Rep'!B:B,'Download of SFDC Activation Rep'!Z:Z),"")</f>
        <v/>
      </c>
      <c r="Q2143" s="86" t="str">
        <f t="shared" si="2"/>
        <v/>
      </c>
      <c r="R2143" s="13" t="str">
        <f t="shared" si="3"/>
        <v>Yes</v>
      </c>
      <c r="S2143" s="86" t="str">
        <f t="array" ref="S2143">iferror(XLOOKUP(C2143,'Download of SFDC Activation Rep'!B:B,'Download of SFDC Activation Rep'!Y:Y),"")</f>
        <v/>
      </c>
    </row>
    <row r="2144">
      <c r="A2144" s="17"/>
      <c r="B2144" s="85"/>
      <c r="C2144" s="17"/>
      <c r="D2144" s="85"/>
      <c r="E2144" s="17"/>
      <c r="F2144" s="17"/>
      <c r="G2144" s="17"/>
      <c r="I2144" s="17"/>
      <c r="K2144" s="17"/>
      <c r="L2144" s="17"/>
      <c r="M2144" s="17"/>
      <c r="O2144" s="14">
        <f t="shared" si="1"/>
        <v>0</v>
      </c>
      <c r="P2144" s="86" t="str">
        <f t="array" ref="P2144">iferror(XLOOKUP(C2144,'Download of SFDC Activation Rep'!B:B,'Download of SFDC Activation Rep'!Z:Z),"")</f>
        <v/>
      </c>
      <c r="Q2144" s="86" t="str">
        <f t="shared" si="2"/>
        <v/>
      </c>
      <c r="R2144" s="13" t="str">
        <f t="shared" si="3"/>
        <v>Yes</v>
      </c>
      <c r="S2144" s="86" t="str">
        <f t="array" ref="S2144">iferror(XLOOKUP(C2144,'Download of SFDC Activation Rep'!B:B,'Download of SFDC Activation Rep'!Y:Y),"")</f>
        <v/>
      </c>
    </row>
    <row r="2145">
      <c r="A2145" s="17"/>
      <c r="B2145" s="85"/>
      <c r="C2145" s="17"/>
      <c r="D2145" s="85"/>
      <c r="E2145" s="17"/>
      <c r="F2145" s="17"/>
      <c r="G2145" s="17"/>
      <c r="I2145" s="17"/>
      <c r="K2145" s="17"/>
      <c r="L2145" s="17"/>
      <c r="M2145" s="17"/>
      <c r="O2145" s="14">
        <f t="shared" si="1"/>
        <v>0</v>
      </c>
      <c r="P2145" s="86" t="str">
        <f t="array" ref="P2145">iferror(XLOOKUP(C2145,'Download of SFDC Activation Rep'!B:B,'Download of SFDC Activation Rep'!Z:Z),"")</f>
        <v/>
      </c>
      <c r="Q2145" s="86" t="str">
        <f t="shared" si="2"/>
        <v/>
      </c>
      <c r="R2145" s="13" t="str">
        <f t="shared" si="3"/>
        <v>Yes</v>
      </c>
      <c r="S2145" s="86" t="str">
        <f t="array" ref="S2145">iferror(XLOOKUP(C2145,'Download of SFDC Activation Rep'!B:B,'Download of SFDC Activation Rep'!Y:Y),"")</f>
        <v/>
      </c>
    </row>
    <row r="2146">
      <c r="A2146" s="17"/>
      <c r="B2146" s="85"/>
      <c r="C2146" s="17"/>
      <c r="D2146" s="85"/>
      <c r="E2146" s="17"/>
      <c r="F2146" s="17"/>
      <c r="G2146" s="17"/>
      <c r="I2146" s="17"/>
      <c r="K2146" s="17"/>
      <c r="L2146" s="17"/>
      <c r="M2146" s="17"/>
      <c r="O2146" s="14">
        <f t="shared" si="1"/>
        <v>0</v>
      </c>
      <c r="P2146" s="86" t="str">
        <f t="array" ref="P2146">iferror(XLOOKUP(C2146,'Download of SFDC Activation Rep'!B:B,'Download of SFDC Activation Rep'!Z:Z),"")</f>
        <v/>
      </c>
      <c r="Q2146" s="86" t="str">
        <f t="shared" si="2"/>
        <v/>
      </c>
      <c r="R2146" s="13" t="str">
        <f t="shared" si="3"/>
        <v>Yes</v>
      </c>
      <c r="S2146" s="86" t="str">
        <f t="array" ref="S2146">iferror(XLOOKUP(C2146,'Download of SFDC Activation Rep'!B:B,'Download of SFDC Activation Rep'!Y:Y),"")</f>
        <v/>
      </c>
    </row>
    <row r="2147">
      <c r="A2147" s="17"/>
      <c r="B2147" s="85"/>
      <c r="C2147" s="17"/>
      <c r="D2147" s="85"/>
      <c r="E2147" s="17"/>
      <c r="F2147" s="17"/>
      <c r="G2147" s="17"/>
      <c r="I2147" s="17"/>
      <c r="K2147" s="17"/>
      <c r="L2147" s="17"/>
      <c r="M2147" s="17"/>
      <c r="O2147" s="14">
        <f t="shared" si="1"/>
        <v>0</v>
      </c>
      <c r="P2147" s="86" t="str">
        <f t="array" ref="P2147">iferror(XLOOKUP(C2147,'Download of SFDC Activation Rep'!B:B,'Download of SFDC Activation Rep'!Z:Z),"")</f>
        <v/>
      </c>
      <c r="Q2147" s="86" t="str">
        <f t="shared" si="2"/>
        <v/>
      </c>
      <c r="R2147" s="13" t="str">
        <f t="shared" si="3"/>
        <v>Yes</v>
      </c>
      <c r="S2147" s="86" t="str">
        <f t="array" ref="S2147">iferror(XLOOKUP(C2147,'Download of SFDC Activation Rep'!B:B,'Download of SFDC Activation Rep'!Y:Y),"")</f>
        <v/>
      </c>
    </row>
    <row r="2148">
      <c r="A2148" s="17"/>
      <c r="B2148" s="85"/>
      <c r="C2148" s="17"/>
      <c r="D2148" s="85"/>
      <c r="E2148" s="17"/>
      <c r="F2148" s="17"/>
      <c r="G2148" s="17"/>
      <c r="I2148" s="17"/>
      <c r="K2148" s="17"/>
      <c r="L2148" s="17"/>
      <c r="M2148" s="17"/>
      <c r="O2148" s="14">
        <f t="shared" si="1"/>
        <v>0</v>
      </c>
      <c r="P2148" s="86" t="str">
        <f t="array" ref="P2148">iferror(XLOOKUP(C2148,'Download of SFDC Activation Rep'!B:B,'Download of SFDC Activation Rep'!Z:Z),"")</f>
        <v/>
      </c>
      <c r="Q2148" s="86" t="str">
        <f t="shared" si="2"/>
        <v/>
      </c>
      <c r="R2148" s="13" t="str">
        <f t="shared" si="3"/>
        <v>Yes</v>
      </c>
      <c r="S2148" s="86" t="str">
        <f t="array" ref="S2148">iferror(XLOOKUP(C2148,'Download of SFDC Activation Rep'!B:B,'Download of SFDC Activation Rep'!Y:Y),"")</f>
        <v/>
      </c>
    </row>
    <row r="2149">
      <c r="A2149" s="17"/>
      <c r="B2149" s="85"/>
      <c r="C2149" s="17"/>
      <c r="D2149" s="85"/>
      <c r="E2149" s="17"/>
      <c r="F2149" s="17"/>
      <c r="G2149" s="17"/>
      <c r="I2149" s="17"/>
      <c r="K2149" s="17"/>
      <c r="L2149" s="17"/>
      <c r="M2149" s="17"/>
      <c r="O2149" s="14">
        <f t="shared" si="1"/>
        <v>0</v>
      </c>
      <c r="P2149" s="86" t="str">
        <f t="array" ref="P2149">iferror(XLOOKUP(C2149,'Download of SFDC Activation Rep'!B:B,'Download of SFDC Activation Rep'!Z:Z),"")</f>
        <v/>
      </c>
      <c r="Q2149" s="86" t="str">
        <f t="shared" si="2"/>
        <v/>
      </c>
      <c r="R2149" s="13" t="str">
        <f t="shared" si="3"/>
        <v>Yes</v>
      </c>
      <c r="S2149" s="86" t="str">
        <f t="array" ref="S2149">iferror(XLOOKUP(C2149,'Download of SFDC Activation Rep'!B:B,'Download of SFDC Activation Rep'!Y:Y),"")</f>
        <v/>
      </c>
    </row>
    <row r="2150">
      <c r="A2150" s="17"/>
      <c r="B2150" s="85"/>
      <c r="C2150" s="17"/>
      <c r="D2150" s="85"/>
      <c r="E2150" s="17"/>
      <c r="F2150" s="17"/>
      <c r="G2150" s="17"/>
      <c r="I2150" s="17"/>
      <c r="K2150" s="17"/>
      <c r="L2150" s="17"/>
      <c r="M2150" s="17"/>
      <c r="O2150" s="14">
        <f t="shared" si="1"/>
        <v>0</v>
      </c>
      <c r="P2150" s="86" t="str">
        <f t="array" ref="P2150">iferror(XLOOKUP(C2150,'Download of SFDC Activation Rep'!B:B,'Download of SFDC Activation Rep'!Z:Z),"")</f>
        <v/>
      </c>
      <c r="Q2150" s="86" t="str">
        <f t="shared" si="2"/>
        <v/>
      </c>
      <c r="R2150" s="13" t="str">
        <f t="shared" si="3"/>
        <v>Yes</v>
      </c>
      <c r="S2150" s="86" t="str">
        <f t="array" ref="S2150">iferror(XLOOKUP(C2150,'Download of SFDC Activation Rep'!B:B,'Download of SFDC Activation Rep'!Y:Y),"")</f>
        <v/>
      </c>
    </row>
    <row r="2151">
      <c r="A2151" s="17"/>
      <c r="B2151" s="85"/>
      <c r="C2151" s="17"/>
      <c r="D2151" s="85"/>
      <c r="E2151" s="17"/>
      <c r="F2151" s="17"/>
      <c r="G2151" s="17"/>
      <c r="I2151" s="17"/>
      <c r="K2151" s="17"/>
      <c r="L2151" s="17"/>
      <c r="M2151" s="17"/>
      <c r="O2151" s="14">
        <f t="shared" si="1"/>
        <v>0</v>
      </c>
      <c r="P2151" s="86" t="str">
        <f t="array" ref="P2151">iferror(XLOOKUP(C2151,'Download of SFDC Activation Rep'!B:B,'Download of SFDC Activation Rep'!Z:Z),"")</f>
        <v/>
      </c>
      <c r="Q2151" s="86" t="str">
        <f t="shared" si="2"/>
        <v/>
      </c>
      <c r="R2151" s="13" t="str">
        <f t="shared" si="3"/>
        <v>Yes</v>
      </c>
      <c r="S2151" s="86" t="str">
        <f t="array" ref="S2151">iferror(XLOOKUP(C2151,'Download of SFDC Activation Rep'!B:B,'Download of SFDC Activation Rep'!Y:Y),"")</f>
        <v/>
      </c>
    </row>
    <row r="2152">
      <c r="A2152" s="17"/>
      <c r="B2152" s="85"/>
      <c r="C2152" s="17"/>
      <c r="D2152" s="85"/>
      <c r="E2152" s="17"/>
      <c r="F2152" s="17"/>
      <c r="G2152" s="17"/>
      <c r="I2152" s="17"/>
      <c r="K2152" s="17"/>
      <c r="L2152" s="17"/>
      <c r="M2152" s="17"/>
      <c r="O2152" s="14">
        <f t="shared" si="1"/>
        <v>0</v>
      </c>
      <c r="P2152" s="86" t="str">
        <f t="array" ref="P2152">iferror(XLOOKUP(C2152,'Download of SFDC Activation Rep'!B:B,'Download of SFDC Activation Rep'!Z:Z),"")</f>
        <v/>
      </c>
      <c r="Q2152" s="86" t="str">
        <f t="shared" si="2"/>
        <v/>
      </c>
      <c r="R2152" s="13" t="str">
        <f t="shared" si="3"/>
        <v>Yes</v>
      </c>
      <c r="S2152" s="86" t="str">
        <f t="array" ref="S2152">iferror(XLOOKUP(C2152,'Download of SFDC Activation Rep'!B:B,'Download of SFDC Activation Rep'!Y:Y),"")</f>
        <v/>
      </c>
    </row>
    <row r="2153">
      <c r="A2153" s="17"/>
      <c r="B2153" s="85"/>
      <c r="C2153" s="17"/>
      <c r="D2153" s="85"/>
      <c r="E2153" s="17"/>
      <c r="F2153" s="17"/>
      <c r="G2153" s="17"/>
      <c r="I2153" s="17"/>
      <c r="K2153" s="17"/>
      <c r="L2153" s="17"/>
      <c r="M2153" s="17"/>
      <c r="O2153" s="14">
        <f t="shared" si="1"/>
        <v>0</v>
      </c>
      <c r="P2153" s="86" t="str">
        <f t="array" ref="P2153">iferror(XLOOKUP(C2153,'Download of SFDC Activation Rep'!B:B,'Download of SFDC Activation Rep'!Z:Z),"")</f>
        <v/>
      </c>
      <c r="Q2153" s="86" t="str">
        <f t="shared" si="2"/>
        <v/>
      </c>
      <c r="R2153" s="13" t="str">
        <f t="shared" si="3"/>
        <v>Yes</v>
      </c>
      <c r="S2153" s="86" t="str">
        <f t="array" ref="S2153">iferror(XLOOKUP(C2153,'Download of SFDC Activation Rep'!B:B,'Download of SFDC Activation Rep'!Y:Y),"")</f>
        <v/>
      </c>
    </row>
    <row r="2154">
      <c r="A2154" s="17"/>
      <c r="B2154" s="85"/>
      <c r="C2154" s="17"/>
      <c r="D2154" s="85"/>
      <c r="E2154" s="17"/>
      <c r="F2154" s="17"/>
      <c r="G2154" s="17"/>
      <c r="I2154" s="17"/>
      <c r="K2154" s="17"/>
      <c r="L2154" s="17"/>
      <c r="M2154" s="17"/>
      <c r="O2154" s="14">
        <f t="shared" si="1"/>
        <v>0</v>
      </c>
      <c r="P2154" s="86" t="str">
        <f t="array" ref="P2154">iferror(XLOOKUP(C2154,'Download of SFDC Activation Rep'!B:B,'Download of SFDC Activation Rep'!Z:Z),"")</f>
        <v/>
      </c>
      <c r="Q2154" s="86" t="str">
        <f t="shared" si="2"/>
        <v/>
      </c>
      <c r="R2154" s="13" t="str">
        <f t="shared" si="3"/>
        <v>Yes</v>
      </c>
      <c r="S2154" s="86" t="str">
        <f t="array" ref="S2154">iferror(XLOOKUP(C2154,'Download of SFDC Activation Rep'!B:B,'Download of SFDC Activation Rep'!Y:Y),"")</f>
        <v/>
      </c>
    </row>
    <row r="2155">
      <c r="A2155" s="17"/>
      <c r="B2155" s="85"/>
      <c r="C2155" s="17"/>
      <c r="D2155" s="85"/>
      <c r="E2155" s="17"/>
      <c r="F2155" s="17"/>
      <c r="G2155" s="17"/>
      <c r="I2155" s="17"/>
      <c r="K2155" s="17"/>
      <c r="L2155" s="17"/>
      <c r="M2155" s="17"/>
      <c r="O2155" s="14">
        <f t="shared" si="1"/>
        <v>0</v>
      </c>
      <c r="P2155" s="86" t="str">
        <f t="array" ref="P2155">iferror(XLOOKUP(C2155,'Download of SFDC Activation Rep'!B:B,'Download of SFDC Activation Rep'!Z:Z),"")</f>
        <v/>
      </c>
      <c r="Q2155" s="86" t="str">
        <f t="shared" si="2"/>
        <v/>
      </c>
      <c r="R2155" s="13" t="str">
        <f t="shared" si="3"/>
        <v>Yes</v>
      </c>
      <c r="S2155" s="86" t="str">
        <f t="array" ref="S2155">iferror(XLOOKUP(C2155,'Download of SFDC Activation Rep'!B:B,'Download of SFDC Activation Rep'!Y:Y),"")</f>
        <v/>
      </c>
    </row>
    <row r="2156">
      <c r="A2156" s="17"/>
      <c r="B2156" s="85"/>
      <c r="C2156" s="17"/>
      <c r="D2156" s="85"/>
      <c r="E2156" s="17"/>
      <c r="F2156" s="17"/>
      <c r="G2156" s="17"/>
      <c r="I2156" s="17"/>
      <c r="K2156" s="17"/>
      <c r="L2156" s="17"/>
      <c r="M2156" s="17"/>
      <c r="O2156" s="14">
        <f t="shared" si="1"/>
        <v>0</v>
      </c>
      <c r="P2156" s="86" t="str">
        <f t="array" ref="P2156">iferror(XLOOKUP(C2156,'Download of SFDC Activation Rep'!B:B,'Download of SFDC Activation Rep'!Z:Z),"")</f>
        <v/>
      </c>
      <c r="Q2156" s="86" t="str">
        <f t="shared" si="2"/>
        <v/>
      </c>
      <c r="R2156" s="13" t="str">
        <f t="shared" si="3"/>
        <v>Yes</v>
      </c>
      <c r="S2156" s="86" t="str">
        <f t="array" ref="S2156">iferror(XLOOKUP(C2156,'Download of SFDC Activation Rep'!B:B,'Download of SFDC Activation Rep'!Y:Y),"")</f>
        <v/>
      </c>
    </row>
    <row r="2157">
      <c r="A2157" s="17"/>
      <c r="B2157" s="85"/>
      <c r="C2157" s="17"/>
      <c r="D2157" s="85"/>
      <c r="E2157" s="17"/>
      <c r="F2157" s="17"/>
      <c r="G2157" s="17"/>
      <c r="I2157" s="17"/>
      <c r="K2157" s="17"/>
      <c r="L2157" s="17"/>
      <c r="M2157" s="17"/>
      <c r="O2157" s="14">
        <f t="shared" si="1"/>
        <v>0</v>
      </c>
      <c r="P2157" s="86" t="str">
        <f t="array" ref="P2157">iferror(XLOOKUP(C2157,'Download of SFDC Activation Rep'!B:B,'Download of SFDC Activation Rep'!Z:Z),"")</f>
        <v/>
      </c>
      <c r="Q2157" s="86" t="str">
        <f t="shared" si="2"/>
        <v/>
      </c>
      <c r="R2157" s="13" t="str">
        <f t="shared" si="3"/>
        <v>Yes</v>
      </c>
      <c r="S2157" s="86" t="str">
        <f t="array" ref="S2157">iferror(XLOOKUP(C2157,'Download of SFDC Activation Rep'!B:B,'Download of SFDC Activation Rep'!Y:Y),"")</f>
        <v/>
      </c>
    </row>
    <row r="2158">
      <c r="A2158" s="17"/>
      <c r="B2158" s="85"/>
      <c r="C2158" s="17"/>
      <c r="D2158" s="85"/>
      <c r="E2158" s="17"/>
      <c r="F2158" s="17"/>
      <c r="G2158" s="17"/>
      <c r="I2158" s="17"/>
      <c r="K2158" s="17"/>
      <c r="L2158" s="17"/>
      <c r="M2158" s="17"/>
      <c r="O2158" s="14">
        <f t="shared" si="1"/>
        <v>0</v>
      </c>
      <c r="P2158" s="86" t="str">
        <f t="array" ref="P2158">iferror(XLOOKUP(C2158,'Download of SFDC Activation Rep'!B:B,'Download of SFDC Activation Rep'!Z:Z),"")</f>
        <v/>
      </c>
      <c r="Q2158" s="86" t="str">
        <f t="shared" si="2"/>
        <v/>
      </c>
      <c r="R2158" s="13" t="str">
        <f t="shared" si="3"/>
        <v>Yes</v>
      </c>
      <c r="S2158" s="86" t="str">
        <f t="array" ref="S2158">iferror(XLOOKUP(C2158,'Download of SFDC Activation Rep'!B:B,'Download of SFDC Activation Rep'!Y:Y),"")</f>
        <v/>
      </c>
    </row>
    <row r="2159">
      <c r="A2159" s="17"/>
      <c r="B2159" s="85"/>
      <c r="C2159" s="17"/>
      <c r="D2159" s="85"/>
      <c r="E2159" s="17"/>
      <c r="F2159" s="17"/>
      <c r="G2159" s="17"/>
      <c r="I2159" s="17"/>
      <c r="K2159" s="17"/>
      <c r="L2159" s="17"/>
      <c r="M2159" s="17"/>
      <c r="O2159" s="14">
        <f t="shared" si="1"/>
        <v>0</v>
      </c>
      <c r="P2159" s="86" t="str">
        <f t="array" ref="P2159">iferror(XLOOKUP(C2159,'Download of SFDC Activation Rep'!B:B,'Download of SFDC Activation Rep'!Z:Z),"")</f>
        <v/>
      </c>
      <c r="Q2159" s="86" t="str">
        <f t="shared" si="2"/>
        <v/>
      </c>
      <c r="R2159" s="13" t="str">
        <f t="shared" si="3"/>
        <v>Yes</v>
      </c>
      <c r="S2159" s="86" t="str">
        <f t="array" ref="S2159">iferror(XLOOKUP(C2159,'Download of SFDC Activation Rep'!B:B,'Download of SFDC Activation Rep'!Y:Y),"")</f>
        <v/>
      </c>
    </row>
    <row r="2160">
      <c r="A2160" s="17"/>
      <c r="B2160" s="85"/>
      <c r="C2160" s="17"/>
      <c r="D2160" s="85"/>
      <c r="E2160" s="17"/>
      <c r="F2160" s="17"/>
      <c r="G2160" s="17"/>
      <c r="I2160" s="17"/>
      <c r="K2160" s="17"/>
      <c r="L2160" s="17"/>
      <c r="M2160" s="17"/>
      <c r="O2160" s="14">
        <f t="shared" si="1"/>
        <v>0</v>
      </c>
      <c r="P2160" s="86" t="str">
        <f t="array" ref="P2160">iferror(XLOOKUP(C2160,'Download of SFDC Activation Rep'!B:B,'Download of SFDC Activation Rep'!Z:Z),"")</f>
        <v/>
      </c>
      <c r="Q2160" s="86" t="str">
        <f t="shared" si="2"/>
        <v/>
      </c>
      <c r="R2160" s="13" t="str">
        <f t="shared" si="3"/>
        <v>Yes</v>
      </c>
      <c r="S2160" s="86" t="str">
        <f t="array" ref="S2160">iferror(XLOOKUP(C2160,'Download of SFDC Activation Rep'!B:B,'Download of SFDC Activation Rep'!Y:Y),"")</f>
        <v/>
      </c>
    </row>
    <row r="2161">
      <c r="A2161" s="17"/>
      <c r="B2161" s="85"/>
      <c r="C2161" s="17"/>
      <c r="D2161" s="85"/>
      <c r="E2161" s="17"/>
      <c r="F2161" s="17"/>
      <c r="G2161" s="17"/>
      <c r="I2161" s="17"/>
      <c r="K2161" s="17"/>
      <c r="L2161" s="17"/>
      <c r="M2161" s="17"/>
      <c r="O2161" s="14">
        <f t="shared" si="1"/>
        <v>0</v>
      </c>
      <c r="P2161" s="86" t="str">
        <f t="array" ref="P2161">iferror(XLOOKUP(C2161,'Download of SFDC Activation Rep'!B:B,'Download of SFDC Activation Rep'!Z:Z),"")</f>
        <v/>
      </c>
      <c r="Q2161" s="86" t="str">
        <f t="shared" si="2"/>
        <v/>
      </c>
      <c r="R2161" s="13" t="str">
        <f t="shared" si="3"/>
        <v>Yes</v>
      </c>
      <c r="S2161" s="86" t="str">
        <f t="array" ref="S2161">iferror(XLOOKUP(C2161,'Download of SFDC Activation Rep'!B:B,'Download of SFDC Activation Rep'!Y:Y),"")</f>
        <v/>
      </c>
    </row>
    <row r="2162">
      <c r="A2162" s="17"/>
      <c r="B2162" s="85"/>
      <c r="C2162" s="17"/>
      <c r="D2162" s="85"/>
      <c r="E2162" s="17"/>
      <c r="F2162" s="17"/>
      <c r="G2162" s="17"/>
      <c r="I2162" s="17"/>
      <c r="K2162" s="17"/>
      <c r="L2162" s="17"/>
      <c r="M2162" s="17"/>
      <c r="O2162" s="14">
        <f t="shared" si="1"/>
        <v>0</v>
      </c>
      <c r="P2162" s="86" t="str">
        <f t="array" ref="P2162">iferror(XLOOKUP(C2162,'Download of SFDC Activation Rep'!B:B,'Download of SFDC Activation Rep'!Z:Z),"")</f>
        <v/>
      </c>
      <c r="Q2162" s="86" t="str">
        <f t="shared" si="2"/>
        <v/>
      </c>
      <c r="R2162" s="13" t="str">
        <f t="shared" si="3"/>
        <v>Yes</v>
      </c>
      <c r="S2162" s="86" t="str">
        <f t="array" ref="S2162">iferror(XLOOKUP(C2162,'Download of SFDC Activation Rep'!B:B,'Download of SFDC Activation Rep'!Y:Y),"")</f>
        <v/>
      </c>
    </row>
    <row r="2163">
      <c r="A2163" s="17"/>
      <c r="B2163" s="85"/>
      <c r="C2163" s="17"/>
      <c r="D2163" s="85"/>
      <c r="E2163" s="17"/>
      <c r="F2163" s="17"/>
      <c r="G2163" s="17"/>
      <c r="I2163" s="17"/>
      <c r="K2163" s="17"/>
      <c r="L2163" s="17"/>
      <c r="M2163" s="17"/>
      <c r="O2163" s="14">
        <f t="shared" si="1"/>
        <v>0</v>
      </c>
      <c r="P2163" s="86" t="str">
        <f t="array" ref="P2163">iferror(XLOOKUP(C2163,'Download of SFDC Activation Rep'!B:B,'Download of SFDC Activation Rep'!Z:Z),"")</f>
        <v/>
      </c>
      <c r="Q2163" s="86" t="str">
        <f t="shared" si="2"/>
        <v/>
      </c>
      <c r="R2163" s="13" t="str">
        <f t="shared" si="3"/>
        <v>Yes</v>
      </c>
      <c r="S2163" s="86" t="str">
        <f t="array" ref="S2163">iferror(XLOOKUP(C2163,'Download of SFDC Activation Rep'!B:B,'Download of SFDC Activation Rep'!Y:Y),"")</f>
        <v/>
      </c>
    </row>
    <row r="2164">
      <c r="A2164" s="17"/>
      <c r="B2164" s="85"/>
      <c r="C2164" s="17"/>
      <c r="D2164" s="85"/>
      <c r="E2164" s="17"/>
      <c r="F2164" s="17"/>
      <c r="G2164" s="17"/>
      <c r="I2164" s="17"/>
      <c r="K2164" s="17"/>
      <c r="L2164" s="17"/>
      <c r="M2164" s="17"/>
      <c r="O2164" s="14">
        <f t="shared" si="1"/>
        <v>0</v>
      </c>
      <c r="P2164" s="86" t="str">
        <f t="array" ref="P2164">iferror(XLOOKUP(C2164,'Download of SFDC Activation Rep'!B:B,'Download of SFDC Activation Rep'!Z:Z),"")</f>
        <v/>
      </c>
      <c r="Q2164" s="86" t="str">
        <f t="shared" si="2"/>
        <v/>
      </c>
      <c r="R2164" s="13" t="str">
        <f t="shared" si="3"/>
        <v>Yes</v>
      </c>
      <c r="S2164" s="86" t="str">
        <f t="array" ref="S2164">iferror(XLOOKUP(C2164,'Download of SFDC Activation Rep'!B:B,'Download of SFDC Activation Rep'!Y:Y),"")</f>
        <v/>
      </c>
    </row>
    <row r="2165">
      <c r="A2165" s="17"/>
      <c r="B2165" s="85"/>
      <c r="C2165" s="17"/>
      <c r="D2165" s="85"/>
      <c r="E2165" s="17"/>
      <c r="F2165" s="17"/>
      <c r="G2165" s="17"/>
      <c r="I2165" s="17"/>
      <c r="K2165" s="17"/>
      <c r="L2165" s="17"/>
      <c r="M2165" s="17"/>
      <c r="O2165" s="14">
        <f t="shared" si="1"/>
        <v>0</v>
      </c>
      <c r="P2165" s="86" t="str">
        <f t="array" ref="P2165">iferror(XLOOKUP(C2165,'Download of SFDC Activation Rep'!B:B,'Download of SFDC Activation Rep'!Z:Z),"")</f>
        <v/>
      </c>
      <c r="Q2165" s="86" t="str">
        <f t="shared" si="2"/>
        <v/>
      </c>
      <c r="R2165" s="13" t="str">
        <f t="shared" si="3"/>
        <v>Yes</v>
      </c>
      <c r="S2165" s="86" t="str">
        <f t="array" ref="S2165">iferror(XLOOKUP(C2165,'Download of SFDC Activation Rep'!B:B,'Download of SFDC Activation Rep'!Y:Y),"")</f>
        <v/>
      </c>
    </row>
    <row r="2166">
      <c r="A2166" s="17"/>
      <c r="B2166" s="85"/>
      <c r="C2166" s="17"/>
      <c r="D2166" s="85"/>
      <c r="E2166" s="17"/>
      <c r="F2166" s="17"/>
      <c r="G2166" s="17"/>
      <c r="I2166" s="17"/>
      <c r="K2166" s="17"/>
      <c r="L2166" s="17"/>
      <c r="M2166" s="17"/>
      <c r="O2166" s="14">
        <f t="shared" si="1"/>
        <v>0</v>
      </c>
      <c r="P2166" s="86" t="str">
        <f t="array" ref="P2166">iferror(XLOOKUP(C2166,'Download of SFDC Activation Rep'!B:B,'Download of SFDC Activation Rep'!Z:Z),"")</f>
        <v/>
      </c>
      <c r="Q2166" s="86" t="str">
        <f t="shared" si="2"/>
        <v/>
      </c>
      <c r="R2166" s="13" t="str">
        <f t="shared" si="3"/>
        <v>Yes</v>
      </c>
      <c r="S2166" s="86" t="str">
        <f t="array" ref="S2166">iferror(XLOOKUP(C2166,'Download of SFDC Activation Rep'!B:B,'Download of SFDC Activation Rep'!Y:Y),"")</f>
        <v/>
      </c>
    </row>
    <row r="2167">
      <c r="A2167" s="17"/>
      <c r="B2167" s="85"/>
      <c r="C2167" s="17"/>
      <c r="D2167" s="85"/>
      <c r="E2167" s="17"/>
      <c r="F2167" s="17"/>
      <c r="G2167" s="17"/>
      <c r="I2167" s="17"/>
      <c r="K2167" s="17"/>
      <c r="L2167" s="17"/>
      <c r="M2167" s="17"/>
      <c r="O2167" s="14">
        <f t="shared" si="1"/>
        <v>0</v>
      </c>
      <c r="P2167" s="86" t="str">
        <f t="array" ref="P2167">iferror(XLOOKUP(C2167,'Download of SFDC Activation Rep'!B:B,'Download of SFDC Activation Rep'!Z:Z),"")</f>
        <v/>
      </c>
      <c r="Q2167" s="86" t="str">
        <f t="shared" si="2"/>
        <v/>
      </c>
      <c r="R2167" s="13" t="str">
        <f t="shared" si="3"/>
        <v>Yes</v>
      </c>
      <c r="S2167" s="86" t="str">
        <f t="array" ref="S2167">iferror(XLOOKUP(C2167,'Download of SFDC Activation Rep'!B:B,'Download of SFDC Activation Rep'!Y:Y),"")</f>
        <v/>
      </c>
    </row>
    <row r="2168">
      <c r="A2168" s="17"/>
      <c r="B2168" s="85"/>
      <c r="C2168" s="17"/>
      <c r="D2168" s="85"/>
      <c r="E2168" s="17"/>
      <c r="F2168" s="17"/>
      <c r="G2168" s="17"/>
      <c r="I2168" s="17"/>
      <c r="K2168" s="17"/>
      <c r="L2168" s="17"/>
      <c r="M2168" s="17"/>
      <c r="O2168" s="14">
        <f t="shared" si="1"/>
        <v>0</v>
      </c>
      <c r="P2168" s="86" t="str">
        <f t="array" ref="P2168">iferror(XLOOKUP(C2168,'Download of SFDC Activation Rep'!B:B,'Download of SFDC Activation Rep'!Z:Z),"")</f>
        <v/>
      </c>
      <c r="Q2168" s="86" t="str">
        <f t="shared" si="2"/>
        <v/>
      </c>
      <c r="R2168" s="13" t="str">
        <f t="shared" si="3"/>
        <v>Yes</v>
      </c>
      <c r="S2168" s="86" t="str">
        <f t="array" ref="S2168">iferror(XLOOKUP(C2168,'Download of SFDC Activation Rep'!B:B,'Download of SFDC Activation Rep'!Y:Y),"")</f>
        <v/>
      </c>
    </row>
    <row r="2169">
      <c r="A2169" s="17"/>
      <c r="B2169" s="85"/>
      <c r="C2169" s="17"/>
      <c r="D2169" s="85"/>
      <c r="E2169" s="17"/>
      <c r="F2169" s="17"/>
      <c r="G2169" s="17"/>
      <c r="I2169" s="17"/>
      <c r="K2169" s="17"/>
      <c r="L2169" s="17"/>
      <c r="M2169" s="17"/>
      <c r="O2169" s="14">
        <f t="shared" si="1"/>
        <v>0</v>
      </c>
      <c r="P2169" s="86" t="str">
        <f t="array" ref="P2169">iferror(XLOOKUP(C2169,'Download of SFDC Activation Rep'!B:B,'Download of SFDC Activation Rep'!Z:Z),"")</f>
        <v/>
      </c>
      <c r="Q2169" s="86" t="str">
        <f t="shared" si="2"/>
        <v/>
      </c>
      <c r="R2169" s="13" t="str">
        <f t="shared" si="3"/>
        <v>Yes</v>
      </c>
      <c r="S2169" s="86" t="str">
        <f t="array" ref="S2169">iferror(XLOOKUP(C2169,'Download of SFDC Activation Rep'!B:B,'Download of SFDC Activation Rep'!Y:Y),"")</f>
        <v/>
      </c>
    </row>
    <row r="2170">
      <c r="A2170" s="17"/>
      <c r="B2170" s="85"/>
      <c r="C2170" s="17"/>
      <c r="D2170" s="85"/>
      <c r="E2170" s="17"/>
      <c r="F2170" s="17"/>
      <c r="G2170" s="17"/>
      <c r="I2170" s="17"/>
      <c r="K2170" s="17"/>
      <c r="L2170" s="17"/>
      <c r="M2170" s="17"/>
      <c r="O2170" s="14">
        <f t="shared" si="1"/>
        <v>0</v>
      </c>
      <c r="P2170" s="86" t="str">
        <f t="array" ref="P2170">iferror(XLOOKUP(C2170,'Download of SFDC Activation Rep'!B:B,'Download of SFDC Activation Rep'!Z:Z),"")</f>
        <v/>
      </c>
      <c r="Q2170" s="86" t="str">
        <f t="shared" si="2"/>
        <v/>
      </c>
      <c r="R2170" s="13" t="str">
        <f t="shared" si="3"/>
        <v>Yes</v>
      </c>
      <c r="S2170" s="86" t="str">
        <f t="array" ref="S2170">iferror(XLOOKUP(C2170,'Download of SFDC Activation Rep'!B:B,'Download of SFDC Activation Rep'!Y:Y),"")</f>
        <v/>
      </c>
    </row>
    <row r="2171">
      <c r="A2171" s="17"/>
      <c r="B2171" s="85"/>
      <c r="C2171" s="17"/>
      <c r="D2171" s="85"/>
      <c r="E2171" s="17"/>
      <c r="F2171" s="17"/>
      <c r="G2171" s="17"/>
      <c r="I2171" s="17"/>
      <c r="K2171" s="17"/>
      <c r="L2171" s="17"/>
      <c r="M2171" s="17"/>
      <c r="O2171" s="14">
        <f t="shared" si="1"/>
        <v>0</v>
      </c>
      <c r="P2171" s="86" t="str">
        <f t="array" ref="P2171">iferror(XLOOKUP(C2171,'Download of SFDC Activation Rep'!B:B,'Download of SFDC Activation Rep'!Z:Z),"")</f>
        <v/>
      </c>
      <c r="Q2171" s="86" t="str">
        <f t="shared" si="2"/>
        <v/>
      </c>
      <c r="R2171" s="13" t="str">
        <f t="shared" si="3"/>
        <v>Yes</v>
      </c>
      <c r="S2171" s="86" t="str">
        <f t="array" ref="S2171">iferror(XLOOKUP(C2171,'Download of SFDC Activation Rep'!B:B,'Download of SFDC Activation Rep'!Y:Y),"")</f>
        <v/>
      </c>
    </row>
    <row r="2172">
      <c r="A2172" s="17"/>
      <c r="B2172" s="85"/>
      <c r="C2172" s="17"/>
      <c r="D2172" s="85"/>
      <c r="E2172" s="17"/>
      <c r="F2172" s="17"/>
      <c r="G2172" s="17"/>
      <c r="I2172" s="17"/>
      <c r="K2172" s="17"/>
      <c r="L2172" s="17"/>
      <c r="M2172" s="17"/>
      <c r="O2172" s="14">
        <f t="shared" si="1"/>
        <v>0</v>
      </c>
      <c r="P2172" s="86" t="str">
        <f t="array" ref="P2172">iferror(XLOOKUP(C2172,'Download of SFDC Activation Rep'!B:B,'Download of SFDC Activation Rep'!Z:Z),"")</f>
        <v/>
      </c>
      <c r="Q2172" s="86" t="str">
        <f t="shared" si="2"/>
        <v/>
      </c>
      <c r="R2172" s="13" t="str">
        <f t="shared" si="3"/>
        <v>Yes</v>
      </c>
      <c r="S2172" s="86" t="str">
        <f t="array" ref="S2172">iferror(XLOOKUP(C2172,'Download of SFDC Activation Rep'!B:B,'Download of SFDC Activation Rep'!Y:Y),"")</f>
        <v/>
      </c>
    </row>
    <row r="2173">
      <c r="A2173" s="17"/>
      <c r="B2173" s="85"/>
      <c r="C2173" s="17"/>
      <c r="D2173" s="85"/>
      <c r="E2173" s="17"/>
      <c r="F2173" s="17"/>
      <c r="G2173" s="17"/>
      <c r="I2173" s="17"/>
      <c r="K2173" s="17"/>
      <c r="L2173" s="17"/>
      <c r="M2173" s="17"/>
      <c r="O2173" s="14">
        <f t="shared" si="1"/>
        <v>0</v>
      </c>
      <c r="P2173" s="86" t="str">
        <f t="array" ref="P2173">iferror(XLOOKUP(C2173,'Download of SFDC Activation Rep'!B:B,'Download of SFDC Activation Rep'!Z:Z),"")</f>
        <v/>
      </c>
      <c r="Q2173" s="86" t="str">
        <f t="shared" si="2"/>
        <v/>
      </c>
      <c r="R2173" s="13" t="str">
        <f t="shared" si="3"/>
        <v>Yes</v>
      </c>
      <c r="S2173" s="86" t="str">
        <f t="array" ref="S2173">iferror(XLOOKUP(C2173,'Download of SFDC Activation Rep'!B:B,'Download of SFDC Activation Rep'!Y:Y),"")</f>
        <v/>
      </c>
    </row>
    <row r="2174">
      <c r="A2174" s="17"/>
      <c r="B2174" s="85"/>
      <c r="C2174" s="17"/>
      <c r="D2174" s="85"/>
      <c r="E2174" s="17"/>
      <c r="F2174" s="17"/>
      <c r="G2174" s="17"/>
      <c r="I2174" s="17"/>
      <c r="K2174" s="17"/>
      <c r="L2174" s="17"/>
      <c r="M2174" s="17"/>
      <c r="O2174" s="14">
        <f t="shared" si="1"/>
        <v>0</v>
      </c>
      <c r="P2174" s="86" t="str">
        <f t="array" ref="P2174">iferror(XLOOKUP(C2174,'Download of SFDC Activation Rep'!B:B,'Download of SFDC Activation Rep'!Z:Z),"")</f>
        <v/>
      </c>
      <c r="Q2174" s="86" t="str">
        <f t="shared" si="2"/>
        <v/>
      </c>
      <c r="R2174" s="13" t="str">
        <f t="shared" si="3"/>
        <v>Yes</v>
      </c>
      <c r="S2174" s="86" t="str">
        <f t="array" ref="S2174">iferror(XLOOKUP(C2174,'Download of SFDC Activation Rep'!B:B,'Download of SFDC Activation Rep'!Y:Y),"")</f>
        <v/>
      </c>
    </row>
    <row r="2175">
      <c r="A2175" s="17"/>
      <c r="B2175" s="85"/>
      <c r="C2175" s="17"/>
      <c r="D2175" s="85"/>
      <c r="E2175" s="17"/>
      <c r="F2175" s="17"/>
      <c r="G2175" s="17"/>
      <c r="I2175" s="17"/>
      <c r="K2175" s="17"/>
      <c r="L2175" s="17"/>
      <c r="M2175" s="17"/>
      <c r="O2175" s="14">
        <f t="shared" si="1"/>
        <v>0</v>
      </c>
      <c r="P2175" s="86" t="str">
        <f t="array" ref="P2175">iferror(XLOOKUP(C2175,'Download of SFDC Activation Rep'!B:B,'Download of SFDC Activation Rep'!Z:Z),"")</f>
        <v/>
      </c>
      <c r="Q2175" s="86" t="str">
        <f t="shared" si="2"/>
        <v/>
      </c>
      <c r="R2175" s="13" t="str">
        <f t="shared" si="3"/>
        <v>Yes</v>
      </c>
      <c r="S2175" s="86" t="str">
        <f t="array" ref="S2175">iferror(XLOOKUP(C2175,'Download of SFDC Activation Rep'!B:B,'Download of SFDC Activation Rep'!Y:Y),"")</f>
        <v/>
      </c>
    </row>
    <row r="2176">
      <c r="A2176" s="17"/>
      <c r="B2176" s="85"/>
      <c r="C2176" s="17"/>
      <c r="D2176" s="85"/>
      <c r="E2176" s="17"/>
      <c r="F2176" s="17"/>
      <c r="G2176" s="17"/>
      <c r="I2176" s="17"/>
      <c r="K2176" s="17"/>
      <c r="L2176" s="17"/>
      <c r="M2176" s="17"/>
      <c r="O2176" s="14">
        <f t="shared" si="1"/>
        <v>0</v>
      </c>
      <c r="P2176" s="86" t="str">
        <f t="array" ref="P2176">iferror(XLOOKUP(C2176,'Download of SFDC Activation Rep'!B:B,'Download of SFDC Activation Rep'!Z:Z),"")</f>
        <v/>
      </c>
      <c r="Q2176" s="86" t="str">
        <f t="shared" si="2"/>
        <v/>
      </c>
      <c r="R2176" s="13" t="str">
        <f t="shared" si="3"/>
        <v>Yes</v>
      </c>
      <c r="S2176" s="86" t="str">
        <f t="array" ref="S2176">iferror(XLOOKUP(C2176,'Download of SFDC Activation Rep'!B:B,'Download of SFDC Activation Rep'!Y:Y),"")</f>
        <v/>
      </c>
    </row>
    <row r="2177">
      <c r="A2177" s="17"/>
      <c r="B2177" s="85"/>
      <c r="C2177" s="17"/>
      <c r="D2177" s="85"/>
      <c r="E2177" s="17"/>
      <c r="F2177" s="17"/>
      <c r="G2177" s="17"/>
      <c r="I2177" s="17"/>
      <c r="K2177" s="17"/>
      <c r="L2177" s="17"/>
      <c r="M2177" s="17"/>
      <c r="O2177" s="14">
        <f t="shared" si="1"/>
        <v>0</v>
      </c>
      <c r="P2177" s="86" t="str">
        <f t="array" ref="P2177">iferror(XLOOKUP(C2177,'Download of SFDC Activation Rep'!B:B,'Download of SFDC Activation Rep'!Z:Z),"")</f>
        <v/>
      </c>
      <c r="Q2177" s="86" t="str">
        <f t="shared" si="2"/>
        <v/>
      </c>
      <c r="R2177" s="13" t="str">
        <f t="shared" si="3"/>
        <v>Yes</v>
      </c>
      <c r="S2177" s="86" t="str">
        <f t="array" ref="S2177">iferror(XLOOKUP(C2177,'Download of SFDC Activation Rep'!B:B,'Download of SFDC Activation Rep'!Y:Y),"")</f>
        <v/>
      </c>
    </row>
    <row r="2178">
      <c r="A2178" s="17"/>
      <c r="B2178" s="85"/>
      <c r="C2178" s="17"/>
      <c r="D2178" s="85"/>
      <c r="E2178" s="17"/>
      <c r="F2178" s="17"/>
      <c r="G2178" s="17"/>
      <c r="I2178" s="17"/>
      <c r="K2178" s="17"/>
      <c r="L2178" s="17"/>
      <c r="M2178" s="17"/>
      <c r="O2178" s="14">
        <f t="shared" si="1"/>
        <v>0</v>
      </c>
      <c r="P2178" s="86" t="str">
        <f t="array" ref="P2178">iferror(XLOOKUP(C2178,'Download of SFDC Activation Rep'!B:B,'Download of SFDC Activation Rep'!Z:Z),"")</f>
        <v/>
      </c>
      <c r="Q2178" s="86" t="str">
        <f t="shared" si="2"/>
        <v/>
      </c>
      <c r="R2178" s="13" t="str">
        <f t="shared" si="3"/>
        <v>Yes</v>
      </c>
      <c r="S2178" s="86" t="str">
        <f t="array" ref="S2178">iferror(XLOOKUP(C2178,'Download of SFDC Activation Rep'!B:B,'Download of SFDC Activation Rep'!Y:Y),"")</f>
        <v/>
      </c>
    </row>
    <row r="2179">
      <c r="A2179" s="17"/>
      <c r="B2179" s="85"/>
      <c r="C2179" s="17"/>
      <c r="D2179" s="85"/>
      <c r="E2179" s="17"/>
      <c r="F2179" s="17"/>
      <c r="G2179" s="17"/>
      <c r="I2179" s="17"/>
      <c r="K2179" s="17"/>
      <c r="L2179" s="17"/>
      <c r="M2179" s="17"/>
      <c r="O2179" s="14">
        <f t="shared" si="1"/>
        <v>0</v>
      </c>
      <c r="P2179" s="86" t="str">
        <f t="array" ref="P2179">iferror(XLOOKUP(C2179,'Download of SFDC Activation Rep'!B:B,'Download of SFDC Activation Rep'!Z:Z),"")</f>
        <v/>
      </c>
      <c r="Q2179" s="86" t="str">
        <f t="shared" si="2"/>
        <v/>
      </c>
      <c r="R2179" s="13" t="str">
        <f t="shared" si="3"/>
        <v>Yes</v>
      </c>
      <c r="S2179" s="86" t="str">
        <f t="array" ref="S2179">iferror(XLOOKUP(C2179,'Download of SFDC Activation Rep'!B:B,'Download of SFDC Activation Rep'!Y:Y),"")</f>
        <v/>
      </c>
    </row>
    <row r="2180">
      <c r="A2180" s="17"/>
      <c r="B2180" s="85"/>
      <c r="C2180" s="17"/>
      <c r="D2180" s="85"/>
      <c r="E2180" s="17"/>
      <c r="F2180" s="17"/>
      <c r="G2180" s="17"/>
      <c r="I2180" s="17"/>
      <c r="K2180" s="17"/>
      <c r="L2180" s="17"/>
      <c r="M2180" s="17"/>
      <c r="O2180" s="14">
        <f t="shared" si="1"/>
        <v>0</v>
      </c>
      <c r="P2180" s="86" t="str">
        <f t="array" ref="P2180">iferror(XLOOKUP(C2180,'Download of SFDC Activation Rep'!B:B,'Download of SFDC Activation Rep'!Z:Z),"")</f>
        <v/>
      </c>
      <c r="Q2180" s="86" t="str">
        <f t="shared" si="2"/>
        <v/>
      </c>
      <c r="R2180" s="13" t="str">
        <f t="shared" si="3"/>
        <v>Yes</v>
      </c>
      <c r="S2180" s="86" t="str">
        <f t="array" ref="S2180">iferror(XLOOKUP(C2180,'Download of SFDC Activation Rep'!B:B,'Download of SFDC Activation Rep'!Y:Y),"")</f>
        <v/>
      </c>
    </row>
    <row r="2181">
      <c r="A2181" s="17"/>
      <c r="B2181" s="85"/>
      <c r="C2181" s="17"/>
      <c r="D2181" s="85"/>
      <c r="E2181" s="17"/>
      <c r="F2181" s="17"/>
      <c r="G2181" s="17"/>
      <c r="I2181" s="17"/>
      <c r="K2181" s="17"/>
      <c r="L2181" s="17"/>
      <c r="M2181" s="17"/>
      <c r="O2181" s="14">
        <f t="shared" si="1"/>
        <v>0</v>
      </c>
      <c r="P2181" s="86" t="str">
        <f t="array" ref="P2181">iferror(XLOOKUP(C2181,'Download of SFDC Activation Rep'!B:B,'Download of SFDC Activation Rep'!Z:Z),"")</f>
        <v/>
      </c>
      <c r="Q2181" s="86" t="str">
        <f t="shared" si="2"/>
        <v/>
      </c>
      <c r="R2181" s="13" t="str">
        <f t="shared" si="3"/>
        <v>Yes</v>
      </c>
      <c r="S2181" s="86" t="str">
        <f t="array" ref="S2181">iferror(XLOOKUP(C2181,'Download of SFDC Activation Rep'!B:B,'Download of SFDC Activation Rep'!Y:Y),"")</f>
        <v/>
      </c>
    </row>
    <row r="2182">
      <c r="A2182" s="17"/>
      <c r="B2182" s="85"/>
      <c r="C2182" s="17"/>
      <c r="D2182" s="85"/>
      <c r="E2182" s="17"/>
      <c r="F2182" s="17"/>
      <c r="G2182" s="17"/>
      <c r="I2182" s="17"/>
      <c r="K2182" s="17"/>
      <c r="L2182" s="17"/>
      <c r="M2182" s="17"/>
      <c r="O2182" s="14">
        <f t="shared" si="1"/>
        <v>0</v>
      </c>
      <c r="P2182" s="86" t="str">
        <f t="array" ref="P2182">iferror(XLOOKUP(C2182,'Download of SFDC Activation Rep'!B:B,'Download of SFDC Activation Rep'!Z:Z),"")</f>
        <v/>
      </c>
      <c r="Q2182" s="86" t="str">
        <f t="shared" si="2"/>
        <v/>
      </c>
      <c r="R2182" s="13" t="str">
        <f t="shared" si="3"/>
        <v>Yes</v>
      </c>
      <c r="S2182" s="86" t="str">
        <f t="array" ref="S2182">iferror(XLOOKUP(C2182,'Download of SFDC Activation Rep'!B:B,'Download of SFDC Activation Rep'!Y:Y),"")</f>
        <v/>
      </c>
    </row>
    <row r="2183">
      <c r="A2183" s="17"/>
      <c r="B2183" s="85"/>
      <c r="C2183" s="17"/>
      <c r="D2183" s="85"/>
      <c r="E2183" s="17"/>
      <c r="F2183" s="17"/>
      <c r="G2183" s="17"/>
      <c r="I2183" s="17"/>
      <c r="K2183" s="17"/>
      <c r="L2183" s="17"/>
      <c r="M2183" s="17"/>
      <c r="O2183" s="14">
        <f t="shared" si="1"/>
        <v>0</v>
      </c>
      <c r="P2183" s="86" t="str">
        <f t="array" ref="P2183">iferror(XLOOKUP(C2183,'Download of SFDC Activation Rep'!B:B,'Download of SFDC Activation Rep'!Z:Z),"")</f>
        <v/>
      </c>
      <c r="Q2183" s="86" t="str">
        <f t="shared" si="2"/>
        <v/>
      </c>
      <c r="R2183" s="13" t="str">
        <f t="shared" si="3"/>
        <v>Yes</v>
      </c>
      <c r="S2183" s="86" t="str">
        <f t="array" ref="S2183">iferror(XLOOKUP(C2183,'Download of SFDC Activation Rep'!B:B,'Download of SFDC Activation Rep'!Y:Y),"")</f>
        <v/>
      </c>
    </row>
    <row r="2184">
      <c r="A2184" s="17"/>
      <c r="B2184" s="85"/>
      <c r="C2184" s="17"/>
      <c r="D2184" s="85"/>
      <c r="E2184" s="17"/>
      <c r="F2184" s="17"/>
      <c r="G2184" s="17"/>
      <c r="I2184" s="17"/>
      <c r="K2184" s="17"/>
      <c r="L2184" s="17"/>
      <c r="M2184" s="17"/>
      <c r="O2184" s="14">
        <f t="shared" si="1"/>
        <v>0</v>
      </c>
      <c r="P2184" s="86" t="str">
        <f t="array" ref="P2184">iferror(XLOOKUP(C2184,'Download of SFDC Activation Rep'!B:B,'Download of SFDC Activation Rep'!Z:Z),"")</f>
        <v/>
      </c>
      <c r="Q2184" s="86" t="str">
        <f t="shared" si="2"/>
        <v/>
      </c>
      <c r="R2184" s="13" t="str">
        <f t="shared" si="3"/>
        <v>Yes</v>
      </c>
      <c r="S2184" s="86" t="str">
        <f t="array" ref="S2184">iferror(XLOOKUP(C2184,'Download of SFDC Activation Rep'!B:B,'Download of SFDC Activation Rep'!Y:Y),"")</f>
        <v/>
      </c>
    </row>
    <row r="2185">
      <c r="A2185" s="17"/>
      <c r="B2185" s="85"/>
      <c r="C2185" s="17"/>
      <c r="D2185" s="85"/>
      <c r="E2185" s="17"/>
      <c r="F2185" s="17"/>
      <c r="G2185" s="17"/>
      <c r="I2185" s="17"/>
      <c r="K2185" s="17"/>
      <c r="L2185" s="17"/>
      <c r="M2185" s="17"/>
      <c r="O2185" s="14">
        <f t="shared" si="1"/>
        <v>0</v>
      </c>
      <c r="P2185" s="86" t="str">
        <f t="array" ref="P2185">iferror(XLOOKUP(C2185,'Download of SFDC Activation Rep'!B:B,'Download of SFDC Activation Rep'!Z:Z),"")</f>
        <v/>
      </c>
      <c r="Q2185" s="86" t="str">
        <f t="shared" si="2"/>
        <v/>
      </c>
      <c r="R2185" s="13" t="str">
        <f t="shared" si="3"/>
        <v>Yes</v>
      </c>
      <c r="S2185" s="86" t="str">
        <f t="array" ref="S2185">iferror(XLOOKUP(C2185,'Download of SFDC Activation Rep'!B:B,'Download of SFDC Activation Rep'!Y:Y),"")</f>
        <v/>
      </c>
    </row>
    <row r="2186">
      <c r="A2186" s="17"/>
      <c r="B2186" s="85"/>
      <c r="C2186" s="17"/>
      <c r="D2186" s="85"/>
      <c r="E2186" s="17"/>
      <c r="F2186" s="17"/>
      <c r="G2186" s="17"/>
      <c r="I2186" s="17"/>
      <c r="K2186" s="17"/>
      <c r="L2186" s="17"/>
      <c r="M2186" s="17"/>
      <c r="O2186" s="14">
        <f t="shared" si="1"/>
        <v>0</v>
      </c>
      <c r="P2186" s="86" t="str">
        <f t="array" ref="P2186">iferror(XLOOKUP(C2186,'Download of SFDC Activation Rep'!B:B,'Download of SFDC Activation Rep'!Z:Z),"")</f>
        <v/>
      </c>
      <c r="Q2186" s="86" t="str">
        <f t="shared" si="2"/>
        <v/>
      </c>
      <c r="R2186" s="13" t="str">
        <f t="shared" si="3"/>
        <v>Yes</v>
      </c>
      <c r="S2186" s="86" t="str">
        <f t="array" ref="S2186">iferror(XLOOKUP(C2186,'Download of SFDC Activation Rep'!B:B,'Download of SFDC Activation Rep'!Y:Y),"")</f>
        <v/>
      </c>
    </row>
    <row r="2187">
      <c r="A2187" s="17"/>
      <c r="B2187" s="85"/>
      <c r="C2187" s="17"/>
      <c r="D2187" s="85"/>
      <c r="E2187" s="17"/>
      <c r="F2187" s="17"/>
      <c r="G2187" s="17"/>
      <c r="I2187" s="17"/>
      <c r="K2187" s="17"/>
      <c r="L2187" s="17"/>
      <c r="M2187" s="17"/>
      <c r="O2187" s="14">
        <f t="shared" si="1"/>
        <v>0</v>
      </c>
      <c r="P2187" s="86" t="str">
        <f t="array" ref="P2187">iferror(XLOOKUP(C2187,'Download of SFDC Activation Rep'!B:B,'Download of SFDC Activation Rep'!Z:Z),"")</f>
        <v/>
      </c>
      <c r="Q2187" s="86" t="str">
        <f t="shared" si="2"/>
        <v/>
      </c>
      <c r="R2187" s="13" t="str">
        <f t="shared" si="3"/>
        <v>Yes</v>
      </c>
      <c r="S2187" s="86" t="str">
        <f t="array" ref="S2187">iferror(XLOOKUP(C2187,'Download of SFDC Activation Rep'!B:B,'Download of SFDC Activation Rep'!Y:Y),"")</f>
        <v/>
      </c>
    </row>
    <row r="2188">
      <c r="A2188" s="17"/>
      <c r="B2188" s="85"/>
      <c r="C2188" s="17"/>
      <c r="D2188" s="85"/>
      <c r="E2188" s="17"/>
      <c r="F2188" s="17"/>
      <c r="G2188" s="17"/>
      <c r="I2188" s="17"/>
      <c r="K2188" s="17"/>
      <c r="L2188" s="17"/>
      <c r="M2188" s="17"/>
      <c r="O2188" s="14">
        <f t="shared" si="1"/>
        <v>0</v>
      </c>
      <c r="P2188" s="86" t="str">
        <f t="array" ref="P2188">iferror(XLOOKUP(C2188,'Download of SFDC Activation Rep'!B:B,'Download of SFDC Activation Rep'!Z:Z),"")</f>
        <v/>
      </c>
      <c r="Q2188" s="86" t="str">
        <f t="shared" si="2"/>
        <v/>
      </c>
      <c r="R2188" s="13" t="str">
        <f t="shared" si="3"/>
        <v>Yes</v>
      </c>
      <c r="S2188" s="86" t="str">
        <f t="array" ref="S2188">iferror(XLOOKUP(C2188,'Download of SFDC Activation Rep'!B:B,'Download of SFDC Activation Rep'!Y:Y),"")</f>
        <v/>
      </c>
    </row>
    <row r="2189">
      <c r="A2189" s="17"/>
      <c r="B2189" s="85"/>
      <c r="C2189" s="17"/>
      <c r="D2189" s="85"/>
      <c r="E2189" s="17"/>
      <c r="F2189" s="17"/>
      <c r="G2189" s="17"/>
      <c r="I2189" s="17"/>
      <c r="K2189" s="17"/>
      <c r="L2189" s="17"/>
      <c r="M2189" s="17"/>
      <c r="O2189" s="14">
        <f t="shared" si="1"/>
        <v>0</v>
      </c>
      <c r="P2189" s="86" t="str">
        <f t="array" ref="P2189">iferror(XLOOKUP(C2189,'Download of SFDC Activation Rep'!B:B,'Download of SFDC Activation Rep'!Z:Z),"")</f>
        <v/>
      </c>
      <c r="Q2189" s="86" t="str">
        <f t="shared" si="2"/>
        <v/>
      </c>
      <c r="R2189" s="13" t="str">
        <f t="shared" si="3"/>
        <v>Yes</v>
      </c>
      <c r="S2189" s="86" t="str">
        <f t="array" ref="S2189">iferror(XLOOKUP(C2189,'Download of SFDC Activation Rep'!B:B,'Download of SFDC Activation Rep'!Y:Y),"")</f>
        <v/>
      </c>
    </row>
    <row r="2190">
      <c r="A2190" s="17"/>
      <c r="B2190" s="85"/>
      <c r="C2190" s="17"/>
      <c r="D2190" s="85"/>
      <c r="E2190" s="17"/>
      <c r="F2190" s="17"/>
      <c r="G2190" s="17"/>
      <c r="I2190" s="17"/>
      <c r="K2190" s="17"/>
      <c r="L2190" s="17"/>
      <c r="M2190" s="17"/>
      <c r="O2190" s="14">
        <f t="shared" si="1"/>
        <v>0</v>
      </c>
      <c r="P2190" s="86" t="str">
        <f t="array" ref="P2190">iferror(XLOOKUP(C2190,'Download of SFDC Activation Rep'!B:B,'Download of SFDC Activation Rep'!Z:Z),"")</f>
        <v/>
      </c>
      <c r="Q2190" s="86" t="str">
        <f t="shared" si="2"/>
        <v/>
      </c>
      <c r="R2190" s="13" t="str">
        <f t="shared" si="3"/>
        <v>Yes</v>
      </c>
      <c r="S2190" s="86" t="str">
        <f t="array" ref="S2190">iferror(XLOOKUP(C2190,'Download of SFDC Activation Rep'!B:B,'Download of SFDC Activation Rep'!Y:Y),"")</f>
        <v/>
      </c>
    </row>
    <row r="2191">
      <c r="A2191" s="17"/>
      <c r="B2191" s="85"/>
      <c r="C2191" s="17"/>
      <c r="D2191" s="85"/>
      <c r="E2191" s="17"/>
      <c r="F2191" s="17"/>
      <c r="G2191" s="17"/>
      <c r="I2191" s="17"/>
      <c r="K2191" s="17"/>
      <c r="L2191" s="17"/>
      <c r="M2191" s="17"/>
      <c r="O2191" s="14">
        <f t="shared" si="1"/>
        <v>0</v>
      </c>
      <c r="P2191" s="86" t="str">
        <f t="array" ref="P2191">iferror(XLOOKUP(C2191,'Download of SFDC Activation Rep'!B:B,'Download of SFDC Activation Rep'!Z:Z),"")</f>
        <v/>
      </c>
      <c r="Q2191" s="86" t="str">
        <f t="shared" si="2"/>
        <v/>
      </c>
      <c r="R2191" s="13" t="str">
        <f t="shared" si="3"/>
        <v>Yes</v>
      </c>
      <c r="S2191" s="86" t="str">
        <f t="array" ref="S2191">iferror(XLOOKUP(C2191,'Download of SFDC Activation Rep'!B:B,'Download of SFDC Activation Rep'!Y:Y),"")</f>
        <v/>
      </c>
    </row>
    <row r="2192">
      <c r="A2192" s="17"/>
      <c r="B2192" s="85"/>
      <c r="C2192" s="17"/>
      <c r="D2192" s="85"/>
      <c r="E2192" s="17"/>
      <c r="F2192" s="17"/>
      <c r="G2192" s="17"/>
      <c r="I2192" s="17"/>
      <c r="K2192" s="17"/>
      <c r="L2192" s="17"/>
      <c r="M2192" s="17"/>
      <c r="O2192" s="14">
        <f t="shared" si="1"/>
        <v>0</v>
      </c>
      <c r="P2192" s="86" t="str">
        <f t="array" ref="P2192">iferror(XLOOKUP(C2192,'Download of SFDC Activation Rep'!B:B,'Download of SFDC Activation Rep'!Z:Z),"")</f>
        <v/>
      </c>
      <c r="Q2192" s="86" t="str">
        <f t="shared" si="2"/>
        <v/>
      </c>
      <c r="R2192" s="13" t="str">
        <f t="shared" si="3"/>
        <v>Yes</v>
      </c>
      <c r="S2192" s="86" t="str">
        <f t="array" ref="S2192">iferror(XLOOKUP(C2192,'Download of SFDC Activation Rep'!B:B,'Download of SFDC Activation Rep'!Y:Y),"")</f>
        <v/>
      </c>
    </row>
    <row r="2193">
      <c r="A2193" s="17"/>
      <c r="B2193" s="85"/>
      <c r="C2193" s="17"/>
      <c r="D2193" s="85"/>
      <c r="E2193" s="17"/>
      <c r="F2193" s="17"/>
      <c r="G2193" s="17"/>
      <c r="I2193" s="17"/>
      <c r="K2193" s="17"/>
      <c r="L2193" s="17"/>
      <c r="M2193" s="17"/>
      <c r="O2193" s="14">
        <f t="shared" si="1"/>
        <v>0</v>
      </c>
      <c r="P2193" s="86" t="str">
        <f t="array" ref="P2193">iferror(XLOOKUP(C2193,'Download of SFDC Activation Rep'!B:B,'Download of SFDC Activation Rep'!Z:Z),"")</f>
        <v/>
      </c>
      <c r="Q2193" s="86" t="str">
        <f t="shared" si="2"/>
        <v/>
      </c>
      <c r="R2193" s="13" t="str">
        <f t="shared" si="3"/>
        <v>Yes</v>
      </c>
      <c r="S2193" s="86" t="str">
        <f t="array" ref="S2193">iferror(XLOOKUP(C2193,'Download of SFDC Activation Rep'!B:B,'Download of SFDC Activation Rep'!Y:Y),"")</f>
        <v/>
      </c>
    </row>
    <row r="2194">
      <c r="A2194" s="17"/>
      <c r="B2194" s="85"/>
      <c r="C2194" s="17"/>
      <c r="D2194" s="85"/>
      <c r="E2194" s="17"/>
      <c r="F2194" s="17"/>
      <c r="G2194" s="17"/>
      <c r="I2194" s="17"/>
      <c r="K2194" s="17"/>
      <c r="L2194" s="17"/>
      <c r="M2194" s="17"/>
      <c r="O2194" s="14">
        <f t="shared" si="1"/>
        <v>0</v>
      </c>
      <c r="P2194" s="86" t="str">
        <f t="array" ref="P2194">iferror(XLOOKUP(C2194,'Download of SFDC Activation Rep'!B:B,'Download of SFDC Activation Rep'!Z:Z),"")</f>
        <v/>
      </c>
      <c r="Q2194" s="86" t="str">
        <f t="shared" si="2"/>
        <v/>
      </c>
      <c r="R2194" s="13" t="str">
        <f t="shared" si="3"/>
        <v>Yes</v>
      </c>
      <c r="S2194" s="86" t="str">
        <f t="array" ref="S2194">iferror(XLOOKUP(C2194,'Download of SFDC Activation Rep'!B:B,'Download of SFDC Activation Rep'!Y:Y),"")</f>
        <v/>
      </c>
    </row>
    <row r="2195">
      <c r="A2195" s="17"/>
      <c r="B2195" s="85"/>
      <c r="C2195" s="17"/>
      <c r="D2195" s="85"/>
      <c r="E2195" s="17"/>
      <c r="F2195" s="17"/>
      <c r="G2195" s="17"/>
      <c r="I2195" s="17"/>
      <c r="K2195" s="17"/>
      <c r="L2195" s="17"/>
      <c r="M2195" s="17"/>
      <c r="O2195" s="14">
        <f t="shared" si="1"/>
        <v>0</v>
      </c>
      <c r="P2195" s="86" t="str">
        <f t="array" ref="P2195">iferror(XLOOKUP(C2195,'Download of SFDC Activation Rep'!B:B,'Download of SFDC Activation Rep'!Z:Z),"")</f>
        <v/>
      </c>
      <c r="Q2195" s="86" t="str">
        <f t="shared" si="2"/>
        <v/>
      </c>
      <c r="R2195" s="13" t="str">
        <f t="shared" si="3"/>
        <v>Yes</v>
      </c>
      <c r="S2195" s="86" t="str">
        <f t="array" ref="S2195">iferror(XLOOKUP(C2195,'Download of SFDC Activation Rep'!B:B,'Download of SFDC Activation Rep'!Y:Y),"")</f>
        <v/>
      </c>
    </row>
    <row r="2196">
      <c r="A2196" s="17"/>
      <c r="B2196" s="85"/>
      <c r="C2196" s="17"/>
      <c r="D2196" s="85"/>
      <c r="E2196" s="17"/>
      <c r="F2196" s="17"/>
      <c r="G2196" s="17"/>
      <c r="I2196" s="17"/>
      <c r="K2196" s="17"/>
      <c r="L2196" s="17"/>
      <c r="M2196" s="17"/>
      <c r="O2196" s="14">
        <f t="shared" si="1"/>
        <v>0</v>
      </c>
      <c r="P2196" s="86" t="str">
        <f t="array" ref="P2196">iferror(XLOOKUP(C2196,'Download of SFDC Activation Rep'!B:B,'Download of SFDC Activation Rep'!Z:Z),"")</f>
        <v/>
      </c>
      <c r="Q2196" s="86" t="str">
        <f t="shared" si="2"/>
        <v/>
      </c>
      <c r="R2196" s="13" t="str">
        <f t="shared" si="3"/>
        <v>Yes</v>
      </c>
      <c r="S2196" s="86" t="str">
        <f t="array" ref="S2196">iferror(XLOOKUP(C2196,'Download of SFDC Activation Rep'!B:B,'Download of SFDC Activation Rep'!Y:Y),"")</f>
        <v/>
      </c>
    </row>
    <row r="2197">
      <c r="A2197" s="17"/>
      <c r="B2197" s="85"/>
      <c r="C2197" s="17"/>
      <c r="D2197" s="85"/>
      <c r="E2197" s="17"/>
      <c r="F2197" s="17"/>
      <c r="G2197" s="17"/>
      <c r="I2197" s="17"/>
      <c r="K2197" s="17"/>
      <c r="L2197" s="17"/>
      <c r="M2197" s="17"/>
      <c r="O2197" s="14">
        <f t="shared" si="1"/>
        <v>0</v>
      </c>
      <c r="P2197" s="86" t="str">
        <f t="array" ref="P2197">iferror(XLOOKUP(C2197,'Download of SFDC Activation Rep'!B:B,'Download of SFDC Activation Rep'!Z:Z),"")</f>
        <v/>
      </c>
      <c r="Q2197" s="86" t="str">
        <f t="shared" si="2"/>
        <v/>
      </c>
      <c r="R2197" s="13" t="str">
        <f t="shared" si="3"/>
        <v>Yes</v>
      </c>
      <c r="S2197" s="86" t="str">
        <f t="array" ref="S2197">iferror(XLOOKUP(C2197,'Download of SFDC Activation Rep'!B:B,'Download of SFDC Activation Rep'!Y:Y),"")</f>
        <v/>
      </c>
    </row>
    <row r="2198">
      <c r="A2198" s="17"/>
      <c r="B2198" s="85"/>
      <c r="C2198" s="17"/>
      <c r="D2198" s="85"/>
      <c r="E2198" s="17"/>
      <c r="F2198" s="17"/>
      <c r="G2198" s="17"/>
      <c r="I2198" s="17"/>
      <c r="K2198" s="17"/>
      <c r="L2198" s="17"/>
      <c r="M2198" s="17"/>
      <c r="O2198" s="14">
        <f t="shared" si="1"/>
        <v>0</v>
      </c>
      <c r="P2198" s="86" t="str">
        <f t="array" ref="P2198">iferror(XLOOKUP(C2198,'Download of SFDC Activation Rep'!B:B,'Download of SFDC Activation Rep'!Z:Z),"")</f>
        <v/>
      </c>
      <c r="Q2198" s="86" t="str">
        <f t="shared" si="2"/>
        <v/>
      </c>
      <c r="R2198" s="13" t="str">
        <f t="shared" si="3"/>
        <v>Yes</v>
      </c>
      <c r="S2198" s="86" t="str">
        <f t="array" ref="S2198">iferror(XLOOKUP(C2198,'Download of SFDC Activation Rep'!B:B,'Download of SFDC Activation Rep'!Y:Y),"")</f>
        <v/>
      </c>
    </row>
    <row r="2199">
      <c r="A2199" s="17"/>
      <c r="B2199" s="85"/>
      <c r="C2199" s="17"/>
      <c r="D2199" s="85"/>
      <c r="E2199" s="17"/>
      <c r="F2199" s="17"/>
      <c r="G2199" s="17"/>
      <c r="I2199" s="17"/>
      <c r="K2199" s="17"/>
      <c r="L2199" s="17"/>
      <c r="M2199" s="17"/>
      <c r="O2199" s="14">
        <f t="shared" si="1"/>
        <v>0</v>
      </c>
      <c r="P2199" s="86" t="str">
        <f t="array" ref="P2199">iferror(XLOOKUP(C2199,'Download of SFDC Activation Rep'!B:B,'Download of SFDC Activation Rep'!Z:Z),"")</f>
        <v/>
      </c>
      <c r="Q2199" s="86" t="str">
        <f t="shared" si="2"/>
        <v/>
      </c>
      <c r="R2199" s="13" t="str">
        <f t="shared" si="3"/>
        <v>Yes</v>
      </c>
      <c r="S2199" s="86" t="str">
        <f t="array" ref="S2199">iferror(XLOOKUP(C2199,'Download of SFDC Activation Rep'!B:B,'Download of SFDC Activation Rep'!Y:Y),"")</f>
        <v/>
      </c>
    </row>
    <row r="2200">
      <c r="A2200" s="17"/>
      <c r="B2200" s="85"/>
      <c r="C2200" s="17"/>
      <c r="D2200" s="85"/>
      <c r="E2200" s="17"/>
      <c r="F2200" s="17"/>
      <c r="G2200" s="17"/>
      <c r="I2200" s="17"/>
      <c r="K2200" s="17"/>
      <c r="L2200" s="17"/>
      <c r="M2200" s="17"/>
      <c r="O2200" s="14">
        <f t="shared" si="1"/>
        <v>0</v>
      </c>
      <c r="P2200" s="86" t="str">
        <f t="array" ref="P2200">iferror(XLOOKUP(C2200,'Download of SFDC Activation Rep'!B:B,'Download of SFDC Activation Rep'!Z:Z),"")</f>
        <v/>
      </c>
      <c r="Q2200" s="86" t="str">
        <f t="shared" si="2"/>
        <v/>
      </c>
      <c r="R2200" s="13" t="str">
        <f t="shared" si="3"/>
        <v>Yes</v>
      </c>
      <c r="S2200" s="86" t="str">
        <f t="array" ref="S2200">iferror(XLOOKUP(C2200,'Download of SFDC Activation Rep'!B:B,'Download of SFDC Activation Rep'!Y:Y),"")</f>
        <v/>
      </c>
    </row>
    <row r="2201">
      <c r="A2201" s="17"/>
      <c r="B2201" s="85"/>
      <c r="C2201" s="17"/>
      <c r="D2201" s="85"/>
      <c r="E2201" s="17"/>
      <c r="F2201" s="17"/>
      <c r="G2201" s="17"/>
      <c r="I2201" s="17"/>
      <c r="K2201" s="17"/>
      <c r="L2201" s="17"/>
      <c r="M2201" s="17"/>
      <c r="O2201" s="14">
        <f t="shared" si="1"/>
        <v>0</v>
      </c>
      <c r="P2201" s="86" t="str">
        <f t="array" ref="P2201">iferror(XLOOKUP(C2201,'Download of SFDC Activation Rep'!B:B,'Download of SFDC Activation Rep'!Z:Z),"")</f>
        <v/>
      </c>
      <c r="Q2201" s="86" t="str">
        <f t="shared" si="2"/>
        <v/>
      </c>
      <c r="R2201" s="13" t="str">
        <f t="shared" si="3"/>
        <v>Yes</v>
      </c>
      <c r="S2201" s="86" t="str">
        <f t="array" ref="S2201">iferror(XLOOKUP(C2201,'Download of SFDC Activation Rep'!B:B,'Download of SFDC Activation Rep'!Y:Y),"")</f>
        <v/>
      </c>
    </row>
    <row r="2202">
      <c r="A2202" s="17"/>
      <c r="B2202" s="85"/>
      <c r="C2202" s="17"/>
      <c r="D2202" s="85"/>
      <c r="E2202" s="17"/>
      <c r="F2202" s="17"/>
      <c r="G2202" s="17"/>
      <c r="I2202" s="17"/>
      <c r="K2202" s="17"/>
      <c r="L2202" s="17"/>
      <c r="M2202" s="17"/>
      <c r="O2202" s="14">
        <f t="shared" si="1"/>
        <v>0</v>
      </c>
      <c r="P2202" s="86" t="str">
        <f t="array" ref="P2202">iferror(XLOOKUP(C2202,'Download of SFDC Activation Rep'!B:B,'Download of SFDC Activation Rep'!Z:Z),"")</f>
        <v/>
      </c>
      <c r="Q2202" s="86" t="str">
        <f t="shared" si="2"/>
        <v/>
      </c>
      <c r="R2202" s="13" t="str">
        <f t="shared" si="3"/>
        <v>Yes</v>
      </c>
      <c r="S2202" s="86" t="str">
        <f t="array" ref="S2202">iferror(XLOOKUP(C2202,'Download of SFDC Activation Rep'!B:B,'Download of SFDC Activation Rep'!Y:Y),"")</f>
        <v/>
      </c>
    </row>
    <row r="2203">
      <c r="A2203" s="17"/>
      <c r="B2203" s="85"/>
      <c r="C2203" s="17"/>
      <c r="D2203" s="85"/>
      <c r="E2203" s="17"/>
      <c r="F2203" s="17"/>
      <c r="G2203" s="17"/>
      <c r="I2203" s="17"/>
      <c r="K2203" s="17"/>
      <c r="L2203" s="17"/>
      <c r="M2203" s="17"/>
      <c r="O2203" s="14">
        <f t="shared" si="1"/>
        <v>0</v>
      </c>
      <c r="P2203" s="86" t="str">
        <f t="array" ref="P2203">iferror(XLOOKUP(C2203,'Download of SFDC Activation Rep'!B:B,'Download of SFDC Activation Rep'!Z:Z),"")</f>
        <v/>
      </c>
      <c r="Q2203" s="86" t="str">
        <f t="shared" si="2"/>
        <v/>
      </c>
      <c r="R2203" s="13" t="str">
        <f t="shared" si="3"/>
        <v>Yes</v>
      </c>
      <c r="S2203" s="86" t="str">
        <f t="array" ref="S2203">iferror(XLOOKUP(C2203,'Download of SFDC Activation Rep'!B:B,'Download of SFDC Activation Rep'!Y:Y),"")</f>
        <v/>
      </c>
    </row>
    <row r="2204">
      <c r="A2204" s="17"/>
      <c r="B2204" s="85"/>
      <c r="C2204" s="17"/>
      <c r="D2204" s="85"/>
      <c r="E2204" s="17"/>
      <c r="F2204" s="17"/>
      <c r="G2204" s="17"/>
      <c r="I2204" s="17"/>
      <c r="K2204" s="17"/>
      <c r="L2204" s="17"/>
      <c r="M2204" s="17"/>
      <c r="O2204" s="14">
        <f t="shared" si="1"/>
        <v>0</v>
      </c>
      <c r="P2204" s="86" t="str">
        <f t="array" ref="P2204">iferror(XLOOKUP(C2204,'Download of SFDC Activation Rep'!B:B,'Download of SFDC Activation Rep'!Z:Z),"")</f>
        <v/>
      </c>
      <c r="Q2204" s="86" t="str">
        <f t="shared" si="2"/>
        <v/>
      </c>
      <c r="R2204" s="13" t="str">
        <f t="shared" si="3"/>
        <v>Yes</v>
      </c>
      <c r="S2204" s="86" t="str">
        <f t="array" ref="S2204">iferror(XLOOKUP(C2204,'Download of SFDC Activation Rep'!B:B,'Download of SFDC Activation Rep'!Y:Y),"")</f>
        <v/>
      </c>
    </row>
    <row r="2205">
      <c r="A2205" s="17"/>
      <c r="B2205" s="85"/>
      <c r="C2205" s="17"/>
      <c r="D2205" s="85"/>
      <c r="E2205" s="17"/>
      <c r="F2205" s="17"/>
      <c r="G2205" s="17"/>
      <c r="I2205" s="17"/>
      <c r="K2205" s="17"/>
      <c r="L2205" s="17"/>
      <c r="M2205" s="17"/>
      <c r="O2205" s="14">
        <f t="shared" si="1"/>
        <v>0</v>
      </c>
      <c r="P2205" s="86" t="str">
        <f t="array" ref="P2205">iferror(XLOOKUP(C2205,'Download of SFDC Activation Rep'!B:B,'Download of SFDC Activation Rep'!Z:Z),"")</f>
        <v/>
      </c>
      <c r="Q2205" s="86" t="str">
        <f t="shared" si="2"/>
        <v/>
      </c>
      <c r="R2205" s="13" t="str">
        <f t="shared" si="3"/>
        <v>Yes</v>
      </c>
      <c r="S2205" s="86" t="str">
        <f t="array" ref="S2205">iferror(XLOOKUP(C2205,'Download of SFDC Activation Rep'!B:B,'Download of SFDC Activation Rep'!Y:Y),"")</f>
        <v/>
      </c>
    </row>
    <row r="2206">
      <c r="A2206" s="17"/>
      <c r="B2206" s="85"/>
      <c r="C2206" s="17"/>
      <c r="D2206" s="85"/>
      <c r="E2206" s="17"/>
      <c r="F2206" s="17"/>
      <c r="G2206" s="17"/>
      <c r="I2206" s="17"/>
      <c r="K2206" s="17"/>
      <c r="L2206" s="17"/>
      <c r="M2206" s="17"/>
      <c r="O2206" s="14">
        <f t="shared" si="1"/>
        <v>0</v>
      </c>
      <c r="P2206" s="86" t="str">
        <f t="array" ref="P2206">iferror(XLOOKUP(C2206,'Download of SFDC Activation Rep'!B:B,'Download of SFDC Activation Rep'!Z:Z),"")</f>
        <v/>
      </c>
      <c r="Q2206" s="86" t="str">
        <f t="shared" si="2"/>
        <v/>
      </c>
      <c r="R2206" s="13" t="str">
        <f t="shared" si="3"/>
        <v>Yes</v>
      </c>
      <c r="S2206" s="86" t="str">
        <f t="array" ref="S2206">iferror(XLOOKUP(C2206,'Download of SFDC Activation Rep'!B:B,'Download of SFDC Activation Rep'!Y:Y),"")</f>
        <v/>
      </c>
    </row>
    <row r="2207">
      <c r="A2207" s="17"/>
      <c r="B2207" s="85"/>
      <c r="C2207" s="17"/>
      <c r="D2207" s="85"/>
      <c r="E2207" s="17"/>
      <c r="F2207" s="17"/>
      <c r="G2207" s="17"/>
      <c r="I2207" s="17"/>
      <c r="K2207" s="17"/>
      <c r="L2207" s="17"/>
      <c r="M2207" s="17"/>
      <c r="O2207" s="14">
        <f t="shared" si="1"/>
        <v>0</v>
      </c>
      <c r="P2207" s="86" t="str">
        <f t="array" ref="P2207">iferror(XLOOKUP(C2207,'Download of SFDC Activation Rep'!B:B,'Download of SFDC Activation Rep'!Z:Z),"")</f>
        <v/>
      </c>
      <c r="Q2207" s="86" t="str">
        <f t="shared" si="2"/>
        <v/>
      </c>
      <c r="R2207" s="13" t="str">
        <f t="shared" si="3"/>
        <v>Yes</v>
      </c>
      <c r="S2207" s="86" t="str">
        <f t="array" ref="S2207">iferror(XLOOKUP(C2207,'Download of SFDC Activation Rep'!B:B,'Download of SFDC Activation Rep'!Y:Y),"")</f>
        <v/>
      </c>
    </row>
    <row r="2208">
      <c r="A2208" s="17"/>
      <c r="B2208" s="85"/>
      <c r="C2208" s="17"/>
      <c r="D2208" s="85"/>
      <c r="E2208" s="17"/>
      <c r="F2208" s="17"/>
      <c r="G2208" s="17"/>
      <c r="I2208" s="17"/>
      <c r="K2208" s="17"/>
      <c r="L2208" s="17"/>
      <c r="M2208" s="17"/>
      <c r="O2208" s="14">
        <f t="shared" si="1"/>
        <v>0</v>
      </c>
      <c r="P2208" s="86" t="str">
        <f t="array" ref="P2208">iferror(XLOOKUP(C2208,'Download of SFDC Activation Rep'!B:B,'Download of SFDC Activation Rep'!Z:Z),"")</f>
        <v/>
      </c>
      <c r="Q2208" s="86" t="str">
        <f t="shared" si="2"/>
        <v/>
      </c>
      <c r="R2208" s="13" t="str">
        <f t="shared" si="3"/>
        <v>Yes</v>
      </c>
      <c r="S2208" s="86" t="str">
        <f t="array" ref="S2208">iferror(XLOOKUP(C2208,'Download of SFDC Activation Rep'!B:B,'Download of SFDC Activation Rep'!Y:Y),"")</f>
        <v/>
      </c>
    </row>
    <row r="2209">
      <c r="A2209" s="17"/>
      <c r="B2209" s="85"/>
      <c r="C2209" s="17"/>
      <c r="D2209" s="85"/>
      <c r="E2209" s="17"/>
      <c r="F2209" s="17"/>
      <c r="G2209" s="17"/>
      <c r="I2209" s="17"/>
      <c r="K2209" s="17"/>
      <c r="L2209" s="17"/>
      <c r="M2209" s="17"/>
      <c r="O2209" s="14">
        <f t="shared" si="1"/>
        <v>0</v>
      </c>
      <c r="P2209" s="86" t="str">
        <f t="array" ref="P2209">iferror(XLOOKUP(C2209,'Download of SFDC Activation Rep'!B:B,'Download of SFDC Activation Rep'!Z:Z),"")</f>
        <v/>
      </c>
      <c r="Q2209" s="86" t="str">
        <f t="shared" si="2"/>
        <v/>
      </c>
      <c r="R2209" s="13" t="str">
        <f t="shared" si="3"/>
        <v>Yes</v>
      </c>
      <c r="S2209" s="86" t="str">
        <f t="array" ref="S2209">iferror(XLOOKUP(C2209,'Download of SFDC Activation Rep'!B:B,'Download of SFDC Activation Rep'!Y:Y),"")</f>
        <v/>
      </c>
    </row>
    <row r="2210">
      <c r="A2210" s="17"/>
      <c r="B2210" s="85"/>
      <c r="C2210" s="17"/>
      <c r="D2210" s="85"/>
      <c r="E2210" s="17"/>
      <c r="F2210" s="17"/>
      <c r="G2210" s="17"/>
      <c r="I2210" s="17"/>
      <c r="K2210" s="17"/>
      <c r="L2210" s="17"/>
      <c r="M2210" s="17"/>
      <c r="O2210" s="14">
        <f t="shared" si="1"/>
        <v>0</v>
      </c>
      <c r="P2210" s="86" t="str">
        <f t="array" ref="P2210">iferror(XLOOKUP(C2210,'Download of SFDC Activation Rep'!B:B,'Download of SFDC Activation Rep'!Z:Z),"")</f>
        <v/>
      </c>
      <c r="Q2210" s="86" t="str">
        <f t="shared" si="2"/>
        <v/>
      </c>
      <c r="R2210" s="13" t="str">
        <f t="shared" si="3"/>
        <v>Yes</v>
      </c>
      <c r="S2210" s="86" t="str">
        <f t="array" ref="S2210">iferror(XLOOKUP(C2210,'Download of SFDC Activation Rep'!B:B,'Download of SFDC Activation Rep'!Y:Y),"")</f>
        <v/>
      </c>
    </row>
    <row r="2211">
      <c r="A2211" s="17"/>
      <c r="B2211" s="85"/>
      <c r="C2211" s="17"/>
      <c r="D2211" s="85"/>
      <c r="E2211" s="17"/>
      <c r="F2211" s="17"/>
      <c r="G2211" s="17"/>
      <c r="I2211" s="17"/>
      <c r="K2211" s="17"/>
      <c r="L2211" s="17"/>
      <c r="M2211" s="17"/>
      <c r="O2211" s="14">
        <f t="shared" si="1"/>
        <v>0</v>
      </c>
      <c r="P2211" s="86" t="str">
        <f t="array" ref="P2211">iferror(XLOOKUP(C2211,'Download of SFDC Activation Rep'!B:B,'Download of SFDC Activation Rep'!Z:Z),"")</f>
        <v/>
      </c>
      <c r="Q2211" s="86" t="str">
        <f t="shared" si="2"/>
        <v/>
      </c>
      <c r="R2211" s="13" t="str">
        <f t="shared" si="3"/>
        <v>Yes</v>
      </c>
      <c r="S2211" s="86" t="str">
        <f t="array" ref="S2211">iferror(XLOOKUP(C2211,'Download of SFDC Activation Rep'!B:B,'Download of SFDC Activation Rep'!Y:Y),"")</f>
        <v/>
      </c>
    </row>
    <row r="2212">
      <c r="A2212" s="17"/>
      <c r="B2212" s="85"/>
      <c r="C2212" s="17"/>
      <c r="D2212" s="85"/>
      <c r="E2212" s="17"/>
      <c r="F2212" s="17"/>
      <c r="G2212" s="17"/>
      <c r="I2212" s="17"/>
      <c r="K2212" s="17"/>
      <c r="L2212" s="17"/>
      <c r="M2212" s="17"/>
      <c r="O2212" s="14">
        <f t="shared" si="1"/>
        <v>0</v>
      </c>
      <c r="P2212" s="86" t="str">
        <f t="array" ref="P2212">iferror(XLOOKUP(C2212,'Download of SFDC Activation Rep'!B:B,'Download of SFDC Activation Rep'!Z:Z),"")</f>
        <v/>
      </c>
      <c r="Q2212" s="86" t="str">
        <f t="shared" si="2"/>
        <v/>
      </c>
      <c r="R2212" s="13" t="str">
        <f t="shared" si="3"/>
        <v>Yes</v>
      </c>
      <c r="S2212" s="86" t="str">
        <f t="array" ref="S2212">iferror(XLOOKUP(C2212,'Download of SFDC Activation Rep'!B:B,'Download of SFDC Activation Rep'!Y:Y),"")</f>
        <v/>
      </c>
    </row>
    <row r="2213">
      <c r="A2213" s="17"/>
      <c r="B2213" s="85"/>
      <c r="C2213" s="17"/>
      <c r="D2213" s="85"/>
      <c r="E2213" s="17"/>
      <c r="F2213" s="17"/>
      <c r="G2213" s="17"/>
      <c r="I2213" s="17"/>
      <c r="K2213" s="17"/>
      <c r="L2213" s="17"/>
      <c r="M2213" s="17"/>
      <c r="O2213" s="14">
        <f t="shared" si="1"/>
        <v>0</v>
      </c>
      <c r="P2213" s="86" t="str">
        <f t="array" ref="P2213">iferror(XLOOKUP(C2213,'Download of SFDC Activation Rep'!B:B,'Download of SFDC Activation Rep'!Z:Z),"")</f>
        <v/>
      </c>
      <c r="Q2213" s="86" t="str">
        <f t="shared" si="2"/>
        <v/>
      </c>
      <c r="R2213" s="13" t="str">
        <f t="shared" si="3"/>
        <v>Yes</v>
      </c>
      <c r="S2213" s="86" t="str">
        <f t="array" ref="S2213">iferror(XLOOKUP(C2213,'Download of SFDC Activation Rep'!B:B,'Download of SFDC Activation Rep'!Y:Y),"")</f>
        <v/>
      </c>
    </row>
    <row r="2214">
      <c r="A2214" s="17"/>
      <c r="B2214" s="85"/>
      <c r="C2214" s="17"/>
      <c r="D2214" s="85"/>
      <c r="E2214" s="17"/>
      <c r="F2214" s="17"/>
      <c r="G2214" s="17"/>
      <c r="I2214" s="17"/>
      <c r="K2214" s="17"/>
      <c r="L2214" s="17"/>
      <c r="M2214" s="17"/>
      <c r="O2214" s="14">
        <f t="shared" si="1"/>
        <v>0</v>
      </c>
      <c r="P2214" s="86" t="str">
        <f t="array" ref="P2214">iferror(XLOOKUP(C2214,'Download of SFDC Activation Rep'!B:B,'Download of SFDC Activation Rep'!Z:Z),"")</f>
        <v/>
      </c>
      <c r="Q2214" s="86" t="str">
        <f t="shared" si="2"/>
        <v/>
      </c>
      <c r="R2214" s="13" t="str">
        <f t="shared" si="3"/>
        <v>Yes</v>
      </c>
      <c r="S2214" s="86" t="str">
        <f t="array" ref="S2214">iferror(XLOOKUP(C2214,'Download of SFDC Activation Rep'!B:B,'Download of SFDC Activation Rep'!Y:Y),"")</f>
        <v/>
      </c>
    </row>
    <row r="2215">
      <c r="A2215" s="17"/>
      <c r="B2215" s="85"/>
      <c r="C2215" s="17"/>
      <c r="D2215" s="85"/>
      <c r="E2215" s="17"/>
      <c r="F2215" s="17"/>
      <c r="G2215" s="17"/>
      <c r="I2215" s="17"/>
      <c r="K2215" s="17"/>
      <c r="L2215" s="17"/>
      <c r="M2215" s="17"/>
      <c r="O2215" s="14">
        <f t="shared" si="1"/>
        <v>0</v>
      </c>
      <c r="P2215" s="86" t="str">
        <f t="array" ref="P2215">iferror(XLOOKUP(C2215,'Download of SFDC Activation Rep'!B:B,'Download of SFDC Activation Rep'!Z:Z),"")</f>
        <v/>
      </c>
      <c r="Q2215" s="86" t="str">
        <f t="shared" si="2"/>
        <v/>
      </c>
      <c r="R2215" s="13" t="str">
        <f t="shared" si="3"/>
        <v>Yes</v>
      </c>
      <c r="S2215" s="86" t="str">
        <f t="array" ref="S2215">iferror(XLOOKUP(C2215,'Download of SFDC Activation Rep'!B:B,'Download of SFDC Activation Rep'!Y:Y),"")</f>
        <v/>
      </c>
    </row>
    <row r="2216">
      <c r="A2216" s="17"/>
      <c r="B2216" s="85"/>
      <c r="C2216" s="17"/>
      <c r="D2216" s="85"/>
      <c r="E2216" s="17"/>
      <c r="F2216" s="17"/>
      <c r="G2216" s="17"/>
      <c r="I2216" s="17"/>
      <c r="K2216" s="17"/>
      <c r="L2216" s="17"/>
      <c r="M2216" s="17"/>
      <c r="O2216" s="14">
        <f t="shared" si="1"/>
        <v>0</v>
      </c>
      <c r="P2216" s="86" t="str">
        <f t="array" ref="P2216">iferror(XLOOKUP(C2216,'Download of SFDC Activation Rep'!B:B,'Download of SFDC Activation Rep'!Z:Z),"")</f>
        <v/>
      </c>
      <c r="Q2216" s="86" t="str">
        <f t="shared" si="2"/>
        <v/>
      </c>
      <c r="R2216" s="13" t="str">
        <f t="shared" si="3"/>
        <v>Yes</v>
      </c>
      <c r="S2216" s="86" t="str">
        <f t="array" ref="S2216">iferror(XLOOKUP(C2216,'Download of SFDC Activation Rep'!B:B,'Download of SFDC Activation Rep'!Y:Y),"")</f>
        <v/>
      </c>
    </row>
    <row r="2217">
      <c r="A2217" s="17"/>
      <c r="B2217" s="85"/>
      <c r="C2217" s="17"/>
      <c r="D2217" s="85"/>
      <c r="E2217" s="17"/>
      <c r="F2217" s="17"/>
      <c r="G2217" s="17"/>
      <c r="I2217" s="17"/>
      <c r="K2217" s="17"/>
      <c r="L2217" s="17"/>
      <c r="M2217" s="17"/>
      <c r="O2217" s="14">
        <f t="shared" si="1"/>
        <v>0</v>
      </c>
      <c r="P2217" s="86" t="str">
        <f t="array" ref="P2217">iferror(XLOOKUP(C2217,'Download of SFDC Activation Rep'!B:B,'Download of SFDC Activation Rep'!Z:Z),"")</f>
        <v/>
      </c>
      <c r="Q2217" s="86" t="str">
        <f t="shared" si="2"/>
        <v/>
      </c>
      <c r="R2217" s="13" t="str">
        <f t="shared" si="3"/>
        <v>Yes</v>
      </c>
      <c r="S2217" s="86" t="str">
        <f t="array" ref="S2217">iferror(XLOOKUP(C2217,'Download of SFDC Activation Rep'!B:B,'Download of SFDC Activation Rep'!Y:Y),"")</f>
        <v/>
      </c>
    </row>
    <row r="2218">
      <c r="A2218" s="17"/>
      <c r="B2218" s="85"/>
      <c r="C2218" s="17"/>
      <c r="D2218" s="85"/>
      <c r="E2218" s="17"/>
      <c r="F2218" s="17"/>
      <c r="G2218" s="17"/>
      <c r="I2218" s="17"/>
      <c r="K2218" s="17"/>
      <c r="L2218" s="17"/>
      <c r="M2218" s="17"/>
      <c r="O2218" s="14">
        <f t="shared" si="1"/>
        <v>0</v>
      </c>
      <c r="P2218" s="86" t="str">
        <f t="array" ref="P2218">iferror(XLOOKUP(C2218,'Download of SFDC Activation Rep'!B:B,'Download of SFDC Activation Rep'!Z:Z),"")</f>
        <v/>
      </c>
      <c r="Q2218" s="86" t="str">
        <f t="shared" si="2"/>
        <v/>
      </c>
      <c r="R2218" s="13" t="str">
        <f t="shared" si="3"/>
        <v>Yes</v>
      </c>
      <c r="S2218" s="86" t="str">
        <f t="array" ref="S2218">iferror(XLOOKUP(C2218,'Download of SFDC Activation Rep'!B:B,'Download of SFDC Activation Rep'!Y:Y),"")</f>
        <v/>
      </c>
    </row>
    <row r="2219">
      <c r="A2219" s="17"/>
      <c r="B2219" s="85"/>
      <c r="C2219" s="17"/>
      <c r="D2219" s="85"/>
      <c r="E2219" s="17"/>
      <c r="F2219" s="17"/>
      <c r="G2219" s="17"/>
      <c r="I2219" s="17"/>
      <c r="K2219" s="17"/>
      <c r="L2219" s="17"/>
      <c r="M2219" s="17"/>
      <c r="O2219" s="14">
        <f t="shared" si="1"/>
        <v>0</v>
      </c>
      <c r="P2219" s="86" t="str">
        <f t="array" ref="P2219">iferror(XLOOKUP(C2219,'Download of SFDC Activation Rep'!B:B,'Download of SFDC Activation Rep'!Z:Z),"")</f>
        <v/>
      </c>
      <c r="Q2219" s="86" t="str">
        <f t="shared" si="2"/>
        <v/>
      </c>
      <c r="R2219" s="13" t="str">
        <f t="shared" si="3"/>
        <v>Yes</v>
      </c>
      <c r="S2219" s="86" t="str">
        <f t="array" ref="S2219">iferror(XLOOKUP(C2219,'Download of SFDC Activation Rep'!B:B,'Download of SFDC Activation Rep'!Y:Y),"")</f>
        <v/>
      </c>
    </row>
    <row r="2220">
      <c r="A2220" s="17"/>
      <c r="B2220" s="85"/>
      <c r="C2220" s="17"/>
      <c r="D2220" s="85"/>
      <c r="E2220" s="17"/>
      <c r="F2220" s="17"/>
      <c r="G2220" s="17"/>
      <c r="I2220" s="17"/>
      <c r="K2220" s="17"/>
      <c r="L2220" s="17"/>
      <c r="M2220" s="17"/>
      <c r="O2220" s="14">
        <f t="shared" si="1"/>
        <v>0</v>
      </c>
      <c r="P2220" s="86" t="str">
        <f t="array" ref="P2220">iferror(XLOOKUP(C2220,'Download of SFDC Activation Rep'!B:B,'Download of SFDC Activation Rep'!Z:Z),"")</f>
        <v/>
      </c>
      <c r="Q2220" s="86" t="str">
        <f t="shared" si="2"/>
        <v/>
      </c>
      <c r="R2220" s="13" t="str">
        <f t="shared" si="3"/>
        <v>Yes</v>
      </c>
      <c r="S2220" s="86" t="str">
        <f t="array" ref="S2220">iferror(XLOOKUP(C2220,'Download of SFDC Activation Rep'!B:B,'Download of SFDC Activation Rep'!Y:Y),"")</f>
        <v/>
      </c>
    </row>
    <row r="2221">
      <c r="A2221" s="17"/>
      <c r="B2221" s="85"/>
      <c r="C2221" s="17"/>
      <c r="D2221" s="85"/>
      <c r="E2221" s="17"/>
      <c r="F2221" s="17"/>
      <c r="G2221" s="17"/>
      <c r="I2221" s="17"/>
      <c r="K2221" s="17"/>
      <c r="L2221" s="17"/>
      <c r="M2221" s="17"/>
      <c r="O2221" s="14">
        <f t="shared" si="1"/>
        <v>0</v>
      </c>
      <c r="P2221" s="86" t="str">
        <f t="array" ref="P2221">iferror(XLOOKUP(C2221,'Download of SFDC Activation Rep'!B:B,'Download of SFDC Activation Rep'!Z:Z),"")</f>
        <v/>
      </c>
      <c r="Q2221" s="86" t="str">
        <f t="shared" si="2"/>
        <v/>
      </c>
      <c r="R2221" s="13" t="str">
        <f t="shared" si="3"/>
        <v>Yes</v>
      </c>
      <c r="S2221" s="86" t="str">
        <f t="array" ref="S2221">iferror(XLOOKUP(C2221,'Download of SFDC Activation Rep'!B:B,'Download of SFDC Activation Rep'!Y:Y),"")</f>
        <v/>
      </c>
    </row>
    <row r="2222">
      <c r="A2222" s="17"/>
      <c r="B2222" s="85"/>
      <c r="C2222" s="17"/>
      <c r="D2222" s="85"/>
      <c r="E2222" s="17"/>
      <c r="F2222" s="17"/>
      <c r="G2222" s="17"/>
      <c r="I2222" s="17"/>
      <c r="K2222" s="17"/>
      <c r="L2222" s="17"/>
      <c r="M2222" s="17"/>
      <c r="O2222" s="14">
        <f t="shared" si="1"/>
        <v>0</v>
      </c>
      <c r="P2222" s="86" t="str">
        <f t="array" ref="P2222">iferror(XLOOKUP(C2222,'Download of SFDC Activation Rep'!B:B,'Download of SFDC Activation Rep'!Z:Z),"")</f>
        <v/>
      </c>
      <c r="Q2222" s="86" t="str">
        <f t="shared" si="2"/>
        <v/>
      </c>
      <c r="R2222" s="13" t="str">
        <f t="shared" si="3"/>
        <v>Yes</v>
      </c>
      <c r="S2222" s="86" t="str">
        <f t="array" ref="S2222">iferror(XLOOKUP(C2222,'Download of SFDC Activation Rep'!B:B,'Download of SFDC Activation Rep'!Y:Y),"")</f>
        <v/>
      </c>
    </row>
    <row r="2223">
      <c r="A2223" s="17"/>
      <c r="B2223" s="85"/>
      <c r="C2223" s="17"/>
      <c r="D2223" s="85"/>
      <c r="E2223" s="17"/>
      <c r="F2223" s="17"/>
      <c r="G2223" s="17"/>
      <c r="I2223" s="17"/>
      <c r="K2223" s="17"/>
      <c r="L2223" s="17"/>
      <c r="M2223" s="17"/>
      <c r="O2223" s="14">
        <f t="shared" si="1"/>
        <v>0</v>
      </c>
      <c r="P2223" s="86" t="str">
        <f t="array" ref="P2223">iferror(XLOOKUP(C2223,'Download of SFDC Activation Rep'!B:B,'Download of SFDC Activation Rep'!Z:Z),"")</f>
        <v/>
      </c>
      <c r="Q2223" s="86" t="str">
        <f t="shared" si="2"/>
        <v/>
      </c>
      <c r="R2223" s="13" t="str">
        <f t="shared" si="3"/>
        <v>Yes</v>
      </c>
      <c r="S2223" s="86" t="str">
        <f t="array" ref="S2223">iferror(XLOOKUP(C2223,'Download of SFDC Activation Rep'!B:B,'Download of SFDC Activation Rep'!Y:Y),"")</f>
        <v/>
      </c>
    </row>
    <row r="2224">
      <c r="A2224" s="17"/>
      <c r="B2224" s="85"/>
      <c r="C2224" s="17"/>
      <c r="D2224" s="85"/>
      <c r="E2224" s="17"/>
      <c r="F2224" s="17"/>
      <c r="G2224" s="17"/>
      <c r="I2224" s="17"/>
      <c r="K2224" s="17"/>
      <c r="L2224" s="17"/>
      <c r="M2224" s="17"/>
      <c r="O2224" s="14">
        <f t="shared" si="1"/>
        <v>0</v>
      </c>
      <c r="P2224" s="86" t="str">
        <f t="array" ref="P2224">iferror(XLOOKUP(C2224,'Download of SFDC Activation Rep'!B:B,'Download of SFDC Activation Rep'!Z:Z),"")</f>
        <v/>
      </c>
      <c r="Q2224" s="86" t="str">
        <f t="shared" si="2"/>
        <v/>
      </c>
      <c r="R2224" s="13" t="str">
        <f t="shared" si="3"/>
        <v>Yes</v>
      </c>
      <c r="S2224" s="86" t="str">
        <f t="array" ref="S2224">iferror(XLOOKUP(C2224,'Download of SFDC Activation Rep'!B:B,'Download of SFDC Activation Rep'!Y:Y),"")</f>
        <v/>
      </c>
    </row>
    <row r="2225">
      <c r="A2225" s="17"/>
      <c r="B2225" s="85"/>
      <c r="C2225" s="17"/>
      <c r="D2225" s="85"/>
      <c r="E2225" s="17"/>
      <c r="F2225" s="17"/>
      <c r="G2225" s="17"/>
      <c r="I2225" s="17"/>
      <c r="K2225" s="17"/>
      <c r="L2225" s="17"/>
      <c r="M2225" s="17"/>
      <c r="O2225" s="14">
        <f t="shared" si="1"/>
        <v>0</v>
      </c>
      <c r="P2225" s="86" t="str">
        <f t="array" ref="P2225">iferror(XLOOKUP(C2225,'Download of SFDC Activation Rep'!B:B,'Download of SFDC Activation Rep'!Z:Z),"")</f>
        <v/>
      </c>
      <c r="Q2225" s="86" t="str">
        <f t="shared" si="2"/>
        <v/>
      </c>
      <c r="R2225" s="13" t="str">
        <f t="shared" si="3"/>
        <v>Yes</v>
      </c>
      <c r="S2225" s="86" t="str">
        <f t="array" ref="S2225">iferror(XLOOKUP(C2225,'Download of SFDC Activation Rep'!B:B,'Download of SFDC Activation Rep'!Y:Y),"")</f>
        <v/>
      </c>
    </row>
    <row r="2226">
      <c r="A2226" s="17"/>
      <c r="B2226" s="85"/>
      <c r="C2226" s="17"/>
      <c r="D2226" s="85"/>
      <c r="E2226" s="17"/>
      <c r="F2226" s="17"/>
      <c r="G2226" s="17"/>
      <c r="I2226" s="17"/>
      <c r="K2226" s="17"/>
      <c r="L2226" s="17"/>
      <c r="M2226" s="17"/>
      <c r="O2226" s="14">
        <f t="shared" si="1"/>
        <v>0</v>
      </c>
      <c r="P2226" s="86" t="str">
        <f t="array" ref="P2226">iferror(XLOOKUP(C2226,'Download of SFDC Activation Rep'!B:B,'Download of SFDC Activation Rep'!Z:Z),"")</f>
        <v/>
      </c>
      <c r="Q2226" s="86" t="str">
        <f t="shared" si="2"/>
        <v/>
      </c>
      <c r="R2226" s="13" t="str">
        <f t="shared" si="3"/>
        <v>Yes</v>
      </c>
      <c r="S2226" s="86" t="str">
        <f t="array" ref="S2226">iferror(XLOOKUP(C2226,'Download of SFDC Activation Rep'!B:B,'Download of SFDC Activation Rep'!Y:Y),"")</f>
        <v/>
      </c>
    </row>
    <row r="2227">
      <c r="A2227" s="17"/>
      <c r="B2227" s="85"/>
      <c r="C2227" s="17"/>
      <c r="D2227" s="85"/>
      <c r="E2227" s="17"/>
      <c r="F2227" s="17"/>
      <c r="G2227" s="17"/>
      <c r="I2227" s="17"/>
      <c r="K2227" s="17"/>
      <c r="L2227" s="17"/>
      <c r="M2227" s="17"/>
      <c r="O2227" s="14">
        <f t="shared" si="1"/>
        <v>0</v>
      </c>
      <c r="P2227" s="86" t="str">
        <f t="array" ref="P2227">iferror(XLOOKUP(C2227,'Download of SFDC Activation Rep'!B:B,'Download of SFDC Activation Rep'!Z:Z),"")</f>
        <v/>
      </c>
      <c r="Q2227" s="86" t="str">
        <f t="shared" si="2"/>
        <v/>
      </c>
      <c r="R2227" s="13" t="str">
        <f t="shared" si="3"/>
        <v>Yes</v>
      </c>
      <c r="S2227" s="86" t="str">
        <f t="array" ref="S2227">iferror(XLOOKUP(C2227,'Download of SFDC Activation Rep'!B:B,'Download of SFDC Activation Rep'!Y:Y),"")</f>
        <v/>
      </c>
    </row>
    <row r="2228">
      <c r="A2228" s="17"/>
      <c r="B2228" s="85"/>
      <c r="C2228" s="17"/>
      <c r="D2228" s="85"/>
      <c r="E2228" s="17"/>
      <c r="F2228" s="17"/>
      <c r="G2228" s="17"/>
      <c r="I2228" s="17"/>
      <c r="K2228" s="17"/>
      <c r="L2228" s="17"/>
      <c r="M2228" s="17"/>
      <c r="O2228" s="14">
        <f t="shared" si="1"/>
        <v>0</v>
      </c>
      <c r="P2228" s="86" t="str">
        <f t="array" ref="P2228">iferror(XLOOKUP(C2228,'Download of SFDC Activation Rep'!B:B,'Download of SFDC Activation Rep'!Z:Z),"")</f>
        <v/>
      </c>
      <c r="Q2228" s="86" t="str">
        <f t="shared" si="2"/>
        <v/>
      </c>
      <c r="R2228" s="13" t="str">
        <f t="shared" si="3"/>
        <v>Yes</v>
      </c>
      <c r="S2228" s="86" t="str">
        <f t="array" ref="S2228">iferror(XLOOKUP(C2228,'Download of SFDC Activation Rep'!B:B,'Download of SFDC Activation Rep'!Y:Y),"")</f>
        <v/>
      </c>
    </row>
    <row r="2229">
      <c r="A2229" s="17"/>
      <c r="B2229" s="85"/>
      <c r="C2229" s="17"/>
      <c r="D2229" s="85"/>
      <c r="E2229" s="17"/>
      <c r="F2229" s="17"/>
      <c r="G2229" s="17"/>
      <c r="I2229" s="17"/>
      <c r="K2229" s="17"/>
      <c r="L2229" s="17"/>
      <c r="M2229" s="17"/>
      <c r="O2229" s="14">
        <f t="shared" si="1"/>
        <v>0</v>
      </c>
      <c r="P2229" s="86" t="str">
        <f t="array" ref="P2229">iferror(XLOOKUP(C2229,'Download of SFDC Activation Rep'!B:B,'Download of SFDC Activation Rep'!Z:Z),"")</f>
        <v/>
      </c>
      <c r="Q2229" s="86" t="str">
        <f t="shared" si="2"/>
        <v/>
      </c>
      <c r="R2229" s="13" t="str">
        <f t="shared" si="3"/>
        <v>Yes</v>
      </c>
      <c r="S2229" s="86" t="str">
        <f t="array" ref="S2229">iferror(XLOOKUP(C2229,'Download of SFDC Activation Rep'!B:B,'Download of SFDC Activation Rep'!Y:Y),"")</f>
        <v/>
      </c>
    </row>
    <row r="2230">
      <c r="A2230" s="17"/>
      <c r="B2230" s="85"/>
      <c r="C2230" s="17"/>
      <c r="D2230" s="85"/>
      <c r="E2230" s="17"/>
      <c r="F2230" s="17"/>
      <c r="G2230" s="17"/>
      <c r="I2230" s="17"/>
      <c r="K2230" s="17"/>
      <c r="L2230" s="17"/>
      <c r="M2230" s="17"/>
      <c r="O2230" s="14">
        <f t="shared" si="1"/>
        <v>0</v>
      </c>
      <c r="P2230" s="86" t="str">
        <f t="array" ref="P2230">iferror(XLOOKUP(C2230,'Download of SFDC Activation Rep'!B:B,'Download of SFDC Activation Rep'!Z:Z),"")</f>
        <v/>
      </c>
      <c r="Q2230" s="86" t="str">
        <f t="shared" si="2"/>
        <v/>
      </c>
      <c r="R2230" s="13" t="str">
        <f t="shared" si="3"/>
        <v>Yes</v>
      </c>
      <c r="S2230" s="86" t="str">
        <f t="array" ref="S2230">iferror(XLOOKUP(C2230,'Download of SFDC Activation Rep'!B:B,'Download of SFDC Activation Rep'!Y:Y),"")</f>
        <v/>
      </c>
    </row>
    <row r="2231">
      <c r="A2231" s="17"/>
      <c r="B2231" s="85"/>
      <c r="C2231" s="17"/>
      <c r="D2231" s="85"/>
      <c r="E2231" s="17"/>
      <c r="F2231" s="17"/>
      <c r="G2231" s="17"/>
      <c r="I2231" s="17"/>
      <c r="K2231" s="17"/>
      <c r="L2231" s="17"/>
      <c r="M2231" s="17"/>
      <c r="O2231" s="14">
        <f t="shared" si="1"/>
        <v>0</v>
      </c>
      <c r="P2231" s="86" t="str">
        <f t="array" ref="P2231">iferror(XLOOKUP(C2231,'Download of SFDC Activation Rep'!B:B,'Download of SFDC Activation Rep'!Z:Z),"")</f>
        <v/>
      </c>
      <c r="Q2231" s="86" t="str">
        <f t="shared" si="2"/>
        <v/>
      </c>
      <c r="R2231" s="13" t="str">
        <f t="shared" si="3"/>
        <v>Yes</v>
      </c>
      <c r="S2231" s="86" t="str">
        <f t="array" ref="S2231">iferror(XLOOKUP(C2231,'Download of SFDC Activation Rep'!B:B,'Download of SFDC Activation Rep'!Y:Y),"")</f>
        <v/>
      </c>
    </row>
    <row r="2232">
      <c r="A2232" s="17"/>
      <c r="B2232" s="85"/>
      <c r="C2232" s="17"/>
      <c r="D2232" s="85"/>
      <c r="E2232" s="17"/>
      <c r="F2232" s="17"/>
      <c r="G2232" s="17"/>
      <c r="I2232" s="17"/>
      <c r="K2232" s="17"/>
      <c r="L2232" s="17"/>
      <c r="M2232" s="17"/>
      <c r="O2232" s="14">
        <f t="shared" si="1"/>
        <v>0</v>
      </c>
      <c r="P2232" s="86" t="str">
        <f t="array" ref="P2232">iferror(XLOOKUP(C2232,'Download of SFDC Activation Rep'!B:B,'Download of SFDC Activation Rep'!Z:Z),"")</f>
        <v/>
      </c>
      <c r="Q2232" s="86" t="str">
        <f t="shared" si="2"/>
        <v/>
      </c>
      <c r="R2232" s="13" t="str">
        <f t="shared" si="3"/>
        <v>Yes</v>
      </c>
      <c r="S2232" s="86" t="str">
        <f t="array" ref="S2232">iferror(XLOOKUP(C2232,'Download of SFDC Activation Rep'!B:B,'Download of SFDC Activation Rep'!Y:Y),"")</f>
        <v/>
      </c>
    </row>
    <row r="2233">
      <c r="A2233" s="17"/>
      <c r="B2233" s="85"/>
      <c r="C2233" s="17"/>
      <c r="D2233" s="85"/>
      <c r="E2233" s="17"/>
      <c r="F2233" s="17"/>
      <c r="G2233" s="17"/>
      <c r="I2233" s="17"/>
      <c r="K2233" s="17"/>
      <c r="L2233" s="17"/>
      <c r="M2233" s="17"/>
      <c r="O2233" s="14">
        <f t="shared" si="1"/>
        <v>0</v>
      </c>
      <c r="P2233" s="86" t="str">
        <f t="array" ref="P2233">iferror(XLOOKUP(C2233,'Download of SFDC Activation Rep'!B:B,'Download of SFDC Activation Rep'!Z:Z),"")</f>
        <v/>
      </c>
      <c r="Q2233" s="86" t="str">
        <f t="shared" si="2"/>
        <v/>
      </c>
      <c r="R2233" s="13" t="str">
        <f t="shared" si="3"/>
        <v>Yes</v>
      </c>
      <c r="S2233" s="86" t="str">
        <f t="array" ref="S2233">iferror(XLOOKUP(C2233,'Download of SFDC Activation Rep'!B:B,'Download of SFDC Activation Rep'!Y:Y),"")</f>
        <v/>
      </c>
    </row>
    <row r="2234">
      <c r="A2234" s="17"/>
      <c r="B2234" s="85"/>
      <c r="C2234" s="17"/>
      <c r="D2234" s="85"/>
      <c r="E2234" s="17"/>
      <c r="F2234" s="17"/>
      <c r="G2234" s="17"/>
      <c r="I2234" s="17"/>
      <c r="K2234" s="17"/>
      <c r="L2234" s="17"/>
      <c r="M2234" s="17"/>
      <c r="O2234" s="14">
        <f t="shared" si="1"/>
        <v>0</v>
      </c>
      <c r="P2234" s="86" t="str">
        <f t="array" ref="P2234">iferror(XLOOKUP(C2234,'Download of SFDC Activation Rep'!B:B,'Download of SFDC Activation Rep'!Z:Z),"")</f>
        <v/>
      </c>
      <c r="Q2234" s="86" t="str">
        <f t="shared" si="2"/>
        <v/>
      </c>
      <c r="R2234" s="13" t="str">
        <f t="shared" si="3"/>
        <v>Yes</v>
      </c>
      <c r="S2234" s="86" t="str">
        <f t="array" ref="S2234">iferror(XLOOKUP(C2234,'Download of SFDC Activation Rep'!B:B,'Download of SFDC Activation Rep'!Y:Y),"")</f>
        <v/>
      </c>
    </row>
    <row r="2235">
      <c r="A2235" s="17"/>
      <c r="B2235" s="85"/>
      <c r="C2235" s="17"/>
      <c r="D2235" s="85"/>
      <c r="E2235" s="17"/>
      <c r="F2235" s="17"/>
      <c r="G2235" s="17"/>
      <c r="I2235" s="17"/>
      <c r="K2235" s="17"/>
      <c r="L2235" s="17"/>
      <c r="M2235" s="17"/>
      <c r="O2235" s="14">
        <f t="shared" si="1"/>
        <v>0</v>
      </c>
      <c r="P2235" s="86" t="str">
        <f t="array" ref="P2235">iferror(XLOOKUP(C2235,'Download of SFDC Activation Rep'!B:B,'Download of SFDC Activation Rep'!Z:Z),"")</f>
        <v/>
      </c>
      <c r="Q2235" s="86" t="str">
        <f t="shared" si="2"/>
        <v/>
      </c>
      <c r="R2235" s="13" t="str">
        <f t="shared" si="3"/>
        <v>Yes</v>
      </c>
      <c r="S2235" s="86" t="str">
        <f t="array" ref="S2235">iferror(XLOOKUP(C2235,'Download of SFDC Activation Rep'!B:B,'Download of SFDC Activation Rep'!Y:Y),"")</f>
        <v/>
      </c>
    </row>
    <row r="2236">
      <c r="A2236" s="17"/>
      <c r="B2236" s="85"/>
      <c r="C2236" s="17"/>
      <c r="D2236" s="85"/>
      <c r="E2236" s="17"/>
      <c r="F2236" s="17"/>
      <c r="G2236" s="17"/>
      <c r="I2236" s="17"/>
      <c r="K2236" s="17"/>
      <c r="L2236" s="17"/>
      <c r="M2236" s="17"/>
      <c r="O2236" s="14">
        <f t="shared" si="1"/>
        <v>0</v>
      </c>
      <c r="P2236" s="86" t="str">
        <f t="array" ref="P2236">iferror(XLOOKUP(C2236,'Download of SFDC Activation Rep'!B:B,'Download of SFDC Activation Rep'!Z:Z),"")</f>
        <v/>
      </c>
      <c r="Q2236" s="86" t="str">
        <f t="shared" si="2"/>
        <v/>
      </c>
      <c r="R2236" s="13" t="str">
        <f t="shared" si="3"/>
        <v>Yes</v>
      </c>
      <c r="S2236" s="86" t="str">
        <f t="array" ref="S2236">iferror(XLOOKUP(C2236,'Download of SFDC Activation Rep'!B:B,'Download of SFDC Activation Rep'!Y:Y),"")</f>
        <v/>
      </c>
    </row>
    <row r="2237">
      <c r="A2237" s="17"/>
      <c r="B2237" s="85"/>
      <c r="C2237" s="17"/>
      <c r="D2237" s="85"/>
      <c r="E2237" s="17"/>
      <c r="F2237" s="17"/>
      <c r="G2237" s="17"/>
      <c r="I2237" s="17"/>
      <c r="K2237" s="17"/>
      <c r="L2237" s="17"/>
      <c r="M2237" s="17"/>
      <c r="O2237" s="14">
        <f t="shared" si="1"/>
        <v>0</v>
      </c>
      <c r="P2237" s="86" t="str">
        <f t="array" ref="P2237">iferror(XLOOKUP(C2237,'Download of SFDC Activation Rep'!B:B,'Download of SFDC Activation Rep'!Z:Z),"")</f>
        <v/>
      </c>
      <c r="Q2237" s="86" t="str">
        <f t="shared" si="2"/>
        <v/>
      </c>
      <c r="R2237" s="13" t="str">
        <f t="shared" si="3"/>
        <v>Yes</v>
      </c>
      <c r="S2237" s="86" t="str">
        <f t="array" ref="S2237">iferror(XLOOKUP(C2237,'Download of SFDC Activation Rep'!B:B,'Download of SFDC Activation Rep'!Y:Y),"")</f>
        <v/>
      </c>
    </row>
    <row r="2238">
      <c r="A2238" s="17"/>
      <c r="B2238" s="85"/>
      <c r="C2238" s="17"/>
      <c r="D2238" s="85"/>
      <c r="E2238" s="17"/>
      <c r="F2238" s="17"/>
      <c r="G2238" s="17"/>
      <c r="I2238" s="17"/>
      <c r="K2238" s="17"/>
      <c r="L2238" s="17"/>
      <c r="M2238" s="17"/>
      <c r="O2238" s="14">
        <f t="shared" si="1"/>
        <v>0</v>
      </c>
      <c r="P2238" s="86" t="str">
        <f t="array" ref="P2238">iferror(XLOOKUP(C2238,'Download of SFDC Activation Rep'!B:B,'Download of SFDC Activation Rep'!Z:Z),"")</f>
        <v/>
      </c>
      <c r="Q2238" s="86" t="str">
        <f t="shared" si="2"/>
        <v/>
      </c>
      <c r="R2238" s="13" t="str">
        <f t="shared" si="3"/>
        <v>Yes</v>
      </c>
      <c r="S2238" s="86" t="str">
        <f t="array" ref="S2238">iferror(XLOOKUP(C2238,'Download of SFDC Activation Rep'!B:B,'Download of SFDC Activation Rep'!Y:Y),"")</f>
        <v/>
      </c>
    </row>
    <row r="2239">
      <c r="A2239" s="17"/>
      <c r="B2239" s="85"/>
      <c r="C2239" s="17"/>
      <c r="D2239" s="85"/>
      <c r="E2239" s="17"/>
      <c r="F2239" s="17"/>
      <c r="G2239" s="17"/>
      <c r="I2239" s="17"/>
      <c r="K2239" s="17"/>
      <c r="L2239" s="17"/>
      <c r="M2239" s="17"/>
      <c r="O2239" s="14">
        <f t="shared" si="1"/>
        <v>0</v>
      </c>
      <c r="P2239" s="86" t="str">
        <f t="array" ref="P2239">iferror(XLOOKUP(C2239,'Download of SFDC Activation Rep'!B:B,'Download of SFDC Activation Rep'!Z:Z),"")</f>
        <v/>
      </c>
      <c r="Q2239" s="86" t="str">
        <f t="shared" si="2"/>
        <v/>
      </c>
      <c r="R2239" s="13" t="str">
        <f t="shared" si="3"/>
        <v>Yes</v>
      </c>
      <c r="S2239" s="86" t="str">
        <f t="array" ref="S2239">iferror(XLOOKUP(C2239,'Download of SFDC Activation Rep'!B:B,'Download of SFDC Activation Rep'!Y:Y),"")</f>
        <v/>
      </c>
    </row>
    <row r="2240">
      <c r="A2240" s="17"/>
      <c r="B2240" s="85"/>
      <c r="C2240" s="17"/>
      <c r="D2240" s="85"/>
      <c r="E2240" s="17"/>
      <c r="F2240" s="17"/>
      <c r="G2240" s="17"/>
      <c r="I2240" s="17"/>
      <c r="K2240" s="17"/>
      <c r="L2240" s="17"/>
      <c r="M2240" s="17"/>
      <c r="O2240" s="14">
        <f t="shared" si="1"/>
        <v>0</v>
      </c>
      <c r="P2240" s="86" t="str">
        <f t="array" ref="P2240">iferror(XLOOKUP(C2240,'Download of SFDC Activation Rep'!B:B,'Download of SFDC Activation Rep'!Z:Z),"")</f>
        <v/>
      </c>
      <c r="Q2240" s="86" t="str">
        <f t="shared" si="2"/>
        <v/>
      </c>
      <c r="R2240" s="13" t="str">
        <f t="shared" si="3"/>
        <v>Yes</v>
      </c>
      <c r="S2240" s="86" t="str">
        <f t="array" ref="S2240">iferror(XLOOKUP(C2240,'Download of SFDC Activation Rep'!B:B,'Download of SFDC Activation Rep'!Y:Y),"")</f>
        <v/>
      </c>
    </row>
    <row r="2241">
      <c r="A2241" s="17"/>
      <c r="B2241" s="85"/>
      <c r="C2241" s="17"/>
      <c r="D2241" s="85"/>
      <c r="E2241" s="17"/>
      <c r="F2241" s="17"/>
      <c r="G2241" s="17"/>
      <c r="I2241" s="17"/>
      <c r="K2241" s="17"/>
      <c r="L2241" s="17"/>
      <c r="M2241" s="17"/>
      <c r="O2241" s="14">
        <f t="shared" si="1"/>
        <v>0</v>
      </c>
      <c r="P2241" s="86" t="str">
        <f t="array" ref="P2241">iferror(XLOOKUP(C2241,'Download of SFDC Activation Rep'!B:B,'Download of SFDC Activation Rep'!Z:Z),"")</f>
        <v/>
      </c>
      <c r="Q2241" s="86" t="str">
        <f t="shared" si="2"/>
        <v/>
      </c>
      <c r="R2241" s="13" t="str">
        <f t="shared" si="3"/>
        <v>Yes</v>
      </c>
      <c r="S2241" s="86" t="str">
        <f t="array" ref="S2241">iferror(XLOOKUP(C2241,'Download of SFDC Activation Rep'!B:B,'Download of SFDC Activation Rep'!Y:Y),"")</f>
        <v/>
      </c>
    </row>
    <row r="2242">
      <c r="A2242" s="17"/>
      <c r="B2242" s="85"/>
      <c r="C2242" s="17"/>
      <c r="D2242" s="85"/>
      <c r="E2242" s="17"/>
      <c r="F2242" s="17"/>
      <c r="G2242" s="17"/>
      <c r="I2242" s="17"/>
      <c r="K2242" s="17"/>
      <c r="L2242" s="17"/>
      <c r="M2242" s="17"/>
      <c r="O2242" s="14">
        <f t="shared" si="1"/>
        <v>0</v>
      </c>
      <c r="P2242" s="86" t="str">
        <f t="array" ref="P2242">iferror(XLOOKUP(C2242,'Download of SFDC Activation Rep'!B:B,'Download of SFDC Activation Rep'!Z:Z),"")</f>
        <v/>
      </c>
      <c r="Q2242" s="86" t="str">
        <f t="shared" si="2"/>
        <v/>
      </c>
      <c r="R2242" s="13" t="str">
        <f t="shared" si="3"/>
        <v>Yes</v>
      </c>
      <c r="S2242" s="86" t="str">
        <f t="array" ref="S2242">iferror(XLOOKUP(C2242,'Download of SFDC Activation Rep'!B:B,'Download of SFDC Activation Rep'!Y:Y),"")</f>
        <v/>
      </c>
    </row>
    <row r="2243">
      <c r="A2243" s="17"/>
      <c r="B2243" s="85"/>
      <c r="C2243" s="17"/>
      <c r="D2243" s="85"/>
      <c r="E2243" s="17"/>
      <c r="F2243" s="17"/>
      <c r="G2243" s="17"/>
      <c r="I2243" s="17"/>
      <c r="K2243" s="17"/>
      <c r="L2243" s="17"/>
      <c r="M2243" s="17"/>
      <c r="O2243" s="14">
        <f t="shared" si="1"/>
        <v>0</v>
      </c>
      <c r="P2243" s="86" t="str">
        <f t="array" ref="P2243">iferror(XLOOKUP(C2243,'Download of SFDC Activation Rep'!B:B,'Download of SFDC Activation Rep'!Z:Z),"")</f>
        <v/>
      </c>
      <c r="Q2243" s="86" t="str">
        <f t="shared" si="2"/>
        <v/>
      </c>
      <c r="R2243" s="13" t="str">
        <f t="shared" si="3"/>
        <v>Yes</v>
      </c>
      <c r="S2243" s="86" t="str">
        <f t="array" ref="S2243">iferror(XLOOKUP(C2243,'Download of SFDC Activation Rep'!B:B,'Download of SFDC Activation Rep'!Y:Y),"")</f>
        <v/>
      </c>
    </row>
    <row r="2244">
      <c r="A2244" s="17"/>
      <c r="B2244" s="85"/>
      <c r="C2244" s="17"/>
      <c r="D2244" s="85"/>
      <c r="E2244" s="17"/>
      <c r="F2244" s="17"/>
      <c r="G2244" s="17"/>
      <c r="I2244" s="17"/>
      <c r="K2244" s="17"/>
      <c r="L2244" s="17"/>
      <c r="M2244" s="17"/>
      <c r="O2244" s="14">
        <f t="shared" si="1"/>
        <v>0</v>
      </c>
      <c r="P2244" s="86" t="str">
        <f t="array" ref="P2244">iferror(XLOOKUP(C2244,'Download of SFDC Activation Rep'!B:B,'Download of SFDC Activation Rep'!Z:Z),"")</f>
        <v/>
      </c>
      <c r="Q2244" s="86" t="str">
        <f t="shared" si="2"/>
        <v/>
      </c>
      <c r="R2244" s="13" t="str">
        <f t="shared" si="3"/>
        <v>Yes</v>
      </c>
      <c r="S2244" s="86" t="str">
        <f t="array" ref="S2244">iferror(XLOOKUP(C2244,'Download of SFDC Activation Rep'!B:B,'Download of SFDC Activation Rep'!Y:Y),"")</f>
        <v/>
      </c>
    </row>
    <row r="2245">
      <c r="A2245" s="17"/>
      <c r="B2245" s="85"/>
      <c r="C2245" s="17"/>
      <c r="D2245" s="85"/>
      <c r="E2245" s="17"/>
      <c r="F2245" s="17"/>
      <c r="G2245" s="17"/>
      <c r="I2245" s="17"/>
      <c r="K2245" s="17"/>
      <c r="L2245" s="17"/>
      <c r="M2245" s="17"/>
      <c r="O2245" s="14">
        <f t="shared" si="1"/>
        <v>0</v>
      </c>
      <c r="P2245" s="86" t="str">
        <f t="array" ref="P2245">iferror(XLOOKUP(C2245,'Download of SFDC Activation Rep'!B:B,'Download of SFDC Activation Rep'!Z:Z),"")</f>
        <v/>
      </c>
      <c r="Q2245" s="86" t="str">
        <f t="shared" si="2"/>
        <v/>
      </c>
      <c r="R2245" s="13" t="str">
        <f t="shared" si="3"/>
        <v>Yes</v>
      </c>
      <c r="S2245" s="86" t="str">
        <f t="array" ref="S2245">iferror(XLOOKUP(C2245,'Download of SFDC Activation Rep'!B:B,'Download of SFDC Activation Rep'!Y:Y),"")</f>
        <v/>
      </c>
    </row>
    <row r="2246">
      <c r="A2246" s="17"/>
      <c r="B2246" s="85"/>
      <c r="C2246" s="17"/>
      <c r="D2246" s="85"/>
      <c r="E2246" s="17"/>
      <c r="F2246" s="17"/>
      <c r="G2246" s="17"/>
      <c r="I2246" s="17"/>
      <c r="K2246" s="17"/>
      <c r="L2246" s="17"/>
      <c r="M2246" s="17"/>
      <c r="O2246" s="14">
        <f t="shared" si="1"/>
        <v>0</v>
      </c>
      <c r="P2246" s="86" t="str">
        <f t="array" ref="P2246">iferror(XLOOKUP(C2246,'Download of SFDC Activation Rep'!B:B,'Download of SFDC Activation Rep'!Z:Z),"")</f>
        <v/>
      </c>
      <c r="Q2246" s="86" t="str">
        <f t="shared" si="2"/>
        <v/>
      </c>
      <c r="R2246" s="13" t="str">
        <f t="shared" si="3"/>
        <v>Yes</v>
      </c>
      <c r="S2246" s="86" t="str">
        <f t="array" ref="S2246">iferror(XLOOKUP(C2246,'Download of SFDC Activation Rep'!B:B,'Download of SFDC Activation Rep'!Y:Y),"")</f>
        <v/>
      </c>
    </row>
    <row r="2247">
      <c r="A2247" s="17"/>
      <c r="B2247" s="85"/>
      <c r="C2247" s="17"/>
      <c r="D2247" s="85"/>
      <c r="E2247" s="17"/>
      <c r="F2247" s="17"/>
      <c r="G2247" s="17"/>
      <c r="I2247" s="17"/>
      <c r="K2247" s="17"/>
      <c r="L2247" s="17"/>
      <c r="M2247" s="17"/>
      <c r="O2247" s="14">
        <f t="shared" si="1"/>
        <v>0</v>
      </c>
      <c r="P2247" s="86" t="str">
        <f t="array" ref="P2247">iferror(XLOOKUP(C2247,'Download of SFDC Activation Rep'!B:B,'Download of SFDC Activation Rep'!Z:Z),"")</f>
        <v/>
      </c>
      <c r="Q2247" s="86" t="str">
        <f t="shared" si="2"/>
        <v/>
      </c>
      <c r="R2247" s="13" t="str">
        <f t="shared" si="3"/>
        <v>Yes</v>
      </c>
      <c r="S2247" s="86" t="str">
        <f t="array" ref="S2247">iferror(XLOOKUP(C2247,'Download of SFDC Activation Rep'!B:B,'Download of SFDC Activation Rep'!Y:Y),"")</f>
        <v/>
      </c>
    </row>
    <row r="2248">
      <c r="A2248" s="17"/>
      <c r="B2248" s="85"/>
      <c r="C2248" s="17"/>
      <c r="D2248" s="85"/>
      <c r="E2248" s="17"/>
      <c r="F2248" s="17"/>
      <c r="G2248" s="17"/>
      <c r="I2248" s="17"/>
      <c r="K2248" s="17"/>
      <c r="L2248" s="17"/>
      <c r="M2248" s="17"/>
      <c r="O2248" s="14">
        <f t="shared" si="1"/>
        <v>0</v>
      </c>
      <c r="P2248" s="86" t="str">
        <f t="array" ref="P2248">iferror(XLOOKUP(C2248,'Download of SFDC Activation Rep'!B:B,'Download of SFDC Activation Rep'!Z:Z),"")</f>
        <v/>
      </c>
      <c r="Q2248" s="86" t="str">
        <f t="shared" si="2"/>
        <v/>
      </c>
      <c r="R2248" s="13" t="str">
        <f t="shared" si="3"/>
        <v>Yes</v>
      </c>
      <c r="S2248" s="86" t="str">
        <f t="array" ref="S2248">iferror(XLOOKUP(C2248,'Download of SFDC Activation Rep'!B:B,'Download of SFDC Activation Rep'!Y:Y),"")</f>
        <v/>
      </c>
    </row>
    <row r="2249">
      <c r="A2249" s="17"/>
      <c r="B2249" s="85"/>
      <c r="C2249" s="17"/>
      <c r="D2249" s="85"/>
      <c r="E2249" s="17"/>
      <c r="F2249" s="17"/>
      <c r="G2249" s="17"/>
      <c r="I2249" s="17"/>
      <c r="K2249" s="17"/>
      <c r="L2249" s="17"/>
      <c r="M2249" s="17"/>
      <c r="O2249" s="14">
        <f t="shared" si="1"/>
        <v>0</v>
      </c>
      <c r="P2249" s="86" t="str">
        <f t="array" ref="P2249">iferror(XLOOKUP(C2249,'Download of SFDC Activation Rep'!B:B,'Download of SFDC Activation Rep'!Z:Z),"")</f>
        <v/>
      </c>
      <c r="Q2249" s="86" t="str">
        <f t="shared" si="2"/>
        <v/>
      </c>
      <c r="R2249" s="13" t="str">
        <f t="shared" si="3"/>
        <v>Yes</v>
      </c>
      <c r="S2249" s="86" t="str">
        <f t="array" ref="S2249">iferror(XLOOKUP(C2249,'Download of SFDC Activation Rep'!B:B,'Download of SFDC Activation Rep'!Y:Y),"")</f>
        <v/>
      </c>
    </row>
    <row r="2250">
      <c r="A2250" s="17"/>
      <c r="B2250" s="85"/>
      <c r="C2250" s="17"/>
      <c r="D2250" s="85"/>
      <c r="E2250" s="17"/>
      <c r="F2250" s="17"/>
      <c r="G2250" s="17"/>
      <c r="I2250" s="17"/>
      <c r="K2250" s="17"/>
      <c r="L2250" s="17"/>
      <c r="M2250" s="17"/>
      <c r="O2250" s="14">
        <f t="shared" si="1"/>
        <v>0</v>
      </c>
      <c r="P2250" s="86" t="str">
        <f t="array" ref="P2250">iferror(XLOOKUP(C2250,'Download of SFDC Activation Rep'!B:B,'Download of SFDC Activation Rep'!Z:Z),"")</f>
        <v/>
      </c>
      <c r="Q2250" s="86" t="str">
        <f t="shared" si="2"/>
        <v/>
      </c>
      <c r="R2250" s="13" t="str">
        <f t="shared" si="3"/>
        <v>Yes</v>
      </c>
      <c r="S2250" s="86" t="str">
        <f t="array" ref="S2250">iferror(XLOOKUP(C2250,'Download of SFDC Activation Rep'!B:B,'Download of SFDC Activation Rep'!Y:Y),"")</f>
        <v/>
      </c>
    </row>
    <row r="2251">
      <c r="A2251" s="17"/>
      <c r="B2251" s="85"/>
      <c r="C2251" s="17"/>
      <c r="D2251" s="85"/>
      <c r="E2251" s="17"/>
      <c r="F2251" s="17"/>
      <c r="G2251" s="17"/>
      <c r="I2251" s="17"/>
      <c r="K2251" s="17"/>
      <c r="L2251" s="17"/>
      <c r="M2251" s="17"/>
      <c r="O2251" s="14">
        <f t="shared" si="1"/>
        <v>0</v>
      </c>
      <c r="P2251" s="86" t="str">
        <f t="array" ref="P2251">iferror(XLOOKUP(C2251,'Download of SFDC Activation Rep'!B:B,'Download of SFDC Activation Rep'!Z:Z),"")</f>
        <v/>
      </c>
      <c r="Q2251" s="86" t="str">
        <f t="shared" si="2"/>
        <v/>
      </c>
      <c r="R2251" s="13" t="str">
        <f t="shared" si="3"/>
        <v>Yes</v>
      </c>
      <c r="S2251" s="86" t="str">
        <f t="array" ref="S2251">iferror(XLOOKUP(C2251,'Download of SFDC Activation Rep'!B:B,'Download of SFDC Activation Rep'!Y:Y),"")</f>
        <v/>
      </c>
    </row>
    <row r="2252">
      <c r="A2252" s="17"/>
      <c r="B2252" s="85"/>
      <c r="C2252" s="17"/>
      <c r="D2252" s="85"/>
      <c r="E2252" s="17"/>
      <c r="F2252" s="17"/>
      <c r="G2252" s="17"/>
      <c r="I2252" s="17"/>
      <c r="K2252" s="17"/>
      <c r="L2252" s="17"/>
      <c r="M2252" s="17"/>
      <c r="O2252" s="14">
        <f t="shared" si="1"/>
        <v>0</v>
      </c>
      <c r="P2252" s="86" t="str">
        <f t="array" ref="P2252">iferror(XLOOKUP(C2252,'Download of SFDC Activation Rep'!B:B,'Download of SFDC Activation Rep'!Z:Z),"")</f>
        <v/>
      </c>
      <c r="Q2252" s="86" t="str">
        <f t="shared" si="2"/>
        <v/>
      </c>
      <c r="R2252" s="13" t="str">
        <f t="shared" si="3"/>
        <v>Yes</v>
      </c>
      <c r="S2252" s="86" t="str">
        <f t="array" ref="S2252">iferror(XLOOKUP(C2252,'Download of SFDC Activation Rep'!B:B,'Download of SFDC Activation Rep'!Y:Y),"")</f>
        <v/>
      </c>
    </row>
    <row r="2253">
      <c r="A2253" s="17"/>
      <c r="B2253" s="85"/>
      <c r="C2253" s="17"/>
      <c r="D2253" s="85"/>
      <c r="E2253" s="17"/>
      <c r="F2253" s="17"/>
      <c r="G2253" s="17"/>
      <c r="I2253" s="17"/>
      <c r="K2253" s="17"/>
      <c r="L2253" s="17"/>
      <c r="M2253" s="17"/>
      <c r="O2253" s="14">
        <f t="shared" si="1"/>
        <v>0</v>
      </c>
      <c r="P2253" s="86" t="str">
        <f t="array" ref="P2253">iferror(XLOOKUP(C2253,'Download of SFDC Activation Rep'!B:B,'Download of SFDC Activation Rep'!Z:Z),"")</f>
        <v/>
      </c>
      <c r="Q2253" s="86" t="str">
        <f t="shared" si="2"/>
        <v/>
      </c>
      <c r="R2253" s="13" t="str">
        <f t="shared" si="3"/>
        <v>Yes</v>
      </c>
      <c r="S2253" s="86" t="str">
        <f t="array" ref="S2253">iferror(XLOOKUP(C2253,'Download of SFDC Activation Rep'!B:B,'Download of SFDC Activation Rep'!Y:Y),"")</f>
        <v/>
      </c>
    </row>
    <row r="2254">
      <c r="A2254" s="17"/>
      <c r="B2254" s="85"/>
      <c r="C2254" s="17"/>
      <c r="D2254" s="85"/>
      <c r="E2254" s="17"/>
      <c r="F2254" s="17"/>
      <c r="G2254" s="17"/>
      <c r="I2254" s="17"/>
      <c r="K2254" s="17"/>
      <c r="L2254" s="17"/>
      <c r="M2254" s="17"/>
      <c r="O2254" s="14">
        <f t="shared" si="1"/>
        <v>0</v>
      </c>
      <c r="P2254" s="86" t="str">
        <f t="array" ref="P2254">iferror(XLOOKUP(C2254,'Download of SFDC Activation Rep'!B:B,'Download of SFDC Activation Rep'!Z:Z),"")</f>
        <v/>
      </c>
      <c r="Q2254" s="86" t="str">
        <f t="shared" si="2"/>
        <v/>
      </c>
      <c r="R2254" s="13" t="str">
        <f t="shared" si="3"/>
        <v>Yes</v>
      </c>
      <c r="S2254" s="86" t="str">
        <f t="array" ref="S2254">iferror(XLOOKUP(C2254,'Download of SFDC Activation Rep'!B:B,'Download of SFDC Activation Rep'!Y:Y),"")</f>
        <v/>
      </c>
    </row>
    <row r="2255">
      <c r="A2255" s="17"/>
      <c r="B2255" s="85"/>
      <c r="C2255" s="17"/>
      <c r="D2255" s="85"/>
      <c r="E2255" s="17"/>
      <c r="F2255" s="17"/>
      <c r="G2255" s="17"/>
      <c r="I2255" s="17"/>
      <c r="K2255" s="17"/>
      <c r="L2255" s="17"/>
      <c r="M2255" s="17"/>
      <c r="O2255" s="14">
        <f t="shared" si="1"/>
        <v>0</v>
      </c>
      <c r="P2255" s="86" t="str">
        <f t="array" ref="P2255">iferror(XLOOKUP(C2255,'Download of SFDC Activation Rep'!B:B,'Download of SFDC Activation Rep'!Z:Z),"")</f>
        <v/>
      </c>
      <c r="Q2255" s="86" t="str">
        <f t="shared" si="2"/>
        <v/>
      </c>
      <c r="R2255" s="13" t="str">
        <f t="shared" si="3"/>
        <v>Yes</v>
      </c>
      <c r="S2255" s="86" t="str">
        <f t="array" ref="S2255">iferror(XLOOKUP(C2255,'Download of SFDC Activation Rep'!B:B,'Download of SFDC Activation Rep'!Y:Y),"")</f>
        <v/>
      </c>
    </row>
    <row r="2256">
      <c r="A2256" s="17"/>
      <c r="B2256" s="85"/>
      <c r="C2256" s="17"/>
      <c r="D2256" s="85"/>
      <c r="E2256" s="17"/>
      <c r="F2256" s="17"/>
      <c r="G2256" s="17"/>
      <c r="I2256" s="17"/>
      <c r="K2256" s="17"/>
      <c r="L2256" s="17"/>
      <c r="M2256" s="17"/>
      <c r="O2256" s="14">
        <f t="shared" si="1"/>
        <v>0</v>
      </c>
      <c r="P2256" s="86" t="str">
        <f t="array" ref="P2256">iferror(XLOOKUP(C2256,'Download of SFDC Activation Rep'!B:B,'Download of SFDC Activation Rep'!Z:Z),"")</f>
        <v/>
      </c>
      <c r="Q2256" s="86" t="str">
        <f t="shared" si="2"/>
        <v/>
      </c>
      <c r="R2256" s="13" t="str">
        <f t="shared" si="3"/>
        <v>Yes</v>
      </c>
      <c r="S2256" s="86" t="str">
        <f t="array" ref="S2256">iferror(XLOOKUP(C2256,'Download of SFDC Activation Rep'!B:B,'Download of SFDC Activation Rep'!Y:Y),"")</f>
        <v/>
      </c>
    </row>
    <row r="2257">
      <c r="A2257" s="17"/>
      <c r="B2257" s="85"/>
      <c r="C2257" s="17"/>
      <c r="D2257" s="85"/>
      <c r="E2257" s="17"/>
      <c r="F2257" s="17"/>
      <c r="G2257" s="17"/>
      <c r="I2257" s="17"/>
      <c r="K2257" s="17"/>
      <c r="L2257" s="17"/>
      <c r="M2257" s="17"/>
      <c r="O2257" s="14">
        <f t="shared" si="1"/>
        <v>0</v>
      </c>
      <c r="P2257" s="86" t="str">
        <f t="array" ref="P2257">iferror(XLOOKUP(C2257,'Download of SFDC Activation Rep'!B:B,'Download of SFDC Activation Rep'!Z:Z),"")</f>
        <v/>
      </c>
      <c r="Q2257" s="86" t="str">
        <f t="shared" si="2"/>
        <v/>
      </c>
      <c r="R2257" s="13" t="str">
        <f t="shared" si="3"/>
        <v>Yes</v>
      </c>
      <c r="S2257" s="86" t="str">
        <f t="array" ref="S2257">iferror(XLOOKUP(C2257,'Download of SFDC Activation Rep'!B:B,'Download of SFDC Activation Rep'!Y:Y),"")</f>
        <v/>
      </c>
    </row>
    <row r="2258">
      <c r="A2258" s="17"/>
      <c r="B2258" s="85"/>
      <c r="C2258" s="17"/>
      <c r="D2258" s="85"/>
      <c r="E2258" s="17"/>
      <c r="F2258" s="17"/>
      <c r="G2258" s="17"/>
      <c r="I2258" s="17"/>
      <c r="K2258" s="17"/>
      <c r="L2258" s="17"/>
      <c r="M2258" s="17"/>
      <c r="O2258" s="14">
        <f t="shared" si="1"/>
        <v>0</v>
      </c>
      <c r="P2258" s="86" t="str">
        <f t="array" ref="P2258">iferror(XLOOKUP(C2258,'Download of SFDC Activation Rep'!B:B,'Download of SFDC Activation Rep'!Z:Z),"")</f>
        <v/>
      </c>
      <c r="Q2258" s="86" t="str">
        <f t="shared" si="2"/>
        <v/>
      </c>
      <c r="R2258" s="13" t="str">
        <f t="shared" si="3"/>
        <v>Yes</v>
      </c>
      <c r="S2258" s="86" t="str">
        <f t="array" ref="S2258">iferror(XLOOKUP(C2258,'Download of SFDC Activation Rep'!B:B,'Download of SFDC Activation Rep'!Y:Y),"")</f>
        <v/>
      </c>
    </row>
    <row r="2259">
      <c r="A2259" s="17"/>
      <c r="B2259" s="85"/>
      <c r="C2259" s="17"/>
      <c r="D2259" s="85"/>
      <c r="E2259" s="17"/>
      <c r="F2259" s="17"/>
      <c r="G2259" s="17"/>
      <c r="I2259" s="17"/>
      <c r="K2259" s="17"/>
      <c r="L2259" s="17"/>
      <c r="M2259" s="17"/>
      <c r="O2259" s="14">
        <f t="shared" si="1"/>
        <v>0</v>
      </c>
      <c r="P2259" s="86" t="str">
        <f t="array" ref="P2259">iferror(XLOOKUP(C2259,'Download of SFDC Activation Rep'!B:B,'Download of SFDC Activation Rep'!Z:Z),"")</f>
        <v/>
      </c>
      <c r="Q2259" s="86" t="str">
        <f t="shared" si="2"/>
        <v/>
      </c>
      <c r="R2259" s="13" t="str">
        <f t="shared" si="3"/>
        <v>Yes</v>
      </c>
      <c r="S2259" s="86" t="str">
        <f t="array" ref="S2259">iferror(XLOOKUP(C2259,'Download of SFDC Activation Rep'!B:B,'Download of SFDC Activation Rep'!Y:Y),"")</f>
        <v/>
      </c>
    </row>
    <row r="2260">
      <c r="A2260" s="17"/>
      <c r="B2260" s="85"/>
      <c r="C2260" s="17"/>
      <c r="D2260" s="85"/>
      <c r="E2260" s="17"/>
      <c r="F2260" s="17"/>
      <c r="G2260" s="17"/>
      <c r="I2260" s="17"/>
      <c r="K2260" s="17"/>
      <c r="L2260" s="17"/>
      <c r="M2260" s="17"/>
      <c r="O2260" s="14">
        <f t="shared" si="1"/>
        <v>0</v>
      </c>
      <c r="P2260" s="86" t="str">
        <f t="array" ref="P2260">iferror(XLOOKUP(C2260,'Download of SFDC Activation Rep'!B:B,'Download of SFDC Activation Rep'!Z:Z),"")</f>
        <v/>
      </c>
      <c r="Q2260" s="86" t="str">
        <f t="shared" si="2"/>
        <v/>
      </c>
      <c r="R2260" s="13" t="str">
        <f t="shared" si="3"/>
        <v>Yes</v>
      </c>
      <c r="S2260" s="86" t="str">
        <f t="array" ref="S2260">iferror(XLOOKUP(C2260,'Download of SFDC Activation Rep'!B:B,'Download of SFDC Activation Rep'!Y:Y),"")</f>
        <v/>
      </c>
    </row>
    <row r="2261">
      <c r="A2261" s="17"/>
      <c r="B2261" s="85"/>
      <c r="C2261" s="17"/>
      <c r="D2261" s="85"/>
      <c r="E2261" s="17"/>
      <c r="F2261" s="17"/>
      <c r="G2261" s="17"/>
      <c r="I2261" s="17"/>
      <c r="K2261" s="17"/>
      <c r="L2261" s="17"/>
      <c r="M2261" s="17"/>
      <c r="O2261" s="14">
        <f t="shared" si="1"/>
        <v>0</v>
      </c>
      <c r="P2261" s="86" t="str">
        <f t="array" ref="P2261">iferror(XLOOKUP(C2261,'Download of SFDC Activation Rep'!B:B,'Download of SFDC Activation Rep'!Z:Z),"")</f>
        <v/>
      </c>
      <c r="Q2261" s="86" t="str">
        <f t="shared" si="2"/>
        <v/>
      </c>
      <c r="R2261" s="13" t="str">
        <f t="shared" si="3"/>
        <v>Yes</v>
      </c>
      <c r="S2261" s="86" t="str">
        <f t="array" ref="S2261">iferror(XLOOKUP(C2261,'Download of SFDC Activation Rep'!B:B,'Download of SFDC Activation Rep'!Y:Y),"")</f>
        <v/>
      </c>
    </row>
    <row r="2262">
      <c r="A2262" s="17"/>
      <c r="B2262" s="85"/>
      <c r="C2262" s="17"/>
      <c r="D2262" s="85"/>
      <c r="E2262" s="17"/>
      <c r="F2262" s="17"/>
      <c r="G2262" s="17"/>
      <c r="I2262" s="17"/>
      <c r="K2262" s="17"/>
      <c r="L2262" s="17"/>
      <c r="M2262" s="17"/>
      <c r="O2262" s="14">
        <f t="shared" si="1"/>
        <v>0</v>
      </c>
      <c r="P2262" s="86" t="str">
        <f t="array" ref="P2262">iferror(XLOOKUP(C2262,'Download of SFDC Activation Rep'!B:B,'Download of SFDC Activation Rep'!Z:Z),"")</f>
        <v/>
      </c>
      <c r="Q2262" s="86" t="str">
        <f t="shared" si="2"/>
        <v/>
      </c>
      <c r="R2262" s="13" t="str">
        <f t="shared" si="3"/>
        <v>Yes</v>
      </c>
      <c r="S2262" s="86" t="str">
        <f t="array" ref="S2262">iferror(XLOOKUP(C2262,'Download of SFDC Activation Rep'!B:B,'Download of SFDC Activation Rep'!Y:Y),"")</f>
        <v/>
      </c>
    </row>
    <row r="2263">
      <c r="A2263" s="17"/>
      <c r="B2263" s="85"/>
      <c r="C2263" s="17"/>
      <c r="D2263" s="85"/>
      <c r="E2263" s="17"/>
      <c r="F2263" s="17"/>
      <c r="G2263" s="17"/>
      <c r="I2263" s="17"/>
      <c r="K2263" s="17"/>
      <c r="L2263" s="17"/>
      <c r="M2263" s="17"/>
      <c r="O2263" s="14">
        <f t="shared" si="1"/>
        <v>0</v>
      </c>
      <c r="P2263" s="86" t="str">
        <f t="array" ref="P2263">iferror(XLOOKUP(C2263,'Download of SFDC Activation Rep'!B:B,'Download of SFDC Activation Rep'!Z:Z),"")</f>
        <v/>
      </c>
      <c r="Q2263" s="86" t="str">
        <f t="shared" si="2"/>
        <v/>
      </c>
      <c r="R2263" s="13" t="str">
        <f t="shared" si="3"/>
        <v>Yes</v>
      </c>
      <c r="S2263" s="86" t="str">
        <f t="array" ref="S2263">iferror(XLOOKUP(C2263,'Download of SFDC Activation Rep'!B:B,'Download of SFDC Activation Rep'!Y:Y),"")</f>
        <v/>
      </c>
    </row>
    <row r="2264">
      <c r="A2264" s="17"/>
      <c r="B2264" s="85"/>
      <c r="C2264" s="17"/>
      <c r="D2264" s="85"/>
      <c r="E2264" s="17"/>
      <c r="F2264" s="17"/>
      <c r="G2264" s="17"/>
      <c r="I2264" s="17"/>
      <c r="K2264" s="17"/>
      <c r="L2264" s="17"/>
      <c r="M2264" s="17"/>
      <c r="O2264" s="14">
        <f t="shared" si="1"/>
        <v>0</v>
      </c>
      <c r="P2264" s="86" t="str">
        <f t="array" ref="P2264">iferror(XLOOKUP(C2264,'Download of SFDC Activation Rep'!B:B,'Download of SFDC Activation Rep'!Z:Z),"")</f>
        <v/>
      </c>
      <c r="Q2264" s="86" t="str">
        <f t="shared" si="2"/>
        <v/>
      </c>
      <c r="R2264" s="13" t="str">
        <f t="shared" si="3"/>
        <v>Yes</v>
      </c>
      <c r="S2264" s="86" t="str">
        <f t="array" ref="S2264">iferror(XLOOKUP(C2264,'Download of SFDC Activation Rep'!B:B,'Download of SFDC Activation Rep'!Y:Y),"")</f>
        <v/>
      </c>
    </row>
    <row r="2265">
      <c r="A2265" s="17"/>
      <c r="B2265" s="85"/>
      <c r="C2265" s="17"/>
      <c r="D2265" s="85"/>
      <c r="E2265" s="17"/>
      <c r="F2265" s="17"/>
      <c r="G2265" s="17"/>
      <c r="I2265" s="17"/>
      <c r="K2265" s="17"/>
      <c r="L2265" s="17"/>
      <c r="M2265" s="17"/>
      <c r="O2265" s="14">
        <f t="shared" si="1"/>
        <v>0</v>
      </c>
      <c r="P2265" s="86" t="str">
        <f t="array" ref="P2265">iferror(XLOOKUP(C2265,'Download of SFDC Activation Rep'!B:B,'Download of SFDC Activation Rep'!Z:Z),"")</f>
        <v/>
      </c>
      <c r="Q2265" s="86" t="str">
        <f t="shared" si="2"/>
        <v/>
      </c>
      <c r="R2265" s="13" t="str">
        <f t="shared" si="3"/>
        <v>Yes</v>
      </c>
      <c r="S2265" s="86" t="str">
        <f t="array" ref="S2265">iferror(XLOOKUP(C2265,'Download of SFDC Activation Rep'!B:B,'Download of SFDC Activation Rep'!Y:Y),"")</f>
        <v/>
      </c>
    </row>
    <row r="2266">
      <c r="A2266" s="17"/>
      <c r="B2266" s="85"/>
      <c r="C2266" s="17"/>
      <c r="D2266" s="85"/>
      <c r="E2266" s="17"/>
      <c r="F2266" s="17"/>
      <c r="G2266" s="17"/>
      <c r="I2266" s="17"/>
      <c r="K2266" s="17"/>
      <c r="L2266" s="17"/>
      <c r="M2266" s="17"/>
      <c r="O2266" s="14">
        <f t="shared" si="1"/>
        <v>0</v>
      </c>
      <c r="P2266" s="86" t="str">
        <f t="array" ref="P2266">iferror(XLOOKUP(C2266,'Download of SFDC Activation Rep'!B:B,'Download of SFDC Activation Rep'!Z:Z),"")</f>
        <v/>
      </c>
      <c r="Q2266" s="86" t="str">
        <f t="shared" si="2"/>
        <v/>
      </c>
      <c r="R2266" s="13" t="str">
        <f t="shared" si="3"/>
        <v>Yes</v>
      </c>
      <c r="S2266" s="86" t="str">
        <f t="array" ref="S2266">iferror(XLOOKUP(C2266,'Download of SFDC Activation Rep'!B:B,'Download of SFDC Activation Rep'!Y:Y),"")</f>
        <v/>
      </c>
    </row>
    <row r="2267">
      <c r="A2267" s="17"/>
      <c r="B2267" s="85"/>
      <c r="C2267" s="17"/>
      <c r="D2267" s="85"/>
      <c r="E2267" s="17"/>
      <c r="F2267" s="17"/>
      <c r="G2267" s="17"/>
      <c r="I2267" s="17"/>
      <c r="K2267" s="17"/>
      <c r="L2267" s="17"/>
      <c r="M2267" s="17"/>
      <c r="O2267" s="14">
        <f t="shared" si="1"/>
        <v>0</v>
      </c>
      <c r="P2267" s="86" t="str">
        <f t="array" ref="P2267">iferror(XLOOKUP(C2267,'Download of SFDC Activation Rep'!B:B,'Download of SFDC Activation Rep'!Z:Z),"")</f>
        <v/>
      </c>
      <c r="Q2267" s="86" t="str">
        <f t="shared" si="2"/>
        <v/>
      </c>
      <c r="R2267" s="13" t="str">
        <f t="shared" si="3"/>
        <v>Yes</v>
      </c>
      <c r="S2267" s="86" t="str">
        <f t="array" ref="S2267">iferror(XLOOKUP(C2267,'Download of SFDC Activation Rep'!B:B,'Download of SFDC Activation Rep'!Y:Y),"")</f>
        <v/>
      </c>
    </row>
    <row r="2268">
      <c r="A2268" s="17"/>
      <c r="B2268" s="85"/>
      <c r="C2268" s="17"/>
      <c r="D2268" s="85"/>
      <c r="E2268" s="17"/>
      <c r="F2268" s="17"/>
      <c r="G2268" s="17"/>
      <c r="I2268" s="17"/>
      <c r="K2268" s="17"/>
      <c r="L2268" s="17"/>
      <c r="M2268" s="17"/>
      <c r="O2268" s="14">
        <f t="shared" si="1"/>
        <v>0</v>
      </c>
      <c r="P2268" s="86" t="str">
        <f t="array" ref="P2268">iferror(XLOOKUP(C2268,'Download of SFDC Activation Rep'!B:B,'Download of SFDC Activation Rep'!Z:Z),"")</f>
        <v/>
      </c>
      <c r="Q2268" s="86" t="str">
        <f t="shared" si="2"/>
        <v/>
      </c>
      <c r="R2268" s="13" t="str">
        <f t="shared" si="3"/>
        <v>Yes</v>
      </c>
      <c r="S2268" s="86" t="str">
        <f t="array" ref="S2268">iferror(XLOOKUP(C2268,'Download of SFDC Activation Rep'!B:B,'Download of SFDC Activation Rep'!Y:Y),"")</f>
        <v/>
      </c>
    </row>
    <row r="2269">
      <c r="A2269" s="17"/>
      <c r="B2269" s="85"/>
      <c r="C2269" s="17"/>
      <c r="D2269" s="85"/>
      <c r="E2269" s="17"/>
      <c r="F2269" s="17"/>
      <c r="G2269" s="17"/>
      <c r="I2269" s="17"/>
      <c r="K2269" s="17"/>
      <c r="L2269" s="17"/>
      <c r="M2269" s="17"/>
      <c r="O2269" s="14">
        <f t="shared" si="1"/>
        <v>0</v>
      </c>
      <c r="P2269" s="86" t="str">
        <f t="array" ref="P2269">iferror(XLOOKUP(C2269,'Download of SFDC Activation Rep'!B:B,'Download of SFDC Activation Rep'!Z:Z),"")</f>
        <v/>
      </c>
      <c r="Q2269" s="86" t="str">
        <f t="shared" si="2"/>
        <v/>
      </c>
      <c r="R2269" s="13" t="str">
        <f t="shared" si="3"/>
        <v>Yes</v>
      </c>
      <c r="S2269" s="86" t="str">
        <f t="array" ref="S2269">iferror(XLOOKUP(C2269,'Download of SFDC Activation Rep'!B:B,'Download of SFDC Activation Rep'!Y:Y),"")</f>
        <v/>
      </c>
    </row>
    <row r="2270">
      <c r="A2270" s="17"/>
      <c r="B2270" s="85"/>
      <c r="C2270" s="17"/>
      <c r="D2270" s="85"/>
      <c r="E2270" s="17"/>
      <c r="F2270" s="17"/>
      <c r="G2270" s="17"/>
      <c r="I2270" s="17"/>
      <c r="K2270" s="17"/>
      <c r="L2270" s="17"/>
      <c r="M2270" s="17"/>
      <c r="O2270" s="14">
        <f t="shared" si="1"/>
        <v>0</v>
      </c>
      <c r="P2270" s="86" t="str">
        <f t="array" ref="P2270">iferror(XLOOKUP(C2270,'Download of SFDC Activation Rep'!B:B,'Download of SFDC Activation Rep'!Z:Z),"")</f>
        <v/>
      </c>
      <c r="Q2270" s="86" t="str">
        <f t="shared" si="2"/>
        <v/>
      </c>
      <c r="R2270" s="13" t="str">
        <f t="shared" si="3"/>
        <v>Yes</v>
      </c>
      <c r="S2270" s="86" t="str">
        <f t="array" ref="S2270">iferror(XLOOKUP(C2270,'Download of SFDC Activation Rep'!B:B,'Download of SFDC Activation Rep'!Y:Y),"")</f>
        <v/>
      </c>
    </row>
    <row r="2271">
      <c r="A2271" s="17"/>
      <c r="B2271" s="85"/>
      <c r="C2271" s="17"/>
      <c r="D2271" s="85"/>
      <c r="E2271" s="17"/>
      <c r="F2271" s="17"/>
      <c r="G2271" s="17"/>
      <c r="I2271" s="17"/>
      <c r="K2271" s="17"/>
      <c r="L2271" s="17"/>
      <c r="M2271" s="17"/>
      <c r="O2271" s="14">
        <f t="shared" si="1"/>
        <v>0</v>
      </c>
      <c r="P2271" s="86" t="str">
        <f t="array" ref="P2271">iferror(XLOOKUP(C2271,'Download of SFDC Activation Rep'!B:B,'Download of SFDC Activation Rep'!Z:Z),"")</f>
        <v/>
      </c>
      <c r="Q2271" s="86" t="str">
        <f t="shared" si="2"/>
        <v/>
      </c>
      <c r="R2271" s="13" t="str">
        <f t="shared" si="3"/>
        <v>Yes</v>
      </c>
      <c r="S2271" s="86" t="str">
        <f t="array" ref="S2271">iferror(XLOOKUP(C2271,'Download of SFDC Activation Rep'!B:B,'Download of SFDC Activation Rep'!Y:Y),"")</f>
        <v/>
      </c>
    </row>
    <row r="2272">
      <c r="A2272" s="17"/>
      <c r="B2272" s="85"/>
      <c r="C2272" s="17"/>
      <c r="D2272" s="85"/>
      <c r="E2272" s="17"/>
      <c r="F2272" s="17"/>
      <c r="G2272" s="17"/>
      <c r="I2272" s="17"/>
      <c r="K2272" s="17"/>
      <c r="L2272" s="17"/>
      <c r="M2272" s="17"/>
      <c r="O2272" s="14">
        <f t="shared" si="1"/>
        <v>0</v>
      </c>
      <c r="P2272" s="86" t="str">
        <f t="array" ref="P2272">iferror(XLOOKUP(C2272,'Download of SFDC Activation Rep'!B:B,'Download of SFDC Activation Rep'!Z:Z),"")</f>
        <v/>
      </c>
      <c r="Q2272" s="86" t="str">
        <f t="shared" si="2"/>
        <v/>
      </c>
      <c r="R2272" s="13" t="str">
        <f t="shared" si="3"/>
        <v>Yes</v>
      </c>
      <c r="S2272" s="86" t="str">
        <f t="array" ref="S2272">iferror(XLOOKUP(C2272,'Download of SFDC Activation Rep'!B:B,'Download of SFDC Activation Rep'!Y:Y),"")</f>
        <v/>
      </c>
    </row>
    <row r="2273">
      <c r="A2273" s="17"/>
      <c r="B2273" s="85"/>
      <c r="C2273" s="17"/>
      <c r="D2273" s="85"/>
      <c r="E2273" s="17"/>
      <c r="F2273" s="17"/>
      <c r="G2273" s="17"/>
      <c r="I2273" s="17"/>
      <c r="K2273" s="17"/>
      <c r="L2273" s="17"/>
      <c r="M2273" s="17"/>
      <c r="O2273" s="14">
        <f t="shared" si="1"/>
        <v>0</v>
      </c>
      <c r="P2273" s="86" t="str">
        <f t="array" ref="P2273">iferror(XLOOKUP(C2273,'Download of SFDC Activation Rep'!B:B,'Download of SFDC Activation Rep'!Z:Z),"")</f>
        <v/>
      </c>
      <c r="Q2273" s="86" t="str">
        <f t="shared" si="2"/>
        <v/>
      </c>
      <c r="R2273" s="13" t="str">
        <f t="shared" si="3"/>
        <v>Yes</v>
      </c>
      <c r="S2273" s="86" t="str">
        <f t="array" ref="S2273">iferror(XLOOKUP(C2273,'Download of SFDC Activation Rep'!B:B,'Download of SFDC Activation Rep'!Y:Y),"")</f>
        <v/>
      </c>
    </row>
    <row r="2274">
      <c r="A2274" s="17"/>
      <c r="B2274" s="85"/>
      <c r="C2274" s="17"/>
      <c r="D2274" s="85"/>
      <c r="E2274" s="17"/>
      <c r="F2274" s="17"/>
      <c r="G2274" s="17"/>
      <c r="I2274" s="17"/>
      <c r="K2274" s="17"/>
      <c r="L2274" s="17"/>
      <c r="M2274" s="17"/>
      <c r="O2274" s="14">
        <f t="shared" si="1"/>
        <v>0</v>
      </c>
      <c r="P2274" s="86" t="str">
        <f t="array" ref="P2274">iferror(XLOOKUP(C2274,'Download of SFDC Activation Rep'!B:B,'Download of SFDC Activation Rep'!Z:Z),"")</f>
        <v/>
      </c>
      <c r="Q2274" s="86" t="str">
        <f t="shared" si="2"/>
        <v/>
      </c>
      <c r="R2274" s="13" t="str">
        <f t="shared" si="3"/>
        <v>Yes</v>
      </c>
      <c r="S2274" s="86" t="str">
        <f t="array" ref="S2274">iferror(XLOOKUP(C2274,'Download of SFDC Activation Rep'!B:B,'Download of SFDC Activation Rep'!Y:Y),"")</f>
        <v/>
      </c>
    </row>
    <row r="2275">
      <c r="A2275" s="17"/>
      <c r="B2275" s="85"/>
      <c r="C2275" s="17"/>
      <c r="D2275" s="85"/>
      <c r="E2275" s="17"/>
      <c r="F2275" s="17"/>
      <c r="G2275" s="17"/>
      <c r="I2275" s="17"/>
      <c r="K2275" s="17"/>
      <c r="L2275" s="17"/>
      <c r="M2275" s="17"/>
      <c r="O2275" s="14">
        <f t="shared" si="1"/>
        <v>0</v>
      </c>
      <c r="P2275" s="86" t="str">
        <f t="array" ref="P2275">iferror(XLOOKUP(C2275,'Download of SFDC Activation Rep'!B:B,'Download of SFDC Activation Rep'!Z:Z),"")</f>
        <v/>
      </c>
      <c r="Q2275" s="86" t="str">
        <f t="shared" si="2"/>
        <v/>
      </c>
      <c r="R2275" s="13" t="str">
        <f t="shared" si="3"/>
        <v>Yes</v>
      </c>
      <c r="S2275" s="86" t="str">
        <f t="array" ref="S2275">iferror(XLOOKUP(C2275,'Download of SFDC Activation Rep'!B:B,'Download of SFDC Activation Rep'!Y:Y),"")</f>
        <v/>
      </c>
    </row>
    <row r="2276">
      <c r="A2276" s="17"/>
      <c r="B2276" s="85"/>
      <c r="C2276" s="17"/>
      <c r="D2276" s="85"/>
      <c r="E2276" s="17"/>
      <c r="F2276" s="17"/>
      <c r="G2276" s="17"/>
      <c r="I2276" s="17"/>
      <c r="K2276" s="17"/>
      <c r="L2276" s="17"/>
      <c r="M2276" s="17"/>
      <c r="O2276" s="14">
        <f t="shared" si="1"/>
        <v>0</v>
      </c>
      <c r="P2276" s="86" t="str">
        <f t="array" ref="P2276">iferror(XLOOKUP(C2276,'Download of SFDC Activation Rep'!B:B,'Download of SFDC Activation Rep'!Z:Z),"")</f>
        <v/>
      </c>
      <c r="Q2276" s="86" t="str">
        <f t="shared" si="2"/>
        <v/>
      </c>
      <c r="R2276" s="13" t="str">
        <f t="shared" si="3"/>
        <v>Yes</v>
      </c>
      <c r="S2276" s="86" t="str">
        <f t="array" ref="S2276">iferror(XLOOKUP(C2276,'Download of SFDC Activation Rep'!B:B,'Download of SFDC Activation Rep'!Y:Y),"")</f>
        <v/>
      </c>
    </row>
    <row r="2277">
      <c r="A2277" s="17"/>
      <c r="B2277" s="85"/>
      <c r="C2277" s="17"/>
      <c r="D2277" s="85"/>
      <c r="E2277" s="17"/>
      <c r="F2277" s="17"/>
      <c r="G2277" s="17"/>
      <c r="I2277" s="17"/>
      <c r="K2277" s="17"/>
      <c r="L2277" s="17"/>
      <c r="M2277" s="17"/>
      <c r="O2277" s="14">
        <f t="shared" si="1"/>
        <v>0</v>
      </c>
      <c r="P2277" s="86" t="str">
        <f t="array" ref="P2277">iferror(XLOOKUP(C2277,'Download of SFDC Activation Rep'!B:B,'Download of SFDC Activation Rep'!Z:Z),"")</f>
        <v/>
      </c>
      <c r="Q2277" s="86" t="str">
        <f t="shared" si="2"/>
        <v/>
      </c>
      <c r="R2277" s="13" t="str">
        <f t="shared" si="3"/>
        <v>Yes</v>
      </c>
      <c r="S2277" s="86" t="str">
        <f t="array" ref="S2277">iferror(XLOOKUP(C2277,'Download of SFDC Activation Rep'!B:B,'Download of SFDC Activation Rep'!Y:Y),"")</f>
        <v/>
      </c>
    </row>
    <row r="2278">
      <c r="A2278" s="17"/>
      <c r="B2278" s="85"/>
      <c r="C2278" s="17"/>
      <c r="D2278" s="85"/>
      <c r="E2278" s="17"/>
      <c r="F2278" s="17"/>
      <c r="G2278" s="17"/>
      <c r="I2278" s="17"/>
      <c r="K2278" s="17"/>
      <c r="L2278" s="17"/>
      <c r="M2278" s="17"/>
      <c r="O2278" s="14">
        <f t="shared" si="1"/>
        <v>0</v>
      </c>
      <c r="P2278" s="86" t="str">
        <f t="array" ref="P2278">iferror(XLOOKUP(C2278,'Download of SFDC Activation Rep'!B:B,'Download of SFDC Activation Rep'!Z:Z),"")</f>
        <v/>
      </c>
      <c r="Q2278" s="86" t="str">
        <f t="shared" si="2"/>
        <v/>
      </c>
      <c r="R2278" s="13" t="str">
        <f t="shared" si="3"/>
        <v>Yes</v>
      </c>
      <c r="S2278" s="86" t="str">
        <f t="array" ref="S2278">iferror(XLOOKUP(C2278,'Download of SFDC Activation Rep'!B:B,'Download of SFDC Activation Rep'!Y:Y),"")</f>
        <v/>
      </c>
    </row>
    <row r="2279">
      <c r="A2279" s="17"/>
      <c r="B2279" s="85"/>
      <c r="C2279" s="17"/>
      <c r="D2279" s="85"/>
      <c r="E2279" s="17"/>
      <c r="F2279" s="17"/>
      <c r="G2279" s="17"/>
      <c r="I2279" s="17"/>
      <c r="K2279" s="17"/>
      <c r="L2279" s="17"/>
      <c r="M2279" s="17"/>
      <c r="O2279" s="14">
        <f t="shared" si="1"/>
        <v>0</v>
      </c>
      <c r="P2279" s="86" t="str">
        <f t="array" ref="P2279">iferror(XLOOKUP(C2279,'Download of SFDC Activation Rep'!B:B,'Download of SFDC Activation Rep'!Z:Z),"")</f>
        <v/>
      </c>
      <c r="Q2279" s="86" t="str">
        <f t="shared" si="2"/>
        <v/>
      </c>
      <c r="R2279" s="13" t="str">
        <f t="shared" si="3"/>
        <v>Yes</v>
      </c>
      <c r="S2279" s="86" t="str">
        <f t="array" ref="S2279">iferror(XLOOKUP(C2279,'Download of SFDC Activation Rep'!B:B,'Download of SFDC Activation Rep'!Y:Y),"")</f>
        <v/>
      </c>
    </row>
    <row r="2280">
      <c r="A2280" s="17"/>
      <c r="B2280" s="85"/>
      <c r="C2280" s="17"/>
      <c r="D2280" s="85"/>
      <c r="E2280" s="17"/>
      <c r="F2280" s="17"/>
      <c r="G2280" s="17"/>
      <c r="I2280" s="17"/>
      <c r="K2280" s="17"/>
      <c r="L2280" s="17"/>
      <c r="M2280" s="17"/>
      <c r="O2280" s="14">
        <f t="shared" si="1"/>
        <v>0</v>
      </c>
      <c r="P2280" s="86" t="str">
        <f t="array" ref="P2280">iferror(XLOOKUP(C2280,'Download of SFDC Activation Rep'!B:B,'Download of SFDC Activation Rep'!Z:Z),"")</f>
        <v/>
      </c>
      <c r="Q2280" s="86" t="str">
        <f t="shared" si="2"/>
        <v/>
      </c>
      <c r="R2280" s="13" t="str">
        <f t="shared" si="3"/>
        <v>Yes</v>
      </c>
      <c r="S2280" s="86" t="str">
        <f t="array" ref="S2280">iferror(XLOOKUP(C2280,'Download of SFDC Activation Rep'!B:B,'Download of SFDC Activation Rep'!Y:Y),"")</f>
        <v/>
      </c>
    </row>
    <row r="2281">
      <c r="A2281" s="17"/>
      <c r="B2281" s="85"/>
      <c r="C2281" s="17"/>
      <c r="D2281" s="85"/>
      <c r="E2281" s="17"/>
      <c r="F2281" s="17"/>
      <c r="G2281" s="17"/>
      <c r="I2281" s="17"/>
      <c r="K2281" s="17"/>
      <c r="L2281" s="17"/>
      <c r="M2281" s="17"/>
      <c r="O2281" s="14">
        <f t="shared" si="1"/>
        <v>0</v>
      </c>
      <c r="P2281" s="86" t="str">
        <f t="array" ref="P2281">iferror(XLOOKUP(C2281,'Download of SFDC Activation Rep'!B:B,'Download of SFDC Activation Rep'!Z:Z),"")</f>
        <v/>
      </c>
      <c r="Q2281" s="86" t="str">
        <f t="shared" si="2"/>
        <v/>
      </c>
      <c r="R2281" s="13" t="str">
        <f t="shared" si="3"/>
        <v>Yes</v>
      </c>
      <c r="S2281" s="86" t="str">
        <f t="array" ref="S2281">iferror(XLOOKUP(C2281,'Download of SFDC Activation Rep'!B:B,'Download of SFDC Activation Rep'!Y:Y),"")</f>
        <v/>
      </c>
    </row>
    <row r="2282">
      <c r="A2282" s="17"/>
      <c r="B2282" s="85"/>
      <c r="C2282" s="17"/>
      <c r="D2282" s="85"/>
      <c r="E2282" s="17"/>
      <c r="F2282" s="17"/>
      <c r="G2282" s="17"/>
      <c r="I2282" s="17"/>
      <c r="K2282" s="17"/>
      <c r="L2282" s="17"/>
      <c r="M2282" s="17"/>
      <c r="O2282" s="14">
        <f t="shared" si="1"/>
        <v>0</v>
      </c>
      <c r="P2282" s="86" t="str">
        <f t="array" ref="P2282">iferror(XLOOKUP(C2282,'Download of SFDC Activation Rep'!B:B,'Download of SFDC Activation Rep'!Z:Z),"")</f>
        <v/>
      </c>
      <c r="Q2282" s="86" t="str">
        <f t="shared" si="2"/>
        <v/>
      </c>
      <c r="R2282" s="13" t="str">
        <f t="shared" si="3"/>
        <v>Yes</v>
      </c>
      <c r="S2282" s="86" t="str">
        <f t="array" ref="S2282">iferror(XLOOKUP(C2282,'Download of SFDC Activation Rep'!B:B,'Download of SFDC Activation Rep'!Y:Y),"")</f>
        <v/>
      </c>
    </row>
    <row r="2283">
      <c r="A2283" s="17"/>
      <c r="B2283" s="85"/>
      <c r="C2283" s="17"/>
      <c r="D2283" s="85"/>
      <c r="E2283" s="17"/>
      <c r="F2283" s="17"/>
      <c r="G2283" s="17"/>
      <c r="I2283" s="17"/>
      <c r="K2283" s="17"/>
      <c r="L2283" s="17"/>
      <c r="M2283" s="17"/>
      <c r="O2283" s="14">
        <f t="shared" si="1"/>
        <v>0</v>
      </c>
      <c r="P2283" s="86" t="str">
        <f t="array" ref="P2283">iferror(XLOOKUP(C2283,'Download of SFDC Activation Rep'!B:B,'Download of SFDC Activation Rep'!Z:Z),"")</f>
        <v/>
      </c>
      <c r="Q2283" s="86" t="str">
        <f t="shared" si="2"/>
        <v/>
      </c>
      <c r="R2283" s="13" t="str">
        <f t="shared" si="3"/>
        <v>Yes</v>
      </c>
      <c r="S2283" s="86" t="str">
        <f t="array" ref="S2283">iferror(XLOOKUP(C2283,'Download of SFDC Activation Rep'!B:B,'Download of SFDC Activation Rep'!Y:Y),"")</f>
        <v/>
      </c>
    </row>
    <row r="2284">
      <c r="A2284" s="17"/>
      <c r="B2284" s="85"/>
      <c r="C2284" s="17"/>
      <c r="D2284" s="85"/>
      <c r="E2284" s="17"/>
      <c r="F2284" s="17"/>
      <c r="G2284" s="17"/>
      <c r="I2284" s="17"/>
      <c r="K2284" s="17"/>
      <c r="L2284" s="17"/>
      <c r="M2284" s="17"/>
      <c r="O2284" s="14">
        <f t="shared" si="1"/>
        <v>0</v>
      </c>
      <c r="P2284" s="86" t="str">
        <f t="array" ref="P2284">iferror(XLOOKUP(C2284,'Download of SFDC Activation Rep'!B:B,'Download of SFDC Activation Rep'!Z:Z),"")</f>
        <v/>
      </c>
      <c r="Q2284" s="86" t="str">
        <f t="shared" si="2"/>
        <v/>
      </c>
      <c r="R2284" s="13" t="str">
        <f t="shared" si="3"/>
        <v>Yes</v>
      </c>
      <c r="S2284" s="86" t="str">
        <f t="array" ref="S2284">iferror(XLOOKUP(C2284,'Download of SFDC Activation Rep'!B:B,'Download of SFDC Activation Rep'!Y:Y),"")</f>
        <v/>
      </c>
    </row>
    <row r="2285">
      <c r="A2285" s="17"/>
      <c r="B2285" s="85"/>
      <c r="C2285" s="17"/>
      <c r="D2285" s="85"/>
      <c r="E2285" s="17"/>
      <c r="F2285" s="17"/>
      <c r="G2285" s="17"/>
      <c r="I2285" s="17"/>
      <c r="K2285" s="17"/>
      <c r="L2285" s="17"/>
      <c r="M2285" s="17"/>
      <c r="O2285" s="14">
        <f t="shared" si="1"/>
        <v>0</v>
      </c>
      <c r="P2285" s="86" t="str">
        <f t="array" ref="P2285">iferror(XLOOKUP(C2285,'Download of SFDC Activation Rep'!B:B,'Download of SFDC Activation Rep'!Z:Z),"")</f>
        <v/>
      </c>
      <c r="Q2285" s="86" t="str">
        <f t="shared" si="2"/>
        <v/>
      </c>
      <c r="R2285" s="13" t="str">
        <f t="shared" si="3"/>
        <v>Yes</v>
      </c>
      <c r="S2285" s="86" t="str">
        <f t="array" ref="S2285">iferror(XLOOKUP(C2285,'Download of SFDC Activation Rep'!B:B,'Download of SFDC Activation Rep'!Y:Y),"")</f>
        <v/>
      </c>
    </row>
    <row r="2286">
      <c r="A2286" s="17"/>
      <c r="B2286" s="85"/>
      <c r="C2286" s="17"/>
      <c r="D2286" s="85"/>
      <c r="E2286" s="17"/>
      <c r="F2286" s="17"/>
      <c r="G2286" s="17"/>
      <c r="I2286" s="17"/>
      <c r="K2286" s="17"/>
      <c r="L2286" s="17"/>
      <c r="M2286" s="17"/>
      <c r="O2286" s="14">
        <f t="shared" si="1"/>
        <v>0</v>
      </c>
      <c r="P2286" s="86" t="str">
        <f t="array" ref="P2286">iferror(XLOOKUP(C2286,'Download of SFDC Activation Rep'!B:B,'Download of SFDC Activation Rep'!Z:Z),"")</f>
        <v/>
      </c>
      <c r="Q2286" s="86" t="str">
        <f t="shared" si="2"/>
        <v/>
      </c>
      <c r="R2286" s="13" t="str">
        <f t="shared" si="3"/>
        <v>Yes</v>
      </c>
      <c r="S2286" s="86" t="str">
        <f t="array" ref="S2286">iferror(XLOOKUP(C2286,'Download of SFDC Activation Rep'!B:B,'Download of SFDC Activation Rep'!Y:Y),"")</f>
        <v/>
      </c>
    </row>
    <row r="2287">
      <c r="A2287" s="17"/>
      <c r="B2287" s="85"/>
      <c r="C2287" s="17"/>
      <c r="D2287" s="85"/>
      <c r="E2287" s="17"/>
      <c r="F2287" s="17"/>
      <c r="G2287" s="17"/>
      <c r="I2287" s="17"/>
      <c r="K2287" s="17"/>
      <c r="L2287" s="17"/>
      <c r="M2287" s="17"/>
      <c r="O2287" s="14">
        <f t="shared" si="1"/>
        <v>0</v>
      </c>
      <c r="P2287" s="86" t="str">
        <f t="array" ref="P2287">iferror(XLOOKUP(C2287,'Download of SFDC Activation Rep'!B:B,'Download of SFDC Activation Rep'!Z:Z),"")</f>
        <v/>
      </c>
      <c r="Q2287" s="86" t="str">
        <f t="shared" si="2"/>
        <v/>
      </c>
      <c r="R2287" s="13" t="str">
        <f t="shared" si="3"/>
        <v>Yes</v>
      </c>
      <c r="S2287" s="86" t="str">
        <f t="array" ref="S2287">iferror(XLOOKUP(C2287,'Download of SFDC Activation Rep'!B:B,'Download of SFDC Activation Rep'!Y:Y),"")</f>
        <v/>
      </c>
    </row>
    <row r="2288">
      <c r="A2288" s="17"/>
      <c r="B2288" s="85"/>
      <c r="C2288" s="17"/>
      <c r="D2288" s="85"/>
      <c r="E2288" s="17"/>
      <c r="F2288" s="17"/>
      <c r="G2288" s="17"/>
      <c r="I2288" s="17"/>
      <c r="K2288" s="17"/>
      <c r="L2288" s="17"/>
      <c r="M2288" s="17"/>
      <c r="O2288" s="14">
        <f t="shared" si="1"/>
        <v>0</v>
      </c>
      <c r="P2288" s="86" t="str">
        <f t="array" ref="P2288">iferror(XLOOKUP(C2288,'Download of SFDC Activation Rep'!B:B,'Download of SFDC Activation Rep'!Z:Z),"")</f>
        <v/>
      </c>
      <c r="Q2288" s="86" t="str">
        <f t="shared" si="2"/>
        <v/>
      </c>
      <c r="R2288" s="13" t="str">
        <f t="shared" si="3"/>
        <v>Yes</v>
      </c>
      <c r="S2288" s="86" t="str">
        <f t="array" ref="S2288">iferror(XLOOKUP(C2288,'Download of SFDC Activation Rep'!B:B,'Download of SFDC Activation Rep'!Y:Y),"")</f>
        <v/>
      </c>
    </row>
    <row r="2289">
      <c r="A2289" s="17"/>
      <c r="B2289" s="85"/>
      <c r="C2289" s="17"/>
      <c r="D2289" s="85"/>
      <c r="E2289" s="17"/>
      <c r="F2289" s="17"/>
      <c r="G2289" s="17"/>
      <c r="I2289" s="17"/>
      <c r="K2289" s="17"/>
      <c r="L2289" s="17"/>
      <c r="M2289" s="17"/>
      <c r="O2289" s="14">
        <f t="shared" si="1"/>
        <v>0</v>
      </c>
      <c r="P2289" s="86" t="str">
        <f t="array" ref="P2289">iferror(XLOOKUP(C2289,'Download of SFDC Activation Rep'!B:B,'Download of SFDC Activation Rep'!Z:Z),"")</f>
        <v/>
      </c>
      <c r="Q2289" s="86" t="str">
        <f t="shared" si="2"/>
        <v/>
      </c>
      <c r="R2289" s="13" t="str">
        <f t="shared" si="3"/>
        <v>Yes</v>
      </c>
      <c r="S2289" s="86" t="str">
        <f t="array" ref="S2289">iferror(XLOOKUP(C2289,'Download of SFDC Activation Rep'!B:B,'Download of SFDC Activation Rep'!Y:Y),"")</f>
        <v/>
      </c>
    </row>
    <row r="2290">
      <c r="A2290" s="17"/>
      <c r="B2290" s="85"/>
      <c r="C2290" s="17"/>
      <c r="D2290" s="85"/>
      <c r="E2290" s="17"/>
      <c r="F2290" s="17"/>
      <c r="G2290" s="17"/>
      <c r="I2290" s="17"/>
      <c r="K2290" s="17"/>
      <c r="L2290" s="17"/>
      <c r="M2290" s="17"/>
      <c r="O2290" s="14">
        <f t="shared" si="1"/>
        <v>0</v>
      </c>
      <c r="P2290" s="86" t="str">
        <f t="array" ref="P2290">iferror(XLOOKUP(C2290,'Download of SFDC Activation Rep'!B:B,'Download of SFDC Activation Rep'!Z:Z),"")</f>
        <v/>
      </c>
      <c r="Q2290" s="86" t="str">
        <f t="shared" si="2"/>
        <v/>
      </c>
      <c r="R2290" s="13" t="str">
        <f t="shared" si="3"/>
        <v>Yes</v>
      </c>
      <c r="S2290" s="86" t="str">
        <f t="array" ref="S2290">iferror(XLOOKUP(C2290,'Download of SFDC Activation Rep'!B:B,'Download of SFDC Activation Rep'!Y:Y),"")</f>
        <v/>
      </c>
    </row>
    <row r="2291">
      <c r="A2291" s="17"/>
      <c r="B2291" s="85"/>
      <c r="C2291" s="17"/>
      <c r="D2291" s="85"/>
      <c r="E2291" s="17"/>
      <c r="F2291" s="17"/>
      <c r="G2291" s="17"/>
      <c r="I2291" s="17"/>
      <c r="K2291" s="17"/>
      <c r="L2291" s="17"/>
      <c r="M2291" s="17"/>
      <c r="O2291" s="14">
        <f t="shared" si="1"/>
        <v>0</v>
      </c>
      <c r="P2291" s="86" t="str">
        <f t="array" ref="P2291">iferror(XLOOKUP(C2291,'Download of SFDC Activation Rep'!B:B,'Download of SFDC Activation Rep'!Z:Z),"")</f>
        <v/>
      </c>
      <c r="Q2291" s="86" t="str">
        <f t="shared" si="2"/>
        <v/>
      </c>
      <c r="R2291" s="13" t="str">
        <f t="shared" si="3"/>
        <v>Yes</v>
      </c>
      <c r="S2291" s="86" t="str">
        <f t="array" ref="S2291">iferror(XLOOKUP(C2291,'Download of SFDC Activation Rep'!B:B,'Download of SFDC Activation Rep'!Y:Y),"")</f>
        <v/>
      </c>
    </row>
    <row r="2292">
      <c r="A2292" s="17"/>
      <c r="B2292" s="85"/>
      <c r="C2292" s="17"/>
      <c r="D2292" s="85"/>
      <c r="E2292" s="17"/>
      <c r="F2292" s="17"/>
      <c r="G2292" s="17"/>
      <c r="I2292" s="17"/>
      <c r="K2292" s="17"/>
      <c r="L2292" s="17"/>
      <c r="M2292" s="17"/>
      <c r="O2292" s="14">
        <f t="shared" si="1"/>
        <v>0</v>
      </c>
      <c r="P2292" s="86" t="str">
        <f t="array" ref="P2292">iferror(XLOOKUP(C2292,'Download of SFDC Activation Rep'!B:B,'Download of SFDC Activation Rep'!Z:Z),"")</f>
        <v/>
      </c>
      <c r="Q2292" s="86" t="str">
        <f t="shared" si="2"/>
        <v/>
      </c>
      <c r="R2292" s="13" t="str">
        <f t="shared" si="3"/>
        <v>Yes</v>
      </c>
      <c r="S2292" s="86" t="str">
        <f t="array" ref="S2292">iferror(XLOOKUP(C2292,'Download of SFDC Activation Rep'!B:B,'Download of SFDC Activation Rep'!Y:Y),"")</f>
        <v/>
      </c>
    </row>
    <row r="2293">
      <c r="A2293" s="17"/>
      <c r="B2293" s="85"/>
      <c r="C2293" s="17"/>
      <c r="D2293" s="85"/>
      <c r="E2293" s="17"/>
      <c r="F2293" s="17"/>
      <c r="G2293" s="17"/>
      <c r="I2293" s="17"/>
      <c r="K2293" s="17"/>
      <c r="L2293" s="17"/>
      <c r="M2293" s="17"/>
      <c r="O2293" s="14">
        <f t="shared" si="1"/>
        <v>0</v>
      </c>
      <c r="P2293" s="86" t="str">
        <f t="array" ref="P2293">iferror(XLOOKUP(C2293,'Download of SFDC Activation Rep'!B:B,'Download of SFDC Activation Rep'!Z:Z),"")</f>
        <v/>
      </c>
      <c r="Q2293" s="86" t="str">
        <f t="shared" si="2"/>
        <v/>
      </c>
      <c r="R2293" s="13" t="str">
        <f t="shared" si="3"/>
        <v>Yes</v>
      </c>
      <c r="S2293" s="86" t="str">
        <f t="array" ref="S2293">iferror(XLOOKUP(C2293,'Download of SFDC Activation Rep'!B:B,'Download of SFDC Activation Rep'!Y:Y),"")</f>
        <v/>
      </c>
    </row>
    <row r="2294">
      <c r="A2294" s="17"/>
      <c r="B2294" s="85"/>
      <c r="C2294" s="17"/>
      <c r="D2294" s="85"/>
      <c r="E2294" s="17"/>
      <c r="F2294" s="17"/>
      <c r="G2294" s="17"/>
      <c r="I2294" s="17"/>
      <c r="K2294" s="17"/>
      <c r="L2294" s="17"/>
      <c r="M2294" s="17"/>
      <c r="O2294" s="14">
        <f t="shared" si="1"/>
        <v>0</v>
      </c>
      <c r="P2294" s="86" t="str">
        <f t="array" ref="P2294">iferror(XLOOKUP(C2294,'Download of SFDC Activation Rep'!B:B,'Download of SFDC Activation Rep'!Z:Z),"")</f>
        <v/>
      </c>
      <c r="Q2294" s="86" t="str">
        <f t="shared" si="2"/>
        <v/>
      </c>
      <c r="R2294" s="13" t="str">
        <f t="shared" si="3"/>
        <v>Yes</v>
      </c>
      <c r="S2294" s="86" t="str">
        <f t="array" ref="S2294">iferror(XLOOKUP(C2294,'Download of SFDC Activation Rep'!B:B,'Download of SFDC Activation Rep'!Y:Y),"")</f>
        <v/>
      </c>
    </row>
    <row r="2295">
      <c r="A2295" s="17"/>
      <c r="B2295" s="85"/>
      <c r="C2295" s="17"/>
      <c r="D2295" s="85"/>
      <c r="E2295" s="17"/>
      <c r="F2295" s="17"/>
      <c r="G2295" s="17"/>
      <c r="I2295" s="17"/>
      <c r="K2295" s="17"/>
      <c r="L2295" s="17"/>
      <c r="M2295" s="17"/>
      <c r="O2295" s="14">
        <f t="shared" si="1"/>
        <v>0</v>
      </c>
      <c r="P2295" s="86" t="str">
        <f t="array" ref="P2295">iferror(XLOOKUP(C2295,'Download of SFDC Activation Rep'!B:B,'Download of SFDC Activation Rep'!Z:Z),"")</f>
        <v/>
      </c>
      <c r="Q2295" s="86" t="str">
        <f t="shared" si="2"/>
        <v/>
      </c>
      <c r="R2295" s="13" t="str">
        <f t="shared" si="3"/>
        <v>Yes</v>
      </c>
      <c r="S2295" s="86" t="str">
        <f t="array" ref="S2295">iferror(XLOOKUP(C2295,'Download of SFDC Activation Rep'!B:B,'Download of SFDC Activation Rep'!Y:Y),"")</f>
        <v/>
      </c>
    </row>
    <row r="2296">
      <c r="A2296" s="17"/>
      <c r="B2296" s="85"/>
      <c r="C2296" s="17"/>
      <c r="D2296" s="85"/>
      <c r="E2296" s="17"/>
      <c r="F2296" s="17"/>
      <c r="G2296" s="17"/>
      <c r="I2296" s="17"/>
      <c r="K2296" s="17"/>
      <c r="L2296" s="17"/>
      <c r="M2296" s="17"/>
      <c r="O2296" s="14">
        <f t="shared" si="1"/>
        <v>0</v>
      </c>
      <c r="P2296" s="86" t="str">
        <f t="array" ref="P2296">iferror(XLOOKUP(C2296,'Download of SFDC Activation Rep'!B:B,'Download of SFDC Activation Rep'!Z:Z),"")</f>
        <v/>
      </c>
      <c r="Q2296" s="86" t="str">
        <f t="shared" si="2"/>
        <v/>
      </c>
      <c r="R2296" s="13" t="str">
        <f t="shared" si="3"/>
        <v>Yes</v>
      </c>
      <c r="S2296" s="86" t="str">
        <f t="array" ref="S2296">iferror(XLOOKUP(C2296,'Download of SFDC Activation Rep'!B:B,'Download of SFDC Activation Rep'!Y:Y),"")</f>
        <v/>
      </c>
    </row>
    <row r="2297">
      <c r="A2297" s="17"/>
      <c r="B2297" s="85"/>
      <c r="C2297" s="17"/>
      <c r="D2297" s="85"/>
      <c r="E2297" s="17"/>
      <c r="F2297" s="17"/>
      <c r="G2297" s="17"/>
      <c r="I2297" s="17"/>
      <c r="K2297" s="17"/>
      <c r="L2297" s="17"/>
      <c r="M2297" s="17"/>
      <c r="O2297" s="14">
        <f t="shared" si="1"/>
        <v>0</v>
      </c>
      <c r="P2297" s="86" t="str">
        <f t="array" ref="P2297">iferror(XLOOKUP(C2297,'Download of SFDC Activation Rep'!B:B,'Download of SFDC Activation Rep'!Z:Z),"")</f>
        <v/>
      </c>
      <c r="Q2297" s="86" t="str">
        <f t="shared" si="2"/>
        <v/>
      </c>
      <c r="R2297" s="13" t="str">
        <f t="shared" si="3"/>
        <v>Yes</v>
      </c>
      <c r="S2297" s="86" t="str">
        <f t="array" ref="S2297">iferror(XLOOKUP(C2297,'Download of SFDC Activation Rep'!B:B,'Download of SFDC Activation Rep'!Y:Y),"")</f>
        <v/>
      </c>
    </row>
    <row r="2298">
      <c r="A2298" s="17"/>
      <c r="B2298" s="85"/>
      <c r="C2298" s="17"/>
      <c r="D2298" s="85"/>
      <c r="E2298" s="17"/>
      <c r="F2298" s="17"/>
      <c r="G2298" s="17"/>
      <c r="I2298" s="17"/>
      <c r="K2298" s="17"/>
      <c r="L2298" s="17"/>
      <c r="M2298" s="17"/>
      <c r="O2298" s="14">
        <f t="shared" si="1"/>
        <v>0</v>
      </c>
      <c r="P2298" s="86" t="str">
        <f t="array" ref="P2298">iferror(XLOOKUP(C2298,'Download of SFDC Activation Rep'!B:B,'Download of SFDC Activation Rep'!Z:Z),"")</f>
        <v/>
      </c>
      <c r="Q2298" s="86" t="str">
        <f t="shared" si="2"/>
        <v/>
      </c>
      <c r="R2298" s="13" t="str">
        <f t="shared" si="3"/>
        <v>Yes</v>
      </c>
      <c r="S2298" s="86" t="str">
        <f t="array" ref="S2298">iferror(XLOOKUP(C2298,'Download of SFDC Activation Rep'!B:B,'Download of SFDC Activation Rep'!Y:Y),"")</f>
        <v/>
      </c>
    </row>
    <row r="2299">
      <c r="A2299" s="17"/>
      <c r="B2299" s="85"/>
      <c r="C2299" s="17"/>
      <c r="D2299" s="85"/>
      <c r="E2299" s="17"/>
      <c r="F2299" s="17"/>
      <c r="G2299" s="17"/>
      <c r="I2299" s="17"/>
      <c r="K2299" s="17"/>
      <c r="L2299" s="17"/>
      <c r="M2299" s="17"/>
      <c r="O2299" s="14">
        <f t="shared" si="1"/>
        <v>0</v>
      </c>
      <c r="P2299" s="86" t="str">
        <f t="array" ref="P2299">iferror(XLOOKUP(C2299,'Download of SFDC Activation Rep'!B:B,'Download of SFDC Activation Rep'!Z:Z),"")</f>
        <v/>
      </c>
      <c r="Q2299" s="86" t="str">
        <f t="shared" si="2"/>
        <v/>
      </c>
      <c r="R2299" s="13" t="str">
        <f t="shared" si="3"/>
        <v>Yes</v>
      </c>
      <c r="S2299" s="86" t="str">
        <f t="array" ref="S2299">iferror(XLOOKUP(C2299,'Download of SFDC Activation Rep'!B:B,'Download of SFDC Activation Rep'!Y:Y),"")</f>
        <v/>
      </c>
    </row>
    <row r="2300">
      <c r="A2300" s="17"/>
      <c r="B2300" s="85"/>
      <c r="C2300" s="17"/>
      <c r="D2300" s="85"/>
      <c r="E2300" s="17"/>
      <c r="F2300" s="17"/>
      <c r="G2300" s="17"/>
      <c r="I2300" s="17"/>
      <c r="K2300" s="17"/>
      <c r="L2300" s="17"/>
      <c r="M2300" s="17"/>
      <c r="O2300" s="14">
        <f t="shared" si="1"/>
        <v>0</v>
      </c>
      <c r="P2300" s="86" t="str">
        <f t="array" ref="P2300">iferror(XLOOKUP(C2300,'Download of SFDC Activation Rep'!B:B,'Download of SFDC Activation Rep'!Z:Z),"")</f>
        <v/>
      </c>
      <c r="Q2300" s="86" t="str">
        <f t="shared" si="2"/>
        <v/>
      </c>
      <c r="R2300" s="13" t="str">
        <f t="shared" si="3"/>
        <v>Yes</v>
      </c>
      <c r="S2300" s="86" t="str">
        <f t="array" ref="S2300">iferror(XLOOKUP(C2300,'Download of SFDC Activation Rep'!B:B,'Download of SFDC Activation Rep'!Y:Y),"")</f>
        <v/>
      </c>
    </row>
    <row r="2301">
      <c r="A2301" s="17"/>
      <c r="B2301" s="85"/>
      <c r="C2301" s="17"/>
      <c r="D2301" s="85"/>
      <c r="E2301" s="17"/>
      <c r="F2301" s="17"/>
      <c r="G2301" s="17"/>
      <c r="I2301" s="17"/>
      <c r="K2301" s="17"/>
      <c r="L2301" s="17"/>
      <c r="M2301" s="17"/>
      <c r="O2301" s="14">
        <f t="shared" si="1"/>
        <v>0</v>
      </c>
      <c r="P2301" s="86" t="str">
        <f t="array" ref="P2301">iferror(XLOOKUP(C2301,'Download of SFDC Activation Rep'!B:B,'Download of SFDC Activation Rep'!Z:Z),"")</f>
        <v/>
      </c>
      <c r="Q2301" s="86" t="str">
        <f t="shared" si="2"/>
        <v/>
      </c>
      <c r="R2301" s="13" t="str">
        <f t="shared" si="3"/>
        <v>Yes</v>
      </c>
      <c r="S2301" s="86" t="str">
        <f t="array" ref="S2301">iferror(XLOOKUP(C2301,'Download of SFDC Activation Rep'!B:B,'Download of SFDC Activation Rep'!Y:Y),"")</f>
        <v/>
      </c>
    </row>
    <row r="2302">
      <c r="A2302" s="17"/>
      <c r="B2302" s="85"/>
      <c r="C2302" s="17"/>
      <c r="D2302" s="85"/>
      <c r="E2302" s="17"/>
      <c r="F2302" s="17"/>
      <c r="G2302" s="17"/>
      <c r="I2302" s="17"/>
      <c r="K2302" s="17"/>
      <c r="L2302" s="17"/>
      <c r="M2302" s="17"/>
      <c r="O2302" s="14">
        <f t="shared" si="1"/>
        <v>0</v>
      </c>
      <c r="P2302" s="86" t="str">
        <f t="array" ref="P2302">iferror(XLOOKUP(C2302,'Download of SFDC Activation Rep'!B:B,'Download of SFDC Activation Rep'!Z:Z),"")</f>
        <v/>
      </c>
      <c r="Q2302" s="86" t="str">
        <f t="shared" si="2"/>
        <v/>
      </c>
      <c r="R2302" s="13" t="str">
        <f t="shared" si="3"/>
        <v>Yes</v>
      </c>
      <c r="S2302" s="86" t="str">
        <f t="array" ref="S2302">iferror(XLOOKUP(C2302,'Download of SFDC Activation Rep'!B:B,'Download of SFDC Activation Rep'!Y:Y),"")</f>
        <v/>
      </c>
    </row>
    <row r="2303">
      <c r="A2303" s="17"/>
      <c r="B2303" s="85"/>
      <c r="C2303" s="17"/>
      <c r="D2303" s="85"/>
      <c r="E2303" s="17"/>
      <c r="F2303" s="17"/>
      <c r="G2303" s="17"/>
      <c r="I2303" s="17"/>
      <c r="K2303" s="17"/>
      <c r="L2303" s="17"/>
      <c r="M2303" s="17"/>
      <c r="O2303" s="14">
        <f t="shared" si="1"/>
        <v>0</v>
      </c>
      <c r="P2303" s="86" t="str">
        <f t="array" ref="P2303">iferror(XLOOKUP(C2303,'Download of SFDC Activation Rep'!B:B,'Download of SFDC Activation Rep'!Z:Z),"")</f>
        <v/>
      </c>
      <c r="Q2303" s="86" t="str">
        <f t="shared" si="2"/>
        <v/>
      </c>
      <c r="R2303" s="13" t="str">
        <f t="shared" si="3"/>
        <v>Yes</v>
      </c>
      <c r="S2303" s="86" t="str">
        <f t="array" ref="S2303">iferror(XLOOKUP(C2303,'Download of SFDC Activation Rep'!B:B,'Download of SFDC Activation Rep'!Y:Y),"")</f>
        <v/>
      </c>
    </row>
    <row r="2304">
      <c r="A2304" s="17"/>
      <c r="B2304" s="85"/>
      <c r="C2304" s="17"/>
      <c r="D2304" s="85"/>
      <c r="E2304" s="17"/>
      <c r="F2304" s="17"/>
      <c r="G2304" s="17"/>
      <c r="I2304" s="17"/>
      <c r="K2304" s="17"/>
      <c r="L2304" s="17"/>
      <c r="M2304" s="17"/>
      <c r="O2304" s="14">
        <f t="shared" si="1"/>
        <v>0</v>
      </c>
      <c r="P2304" s="86" t="str">
        <f t="array" ref="P2304">iferror(XLOOKUP(C2304,'Download of SFDC Activation Rep'!B:B,'Download of SFDC Activation Rep'!Z:Z),"")</f>
        <v/>
      </c>
      <c r="Q2304" s="86" t="str">
        <f t="shared" si="2"/>
        <v/>
      </c>
      <c r="R2304" s="13" t="str">
        <f t="shared" si="3"/>
        <v>Yes</v>
      </c>
      <c r="S2304" s="86" t="str">
        <f t="array" ref="S2304">iferror(XLOOKUP(C2304,'Download of SFDC Activation Rep'!B:B,'Download of SFDC Activation Rep'!Y:Y),"")</f>
        <v/>
      </c>
    </row>
    <row r="2305">
      <c r="A2305" s="17"/>
      <c r="B2305" s="85"/>
      <c r="C2305" s="17"/>
      <c r="D2305" s="85"/>
      <c r="E2305" s="17"/>
      <c r="F2305" s="17"/>
      <c r="G2305" s="17"/>
      <c r="I2305" s="17"/>
      <c r="K2305" s="17"/>
      <c r="L2305" s="17"/>
      <c r="M2305" s="17"/>
      <c r="O2305" s="14">
        <f t="shared" si="1"/>
        <v>0</v>
      </c>
      <c r="P2305" s="86" t="str">
        <f t="array" ref="P2305">iferror(XLOOKUP(C2305,'Download of SFDC Activation Rep'!B:B,'Download of SFDC Activation Rep'!Z:Z),"")</f>
        <v/>
      </c>
      <c r="Q2305" s="86" t="str">
        <f t="shared" si="2"/>
        <v/>
      </c>
      <c r="R2305" s="13" t="str">
        <f t="shared" si="3"/>
        <v>Yes</v>
      </c>
      <c r="S2305" s="86" t="str">
        <f t="array" ref="S2305">iferror(XLOOKUP(C2305,'Download of SFDC Activation Rep'!B:B,'Download of SFDC Activation Rep'!Y:Y),"")</f>
        <v/>
      </c>
    </row>
    <row r="2306">
      <c r="A2306" s="17"/>
      <c r="B2306" s="85"/>
      <c r="C2306" s="17"/>
      <c r="D2306" s="85"/>
      <c r="E2306" s="17"/>
      <c r="F2306" s="17"/>
      <c r="G2306" s="17"/>
      <c r="I2306" s="17"/>
      <c r="K2306" s="17"/>
      <c r="L2306" s="17"/>
      <c r="M2306" s="17"/>
      <c r="O2306" s="14">
        <f t="shared" si="1"/>
        <v>0</v>
      </c>
      <c r="P2306" s="86" t="str">
        <f t="array" ref="P2306">iferror(XLOOKUP(C2306,'Download of SFDC Activation Rep'!B:B,'Download of SFDC Activation Rep'!Z:Z),"")</f>
        <v/>
      </c>
      <c r="Q2306" s="86" t="str">
        <f t="shared" si="2"/>
        <v/>
      </c>
      <c r="R2306" s="13" t="str">
        <f t="shared" si="3"/>
        <v>Yes</v>
      </c>
      <c r="S2306" s="86" t="str">
        <f t="array" ref="S2306">iferror(XLOOKUP(C2306,'Download of SFDC Activation Rep'!B:B,'Download of SFDC Activation Rep'!Y:Y),"")</f>
        <v/>
      </c>
    </row>
    <row r="2307">
      <c r="A2307" s="17"/>
      <c r="B2307" s="85"/>
      <c r="C2307" s="17"/>
      <c r="D2307" s="85"/>
      <c r="E2307" s="17"/>
      <c r="F2307" s="17"/>
      <c r="G2307" s="17"/>
      <c r="I2307" s="17"/>
      <c r="K2307" s="17"/>
      <c r="L2307" s="17"/>
      <c r="M2307" s="17"/>
      <c r="O2307" s="14">
        <f t="shared" si="1"/>
        <v>0</v>
      </c>
      <c r="P2307" s="86" t="str">
        <f t="array" ref="P2307">iferror(XLOOKUP(C2307,'Download of SFDC Activation Rep'!B:B,'Download of SFDC Activation Rep'!Z:Z),"")</f>
        <v/>
      </c>
      <c r="Q2307" s="86" t="str">
        <f t="shared" si="2"/>
        <v/>
      </c>
      <c r="R2307" s="13" t="str">
        <f t="shared" si="3"/>
        <v>Yes</v>
      </c>
      <c r="S2307" s="86" t="str">
        <f t="array" ref="S2307">iferror(XLOOKUP(C2307,'Download of SFDC Activation Rep'!B:B,'Download of SFDC Activation Rep'!Y:Y),"")</f>
        <v/>
      </c>
    </row>
    <row r="2308">
      <c r="A2308" s="17"/>
      <c r="B2308" s="85"/>
      <c r="C2308" s="17"/>
      <c r="D2308" s="85"/>
      <c r="E2308" s="17"/>
      <c r="F2308" s="17"/>
      <c r="G2308" s="17"/>
      <c r="I2308" s="17"/>
      <c r="K2308" s="17"/>
      <c r="L2308" s="17"/>
      <c r="M2308" s="17"/>
      <c r="O2308" s="14">
        <f t="shared" si="1"/>
        <v>0</v>
      </c>
      <c r="P2308" s="86" t="str">
        <f t="array" ref="P2308">iferror(XLOOKUP(C2308,'Download of SFDC Activation Rep'!B:B,'Download of SFDC Activation Rep'!Z:Z),"")</f>
        <v/>
      </c>
      <c r="Q2308" s="86" t="str">
        <f t="shared" si="2"/>
        <v/>
      </c>
      <c r="R2308" s="13" t="str">
        <f t="shared" si="3"/>
        <v>Yes</v>
      </c>
      <c r="S2308" s="86" t="str">
        <f t="array" ref="S2308">iferror(XLOOKUP(C2308,'Download of SFDC Activation Rep'!B:B,'Download of SFDC Activation Rep'!Y:Y),"")</f>
        <v/>
      </c>
    </row>
    <row r="2309">
      <c r="A2309" s="17"/>
      <c r="B2309" s="85"/>
      <c r="C2309" s="17"/>
      <c r="D2309" s="85"/>
      <c r="E2309" s="17"/>
      <c r="F2309" s="17"/>
      <c r="G2309" s="17"/>
      <c r="I2309" s="17"/>
      <c r="K2309" s="17"/>
      <c r="L2309" s="17"/>
      <c r="M2309" s="17"/>
      <c r="O2309" s="14">
        <f t="shared" si="1"/>
        <v>0</v>
      </c>
      <c r="P2309" s="86" t="str">
        <f t="array" ref="P2309">iferror(XLOOKUP(C2309,'Download of SFDC Activation Rep'!B:B,'Download of SFDC Activation Rep'!Z:Z),"")</f>
        <v/>
      </c>
      <c r="Q2309" s="86" t="str">
        <f t="shared" si="2"/>
        <v/>
      </c>
      <c r="R2309" s="13" t="str">
        <f t="shared" si="3"/>
        <v>Yes</v>
      </c>
      <c r="S2309" s="86" t="str">
        <f t="array" ref="S2309">iferror(XLOOKUP(C2309,'Download of SFDC Activation Rep'!B:B,'Download of SFDC Activation Rep'!Y:Y),"")</f>
        <v/>
      </c>
    </row>
    <row r="2310">
      <c r="A2310" s="17"/>
      <c r="B2310" s="85"/>
      <c r="C2310" s="17"/>
      <c r="D2310" s="85"/>
      <c r="E2310" s="17"/>
      <c r="F2310" s="17"/>
      <c r="G2310" s="17"/>
      <c r="I2310" s="17"/>
      <c r="K2310" s="17"/>
      <c r="L2310" s="17"/>
      <c r="M2310" s="17"/>
      <c r="O2310" s="14">
        <f t="shared" si="1"/>
        <v>0</v>
      </c>
      <c r="P2310" s="86" t="str">
        <f t="array" ref="P2310">iferror(XLOOKUP(C2310,'Download of SFDC Activation Rep'!B:B,'Download of SFDC Activation Rep'!Z:Z),"")</f>
        <v/>
      </c>
      <c r="Q2310" s="86" t="str">
        <f t="shared" si="2"/>
        <v/>
      </c>
      <c r="R2310" s="13" t="str">
        <f t="shared" si="3"/>
        <v>Yes</v>
      </c>
      <c r="S2310" s="86" t="str">
        <f t="array" ref="S2310">iferror(XLOOKUP(C2310,'Download of SFDC Activation Rep'!B:B,'Download of SFDC Activation Rep'!Y:Y),"")</f>
        <v/>
      </c>
    </row>
    <row r="2311">
      <c r="A2311" s="17"/>
      <c r="B2311" s="85"/>
      <c r="C2311" s="17"/>
      <c r="D2311" s="85"/>
      <c r="E2311" s="17"/>
      <c r="F2311" s="17"/>
      <c r="G2311" s="17"/>
      <c r="I2311" s="17"/>
      <c r="K2311" s="17"/>
      <c r="L2311" s="17"/>
      <c r="M2311" s="17"/>
      <c r="O2311" s="14">
        <f t="shared" si="1"/>
        <v>0</v>
      </c>
      <c r="P2311" s="86" t="str">
        <f t="array" ref="P2311">iferror(XLOOKUP(C2311,'Download of SFDC Activation Rep'!B:B,'Download of SFDC Activation Rep'!Z:Z),"")</f>
        <v/>
      </c>
      <c r="Q2311" s="86" t="str">
        <f t="shared" si="2"/>
        <v/>
      </c>
      <c r="R2311" s="13" t="str">
        <f t="shared" si="3"/>
        <v>Yes</v>
      </c>
      <c r="S2311" s="86" t="str">
        <f t="array" ref="S2311">iferror(XLOOKUP(C2311,'Download of SFDC Activation Rep'!B:B,'Download of SFDC Activation Rep'!Y:Y),"")</f>
        <v/>
      </c>
    </row>
    <row r="2312">
      <c r="A2312" s="17"/>
      <c r="B2312" s="85"/>
      <c r="C2312" s="17"/>
      <c r="D2312" s="85"/>
      <c r="E2312" s="17"/>
      <c r="F2312" s="17"/>
      <c r="G2312" s="17"/>
      <c r="I2312" s="17"/>
      <c r="K2312" s="17"/>
      <c r="L2312" s="17"/>
      <c r="M2312" s="17"/>
      <c r="O2312" s="14">
        <f t="shared" si="1"/>
        <v>0</v>
      </c>
      <c r="P2312" s="86" t="str">
        <f t="array" ref="P2312">iferror(XLOOKUP(C2312,'Download of SFDC Activation Rep'!B:B,'Download of SFDC Activation Rep'!Z:Z),"")</f>
        <v/>
      </c>
      <c r="Q2312" s="86" t="str">
        <f t="shared" si="2"/>
        <v/>
      </c>
      <c r="R2312" s="13" t="str">
        <f t="shared" si="3"/>
        <v>Yes</v>
      </c>
      <c r="S2312" s="86" t="str">
        <f t="array" ref="S2312">iferror(XLOOKUP(C2312,'Download of SFDC Activation Rep'!B:B,'Download of SFDC Activation Rep'!Y:Y),"")</f>
        <v/>
      </c>
    </row>
    <row r="2313">
      <c r="A2313" s="17"/>
      <c r="B2313" s="85"/>
      <c r="C2313" s="17"/>
      <c r="D2313" s="85"/>
      <c r="E2313" s="17"/>
      <c r="F2313" s="17"/>
      <c r="G2313" s="17"/>
      <c r="I2313" s="17"/>
      <c r="K2313" s="17"/>
      <c r="L2313" s="17"/>
      <c r="M2313" s="17"/>
      <c r="O2313" s="14">
        <f t="shared" si="1"/>
        <v>0</v>
      </c>
      <c r="P2313" s="86" t="str">
        <f t="array" ref="P2313">iferror(XLOOKUP(C2313,'Download of SFDC Activation Rep'!B:B,'Download of SFDC Activation Rep'!Z:Z),"")</f>
        <v/>
      </c>
      <c r="Q2313" s="86" t="str">
        <f t="shared" si="2"/>
        <v/>
      </c>
      <c r="R2313" s="13" t="str">
        <f t="shared" si="3"/>
        <v>Yes</v>
      </c>
      <c r="S2313" s="86" t="str">
        <f t="array" ref="S2313">iferror(XLOOKUP(C2313,'Download of SFDC Activation Rep'!B:B,'Download of SFDC Activation Rep'!Y:Y),"")</f>
        <v/>
      </c>
    </row>
    <row r="2314">
      <c r="A2314" s="17"/>
      <c r="B2314" s="85"/>
      <c r="C2314" s="17"/>
      <c r="D2314" s="85"/>
      <c r="E2314" s="17"/>
      <c r="F2314" s="17"/>
      <c r="G2314" s="17"/>
      <c r="I2314" s="17"/>
      <c r="K2314" s="17"/>
      <c r="L2314" s="17"/>
      <c r="M2314" s="17"/>
      <c r="O2314" s="14">
        <f t="shared" si="1"/>
        <v>0</v>
      </c>
      <c r="P2314" s="86" t="str">
        <f t="array" ref="P2314">iferror(XLOOKUP(C2314,'Download of SFDC Activation Rep'!B:B,'Download of SFDC Activation Rep'!Z:Z),"")</f>
        <v/>
      </c>
      <c r="Q2314" s="86" t="str">
        <f t="shared" si="2"/>
        <v/>
      </c>
      <c r="R2314" s="13" t="str">
        <f t="shared" si="3"/>
        <v>Yes</v>
      </c>
      <c r="S2314" s="86" t="str">
        <f t="array" ref="S2314">iferror(XLOOKUP(C2314,'Download of SFDC Activation Rep'!B:B,'Download of SFDC Activation Rep'!Y:Y),"")</f>
        <v/>
      </c>
    </row>
    <row r="2315">
      <c r="A2315" s="17"/>
      <c r="B2315" s="85"/>
      <c r="C2315" s="17"/>
      <c r="D2315" s="85"/>
      <c r="E2315" s="17"/>
      <c r="F2315" s="17"/>
      <c r="G2315" s="17"/>
      <c r="I2315" s="17"/>
      <c r="K2315" s="17"/>
      <c r="L2315" s="17"/>
      <c r="M2315" s="17"/>
      <c r="O2315" s="14">
        <f t="shared" si="1"/>
        <v>0</v>
      </c>
      <c r="P2315" s="86" t="str">
        <f t="array" ref="P2315">iferror(XLOOKUP(C2315,'Download of SFDC Activation Rep'!B:B,'Download of SFDC Activation Rep'!Z:Z),"")</f>
        <v/>
      </c>
      <c r="Q2315" s="86" t="str">
        <f t="shared" si="2"/>
        <v/>
      </c>
      <c r="R2315" s="13" t="str">
        <f t="shared" si="3"/>
        <v>Yes</v>
      </c>
      <c r="S2315" s="86" t="str">
        <f t="array" ref="S2315">iferror(XLOOKUP(C2315,'Download of SFDC Activation Rep'!B:B,'Download of SFDC Activation Rep'!Y:Y),"")</f>
        <v/>
      </c>
    </row>
    <row r="2316">
      <c r="A2316" s="17"/>
      <c r="B2316" s="85"/>
      <c r="C2316" s="17"/>
      <c r="D2316" s="85"/>
      <c r="E2316" s="17"/>
      <c r="F2316" s="17"/>
      <c r="G2316" s="17"/>
      <c r="I2316" s="17"/>
      <c r="K2316" s="17"/>
      <c r="L2316" s="17"/>
      <c r="M2316" s="17"/>
      <c r="O2316" s="14">
        <f t="shared" si="1"/>
        <v>0</v>
      </c>
      <c r="P2316" s="86" t="str">
        <f t="array" ref="P2316">iferror(XLOOKUP(C2316,'Download of SFDC Activation Rep'!B:B,'Download of SFDC Activation Rep'!Z:Z),"")</f>
        <v/>
      </c>
      <c r="Q2316" s="86" t="str">
        <f t="shared" si="2"/>
        <v/>
      </c>
      <c r="R2316" s="13" t="str">
        <f t="shared" si="3"/>
        <v>Yes</v>
      </c>
      <c r="S2316" s="86" t="str">
        <f t="array" ref="S2316">iferror(XLOOKUP(C2316,'Download of SFDC Activation Rep'!B:B,'Download of SFDC Activation Rep'!Y:Y),"")</f>
        <v/>
      </c>
    </row>
    <row r="2317">
      <c r="A2317" s="17"/>
      <c r="B2317" s="85"/>
      <c r="C2317" s="17"/>
      <c r="D2317" s="85"/>
      <c r="E2317" s="17"/>
      <c r="F2317" s="17"/>
      <c r="G2317" s="17"/>
      <c r="I2317" s="17"/>
      <c r="K2317" s="17"/>
      <c r="L2317" s="17"/>
      <c r="M2317" s="17"/>
      <c r="O2317" s="14">
        <f t="shared" si="1"/>
        <v>0</v>
      </c>
      <c r="P2317" s="86" t="str">
        <f t="array" ref="P2317">iferror(XLOOKUP(C2317,'Download of SFDC Activation Rep'!B:B,'Download of SFDC Activation Rep'!Z:Z),"")</f>
        <v/>
      </c>
      <c r="Q2317" s="86" t="str">
        <f t="shared" si="2"/>
        <v/>
      </c>
      <c r="R2317" s="13" t="str">
        <f t="shared" si="3"/>
        <v>Yes</v>
      </c>
      <c r="S2317" s="86" t="str">
        <f t="array" ref="S2317">iferror(XLOOKUP(C2317,'Download of SFDC Activation Rep'!B:B,'Download of SFDC Activation Rep'!Y:Y),"")</f>
        <v/>
      </c>
    </row>
    <row r="2318">
      <c r="A2318" s="17"/>
      <c r="B2318" s="85"/>
      <c r="C2318" s="17"/>
      <c r="D2318" s="85"/>
      <c r="E2318" s="17"/>
      <c r="F2318" s="17"/>
      <c r="G2318" s="17"/>
      <c r="I2318" s="17"/>
      <c r="K2318" s="17"/>
      <c r="L2318" s="17"/>
      <c r="M2318" s="17"/>
      <c r="O2318" s="14">
        <f t="shared" si="1"/>
        <v>0</v>
      </c>
      <c r="P2318" s="86" t="str">
        <f t="array" ref="P2318">iferror(XLOOKUP(C2318,'Download of SFDC Activation Rep'!B:B,'Download of SFDC Activation Rep'!Z:Z),"")</f>
        <v/>
      </c>
      <c r="Q2318" s="86" t="str">
        <f t="shared" si="2"/>
        <v/>
      </c>
      <c r="R2318" s="13" t="str">
        <f t="shared" si="3"/>
        <v>Yes</v>
      </c>
      <c r="S2318" s="86" t="str">
        <f t="array" ref="S2318">iferror(XLOOKUP(C2318,'Download of SFDC Activation Rep'!B:B,'Download of SFDC Activation Rep'!Y:Y),"")</f>
        <v/>
      </c>
    </row>
    <row r="2319">
      <c r="A2319" s="17"/>
      <c r="B2319" s="85"/>
      <c r="C2319" s="17"/>
      <c r="D2319" s="85"/>
      <c r="E2319" s="17"/>
      <c r="F2319" s="17"/>
      <c r="G2319" s="17"/>
      <c r="I2319" s="17"/>
      <c r="K2319" s="17"/>
      <c r="L2319" s="17"/>
      <c r="M2319" s="17"/>
      <c r="O2319" s="14">
        <f t="shared" si="1"/>
        <v>0</v>
      </c>
      <c r="P2319" s="86" t="str">
        <f t="array" ref="P2319">iferror(XLOOKUP(C2319,'Download of SFDC Activation Rep'!B:B,'Download of SFDC Activation Rep'!Z:Z),"")</f>
        <v/>
      </c>
      <c r="Q2319" s="86" t="str">
        <f t="shared" si="2"/>
        <v/>
      </c>
      <c r="R2319" s="13" t="str">
        <f t="shared" si="3"/>
        <v>Yes</v>
      </c>
      <c r="S2319" s="86" t="str">
        <f t="array" ref="S2319">iferror(XLOOKUP(C2319,'Download of SFDC Activation Rep'!B:B,'Download of SFDC Activation Rep'!Y:Y),"")</f>
        <v/>
      </c>
    </row>
    <row r="2320">
      <c r="A2320" s="17"/>
      <c r="B2320" s="85"/>
      <c r="C2320" s="17"/>
      <c r="D2320" s="85"/>
      <c r="E2320" s="17"/>
      <c r="F2320" s="17"/>
      <c r="G2320" s="17"/>
      <c r="I2320" s="17"/>
      <c r="K2320" s="17"/>
      <c r="L2320" s="17"/>
      <c r="M2320" s="17"/>
      <c r="O2320" s="14">
        <f t="shared" si="1"/>
        <v>0</v>
      </c>
      <c r="P2320" s="86" t="str">
        <f t="array" ref="P2320">iferror(XLOOKUP(C2320,'Download of SFDC Activation Rep'!B:B,'Download of SFDC Activation Rep'!Z:Z),"")</f>
        <v/>
      </c>
      <c r="Q2320" s="86" t="str">
        <f t="shared" si="2"/>
        <v/>
      </c>
      <c r="R2320" s="13" t="str">
        <f t="shared" si="3"/>
        <v>Yes</v>
      </c>
      <c r="S2320" s="86" t="str">
        <f t="array" ref="S2320">iferror(XLOOKUP(C2320,'Download of SFDC Activation Rep'!B:B,'Download of SFDC Activation Rep'!Y:Y),"")</f>
        <v/>
      </c>
    </row>
    <row r="2321">
      <c r="A2321" s="17"/>
      <c r="B2321" s="85"/>
      <c r="C2321" s="17"/>
      <c r="D2321" s="85"/>
      <c r="E2321" s="17"/>
      <c r="F2321" s="17"/>
      <c r="G2321" s="17"/>
      <c r="I2321" s="17"/>
      <c r="K2321" s="17"/>
      <c r="L2321" s="17"/>
      <c r="M2321" s="17"/>
      <c r="O2321" s="14">
        <f t="shared" si="1"/>
        <v>0</v>
      </c>
      <c r="P2321" s="86" t="str">
        <f t="array" ref="P2321">iferror(XLOOKUP(C2321,'Download of SFDC Activation Rep'!B:B,'Download of SFDC Activation Rep'!Z:Z),"")</f>
        <v/>
      </c>
      <c r="Q2321" s="86" t="str">
        <f t="shared" si="2"/>
        <v/>
      </c>
      <c r="R2321" s="13" t="str">
        <f t="shared" si="3"/>
        <v>Yes</v>
      </c>
      <c r="S2321" s="86" t="str">
        <f t="array" ref="S2321">iferror(XLOOKUP(C2321,'Download of SFDC Activation Rep'!B:B,'Download of SFDC Activation Rep'!Y:Y),"")</f>
        <v/>
      </c>
    </row>
    <row r="2322">
      <c r="A2322" s="17"/>
      <c r="B2322" s="85"/>
      <c r="C2322" s="17"/>
      <c r="D2322" s="85"/>
      <c r="E2322" s="17"/>
      <c r="F2322" s="17"/>
      <c r="G2322" s="17"/>
      <c r="I2322" s="17"/>
      <c r="K2322" s="17"/>
      <c r="L2322" s="17"/>
      <c r="M2322" s="17"/>
      <c r="O2322" s="14">
        <f t="shared" si="1"/>
        <v>0</v>
      </c>
      <c r="P2322" s="86" t="str">
        <f t="array" ref="P2322">iferror(XLOOKUP(C2322,'Download of SFDC Activation Rep'!B:B,'Download of SFDC Activation Rep'!Z:Z),"")</f>
        <v/>
      </c>
      <c r="Q2322" s="86" t="str">
        <f t="shared" si="2"/>
        <v/>
      </c>
      <c r="R2322" s="13" t="str">
        <f t="shared" si="3"/>
        <v>Yes</v>
      </c>
      <c r="S2322" s="86" t="str">
        <f t="array" ref="S2322">iferror(XLOOKUP(C2322,'Download of SFDC Activation Rep'!B:B,'Download of SFDC Activation Rep'!Y:Y),"")</f>
        <v/>
      </c>
    </row>
    <row r="2323">
      <c r="A2323" s="17"/>
      <c r="B2323" s="85"/>
      <c r="C2323" s="17"/>
      <c r="D2323" s="85"/>
      <c r="E2323" s="17"/>
      <c r="F2323" s="17"/>
      <c r="G2323" s="17"/>
      <c r="I2323" s="17"/>
      <c r="K2323" s="17"/>
      <c r="L2323" s="17"/>
      <c r="M2323" s="17"/>
      <c r="O2323" s="14">
        <f t="shared" si="1"/>
        <v>0</v>
      </c>
      <c r="P2323" s="86" t="str">
        <f t="array" ref="P2323">iferror(XLOOKUP(C2323,'Download of SFDC Activation Rep'!B:B,'Download of SFDC Activation Rep'!Z:Z),"")</f>
        <v/>
      </c>
      <c r="Q2323" s="86" t="str">
        <f t="shared" si="2"/>
        <v/>
      </c>
      <c r="R2323" s="13" t="str">
        <f t="shared" si="3"/>
        <v>Yes</v>
      </c>
      <c r="S2323" s="86" t="str">
        <f t="array" ref="S2323">iferror(XLOOKUP(C2323,'Download of SFDC Activation Rep'!B:B,'Download of SFDC Activation Rep'!Y:Y),"")</f>
        <v/>
      </c>
    </row>
    <row r="2324">
      <c r="A2324" s="17"/>
      <c r="B2324" s="85"/>
      <c r="C2324" s="17"/>
      <c r="D2324" s="85"/>
      <c r="E2324" s="17"/>
      <c r="F2324" s="17"/>
      <c r="G2324" s="17"/>
      <c r="I2324" s="17"/>
      <c r="K2324" s="17"/>
      <c r="L2324" s="17"/>
      <c r="M2324" s="17"/>
      <c r="O2324" s="14">
        <f t="shared" si="1"/>
        <v>0</v>
      </c>
      <c r="P2324" s="86" t="str">
        <f t="array" ref="P2324">iferror(XLOOKUP(C2324,'Download of SFDC Activation Rep'!B:B,'Download of SFDC Activation Rep'!Z:Z),"")</f>
        <v/>
      </c>
      <c r="Q2324" s="86" t="str">
        <f t="shared" si="2"/>
        <v/>
      </c>
      <c r="R2324" s="13" t="str">
        <f t="shared" si="3"/>
        <v>Yes</v>
      </c>
      <c r="S2324" s="86" t="str">
        <f t="array" ref="S2324">iferror(XLOOKUP(C2324,'Download of SFDC Activation Rep'!B:B,'Download of SFDC Activation Rep'!Y:Y),"")</f>
        <v/>
      </c>
    </row>
    <row r="2325">
      <c r="A2325" s="17"/>
      <c r="B2325" s="85"/>
      <c r="C2325" s="17"/>
      <c r="D2325" s="85"/>
      <c r="E2325" s="17"/>
      <c r="F2325" s="17"/>
      <c r="G2325" s="17"/>
      <c r="I2325" s="17"/>
      <c r="K2325" s="17"/>
      <c r="L2325" s="17"/>
      <c r="M2325" s="17"/>
      <c r="O2325" s="14">
        <f t="shared" si="1"/>
        <v>0</v>
      </c>
      <c r="P2325" s="86" t="str">
        <f t="array" ref="P2325">iferror(XLOOKUP(C2325,'Download of SFDC Activation Rep'!B:B,'Download of SFDC Activation Rep'!Z:Z),"")</f>
        <v/>
      </c>
      <c r="Q2325" s="86" t="str">
        <f t="shared" si="2"/>
        <v/>
      </c>
      <c r="R2325" s="13" t="str">
        <f t="shared" si="3"/>
        <v>Yes</v>
      </c>
      <c r="S2325" s="86" t="str">
        <f t="array" ref="S2325">iferror(XLOOKUP(C2325,'Download of SFDC Activation Rep'!B:B,'Download of SFDC Activation Rep'!Y:Y),"")</f>
        <v/>
      </c>
    </row>
    <row r="2326">
      <c r="A2326" s="17"/>
      <c r="B2326" s="85"/>
      <c r="C2326" s="17"/>
      <c r="D2326" s="85"/>
      <c r="E2326" s="17"/>
      <c r="F2326" s="17"/>
      <c r="G2326" s="17"/>
      <c r="I2326" s="17"/>
      <c r="K2326" s="17"/>
      <c r="L2326" s="17"/>
      <c r="M2326" s="17"/>
      <c r="O2326" s="14">
        <f t="shared" si="1"/>
        <v>0</v>
      </c>
      <c r="P2326" s="86" t="str">
        <f t="array" ref="P2326">iferror(XLOOKUP(C2326,'Download of SFDC Activation Rep'!B:B,'Download of SFDC Activation Rep'!Z:Z),"")</f>
        <v/>
      </c>
      <c r="Q2326" s="86" t="str">
        <f t="shared" si="2"/>
        <v/>
      </c>
      <c r="R2326" s="13" t="str">
        <f t="shared" si="3"/>
        <v>Yes</v>
      </c>
      <c r="S2326" s="86" t="str">
        <f t="array" ref="S2326">iferror(XLOOKUP(C2326,'Download of SFDC Activation Rep'!B:B,'Download of SFDC Activation Rep'!Y:Y),"")</f>
        <v/>
      </c>
    </row>
    <row r="2327">
      <c r="A2327" s="17"/>
      <c r="B2327" s="85"/>
      <c r="C2327" s="17"/>
      <c r="D2327" s="85"/>
      <c r="E2327" s="17"/>
      <c r="F2327" s="17"/>
      <c r="G2327" s="17"/>
      <c r="I2327" s="17"/>
      <c r="K2327" s="17"/>
      <c r="L2327" s="17"/>
      <c r="M2327" s="17"/>
      <c r="O2327" s="14">
        <f t="shared" si="1"/>
        <v>0</v>
      </c>
      <c r="P2327" s="86" t="str">
        <f t="array" ref="P2327">iferror(XLOOKUP(C2327,'Download of SFDC Activation Rep'!B:B,'Download of SFDC Activation Rep'!Z:Z),"")</f>
        <v/>
      </c>
      <c r="Q2327" s="86" t="str">
        <f t="shared" si="2"/>
        <v/>
      </c>
      <c r="R2327" s="13" t="str">
        <f t="shared" si="3"/>
        <v>Yes</v>
      </c>
      <c r="S2327" s="86" t="str">
        <f t="array" ref="S2327">iferror(XLOOKUP(C2327,'Download of SFDC Activation Rep'!B:B,'Download of SFDC Activation Rep'!Y:Y),"")</f>
        <v/>
      </c>
    </row>
    <row r="2328">
      <c r="A2328" s="17"/>
      <c r="B2328" s="85"/>
      <c r="C2328" s="17"/>
      <c r="D2328" s="85"/>
      <c r="E2328" s="17"/>
      <c r="F2328" s="17"/>
      <c r="G2328" s="17"/>
      <c r="I2328" s="17"/>
      <c r="K2328" s="17"/>
      <c r="L2328" s="17"/>
      <c r="M2328" s="17"/>
      <c r="O2328" s="14">
        <f t="shared" si="1"/>
        <v>0</v>
      </c>
      <c r="P2328" s="86" t="str">
        <f t="array" ref="P2328">iferror(XLOOKUP(C2328,'Download of SFDC Activation Rep'!B:B,'Download of SFDC Activation Rep'!Z:Z),"")</f>
        <v/>
      </c>
      <c r="Q2328" s="86" t="str">
        <f t="shared" si="2"/>
        <v/>
      </c>
      <c r="R2328" s="13" t="str">
        <f t="shared" si="3"/>
        <v>Yes</v>
      </c>
      <c r="S2328" s="86" t="str">
        <f t="array" ref="S2328">iferror(XLOOKUP(C2328,'Download of SFDC Activation Rep'!B:B,'Download of SFDC Activation Rep'!Y:Y),"")</f>
        <v/>
      </c>
    </row>
    <row r="2329">
      <c r="A2329" s="17"/>
      <c r="B2329" s="85"/>
      <c r="C2329" s="17"/>
      <c r="D2329" s="85"/>
      <c r="E2329" s="17"/>
      <c r="F2329" s="17"/>
      <c r="G2329" s="17"/>
      <c r="I2329" s="17"/>
      <c r="K2329" s="17"/>
      <c r="L2329" s="17"/>
      <c r="M2329" s="17"/>
      <c r="O2329" s="14">
        <f t="shared" si="1"/>
        <v>0</v>
      </c>
      <c r="P2329" s="86" t="str">
        <f t="array" ref="P2329">iferror(XLOOKUP(C2329,'Download of SFDC Activation Rep'!B:B,'Download of SFDC Activation Rep'!Z:Z),"")</f>
        <v/>
      </c>
      <c r="Q2329" s="86" t="str">
        <f t="shared" si="2"/>
        <v/>
      </c>
      <c r="R2329" s="13" t="str">
        <f t="shared" si="3"/>
        <v>Yes</v>
      </c>
      <c r="S2329" s="86" t="str">
        <f t="array" ref="S2329">iferror(XLOOKUP(C2329,'Download of SFDC Activation Rep'!B:B,'Download of SFDC Activation Rep'!Y:Y),"")</f>
        <v/>
      </c>
    </row>
    <row r="2330">
      <c r="A2330" s="17"/>
      <c r="B2330" s="85"/>
      <c r="C2330" s="17"/>
      <c r="D2330" s="85"/>
      <c r="E2330" s="17"/>
      <c r="F2330" s="17"/>
      <c r="G2330" s="17"/>
      <c r="I2330" s="17"/>
      <c r="K2330" s="17"/>
      <c r="L2330" s="17"/>
      <c r="M2330" s="17"/>
      <c r="O2330" s="14">
        <f t="shared" si="1"/>
        <v>0</v>
      </c>
      <c r="P2330" s="86" t="str">
        <f t="array" ref="P2330">iferror(XLOOKUP(C2330,'Download of SFDC Activation Rep'!B:B,'Download of SFDC Activation Rep'!Z:Z),"")</f>
        <v/>
      </c>
      <c r="Q2330" s="86" t="str">
        <f t="shared" si="2"/>
        <v/>
      </c>
      <c r="R2330" s="13" t="str">
        <f t="shared" si="3"/>
        <v>Yes</v>
      </c>
      <c r="S2330" s="86" t="str">
        <f t="array" ref="S2330">iferror(XLOOKUP(C2330,'Download of SFDC Activation Rep'!B:B,'Download of SFDC Activation Rep'!Y:Y),"")</f>
        <v/>
      </c>
    </row>
    <row r="2331">
      <c r="A2331" s="17"/>
      <c r="B2331" s="85"/>
      <c r="C2331" s="17"/>
      <c r="D2331" s="85"/>
      <c r="E2331" s="17"/>
      <c r="F2331" s="17"/>
      <c r="G2331" s="17"/>
      <c r="I2331" s="17"/>
      <c r="K2331" s="17"/>
      <c r="L2331" s="17"/>
      <c r="M2331" s="17"/>
      <c r="O2331" s="14">
        <f t="shared" si="1"/>
        <v>0</v>
      </c>
      <c r="P2331" s="86" t="str">
        <f t="array" ref="P2331">iferror(XLOOKUP(C2331,'Download of SFDC Activation Rep'!B:B,'Download of SFDC Activation Rep'!Z:Z),"")</f>
        <v/>
      </c>
      <c r="Q2331" s="86" t="str">
        <f t="shared" si="2"/>
        <v/>
      </c>
      <c r="R2331" s="13" t="str">
        <f t="shared" si="3"/>
        <v>Yes</v>
      </c>
      <c r="S2331" s="86" t="str">
        <f t="array" ref="S2331">iferror(XLOOKUP(C2331,'Download of SFDC Activation Rep'!B:B,'Download of SFDC Activation Rep'!Y:Y),"")</f>
        <v/>
      </c>
    </row>
    <row r="2332">
      <c r="A2332" s="17"/>
      <c r="B2332" s="85"/>
      <c r="C2332" s="17"/>
      <c r="D2332" s="85"/>
      <c r="E2332" s="17"/>
      <c r="F2332" s="17"/>
      <c r="G2332" s="17"/>
      <c r="I2332" s="17"/>
      <c r="K2332" s="17"/>
      <c r="L2332" s="17"/>
      <c r="M2332" s="17"/>
      <c r="O2332" s="14">
        <f t="shared" si="1"/>
        <v>0</v>
      </c>
      <c r="P2332" s="86" t="str">
        <f t="array" ref="P2332">iferror(XLOOKUP(C2332,'Download of SFDC Activation Rep'!B:B,'Download of SFDC Activation Rep'!Z:Z),"")</f>
        <v/>
      </c>
      <c r="Q2332" s="86" t="str">
        <f t="shared" si="2"/>
        <v/>
      </c>
      <c r="R2332" s="13" t="str">
        <f t="shared" si="3"/>
        <v>Yes</v>
      </c>
      <c r="S2332" s="86" t="str">
        <f t="array" ref="S2332">iferror(XLOOKUP(C2332,'Download of SFDC Activation Rep'!B:B,'Download of SFDC Activation Rep'!Y:Y),"")</f>
        <v/>
      </c>
    </row>
    <row r="2333">
      <c r="A2333" s="17"/>
      <c r="B2333" s="85"/>
      <c r="C2333" s="17"/>
      <c r="D2333" s="85"/>
      <c r="E2333" s="17"/>
      <c r="F2333" s="17"/>
      <c r="G2333" s="17"/>
      <c r="I2333" s="17"/>
      <c r="K2333" s="17"/>
      <c r="L2333" s="17"/>
      <c r="M2333" s="17"/>
      <c r="O2333" s="14">
        <f t="shared" si="1"/>
        <v>0</v>
      </c>
      <c r="P2333" s="86" t="str">
        <f t="array" ref="P2333">iferror(XLOOKUP(C2333,'Download of SFDC Activation Rep'!B:B,'Download of SFDC Activation Rep'!Z:Z),"")</f>
        <v/>
      </c>
      <c r="Q2333" s="86" t="str">
        <f t="shared" si="2"/>
        <v/>
      </c>
      <c r="R2333" s="13" t="str">
        <f t="shared" si="3"/>
        <v>Yes</v>
      </c>
      <c r="S2333" s="86" t="str">
        <f t="array" ref="S2333">iferror(XLOOKUP(C2333,'Download of SFDC Activation Rep'!B:B,'Download of SFDC Activation Rep'!Y:Y),"")</f>
        <v/>
      </c>
    </row>
    <row r="2334">
      <c r="A2334" s="17"/>
      <c r="B2334" s="85"/>
      <c r="C2334" s="17"/>
      <c r="D2334" s="85"/>
      <c r="E2334" s="17"/>
      <c r="F2334" s="17"/>
      <c r="G2334" s="17"/>
      <c r="I2334" s="17"/>
      <c r="K2334" s="17"/>
      <c r="L2334" s="17"/>
      <c r="M2334" s="17"/>
      <c r="O2334" s="14">
        <f t="shared" si="1"/>
        <v>0</v>
      </c>
      <c r="P2334" s="86" t="str">
        <f t="array" ref="P2334">iferror(XLOOKUP(C2334,'Download of SFDC Activation Rep'!B:B,'Download of SFDC Activation Rep'!Z:Z),"")</f>
        <v/>
      </c>
      <c r="Q2334" s="86" t="str">
        <f t="shared" si="2"/>
        <v/>
      </c>
      <c r="R2334" s="13" t="str">
        <f t="shared" si="3"/>
        <v>Yes</v>
      </c>
      <c r="S2334" s="86" t="str">
        <f t="array" ref="S2334">iferror(XLOOKUP(C2334,'Download of SFDC Activation Rep'!B:B,'Download of SFDC Activation Rep'!Y:Y),"")</f>
        <v/>
      </c>
    </row>
    <row r="2335">
      <c r="A2335" s="17"/>
      <c r="B2335" s="85"/>
      <c r="C2335" s="17"/>
      <c r="D2335" s="85"/>
      <c r="E2335" s="17"/>
      <c r="F2335" s="17"/>
      <c r="G2335" s="17"/>
      <c r="I2335" s="17"/>
      <c r="K2335" s="17"/>
      <c r="L2335" s="17"/>
      <c r="M2335" s="17"/>
      <c r="O2335" s="14">
        <f t="shared" si="1"/>
        <v>0</v>
      </c>
      <c r="P2335" s="86" t="str">
        <f t="array" ref="P2335">iferror(XLOOKUP(C2335,'Download of SFDC Activation Rep'!B:B,'Download of SFDC Activation Rep'!Z:Z),"")</f>
        <v/>
      </c>
      <c r="Q2335" s="86" t="str">
        <f t="shared" si="2"/>
        <v/>
      </c>
      <c r="R2335" s="13" t="str">
        <f t="shared" si="3"/>
        <v>Yes</v>
      </c>
      <c r="S2335" s="86" t="str">
        <f t="array" ref="S2335">iferror(XLOOKUP(C2335,'Download of SFDC Activation Rep'!B:B,'Download of SFDC Activation Rep'!Y:Y),"")</f>
        <v/>
      </c>
    </row>
    <row r="2336">
      <c r="A2336" s="17"/>
      <c r="B2336" s="85"/>
      <c r="C2336" s="17"/>
      <c r="D2336" s="85"/>
      <c r="E2336" s="17"/>
      <c r="F2336" s="17"/>
      <c r="G2336" s="17"/>
      <c r="I2336" s="17"/>
      <c r="K2336" s="17"/>
      <c r="L2336" s="17"/>
      <c r="M2336" s="17"/>
      <c r="O2336" s="14">
        <f t="shared" si="1"/>
        <v>0</v>
      </c>
      <c r="P2336" s="86" t="str">
        <f t="array" ref="P2336">iferror(XLOOKUP(C2336,'Download of SFDC Activation Rep'!B:B,'Download of SFDC Activation Rep'!Z:Z),"")</f>
        <v/>
      </c>
      <c r="Q2336" s="86" t="str">
        <f t="shared" si="2"/>
        <v/>
      </c>
      <c r="R2336" s="13" t="str">
        <f t="shared" si="3"/>
        <v>Yes</v>
      </c>
      <c r="S2336" s="86" t="str">
        <f t="array" ref="S2336">iferror(XLOOKUP(C2336,'Download of SFDC Activation Rep'!B:B,'Download of SFDC Activation Rep'!Y:Y),"")</f>
        <v/>
      </c>
    </row>
    <row r="2337">
      <c r="A2337" s="17"/>
      <c r="B2337" s="85"/>
      <c r="C2337" s="17"/>
      <c r="D2337" s="85"/>
      <c r="E2337" s="17"/>
      <c r="F2337" s="17"/>
      <c r="G2337" s="17"/>
      <c r="I2337" s="17"/>
      <c r="K2337" s="17"/>
      <c r="L2337" s="17"/>
      <c r="M2337" s="17"/>
      <c r="O2337" s="14">
        <f t="shared" si="1"/>
        <v>0</v>
      </c>
      <c r="P2337" s="86" t="str">
        <f t="array" ref="P2337">iferror(XLOOKUP(C2337,'Download of SFDC Activation Rep'!B:B,'Download of SFDC Activation Rep'!Z:Z),"")</f>
        <v/>
      </c>
      <c r="Q2337" s="86" t="str">
        <f t="shared" si="2"/>
        <v/>
      </c>
      <c r="R2337" s="13" t="str">
        <f t="shared" si="3"/>
        <v>Yes</v>
      </c>
      <c r="S2337" s="86" t="str">
        <f t="array" ref="S2337">iferror(XLOOKUP(C2337,'Download of SFDC Activation Rep'!B:B,'Download of SFDC Activation Rep'!Y:Y),"")</f>
        <v/>
      </c>
    </row>
    <row r="2338">
      <c r="A2338" s="17"/>
      <c r="B2338" s="85"/>
      <c r="C2338" s="17"/>
      <c r="D2338" s="85"/>
      <c r="E2338" s="17"/>
      <c r="F2338" s="17"/>
      <c r="G2338" s="17"/>
      <c r="I2338" s="17"/>
      <c r="K2338" s="17"/>
      <c r="L2338" s="17"/>
      <c r="M2338" s="17"/>
      <c r="O2338" s="14">
        <f t="shared" si="1"/>
        <v>0</v>
      </c>
      <c r="P2338" s="86" t="str">
        <f t="array" ref="P2338">iferror(XLOOKUP(C2338,'Download of SFDC Activation Rep'!B:B,'Download of SFDC Activation Rep'!Z:Z),"")</f>
        <v/>
      </c>
      <c r="Q2338" s="86" t="str">
        <f t="shared" si="2"/>
        <v/>
      </c>
      <c r="R2338" s="13" t="str">
        <f t="shared" si="3"/>
        <v>Yes</v>
      </c>
      <c r="S2338" s="86" t="str">
        <f t="array" ref="S2338">iferror(XLOOKUP(C2338,'Download of SFDC Activation Rep'!B:B,'Download of SFDC Activation Rep'!Y:Y),"")</f>
        <v/>
      </c>
    </row>
    <row r="2339">
      <c r="A2339" s="17"/>
      <c r="B2339" s="85"/>
      <c r="C2339" s="17"/>
      <c r="D2339" s="85"/>
      <c r="E2339" s="17"/>
      <c r="F2339" s="17"/>
      <c r="G2339" s="17"/>
      <c r="I2339" s="17"/>
      <c r="K2339" s="17"/>
      <c r="L2339" s="17"/>
      <c r="M2339" s="17"/>
      <c r="O2339" s="14">
        <f t="shared" si="1"/>
        <v>0</v>
      </c>
      <c r="P2339" s="86" t="str">
        <f t="array" ref="P2339">iferror(XLOOKUP(C2339,'Download of SFDC Activation Rep'!B:B,'Download of SFDC Activation Rep'!Z:Z),"")</f>
        <v/>
      </c>
      <c r="Q2339" s="86" t="str">
        <f t="shared" si="2"/>
        <v/>
      </c>
      <c r="R2339" s="13" t="str">
        <f t="shared" si="3"/>
        <v>Yes</v>
      </c>
      <c r="S2339" s="86" t="str">
        <f t="array" ref="S2339">iferror(XLOOKUP(C2339,'Download of SFDC Activation Rep'!B:B,'Download of SFDC Activation Rep'!Y:Y),"")</f>
        <v/>
      </c>
    </row>
    <row r="2340">
      <c r="A2340" s="17"/>
      <c r="B2340" s="85"/>
      <c r="C2340" s="17"/>
      <c r="D2340" s="85"/>
      <c r="E2340" s="17"/>
      <c r="F2340" s="17"/>
      <c r="G2340" s="17"/>
      <c r="I2340" s="17"/>
      <c r="K2340" s="17"/>
      <c r="L2340" s="17"/>
      <c r="M2340" s="17"/>
      <c r="O2340" s="14">
        <f t="shared" si="1"/>
        <v>0</v>
      </c>
      <c r="P2340" s="86" t="str">
        <f t="array" ref="P2340">iferror(XLOOKUP(C2340,'Download of SFDC Activation Rep'!B:B,'Download of SFDC Activation Rep'!Z:Z),"")</f>
        <v/>
      </c>
      <c r="Q2340" s="86" t="str">
        <f t="shared" si="2"/>
        <v/>
      </c>
      <c r="R2340" s="13" t="str">
        <f t="shared" si="3"/>
        <v>Yes</v>
      </c>
      <c r="S2340" s="86" t="str">
        <f t="array" ref="S2340">iferror(XLOOKUP(C2340,'Download of SFDC Activation Rep'!B:B,'Download of SFDC Activation Rep'!Y:Y),"")</f>
        <v/>
      </c>
    </row>
    <row r="2341">
      <c r="A2341" s="17"/>
      <c r="B2341" s="85"/>
      <c r="C2341" s="17"/>
      <c r="D2341" s="85"/>
      <c r="E2341" s="17"/>
      <c r="F2341" s="17"/>
      <c r="G2341" s="17"/>
      <c r="I2341" s="17"/>
      <c r="K2341" s="17"/>
      <c r="L2341" s="17"/>
      <c r="M2341" s="17"/>
      <c r="O2341" s="14">
        <f t="shared" si="1"/>
        <v>0</v>
      </c>
      <c r="P2341" s="86" t="str">
        <f t="array" ref="P2341">iferror(XLOOKUP(C2341,'Download of SFDC Activation Rep'!B:B,'Download of SFDC Activation Rep'!Z:Z),"")</f>
        <v/>
      </c>
      <c r="Q2341" s="86" t="str">
        <f t="shared" si="2"/>
        <v/>
      </c>
      <c r="R2341" s="13" t="str">
        <f t="shared" si="3"/>
        <v>Yes</v>
      </c>
      <c r="S2341" s="86" t="str">
        <f t="array" ref="S2341">iferror(XLOOKUP(C2341,'Download of SFDC Activation Rep'!B:B,'Download of SFDC Activation Rep'!Y:Y),"")</f>
        <v/>
      </c>
    </row>
    <row r="2342">
      <c r="A2342" s="17"/>
      <c r="B2342" s="85"/>
      <c r="C2342" s="17"/>
      <c r="D2342" s="85"/>
      <c r="E2342" s="17"/>
      <c r="F2342" s="17"/>
      <c r="G2342" s="17"/>
      <c r="I2342" s="17"/>
      <c r="K2342" s="17"/>
      <c r="L2342" s="17"/>
      <c r="M2342" s="17"/>
      <c r="O2342" s="14">
        <f t="shared" si="1"/>
        <v>0</v>
      </c>
      <c r="P2342" s="86" t="str">
        <f t="array" ref="P2342">iferror(XLOOKUP(C2342,'Download of SFDC Activation Rep'!B:B,'Download of SFDC Activation Rep'!Z:Z),"")</f>
        <v/>
      </c>
      <c r="Q2342" s="86" t="str">
        <f t="shared" si="2"/>
        <v/>
      </c>
      <c r="R2342" s="13" t="str">
        <f t="shared" si="3"/>
        <v>Yes</v>
      </c>
      <c r="S2342" s="86" t="str">
        <f t="array" ref="S2342">iferror(XLOOKUP(C2342,'Download of SFDC Activation Rep'!B:B,'Download of SFDC Activation Rep'!Y:Y),"")</f>
        <v/>
      </c>
    </row>
    <row r="2343">
      <c r="A2343" s="17"/>
      <c r="B2343" s="85"/>
      <c r="C2343" s="17"/>
      <c r="D2343" s="85"/>
      <c r="E2343" s="17"/>
      <c r="F2343" s="17"/>
      <c r="G2343" s="17"/>
      <c r="I2343" s="17"/>
      <c r="K2343" s="17"/>
      <c r="L2343" s="17"/>
      <c r="M2343" s="17"/>
      <c r="O2343" s="14">
        <f t="shared" si="1"/>
        <v>0</v>
      </c>
      <c r="P2343" s="86" t="str">
        <f t="array" ref="P2343">iferror(XLOOKUP(C2343,'Download of SFDC Activation Rep'!B:B,'Download of SFDC Activation Rep'!Z:Z),"")</f>
        <v/>
      </c>
      <c r="Q2343" s="86" t="str">
        <f t="shared" si="2"/>
        <v/>
      </c>
      <c r="R2343" s="13" t="str">
        <f t="shared" si="3"/>
        <v>Yes</v>
      </c>
      <c r="S2343" s="86" t="str">
        <f t="array" ref="S2343">iferror(XLOOKUP(C2343,'Download of SFDC Activation Rep'!B:B,'Download of SFDC Activation Rep'!Y:Y),"")</f>
        <v/>
      </c>
    </row>
    <row r="2344">
      <c r="A2344" s="17"/>
      <c r="B2344" s="85"/>
      <c r="C2344" s="17"/>
      <c r="D2344" s="85"/>
      <c r="E2344" s="17"/>
      <c r="F2344" s="17"/>
      <c r="G2344" s="17"/>
      <c r="I2344" s="17"/>
      <c r="K2344" s="17"/>
      <c r="L2344" s="17"/>
      <c r="M2344" s="17"/>
      <c r="O2344" s="14">
        <f t="shared" si="1"/>
        <v>0</v>
      </c>
      <c r="P2344" s="86" t="str">
        <f t="array" ref="P2344">iferror(XLOOKUP(C2344,'Download of SFDC Activation Rep'!B:B,'Download of SFDC Activation Rep'!Z:Z),"")</f>
        <v/>
      </c>
      <c r="Q2344" s="86" t="str">
        <f t="shared" si="2"/>
        <v/>
      </c>
      <c r="R2344" s="13" t="str">
        <f t="shared" si="3"/>
        <v>Yes</v>
      </c>
      <c r="S2344" s="86" t="str">
        <f t="array" ref="S2344">iferror(XLOOKUP(C2344,'Download of SFDC Activation Rep'!B:B,'Download of SFDC Activation Rep'!Y:Y),"")</f>
        <v/>
      </c>
    </row>
    <row r="2345">
      <c r="A2345" s="17"/>
      <c r="B2345" s="85"/>
      <c r="C2345" s="17"/>
      <c r="D2345" s="85"/>
      <c r="E2345" s="17"/>
      <c r="F2345" s="17"/>
      <c r="G2345" s="17"/>
      <c r="I2345" s="17"/>
      <c r="K2345" s="17"/>
      <c r="L2345" s="17"/>
      <c r="M2345" s="17"/>
      <c r="O2345" s="14">
        <f t="shared" si="1"/>
        <v>0</v>
      </c>
      <c r="P2345" s="86" t="str">
        <f t="array" ref="P2345">iferror(XLOOKUP(C2345,'Download of SFDC Activation Rep'!B:B,'Download of SFDC Activation Rep'!Z:Z),"")</f>
        <v/>
      </c>
      <c r="Q2345" s="86" t="str">
        <f t="shared" si="2"/>
        <v/>
      </c>
      <c r="R2345" s="13" t="str">
        <f t="shared" si="3"/>
        <v>Yes</v>
      </c>
      <c r="S2345" s="86" t="str">
        <f t="array" ref="S2345">iferror(XLOOKUP(C2345,'Download of SFDC Activation Rep'!B:B,'Download of SFDC Activation Rep'!Y:Y),"")</f>
        <v/>
      </c>
    </row>
    <row r="2346">
      <c r="A2346" s="17"/>
      <c r="B2346" s="85"/>
      <c r="C2346" s="17"/>
      <c r="D2346" s="85"/>
      <c r="E2346" s="17"/>
      <c r="F2346" s="17"/>
      <c r="G2346" s="17"/>
      <c r="I2346" s="17"/>
      <c r="K2346" s="17"/>
      <c r="L2346" s="17"/>
      <c r="M2346" s="17"/>
      <c r="O2346" s="14">
        <f t="shared" si="1"/>
        <v>0</v>
      </c>
      <c r="P2346" s="86" t="str">
        <f t="array" ref="P2346">iferror(XLOOKUP(C2346,'Download of SFDC Activation Rep'!B:B,'Download of SFDC Activation Rep'!Z:Z),"")</f>
        <v/>
      </c>
      <c r="Q2346" s="86" t="str">
        <f t="shared" si="2"/>
        <v/>
      </c>
      <c r="R2346" s="13" t="str">
        <f t="shared" si="3"/>
        <v>Yes</v>
      </c>
      <c r="S2346" s="86" t="str">
        <f t="array" ref="S2346">iferror(XLOOKUP(C2346,'Download of SFDC Activation Rep'!B:B,'Download of SFDC Activation Rep'!Y:Y),"")</f>
        <v/>
      </c>
    </row>
    <row r="2347">
      <c r="A2347" s="17"/>
      <c r="B2347" s="85"/>
      <c r="C2347" s="17"/>
      <c r="D2347" s="85"/>
      <c r="E2347" s="17"/>
      <c r="F2347" s="17"/>
      <c r="G2347" s="17"/>
      <c r="I2347" s="17"/>
      <c r="K2347" s="17"/>
      <c r="L2347" s="17"/>
      <c r="M2347" s="17"/>
      <c r="O2347" s="14">
        <f t="shared" si="1"/>
        <v>0</v>
      </c>
      <c r="P2347" s="86" t="str">
        <f t="array" ref="P2347">iferror(XLOOKUP(C2347,'Download of SFDC Activation Rep'!B:B,'Download of SFDC Activation Rep'!Z:Z),"")</f>
        <v/>
      </c>
      <c r="Q2347" s="86" t="str">
        <f t="shared" si="2"/>
        <v/>
      </c>
      <c r="R2347" s="13" t="str">
        <f t="shared" si="3"/>
        <v>Yes</v>
      </c>
      <c r="S2347" s="86" t="str">
        <f t="array" ref="S2347">iferror(XLOOKUP(C2347,'Download of SFDC Activation Rep'!B:B,'Download of SFDC Activation Rep'!Y:Y),"")</f>
        <v/>
      </c>
    </row>
    <row r="2348">
      <c r="A2348" s="17"/>
      <c r="B2348" s="85"/>
      <c r="C2348" s="17"/>
      <c r="D2348" s="85"/>
      <c r="E2348" s="17"/>
      <c r="F2348" s="17"/>
      <c r="G2348" s="17"/>
      <c r="I2348" s="17"/>
      <c r="K2348" s="17"/>
      <c r="L2348" s="17"/>
      <c r="M2348" s="17"/>
      <c r="O2348" s="14">
        <f t="shared" si="1"/>
        <v>0</v>
      </c>
      <c r="P2348" s="86" t="str">
        <f t="array" ref="P2348">iferror(XLOOKUP(C2348,'Download of SFDC Activation Rep'!B:B,'Download of SFDC Activation Rep'!Z:Z),"")</f>
        <v/>
      </c>
      <c r="Q2348" s="86" t="str">
        <f t="shared" si="2"/>
        <v/>
      </c>
      <c r="R2348" s="13" t="str">
        <f t="shared" si="3"/>
        <v>Yes</v>
      </c>
      <c r="S2348" s="86" t="str">
        <f t="array" ref="S2348">iferror(XLOOKUP(C2348,'Download of SFDC Activation Rep'!B:B,'Download of SFDC Activation Rep'!Y:Y),"")</f>
        <v/>
      </c>
    </row>
    <row r="2349">
      <c r="A2349" s="17"/>
      <c r="B2349" s="85"/>
      <c r="C2349" s="17"/>
      <c r="D2349" s="85"/>
      <c r="E2349" s="17"/>
      <c r="F2349" s="17"/>
      <c r="G2349" s="17"/>
      <c r="I2349" s="17"/>
      <c r="K2349" s="17"/>
      <c r="L2349" s="17"/>
      <c r="M2349" s="17"/>
      <c r="O2349" s="14">
        <f t="shared" si="1"/>
        <v>0</v>
      </c>
      <c r="P2349" s="86" t="str">
        <f t="array" ref="P2349">iferror(XLOOKUP(C2349,'Download of SFDC Activation Rep'!B:B,'Download of SFDC Activation Rep'!Z:Z),"")</f>
        <v/>
      </c>
      <c r="Q2349" s="86" t="str">
        <f t="shared" si="2"/>
        <v/>
      </c>
      <c r="R2349" s="13" t="str">
        <f t="shared" si="3"/>
        <v>Yes</v>
      </c>
      <c r="S2349" s="86" t="str">
        <f t="array" ref="S2349">iferror(XLOOKUP(C2349,'Download of SFDC Activation Rep'!B:B,'Download of SFDC Activation Rep'!Y:Y),"")</f>
        <v/>
      </c>
    </row>
    <row r="2350">
      <c r="A2350" s="17"/>
      <c r="B2350" s="85"/>
      <c r="C2350" s="17"/>
      <c r="D2350" s="85"/>
      <c r="E2350" s="17"/>
      <c r="F2350" s="17"/>
      <c r="G2350" s="17"/>
      <c r="I2350" s="17"/>
      <c r="K2350" s="17"/>
      <c r="L2350" s="17"/>
      <c r="M2350" s="17"/>
      <c r="O2350" s="14">
        <f t="shared" si="1"/>
        <v>0</v>
      </c>
      <c r="P2350" s="86" t="str">
        <f t="array" ref="P2350">iferror(XLOOKUP(C2350,'Download of SFDC Activation Rep'!B:B,'Download of SFDC Activation Rep'!Z:Z),"")</f>
        <v/>
      </c>
      <c r="Q2350" s="86" t="str">
        <f t="shared" si="2"/>
        <v/>
      </c>
      <c r="R2350" s="13" t="str">
        <f t="shared" si="3"/>
        <v>Yes</v>
      </c>
      <c r="S2350" s="86" t="str">
        <f t="array" ref="S2350">iferror(XLOOKUP(C2350,'Download of SFDC Activation Rep'!B:B,'Download of SFDC Activation Rep'!Y:Y),"")</f>
        <v/>
      </c>
    </row>
    <row r="2351">
      <c r="A2351" s="17"/>
      <c r="B2351" s="85"/>
      <c r="C2351" s="17"/>
      <c r="D2351" s="85"/>
      <c r="E2351" s="17"/>
      <c r="F2351" s="17"/>
      <c r="G2351" s="17"/>
      <c r="I2351" s="17"/>
      <c r="K2351" s="17"/>
      <c r="L2351" s="17"/>
      <c r="M2351" s="17"/>
      <c r="O2351" s="14">
        <f t="shared" si="1"/>
        <v>0</v>
      </c>
      <c r="P2351" s="86" t="str">
        <f t="array" ref="P2351">iferror(XLOOKUP(C2351,'Download of SFDC Activation Rep'!B:B,'Download of SFDC Activation Rep'!Z:Z),"")</f>
        <v/>
      </c>
      <c r="Q2351" s="86" t="str">
        <f t="shared" si="2"/>
        <v/>
      </c>
      <c r="R2351" s="13" t="str">
        <f t="shared" si="3"/>
        <v>Yes</v>
      </c>
      <c r="S2351" s="86" t="str">
        <f t="array" ref="S2351">iferror(XLOOKUP(C2351,'Download of SFDC Activation Rep'!B:B,'Download of SFDC Activation Rep'!Y:Y),"")</f>
        <v/>
      </c>
    </row>
    <row r="2352">
      <c r="A2352" s="17"/>
      <c r="B2352" s="85"/>
      <c r="C2352" s="17"/>
      <c r="D2352" s="85"/>
      <c r="E2352" s="17"/>
      <c r="F2352" s="17"/>
      <c r="G2352" s="17"/>
      <c r="I2352" s="17"/>
      <c r="K2352" s="17"/>
      <c r="L2352" s="17"/>
      <c r="M2352" s="17"/>
      <c r="O2352" s="14">
        <f t="shared" si="1"/>
        <v>0</v>
      </c>
      <c r="P2352" s="86" t="str">
        <f t="array" ref="P2352">iferror(XLOOKUP(C2352,'Download of SFDC Activation Rep'!B:B,'Download of SFDC Activation Rep'!Z:Z),"")</f>
        <v/>
      </c>
      <c r="Q2352" s="86" t="str">
        <f t="shared" si="2"/>
        <v/>
      </c>
      <c r="R2352" s="13" t="str">
        <f t="shared" si="3"/>
        <v>Yes</v>
      </c>
      <c r="S2352" s="86" t="str">
        <f t="array" ref="S2352">iferror(XLOOKUP(C2352,'Download of SFDC Activation Rep'!B:B,'Download of SFDC Activation Rep'!Y:Y),"")</f>
        <v/>
      </c>
    </row>
    <row r="2353">
      <c r="A2353" s="17"/>
      <c r="B2353" s="85"/>
      <c r="C2353" s="17"/>
      <c r="D2353" s="85"/>
      <c r="E2353" s="17"/>
      <c r="F2353" s="17"/>
      <c r="G2353" s="17"/>
      <c r="I2353" s="17"/>
      <c r="K2353" s="17"/>
      <c r="L2353" s="17"/>
      <c r="M2353" s="17"/>
      <c r="O2353" s="14">
        <f t="shared" si="1"/>
        <v>0</v>
      </c>
      <c r="P2353" s="86" t="str">
        <f t="array" ref="P2353">iferror(XLOOKUP(C2353,'Download of SFDC Activation Rep'!B:B,'Download of SFDC Activation Rep'!Z:Z),"")</f>
        <v/>
      </c>
      <c r="Q2353" s="86" t="str">
        <f t="shared" si="2"/>
        <v/>
      </c>
      <c r="R2353" s="13" t="str">
        <f t="shared" si="3"/>
        <v>Yes</v>
      </c>
      <c r="S2353" s="86" t="str">
        <f t="array" ref="S2353">iferror(XLOOKUP(C2353,'Download of SFDC Activation Rep'!B:B,'Download of SFDC Activation Rep'!Y:Y),"")</f>
        <v/>
      </c>
    </row>
    <row r="2354">
      <c r="A2354" s="17"/>
      <c r="B2354" s="85"/>
      <c r="C2354" s="17"/>
      <c r="D2354" s="85"/>
      <c r="E2354" s="17"/>
      <c r="F2354" s="17"/>
      <c r="G2354" s="17"/>
      <c r="I2354" s="17"/>
      <c r="K2354" s="17"/>
      <c r="L2354" s="17"/>
      <c r="M2354" s="17"/>
      <c r="O2354" s="14">
        <f t="shared" si="1"/>
        <v>0</v>
      </c>
      <c r="P2354" s="86" t="str">
        <f t="array" ref="P2354">iferror(XLOOKUP(C2354,'Download of SFDC Activation Rep'!B:B,'Download of SFDC Activation Rep'!Z:Z),"")</f>
        <v/>
      </c>
      <c r="Q2354" s="86" t="str">
        <f t="shared" si="2"/>
        <v/>
      </c>
      <c r="R2354" s="13" t="str">
        <f t="shared" si="3"/>
        <v>Yes</v>
      </c>
      <c r="S2354" s="86" t="str">
        <f t="array" ref="S2354">iferror(XLOOKUP(C2354,'Download of SFDC Activation Rep'!B:B,'Download of SFDC Activation Rep'!Y:Y),"")</f>
        <v/>
      </c>
    </row>
    <row r="2355">
      <c r="A2355" s="17"/>
      <c r="B2355" s="85"/>
      <c r="C2355" s="17"/>
      <c r="D2355" s="85"/>
      <c r="E2355" s="17"/>
      <c r="F2355" s="17"/>
      <c r="G2355" s="17"/>
      <c r="I2355" s="17"/>
      <c r="K2355" s="17"/>
      <c r="L2355" s="17"/>
      <c r="M2355" s="17"/>
      <c r="O2355" s="14">
        <f t="shared" si="1"/>
        <v>0</v>
      </c>
      <c r="P2355" s="86" t="str">
        <f t="array" ref="P2355">iferror(XLOOKUP(C2355,'Download of SFDC Activation Rep'!B:B,'Download of SFDC Activation Rep'!Z:Z),"")</f>
        <v/>
      </c>
      <c r="Q2355" s="86" t="str">
        <f t="shared" si="2"/>
        <v/>
      </c>
      <c r="R2355" s="13" t="str">
        <f t="shared" si="3"/>
        <v>Yes</v>
      </c>
      <c r="S2355" s="86" t="str">
        <f t="array" ref="S2355">iferror(XLOOKUP(C2355,'Download of SFDC Activation Rep'!B:B,'Download of SFDC Activation Rep'!Y:Y),"")</f>
        <v/>
      </c>
    </row>
    <row r="2356">
      <c r="A2356" s="17"/>
      <c r="B2356" s="85"/>
      <c r="C2356" s="17"/>
      <c r="D2356" s="85"/>
      <c r="E2356" s="17"/>
      <c r="F2356" s="17"/>
      <c r="G2356" s="17"/>
      <c r="I2356" s="17"/>
      <c r="K2356" s="17"/>
      <c r="L2356" s="17"/>
      <c r="M2356" s="17"/>
      <c r="O2356" s="14">
        <f t="shared" si="1"/>
        <v>0</v>
      </c>
      <c r="P2356" s="86" t="str">
        <f t="array" ref="P2356">iferror(XLOOKUP(C2356,'Download of SFDC Activation Rep'!B:B,'Download of SFDC Activation Rep'!Z:Z),"")</f>
        <v/>
      </c>
      <c r="Q2356" s="86" t="str">
        <f t="shared" si="2"/>
        <v/>
      </c>
      <c r="R2356" s="13" t="str">
        <f t="shared" si="3"/>
        <v>Yes</v>
      </c>
      <c r="S2356" s="86" t="str">
        <f t="array" ref="S2356">iferror(XLOOKUP(C2356,'Download of SFDC Activation Rep'!B:B,'Download of SFDC Activation Rep'!Y:Y),"")</f>
        <v/>
      </c>
    </row>
    <row r="2357">
      <c r="A2357" s="17"/>
      <c r="B2357" s="85"/>
      <c r="C2357" s="17"/>
      <c r="D2357" s="85"/>
      <c r="E2357" s="17"/>
      <c r="F2357" s="17"/>
      <c r="G2357" s="17"/>
      <c r="I2357" s="17"/>
      <c r="K2357" s="17"/>
      <c r="L2357" s="17"/>
      <c r="M2357" s="17"/>
      <c r="O2357" s="14">
        <f t="shared" si="1"/>
        <v>0</v>
      </c>
      <c r="P2357" s="86" t="str">
        <f t="array" ref="P2357">iferror(XLOOKUP(C2357,'Download of SFDC Activation Rep'!B:B,'Download of SFDC Activation Rep'!Z:Z),"")</f>
        <v/>
      </c>
      <c r="Q2357" s="86" t="str">
        <f t="shared" si="2"/>
        <v/>
      </c>
      <c r="R2357" s="13" t="str">
        <f t="shared" si="3"/>
        <v>Yes</v>
      </c>
      <c r="S2357" s="86" t="str">
        <f t="array" ref="S2357">iferror(XLOOKUP(C2357,'Download of SFDC Activation Rep'!B:B,'Download of SFDC Activation Rep'!Y:Y),"")</f>
        <v/>
      </c>
    </row>
    <row r="2358">
      <c r="A2358" s="17"/>
      <c r="B2358" s="85"/>
      <c r="C2358" s="17"/>
      <c r="D2358" s="85"/>
      <c r="E2358" s="17"/>
      <c r="F2358" s="17"/>
      <c r="G2358" s="17"/>
      <c r="I2358" s="17"/>
      <c r="K2358" s="17"/>
      <c r="L2358" s="17"/>
      <c r="M2358" s="17"/>
      <c r="O2358" s="14">
        <f t="shared" si="1"/>
        <v>0</v>
      </c>
      <c r="P2358" s="86" t="str">
        <f t="array" ref="P2358">iferror(XLOOKUP(C2358,'Download of SFDC Activation Rep'!B:B,'Download of SFDC Activation Rep'!Z:Z),"")</f>
        <v/>
      </c>
      <c r="Q2358" s="86" t="str">
        <f t="shared" si="2"/>
        <v/>
      </c>
      <c r="R2358" s="13" t="str">
        <f t="shared" si="3"/>
        <v>Yes</v>
      </c>
      <c r="S2358" s="86" t="str">
        <f t="array" ref="S2358">iferror(XLOOKUP(C2358,'Download of SFDC Activation Rep'!B:B,'Download of SFDC Activation Rep'!Y:Y),"")</f>
        <v/>
      </c>
    </row>
    <row r="2359">
      <c r="A2359" s="17"/>
      <c r="B2359" s="85"/>
      <c r="C2359" s="17"/>
      <c r="D2359" s="85"/>
      <c r="E2359" s="17"/>
      <c r="F2359" s="17"/>
      <c r="G2359" s="17"/>
      <c r="I2359" s="17"/>
      <c r="K2359" s="17"/>
      <c r="L2359" s="17"/>
      <c r="M2359" s="17"/>
      <c r="O2359" s="14">
        <f t="shared" si="1"/>
        <v>0</v>
      </c>
      <c r="P2359" s="86" t="str">
        <f t="array" ref="P2359">iferror(XLOOKUP(C2359,'Download of SFDC Activation Rep'!B:B,'Download of SFDC Activation Rep'!Z:Z),"")</f>
        <v/>
      </c>
      <c r="Q2359" s="86" t="str">
        <f t="shared" si="2"/>
        <v/>
      </c>
      <c r="R2359" s="13" t="str">
        <f t="shared" si="3"/>
        <v>Yes</v>
      </c>
      <c r="S2359" s="86" t="str">
        <f t="array" ref="S2359">iferror(XLOOKUP(C2359,'Download of SFDC Activation Rep'!B:B,'Download of SFDC Activation Rep'!Y:Y),"")</f>
        <v/>
      </c>
    </row>
    <row r="2360">
      <c r="A2360" s="17"/>
      <c r="B2360" s="85"/>
      <c r="C2360" s="17"/>
      <c r="D2360" s="85"/>
      <c r="E2360" s="17"/>
      <c r="F2360" s="17"/>
      <c r="G2360" s="17"/>
      <c r="I2360" s="17"/>
      <c r="K2360" s="17"/>
      <c r="L2360" s="17"/>
      <c r="M2360" s="17"/>
      <c r="O2360" s="14">
        <f t="shared" si="1"/>
        <v>0</v>
      </c>
      <c r="P2360" s="86" t="str">
        <f t="array" ref="P2360">iferror(XLOOKUP(C2360,'Download of SFDC Activation Rep'!B:B,'Download of SFDC Activation Rep'!Z:Z),"")</f>
        <v/>
      </c>
      <c r="Q2360" s="86" t="str">
        <f t="shared" si="2"/>
        <v/>
      </c>
      <c r="R2360" s="13" t="str">
        <f t="shared" si="3"/>
        <v>Yes</v>
      </c>
      <c r="S2360" s="86" t="str">
        <f t="array" ref="S2360">iferror(XLOOKUP(C2360,'Download of SFDC Activation Rep'!B:B,'Download of SFDC Activation Rep'!Y:Y),"")</f>
        <v/>
      </c>
    </row>
    <row r="2361">
      <c r="A2361" s="17"/>
      <c r="B2361" s="85"/>
      <c r="C2361" s="17"/>
      <c r="D2361" s="85"/>
      <c r="E2361" s="17"/>
      <c r="F2361" s="17"/>
      <c r="G2361" s="17"/>
      <c r="I2361" s="17"/>
      <c r="K2361" s="17"/>
      <c r="L2361" s="17"/>
      <c r="M2361" s="17"/>
      <c r="O2361" s="14">
        <f t="shared" si="1"/>
        <v>0</v>
      </c>
      <c r="P2361" s="86" t="str">
        <f t="array" ref="P2361">iferror(XLOOKUP(C2361,'Download of SFDC Activation Rep'!B:B,'Download of SFDC Activation Rep'!Z:Z),"")</f>
        <v/>
      </c>
      <c r="Q2361" s="86" t="str">
        <f t="shared" si="2"/>
        <v/>
      </c>
      <c r="R2361" s="13" t="str">
        <f t="shared" si="3"/>
        <v>Yes</v>
      </c>
      <c r="S2361" s="86" t="str">
        <f t="array" ref="S2361">iferror(XLOOKUP(C2361,'Download of SFDC Activation Rep'!B:B,'Download of SFDC Activation Rep'!Y:Y),"")</f>
        <v/>
      </c>
    </row>
    <row r="2362">
      <c r="A2362" s="17"/>
      <c r="B2362" s="85"/>
      <c r="C2362" s="17"/>
      <c r="D2362" s="85"/>
      <c r="E2362" s="17"/>
      <c r="F2362" s="17"/>
      <c r="G2362" s="17"/>
      <c r="I2362" s="17"/>
      <c r="K2362" s="17"/>
      <c r="L2362" s="17"/>
      <c r="M2362" s="17"/>
      <c r="O2362" s="14">
        <f t="shared" si="1"/>
        <v>0</v>
      </c>
      <c r="P2362" s="86" t="str">
        <f t="array" ref="P2362">iferror(XLOOKUP(C2362,'Download of SFDC Activation Rep'!B:B,'Download of SFDC Activation Rep'!Z:Z),"")</f>
        <v/>
      </c>
      <c r="Q2362" s="86" t="str">
        <f t="shared" si="2"/>
        <v/>
      </c>
      <c r="R2362" s="13" t="str">
        <f t="shared" si="3"/>
        <v>Yes</v>
      </c>
      <c r="S2362" s="86" t="str">
        <f t="array" ref="S2362">iferror(XLOOKUP(C2362,'Download of SFDC Activation Rep'!B:B,'Download of SFDC Activation Rep'!Y:Y),"")</f>
        <v/>
      </c>
    </row>
    <row r="2363">
      <c r="A2363" s="17"/>
      <c r="B2363" s="85"/>
      <c r="C2363" s="17"/>
      <c r="D2363" s="85"/>
      <c r="E2363" s="17"/>
      <c r="F2363" s="17"/>
      <c r="G2363" s="17"/>
      <c r="I2363" s="17"/>
      <c r="K2363" s="17"/>
      <c r="L2363" s="17"/>
      <c r="M2363" s="17"/>
      <c r="O2363" s="14">
        <f t="shared" si="1"/>
        <v>0</v>
      </c>
      <c r="P2363" s="86" t="str">
        <f t="array" ref="P2363">iferror(XLOOKUP(C2363,'Download of SFDC Activation Rep'!B:B,'Download of SFDC Activation Rep'!Z:Z),"")</f>
        <v/>
      </c>
      <c r="Q2363" s="86" t="str">
        <f t="shared" si="2"/>
        <v/>
      </c>
      <c r="R2363" s="13" t="str">
        <f t="shared" si="3"/>
        <v>Yes</v>
      </c>
      <c r="S2363" s="86" t="str">
        <f t="array" ref="S2363">iferror(XLOOKUP(C2363,'Download of SFDC Activation Rep'!B:B,'Download of SFDC Activation Rep'!Y:Y),"")</f>
        <v/>
      </c>
    </row>
    <row r="2364">
      <c r="A2364" s="17"/>
      <c r="B2364" s="85"/>
      <c r="C2364" s="17"/>
      <c r="D2364" s="85"/>
      <c r="E2364" s="17"/>
      <c r="F2364" s="17"/>
      <c r="G2364" s="17"/>
      <c r="I2364" s="17"/>
      <c r="K2364" s="17"/>
      <c r="L2364" s="17"/>
      <c r="M2364" s="17"/>
      <c r="O2364" s="14">
        <f t="shared" si="1"/>
        <v>0</v>
      </c>
      <c r="P2364" s="86" t="str">
        <f t="array" ref="P2364">iferror(XLOOKUP(C2364,'Download of SFDC Activation Rep'!B:B,'Download of SFDC Activation Rep'!Z:Z),"")</f>
        <v/>
      </c>
      <c r="Q2364" s="86" t="str">
        <f t="shared" si="2"/>
        <v/>
      </c>
      <c r="R2364" s="13" t="str">
        <f t="shared" si="3"/>
        <v>Yes</v>
      </c>
      <c r="S2364" s="86" t="str">
        <f t="array" ref="S2364">iferror(XLOOKUP(C2364,'Download of SFDC Activation Rep'!B:B,'Download of SFDC Activation Rep'!Y:Y),"")</f>
        <v/>
      </c>
    </row>
    <row r="2365">
      <c r="A2365" s="17"/>
      <c r="B2365" s="85"/>
      <c r="C2365" s="17"/>
      <c r="D2365" s="85"/>
      <c r="E2365" s="17"/>
      <c r="F2365" s="17"/>
      <c r="G2365" s="17"/>
      <c r="I2365" s="17"/>
      <c r="K2365" s="17"/>
      <c r="L2365" s="17"/>
      <c r="M2365" s="17"/>
      <c r="O2365" s="14">
        <f t="shared" si="1"/>
        <v>0</v>
      </c>
      <c r="P2365" s="86" t="str">
        <f t="array" ref="P2365">iferror(XLOOKUP(C2365,'Download of SFDC Activation Rep'!B:B,'Download of SFDC Activation Rep'!Z:Z),"")</f>
        <v/>
      </c>
      <c r="Q2365" s="86" t="str">
        <f t="shared" si="2"/>
        <v/>
      </c>
      <c r="R2365" s="13" t="str">
        <f t="shared" si="3"/>
        <v>Yes</v>
      </c>
      <c r="S2365" s="86" t="str">
        <f t="array" ref="S2365">iferror(XLOOKUP(C2365,'Download of SFDC Activation Rep'!B:B,'Download of SFDC Activation Rep'!Y:Y),"")</f>
        <v/>
      </c>
    </row>
    <row r="2366">
      <c r="A2366" s="17"/>
      <c r="B2366" s="85"/>
      <c r="C2366" s="17"/>
      <c r="D2366" s="85"/>
      <c r="E2366" s="17"/>
      <c r="F2366" s="17"/>
      <c r="G2366" s="17"/>
      <c r="I2366" s="17"/>
      <c r="K2366" s="17"/>
      <c r="L2366" s="17"/>
      <c r="M2366" s="17"/>
      <c r="O2366" s="14">
        <f t="shared" si="1"/>
        <v>0</v>
      </c>
      <c r="P2366" s="86" t="str">
        <f t="array" ref="P2366">iferror(XLOOKUP(C2366,'Download of SFDC Activation Rep'!B:B,'Download of SFDC Activation Rep'!Z:Z),"")</f>
        <v/>
      </c>
      <c r="Q2366" s="86" t="str">
        <f t="shared" si="2"/>
        <v/>
      </c>
      <c r="R2366" s="13" t="str">
        <f t="shared" si="3"/>
        <v>Yes</v>
      </c>
      <c r="S2366" s="86" t="str">
        <f t="array" ref="S2366">iferror(XLOOKUP(C2366,'Download of SFDC Activation Rep'!B:B,'Download of SFDC Activation Rep'!Y:Y),"")</f>
        <v/>
      </c>
    </row>
    <row r="2367">
      <c r="A2367" s="17"/>
      <c r="B2367" s="85"/>
      <c r="C2367" s="17"/>
      <c r="D2367" s="85"/>
      <c r="E2367" s="17"/>
      <c r="F2367" s="17"/>
      <c r="G2367" s="17"/>
      <c r="I2367" s="17"/>
      <c r="K2367" s="17"/>
      <c r="L2367" s="17"/>
      <c r="M2367" s="17"/>
      <c r="O2367" s="14">
        <f t="shared" si="1"/>
        <v>0</v>
      </c>
      <c r="P2367" s="86" t="str">
        <f t="array" ref="P2367">iferror(XLOOKUP(C2367,'Download of SFDC Activation Rep'!B:B,'Download of SFDC Activation Rep'!Z:Z),"")</f>
        <v/>
      </c>
      <c r="Q2367" s="86" t="str">
        <f t="shared" si="2"/>
        <v/>
      </c>
      <c r="R2367" s="13" t="str">
        <f t="shared" si="3"/>
        <v>Yes</v>
      </c>
      <c r="S2367" s="86" t="str">
        <f t="array" ref="S2367">iferror(XLOOKUP(C2367,'Download of SFDC Activation Rep'!B:B,'Download of SFDC Activation Rep'!Y:Y),"")</f>
        <v/>
      </c>
    </row>
    <row r="2368">
      <c r="A2368" s="17"/>
      <c r="B2368" s="85"/>
      <c r="C2368" s="17"/>
      <c r="D2368" s="85"/>
      <c r="E2368" s="17"/>
      <c r="F2368" s="17"/>
      <c r="G2368" s="17"/>
      <c r="I2368" s="17"/>
      <c r="K2368" s="17"/>
      <c r="L2368" s="17"/>
      <c r="M2368" s="17"/>
      <c r="O2368" s="14">
        <f t="shared" si="1"/>
        <v>0</v>
      </c>
      <c r="P2368" s="86" t="str">
        <f t="array" ref="P2368">iferror(XLOOKUP(C2368,'Download of SFDC Activation Rep'!B:B,'Download of SFDC Activation Rep'!Z:Z),"")</f>
        <v/>
      </c>
      <c r="Q2368" s="86" t="str">
        <f t="shared" si="2"/>
        <v/>
      </c>
      <c r="R2368" s="13" t="str">
        <f t="shared" si="3"/>
        <v>Yes</v>
      </c>
      <c r="S2368" s="86" t="str">
        <f t="array" ref="S2368">iferror(XLOOKUP(C2368,'Download of SFDC Activation Rep'!B:B,'Download of SFDC Activation Rep'!Y:Y),"")</f>
        <v/>
      </c>
    </row>
    <row r="2369">
      <c r="A2369" s="17"/>
      <c r="B2369" s="85"/>
      <c r="C2369" s="17"/>
      <c r="D2369" s="85"/>
      <c r="E2369" s="17"/>
      <c r="F2369" s="17"/>
      <c r="G2369" s="17"/>
      <c r="I2369" s="17"/>
      <c r="K2369" s="17"/>
      <c r="L2369" s="17"/>
      <c r="M2369" s="17"/>
      <c r="O2369" s="14">
        <f t="shared" si="1"/>
        <v>0</v>
      </c>
      <c r="P2369" s="86" t="str">
        <f t="array" ref="P2369">iferror(XLOOKUP(C2369,'Download of SFDC Activation Rep'!B:B,'Download of SFDC Activation Rep'!Z:Z),"")</f>
        <v/>
      </c>
      <c r="Q2369" s="86" t="str">
        <f t="shared" si="2"/>
        <v/>
      </c>
      <c r="R2369" s="13" t="str">
        <f t="shared" si="3"/>
        <v>Yes</v>
      </c>
      <c r="S2369" s="86" t="str">
        <f t="array" ref="S2369">iferror(XLOOKUP(C2369,'Download of SFDC Activation Rep'!B:B,'Download of SFDC Activation Rep'!Y:Y),"")</f>
        <v/>
      </c>
    </row>
    <row r="2370">
      <c r="A2370" s="17"/>
      <c r="B2370" s="85"/>
      <c r="C2370" s="17"/>
      <c r="D2370" s="85"/>
      <c r="E2370" s="17"/>
      <c r="F2370" s="17"/>
      <c r="G2370" s="17"/>
      <c r="I2370" s="17"/>
      <c r="K2370" s="17"/>
      <c r="L2370" s="17"/>
      <c r="M2370" s="17"/>
      <c r="O2370" s="14">
        <f t="shared" si="1"/>
        <v>0</v>
      </c>
      <c r="P2370" s="86" t="str">
        <f t="array" ref="P2370">iferror(XLOOKUP(C2370,'Download of SFDC Activation Rep'!B:B,'Download of SFDC Activation Rep'!Z:Z),"")</f>
        <v/>
      </c>
      <c r="Q2370" s="86" t="str">
        <f t="shared" si="2"/>
        <v/>
      </c>
      <c r="R2370" s="13" t="str">
        <f t="shared" si="3"/>
        <v>Yes</v>
      </c>
      <c r="S2370" s="86" t="str">
        <f t="array" ref="S2370">iferror(XLOOKUP(C2370,'Download of SFDC Activation Rep'!B:B,'Download of SFDC Activation Rep'!Y:Y),"")</f>
        <v/>
      </c>
    </row>
    <row r="2371">
      <c r="A2371" s="17"/>
      <c r="B2371" s="85"/>
      <c r="C2371" s="17"/>
      <c r="D2371" s="85"/>
      <c r="E2371" s="17"/>
      <c r="F2371" s="17"/>
      <c r="G2371" s="17"/>
      <c r="I2371" s="17"/>
      <c r="K2371" s="17"/>
      <c r="L2371" s="17"/>
      <c r="M2371" s="17"/>
      <c r="O2371" s="14">
        <f t="shared" si="1"/>
        <v>0</v>
      </c>
      <c r="P2371" s="86" t="str">
        <f t="array" ref="P2371">iferror(XLOOKUP(C2371,'Download of SFDC Activation Rep'!B:B,'Download of SFDC Activation Rep'!Z:Z),"")</f>
        <v/>
      </c>
      <c r="Q2371" s="86" t="str">
        <f t="shared" si="2"/>
        <v/>
      </c>
      <c r="R2371" s="13" t="str">
        <f t="shared" si="3"/>
        <v>Yes</v>
      </c>
      <c r="S2371" s="86" t="str">
        <f t="array" ref="S2371">iferror(XLOOKUP(C2371,'Download of SFDC Activation Rep'!B:B,'Download of SFDC Activation Rep'!Y:Y),"")</f>
        <v/>
      </c>
    </row>
    <row r="2372">
      <c r="A2372" s="17"/>
      <c r="B2372" s="85"/>
      <c r="C2372" s="17"/>
      <c r="D2372" s="85"/>
      <c r="E2372" s="17"/>
      <c r="F2372" s="17"/>
      <c r="G2372" s="17"/>
      <c r="I2372" s="17"/>
      <c r="K2372" s="17"/>
      <c r="L2372" s="17"/>
      <c r="M2372" s="17"/>
      <c r="O2372" s="14">
        <f t="shared" si="1"/>
        <v>0</v>
      </c>
      <c r="P2372" s="86" t="str">
        <f t="array" ref="P2372">iferror(XLOOKUP(C2372,'Download of SFDC Activation Rep'!B:B,'Download of SFDC Activation Rep'!Z:Z),"")</f>
        <v/>
      </c>
      <c r="Q2372" s="86" t="str">
        <f t="shared" si="2"/>
        <v/>
      </c>
      <c r="R2372" s="13" t="str">
        <f t="shared" si="3"/>
        <v>Yes</v>
      </c>
      <c r="S2372" s="86" t="str">
        <f t="array" ref="S2372">iferror(XLOOKUP(C2372,'Download of SFDC Activation Rep'!B:B,'Download of SFDC Activation Rep'!Y:Y),"")</f>
        <v/>
      </c>
    </row>
    <row r="2373">
      <c r="A2373" s="17"/>
      <c r="B2373" s="85"/>
      <c r="C2373" s="17"/>
      <c r="D2373" s="85"/>
      <c r="E2373" s="17"/>
      <c r="F2373" s="17"/>
      <c r="G2373" s="17"/>
      <c r="I2373" s="17"/>
      <c r="K2373" s="17"/>
      <c r="L2373" s="17"/>
      <c r="M2373" s="17"/>
      <c r="O2373" s="14">
        <f t="shared" si="1"/>
        <v>0</v>
      </c>
      <c r="P2373" s="86" t="str">
        <f t="array" ref="P2373">iferror(XLOOKUP(C2373,'Download of SFDC Activation Rep'!B:B,'Download of SFDC Activation Rep'!Z:Z),"")</f>
        <v/>
      </c>
      <c r="Q2373" s="86" t="str">
        <f t="shared" si="2"/>
        <v/>
      </c>
      <c r="R2373" s="13" t="str">
        <f t="shared" si="3"/>
        <v>Yes</v>
      </c>
      <c r="S2373" s="86" t="str">
        <f t="array" ref="S2373">iferror(XLOOKUP(C2373,'Download of SFDC Activation Rep'!B:B,'Download of SFDC Activation Rep'!Y:Y),"")</f>
        <v/>
      </c>
    </row>
    <row r="2374">
      <c r="A2374" s="17"/>
      <c r="B2374" s="85"/>
      <c r="C2374" s="17"/>
      <c r="D2374" s="85"/>
      <c r="E2374" s="17"/>
      <c r="F2374" s="17"/>
      <c r="G2374" s="17"/>
      <c r="I2374" s="17"/>
      <c r="K2374" s="17"/>
      <c r="L2374" s="17"/>
      <c r="M2374" s="17"/>
      <c r="O2374" s="14">
        <f t="shared" si="1"/>
        <v>0</v>
      </c>
      <c r="P2374" s="86" t="str">
        <f t="array" ref="P2374">iferror(XLOOKUP(C2374,'Download of SFDC Activation Rep'!B:B,'Download of SFDC Activation Rep'!Z:Z),"")</f>
        <v/>
      </c>
      <c r="Q2374" s="86" t="str">
        <f t="shared" si="2"/>
        <v/>
      </c>
      <c r="R2374" s="13" t="str">
        <f t="shared" si="3"/>
        <v>Yes</v>
      </c>
      <c r="S2374" s="86" t="str">
        <f t="array" ref="S2374">iferror(XLOOKUP(C2374,'Download of SFDC Activation Rep'!B:B,'Download of SFDC Activation Rep'!Y:Y),"")</f>
        <v/>
      </c>
    </row>
    <row r="2375">
      <c r="A2375" s="17"/>
      <c r="B2375" s="85"/>
      <c r="C2375" s="17"/>
      <c r="D2375" s="85"/>
      <c r="E2375" s="17"/>
      <c r="F2375" s="17"/>
      <c r="G2375" s="17"/>
      <c r="I2375" s="17"/>
      <c r="K2375" s="17"/>
      <c r="L2375" s="17"/>
      <c r="M2375" s="17"/>
      <c r="O2375" s="14">
        <f t="shared" si="1"/>
        <v>0</v>
      </c>
      <c r="P2375" s="86" t="str">
        <f t="array" ref="P2375">iferror(XLOOKUP(C2375,'Download of SFDC Activation Rep'!B:B,'Download of SFDC Activation Rep'!Z:Z),"")</f>
        <v/>
      </c>
      <c r="Q2375" s="86" t="str">
        <f t="shared" si="2"/>
        <v/>
      </c>
      <c r="R2375" s="13" t="str">
        <f t="shared" si="3"/>
        <v>Yes</v>
      </c>
      <c r="S2375" s="86" t="str">
        <f t="array" ref="S2375">iferror(XLOOKUP(C2375,'Download of SFDC Activation Rep'!B:B,'Download of SFDC Activation Rep'!Y:Y),"")</f>
        <v/>
      </c>
    </row>
    <row r="2376">
      <c r="A2376" s="17"/>
      <c r="B2376" s="85"/>
      <c r="C2376" s="17"/>
      <c r="D2376" s="85"/>
      <c r="E2376" s="17"/>
      <c r="F2376" s="17"/>
      <c r="G2376" s="17"/>
      <c r="I2376" s="17"/>
      <c r="K2376" s="17"/>
      <c r="L2376" s="17"/>
      <c r="M2376" s="17"/>
      <c r="O2376" s="14">
        <f t="shared" si="1"/>
        <v>0</v>
      </c>
      <c r="P2376" s="86" t="str">
        <f t="array" ref="P2376">iferror(XLOOKUP(C2376,'Download of SFDC Activation Rep'!B:B,'Download of SFDC Activation Rep'!Z:Z),"")</f>
        <v/>
      </c>
      <c r="Q2376" s="86" t="str">
        <f t="shared" si="2"/>
        <v/>
      </c>
      <c r="R2376" s="13" t="str">
        <f t="shared" si="3"/>
        <v>Yes</v>
      </c>
      <c r="S2376" s="86" t="str">
        <f t="array" ref="S2376">iferror(XLOOKUP(C2376,'Download of SFDC Activation Rep'!B:B,'Download of SFDC Activation Rep'!Y:Y),"")</f>
        <v/>
      </c>
    </row>
    <row r="2377">
      <c r="A2377" s="17"/>
      <c r="B2377" s="85"/>
      <c r="C2377" s="17"/>
      <c r="D2377" s="85"/>
      <c r="E2377" s="17"/>
      <c r="F2377" s="17"/>
      <c r="G2377" s="17"/>
      <c r="I2377" s="17"/>
      <c r="K2377" s="17"/>
      <c r="L2377" s="17"/>
      <c r="M2377" s="17"/>
      <c r="O2377" s="14">
        <f t="shared" si="1"/>
        <v>0</v>
      </c>
      <c r="P2377" s="86" t="str">
        <f t="array" ref="P2377">iferror(XLOOKUP(C2377,'Download of SFDC Activation Rep'!B:B,'Download of SFDC Activation Rep'!Z:Z),"")</f>
        <v/>
      </c>
      <c r="Q2377" s="86" t="str">
        <f t="shared" si="2"/>
        <v/>
      </c>
      <c r="R2377" s="13" t="str">
        <f t="shared" si="3"/>
        <v>Yes</v>
      </c>
      <c r="S2377" s="86" t="str">
        <f t="array" ref="S2377">iferror(XLOOKUP(C2377,'Download of SFDC Activation Rep'!B:B,'Download of SFDC Activation Rep'!Y:Y),"")</f>
        <v/>
      </c>
    </row>
    <row r="2378">
      <c r="A2378" s="17"/>
      <c r="B2378" s="85"/>
      <c r="C2378" s="17"/>
      <c r="D2378" s="85"/>
      <c r="E2378" s="17"/>
      <c r="F2378" s="17"/>
      <c r="G2378" s="17"/>
      <c r="I2378" s="17"/>
      <c r="K2378" s="17"/>
      <c r="L2378" s="17"/>
      <c r="M2378" s="17"/>
      <c r="O2378" s="14">
        <f t="shared" si="1"/>
        <v>0</v>
      </c>
      <c r="P2378" s="86" t="str">
        <f t="array" ref="P2378">iferror(XLOOKUP(C2378,'Download of SFDC Activation Rep'!B:B,'Download of SFDC Activation Rep'!Z:Z),"")</f>
        <v/>
      </c>
      <c r="Q2378" s="86" t="str">
        <f t="shared" si="2"/>
        <v/>
      </c>
      <c r="R2378" s="13" t="str">
        <f t="shared" si="3"/>
        <v>Yes</v>
      </c>
      <c r="S2378" s="86" t="str">
        <f t="array" ref="S2378">iferror(XLOOKUP(C2378,'Download of SFDC Activation Rep'!B:B,'Download of SFDC Activation Rep'!Y:Y),"")</f>
        <v/>
      </c>
    </row>
    <row r="2379">
      <c r="A2379" s="17"/>
      <c r="B2379" s="85"/>
      <c r="C2379" s="17"/>
      <c r="D2379" s="85"/>
      <c r="E2379" s="17"/>
      <c r="F2379" s="17"/>
      <c r="G2379" s="17"/>
      <c r="I2379" s="17"/>
      <c r="K2379" s="17"/>
      <c r="L2379" s="17"/>
      <c r="M2379" s="17"/>
      <c r="O2379" s="14">
        <f t="shared" si="1"/>
        <v>0</v>
      </c>
      <c r="P2379" s="86" t="str">
        <f t="array" ref="P2379">iferror(XLOOKUP(C2379,'Download of SFDC Activation Rep'!B:B,'Download of SFDC Activation Rep'!Z:Z),"")</f>
        <v/>
      </c>
      <c r="Q2379" s="86" t="str">
        <f t="shared" si="2"/>
        <v/>
      </c>
      <c r="R2379" s="13" t="str">
        <f t="shared" si="3"/>
        <v>Yes</v>
      </c>
      <c r="S2379" s="86" t="str">
        <f t="array" ref="S2379">iferror(XLOOKUP(C2379,'Download of SFDC Activation Rep'!B:B,'Download of SFDC Activation Rep'!Y:Y),"")</f>
        <v/>
      </c>
    </row>
    <row r="2380">
      <c r="A2380" s="17"/>
      <c r="B2380" s="85"/>
      <c r="C2380" s="17"/>
      <c r="D2380" s="85"/>
      <c r="E2380" s="17"/>
      <c r="F2380" s="17"/>
      <c r="G2380" s="17"/>
      <c r="I2380" s="17"/>
      <c r="K2380" s="17"/>
      <c r="L2380" s="17"/>
      <c r="M2380" s="17"/>
      <c r="O2380" s="14">
        <f t="shared" si="1"/>
        <v>0</v>
      </c>
      <c r="P2380" s="86" t="str">
        <f t="array" ref="P2380">iferror(XLOOKUP(C2380,'Download of SFDC Activation Rep'!B:B,'Download of SFDC Activation Rep'!Z:Z),"")</f>
        <v/>
      </c>
      <c r="Q2380" s="86" t="str">
        <f t="shared" si="2"/>
        <v/>
      </c>
      <c r="R2380" s="13" t="str">
        <f t="shared" si="3"/>
        <v>Yes</v>
      </c>
      <c r="S2380" s="86" t="str">
        <f t="array" ref="S2380">iferror(XLOOKUP(C2380,'Download of SFDC Activation Rep'!B:B,'Download of SFDC Activation Rep'!Y:Y),"")</f>
        <v/>
      </c>
    </row>
    <row r="2381">
      <c r="A2381" s="17"/>
      <c r="B2381" s="85"/>
      <c r="C2381" s="17"/>
      <c r="D2381" s="85"/>
      <c r="E2381" s="17"/>
      <c r="F2381" s="17"/>
      <c r="G2381" s="17"/>
      <c r="I2381" s="17"/>
      <c r="K2381" s="17"/>
      <c r="L2381" s="17"/>
      <c r="M2381" s="17"/>
      <c r="O2381" s="14">
        <f t="shared" si="1"/>
        <v>0</v>
      </c>
      <c r="P2381" s="86" t="str">
        <f t="array" ref="P2381">iferror(XLOOKUP(C2381,'Download of SFDC Activation Rep'!B:B,'Download of SFDC Activation Rep'!Z:Z),"")</f>
        <v/>
      </c>
      <c r="Q2381" s="86" t="str">
        <f t="shared" si="2"/>
        <v/>
      </c>
      <c r="R2381" s="13" t="str">
        <f t="shared" si="3"/>
        <v>Yes</v>
      </c>
      <c r="S2381" s="86" t="str">
        <f t="array" ref="S2381">iferror(XLOOKUP(C2381,'Download of SFDC Activation Rep'!B:B,'Download of SFDC Activation Rep'!Y:Y),"")</f>
        <v/>
      </c>
    </row>
    <row r="2382">
      <c r="A2382" s="17"/>
      <c r="B2382" s="85"/>
      <c r="C2382" s="17"/>
      <c r="D2382" s="85"/>
      <c r="E2382" s="17"/>
      <c r="F2382" s="17"/>
      <c r="G2382" s="17"/>
      <c r="I2382" s="17"/>
      <c r="K2382" s="17"/>
      <c r="L2382" s="17"/>
      <c r="M2382" s="17"/>
      <c r="O2382" s="14">
        <f t="shared" si="1"/>
        <v>0</v>
      </c>
      <c r="P2382" s="86" t="str">
        <f t="array" ref="P2382">iferror(XLOOKUP(C2382,'Download of SFDC Activation Rep'!B:B,'Download of SFDC Activation Rep'!Z:Z),"")</f>
        <v/>
      </c>
      <c r="Q2382" s="86" t="str">
        <f t="shared" si="2"/>
        <v/>
      </c>
      <c r="R2382" s="13" t="str">
        <f t="shared" si="3"/>
        <v>Yes</v>
      </c>
      <c r="S2382" s="86" t="str">
        <f t="array" ref="S2382">iferror(XLOOKUP(C2382,'Download of SFDC Activation Rep'!B:B,'Download of SFDC Activation Rep'!Y:Y),"")</f>
        <v/>
      </c>
    </row>
    <row r="2383">
      <c r="A2383" s="17"/>
      <c r="B2383" s="85"/>
      <c r="C2383" s="17"/>
      <c r="D2383" s="85"/>
      <c r="E2383" s="17"/>
      <c r="F2383" s="17"/>
      <c r="G2383" s="17"/>
      <c r="I2383" s="17"/>
      <c r="K2383" s="17"/>
      <c r="L2383" s="17"/>
      <c r="M2383" s="17"/>
      <c r="O2383" s="14">
        <f t="shared" si="1"/>
        <v>0</v>
      </c>
      <c r="P2383" s="86" t="str">
        <f t="array" ref="P2383">iferror(XLOOKUP(C2383,'Download of SFDC Activation Rep'!B:B,'Download of SFDC Activation Rep'!Z:Z),"")</f>
        <v/>
      </c>
      <c r="Q2383" s="86" t="str">
        <f t="shared" si="2"/>
        <v/>
      </c>
      <c r="R2383" s="13" t="str">
        <f t="shared" si="3"/>
        <v>Yes</v>
      </c>
      <c r="S2383" s="86" t="str">
        <f t="array" ref="S2383">iferror(XLOOKUP(C2383,'Download of SFDC Activation Rep'!B:B,'Download of SFDC Activation Rep'!Y:Y),"")</f>
        <v/>
      </c>
    </row>
    <row r="2384">
      <c r="A2384" s="17"/>
      <c r="B2384" s="85"/>
      <c r="C2384" s="17"/>
      <c r="D2384" s="85"/>
      <c r="E2384" s="17"/>
      <c r="F2384" s="17"/>
      <c r="G2384" s="17"/>
      <c r="I2384" s="17"/>
      <c r="K2384" s="17"/>
      <c r="L2384" s="17"/>
      <c r="M2384" s="17"/>
      <c r="O2384" s="14">
        <f t="shared" si="1"/>
        <v>0</v>
      </c>
      <c r="P2384" s="86" t="str">
        <f t="array" ref="P2384">iferror(XLOOKUP(C2384,'Download of SFDC Activation Rep'!B:B,'Download of SFDC Activation Rep'!Z:Z),"")</f>
        <v/>
      </c>
      <c r="Q2384" s="86" t="str">
        <f t="shared" si="2"/>
        <v/>
      </c>
      <c r="R2384" s="13" t="str">
        <f t="shared" si="3"/>
        <v>Yes</v>
      </c>
      <c r="S2384" s="86" t="str">
        <f t="array" ref="S2384">iferror(XLOOKUP(C2384,'Download of SFDC Activation Rep'!B:B,'Download of SFDC Activation Rep'!Y:Y),"")</f>
        <v/>
      </c>
    </row>
    <row r="2385">
      <c r="A2385" s="17"/>
      <c r="B2385" s="85"/>
      <c r="C2385" s="17"/>
      <c r="D2385" s="85"/>
      <c r="E2385" s="17"/>
      <c r="F2385" s="17"/>
      <c r="G2385" s="17"/>
      <c r="I2385" s="17"/>
      <c r="K2385" s="17"/>
      <c r="L2385" s="17"/>
      <c r="M2385" s="17"/>
      <c r="O2385" s="14">
        <f t="shared" si="1"/>
        <v>0</v>
      </c>
      <c r="P2385" s="86" t="str">
        <f t="array" ref="P2385">iferror(XLOOKUP(C2385,'Download of SFDC Activation Rep'!B:B,'Download of SFDC Activation Rep'!Z:Z),"")</f>
        <v/>
      </c>
      <c r="Q2385" s="86" t="str">
        <f t="shared" si="2"/>
        <v/>
      </c>
      <c r="R2385" s="13" t="str">
        <f t="shared" si="3"/>
        <v>Yes</v>
      </c>
      <c r="S2385" s="86" t="str">
        <f t="array" ref="S2385">iferror(XLOOKUP(C2385,'Download of SFDC Activation Rep'!B:B,'Download of SFDC Activation Rep'!Y:Y),"")</f>
        <v/>
      </c>
    </row>
    <row r="2386">
      <c r="A2386" s="17"/>
      <c r="B2386" s="85"/>
      <c r="C2386" s="17"/>
      <c r="D2386" s="85"/>
      <c r="E2386" s="17"/>
      <c r="F2386" s="17"/>
      <c r="G2386" s="17"/>
      <c r="I2386" s="17"/>
      <c r="K2386" s="17"/>
      <c r="L2386" s="17"/>
      <c r="M2386" s="17"/>
      <c r="O2386" s="14">
        <f t="shared" si="1"/>
        <v>0</v>
      </c>
      <c r="P2386" s="86" t="str">
        <f t="array" ref="P2386">iferror(XLOOKUP(C2386,'Download of SFDC Activation Rep'!B:B,'Download of SFDC Activation Rep'!Z:Z),"")</f>
        <v/>
      </c>
      <c r="Q2386" s="86" t="str">
        <f t="shared" si="2"/>
        <v/>
      </c>
      <c r="R2386" s="13" t="str">
        <f t="shared" si="3"/>
        <v>Yes</v>
      </c>
      <c r="S2386" s="86" t="str">
        <f t="array" ref="S2386">iferror(XLOOKUP(C2386,'Download of SFDC Activation Rep'!B:B,'Download of SFDC Activation Rep'!Y:Y),"")</f>
        <v/>
      </c>
    </row>
    <row r="2387">
      <c r="A2387" s="17"/>
      <c r="B2387" s="85"/>
      <c r="C2387" s="17"/>
      <c r="D2387" s="85"/>
      <c r="E2387" s="17"/>
      <c r="F2387" s="17"/>
      <c r="G2387" s="17"/>
      <c r="I2387" s="17"/>
      <c r="K2387" s="17"/>
      <c r="L2387" s="17"/>
      <c r="M2387" s="17"/>
      <c r="O2387" s="14">
        <f t="shared" si="1"/>
        <v>0</v>
      </c>
      <c r="P2387" s="86" t="str">
        <f t="array" ref="P2387">iferror(XLOOKUP(C2387,'Download of SFDC Activation Rep'!B:B,'Download of SFDC Activation Rep'!Z:Z),"")</f>
        <v/>
      </c>
      <c r="Q2387" s="86" t="str">
        <f t="shared" si="2"/>
        <v/>
      </c>
      <c r="R2387" s="13" t="str">
        <f t="shared" si="3"/>
        <v>Yes</v>
      </c>
      <c r="S2387" s="86" t="str">
        <f t="array" ref="S2387">iferror(XLOOKUP(C2387,'Download of SFDC Activation Rep'!B:B,'Download of SFDC Activation Rep'!Y:Y),"")</f>
        <v/>
      </c>
    </row>
    <row r="2388">
      <c r="A2388" s="17"/>
      <c r="B2388" s="85"/>
      <c r="C2388" s="17"/>
      <c r="D2388" s="85"/>
      <c r="E2388" s="17"/>
      <c r="F2388" s="17"/>
      <c r="G2388" s="17"/>
      <c r="I2388" s="17"/>
      <c r="K2388" s="17"/>
      <c r="L2388" s="17"/>
      <c r="M2388" s="17"/>
      <c r="O2388" s="14">
        <f t="shared" si="1"/>
        <v>0</v>
      </c>
      <c r="P2388" s="86" t="str">
        <f t="array" ref="P2388">iferror(XLOOKUP(C2388,'Download of SFDC Activation Rep'!B:B,'Download of SFDC Activation Rep'!Z:Z),"")</f>
        <v/>
      </c>
      <c r="Q2388" s="86" t="str">
        <f t="shared" si="2"/>
        <v/>
      </c>
      <c r="R2388" s="13" t="str">
        <f t="shared" si="3"/>
        <v>Yes</v>
      </c>
      <c r="S2388" s="86" t="str">
        <f t="array" ref="S2388">iferror(XLOOKUP(C2388,'Download of SFDC Activation Rep'!B:B,'Download of SFDC Activation Rep'!Y:Y),"")</f>
        <v/>
      </c>
    </row>
    <row r="2389">
      <c r="A2389" s="17"/>
      <c r="B2389" s="85"/>
      <c r="C2389" s="17"/>
      <c r="D2389" s="85"/>
      <c r="E2389" s="17"/>
      <c r="F2389" s="17"/>
      <c r="G2389" s="17"/>
      <c r="I2389" s="17"/>
      <c r="K2389" s="17"/>
      <c r="L2389" s="17"/>
      <c r="M2389" s="17"/>
      <c r="O2389" s="14">
        <f t="shared" si="1"/>
        <v>0</v>
      </c>
      <c r="P2389" s="86" t="str">
        <f t="array" ref="P2389">iferror(XLOOKUP(C2389,'Download of SFDC Activation Rep'!B:B,'Download of SFDC Activation Rep'!Z:Z),"")</f>
        <v/>
      </c>
      <c r="Q2389" s="86" t="str">
        <f t="shared" si="2"/>
        <v/>
      </c>
      <c r="R2389" s="13" t="str">
        <f t="shared" si="3"/>
        <v>Yes</v>
      </c>
      <c r="S2389" s="86" t="str">
        <f t="array" ref="S2389">iferror(XLOOKUP(C2389,'Download of SFDC Activation Rep'!B:B,'Download of SFDC Activation Rep'!Y:Y),"")</f>
        <v/>
      </c>
    </row>
    <row r="2390">
      <c r="A2390" s="17"/>
      <c r="B2390" s="85"/>
      <c r="C2390" s="17"/>
      <c r="D2390" s="85"/>
      <c r="E2390" s="17"/>
      <c r="F2390" s="17"/>
      <c r="G2390" s="17"/>
      <c r="I2390" s="17"/>
      <c r="K2390" s="17"/>
      <c r="L2390" s="17"/>
      <c r="M2390" s="17"/>
      <c r="O2390" s="14">
        <f t="shared" si="1"/>
        <v>0</v>
      </c>
      <c r="P2390" s="86" t="str">
        <f t="array" ref="P2390">iferror(XLOOKUP(C2390,'Download of SFDC Activation Rep'!B:B,'Download of SFDC Activation Rep'!Z:Z),"")</f>
        <v/>
      </c>
      <c r="Q2390" s="86" t="str">
        <f t="shared" si="2"/>
        <v/>
      </c>
      <c r="R2390" s="13" t="str">
        <f t="shared" si="3"/>
        <v>Yes</v>
      </c>
      <c r="S2390" s="86" t="str">
        <f t="array" ref="S2390">iferror(XLOOKUP(C2390,'Download of SFDC Activation Rep'!B:B,'Download of SFDC Activation Rep'!Y:Y),"")</f>
        <v/>
      </c>
    </row>
    <row r="2391">
      <c r="A2391" s="17"/>
      <c r="B2391" s="85"/>
      <c r="C2391" s="17"/>
      <c r="D2391" s="85"/>
      <c r="E2391" s="17"/>
      <c r="F2391" s="17"/>
      <c r="G2391" s="17"/>
      <c r="I2391" s="17"/>
      <c r="K2391" s="17"/>
      <c r="L2391" s="17"/>
      <c r="M2391" s="17"/>
      <c r="O2391" s="14">
        <f t="shared" si="1"/>
        <v>0</v>
      </c>
      <c r="P2391" s="86" t="str">
        <f t="array" ref="P2391">iferror(XLOOKUP(C2391,'Download of SFDC Activation Rep'!B:B,'Download of SFDC Activation Rep'!Z:Z),"")</f>
        <v/>
      </c>
      <c r="Q2391" s="86" t="str">
        <f t="shared" si="2"/>
        <v/>
      </c>
      <c r="R2391" s="13" t="str">
        <f t="shared" si="3"/>
        <v>Yes</v>
      </c>
      <c r="S2391" s="86" t="str">
        <f t="array" ref="S2391">iferror(XLOOKUP(C2391,'Download of SFDC Activation Rep'!B:B,'Download of SFDC Activation Rep'!Y:Y),"")</f>
        <v/>
      </c>
    </row>
    <row r="2392">
      <c r="A2392" s="17"/>
      <c r="B2392" s="85"/>
      <c r="C2392" s="17"/>
      <c r="D2392" s="85"/>
      <c r="E2392" s="17"/>
      <c r="F2392" s="17"/>
      <c r="G2392" s="17"/>
      <c r="I2392" s="17"/>
      <c r="K2392" s="17"/>
      <c r="L2392" s="17"/>
      <c r="M2392" s="17"/>
      <c r="O2392" s="14">
        <f t="shared" si="1"/>
        <v>0</v>
      </c>
      <c r="P2392" s="86" t="str">
        <f t="array" ref="P2392">iferror(XLOOKUP(C2392,'Download of SFDC Activation Rep'!B:B,'Download of SFDC Activation Rep'!Z:Z),"")</f>
        <v/>
      </c>
      <c r="Q2392" s="86" t="str">
        <f t="shared" si="2"/>
        <v/>
      </c>
      <c r="R2392" s="13" t="str">
        <f t="shared" si="3"/>
        <v>Yes</v>
      </c>
      <c r="S2392" s="86" t="str">
        <f t="array" ref="S2392">iferror(XLOOKUP(C2392,'Download of SFDC Activation Rep'!B:B,'Download of SFDC Activation Rep'!Y:Y),"")</f>
        <v/>
      </c>
    </row>
    <row r="2393">
      <c r="A2393" s="17"/>
      <c r="B2393" s="85"/>
      <c r="C2393" s="17"/>
      <c r="D2393" s="85"/>
      <c r="E2393" s="17"/>
      <c r="F2393" s="17"/>
      <c r="G2393" s="17"/>
      <c r="I2393" s="17"/>
      <c r="K2393" s="17"/>
      <c r="L2393" s="17"/>
      <c r="M2393" s="17"/>
      <c r="O2393" s="14">
        <f t="shared" si="1"/>
        <v>0</v>
      </c>
      <c r="P2393" s="86" t="str">
        <f t="array" ref="P2393">iferror(XLOOKUP(C2393,'Download of SFDC Activation Rep'!B:B,'Download of SFDC Activation Rep'!Z:Z),"")</f>
        <v/>
      </c>
      <c r="Q2393" s="86" t="str">
        <f t="shared" si="2"/>
        <v/>
      </c>
      <c r="R2393" s="13" t="str">
        <f t="shared" si="3"/>
        <v>Yes</v>
      </c>
      <c r="S2393" s="86" t="str">
        <f t="array" ref="S2393">iferror(XLOOKUP(C2393,'Download of SFDC Activation Rep'!B:B,'Download of SFDC Activation Rep'!Y:Y),"")</f>
        <v/>
      </c>
    </row>
    <row r="2394">
      <c r="A2394" s="17"/>
      <c r="B2394" s="85"/>
      <c r="C2394" s="17"/>
      <c r="D2394" s="85"/>
      <c r="E2394" s="17"/>
      <c r="F2394" s="17"/>
      <c r="G2394" s="17"/>
      <c r="I2394" s="17"/>
      <c r="K2394" s="17"/>
      <c r="L2394" s="17"/>
      <c r="M2394" s="17"/>
      <c r="O2394" s="14">
        <f t="shared" si="1"/>
        <v>0</v>
      </c>
      <c r="P2394" s="86" t="str">
        <f t="array" ref="P2394">iferror(XLOOKUP(C2394,'Download of SFDC Activation Rep'!B:B,'Download of SFDC Activation Rep'!Z:Z),"")</f>
        <v/>
      </c>
      <c r="Q2394" s="86" t="str">
        <f t="shared" si="2"/>
        <v/>
      </c>
      <c r="R2394" s="13" t="str">
        <f t="shared" si="3"/>
        <v>Yes</v>
      </c>
      <c r="S2394" s="86" t="str">
        <f t="array" ref="S2394">iferror(XLOOKUP(C2394,'Download of SFDC Activation Rep'!B:B,'Download of SFDC Activation Rep'!Y:Y),"")</f>
        <v/>
      </c>
    </row>
    <row r="2395">
      <c r="A2395" s="17"/>
      <c r="B2395" s="85"/>
      <c r="C2395" s="17"/>
      <c r="D2395" s="85"/>
      <c r="E2395" s="17"/>
      <c r="F2395" s="17"/>
      <c r="G2395" s="17"/>
      <c r="I2395" s="17"/>
      <c r="K2395" s="17"/>
      <c r="L2395" s="17"/>
      <c r="M2395" s="17"/>
      <c r="O2395" s="14">
        <f t="shared" si="1"/>
        <v>0</v>
      </c>
      <c r="P2395" s="86" t="str">
        <f t="array" ref="P2395">iferror(XLOOKUP(C2395,'Download of SFDC Activation Rep'!B:B,'Download of SFDC Activation Rep'!Z:Z),"")</f>
        <v/>
      </c>
      <c r="Q2395" s="86" t="str">
        <f t="shared" si="2"/>
        <v/>
      </c>
      <c r="R2395" s="13" t="str">
        <f t="shared" si="3"/>
        <v>Yes</v>
      </c>
      <c r="S2395" s="86" t="str">
        <f t="array" ref="S2395">iferror(XLOOKUP(C2395,'Download of SFDC Activation Rep'!B:B,'Download of SFDC Activation Rep'!Y:Y),"")</f>
        <v/>
      </c>
    </row>
    <row r="2396">
      <c r="A2396" s="17"/>
      <c r="B2396" s="85"/>
      <c r="C2396" s="17"/>
      <c r="D2396" s="85"/>
      <c r="E2396" s="17"/>
      <c r="F2396" s="17"/>
      <c r="G2396" s="17"/>
      <c r="I2396" s="17"/>
      <c r="K2396" s="17"/>
      <c r="L2396" s="17"/>
      <c r="M2396" s="17"/>
      <c r="O2396" s="14">
        <f t="shared" si="1"/>
        <v>0</v>
      </c>
      <c r="P2396" s="86" t="str">
        <f t="array" ref="P2396">iferror(XLOOKUP(C2396,'Download of SFDC Activation Rep'!B:B,'Download of SFDC Activation Rep'!Z:Z),"")</f>
        <v/>
      </c>
      <c r="Q2396" s="86" t="str">
        <f t="shared" si="2"/>
        <v/>
      </c>
      <c r="R2396" s="13" t="str">
        <f t="shared" si="3"/>
        <v>Yes</v>
      </c>
      <c r="S2396" s="86" t="str">
        <f t="array" ref="S2396">iferror(XLOOKUP(C2396,'Download of SFDC Activation Rep'!B:B,'Download of SFDC Activation Rep'!Y:Y),"")</f>
        <v/>
      </c>
    </row>
    <row r="2397">
      <c r="A2397" s="17"/>
      <c r="B2397" s="85"/>
      <c r="C2397" s="17"/>
      <c r="D2397" s="85"/>
      <c r="E2397" s="17"/>
      <c r="F2397" s="17"/>
      <c r="G2397" s="17"/>
      <c r="I2397" s="17"/>
      <c r="K2397" s="17"/>
      <c r="L2397" s="17"/>
      <c r="M2397" s="17"/>
      <c r="O2397" s="14">
        <f t="shared" si="1"/>
        <v>0</v>
      </c>
      <c r="P2397" s="86" t="str">
        <f t="array" ref="P2397">iferror(XLOOKUP(C2397,'Download of SFDC Activation Rep'!B:B,'Download of SFDC Activation Rep'!Z:Z),"")</f>
        <v/>
      </c>
      <c r="Q2397" s="86" t="str">
        <f t="shared" si="2"/>
        <v/>
      </c>
      <c r="R2397" s="13" t="str">
        <f t="shared" si="3"/>
        <v>Yes</v>
      </c>
      <c r="S2397" s="86" t="str">
        <f t="array" ref="S2397">iferror(XLOOKUP(C2397,'Download of SFDC Activation Rep'!B:B,'Download of SFDC Activation Rep'!Y:Y),"")</f>
        <v/>
      </c>
    </row>
    <row r="2398">
      <c r="A2398" s="17"/>
      <c r="B2398" s="85"/>
      <c r="C2398" s="17"/>
      <c r="D2398" s="85"/>
      <c r="E2398" s="17"/>
      <c r="F2398" s="17"/>
      <c r="G2398" s="17"/>
      <c r="I2398" s="17"/>
      <c r="K2398" s="17"/>
      <c r="L2398" s="17"/>
      <c r="M2398" s="17"/>
      <c r="O2398" s="14">
        <f t="shared" si="1"/>
        <v>0</v>
      </c>
      <c r="P2398" s="86" t="str">
        <f t="array" ref="P2398">iferror(XLOOKUP(C2398,'Download of SFDC Activation Rep'!B:B,'Download of SFDC Activation Rep'!Z:Z),"")</f>
        <v/>
      </c>
      <c r="Q2398" s="86" t="str">
        <f t="shared" si="2"/>
        <v/>
      </c>
      <c r="R2398" s="13" t="str">
        <f t="shared" si="3"/>
        <v>Yes</v>
      </c>
      <c r="S2398" s="86" t="str">
        <f t="array" ref="S2398">iferror(XLOOKUP(C2398,'Download of SFDC Activation Rep'!B:B,'Download of SFDC Activation Rep'!Y:Y),"")</f>
        <v/>
      </c>
    </row>
    <row r="2399">
      <c r="A2399" s="17"/>
      <c r="B2399" s="85"/>
      <c r="C2399" s="17"/>
      <c r="D2399" s="85"/>
      <c r="E2399" s="17"/>
      <c r="F2399" s="17"/>
      <c r="G2399" s="17"/>
      <c r="I2399" s="17"/>
      <c r="K2399" s="17"/>
      <c r="L2399" s="17"/>
      <c r="M2399" s="17"/>
      <c r="O2399" s="14">
        <f t="shared" si="1"/>
        <v>0</v>
      </c>
      <c r="P2399" s="86" t="str">
        <f t="array" ref="P2399">iferror(XLOOKUP(C2399,'Download of SFDC Activation Rep'!B:B,'Download of SFDC Activation Rep'!Z:Z),"")</f>
        <v/>
      </c>
      <c r="Q2399" s="86" t="str">
        <f t="shared" si="2"/>
        <v/>
      </c>
      <c r="R2399" s="13" t="str">
        <f t="shared" si="3"/>
        <v>Yes</v>
      </c>
      <c r="S2399" s="86" t="str">
        <f t="array" ref="S2399">iferror(XLOOKUP(C2399,'Download of SFDC Activation Rep'!B:B,'Download of SFDC Activation Rep'!Y:Y),"")</f>
        <v/>
      </c>
    </row>
    <row r="2400">
      <c r="A2400" s="17"/>
      <c r="B2400" s="85"/>
      <c r="C2400" s="17"/>
      <c r="D2400" s="85"/>
      <c r="E2400" s="17"/>
      <c r="F2400" s="17"/>
      <c r="G2400" s="17"/>
      <c r="I2400" s="17"/>
      <c r="K2400" s="17"/>
      <c r="L2400" s="17"/>
      <c r="M2400" s="17"/>
      <c r="O2400" s="14">
        <f t="shared" si="1"/>
        <v>0</v>
      </c>
      <c r="P2400" s="86" t="str">
        <f t="array" ref="P2400">iferror(XLOOKUP(C2400,'Download of SFDC Activation Rep'!B:B,'Download of SFDC Activation Rep'!Z:Z),"")</f>
        <v/>
      </c>
      <c r="Q2400" s="86" t="str">
        <f t="shared" si="2"/>
        <v/>
      </c>
      <c r="R2400" s="13" t="str">
        <f t="shared" si="3"/>
        <v>Yes</v>
      </c>
      <c r="S2400" s="86" t="str">
        <f t="array" ref="S2400">iferror(XLOOKUP(C2400,'Download of SFDC Activation Rep'!B:B,'Download of SFDC Activation Rep'!Y:Y),"")</f>
        <v/>
      </c>
    </row>
    <row r="2401">
      <c r="A2401" s="17"/>
      <c r="B2401" s="85"/>
      <c r="C2401" s="17"/>
      <c r="D2401" s="85"/>
      <c r="E2401" s="17"/>
      <c r="F2401" s="17"/>
      <c r="G2401" s="17"/>
      <c r="I2401" s="17"/>
      <c r="K2401" s="17"/>
      <c r="L2401" s="17"/>
      <c r="M2401" s="17"/>
      <c r="O2401" s="14">
        <f t="shared" si="1"/>
        <v>0</v>
      </c>
      <c r="P2401" s="86" t="str">
        <f t="array" ref="P2401">iferror(XLOOKUP(C2401,'Download of SFDC Activation Rep'!B:B,'Download of SFDC Activation Rep'!Z:Z),"")</f>
        <v/>
      </c>
      <c r="Q2401" s="86" t="str">
        <f t="shared" si="2"/>
        <v/>
      </c>
      <c r="R2401" s="13" t="str">
        <f t="shared" si="3"/>
        <v>Yes</v>
      </c>
      <c r="S2401" s="86" t="str">
        <f t="array" ref="S2401">iferror(XLOOKUP(C2401,'Download of SFDC Activation Rep'!B:B,'Download of SFDC Activation Rep'!Y:Y),"")</f>
        <v/>
      </c>
    </row>
    <row r="2402">
      <c r="A2402" s="17"/>
      <c r="B2402" s="85"/>
      <c r="C2402" s="17"/>
      <c r="D2402" s="85"/>
      <c r="E2402" s="17"/>
      <c r="F2402" s="17"/>
      <c r="G2402" s="17"/>
      <c r="I2402" s="17"/>
      <c r="K2402" s="17"/>
      <c r="L2402" s="17"/>
      <c r="M2402" s="17"/>
      <c r="O2402" s="14">
        <f t="shared" si="1"/>
        <v>0</v>
      </c>
      <c r="P2402" s="86" t="str">
        <f t="array" ref="P2402">iferror(XLOOKUP(C2402,'Download of SFDC Activation Rep'!B:B,'Download of SFDC Activation Rep'!Z:Z),"")</f>
        <v/>
      </c>
      <c r="Q2402" s="86" t="str">
        <f t="shared" si="2"/>
        <v/>
      </c>
      <c r="R2402" s="13" t="str">
        <f t="shared" si="3"/>
        <v>Yes</v>
      </c>
      <c r="S2402" s="86" t="str">
        <f t="array" ref="S2402">iferror(XLOOKUP(C2402,'Download of SFDC Activation Rep'!B:B,'Download of SFDC Activation Rep'!Y:Y),"")</f>
        <v/>
      </c>
    </row>
    <row r="2403">
      <c r="A2403" s="17"/>
      <c r="B2403" s="85"/>
      <c r="C2403" s="17"/>
      <c r="D2403" s="85"/>
      <c r="E2403" s="17"/>
      <c r="F2403" s="17"/>
      <c r="G2403" s="17"/>
      <c r="I2403" s="17"/>
      <c r="K2403" s="17"/>
      <c r="L2403" s="17"/>
      <c r="M2403" s="17"/>
      <c r="O2403" s="14">
        <f t="shared" si="1"/>
        <v>0</v>
      </c>
      <c r="P2403" s="86" t="str">
        <f t="array" ref="P2403">iferror(XLOOKUP(C2403,'Download of SFDC Activation Rep'!B:B,'Download of SFDC Activation Rep'!Z:Z),"")</f>
        <v/>
      </c>
      <c r="Q2403" s="86" t="str">
        <f t="shared" si="2"/>
        <v/>
      </c>
      <c r="R2403" s="13" t="str">
        <f t="shared" si="3"/>
        <v>Yes</v>
      </c>
      <c r="S2403" s="86" t="str">
        <f t="array" ref="S2403">iferror(XLOOKUP(C2403,'Download of SFDC Activation Rep'!B:B,'Download of SFDC Activation Rep'!Y:Y),"")</f>
        <v/>
      </c>
    </row>
    <row r="2404">
      <c r="A2404" s="17"/>
      <c r="B2404" s="85"/>
      <c r="C2404" s="17"/>
      <c r="D2404" s="85"/>
      <c r="E2404" s="17"/>
      <c r="F2404" s="17"/>
      <c r="G2404" s="17"/>
      <c r="I2404" s="17"/>
      <c r="K2404" s="17"/>
      <c r="L2404" s="17"/>
      <c r="M2404" s="17"/>
      <c r="O2404" s="14">
        <f t="shared" si="1"/>
        <v>0</v>
      </c>
      <c r="P2404" s="86" t="str">
        <f t="array" ref="P2404">iferror(XLOOKUP(C2404,'Download of SFDC Activation Rep'!B:B,'Download of SFDC Activation Rep'!Z:Z),"")</f>
        <v/>
      </c>
      <c r="Q2404" s="86" t="str">
        <f t="shared" si="2"/>
        <v/>
      </c>
      <c r="R2404" s="13" t="str">
        <f t="shared" si="3"/>
        <v>Yes</v>
      </c>
      <c r="S2404" s="86" t="str">
        <f t="array" ref="S2404">iferror(XLOOKUP(C2404,'Download of SFDC Activation Rep'!B:B,'Download of SFDC Activation Rep'!Y:Y),"")</f>
        <v/>
      </c>
    </row>
    <row r="2405">
      <c r="A2405" s="17"/>
      <c r="B2405" s="85"/>
      <c r="C2405" s="17"/>
      <c r="D2405" s="85"/>
      <c r="E2405" s="17"/>
      <c r="F2405" s="17"/>
      <c r="G2405" s="17"/>
      <c r="I2405" s="17"/>
      <c r="K2405" s="17"/>
      <c r="L2405" s="17"/>
      <c r="M2405" s="17"/>
      <c r="O2405" s="14">
        <f t="shared" si="1"/>
        <v>0</v>
      </c>
      <c r="P2405" s="86" t="str">
        <f t="array" ref="P2405">iferror(XLOOKUP(C2405,'Download of SFDC Activation Rep'!B:B,'Download of SFDC Activation Rep'!Z:Z),"")</f>
        <v/>
      </c>
      <c r="Q2405" s="86" t="str">
        <f t="shared" si="2"/>
        <v/>
      </c>
      <c r="R2405" s="13" t="str">
        <f t="shared" si="3"/>
        <v>Yes</v>
      </c>
      <c r="S2405" s="86" t="str">
        <f t="array" ref="S2405">iferror(XLOOKUP(C2405,'Download of SFDC Activation Rep'!B:B,'Download of SFDC Activation Rep'!Y:Y),"")</f>
        <v/>
      </c>
    </row>
    <row r="2406">
      <c r="A2406" s="17"/>
      <c r="B2406" s="85"/>
      <c r="C2406" s="17"/>
      <c r="D2406" s="85"/>
      <c r="E2406" s="17"/>
      <c r="F2406" s="17"/>
      <c r="G2406" s="17"/>
      <c r="I2406" s="17"/>
      <c r="K2406" s="17"/>
      <c r="L2406" s="17"/>
      <c r="M2406" s="17"/>
      <c r="O2406" s="14">
        <f t="shared" si="1"/>
        <v>0</v>
      </c>
      <c r="P2406" s="86" t="str">
        <f t="array" ref="P2406">iferror(XLOOKUP(C2406,'Download of SFDC Activation Rep'!B:B,'Download of SFDC Activation Rep'!Z:Z),"")</f>
        <v/>
      </c>
      <c r="Q2406" s="86" t="str">
        <f t="shared" si="2"/>
        <v/>
      </c>
      <c r="R2406" s="13" t="str">
        <f t="shared" si="3"/>
        <v>Yes</v>
      </c>
      <c r="S2406" s="86" t="str">
        <f t="array" ref="S2406">iferror(XLOOKUP(C2406,'Download of SFDC Activation Rep'!B:B,'Download of SFDC Activation Rep'!Y:Y),"")</f>
        <v/>
      </c>
    </row>
    <row r="2407">
      <c r="A2407" s="17"/>
      <c r="B2407" s="85"/>
      <c r="C2407" s="17"/>
      <c r="D2407" s="85"/>
      <c r="E2407" s="17"/>
      <c r="F2407" s="17"/>
      <c r="G2407" s="17"/>
      <c r="I2407" s="17"/>
      <c r="K2407" s="17"/>
      <c r="L2407" s="17"/>
      <c r="M2407" s="17"/>
      <c r="O2407" s="14">
        <f t="shared" si="1"/>
        <v>0</v>
      </c>
      <c r="P2407" s="86" t="str">
        <f t="array" ref="P2407">iferror(XLOOKUP(C2407,'Download of SFDC Activation Rep'!B:B,'Download of SFDC Activation Rep'!Z:Z),"")</f>
        <v/>
      </c>
      <c r="Q2407" s="86" t="str">
        <f t="shared" si="2"/>
        <v/>
      </c>
      <c r="R2407" s="13" t="str">
        <f t="shared" si="3"/>
        <v>Yes</v>
      </c>
      <c r="S2407" s="86" t="str">
        <f t="array" ref="S2407">iferror(XLOOKUP(C2407,'Download of SFDC Activation Rep'!B:B,'Download of SFDC Activation Rep'!Y:Y),"")</f>
        <v/>
      </c>
    </row>
    <row r="2408">
      <c r="A2408" s="17"/>
      <c r="B2408" s="85"/>
      <c r="C2408" s="17"/>
      <c r="D2408" s="85"/>
      <c r="E2408" s="17"/>
      <c r="F2408" s="17"/>
      <c r="G2408" s="17"/>
      <c r="I2408" s="17"/>
      <c r="K2408" s="17"/>
      <c r="L2408" s="17"/>
      <c r="M2408" s="17"/>
      <c r="O2408" s="14">
        <f t="shared" si="1"/>
        <v>0</v>
      </c>
      <c r="P2408" s="86" t="str">
        <f t="array" ref="P2408">iferror(XLOOKUP(C2408,'Download of SFDC Activation Rep'!B:B,'Download of SFDC Activation Rep'!Z:Z),"")</f>
        <v/>
      </c>
      <c r="Q2408" s="86" t="str">
        <f t="shared" si="2"/>
        <v/>
      </c>
      <c r="R2408" s="13" t="str">
        <f t="shared" si="3"/>
        <v>Yes</v>
      </c>
      <c r="S2408" s="86" t="str">
        <f t="array" ref="S2408">iferror(XLOOKUP(C2408,'Download of SFDC Activation Rep'!B:B,'Download of SFDC Activation Rep'!Y:Y),"")</f>
        <v/>
      </c>
    </row>
    <row r="2409">
      <c r="A2409" s="17"/>
      <c r="B2409" s="85"/>
      <c r="C2409" s="17"/>
      <c r="D2409" s="85"/>
      <c r="E2409" s="17"/>
      <c r="F2409" s="17"/>
      <c r="G2409" s="17"/>
      <c r="I2409" s="17"/>
      <c r="K2409" s="17"/>
      <c r="L2409" s="17"/>
      <c r="M2409" s="17"/>
      <c r="O2409" s="14">
        <f t="shared" si="1"/>
        <v>0</v>
      </c>
      <c r="P2409" s="86" t="str">
        <f t="array" ref="P2409">iferror(XLOOKUP(C2409,'Download of SFDC Activation Rep'!B:B,'Download of SFDC Activation Rep'!Z:Z),"")</f>
        <v/>
      </c>
      <c r="Q2409" s="86" t="str">
        <f t="shared" si="2"/>
        <v/>
      </c>
      <c r="R2409" s="13" t="str">
        <f t="shared" si="3"/>
        <v>Yes</v>
      </c>
      <c r="S2409" s="86" t="str">
        <f t="array" ref="S2409">iferror(XLOOKUP(C2409,'Download of SFDC Activation Rep'!B:B,'Download of SFDC Activation Rep'!Y:Y),"")</f>
        <v/>
      </c>
    </row>
    <row r="2410">
      <c r="A2410" s="17"/>
      <c r="B2410" s="85"/>
      <c r="C2410" s="17"/>
      <c r="D2410" s="85"/>
      <c r="E2410" s="17"/>
      <c r="F2410" s="17"/>
      <c r="G2410" s="17"/>
      <c r="I2410" s="17"/>
      <c r="K2410" s="17"/>
      <c r="L2410" s="17"/>
      <c r="M2410" s="17"/>
      <c r="O2410" s="14">
        <f t="shared" si="1"/>
        <v>0</v>
      </c>
      <c r="P2410" s="86" t="str">
        <f t="array" ref="P2410">iferror(XLOOKUP(C2410,'Download of SFDC Activation Rep'!B:B,'Download of SFDC Activation Rep'!Z:Z),"")</f>
        <v/>
      </c>
      <c r="Q2410" s="86" t="str">
        <f t="shared" si="2"/>
        <v/>
      </c>
      <c r="R2410" s="13" t="str">
        <f t="shared" si="3"/>
        <v>Yes</v>
      </c>
      <c r="S2410" s="86" t="str">
        <f t="array" ref="S2410">iferror(XLOOKUP(C2410,'Download of SFDC Activation Rep'!B:B,'Download of SFDC Activation Rep'!Y:Y),"")</f>
        <v/>
      </c>
    </row>
    <row r="2411">
      <c r="A2411" s="17"/>
      <c r="B2411" s="85"/>
      <c r="C2411" s="17"/>
      <c r="D2411" s="85"/>
      <c r="E2411" s="17"/>
      <c r="F2411" s="17"/>
      <c r="G2411" s="17"/>
      <c r="I2411" s="17"/>
      <c r="K2411" s="17"/>
      <c r="L2411" s="17"/>
      <c r="M2411" s="17"/>
      <c r="O2411" s="14">
        <f t="shared" si="1"/>
        <v>0</v>
      </c>
      <c r="P2411" s="86" t="str">
        <f t="array" ref="P2411">iferror(XLOOKUP(C2411,'Download of SFDC Activation Rep'!B:B,'Download of SFDC Activation Rep'!Z:Z),"")</f>
        <v/>
      </c>
      <c r="Q2411" s="86" t="str">
        <f t="shared" si="2"/>
        <v/>
      </c>
      <c r="R2411" s="13" t="str">
        <f t="shared" si="3"/>
        <v>Yes</v>
      </c>
      <c r="S2411" s="86" t="str">
        <f t="array" ref="S2411">iferror(XLOOKUP(C2411,'Download of SFDC Activation Rep'!B:B,'Download of SFDC Activation Rep'!Y:Y),"")</f>
        <v/>
      </c>
    </row>
    <row r="2412">
      <c r="A2412" s="17"/>
      <c r="B2412" s="85"/>
      <c r="C2412" s="17"/>
      <c r="D2412" s="85"/>
      <c r="E2412" s="17"/>
      <c r="F2412" s="17"/>
      <c r="G2412" s="17"/>
      <c r="I2412" s="17"/>
      <c r="K2412" s="17"/>
      <c r="L2412" s="17"/>
      <c r="M2412" s="17"/>
      <c r="O2412" s="14">
        <f t="shared" si="1"/>
        <v>0</v>
      </c>
      <c r="P2412" s="86" t="str">
        <f t="array" ref="P2412">iferror(XLOOKUP(C2412,'Download of SFDC Activation Rep'!B:B,'Download of SFDC Activation Rep'!Z:Z),"")</f>
        <v/>
      </c>
      <c r="Q2412" s="86" t="str">
        <f t="shared" si="2"/>
        <v/>
      </c>
      <c r="R2412" s="13" t="str">
        <f t="shared" si="3"/>
        <v>Yes</v>
      </c>
      <c r="S2412" s="86" t="str">
        <f t="array" ref="S2412">iferror(XLOOKUP(C2412,'Download of SFDC Activation Rep'!B:B,'Download of SFDC Activation Rep'!Y:Y),"")</f>
        <v/>
      </c>
    </row>
    <row r="2413">
      <c r="A2413" s="17"/>
      <c r="B2413" s="85"/>
      <c r="C2413" s="17"/>
      <c r="D2413" s="85"/>
      <c r="E2413" s="17"/>
      <c r="F2413" s="17"/>
      <c r="G2413" s="17"/>
      <c r="I2413" s="17"/>
      <c r="K2413" s="17"/>
      <c r="L2413" s="17"/>
      <c r="M2413" s="17"/>
      <c r="O2413" s="14">
        <f t="shared" si="1"/>
        <v>0</v>
      </c>
      <c r="P2413" s="86" t="str">
        <f t="array" ref="P2413">iferror(XLOOKUP(C2413,'Download of SFDC Activation Rep'!B:B,'Download of SFDC Activation Rep'!Z:Z),"")</f>
        <v/>
      </c>
      <c r="Q2413" s="86" t="str">
        <f t="shared" si="2"/>
        <v/>
      </c>
      <c r="R2413" s="13" t="str">
        <f t="shared" si="3"/>
        <v>Yes</v>
      </c>
      <c r="S2413" s="86" t="str">
        <f t="array" ref="S2413">iferror(XLOOKUP(C2413,'Download of SFDC Activation Rep'!B:B,'Download of SFDC Activation Rep'!Y:Y),"")</f>
        <v/>
      </c>
    </row>
    <row r="2414">
      <c r="A2414" s="17"/>
      <c r="B2414" s="85"/>
      <c r="C2414" s="17"/>
      <c r="D2414" s="85"/>
      <c r="E2414" s="17"/>
      <c r="F2414" s="17"/>
      <c r="G2414" s="17"/>
      <c r="I2414" s="17"/>
      <c r="K2414" s="17"/>
      <c r="L2414" s="17"/>
      <c r="M2414" s="17"/>
      <c r="O2414" s="14">
        <f t="shared" si="1"/>
        <v>0</v>
      </c>
      <c r="P2414" s="86" t="str">
        <f t="array" ref="P2414">iferror(XLOOKUP(C2414,'Download of SFDC Activation Rep'!B:B,'Download of SFDC Activation Rep'!Z:Z),"")</f>
        <v/>
      </c>
      <c r="Q2414" s="86" t="str">
        <f t="shared" si="2"/>
        <v/>
      </c>
      <c r="R2414" s="13" t="str">
        <f t="shared" si="3"/>
        <v>Yes</v>
      </c>
      <c r="S2414" s="86" t="str">
        <f t="array" ref="S2414">iferror(XLOOKUP(C2414,'Download of SFDC Activation Rep'!B:B,'Download of SFDC Activation Rep'!Y:Y),"")</f>
        <v/>
      </c>
    </row>
    <row r="2415">
      <c r="A2415" s="17"/>
      <c r="B2415" s="85"/>
      <c r="C2415" s="17"/>
      <c r="D2415" s="85"/>
      <c r="E2415" s="17"/>
      <c r="F2415" s="17"/>
      <c r="G2415" s="17"/>
      <c r="I2415" s="17"/>
      <c r="K2415" s="17"/>
      <c r="L2415" s="17"/>
      <c r="M2415" s="17"/>
      <c r="O2415" s="14">
        <f t="shared" si="1"/>
        <v>0</v>
      </c>
      <c r="P2415" s="86" t="str">
        <f t="array" ref="P2415">iferror(XLOOKUP(C2415,'Download of SFDC Activation Rep'!B:B,'Download of SFDC Activation Rep'!Z:Z),"")</f>
        <v/>
      </c>
      <c r="Q2415" s="86" t="str">
        <f t="shared" si="2"/>
        <v/>
      </c>
      <c r="R2415" s="13" t="str">
        <f t="shared" si="3"/>
        <v>Yes</v>
      </c>
      <c r="S2415" s="86" t="str">
        <f t="array" ref="S2415">iferror(XLOOKUP(C2415,'Download of SFDC Activation Rep'!B:B,'Download of SFDC Activation Rep'!Y:Y),"")</f>
        <v/>
      </c>
    </row>
    <row r="2416">
      <c r="A2416" s="17"/>
      <c r="B2416" s="85"/>
      <c r="C2416" s="17"/>
      <c r="D2416" s="85"/>
      <c r="E2416" s="17"/>
      <c r="F2416" s="17"/>
      <c r="G2416" s="17"/>
      <c r="I2416" s="17"/>
      <c r="K2416" s="17"/>
      <c r="L2416" s="17"/>
      <c r="M2416" s="17"/>
      <c r="O2416" s="14">
        <f t="shared" si="1"/>
        <v>0</v>
      </c>
      <c r="P2416" s="86" t="str">
        <f t="array" ref="P2416">iferror(XLOOKUP(C2416,'Download of SFDC Activation Rep'!B:B,'Download of SFDC Activation Rep'!Z:Z),"")</f>
        <v/>
      </c>
      <c r="Q2416" s="86" t="str">
        <f t="shared" si="2"/>
        <v/>
      </c>
      <c r="R2416" s="13" t="str">
        <f t="shared" si="3"/>
        <v>Yes</v>
      </c>
      <c r="S2416" s="86" t="str">
        <f t="array" ref="S2416">iferror(XLOOKUP(C2416,'Download of SFDC Activation Rep'!B:B,'Download of SFDC Activation Rep'!Y:Y),"")</f>
        <v/>
      </c>
    </row>
    <row r="2417">
      <c r="A2417" s="17"/>
      <c r="B2417" s="85"/>
      <c r="C2417" s="17"/>
      <c r="D2417" s="85"/>
      <c r="E2417" s="17"/>
      <c r="F2417" s="17"/>
      <c r="G2417" s="17"/>
      <c r="I2417" s="17"/>
      <c r="K2417" s="17"/>
      <c r="L2417" s="17"/>
      <c r="M2417" s="17"/>
      <c r="O2417" s="14">
        <f t="shared" si="1"/>
        <v>0</v>
      </c>
      <c r="P2417" s="86" t="str">
        <f t="array" ref="P2417">iferror(XLOOKUP(C2417,'Download of SFDC Activation Rep'!B:B,'Download of SFDC Activation Rep'!Z:Z),"")</f>
        <v/>
      </c>
      <c r="Q2417" s="86" t="str">
        <f t="shared" si="2"/>
        <v/>
      </c>
      <c r="R2417" s="13" t="str">
        <f t="shared" si="3"/>
        <v>Yes</v>
      </c>
      <c r="S2417" s="86" t="str">
        <f t="array" ref="S2417">iferror(XLOOKUP(C2417,'Download of SFDC Activation Rep'!B:B,'Download of SFDC Activation Rep'!Y:Y),"")</f>
        <v/>
      </c>
    </row>
    <row r="2418">
      <c r="A2418" s="17"/>
      <c r="B2418" s="85"/>
      <c r="C2418" s="17"/>
      <c r="D2418" s="85"/>
      <c r="E2418" s="17"/>
      <c r="F2418" s="17"/>
      <c r="G2418" s="17"/>
      <c r="I2418" s="17"/>
      <c r="K2418" s="17"/>
      <c r="L2418" s="17"/>
      <c r="M2418" s="17"/>
      <c r="O2418" s="14">
        <f t="shared" si="1"/>
        <v>0</v>
      </c>
      <c r="P2418" s="86" t="str">
        <f t="array" ref="P2418">iferror(XLOOKUP(C2418,'Download of SFDC Activation Rep'!B:B,'Download of SFDC Activation Rep'!Z:Z),"")</f>
        <v/>
      </c>
      <c r="Q2418" s="86" t="str">
        <f t="shared" si="2"/>
        <v/>
      </c>
      <c r="R2418" s="13" t="str">
        <f t="shared" si="3"/>
        <v>Yes</v>
      </c>
      <c r="S2418" s="86" t="str">
        <f t="array" ref="S2418">iferror(XLOOKUP(C2418,'Download of SFDC Activation Rep'!B:B,'Download of SFDC Activation Rep'!Y:Y),"")</f>
        <v/>
      </c>
    </row>
    <row r="2419">
      <c r="A2419" s="17"/>
      <c r="B2419" s="85"/>
      <c r="C2419" s="17"/>
      <c r="D2419" s="85"/>
      <c r="E2419" s="17"/>
      <c r="F2419" s="17"/>
      <c r="G2419" s="17"/>
      <c r="I2419" s="17"/>
      <c r="K2419" s="17"/>
      <c r="L2419" s="17"/>
      <c r="M2419" s="17"/>
      <c r="O2419" s="14">
        <f t="shared" si="1"/>
        <v>0</v>
      </c>
      <c r="P2419" s="86" t="str">
        <f t="array" ref="P2419">iferror(XLOOKUP(C2419,'Download of SFDC Activation Rep'!B:B,'Download of SFDC Activation Rep'!Z:Z),"")</f>
        <v/>
      </c>
      <c r="Q2419" s="86" t="str">
        <f t="shared" si="2"/>
        <v/>
      </c>
      <c r="R2419" s="13" t="str">
        <f t="shared" si="3"/>
        <v>Yes</v>
      </c>
      <c r="S2419" s="86" t="str">
        <f t="array" ref="S2419">iferror(XLOOKUP(C2419,'Download of SFDC Activation Rep'!B:B,'Download of SFDC Activation Rep'!Y:Y),"")</f>
        <v/>
      </c>
    </row>
    <row r="2420">
      <c r="A2420" s="17"/>
      <c r="B2420" s="85"/>
      <c r="C2420" s="17"/>
      <c r="D2420" s="85"/>
      <c r="E2420" s="17"/>
      <c r="F2420" s="17"/>
      <c r="G2420" s="17"/>
      <c r="I2420" s="17"/>
      <c r="K2420" s="17"/>
      <c r="L2420" s="17"/>
      <c r="M2420" s="17"/>
      <c r="O2420" s="14">
        <f t="shared" si="1"/>
        <v>0</v>
      </c>
      <c r="P2420" s="86" t="str">
        <f t="array" ref="P2420">iferror(XLOOKUP(C2420,'Download of SFDC Activation Rep'!B:B,'Download of SFDC Activation Rep'!Z:Z),"")</f>
        <v/>
      </c>
      <c r="Q2420" s="86" t="str">
        <f t="shared" si="2"/>
        <v/>
      </c>
      <c r="R2420" s="13" t="str">
        <f t="shared" si="3"/>
        <v>Yes</v>
      </c>
      <c r="S2420" s="86" t="str">
        <f t="array" ref="S2420">iferror(XLOOKUP(C2420,'Download of SFDC Activation Rep'!B:B,'Download of SFDC Activation Rep'!Y:Y),"")</f>
        <v/>
      </c>
    </row>
    <row r="2421">
      <c r="A2421" s="17"/>
      <c r="B2421" s="85"/>
      <c r="C2421" s="17"/>
      <c r="D2421" s="85"/>
      <c r="E2421" s="17"/>
      <c r="F2421" s="17"/>
      <c r="G2421" s="17"/>
      <c r="I2421" s="17"/>
      <c r="K2421" s="17"/>
      <c r="L2421" s="17"/>
      <c r="M2421" s="17"/>
      <c r="O2421" s="14">
        <f t="shared" si="1"/>
        <v>0</v>
      </c>
      <c r="P2421" s="86" t="str">
        <f t="array" ref="P2421">iferror(XLOOKUP(C2421,'Download of SFDC Activation Rep'!B:B,'Download of SFDC Activation Rep'!Z:Z),"")</f>
        <v/>
      </c>
      <c r="Q2421" s="86" t="str">
        <f t="shared" si="2"/>
        <v/>
      </c>
      <c r="R2421" s="13" t="str">
        <f t="shared" si="3"/>
        <v>Yes</v>
      </c>
      <c r="S2421" s="86" t="str">
        <f t="array" ref="S2421">iferror(XLOOKUP(C2421,'Download of SFDC Activation Rep'!B:B,'Download of SFDC Activation Rep'!Y:Y),"")</f>
        <v/>
      </c>
    </row>
    <row r="2422">
      <c r="A2422" s="17"/>
      <c r="B2422" s="85"/>
      <c r="C2422" s="17"/>
      <c r="D2422" s="85"/>
      <c r="E2422" s="17"/>
      <c r="F2422" s="17"/>
      <c r="G2422" s="17"/>
      <c r="I2422" s="17"/>
      <c r="K2422" s="17"/>
      <c r="L2422" s="17"/>
      <c r="M2422" s="17"/>
      <c r="O2422" s="14">
        <f t="shared" si="1"/>
        <v>0</v>
      </c>
      <c r="P2422" s="86" t="str">
        <f t="array" ref="P2422">iferror(XLOOKUP(C2422,'Download of SFDC Activation Rep'!B:B,'Download of SFDC Activation Rep'!Z:Z),"")</f>
        <v/>
      </c>
      <c r="Q2422" s="86" t="str">
        <f t="shared" si="2"/>
        <v/>
      </c>
      <c r="R2422" s="13" t="str">
        <f t="shared" si="3"/>
        <v>Yes</v>
      </c>
      <c r="S2422" s="86" t="str">
        <f t="array" ref="S2422">iferror(XLOOKUP(C2422,'Download of SFDC Activation Rep'!B:B,'Download of SFDC Activation Rep'!Y:Y),"")</f>
        <v/>
      </c>
    </row>
    <row r="2423">
      <c r="A2423" s="17"/>
      <c r="B2423" s="85"/>
      <c r="C2423" s="17"/>
      <c r="D2423" s="85"/>
      <c r="E2423" s="17"/>
      <c r="F2423" s="17"/>
      <c r="G2423" s="17"/>
      <c r="I2423" s="17"/>
      <c r="K2423" s="17"/>
      <c r="L2423" s="17"/>
      <c r="M2423" s="17"/>
      <c r="O2423" s="14">
        <f t="shared" si="1"/>
        <v>0</v>
      </c>
      <c r="P2423" s="86" t="str">
        <f t="array" ref="P2423">iferror(XLOOKUP(C2423,'Download of SFDC Activation Rep'!B:B,'Download of SFDC Activation Rep'!Z:Z),"")</f>
        <v/>
      </c>
      <c r="Q2423" s="86" t="str">
        <f t="shared" si="2"/>
        <v/>
      </c>
      <c r="R2423" s="13" t="str">
        <f t="shared" si="3"/>
        <v>Yes</v>
      </c>
      <c r="S2423" s="86" t="str">
        <f t="array" ref="S2423">iferror(XLOOKUP(C2423,'Download of SFDC Activation Rep'!B:B,'Download of SFDC Activation Rep'!Y:Y),"")</f>
        <v/>
      </c>
    </row>
    <row r="2424">
      <c r="A2424" s="17"/>
      <c r="B2424" s="85"/>
      <c r="C2424" s="17"/>
      <c r="D2424" s="85"/>
      <c r="E2424" s="17"/>
      <c r="F2424" s="17"/>
      <c r="G2424" s="17"/>
      <c r="I2424" s="17"/>
      <c r="K2424" s="17"/>
      <c r="L2424" s="17"/>
      <c r="M2424" s="17"/>
      <c r="O2424" s="14">
        <f t="shared" si="1"/>
        <v>0</v>
      </c>
      <c r="P2424" s="86" t="str">
        <f t="array" ref="P2424">iferror(XLOOKUP(C2424,'Download of SFDC Activation Rep'!B:B,'Download of SFDC Activation Rep'!Z:Z),"")</f>
        <v/>
      </c>
      <c r="Q2424" s="86" t="str">
        <f t="shared" si="2"/>
        <v/>
      </c>
      <c r="R2424" s="13" t="str">
        <f t="shared" si="3"/>
        <v>Yes</v>
      </c>
      <c r="S2424" s="86" t="str">
        <f t="array" ref="S2424">iferror(XLOOKUP(C2424,'Download of SFDC Activation Rep'!B:B,'Download of SFDC Activation Rep'!Y:Y),"")</f>
        <v/>
      </c>
    </row>
    <row r="2425">
      <c r="A2425" s="17"/>
      <c r="B2425" s="85"/>
      <c r="C2425" s="17"/>
      <c r="D2425" s="85"/>
      <c r="E2425" s="17"/>
      <c r="F2425" s="17"/>
      <c r="G2425" s="17"/>
      <c r="I2425" s="17"/>
      <c r="K2425" s="17"/>
      <c r="L2425" s="17"/>
      <c r="M2425" s="17"/>
      <c r="O2425" s="14">
        <f t="shared" si="1"/>
        <v>0</v>
      </c>
      <c r="P2425" s="86" t="str">
        <f t="array" ref="P2425">iferror(XLOOKUP(C2425,'Download of SFDC Activation Rep'!B:B,'Download of SFDC Activation Rep'!Z:Z),"")</f>
        <v/>
      </c>
      <c r="Q2425" s="86" t="str">
        <f t="shared" si="2"/>
        <v/>
      </c>
      <c r="R2425" s="13" t="str">
        <f t="shared" si="3"/>
        <v>Yes</v>
      </c>
      <c r="S2425" s="86" t="str">
        <f t="array" ref="S2425">iferror(XLOOKUP(C2425,'Download of SFDC Activation Rep'!B:B,'Download of SFDC Activation Rep'!Y:Y),"")</f>
        <v/>
      </c>
    </row>
    <row r="2426">
      <c r="A2426" s="17"/>
      <c r="B2426" s="85"/>
      <c r="C2426" s="17"/>
      <c r="D2426" s="85"/>
      <c r="E2426" s="17"/>
      <c r="F2426" s="17"/>
      <c r="G2426" s="17"/>
      <c r="I2426" s="17"/>
      <c r="K2426" s="17"/>
      <c r="L2426" s="17"/>
      <c r="M2426" s="17"/>
      <c r="O2426" s="14">
        <f t="shared" si="1"/>
        <v>0</v>
      </c>
      <c r="P2426" s="86" t="str">
        <f t="array" ref="P2426">iferror(XLOOKUP(C2426,'Download of SFDC Activation Rep'!B:B,'Download of SFDC Activation Rep'!Z:Z),"")</f>
        <v/>
      </c>
      <c r="Q2426" s="86" t="str">
        <f t="shared" si="2"/>
        <v/>
      </c>
      <c r="R2426" s="13" t="str">
        <f t="shared" si="3"/>
        <v>Yes</v>
      </c>
      <c r="S2426" s="86" t="str">
        <f t="array" ref="S2426">iferror(XLOOKUP(C2426,'Download of SFDC Activation Rep'!B:B,'Download of SFDC Activation Rep'!Y:Y),"")</f>
        <v/>
      </c>
    </row>
    <row r="2427">
      <c r="A2427" s="17"/>
      <c r="B2427" s="85"/>
      <c r="C2427" s="17"/>
      <c r="D2427" s="85"/>
      <c r="E2427" s="17"/>
      <c r="F2427" s="17"/>
      <c r="G2427" s="17"/>
      <c r="I2427" s="17"/>
      <c r="K2427" s="17"/>
      <c r="L2427" s="17"/>
      <c r="M2427" s="17"/>
      <c r="O2427" s="14">
        <f t="shared" si="1"/>
        <v>0</v>
      </c>
      <c r="P2427" s="86" t="str">
        <f t="array" ref="P2427">iferror(XLOOKUP(C2427,'Download of SFDC Activation Rep'!B:B,'Download of SFDC Activation Rep'!Z:Z),"")</f>
        <v/>
      </c>
      <c r="Q2427" s="86" t="str">
        <f t="shared" si="2"/>
        <v/>
      </c>
      <c r="R2427" s="13" t="str">
        <f t="shared" si="3"/>
        <v>Yes</v>
      </c>
      <c r="S2427" s="86" t="str">
        <f t="array" ref="S2427">iferror(XLOOKUP(C2427,'Download of SFDC Activation Rep'!B:B,'Download of SFDC Activation Rep'!Y:Y),"")</f>
        <v/>
      </c>
    </row>
    <row r="2428">
      <c r="A2428" s="17"/>
      <c r="B2428" s="85"/>
      <c r="C2428" s="17"/>
      <c r="D2428" s="85"/>
      <c r="E2428" s="17"/>
      <c r="F2428" s="17"/>
      <c r="G2428" s="17"/>
      <c r="I2428" s="17"/>
      <c r="K2428" s="17"/>
      <c r="L2428" s="17"/>
      <c r="M2428" s="17"/>
      <c r="O2428" s="14">
        <f t="shared" si="1"/>
        <v>0</v>
      </c>
      <c r="P2428" s="86" t="str">
        <f t="array" ref="P2428">iferror(XLOOKUP(C2428,'Download of SFDC Activation Rep'!B:B,'Download of SFDC Activation Rep'!Z:Z),"")</f>
        <v/>
      </c>
      <c r="Q2428" s="86" t="str">
        <f t="shared" si="2"/>
        <v/>
      </c>
      <c r="R2428" s="13" t="str">
        <f t="shared" si="3"/>
        <v>Yes</v>
      </c>
      <c r="S2428" s="86" t="str">
        <f t="array" ref="S2428">iferror(XLOOKUP(C2428,'Download of SFDC Activation Rep'!B:B,'Download of SFDC Activation Rep'!Y:Y),"")</f>
        <v/>
      </c>
    </row>
    <row r="2429">
      <c r="A2429" s="17"/>
      <c r="B2429" s="85"/>
      <c r="C2429" s="17"/>
      <c r="D2429" s="85"/>
      <c r="E2429" s="17"/>
      <c r="F2429" s="17"/>
      <c r="G2429" s="17"/>
      <c r="I2429" s="17"/>
      <c r="K2429" s="17"/>
      <c r="L2429" s="17"/>
      <c r="M2429" s="17"/>
      <c r="O2429" s="14">
        <f t="shared" si="1"/>
        <v>0</v>
      </c>
      <c r="P2429" s="86" t="str">
        <f t="array" ref="P2429">iferror(XLOOKUP(C2429,'Download of SFDC Activation Rep'!B:B,'Download of SFDC Activation Rep'!Z:Z),"")</f>
        <v/>
      </c>
      <c r="Q2429" s="86" t="str">
        <f t="shared" si="2"/>
        <v/>
      </c>
      <c r="R2429" s="13" t="str">
        <f t="shared" si="3"/>
        <v>Yes</v>
      </c>
      <c r="S2429" s="86" t="str">
        <f t="array" ref="S2429">iferror(XLOOKUP(C2429,'Download of SFDC Activation Rep'!B:B,'Download of SFDC Activation Rep'!Y:Y),"")</f>
        <v/>
      </c>
    </row>
    <row r="2430">
      <c r="A2430" s="17"/>
      <c r="B2430" s="85"/>
      <c r="C2430" s="17"/>
      <c r="D2430" s="85"/>
      <c r="E2430" s="17"/>
      <c r="F2430" s="17"/>
      <c r="G2430" s="17"/>
      <c r="I2430" s="17"/>
      <c r="K2430" s="17"/>
      <c r="L2430" s="17"/>
      <c r="M2430" s="17"/>
      <c r="O2430" s="14">
        <f t="shared" si="1"/>
        <v>0</v>
      </c>
      <c r="P2430" s="86" t="str">
        <f t="array" ref="P2430">iferror(XLOOKUP(C2430,'Download of SFDC Activation Rep'!B:B,'Download of SFDC Activation Rep'!Z:Z),"")</f>
        <v/>
      </c>
      <c r="Q2430" s="86" t="str">
        <f t="shared" si="2"/>
        <v/>
      </c>
      <c r="R2430" s="13" t="str">
        <f t="shared" si="3"/>
        <v>Yes</v>
      </c>
      <c r="S2430" s="86" t="str">
        <f t="array" ref="S2430">iferror(XLOOKUP(C2430,'Download of SFDC Activation Rep'!B:B,'Download of SFDC Activation Rep'!Y:Y),"")</f>
        <v/>
      </c>
    </row>
    <row r="2431">
      <c r="A2431" s="17"/>
      <c r="B2431" s="85"/>
      <c r="C2431" s="17"/>
      <c r="D2431" s="85"/>
      <c r="E2431" s="17"/>
      <c r="F2431" s="17"/>
      <c r="G2431" s="17"/>
      <c r="I2431" s="17"/>
      <c r="K2431" s="17"/>
      <c r="L2431" s="17"/>
      <c r="M2431" s="17"/>
      <c r="O2431" s="14">
        <f t="shared" si="1"/>
        <v>0</v>
      </c>
      <c r="P2431" s="86" t="str">
        <f t="array" ref="P2431">iferror(XLOOKUP(C2431,'Download of SFDC Activation Rep'!B:B,'Download of SFDC Activation Rep'!Z:Z),"")</f>
        <v/>
      </c>
      <c r="Q2431" s="86" t="str">
        <f t="shared" si="2"/>
        <v/>
      </c>
      <c r="R2431" s="13" t="str">
        <f t="shared" si="3"/>
        <v>Yes</v>
      </c>
      <c r="S2431" s="86" t="str">
        <f t="array" ref="S2431">iferror(XLOOKUP(C2431,'Download of SFDC Activation Rep'!B:B,'Download of SFDC Activation Rep'!Y:Y),"")</f>
        <v/>
      </c>
    </row>
    <row r="2432">
      <c r="A2432" s="17"/>
      <c r="B2432" s="85"/>
      <c r="C2432" s="17"/>
      <c r="D2432" s="85"/>
      <c r="E2432" s="17"/>
      <c r="F2432" s="17"/>
      <c r="G2432" s="17"/>
      <c r="I2432" s="17"/>
      <c r="K2432" s="17"/>
      <c r="L2432" s="17"/>
      <c r="M2432" s="17"/>
      <c r="O2432" s="14">
        <f t="shared" si="1"/>
        <v>0</v>
      </c>
      <c r="P2432" s="86" t="str">
        <f t="array" ref="P2432">iferror(XLOOKUP(C2432,'Download of SFDC Activation Rep'!B:B,'Download of SFDC Activation Rep'!Z:Z),"")</f>
        <v/>
      </c>
      <c r="Q2432" s="86" t="str">
        <f t="shared" si="2"/>
        <v/>
      </c>
      <c r="R2432" s="13" t="str">
        <f t="shared" si="3"/>
        <v>Yes</v>
      </c>
      <c r="S2432" s="86" t="str">
        <f t="array" ref="S2432">iferror(XLOOKUP(C2432,'Download of SFDC Activation Rep'!B:B,'Download of SFDC Activation Rep'!Y:Y),"")</f>
        <v/>
      </c>
    </row>
    <row r="2433">
      <c r="A2433" s="17"/>
      <c r="B2433" s="85"/>
      <c r="C2433" s="17"/>
      <c r="D2433" s="85"/>
      <c r="E2433" s="17"/>
      <c r="F2433" s="17"/>
      <c r="G2433" s="17"/>
      <c r="I2433" s="17"/>
      <c r="K2433" s="17"/>
      <c r="L2433" s="17"/>
      <c r="M2433" s="17"/>
      <c r="O2433" s="14">
        <f t="shared" si="1"/>
        <v>0</v>
      </c>
      <c r="P2433" s="86" t="str">
        <f t="array" ref="P2433">iferror(XLOOKUP(C2433,'Download of SFDC Activation Rep'!B:B,'Download of SFDC Activation Rep'!Z:Z),"")</f>
        <v/>
      </c>
      <c r="Q2433" s="86" t="str">
        <f t="shared" si="2"/>
        <v/>
      </c>
      <c r="R2433" s="13" t="str">
        <f t="shared" si="3"/>
        <v>Yes</v>
      </c>
      <c r="S2433" s="86" t="str">
        <f t="array" ref="S2433">iferror(XLOOKUP(C2433,'Download of SFDC Activation Rep'!B:B,'Download of SFDC Activation Rep'!Y:Y),"")</f>
        <v/>
      </c>
    </row>
    <row r="2434">
      <c r="A2434" s="17"/>
      <c r="B2434" s="85"/>
      <c r="C2434" s="17"/>
      <c r="D2434" s="85"/>
      <c r="E2434" s="17"/>
      <c r="F2434" s="17"/>
      <c r="G2434" s="17"/>
      <c r="I2434" s="17"/>
      <c r="K2434" s="17"/>
      <c r="L2434" s="17"/>
      <c r="M2434" s="17"/>
      <c r="O2434" s="14">
        <f t="shared" si="1"/>
        <v>0</v>
      </c>
      <c r="P2434" s="86" t="str">
        <f t="array" ref="P2434">iferror(XLOOKUP(C2434,'Download of SFDC Activation Rep'!B:B,'Download of SFDC Activation Rep'!Z:Z),"")</f>
        <v/>
      </c>
      <c r="Q2434" s="86" t="str">
        <f t="shared" si="2"/>
        <v/>
      </c>
      <c r="R2434" s="13" t="str">
        <f t="shared" si="3"/>
        <v>Yes</v>
      </c>
      <c r="S2434" s="86" t="str">
        <f t="array" ref="S2434">iferror(XLOOKUP(C2434,'Download of SFDC Activation Rep'!B:B,'Download of SFDC Activation Rep'!Y:Y),"")</f>
        <v/>
      </c>
    </row>
    <row r="2435">
      <c r="A2435" s="17"/>
      <c r="B2435" s="85"/>
      <c r="C2435" s="17"/>
      <c r="D2435" s="85"/>
      <c r="E2435" s="17"/>
      <c r="F2435" s="17"/>
      <c r="G2435" s="17"/>
      <c r="I2435" s="17"/>
      <c r="K2435" s="17"/>
      <c r="L2435" s="17"/>
      <c r="M2435" s="17"/>
      <c r="O2435" s="14">
        <f t="shared" si="1"/>
        <v>0</v>
      </c>
      <c r="P2435" s="86" t="str">
        <f t="array" ref="P2435">iferror(XLOOKUP(C2435,'Download of SFDC Activation Rep'!B:B,'Download of SFDC Activation Rep'!Z:Z),"")</f>
        <v/>
      </c>
      <c r="Q2435" s="86" t="str">
        <f t="shared" si="2"/>
        <v/>
      </c>
      <c r="R2435" s="13" t="str">
        <f t="shared" si="3"/>
        <v>Yes</v>
      </c>
      <c r="S2435" s="86" t="str">
        <f t="array" ref="S2435">iferror(XLOOKUP(C2435,'Download of SFDC Activation Rep'!B:B,'Download of SFDC Activation Rep'!Y:Y),"")</f>
        <v/>
      </c>
    </row>
    <row r="2436">
      <c r="A2436" s="17"/>
      <c r="B2436" s="85"/>
      <c r="C2436" s="17"/>
      <c r="D2436" s="85"/>
      <c r="E2436" s="17"/>
      <c r="F2436" s="17"/>
      <c r="G2436" s="17"/>
      <c r="I2436" s="17"/>
      <c r="K2436" s="17"/>
      <c r="L2436" s="17"/>
      <c r="M2436" s="17"/>
      <c r="O2436" s="14">
        <f t="shared" si="1"/>
        <v>0</v>
      </c>
      <c r="P2436" s="86" t="str">
        <f t="array" ref="P2436">iferror(XLOOKUP(C2436,'Download of SFDC Activation Rep'!B:B,'Download of SFDC Activation Rep'!Z:Z),"")</f>
        <v/>
      </c>
      <c r="Q2436" s="86" t="str">
        <f t="shared" si="2"/>
        <v/>
      </c>
      <c r="R2436" s="13" t="str">
        <f t="shared" si="3"/>
        <v>Yes</v>
      </c>
      <c r="S2436" s="86" t="str">
        <f t="array" ref="S2436">iferror(XLOOKUP(C2436,'Download of SFDC Activation Rep'!B:B,'Download of SFDC Activation Rep'!Y:Y),"")</f>
        <v/>
      </c>
    </row>
    <row r="2437">
      <c r="A2437" s="17"/>
      <c r="B2437" s="85"/>
      <c r="C2437" s="17"/>
      <c r="D2437" s="85"/>
      <c r="E2437" s="17"/>
      <c r="F2437" s="17"/>
      <c r="G2437" s="17"/>
      <c r="I2437" s="17"/>
      <c r="K2437" s="17"/>
      <c r="L2437" s="17"/>
      <c r="M2437" s="17"/>
      <c r="O2437" s="14">
        <f t="shared" si="1"/>
        <v>0</v>
      </c>
      <c r="P2437" s="86" t="str">
        <f t="array" ref="P2437">iferror(XLOOKUP(C2437,'Download of SFDC Activation Rep'!B:B,'Download of SFDC Activation Rep'!Z:Z),"")</f>
        <v/>
      </c>
      <c r="Q2437" s="86" t="str">
        <f t="shared" si="2"/>
        <v/>
      </c>
      <c r="R2437" s="13" t="str">
        <f t="shared" si="3"/>
        <v>Yes</v>
      </c>
      <c r="S2437" s="86" t="str">
        <f t="array" ref="S2437">iferror(XLOOKUP(C2437,'Download of SFDC Activation Rep'!B:B,'Download of SFDC Activation Rep'!Y:Y),"")</f>
        <v/>
      </c>
    </row>
    <row r="2438">
      <c r="A2438" s="17"/>
      <c r="B2438" s="85"/>
      <c r="C2438" s="17"/>
      <c r="D2438" s="85"/>
      <c r="E2438" s="17"/>
      <c r="F2438" s="17"/>
      <c r="G2438" s="17"/>
      <c r="I2438" s="17"/>
      <c r="K2438" s="17"/>
      <c r="L2438" s="17"/>
      <c r="M2438" s="17"/>
      <c r="O2438" s="14">
        <f t="shared" si="1"/>
        <v>0</v>
      </c>
      <c r="P2438" s="86" t="str">
        <f t="array" ref="P2438">iferror(XLOOKUP(C2438,'Download of SFDC Activation Rep'!B:B,'Download of SFDC Activation Rep'!Z:Z),"")</f>
        <v/>
      </c>
      <c r="Q2438" s="86" t="str">
        <f t="shared" si="2"/>
        <v/>
      </c>
      <c r="R2438" s="13" t="str">
        <f t="shared" si="3"/>
        <v>Yes</v>
      </c>
      <c r="S2438" s="86" t="str">
        <f t="array" ref="S2438">iferror(XLOOKUP(C2438,'Download of SFDC Activation Rep'!B:B,'Download of SFDC Activation Rep'!Y:Y),"")</f>
        <v/>
      </c>
    </row>
    <row r="2439">
      <c r="A2439" s="17"/>
      <c r="B2439" s="85"/>
      <c r="C2439" s="17"/>
      <c r="D2439" s="85"/>
      <c r="E2439" s="17"/>
      <c r="F2439" s="17"/>
      <c r="G2439" s="17"/>
      <c r="I2439" s="17"/>
      <c r="K2439" s="17"/>
      <c r="L2439" s="17"/>
      <c r="M2439" s="17"/>
      <c r="O2439" s="14">
        <f t="shared" si="1"/>
        <v>0</v>
      </c>
      <c r="P2439" s="86" t="str">
        <f t="array" ref="P2439">iferror(XLOOKUP(C2439,'Download of SFDC Activation Rep'!B:B,'Download of SFDC Activation Rep'!Z:Z),"")</f>
        <v/>
      </c>
      <c r="Q2439" s="86" t="str">
        <f t="shared" si="2"/>
        <v/>
      </c>
      <c r="R2439" s="13" t="str">
        <f t="shared" si="3"/>
        <v>Yes</v>
      </c>
      <c r="S2439" s="86" t="str">
        <f t="array" ref="S2439">iferror(XLOOKUP(C2439,'Download of SFDC Activation Rep'!B:B,'Download of SFDC Activation Rep'!Y:Y),"")</f>
        <v/>
      </c>
    </row>
    <row r="2440">
      <c r="A2440" s="17"/>
      <c r="B2440" s="85"/>
      <c r="C2440" s="17"/>
      <c r="D2440" s="85"/>
      <c r="E2440" s="17"/>
      <c r="F2440" s="17"/>
      <c r="G2440" s="17"/>
      <c r="I2440" s="17"/>
      <c r="K2440" s="17"/>
      <c r="L2440" s="17"/>
      <c r="M2440" s="17"/>
      <c r="O2440" s="14">
        <f t="shared" si="1"/>
        <v>0</v>
      </c>
      <c r="P2440" s="86" t="str">
        <f t="array" ref="P2440">iferror(XLOOKUP(C2440,'Download of SFDC Activation Rep'!B:B,'Download of SFDC Activation Rep'!Z:Z),"")</f>
        <v/>
      </c>
      <c r="Q2440" s="86" t="str">
        <f t="shared" si="2"/>
        <v/>
      </c>
      <c r="R2440" s="13" t="str">
        <f t="shared" si="3"/>
        <v>Yes</v>
      </c>
      <c r="S2440" s="86" t="str">
        <f t="array" ref="S2440">iferror(XLOOKUP(C2440,'Download of SFDC Activation Rep'!B:B,'Download of SFDC Activation Rep'!Y:Y),"")</f>
        <v/>
      </c>
    </row>
    <row r="2441">
      <c r="A2441" s="17"/>
      <c r="B2441" s="85"/>
      <c r="C2441" s="17"/>
      <c r="D2441" s="85"/>
      <c r="E2441" s="17"/>
      <c r="F2441" s="17"/>
      <c r="G2441" s="17"/>
      <c r="I2441" s="17"/>
      <c r="K2441" s="17"/>
      <c r="L2441" s="17"/>
      <c r="M2441" s="17"/>
      <c r="O2441" s="14">
        <f t="shared" si="1"/>
        <v>0</v>
      </c>
      <c r="P2441" s="86" t="str">
        <f t="array" ref="P2441">iferror(XLOOKUP(C2441,'Download of SFDC Activation Rep'!B:B,'Download of SFDC Activation Rep'!Z:Z),"")</f>
        <v/>
      </c>
      <c r="Q2441" s="86" t="str">
        <f t="shared" si="2"/>
        <v/>
      </c>
      <c r="R2441" s="13" t="str">
        <f t="shared" si="3"/>
        <v>Yes</v>
      </c>
      <c r="S2441" s="86" t="str">
        <f t="array" ref="S2441">iferror(XLOOKUP(C2441,'Download of SFDC Activation Rep'!B:B,'Download of SFDC Activation Rep'!Y:Y),"")</f>
        <v/>
      </c>
    </row>
    <row r="2442">
      <c r="A2442" s="17"/>
      <c r="B2442" s="85"/>
      <c r="C2442" s="17"/>
      <c r="D2442" s="85"/>
      <c r="E2442" s="17"/>
      <c r="F2442" s="17"/>
      <c r="G2442" s="17"/>
      <c r="I2442" s="17"/>
      <c r="K2442" s="17"/>
      <c r="L2442" s="17"/>
      <c r="M2442" s="17"/>
      <c r="O2442" s="14">
        <f t="shared" si="1"/>
        <v>0</v>
      </c>
      <c r="P2442" s="86" t="str">
        <f t="array" ref="P2442">iferror(XLOOKUP(C2442,'Download of SFDC Activation Rep'!B:B,'Download of SFDC Activation Rep'!Z:Z),"")</f>
        <v/>
      </c>
      <c r="Q2442" s="86" t="str">
        <f t="shared" si="2"/>
        <v/>
      </c>
      <c r="R2442" s="13" t="str">
        <f t="shared" si="3"/>
        <v>Yes</v>
      </c>
      <c r="S2442" s="86" t="str">
        <f t="array" ref="S2442">iferror(XLOOKUP(C2442,'Download of SFDC Activation Rep'!B:B,'Download of SFDC Activation Rep'!Y:Y),"")</f>
        <v/>
      </c>
    </row>
    <row r="2443">
      <c r="A2443" s="17"/>
      <c r="B2443" s="85"/>
      <c r="C2443" s="17"/>
      <c r="D2443" s="85"/>
      <c r="E2443" s="17"/>
      <c r="F2443" s="17"/>
      <c r="G2443" s="17"/>
      <c r="I2443" s="17"/>
      <c r="K2443" s="17"/>
      <c r="L2443" s="17"/>
      <c r="M2443" s="17"/>
      <c r="O2443" s="14">
        <f t="shared" si="1"/>
        <v>0</v>
      </c>
      <c r="P2443" s="86" t="str">
        <f t="array" ref="P2443">iferror(XLOOKUP(C2443,'Download of SFDC Activation Rep'!B:B,'Download of SFDC Activation Rep'!Z:Z),"")</f>
        <v/>
      </c>
      <c r="Q2443" s="86" t="str">
        <f t="shared" si="2"/>
        <v/>
      </c>
      <c r="R2443" s="13" t="str">
        <f t="shared" si="3"/>
        <v>Yes</v>
      </c>
      <c r="S2443" s="86" t="str">
        <f t="array" ref="S2443">iferror(XLOOKUP(C2443,'Download of SFDC Activation Rep'!B:B,'Download of SFDC Activation Rep'!Y:Y),"")</f>
        <v/>
      </c>
    </row>
    <row r="2444">
      <c r="A2444" s="17"/>
      <c r="B2444" s="85"/>
      <c r="C2444" s="17"/>
      <c r="D2444" s="85"/>
      <c r="E2444" s="17"/>
      <c r="F2444" s="17"/>
      <c r="G2444" s="17"/>
      <c r="I2444" s="17"/>
      <c r="K2444" s="17"/>
      <c r="L2444" s="17"/>
      <c r="M2444" s="17"/>
      <c r="O2444" s="14">
        <f t="shared" si="1"/>
        <v>0</v>
      </c>
      <c r="P2444" s="86" t="str">
        <f t="array" ref="P2444">iferror(XLOOKUP(C2444,'Download of SFDC Activation Rep'!B:B,'Download of SFDC Activation Rep'!Z:Z),"")</f>
        <v/>
      </c>
      <c r="Q2444" s="86" t="str">
        <f t="shared" si="2"/>
        <v/>
      </c>
      <c r="R2444" s="13" t="str">
        <f t="shared" si="3"/>
        <v>Yes</v>
      </c>
      <c r="S2444" s="86" t="str">
        <f t="array" ref="S2444">iferror(XLOOKUP(C2444,'Download of SFDC Activation Rep'!B:B,'Download of SFDC Activation Rep'!Y:Y),"")</f>
        <v/>
      </c>
    </row>
    <row r="2445">
      <c r="A2445" s="17"/>
      <c r="B2445" s="85"/>
      <c r="C2445" s="17"/>
      <c r="D2445" s="85"/>
      <c r="E2445" s="17"/>
      <c r="F2445" s="17"/>
      <c r="G2445" s="17"/>
      <c r="I2445" s="17"/>
      <c r="K2445" s="17"/>
      <c r="L2445" s="17"/>
      <c r="M2445" s="17"/>
      <c r="O2445" s="14">
        <f t="shared" si="1"/>
        <v>0</v>
      </c>
      <c r="P2445" s="86" t="str">
        <f t="array" ref="P2445">iferror(XLOOKUP(C2445,'Download of SFDC Activation Rep'!B:B,'Download of SFDC Activation Rep'!Z:Z),"")</f>
        <v/>
      </c>
      <c r="Q2445" s="86" t="str">
        <f t="shared" si="2"/>
        <v/>
      </c>
      <c r="R2445" s="13" t="str">
        <f t="shared" si="3"/>
        <v>Yes</v>
      </c>
      <c r="S2445" s="86" t="str">
        <f t="array" ref="S2445">iferror(XLOOKUP(C2445,'Download of SFDC Activation Rep'!B:B,'Download of SFDC Activation Rep'!Y:Y),"")</f>
        <v/>
      </c>
    </row>
    <row r="2446">
      <c r="A2446" s="17"/>
      <c r="B2446" s="85"/>
      <c r="C2446" s="17"/>
      <c r="D2446" s="85"/>
      <c r="E2446" s="17"/>
      <c r="F2446" s="17"/>
      <c r="G2446" s="17"/>
      <c r="I2446" s="17"/>
      <c r="K2446" s="17"/>
      <c r="L2446" s="17"/>
      <c r="M2446" s="17"/>
      <c r="O2446" s="14">
        <f t="shared" si="1"/>
        <v>0</v>
      </c>
      <c r="P2446" s="86" t="str">
        <f t="array" ref="P2446">iferror(XLOOKUP(C2446,'Download of SFDC Activation Rep'!B:B,'Download of SFDC Activation Rep'!Z:Z),"")</f>
        <v/>
      </c>
      <c r="Q2446" s="86" t="str">
        <f t="shared" si="2"/>
        <v/>
      </c>
      <c r="R2446" s="13" t="str">
        <f t="shared" si="3"/>
        <v>Yes</v>
      </c>
      <c r="S2446" s="86" t="str">
        <f t="array" ref="S2446">iferror(XLOOKUP(C2446,'Download of SFDC Activation Rep'!B:B,'Download of SFDC Activation Rep'!Y:Y),"")</f>
        <v/>
      </c>
    </row>
    <row r="2447">
      <c r="A2447" s="17"/>
      <c r="B2447" s="85"/>
      <c r="C2447" s="17"/>
      <c r="D2447" s="85"/>
      <c r="E2447" s="17"/>
      <c r="F2447" s="17"/>
      <c r="G2447" s="17"/>
      <c r="I2447" s="17"/>
      <c r="K2447" s="17"/>
      <c r="L2447" s="17"/>
      <c r="M2447" s="17"/>
      <c r="O2447" s="14">
        <f t="shared" si="1"/>
        <v>0</v>
      </c>
      <c r="P2447" s="86" t="str">
        <f t="array" ref="P2447">iferror(XLOOKUP(C2447,'Download of SFDC Activation Rep'!B:B,'Download of SFDC Activation Rep'!Z:Z),"")</f>
        <v/>
      </c>
      <c r="Q2447" s="86" t="str">
        <f t="shared" si="2"/>
        <v/>
      </c>
      <c r="R2447" s="13" t="str">
        <f t="shared" si="3"/>
        <v>Yes</v>
      </c>
      <c r="S2447" s="86" t="str">
        <f t="array" ref="S2447">iferror(XLOOKUP(C2447,'Download of SFDC Activation Rep'!B:B,'Download of SFDC Activation Rep'!Y:Y),"")</f>
        <v/>
      </c>
    </row>
    <row r="2448">
      <c r="A2448" s="17"/>
      <c r="B2448" s="85"/>
      <c r="C2448" s="17"/>
      <c r="D2448" s="85"/>
      <c r="E2448" s="17"/>
      <c r="F2448" s="17"/>
      <c r="G2448" s="17"/>
      <c r="I2448" s="17"/>
      <c r="K2448" s="17"/>
      <c r="L2448" s="17"/>
      <c r="M2448" s="17"/>
      <c r="O2448" s="14">
        <f t="shared" si="1"/>
        <v>0</v>
      </c>
      <c r="P2448" s="86" t="str">
        <f t="array" ref="P2448">iferror(XLOOKUP(C2448,'Download of SFDC Activation Rep'!B:B,'Download of SFDC Activation Rep'!Z:Z),"")</f>
        <v/>
      </c>
      <c r="Q2448" s="86" t="str">
        <f t="shared" si="2"/>
        <v/>
      </c>
      <c r="R2448" s="13" t="str">
        <f t="shared" si="3"/>
        <v>Yes</v>
      </c>
      <c r="S2448" s="86" t="str">
        <f t="array" ref="S2448">iferror(XLOOKUP(C2448,'Download of SFDC Activation Rep'!B:B,'Download of SFDC Activation Rep'!Y:Y),"")</f>
        <v/>
      </c>
    </row>
    <row r="2449">
      <c r="A2449" s="17"/>
      <c r="B2449" s="85"/>
      <c r="C2449" s="17"/>
      <c r="D2449" s="85"/>
      <c r="E2449" s="17"/>
      <c r="F2449" s="17"/>
      <c r="G2449" s="17"/>
      <c r="I2449" s="17"/>
      <c r="K2449" s="17"/>
      <c r="L2449" s="17"/>
      <c r="M2449" s="17"/>
      <c r="O2449" s="14">
        <f t="shared" si="1"/>
        <v>0</v>
      </c>
      <c r="P2449" s="86" t="str">
        <f t="array" ref="P2449">iferror(XLOOKUP(C2449,'Download of SFDC Activation Rep'!B:B,'Download of SFDC Activation Rep'!Z:Z),"")</f>
        <v/>
      </c>
      <c r="Q2449" s="86" t="str">
        <f t="shared" si="2"/>
        <v/>
      </c>
      <c r="R2449" s="13" t="str">
        <f t="shared" si="3"/>
        <v>Yes</v>
      </c>
      <c r="S2449" s="86" t="str">
        <f t="array" ref="S2449">iferror(XLOOKUP(C2449,'Download of SFDC Activation Rep'!B:B,'Download of SFDC Activation Rep'!Y:Y),"")</f>
        <v/>
      </c>
    </row>
    <row r="2450">
      <c r="A2450" s="17"/>
      <c r="B2450" s="85"/>
      <c r="C2450" s="17"/>
      <c r="D2450" s="85"/>
      <c r="E2450" s="17"/>
      <c r="F2450" s="17"/>
      <c r="G2450" s="17"/>
      <c r="I2450" s="17"/>
      <c r="K2450" s="17"/>
      <c r="L2450" s="17"/>
      <c r="M2450" s="17"/>
      <c r="O2450" s="14">
        <f t="shared" si="1"/>
        <v>0</v>
      </c>
      <c r="P2450" s="86" t="str">
        <f t="array" ref="P2450">iferror(XLOOKUP(C2450,'Download of SFDC Activation Rep'!B:B,'Download of SFDC Activation Rep'!Z:Z),"")</f>
        <v/>
      </c>
      <c r="Q2450" s="86" t="str">
        <f t="shared" si="2"/>
        <v/>
      </c>
      <c r="R2450" s="13" t="str">
        <f t="shared" si="3"/>
        <v>Yes</v>
      </c>
      <c r="S2450" s="86" t="str">
        <f t="array" ref="S2450">iferror(XLOOKUP(C2450,'Download of SFDC Activation Rep'!B:B,'Download of SFDC Activation Rep'!Y:Y),"")</f>
        <v/>
      </c>
    </row>
    <row r="2451">
      <c r="A2451" s="17"/>
      <c r="B2451" s="85"/>
      <c r="C2451" s="17"/>
      <c r="D2451" s="85"/>
      <c r="E2451" s="17"/>
      <c r="F2451" s="17"/>
      <c r="G2451" s="17"/>
      <c r="I2451" s="17"/>
      <c r="K2451" s="17"/>
      <c r="L2451" s="17"/>
      <c r="M2451" s="17"/>
      <c r="O2451" s="14">
        <f t="shared" si="1"/>
        <v>0</v>
      </c>
      <c r="P2451" s="86" t="str">
        <f t="array" ref="P2451">iferror(XLOOKUP(C2451,'Download of SFDC Activation Rep'!B:B,'Download of SFDC Activation Rep'!Z:Z),"")</f>
        <v/>
      </c>
      <c r="Q2451" s="86" t="str">
        <f t="shared" si="2"/>
        <v/>
      </c>
      <c r="R2451" s="13" t="str">
        <f t="shared" si="3"/>
        <v>Yes</v>
      </c>
      <c r="S2451" s="86" t="str">
        <f t="array" ref="S2451">iferror(XLOOKUP(C2451,'Download of SFDC Activation Rep'!B:B,'Download of SFDC Activation Rep'!Y:Y),"")</f>
        <v/>
      </c>
    </row>
    <row r="2452">
      <c r="A2452" s="17"/>
      <c r="B2452" s="85"/>
      <c r="C2452" s="17"/>
      <c r="D2452" s="85"/>
      <c r="E2452" s="17"/>
      <c r="F2452" s="17"/>
      <c r="G2452" s="17"/>
      <c r="I2452" s="17"/>
      <c r="K2452" s="17"/>
      <c r="L2452" s="17"/>
      <c r="M2452" s="17"/>
      <c r="O2452" s="14">
        <f t="shared" si="1"/>
        <v>0</v>
      </c>
      <c r="P2452" s="86" t="str">
        <f t="array" ref="P2452">iferror(XLOOKUP(C2452,'Download of SFDC Activation Rep'!B:B,'Download of SFDC Activation Rep'!Z:Z),"")</f>
        <v/>
      </c>
      <c r="Q2452" s="86" t="str">
        <f t="shared" si="2"/>
        <v/>
      </c>
      <c r="R2452" s="13" t="str">
        <f t="shared" si="3"/>
        <v>Yes</v>
      </c>
      <c r="S2452" s="86" t="str">
        <f t="array" ref="S2452">iferror(XLOOKUP(C2452,'Download of SFDC Activation Rep'!B:B,'Download of SFDC Activation Rep'!Y:Y),"")</f>
        <v/>
      </c>
    </row>
    <row r="2453">
      <c r="A2453" s="17"/>
      <c r="B2453" s="85"/>
      <c r="C2453" s="17"/>
      <c r="D2453" s="85"/>
      <c r="E2453" s="17"/>
      <c r="F2453" s="17"/>
      <c r="G2453" s="17"/>
      <c r="I2453" s="17"/>
      <c r="K2453" s="17"/>
      <c r="L2453" s="17"/>
      <c r="M2453" s="17"/>
      <c r="O2453" s="14">
        <f t="shared" si="1"/>
        <v>0</v>
      </c>
      <c r="P2453" s="86" t="str">
        <f t="array" ref="P2453">iferror(XLOOKUP(C2453,'Download of SFDC Activation Rep'!B:B,'Download of SFDC Activation Rep'!Z:Z),"")</f>
        <v/>
      </c>
      <c r="Q2453" s="86" t="str">
        <f t="shared" si="2"/>
        <v/>
      </c>
      <c r="R2453" s="13" t="str">
        <f t="shared" si="3"/>
        <v>Yes</v>
      </c>
      <c r="S2453" s="86" t="str">
        <f t="array" ref="S2453">iferror(XLOOKUP(C2453,'Download of SFDC Activation Rep'!B:B,'Download of SFDC Activation Rep'!Y:Y),"")</f>
        <v/>
      </c>
    </row>
    <row r="2454">
      <c r="A2454" s="17"/>
      <c r="B2454" s="85"/>
      <c r="C2454" s="17"/>
      <c r="D2454" s="85"/>
      <c r="E2454" s="17"/>
      <c r="F2454" s="17"/>
      <c r="G2454" s="17"/>
      <c r="I2454" s="17"/>
      <c r="K2454" s="17"/>
      <c r="L2454" s="17"/>
      <c r="M2454" s="17"/>
      <c r="O2454" s="14">
        <f t="shared" si="1"/>
        <v>0</v>
      </c>
      <c r="P2454" s="86" t="str">
        <f t="array" ref="P2454">iferror(XLOOKUP(C2454,'Download of SFDC Activation Rep'!B:B,'Download of SFDC Activation Rep'!Z:Z),"")</f>
        <v/>
      </c>
      <c r="Q2454" s="86" t="str">
        <f t="shared" si="2"/>
        <v/>
      </c>
      <c r="R2454" s="13" t="str">
        <f t="shared" si="3"/>
        <v>Yes</v>
      </c>
      <c r="S2454" s="86" t="str">
        <f t="array" ref="S2454">iferror(XLOOKUP(C2454,'Download of SFDC Activation Rep'!B:B,'Download of SFDC Activation Rep'!Y:Y),"")</f>
        <v/>
      </c>
    </row>
    <row r="2455">
      <c r="A2455" s="17"/>
      <c r="B2455" s="85"/>
      <c r="C2455" s="17"/>
      <c r="D2455" s="85"/>
      <c r="E2455" s="17"/>
      <c r="F2455" s="17"/>
      <c r="G2455" s="17"/>
      <c r="I2455" s="17"/>
      <c r="K2455" s="17"/>
      <c r="L2455" s="17"/>
      <c r="M2455" s="17"/>
      <c r="O2455" s="14">
        <f t="shared" si="1"/>
        <v>0</v>
      </c>
      <c r="P2455" s="86" t="str">
        <f t="array" ref="P2455">iferror(XLOOKUP(C2455,'Download of SFDC Activation Rep'!B:B,'Download of SFDC Activation Rep'!Z:Z),"")</f>
        <v/>
      </c>
      <c r="Q2455" s="86" t="str">
        <f t="shared" si="2"/>
        <v/>
      </c>
      <c r="R2455" s="13" t="str">
        <f t="shared" si="3"/>
        <v>Yes</v>
      </c>
      <c r="S2455" s="86" t="str">
        <f t="array" ref="S2455">iferror(XLOOKUP(C2455,'Download of SFDC Activation Rep'!B:B,'Download of SFDC Activation Rep'!Y:Y),"")</f>
        <v/>
      </c>
    </row>
    <row r="2456">
      <c r="A2456" s="17"/>
      <c r="B2456" s="85"/>
      <c r="C2456" s="17"/>
      <c r="D2456" s="85"/>
      <c r="E2456" s="17"/>
      <c r="F2456" s="17"/>
      <c r="G2456" s="17"/>
      <c r="I2456" s="17"/>
      <c r="K2456" s="17"/>
      <c r="L2456" s="17"/>
      <c r="M2456" s="17"/>
      <c r="O2456" s="14">
        <f t="shared" si="1"/>
        <v>0</v>
      </c>
      <c r="P2456" s="86" t="str">
        <f t="array" ref="P2456">iferror(XLOOKUP(C2456,'Download of SFDC Activation Rep'!B:B,'Download of SFDC Activation Rep'!Z:Z),"")</f>
        <v/>
      </c>
      <c r="Q2456" s="86" t="str">
        <f t="shared" si="2"/>
        <v/>
      </c>
      <c r="R2456" s="13" t="str">
        <f t="shared" si="3"/>
        <v>Yes</v>
      </c>
      <c r="S2456" s="86" t="str">
        <f t="array" ref="S2456">iferror(XLOOKUP(C2456,'Download of SFDC Activation Rep'!B:B,'Download of SFDC Activation Rep'!Y:Y),"")</f>
        <v/>
      </c>
    </row>
    <row r="2457">
      <c r="A2457" s="17"/>
      <c r="B2457" s="85"/>
      <c r="C2457" s="17"/>
      <c r="D2457" s="85"/>
      <c r="E2457" s="17"/>
      <c r="F2457" s="17"/>
      <c r="G2457" s="17"/>
      <c r="I2457" s="17"/>
      <c r="K2457" s="17"/>
      <c r="L2457" s="17"/>
      <c r="M2457" s="17"/>
      <c r="O2457" s="14">
        <f t="shared" si="1"/>
        <v>0</v>
      </c>
      <c r="P2457" s="86" t="str">
        <f t="array" ref="P2457">iferror(XLOOKUP(C2457,'Download of SFDC Activation Rep'!B:B,'Download of SFDC Activation Rep'!Z:Z),"")</f>
        <v/>
      </c>
      <c r="Q2457" s="86" t="str">
        <f t="shared" si="2"/>
        <v/>
      </c>
      <c r="R2457" s="13" t="str">
        <f t="shared" si="3"/>
        <v>Yes</v>
      </c>
      <c r="S2457" s="86" t="str">
        <f t="array" ref="S2457">iferror(XLOOKUP(C2457,'Download of SFDC Activation Rep'!B:B,'Download of SFDC Activation Rep'!Y:Y),"")</f>
        <v/>
      </c>
    </row>
    <row r="2458">
      <c r="A2458" s="17"/>
      <c r="B2458" s="85"/>
      <c r="C2458" s="17"/>
      <c r="D2458" s="85"/>
      <c r="E2458" s="17"/>
      <c r="F2458" s="17"/>
      <c r="G2458" s="17"/>
      <c r="I2458" s="17"/>
      <c r="K2458" s="17"/>
      <c r="L2458" s="17"/>
      <c r="M2458" s="17"/>
      <c r="O2458" s="14">
        <f t="shared" si="1"/>
        <v>0</v>
      </c>
      <c r="P2458" s="86" t="str">
        <f t="array" ref="P2458">iferror(XLOOKUP(C2458,'Download of SFDC Activation Rep'!B:B,'Download of SFDC Activation Rep'!Z:Z),"")</f>
        <v/>
      </c>
      <c r="Q2458" s="86" t="str">
        <f t="shared" si="2"/>
        <v/>
      </c>
      <c r="R2458" s="13" t="str">
        <f t="shared" si="3"/>
        <v>Yes</v>
      </c>
      <c r="S2458" s="86" t="str">
        <f t="array" ref="S2458">iferror(XLOOKUP(C2458,'Download of SFDC Activation Rep'!B:B,'Download of SFDC Activation Rep'!Y:Y),"")</f>
        <v/>
      </c>
    </row>
    <row r="2459">
      <c r="A2459" s="17"/>
      <c r="B2459" s="85"/>
      <c r="C2459" s="17"/>
      <c r="D2459" s="85"/>
      <c r="E2459" s="17"/>
      <c r="F2459" s="17"/>
      <c r="G2459" s="17"/>
      <c r="I2459" s="17"/>
      <c r="K2459" s="17"/>
      <c r="L2459" s="17"/>
      <c r="M2459" s="17"/>
      <c r="O2459" s="14">
        <f t="shared" si="1"/>
        <v>0</v>
      </c>
      <c r="P2459" s="86" t="str">
        <f t="array" ref="P2459">iferror(XLOOKUP(C2459,'Download of SFDC Activation Rep'!B:B,'Download of SFDC Activation Rep'!Z:Z),"")</f>
        <v/>
      </c>
      <c r="Q2459" s="86" t="str">
        <f t="shared" si="2"/>
        <v/>
      </c>
      <c r="R2459" s="13" t="str">
        <f t="shared" si="3"/>
        <v>Yes</v>
      </c>
      <c r="S2459" s="86" t="str">
        <f t="array" ref="S2459">iferror(XLOOKUP(C2459,'Download of SFDC Activation Rep'!B:B,'Download of SFDC Activation Rep'!Y:Y),"")</f>
        <v/>
      </c>
    </row>
    <row r="2460">
      <c r="A2460" s="17"/>
      <c r="B2460" s="85"/>
      <c r="C2460" s="17"/>
      <c r="D2460" s="85"/>
      <c r="E2460" s="17"/>
      <c r="F2460" s="17"/>
      <c r="G2460" s="17"/>
      <c r="I2460" s="17"/>
      <c r="K2460" s="17"/>
      <c r="L2460" s="17"/>
      <c r="M2460" s="17"/>
      <c r="O2460" s="14">
        <f t="shared" si="1"/>
        <v>0</v>
      </c>
      <c r="P2460" s="86" t="str">
        <f t="array" ref="P2460">iferror(XLOOKUP(C2460,'Download of SFDC Activation Rep'!B:B,'Download of SFDC Activation Rep'!Z:Z),"")</f>
        <v/>
      </c>
      <c r="Q2460" s="86" t="str">
        <f t="shared" si="2"/>
        <v/>
      </c>
      <c r="R2460" s="13" t="str">
        <f t="shared" si="3"/>
        <v>Yes</v>
      </c>
      <c r="S2460" s="86" t="str">
        <f t="array" ref="S2460">iferror(XLOOKUP(C2460,'Download of SFDC Activation Rep'!B:B,'Download of SFDC Activation Rep'!Y:Y),"")</f>
        <v/>
      </c>
    </row>
    <row r="2461">
      <c r="A2461" s="17"/>
      <c r="B2461" s="85"/>
      <c r="C2461" s="17"/>
      <c r="D2461" s="85"/>
      <c r="E2461" s="17"/>
      <c r="F2461" s="17"/>
      <c r="G2461" s="17"/>
      <c r="I2461" s="17"/>
      <c r="K2461" s="17"/>
      <c r="L2461" s="17"/>
      <c r="M2461" s="17"/>
      <c r="O2461" s="14">
        <f t="shared" si="1"/>
        <v>0</v>
      </c>
      <c r="P2461" s="86" t="str">
        <f t="array" ref="P2461">iferror(XLOOKUP(C2461,'Download of SFDC Activation Rep'!B:B,'Download of SFDC Activation Rep'!Z:Z),"")</f>
        <v/>
      </c>
      <c r="Q2461" s="86" t="str">
        <f t="shared" si="2"/>
        <v/>
      </c>
      <c r="R2461" s="13" t="str">
        <f t="shared" si="3"/>
        <v>Yes</v>
      </c>
      <c r="S2461" s="86" t="str">
        <f t="array" ref="S2461">iferror(XLOOKUP(C2461,'Download of SFDC Activation Rep'!B:B,'Download of SFDC Activation Rep'!Y:Y),"")</f>
        <v/>
      </c>
    </row>
    <row r="2462">
      <c r="A2462" s="17"/>
      <c r="B2462" s="85"/>
      <c r="C2462" s="17"/>
      <c r="D2462" s="85"/>
      <c r="E2462" s="17"/>
      <c r="F2462" s="17"/>
      <c r="G2462" s="17"/>
      <c r="I2462" s="17"/>
      <c r="K2462" s="17"/>
      <c r="L2462" s="17"/>
      <c r="M2462" s="17"/>
      <c r="O2462" s="14">
        <f t="shared" si="1"/>
        <v>0</v>
      </c>
      <c r="P2462" s="86" t="str">
        <f t="array" ref="P2462">iferror(XLOOKUP(C2462,'Download of SFDC Activation Rep'!B:B,'Download of SFDC Activation Rep'!Z:Z),"")</f>
        <v/>
      </c>
      <c r="Q2462" s="86" t="str">
        <f t="shared" si="2"/>
        <v/>
      </c>
      <c r="R2462" s="13" t="str">
        <f t="shared" si="3"/>
        <v>Yes</v>
      </c>
      <c r="S2462" s="86" t="str">
        <f t="array" ref="S2462">iferror(XLOOKUP(C2462,'Download of SFDC Activation Rep'!B:B,'Download of SFDC Activation Rep'!Y:Y),"")</f>
        <v/>
      </c>
    </row>
    <row r="2463">
      <c r="A2463" s="17"/>
      <c r="B2463" s="85"/>
      <c r="C2463" s="17"/>
      <c r="D2463" s="85"/>
      <c r="E2463" s="17"/>
      <c r="F2463" s="17"/>
      <c r="G2463" s="17"/>
      <c r="I2463" s="17"/>
      <c r="K2463" s="17"/>
      <c r="L2463" s="17"/>
      <c r="M2463" s="17"/>
      <c r="O2463" s="14">
        <f t="shared" si="1"/>
        <v>0</v>
      </c>
      <c r="P2463" s="86" t="str">
        <f t="array" ref="P2463">iferror(XLOOKUP(C2463,'Download of SFDC Activation Rep'!B:B,'Download of SFDC Activation Rep'!Z:Z),"")</f>
        <v/>
      </c>
      <c r="Q2463" s="86" t="str">
        <f t="shared" si="2"/>
        <v/>
      </c>
      <c r="R2463" s="13" t="str">
        <f t="shared" si="3"/>
        <v>Yes</v>
      </c>
      <c r="S2463" s="86" t="str">
        <f t="array" ref="S2463">iferror(XLOOKUP(C2463,'Download of SFDC Activation Rep'!B:B,'Download of SFDC Activation Rep'!Y:Y),"")</f>
        <v/>
      </c>
    </row>
    <row r="2464">
      <c r="A2464" s="17"/>
      <c r="B2464" s="85"/>
      <c r="C2464" s="17"/>
      <c r="D2464" s="85"/>
      <c r="E2464" s="17"/>
      <c r="F2464" s="17"/>
      <c r="G2464" s="17"/>
      <c r="I2464" s="17"/>
      <c r="K2464" s="17"/>
      <c r="L2464" s="17"/>
      <c r="M2464" s="17"/>
      <c r="O2464" s="14">
        <f t="shared" si="1"/>
        <v>0</v>
      </c>
      <c r="P2464" s="86" t="str">
        <f t="array" ref="P2464">iferror(XLOOKUP(C2464,'Download of SFDC Activation Rep'!B:B,'Download of SFDC Activation Rep'!Z:Z),"")</f>
        <v/>
      </c>
      <c r="Q2464" s="86" t="str">
        <f t="shared" si="2"/>
        <v/>
      </c>
      <c r="R2464" s="13" t="str">
        <f t="shared" si="3"/>
        <v>Yes</v>
      </c>
      <c r="S2464" s="86" t="str">
        <f t="array" ref="S2464">iferror(XLOOKUP(C2464,'Download of SFDC Activation Rep'!B:B,'Download of SFDC Activation Rep'!Y:Y),"")</f>
        <v/>
      </c>
    </row>
    <row r="2465">
      <c r="A2465" s="17"/>
      <c r="B2465" s="85"/>
      <c r="C2465" s="17"/>
      <c r="D2465" s="85"/>
      <c r="E2465" s="17"/>
      <c r="F2465" s="17"/>
      <c r="G2465" s="17"/>
      <c r="I2465" s="17"/>
      <c r="K2465" s="17"/>
      <c r="L2465" s="17"/>
      <c r="M2465" s="17"/>
      <c r="O2465" s="14">
        <f t="shared" si="1"/>
        <v>0</v>
      </c>
      <c r="P2465" s="86" t="str">
        <f t="array" ref="P2465">iferror(XLOOKUP(C2465,'Download of SFDC Activation Rep'!B:B,'Download of SFDC Activation Rep'!Z:Z),"")</f>
        <v/>
      </c>
      <c r="Q2465" s="86" t="str">
        <f t="shared" si="2"/>
        <v/>
      </c>
      <c r="R2465" s="13" t="str">
        <f t="shared" si="3"/>
        <v>Yes</v>
      </c>
      <c r="S2465" s="86" t="str">
        <f t="array" ref="S2465">iferror(XLOOKUP(C2465,'Download of SFDC Activation Rep'!B:B,'Download of SFDC Activation Rep'!Y:Y),"")</f>
        <v/>
      </c>
    </row>
    <row r="2466">
      <c r="A2466" s="17"/>
      <c r="B2466" s="85"/>
      <c r="C2466" s="17"/>
      <c r="D2466" s="85"/>
      <c r="E2466" s="17"/>
      <c r="F2466" s="17"/>
      <c r="G2466" s="17"/>
      <c r="I2466" s="17"/>
      <c r="K2466" s="17"/>
      <c r="L2466" s="17"/>
      <c r="M2466" s="17"/>
      <c r="O2466" s="14">
        <f t="shared" si="1"/>
        <v>0</v>
      </c>
      <c r="P2466" s="86" t="str">
        <f t="array" ref="P2466">iferror(XLOOKUP(C2466,'Download of SFDC Activation Rep'!B:B,'Download of SFDC Activation Rep'!Z:Z),"")</f>
        <v/>
      </c>
      <c r="Q2466" s="86" t="str">
        <f t="shared" si="2"/>
        <v/>
      </c>
      <c r="R2466" s="13" t="str">
        <f t="shared" si="3"/>
        <v>Yes</v>
      </c>
      <c r="S2466" s="86" t="str">
        <f t="array" ref="S2466">iferror(XLOOKUP(C2466,'Download of SFDC Activation Rep'!B:B,'Download of SFDC Activation Rep'!Y:Y),"")</f>
        <v/>
      </c>
    </row>
    <row r="2467">
      <c r="A2467" s="17"/>
      <c r="B2467" s="85"/>
      <c r="C2467" s="17"/>
      <c r="D2467" s="85"/>
      <c r="E2467" s="17"/>
      <c r="F2467" s="17"/>
      <c r="G2467" s="17"/>
      <c r="I2467" s="17"/>
      <c r="K2467" s="17"/>
      <c r="L2467" s="17"/>
      <c r="M2467" s="17"/>
      <c r="O2467" s="14">
        <f t="shared" si="1"/>
        <v>0</v>
      </c>
      <c r="P2467" s="86" t="str">
        <f t="array" ref="P2467">iferror(XLOOKUP(C2467,'Download of SFDC Activation Rep'!B:B,'Download of SFDC Activation Rep'!Z:Z),"")</f>
        <v/>
      </c>
      <c r="Q2467" s="86" t="str">
        <f t="shared" si="2"/>
        <v/>
      </c>
      <c r="R2467" s="13" t="str">
        <f t="shared" si="3"/>
        <v>Yes</v>
      </c>
      <c r="S2467" s="86" t="str">
        <f t="array" ref="S2467">iferror(XLOOKUP(C2467,'Download of SFDC Activation Rep'!B:B,'Download of SFDC Activation Rep'!Y:Y),"")</f>
        <v/>
      </c>
    </row>
    <row r="2468">
      <c r="A2468" s="17"/>
      <c r="B2468" s="85"/>
      <c r="C2468" s="17"/>
      <c r="D2468" s="85"/>
      <c r="E2468" s="17"/>
      <c r="F2468" s="17"/>
      <c r="G2468" s="17"/>
      <c r="I2468" s="17"/>
      <c r="K2468" s="17"/>
      <c r="L2468" s="17"/>
      <c r="M2468" s="17"/>
      <c r="O2468" s="14">
        <f t="shared" si="1"/>
        <v>0</v>
      </c>
      <c r="P2468" s="86" t="str">
        <f t="array" ref="P2468">iferror(XLOOKUP(C2468,'Download of SFDC Activation Rep'!B:B,'Download of SFDC Activation Rep'!Z:Z),"")</f>
        <v/>
      </c>
      <c r="Q2468" s="86" t="str">
        <f t="shared" si="2"/>
        <v/>
      </c>
      <c r="R2468" s="13" t="str">
        <f t="shared" si="3"/>
        <v>Yes</v>
      </c>
      <c r="S2468" s="86" t="str">
        <f t="array" ref="S2468">iferror(XLOOKUP(C2468,'Download of SFDC Activation Rep'!B:B,'Download of SFDC Activation Rep'!Y:Y),"")</f>
        <v/>
      </c>
    </row>
    <row r="2469">
      <c r="A2469" s="17"/>
      <c r="B2469" s="85"/>
      <c r="C2469" s="17"/>
      <c r="D2469" s="85"/>
      <c r="E2469" s="17"/>
      <c r="F2469" s="17"/>
      <c r="G2469" s="17"/>
      <c r="I2469" s="17"/>
      <c r="K2469" s="17"/>
      <c r="L2469" s="17"/>
      <c r="M2469" s="17"/>
      <c r="O2469" s="14">
        <f t="shared" si="1"/>
        <v>0</v>
      </c>
      <c r="P2469" s="86" t="str">
        <f t="array" ref="P2469">iferror(XLOOKUP(C2469,'Download of SFDC Activation Rep'!B:B,'Download of SFDC Activation Rep'!Z:Z),"")</f>
        <v/>
      </c>
      <c r="Q2469" s="86" t="str">
        <f t="shared" si="2"/>
        <v/>
      </c>
      <c r="R2469" s="13" t="str">
        <f t="shared" si="3"/>
        <v>Yes</v>
      </c>
      <c r="S2469" s="86" t="str">
        <f t="array" ref="S2469">iferror(XLOOKUP(C2469,'Download of SFDC Activation Rep'!B:B,'Download of SFDC Activation Rep'!Y:Y),"")</f>
        <v/>
      </c>
    </row>
    <row r="2470">
      <c r="A2470" s="17"/>
      <c r="B2470" s="85"/>
      <c r="C2470" s="17"/>
      <c r="D2470" s="85"/>
      <c r="E2470" s="17"/>
      <c r="F2470" s="17"/>
      <c r="G2470" s="17"/>
      <c r="I2470" s="17"/>
      <c r="K2470" s="17"/>
      <c r="L2470" s="17"/>
      <c r="M2470" s="17"/>
      <c r="O2470" s="14">
        <f t="shared" si="1"/>
        <v>0</v>
      </c>
      <c r="P2470" s="86" t="str">
        <f t="array" ref="P2470">iferror(XLOOKUP(C2470,'Download of SFDC Activation Rep'!B:B,'Download of SFDC Activation Rep'!Z:Z),"")</f>
        <v/>
      </c>
      <c r="Q2470" s="86" t="str">
        <f t="shared" si="2"/>
        <v/>
      </c>
      <c r="R2470" s="13" t="str">
        <f t="shared" si="3"/>
        <v>Yes</v>
      </c>
      <c r="S2470" s="86" t="str">
        <f t="array" ref="S2470">iferror(XLOOKUP(C2470,'Download of SFDC Activation Rep'!B:B,'Download of SFDC Activation Rep'!Y:Y),"")</f>
        <v/>
      </c>
    </row>
    <row r="2471">
      <c r="A2471" s="17"/>
      <c r="B2471" s="85"/>
      <c r="C2471" s="17"/>
      <c r="D2471" s="85"/>
      <c r="E2471" s="17"/>
      <c r="F2471" s="17"/>
      <c r="G2471" s="17"/>
      <c r="I2471" s="17"/>
      <c r="K2471" s="17"/>
      <c r="L2471" s="17"/>
      <c r="M2471" s="17"/>
      <c r="O2471" s="14">
        <f t="shared" si="1"/>
        <v>0</v>
      </c>
      <c r="P2471" s="86" t="str">
        <f t="array" ref="P2471">iferror(XLOOKUP(C2471,'Download of SFDC Activation Rep'!B:B,'Download of SFDC Activation Rep'!Z:Z),"")</f>
        <v/>
      </c>
      <c r="Q2471" s="86" t="str">
        <f t="shared" si="2"/>
        <v/>
      </c>
      <c r="R2471" s="13" t="str">
        <f t="shared" si="3"/>
        <v>Yes</v>
      </c>
      <c r="S2471" s="86" t="str">
        <f t="array" ref="S2471">iferror(XLOOKUP(C2471,'Download of SFDC Activation Rep'!B:B,'Download of SFDC Activation Rep'!Y:Y),"")</f>
        <v/>
      </c>
    </row>
    <row r="2472">
      <c r="A2472" s="17"/>
      <c r="B2472" s="85"/>
      <c r="C2472" s="17"/>
      <c r="D2472" s="85"/>
      <c r="E2472" s="17"/>
      <c r="F2472" s="17"/>
      <c r="G2472" s="17"/>
      <c r="I2472" s="17"/>
      <c r="K2472" s="17"/>
      <c r="L2472" s="17"/>
      <c r="M2472" s="17"/>
      <c r="O2472" s="14">
        <f t="shared" si="1"/>
        <v>0</v>
      </c>
      <c r="P2472" s="86" t="str">
        <f t="array" ref="P2472">iferror(XLOOKUP(C2472,'Download of SFDC Activation Rep'!B:B,'Download of SFDC Activation Rep'!Z:Z),"")</f>
        <v/>
      </c>
      <c r="Q2472" s="86" t="str">
        <f t="shared" si="2"/>
        <v/>
      </c>
      <c r="R2472" s="13" t="str">
        <f t="shared" si="3"/>
        <v>Yes</v>
      </c>
      <c r="S2472" s="86" t="str">
        <f t="array" ref="S2472">iferror(XLOOKUP(C2472,'Download of SFDC Activation Rep'!B:B,'Download of SFDC Activation Rep'!Y:Y),"")</f>
        <v/>
      </c>
    </row>
    <row r="2473">
      <c r="A2473" s="17"/>
      <c r="B2473" s="85"/>
      <c r="C2473" s="17"/>
      <c r="D2473" s="85"/>
      <c r="E2473" s="17"/>
      <c r="F2473" s="17"/>
      <c r="G2473" s="17"/>
      <c r="I2473" s="17"/>
      <c r="K2473" s="17"/>
      <c r="L2473" s="17"/>
      <c r="M2473" s="17"/>
      <c r="O2473" s="14">
        <f t="shared" si="1"/>
        <v>0</v>
      </c>
      <c r="P2473" s="86" t="str">
        <f t="array" ref="P2473">iferror(XLOOKUP(C2473,'Download of SFDC Activation Rep'!B:B,'Download of SFDC Activation Rep'!Z:Z),"")</f>
        <v/>
      </c>
      <c r="Q2473" s="86" t="str">
        <f t="shared" si="2"/>
        <v/>
      </c>
      <c r="R2473" s="13" t="str">
        <f t="shared" si="3"/>
        <v>Yes</v>
      </c>
      <c r="S2473" s="86" t="str">
        <f t="array" ref="S2473">iferror(XLOOKUP(C2473,'Download of SFDC Activation Rep'!B:B,'Download of SFDC Activation Rep'!Y:Y),"")</f>
        <v/>
      </c>
    </row>
    <row r="2474">
      <c r="A2474" s="17"/>
      <c r="B2474" s="85"/>
      <c r="C2474" s="17"/>
      <c r="D2474" s="85"/>
      <c r="E2474" s="17"/>
      <c r="F2474" s="17"/>
      <c r="G2474" s="17"/>
      <c r="I2474" s="17"/>
      <c r="K2474" s="17"/>
      <c r="L2474" s="17"/>
      <c r="M2474" s="17"/>
      <c r="O2474" s="14">
        <f t="shared" si="1"/>
        <v>0</v>
      </c>
      <c r="P2474" s="86" t="str">
        <f t="array" ref="P2474">iferror(XLOOKUP(C2474,'Download of SFDC Activation Rep'!B:B,'Download of SFDC Activation Rep'!Z:Z),"")</f>
        <v/>
      </c>
      <c r="Q2474" s="86" t="str">
        <f t="shared" si="2"/>
        <v/>
      </c>
      <c r="R2474" s="13" t="str">
        <f t="shared" si="3"/>
        <v>Yes</v>
      </c>
      <c r="S2474" s="86" t="str">
        <f t="array" ref="S2474">iferror(XLOOKUP(C2474,'Download of SFDC Activation Rep'!B:B,'Download of SFDC Activation Rep'!Y:Y),"")</f>
        <v/>
      </c>
    </row>
    <row r="2475">
      <c r="A2475" s="17"/>
      <c r="B2475" s="85"/>
      <c r="C2475" s="17"/>
      <c r="D2475" s="85"/>
      <c r="E2475" s="17"/>
      <c r="F2475" s="17"/>
      <c r="G2475" s="17"/>
      <c r="I2475" s="17"/>
      <c r="K2475" s="17"/>
      <c r="L2475" s="17"/>
      <c r="M2475" s="17"/>
      <c r="O2475" s="14">
        <f t="shared" si="1"/>
        <v>0</v>
      </c>
      <c r="P2475" s="86" t="str">
        <f t="array" ref="P2475">iferror(XLOOKUP(C2475,'Download of SFDC Activation Rep'!B:B,'Download of SFDC Activation Rep'!Z:Z),"")</f>
        <v/>
      </c>
      <c r="Q2475" s="86" t="str">
        <f t="shared" si="2"/>
        <v/>
      </c>
      <c r="R2475" s="13" t="str">
        <f t="shared" si="3"/>
        <v>Yes</v>
      </c>
      <c r="S2475" s="86" t="str">
        <f t="array" ref="S2475">iferror(XLOOKUP(C2475,'Download of SFDC Activation Rep'!B:B,'Download of SFDC Activation Rep'!Y:Y),"")</f>
        <v/>
      </c>
    </row>
    <row r="2476">
      <c r="A2476" s="17"/>
      <c r="B2476" s="85"/>
      <c r="C2476" s="17"/>
      <c r="D2476" s="85"/>
      <c r="E2476" s="17"/>
      <c r="F2476" s="17"/>
      <c r="G2476" s="17"/>
      <c r="I2476" s="17"/>
      <c r="K2476" s="17"/>
      <c r="L2476" s="17"/>
      <c r="M2476" s="17"/>
      <c r="O2476" s="14">
        <f t="shared" si="1"/>
        <v>0</v>
      </c>
      <c r="P2476" s="86" t="str">
        <f t="array" ref="P2476">iferror(XLOOKUP(C2476,'Download of SFDC Activation Rep'!B:B,'Download of SFDC Activation Rep'!Z:Z),"")</f>
        <v/>
      </c>
      <c r="Q2476" s="86" t="str">
        <f t="shared" si="2"/>
        <v/>
      </c>
      <c r="R2476" s="13" t="str">
        <f t="shared" si="3"/>
        <v>Yes</v>
      </c>
      <c r="S2476" s="86" t="str">
        <f t="array" ref="S2476">iferror(XLOOKUP(C2476,'Download of SFDC Activation Rep'!B:B,'Download of SFDC Activation Rep'!Y:Y),"")</f>
        <v/>
      </c>
    </row>
    <row r="2477">
      <c r="A2477" s="17"/>
      <c r="B2477" s="85"/>
      <c r="C2477" s="17"/>
      <c r="D2477" s="85"/>
      <c r="E2477" s="17"/>
      <c r="F2477" s="17"/>
      <c r="G2477" s="17"/>
      <c r="I2477" s="17"/>
      <c r="K2477" s="17"/>
      <c r="L2477" s="17"/>
      <c r="M2477" s="17"/>
      <c r="O2477" s="14">
        <f t="shared" si="1"/>
        <v>0</v>
      </c>
      <c r="P2477" s="86" t="str">
        <f t="array" ref="P2477">iferror(XLOOKUP(C2477,'Download of SFDC Activation Rep'!B:B,'Download of SFDC Activation Rep'!Z:Z),"")</f>
        <v/>
      </c>
      <c r="Q2477" s="86" t="str">
        <f t="shared" si="2"/>
        <v/>
      </c>
      <c r="R2477" s="13" t="str">
        <f t="shared" si="3"/>
        <v>Yes</v>
      </c>
      <c r="S2477" s="86" t="str">
        <f t="array" ref="S2477">iferror(XLOOKUP(C2477,'Download of SFDC Activation Rep'!B:B,'Download of SFDC Activation Rep'!Y:Y),"")</f>
        <v/>
      </c>
    </row>
    <row r="2478">
      <c r="A2478" s="17"/>
      <c r="B2478" s="85"/>
      <c r="C2478" s="17"/>
      <c r="D2478" s="85"/>
      <c r="E2478" s="17"/>
      <c r="F2478" s="17"/>
      <c r="G2478" s="17"/>
      <c r="I2478" s="17"/>
      <c r="K2478" s="17"/>
      <c r="L2478" s="17"/>
      <c r="M2478" s="17"/>
      <c r="O2478" s="14">
        <f t="shared" si="1"/>
        <v>0</v>
      </c>
      <c r="P2478" s="86" t="str">
        <f t="array" ref="P2478">iferror(XLOOKUP(C2478,'Download of SFDC Activation Rep'!B:B,'Download of SFDC Activation Rep'!Z:Z),"")</f>
        <v/>
      </c>
      <c r="Q2478" s="86" t="str">
        <f t="shared" si="2"/>
        <v/>
      </c>
      <c r="R2478" s="13" t="str">
        <f t="shared" si="3"/>
        <v>Yes</v>
      </c>
      <c r="S2478" s="86" t="str">
        <f t="array" ref="S2478">iferror(XLOOKUP(C2478,'Download of SFDC Activation Rep'!B:B,'Download of SFDC Activation Rep'!Y:Y),"")</f>
        <v/>
      </c>
    </row>
    <row r="2479">
      <c r="A2479" s="17"/>
      <c r="B2479" s="85"/>
      <c r="C2479" s="17"/>
      <c r="D2479" s="85"/>
      <c r="E2479" s="17"/>
      <c r="F2479" s="17"/>
      <c r="G2479" s="17"/>
      <c r="I2479" s="17"/>
      <c r="K2479" s="17"/>
      <c r="L2479" s="17"/>
      <c r="M2479" s="17"/>
      <c r="O2479" s="14">
        <f t="shared" si="1"/>
        <v>0</v>
      </c>
      <c r="P2479" s="86" t="str">
        <f t="array" ref="P2479">iferror(XLOOKUP(C2479,'Download of SFDC Activation Rep'!B:B,'Download of SFDC Activation Rep'!Z:Z),"")</f>
        <v/>
      </c>
      <c r="Q2479" s="86" t="str">
        <f t="shared" si="2"/>
        <v/>
      </c>
      <c r="R2479" s="13" t="str">
        <f t="shared" si="3"/>
        <v>Yes</v>
      </c>
      <c r="S2479" s="86" t="str">
        <f t="array" ref="S2479">iferror(XLOOKUP(C2479,'Download of SFDC Activation Rep'!B:B,'Download of SFDC Activation Rep'!Y:Y),"")</f>
        <v/>
      </c>
    </row>
    <row r="2480">
      <c r="A2480" s="17"/>
      <c r="B2480" s="85"/>
      <c r="C2480" s="17"/>
      <c r="D2480" s="85"/>
      <c r="E2480" s="17"/>
      <c r="F2480" s="17"/>
      <c r="G2480" s="17"/>
      <c r="I2480" s="17"/>
      <c r="K2480" s="17"/>
      <c r="L2480" s="17"/>
      <c r="M2480" s="17"/>
      <c r="O2480" s="14">
        <f t="shared" si="1"/>
        <v>0</v>
      </c>
      <c r="P2480" s="86" t="str">
        <f t="array" ref="P2480">iferror(XLOOKUP(C2480,'Download of SFDC Activation Rep'!B:B,'Download of SFDC Activation Rep'!Z:Z),"")</f>
        <v/>
      </c>
      <c r="Q2480" s="86" t="str">
        <f t="shared" si="2"/>
        <v/>
      </c>
      <c r="R2480" s="13" t="str">
        <f t="shared" si="3"/>
        <v>Yes</v>
      </c>
      <c r="S2480" s="86" t="str">
        <f t="array" ref="S2480">iferror(XLOOKUP(C2480,'Download of SFDC Activation Rep'!B:B,'Download of SFDC Activation Rep'!Y:Y),"")</f>
        <v/>
      </c>
    </row>
    <row r="2481">
      <c r="A2481" s="17"/>
      <c r="B2481" s="85"/>
      <c r="C2481" s="17"/>
      <c r="D2481" s="85"/>
      <c r="E2481" s="17"/>
      <c r="F2481" s="17"/>
      <c r="G2481" s="17"/>
      <c r="I2481" s="17"/>
      <c r="K2481" s="17"/>
      <c r="L2481" s="17"/>
      <c r="M2481" s="17"/>
      <c r="O2481" s="14">
        <f t="shared" si="1"/>
        <v>0</v>
      </c>
      <c r="P2481" s="86" t="str">
        <f t="array" ref="P2481">iferror(XLOOKUP(C2481,'Download of SFDC Activation Rep'!B:B,'Download of SFDC Activation Rep'!Z:Z),"")</f>
        <v/>
      </c>
      <c r="Q2481" s="86" t="str">
        <f t="shared" si="2"/>
        <v/>
      </c>
      <c r="R2481" s="13" t="str">
        <f t="shared" si="3"/>
        <v>Yes</v>
      </c>
      <c r="S2481" s="86" t="str">
        <f t="array" ref="S2481">iferror(XLOOKUP(C2481,'Download of SFDC Activation Rep'!B:B,'Download of SFDC Activation Rep'!Y:Y),"")</f>
        <v/>
      </c>
    </row>
    <row r="2482">
      <c r="A2482" s="17"/>
      <c r="B2482" s="85"/>
      <c r="C2482" s="17"/>
      <c r="D2482" s="85"/>
      <c r="E2482" s="17"/>
      <c r="F2482" s="17"/>
      <c r="G2482" s="17"/>
      <c r="I2482" s="17"/>
      <c r="K2482" s="17"/>
      <c r="L2482" s="17"/>
      <c r="M2482" s="17"/>
      <c r="O2482" s="14">
        <f t="shared" si="1"/>
        <v>0</v>
      </c>
      <c r="P2482" s="86" t="str">
        <f t="array" ref="P2482">iferror(XLOOKUP(C2482,'Download of SFDC Activation Rep'!B:B,'Download of SFDC Activation Rep'!Z:Z),"")</f>
        <v/>
      </c>
      <c r="Q2482" s="86" t="str">
        <f t="shared" si="2"/>
        <v/>
      </c>
      <c r="R2482" s="13" t="str">
        <f t="shared" si="3"/>
        <v>Yes</v>
      </c>
      <c r="S2482" s="86" t="str">
        <f t="array" ref="S2482">iferror(XLOOKUP(C2482,'Download of SFDC Activation Rep'!B:B,'Download of SFDC Activation Rep'!Y:Y),"")</f>
        <v/>
      </c>
    </row>
    <row r="2483">
      <c r="A2483" s="17"/>
      <c r="B2483" s="85"/>
      <c r="C2483" s="17"/>
      <c r="D2483" s="85"/>
      <c r="E2483" s="17"/>
      <c r="F2483" s="17"/>
      <c r="G2483" s="17"/>
      <c r="I2483" s="17"/>
      <c r="K2483" s="17"/>
      <c r="L2483" s="17"/>
      <c r="M2483" s="17"/>
      <c r="O2483" s="14">
        <f t="shared" si="1"/>
        <v>0</v>
      </c>
      <c r="P2483" s="86" t="str">
        <f t="array" ref="P2483">iferror(XLOOKUP(C2483,'Download of SFDC Activation Rep'!B:B,'Download of SFDC Activation Rep'!Z:Z),"")</f>
        <v/>
      </c>
      <c r="Q2483" s="86" t="str">
        <f t="shared" si="2"/>
        <v/>
      </c>
      <c r="R2483" s="13" t="str">
        <f t="shared" si="3"/>
        <v>Yes</v>
      </c>
      <c r="S2483" s="86" t="str">
        <f t="array" ref="S2483">iferror(XLOOKUP(C2483,'Download of SFDC Activation Rep'!B:B,'Download of SFDC Activation Rep'!Y:Y),"")</f>
        <v/>
      </c>
    </row>
    <row r="2484">
      <c r="A2484" s="17"/>
      <c r="B2484" s="85"/>
      <c r="C2484" s="17"/>
      <c r="D2484" s="85"/>
      <c r="E2484" s="17"/>
      <c r="F2484" s="17"/>
      <c r="G2484" s="17"/>
      <c r="I2484" s="17"/>
      <c r="K2484" s="17"/>
      <c r="L2484" s="17"/>
      <c r="M2484" s="17"/>
      <c r="O2484" s="14">
        <f t="shared" si="1"/>
        <v>0</v>
      </c>
      <c r="P2484" s="86" t="str">
        <f t="array" ref="P2484">iferror(XLOOKUP(C2484,'Download of SFDC Activation Rep'!B:B,'Download of SFDC Activation Rep'!Z:Z),"")</f>
        <v/>
      </c>
      <c r="Q2484" s="86" t="str">
        <f t="shared" si="2"/>
        <v/>
      </c>
      <c r="R2484" s="13" t="str">
        <f t="shared" si="3"/>
        <v>Yes</v>
      </c>
      <c r="S2484" s="86" t="str">
        <f t="array" ref="S2484">iferror(XLOOKUP(C2484,'Download of SFDC Activation Rep'!B:B,'Download of SFDC Activation Rep'!Y:Y),"")</f>
        <v/>
      </c>
    </row>
    <row r="2485">
      <c r="A2485" s="17"/>
      <c r="B2485" s="85"/>
      <c r="C2485" s="17"/>
      <c r="D2485" s="85"/>
      <c r="E2485" s="17"/>
      <c r="F2485" s="17"/>
      <c r="G2485" s="17"/>
      <c r="I2485" s="17"/>
      <c r="K2485" s="17"/>
      <c r="L2485" s="17"/>
      <c r="M2485" s="17"/>
      <c r="O2485" s="14">
        <f t="shared" si="1"/>
        <v>0</v>
      </c>
      <c r="P2485" s="86" t="str">
        <f t="array" ref="P2485">iferror(XLOOKUP(C2485,'Download of SFDC Activation Rep'!B:B,'Download of SFDC Activation Rep'!Z:Z),"")</f>
        <v/>
      </c>
      <c r="Q2485" s="86" t="str">
        <f t="shared" si="2"/>
        <v/>
      </c>
      <c r="R2485" s="13" t="str">
        <f t="shared" si="3"/>
        <v>Yes</v>
      </c>
      <c r="S2485" s="86" t="str">
        <f t="array" ref="S2485">iferror(XLOOKUP(C2485,'Download of SFDC Activation Rep'!B:B,'Download of SFDC Activation Rep'!Y:Y),"")</f>
        <v/>
      </c>
    </row>
    <row r="2486">
      <c r="A2486" s="17"/>
      <c r="B2486" s="85"/>
      <c r="C2486" s="17"/>
      <c r="D2486" s="85"/>
      <c r="E2486" s="17"/>
      <c r="F2486" s="17"/>
      <c r="G2486" s="17"/>
      <c r="I2486" s="17"/>
      <c r="K2486" s="17"/>
      <c r="L2486" s="17"/>
      <c r="M2486" s="17"/>
      <c r="O2486" s="14">
        <f t="shared" si="1"/>
        <v>0</v>
      </c>
      <c r="P2486" s="86" t="str">
        <f t="array" ref="P2486">iferror(XLOOKUP(C2486,'Download of SFDC Activation Rep'!B:B,'Download of SFDC Activation Rep'!Z:Z),"")</f>
        <v/>
      </c>
      <c r="Q2486" s="86" t="str">
        <f t="shared" si="2"/>
        <v/>
      </c>
      <c r="R2486" s="13" t="str">
        <f t="shared" si="3"/>
        <v>Yes</v>
      </c>
      <c r="S2486" s="86" t="str">
        <f t="array" ref="S2486">iferror(XLOOKUP(C2486,'Download of SFDC Activation Rep'!B:B,'Download of SFDC Activation Rep'!Y:Y),"")</f>
        <v/>
      </c>
    </row>
    <row r="2487">
      <c r="A2487" s="17"/>
      <c r="B2487" s="85"/>
      <c r="C2487" s="17"/>
      <c r="D2487" s="85"/>
      <c r="E2487" s="17"/>
      <c r="F2487" s="17"/>
      <c r="G2487" s="17"/>
      <c r="I2487" s="17"/>
      <c r="K2487" s="17"/>
      <c r="L2487" s="17"/>
      <c r="M2487" s="17"/>
      <c r="O2487" s="14">
        <f t="shared" si="1"/>
        <v>0</v>
      </c>
      <c r="P2487" s="86" t="str">
        <f t="array" ref="P2487">iferror(XLOOKUP(C2487,'Download of SFDC Activation Rep'!B:B,'Download of SFDC Activation Rep'!Z:Z),"")</f>
        <v/>
      </c>
      <c r="Q2487" s="86" t="str">
        <f t="shared" si="2"/>
        <v/>
      </c>
      <c r="R2487" s="13" t="str">
        <f t="shared" si="3"/>
        <v>Yes</v>
      </c>
      <c r="S2487" s="86" t="str">
        <f t="array" ref="S2487">iferror(XLOOKUP(C2487,'Download of SFDC Activation Rep'!B:B,'Download of SFDC Activation Rep'!Y:Y),"")</f>
        <v/>
      </c>
    </row>
    <row r="2488">
      <c r="A2488" s="17"/>
      <c r="B2488" s="85"/>
      <c r="C2488" s="17"/>
      <c r="D2488" s="85"/>
      <c r="E2488" s="17"/>
      <c r="F2488" s="17"/>
      <c r="G2488" s="17"/>
      <c r="I2488" s="17"/>
      <c r="K2488" s="17"/>
      <c r="L2488" s="17"/>
      <c r="M2488" s="17"/>
      <c r="O2488" s="14">
        <f t="shared" si="1"/>
        <v>0</v>
      </c>
      <c r="P2488" s="86" t="str">
        <f t="array" ref="P2488">iferror(XLOOKUP(C2488,'Download of SFDC Activation Rep'!B:B,'Download of SFDC Activation Rep'!Z:Z),"")</f>
        <v/>
      </c>
      <c r="Q2488" s="86" t="str">
        <f t="shared" si="2"/>
        <v/>
      </c>
      <c r="R2488" s="13" t="str">
        <f t="shared" si="3"/>
        <v>Yes</v>
      </c>
      <c r="S2488" s="86" t="str">
        <f t="array" ref="S2488">iferror(XLOOKUP(C2488,'Download of SFDC Activation Rep'!B:B,'Download of SFDC Activation Rep'!Y:Y),"")</f>
        <v/>
      </c>
    </row>
    <row r="2489">
      <c r="A2489" s="17"/>
      <c r="B2489" s="85"/>
      <c r="C2489" s="17"/>
      <c r="D2489" s="85"/>
      <c r="E2489" s="17"/>
      <c r="F2489" s="17"/>
      <c r="G2489" s="17"/>
      <c r="I2489" s="17"/>
      <c r="K2489" s="17"/>
      <c r="L2489" s="17"/>
      <c r="M2489" s="17"/>
      <c r="O2489" s="14">
        <f t="shared" si="1"/>
        <v>0</v>
      </c>
      <c r="P2489" s="86" t="str">
        <f t="array" ref="P2489">iferror(XLOOKUP(C2489,'Download of SFDC Activation Rep'!B:B,'Download of SFDC Activation Rep'!Z:Z),"")</f>
        <v/>
      </c>
      <c r="Q2489" s="86" t="str">
        <f t="shared" si="2"/>
        <v/>
      </c>
      <c r="R2489" s="13" t="str">
        <f t="shared" si="3"/>
        <v>Yes</v>
      </c>
      <c r="S2489" s="86" t="str">
        <f t="array" ref="S2489">iferror(XLOOKUP(C2489,'Download of SFDC Activation Rep'!B:B,'Download of SFDC Activation Rep'!Y:Y),"")</f>
        <v/>
      </c>
    </row>
    <row r="2490">
      <c r="A2490" s="17"/>
      <c r="B2490" s="85"/>
      <c r="C2490" s="17"/>
      <c r="D2490" s="85"/>
      <c r="E2490" s="17"/>
      <c r="F2490" s="17"/>
      <c r="G2490" s="17"/>
      <c r="I2490" s="17"/>
      <c r="K2490" s="17"/>
      <c r="L2490" s="17"/>
      <c r="M2490" s="17"/>
      <c r="O2490" s="14">
        <f t="shared" si="1"/>
        <v>0</v>
      </c>
      <c r="P2490" s="86" t="str">
        <f t="array" ref="P2490">iferror(XLOOKUP(C2490,'Download of SFDC Activation Rep'!B:B,'Download of SFDC Activation Rep'!Z:Z),"")</f>
        <v/>
      </c>
      <c r="Q2490" s="86" t="str">
        <f t="shared" si="2"/>
        <v/>
      </c>
      <c r="R2490" s="13" t="str">
        <f t="shared" si="3"/>
        <v>Yes</v>
      </c>
      <c r="S2490" s="86" t="str">
        <f t="array" ref="S2490">iferror(XLOOKUP(C2490,'Download of SFDC Activation Rep'!B:B,'Download of SFDC Activation Rep'!Y:Y),"")</f>
        <v/>
      </c>
    </row>
    <row r="2491">
      <c r="A2491" s="17"/>
      <c r="B2491" s="85"/>
      <c r="C2491" s="17"/>
      <c r="D2491" s="85"/>
      <c r="E2491" s="17"/>
      <c r="F2491" s="17"/>
      <c r="G2491" s="17"/>
      <c r="I2491" s="17"/>
      <c r="K2491" s="17"/>
      <c r="L2491" s="17"/>
      <c r="M2491" s="17"/>
      <c r="O2491" s="14">
        <f t="shared" si="1"/>
        <v>0</v>
      </c>
      <c r="P2491" s="86" t="str">
        <f t="array" ref="P2491">iferror(XLOOKUP(C2491,'Download of SFDC Activation Rep'!B:B,'Download of SFDC Activation Rep'!Z:Z),"")</f>
        <v/>
      </c>
      <c r="Q2491" s="86" t="str">
        <f t="shared" si="2"/>
        <v/>
      </c>
      <c r="R2491" s="13" t="str">
        <f t="shared" si="3"/>
        <v>Yes</v>
      </c>
      <c r="S2491" s="86" t="str">
        <f t="array" ref="S2491">iferror(XLOOKUP(C2491,'Download of SFDC Activation Rep'!B:B,'Download of SFDC Activation Rep'!Y:Y),"")</f>
        <v/>
      </c>
    </row>
    <row r="2492">
      <c r="A2492" s="17"/>
      <c r="B2492" s="85"/>
      <c r="C2492" s="17"/>
      <c r="D2492" s="85"/>
      <c r="E2492" s="17"/>
      <c r="F2492" s="17"/>
      <c r="G2492" s="17"/>
      <c r="I2492" s="17"/>
      <c r="K2492" s="17"/>
      <c r="L2492" s="17"/>
      <c r="M2492" s="17"/>
      <c r="O2492" s="14">
        <f t="shared" si="1"/>
        <v>0</v>
      </c>
      <c r="P2492" s="86" t="str">
        <f t="array" ref="P2492">iferror(XLOOKUP(C2492,'Download of SFDC Activation Rep'!B:B,'Download of SFDC Activation Rep'!Z:Z),"")</f>
        <v/>
      </c>
      <c r="Q2492" s="86" t="str">
        <f t="shared" si="2"/>
        <v/>
      </c>
      <c r="R2492" s="13" t="str">
        <f t="shared" si="3"/>
        <v>Yes</v>
      </c>
      <c r="S2492" s="86" t="str">
        <f t="array" ref="S2492">iferror(XLOOKUP(C2492,'Download of SFDC Activation Rep'!B:B,'Download of SFDC Activation Rep'!Y:Y),"")</f>
        <v/>
      </c>
    </row>
    <row r="2493">
      <c r="A2493" s="17"/>
      <c r="B2493" s="85"/>
      <c r="C2493" s="17"/>
      <c r="D2493" s="85"/>
      <c r="E2493" s="17"/>
      <c r="F2493" s="17"/>
      <c r="G2493" s="17"/>
      <c r="I2493" s="17"/>
      <c r="K2493" s="17"/>
      <c r="L2493" s="17"/>
      <c r="M2493" s="17"/>
      <c r="O2493" s="14">
        <f t="shared" si="1"/>
        <v>0</v>
      </c>
      <c r="P2493" s="86" t="str">
        <f t="array" ref="P2493">iferror(XLOOKUP(C2493,'Download of SFDC Activation Rep'!B:B,'Download of SFDC Activation Rep'!Z:Z),"")</f>
        <v/>
      </c>
      <c r="Q2493" s="86" t="str">
        <f t="shared" si="2"/>
        <v/>
      </c>
      <c r="R2493" s="13" t="str">
        <f t="shared" si="3"/>
        <v>Yes</v>
      </c>
      <c r="S2493" s="86" t="str">
        <f t="array" ref="S2493">iferror(XLOOKUP(C2493,'Download of SFDC Activation Rep'!B:B,'Download of SFDC Activation Rep'!Y:Y),"")</f>
        <v/>
      </c>
    </row>
    <row r="2494">
      <c r="A2494" s="17"/>
      <c r="B2494" s="85"/>
      <c r="C2494" s="17"/>
      <c r="D2494" s="85"/>
      <c r="E2494" s="17"/>
      <c r="F2494" s="17"/>
      <c r="G2494" s="17"/>
      <c r="I2494" s="17"/>
      <c r="K2494" s="17"/>
      <c r="L2494" s="17"/>
      <c r="M2494" s="17"/>
      <c r="O2494" s="14">
        <f t="shared" si="1"/>
        <v>0</v>
      </c>
      <c r="P2494" s="86" t="str">
        <f t="array" ref="P2494">iferror(XLOOKUP(C2494,'Download of SFDC Activation Rep'!B:B,'Download of SFDC Activation Rep'!Z:Z),"")</f>
        <v/>
      </c>
      <c r="Q2494" s="86" t="str">
        <f t="shared" si="2"/>
        <v/>
      </c>
      <c r="R2494" s="13" t="str">
        <f t="shared" si="3"/>
        <v>Yes</v>
      </c>
      <c r="S2494" s="86" t="str">
        <f t="array" ref="S2494">iferror(XLOOKUP(C2494,'Download of SFDC Activation Rep'!B:B,'Download of SFDC Activation Rep'!Y:Y),"")</f>
        <v/>
      </c>
    </row>
    <row r="2495">
      <c r="A2495" s="17"/>
      <c r="B2495" s="85"/>
      <c r="C2495" s="17"/>
      <c r="D2495" s="85"/>
      <c r="E2495" s="17"/>
      <c r="F2495" s="17"/>
      <c r="G2495" s="17"/>
      <c r="I2495" s="17"/>
      <c r="K2495" s="17"/>
      <c r="L2495" s="17"/>
      <c r="M2495" s="17"/>
      <c r="O2495" s="14">
        <f t="shared" si="1"/>
        <v>0</v>
      </c>
      <c r="P2495" s="86" t="str">
        <f t="array" ref="P2495">iferror(XLOOKUP(C2495,'Download of SFDC Activation Rep'!B:B,'Download of SFDC Activation Rep'!Z:Z),"")</f>
        <v/>
      </c>
      <c r="Q2495" s="86" t="str">
        <f t="shared" si="2"/>
        <v/>
      </c>
      <c r="R2495" s="13" t="str">
        <f t="shared" si="3"/>
        <v>Yes</v>
      </c>
      <c r="S2495" s="86" t="str">
        <f t="array" ref="S2495">iferror(XLOOKUP(C2495,'Download of SFDC Activation Rep'!B:B,'Download of SFDC Activation Rep'!Y:Y),"")</f>
        <v/>
      </c>
    </row>
    <row r="2496">
      <c r="A2496" s="17"/>
      <c r="B2496" s="85"/>
      <c r="C2496" s="17"/>
      <c r="D2496" s="85"/>
      <c r="E2496" s="17"/>
      <c r="F2496" s="17"/>
      <c r="G2496" s="17"/>
      <c r="I2496" s="17"/>
      <c r="K2496" s="17"/>
      <c r="L2496" s="17"/>
      <c r="M2496" s="17"/>
      <c r="O2496" s="14">
        <f t="shared" si="1"/>
        <v>0</v>
      </c>
      <c r="P2496" s="86" t="str">
        <f t="array" ref="P2496">iferror(XLOOKUP(C2496,'Download of SFDC Activation Rep'!B:B,'Download of SFDC Activation Rep'!Z:Z),"")</f>
        <v/>
      </c>
      <c r="Q2496" s="86" t="str">
        <f t="shared" si="2"/>
        <v/>
      </c>
      <c r="R2496" s="13" t="str">
        <f t="shared" si="3"/>
        <v>Yes</v>
      </c>
      <c r="S2496" s="86" t="str">
        <f t="array" ref="S2496">iferror(XLOOKUP(C2496,'Download of SFDC Activation Rep'!B:B,'Download of SFDC Activation Rep'!Y:Y),"")</f>
        <v/>
      </c>
    </row>
    <row r="2497">
      <c r="A2497" s="17"/>
      <c r="B2497" s="85"/>
      <c r="C2497" s="17"/>
      <c r="D2497" s="85"/>
      <c r="E2497" s="17"/>
      <c r="F2497" s="17"/>
      <c r="G2497" s="17"/>
      <c r="I2497" s="17"/>
      <c r="K2497" s="17"/>
      <c r="L2497" s="17"/>
      <c r="M2497" s="17"/>
      <c r="O2497" s="14">
        <f t="shared" si="1"/>
        <v>0</v>
      </c>
      <c r="P2497" s="86" t="str">
        <f t="array" ref="P2497">iferror(XLOOKUP(C2497,'Download of SFDC Activation Rep'!B:B,'Download of SFDC Activation Rep'!Z:Z),"")</f>
        <v/>
      </c>
      <c r="Q2497" s="86" t="str">
        <f t="shared" si="2"/>
        <v/>
      </c>
      <c r="R2497" s="13" t="str">
        <f t="shared" si="3"/>
        <v>Yes</v>
      </c>
      <c r="S2497" s="86" t="str">
        <f t="array" ref="S2497">iferror(XLOOKUP(C2497,'Download of SFDC Activation Rep'!B:B,'Download of SFDC Activation Rep'!Y:Y),"")</f>
        <v/>
      </c>
    </row>
    <row r="2498">
      <c r="A2498" s="17"/>
      <c r="B2498" s="85"/>
      <c r="C2498" s="17"/>
      <c r="D2498" s="85"/>
      <c r="E2498" s="17"/>
      <c r="F2498" s="17"/>
      <c r="G2498" s="17"/>
      <c r="I2498" s="17"/>
      <c r="K2498" s="17"/>
      <c r="L2498" s="17"/>
      <c r="M2498" s="17"/>
      <c r="O2498" s="14">
        <f t="shared" si="1"/>
        <v>0</v>
      </c>
      <c r="P2498" s="86" t="str">
        <f t="array" ref="P2498">iferror(XLOOKUP(C2498,'Download of SFDC Activation Rep'!B:B,'Download of SFDC Activation Rep'!Z:Z),"")</f>
        <v/>
      </c>
      <c r="Q2498" s="86" t="str">
        <f t="shared" si="2"/>
        <v/>
      </c>
      <c r="R2498" s="13" t="str">
        <f t="shared" si="3"/>
        <v>Yes</v>
      </c>
      <c r="S2498" s="86" t="str">
        <f t="array" ref="S2498">iferror(XLOOKUP(C2498,'Download of SFDC Activation Rep'!B:B,'Download of SFDC Activation Rep'!Y:Y),"")</f>
        <v/>
      </c>
    </row>
    <row r="2499">
      <c r="A2499" s="17"/>
      <c r="B2499" s="85"/>
      <c r="C2499" s="17"/>
      <c r="D2499" s="85"/>
      <c r="E2499" s="17"/>
      <c r="F2499" s="17"/>
      <c r="G2499" s="17"/>
      <c r="I2499" s="17"/>
      <c r="K2499" s="17"/>
      <c r="L2499" s="17"/>
      <c r="M2499" s="17"/>
      <c r="O2499" s="14">
        <f t="shared" si="1"/>
        <v>0</v>
      </c>
      <c r="P2499" s="86" t="str">
        <f t="array" ref="P2499">iferror(XLOOKUP(C2499,'Download of SFDC Activation Rep'!B:B,'Download of SFDC Activation Rep'!Z:Z),"")</f>
        <v/>
      </c>
      <c r="Q2499" s="86" t="str">
        <f t="shared" si="2"/>
        <v/>
      </c>
      <c r="R2499" s="13" t="str">
        <f t="shared" si="3"/>
        <v>Yes</v>
      </c>
      <c r="S2499" s="86" t="str">
        <f t="array" ref="S2499">iferror(XLOOKUP(C2499,'Download of SFDC Activation Rep'!B:B,'Download of SFDC Activation Rep'!Y:Y),"")</f>
        <v/>
      </c>
    </row>
    <row r="2500">
      <c r="A2500" s="17"/>
      <c r="B2500" s="85"/>
      <c r="C2500" s="17"/>
      <c r="D2500" s="85"/>
      <c r="E2500" s="17"/>
      <c r="F2500" s="17"/>
      <c r="G2500" s="17"/>
      <c r="I2500" s="17"/>
      <c r="K2500" s="17"/>
      <c r="L2500" s="17"/>
      <c r="M2500" s="17"/>
      <c r="O2500" s="14">
        <f t="shared" si="1"/>
        <v>0</v>
      </c>
      <c r="P2500" s="86" t="str">
        <f t="array" ref="P2500">iferror(XLOOKUP(C2500,'Download of SFDC Activation Rep'!B:B,'Download of SFDC Activation Rep'!Z:Z),"")</f>
        <v/>
      </c>
      <c r="Q2500" s="86" t="str">
        <f t="shared" si="2"/>
        <v/>
      </c>
      <c r="R2500" s="13" t="str">
        <f t="shared" si="3"/>
        <v>Yes</v>
      </c>
      <c r="S2500" s="86" t="str">
        <f t="array" ref="S2500">iferror(XLOOKUP(C2500,'Download of SFDC Activation Rep'!B:B,'Download of SFDC Activation Rep'!Y:Y),"")</f>
        <v/>
      </c>
    </row>
    <row r="2501">
      <c r="A2501" s="17"/>
      <c r="B2501" s="85"/>
      <c r="C2501" s="17"/>
      <c r="D2501" s="85"/>
      <c r="E2501" s="17"/>
      <c r="F2501" s="17"/>
      <c r="G2501" s="17"/>
      <c r="I2501" s="17"/>
      <c r="K2501" s="17"/>
      <c r="L2501" s="17"/>
      <c r="M2501" s="17"/>
      <c r="O2501" s="14">
        <f t="shared" si="1"/>
        <v>0</v>
      </c>
      <c r="P2501" s="86" t="str">
        <f t="array" ref="P2501">iferror(XLOOKUP(C2501,'Download of SFDC Activation Rep'!B:B,'Download of SFDC Activation Rep'!Z:Z),"")</f>
        <v/>
      </c>
      <c r="Q2501" s="86" t="str">
        <f t="shared" si="2"/>
        <v/>
      </c>
      <c r="R2501" s="13" t="str">
        <f t="shared" si="3"/>
        <v>Yes</v>
      </c>
      <c r="S2501" s="86" t="str">
        <f t="array" ref="S2501">iferror(XLOOKUP(C2501,'Download of SFDC Activation Rep'!B:B,'Download of SFDC Activation Rep'!Y:Y),"")</f>
        <v/>
      </c>
    </row>
    <row r="2502">
      <c r="A2502" s="17"/>
      <c r="B2502" s="85"/>
      <c r="C2502" s="17"/>
      <c r="D2502" s="85"/>
      <c r="E2502" s="17"/>
      <c r="F2502" s="17"/>
      <c r="G2502" s="17"/>
      <c r="I2502" s="17"/>
      <c r="K2502" s="17"/>
      <c r="L2502" s="17"/>
      <c r="M2502" s="17"/>
      <c r="O2502" s="14">
        <f t="shared" si="1"/>
        <v>0</v>
      </c>
      <c r="P2502" s="86" t="str">
        <f t="array" ref="P2502">iferror(XLOOKUP(C2502,'Download of SFDC Activation Rep'!B:B,'Download of SFDC Activation Rep'!Z:Z),"")</f>
        <v/>
      </c>
      <c r="Q2502" s="86" t="str">
        <f t="shared" si="2"/>
        <v/>
      </c>
      <c r="R2502" s="13" t="str">
        <f t="shared" si="3"/>
        <v>Yes</v>
      </c>
      <c r="S2502" s="86" t="str">
        <f t="array" ref="S2502">iferror(XLOOKUP(C2502,'Download of SFDC Activation Rep'!B:B,'Download of SFDC Activation Rep'!Y:Y),"")</f>
        <v/>
      </c>
    </row>
    <row r="2503">
      <c r="A2503" s="17"/>
      <c r="B2503" s="85"/>
      <c r="C2503" s="17"/>
      <c r="D2503" s="85"/>
      <c r="E2503" s="17"/>
      <c r="F2503" s="17"/>
      <c r="G2503" s="17"/>
      <c r="I2503" s="17"/>
      <c r="K2503" s="17"/>
      <c r="L2503" s="17"/>
      <c r="M2503" s="17"/>
      <c r="O2503" s="14">
        <f t="shared" si="1"/>
        <v>0</v>
      </c>
      <c r="P2503" s="86" t="str">
        <f t="array" ref="P2503">iferror(XLOOKUP(C2503,'Download of SFDC Activation Rep'!B:B,'Download of SFDC Activation Rep'!Z:Z),"")</f>
        <v/>
      </c>
      <c r="Q2503" s="86" t="str">
        <f t="shared" si="2"/>
        <v/>
      </c>
      <c r="R2503" s="13" t="str">
        <f t="shared" si="3"/>
        <v>Yes</v>
      </c>
      <c r="S2503" s="86" t="str">
        <f t="array" ref="S2503">iferror(XLOOKUP(C2503,'Download of SFDC Activation Rep'!B:B,'Download of SFDC Activation Rep'!Y:Y),"")</f>
        <v/>
      </c>
    </row>
    <row r="2504">
      <c r="A2504" s="17"/>
      <c r="B2504" s="85"/>
      <c r="C2504" s="17"/>
      <c r="D2504" s="85"/>
      <c r="E2504" s="17"/>
      <c r="F2504" s="17"/>
      <c r="G2504" s="17"/>
      <c r="I2504" s="17"/>
      <c r="K2504" s="17"/>
      <c r="L2504" s="17"/>
      <c r="M2504" s="17"/>
      <c r="O2504" s="14">
        <f t="shared" si="1"/>
        <v>0</v>
      </c>
      <c r="P2504" s="86" t="str">
        <f t="array" ref="P2504">iferror(XLOOKUP(C2504,'Download of SFDC Activation Rep'!B:B,'Download of SFDC Activation Rep'!Z:Z),"")</f>
        <v/>
      </c>
      <c r="Q2504" s="86" t="str">
        <f t="shared" si="2"/>
        <v/>
      </c>
      <c r="R2504" s="13" t="str">
        <f t="shared" si="3"/>
        <v>Yes</v>
      </c>
      <c r="S2504" s="86" t="str">
        <f t="array" ref="S2504">iferror(XLOOKUP(C2504,'Download of SFDC Activation Rep'!B:B,'Download of SFDC Activation Rep'!Y:Y),"")</f>
        <v/>
      </c>
    </row>
    <row r="2505">
      <c r="A2505" s="17"/>
      <c r="B2505" s="85"/>
      <c r="C2505" s="17"/>
      <c r="D2505" s="85"/>
      <c r="E2505" s="17"/>
      <c r="F2505" s="17"/>
      <c r="G2505" s="17"/>
      <c r="I2505" s="17"/>
      <c r="K2505" s="17"/>
      <c r="L2505" s="17"/>
      <c r="M2505" s="17"/>
      <c r="O2505" s="14">
        <f t="shared" si="1"/>
        <v>0</v>
      </c>
      <c r="P2505" s="86" t="str">
        <f t="array" ref="P2505">iferror(XLOOKUP(C2505,'Download of SFDC Activation Rep'!B:B,'Download of SFDC Activation Rep'!Z:Z),"")</f>
        <v/>
      </c>
      <c r="Q2505" s="86" t="str">
        <f t="shared" si="2"/>
        <v/>
      </c>
      <c r="R2505" s="13" t="str">
        <f t="shared" si="3"/>
        <v>Yes</v>
      </c>
      <c r="S2505" s="86" t="str">
        <f t="array" ref="S2505">iferror(XLOOKUP(C2505,'Download of SFDC Activation Rep'!B:B,'Download of SFDC Activation Rep'!Y:Y),"")</f>
        <v/>
      </c>
    </row>
    <row r="2506">
      <c r="A2506" s="17"/>
      <c r="B2506" s="85"/>
      <c r="C2506" s="17"/>
      <c r="D2506" s="85"/>
      <c r="E2506" s="17"/>
      <c r="F2506" s="17"/>
      <c r="G2506" s="17"/>
      <c r="I2506" s="17"/>
      <c r="K2506" s="17"/>
      <c r="L2506" s="17"/>
      <c r="M2506" s="17"/>
      <c r="O2506" s="14">
        <f t="shared" si="1"/>
        <v>0</v>
      </c>
      <c r="P2506" s="86" t="str">
        <f t="array" ref="P2506">iferror(XLOOKUP(C2506,'Download of SFDC Activation Rep'!B:B,'Download of SFDC Activation Rep'!Z:Z),"")</f>
        <v/>
      </c>
      <c r="Q2506" s="86" t="str">
        <f t="shared" si="2"/>
        <v/>
      </c>
      <c r="R2506" s="13" t="str">
        <f t="shared" si="3"/>
        <v>Yes</v>
      </c>
      <c r="S2506" s="86" t="str">
        <f t="array" ref="S2506">iferror(XLOOKUP(C2506,'Download of SFDC Activation Rep'!B:B,'Download of SFDC Activation Rep'!Y:Y),"")</f>
        <v/>
      </c>
    </row>
    <row r="2507">
      <c r="A2507" s="17"/>
      <c r="B2507" s="85"/>
      <c r="C2507" s="17"/>
      <c r="D2507" s="85"/>
      <c r="E2507" s="17"/>
      <c r="F2507" s="17"/>
      <c r="G2507" s="17"/>
      <c r="I2507" s="17"/>
      <c r="K2507" s="17"/>
      <c r="L2507" s="17"/>
      <c r="M2507" s="17"/>
      <c r="O2507" s="14">
        <f t="shared" si="1"/>
        <v>0</v>
      </c>
      <c r="P2507" s="86" t="str">
        <f t="array" ref="P2507">iferror(XLOOKUP(C2507,'Download of SFDC Activation Rep'!B:B,'Download of SFDC Activation Rep'!Z:Z),"")</f>
        <v/>
      </c>
      <c r="Q2507" s="86" t="str">
        <f t="shared" si="2"/>
        <v/>
      </c>
      <c r="R2507" s="13" t="str">
        <f t="shared" si="3"/>
        <v>Yes</v>
      </c>
      <c r="S2507" s="86" t="str">
        <f t="array" ref="S2507">iferror(XLOOKUP(C2507,'Download of SFDC Activation Rep'!B:B,'Download of SFDC Activation Rep'!Y:Y),"")</f>
        <v/>
      </c>
    </row>
    <row r="2508">
      <c r="A2508" s="17"/>
      <c r="B2508" s="85"/>
      <c r="C2508" s="17"/>
      <c r="D2508" s="85"/>
      <c r="E2508" s="17"/>
      <c r="F2508" s="17"/>
      <c r="G2508" s="17"/>
      <c r="I2508" s="17"/>
      <c r="K2508" s="17"/>
      <c r="L2508" s="17"/>
      <c r="M2508" s="17"/>
      <c r="O2508" s="14">
        <f t="shared" si="1"/>
        <v>0</v>
      </c>
      <c r="P2508" s="86" t="str">
        <f t="array" ref="P2508">iferror(XLOOKUP(C2508,'Download of SFDC Activation Rep'!B:B,'Download of SFDC Activation Rep'!Z:Z),"")</f>
        <v/>
      </c>
      <c r="Q2508" s="86" t="str">
        <f t="shared" si="2"/>
        <v/>
      </c>
      <c r="R2508" s="13" t="str">
        <f t="shared" si="3"/>
        <v>Yes</v>
      </c>
      <c r="S2508" s="86" t="str">
        <f t="array" ref="S2508">iferror(XLOOKUP(C2508,'Download of SFDC Activation Rep'!B:B,'Download of SFDC Activation Rep'!Y:Y),"")</f>
        <v/>
      </c>
    </row>
    <row r="2509">
      <c r="A2509" s="17"/>
      <c r="B2509" s="85"/>
      <c r="C2509" s="17"/>
      <c r="D2509" s="85"/>
      <c r="E2509" s="17"/>
      <c r="F2509" s="17"/>
      <c r="G2509" s="17"/>
      <c r="I2509" s="17"/>
      <c r="K2509" s="17"/>
      <c r="L2509" s="17"/>
      <c r="M2509" s="17"/>
      <c r="O2509" s="14">
        <f t="shared" si="1"/>
        <v>0</v>
      </c>
      <c r="P2509" s="86" t="str">
        <f t="array" ref="P2509">iferror(XLOOKUP(C2509,'Download of SFDC Activation Rep'!B:B,'Download of SFDC Activation Rep'!Z:Z),"")</f>
        <v/>
      </c>
      <c r="Q2509" s="86" t="str">
        <f t="shared" si="2"/>
        <v/>
      </c>
      <c r="R2509" s="13" t="str">
        <f t="shared" si="3"/>
        <v>Yes</v>
      </c>
      <c r="S2509" s="86" t="str">
        <f t="array" ref="S2509">iferror(XLOOKUP(C2509,'Download of SFDC Activation Rep'!B:B,'Download of SFDC Activation Rep'!Y:Y),"")</f>
        <v/>
      </c>
    </row>
    <row r="2510">
      <c r="A2510" s="17"/>
      <c r="B2510" s="85"/>
      <c r="C2510" s="17"/>
      <c r="D2510" s="85"/>
      <c r="E2510" s="17"/>
      <c r="F2510" s="17"/>
      <c r="G2510" s="17"/>
      <c r="I2510" s="17"/>
      <c r="K2510" s="17"/>
      <c r="L2510" s="17"/>
      <c r="M2510" s="17"/>
      <c r="O2510" s="14">
        <f t="shared" si="1"/>
        <v>0</v>
      </c>
      <c r="P2510" s="86" t="str">
        <f t="array" ref="P2510">iferror(XLOOKUP(C2510,'Download of SFDC Activation Rep'!B:B,'Download of SFDC Activation Rep'!Z:Z),"")</f>
        <v/>
      </c>
      <c r="Q2510" s="86" t="str">
        <f t="shared" si="2"/>
        <v/>
      </c>
      <c r="R2510" s="13" t="str">
        <f t="shared" si="3"/>
        <v>Yes</v>
      </c>
      <c r="S2510" s="86" t="str">
        <f t="array" ref="S2510">iferror(XLOOKUP(C2510,'Download of SFDC Activation Rep'!B:B,'Download of SFDC Activation Rep'!Y:Y),"")</f>
        <v/>
      </c>
    </row>
    <row r="2511">
      <c r="A2511" s="17"/>
      <c r="B2511" s="85"/>
      <c r="C2511" s="17"/>
      <c r="D2511" s="85"/>
      <c r="E2511" s="17"/>
      <c r="F2511" s="17"/>
      <c r="G2511" s="17"/>
      <c r="I2511" s="17"/>
      <c r="K2511" s="17"/>
      <c r="L2511" s="17"/>
      <c r="M2511" s="17"/>
      <c r="O2511" s="14">
        <f t="shared" si="1"/>
        <v>0</v>
      </c>
      <c r="P2511" s="86" t="str">
        <f t="array" ref="P2511">iferror(XLOOKUP(C2511,'Download of SFDC Activation Rep'!B:B,'Download of SFDC Activation Rep'!Z:Z),"")</f>
        <v/>
      </c>
      <c r="Q2511" s="86" t="str">
        <f t="shared" si="2"/>
        <v/>
      </c>
      <c r="R2511" s="13" t="str">
        <f t="shared" si="3"/>
        <v>Yes</v>
      </c>
      <c r="S2511" s="86" t="str">
        <f t="array" ref="S2511">iferror(XLOOKUP(C2511,'Download of SFDC Activation Rep'!B:B,'Download of SFDC Activation Rep'!Y:Y),"")</f>
        <v/>
      </c>
    </row>
    <row r="2512">
      <c r="A2512" s="17"/>
      <c r="B2512" s="85"/>
      <c r="C2512" s="17"/>
      <c r="D2512" s="85"/>
      <c r="E2512" s="17"/>
      <c r="F2512" s="17"/>
      <c r="G2512" s="17"/>
      <c r="I2512" s="17"/>
      <c r="K2512" s="17"/>
      <c r="L2512" s="17"/>
      <c r="M2512" s="17"/>
      <c r="O2512" s="14">
        <f t="shared" si="1"/>
        <v>0</v>
      </c>
      <c r="P2512" s="86" t="str">
        <f t="array" ref="P2512">iferror(XLOOKUP(C2512,'Download of SFDC Activation Rep'!B:B,'Download of SFDC Activation Rep'!Z:Z),"")</f>
        <v/>
      </c>
      <c r="Q2512" s="86" t="str">
        <f t="shared" si="2"/>
        <v/>
      </c>
      <c r="R2512" s="13" t="str">
        <f t="shared" si="3"/>
        <v>Yes</v>
      </c>
      <c r="S2512" s="86" t="str">
        <f t="array" ref="S2512">iferror(XLOOKUP(C2512,'Download of SFDC Activation Rep'!B:B,'Download of SFDC Activation Rep'!Y:Y),"")</f>
        <v/>
      </c>
    </row>
    <row r="2513">
      <c r="A2513" s="17"/>
      <c r="B2513" s="85"/>
      <c r="C2513" s="17"/>
      <c r="D2513" s="85"/>
      <c r="E2513" s="17"/>
      <c r="F2513" s="17"/>
      <c r="G2513" s="17"/>
      <c r="I2513" s="17"/>
      <c r="K2513" s="17"/>
      <c r="L2513" s="17"/>
      <c r="M2513" s="17"/>
      <c r="O2513" s="14">
        <f t="shared" si="1"/>
        <v>0</v>
      </c>
      <c r="P2513" s="86" t="str">
        <f t="array" ref="P2513">iferror(XLOOKUP(C2513,'Download of SFDC Activation Rep'!B:B,'Download of SFDC Activation Rep'!Z:Z),"")</f>
        <v/>
      </c>
      <c r="Q2513" s="86" t="str">
        <f t="shared" si="2"/>
        <v/>
      </c>
      <c r="R2513" s="13" t="str">
        <f t="shared" si="3"/>
        <v>Yes</v>
      </c>
      <c r="S2513" s="86" t="str">
        <f t="array" ref="S2513">iferror(XLOOKUP(C2513,'Download of SFDC Activation Rep'!B:B,'Download of SFDC Activation Rep'!Y:Y),"")</f>
        <v/>
      </c>
    </row>
    <row r="2514">
      <c r="A2514" s="17"/>
      <c r="B2514" s="85"/>
      <c r="C2514" s="17"/>
      <c r="D2514" s="85"/>
      <c r="E2514" s="17"/>
      <c r="F2514" s="17"/>
      <c r="G2514" s="17"/>
      <c r="I2514" s="17"/>
      <c r="K2514" s="17"/>
      <c r="L2514" s="17"/>
      <c r="M2514" s="17"/>
      <c r="O2514" s="14">
        <f t="shared" si="1"/>
        <v>0</v>
      </c>
      <c r="P2514" s="86" t="str">
        <f t="array" ref="P2514">iferror(XLOOKUP(C2514,'Download of SFDC Activation Rep'!B:B,'Download of SFDC Activation Rep'!Z:Z),"")</f>
        <v/>
      </c>
      <c r="Q2514" s="86" t="str">
        <f t="shared" si="2"/>
        <v/>
      </c>
      <c r="R2514" s="13" t="str">
        <f t="shared" si="3"/>
        <v>Yes</v>
      </c>
      <c r="S2514" s="86" t="str">
        <f t="array" ref="S2514">iferror(XLOOKUP(C2514,'Download of SFDC Activation Rep'!B:B,'Download of SFDC Activation Rep'!Y:Y),"")</f>
        <v/>
      </c>
    </row>
    <row r="2515">
      <c r="A2515" s="17"/>
      <c r="B2515" s="85"/>
      <c r="C2515" s="17"/>
      <c r="D2515" s="85"/>
      <c r="E2515" s="17"/>
      <c r="F2515" s="17"/>
      <c r="G2515" s="17"/>
      <c r="I2515" s="17"/>
      <c r="K2515" s="17"/>
      <c r="L2515" s="17"/>
      <c r="M2515" s="17"/>
      <c r="O2515" s="14">
        <f t="shared" si="1"/>
        <v>0</v>
      </c>
      <c r="P2515" s="86" t="str">
        <f t="array" ref="P2515">iferror(XLOOKUP(C2515,'Download of SFDC Activation Rep'!B:B,'Download of SFDC Activation Rep'!Z:Z),"")</f>
        <v/>
      </c>
      <c r="Q2515" s="86" t="str">
        <f t="shared" si="2"/>
        <v/>
      </c>
      <c r="R2515" s="13" t="str">
        <f t="shared" si="3"/>
        <v>Yes</v>
      </c>
      <c r="S2515" s="86" t="str">
        <f t="array" ref="S2515">iferror(XLOOKUP(C2515,'Download of SFDC Activation Rep'!B:B,'Download of SFDC Activation Rep'!Y:Y),"")</f>
        <v/>
      </c>
    </row>
    <row r="2516">
      <c r="A2516" s="17"/>
      <c r="B2516" s="85"/>
      <c r="C2516" s="17"/>
      <c r="D2516" s="85"/>
      <c r="E2516" s="17"/>
      <c r="F2516" s="17"/>
      <c r="G2516" s="17"/>
      <c r="I2516" s="17"/>
      <c r="K2516" s="17"/>
      <c r="L2516" s="17"/>
      <c r="M2516" s="17"/>
      <c r="O2516" s="14">
        <f t="shared" si="1"/>
        <v>0</v>
      </c>
      <c r="P2516" s="86" t="str">
        <f t="array" ref="P2516">iferror(XLOOKUP(C2516,'Download of SFDC Activation Rep'!B:B,'Download of SFDC Activation Rep'!Z:Z),"")</f>
        <v/>
      </c>
      <c r="Q2516" s="86" t="str">
        <f t="shared" si="2"/>
        <v/>
      </c>
      <c r="R2516" s="13" t="str">
        <f t="shared" si="3"/>
        <v>Yes</v>
      </c>
      <c r="S2516" s="86" t="str">
        <f t="array" ref="S2516">iferror(XLOOKUP(C2516,'Download of SFDC Activation Rep'!B:B,'Download of SFDC Activation Rep'!Y:Y),"")</f>
        <v/>
      </c>
    </row>
    <row r="2517">
      <c r="A2517" s="17"/>
      <c r="B2517" s="85"/>
      <c r="C2517" s="17"/>
      <c r="D2517" s="85"/>
      <c r="E2517" s="17"/>
      <c r="F2517" s="17"/>
      <c r="G2517" s="17"/>
      <c r="I2517" s="17"/>
      <c r="K2517" s="17"/>
      <c r="L2517" s="17"/>
      <c r="M2517" s="17"/>
      <c r="O2517" s="14">
        <f t="shared" si="1"/>
        <v>0</v>
      </c>
      <c r="P2517" s="86" t="str">
        <f t="array" ref="P2517">iferror(XLOOKUP(C2517,'Download of SFDC Activation Rep'!B:B,'Download of SFDC Activation Rep'!Z:Z),"")</f>
        <v/>
      </c>
      <c r="Q2517" s="86" t="str">
        <f t="shared" si="2"/>
        <v/>
      </c>
      <c r="R2517" s="13" t="str">
        <f t="shared" si="3"/>
        <v>Yes</v>
      </c>
      <c r="S2517" s="86" t="str">
        <f t="array" ref="S2517">iferror(XLOOKUP(C2517,'Download of SFDC Activation Rep'!B:B,'Download of SFDC Activation Rep'!Y:Y),"")</f>
        <v/>
      </c>
    </row>
    <row r="2518">
      <c r="A2518" s="17"/>
      <c r="B2518" s="85"/>
      <c r="C2518" s="17"/>
      <c r="D2518" s="85"/>
      <c r="E2518" s="17"/>
      <c r="F2518" s="17"/>
      <c r="G2518" s="17"/>
      <c r="I2518" s="17"/>
      <c r="K2518" s="17"/>
      <c r="L2518" s="17"/>
      <c r="M2518" s="17"/>
      <c r="O2518" s="14">
        <f t="shared" si="1"/>
        <v>0</v>
      </c>
      <c r="P2518" s="86" t="str">
        <f t="array" ref="P2518">iferror(XLOOKUP(C2518,'Download of SFDC Activation Rep'!B:B,'Download of SFDC Activation Rep'!Z:Z),"")</f>
        <v/>
      </c>
      <c r="Q2518" s="86" t="str">
        <f t="shared" si="2"/>
        <v/>
      </c>
      <c r="R2518" s="13" t="str">
        <f t="shared" si="3"/>
        <v>Yes</v>
      </c>
      <c r="S2518" s="86" t="str">
        <f t="array" ref="S2518">iferror(XLOOKUP(C2518,'Download of SFDC Activation Rep'!B:B,'Download of SFDC Activation Rep'!Y:Y),"")</f>
        <v/>
      </c>
    </row>
    <row r="2519">
      <c r="A2519" s="17"/>
      <c r="B2519" s="85"/>
      <c r="C2519" s="17"/>
      <c r="D2519" s="85"/>
      <c r="E2519" s="17"/>
      <c r="F2519" s="17"/>
      <c r="G2519" s="17"/>
      <c r="I2519" s="17"/>
      <c r="K2519" s="17"/>
      <c r="L2519" s="17"/>
      <c r="M2519" s="17"/>
      <c r="O2519" s="14">
        <f t="shared" si="1"/>
        <v>0</v>
      </c>
      <c r="P2519" s="86" t="str">
        <f t="array" ref="P2519">iferror(XLOOKUP(C2519,'Download of SFDC Activation Rep'!B:B,'Download of SFDC Activation Rep'!Z:Z),"")</f>
        <v/>
      </c>
      <c r="Q2519" s="86" t="str">
        <f t="shared" si="2"/>
        <v/>
      </c>
      <c r="R2519" s="13" t="str">
        <f t="shared" si="3"/>
        <v>Yes</v>
      </c>
      <c r="S2519" s="86" t="str">
        <f t="array" ref="S2519">iferror(XLOOKUP(C2519,'Download of SFDC Activation Rep'!B:B,'Download of SFDC Activation Rep'!Y:Y),"")</f>
        <v/>
      </c>
    </row>
    <row r="2520">
      <c r="A2520" s="17"/>
      <c r="B2520" s="85"/>
      <c r="C2520" s="17"/>
      <c r="D2520" s="85"/>
      <c r="E2520" s="17"/>
      <c r="F2520" s="17"/>
      <c r="G2520" s="17"/>
      <c r="I2520" s="17"/>
      <c r="K2520" s="17"/>
      <c r="L2520" s="17"/>
      <c r="M2520" s="17"/>
      <c r="O2520" s="14">
        <f t="shared" si="1"/>
        <v>0</v>
      </c>
      <c r="P2520" s="86" t="str">
        <f t="array" ref="P2520">iferror(XLOOKUP(C2520,'Download of SFDC Activation Rep'!B:B,'Download of SFDC Activation Rep'!Z:Z),"")</f>
        <v/>
      </c>
      <c r="Q2520" s="86" t="str">
        <f t="shared" si="2"/>
        <v/>
      </c>
      <c r="R2520" s="13" t="str">
        <f t="shared" si="3"/>
        <v>Yes</v>
      </c>
      <c r="S2520" s="86" t="str">
        <f t="array" ref="S2520">iferror(XLOOKUP(C2520,'Download of SFDC Activation Rep'!B:B,'Download of SFDC Activation Rep'!Y:Y),"")</f>
        <v/>
      </c>
    </row>
    <row r="2521">
      <c r="A2521" s="17"/>
      <c r="B2521" s="85"/>
      <c r="C2521" s="17"/>
      <c r="D2521" s="85"/>
      <c r="E2521" s="17"/>
      <c r="F2521" s="17"/>
      <c r="G2521" s="17"/>
      <c r="I2521" s="17"/>
      <c r="K2521" s="17"/>
      <c r="L2521" s="17"/>
      <c r="M2521" s="17"/>
      <c r="O2521" s="14">
        <f t="shared" si="1"/>
        <v>0</v>
      </c>
      <c r="P2521" s="86" t="str">
        <f t="array" ref="P2521">iferror(XLOOKUP(C2521,'Download of SFDC Activation Rep'!B:B,'Download of SFDC Activation Rep'!Z:Z),"")</f>
        <v/>
      </c>
      <c r="Q2521" s="86" t="str">
        <f t="shared" si="2"/>
        <v/>
      </c>
      <c r="R2521" s="13" t="str">
        <f t="shared" si="3"/>
        <v>Yes</v>
      </c>
      <c r="S2521" s="86" t="str">
        <f t="array" ref="S2521">iferror(XLOOKUP(C2521,'Download of SFDC Activation Rep'!B:B,'Download of SFDC Activation Rep'!Y:Y),"")</f>
        <v/>
      </c>
    </row>
    <row r="2522">
      <c r="A2522" s="17"/>
      <c r="B2522" s="85"/>
      <c r="C2522" s="17"/>
      <c r="D2522" s="85"/>
      <c r="E2522" s="17"/>
      <c r="F2522" s="17"/>
      <c r="G2522" s="17"/>
      <c r="I2522" s="17"/>
      <c r="K2522" s="17"/>
      <c r="L2522" s="17"/>
      <c r="M2522" s="17"/>
      <c r="O2522" s="14">
        <f t="shared" si="1"/>
        <v>0</v>
      </c>
      <c r="P2522" s="86" t="str">
        <f t="array" ref="P2522">iferror(XLOOKUP(C2522,'Download of SFDC Activation Rep'!B:B,'Download of SFDC Activation Rep'!Z:Z),"")</f>
        <v/>
      </c>
      <c r="Q2522" s="86" t="str">
        <f t="shared" si="2"/>
        <v/>
      </c>
      <c r="R2522" s="13" t="str">
        <f t="shared" si="3"/>
        <v>Yes</v>
      </c>
      <c r="S2522" s="86" t="str">
        <f t="array" ref="S2522">iferror(XLOOKUP(C2522,'Download of SFDC Activation Rep'!B:B,'Download of SFDC Activation Rep'!Y:Y),"")</f>
        <v/>
      </c>
    </row>
    <row r="2523">
      <c r="A2523" s="17"/>
      <c r="B2523" s="85"/>
      <c r="C2523" s="17"/>
      <c r="D2523" s="85"/>
      <c r="E2523" s="17"/>
      <c r="F2523" s="17"/>
      <c r="G2523" s="17"/>
      <c r="I2523" s="17"/>
      <c r="K2523" s="17"/>
      <c r="L2523" s="17"/>
      <c r="M2523" s="17"/>
      <c r="O2523" s="14">
        <f t="shared" si="1"/>
        <v>0</v>
      </c>
      <c r="P2523" s="86" t="str">
        <f t="array" ref="P2523">iferror(XLOOKUP(C2523,'Download of SFDC Activation Rep'!B:B,'Download of SFDC Activation Rep'!Z:Z),"")</f>
        <v/>
      </c>
      <c r="Q2523" s="86" t="str">
        <f t="shared" si="2"/>
        <v/>
      </c>
      <c r="R2523" s="13" t="str">
        <f t="shared" si="3"/>
        <v>Yes</v>
      </c>
      <c r="S2523" s="86" t="str">
        <f t="array" ref="S2523">iferror(XLOOKUP(C2523,'Download of SFDC Activation Rep'!B:B,'Download of SFDC Activation Rep'!Y:Y),"")</f>
        <v/>
      </c>
    </row>
    <row r="2524">
      <c r="A2524" s="17"/>
      <c r="B2524" s="85"/>
      <c r="C2524" s="17"/>
      <c r="D2524" s="85"/>
      <c r="E2524" s="17"/>
      <c r="F2524" s="17"/>
      <c r="G2524" s="17"/>
      <c r="I2524" s="17"/>
      <c r="K2524" s="17"/>
      <c r="L2524" s="17"/>
      <c r="M2524" s="17"/>
      <c r="O2524" s="14">
        <f t="shared" si="1"/>
        <v>0</v>
      </c>
      <c r="P2524" s="86" t="str">
        <f t="array" ref="P2524">iferror(XLOOKUP(C2524,'Download of SFDC Activation Rep'!B:B,'Download of SFDC Activation Rep'!Z:Z),"")</f>
        <v/>
      </c>
      <c r="Q2524" s="86" t="str">
        <f t="shared" si="2"/>
        <v/>
      </c>
      <c r="R2524" s="13" t="str">
        <f t="shared" si="3"/>
        <v>Yes</v>
      </c>
      <c r="S2524" s="86" t="str">
        <f t="array" ref="S2524">iferror(XLOOKUP(C2524,'Download of SFDC Activation Rep'!B:B,'Download of SFDC Activation Rep'!Y:Y),"")</f>
        <v/>
      </c>
    </row>
    <row r="2525">
      <c r="A2525" s="17"/>
      <c r="B2525" s="85"/>
      <c r="C2525" s="17"/>
      <c r="D2525" s="85"/>
      <c r="E2525" s="17"/>
      <c r="F2525" s="17"/>
      <c r="G2525" s="17"/>
      <c r="I2525" s="17"/>
      <c r="K2525" s="17"/>
      <c r="L2525" s="17"/>
      <c r="M2525" s="17"/>
      <c r="O2525" s="14">
        <f t="shared" si="1"/>
        <v>0</v>
      </c>
      <c r="P2525" s="86" t="str">
        <f t="array" ref="P2525">iferror(XLOOKUP(C2525,'Download of SFDC Activation Rep'!B:B,'Download of SFDC Activation Rep'!Z:Z),"")</f>
        <v/>
      </c>
      <c r="Q2525" s="86" t="str">
        <f t="shared" si="2"/>
        <v/>
      </c>
      <c r="R2525" s="13" t="str">
        <f t="shared" si="3"/>
        <v>Yes</v>
      </c>
      <c r="S2525" s="86" t="str">
        <f t="array" ref="S2525">iferror(XLOOKUP(C2525,'Download of SFDC Activation Rep'!B:B,'Download of SFDC Activation Rep'!Y:Y),"")</f>
        <v/>
      </c>
    </row>
    <row r="2526">
      <c r="A2526" s="17"/>
      <c r="B2526" s="85"/>
      <c r="C2526" s="17"/>
      <c r="D2526" s="85"/>
      <c r="E2526" s="17"/>
      <c r="F2526" s="17"/>
      <c r="G2526" s="17"/>
      <c r="I2526" s="17"/>
      <c r="K2526" s="17"/>
      <c r="L2526" s="17"/>
      <c r="M2526" s="17"/>
      <c r="O2526" s="14">
        <f t="shared" si="1"/>
        <v>0</v>
      </c>
      <c r="P2526" s="86" t="str">
        <f t="array" ref="P2526">iferror(XLOOKUP(C2526,'Download of SFDC Activation Rep'!B:B,'Download of SFDC Activation Rep'!Z:Z),"")</f>
        <v/>
      </c>
      <c r="Q2526" s="86" t="str">
        <f t="shared" si="2"/>
        <v/>
      </c>
      <c r="R2526" s="13" t="str">
        <f t="shared" si="3"/>
        <v>Yes</v>
      </c>
      <c r="S2526" s="86" t="str">
        <f t="array" ref="S2526">iferror(XLOOKUP(C2526,'Download of SFDC Activation Rep'!B:B,'Download of SFDC Activation Rep'!Y:Y),"")</f>
        <v/>
      </c>
    </row>
    <row r="2527">
      <c r="A2527" s="17"/>
      <c r="B2527" s="85"/>
      <c r="C2527" s="17"/>
      <c r="D2527" s="85"/>
      <c r="E2527" s="17"/>
      <c r="F2527" s="17"/>
      <c r="G2527" s="17"/>
      <c r="I2527" s="17"/>
      <c r="K2527" s="17"/>
      <c r="L2527" s="17"/>
      <c r="M2527" s="17"/>
      <c r="O2527" s="14">
        <f t="shared" si="1"/>
        <v>0</v>
      </c>
      <c r="P2527" s="86" t="str">
        <f t="array" ref="P2527">iferror(XLOOKUP(C2527,'Download of SFDC Activation Rep'!B:B,'Download of SFDC Activation Rep'!Z:Z),"")</f>
        <v/>
      </c>
      <c r="Q2527" s="86" t="str">
        <f t="shared" si="2"/>
        <v/>
      </c>
      <c r="R2527" s="13" t="str">
        <f t="shared" si="3"/>
        <v>Yes</v>
      </c>
      <c r="S2527" s="86" t="str">
        <f t="array" ref="S2527">iferror(XLOOKUP(C2527,'Download of SFDC Activation Rep'!B:B,'Download of SFDC Activation Rep'!Y:Y),"")</f>
        <v/>
      </c>
    </row>
    <row r="2528">
      <c r="A2528" s="17"/>
      <c r="B2528" s="85"/>
      <c r="C2528" s="17"/>
      <c r="D2528" s="85"/>
      <c r="E2528" s="17"/>
      <c r="F2528" s="17"/>
      <c r="G2528" s="17"/>
      <c r="I2528" s="17"/>
      <c r="K2528" s="17"/>
      <c r="L2528" s="17"/>
      <c r="M2528" s="17"/>
      <c r="O2528" s="14">
        <f t="shared" si="1"/>
        <v>0</v>
      </c>
      <c r="P2528" s="86" t="str">
        <f t="array" ref="P2528">iferror(XLOOKUP(C2528,'Download of SFDC Activation Rep'!B:B,'Download of SFDC Activation Rep'!Z:Z),"")</f>
        <v/>
      </c>
      <c r="Q2528" s="86" t="str">
        <f t="shared" si="2"/>
        <v/>
      </c>
      <c r="R2528" s="13" t="str">
        <f t="shared" si="3"/>
        <v>Yes</v>
      </c>
      <c r="S2528" s="86" t="str">
        <f t="array" ref="S2528">iferror(XLOOKUP(C2528,'Download of SFDC Activation Rep'!B:B,'Download of SFDC Activation Rep'!Y:Y),"")</f>
        <v/>
      </c>
    </row>
    <row r="2529">
      <c r="A2529" s="17"/>
      <c r="B2529" s="85"/>
      <c r="C2529" s="17"/>
      <c r="D2529" s="85"/>
      <c r="E2529" s="17"/>
      <c r="F2529" s="17"/>
      <c r="G2529" s="17"/>
      <c r="I2529" s="17"/>
      <c r="K2529" s="17"/>
      <c r="L2529" s="17"/>
      <c r="M2529" s="17"/>
      <c r="O2529" s="14">
        <f t="shared" si="1"/>
        <v>0</v>
      </c>
      <c r="P2529" s="86" t="str">
        <f t="array" ref="P2529">iferror(XLOOKUP(C2529,'Download of SFDC Activation Rep'!B:B,'Download of SFDC Activation Rep'!Z:Z),"")</f>
        <v/>
      </c>
      <c r="Q2529" s="86" t="str">
        <f t="shared" si="2"/>
        <v/>
      </c>
      <c r="R2529" s="13" t="str">
        <f t="shared" si="3"/>
        <v>Yes</v>
      </c>
      <c r="S2529" s="86" t="str">
        <f t="array" ref="S2529">iferror(XLOOKUP(C2529,'Download of SFDC Activation Rep'!B:B,'Download of SFDC Activation Rep'!Y:Y),"")</f>
        <v/>
      </c>
    </row>
    <row r="2530">
      <c r="A2530" s="17"/>
      <c r="B2530" s="85"/>
      <c r="C2530" s="17"/>
      <c r="D2530" s="85"/>
      <c r="E2530" s="17"/>
      <c r="F2530" s="17"/>
      <c r="G2530" s="17"/>
      <c r="I2530" s="17"/>
      <c r="K2530" s="17"/>
      <c r="L2530" s="17"/>
      <c r="M2530" s="17"/>
      <c r="O2530" s="14">
        <f t="shared" si="1"/>
        <v>0</v>
      </c>
      <c r="P2530" s="86" t="str">
        <f t="array" ref="P2530">iferror(XLOOKUP(C2530,'Download of SFDC Activation Rep'!B:B,'Download of SFDC Activation Rep'!Z:Z),"")</f>
        <v/>
      </c>
      <c r="Q2530" s="86" t="str">
        <f t="shared" si="2"/>
        <v/>
      </c>
      <c r="R2530" s="13" t="str">
        <f t="shared" si="3"/>
        <v>Yes</v>
      </c>
      <c r="S2530" s="86" t="str">
        <f t="array" ref="S2530">iferror(XLOOKUP(C2530,'Download of SFDC Activation Rep'!B:B,'Download of SFDC Activation Rep'!Y:Y),"")</f>
        <v/>
      </c>
    </row>
    <row r="2531">
      <c r="A2531" s="17"/>
      <c r="B2531" s="85"/>
      <c r="C2531" s="17"/>
      <c r="D2531" s="85"/>
      <c r="E2531" s="17"/>
      <c r="F2531" s="17"/>
      <c r="G2531" s="17"/>
      <c r="I2531" s="17"/>
      <c r="K2531" s="17"/>
      <c r="L2531" s="17"/>
      <c r="M2531" s="17"/>
      <c r="O2531" s="14">
        <f t="shared" si="1"/>
        <v>0</v>
      </c>
      <c r="P2531" s="86" t="str">
        <f t="array" ref="P2531">iferror(XLOOKUP(C2531,'Download of SFDC Activation Rep'!B:B,'Download of SFDC Activation Rep'!Z:Z),"")</f>
        <v/>
      </c>
      <c r="Q2531" s="86" t="str">
        <f t="shared" si="2"/>
        <v/>
      </c>
      <c r="R2531" s="13" t="str">
        <f t="shared" si="3"/>
        <v>Yes</v>
      </c>
      <c r="S2531" s="86" t="str">
        <f t="array" ref="S2531">iferror(XLOOKUP(C2531,'Download of SFDC Activation Rep'!B:B,'Download of SFDC Activation Rep'!Y:Y),"")</f>
        <v/>
      </c>
    </row>
    <row r="2532">
      <c r="A2532" s="17"/>
      <c r="B2532" s="85"/>
      <c r="C2532" s="17"/>
      <c r="D2532" s="85"/>
      <c r="E2532" s="17"/>
      <c r="F2532" s="17"/>
      <c r="G2532" s="17"/>
      <c r="I2532" s="17"/>
      <c r="K2532" s="17"/>
      <c r="L2532" s="17"/>
      <c r="M2532" s="17"/>
      <c r="O2532" s="14">
        <f t="shared" si="1"/>
        <v>0</v>
      </c>
      <c r="P2532" s="86" t="str">
        <f t="array" ref="P2532">iferror(XLOOKUP(C2532,'Download of SFDC Activation Rep'!B:B,'Download of SFDC Activation Rep'!Z:Z),"")</f>
        <v/>
      </c>
      <c r="Q2532" s="86" t="str">
        <f t="shared" si="2"/>
        <v/>
      </c>
      <c r="R2532" s="13" t="str">
        <f t="shared" si="3"/>
        <v>Yes</v>
      </c>
      <c r="S2532" s="86" t="str">
        <f t="array" ref="S2532">iferror(XLOOKUP(C2532,'Download of SFDC Activation Rep'!B:B,'Download of SFDC Activation Rep'!Y:Y),"")</f>
        <v/>
      </c>
    </row>
    <row r="2533">
      <c r="A2533" s="17"/>
      <c r="B2533" s="85"/>
      <c r="C2533" s="17"/>
      <c r="D2533" s="85"/>
      <c r="E2533" s="17"/>
      <c r="F2533" s="17"/>
      <c r="G2533" s="17"/>
      <c r="I2533" s="17"/>
      <c r="K2533" s="17"/>
      <c r="L2533" s="17"/>
      <c r="M2533" s="17"/>
      <c r="O2533" s="14">
        <f t="shared" si="1"/>
        <v>0</v>
      </c>
      <c r="P2533" s="86" t="str">
        <f t="array" ref="P2533">iferror(XLOOKUP(C2533,'Download of SFDC Activation Rep'!B:B,'Download of SFDC Activation Rep'!Z:Z),"")</f>
        <v/>
      </c>
      <c r="Q2533" s="86" t="str">
        <f t="shared" si="2"/>
        <v/>
      </c>
      <c r="R2533" s="13" t="str">
        <f t="shared" si="3"/>
        <v>Yes</v>
      </c>
      <c r="S2533" s="86" t="str">
        <f t="array" ref="S2533">iferror(XLOOKUP(C2533,'Download of SFDC Activation Rep'!B:B,'Download of SFDC Activation Rep'!Y:Y),"")</f>
        <v/>
      </c>
    </row>
    <row r="2534">
      <c r="A2534" s="17"/>
      <c r="B2534" s="85"/>
      <c r="C2534" s="17"/>
      <c r="D2534" s="85"/>
      <c r="E2534" s="17"/>
      <c r="F2534" s="17"/>
      <c r="G2534" s="17"/>
      <c r="I2534" s="17"/>
      <c r="K2534" s="17"/>
      <c r="L2534" s="17"/>
      <c r="M2534" s="17"/>
      <c r="O2534" s="14">
        <f t="shared" si="1"/>
        <v>0</v>
      </c>
      <c r="P2534" s="86" t="str">
        <f t="array" ref="P2534">iferror(XLOOKUP(C2534,'Download of SFDC Activation Rep'!B:B,'Download of SFDC Activation Rep'!Z:Z),"")</f>
        <v/>
      </c>
      <c r="Q2534" s="86" t="str">
        <f t="shared" si="2"/>
        <v/>
      </c>
      <c r="R2534" s="13" t="str">
        <f t="shared" si="3"/>
        <v>Yes</v>
      </c>
      <c r="S2534" s="86" t="str">
        <f t="array" ref="S2534">iferror(XLOOKUP(C2534,'Download of SFDC Activation Rep'!B:B,'Download of SFDC Activation Rep'!Y:Y),"")</f>
        <v/>
      </c>
    </row>
    <row r="2535">
      <c r="A2535" s="17"/>
      <c r="B2535" s="85"/>
      <c r="C2535" s="17"/>
      <c r="D2535" s="85"/>
      <c r="E2535" s="17"/>
      <c r="F2535" s="17"/>
      <c r="G2535" s="17"/>
      <c r="I2535" s="17"/>
      <c r="K2535" s="17"/>
      <c r="L2535" s="17"/>
      <c r="M2535" s="17"/>
      <c r="O2535" s="14">
        <f t="shared" si="1"/>
        <v>0</v>
      </c>
      <c r="P2535" s="86" t="str">
        <f t="array" ref="P2535">iferror(XLOOKUP(C2535,'Download of SFDC Activation Rep'!B:B,'Download of SFDC Activation Rep'!Z:Z),"")</f>
        <v/>
      </c>
      <c r="Q2535" s="86" t="str">
        <f t="shared" si="2"/>
        <v/>
      </c>
      <c r="R2535" s="13" t="str">
        <f t="shared" si="3"/>
        <v>Yes</v>
      </c>
      <c r="S2535" s="86" t="str">
        <f t="array" ref="S2535">iferror(XLOOKUP(C2535,'Download of SFDC Activation Rep'!B:B,'Download of SFDC Activation Rep'!Y:Y),"")</f>
        <v/>
      </c>
    </row>
    <row r="2536">
      <c r="A2536" s="17"/>
      <c r="B2536" s="85"/>
      <c r="C2536" s="17"/>
      <c r="D2536" s="85"/>
      <c r="E2536" s="17"/>
      <c r="F2536" s="17"/>
      <c r="G2536" s="17"/>
      <c r="I2536" s="17"/>
      <c r="K2536" s="17"/>
      <c r="L2536" s="17"/>
      <c r="M2536" s="17"/>
      <c r="O2536" s="14">
        <f t="shared" si="1"/>
        <v>0</v>
      </c>
      <c r="P2536" s="86" t="str">
        <f t="array" ref="P2536">iferror(XLOOKUP(C2536,'Download of SFDC Activation Rep'!B:B,'Download of SFDC Activation Rep'!Z:Z),"")</f>
        <v/>
      </c>
      <c r="Q2536" s="86" t="str">
        <f t="shared" si="2"/>
        <v/>
      </c>
      <c r="R2536" s="13" t="str">
        <f t="shared" si="3"/>
        <v>Yes</v>
      </c>
      <c r="S2536" s="86" t="str">
        <f t="array" ref="S2536">iferror(XLOOKUP(C2536,'Download of SFDC Activation Rep'!B:B,'Download of SFDC Activation Rep'!Y:Y),"")</f>
        <v/>
      </c>
    </row>
    <row r="2537">
      <c r="A2537" s="17"/>
      <c r="B2537" s="85"/>
      <c r="C2537" s="17"/>
      <c r="D2537" s="85"/>
      <c r="E2537" s="17"/>
      <c r="F2537" s="17"/>
      <c r="G2537" s="17"/>
      <c r="I2537" s="17"/>
      <c r="K2537" s="17"/>
      <c r="L2537" s="17"/>
      <c r="M2537" s="17"/>
      <c r="O2537" s="14">
        <f t="shared" si="1"/>
        <v>0</v>
      </c>
      <c r="P2537" s="86" t="str">
        <f t="array" ref="P2537">iferror(XLOOKUP(C2537,'Download of SFDC Activation Rep'!B:B,'Download of SFDC Activation Rep'!Z:Z),"")</f>
        <v/>
      </c>
      <c r="Q2537" s="86" t="str">
        <f t="shared" si="2"/>
        <v/>
      </c>
      <c r="R2537" s="13" t="str">
        <f t="shared" si="3"/>
        <v>Yes</v>
      </c>
      <c r="S2537" s="86" t="str">
        <f t="array" ref="S2537">iferror(XLOOKUP(C2537,'Download of SFDC Activation Rep'!B:B,'Download of SFDC Activation Rep'!Y:Y),"")</f>
        <v/>
      </c>
    </row>
    <row r="2538">
      <c r="A2538" s="17"/>
      <c r="B2538" s="85"/>
      <c r="C2538" s="17"/>
      <c r="D2538" s="85"/>
      <c r="E2538" s="17"/>
      <c r="F2538" s="17"/>
      <c r="G2538" s="17"/>
      <c r="I2538" s="17"/>
      <c r="K2538" s="17"/>
      <c r="L2538" s="17"/>
      <c r="M2538" s="17"/>
      <c r="O2538" s="14">
        <f t="shared" si="1"/>
        <v>0</v>
      </c>
      <c r="P2538" s="86" t="str">
        <f t="array" ref="P2538">iferror(XLOOKUP(C2538,'Download of SFDC Activation Rep'!B:B,'Download of SFDC Activation Rep'!Z:Z),"")</f>
        <v/>
      </c>
      <c r="Q2538" s="86" t="str">
        <f t="shared" si="2"/>
        <v/>
      </c>
      <c r="R2538" s="13" t="str">
        <f t="shared" si="3"/>
        <v>Yes</v>
      </c>
      <c r="S2538" s="86" t="str">
        <f t="array" ref="S2538">iferror(XLOOKUP(C2538,'Download of SFDC Activation Rep'!B:B,'Download of SFDC Activation Rep'!Y:Y),"")</f>
        <v/>
      </c>
    </row>
    <row r="2539">
      <c r="A2539" s="17"/>
      <c r="B2539" s="85"/>
      <c r="C2539" s="17"/>
      <c r="D2539" s="85"/>
      <c r="E2539" s="17"/>
      <c r="F2539" s="17"/>
      <c r="G2539" s="17"/>
      <c r="I2539" s="17"/>
      <c r="K2539" s="17"/>
      <c r="L2539" s="17"/>
      <c r="M2539" s="17"/>
      <c r="O2539" s="14">
        <f t="shared" si="1"/>
        <v>0</v>
      </c>
      <c r="P2539" s="86" t="str">
        <f t="array" ref="P2539">iferror(XLOOKUP(C2539,'Download of SFDC Activation Rep'!B:B,'Download of SFDC Activation Rep'!Z:Z),"")</f>
        <v/>
      </c>
      <c r="Q2539" s="86" t="str">
        <f t="shared" si="2"/>
        <v/>
      </c>
      <c r="R2539" s="13" t="str">
        <f t="shared" si="3"/>
        <v>Yes</v>
      </c>
      <c r="S2539" s="86" t="str">
        <f t="array" ref="S2539">iferror(XLOOKUP(C2539,'Download of SFDC Activation Rep'!B:B,'Download of SFDC Activation Rep'!Y:Y),"")</f>
        <v/>
      </c>
    </row>
    <row r="2540">
      <c r="A2540" s="17"/>
      <c r="B2540" s="85"/>
      <c r="C2540" s="17"/>
      <c r="D2540" s="85"/>
      <c r="E2540" s="17"/>
      <c r="F2540" s="17"/>
      <c r="G2540" s="17"/>
      <c r="I2540" s="17"/>
      <c r="K2540" s="17"/>
      <c r="L2540" s="17"/>
      <c r="M2540" s="17"/>
      <c r="O2540" s="14">
        <f t="shared" si="1"/>
        <v>0</v>
      </c>
      <c r="P2540" s="86" t="str">
        <f t="array" ref="P2540">iferror(XLOOKUP(C2540,'Download of SFDC Activation Rep'!B:B,'Download of SFDC Activation Rep'!Z:Z),"")</f>
        <v/>
      </c>
      <c r="Q2540" s="86" t="str">
        <f t="shared" si="2"/>
        <v/>
      </c>
      <c r="R2540" s="13" t="str">
        <f t="shared" si="3"/>
        <v>Yes</v>
      </c>
      <c r="S2540" s="86" t="str">
        <f t="array" ref="S2540">iferror(XLOOKUP(C2540,'Download of SFDC Activation Rep'!B:B,'Download of SFDC Activation Rep'!Y:Y),"")</f>
        <v/>
      </c>
    </row>
    <row r="2541">
      <c r="A2541" s="17"/>
      <c r="B2541" s="85"/>
      <c r="C2541" s="17"/>
      <c r="D2541" s="85"/>
      <c r="E2541" s="17"/>
      <c r="F2541" s="17"/>
      <c r="G2541" s="17"/>
      <c r="I2541" s="17"/>
      <c r="K2541" s="17"/>
      <c r="L2541" s="17"/>
      <c r="M2541" s="17"/>
      <c r="O2541" s="14">
        <f t="shared" si="1"/>
        <v>0</v>
      </c>
      <c r="P2541" s="86" t="str">
        <f t="array" ref="P2541">iferror(XLOOKUP(C2541,'Download of SFDC Activation Rep'!B:B,'Download of SFDC Activation Rep'!Z:Z),"")</f>
        <v/>
      </c>
      <c r="Q2541" s="86" t="str">
        <f t="shared" si="2"/>
        <v/>
      </c>
      <c r="R2541" s="13" t="str">
        <f t="shared" si="3"/>
        <v>Yes</v>
      </c>
      <c r="S2541" s="86" t="str">
        <f t="array" ref="S2541">iferror(XLOOKUP(C2541,'Download of SFDC Activation Rep'!B:B,'Download of SFDC Activation Rep'!Y:Y),"")</f>
        <v/>
      </c>
    </row>
    <row r="2542">
      <c r="A2542" s="17"/>
      <c r="B2542" s="85"/>
      <c r="C2542" s="17"/>
      <c r="D2542" s="85"/>
      <c r="E2542" s="17"/>
      <c r="F2542" s="17"/>
      <c r="G2542" s="17"/>
      <c r="I2542" s="17"/>
      <c r="K2542" s="17"/>
      <c r="L2542" s="17"/>
      <c r="M2542" s="17"/>
      <c r="O2542" s="14">
        <f t="shared" si="1"/>
        <v>0</v>
      </c>
      <c r="P2542" s="86" t="str">
        <f t="array" ref="P2542">iferror(XLOOKUP(C2542,'Download of SFDC Activation Rep'!B:B,'Download of SFDC Activation Rep'!Z:Z),"")</f>
        <v/>
      </c>
      <c r="Q2542" s="86" t="str">
        <f t="shared" si="2"/>
        <v/>
      </c>
      <c r="R2542" s="13" t="str">
        <f t="shared" si="3"/>
        <v>Yes</v>
      </c>
      <c r="S2542" s="86" t="str">
        <f t="array" ref="S2542">iferror(XLOOKUP(C2542,'Download of SFDC Activation Rep'!B:B,'Download of SFDC Activation Rep'!Y:Y),"")</f>
        <v/>
      </c>
    </row>
    <row r="2543">
      <c r="A2543" s="17"/>
      <c r="B2543" s="85"/>
      <c r="C2543" s="17"/>
      <c r="D2543" s="85"/>
      <c r="E2543" s="17"/>
      <c r="F2543" s="17"/>
      <c r="G2543" s="17"/>
      <c r="I2543" s="17"/>
      <c r="K2543" s="17"/>
      <c r="L2543" s="17"/>
      <c r="M2543" s="17"/>
      <c r="O2543" s="14">
        <f t="shared" si="1"/>
        <v>0</v>
      </c>
      <c r="P2543" s="86" t="str">
        <f t="array" ref="P2543">iferror(XLOOKUP(C2543,'Download of SFDC Activation Rep'!B:B,'Download of SFDC Activation Rep'!Z:Z),"")</f>
        <v/>
      </c>
      <c r="Q2543" s="86" t="str">
        <f t="shared" si="2"/>
        <v/>
      </c>
      <c r="R2543" s="13" t="str">
        <f t="shared" si="3"/>
        <v>Yes</v>
      </c>
      <c r="S2543" s="86" t="str">
        <f t="array" ref="S2543">iferror(XLOOKUP(C2543,'Download of SFDC Activation Rep'!B:B,'Download of SFDC Activation Rep'!Y:Y),"")</f>
        <v/>
      </c>
    </row>
    <row r="2544">
      <c r="A2544" s="17"/>
      <c r="B2544" s="85"/>
      <c r="C2544" s="17"/>
      <c r="D2544" s="85"/>
      <c r="E2544" s="17"/>
      <c r="F2544" s="17"/>
      <c r="G2544" s="17"/>
      <c r="I2544" s="17"/>
      <c r="K2544" s="17"/>
      <c r="L2544" s="17"/>
      <c r="M2544" s="17"/>
      <c r="O2544" s="14">
        <f t="shared" si="1"/>
        <v>0</v>
      </c>
      <c r="P2544" s="86" t="str">
        <f t="array" ref="P2544">iferror(XLOOKUP(C2544,'Download of SFDC Activation Rep'!B:B,'Download of SFDC Activation Rep'!Z:Z),"")</f>
        <v/>
      </c>
      <c r="Q2544" s="86" t="str">
        <f t="shared" si="2"/>
        <v/>
      </c>
      <c r="R2544" s="13" t="str">
        <f t="shared" si="3"/>
        <v>Yes</v>
      </c>
      <c r="S2544" s="86" t="str">
        <f t="array" ref="S2544">iferror(XLOOKUP(C2544,'Download of SFDC Activation Rep'!B:B,'Download of SFDC Activation Rep'!Y:Y),"")</f>
        <v/>
      </c>
    </row>
    <row r="2545">
      <c r="A2545" s="17"/>
      <c r="B2545" s="85"/>
      <c r="C2545" s="17"/>
      <c r="D2545" s="85"/>
      <c r="E2545" s="17"/>
      <c r="F2545" s="17"/>
      <c r="G2545" s="17"/>
      <c r="I2545" s="17"/>
      <c r="K2545" s="17"/>
      <c r="L2545" s="17"/>
      <c r="M2545" s="17"/>
      <c r="O2545" s="14">
        <f t="shared" si="1"/>
        <v>0</v>
      </c>
      <c r="P2545" s="86" t="str">
        <f t="array" ref="P2545">iferror(XLOOKUP(C2545,'Download of SFDC Activation Rep'!B:B,'Download of SFDC Activation Rep'!Z:Z),"")</f>
        <v/>
      </c>
      <c r="Q2545" s="86" t="str">
        <f t="shared" si="2"/>
        <v/>
      </c>
      <c r="R2545" s="13" t="str">
        <f t="shared" si="3"/>
        <v>Yes</v>
      </c>
      <c r="S2545" s="86" t="str">
        <f t="array" ref="S2545">iferror(XLOOKUP(C2545,'Download of SFDC Activation Rep'!B:B,'Download of SFDC Activation Rep'!Y:Y),"")</f>
        <v/>
      </c>
    </row>
    <row r="2546">
      <c r="A2546" s="17"/>
      <c r="B2546" s="85"/>
      <c r="C2546" s="17"/>
      <c r="D2546" s="85"/>
      <c r="E2546" s="17"/>
      <c r="F2546" s="17"/>
      <c r="G2546" s="17"/>
      <c r="I2546" s="17"/>
      <c r="K2546" s="17"/>
      <c r="L2546" s="17"/>
      <c r="M2546" s="17"/>
      <c r="O2546" s="14">
        <f t="shared" si="1"/>
        <v>0</v>
      </c>
      <c r="P2546" s="86" t="str">
        <f t="array" ref="P2546">iferror(XLOOKUP(C2546,'Download of SFDC Activation Rep'!B:B,'Download of SFDC Activation Rep'!Z:Z),"")</f>
        <v/>
      </c>
      <c r="Q2546" s="86" t="str">
        <f t="shared" si="2"/>
        <v/>
      </c>
      <c r="R2546" s="13" t="str">
        <f t="shared" si="3"/>
        <v>Yes</v>
      </c>
      <c r="S2546" s="86" t="str">
        <f t="array" ref="S2546">iferror(XLOOKUP(C2546,'Download of SFDC Activation Rep'!B:B,'Download of SFDC Activation Rep'!Y:Y),"")</f>
        <v/>
      </c>
    </row>
    <row r="2547">
      <c r="A2547" s="17"/>
      <c r="B2547" s="85"/>
      <c r="C2547" s="17"/>
      <c r="D2547" s="85"/>
      <c r="E2547" s="17"/>
      <c r="F2547" s="17"/>
      <c r="G2547" s="17"/>
      <c r="I2547" s="17"/>
      <c r="K2547" s="17"/>
      <c r="L2547" s="17"/>
      <c r="M2547" s="17"/>
      <c r="O2547" s="14">
        <f t="shared" si="1"/>
        <v>0</v>
      </c>
      <c r="P2547" s="86" t="str">
        <f t="array" ref="P2547">iferror(XLOOKUP(C2547,'Download of SFDC Activation Rep'!B:B,'Download of SFDC Activation Rep'!Z:Z),"")</f>
        <v/>
      </c>
      <c r="Q2547" s="86" t="str">
        <f t="shared" si="2"/>
        <v/>
      </c>
      <c r="R2547" s="13" t="str">
        <f t="shared" si="3"/>
        <v>Yes</v>
      </c>
      <c r="S2547" s="86" t="str">
        <f t="array" ref="S2547">iferror(XLOOKUP(C2547,'Download of SFDC Activation Rep'!B:B,'Download of SFDC Activation Rep'!Y:Y),"")</f>
        <v/>
      </c>
    </row>
    <row r="2548">
      <c r="A2548" s="17"/>
      <c r="B2548" s="85"/>
      <c r="C2548" s="17"/>
      <c r="D2548" s="85"/>
      <c r="E2548" s="17"/>
      <c r="F2548" s="17"/>
      <c r="G2548" s="17"/>
      <c r="I2548" s="17"/>
      <c r="K2548" s="17"/>
      <c r="L2548" s="17"/>
      <c r="M2548" s="17"/>
      <c r="O2548" s="14">
        <f t="shared" si="1"/>
        <v>0</v>
      </c>
      <c r="P2548" s="86" t="str">
        <f t="array" ref="P2548">iferror(XLOOKUP(C2548,'Download of SFDC Activation Rep'!B:B,'Download of SFDC Activation Rep'!Z:Z),"")</f>
        <v/>
      </c>
      <c r="Q2548" s="86" t="str">
        <f t="shared" si="2"/>
        <v/>
      </c>
      <c r="R2548" s="13" t="str">
        <f t="shared" si="3"/>
        <v>Yes</v>
      </c>
      <c r="S2548" s="86" t="str">
        <f t="array" ref="S2548">iferror(XLOOKUP(C2548,'Download of SFDC Activation Rep'!B:B,'Download of SFDC Activation Rep'!Y:Y),"")</f>
        <v/>
      </c>
    </row>
    <row r="2549">
      <c r="A2549" s="17"/>
      <c r="B2549" s="85"/>
      <c r="C2549" s="17"/>
      <c r="D2549" s="85"/>
      <c r="E2549" s="17"/>
      <c r="F2549" s="17"/>
      <c r="G2549" s="17"/>
      <c r="I2549" s="17"/>
      <c r="K2549" s="17"/>
      <c r="L2549" s="17"/>
      <c r="M2549" s="17"/>
      <c r="O2549" s="14">
        <f t="shared" si="1"/>
        <v>0</v>
      </c>
      <c r="P2549" s="86" t="str">
        <f t="array" ref="P2549">iferror(XLOOKUP(C2549,'Download of SFDC Activation Rep'!B:B,'Download of SFDC Activation Rep'!Z:Z),"")</f>
        <v/>
      </c>
      <c r="Q2549" s="86" t="str">
        <f t="shared" si="2"/>
        <v/>
      </c>
      <c r="R2549" s="13" t="str">
        <f t="shared" si="3"/>
        <v>Yes</v>
      </c>
      <c r="S2549" s="86" t="str">
        <f t="array" ref="S2549">iferror(XLOOKUP(C2549,'Download of SFDC Activation Rep'!B:B,'Download of SFDC Activation Rep'!Y:Y),"")</f>
        <v/>
      </c>
    </row>
    <row r="2550">
      <c r="A2550" s="17"/>
      <c r="B2550" s="85"/>
      <c r="C2550" s="17"/>
      <c r="D2550" s="85"/>
      <c r="E2550" s="17"/>
      <c r="F2550" s="17"/>
      <c r="G2550" s="17"/>
      <c r="I2550" s="17"/>
      <c r="K2550" s="17"/>
      <c r="L2550" s="17"/>
      <c r="M2550" s="17"/>
      <c r="O2550" s="14">
        <f t="shared" si="1"/>
        <v>0</v>
      </c>
      <c r="P2550" s="86" t="str">
        <f t="array" ref="P2550">iferror(XLOOKUP(C2550,'Download of SFDC Activation Rep'!B:B,'Download of SFDC Activation Rep'!Z:Z),"")</f>
        <v/>
      </c>
      <c r="Q2550" s="86" t="str">
        <f t="shared" si="2"/>
        <v/>
      </c>
      <c r="R2550" s="13" t="str">
        <f t="shared" si="3"/>
        <v>Yes</v>
      </c>
      <c r="S2550" s="86" t="str">
        <f t="array" ref="S2550">iferror(XLOOKUP(C2550,'Download of SFDC Activation Rep'!B:B,'Download of SFDC Activation Rep'!Y:Y),"")</f>
        <v/>
      </c>
    </row>
    <row r="2551">
      <c r="A2551" s="17"/>
      <c r="B2551" s="85"/>
      <c r="C2551" s="17"/>
      <c r="D2551" s="85"/>
      <c r="E2551" s="17"/>
      <c r="F2551" s="17"/>
      <c r="G2551" s="17"/>
      <c r="I2551" s="17"/>
      <c r="K2551" s="17"/>
      <c r="L2551" s="17"/>
      <c r="M2551" s="17"/>
      <c r="O2551" s="14">
        <f t="shared" si="1"/>
        <v>0</v>
      </c>
      <c r="P2551" s="86" t="str">
        <f t="array" ref="P2551">iferror(XLOOKUP(C2551,'Download of SFDC Activation Rep'!B:B,'Download of SFDC Activation Rep'!Z:Z),"")</f>
        <v/>
      </c>
      <c r="Q2551" s="86" t="str">
        <f t="shared" si="2"/>
        <v/>
      </c>
      <c r="R2551" s="13" t="str">
        <f t="shared" si="3"/>
        <v>Yes</v>
      </c>
      <c r="S2551" s="86" t="str">
        <f t="array" ref="S2551">iferror(XLOOKUP(C2551,'Download of SFDC Activation Rep'!B:B,'Download of SFDC Activation Rep'!Y:Y),"")</f>
        <v/>
      </c>
    </row>
    <row r="2552">
      <c r="A2552" s="17"/>
      <c r="B2552" s="85"/>
      <c r="C2552" s="17"/>
      <c r="D2552" s="85"/>
      <c r="E2552" s="17"/>
      <c r="F2552" s="17"/>
      <c r="G2552" s="17"/>
      <c r="I2552" s="17"/>
      <c r="K2552" s="17"/>
      <c r="L2552" s="17"/>
      <c r="M2552" s="17"/>
      <c r="O2552" s="14">
        <f t="shared" si="1"/>
        <v>0</v>
      </c>
      <c r="P2552" s="86" t="str">
        <f t="array" ref="P2552">iferror(XLOOKUP(C2552,'Download of SFDC Activation Rep'!B:B,'Download of SFDC Activation Rep'!Z:Z),"")</f>
        <v/>
      </c>
      <c r="Q2552" s="86" t="str">
        <f t="shared" si="2"/>
        <v/>
      </c>
      <c r="R2552" s="13" t="str">
        <f t="shared" si="3"/>
        <v>Yes</v>
      </c>
      <c r="S2552" s="86" t="str">
        <f t="array" ref="S2552">iferror(XLOOKUP(C2552,'Download of SFDC Activation Rep'!B:B,'Download of SFDC Activation Rep'!Y:Y),"")</f>
        <v/>
      </c>
    </row>
    <row r="2553">
      <c r="A2553" s="17"/>
      <c r="B2553" s="85"/>
      <c r="C2553" s="17"/>
      <c r="D2553" s="85"/>
      <c r="E2553" s="17"/>
      <c r="F2553" s="17"/>
      <c r="G2553" s="17"/>
      <c r="I2553" s="17"/>
      <c r="K2553" s="17"/>
      <c r="L2553" s="17"/>
      <c r="M2553" s="17"/>
      <c r="O2553" s="14">
        <f t="shared" si="1"/>
        <v>0</v>
      </c>
      <c r="P2553" s="86" t="str">
        <f t="array" ref="P2553">iferror(XLOOKUP(C2553,'Download of SFDC Activation Rep'!B:B,'Download of SFDC Activation Rep'!Z:Z),"")</f>
        <v/>
      </c>
      <c r="Q2553" s="86" t="str">
        <f t="shared" si="2"/>
        <v/>
      </c>
      <c r="R2553" s="13" t="str">
        <f t="shared" si="3"/>
        <v>Yes</v>
      </c>
      <c r="S2553" s="86" t="str">
        <f t="array" ref="S2553">iferror(XLOOKUP(C2553,'Download of SFDC Activation Rep'!B:B,'Download of SFDC Activation Rep'!Y:Y),"")</f>
        <v/>
      </c>
    </row>
    <row r="2554">
      <c r="A2554" s="17"/>
      <c r="B2554" s="85"/>
      <c r="C2554" s="17"/>
      <c r="D2554" s="85"/>
      <c r="E2554" s="17"/>
      <c r="F2554" s="17"/>
      <c r="G2554" s="17"/>
      <c r="I2554" s="17"/>
      <c r="K2554" s="17"/>
      <c r="L2554" s="17"/>
      <c r="M2554" s="17"/>
      <c r="O2554" s="14">
        <f t="shared" si="1"/>
        <v>0</v>
      </c>
      <c r="P2554" s="86" t="str">
        <f t="array" ref="P2554">iferror(XLOOKUP(C2554,'Download of SFDC Activation Rep'!B:B,'Download of SFDC Activation Rep'!Z:Z),"")</f>
        <v/>
      </c>
      <c r="Q2554" s="86" t="str">
        <f t="shared" si="2"/>
        <v/>
      </c>
      <c r="R2554" s="13" t="str">
        <f t="shared" si="3"/>
        <v>Yes</v>
      </c>
      <c r="S2554" s="86" t="str">
        <f t="array" ref="S2554">iferror(XLOOKUP(C2554,'Download of SFDC Activation Rep'!B:B,'Download of SFDC Activation Rep'!Y:Y),"")</f>
        <v/>
      </c>
    </row>
    <row r="2555">
      <c r="A2555" s="17"/>
      <c r="B2555" s="85"/>
      <c r="C2555" s="17"/>
      <c r="D2555" s="85"/>
      <c r="E2555" s="17"/>
      <c r="F2555" s="17"/>
      <c r="G2555" s="17"/>
      <c r="I2555" s="17"/>
      <c r="K2555" s="17"/>
      <c r="L2555" s="17"/>
      <c r="M2555" s="17"/>
      <c r="O2555" s="14">
        <f t="shared" si="1"/>
        <v>0</v>
      </c>
      <c r="P2555" s="86" t="str">
        <f t="array" ref="P2555">iferror(XLOOKUP(C2555,'Download of SFDC Activation Rep'!B:B,'Download of SFDC Activation Rep'!Z:Z),"")</f>
        <v/>
      </c>
      <c r="Q2555" s="86" t="str">
        <f t="shared" si="2"/>
        <v/>
      </c>
      <c r="R2555" s="13" t="str">
        <f t="shared" si="3"/>
        <v>Yes</v>
      </c>
      <c r="S2555" s="86" t="str">
        <f t="array" ref="S2555">iferror(XLOOKUP(C2555,'Download of SFDC Activation Rep'!B:B,'Download of SFDC Activation Rep'!Y:Y),"")</f>
        <v/>
      </c>
    </row>
    <row r="2556">
      <c r="A2556" s="17"/>
      <c r="B2556" s="85"/>
      <c r="C2556" s="17"/>
      <c r="D2556" s="85"/>
      <c r="E2556" s="17"/>
      <c r="F2556" s="17"/>
      <c r="G2556" s="17"/>
      <c r="I2556" s="17"/>
      <c r="K2556" s="17"/>
      <c r="L2556" s="17"/>
      <c r="M2556" s="17"/>
      <c r="O2556" s="14">
        <f t="shared" si="1"/>
        <v>0</v>
      </c>
      <c r="P2556" s="86" t="str">
        <f t="array" ref="P2556">iferror(XLOOKUP(C2556,'Download of SFDC Activation Rep'!B:B,'Download of SFDC Activation Rep'!Z:Z),"")</f>
        <v/>
      </c>
      <c r="Q2556" s="86" t="str">
        <f t="shared" si="2"/>
        <v/>
      </c>
      <c r="R2556" s="13" t="str">
        <f t="shared" si="3"/>
        <v>Yes</v>
      </c>
      <c r="S2556" s="86" t="str">
        <f t="array" ref="S2556">iferror(XLOOKUP(C2556,'Download of SFDC Activation Rep'!B:B,'Download of SFDC Activation Rep'!Y:Y),"")</f>
        <v/>
      </c>
    </row>
    <row r="2557">
      <c r="A2557" s="17"/>
      <c r="B2557" s="85"/>
      <c r="C2557" s="17"/>
      <c r="D2557" s="85"/>
      <c r="E2557" s="17"/>
      <c r="F2557" s="17"/>
      <c r="G2557" s="17"/>
      <c r="I2557" s="17"/>
      <c r="K2557" s="17"/>
      <c r="L2557" s="17"/>
      <c r="M2557" s="17"/>
      <c r="O2557" s="14">
        <f t="shared" si="1"/>
        <v>0</v>
      </c>
      <c r="P2557" s="86" t="str">
        <f t="array" ref="P2557">iferror(XLOOKUP(C2557,'Download of SFDC Activation Rep'!B:B,'Download of SFDC Activation Rep'!Z:Z),"")</f>
        <v/>
      </c>
      <c r="Q2557" s="86" t="str">
        <f t="shared" si="2"/>
        <v/>
      </c>
      <c r="R2557" s="13" t="str">
        <f t="shared" si="3"/>
        <v>Yes</v>
      </c>
      <c r="S2557" s="86" t="str">
        <f t="array" ref="S2557">iferror(XLOOKUP(C2557,'Download of SFDC Activation Rep'!B:B,'Download of SFDC Activation Rep'!Y:Y),"")</f>
        <v/>
      </c>
    </row>
    <row r="2558">
      <c r="A2558" s="17"/>
      <c r="B2558" s="85"/>
      <c r="C2558" s="17"/>
      <c r="D2558" s="85"/>
      <c r="E2558" s="17"/>
      <c r="F2558" s="17"/>
      <c r="G2558" s="17"/>
      <c r="I2558" s="17"/>
      <c r="K2558" s="17"/>
      <c r="L2558" s="17"/>
      <c r="M2558" s="17"/>
      <c r="O2558" s="14">
        <f t="shared" si="1"/>
        <v>0</v>
      </c>
      <c r="P2558" s="86" t="str">
        <f t="array" ref="P2558">iferror(XLOOKUP(C2558,'Download of SFDC Activation Rep'!B:B,'Download of SFDC Activation Rep'!Z:Z),"")</f>
        <v/>
      </c>
      <c r="Q2558" s="86" t="str">
        <f t="shared" si="2"/>
        <v/>
      </c>
      <c r="R2558" s="13" t="str">
        <f t="shared" si="3"/>
        <v>Yes</v>
      </c>
      <c r="S2558" s="86" t="str">
        <f t="array" ref="S2558">iferror(XLOOKUP(C2558,'Download of SFDC Activation Rep'!B:B,'Download of SFDC Activation Rep'!Y:Y),"")</f>
        <v/>
      </c>
    </row>
    <row r="2559">
      <c r="A2559" s="17"/>
      <c r="B2559" s="85"/>
      <c r="C2559" s="17"/>
      <c r="D2559" s="85"/>
      <c r="E2559" s="17"/>
      <c r="F2559" s="17"/>
      <c r="G2559" s="17"/>
      <c r="I2559" s="17"/>
      <c r="K2559" s="17"/>
      <c r="L2559" s="17"/>
      <c r="M2559" s="17"/>
      <c r="O2559" s="14">
        <f t="shared" si="1"/>
        <v>0</v>
      </c>
      <c r="P2559" s="86" t="str">
        <f t="array" ref="P2559">iferror(XLOOKUP(C2559,'Download of SFDC Activation Rep'!B:B,'Download of SFDC Activation Rep'!Z:Z),"")</f>
        <v/>
      </c>
      <c r="Q2559" s="86" t="str">
        <f t="shared" si="2"/>
        <v/>
      </c>
      <c r="R2559" s="13" t="str">
        <f t="shared" si="3"/>
        <v>Yes</v>
      </c>
      <c r="S2559" s="86" t="str">
        <f t="array" ref="S2559">iferror(XLOOKUP(C2559,'Download of SFDC Activation Rep'!B:B,'Download of SFDC Activation Rep'!Y:Y),"")</f>
        <v/>
      </c>
    </row>
    <row r="2560">
      <c r="A2560" s="17"/>
      <c r="B2560" s="85"/>
      <c r="C2560" s="17"/>
      <c r="D2560" s="85"/>
      <c r="E2560" s="17"/>
      <c r="F2560" s="17"/>
      <c r="G2560" s="17"/>
      <c r="I2560" s="17"/>
      <c r="K2560" s="17"/>
      <c r="L2560" s="17"/>
      <c r="M2560" s="17"/>
      <c r="O2560" s="14">
        <f t="shared" si="1"/>
        <v>0</v>
      </c>
      <c r="P2560" s="86" t="str">
        <f t="array" ref="P2560">iferror(XLOOKUP(C2560,'Download of SFDC Activation Rep'!B:B,'Download of SFDC Activation Rep'!Z:Z),"")</f>
        <v/>
      </c>
      <c r="Q2560" s="86" t="str">
        <f t="shared" si="2"/>
        <v/>
      </c>
      <c r="R2560" s="13" t="str">
        <f t="shared" si="3"/>
        <v>Yes</v>
      </c>
      <c r="S2560" s="86" t="str">
        <f t="array" ref="S2560">iferror(XLOOKUP(C2560,'Download of SFDC Activation Rep'!B:B,'Download of SFDC Activation Rep'!Y:Y),"")</f>
        <v/>
      </c>
    </row>
    <row r="2561">
      <c r="A2561" s="17"/>
      <c r="B2561" s="85"/>
      <c r="C2561" s="17"/>
      <c r="D2561" s="85"/>
      <c r="E2561" s="17"/>
      <c r="F2561" s="17"/>
      <c r="G2561" s="17"/>
      <c r="I2561" s="17"/>
      <c r="K2561" s="17"/>
      <c r="L2561" s="17"/>
      <c r="M2561" s="17"/>
      <c r="O2561" s="14">
        <f t="shared" si="1"/>
        <v>0</v>
      </c>
      <c r="P2561" s="86" t="str">
        <f t="array" ref="P2561">iferror(XLOOKUP(C2561,'Download of SFDC Activation Rep'!B:B,'Download of SFDC Activation Rep'!Z:Z),"")</f>
        <v/>
      </c>
      <c r="Q2561" s="86" t="str">
        <f t="shared" si="2"/>
        <v/>
      </c>
      <c r="R2561" s="13" t="str">
        <f t="shared" si="3"/>
        <v>Yes</v>
      </c>
      <c r="S2561" s="86" t="str">
        <f t="array" ref="S2561">iferror(XLOOKUP(C2561,'Download of SFDC Activation Rep'!B:B,'Download of SFDC Activation Rep'!Y:Y),"")</f>
        <v/>
      </c>
    </row>
    <row r="2562">
      <c r="A2562" s="17"/>
      <c r="B2562" s="85"/>
      <c r="C2562" s="17"/>
      <c r="D2562" s="85"/>
      <c r="E2562" s="17"/>
      <c r="F2562" s="17"/>
      <c r="G2562" s="17"/>
      <c r="I2562" s="17"/>
      <c r="K2562" s="17"/>
      <c r="L2562" s="17"/>
      <c r="M2562" s="17"/>
      <c r="O2562" s="14">
        <f t="shared" si="1"/>
        <v>0</v>
      </c>
      <c r="P2562" s="86" t="str">
        <f t="array" ref="P2562">iferror(XLOOKUP(C2562,'Download of SFDC Activation Rep'!B:B,'Download of SFDC Activation Rep'!Z:Z),"")</f>
        <v/>
      </c>
      <c r="Q2562" s="86" t="str">
        <f t="shared" si="2"/>
        <v/>
      </c>
      <c r="R2562" s="13" t="str">
        <f t="shared" si="3"/>
        <v>Yes</v>
      </c>
      <c r="S2562" s="86" t="str">
        <f t="array" ref="S2562">iferror(XLOOKUP(C2562,'Download of SFDC Activation Rep'!B:B,'Download of SFDC Activation Rep'!Y:Y),"")</f>
        <v/>
      </c>
    </row>
    <row r="2563">
      <c r="A2563" s="17"/>
      <c r="B2563" s="85"/>
      <c r="C2563" s="17"/>
      <c r="D2563" s="85"/>
      <c r="E2563" s="17"/>
      <c r="F2563" s="17"/>
      <c r="G2563" s="17"/>
      <c r="I2563" s="17"/>
      <c r="K2563" s="17"/>
      <c r="L2563" s="17"/>
      <c r="M2563" s="17"/>
      <c r="O2563" s="14">
        <f t="shared" si="1"/>
        <v>0</v>
      </c>
      <c r="P2563" s="86" t="str">
        <f t="array" ref="P2563">iferror(XLOOKUP(C2563,'Download of SFDC Activation Rep'!B:B,'Download of SFDC Activation Rep'!Z:Z),"")</f>
        <v/>
      </c>
      <c r="Q2563" s="86" t="str">
        <f t="shared" si="2"/>
        <v/>
      </c>
      <c r="R2563" s="13" t="str">
        <f t="shared" si="3"/>
        <v>Yes</v>
      </c>
      <c r="S2563" s="86" t="str">
        <f t="array" ref="S2563">iferror(XLOOKUP(C2563,'Download of SFDC Activation Rep'!B:B,'Download of SFDC Activation Rep'!Y:Y),"")</f>
        <v/>
      </c>
    </row>
    <row r="2564">
      <c r="A2564" s="17"/>
      <c r="B2564" s="85"/>
      <c r="C2564" s="17"/>
      <c r="D2564" s="85"/>
      <c r="E2564" s="17"/>
      <c r="F2564" s="17"/>
      <c r="G2564" s="17"/>
      <c r="I2564" s="17"/>
      <c r="K2564" s="17"/>
      <c r="L2564" s="17"/>
      <c r="M2564" s="17"/>
      <c r="O2564" s="14">
        <f t="shared" si="1"/>
        <v>0</v>
      </c>
      <c r="P2564" s="86" t="str">
        <f t="array" ref="P2564">iferror(XLOOKUP(C2564,'Download of SFDC Activation Rep'!B:B,'Download of SFDC Activation Rep'!Z:Z),"")</f>
        <v/>
      </c>
      <c r="Q2564" s="86" t="str">
        <f t="shared" si="2"/>
        <v/>
      </c>
      <c r="R2564" s="13" t="str">
        <f t="shared" si="3"/>
        <v>Yes</v>
      </c>
      <c r="S2564" s="86" t="str">
        <f t="array" ref="S2564">iferror(XLOOKUP(C2564,'Download of SFDC Activation Rep'!B:B,'Download of SFDC Activation Rep'!Y:Y),"")</f>
        <v/>
      </c>
    </row>
    <row r="2565">
      <c r="A2565" s="17"/>
      <c r="B2565" s="85"/>
      <c r="C2565" s="17"/>
      <c r="D2565" s="85"/>
      <c r="E2565" s="17"/>
      <c r="F2565" s="17"/>
      <c r="G2565" s="17"/>
      <c r="I2565" s="17"/>
      <c r="K2565" s="17"/>
      <c r="L2565" s="17"/>
      <c r="M2565" s="17"/>
      <c r="O2565" s="14">
        <f t="shared" si="1"/>
        <v>0</v>
      </c>
      <c r="P2565" s="86" t="str">
        <f t="array" ref="P2565">iferror(XLOOKUP(C2565,'Download of SFDC Activation Rep'!B:B,'Download of SFDC Activation Rep'!Z:Z),"")</f>
        <v/>
      </c>
      <c r="Q2565" s="86" t="str">
        <f t="shared" si="2"/>
        <v/>
      </c>
      <c r="R2565" s="13" t="str">
        <f t="shared" si="3"/>
        <v>Yes</v>
      </c>
      <c r="S2565" s="86" t="str">
        <f t="array" ref="S2565">iferror(XLOOKUP(C2565,'Download of SFDC Activation Rep'!B:B,'Download of SFDC Activation Rep'!Y:Y),"")</f>
        <v/>
      </c>
    </row>
    <row r="2566">
      <c r="A2566" s="17"/>
      <c r="B2566" s="85"/>
      <c r="C2566" s="17"/>
      <c r="D2566" s="85"/>
      <c r="E2566" s="17"/>
      <c r="F2566" s="17"/>
      <c r="G2566" s="17"/>
      <c r="I2566" s="17"/>
      <c r="K2566" s="17"/>
      <c r="L2566" s="17"/>
      <c r="M2566" s="17"/>
      <c r="O2566" s="14">
        <f t="shared" si="1"/>
        <v>0</v>
      </c>
      <c r="P2566" s="86" t="str">
        <f t="array" ref="P2566">iferror(XLOOKUP(C2566,'Download of SFDC Activation Rep'!B:B,'Download of SFDC Activation Rep'!Z:Z),"")</f>
        <v/>
      </c>
      <c r="Q2566" s="86" t="str">
        <f t="shared" si="2"/>
        <v/>
      </c>
      <c r="R2566" s="13" t="str">
        <f t="shared" si="3"/>
        <v>Yes</v>
      </c>
      <c r="S2566" s="86" t="str">
        <f t="array" ref="S2566">iferror(XLOOKUP(C2566,'Download of SFDC Activation Rep'!B:B,'Download of SFDC Activation Rep'!Y:Y),"")</f>
        <v/>
      </c>
    </row>
    <row r="2567">
      <c r="A2567" s="17"/>
      <c r="B2567" s="85"/>
      <c r="C2567" s="17"/>
      <c r="D2567" s="85"/>
      <c r="E2567" s="17"/>
      <c r="F2567" s="17"/>
      <c r="G2567" s="17"/>
      <c r="I2567" s="17"/>
      <c r="K2567" s="17"/>
      <c r="L2567" s="17"/>
      <c r="M2567" s="17"/>
      <c r="O2567" s="14">
        <f t="shared" si="1"/>
        <v>0</v>
      </c>
      <c r="P2567" s="86" t="str">
        <f t="array" ref="P2567">iferror(XLOOKUP(C2567,'Download of SFDC Activation Rep'!B:B,'Download of SFDC Activation Rep'!Z:Z),"")</f>
        <v/>
      </c>
      <c r="Q2567" s="86" t="str">
        <f t="shared" si="2"/>
        <v/>
      </c>
      <c r="R2567" s="13" t="str">
        <f t="shared" si="3"/>
        <v>Yes</v>
      </c>
      <c r="S2567" s="86" t="str">
        <f t="array" ref="S2567">iferror(XLOOKUP(C2567,'Download of SFDC Activation Rep'!B:B,'Download of SFDC Activation Rep'!Y:Y),"")</f>
        <v/>
      </c>
    </row>
    <row r="2568">
      <c r="A2568" s="17"/>
      <c r="B2568" s="85"/>
      <c r="C2568" s="17"/>
      <c r="D2568" s="85"/>
      <c r="E2568" s="17"/>
      <c r="F2568" s="17"/>
      <c r="G2568" s="17"/>
      <c r="I2568" s="17"/>
      <c r="K2568" s="17"/>
      <c r="L2568" s="17"/>
      <c r="M2568" s="17"/>
      <c r="O2568" s="14">
        <f t="shared" si="1"/>
        <v>0</v>
      </c>
      <c r="P2568" s="86" t="str">
        <f t="array" ref="P2568">iferror(XLOOKUP(C2568,'Download of SFDC Activation Rep'!B:B,'Download of SFDC Activation Rep'!Z:Z),"")</f>
        <v/>
      </c>
      <c r="Q2568" s="86" t="str">
        <f t="shared" si="2"/>
        <v/>
      </c>
      <c r="R2568" s="13" t="str">
        <f t="shared" si="3"/>
        <v>Yes</v>
      </c>
      <c r="S2568" s="86" t="str">
        <f t="array" ref="S2568">iferror(XLOOKUP(C2568,'Download of SFDC Activation Rep'!B:B,'Download of SFDC Activation Rep'!Y:Y),"")</f>
        <v/>
      </c>
    </row>
    <row r="2569">
      <c r="A2569" s="17"/>
      <c r="B2569" s="85"/>
      <c r="C2569" s="17"/>
      <c r="D2569" s="85"/>
      <c r="E2569" s="17"/>
      <c r="F2569" s="17"/>
      <c r="G2569" s="17"/>
      <c r="I2569" s="17"/>
      <c r="K2569" s="17"/>
      <c r="L2569" s="17"/>
      <c r="M2569" s="17"/>
      <c r="O2569" s="14">
        <f t="shared" si="1"/>
        <v>0</v>
      </c>
      <c r="P2569" s="86" t="str">
        <f t="array" ref="P2569">iferror(XLOOKUP(C2569,'Download of SFDC Activation Rep'!B:B,'Download of SFDC Activation Rep'!Z:Z),"")</f>
        <v/>
      </c>
      <c r="Q2569" s="86" t="str">
        <f t="shared" si="2"/>
        <v/>
      </c>
      <c r="R2569" s="13" t="str">
        <f t="shared" si="3"/>
        <v>Yes</v>
      </c>
      <c r="S2569" s="86" t="str">
        <f t="array" ref="S2569">iferror(XLOOKUP(C2569,'Download of SFDC Activation Rep'!B:B,'Download of SFDC Activation Rep'!Y:Y),"")</f>
        <v/>
      </c>
    </row>
    <row r="2570">
      <c r="A2570" s="17"/>
      <c r="B2570" s="85"/>
      <c r="C2570" s="17"/>
      <c r="D2570" s="85"/>
      <c r="E2570" s="17"/>
      <c r="F2570" s="17"/>
      <c r="G2570" s="17"/>
      <c r="I2570" s="17"/>
      <c r="K2570" s="17"/>
      <c r="L2570" s="17"/>
      <c r="M2570" s="17"/>
      <c r="O2570" s="14">
        <f t="shared" si="1"/>
        <v>0</v>
      </c>
      <c r="P2570" s="86" t="str">
        <f t="array" ref="P2570">iferror(XLOOKUP(C2570,'Download of SFDC Activation Rep'!B:B,'Download of SFDC Activation Rep'!Z:Z),"")</f>
        <v/>
      </c>
      <c r="Q2570" s="86" t="str">
        <f t="shared" si="2"/>
        <v/>
      </c>
      <c r="R2570" s="13" t="str">
        <f t="shared" si="3"/>
        <v>Yes</v>
      </c>
      <c r="S2570" s="86" t="str">
        <f t="array" ref="S2570">iferror(XLOOKUP(C2570,'Download of SFDC Activation Rep'!B:B,'Download of SFDC Activation Rep'!Y:Y),"")</f>
        <v/>
      </c>
    </row>
    <row r="2571">
      <c r="A2571" s="17"/>
      <c r="B2571" s="85"/>
      <c r="C2571" s="17"/>
      <c r="D2571" s="85"/>
      <c r="E2571" s="17"/>
      <c r="F2571" s="17"/>
      <c r="G2571" s="17"/>
      <c r="I2571" s="17"/>
      <c r="K2571" s="17"/>
      <c r="L2571" s="17"/>
      <c r="M2571" s="17"/>
      <c r="O2571" s="14">
        <f t="shared" si="1"/>
        <v>0</v>
      </c>
      <c r="P2571" s="86" t="str">
        <f t="array" ref="P2571">iferror(XLOOKUP(C2571,'Download of SFDC Activation Rep'!B:B,'Download of SFDC Activation Rep'!Z:Z),"")</f>
        <v/>
      </c>
      <c r="Q2571" s="86" t="str">
        <f t="shared" si="2"/>
        <v/>
      </c>
      <c r="R2571" s="13" t="str">
        <f t="shared" si="3"/>
        <v>Yes</v>
      </c>
      <c r="S2571" s="86" t="str">
        <f t="array" ref="S2571">iferror(XLOOKUP(C2571,'Download of SFDC Activation Rep'!B:B,'Download of SFDC Activation Rep'!Y:Y),"")</f>
        <v/>
      </c>
    </row>
    <row r="2572">
      <c r="A2572" s="17"/>
      <c r="B2572" s="85"/>
      <c r="C2572" s="17"/>
      <c r="D2572" s="85"/>
      <c r="E2572" s="17"/>
      <c r="F2572" s="17"/>
      <c r="G2572" s="17"/>
      <c r="I2572" s="17"/>
      <c r="K2572" s="17"/>
      <c r="L2572" s="17"/>
      <c r="M2572" s="17"/>
      <c r="O2572" s="14">
        <f t="shared" si="1"/>
        <v>0</v>
      </c>
      <c r="P2572" s="86" t="str">
        <f t="array" ref="P2572">iferror(XLOOKUP(C2572,'Download of SFDC Activation Rep'!B:B,'Download of SFDC Activation Rep'!Z:Z),"")</f>
        <v/>
      </c>
      <c r="Q2572" s="86" t="str">
        <f t="shared" si="2"/>
        <v/>
      </c>
      <c r="R2572" s="13" t="str">
        <f t="shared" si="3"/>
        <v>Yes</v>
      </c>
      <c r="S2572" s="86" t="str">
        <f t="array" ref="S2572">iferror(XLOOKUP(C2572,'Download of SFDC Activation Rep'!B:B,'Download of SFDC Activation Rep'!Y:Y),"")</f>
        <v/>
      </c>
    </row>
    <row r="2573">
      <c r="A2573" s="17"/>
      <c r="B2573" s="85"/>
      <c r="C2573" s="17"/>
      <c r="D2573" s="85"/>
      <c r="E2573" s="17"/>
      <c r="F2573" s="17"/>
      <c r="G2573" s="17"/>
      <c r="I2573" s="17"/>
      <c r="K2573" s="17"/>
      <c r="L2573" s="17"/>
      <c r="M2573" s="17"/>
      <c r="O2573" s="14">
        <f t="shared" si="1"/>
        <v>0</v>
      </c>
      <c r="P2573" s="86" t="str">
        <f t="array" ref="P2573">iferror(XLOOKUP(C2573,'Download of SFDC Activation Rep'!B:B,'Download of SFDC Activation Rep'!Z:Z),"")</f>
        <v/>
      </c>
      <c r="Q2573" s="86" t="str">
        <f t="shared" si="2"/>
        <v/>
      </c>
      <c r="R2573" s="13" t="str">
        <f t="shared" si="3"/>
        <v>Yes</v>
      </c>
      <c r="S2573" s="86" t="str">
        <f t="array" ref="S2573">iferror(XLOOKUP(C2573,'Download of SFDC Activation Rep'!B:B,'Download of SFDC Activation Rep'!Y:Y),"")</f>
        <v/>
      </c>
    </row>
    <row r="2574">
      <c r="A2574" s="17"/>
      <c r="B2574" s="85"/>
      <c r="C2574" s="17"/>
      <c r="D2574" s="85"/>
      <c r="E2574" s="17"/>
      <c r="F2574" s="17"/>
      <c r="G2574" s="17"/>
      <c r="I2574" s="17"/>
      <c r="K2574" s="17"/>
      <c r="L2574" s="17"/>
      <c r="M2574" s="17"/>
      <c r="O2574" s="14">
        <f t="shared" si="1"/>
        <v>0</v>
      </c>
      <c r="P2574" s="86" t="str">
        <f t="array" ref="P2574">iferror(XLOOKUP(C2574,'Download of SFDC Activation Rep'!B:B,'Download of SFDC Activation Rep'!Z:Z),"")</f>
        <v/>
      </c>
      <c r="Q2574" s="86" t="str">
        <f t="shared" si="2"/>
        <v/>
      </c>
      <c r="R2574" s="13" t="str">
        <f t="shared" si="3"/>
        <v>Yes</v>
      </c>
      <c r="S2574" s="86" t="str">
        <f t="array" ref="S2574">iferror(XLOOKUP(C2574,'Download of SFDC Activation Rep'!B:B,'Download of SFDC Activation Rep'!Y:Y),"")</f>
        <v/>
      </c>
    </row>
    <row r="2575">
      <c r="A2575" s="17"/>
      <c r="B2575" s="85"/>
      <c r="C2575" s="17"/>
      <c r="D2575" s="85"/>
      <c r="E2575" s="17"/>
      <c r="F2575" s="17"/>
      <c r="G2575" s="17"/>
      <c r="I2575" s="17"/>
      <c r="K2575" s="17"/>
      <c r="L2575" s="17"/>
      <c r="M2575" s="17"/>
      <c r="O2575" s="14">
        <f t="shared" si="1"/>
        <v>0</v>
      </c>
      <c r="P2575" s="86" t="str">
        <f t="array" ref="P2575">iferror(XLOOKUP(C2575,'Download of SFDC Activation Rep'!B:B,'Download of SFDC Activation Rep'!Z:Z),"")</f>
        <v/>
      </c>
      <c r="Q2575" s="86" t="str">
        <f t="shared" si="2"/>
        <v/>
      </c>
      <c r="R2575" s="13" t="str">
        <f t="shared" si="3"/>
        <v>Yes</v>
      </c>
      <c r="S2575" s="86" t="str">
        <f t="array" ref="S2575">iferror(XLOOKUP(C2575,'Download of SFDC Activation Rep'!B:B,'Download of SFDC Activation Rep'!Y:Y),"")</f>
        <v/>
      </c>
    </row>
    <row r="2576">
      <c r="A2576" s="17"/>
      <c r="B2576" s="85"/>
      <c r="C2576" s="17"/>
      <c r="D2576" s="85"/>
      <c r="E2576" s="17"/>
      <c r="F2576" s="17"/>
      <c r="G2576" s="17"/>
      <c r="I2576" s="17"/>
      <c r="K2576" s="17"/>
      <c r="L2576" s="17"/>
      <c r="M2576" s="17"/>
      <c r="O2576" s="14">
        <f t="shared" si="1"/>
        <v>0</v>
      </c>
      <c r="P2576" s="86" t="str">
        <f t="array" ref="P2576">iferror(XLOOKUP(C2576,'Download of SFDC Activation Rep'!B:B,'Download of SFDC Activation Rep'!Z:Z),"")</f>
        <v/>
      </c>
      <c r="Q2576" s="86" t="str">
        <f t="shared" si="2"/>
        <v/>
      </c>
      <c r="R2576" s="13" t="str">
        <f t="shared" si="3"/>
        <v>Yes</v>
      </c>
      <c r="S2576" s="86" t="str">
        <f t="array" ref="S2576">iferror(XLOOKUP(C2576,'Download of SFDC Activation Rep'!B:B,'Download of SFDC Activation Rep'!Y:Y),"")</f>
        <v/>
      </c>
    </row>
    <row r="2577">
      <c r="A2577" s="17"/>
      <c r="B2577" s="85"/>
      <c r="C2577" s="17"/>
      <c r="D2577" s="85"/>
      <c r="E2577" s="17"/>
      <c r="F2577" s="17"/>
      <c r="G2577" s="17"/>
      <c r="I2577" s="17"/>
      <c r="K2577" s="17"/>
      <c r="L2577" s="17"/>
      <c r="M2577" s="17"/>
      <c r="O2577" s="14">
        <f t="shared" si="1"/>
        <v>0</v>
      </c>
      <c r="P2577" s="86" t="str">
        <f t="array" ref="P2577">iferror(XLOOKUP(C2577,'Download of SFDC Activation Rep'!B:B,'Download of SFDC Activation Rep'!Z:Z),"")</f>
        <v/>
      </c>
      <c r="Q2577" s="86" t="str">
        <f t="shared" si="2"/>
        <v/>
      </c>
      <c r="R2577" s="13" t="str">
        <f t="shared" si="3"/>
        <v>Yes</v>
      </c>
      <c r="S2577" s="86" t="str">
        <f t="array" ref="S2577">iferror(XLOOKUP(C2577,'Download of SFDC Activation Rep'!B:B,'Download of SFDC Activation Rep'!Y:Y),"")</f>
        <v/>
      </c>
    </row>
    <row r="2578">
      <c r="A2578" s="17"/>
      <c r="B2578" s="85"/>
      <c r="C2578" s="17"/>
      <c r="D2578" s="85"/>
      <c r="E2578" s="17"/>
      <c r="F2578" s="17"/>
      <c r="G2578" s="17"/>
      <c r="I2578" s="17"/>
      <c r="K2578" s="17"/>
      <c r="L2578" s="17"/>
      <c r="M2578" s="17"/>
      <c r="O2578" s="14">
        <f t="shared" si="1"/>
        <v>0</v>
      </c>
      <c r="P2578" s="86" t="str">
        <f t="array" ref="P2578">iferror(XLOOKUP(C2578,'Download of SFDC Activation Rep'!B:B,'Download of SFDC Activation Rep'!Z:Z),"")</f>
        <v/>
      </c>
      <c r="Q2578" s="86" t="str">
        <f t="shared" si="2"/>
        <v/>
      </c>
      <c r="R2578" s="13" t="str">
        <f t="shared" si="3"/>
        <v>Yes</v>
      </c>
      <c r="S2578" s="86" t="str">
        <f t="array" ref="S2578">iferror(XLOOKUP(C2578,'Download of SFDC Activation Rep'!B:B,'Download of SFDC Activation Rep'!Y:Y),"")</f>
        <v/>
      </c>
    </row>
    <row r="2579">
      <c r="A2579" s="17"/>
      <c r="B2579" s="85"/>
      <c r="C2579" s="17"/>
      <c r="D2579" s="85"/>
      <c r="E2579" s="17"/>
      <c r="F2579" s="17"/>
      <c r="G2579" s="17"/>
      <c r="I2579" s="17"/>
      <c r="K2579" s="17"/>
      <c r="L2579" s="17"/>
      <c r="M2579" s="17"/>
      <c r="O2579" s="14">
        <f t="shared" si="1"/>
        <v>0</v>
      </c>
      <c r="P2579" s="86" t="str">
        <f t="array" ref="P2579">iferror(XLOOKUP(C2579,'Download of SFDC Activation Rep'!B:B,'Download of SFDC Activation Rep'!Z:Z),"")</f>
        <v/>
      </c>
      <c r="Q2579" s="86" t="str">
        <f t="shared" si="2"/>
        <v/>
      </c>
      <c r="R2579" s="13" t="str">
        <f t="shared" si="3"/>
        <v>Yes</v>
      </c>
      <c r="S2579" s="86" t="str">
        <f t="array" ref="S2579">iferror(XLOOKUP(C2579,'Download of SFDC Activation Rep'!B:B,'Download of SFDC Activation Rep'!Y:Y),"")</f>
        <v/>
      </c>
    </row>
    <row r="2580">
      <c r="A2580" s="17"/>
      <c r="B2580" s="85"/>
      <c r="C2580" s="17"/>
      <c r="D2580" s="85"/>
      <c r="E2580" s="17"/>
      <c r="F2580" s="17"/>
      <c r="G2580" s="17"/>
      <c r="I2580" s="17"/>
      <c r="K2580" s="17"/>
      <c r="L2580" s="17"/>
      <c r="M2580" s="17"/>
      <c r="O2580" s="14">
        <f t="shared" si="1"/>
        <v>0</v>
      </c>
      <c r="P2580" s="86" t="str">
        <f t="array" ref="P2580">iferror(XLOOKUP(C2580,'Download of SFDC Activation Rep'!B:B,'Download of SFDC Activation Rep'!Z:Z),"")</f>
        <v/>
      </c>
      <c r="Q2580" s="86" t="str">
        <f t="shared" si="2"/>
        <v/>
      </c>
      <c r="R2580" s="13" t="str">
        <f t="shared" si="3"/>
        <v>Yes</v>
      </c>
      <c r="S2580" s="86" t="str">
        <f t="array" ref="S2580">iferror(XLOOKUP(C2580,'Download of SFDC Activation Rep'!B:B,'Download of SFDC Activation Rep'!Y:Y),"")</f>
        <v/>
      </c>
    </row>
    <row r="2581">
      <c r="A2581" s="17"/>
      <c r="B2581" s="85"/>
      <c r="C2581" s="17"/>
      <c r="D2581" s="85"/>
      <c r="E2581" s="17"/>
      <c r="F2581" s="17"/>
      <c r="G2581" s="17"/>
      <c r="I2581" s="17"/>
      <c r="K2581" s="17"/>
      <c r="L2581" s="17"/>
      <c r="M2581" s="17"/>
      <c r="O2581" s="14">
        <f t="shared" si="1"/>
        <v>0</v>
      </c>
      <c r="P2581" s="86" t="str">
        <f t="array" ref="P2581">iferror(XLOOKUP(C2581,'Download of SFDC Activation Rep'!B:B,'Download of SFDC Activation Rep'!Z:Z),"")</f>
        <v/>
      </c>
      <c r="Q2581" s="86" t="str">
        <f t="shared" si="2"/>
        <v/>
      </c>
      <c r="R2581" s="13" t="str">
        <f t="shared" si="3"/>
        <v>Yes</v>
      </c>
      <c r="S2581" s="86" t="str">
        <f t="array" ref="S2581">iferror(XLOOKUP(C2581,'Download of SFDC Activation Rep'!B:B,'Download of SFDC Activation Rep'!Y:Y),"")</f>
        <v/>
      </c>
    </row>
    <row r="2582">
      <c r="A2582" s="17"/>
      <c r="B2582" s="85"/>
      <c r="C2582" s="17"/>
      <c r="D2582" s="85"/>
      <c r="E2582" s="17"/>
      <c r="F2582" s="17"/>
      <c r="G2582" s="17"/>
      <c r="I2582" s="17"/>
      <c r="K2582" s="17"/>
      <c r="L2582" s="17"/>
      <c r="M2582" s="17"/>
      <c r="O2582" s="14">
        <f t="shared" si="1"/>
        <v>0</v>
      </c>
      <c r="P2582" s="86" t="str">
        <f t="array" ref="P2582">iferror(XLOOKUP(C2582,'Download of SFDC Activation Rep'!B:B,'Download of SFDC Activation Rep'!Z:Z),"")</f>
        <v/>
      </c>
      <c r="Q2582" s="86" t="str">
        <f t="shared" si="2"/>
        <v/>
      </c>
      <c r="R2582" s="13" t="str">
        <f t="shared" si="3"/>
        <v>Yes</v>
      </c>
      <c r="S2582" s="86" t="str">
        <f t="array" ref="S2582">iferror(XLOOKUP(C2582,'Download of SFDC Activation Rep'!B:B,'Download of SFDC Activation Rep'!Y:Y),"")</f>
        <v/>
      </c>
    </row>
    <row r="2583">
      <c r="A2583" s="17"/>
      <c r="B2583" s="85"/>
      <c r="C2583" s="17"/>
      <c r="D2583" s="85"/>
      <c r="E2583" s="17"/>
      <c r="F2583" s="17"/>
      <c r="G2583" s="17"/>
      <c r="I2583" s="17"/>
      <c r="K2583" s="17"/>
      <c r="L2583" s="17"/>
      <c r="M2583" s="17"/>
      <c r="O2583" s="14">
        <f t="shared" si="1"/>
        <v>0</v>
      </c>
      <c r="P2583" s="86" t="str">
        <f t="array" ref="P2583">iferror(XLOOKUP(C2583,'Download of SFDC Activation Rep'!B:B,'Download of SFDC Activation Rep'!Z:Z),"")</f>
        <v/>
      </c>
      <c r="Q2583" s="86" t="str">
        <f t="shared" si="2"/>
        <v/>
      </c>
      <c r="R2583" s="13" t="str">
        <f t="shared" si="3"/>
        <v>Yes</v>
      </c>
      <c r="S2583" s="86" t="str">
        <f t="array" ref="S2583">iferror(XLOOKUP(C2583,'Download of SFDC Activation Rep'!B:B,'Download of SFDC Activation Rep'!Y:Y),"")</f>
        <v/>
      </c>
    </row>
    <row r="2584">
      <c r="A2584" s="17"/>
      <c r="B2584" s="85"/>
      <c r="C2584" s="17"/>
      <c r="D2584" s="85"/>
      <c r="E2584" s="17"/>
      <c r="F2584" s="17"/>
      <c r="G2584" s="17"/>
      <c r="I2584" s="17"/>
      <c r="K2584" s="17"/>
      <c r="L2584" s="17"/>
      <c r="M2584" s="17"/>
      <c r="O2584" s="14">
        <f t="shared" si="1"/>
        <v>0</v>
      </c>
      <c r="P2584" s="86" t="str">
        <f t="array" ref="P2584">iferror(XLOOKUP(C2584,'Download of SFDC Activation Rep'!B:B,'Download of SFDC Activation Rep'!Z:Z),"")</f>
        <v/>
      </c>
      <c r="Q2584" s="86" t="str">
        <f t="shared" si="2"/>
        <v/>
      </c>
      <c r="R2584" s="13" t="str">
        <f t="shared" si="3"/>
        <v>Yes</v>
      </c>
      <c r="S2584" s="86" t="str">
        <f t="array" ref="S2584">iferror(XLOOKUP(C2584,'Download of SFDC Activation Rep'!B:B,'Download of SFDC Activation Rep'!Y:Y),"")</f>
        <v/>
      </c>
    </row>
    <row r="2585">
      <c r="A2585" s="17"/>
      <c r="B2585" s="85"/>
      <c r="C2585" s="17"/>
      <c r="D2585" s="85"/>
      <c r="E2585" s="17"/>
      <c r="F2585" s="17"/>
      <c r="G2585" s="17"/>
      <c r="I2585" s="17"/>
      <c r="K2585" s="17"/>
      <c r="L2585" s="17"/>
      <c r="M2585" s="17"/>
      <c r="O2585" s="14">
        <f t="shared" si="1"/>
        <v>0</v>
      </c>
      <c r="P2585" s="86" t="str">
        <f t="array" ref="P2585">iferror(XLOOKUP(C2585,'Download of SFDC Activation Rep'!B:B,'Download of SFDC Activation Rep'!Z:Z),"")</f>
        <v/>
      </c>
      <c r="Q2585" s="86" t="str">
        <f t="shared" si="2"/>
        <v/>
      </c>
      <c r="R2585" s="13" t="str">
        <f t="shared" si="3"/>
        <v>Yes</v>
      </c>
      <c r="S2585" s="86" t="str">
        <f t="array" ref="S2585">iferror(XLOOKUP(C2585,'Download of SFDC Activation Rep'!B:B,'Download of SFDC Activation Rep'!Y:Y),"")</f>
        <v/>
      </c>
    </row>
    <row r="2586">
      <c r="A2586" s="17"/>
      <c r="B2586" s="85"/>
      <c r="C2586" s="17"/>
      <c r="D2586" s="85"/>
      <c r="E2586" s="17"/>
      <c r="F2586" s="17"/>
      <c r="G2586" s="17"/>
      <c r="I2586" s="17"/>
      <c r="K2586" s="17"/>
      <c r="L2586" s="17"/>
      <c r="M2586" s="17"/>
      <c r="O2586" s="14">
        <f t="shared" si="1"/>
        <v>0</v>
      </c>
      <c r="P2586" s="86" t="str">
        <f t="array" ref="P2586">iferror(XLOOKUP(C2586,'Download of SFDC Activation Rep'!B:B,'Download of SFDC Activation Rep'!Z:Z),"")</f>
        <v/>
      </c>
      <c r="Q2586" s="86" t="str">
        <f t="shared" si="2"/>
        <v/>
      </c>
      <c r="R2586" s="13" t="str">
        <f t="shared" si="3"/>
        <v>Yes</v>
      </c>
      <c r="S2586" s="86" t="str">
        <f t="array" ref="S2586">iferror(XLOOKUP(C2586,'Download of SFDC Activation Rep'!B:B,'Download of SFDC Activation Rep'!Y:Y),"")</f>
        <v/>
      </c>
    </row>
    <row r="2587">
      <c r="A2587" s="17"/>
      <c r="B2587" s="85"/>
      <c r="C2587" s="17"/>
      <c r="D2587" s="85"/>
      <c r="E2587" s="17"/>
      <c r="F2587" s="17"/>
      <c r="G2587" s="17"/>
      <c r="I2587" s="17"/>
      <c r="K2587" s="17"/>
      <c r="L2587" s="17"/>
      <c r="M2587" s="17"/>
      <c r="O2587" s="14">
        <f t="shared" si="1"/>
        <v>0</v>
      </c>
      <c r="P2587" s="86" t="str">
        <f t="array" ref="P2587">iferror(XLOOKUP(C2587,'Download of SFDC Activation Rep'!B:B,'Download of SFDC Activation Rep'!Z:Z),"")</f>
        <v/>
      </c>
      <c r="Q2587" s="86" t="str">
        <f t="shared" si="2"/>
        <v/>
      </c>
      <c r="R2587" s="13" t="str">
        <f t="shared" si="3"/>
        <v>Yes</v>
      </c>
      <c r="S2587" s="86" t="str">
        <f t="array" ref="S2587">iferror(XLOOKUP(C2587,'Download of SFDC Activation Rep'!B:B,'Download of SFDC Activation Rep'!Y:Y),"")</f>
        <v/>
      </c>
    </row>
    <row r="2588">
      <c r="A2588" s="17"/>
      <c r="B2588" s="85"/>
      <c r="C2588" s="17"/>
      <c r="D2588" s="85"/>
      <c r="E2588" s="17"/>
      <c r="F2588" s="17"/>
      <c r="G2588" s="17"/>
      <c r="I2588" s="17"/>
      <c r="K2588" s="17"/>
      <c r="L2588" s="17"/>
      <c r="M2588" s="17"/>
      <c r="O2588" s="14">
        <f t="shared" si="1"/>
        <v>0</v>
      </c>
      <c r="P2588" s="86" t="str">
        <f t="array" ref="P2588">iferror(XLOOKUP(C2588,'Download of SFDC Activation Rep'!B:B,'Download of SFDC Activation Rep'!Z:Z),"")</f>
        <v/>
      </c>
      <c r="Q2588" s="86" t="str">
        <f t="shared" si="2"/>
        <v/>
      </c>
      <c r="R2588" s="13" t="str">
        <f t="shared" si="3"/>
        <v>Yes</v>
      </c>
      <c r="S2588" s="86" t="str">
        <f t="array" ref="S2588">iferror(XLOOKUP(C2588,'Download of SFDC Activation Rep'!B:B,'Download of SFDC Activation Rep'!Y:Y),"")</f>
        <v/>
      </c>
    </row>
    <row r="2589">
      <c r="A2589" s="17"/>
      <c r="B2589" s="85"/>
      <c r="C2589" s="17"/>
      <c r="D2589" s="85"/>
      <c r="E2589" s="17"/>
      <c r="F2589" s="17"/>
      <c r="G2589" s="17"/>
      <c r="I2589" s="17"/>
      <c r="K2589" s="17"/>
      <c r="L2589" s="17"/>
      <c r="M2589" s="17"/>
      <c r="O2589" s="14">
        <f t="shared" si="1"/>
        <v>0</v>
      </c>
      <c r="P2589" s="86" t="str">
        <f t="array" ref="P2589">iferror(XLOOKUP(C2589,'Download of SFDC Activation Rep'!B:B,'Download of SFDC Activation Rep'!Z:Z),"")</f>
        <v/>
      </c>
      <c r="Q2589" s="86" t="str">
        <f t="shared" si="2"/>
        <v/>
      </c>
      <c r="R2589" s="13" t="str">
        <f t="shared" si="3"/>
        <v>Yes</v>
      </c>
      <c r="S2589" s="86" t="str">
        <f t="array" ref="S2589">iferror(XLOOKUP(C2589,'Download of SFDC Activation Rep'!B:B,'Download of SFDC Activation Rep'!Y:Y),"")</f>
        <v/>
      </c>
    </row>
    <row r="2590">
      <c r="A2590" s="17"/>
      <c r="B2590" s="85"/>
      <c r="C2590" s="17"/>
      <c r="D2590" s="85"/>
      <c r="E2590" s="17"/>
      <c r="F2590" s="17"/>
      <c r="G2590" s="17"/>
      <c r="I2590" s="17"/>
      <c r="K2590" s="17"/>
      <c r="L2590" s="17"/>
      <c r="M2590" s="17"/>
      <c r="O2590" s="14">
        <f t="shared" si="1"/>
        <v>0</v>
      </c>
      <c r="P2590" s="86" t="str">
        <f t="array" ref="P2590">iferror(XLOOKUP(C2590,'Download of SFDC Activation Rep'!B:B,'Download of SFDC Activation Rep'!Z:Z),"")</f>
        <v/>
      </c>
      <c r="Q2590" s="86" t="str">
        <f t="shared" si="2"/>
        <v/>
      </c>
      <c r="R2590" s="13" t="str">
        <f t="shared" si="3"/>
        <v>Yes</v>
      </c>
      <c r="S2590" s="86" t="str">
        <f t="array" ref="S2590">iferror(XLOOKUP(C2590,'Download of SFDC Activation Rep'!B:B,'Download of SFDC Activation Rep'!Y:Y),"")</f>
        <v/>
      </c>
    </row>
    <row r="2591">
      <c r="A2591" s="17"/>
      <c r="B2591" s="85"/>
      <c r="C2591" s="17"/>
      <c r="D2591" s="85"/>
      <c r="E2591" s="17"/>
      <c r="F2591" s="17"/>
      <c r="G2591" s="17"/>
      <c r="I2591" s="17"/>
      <c r="K2591" s="17"/>
      <c r="L2591" s="17"/>
      <c r="M2591" s="17"/>
      <c r="O2591" s="14">
        <f t="shared" si="1"/>
        <v>0</v>
      </c>
      <c r="P2591" s="86" t="str">
        <f t="array" ref="P2591">iferror(XLOOKUP(C2591,'Download of SFDC Activation Rep'!B:B,'Download of SFDC Activation Rep'!Z:Z),"")</f>
        <v/>
      </c>
      <c r="Q2591" s="86" t="str">
        <f t="shared" si="2"/>
        <v/>
      </c>
      <c r="R2591" s="13" t="str">
        <f t="shared" si="3"/>
        <v>Yes</v>
      </c>
      <c r="S2591" s="86" t="str">
        <f t="array" ref="S2591">iferror(XLOOKUP(C2591,'Download of SFDC Activation Rep'!B:B,'Download of SFDC Activation Rep'!Y:Y),"")</f>
        <v/>
      </c>
    </row>
    <row r="2592">
      <c r="A2592" s="17"/>
      <c r="B2592" s="85"/>
      <c r="C2592" s="17"/>
      <c r="D2592" s="85"/>
      <c r="E2592" s="17"/>
      <c r="F2592" s="17"/>
      <c r="G2592" s="17"/>
      <c r="I2592" s="17"/>
      <c r="K2592" s="17"/>
      <c r="L2592" s="17"/>
      <c r="M2592" s="17"/>
      <c r="O2592" s="14">
        <f t="shared" si="1"/>
        <v>0</v>
      </c>
      <c r="P2592" s="86" t="str">
        <f t="array" ref="P2592">iferror(XLOOKUP(C2592,'Download of SFDC Activation Rep'!B:B,'Download of SFDC Activation Rep'!Z:Z),"")</f>
        <v/>
      </c>
      <c r="Q2592" s="86" t="str">
        <f t="shared" si="2"/>
        <v/>
      </c>
      <c r="R2592" s="13" t="str">
        <f t="shared" si="3"/>
        <v>Yes</v>
      </c>
      <c r="S2592" s="86" t="str">
        <f t="array" ref="S2592">iferror(XLOOKUP(C2592,'Download of SFDC Activation Rep'!B:B,'Download of SFDC Activation Rep'!Y:Y),"")</f>
        <v/>
      </c>
    </row>
    <row r="2593">
      <c r="A2593" s="17"/>
      <c r="B2593" s="85"/>
      <c r="C2593" s="17"/>
      <c r="D2593" s="85"/>
      <c r="E2593" s="17"/>
      <c r="F2593" s="17"/>
      <c r="G2593" s="17"/>
      <c r="I2593" s="17"/>
      <c r="K2593" s="17"/>
      <c r="L2593" s="17"/>
      <c r="M2593" s="17"/>
      <c r="O2593" s="14">
        <f t="shared" si="1"/>
        <v>0</v>
      </c>
      <c r="P2593" s="86" t="str">
        <f t="array" ref="P2593">iferror(XLOOKUP(C2593,'Download of SFDC Activation Rep'!B:B,'Download of SFDC Activation Rep'!Z:Z),"")</f>
        <v/>
      </c>
      <c r="Q2593" s="86" t="str">
        <f t="shared" si="2"/>
        <v/>
      </c>
      <c r="R2593" s="13" t="str">
        <f t="shared" si="3"/>
        <v>Yes</v>
      </c>
      <c r="S2593" s="86" t="str">
        <f t="array" ref="S2593">iferror(XLOOKUP(C2593,'Download of SFDC Activation Rep'!B:B,'Download of SFDC Activation Rep'!Y:Y),"")</f>
        <v/>
      </c>
    </row>
    <row r="2594">
      <c r="A2594" s="17"/>
      <c r="B2594" s="85"/>
      <c r="C2594" s="17"/>
      <c r="D2594" s="85"/>
      <c r="E2594" s="17"/>
      <c r="F2594" s="17"/>
      <c r="G2594" s="17"/>
      <c r="I2594" s="17"/>
      <c r="K2594" s="17"/>
      <c r="L2594" s="17"/>
      <c r="M2594" s="17"/>
      <c r="O2594" s="14">
        <f t="shared" si="1"/>
        <v>0</v>
      </c>
      <c r="P2594" s="86" t="str">
        <f t="array" ref="P2594">iferror(XLOOKUP(C2594,'Download of SFDC Activation Rep'!B:B,'Download of SFDC Activation Rep'!Z:Z),"")</f>
        <v/>
      </c>
      <c r="Q2594" s="86" t="str">
        <f t="shared" si="2"/>
        <v/>
      </c>
      <c r="R2594" s="13" t="str">
        <f t="shared" si="3"/>
        <v>Yes</v>
      </c>
      <c r="S2594" s="86" t="str">
        <f t="array" ref="S2594">iferror(XLOOKUP(C2594,'Download of SFDC Activation Rep'!B:B,'Download of SFDC Activation Rep'!Y:Y),"")</f>
        <v/>
      </c>
    </row>
    <row r="2595">
      <c r="A2595" s="17"/>
      <c r="B2595" s="85"/>
      <c r="C2595" s="17"/>
      <c r="D2595" s="85"/>
      <c r="E2595" s="17"/>
      <c r="F2595" s="17"/>
      <c r="G2595" s="17"/>
      <c r="I2595" s="17"/>
      <c r="K2595" s="17"/>
      <c r="L2595" s="17"/>
      <c r="M2595" s="17"/>
      <c r="O2595" s="14">
        <f t="shared" si="1"/>
        <v>0</v>
      </c>
      <c r="P2595" s="86" t="str">
        <f t="array" ref="P2595">iferror(XLOOKUP(C2595,'Download of SFDC Activation Rep'!B:B,'Download of SFDC Activation Rep'!Z:Z),"")</f>
        <v/>
      </c>
      <c r="Q2595" s="86" t="str">
        <f t="shared" si="2"/>
        <v/>
      </c>
      <c r="R2595" s="13" t="str">
        <f t="shared" si="3"/>
        <v>Yes</v>
      </c>
      <c r="S2595" s="86" t="str">
        <f t="array" ref="S2595">iferror(XLOOKUP(C2595,'Download of SFDC Activation Rep'!B:B,'Download of SFDC Activation Rep'!Y:Y),"")</f>
        <v/>
      </c>
    </row>
    <row r="2596">
      <c r="A2596" s="17"/>
      <c r="B2596" s="85"/>
      <c r="C2596" s="17"/>
      <c r="D2596" s="85"/>
      <c r="E2596" s="17"/>
      <c r="F2596" s="17"/>
      <c r="G2596" s="17"/>
      <c r="I2596" s="17"/>
      <c r="K2596" s="17"/>
      <c r="L2596" s="17"/>
      <c r="M2596" s="17"/>
      <c r="O2596" s="14">
        <f t="shared" si="1"/>
        <v>0</v>
      </c>
      <c r="P2596" s="86" t="str">
        <f t="array" ref="P2596">iferror(XLOOKUP(C2596,'Download of SFDC Activation Rep'!B:B,'Download of SFDC Activation Rep'!Z:Z),"")</f>
        <v/>
      </c>
      <c r="Q2596" s="86" t="str">
        <f t="shared" si="2"/>
        <v/>
      </c>
      <c r="R2596" s="13" t="str">
        <f t="shared" si="3"/>
        <v>Yes</v>
      </c>
      <c r="S2596" s="86" t="str">
        <f t="array" ref="S2596">iferror(XLOOKUP(C2596,'Download of SFDC Activation Rep'!B:B,'Download of SFDC Activation Rep'!Y:Y),"")</f>
        <v/>
      </c>
    </row>
    <row r="2597">
      <c r="A2597" s="17"/>
      <c r="B2597" s="85"/>
      <c r="C2597" s="17"/>
      <c r="D2597" s="85"/>
      <c r="E2597" s="17"/>
      <c r="F2597" s="17"/>
      <c r="G2597" s="17"/>
      <c r="I2597" s="17"/>
      <c r="K2597" s="17"/>
      <c r="L2597" s="17"/>
      <c r="M2597" s="17"/>
      <c r="O2597" s="14">
        <f t="shared" si="1"/>
        <v>0</v>
      </c>
      <c r="P2597" s="86" t="str">
        <f t="array" ref="P2597">iferror(XLOOKUP(C2597,'Download of SFDC Activation Rep'!B:B,'Download of SFDC Activation Rep'!Z:Z),"")</f>
        <v/>
      </c>
      <c r="Q2597" s="86" t="str">
        <f t="shared" si="2"/>
        <v/>
      </c>
      <c r="R2597" s="13" t="str">
        <f t="shared" si="3"/>
        <v>Yes</v>
      </c>
      <c r="S2597" s="86" t="str">
        <f t="array" ref="S2597">iferror(XLOOKUP(C2597,'Download of SFDC Activation Rep'!B:B,'Download of SFDC Activation Rep'!Y:Y),"")</f>
        <v/>
      </c>
    </row>
    <row r="2598">
      <c r="A2598" s="17"/>
      <c r="B2598" s="85"/>
      <c r="C2598" s="17"/>
      <c r="D2598" s="85"/>
      <c r="E2598" s="17"/>
      <c r="F2598" s="17"/>
      <c r="G2598" s="17"/>
      <c r="I2598" s="17"/>
      <c r="K2598" s="17"/>
      <c r="L2598" s="17"/>
      <c r="M2598" s="17"/>
      <c r="O2598" s="14">
        <f t="shared" si="1"/>
        <v>0</v>
      </c>
      <c r="P2598" s="86" t="str">
        <f t="array" ref="P2598">iferror(XLOOKUP(C2598,'Download of SFDC Activation Rep'!B:B,'Download of SFDC Activation Rep'!Z:Z),"")</f>
        <v/>
      </c>
      <c r="Q2598" s="86" t="str">
        <f t="shared" si="2"/>
        <v/>
      </c>
      <c r="R2598" s="13" t="str">
        <f t="shared" si="3"/>
        <v>Yes</v>
      </c>
      <c r="S2598" s="86" t="str">
        <f t="array" ref="S2598">iferror(XLOOKUP(C2598,'Download of SFDC Activation Rep'!B:B,'Download of SFDC Activation Rep'!Y:Y),"")</f>
        <v/>
      </c>
    </row>
    <row r="2599">
      <c r="A2599" s="17"/>
      <c r="B2599" s="85"/>
      <c r="C2599" s="17"/>
      <c r="D2599" s="85"/>
      <c r="E2599" s="17"/>
      <c r="F2599" s="17"/>
      <c r="G2599" s="17"/>
      <c r="I2599" s="17"/>
      <c r="K2599" s="17"/>
      <c r="L2599" s="17"/>
      <c r="M2599" s="17"/>
      <c r="O2599" s="14">
        <f t="shared" si="1"/>
        <v>0</v>
      </c>
      <c r="P2599" s="86" t="str">
        <f t="array" ref="P2599">iferror(XLOOKUP(C2599,'Download of SFDC Activation Rep'!B:B,'Download of SFDC Activation Rep'!Z:Z),"")</f>
        <v/>
      </c>
      <c r="Q2599" s="86" t="str">
        <f t="shared" si="2"/>
        <v/>
      </c>
      <c r="R2599" s="13" t="str">
        <f t="shared" si="3"/>
        <v>Yes</v>
      </c>
      <c r="S2599" s="86" t="str">
        <f t="array" ref="S2599">iferror(XLOOKUP(C2599,'Download of SFDC Activation Rep'!B:B,'Download of SFDC Activation Rep'!Y:Y),"")</f>
        <v/>
      </c>
    </row>
    <row r="2600">
      <c r="A2600" s="17"/>
      <c r="B2600" s="85"/>
      <c r="C2600" s="17"/>
      <c r="D2600" s="85"/>
      <c r="E2600" s="17"/>
      <c r="F2600" s="17"/>
      <c r="G2600" s="17"/>
      <c r="I2600" s="17"/>
      <c r="K2600" s="17"/>
      <c r="L2600" s="17"/>
      <c r="M2600" s="17"/>
      <c r="O2600" s="14">
        <f t="shared" si="1"/>
        <v>0</v>
      </c>
      <c r="P2600" s="86" t="str">
        <f t="array" ref="P2600">iferror(XLOOKUP(C2600,'Download of SFDC Activation Rep'!B:B,'Download of SFDC Activation Rep'!Z:Z),"")</f>
        <v/>
      </c>
      <c r="Q2600" s="86" t="str">
        <f t="shared" si="2"/>
        <v/>
      </c>
      <c r="R2600" s="13" t="str">
        <f t="shared" si="3"/>
        <v>Yes</v>
      </c>
      <c r="S2600" s="86" t="str">
        <f t="array" ref="S2600">iferror(XLOOKUP(C2600,'Download of SFDC Activation Rep'!B:B,'Download of SFDC Activation Rep'!Y:Y),"")</f>
        <v/>
      </c>
    </row>
    <row r="2601">
      <c r="A2601" s="17"/>
      <c r="B2601" s="85"/>
      <c r="C2601" s="17"/>
      <c r="D2601" s="85"/>
      <c r="E2601" s="17"/>
      <c r="F2601" s="17"/>
      <c r="G2601" s="17"/>
      <c r="I2601" s="17"/>
      <c r="K2601" s="17"/>
      <c r="L2601" s="17"/>
      <c r="M2601" s="17"/>
      <c r="O2601" s="14">
        <f t="shared" si="1"/>
        <v>0</v>
      </c>
      <c r="P2601" s="86" t="str">
        <f t="array" ref="P2601">iferror(XLOOKUP(C2601,'Download of SFDC Activation Rep'!B:B,'Download of SFDC Activation Rep'!Z:Z),"")</f>
        <v/>
      </c>
      <c r="Q2601" s="86" t="str">
        <f t="shared" si="2"/>
        <v/>
      </c>
      <c r="R2601" s="13" t="str">
        <f t="shared" si="3"/>
        <v>Yes</v>
      </c>
      <c r="S2601" s="86" t="str">
        <f t="array" ref="S2601">iferror(XLOOKUP(C2601,'Download of SFDC Activation Rep'!B:B,'Download of SFDC Activation Rep'!Y:Y),"")</f>
        <v/>
      </c>
    </row>
    <row r="2602">
      <c r="A2602" s="17"/>
      <c r="B2602" s="85"/>
      <c r="C2602" s="17"/>
      <c r="D2602" s="85"/>
      <c r="E2602" s="17"/>
      <c r="F2602" s="17"/>
      <c r="G2602" s="17"/>
      <c r="I2602" s="17"/>
      <c r="K2602" s="17"/>
      <c r="L2602" s="17"/>
      <c r="M2602" s="17"/>
      <c r="O2602" s="14">
        <f t="shared" si="1"/>
        <v>0</v>
      </c>
      <c r="P2602" s="86" t="str">
        <f t="array" ref="P2602">iferror(XLOOKUP(C2602,'Download of SFDC Activation Rep'!B:B,'Download of SFDC Activation Rep'!Z:Z),"")</f>
        <v/>
      </c>
      <c r="Q2602" s="86" t="str">
        <f t="shared" si="2"/>
        <v/>
      </c>
      <c r="R2602" s="13" t="str">
        <f t="shared" si="3"/>
        <v>Yes</v>
      </c>
      <c r="S2602" s="86" t="str">
        <f t="array" ref="S2602">iferror(XLOOKUP(C2602,'Download of SFDC Activation Rep'!B:B,'Download of SFDC Activation Rep'!Y:Y),"")</f>
        <v/>
      </c>
    </row>
    <row r="2603">
      <c r="A2603" s="17"/>
      <c r="B2603" s="85"/>
      <c r="C2603" s="17"/>
      <c r="D2603" s="85"/>
      <c r="E2603" s="17"/>
      <c r="F2603" s="17"/>
      <c r="G2603" s="17"/>
      <c r="I2603" s="17"/>
      <c r="K2603" s="17"/>
      <c r="L2603" s="17"/>
      <c r="M2603" s="17"/>
      <c r="O2603" s="14">
        <f t="shared" si="1"/>
        <v>0</v>
      </c>
      <c r="P2603" s="86" t="str">
        <f t="array" ref="P2603">iferror(XLOOKUP(C2603,'Download of SFDC Activation Rep'!B:B,'Download of SFDC Activation Rep'!Z:Z),"")</f>
        <v/>
      </c>
      <c r="Q2603" s="86" t="str">
        <f t="shared" si="2"/>
        <v/>
      </c>
      <c r="R2603" s="13" t="str">
        <f t="shared" si="3"/>
        <v>Yes</v>
      </c>
      <c r="S2603" s="86" t="str">
        <f t="array" ref="S2603">iferror(XLOOKUP(C2603,'Download of SFDC Activation Rep'!B:B,'Download of SFDC Activation Rep'!Y:Y),"")</f>
        <v/>
      </c>
    </row>
    <row r="2604">
      <c r="A2604" s="17"/>
      <c r="B2604" s="85"/>
      <c r="C2604" s="17"/>
      <c r="D2604" s="85"/>
      <c r="E2604" s="17"/>
      <c r="F2604" s="17"/>
      <c r="G2604" s="17"/>
      <c r="I2604" s="17"/>
      <c r="K2604" s="17"/>
      <c r="L2604" s="17"/>
      <c r="M2604" s="17"/>
      <c r="O2604" s="14">
        <f t="shared" si="1"/>
        <v>0</v>
      </c>
      <c r="P2604" s="86" t="str">
        <f t="array" ref="P2604">iferror(XLOOKUP(C2604,'Download of SFDC Activation Rep'!B:B,'Download of SFDC Activation Rep'!Z:Z),"")</f>
        <v/>
      </c>
      <c r="Q2604" s="86" t="str">
        <f t="shared" si="2"/>
        <v/>
      </c>
      <c r="R2604" s="13" t="str">
        <f t="shared" si="3"/>
        <v>Yes</v>
      </c>
      <c r="S2604" s="86" t="str">
        <f t="array" ref="S2604">iferror(XLOOKUP(C2604,'Download of SFDC Activation Rep'!B:B,'Download of SFDC Activation Rep'!Y:Y),"")</f>
        <v/>
      </c>
    </row>
    <row r="2605">
      <c r="A2605" s="17"/>
      <c r="B2605" s="85"/>
      <c r="C2605" s="17"/>
      <c r="D2605" s="85"/>
      <c r="E2605" s="17"/>
      <c r="F2605" s="17"/>
      <c r="G2605" s="17"/>
      <c r="I2605" s="17"/>
      <c r="K2605" s="17"/>
      <c r="L2605" s="17"/>
      <c r="M2605" s="17"/>
      <c r="O2605" s="14">
        <f t="shared" si="1"/>
        <v>0</v>
      </c>
      <c r="P2605" s="86" t="str">
        <f t="array" ref="P2605">iferror(XLOOKUP(C2605,'Download of SFDC Activation Rep'!B:B,'Download of SFDC Activation Rep'!Z:Z),"")</f>
        <v/>
      </c>
      <c r="Q2605" s="86" t="str">
        <f t="shared" si="2"/>
        <v/>
      </c>
      <c r="R2605" s="13" t="str">
        <f t="shared" si="3"/>
        <v>Yes</v>
      </c>
      <c r="S2605" s="86" t="str">
        <f t="array" ref="S2605">iferror(XLOOKUP(C2605,'Download of SFDC Activation Rep'!B:B,'Download of SFDC Activation Rep'!Y:Y),"")</f>
        <v/>
      </c>
    </row>
    <row r="2606">
      <c r="A2606" s="17"/>
      <c r="B2606" s="85"/>
      <c r="C2606" s="17"/>
      <c r="D2606" s="85"/>
      <c r="E2606" s="17"/>
      <c r="F2606" s="17"/>
      <c r="G2606" s="17"/>
      <c r="I2606" s="17"/>
      <c r="K2606" s="17"/>
      <c r="L2606" s="17"/>
      <c r="M2606" s="17"/>
      <c r="O2606" s="14">
        <f t="shared" si="1"/>
        <v>0</v>
      </c>
      <c r="P2606" s="86" t="str">
        <f t="array" ref="P2606">iferror(XLOOKUP(C2606,'Download of SFDC Activation Rep'!B:B,'Download of SFDC Activation Rep'!Z:Z),"")</f>
        <v/>
      </c>
      <c r="Q2606" s="86" t="str">
        <f t="shared" si="2"/>
        <v/>
      </c>
      <c r="R2606" s="13" t="str">
        <f t="shared" si="3"/>
        <v>Yes</v>
      </c>
      <c r="S2606" s="86" t="str">
        <f t="array" ref="S2606">iferror(XLOOKUP(C2606,'Download of SFDC Activation Rep'!B:B,'Download of SFDC Activation Rep'!Y:Y),"")</f>
        <v/>
      </c>
    </row>
    <row r="2607">
      <c r="A2607" s="17"/>
      <c r="B2607" s="85"/>
      <c r="C2607" s="17"/>
      <c r="D2607" s="85"/>
      <c r="E2607" s="17"/>
      <c r="F2607" s="17"/>
      <c r="G2607" s="17"/>
      <c r="I2607" s="17"/>
      <c r="K2607" s="17"/>
      <c r="L2607" s="17"/>
      <c r="M2607" s="17"/>
      <c r="O2607" s="14">
        <f t="shared" si="1"/>
        <v>0</v>
      </c>
      <c r="P2607" s="86" t="str">
        <f t="array" ref="P2607">iferror(XLOOKUP(C2607,'Download of SFDC Activation Rep'!B:B,'Download of SFDC Activation Rep'!Z:Z),"")</f>
        <v/>
      </c>
      <c r="Q2607" s="86" t="str">
        <f t="shared" si="2"/>
        <v/>
      </c>
      <c r="R2607" s="13" t="str">
        <f t="shared" si="3"/>
        <v>Yes</v>
      </c>
      <c r="S2607" s="86" t="str">
        <f t="array" ref="S2607">iferror(XLOOKUP(C2607,'Download of SFDC Activation Rep'!B:B,'Download of SFDC Activation Rep'!Y:Y),"")</f>
        <v/>
      </c>
    </row>
    <row r="2608">
      <c r="A2608" s="17"/>
      <c r="B2608" s="85"/>
      <c r="C2608" s="17"/>
      <c r="D2608" s="85"/>
      <c r="E2608" s="17"/>
      <c r="F2608" s="17"/>
      <c r="G2608" s="17"/>
      <c r="I2608" s="17"/>
      <c r="K2608" s="17"/>
      <c r="L2608" s="17"/>
      <c r="M2608" s="17"/>
      <c r="O2608" s="14">
        <f t="shared" si="1"/>
        <v>0</v>
      </c>
      <c r="P2608" s="86" t="str">
        <f t="array" ref="P2608">iferror(XLOOKUP(C2608,'Download of SFDC Activation Rep'!B:B,'Download of SFDC Activation Rep'!Z:Z),"")</f>
        <v/>
      </c>
      <c r="Q2608" s="86" t="str">
        <f t="shared" si="2"/>
        <v/>
      </c>
      <c r="R2608" s="13" t="str">
        <f t="shared" si="3"/>
        <v>Yes</v>
      </c>
      <c r="S2608" s="86" t="str">
        <f t="array" ref="S2608">iferror(XLOOKUP(C2608,'Download of SFDC Activation Rep'!B:B,'Download of SFDC Activation Rep'!Y:Y),"")</f>
        <v/>
      </c>
    </row>
    <row r="2609">
      <c r="A2609" s="17"/>
      <c r="B2609" s="85"/>
      <c r="C2609" s="17"/>
      <c r="D2609" s="85"/>
      <c r="E2609" s="17"/>
      <c r="F2609" s="17"/>
      <c r="G2609" s="17"/>
      <c r="I2609" s="17"/>
      <c r="K2609" s="17"/>
      <c r="L2609" s="17"/>
      <c r="M2609" s="17"/>
      <c r="O2609" s="14">
        <f t="shared" si="1"/>
        <v>0</v>
      </c>
      <c r="P2609" s="86" t="str">
        <f t="array" ref="P2609">iferror(XLOOKUP(C2609,'Download of SFDC Activation Rep'!B:B,'Download of SFDC Activation Rep'!Z:Z),"")</f>
        <v/>
      </c>
      <c r="Q2609" s="86" t="str">
        <f t="shared" si="2"/>
        <v/>
      </c>
      <c r="R2609" s="13" t="str">
        <f t="shared" si="3"/>
        <v>Yes</v>
      </c>
      <c r="S2609" s="86" t="str">
        <f t="array" ref="S2609">iferror(XLOOKUP(C2609,'Download of SFDC Activation Rep'!B:B,'Download of SFDC Activation Rep'!Y:Y),"")</f>
        <v/>
      </c>
    </row>
    <row r="2610">
      <c r="A2610" s="17"/>
      <c r="B2610" s="85"/>
      <c r="C2610" s="17"/>
      <c r="D2610" s="85"/>
      <c r="E2610" s="17"/>
      <c r="F2610" s="17"/>
      <c r="G2610" s="17"/>
      <c r="I2610" s="17"/>
      <c r="K2610" s="17"/>
      <c r="L2610" s="17"/>
      <c r="M2610" s="17"/>
      <c r="O2610" s="14">
        <f t="shared" si="1"/>
        <v>0</v>
      </c>
      <c r="P2610" s="86" t="str">
        <f t="array" ref="P2610">iferror(XLOOKUP(C2610,'Download of SFDC Activation Rep'!B:B,'Download of SFDC Activation Rep'!Z:Z),"")</f>
        <v/>
      </c>
      <c r="Q2610" s="86" t="str">
        <f t="shared" si="2"/>
        <v/>
      </c>
      <c r="R2610" s="13" t="str">
        <f t="shared" si="3"/>
        <v>Yes</v>
      </c>
      <c r="S2610" s="86" t="str">
        <f t="array" ref="S2610">iferror(XLOOKUP(C2610,'Download of SFDC Activation Rep'!B:B,'Download of SFDC Activation Rep'!Y:Y),"")</f>
        <v/>
      </c>
    </row>
    <row r="2611">
      <c r="A2611" s="17"/>
      <c r="B2611" s="85"/>
      <c r="C2611" s="17"/>
      <c r="D2611" s="85"/>
      <c r="E2611" s="17"/>
      <c r="F2611" s="17"/>
      <c r="G2611" s="17"/>
      <c r="I2611" s="17"/>
      <c r="K2611" s="17"/>
      <c r="L2611" s="17"/>
      <c r="M2611" s="17"/>
      <c r="O2611" s="14">
        <f t="shared" si="1"/>
        <v>0</v>
      </c>
      <c r="P2611" s="86" t="str">
        <f t="array" ref="P2611">iferror(XLOOKUP(C2611,'Download of SFDC Activation Rep'!B:B,'Download of SFDC Activation Rep'!Z:Z),"")</f>
        <v/>
      </c>
      <c r="Q2611" s="86" t="str">
        <f t="shared" si="2"/>
        <v/>
      </c>
      <c r="R2611" s="13" t="str">
        <f t="shared" si="3"/>
        <v>Yes</v>
      </c>
      <c r="S2611" s="86" t="str">
        <f t="array" ref="S2611">iferror(XLOOKUP(C2611,'Download of SFDC Activation Rep'!B:B,'Download of SFDC Activation Rep'!Y:Y),"")</f>
        <v/>
      </c>
    </row>
    <row r="2612">
      <c r="A2612" s="17"/>
      <c r="B2612" s="85"/>
      <c r="C2612" s="17"/>
      <c r="D2612" s="85"/>
      <c r="E2612" s="17"/>
      <c r="F2612" s="17"/>
      <c r="G2612" s="17"/>
      <c r="I2612" s="17"/>
      <c r="K2612" s="17"/>
      <c r="L2612" s="17"/>
      <c r="M2612" s="17"/>
      <c r="O2612" s="14">
        <f t="shared" si="1"/>
        <v>0</v>
      </c>
      <c r="P2612" s="86" t="str">
        <f t="array" ref="P2612">iferror(XLOOKUP(C2612,'Download of SFDC Activation Rep'!B:B,'Download of SFDC Activation Rep'!Z:Z),"")</f>
        <v/>
      </c>
      <c r="Q2612" s="86" t="str">
        <f t="shared" si="2"/>
        <v/>
      </c>
      <c r="R2612" s="13" t="str">
        <f t="shared" si="3"/>
        <v>Yes</v>
      </c>
      <c r="S2612" s="86" t="str">
        <f t="array" ref="S2612">iferror(XLOOKUP(C2612,'Download of SFDC Activation Rep'!B:B,'Download of SFDC Activation Rep'!Y:Y),"")</f>
        <v/>
      </c>
    </row>
    <row r="2613">
      <c r="A2613" s="17"/>
      <c r="B2613" s="85"/>
      <c r="C2613" s="17"/>
      <c r="D2613" s="85"/>
      <c r="E2613" s="17"/>
      <c r="F2613" s="17"/>
      <c r="G2613" s="17"/>
      <c r="I2613" s="17"/>
      <c r="K2613" s="17"/>
      <c r="L2613" s="17"/>
      <c r="M2613" s="17"/>
      <c r="O2613" s="14">
        <f t="shared" si="1"/>
        <v>0</v>
      </c>
      <c r="P2613" s="86" t="str">
        <f t="array" ref="P2613">iferror(XLOOKUP(C2613,'Download of SFDC Activation Rep'!B:B,'Download of SFDC Activation Rep'!Z:Z),"")</f>
        <v/>
      </c>
      <c r="Q2613" s="86" t="str">
        <f t="shared" si="2"/>
        <v/>
      </c>
      <c r="R2613" s="13" t="str">
        <f t="shared" si="3"/>
        <v>Yes</v>
      </c>
      <c r="S2613" s="86" t="str">
        <f t="array" ref="S2613">iferror(XLOOKUP(C2613,'Download of SFDC Activation Rep'!B:B,'Download of SFDC Activation Rep'!Y:Y),"")</f>
        <v/>
      </c>
    </row>
    <row r="2614">
      <c r="A2614" s="17"/>
      <c r="B2614" s="85"/>
      <c r="C2614" s="17"/>
      <c r="D2614" s="85"/>
      <c r="E2614" s="17"/>
      <c r="F2614" s="17"/>
      <c r="G2614" s="17"/>
      <c r="I2614" s="17"/>
      <c r="K2614" s="17"/>
      <c r="L2614" s="17"/>
      <c r="M2614" s="17"/>
      <c r="O2614" s="14">
        <f t="shared" si="1"/>
        <v>0</v>
      </c>
      <c r="P2614" s="86" t="str">
        <f t="array" ref="P2614">iferror(XLOOKUP(C2614,'Download of SFDC Activation Rep'!B:B,'Download of SFDC Activation Rep'!Z:Z),"")</f>
        <v/>
      </c>
      <c r="Q2614" s="86" t="str">
        <f t="shared" si="2"/>
        <v/>
      </c>
      <c r="R2614" s="13" t="str">
        <f t="shared" si="3"/>
        <v>Yes</v>
      </c>
      <c r="S2614" s="86" t="str">
        <f t="array" ref="S2614">iferror(XLOOKUP(C2614,'Download of SFDC Activation Rep'!B:B,'Download of SFDC Activation Rep'!Y:Y),"")</f>
        <v/>
      </c>
    </row>
    <row r="2615">
      <c r="A2615" s="17"/>
      <c r="B2615" s="85"/>
      <c r="C2615" s="17"/>
      <c r="D2615" s="85"/>
      <c r="E2615" s="17"/>
      <c r="F2615" s="17"/>
      <c r="G2615" s="17"/>
      <c r="I2615" s="17"/>
      <c r="K2615" s="17"/>
      <c r="L2615" s="17"/>
      <c r="M2615" s="17"/>
      <c r="O2615" s="14">
        <f t="shared" si="1"/>
        <v>0</v>
      </c>
      <c r="P2615" s="86" t="str">
        <f t="array" ref="P2615">iferror(XLOOKUP(C2615,'Download of SFDC Activation Rep'!B:B,'Download of SFDC Activation Rep'!Z:Z),"")</f>
        <v/>
      </c>
      <c r="Q2615" s="86" t="str">
        <f t="shared" si="2"/>
        <v/>
      </c>
      <c r="R2615" s="13" t="str">
        <f t="shared" si="3"/>
        <v>Yes</v>
      </c>
      <c r="S2615" s="86" t="str">
        <f t="array" ref="S2615">iferror(XLOOKUP(C2615,'Download of SFDC Activation Rep'!B:B,'Download of SFDC Activation Rep'!Y:Y),"")</f>
        <v/>
      </c>
    </row>
    <row r="2616">
      <c r="A2616" s="17"/>
      <c r="B2616" s="85"/>
      <c r="C2616" s="17"/>
      <c r="D2616" s="85"/>
      <c r="E2616" s="17"/>
      <c r="F2616" s="17"/>
      <c r="G2616" s="17"/>
      <c r="I2616" s="17"/>
      <c r="K2616" s="17"/>
      <c r="L2616" s="17"/>
      <c r="M2616" s="17"/>
      <c r="O2616" s="14">
        <f t="shared" si="1"/>
        <v>0</v>
      </c>
      <c r="P2616" s="86" t="str">
        <f t="array" ref="P2616">iferror(XLOOKUP(C2616,'Download of SFDC Activation Rep'!B:B,'Download of SFDC Activation Rep'!Z:Z),"")</f>
        <v/>
      </c>
      <c r="Q2616" s="86" t="str">
        <f t="shared" si="2"/>
        <v/>
      </c>
      <c r="R2616" s="13" t="str">
        <f t="shared" si="3"/>
        <v>Yes</v>
      </c>
      <c r="S2616" s="86" t="str">
        <f t="array" ref="S2616">iferror(XLOOKUP(C2616,'Download of SFDC Activation Rep'!B:B,'Download of SFDC Activation Rep'!Y:Y),"")</f>
        <v/>
      </c>
    </row>
    <row r="2617">
      <c r="A2617" s="17"/>
      <c r="B2617" s="85"/>
      <c r="C2617" s="17"/>
      <c r="D2617" s="85"/>
      <c r="E2617" s="17"/>
      <c r="F2617" s="17"/>
      <c r="G2617" s="17"/>
      <c r="I2617" s="17"/>
      <c r="K2617" s="17"/>
      <c r="L2617" s="17"/>
      <c r="M2617" s="17"/>
      <c r="O2617" s="14">
        <f t="shared" si="1"/>
        <v>0</v>
      </c>
      <c r="P2617" s="86" t="str">
        <f t="array" ref="P2617">iferror(XLOOKUP(C2617,'Download of SFDC Activation Rep'!B:B,'Download of SFDC Activation Rep'!Z:Z),"")</f>
        <v/>
      </c>
      <c r="Q2617" s="86" t="str">
        <f t="shared" si="2"/>
        <v/>
      </c>
      <c r="R2617" s="13" t="str">
        <f t="shared" si="3"/>
        <v>Yes</v>
      </c>
      <c r="S2617" s="86" t="str">
        <f t="array" ref="S2617">iferror(XLOOKUP(C2617,'Download of SFDC Activation Rep'!B:B,'Download of SFDC Activation Rep'!Y:Y),"")</f>
        <v/>
      </c>
    </row>
    <row r="2618">
      <c r="A2618" s="17"/>
      <c r="B2618" s="85"/>
      <c r="C2618" s="17"/>
      <c r="D2618" s="85"/>
      <c r="E2618" s="17"/>
      <c r="F2618" s="17"/>
      <c r="G2618" s="17"/>
      <c r="I2618" s="17"/>
      <c r="K2618" s="17"/>
      <c r="L2618" s="17"/>
      <c r="M2618" s="17"/>
      <c r="O2618" s="14">
        <f t="shared" si="1"/>
        <v>0</v>
      </c>
      <c r="P2618" s="86" t="str">
        <f t="array" ref="P2618">iferror(XLOOKUP(C2618,'Download of SFDC Activation Rep'!B:B,'Download of SFDC Activation Rep'!Z:Z),"")</f>
        <v/>
      </c>
      <c r="Q2618" s="86" t="str">
        <f t="shared" si="2"/>
        <v/>
      </c>
      <c r="R2618" s="13" t="str">
        <f t="shared" si="3"/>
        <v>Yes</v>
      </c>
      <c r="S2618" s="86" t="str">
        <f t="array" ref="S2618">iferror(XLOOKUP(C2618,'Download of SFDC Activation Rep'!B:B,'Download of SFDC Activation Rep'!Y:Y),"")</f>
        <v/>
      </c>
    </row>
    <row r="2619">
      <c r="A2619" s="17"/>
      <c r="B2619" s="85"/>
      <c r="C2619" s="17"/>
      <c r="D2619" s="85"/>
      <c r="E2619" s="17"/>
      <c r="F2619" s="17"/>
      <c r="G2619" s="17"/>
      <c r="I2619" s="17"/>
      <c r="K2619" s="17"/>
      <c r="L2619" s="17"/>
      <c r="M2619" s="17"/>
      <c r="O2619" s="14">
        <f t="shared" si="1"/>
        <v>0</v>
      </c>
      <c r="P2619" s="86" t="str">
        <f t="array" ref="P2619">iferror(XLOOKUP(C2619,'Download of SFDC Activation Rep'!B:B,'Download of SFDC Activation Rep'!Z:Z),"")</f>
        <v/>
      </c>
      <c r="Q2619" s="86" t="str">
        <f t="shared" si="2"/>
        <v/>
      </c>
      <c r="R2619" s="13" t="str">
        <f t="shared" si="3"/>
        <v>Yes</v>
      </c>
      <c r="S2619" s="86" t="str">
        <f t="array" ref="S2619">iferror(XLOOKUP(C2619,'Download of SFDC Activation Rep'!B:B,'Download of SFDC Activation Rep'!Y:Y),"")</f>
        <v/>
      </c>
    </row>
    <row r="2620">
      <c r="A2620" s="17"/>
      <c r="B2620" s="85"/>
      <c r="C2620" s="17"/>
      <c r="D2620" s="85"/>
      <c r="E2620" s="17"/>
      <c r="F2620" s="17"/>
      <c r="G2620" s="17"/>
      <c r="I2620" s="17"/>
      <c r="K2620" s="17"/>
      <c r="L2620" s="17"/>
      <c r="M2620" s="17"/>
      <c r="O2620" s="14">
        <f t="shared" si="1"/>
        <v>0</v>
      </c>
      <c r="P2620" s="86" t="str">
        <f t="array" ref="P2620">iferror(XLOOKUP(C2620,'Download of SFDC Activation Rep'!B:B,'Download of SFDC Activation Rep'!Z:Z),"")</f>
        <v/>
      </c>
      <c r="Q2620" s="86" t="str">
        <f t="shared" si="2"/>
        <v/>
      </c>
      <c r="R2620" s="13" t="str">
        <f t="shared" si="3"/>
        <v>Yes</v>
      </c>
      <c r="S2620" s="86" t="str">
        <f t="array" ref="S2620">iferror(XLOOKUP(C2620,'Download of SFDC Activation Rep'!B:B,'Download of SFDC Activation Rep'!Y:Y),"")</f>
        <v/>
      </c>
    </row>
    <row r="2621">
      <c r="A2621" s="17"/>
      <c r="B2621" s="85"/>
      <c r="C2621" s="17"/>
      <c r="D2621" s="85"/>
      <c r="E2621" s="17"/>
      <c r="F2621" s="17"/>
      <c r="G2621" s="17"/>
      <c r="I2621" s="17"/>
      <c r="K2621" s="17"/>
      <c r="L2621" s="17"/>
      <c r="M2621" s="17"/>
      <c r="O2621" s="14">
        <f t="shared" si="1"/>
        <v>0</v>
      </c>
      <c r="P2621" s="86" t="str">
        <f t="array" ref="P2621">iferror(XLOOKUP(C2621,'Download of SFDC Activation Rep'!B:B,'Download of SFDC Activation Rep'!Z:Z),"")</f>
        <v/>
      </c>
      <c r="Q2621" s="86" t="str">
        <f t="shared" si="2"/>
        <v/>
      </c>
      <c r="R2621" s="13" t="str">
        <f t="shared" si="3"/>
        <v>Yes</v>
      </c>
      <c r="S2621" s="86" t="str">
        <f t="array" ref="S2621">iferror(XLOOKUP(C2621,'Download of SFDC Activation Rep'!B:B,'Download of SFDC Activation Rep'!Y:Y),"")</f>
        <v/>
      </c>
    </row>
    <row r="2622">
      <c r="A2622" s="17"/>
      <c r="B2622" s="85"/>
      <c r="C2622" s="17"/>
      <c r="D2622" s="85"/>
      <c r="E2622" s="17"/>
      <c r="F2622" s="17"/>
      <c r="G2622" s="17"/>
      <c r="I2622" s="17"/>
      <c r="K2622" s="17"/>
      <c r="L2622" s="17"/>
      <c r="M2622" s="17"/>
      <c r="O2622" s="14">
        <f t="shared" si="1"/>
        <v>0</v>
      </c>
      <c r="P2622" s="86" t="str">
        <f t="array" ref="P2622">iferror(XLOOKUP(C2622,'Download of SFDC Activation Rep'!B:B,'Download of SFDC Activation Rep'!Z:Z),"")</f>
        <v/>
      </c>
      <c r="Q2622" s="86" t="str">
        <f t="shared" si="2"/>
        <v/>
      </c>
      <c r="R2622" s="13" t="str">
        <f t="shared" si="3"/>
        <v>Yes</v>
      </c>
      <c r="S2622" s="86" t="str">
        <f t="array" ref="S2622">iferror(XLOOKUP(C2622,'Download of SFDC Activation Rep'!B:B,'Download of SFDC Activation Rep'!Y:Y),"")</f>
        <v/>
      </c>
    </row>
    <row r="2623">
      <c r="A2623" s="17"/>
      <c r="B2623" s="85"/>
      <c r="C2623" s="17"/>
      <c r="D2623" s="85"/>
      <c r="E2623" s="17"/>
      <c r="F2623" s="17"/>
      <c r="G2623" s="17"/>
      <c r="I2623" s="17"/>
      <c r="K2623" s="17"/>
      <c r="L2623" s="17"/>
      <c r="M2623" s="17"/>
      <c r="O2623" s="14">
        <f t="shared" si="1"/>
        <v>0</v>
      </c>
      <c r="P2623" s="86" t="str">
        <f t="array" ref="P2623">iferror(XLOOKUP(C2623,'Download of SFDC Activation Rep'!B:B,'Download of SFDC Activation Rep'!Z:Z),"")</f>
        <v/>
      </c>
      <c r="Q2623" s="86" t="str">
        <f t="shared" si="2"/>
        <v/>
      </c>
      <c r="R2623" s="13" t="str">
        <f t="shared" si="3"/>
        <v>Yes</v>
      </c>
      <c r="S2623" s="86" t="str">
        <f t="array" ref="S2623">iferror(XLOOKUP(C2623,'Download of SFDC Activation Rep'!B:B,'Download of SFDC Activation Rep'!Y:Y),"")</f>
        <v/>
      </c>
    </row>
    <row r="2624">
      <c r="A2624" s="17"/>
      <c r="B2624" s="85"/>
      <c r="C2624" s="17"/>
      <c r="D2624" s="85"/>
      <c r="E2624" s="17"/>
      <c r="F2624" s="17"/>
      <c r="G2624" s="17"/>
      <c r="I2624" s="17"/>
      <c r="K2624" s="17"/>
      <c r="L2624" s="17"/>
      <c r="M2624" s="17"/>
      <c r="O2624" s="14">
        <f t="shared" si="1"/>
        <v>0</v>
      </c>
      <c r="P2624" s="86" t="str">
        <f t="array" ref="P2624">iferror(XLOOKUP(C2624,'Download of SFDC Activation Rep'!B:B,'Download of SFDC Activation Rep'!Z:Z),"")</f>
        <v/>
      </c>
      <c r="Q2624" s="86" t="str">
        <f t="shared" si="2"/>
        <v/>
      </c>
      <c r="R2624" s="13" t="str">
        <f t="shared" si="3"/>
        <v>Yes</v>
      </c>
      <c r="S2624" s="86" t="str">
        <f t="array" ref="S2624">iferror(XLOOKUP(C2624,'Download of SFDC Activation Rep'!B:B,'Download of SFDC Activation Rep'!Y:Y),"")</f>
        <v/>
      </c>
    </row>
    <row r="2625">
      <c r="A2625" s="17"/>
      <c r="B2625" s="85"/>
      <c r="C2625" s="17"/>
      <c r="D2625" s="85"/>
      <c r="E2625" s="17"/>
      <c r="F2625" s="17"/>
      <c r="G2625" s="17"/>
      <c r="I2625" s="17"/>
      <c r="K2625" s="17"/>
      <c r="L2625" s="17"/>
      <c r="M2625" s="17"/>
      <c r="O2625" s="14">
        <f t="shared" si="1"/>
        <v>0</v>
      </c>
      <c r="P2625" s="86" t="str">
        <f t="array" ref="P2625">iferror(XLOOKUP(C2625,'Download of SFDC Activation Rep'!B:B,'Download of SFDC Activation Rep'!Z:Z),"")</f>
        <v/>
      </c>
      <c r="Q2625" s="86" t="str">
        <f t="shared" si="2"/>
        <v/>
      </c>
      <c r="R2625" s="13" t="str">
        <f t="shared" si="3"/>
        <v>Yes</v>
      </c>
      <c r="S2625" s="86" t="str">
        <f t="array" ref="S2625">iferror(XLOOKUP(C2625,'Download of SFDC Activation Rep'!B:B,'Download of SFDC Activation Rep'!Y:Y),"")</f>
        <v/>
      </c>
    </row>
    <row r="2626">
      <c r="A2626" s="17"/>
      <c r="B2626" s="85"/>
      <c r="C2626" s="17"/>
      <c r="D2626" s="85"/>
      <c r="E2626" s="17"/>
      <c r="F2626" s="17"/>
      <c r="G2626" s="17"/>
      <c r="I2626" s="17"/>
      <c r="K2626" s="17"/>
      <c r="L2626" s="17"/>
      <c r="M2626" s="17"/>
      <c r="O2626" s="14">
        <f t="shared" si="1"/>
        <v>0</v>
      </c>
      <c r="P2626" s="86" t="str">
        <f t="array" ref="P2626">iferror(XLOOKUP(C2626,'Download of SFDC Activation Rep'!B:B,'Download of SFDC Activation Rep'!Z:Z),"")</f>
        <v/>
      </c>
      <c r="Q2626" s="86" t="str">
        <f t="shared" si="2"/>
        <v/>
      </c>
      <c r="R2626" s="13" t="str">
        <f t="shared" si="3"/>
        <v>Yes</v>
      </c>
      <c r="S2626" s="86" t="str">
        <f t="array" ref="S2626">iferror(XLOOKUP(C2626,'Download of SFDC Activation Rep'!B:B,'Download of SFDC Activation Rep'!Y:Y),"")</f>
        <v/>
      </c>
    </row>
    <row r="2627">
      <c r="A2627" s="17"/>
      <c r="B2627" s="85"/>
      <c r="C2627" s="17"/>
      <c r="D2627" s="85"/>
      <c r="E2627" s="17"/>
      <c r="F2627" s="17"/>
      <c r="G2627" s="17"/>
      <c r="I2627" s="17"/>
      <c r="K2627" s="17"/>
      <c r="L2627" s="17"/>
      <c r="M2627" s="17"/>
      <c r="O2627" s="14">
        <f t="shared" si="1"/>
        <v>0</v>
      </c>
      <c r="P2627" s="86" t="str">
        <f t="array" ref="P2627">iferror(XLOOKUP(C2627,'Download of SFDC Activation Rep'!B:B,'Download of SFDC Activation Rep'!Z:Z),"")</f>
        <v/>
      </c>
      <c r="Q2627" s="86" t="str">
        <f t="shared" si="2"/>
        <v/>
      </c>
      <c r="R2627" s="13" t="str">
        <f t="shared" si="3"/>
        <v>Yes</v>
      </c>
      <c r="S2627" s="86" t="str">
        <f t="array" ref="S2627">iferror(XLOOKUP(C2627,'Download of SFDC Activation Rep'!B:B,'Download of SFDC Activation Rep'!Y:Y),"")</f>
        <v/>
      </c>
    </row>
    <row r="2628">
      <c r="A2628" s="17"/>
      <c r="B2628" s="85"/>
      <c r="C2628" s="17"/>
      <c r="D2628" s="85"/>
      <c r="E2628" s="17"/>
      <c r="F2628" s="17"/>
      <c r="G2628" s="17"/>
      <c r="I2628" s="17"/>
      <c r="K2628" s="17"/>
      <c r="L2628" s="17"/>
      <c r="M2628" s="17"/>
      <c r="O2628" s="14">
        <f t="shared" si="1"/>
        <v>0</v>
      </c>
      <c r="P2628" s="86" t="str">
        <f t="array" ref="P2628">iferror(XLOOKUP(C2628,'Download of SFDC Activation Rep'!B:B,'Download of SFDC Activation Rep'!Z:Z),"")</f>
        <v/>
      </c>
      <c r="Q2628" s="86" t="str">
        <f t="shared" si="2"/>
        <v/>
      </c>
      <c r="R2628" s="13" t="str">
        <f t="shared" si="3"/>
        <v>Yes</v>
      </c>
      <c r="S2628" s="86" t="str">
        <f t="array" ref="S2628">iferror(XLOOKUP(C2628,'Download of SFDC Activation Rep'!B:B,'Download of SFDC Activation Rep'!Y:Y),"")</f>
        <v/>
      </c>
    </row>
    <row r="2629">
      <c r="A2629" s="17"/>
      <c r="B2629" s="85"/>
      <c r="C2629" s="17"/>
      <c r="D2629" s="85"/>
      <c r="E2629" s="17"/>
      <c r="F2629" s="17"/>
      <c r="G2629" s="17"/>
      <c r="I2629" s="17"/>
      <c r="K2629" s="17"/>
      <c r="L2629" s="17"/>
      <c r="M2629" s="17"/>
      <c r="O2629" s="14">
        <f t="shared" si="1"/>
        <v>0</v>
      </c>
      <c r="P2629" s="86" t="str">
        <f t="array" ref="P2629">iferror(XLOOKUP(C2629,'Download of SFDC Activation Rep'!B:B,'Download of SFDC Activation Rep'!Z:Z),"")</f>
        <v/>
      </c>
      <c r="Q2629" s="86" t="str">
        <f t="shared" si="2"/>
        <v/>
      </c>
      <c r="R2629" s="13" t="str">
        <f t="shared" si="3"/>
        <v>Yes</v>
      </c>
      <c r="S2629" s="86" t="str">
        <f t="array" ref="S2629">iferror(XLOOKUP(C2629,'Download of SFDC Activation Rep'!B:B,'Download of SFDC Activation Rep'!Y:Y),"")</f>
        <v/>
      </c>
    </row>
    <row r="2630">
      <c r="A2630" s="17"/>
      <c r="B2630" s="85"/>
      <c r="C2630" s="17"/>
      <c r="D2630" s="85"/>
      <c r="E2630" s="17"/>
      <c r="F2630" s="17"/>
      <c r="G2630" s="17"/>
      <c r="I2630" s="17"/>
      <c r="K2630" s="17"/>
      <c r="L2630" s="17"/>
      <c r="M2630" s="17"/>
      <c r="O2630" s="14">
        <f t="shared" si="1"/>
        <v>0</v>
      </c>
      <c r="P2630" s="86" t="str">
        <f t="array" ref="P2630">iferror(XLOOKUP(C2630,'Download of SFDC Activation Rep'!B:B,'Download of SFDC Activation Rep'!Z:Z),"")</f>
        <v/>
      </c>
      <c r="Q2630" s="86" t="str">
        <f t="shared" si="2"/>
        <v/>
      </c>
      <c r="R2630" s="13" t="str">
        <f t="shared" si="3"/>
        <v>Yes</v>
      </c>
      <c r="S2630" s="86" t="str">
        <f t="array" ref="S2630">iferror(XLOOKUP(C2630,'Download of SFDC Activation Rep'!B:B,'Download of SFDC Activation Rep'!Y:Y),"")</f>
        <v/>
      </c>
    </row>
    <row r="2631">
      <c r="A2631" s="17"/>
      <c r="B2631" s="85"/>
      <c r="C2631" s="17"/>
      <c r="D2631" s="85"/>
      <c r="E2631" s="17"/>
      <c r="F2631" s="17"/>
      <c r="G2631" s="17"/>
      <c r="I2631" s="17"/>
      <c r="K2631" s="17"/>
      <c r="L2631" s="17"/>
      <c r="M2631" s="17"/>
      <c r="O2631" s="14">
        <f t="shared" si="1"/>
        <v>0</v>
      </c>
      <c r="P2631" s="86" t="str">
        <f t="array" ref="P2631">iferror(XLOOKUP(C2631,'Download of SFDC Activation Rep'!B:B,'Download of SFDC Activation Rep'!Z:Z),"")</f>
        <v/>
      </c>
      <c r="Q2631" s="86" t="str">
        <f t="shared" si="2"/>
        <v/>
      </c>
      <c r="R2631" s="13" t="str">
        <f t="shared" si="3"/>
        <v>Yes</v>
      </c>
      <c r="S2631" s="86" t="str">
        <f t="array" ref="S2631">iferror(XLOOKUP(C2631,'Download of SFDC Activation Rep'!B:B,'Download of SFDC Activation Rep'!Y:Y),"")</f>
        <v/>
      </c>
    </row>
    <row r="2632">
      <c r="A2632" s="17"/>
      <c r="B2632" s="85"/>
      <c r="C2632" s="17"/>
      <c r="D2632" s="85"/>
      <c r="E2632" s="17"/>
      <c r="F2632" s="17"/>
      <c r="G2632" s="17"/>
      <c r="I2632" s="17"/>
      <c r="K2632" s="17"/>
      <c r="L2632" s="17"/>
      <c r="M2632" s="17"/>
      <c r="O2632" s="14">
        <f t="shared" si="1"/>
        <v>0</v>
      </c>
      <c r="P2632" s="86" t="str">
        <f t="array" ref="P2632">iferror(XLOOKUP(C2632,'Download of SFDC Activation Rep'!B:B,'Download of SFDC Activation Rep'!Z:Z),"")</f>
        <v/>
      </c>
      <c r="Q2632" s="86" t="str">
        <f t="shared" si="2"/>
        <v/>
      </c>
      <c r="R2632" s="13" t="str">
        <f t="shared" si="3"/>
        <v>Yes</v>
      </c>
      <c r="S2632" s="86" t="str">
        <f t="array" ref="S2632">iferror(XLOOKUP(C2632,'Download of SFDC Activation Rep'!B:B,'Download of SFDC Activation Rep'!Y:Y),"")</f>
        <v/>
      </c>
    </row>
    <row r="2633">
      <c r="A2633" s="17"/>
      <c r="B2633" s="85"/>
      <c r="C2633" s="17"/>
      <c r="D2633" s="85"/>
      <c r="E2633" s="17"/>
      <c r="F2633" s="17"/>
      <c r="G2633" s="17"/>
      <c r="I2633" s="17"/>
      <c r="K2633" s="17"/>
      <c r="L2633" s="17"/>
      <c r="M2633" s="17"/>
      <c r="O2633" s="14">
        <f t="shared" si="1"/>
        <v>0</v>
      </c>
      <c r="P2633" s="86" t="str">
        <f t="array" ref="P2633">iferror(XLOOKUP(C2633,'Download of SFDC Activation Rep'!B:B,'Download of SFDC Activation Rep'!Z:Z),"")</f>
        <v/>
      </c>
      <c r="Q2633" s="86" t="str">
        <f t="shared" si="2"/>
        <v/>
      </c>
      <c r="R2633" s="13" t="str">
        <f t="shared" si="3"/>
        <v>Yes</v>
      </c>
      <c r="S2633" s="86" t="str">
        <f t="array" ref="S2633">iferror(XLOOKUP(C2633,'Download of SFDC Activation Rep'!B:B,'Download of SFDC Activation Rep'!Y:Y),"")</f>
        <v/>
      </c>
    </row>
    <row r="2634">
      <c r="A2634" s="17"/>
      <c r="B2634" s="85"/>
      <c r="C2634" s="17"/>
      <c r="D2634" s="85"/>
      <c r="E2634" s="17"/>
      <c r="F2634" s="17"/>
      <c r="G2634" s="17"/>
      <c r="I2634" s="17"/>
      <c r="K2634" s="17"/>
      <c r="L2634" s="17"/>
      <c r="M2634" s="17"/>
      <c r="O2634" s="14">
        <f t="shared" si="1"/>
        <v>0</v>
      </c>
      <c r="P2634" s="86" t="str">
        <f t="array" ref="P2634">iferror(XLOOKUP(C2634,'Download of SFDC Activation Rep'!B:B,'Download of SFDC Activation Rep'!Z:Z),"")</f>
        <v/>
      </c>
      <c r="Q2634" s="86" t="str">
        <f t="shared" si="2"/>
        <v/>
      </c>
      <c r="R2634" s="13" t="str">
        <f t="shared" si="3"/>
        <v>Yes</v>
      </c>
      <c r="S2634" s="86" t="str">
        <f t="array" ref="S2634">iferror(XLOOKUP(C2634,'Download of SFDC Activation Rep'!B:B,'Download of SFDC Activation Rep'!Y:Y),"")</f>
        <v/>
      </c>
    </row>
    <row r="2635">
      <c r="A2635" s="17"/>
      <c r="B2635" s="85"/>
      <c r="C2635" s="17"/>
      <c r="D2635" s="85"/>
      <c r="E2635" s="17"/>
      <c r="F2635" s="17"/>
      <c r="G2635" s="17"/>
      <c r="I2635" s="17"/>
      <c r="K2635" s="17"/>
      <c r="L2635" s="17"/>
      <c r="M2635" s="17"/>
      <c r="O2635" s="14">
        <f t="shared" si="1"/>
        <v>0</v>
      </c>
      <c r="P2635" s="86" t="str">
        <f t="array" ref="P2635">iferror(XLOOKUP(C2635,'Download of SFDC Activation Rep'!B:B,'Download of SFDC Activation Rep'!Z:Z),"")</f>
        <v/>
      </c>
      <c r="Q2635" s="86" t="str">
        <f t="shared" si="2"/>
        <v/>
      </c>
      <c r="R2635" s="13" t="str">
        <f t="shared" si="3"/>
        <v>Yes</v>
      </c>
      <c r="S2635" s="86" t="str">
        <f t="array" ref="S2635">iferror(XLOOKUP(C2635,'Download of SFDC Activation Rep'!B:B,'Download of SFDC Activation Rep'!Y:Y),"")</f>
        <v/>
      </c>
    </row>
    <row r="2636">
      <c r="A2636" s="17"/>
      <c r="B2636" s="85"/>
      <c r="C2636" s="17"/>
      <c r="D2636" s="85"/>
      <c r="E2636" s="17"/>
      <c r="F2636" s="17"/>
      <c r="G2636" s="17"/>
      <c r="I2636" s="17"/>
      <c r="K2636" s="17"/>
      <c r="L2636" s="17"/>
      <c r="M2636" s="17"/>
      <c r="O2636" s="14">
        <f t="shared" si="1"/>
        <v>0</v>
      </c>
      <c r="P2636" s="86" t="str">
        <f t="array" ref="P2636">iferror(XLOOKUP(C2636,'Download of SFDC Activation Rep'!B:B,'Download of SFDC Activation Rep'!Z:Z),"")</f>
        <v/>
      </c>
      <c r="Q2636" s="86" t="str">
        <f t="shared" si="2"/>
        <v/>
      </c>
      <c r="R2636" s="13" t="str">
        <f t="shared" si="3"/>
        <v>Yes</v>
      </c>
      <c r="S2636" s="86" t="str">
        <f t="array" ref="S2636">iferror(XLOOKUP(C2636,'Download of SFDC Activation Rep'!B:B,'Download of SFDC Activation Rep'!Y:Y),"")</f>
        <v/>
      </c>
    </row>
    <row r="2637">
      <c r="A2637" s="17"/>
      <c r="B2637" s="85"/>
      <c r="C2637" s="17"/>
      <c r="D2637" s="85"/>
      <c r="E2637" s="17"/>
      <c r="F2637" s="17"/>
      <c r="G2637" s="17"/>
      <c r="I2637" s="17"/>
      <c r="K2637" s="17"/>
      <c r="L2637" s="17"/>
      <c r="M2637" s="17"/>
      <c r="O2637" s="14">
        <f t="shared" si="1"/>
        <v>0</v>
      </c>
      <c r="P2637" s="86" t="str">
        <f t="array" ref="P2637">iferror(XLOOKUP(C2637,'Download of SFDC Activation Rep'!B:B,'Download of SFDC Activation Rep'!Z:Z),"")</f>
        <v/>
      </c>
      <c r="Q2637" s="86" t="str">
        <f t="shared" si="2"/>
        <v/>
      </c>
      <c r="R2637" s="13" t="str">
        <f t="shared" si="3"/>
        <v>Yes</v>
      </c>
      <c r="S2637" s="86" t="str">
        <f t="array" ref="S2637">iferror(XLOOKUP(C2637,'Download of SFDC Activation Rep'!B:B,'Download of SFDC Activation Rep'!Y:Y),"")</f>
        <v/>
      </c>
    </row>
    <row r="2638">
      <c r="A2638" s="17"/>
      <c r="B2638" s="85"/>
      <c r="C2638" s="17"/>
      <c r="D2638" s="85"/>
      <c r="E2638" s="17"/>
      <c r="F2638" s="17"/>
      <c r="G2638" s="17"/>
      <c r="I2638" s="17"/>
      <c r="K2638" s="17"/>
      <c r="L2638" s="17"/>
      <c r="M2638" s="17"/>
      <c r="O2638" s="14">
        <f t="shared" si="1"/>
        <v>0</v>
      </c>
      <c r="P2638" s="86" t="str">
        <f t="array" ref="P2638">iferror(XLOOKUP(C2638,'Download of SFDC Activation Rep'!B:B,'Download of SFDC Activation Rep'!Z:Z),"")</f>
        <v/>
      </c>
      <c r="Q2638" s="86" t="str">
        <f t="shared" si="2"/>
        <v/>
      </c>
      <c r="R2638" s="13" t="str">
        <f t="shared" si="3"/>
        <v>Yes</v>
      </c>
      <c r="S2638" s="86" t="str">
        <f t="array" ref="S2638">iferror(XLOOKUP(C2638,'Download of SFDC Activation Rep'!B:B,'Download of SFDC Activation Rep'!Y:Y),"")</f>
        <v/>
      </c>
    </row>
    <row r="2639">
      <c r="A2639" s="17"/>
      <c r="B2639" s="85"/>
      <c r="C2639" s="17"/>
      <c r="D2639" s="85"/>
      <c r="E2639" s="17"/>
      <c r="F2639" s="17"/>
      <c r="G2639" s="17"/>
      <c r="I2639" s="17"/>
      <c r="K2639" s="17"/>
      <c r="L2639" s="17"/>
      <c r="M2639" s="17"/>
      <c r="O2639" s="14">
        <f t="shared" si="1"/>
        <v>0</v>
      </c>
      <c r="P2639" s="86" t="str">
        <f t="array" ref="P2639">iferror(XLOOKUP(C2639,'Download of SFDC Activation Rep'!B:B,'Download of SFDC Activation Rep'!Z:Z),"")</f>
        <v/>
      </c>
      <c r="Q2639" s="86" t="str">
        <f t="shared" si="2"/>
        <v/>
      </c>
      <c r="R2639" s="13" t="str">
        <f t="shared" si="3"/>
        <v>Yes</v>
      </c>
      <c r="S2639" s="86" t="str">
        <f t="array" ref="S2639">iferror(XLOOKUP(C2639,'Download of SFDC Activation Rep'!B:B,'Download of SFDC Activation Rep'!Y:Y),"")</f>
        <v/>
      </c>
    </row>
    <row r="2640">
      <c r="A2640" s="17"/>
      <c r="B2640" s="85"/>
      <c r="C2640" s="17"/>
      <c r="D2640" s="85"/>
      <c r="E2640" s="17"/>
      <c r="F2640" s="17"/>
      <c r="G2640" s="17"/>
      <c r="I2640" s="17"/>
      <c r="K2640" s="17"/>
      <c r="L2640" s="17"/>
      <c r="M2640" s="17"/>
      <c r="O2640" s="14">
        <f t="shared" si="1"/>
        <v>0</v>
      </c>
      <c r="P2640" s="86" t="str">
        <f t="array" ref="P2640">iferror(XLOOKUP(C2640,'Download of SFDC Activation Rep'!B:B,'Download of SFDC Activation Rep'!Z:Z),"")</f>
        <v/>
      </c>
      <c r="Q2640" s="86" t="str">
        <f t="shared" si="2"/>
        <v/>
      </c>
      <c r="R2640" s="13" t="str">
        <f t="shared" si="3"/>
        <v>Yes</v>
      </c>
      <c r="S2640" s="86" t="str">
        <f t="array" ref="S2640">iferror(XLOOKUP(C2640,'Download of SFDC Activation Rep'!B:B,'Download of SFDC Activation Rep'!Y:Y),"")</f>
        <v/>
      </c>
    </row>
    <row r="2641">
      <c r="A2641" s="17"/>
      <c r="B2641" s="85"/>
      <c r="C2641" s="17"/>
      <c r="D2641" s="85"/>
      <c r="E2641" s="17"/>
      <c r="F2641" s="17"/>
      <c r="G2641" s="17"/>
      <c r="I2641" s="17"/>
      <c r="K2641" s="17"/>
      <c r="L2641" s="17"/>
      <c r="M2641" s="17"/>
      <c r="O2641" s="14">
        <f t="shared" si="1"/>
        <v>0</v>
      </c>
      <c r="P2641" s="86" t="str">
        <f t="array" ref="P2641">iferror(XLOOKUP(C2641,'Download of SFDC Activation Rep'!B:B,'Download of SFDC Activation Rep'!Z:Z),"")</f>
        <v/>
      </c>
      <c r="Q2641" s="86" t="str">
        <f t="shared" si="2"/>
        <v/>
      </c>
      <c r="R2641" s="13" t="str">
        <f t="shared" si="3"/>
        <v>Yes</v>
      </c>
      <c r="S2641" s="86" t="str">
        <f t="array" ref="S2641">iferror(XLOOKUP(C2641,'Download of SFDC Activation Rep'!B:B,'Download of SFDC Activation Rep'!Y:Y),"")</f>
        <v/>
      </c>
    </row>
    <row r="2642">
      <c r="A2642" s="17"/>
      <c r="B2642" s="85"/>
      <c r="C2642" s="17"/>
      <c r="D2642" s="85"/>
      <c r="E2642" s="17"/>
      <c r="F2642" s="17"/>
      <c r="G2642" s="17"/>
      <c r="I2642" s="17"/>
      <c r="K2642" s="17"/>
      <c r="L2642" s="17"/>
      <c r="M2642" s="17"/>
      <c r="O2642" s="14">
        <f t="shared" si="1"/>
        <v>0</v>
      </c>
      <c r="P2642" s="86" t="str">
        <f t="array" ref="P2642">iferror(XLOOKUP(C2642,'Download of SFDC Activation Rep'!B:B,'Download of SFDC Activation Rep'!Z:Z),"")</f>
        <v/>
      </c>
      <c r="Q2642" s="86" t="str">
        <f t="shared" si="2"/>
        <v/>
      </c>
      <c r="R2642" s="13" t="str">
        <f t="shared" si="3"/>
        <v>Yes</v>
      </c>
      <c r="S2642" s="86" t="str">
        <f t="array" ref="S2642">iferror(XLOOKUP(C2642,'Download of SFDC Activation Rep'!B:B,'Download of SFDC Activation Rep'!Y:Y),"")</f>
        <v/>
      </c>
    </row>
    <row r="2643">
      <c r="A2643" s="17"/>
      <c r="B2643" s="85"/>
      <c r="C2643" s="17"/>
      <c r="D2643" s="85"/>
      <c r="E2643" s="17"/>
      <c r="F2643" s="17"/>
      <c r="G2643" s="17"/>
      <c r="I2643" s="17"/>
      <c r="K2643" s="17"/>
      <c r="L2643" s="17"/>
      <c r="M2643" s="17"/>
      <c r="O2643" s="14">
        <f t="shared" si="1"/>
        <v>0</v>
      </c>
      <c r="P2643" s="86" t="str">
        <f t="array" ref="P2643">iferror(XLOOKUP(C2643,'Download of SFDC Activation Rep'!B:B,'Download of SFDC Activation Rep'!Z:Z),"")</f>
        <v/>
      </c>
      <c r="Q2643" s="86" t="str">
        <f t="shared" si="2"/>
        <v/>
      </c>
      <c r="R2643" s="13" t="str">
        <f t="shared" si="3"/>
        <v>Yes</v>
      </c>
      <c r="S2643" s="86" t="str">
        <f t="array" ref="S2643">iferror(XLOOKUP(C2643,'Download of SFDC Activation Rep'!B:B,'Download of SFDC Activation Rep'!Y:Y),"")</f>
        <v/>
      </c>
    </row>
    <row r="2644">
      <c r="A2644" s="17"/>
      <c r="B2644" s="85"/>
      <c r="C2644" s="17"/>
      <c r="D2644" s="85"/>
      <c r="E2644" s="17"/>
      <c r="F2644" s="17"/>
      <c r="G2644" s="17"/>
      <c r="I2644" s="17"/>
      <c r="K2644" s="17"/>
      <c r="L2644" s="17"/>
      <c r="M2644" s="17"/>
      <c r="O2644" s="14">
        <f t="shared" si="1"/>
        <v>0</v>
      </c>
      <c r="P2644" s="86" t="str">
        <f t="array" ref="P2644">iferror(XLOOKUP(C2644,'Download of SFDC Activation Rep'!B:B,'Download of SFDC Activation Rep'!Z:Z),"")</f>
        <v/>
      </c>
      <c r="Q2644" s="86" t="str">
        <f t="shared" si="2"/>
        <v/>
      </c>
      <c r="R2644" s="13" t="str">
        <f t="shared" si="3"/>
        <v>Yes</v>
      </c>
      <c r="S2644" s="86" t="str">
        <f t="array" ref="S2644">iferror(XLOOKUP(C2644,'Download of SFDC Activation Rep'!B:B,'Download of SFDC Activation Rep'!Y:Y),"")</f>
        <v/>
      </c>
    </row>
    <row r="2645">
      <c r="A2645" s="17"/>
      <c r="B2645" s="85"/>
      <c r="C2645" s="17"/>
      <c r="D2645" s="85"/>
      <c r="E2645" s="17"/>
      <c r="F2645" s="17"/>
      <c r="G2645" s="17"/>
      <c r="I2645" s="17"/>
      <c r="K2645" s="17"/>
      <c r="L2645" s="17"/>
      <c r="M2645" s="17"/>
      <c r="O2645" s="14">
        <f t="shared" si="1"/>
        <v>0</v>
      </c>
      <c r="P2645" s="86" t="str">
        <f t="array" ref="P2645">iferror(XLOOKUP(C2645,'Download of SFDC Activation Rep'!B:B,'Download of SFDC Activation Rep'!Z:Z),"")</f>
        <v/>
      </c>
      <c r="Q2645" s="86" t="str">
        <f t="shared" si="2"/>
        <v/>
      </c>
      <c r="R2645" s="13" t="str">
        <f t="shared" si="3"/>
        <v>Yes</v>
      </c>
      <c r="S2645" s="86" t="str">
        <f t="array" ref="S2645">iferror(XLOOKUP(C2645,'Download of SFDC Activation Rep'!B:B,'Download of SFDC Activation Rep'!Y:Y),"")</f>
        <v/>
      </c>
    </row>
    <row r="2646">
      <c r="A2646" s="17"/>
      <c r="B2646" s="85"/>
      <c r="C2646" s="17"/>
      <c r="D2646" s="85"/>
      <c r="E2646" s="17"/>
      <c r="F2646" s="17"/>
      <c r="G2646" s="17"/>
      <c r="I2646" s="17"/>
      <c r="K2646" s="17"/>
      <c r="L2646" s="17"/>
      <c r="M2646" s="17"/>
      <c r="O2646" s="14">
        <f t="shared" si="1"/>
        <v>0</v>
      </c>
      <c r="P2646" s="86" t="str">
        <f t="array" ref="P2646">iferror(XLOOKUP(C2646,'Download of SFDC Activation Rep'!B:B,'Download of SFDC Activation Rep'!Z:Z),"")</f>
        <v/>
      </c>
      <c r="Q2646" s="86" t="str">
        <f t="shared" si="2"/>
        <v/>
      </c>
      <c r="R2646" s="13" t="str">
        <f t="shared" si="3"/>
        <v>Yes</v>
      </c>
      <c r="S2646" s="86" t="str">
        <f t="array" ref="S2646">iferror(XLOOKUP(C2646,'Download of SFDC Activation Rep'!B:B,'Download of SFDC Activation Rep'!Y:Y),"")</f>
        <v/>
      </c>
    </row>
    <row r="2647">
      <c r="A2647" s="17"/>
      <c r="B2647" s="85"/>
      <c r="C2647" s="17"/>
      <c r="D2647" s="85"/>
      <c r="E2647" s="17"/>
      <c r="F2647" s="17"/>
      <c r="G2647" s="17"/>
      <c r="I2647" s="17"/>
      <c r="K2647" s="17"/>
      <c r="L2647" s="17"/>
      <c r="M2647" s="17"/>
      <c r="O2647" s="14">
        <f t="shared" si="1"/>
        <v>0</v>
      </c>
      <c r="P2647" s="86" t="str">
        <f t="array" ref="P2647">iferror(XLOOKUP(C2647,'Download of SFDC Activation Rep'!B:B,'Download of SFDC Activation Rep'!Z:Z),"")</f>
        <v/>
      </c>
      <c r="Q2647" s="86" t="str">
        <f t="shared" si="2"/>
        <v/>
      </c>
      <c r="R2647" s="13" t="str">
        <f t="shared" si="3"/>
        <v>Yes</v>
      </c>
      <c r="S2647" s="86" t="str">
        <f t="array" ref="S2647">iferror(XLOOKUP(C2647,'Download of SFDC Activation Rep'!B:B,'Download of SFDC Activation Rep'!Y:Y),"")</f>
        <v/>
      </c>
    </row>
    <row r="2648">
      <c r="A2648" s="17"/>
      <c r="B2648" s="85"/>
      <c r="C2648" s="17"/>
      <c r="D2648" s="85"/>
      <c r="E2648" s="17"/>
      <c r="F2648" s="17"/>
      <c r="G2648" s="17"/>
      <c r="I2648" s="17"/>
      <c r="K2648" s="17"/>
      <c r="L2648" s="17"/>
      <c r="M2648" s="17"/>
      <c r="O2648" s="14">
        <f t="shared" si="1"/>
        <v>0</v>
      </c>
      <c r="P2648" s="86" t="str">
        <f t="array" ref="P2648">iferror(XLOOKUP(C2648,'Download of SFDC Activation Rep'!B:B,'Download of SFDC Activation Rep'!Z:Z),"")</f>
        <v/>
      </c>
      <c r="Q2648" s="86" t="str">
        <f t="shared" si="2"/>
        <v/>
      </c>
      <c r="R2648" s="13" t="str">
        <f t="shared" si="3"/>
        <v>Yes</v>
      </c>
      <c r="S2648" s="86" t="str">
        <f t="array" ref="S2648">iferror(XLOOKUP(C2648,'Download of SFDC Activation Rep'!B:B,'Download of SFDC Activation Rep'!Y:Y),"")</f>
        <v/>
      </c>
    </row>
    <row r="2649">
      <c r="A2649" s="17"/>
      <c r="B2649" s="85"/>
      <c r="C2649" s="17"/>
      <c r="D2649" s="85"/>
      <c r="E2649" s="17"/>
      <c r="F2649" s="17"/>
      <c r="G2649" s="17"/>
      <c r="I2649" s="17"/>
      <c r="K2649" s="17"/>
      <c r="L2649" s="17"/>
      <c r="M2649" s="17"/>
      <c r="O2649" s="14">
        <f t="shared" si="1"/>
        <v>0</v>
      </c>
      <c r="P2649" s="86" t="str">
        <f t="array" ref="P2649">iferror(XLOOKUP(C2649,'Download of SFDC Activation Rep'!B:B,'Download of SFDC Activation Rep'!Z:Z),"")</f>
        <v/>
      </c>
      <c r="Q2649" s="86" t="str">
        <f t="shared" si="2"/>
        <v/>
      </c>
      <c r="R2649" s="13" t="str">
        <f t="shared" si="3"/>
        <v>Yes</v>
      </c>
      <c r="S2649" s="86" t="str">
        <f t="array" ref="S2649">iferror(XLOOKUP(C2649,'Download of SFDC Activation Rep'!B:B,'Download of SFDC Activation Rep'!Y:Y),"")</f>
        <v/>
      </c>
    </row>
    <row r="2650">
      <c r="A2650" s="17"/>
      <c r="B2650" s="85"/>
      <c r="C2650" s="17"/>
      <c r="D2650" s="85"/>
      <c r="E2650" s="17"/>
      <c r="F2650" s="17"/>
      <c r="G2650" s="17"/>
      <c r="I2650" s="17"/>
      <c r="K2650" s="17"/>
      <c r="L2650" s="17"/>
      <c r="M2650" s="17"/>
      <c r="O2650" s="14">
        <f t="shared" si="1"/>
        <v>0</v>
      </c>
      <c r="P2650" s="86" t="str">
        <f t="array" ref="P2650">iferror(XLOOKUP(C2650,'Download of SFDC Activation Rep'!B:B,'Download of SFDC Activation Rep'!Z:Z),"")</f>
        <v/>
      </c>
      <c r="Q2650" s="86" t="str">
        <f t="shared" si="2"/>
        <v/>
      </c>
      <c r="R2650" s="13" t="str">
        <f t="shared" si="3"/>
        <v>Yes</v>
      </c>
      <c r="S2650" s="86" t="str">
        <f t="array" ref="S2650">iferror(XLOOKUP(C2650,'Download of SFDC Activation Rep'!B:B,'Download of SFDC Activation Rep'!Y:Y),"")</f>
        <v/>
      </c>
    </row>
    <row r="2651">
      <c r="A2651" s="17"/>
      <c r="B2651" s="85"/>
      <c r="C2651" s="17"/>
      <c r="D2651" s="85"/>
      <c r="E2651" s="17"/>
      <c r="F2651" s="17"/>
      <c r="G2651" s="17"/>
      <c r="I2651" s="17"/>
      <c r="K2651" s="17"/>
      <c r="L2651" s="17"/>
      <c r="M2651" s="17"/>
      <c r="O2651" s="14">
        <f t="shared" si="1"/>
        <v>0</v>
      </c>
      <c r="P2651" s="86" t="str">
        <f t="array" ref="P2651">iferror(XLOOKUP(C2651,'Download of SFDC Activation Rep'!B:B,'Download of SFDC Activation Rep'!Z:Z),"")</f>
        <v/>
      </c>
      <c r="Q2651" s="86" t="str">
        <f t="shared" si="2"/>
        <v/>
      </c>
      <c r="R2651" s="13" t="str">
        <f t="shared" si="3"/>
        <v>Yes</v>
      </c>
      <c r="S2651" s="86" t="str">
        <f t="array" ref="S2651">iferror(XLOOKUP(C2651,'Download of SFDC Activation Rep'!B:B,'Download of SFDC Activation Rep'!Y:Y),"")</f>
        <v/>
      </c>
    </row>
    <row r="2652">
      <c r="A2652" s="17"/>
      <c r="B2652" s="85"/>
      <c r="C2652" s="17"/>
      <c r="D2652" s="85"/>
      <c r="E2652" s="17"/>
      <c r="F2652" s="17"/>
      <c r="G2652" s="17"/>
      <c r="I2652" s="17"/>
      <c r="K2652" s="17"/>
      <c r="L2652" s="17"/>
      <c r="M2652" s="17"/>
      <c r="O2652" s="14">
        <f t="shared" si="1"/>
        <v>0</v>
      </c>
      <c r="P2652" s="86" t="str">
        <f t="array" ref="P2652">iferror(XLOOKUP(C2652,'Download of SFDC Activation Rep'!B:B,'Download of SFDC Activation Rep'!Z:Z),"")</f>
        <v/>
      </c>
      <c r="Q2652" s="86" t="str">
        <f t="shared" si="2"/>
        <v/>
      </c>
      <c r="R2652" s="13" t="str">
        <f t="shared" si="3"/>
        <v>Yes</v>
      </c>
      <c r="S2652" s="86" t="str">
        <f t="array" ref="S2652">iferror(XLOOKUP(C2652,'Download of SFDC Activation Rep'!B:B,'Download of SFDC Activation Rep'!Y:Y),"")</f>
        <v/>
      </c>
    </row>
    <row r="2653">
      <c r="A2653" s="17"/>
      <c r="B2653" s="85"/>
      <c r="C2653" s="17"/>
      <c r="D2653" s="85"/>
      <c r="E2653" s="17"/>
      <c r="F2653" s="17"/>
      <c r="G2653" s="17"/>
      <c r="I2653" s="17"/>
      <c r="K2653" s="17"/>
      <c r="L2653" s="17"/>
      <c r="M2653" s="17"/>
      <c r="O2653" s="14">
        <f t="shared" si="1"/>
        <v>0</v>
      </c>
      <c r="P2653" s="86" t="str">
        <f t="array" ref="P2653">iferror(XLOOKUP(C2653,'Download of SFDC Activation Rep'!B:B,'Download of SFDC Activation Rep'!Z:Z),"")</f>
        <v/>
      </c>
      <c r="Q2653" s="86" t="str">
        <f t="shared" si="2"/>
        <v/>
      </c>
      <c r="R2653" s="13" t="str">
        <f t="shared" si="3"/>
        <v>Yes</v>
      </c>
      <c r="S2653" s="86" t="str">
        <f t="array" ref="S2653">iferror(XLOOKUP(C2653,'Download of SFDC Activation Rep'!B:B,'Download of SFDC Activation Rep'!Y:Y),"")</f>
        <v/>
      </c>
    </row>
    <row r="2654">
      <c r="A2654" s="17"/>
      <c r="B2654" s="85"/>
      <c r="C2654" s="17"/>
      <c r="D2654" s="85"/>
      <c r="E2654" s="17"/>
      <c r="F2654" s="17"/>
      <c r="G2654" s="17"/>
      <c r="I2654" s="17"/>
      <c r="K2654" s="17"/>
      <c r="L2654" s="17"/>
      <c r="M2654" s="17"/>
      <c r="O2654" s="14">
        <f t="shared" si="1"/>
        <v>0</v>
      </c>
      <c r="P2654" s="86" t="str">
        <f t="array" ref="P2654">iferror(XLOOKUP(C2654,'Download of SFDC Activation Rep'!B:B,'Download of SFDC Activation Rep'!Z:Z),"")</f>
        <v/>
      </c>
      <c r="Q2654" s="86" t="str">
        <f t="shared" si="2"/>
        <v/>
      </c>
      <c r="R2654" s="13" t="str">
        <f t="shared" si="3"/>
        <v>Yes</v>
      </c>
      <c r="S2654" s="86" t="str">
        <f t="array" ref="S2654">iferror(XLOOKUP(C2654,'Download of SFDC Activation Rep'!B:B,'Download of SFDC Activation Rep'!Y:Y),"")</f>
        <v/>
      </c>
    </row>
    <row r="2655">
      <c r="A2655" s="17"/>
      <c r="B2655" s="85"/>
      <c r="C2655" s="17"/>
      <c r="D2655" s="85"/>
      <c r="E2655" s="17"/>
      <c r="F2655" s="17"/>
      <c r="G2655" s="17"/>
      <c r="I2655" s="17"/>
      <c r="K2655" s="17"/>
      <c r="L2655" s="17"/>
      <c r="M2655" s="17"/>
      <c r="O2655" s="14">
        <f t="shared" si="1"/>
        <v>0</v>
      </c>
      <c r="P2655" s="86" t="str">
        <f t="array" ref="P2655">iferror(XLOOKUP(C2655,'Download of SFDC Activation Rep'!B:B,'Download of SFDC Activation Rep'!Z:Z),"")</f>
        <v/>
      </c>
      <c r="Q2655" s="86" t="str">
        <f t="shared" si="2"/>
        <v/>
      </c>
      <c r="R2655" s="13" t="str">
        <f t="shared" si="3"/>
        <v>Yes</v>
      </c>
      <c r="S2655" s="86" t="str">
        <f t="array" ref="S2655">iferror(XLOOKUP(C2655,'Download of SFDC Activation Rep'!B:B,'Download of SFDC Activation Rep'!Y:Y),"")</f>
        <v/>
      </c>
    </row>
    <row r="2656">
      <c r="A2656" s="17"/>
      <c r="B2656" s="85"/>
      <c r="C2656" s="17"/>
      <c r="D2656" s="85"/>
      <c r="E2656" s="17"/>
      <c r="F2656" s="17"/>
      <c r="G2656" s="17"/>
      <c r="I2656" s="17"/>
      <c r="K2656" s="17"/>
      <c r="L2656" s="17"/>
      <c r="M2656" s="17"/>
      <c r="O2656" s="14">
        <f t="shared" si="1"/>
        <v>0</v>
      </c>
      <c r="P2656" s="86" t="str">
        <f t="array" ref="P2656">iferror(XLOOKUP(C2656,'Download of SFDC Activation Rep'!B:B,'Download of SFDC Activation Rep'!Z:Z),"")</f>
        <v/>
      </c>
      <c r="Q2656" s="86" t="str">
        <f t="shared" si="2"/>
        <v/>
      </c>
      <c r="R2656" s="13" t="str">
        <f t="shared" si="3"/>
        <v>Yes</v>
      </c>
      <c r="S2656" s="86" t="str">
        <f t="array" ref="S2656">iferror(XLOOKUP(C2656,'Download of SFDC Activation Rep'!B:B,'Download of SFDC Activation Rep'!Y:Y),"")</f>
        <v/>
      </c>
    </row>
    <row r="2657">
      <c r="A2657" s="17"/>
      <c r="B2657" s="85"/>
      <c r="C2657" s="17"/>
      <c r="D2657" s="85"/>
      <c r="E2657" s="17"/>
      <c r="F2657" s="17"/>
      <c r="G2657" s="17"/>
      <c r="I2657" s="17"/>
      <c r="K2657" s="17"/>
      <c r="L2657" s="17"/>
      <c r="M2657" s="17"/>
      <c r="O2657" s="14">
        <f t="shared" si="1"/>
        <v>0</v>
      </c>
      <c r="P2657" s="86" t="str">
        <f t="array" ref="P2657">iferror(XLOOKUP(C2657,'Download of SFDC Activation Rep'!B:B,'Download of SFDC Activation Rep'!Z:Z),"")</f>
        <v/>
      </c>
      <c r="Q2657" s="86" t="str">
        <f t="shared" si="2"/>
        <v/>
      </c>
      <c r="R2657" s="13" t="str">
        <f t="shared" si="3"/>
        <v>Yes</v>
      </c>
      <c r="S2657" s="86" t="str">
        <f t="array" ref="S2657">iferror(XLOOKUP(C2657,'Download of SFDC Activation Rep'!B:B,'Download of SFDC Activation Rep'!Y:Y),"")</f>
        <v/>
      </c>
    </row>
    <row r="2658">
      <c r="A2658" s="17"/>
      <c r="B2658" s="85"/>
      <c r="C2658" s="17"/>
      <c r="D2658" s="85"/>
      <c r="E2658" s="17"/>
      <c r="F2658" s="17"/>
      <c r="G2658" s="17"/>
      <c r="I2658" s="17"/>
      <c r="K2658" s="17"/>
      <c r="L2658" s="17"/>
      <c r="M2658" s="17"/>
      <c r="O2658" s="14">
        <f t="shared" si="1"/>
        <v>0</v>
      </c>
      <c r="P2658" s="86" t="str">
        <f t="array" ref="P2658">iferror(XLOOKUP(C2658,'Download of SFDC Activation Rep'!B:B,'Download of SFDC Activation Rep'!Z:Z),"")</f>
        <v/>
      </c>
      <c r="Q2658" s="86" t="str">
        <f t="shared" si="2"/>
        <v/>
      </c>
      <c r="R2658" s="13" t="str">
        <f t="shared" si="3"/>
        <v>Yes</v>
      </c>
      <c r="S2658" s="86" t="str">
        <f t="array" ref="S2658">iferror(XLOOKUP(C2658,'Download of SFDC Activation Rep'!B:B,'Download of SFDC Activation Rep'!Y:Y),"")</f>
        <v/>
      </c>
    </row>
    <row r="2659">
      <c r="A2659" s="17"/>
      <c r="B2659" s="85"/>
      <c r="C2659" s="17"/>
      <c r="D2659" s="85"/>
      <c r="E2659" s="17"/>
      <c r="F2659" s="17"/>
      <c r="G2659" s="17"/>
      <c r="I2659" s="17"/>
      <c r="K2659" s="17"/>
      <c r="L2659" s="17"/>
      <c r="M2659" s="17"/>
      <c r="O2659" s="14">
        <f t="shared" si="1"/>
        <v>0</v>
      </c>
      <c r="P2659" s="86" t="str">
        <f t="array" ref="P2659">iferror(XLOOKUP(C2659,'Download of SFDC Activation Rep'!B:B,'Download of SFDC Activation Rep'!Z:Z),"")</f>
        <v/>
      </c>
      <c r="Q2659" s="86" t="str">
        <f t="shared" si="2"/>
        <v/>
      </c>
      <c r="R2659" s="13" t="str">
        <f t="shared" si="3"/>
        <v>Yes</v>
      </c>
      <c r="S2659" s="86" t="str">
        <f t="array" ref="S2659">iferror(XLOOKUP(C2659,'Download of SFDC Activation Rep'!B:B,'Download of SFDC Activation Rep'!Y:Y),"")</f>
        <v/>
      </c>
    </row>
    <row r="2660">
      <c r="A2660" s="17"/>
      <c r="B2660" s="85"/>
      <c r="C2660" s="17"/>
      <c r="D2660" s="85"/>
      <c r="E2660" s="17"/>
      <c r="F2660" s="17"/>
      <c r="G2660" s="17"/>
      <c r="I2660" s="17"/>
      <c r="K2660" s="17"/>
      <c r="L2660" s="17"/>
      <c r="M2660" s="17"/>
      <c r="O2660" s="14">
        <f t="shared" si="1"/>
        <v>0</v>
      </c>
      <c r="P2660" s="86" t="str">
        <f t="array" ref="P2660">iferror(XLOOKUP(C2660,'Download of SFDC Activation Rep'!B:B,'Download of SFDC Activation Rep'!Z:Z),"")</f>
        <v/>
      </c>
      <c r="Q2660" s="86" t="str">
        <f t="shared" si="2"/>
        <v/>
      </c>
      <c r="R2660" s="13" t="str">
        <f t="shared" si="3"/>
        <v>Yes</v>
      </c>
      <c r="S2660" s="86" t="str">
        <f t="array" ref="S2660">iferror(XLOOKUP(C2660,'Download of SFDC Activation Rep'!B:B,'Download of SFDC Activation Rep'!Y:Y),"")</f>
        <v/>
      </c>
    </row>
    <row r="2661">
      <c r="A2661" s="17"/>
      <c r="B2661" s="85"/>
      <c r="C2661" s="17"/>
      <c r="D2661" s="85"/>
      <c r="E2661" s="17"/>
      <c r="F2661" s="17"/>
      <c r="G2661" s="17"/>
      <c r="I2661" s="17"/>
      <c r="K2661" s="17"/>
      <c r="L2661" s="17"/>
      <c r="M2661" s="17"/>
      <c r="O2661" s="14">
        <f t="shared" si="1"/>
        <v>0</v>
      </c>
      <c r="P2661" s="86" t="str">
        <f t="array" ref="P2661">iferror(XLOOKUP(C2661,'Download of SFDC Activation Rep'!B:B,'Download of SFDC Activation Rep'!Z:Z),"")</f>
        <v/>
      </c>
      <c r="Q2661" s="86" t="str">
        <f t="shared" si="2"/>
        <v/>
      </c>
      <c r="R2661" s="13" t="str">
        <f t="shared" si="3"/>
        <v>Yes</v>
      </c>
      <c r="S2661" s="86" t="str">
        <f t="array" ref="S2661">iferror(XLOOKUP(C2661,'Download of SFDC Activation Rep'!B:B,'Download of SFDC Activation Rep'!Y:Y),"")</f>
        <v/>
      </c>
    </row>
    <row r="2662">
      <c r="A2662" s="17"/>
      <c r="B2662" s="85"/>
      <c r="C2662" s="17"/>
      <c r="D2662" s="85"/>
      <c r="E2662" s="17"/>
      <c r="F2662" s="17"/>
      <c r="G2662" s="17"/>
      <c r="I2662" s="17"/>
      <c r="K2662" s="17"/>
      <c r="L2662" s="17"/>
      <c r="M2662" s="17"/>
      <c r="O2662" s="14">
        <f t="shared" si="1"/>
        <v>0</v>
      </c>
      <c r="P2662" s="86" t="str">
        <f t="array" ref="P2662">iferror(XLOOKUP(C2662,'Download of SFDC Activation Rep'!B:B,'Download of SFDC Activation Rep'!Z:Z),"")</f>
        <v/>
      </c>
      <c r="Q2662" s="86" t="str">
        <f t="shared" si="2"/>
        <v/>
      </c>
      <c r="R2662" s="13" t="str">
        <f t="shared" si="3"/>
        <v>Yes</v>
      </c>
      <c r="S2662" s="86" t="str">
        <f t="array" ref="S2662">iferror(XLOOKUP(C2662,'Download of SFDC Activation Rep'!B:B,'Download of SFDC Activation Rep'!Y:Y),"")</f>
        <v/>
      </c>
    </row>
    <row r="2663">
      <c r="A2663" s="17"/>
      <c r="B2663" s="85"/>
      <c r="C2663" s="17"/>
      <c r="D2663" s="85"/>
      <c r="E2663" s="17"/>
      <c r="F2663" s="17"/>
      <c r="G2663" s="17"/>
      <c r="I2663" s="17"/>
      <c r="K2663" s="17"/>
      <c r="L2663" s="17"/>
      <c r="M2663" s="17"/>
      <c r="O2663" s="14">
        <f t="shared" si="1"/>
        <v>0</v>
      </c>
      <c r="P2663" s="86" t="str">
        <f t="array" ref="P2663">iferror(XLOOKUP(C2663,'Download of SFDC Activation Rep'!B:B,'Download of SFDC Activation Rep'!Z:Z),"")</f>
        <v/>
      </c>
      <c r="Q2663" s="86" t="str">
        <f t="shared" si="2"/>
        <v/>
      </c>
      <c r="R2663" s="13" t="str">
        <f t="shared" si="3"/>
        <v>Yes</v>
      </c>
      <c r="S2663" s="86" t="str">
        <f t="array" ref="S2663">iferror(XLOOKUP(C2663,'Download of SFDC Activation Rep'!B:B,'Download of SFDC Activation Rep'!Y:Y),"")</f>
        <v/>
      </c>
    </row>
    <row r="2664">
      <c r="A2664" s="17"/>
      <c r="B2664" s="85"/>
      <c r="C2664" s="17"/>
      <c r="D2664" s="85"/>
      <c r="E2664" s="17"/>
      <c r="F2664" s="17"/>
      <c r="G2664" s="17"/>
      <c r="I2664" s="17"/>
      <c r="K2664" s="17"/>
      <c r="L2664" s="17"/>
      <c r="M2664" s="17"/>
      <c r="O2664" s="14">
        <f t="shared" si="1"/>
        <v>0</v>
      </c>
      <c r="P2664" s="86" t="str">
        <f t="array" ref="P2664">iferror(XLOOKUP(C2664,'Download of SFDC Activation Rep'!B:B,'Download of SFDC Activation Rep'!Z:Z),"")</f>
        <v/>
      </c>
      <c r="Q2664" s="86" t="str">
        <f t="shared" si="2"/>
        <v/>
      </c>
      <c r="R2664" s="13" t="str">
        <f t="shared" si="3"/>
        <v>Yes</v>
      </c>
      <c r="S2664" s="86" t="str">
        <f t="array" ref="S2664">iferror(XLOOKUP(C2664,'Download of SFDC Activation Rep'!B:B,'Download of SFDC Activation Rep'!Y:Y),"")</f>
        <v/>
      </c>
    </row>
    <row r="2665">
      <c r="A2665" s="17"/>
      <c r="B2665" s="85"/>
      <c r="C2665" s="17"/>
      <c r="D2665" s="85"/>
      <c r="E2665" s="17"/>
      <c r="F2665" s="17"/>
      <c r="G2665" s="17"/>
      <c r="I2665" s="17"/>
      <c r="K2665" s="17"/>
      <c r="L2665" s="17"/>
      <c r="M2665" s="17"/>
      <c r="O2665" s="14">
        <f t="shared" si="1"/>
        <v>0</v>
      </c>
      <c r="P2665" s="86" t="str">
        <f t="array" ref="P2665">iferror(XLOOKUP(C2665,'Download of SFDC Activation Rep'!B:B,'Download of SFDC Activation Rep'!Z:Z),"")</f>
        <v/>
      </c>
      <c r="Q2665" s="86" t="str">
        <f t="shared" si="2"/>
        <v/>
      </c>
      <c r="R2665" s="13" t="str">
        <f t="shared" si="3"/>
        <v>Yes</v>
      </c>
      <c r="S2665" s="86" t="str">
        <f t="array" ref="S2665">iferror(XLOOKUP(C2665,'Download of SFDC Activation Rep'!B:B,'Download of SFDC Activation Rep'!Y:Y),"")</f>
        <v/>
      </c>
    </row>
    <row r="2666">
      <c r="A2666" s="17"/>
      <c r="B2666" s="85"/>
      <c r="C2666" s="17"/>
      <c r="D2666" s="85"/>
      <c r="E2666" s="17"/>
      <c r="F2666" s="17"/>
      <c r="G2666" s="17"/>
      <c r="I2666" s="17"/>
      <c r="K2666" s="17"/>
      <c r="L2666" s="17"/>
      <c r="M2666" s="17"/>
      <c r="O2666" s="14">
        <f t="shared" si="1"/>
        <v>0</v>
      </c>
      <c r="P2666" s="86" t="str">
        <f t="array" ref="P2666">iferror(XLOOKUP(C2666,'Download of SFDC Activation Rep'!B:B,'Download of SFDC Activation Rep'!Z:Z),"")</f>
        <v/>
      </c>
      <c r="Q2666" s="86" t="str">
        <f t="shared" si="2"/>
        <v/>
      </c>
      <c r="R2666" s="13" t="str">
        <f t="shared" si="3"/>
        <v>Yes</v>
      </c>
      <c r="S2666" s="86" t="str">
        <f t="array" ref="S2666">iferror(XLOOKUP(C2666,'Download of SFDC Activation Rep'!B:B,'Download of SFDC Activation Rep'!Y:Y),"")</f>
        <v/>
      </c>
    </row>
    <row r="2667">
      <c r="A2667" s="17"/>
      <c r="B2667" s="85"/>
      <c r="C2667" s="17"/>
      <c r="D2667" s="85"/>
      <c r="E2667" s="17"/>
      <c r="F2667" s="17"/>
      <c r="G2667" s="17"/>
      <c r="I2667" s="17"/>
      <c r="K2667" s="17"/>
      <c r="L2667" s="17"/>
      <c r="M2667" s="17"/>
      <c r="O2667" s="14">
        <f t="shared" si="1"/>
        <v>0</v>
      </c>
      <c r="P2667" s="86" t="str">
        <f t="array" ref="P2667">iferror(XLOOKUP(C2667,'Download of SFDC Activation Rep'!B:B,'Download of SFDC Activation Rep'!Z:Z),"")</f>
        <v/>
      </c>
      <c r="Q2667" s="86" t="str">
        <f t="shared" si="2"/>
        <v/>
      </c>
      <c r="R2667" s="13" t="str">
        <f t="shared" si="3"/>
        <v>Yes</v>
      </c>
      <c r="S2667" s="86" t="str">
        <f t="array" ref="S2667">iferror(XLOOKUP(C2667,'Download of SFDC Activation Rep'!B:B,'Download of SFDC Activation Rep'!Y:Y),"")</f>
        <v/>
      </c>
    </row>
    <row r="2668">
      <c r="A2668" s="17"/>
      <c r="B2668" s="85"/>
      <c r="C2668" s="17"/>
      <c r="D2668" s="85"/>
      <c r="E2668" s="17"/>
      <c r="F2668" s="17"/>
      <c r="G2668" s="17"/>
      <c r="I2668" s="17"/>
      <c r="K2668" s="17"/>
      <c r="L2668" s="17"/>
      <c r="M2668" s="17"/>
      <c r="O2668" s="14">
        <f t="shared" si="1"/>
        <v>0</v>
      </c>
      <c r="P2668" s="86" t="str">
        <f t="array" ref="P2668">iferror(XLOOKUP(C2668,'Download of SFDC Activation Rep'!B:B,'Download of SFDC Activation Rep'!Z:Z),"")</f>
        <v/>
      </c>
      <c r="Q2668" s="86" t="str">
        <f t="shared" si="2"/>
        <v/>
      </c>
      <c r="R2668" s="13" t="str">
        <f t="shared" si="3"/>
        <v>Yes</v>
      </c>
      <c r="S2668" s="86" t="str">
        <f t="array" ref="S2668">iferror(XLOOKUP(C2668,'Download of SFDC Activation Rep'!B:B,'Download of SFDC Activation Rep'!Y:Y),"")</f>
        <v/>
      </c>
    </row>
    <row r="2669">
      <c r="A2669" s="17"/>
      <c r="B2669" s="85"/>
      <c r="C2669" s="17"/>
      <c r="D2669" s="85"/>
      <c r="E2669" s="17"/>
      <c r="F2669" s="17"/>
      <c r="G2669" s="17"/>
      <c r="I2669" s="17"/>
      <c r="K2669" s="17"/>
      <c r="L2669" s="17"/>
      <c r="M2669" s="17"/>
      <c r="O2669" s="14">
        <f t="shared" si="1"/>
        <v>0</v>
      </c>
      <c r="P2669" s="86" t="str">
        <f t="array" ref="P2669">iferror(XLOOKUP(C2669,'Download of SFDC Activation Rep'!B:B,'Download of SFDC Activation Rep'!Z:Z),"")</f>
        <v/>
      </c>
      <c r="Q2669" s="86" t="str">
        <f t="shared" si="2"/>
        <v/>
      </c>
      <c r="R2669" s="13" t="str">
        <f t="shared" si="3"/>
        <v>Yes</v>
      </c>
      <c r="S2669" s="86" t="str">
        <f t="array" ref="S2669">iferror(XLOOKUP(C2669,'Download of SFDC Activation Rep'!B:B,'Download of SFDC Activation Rep'!Y:Y),"")</f>
        <v/>
      </c>
    </row>
    <row r="2670">
      <c r="A2670" s="17"/>
      <c r="B2670" s="85"/>
      <c r="C2670" s="17"/>
      <c r="D2670" s="85"/>
      <c r="E2670" s="17"/>
      <c r="F2670" s="17"/>
      <c r="G2670" s="17"/>
      <c r="I2670" s="17"/>
      <c r="K2670" s="17"/>
      <c r="L2670" s="17"/>
      <c r="M2670" s="17"/>
      <c r="O2670" s="14">
        <f t="shared" si="1"/>
        <v>0</v>
      </c>
      <c r="P2670" s="86" t="str">
        <f t="array" ref="P2670">iferror(XLOOKUP(C2670,'Download of SFDC Activation Rep'!B:B,'Download of SFDC Activation Rep'!Z:Z),"")</f>
        <v/>
      </c>
      <c r="Q2670" s="86" t="str">
        <f t="shared" si="2"/>
        <v/>
      </c>
      <c r="R2670" s="13" t="str">
        <f t="shared" si="3"/>
        <v>Yes</v>
      </c>
      <c r="S2670" s="86" t="str">
        <f t="array" ref="S2670">iferror(XLOOKUP(C2670,'Download of SFDC Activation Rep'!B:B,'Download of SFDC Activation Rep'!Y:Y),"")</f>
        <v/>
      </c>
    </row>
    <row r="2671">
      <c r="A2671" s="17"/>
      <c r="B2671" s="85"/>
      <c r="C2671" s="17"/>
      <c r="D2671" s="85"/>
      <c r="E2671" s="17"/>
      <c r="F2671" s="17"/>
      <c r="G2671" s="17"/>
      <c r="I2671" s="17"/>
      <c r="K2671" s="17"/>
      <c r="L2671" s="17"/>
      <c r="M2671" s="17"/>
      <c r="O2671" s="14">
        <f t="shared" si="1"/>
        <v>0</v>
      </c>
      <c r="P2671" s="86" t="str">
        <f t="array" ref="P2671">iferror(XLOOKUP(C2671,'Download of SFDC Activation Rep'!B:B,'Download of SFDC Activation Rep'!Z:Z),"")</f>
        <v/>
      </c>
      <c r="Q2671" s="86" t="str">
        <f t="shared" si="2"/>
        <v/>
      </c>
      <c r="R2671" s="13" t="str">
        <f t="shared" si="3"/>
        <v>Yes</v>
      </c>
      <c r="S2671" s="86" t="str">
        <f t="array" ref="S2671">iferror(XLOOKUP(C2671,'Download of SFDC Activation Rep'!B:B,'Download of SFDC Activation Rep'!Y:Y),"")</f>
        <v/>
      </c>
    </row>
    <row r="2672">
      <c r="A2672" s="17"/>
      <c r="B2672" s="85"/>
      <c r="C2672" s="17"/>
      <c r="D2672" s="85"/>
      <c r="E2672" s="17"/>
      <c r="F2672" s="17"/>
      <c r="G2672" s="17"/>
      <c r="I2672" s="17"/>
      <c r="K2672" s="17"/>
      <c r="L2672" s="17"/>
      <c r="M2672" s="17"/>
      <c r="O2672" s="14">
        <f t="shared" si="1"/>
        <v>0</v>
      </c>
      <c r="P2672" s="86" t="str">
        <f t="array" ref="P2672">iferror(XLOOKUP(C2672,'Download of SFDC Activation Rep'!B:B,'Download of SFDC Activation Rep'!Z:Z),"")</f>
        <v/>
      </c>
      <c r="Q2672" s="86" t="str">
        <f t="shared" si="2"/>
        <v/>
      </c>
      <c r="R2672" s="13" t="str">
        <f t="shared" si="3"/>
        <v>Yes</v>
      </c>
      <c r="S2672" s="86" t="str">
        <f t="array" ref="S2672">iferror(XLOOKUP(C2672,'Download of SFDC Activation Rep'!B:B,'Download of SFDC Activation Rep'!Y:Y),"")</f>
        <v/>
      </c>
    </row>
    <row r="2673">
      <c r="A2673" s="17"/>
      <c r="B2673" s="85"/>
      <c r="C2673" s="17"/>
      <c r="D2673" s="85"/>
      <c r="E2673" s="17"/>
      <c r="F2673" s="17"/>
      <c r="G2673" s="17"/>
      <c r="I2673" s="17"/>
      <c r="K2673" s="17"/>
      <c r="L2673" s="17"/>
      <c r="M2673" s="17"/>
      <c r="O2673" s="14">
        <f t="shared" si="1"/>
        <v>0</v>
      </c>
      <c r="P2673" s="86" t="str">
        <f t="array" ref="P2673">iferror(XLOOKUP(C2673,'Download of SFDC Activation Rep'!B:B,'Download of SFDC Activation Rep'!Z:Z),"")</f>
        <v/>
      </c>
      <c r="Q2673" s="86" t="str">
        <f t="shared" si="2"/>
        <v/>
      </c>
      <c r="R2673" s="13" t="str">
        <f t="shared" si="3"/>
        <v>Yes</v>
      </c>
      <c r="S2673" s="86" t="str">
        <f t="array" ref="S2673">iferror(XLOOKUP(C2673,'Download of SFDC Activation Rep'!B:B,'Download of SFDC Activation Rep'!Y:Y),"")</f>
        <v/>
      </c>
    </row>
    <row r="2674">
      <c r="A2674" s="17"/>
      <c r="B2674" s="85"/>
      <c r="C2674" s="17"/>
      <c r="D2674" s="85"/>
      <c r="E2674" s="17"/>
      <c r="F2674" s="17"/>
      <c r="G2674" s="17"/>
      <c r="I2674" s="17"/>
      <c r="K2674" s="17"/>
      <c r="L2674" s="17"/>
      <c r="M2674" s="17"/>
      <c r="O2674" s="14">
        <f t="shared" si="1"/>
        <v>0</v>
      </c>
      <c r="P2674" s="86" t="str">
        <f t="array" ref="P2674">iferror(XLOOKUP(C2674,'Download of SFDC Activation Rep'!B:B,'Download of SFDC Activation Rep'!Z:Z),"")</f>
        <v/>
      </c>
      <c r="Q2674" s="86" t="str">
        <f t="shared" si="2"/>
        <v/>
      </c>
      <c r="R2674" s="13" t="str">
        <f t="shared" si="3"/>
        <v>Yes</v>
      </c>
      <c r="S2674" s="86" t="str">
        <f t="array" ref="S2674">iferror(XLOOKUP(C2674,'Download of SFDC Activation Rep'!B:B,'Download of SFDC Activation Rep'!Y:Y),"")</f>
        <v/>
      </c>
    </row>
    <row r="2675">
      <c r="A2675" s="17"/>
      <c r="B2675" s="85"/>
      <c r="C2675" s="17"/>
      <c r="D2675" s="85"/>
      <c r="E2675" s="17"/>
      <c r="F2675" s="17"/>
      <c r="G2675" s="17"/>
      <c r="I2675" s="17"/>
      <c r="K2675" s="17"/>
      <c r="L2675" s="17"/>
      <c r="M2675" s="17"/>
      <c r="O2675" s="14">
        <f t="shared" si="1"/>
        <v>0</v>
      </c>
      <c r="P2675" s="86" t="str">
        <f t="array" ref="P2675">iferror(XLOOKUP(C2675,'Download of SFDC Activation Rep'!B:B,'Download of SFDC Activation Rep'!Z:Z),"")</f>
        <v/>
      </c>
      <c r="Q2675" s="86" t="str">
        <f t="shared" si="2"/>
        <v/>
      </c>
      <c r="R2675" s="13" t="str">
        <f t="shared" si="3"/>
        <v>Yes</v>
      </c>
      <c r="S2675" s="86" t="str">
        <f t="array" ref="S2675">iferror(XLOOKUP(C2675,'Download of SFDC Activation Rep'!B:B,'Download of SFDC Activation Rep'!Y:Y),"")</f>
        <v/>
      </c>
    </row>
    <row r="2676">
      <c r="A2676" s="17"/>
      <c r="B2676" s="85"/>
      <c r="C2676" s="17"/>
      <c r="D2676" s="85"/>
      <c r="E2676" s="17"/>
      <c r="F2676" s="17"/>
      <c r="G2676" s="17"/>
      <c r="I2676" s="17"/>
      <c r="K2676" s="17"/>
      <c r="L2676" s="17"/>
      <c r="M2676" s="17"/>
      <c r="O2676" s="14">
        <f t="shared" si="1"/>
        <v>0</v>
      </c>
      <c r="P2676" s="86" t="str">
        <f t="array" ref="P2676">iferror(XLOOKUP(C2676,'Download of SFDC Activation Rep'!B:B,'Download of SFDC Activation Rep'!Z:Z),"")</f>
        <v/>
      </c>
      <c r="Q2676" s="86" t="str">
        <f t="shared" si="2"/>
        <v/>
      </c>
      <c r="R2676" s="13" t="str">
        <f t="shared" si="3"/>
        <v>Yes</v>
      </c>
      <c r="S2676" s="86" t="str">
        <f t="array" ref="S2676">iferror(XLOOKUP(C2676,'Download of SFDC Activation Rep'!B:B,'Download of SFDC Activation Rep'!Y:Y),"")</f>
        <v/>
      </c>
    </row>
    <row r="2677">
      <c r="A2677" s="17"/>
      <c r="B2677" s="85"/>
      <c r="C2677" s="17"/>
      <c r="D2677" s="85"/>
      <c r="E2677" s="17"/>
      <c r="F2677" s="17"/>
      <c r="G2677" s="17"/>
      <c r="I2677" s="17"/>
      <c r="K2677" s="17"/>
      <c r="L2677" s="17"/>
      <c r="M2677" s="17"/>
      <c r="O2677" s="14">
        <f t="shared" si="1"/>
        <v>0</v>
      </c>
      <c r="P2677" s="86" t="str">
        <f t="array" ref="P2677">iferror(XLOOKUP(C2677,'Download of SFDC Activation Rep'!B:B,'Download of SFDC Activation Rep'!Z:Z),"")</f>
        <v/>
      </c>
      <c r="Q2677" s="86" t="str">
        <f t="shared" si="2"/>
        <v/>
      </c>
      <c r="R2677" s="13" t="str">
        <f t="shared" si="3"/>
        <v>Yes</v>
      </c>
      <c r="S2677" s="86" t="str">
        <f t="array" ref="S2677">iferror(XLOOKUP(C2677,'Download of SFDC Activation Rep'!B:B,'Download of SFDC Activation Rep'!Y:Y),"")</f>
        <v/>
      </c>
    </row>
    <row r="2678">
      <c r="A2678" s="17"/>
      <c r="B2678" s="85"/>
      <c r="C2678" s="17"/>
      <c r="D2678" s="85"/>
      <c r="E2678" s="17"/>
      <c r="F2678" s="17"/>
      <c r="G2678" s="17"/>
      <c r="I2678" s="17"/>
      <c r="K2678" s="17"/>
      <c r="L2678" s="17"/>
      <c r="M2678" s="17"/>
      <c r="O2678" s="14">
        <f t="shared" si="1"/>
        <v>0</v>
      </c>
      <c r="P2678" s="86" t="str">
        <f t="array" ref="P2678">iferror(XLOOKUP(C2678,'Download of SFDC Activation Rep'!B:B,'Download of SFDC Activation Rep'!Z:Z),"")</f>
        <v/>
      </c>
      <c r="Q2678" s="86" t="str">
        <f t="shared" si="2"/>
        <v/>
      </c>
      <c r="R2678" s="13" t="str">
        <f t="shared" si="3"/>
        <v>Yes</v>
      </c>
      <c r="S2678" s="86" t="str">
        <f t="array" ref="S2678">iferror(XLOOKUP(C2678,'Download of SFDC Activation Rep'!B:B,'Download of SFDC Activation Rep'!Y:Y),"")</f>
        <v/>
      </c>
    </row>
    <row r="2679">
      <c r="A2679" s="17"/>
      <c r="B2679" s="85"/>
      <c r="C2679" s="17"/>
      <c r="D2679" s="85"/>
      <c r="E2679" s="17"/>
      <c r="F2679" s="17"/>
      <c r="G2679" s="17"/>
      <c r="I2679" s="17"/>
      <c r="K2679" s="17"/>
      <c r="L2679" s="17"/>
      <c r="M2679" s="17"/>
      <c r="O2679" s="14">
        <f t="shared" si="1"/>
        <v>0</v>
      </c>
      <c r="P2679" s="86" t="str">
        <f t="array" ref="P2679">iferror(XLOOKUP(C2679,'Download of SFDC Activation Rep'!B:B,'Download of SFDC Activation Rep'!Z:Z),"")</f>
        <v/>
      </c>
      <c r="Q2679" s="86" t="str">
        <f t="shared" si="2"/>
        <v/>
      </c>
      <c r="R2679" s="13" t="str">
        <f t="shared" si="3"/>
        <v>Yes</v>
      </c>
      <c r="S2679" s="86" t="str">
        <f t="array" ref="S2679">iferror(XLOOKUP(C2679,'Download of SFDC Activation Rep'!B:B,'Download of SFDC Activation Rep'!Y:Y),"")</f>
        <v/>
      </c>
    </row>
    <row r="2680">
      <c r="A2680" s="17"/>
      <c r="B2680" s="85"/>
      <c r="C2680" s="17"/>
      <c r="D2680" s="85"/>
      <c r="E2680" s="17"/>
      <c r="F2680" s="17"/>
      <c r="G2680" s="17"/>
      <c r="I2680" s="17"/>
      <c r="K2680" s="17"/>
      <c r="L2680" s="17"/>
      <c r="M2680" s="17"/>
      <c r="O2680" s="14">
        <f t="shared" si="1"/>
        <v>0</v>
      </c>
      <c r="P2680" s="86" t="str">
        <f t="array" ref="P2680">iferror(XLOOKUP(C2680,'Download of SFDC Activation Rep'!B:B,'Download of SFDC Activation Rep'!Z:Z),"")</f>
        <v/>
      </c>
      <c r="Q2680" s="86" t="str">
        <f t="shared" si="2"/>
        <v/>
      </c>
      <c r="R2680" s="13" t="str">
        <f t="shared" si="3"/>
        <v>Yes</v>
      </c>
      <c r="S2680" s="86" t="str">
        <f t="array" ref="S2680">iferror(XLOOKUP(C2680,'Download of SFDC Activation Rep'!B:B,'Download of SFDC Activation Rep'!Y:Y),"")</f>
        <v/>
      </c>
    </row>
    <row r="2681">
      <c r="A2681" s="17"/>
      <c r="B2681" s="85"/>
      <c r="C2681" s="17"/>
      <c r="D2681" s="85"/>
      <c r="E2681" s="17"/>
      <c r="F2681" s="17"/>
      <c r="G2681" s="17"/>
      <c r="I2681" s="17"/>
      <c r="K2681" s="17"/>
      <c r="L2681" s="17"/>
      <c r="M2681" s="17"/>
      <c r="O2681" s="14">
        <f t="shared" si="1"/>
        <v>0</v>
      </c>
      <c r="P2681" s="86" t="str">
        <f t="array" ref="P2681">iferror(XLOOKUP(C2681,'Download of SFDC Activation Rep'!B:B,'Download of SFDC Activation Rep'!Z:Z),"")</f>
        <v/>
      </c>
      <c r="Q2681" s="86" t="str">
        <f t="shared" si="2"/>
        <v/>
      </c>
      <c r="R2681" s="13" t="str">
        <f t="shared" si="3"/>
        <v>Yes</v>
      </c>
      <c r="S2681" s="86" t="str">
        <f t="array" ref="S2681">iferror(XLOOKUP(C2681,'Download of SFDC Activation Rep'!B:B,'Download of SFDC Activation Rep'!Y:Y),"")</f>
        <v/>
      </c>
    </row>
    <row r="2682">
      <c r="A2682" s="17"/>
      <c r="B2682" s="85"/>
      <c r="C2682" s="17"/>
      <c r="D2682" s="85"/>
      <c r="E2682" s="17"/>
      <c r="F2682" s="17"/>
      <c r="G2682" s="17"/>
      <c r="I2682" s="17"/>
      <c r="K2682" s="17"/>
      <c r="L2682" s="17"/>
      <c r="M2682" s="17"/>
      <c r="O2682" s="14">
        <f t="shared" si="1"/>
        <v>0</v>
      </c>
      <c r="P2682" s="86" t="str">
        <f t="array" ref="P2682">iferror(XLOOKUP(C2682,'Download of SFDC Activation Rep'!B:B,'Download of SFDC Activation Rep'!Z:Z),"")</f>
        <v/>
      </c>
      <c r="Q2682" s="86" t="str">
        <f t="shared" si="2"/>
        <v/>
      </c>
      <c r="R2682" s="13" t="str">
        <f t="shared" si="3"/>
        <v>Yes</v>
      </c>
      <c r="S2682" s="86" t="str">
        <f t="array" ref="S2682">iferror(XLOOKUP(C2682,'Download of SFDC Activation Rep'!B:B,'Download of SFDC Activation Rep'!Y:Y),"")</f>
        <v/>
      </c>
    </row>
    <row r="2683">
      <c r="A2683" s="17"/>
      <c r="B2683" s="85"/>
      <c r="C2683" s="17"/>
      <c r="D2683" s="85"/>
      <c r="E2683" s="17"/>
      <c r="F2683" s="17"/>
      <c r="G2683" s="17"/>
      <c r="I2683" s="17"/>
      <c r="K2683" s="17"/>
      <c r="L2683" s="17"/>
      <c r="M2683" s="17"/>
      <c r="O2683" s="14">
        <f t="shared" si="1"/>
        <v>0</v>
      </c>
      <c r="P2683" s="86" t="str">
        <f t="array" ref="P2683">iferror(XLOOKUP(C2683,'Download of SFDC Activation Rep'!B:B,'Download of SFDC Activation Rep'!Z:Z),"")</f>
        <v/>
      </c>
      <c r="Q2683" s="86" t="str">
        <f t="shared" si="2"/>
        <v/>
      </c>
      <c r="R2683" s="13" t="str">
        <f t="shared" si="3"/>
        <v>Yes</v>
      </c>
      <c r="S2683" s="86" t="str">
        <f t="array" ref="S2683">iferror(XLOOKUP(C2683,'Download of SFDC Activation Rep'!B:B,'Download of SFDC Activation Rep'!Y:Y),"")</f>
        <v/>
      </c>
    </row>
    <row r="2684">
      <c r="A2684" s="17"/>
      <c r="B2684" s="85"/>
      <c r="C2684" s="17"/>
      <c r="D2684" s="85"/>
      <c r="E2684" s="17"/>
      <c r="F2684" s="17"/>
      <c r="G2684" s="17"/>
      <c r="I2684" s="17"/>
      <c r="K2684" s="17"/>
      <c r="L2684" s="17"/>
      <c r="M2684" s="17"/>
      <c r="O2684" s="14">
        <f t="shared" si="1"/>
        <v>0</v>
      </c>
      <c r="P2684" s="86" t="str">
        <f t="array" ref="P2684">iferror(XLOOKUP(C2684,'Download of SFDC Activation Rep'!B:B,'Download of SFDC Activation Rep'!Z:Z),"")</f>
        <v/>
      </c>
      <c r="Q2684" s="86" t="str">
        <f t="shared" si="2"/>
        <v/>
      </c>
      <c r="R2684" s="13" t="str">
        <f t="shared" si="3"/>
        <v>Yes</v>
      </c>
      <c r="S2684" s="86" t="str">
        <f t="array" ref="S2684">iferror(XLOOKUP(C2684,'Download of SFDC Activation Rep'!B:B,'Download of SFDC Activation Rep'!Y:Y),"")</f>
        <v/>
      </c>
    </row>
    <row r="2685">
      <c r="A2685" s="17"/>
      <c r="B2685" s="85"/>
      <c r="C2685" s="17"/>
      <c r="D2685" s="85"/>
      <c r="E2685" s="17"/>
      <c r="F2685" s="17"/>
      <c r="G2685" s="17"/>
      <c r="I2685" s="17"/>
      <c r="K2685" s="17"/>
      <c r="L2685" s="17"/>
      <c r="M2685" s="17"/>
      <c r="O2685" s="14">
        <f t="shared" si="1"/>
        <v>0</v>
      </c>
      <c r="P2685" s="86" t="str">
        <f t="array" ref="P2685">iferror(XLOOKUP(C2685,'Download of SFDC Activation Rep'!B:B,'Download of SFDC Activation Rep'!Z:Z),"")</f>
        <v/>
      </c>
      <c r="Q2685" s="86" t="str">
        <f t="shared" si="2"/>
        <v/>
      </c>
      <c r="R2685" s="13" t="str">
        <f t="shared" si="3"/>
        <v>Yes</v>
      </c>
      <c r="S2685" s="86" t="str">
        <f t="array" ref="S2685">iferror(XLOOKUP(C2685,'Download of SFDC Activation Rep'!B:B,'Download of SFDC Activation Rep'!Y:Y),"")</f>
        <v/>
      </c>
    </row>
    <row r="2686">
      <c r="A2686" s="17"/>
      <c r="B2686" s="85"/>
      <c r="C2686" s="17"/>
      <c r="D2686" s="85"/>
      <c r="E2686" s="17"/>
      <c r="F2686" s="17"/>
      <c r="G2686" s="17"/>
      <c r="I2686" s="17"/>
      <c r="K2686" s="17"/>
      <c r="L2686" s="17"/>
      <c r="M2686" s="17"/>
      <c r="O2686" s="14">
        <f t="shared" si="1"/>
        <v>0</v>
      </c>
      <c r="P2686" s="86" t="str">
        <f t="array" ref="P2686">iferror(XLOOKUP(C2686,'Download of SFDC Activation Rep'!B:B,'Download of SFDC Activation Rep'!Z:Z),"")</f>
        <v/>
      </c>
      <c r="Q2686" s="86" t="str">
        <f t="shared" si="2"/>
        <v/>
      </c>
      <c r="R2686" s="13" t="str">
        <f t="shared" si="3"/>
        <v>Yes</v>
      </c>
      <c r="S2686" s="86" t="str">
        <f t="array" ref="S2686">iferror(XLOOKUP(C2686,'Download of SFDC Activation Rep'!B:B,'Download of SFDC Activation Rep'!Y:Y),"")</f>
        <v/>
      </c>
    </row>
    <row r="2687">
      <c r="A2687" s="17"/>
      <c r="B2687" s="85"/>
      <c r="C2687" s="17"/>
      <c r="D2687" s="85"/>
      <c r="E2687" s="17"/>
      <c r="F2687" s="17"/>
      <c r="G2687" s="17"/>
      <c r="I2687" s="17"/>
      <c r="K2687" s="17"/>
      <c r="L2687" s="17"/>
      <c r="M2687" s="17"/>
      <c r="O2687" s="14">
        <f t="shared" si="1"/>
        <v>0</v>
      </c>
      <c r="P2687" s="86" t="str">
        <f t="array" ref="P2687">iferror(XLOOKUP(C2687,'Download of SFDC Activation Rep'!B:B,'Download of SFDC Activation Rep'!Z:Z),"")</f>
        <v/>
      </c>
      <c r="Q2687" s="86" t="str">
        <f t="shared" si="2"/>
        <v/>
      </c>
      <c r="R2687" s="13" t="str">
        <f t="shared" si="3"/>
        <v>Yes</v>
      </c>
      <c r="S2687" s="86" t="str">
        <f t="array" ref="S2687">iferror(XLOOKUP(C2687,'Download of SFDC Activation Rep'!B:B,'Download of SFDC Activation Rep'!Y:Y),"")</f>
        <v/>
      </c>
    </row>
    <row r="2688">
      <c r="A2688" s="17"/>
      <c r="B2688" s="85"/>
      <c r="C2688" s="17"/>
      <c r="D2688" s="85"/>
      <c r="E2688" s="17"/>
      <c r="F2688" s="17"/>
      <c r="G2688" s="17"/>
      <c r="I2688" s="17"/>
      <c r="K2688" s="17"/>
      <c r="L2688" s="17"/>
      <c r="M2688" s="17"/>
      <c r="O2688" s="14">
        <f t="shared" si="1"/>
        <v>0</v>
      </c>
      <c r="P2688" s="86" t="str">
        <f t="array" ref="P2688">iferror(XLOOKUP(C2688,'Download of SFDC Activation Rep'!B:B,'Download of SFDC Activation Rep'!Z:Z),"")</f>
        <v/>
      </c>
      <c r="Q2688" s="86" t="str">
        <f t="shared" si="2"/>
        <v/>
      </c>
      <c r="R2688" s="13" t="str">
        <f t="shared" si="3"/>
        <v>Yes</v>
      </c>
      <c r="S2688" s="86" t="str">
        <f t="array" ref="S2688">iferror(XLOOKUP(C2688,'Download of SFDC Activation Rep'!B:B,'Download of SFDC Activation Rep'!Y:Y),"")</f>
        <v/>
      </c>
    </row>
    <row r="2689">
      <c r="A2689" s="17"/>
      <c r="B2689" s="85"/>
      <c r="C2689" s="17"/>
      <c r="D2689" s="85"/>
      <c r="E2689" s="17"/>
      <c r="F2689" s="17"/>
      <c r="G2689" s="17"/>
      <c r="I2689" s="17"/>
      <c r="K2689" s="17"/>
      <c r="L2689" s="17"/>
      <c r="M2689" s="17"/>
      <c r="O2689" s="14">
        <f t="shared" si="1"/>
        <v>0</v>
      </c>
      <c r="P2689" s="86" t="str">
        <f t="array" ref="P2689">iferror(XLOOKUP(C2689,'Download of SFDC Activation Rep'!B:B,'Download of SFDC Activation Rep'!Z:Z),"")</f>
        <v/>
      </c>
      <c r="Q2689" s="86" t="str">
        <f t="shared" si="2"/>
        <v/>
      </c>
      <c r="R2689" s="13" t="str">
        <f t="shared" si="3"/>
        <v>Yes</v>
      </c>
      <c r="S2689" s="86" t="str">
        <f t="array" ref="S2689">iferror(XLOOKUP(C2689,'Download of SFDC Activation Rep'!B:B,'Download of SFDC Activation Rep'!Y:Y),"")</f>
        <v/>
      </c>
    </row>
    <row r="2690">
      <c r="A2690" s="17"/>
      <c r="B2690" s="85"/>
      <c r="C2690" s="17"/>
      <c r="D2690" s="85"/>
      <c r="E2690" s="17"/>
      <c r="F2690" s="17"/>
      <c r="G2690" s="17"/>
      <c r="I2690" s="17"/>
      <c r="K2690" s="17"/>
      <c r="L2690" s="17"/>
      <c r="M2690" s="17"/>
      <c r="O2690" s="14">
        <f t="shared" si="1"/>
        <v>0</v>
      </c>
      <c r="P2690" s="86" t="str">
        <f t="array" ref="P2690">iferror(XLOOKUP(C2690,'Download of SFDC Activation Rep'!B:B,'Download of SFDC Activation Rep'!Z:Z),"")</f>
        <v/>
      </c>
      <c r="Q2690" s="86" t="str">
        <f t="shared" si="2"/>
        <v/>
      </c>
      <c r="R2690" s="13" t="str">
        <f t="shared" si="3"/>
        <v>Yes</v>
      </c>
      <c r="S2690" s="86" t="str">
        <f t="array" ref="S2690">iferror(XLOOKUP(C2690,'Download of SFDC Activation Rep'!B:B,'Download of SFDC Activation Rep'!Y:Y),"")</f>
        <v/>
      </c>
    </row>
    <row r="2691">
      <c r="A2691" s="17"/>
      <c r="B2691" s="85"/>
      <c r="C2691" s="17"/>
      <c r="D2691" s="85"/>
      <c r="E2691" s="17"/>
      <c r="F2691" s="17"/>
      <c r="G2691" s="17"/>
      <c r="I2691" s="17"/>
      <c r="K2691" s="17"/>
      <c r="L2691" s="17"/>
      <c r="M2691" s="17"/>
      <c r="O2691" s="14">
        <f t="shared" si="1"/>
        <v>0</v>
      </c>
      <c r="P2691" s="86" t="str">
        <f t="array" ref="P2691">iferror(XLOOKUP(C2691,'Download of SFDC Activation Rep'!B:B,'Download of SFDC Activation Rep'!Z:Z),"")</f>
        <v/>
      </c>
      <c r="Q2691" s="86" t="str">
        <f t="shared" si="2"/>
        <v/>
      </c>
      <c r="R2691" s="13" t="str">
        <f t="shared" si="3"/>
        <v>Yes</v>
      </c>
      <c r="S2691" s="86" t="str">
        <f t="array" ref="S2691">iferror(XLOOKUP(C2691,'Download of SFDC Activation Rep'!B:B,'Download of SFDC Activation Rep'!Y:Y),"")</f>
        <v/>
      </c>
    </row>
    <row r="2692">
      <c r="A2692" s="17"/>
      <c r="B2692" s="85"/>
      <c r="C2692" s="17"/>
      <c r="D2692" s="85"/>
      <c r="E2692" s="17"/>
      <c r="F2692" s="17"/>
      <c r="G2692" s="17"/>
      <c r="I2692" s="17"/>
      <c r="K2692" s="17"/>
      <c r="L2692" s="17"/>
      <c r="M2692" s="17"/>
      <c r="O2692" s="14">
        <f t="shared" si="1"/>
        <v>0</v>
      </c>
      <c r="P2692" s="86" t="str">
        <f t="array" ref="P2692">iferror(XLOOKUP(C2692,'Download of SFDC Activation Rep'!B:B,'Download of SFDC Activation Rep'!Z:Z),"")</f>
        <v/>
      </c>
      <c r="Q2692" s="86" t="str">
        <f t="shared" si="2"/>
        <v/>
      </c>
      <c r="R2692" s="13" t="str">
        <f t="shared" si="3"/>
        <v>Yes</v>
      </c>
      <c r="S2692" s="86" t="str">
        <f t="array" ref="S2692">iferror(XLOOKUP(C2692,'Download of SFDC Activation Rep'!B:B,'Download of SFDC Activation Rep'!Y:Y),"")</f>
        <v/>
      </c>
    </row>
    <row r="2693">
      <c r="A2693" s="17"/>
      <c r="B2693" s="85"/>
      <c r="C2693" s="17"/>
      <c r="D2693" s="85"/>
      <c r="E2693" s="17"/>
      <c r="F2693" s="17"/>
      <c r="G2693" s="17"/>
      <c r="I2693" s="17"/>
      <c r="K2693" s="17"/>
      <c r="L2693" s="17"/>
      <c r="M2693" s="17"/>
      <c r="O2693" s="14">
        <f t="shared" si="1"/>
        <v>0</v>
      </c>
      <c r="P2693" s="86" t="str">
        <f t="array" ref="P2693">iferror(XLOOKUP(C2693,'Download of SFDC Activation Rep'!B:B,'Download of SFDC Activation Rep'!Z:Z),"")</f>
        <v/>
      </c>
      <c r="Q2693" s="86" t="str">
        <f t="shared" si="2"/>
        <v/>
      </c>
      <c r="R2693" s="13" t="str">
        <f t="shared" si="3"/>
        <v>Yes</v>
      </c>
      <c r="S2693" s="86" t="str">
        <f t="array" ref="S2693">iferror(XLOOKUP(C2693,'Download of SFDC Activation Rep'!B:B,'Download of SFDC Activation Rep'!Y:Y),"")</f>
        <v/>
      </c>
    </row>
    <row r="2694">
      <c r="A2694" s="17"/>
      <c r="B2694" s="85"/>
      <c r="C2694" s="17"/>
      <c r="D2694" s="85"/>
      <c r="E2694" s="17"/>
      <c r="F2694" s="17"/>
      <c r="G2694" s="17"/>
      <c r="I2694" s="17"/>
      <c r="K2694" s="17"/>
      <c r="L2694" s="17"/>
      <c r="M2694" s="17"/>
      <c r="O2694" s="14">
        <f t="shared" si="1"/>
        <v>0</v>
      </c>
      <c r="P2694" s="86" t="str">
        <f t="array" ref="P2694">iferror(XLOOKUP(C2694,'Download of SFDC Activation Rep'!B:B,'Download of SFDC Activation Rep'!Z:Z),"")</f>
        <v/>
      </c>
      <c r="Q2694" s="86" t="str">
        <f t="shared" si="2"/>
        <v/>
      </c>
      <c r="R2694" s="13" t="str">
        <f t="shared" si="3"/>
        <v>Yes</v>
      </c>
      <c r="S2694" s="86" t="str">
        <f t="array" ref="S2694">iferror(XLOOKUP(C2694,'Download of SFDC Activation Rep'!B:B,'Download of SFDC Activation Rep'!Y:Y),"")</f>
        <v/>
      </c>
    </row>
    <row r="2695">
      <c r="A2695" s="17"/>
      <c r="B2695" s="85"/>
      <c r="C2695" s="17"/>
      <c r="D2695" s="85"/>
      <c r="E2695" s="17"/>
      <c r="F2695" s="17"/>
      <c r="G2695" s="17"/>
      <c r="I2695" s="17"/>
      <c r="K2695" s="17"/>
      <c r="L2695" s="17"/>
      <c r="M2695" s="17"/>
      <c r="O2695" s="14">
        <f t="shared" si="1"/>
        <v>0</v>
      </c>
      <c r="P2695" s="86" t="str">
        <f t="array" ref="P2695">iferror(XLOOKUP(C2695,'Download of SFDC Activation Rep'!B:B,'Download of SFDC Activation Rep'!Z:Z),"")</f>
        <v/>
      </c>
      <c r="Q2695" s="86" t="str">
        <f t="shared" si="2"/>
        <v/>
      </c>
      <c r="R2695" s="13" t="str">
        <f t="shared" si="3"/>
        <v>Yes</v>
      </c>
      <c r="S2695" s="86" t="str">
        <f t="array" ref="S2695">iferror(XLOOKUP(C2695,'Download of SFDC Activation Rep'!B:B,'Download of SFDC Activation Rep'!Y:Y),"")</f>
        <v/>
      </c>
    </row>
    <row r="2696">
      <c r="A2696" s="17"/>
      <c r="B2696" s="85"/>
      <c r="C2696" s="17"/>
      <c r="D2696" s="85"/>
      <c r="E2696" s="17"/>
      <c r="F2696" s="17"/>
      <c r="G2696" s="17"/>
      <c r="I2696" s="17"/>
      <c r="K2696" s="17"/>
      <c r="L2696" s="17"/>
      <c r="M2696" s="17"/>
      <c r="O2696" s="14">
        <f t="shared" si="1"/>
        <v>0</v>
      </c>
      <c r="P2696" s="86" t="str">
        <f t="array" ref="P2696">iferror(XLOOKUP(C2696,'Download of SFDC Activation Rep'!B:B,'Download of SFDC Activation Rep'!Z:Z),"")</f>
        <v/>
      </c>
      <c r="Q2696" s="86" t="str">
        <f t="shared" si="2"/>
        <v/>
      </c>
      <c r="R2696" s="13" t="str">
        <f t="shared" si="3"/>
        <v>Yes</v>
      </c>
      <c r="S2696" s="86" t="str">
        <f t="array" ref="S2696">iferror(XLOOKUP(C2696,'Download of SFDC Activation Rep'!B:B,'Download of SFDC Activation Rep'!Y:Y),"")</f>
        <v/>
      </c>
    </row>
    <row r="2697">
      <c r="A2697" s="17"/>
      <c r="B2697" s="85"/>
      <c r="C2697" s="17"/>
      <c r="D2697" s="85"/>
      <c r="E2697" s="17"/>
      <c r="F2697" s="17"/>
      <c r="G2697" s="17"/>
      <c r="I2697" s="17"/>
      <c r="K2697" s="17"/>
      <c r="L2697" s="17"/>
      <c r="M2697" s="17"/>
      <c r="O2697" s="14">
        <f t="shared" si="1"/>
        <v>0</v>
      </c>
      <c r="P2697" s="86" t="str">
        <f t="array" ref="P2697">iferror(XLOOKUP(C2697,'Download of SFDC Activation Rep'!B:B,'Download of SFDC Activation Rep'!Z:Z),"")</f>
        <v/>
      </c>
      <c r="Q2697" s="86" t="str">
        <f t="shared" si="2"/>
        <v/>
      </c>
      <c r="R2697" s="13" t="str">
        <f t="shared" si="3"/>
        <v>Yes</v>
      </c>
      <c r="S2697" s="86" t="str">
        <f t="array" ref="S2697">iferror(XLOOKUP(C2697,'Download of SFDC Activation Rep'!B:B,'Download of SFDC Activation Rep'!Y:Y),"")</f>
        <v/>
      </c>
    </row>
    <row r="2698">
      <c r="A2698" s="17"/>
      <c r="B2698" s="85"/>
      <c r="C2698" s="17"/>
      <c r="D2698" s="85"/>
      <c r="E2698" s="17"/>
      <c r="F2698" s="17"/>
      <c r="G2698" s="17"/>
      <c r="I2698" s="17"/>
      <c r="K2698" s="17"/>
      <c r="L2698" s="17"/>
      <c r="M2698" s="17"/>
      <c r="O2698" s="14">
        <f t="shared" si="1"/>
        <v>0</v>
      </c>
      <c r="P2698" s="86" t="str">
        <f t="array" ref="P2698">iferror(XLOOKUP(C2698,'Download of SFDC Activation Rep'!B:B,'Download of SFDC Activation Rep'!Z:Z),"")</f>
        <v/>
      </c>
      <c r="Q2698" s="86" t="str">
        <f t="shared" si="2"/>
        <v/>
      </c>
      <c r="R2698" s="13" t="str">
        <f t="shared" si="3"/>
        <v>Yes</v>
      </c>
      <c r="S2698" s="86" t="str">
        <f t="array" ref="S2698">iferror(XLOOKUP(C2698,'Download of SFDC Activation Rep'!B:B,'Download of SFDC Activation Rep'!Y:Y),"")</f>
        <v/>
      </c>
    </row>
    <row r="2699">
      <c r="A2699" s="17"/>
      <c r="B2699" s="85"/>
      <c r="C2699" s="17"/>
      <c r="D2699" s="85"/>
      <c r="E2699" s="17"/>
      <c r="F2699" s="17"/>
      <c r="G2699" s="17"/>
      <c r="I2699" s="17"/>
      <c r="K2699" s="17"/>
      <c r="L2699" s="17"/>
      <c r="M2699" s="17"/>
      <c r="O2699" s="14">
        <f t="shared" si="1"/>
        <v>0</v>
      </c>
      <c r="P2699" s="86" t="str">
        <f t="array" ref="P2699">iferror(XLOOKUP(C2699,'Download of SFDC Activation Rep'!B:B,'Download of SFDC Activation Rep'!Z:Z),"")</f>
        <v/>
      </c>
      <c r="Q2699" s="86" t="str">
        <f t="shared" si="2"/>
        <v/>
      </c>
      <c r="R2699" s="13" t="str">
        <f t="shared" si="3"/>
        <v>Yes</v>
      </c>
      <c r="S2699" s="86" t="str">
        <f t="array" ref="S2699">iferror(XLOOKUP(C2699,'Download of SFDC Activation Rep'!B:B,'Download of SFDC Activation Rep'!Y:Y),"")</f>
        <v/>
      </c>
    </row>
    <row r="2700">
      <c r="A2700" s="17"/>
      <c r="B2700" s="85"/>
      <c r="C2700" s="17"/>
      <c r="D2700" s="85"/>
      <c r="E2700" s="17"/>
      <c r="F2700" s="17"/>
      <c r="G2700" s="17"/>
      <c r="I2700" s="17"/>
      <c r="K2700" s="17"/>
      <c r="L2700" s="17"/>
      <c r="M2700" s="17"/>
      <c r="O2700" s="14">
        <f t="shared" si="1"/>
        <v>0</v>
      </c>
      <c r="P2700" s="86" t="str">
        <f t="array" ref="P2700">iferror(XLOOKUP(C2700,'Download of SFDC Activation Rep'!B:B,'Download of SFDC Activation Rep'!Z:Z),"")</f>
        <v/>
      </c>
      <c r="Q2700" s="86" t="str">
        <f t="shared" si="2"/>
        <v/>
      </c>
      <c r="R2700" s="13" t="str">
        <f t="shared" si="3"/>
        <v>Yes</v>
      </c>
      <c r="S2700" s="86" t="str">
        <f t="array" ref="S2700">iferror(XLOOKUP(C2700,'Download of SFDC Activation Rep'!B:B,'Download of SFDC Activation Rep'!Y:Y),"")</f>
        <v/>
      </c>
    </row>
    <row r="2701">
      <c r="A2701" s="17"/>
      <c r="B2701" s="85"/>
      <c r="C2701" s="17"/>
      <c r="D2701" s="85"/>
      <c r="E2701" s="17"/>
      <c r="F2701" s="17"/>
      <c r="G2701" s="17"/>
      <c r="I2701" s="17"/>
      <c r="K2701" s="17"/>
      <c r="L2701" s="17"/>
      <c r="M2701" s="17"/>
      <c r="O2701" s="14">
        <f t="shared" si="1"/>
        <v>0</v>
      </c>
      <c r="P2701" s="86" t="str">
        <f t="array" ref="P2701">iferror(XLOOKUP(C2701,'Download of SFDC Activation Rep'!B:B,'Download of SFDC Activation Rep'!Z:Z),"")</f>
        <v/>
      </c>
      <c r="Q2701" s="86" t="str">
        <f t="shared" si="2"/>
        <v/>
      </c>
      <c r="R2701" s="13" t="str">
        <f t="shared" si="3"/>
        <v>Yes</v>
      </c>
      <c r="S2701" s="86" t="str">
        <f t="array" ref="S2701">iferror(XLOOKUP(C2701,'Download of SFDC Activation Rep'!B:B,'Download of SFDC Activation Rep'!Y:Y),"")</f>
        <v/>
      </c>
    </row>
    <row r="2702">
      <c r="A2702" s="17"/>
      <c r="B2702" s="85"/>
      <c r="C2702" s="17"/>
      <c r="D2702" s="85"/>
      <c r="E2702" s="17"/>
      <c r="F2702" s="17"/>
      <c r="G2702" s="17"/>
      <c r="I2702" s="17"/>
      <c r="K2702" s="17"/>
      <c r="L2702" s="17"/>
      <c r="M2702" s="17"/>
      <c r="O2702" s="14">
        <f t="shared" si="1"/>
        <v>0</v>
      </c>
      <c r="P2702" s="86" t="str">
        <f t="array" ref="P2702">iferror(XLOOKUP(C2702,'Download of SFDC Activation Rep'!B:B,'Download of SFDC Activation Rep'!Z:Z),"")</f>
        <v/>
      </c>
      <c r="Q2702" s="86" t="str">
        <f t="shared" si="2"/>
        <v/>
      </c>
      <c r="R2702" s="13" t="str">
        <f t="shared" si="3"/>
        <v>Yes</v>
      </c>
      <c r="S2702" s="86" t="str">
        <f t="array" ref="S2702">iferror(XLOOKUP(C2702,'Download of SFDC Activation Rep'!B:B,'Download of SFDC Activation Rep'!Y:Y),"")</f>
        <v/>
      </c>
    </row>
    <row r="2703">
      <c r="A2703" s="17"/>
      <c r="B2703" s="85"/>
      <c r="C2703" s="17"/>
      <c r="D2703" s="85"/>
      <c r="E2703" s="17"/>
      <c r="F2703" s="17"/>
      <c r="G2703" s="17"/>
      <c r="I2703" s="17"/>
      <c r="K2703" s="17"/>
      <c r="L2703" s="17"/>
      <c r="M2703" s="17"/>
      <c r="O2703" s="14">
        <f t="shared" si="1"/>
        <v>0</v>
      </c>
      <c r="P2703" s="86" t="str">
        <f t="array" ref="P2703">iferror(XLOOKUP(C2703,'Download of SFDC Activation Rep'!B:B,'Download of SFDC Activation Rep'!Z:Z),"")</f>
        <v/>
      </c>
      <c r="Q2703" s="86" t="str">
        <f t="shared" si="2"/>
        <v/>
      </c>
      <c r="R2703" s="13" t="str">
        <f t="shared" si="3"/>
        <v>Yes</v>
      </c>
      <c r="S2703" s="86" t="str">
        <f t="array" ref="S2703">iferror(XLOOKUP(C2703,'Download of SFDC Activation Rep'!B:B,'Download of SFDC Activation Rep'!Y:Y),"")</f>
        <v/>
      </c>
    </row>
    <row r="2704">
      <c r="A2704" s="17"/>
      <c r="B2704" s="85"/>
      <c r="C2704" s="17"/>
      <c r="D2704" s="85"/>
      <c r="E2704" s="17"/>
      <c r="F2704" s="17"/>
      <c r="G2704" s="17"/>
      <c r="I2704" s="17"/>
      <c r="K2704" s="17"/>
      <c r="L2704" s="17"/>
      <c r="M2704" s="17"/>
      <c r="O2704" s="14">
        <f t="shared" si="1"/>
        <v>0</v>
      </c>
      <c r="P2704" s="86" t="str">
        <f t="array" ref="P2704">iferror(XLOOKUP(C2704,'Download of SFDC Activation Rep'!B:B,'Download of SFDC Activation Rep'!Z:Z),"")</f>
        <v/>
      </c>
      <c r="Q2704" s="86" t="str">
        <f t="shared" si="2"/>
        <v/>
      </c>
      <c r="R2704" s="13" t="str">
        <f t="shared" si="3"/>
        <v>Yes</v>
      </c>
      <c r="S2704" s="86" t="str">
        <f t="array" ref="S2704">iferror(XLOOKUP(C2704,'Download of SFDC Activation Rep'!B:B,'Download of SFDC Activation Rep'!Y:Y),"")</f>
        <v/>
      </c>
    </row>
    <row r="2705">
      <c r="A2705" s="17"/>
      <c r="B2705" s="85"/>
      <c r="C2705" s="17"/>
      <c r="D2705" s="85"/>
      <c r="E2705" s="17"/>
      <c r="F2705" s="17"/>
      <c r="G2705" s="17"/>
      <c r="I2705" s="17"/>
      <c r="K2705" s="17"/>
      <c r="L2705" s="17"/>
      <c r="M2705" s="17"/>
      <c r="O2705" s="14">
        <f t="shared" si="1"/>
        <v>0</v>
      </c>
      <c r="P2705" s="86" t="str">
        <f t="array" ref="P2705">iferror(XLOOKUP(C2705,'Download of SFDC Activation Rep'!B:B,'Download of SFDC Activation Rep'!Z:Z),"")</f>
        <v/>
      </c>
      <c r="Q2705" s="86" t="str">
        <f t="shared" si="2"/>
        <v/>
      </c>
      <c r="R2705" s="13" t="str">
        <f t="shared" si="3"/>
        <v>Yes</v>
      </c>
      <c r="S2705" s="86" t="str">
        <f t="array" ref="S2705">iferror(XLOOKUP(C2705,'Download of SFDC Activation Rep'!B:B,'Download of SFDC Activation Rep'!Y:Y),"")</f>
        <v/>
      </c>
    </row>
    <row r="2706">
      <c r="A2706" s="17"/>
      <c r="B2706" s="85"/>
      <c r="C2706" s="17"/>
      <c r="D2706" s="85"/>
      <c r="E2706" s="17"/>
      <c r="F2706" s="17"/>
      <c r="G2706" s="17"/>
      <c r="I2706" s="17"/>
      <c r="K2706" s="17"/>
      <c r="L2706" s="17"/>
      <c r="M2706" s="17"/>
      <c r="O2706" s="14">
        <f t="shared" si="1"/>
        <v>0</v>
      </c>
      <c r="P2706" s="86" t="str">
        <f t="array" ref="P2706">iferror(XLOOKUP(C2706,'Download of SFDC Activation Rep'!B:B,'Download of SFDC Activation Rep'!Z:Z),"")</f>
        <v/>
      </c>
      <c r="Q2706" s="86" t="str">
        <f t="shared" si="2"/>
        <v/>
      </c>
      <c r="R2706" s="13" t="str">
        <f t="shared" si="3"/>
        <v>Yes</v>
      </c>
      <c r="S2706" s="86" t="str">
        <f t="array" ref="S2706">iferror(XLOOKUP(C2706,'Download of SFDC Activation Rep'!B:B,'Download of SFDC Activation Rep'!Y:Y),"")</f>
        <v/>
      </c>
    </row>
    <row r="2707">
      <c r="A2707" s="17"/>
      <c r="B2707" s="85"/>
      <c r="C2707" s="17"/>
      <c r="D2707" s="85"/>
      <c r="E2707" s="17"/>
      <c r="F2707" s="17"/>
      <c r="G2707" s="17"/>
      <c r="I2707" s="17"/>
      <c r="K2707" s="17"/>
      <c r="L2707" s="17"/>
      <c r="M2707" s="17"/>
      <c r="O2707" s="14">
        <f t="shared" si="1"/>
        <v>0</v>
      </c>
      <c r="P2707" s="86" t="str">
        <f t="array" ref="P2707">iferror(XLOOKUP(C2707,'Download of SFDC Activation Rep'!B:B,'Download of SFDC Activation Rep'!Z:Z),"")</f>
        <v/>
      </c>
      <c r="Q2707" s="86" t="str">
        <f t="shared" si="2"/>
        <v/>
      </c>
      <c r="R2707" s="13" t="str">
        <f t="shared" si="3"/>
        <v>Yes</v>
      </c>
      <c r="S2707" s="86" t="str">
        <f t="array" ref="S2707">iferror(XLOOKUP(C2707,'Download of SFDC Activation Rep'!B:B,'Download of SFDC Activation Rep'!Y:Y),"")</f>
        <v/>
      </c>
    </row>
    <row r="2708">
      <c r="A2708" s="17"/>
      <c r="B2708" s="85"/>
      <c r="C2708" s="17"/>
      <c r="D2708" s="85"/>
      <c r="E2708" s="17"/>
      <c r="F2708" s="17"/>
      <c r="G2708" s="17"/>
      <c r="I2708" s="17"/>
      <c r="K2708" s="17"/>
      <c r="L2708" s="17"/>
      <c r="M2708" s="17"/>
      <c r="O2708" s="14">
        <f t="shared" si="1"/>
        <v>0</v>
      </c>
      <c r="P2708" s="86" t="str">
        <f t="array" ref="P2708">iferror(XLOOKUP(C2708,'Download of SFDC Activation Rep'!B:B,'Download of SFDC Activation Rep'!Z:Z),"")</f>
        <v/>
      </c>
      <c r="Q2708" s="86" t="str">
        <f t="shared" si="2"/>
        <v/>
      </c>
      <c r="R2708" s="13" t="str">
        <f t="shared" si="3"/>
        <v>Yes</v>
      </c>
      <c r="S2708" s="86" t="str">
        <f t="array" ref="S2708">iferror(XLOOKUP(C2708,'Download of SFDC Activation Rep'!B:B,'Download of SFDC Activation Rep'!Y:Y),"")</f>
        <v/>
      </c>
    </row>
    <row r="2709">
      <c r="A2709" s="17"/>
      <c r="B2709" s="85"/>
      <c r="C2709" s="17"/>
      <c r="D2709" s="85"/>
      <c r="E2709" s="17"/>
      <c r="F2709" s="17"/>
      <c r="G2709" s="17"/>
      <c r="I2709" s="17"/>
      <c r="K2709" s="17"/>
      <c r="L2709" s="17"/>
      <c r="M2709" s="17"/>
      <c r="O2709" s="14">
        <f t="shared" si="1"/>
        <v>0</v>
      </c>
      <c r="P2709" s="86" t="str">
        <f t="array" ref="P2709">iferror(XLOOKUP(C2709,'Download of SFDC Activation Rep'!B:B,'Download of SFDC Activation Rep'!Z:Z),"")</f>
        <v/>
      </c>
      <c r="Q2709" s="86" t="str">
        <f t="shared" si="2"/>
        <v/>
      </c>
      <c r="R2709" s="13" t="str">
        <f t="shared" si="3"/>
        <v>Yes</v>
      </c>
      <c r="S2709" s="86" t="str">
        <f t="array" ref="S2709">iferror(XLOOKUP(C2709,'Download of SFDC Activation Rep'!B:B,'Download of SFDC Activation Rep'!Y:Y),"")</f>
        <v/>
      </c>
    </row>
    <row r="2710">
      <c r="A2710" s="17"/>
      <c r="B2710" s="85"/>
      <c r="C2710" s="17"/>
      <c r="D2710" s="85"/>
      <c r="E2710" s="17"/>
      <c r="F2710" s="17"/>
      <c r="G2710" s="17"/>
      <c r="I2710" s="17"/>
      <c r="K2710" s="17"/>
      <c r="L2710" s="17"/>
      <c r="M2710" s="17"/>
      <c r="O2710" s="14">
        <f t="shared" si="1"/>
        <v>0</v>
      </c>
      <c r="P2710" s="86" t="str">
        <f t="array" ref="P2710">iferror(XLOOKUP(C2710,'Download of SFDC Activation Rep'!B:B,'Download of SFDC Activation Rep'!Z:Z),"")</f>
        <v/>
      </c>
      <c r="Q2710" s="86" t="str">
        <f t="shared" si="2"/>
        <v/>
      </c>
      <c r="R2710" s="13" t="str">
        <f t="shared" si="3"/>
        <v>Yes</v>
      </c>
      <c r="S2710" s="86" t="str">
        <f t="array" ref="S2710">iferror(XLOOKUP(C2710,'Download of SFDC Activation Rep'!B:B,'Download of SFDC Activation Rep'!Y:Y),"")</f>
        <v/>
      </c>
    </row>
    <row r="2711">
      <c r="A2711" s="17"/>
      <c r="B2711" s="85"/>
      <c r="C2711" s="17"/>
      <c r="D2711" s="85"/>
      <c r="E2711" s="17"/>
      <c r="F2711" s="17"/>
      <c r="G2711" s="17"/>
      <c r="I2711" s="17"/>
      <c r="K2711" s="17"/>
      <c r="L2711" s="17"/>
      <c r="M2711" s="17"/>
      <c r="O2711" s="14">
        <f t="shared" si="1"/>
        <v>0</v>
      </c>
      <c r="P2711" s="86" t="str">
        <f t="array" ref="P2711">iferror(XLOOKUP(C2711,'Download of SFDC Activation Rep'!B:B,'Download of SFDC Activation Rep'!Z:Z),"")</f>
        <v/>
      </c>
      <c r="Q2711" s="86" t="str">
        <f t="shared" si="2"/>
        <v/>
      </c>
      <c r="R2711" s="13" t="str">
        <f t="shared" si="3"/>
        <v>Yes</v>
      </c>
      <c r="S2711" s="86" t="str">
        <f t="array" ref="S2711">iferror(XLOOKUP(C2711,'Download of SFDC Activation Rep'!B:B,'Download of SFDC Activation Rep'!Y:Y),"")</f>
        <v/>
      </c>
    </row>
    <row r="2712">
      <c r="A2712" s="17"/>
      <c r="B2712" s="85"/>
      <c r="C2712" s="17"/>
      <c r="D2712" s="85"/>
      <c r="E2712" s="17"/>
      <c r="F2712" s="17"/>
      <c r="G2712" s="17"/>
      <c r="I2712" s="17"/>
      <c r="K2712" s="17"/>
      <c r="L2712" s="17"/>
      <c r="M2712" s="17"/>
      <c r="O2712" s="14">
        <f t="shared" si="1"/>
        <v>0</v>
      </c>
      <c r="P2712" s="86" t="str">
        <f t="array" ref="P2712">iferror(XLOOKUP(C2712,'Download of SFDC Activation Rep'!B:B,'Download of SFDC Activation Rep'!Z:Z),"")</f>
        <v/>
      </c>
      <c r="Q2712" s="86" t="str">
        <f t="shared" si="2"/>
        <v/>
      </c>
      <c r="R2712" s="13" t="str">
        <f t="shared" si="3"/>
        <v>Yes</v>
      </c>
      <c r="S2712" s="86" t="str">
        <f t="array" ref="S2712">iferror(XLOOKUP(C2712,'Download of SFDC Activation Rep'!B:B,'Download of SFDC Activation Rep'!Y:Y),"")</f>
        <v/>
      </c>
    </row>
    <row r="2713">
      <c r="A2713" s="17"/>
      <c r="B2713" s="85"/>
      <c r="C2713" s="17"/>
      <c r="D2713" s="85"/>
      <c r="E2713" s="17"/>
      <c r="F2713" s="17"/>
      <c r="G2713" s="17"/>
      <c r="I2713" s="17"/>
      <c r="K2713" s="17"/>
      <c r="L2713" s="17"/>
      <c r="M2713" s="17"/>
      <c r="O2713" s="14">
        <f t="shared" si="1"/>
        <v>0</v>
      </c>
      <c r="P2713" s="86" t="str">
        <f t="array" ref="P2713">iferror(XLOOKUP(C2713,'Download of SFDC Activation Rep'!B:B,'Download of SFDC Activation Rep'!Z:Z),"")</f>
        <v/>
      </c>
      <c r="Q2713" s="86" t="str">
        <f t="shared" si="2"/>
        <v/>
      </c>
      <c r="R2713" s="13" t="str">
        <f t="shared" si="3"/>
        <v>Yes</v>
      </c>
      <c r="S2713" s="86" t="str">
        <f t="array" ref="S2713">iferror(XLOOKUP(C2713,'Download of SFDC Activation Rep'!B:B,'Download of SFDC Activation Rep'!Y:Y),"")</f>
        <v/>
      </c>
    </row>
    <row r="2714">
      <c r="A2714" s="17"/>
      <c r="B2714" s="85"/>
      <c r="C2714" s="17"/>
      <c r="D2714" s="85"/>
      <c r="E2714" s="17"/>
      <c r="F2714" s="17"/>
      <c r="G2714" s="17"/>
      <c r="I2714" s="17"/>
      <c r="K2714" s="17"/>
      <c r="L2714" s="17"/>
      <c r="M2714" s="17"/>
      <c r="O2714" s="14">
        <f t="shared" si="1"/>
        <v>0</v>
      </c>
      <c r="P2714" s="86" t="str">
        <f t="array" ref="P2714">iferror(XLOOKUP(C2714,'Download of SFDC Activation Rep'!B:B,'Download of SFDC Activation Rep'!Z:Z),"")</f>
        <v/>
      </c>
      <c r="Q2714" s="86" t="str">
        <f t="shared" si="2"/>
        <v/>
      </c>
      <c r="R2714" s="13" t="str">
        <f t="shared" si="3"/>
        <v>Yes</v>
      </c>
      <c r="S2714" s="86" t="str">
        <f t="array" ref="S2714">iferror(XLOOKUP(C2714,'Download of SFDC Activation Rep'!B:B,'Download of SFDC Activation Rep'!Y:Y),"")</f>
        <v/>
      </c>
    </row>
    <row r="2715">
      <c r="A2715" s="17"/>
      <c r="B2715" s="85"/>
      <c r="C2715" s="17"/>
      <c r="D2715" s="85"/>
      <c r="E2715" s="17"/>
      <c r="F2715" s="17"/>
      <c r="G2715" s="17"/>
      <c r="I2715" s="17"/>
      <c r="K2715" s="17"/>
      <c r="L2715" s="17"/>
      <c r="M2715" s="17"/>
      <c r="O2715" s="14">
        <f t="shared" si="1"/>
        <v>0</v>
      </c>
      <c r="P2715" s="86" t="str">
        <f t="array" ref="P2715">iferror(XLOOKUP(C2715,'Download of SFDC Activation Rep'!B:B,'Download of SFDC Activation Rep'!Z:Z),"")</f>
        <v/>
      </c>
      <c r="Q2715" s="86" t="str">
        <f t="shared" si="2"/>
        <v/>
      </c>
      <c r="R2715" s="13" t="str">
        <f t="shared" si="3"/>
        <v>Yes</v>
      </c>
      <c r="S2715" s="86" t="str">
        <f t="array" ref="S2715">iferror(XLOOKUP(C2715,'Download of SFDC Activation Rep'!B:B,'Download of SFDC Activation Rep'!Y:Y),"")</f>
        <v/>
      </c>
    </row>
    <row r="2716">
      <c r="A2716" s="17"/>
      <c r="B2716" s="85"/>
      <c r="C2716" s="17"/>
      <c r="D2716" s="85"/>
      <c r="E2716" s="17"/>
      <c r="F2716" s="17"/>
      <c r="G2716" s="17"/>
      <c r="I2716" s="17"/>
      <c r="K2716" s="17"/>
      <c r="L2716" s="17"/>
      <c r="M2716" s="17"/>
      <c r="O2716" s="14">
        <f t="shared" si="1"/>
        <v>0</v>
      </c>
      <c r="P2716" s="86" t="str">
        <f t="array" ref="P2716">iferror(XLOOKUP(C2716,'Download of SFDC Activation Rep'!B:B,'Download of SFDC Activation Rep'!Z:Z),"")</f>
        <v/>
      </c>
      <c r="Q2716" s="86" t="str">
        <f t="shared" si="2"/>
        <v/>
      </c>
      <c r="R2716" s="13" t="str">
        <f t="shared" si="3"/>
        <v>Yes</v>
      </c>
      <c r="S2716" s="86" t="str">
        <f t="array" ref="S2716">iferror(XLOOKUP(C2716,'Download of SFDC Activation Rep'!B:B,'Download of SFDC Activation Rep'!Y:Y),"")</f>
        <v/>
      </c>
    </row>
    <row r="2717">
      <c r="A2717" s="17"/>
      <c r="B2717" s="85"/>
      <c r="C2717" s="17"/>
      <c r="D2717" s="85"/>
      <c r="E2717" s="17"/>
      <c r="F2717" s="17"/>
      <c r="G2717" s="17"/>
      <c r="I2717" s="17"/>
      <c r="K2717" s="17"/>
      <c r="L2717" s="17"/>
      <c r="M2717" s="17"/>
      <c r="O2717" s="14">
        <f t="shared" si="1"/>
        <v>0</v>
      </c>
      <c r="P2717" s="86" t="str">
        <f t="array" ref="P2717">iferror(XLOOKUP(C2717,'Download of SFDC Activation Rep'!B:B,'Download of SFDC Activation Rep'!Z:Z),"")</f>
        <v/>
      </c>
      <c r="Q2717" s="86" t="str">
        <f t="shared" si="2"/>
        <v/>
      </c>
      <c r="R2717" s="13" t="str">
        <f t="shared" si="3"/>
        <v>Yes</v>
      </c>
      <c r="S2717" s="86" t="str">
        <f t="array" ref="S2717">iferror(XLOOKUP(C2717,'Download of SFDC Activation Rep'!B:B,'Download of SFDC Activation Rep'!Y:Y),"")</f>
        <v/>
      </c>
    </row>
    <row r="2718">
      <c r="A2718" s="17"/>
      <c r="B2718" s="85"/>
      <c r="C2718" s="17"/>
      <c r="D2718" s="85"/>
      <c r="E2718" s="17"/>
      <c r="F2718" s="17"/>
      <c r="G2718" s="17"/>
      <c r="I2718" s="17"/>
      <c r="K2718" s="17"/>
      <c r="L2718" s="17"/>
      <c r="M2718" s="17"/>
      <c r="O2718" s="14">
        <f t="shared" si="1"/>
        <v>0</v>
      </c>
      <c r="P2718" s="86" t="str">
        <f t="array" ref="P2718">iferror(XLOOKUP(C2718,'Download of SFDC Activation Rep'!B:B,'Download of SFDC Activation Rep'!Z:Z),"")</f>
        <v/>
      </c>
      <c r="Q2718" s="86" t="str">
        <f t="shared" si="2"/>
        <v/>
      </c>
      <c r="R2718" s="13" t="str">
        <f t="shared" si="3"/>
        <v>Yes</v>
      </c>
      <c r="S2718" s="86" t="str">
        <f t="array" ref="S2718">iferror(XLOOKUP(C2718,'Download of SFDC Activation Rep'!B:B,'Download of SFDC Activation Rep'!Y:Y),"")</f>
        <v/>
      </c>
    </row>
    <row r="2719">
      <c r="A2719" s="17"/>
      <c r="B2719" s="85"/>
      <c r="C2719" s="17"/>
      <c r="D2719" s="85"/>
      <c r="E2719" s="17"/>
      <c r="F2719" s="17"/>
      <c r="G2719" s="17"/>
      <c r="I2719" s="17"/>
      <c r="K2719" s="17"/>
      <c r="L2719" s="17"/>
      <c r="M2719" s="17"/>
      <c r="O2719" s="14">
        <f t="shared" si="1"/>
        <v>0</v>
      </c>
      <c r="P2719" s="86" t="str">
        <f t="array" ref="P2719">iferror(XLOOKUP(C2719,'Download of SFDC Activation Rep'!B:B,'Download of SFDC Activation Rep'!Z:Z),"")</f>
        <v/>
      </c>
      <c r="Q2719" s="86" t="str">
        <f t="shared" si="2"/>
        <v/>
      </c>
      <c r="R2719" s="13" t="str">
        <f t="shared" si="3"/>
        <v>Yes</v>
      </c>
      <c r="S2719" s="86" t="str">
        <f t="array" ref="S2719">iferror(XLOOKUP(C2719,'Download of SFDC Activation Rep'!B:B,'Download of SFDC Activation Rep'!Y:Y),"")</f>
        <v/>
      </c>
    </row>
    <row r="2720">
      <c r="A2720" s="17"/>
      <c r="B2720" s="85"/>
      <c r="C2720" s="17"/>
      <c r="D2720" s="85"/>
      <c r="E2720" s="17"/>
      <c r="F2720" s="17"/>
      <c r="G2720" s="17"/>
      <c r="I2720" s="17"/>
      <c r="K2720" s="17"/>
      <c r="L2720" s="17"/>
      <c r="M2720" s="17"/>
      <c r="O2720" s="14">
        <f t="shared" si="1"/>
        <v>0</v>
      </c>
      <c r="P2720" s="86" t="str">
        <f t="array" ref="P2720">iferror(XLOOKUP(C2720,'Download of SFDC Activation Rep'!B:B,'Download of SFDC Activation Rep'!Z:Z),"")</f>
        <v/>
      </c>
      <c r="Q2720" s="86" t="str">
        <f t="shared" si="2"/>
        <v/>
      </c>
      <c r="R2720" s="13" t="str">
        <f t="shared" si="3"/>
        <v>Yes</v>
      </c>
      <c r="S2720" s="86" t="str">
        <f t="array" ref="S2720">iferror(XLOOKUP(C2720,'Download of SFDC Activation Rep'!B:B,'Download of SFDC Activation Rep'!Y:Y),"")</f>
        <v/>
      </c>
    </row>
    <row r="2721">
      <c r="A2721" s="17"/>
      <c r="B2721" s="85"/>
      <c r="C2721" s="17"/>
      <c r="D2721" s="85"/>
      <c r="E2721" s="17"/>
      <c r="F2721" s="17"/>
      <c r="G2721" s="17"/>
      <c r="I2721" s="17"/>
      <c r="K2721" s="17"/>
      <c r="L2721" s="17"/>
      <c r="M2721" s="17"/>
      <c r="O2721" s="14">
        <f t="shared" si="1"/>
        <v>0</v>
      </c>
      <c r="P2721" s="86" t="str">
        <f t="array" ref="P2721">iferror(XLOOKUP(C2721,'Download of SFDC Activation Rep'!B:B,'Download of SFDC Activation Rep'!Z:Z),"")</f>
        <v/>
      </c>
      <c r="Q2721" s="86" t="str">
        <f t="shared" si="2"/>
        <v/>
      </c>
      <c r="R2721" s="13" t="str">
        <f t="shared" si="3"/>
        <v>Yes</v>
      </c>
      <c r="S2721" s="86" t="str">
        <f t="array" ref="S2721">iferror(XLOOKUP(C2721,'Download of SFDC Activation Rep'!B:B,'Download of SFDC Activation Rep'!Y:Y),"")</f>
        <v/>
      </c>
    </row>
    <row r="2722">
      <c r="A2722" s="17"/>
      <c r="B2722" s="85"/>
      <c r="C2722" s="17"/>
      <c r="D2722" s="85"/>
      <c r="E2722" s="17"/>
      <c r="F2722" s="17"/>
      <c r="G2722" s="17"/>
      <c r="I2722" s="17"/>
      <c r="K2722" s="17"/>
      <c r="L2722" s="17"/>
      <c r="M2722" s="17"/>
      <c r="O2722" s="14">
        <f t="shared" si="1"/>
        <v>0</v>
      </c>
      <c r="P2722" s="86" t="str">
        <f t="array" ref="P2722">iferror(XLOOKUP(C2722,'Download of SFDC Activation Rep'!B:B,'Download of SFDC Activation Rep'!Z:Z),"")</f>
        <v/>
      </c>
      <c r="Q2722" s="86" t="str">
        <f t="shared" si="2"/>
        <v/>
      </c>
      <c r="R2722" s="13" t="str">
        <f t="shared" si="3"/>
        <v>Yes</v>
      </c>
      <c r="S2722" s="86" t="str">
        <f t="array" ref="S2722">iferror(XLOOKUP(C2722,'Download of SFDC Activation Rep'!B:B,'Download of SFDC Activation Rep'!Y:Y),"")</f>
        <v/>
      </c>
    </row>
    <row r="2723">
      <c r="A2723" s="17"/>
      <c r="B2723" s="85"/>
      <c r="C2723" s="17"/>
      <c r="D2723" s="85"/>
      <c r="E2723" s="17"/>
      <c r="F2723" s="17"/>
      <c r="G2723" s="17"/>
      <c r="I2723" s="17"/>
      <c r="K2723" s="17"/>
      <c r="L2723" s="17"/>
      <c r="M2723" s="17"/>
      <c r="O2723" s="14">
        <f t="shared" si="1"/>
        <v>0</v>
      </c>
      <c r="P2723" s="86" t="str">
        <f t="array" ref="P2723">iferror(XLOOKUP(C2723,'Download of SFDC Activation Rep'!B:B,'Download of SFDC Activation Rep'!Z:Z),"")</f>
        <v/>
      </c>
      <c r="Q2723" s="86" t="str">
        <f t="shared" si="2"/>
        <v/>
      </c>
      <c r="R2723" s="13" t="str">
        <f t="shared" si="3"/>
        <v>Yes</v>
      </c>
      <c r="S2723" s="86" t="str">
        <f t="array" ref="S2723">iferror(XLOOKUP(C2723,'Download of SFDC Activation Rep'!B:B,'Download of SFDC Activation Rep'!Y:Y),"")</f>
        <v/>
      </c>
    </row>
    <row r="2724">
      <c r="A2724" s="17"/>
      <c r="B2724" s="85"/>
      <c r="C2724" s="17"/>
      <c r="D2724" s="85"/>
      <c r="E2724" s="17"/>
      <c r="F2724" s="17"/>
      <c r="G2724" s="17"/>
      <c r="I2724" s="17"/>
      <c r="K2724" s="17"/>
      <c r="L2724" s="17"/>
      <c r="M2724" s="17"/>
      <c r="O2724" s="14">
        <f t="shared" si="1"/>
        <v>0</v>
      </c>
      <c r="P2724" s="86" t="str">
        <f t="array" ref="P2724">iferror(XLOOKUP(C2724,'Download of SFDC Activation Rep'!B:B,'Download of SFDC Activation Rep'!Z:Z),"")</f>
        <v/>
      </c>
      <c r="Q2724" s="86" t="str">
        <f t="shared" si="2"/>
        <v/>
      </c>
      <c r="R2724" s="13" t="str">
        <f t="shared" si="3"/>
        <v>Yes</v>
      </c>
      <c r="S2724" s="86" t="str">
        <f t="array" ref="S2724">iferror(XLOOKUP(C2724,'Download of SFDC Activation Rep'!B:B,'Download of SFDC Activation Rep'!Y:Y),"")</f>
        <v/>
      </c>
    </row>
    <row r="2725">
      <c r="A2725" s="17"/>
      <c r="B2725" s="85"/>
      <c r="C2725" s="17"/>
      <c r="D2725" s="85"/>
      <c r="E2725" s="17"/>
      <c r="F2725" s="17"/>
      <c r="G2725" s="17"/>
      <c r="I2725" s="17"/>
      <c r="K2725" s="17"/>
      <c r="L2725" s="17"/>
      <c r="M2725" s="17"/>
      <c r="O2725" s="14">
        <f t="shared" si="1"/>
        <v>0</v>
      </c>
      <c r="P2725" s="86" t="str">
        <f t="array" ref="P2725">iferror(XLOOKUP(C2725,'Download of SFDC Activation Rep'!B:B,'Download of SFDC Activation Rep'!Z:Z),"")</f>
        <v/>
      </c>
      <c r="Q2725" s="86" t="str">
        <f t="shared" si="2"/>
        <v/>
      </c>
      <c r="R2725" s="13" t="str">
        <f t="shared" si="3"/>
        <v>Yes</v>
      </c>
      <c r="S2725" s="86" t="str">
        <f t="array" ref="S2725">iferror(XLOOKUP(C2725,'Download of SFDC Activation Rep'!B:B,'Download of SFDC Activation Rep'!Y:Y),"")</f>
        <v/>
      </c>
    </row>
    <row r="2726">
      <c r="A2726" s="17"/>
      <c r="B2726" s="85"/>
      <c r="C2726" s="17"/>
      <c r="D2726" s="85"/>
      <c r="E2726" s="17"/>
      <c r="F2726" s="17"/>
      <c r="G2726" s="17"/>
      <c r="I2726" s="17"/>
      <c r="K2726" s="17"/>
      <c r="L2726" s="17"/>
      <c r="M2726" s="17"/>
      <c r="O2726" s="14">
        <f t="shared" si="1"/>
        <v>0</v>
      </c>
      <c r="P2726" s="86" t="str">
        <f t="array" ref="P2726">iferror(XLOOKUP(C2726,'Download of SFDC Activation Rep'!B:B,'Download of SFDC Activation Rep'!Z:Z),"")</f>
        <v/>
      </c>
      <c r="Q2726" s="86" t="str">
        <f t="shared" si="2"/>
        <v/>
      </c>
      <c r="R2726" s="13" t="str">
        <f t="shared" si="3"/>
        <v>Yes</v>
      </c>
      <c r="S2726" s="86" t="str">
        <f t="array" ref="S2726">iferror(XLOOKUP(C2726,'Download of SFDC Activation Rep'!B:B,'Download of SFDC Activation Rep'!Y:Y),"")</f>
        <v/>
      </c>
    </row>
    <row r="2727">
      <c r="A2727" s="17"/>
      <c r="B2727" s="85"/>
      <c r="C2727" s="17"/>
      <c r="D2727" s="85"/>
      <c r="E2727" s="17"/>
      <c r="F2727" s="17"/>
      <c r="G2727" s="17"/>
      <c r="I2727" s="17"/>
      <c r="K2727" s="17"/>
      <c r="L2727" s="17"/>
      <c r="M2727" s="17"/>
      <c r="O2727" s="14">
        <f t="shared" si="1"/>
        <v>0</v>
      </c>
      <c r="P2727" s="86" t="str">
        <f t="array" ref="P2727">iferror(XLOOKUP(C2727,'Download of SFDC Activation Rep'!B:B,'Download of SFDC Activation Rep'!Z:Z),"")</f>
        <v/>
      </c>
      <c r="Q2727" s="86" t="str">
        <f t="shared" si="2"/>
        <v/>
      </c>
      <c r="R2727" s="13" t="str">
        <f t="shared" si="3"/>
        <v>Yes</v>
      </c>
      <c r="S2727" s="86" t="str">
        <f t="array" ref="S2727">iferror(XLOOKUP(C2727,'Download of SFDC Activation Rep'!B:B,'Download of SFDC Activation Rep'!Y:Y),"")</f>
        <v/>
      </c>
    </row>
    <row r="2728">
      <c r="A2728" s="17"/>
      <c r="B2728" s="85"/>
      <c r="C2728" s="17"/>
      <c r="D2728" s="85"/>
      <c r="E2728" s="17"/>
      <c r="F2728" s="17"/>
      <c r="G2728" s="17"/>
      <c r="I2728" s="17"/>
      <c r="K2728" s="17"/>
      <c r="L2728" s="17"/>
      <c r="M2728" s="17"/>
      <c r="O2728" s="14">
        <f t="shared" si="1"/>
        <v>0</v>
      </c>
      <c r="P2728" s="86" t="str">
        <f t="array" ref="P2728">iferror(XLOOKUP(C2728,'Download of SFDC Activation Rep'!B:B,'Download of SFDC Activation Rep'!Z:Z),"")</f>
        <v/>
      </c>
      <c r="Q2728" s="86" t="str">
        <f t="shared" si="2"/>
        <v/>
      </c>
      <c r="R2728" s="13" t="str">
        <f t="shared" si="3"/>
        <v>Yes</v>
      </c>
      <c r="S2728" s="86" t="str">
        <f t="array" ref="S2728">iferror(XLOOKUP(C2728,'Download of SFDC Activation Rep'!B:B,'Download of SFDC Activation Rep'!Y:Y),"")</f>
        <v/>
      </c>
    </row>
    <row r="2729">
      <c r="A2729" s="17"/>
      <c r="B2729" s="85"/>
      <c r="C2729" s="17"/>
      <c r="D2729" s="85"/>
      <c r="E2729" s="17"/>
      <c r="F2729" s="17"/>
      <c r="G2729" s="17"/>
      <c r="I2729" s="17"/>
      <c r="K2729" s="17"/>
      <c r="L2729" s="17"/>
      <c r="M2729" s="17"/>
      <c r="O2729" s="14">
        <f t="shared" si="1"/>
        <v>0</v>
      </c>
      <c r="P2729" s="86" t="str">
        <f t="array" ref="P2729">iferror(XLOOKUP(C2729,'Download of SFDC Activation Rep'!B:B,'Download of SFDC Activation Rep'!Z:Z),"")</f>
        <v/>
      </c>
      <c r="Q2729" s="86" t="str">
        <f t="shared" si="2"/>
        <v/>
      </c>
      <c r="R2729" s="13" t="str">
        <f t="shared" si="3"/>
        <v>Yes</v>
      </c>
      <c r="S2729" s="86" t="str">
        <f t="array" ref="S2729">iferror(XLOOKUP(C2729,'Download of SFDC Activation Rep'!B:B,'Download of SFDC Activation Rep'!Y:Y),"")</f>
        <v/>
      </c>
    </row>
    <row r="2730">
      <c r="A2730" s="17"/>
      <c r="B2730" s="85"/>
      <c r="C2730" s="17"/>
      <c r="D2730" s="85"/>
      <c r="E2730" s="17"/>
      <c r="F2730" s="17"/>
      <c r="G2730" s="17"/>
      <c r="I2730" s="17"/>
      <c r="K2730" s="17"/>
      <c r="L2730" s="17"/>
      <c r="M2730" s="17"/>
      <c r="O2730" s="14">
        <f t="shared" si="1"/>
        <v>0</v>
      </c>
      <c r="P2730" s="86" t="str">
        <f t="array" ref="P2730">iferror(XLOOKUP(C2730,'Download of SFDC Activation Rep'!B:B,'Download of SFDC Activation Rep'!Z:Z),"")</f>
        <v/>
      </c>
      <c r="Q2730" s="86" t="str">
        <f t="shared" si="2"/>
        <v/>
      </c>
      <c r="R2730" s="13" t="str">
        <f t="shared" si="3"/>
        <v>Yes</v>
      </c>
      <c r="S2730" s="86" t="str">
        <f t="array" ref="S2730">iferror(XLOOKUP(C2730,'Download of SFDC Activation Rep'!B:B,'Download of SFDC Activation Rep'!Y:Y),"")</f>
        <v/>
      </c>
    </row>
    <row r="2731">
      <c r="A2731" s="17"/>
      <c r="B2731" s="85"/>
      <c r="C2731" s="17"/>
      <c r="D2731" s="85"/>
      <c r="E2731" s="17"/>
      <c r="F2731" s="17"/>
      <c r="G2731" s="17"/>
      <c r="I2731" s="17"/>
      <c r="K2731" s="17"/>
      <c r="L2731" s="17"/>
      <c r="M2731" s="17"/>
      <c r="O2731" s="14">
        <f t="shared" si="1"/>
        <v>0</v>
      </c>
      <c r="P2731" s="86" t="str">
        <f t="array" ref="P2731">iferror(XLOOKUP(C2731,'Download of SFDC Activation Rep'!B:B,'Download of SFDC Activation Rep'!Z:Z),"")</f>
        <v/>
      </c>
      <c r="Q2731" s="86" t="str">
        <f t="shared" si="2"/>
        <v/>
      </c>
      <c r="R2731" s="13" t="str">
        <f t="shared" si="3"/>
        <v>Yes</v>
      </c>
      <c r="S2731" s="86" t="str">
        <f t="array" ref="S2731">iferror(XLOOKUP(C2731,'Download of SFDC Activation Rep'!B:B,'Download of SFDC Activation Rep'!Y:Y),"")</f>
        <v/>
      </c>
    </row>
    <row r="2732">
      <c r="A2732" s="17"/>
      <c r="B2732" s="85"/>
      <c r="C2732" s="17"/>
      <c r="D2732" s="85"/>
      <c r="E2732" s="17"/>
      <c r="F2732" s="17"/>
      <c r="G2732" s="17"/>
      <c r="I2732" s="17"/>
      <c r="K2732" s="17"/>
      <c r="L2732" s="17"/>
      <c r="M2732" s="17"/>
      <c r="O2732" s="14">
        <f t="shared" si="1"/>
        <v>0</v>
      </c>
      <c r="P2732" s="86" t="str">
        <f t="array" ref="P2732">iferror(XLOOKUP(C2732,'Download of SFDC Activation Rep'!B:B,'Download of SFDC Activation Rep'!Z:Z),"")</f>
        <v/>
      </c>
      <c r="Q2732" s="86" t="str">
        <f t="shared" si="2"/>
        <v/>
      </c>
      <c r="R2732" s="13" t="str">
        <f t="shared" si="3"/>
        <v>Yes</v>
      </c>
      <c r="S2732" s="86" t="str">
        <f t="array" ref="S2732">iferror(XLOOKUP(C2732,'Download of SFDC Activation Rep'!B:B,'Download of SFDC Activation Rep'!Y:Y),"")</f>
        <v/>
      </c>
    </row>
    <row r="2733">
      <c r="A2733" s="17"/>
      <c r="B2733" s="85"/>
      <c r="C2733" s="17"/>
      <c r="D2733" s="85"/>
      <c r="E2733" s="17"/>
      <c r="F2733" s="17"/>
      <c r="G2733" s="17"/>
      <c r="I2733" s="17"/>
      <c r="K2733" s="17"/>
      <c r="L2733" s="17"/>
      <c r="M2733" s="17"/>
      <c r="O2733" s="14">
        <f t="shared" si="1"/>
        <v>0</v>
      </c>
      <c r="P2733" s="86" t="str">
        <f t="array" ref="P2733">iferror(XLOOKUP(C2733,'Download of SFDC Activation Rep'!B:B,'Download of SFDC Activation Rep'!Z:Z),"")</f>
        <v/>
      </c>
      <c r="Q2733" s="86" t="str">
        <f t="shared" si="2"/>
        <v/>
      </c>
      <c r="R2733" s="13" t="str">
        <f t="shared" si="3"/>
        <v>Yes</v>
      </c>
      <c r="S2733" s="86" t="str">
        <f t="array" ref="S2733">iferror(XLOOKUP(C2733,'Download of SFDC Activation Rep'!B:B,'Download of SFDC Activation Rep'!Y:Y),"")</f>
        <v/>
      </c>
    </row>
    <row r="2734">
      <c r="A2734" s="17"/>
      <c r="B2734" s="85"/>
      <c r="C2734" s="17"/>
      <c r="D2734" s="85"/>
      <c r="E2734" s="17"/>
      <c r="F2734" s="17"/>
      <c r="G2734" s="17"/>
      <c r="I2734" s="17"/>
      <c r="K2734" s="17"/>
      <c r="L2734" s="17"/>
      <c r="M2734" s="17"/>
      <c r="O2734" s="14">
        <f t="shared" si="1"/>
        <v>0</v>
      </c>
      <c r="P2734" s="86" t="str">
        <f t="array" ref="P2734">iferror(XLOOKUP(C2734,'Download of SFDC Activation Rep'!B:B,'Download of SFDC Activation Rep'!Z:Z),"")</f>
        <v/>
      </c>
      <c r="Q2734" s="86" t="str">
        <f t="shared" si="2"/>
        <v/>
      </c>
      <c r="R2734" s="13" t="str">
        <f t="shared" si="3"/>
        <v>Yes</v>
      </c>
      <c r="S2734" s="86" t="str">
        <f t="array" ref="S2734">iferror(XLOOKUP(C2734,'Download of SFDC Activation Rep'!B:B,'Download of SFDC Activation Rep'!Y:Y),"")</f>
        <v/>
      </c>
    </row>
    <row r="2735">
      <c r="A2735" s="17"/>
      <c r="B2735" s="85"/>
      <c r="C2735" s="17"/>
      <c r="D2735" s="85"/>
      <c r="E2735" s="17"/>
      <c r="F2735" s="17"/>
      <c r="G2735" s="17"/>
      <c r="I2735" s="17"/>
      <c r="K2735" s="17"/>
      <c r="L2735" s="17"/>
      <c r="M2735" s="17"/>
      <c r="O2735" s="14">
        <f t="shared" si="1"/>
        <v>0</v>
      </c>
      <c r="P2735" s="86" t="str">
        <f t="array" ref="P2735">iferror(XLOOKUP(C2735,'Download of SFDC Activation Rep'!B:B,'Download of SFDC Activation Rep'!Z:Z),"")</f>
        <v/>
      </c>
      <c r="Q2735" s="86" t="str">
        <f t="shared" si="2"/>
        <v/>
      </c>
      <c r="R2735" s="13" t="str">
        <f t="shared" si="3"/>
        <v>Yes</v>
      </c>
      <c r="S2735" s="86" t="str">
        <f t="array" ref="S2735">iferror(XLOOKUP(C2735,'Download of SFDC Activation Rep'!B:B,'Download of SFDC Activation Rep'!Y:Y),"")</f>
        <v/>
      </c>
    </row>
    <row r="2736">
      <c r="A2736" s="17"/>
      <c r="B2736" s="85"/>
      <c r="C2736" s="17"/>
      <c r="D2736" s="85"/>
      <c r="E2736" s="17"/>
      <c r="F2736" s="17"/>
      <c r="G2736" s="17"/>
      <c r="I2736" s="17"/>
      <c r="K2736" s="17"/>
      <c r="L2736" s="17"/>
      <c r="M2736" s="17"/>
      <c r="O2736" s="14">
        <f t="shared" si="1"/>
        <v>0</v>
      </c>
      <c r="P2736" s="86" t="str">
        <f t="array" ref="P2736">iferror(XLOOKUP(C2736,'Download of SFDC Activation Rep'!B:B,'Download of SFDC Activation Rep'!Z:Z),"")</f>
        <v/>
      </c>
      <c r="Q2736" s="86" t="str">
        <f t="shared" si="2"/>
        <v/>
      </c>
      <c r="R2736" s="13" t="str">
        <f t="shared" si="3"/>
        <v>Yes</v>
      </c>
      <c r="S2736" s="86" t="str">
        <f t="array" ref="S2736">iferror(XLOOKUP(C2736,'Download of SFDC Activation Rep'!B:B,'Download of SFDC Activation Rep'!Y:Y),"")</f>
        <v/>
      </c>
    </row>
    <row r="2737">
      <c r="A2737" s="17"/>
      <c r="B2737" s="85"/>
      <c r="C2737" s="17"/>
      <c r="D2737" s="85"/>
      <c r="E2737" s="17"/>
      <c r="F2737" s="17"/>
      <c r="G2737" s="17"/>
      <c r="I2737" s="17"/>
      <c r="K2737" s="17"/>
      <c r="L2737" s="17"/>
      <c r="M2737" s="17"/>
      <c r="O2737" s="14">
        <f t="shared" si="1"/>
        <v>0</v>
      </c>
      <c r="P2737" s="86" t="str">
        <f t="array" ref="P2737">iferror(XLOOKUP(C2737,'Download of SFDC Activation Rep'!B:B,'Download of SFDC Activation Rep'!Z:Z),"")</f>
        <v/>
      </c>
      <c r="Q2737" s="86" t="str">
        <f t="shared" si="2"/>
        <v/>
      </c>
      <c r="R2737" s="13" t="str">
        <f t="shared" si="3"/>
        <v>Yes</v>
      </c>
      <c r="S2737" s="86" t="str">
        <f t="array" ref="S2737">iferror(XLOOKUP(C2737,'Download of SFDC Activation Rep'!B:B,'Download of SFDC Activation Rep'!Y:Y),"")</f>
        <v/>
      </c>
    </row>
    <row r="2738">
      <c r="A2738" s="17"/>
      <c r="B2738" s="85"/>
      <c r="C2738" s="17"/>
      <c r="D2738" s="85"/>
      <c r="E2738" s="17"/>
      <c r="F2738" s="17"/>
      <c r="G2738" s="17"/>
      <c r="I2738" s="17"/>
      <c r="K2738" s="17"/>
      <c r="L2738" s="17"/>
      <c r="M2738" s="17"/>
      <c r="O2738" s="14">
        <f t="shared" si="1"/>
        <v>0</v>
      </c>
      <c r="P2738" s="86" t="str">
        <f t="array" ref="P2738">iferror(XLOOKUP(C2738,'Download of SFDC Activation Rep'!B:B,'Download of SFDC Activation Rep'!Z:Z),"")</f>
        <v/>
      </c>
      <c r="Q2738" s="86" t="str">
        <f t="shared" si="2"/>
        <v/>
      </c>
      <c r="R2738" s="13" t="str">
        <f t="shared" si="3"/>
        <v>Yes</v>
      </c>
      <c r="S2738" s="86" t="str">
        <f t="array" ref="S2738">iferror(XLOOKUP(C2738,'Download of SFDC Activation Rep'!B:B,'Download of SFDC Activation Rep'!Y:Y),"")</f>
        <v/>
      </c>
    </row>
    <row r="2739">
      <c r="A2739" s="17"/>
      <c r="B2739" s="85"/>
      <c r="C2739" s="17"/>
      <c r="D2739" s="85"/>
      <c r="E2739" s="17"/>
      <c r="F2739" s="17"/>
      <c r="G2739" s="17"/>
      <c r="I2739" s="17"/>
      <c r="K2739" s="17"/>
      <c r="L2739" s="17"/>
      <c r="M2739" s="17"/>
      <c r="O2739" s="14">
        <f t="shared" si="1"/>
        <v>0</v>
      </c>
      <c r="P2739" s="86" t="str">
        <f t="array" ref="P2739">iferror(XLOOKUP(C2739,'Download of SFDC Activation Rep'!B:B,'Download of SFDC Activation Rep'!Z:Z),"")</f>
        <v/>
      </c>
      <c r="Q2739" s="86" t="str">
        <f t="shared" si="2"/>
        <v/>
      </c>
      <c r="R2739" s="13" t="str">
        <f t="shared" si="3"/>
        <v>Yes</v>
      </c>
      <c r="S2739" s="86" t="str">
        <f t="array" ref="S2739">iferror(XLOOKUP(C2739,'Download of SFDC Activation Rep'!B:B,'Download of SFDC Activation Rep'!Y:Y),"")</f>
        <v/>
      </c>
    </row>
    <row r="2740">
      <c r="A2740" s="17"/>
      <c r="B2740" s="85"/>
      <c r="C2740" s="17"/>
      <c r="D2740" s="85"/>
      <c r="E2740" s="17"/>
      <c r="F2740" s="17"/>
      <c r="G2740" s="17"/>
      <c r="I2740" s="17"/>
      <c r="K2740" s="17"/>
      <c r="L2740" s="17"/>
      <c r="M2740" s="17"/>
      <c r="O2740" s="14">
        <f t="shared" si="1"/>
        <v>0</v>
      </c>
      <c r="P2740" s="86" t="str">
        <f t="array" ref="P2740">iferror(XLOOKUP(C2740,'Download of SFDC Activation Rep'!B:B,'Download of SFDC Activation Rep'!Z:Z),"")</f>
        <v/>
      </c>
      <c r="Q2740" s="86" t="str">
        <f t="shared" si="2"/>
        <v/>
      </c>
      <c r="R2740" s="13" t="str">
        <f t="shared" si="3"/>
        <v>Yes</v>
      </c>
      <c r="S2740" s="86" t="str">
        <f t="array" ref="S2740">iferror(XLOOKUP(C2740,'Download of SFDC Activation Rep'!B:B,'Download of SFDC Activation Rep'!Y:Y),"")</f>
        <v/>
      </c>
    </row>
    <row r="2741">
      <c r="A2741" s="17"/>
      <c r="B2741" s="85"/>
      <c r="C2741" s="17"/>
      <c r="D2741" s="85"/>
      <c r="E2741" s="17"/>
      <c r="F2741" s="17"/>
      <c r="G2741" s="17"/>
      <c r="I2741" s="17"/>
      <c r="K2741" s="17"/>
      <c r="L2741" s="17"/>
      <c r="M2741" s="17"/>
      <c r="O2741" s="14">
        <f t="shared" si="1"/>
        <v>0</v>
      </c>
      <c r="P2741" s="86" t="str">
        <f t="array" ref="P2741">iferror(XLOOKUP(C2741,'Download of SFDC Activation Rep'!B:B,'Download of SFDC Activation Rep'!Z:Z),"")</f>
        <v/>
      </c>
      <c r="Q2741" s="86" t="str">
        <f t="shared" si="2"/>
        <v/>
      </c>
      <c r="R2741" s="13" t="str">
        <f t="shared" si="3"/>
        <v>Yes</v>
      </c>
      <c r="S2741" s="86" t="str">
        <f t="array" ref="S2741">iferror(XLOOKUP(C2741,'Download of SFDC Activation Rep'!B:B,'Download of SFDC Activation Rep'!Y:Y),"")</f>
        <v/>
      </c>
    </row>
    <row r="2742">
      <c r="A2742" s="17"/>
      <c r="B2742" s="85"/>
      <c r="C2742" s="17"/>
      <c r="D2742" s="85"/>
      <c r="E2742" s="17"/>
      <c r="F2742" s="17"/>
      <c r="G2742" s="17"/>
      <c r="I2742" s="17"/>
      <c r="K2742" s="17"/>
      <c r="L2742" s="17"/>
      <c r="M2742" s="17"/>
      <c r="O2742" s="14">
        <f t="shared" si="1"/>
        <v>0</v>
      </c>
      <c r="P2742" s="86" t="str">
        <f t="array" ref="P2742">iferror(XLOOKUP(C2742,'Download of SFDC Activation Rep'!B:B,'Download of SFDC Activation Rep'!Z:Z),"")</f>
        <v/>
      </c>
      <c r="Q2742" s="86" t="str">
        <f t="shared" si="2"/>
        <v/>
      </c>
      <c r="R2742" s="13" t="str">
        <f t="shared" si="3"/>
        <v>Yes</v>
      </c>
      <c r="S2742" s="86" t="str">
        <f t="array" ref="S2742">iferror(XLOOKUP(C2742,'Download of SFDC Activation Rep'!B:B,'Download of SFDC Activation Rep'!Y:Y),"")</f>
        <v/>
      </c>
    </row>
    <row r="2743">
      <c r="A2743" s="17"/>
      <c r="B2743" s="85"/>
      <c r="C2743" s="17"/>
      <c r="D2743" s="85"/>
      <c r="E2743" s="17"/>
      <c r="F2743" s="17"/>
      <c r="G2743" s="17"/>
      <c r="I2743" s="17"/>
      <c r="K2743" s="17"/>
      <c r="L2743" s="17"/>
      <c r="M2743" s="17"/>
      <c r="O2743" s="14">
        <f t="shared" si="1"/>
        <v>0</v>
      </c>
      <c r="P2743" s="86" t="str">
        <f t="array" ref="P2743">iferror(XLOOKUP(C2743,'Download of SFDC Activation Rep'!B:B,'Download of SFDC Activation Rep'!Z:Z),"")</f>
        <v/>
      </c>
      <c r="Q2743" s="86" t="str">
        <f t="shared" si="2"/>
        <v/>
      </c>
      <c r="R2743" s="13" t="str">
        <f t="shared" si="3"/>
        <v>Yes</v>
      </c>
      <c r="S2743" s="86" t="str">
        <f t="array" ref="S2743">iferror(XLOOKUP(C2743,'Download of SFDC Activation Rep'!B:B,'Download of SFDC Activation Rep'!Y:Y),"")</f>
        <v/>
      </c>
    </row>
    <row r="2744">
      <c r="A2744" s="17"/>
      <c r="B2744" s="85"/>
      <c r="C2744" s="17"/>
      <c r="D2744" s="85"/>
      <c r="E2744" s="17"/>
      <c r="F2744" s="17"/>
      <c r="G2744" s="17"/>
      <c r="I2744" s="17"/>
      <c r="K2744" s="17"/>
      <c r="L2744" s="17"/>
      <c r="M2744" s="17"/>
      <c r="O2744" s="14">
        <f t="shared" si="1"/>
        <v>0</v>
      </c>
      <c r="P2744" s="86" t="str">
        <f t="array" ref="P2744">iferror(XLOOKUP(C2744,'Download of SFDC Activation Rep'!B:B,'Download of SFDC Activation Rep'!Z:Z),"")</f>
        <v/>
      </c>
      <c r="Q2744" s="86" t="str">
        <f t="shared" si="2"/>
        <v/>
      </c>
      <c r="R2744" s="13" t="str">
        <f t="shared" si="3"/>
        <v>Yes</v>
      </c>
      <c r="S2744" s="86" t="str">
        <f t="array" ref="S2744">iferror(XLOOKUP(C2744,'Download of SFDC Activation Rep'!B:B,'Download of SFDC Activation Rep'!Y:Y),"")</f>
        <v/>
      </c>
    </row>
    <row r="2745">
      <c r="A2745" s="17"/>
      <c r="B2745" s="85"/>
      <c r="C2745" s="17"/>
      <c r="D2745" s="85"/>
      <c r="E2745" s="17"/>
      <c r="F2745" s="17"/>
      <c r="G2745" s="17"/>
      <c r="I2745" s="17"/>
      <c r="K2745" s="17"/>
      <c r="L2745" s="17"/>
      <c r="M2745" s="17"/>
      <c r="O2745" s="14">
        <f t="shared" si="1"/>
        <v>0</v>
      </c>
      <c r="P2745" s="86" t="str">
        <f t="array" ref="P2745">iferror(XLOOKUP(C2745,'Download of SFDC Activation Rep'!B:B,'Download of SFDC Activation Rep'!Z:Z),"")</f>
        <v/>
      </c>
      <c r="Q2745" s="86" t="str">
        <f t="shared" si="2"/>
        <v/>
      </c>
      <c r="R2745" s="13" t="str">
        <f t="shared" si="3"/>
        <v>Yes</v>
      </c>
      <c r="S2745" s="86" t="str">
        <f t="array" ref="S2745">iferror(XLOOKUP(C2745,'Download of SFDC Activation Rep'!B:B,'Download of SFDC Activation Rep'!Y:Y),"")</f>
        <v/>
      </c>
    </row>
    <row r="2746">
      <c r="A2746" s="17"/>
      <c r="B2746" s="85"/>
      <c r="C2746" s="17"/>
      <c r="D2746" s="85"/>
      <c r="E2746" s="17"/>
      <c r="F2746" s="17"/>
      <c r="G2746" s="17"/>
      <c r="I2746" s="17"/>
      <c r="K2746" s="17"/>
      <c r="L2746" s="17"/>
      <c r="M2746" s="17"/>
      <c r="O2746" s="14">
        <f t="shared" si="1"/>
        <v>0</v>
      </c>
      <c r="P2746" s="86" t="str">
        <f t="array" ref="P2746">iferror(XLOOKUP(C2746,'Download of SFDC Activation Rep'!B:B,'Download of SFDC Activation Rep'!Z:Z),"")</f>
        <v/>
      </c>
      <c r="Q2746" s="86" t="str">
        <f t="shared" si="2"/>
        <v/>
      </c>
      <c r="R2746" s="13" t="str">
        <f t="shared" si="3"/>
        <v>Yes</v>
      </c>
      <c r="S2746" s="86" t="str">
        <f t="array" ref="S2746">iferror(XLOOKUP(C2746,'Download of SFDC Activation Rep'!B:B,'Download of SFDC Activation Rep'!Y:Y),"")</f>
        <v/>
      </c>
    </row>
    <row r="2747">
      <c r="A2747" s="17"/>
      <c r="B2747" s="85"/>
      <c r="C2747" s="17"/>
      <c r="D2747" s="85"/>
      <c r="E2747" s="17"/>
      <c r="F2747" s="17"/>
      <c r="G2747" s="17"/>
      <c r="I2747" s="17"/>
      <c r="K2747" s="17"/>
      <c r="L2747" s="17"/>
      <c r="M2747" s="17"/>
      <c r="O2747" s="14">
        <f t="shared" si="1"/>
        <v>0</v>
      </c>
      <c r="P2747" s="86" t="str">
        <f t="array" ref="P2747">iferror(XLOOKUP(C2747,'Download of SFDC Activation Rep'!B:B,'Download of SFDC Activation Rep'!Z:Z),"")</f>
        <v/>
      </c>
      <c r="Q2747" s="86" t="str">
        <f t="shared" si="2"/>
        <v/>
      </c>
      <c r="R2747" s="13" t="str">
        <f t="shared" si="3"/>
        <v>Yes</v>
      </c>
      <c r="S2747" s="86" t="str">
        <f t="array" ref="S2747">iferror(XLOOKUP(C2747,'Download of SFDC Activation Rep'!B:B,'Download of SFDC Activation Rep'!Y:Y),"")</f>
        <v/>
      </c>
    </row>
    <row r="2748">
      <c r="A2748" s="17"/>
      <c r="B2748" s="85"/>
      <c r="C2748" s="17"/>
      <c r="D2748" s="85"/>
      <c r="E2748" s="17"/>
      <c r="F2748" s="17"/>
      <c r="G2748" s="17"/>
      <c r="I2748" s="17"/>
      <c r="K2748" s="17"/>
      <c r="L2748" s="17"/>
      <c r="M2748" s="17"/>
      <c r="O2748" s="14">
        <f t="shared" si="1"/>
        <v>0</v>
      </c>
      <c r="P2748" s="86" t="str">
        <f t="array" ref="P2748">iferror(XLOOKUP(C2748,'Download of SFDC Activation Rep'!B:B,'Download of SFDC Activation Rep'!Z:Z),"")</f>
        <v/>
      </c>
      <c r="Q2748" s="86" t="str">
        <f t="shared" si="2"/>
        <v/>
      </c>
      <c r="R2748" s="13" t="str">
        <f t="shared" si="3"/>
        <v>Yes</v>
      </c>
      <c r="S2748" s="86" t="str">
        <f t="array" ref="S2748">iferror(XLOOKUP(C2748,'Download of SFDC Activation Rep'!B:B,'Download of SFDC Activation Rep'!Y:Y),"")</f>
        <v/>
      </c>
    </row>
    <row r="2749">
      <c r="A2749" s="17"/>
      <c r="B2749" s="85"/>
      <c r="C2749" s="17"/>
      <c r="D2749" s="85"/>
      <c r="E2749" s="17"/>
      <c r="F2749" s="17"/>
      <c r="G2749" s="17"/>
      <c r="I2749" s="17"/>
      <c r="K2749" s="17"/>
      <c r="L2749" s="17"/>
      <c r="M2749" s="17"/>
      <c r="O2749" s="14">
        <f t="shared" si="1"/>
        <v>0</v>
      </c>
      <c r="P2749" s="86" t="str">
        <f t="array" ref="P2749">iferror(XLOOKUP(C2749,'Download of SFDC Activation Rep'!B:B,'Download of SFDC Activation Rep'!Z:Z),"")</f>
        <v/>
      </c>
      <c r="Q2749" s="86" t="str">
        <f t="shared" si="2"/>
        <v/>
      </c>
      <c r="R2749" s="13" t="str">
        <f t="shared" si="3"/>
        <v>Yes</v>
      </c>
      <c r="S2749" s="86" t="str">
        <f t="array" ref="S2749">iferror(XLOOKUP(C2749,'Download of SFDC Activation Rep'!B:B,'Download of SFDC Activation Rep'!Y:Y),"")</f>
        <v/>
      </c>
    </row>
    <row r="2750">
      <c r="A2750" s="17"/>
      <c r="B2750" s="85"/>
      <c r="C2750" s="17"/>
      <c r="D2750" s="85"/>
      <c r="E2750" s="17"/>
      <c r="F2750" s="17"/>
      <c r="G2750" s="17"/>
      <c r="I2750" s="17"/>
      <c r="K2750" s="17"/>
      <c r="L2750" s="17"/>
      <c r="M2750" s="17"/>
      <c r="O2750" s="14">
        <f t="shared" si="1"/>
        <v>0</v>
      </c>
      <c r="P2750" s="86" t="str">
        <f t="array" ref="P2750">iferror(XLOOKUP(C2750,'Download of SFDC Activation Rep'!B:B,'Download of SFDC Activation Rep'!Z:Z),"")</f>
        <v/>
      </c>
      <c r="Q2750" s="86" t="str">
        <f t="shared" si="2"/>
        <v/>
      </c>
      <c r="R2750" s="13" t="str">
        <f t="shared" si="3"/>
        <v>Yes</v>
      </c>
      <c r="S2750" s="86" t="str">
        <f t="array" ref="S2750">iferror(XLOOKUP(C2750,'Download of SFDC Activation Rep'!B:B,'Download of SFDC Activation Rep'!Y:Y),"")</f>
        <v/>
      </c>
    </row>
    <row r="2751">
      <c r="A2751" s="17"/>
      <c r="B2751" s="85"/>
      <c r="C2751" s="17"/>
      <c r="D2751" s="85"/>
      <c r="E2751" s="17"/>
      <c r="F2751" s="17"/>
      <c r="G2751" s="17"/>
      <c r="I2751" s="17"/>
      <c r="K2751" s="17"/>
      <c r="L2751" s="17"/>
      <c r="M2751" s="17"/>
      <c r="O2751" s="14">
        <f t="shared" si="1"/>
        <v>0</v>
      </c>
      <c r="P2751" s="86" t="str">
        <f t="array" ref="P2751">iferror(XLOOKUP(C2751,'Download of SFDC Activation Rep'!B:B,'Download of SFDC Activation Rep'!Z:Z),"")</f>
        <v/>
      </c>
      <c r="Q2751" s="86" t="str">
        <f t="shared" si="2"/>
        <v/>
      </c>
      <c r="R2751" s="13" t="str">
        <f t="shared" si="3"/>
        <v>Yes</v>
      </c>
      <c r="S2751" s="86" t="str">
        <f t="array" ref="S2751">iferror(XLOOKUP(C2751,'Download of SFDC Activation Rep'!B:B,'Download of SFDC Activation Rep'!Y:Y),"")</f>
        <v/>
      </c>
    </row>
    <row r="2752">
      <c r="A2752" s="17"/>
      <c r="B2752" s="85"/>
      <c r="C2752" s="17"/>
      <c r="D2752" s="85"/>
      <c r="E2752" s="17"/>
      <c r="F2752" s="17"/>
      <c r="G2752" s="17"/>
      <c r="I2752" s="17"/>
      <c r="K2752" s="17"/>
      <c r="L2752" s="17"/>
      <c r="M2752" s="17"/>
      <c r="O2752" s="14">
        <f t="shared" si="1"/>
        <v>0</v>
      </c>
      <c r="P2752" s="86" t="str">
        <f t="array" ref="P2752">iferror(XLOOKUP(C2752,'Download of SFDC Activation Rep'!B:B,'Download of SFDC Activation Rep'!Z:Z),"")</f>
        <v/>
      </c>
      <c r="Q2752" s="86" t="str">
        <f t="shared" si="2"/>
        <v/>
      </c>
      <c r="R2752" s="13" t="str">
        <f t="shared" si="3"/>
        <v>Yes</v>
      </c>
      <c r="S2752" s="86" t="str">
        <f t="array" ref="S2752">iferror(XLOOKUP(C2752,'Download of SFDC Activation Rep'!B:B,'Download of SFDC Activation Rep'!Y:Y),"")</f>
        <v/>
      </c>
    </row>
    <row r="2753">
      <c r="A2753" s="17"/>
      <c r="B2753" s="85"/>
      <c r="C2753" s="17"/>
      <c r="D2753" s="85"/>
      <c r="E2753" s="17"/>
      <c r="F2753" s="17"/>
      <c r="G2753" s="17"/>
      <c r="I2753" s="17"/>
      <c r="K2753" s="17"/>
      <c r="L2753" s="17"/>
      <c r="M2753" s="17"/>
      <c r="O2753" s="14">
        <f t="shared" si="1"/>
        <v>0</v>
      </c>
      <c r="P2753" s="86" t="str">
        <f t="array" ref="P2753">iferror(XLOOKUP(C2753,'Download of SFDC Activation Rep'!B:B,'Download of SFDC Activation Rep'!Z:Z),"")</f>
        <v/>
      </c>
      <c r="Q2753" s="86" t="str">
        <f t="shared" si="2"/>
        <v/>
      </c>
      <c r="R2753" s="13" t="str">
        <f t="shared" si="3"/>
        <v>Yes</v>
      </c>
      <c r="S2753" s="86" t="str">
        <f t="array" ref="S2753">iferror(XLOOKUP(C2753,'Download of SFDC Activation Rep'!B:B,'Download of SFDC Activation Rep'!Y:Y),"")</f>
        <v/>
      </c>
    </row>
    <row r="2754">
      <c r="A2754" s="17"/>
      <c r="B2754" s="85"/>
      <c r="C2754" s="17"/>
      <c r="D2754" s="85"/>
      <c r="E2754" s="17"/>
      <c r="F2754" s="17"/>
      <c r="G2754" s="17"/>
      <c r="I2754" s="17"/>
      <c r="K2754" s="17"/>
      <c r="L2754" s="17"/>
      <c r="M2754" s="17"/>
      <c r="O2754" s="14">
        <f t="shared" si="1"/>
        <v>0</v>
      </c>
      <c r="P2754" s="86" t="str">
        <f t="array" ref="P2754">iferror(XLOOKUP(C2754,'Download of SFDC Activation Rep'!B:B,'Download of SFDC Activation Rep'!Z:Z),"")</f>
        <v/>
      </c>
      <c r="Q2754" s="86" t="str">
        <f t="shared" si="2"/>
        <v/>
      </c>
      <c r="R2754" s="13" t="str">
        <f t="shared" si="3"/>
        <v>Yes</v>
      </c>
      <c r="S2754" s="86" t="str">
        <f t="array" ref="S2754">iferror(XLOOKUP(C2754,'Download of SFDC Activation Rep'!B:B,'Download of SFDC Activation Rep'!Y:Y),"")</f>
        <v/>
      </c>
    </row>
    <row r="2755">
      <c r="A2755" s="17"/>
      <c r="B2755" s="85"/>
      <c r="C2755" s="17"/>
      <c r="D2755" s="85"/>
      <c r="E2755" s="17"/>
      <c r="F2755" s="17"/>
      <c r="G2755" s="17"/>
      <c r="I2755" s="17"/>
      <c r="K2755" s="17"/>
      <c r="L2755" s="17"/>
      <c r="M2755" s="17"/>
      <c r="O2755" s="14">
        <f t="shared" si="1"/>
        <v>0</v>
      </c>
      <c r="P2755" s="86" t="str">
        <f t="array" ref="P2755">iferror(XLOOKUP(C2755,'Download of SFDC Activation Rep'!B:B,'Download of SFDC Activation Rep'!Z:Z),"")</f>
        <v/>
      </c>
      <c r="Q2755" s="86" t="str">
        <f t="shared" si="2"/>
        <v/>
      </c>
      <c r="R2755" s="13" t="str">
        <f t="shared" si="3"/>
        <v>Yes</v>
      </c>
      <c r="S2755" s="86" t="str">
        <f t="array" ref="S2755">iferror(XLOOKUP(C2755,'Download of SFDC Activation Rep'!B:B,'Download of SFDC Activation Rep'!Y:Y),"")</f>
        <v/>
      </c>
    </row>
    <row r="2756">
      <c r="A2756" s="17"/>
      <c r="B2756" s="85"/>
      <c r="C2756" s="17"/>
      <c r="D2756" s="85"/>
      <c r="E2756" s="17"/>
      <c r="F2756" s="17"/>
      <c r="G2756" s="17"/>
      <c r="I2756" s="17"/>
      <c r="K2756" s="17"/>
      <c r="L2756" s="17"/>
      <c r="M2756" s="17"/>
      <c r="O2756" s="14">
        <f t="shared" si="1"/>
        <v>0</v>
      </c>
      <c r="P2756" s="86" t="str">
        <f t="array" ref="P2756">iferror(XLOOKUP(C2756,'Download of SFDC Activation Rep'!B:B,'Download of SFDC Activation Rep'!Z:Z),"")</f>
        <v/>
      </c>
      <c r="Q2756" s="86" t="str">
        <f t="shared" si="2"/>
        <v/>
      </c>
      <c r="R2756" s="13" t="str">
        <f t="shared" si="3"/>
        <v>Yes</v>
      </c>
      <c r="S2756" s="86" t="str">
        <f t="array" ref="S2756">iferror(XLOOKUP(C2756,'Download of SFDC Activation Rep'!B:B,'Download of SFDC Activation Rep'!Y:Y),"")</f>
        <v/>
      </c>
    </row>
    <row r="2757">
      <c r="A2757" s="17"/>
      <c r="B2757" s="85"/>
      <c r="C2757" s="17"/>
      <c r="D2757" s="85"/>
      <c r="E2757" s="17"/>
      <c r="F2757" s="17"/>
      <c r="G2757" s="17"/>
      <c r="I2757" s="17"/>
      <c r="K2757" s="17"/>
      <c r="L2757" s="17"/>
      <c r="M2757" s="17"/>
      <c r="O2757" s="14">
        <f t="shared" si="1"/>
        <v>0</v>
      </c>
      <c r="P2757" s="86" t="str">
        <f t="array" ref="P2757">iferror(XLOOKUP(C2757,'Download of SFDC Activation Rep'!B:B,'Download of SFDC Activation Rep'!Z:Z),"")</f>
        <v/>
      </c>
      <c r="Q2757" s="86" t="str">
        <f t="shared" si="2"/>
        <v/>
      </c>
      <c r="R2757" s="13" t="str">
        <f t="shared" si="3"/>
        <v>Yes</v>
      </c>
      <c r="S2757" s="86" t="str">
        <f t="array" ref="S2757">iferror(XLOOKUP(C2757,'Download of SFDC Activation Rep'!B:B,'Download of SFDC Activation Rep'!Y:Y),"")</f>
        <v/>
      </c>
    </row>
    <row r="2758">
      <c r="A2758" s="17"/>
      <c r="B2758" s="85"/>
      <c r="C2758" s="17"/>
      <c r="D2758" s="85"/>
      <c r="E2758" s="17"/>
      <c r="F2758" s="17"/>
      <c r="G2758" s="17"/>
      <c r="I2758" s="17"/>
      <c r="K2758" s="17"/>
      <c r="L2758" s="17"/>
      <c r="M2758" s="17"/>
      <c r="O2758" s="14">
        <f t="shared" si="1"/>
        <v>0</v>
      </c>
      <c r="P2758" s="86" t="str">
        <f t="array" ref="P2758">iferror(XLOOKUP(C2758,'Download of SFDC Activation Rep'!B:B,'Download of SFDC Activation Rep'!Z:Z),"")</f>
        <v/>
      </c>
      <c r="Q2758" s="86" t="str">
        <f t="shared" si="2"/>
        <v/>
      </c>
      <c r="R2758" s="13" t="str">
        <f t="shared" si="3"/>
        <v>Yes</v>
      </c>
      <c r="S2758" s="86" t="str">
        <f t="array" ref="S2758">iferror(XLOOKUP(C2758,'Download of SFDC Activation Rep'!B:B,'Download of SFDC Activation Rep'!Y:Y),"")</f>
        <v/>
      </c>
    </row>
    <row r="2759">
      <c r="A2759" s="17"/>
      <c r="B2759" s="85"/>
      <c r="C2759" s="17"/>
      <c r="D2759" s="85"/>
      <c r="E2759" s="17"/>
      <c r="F2759" s="17"/>
      <c r="G2759" s="17"/>
      <c r="I2759" s="17"/>
      <c r="K2759" s="17"/>
      <c r="L2759" s="17"/>
      <c r="M2759" s="17"/>
      <c r="O2759" s="14">
        <f t="shared" si="1"/>
        <v>0</v>
      </c>
      <c r="P2759" s="86" t="str">
        <f t="array" ref="P2759">iferror(XLOOKUP(C2759,'Download of SFDC Activation Rep'!B:B,'Download of SFDC Activation Rep'!Z:Z),"")</f>
        <v/>
      </c>
      <c r="Q2759" s="86" t="str">
        <f t="shared" si="2"/>
        <v/>
      </c>
      <c r="R2759" s="13" t="str">
        <f t="shared" si="3"/>
        <v>Yes</v>
      </c>
      <c r="S2759" s="86" t="str">
        <f t="array" ref="S2759">iferror(XLOOKUP(C2759,'Download of SFDC Activation Rep'!B:B,'Download of SFDC Activation Rep'!Y:Y),"")</f>
        <v/>
      </c>
    </row>
    <row r="2760">
      <c r="A2760" s="17"/>
      <c r="B2760" s="85"/>
      <c r="C2760" s="17"/>
      <c r="D2760" s="85"/>
      <c r="E2760" s="17"/>
      <c r="F2760" s="17"/>
      <c r="G2760" s="17"/>
      <c r="I2760" s="17"/>
      <c r="K2760" s="17"/>
      <c r="L2760" s="17"/>
      <c r="M2760" s="17"/>
      <c r="O2760" s="14">
        <f t="shared" si="1"/>
        <v>0</v>
      </c>
      <c r="P2760" s="86" t="str">
        <f t="array" ref="P2760">iferror(XLOOKUP(C2760,'Download of SFDC Activation Rep'!B:B,'Download of SFDC Activation Rep'!Z:Z),"")</f>
        <v/>
      </c>
      <c r="Q2760" s="86" t="str">
        <f t="shared" si="2"/>
        <v/>
      </c>
      <c r="R2760" s="13" t="str">
        <f t="shared" si="3"/>
        <v>Yes</v>
      </c>
      <c r="S2760" s="86" t="str">
        <f t="array" ref="S2760">iferror(XLOOKUP(C2760,'Download of SFDC Activation Rep'!B:B,'Download of SFDC Activation Rep'!Y:Y),"")</f>
        <v/>
      </c>
    </row>
    <row r="2761">
      <c r="A2761" s="17"/>
      <c r="B2761" s="85"/>
      <c r="C2761" s="17"/>
      <c r="D2761" s="85"/>
      <c r="E2761" s="17"/>
      <c r="F2761" s="17"/>
      <c r="G2761" s="17"/>
      <c r="I2761" s="17"/>
      <c r="K2761" s="17"/>
      <c r="L2761" s="17"/>
      <c r="M2761" s="17"/>
      <c r="O2761" s="14">
        <f t="shared" si="1"/>
        <v>0</v>
      </c>
      <c r="P2761" s="86" t="str">
        <f t="array" ref="P2761">iferror(XLOOKUP(C2761,'Download of SFDC Activation Rep'!B:B,'Download of SFDC Activation Rep'!Z:Z),"")</f>
        <v/>
      </c>
      <c r="Q2761" s="86" t="str">
        <f t="shared" si="2"/>
        <v/>
      </c>
      <c r="R2761" s="13" t="str">
        <f t="shared" si="3"/>
        <v>Yes</v>
      </c>
      <c r="S2761" s="86" t="str">
        <f t="array" ref="S2761">iferror(XLOOKUP(C2761,'Download of SFDC Activation Rep'!B:B,'Download of SFDC Activation Rep'!Y:Y),"")</f>
        <v/>
      </c>
    </row>
    <row r="2762">
      <c r="A2762" s="17"/>
      <c r="B2762" s="85"/>
      <c r="C2762" s="17"/>
      <c r="D2762" s="85"/>
      <c r="E2762" s="17"/>
      <c r="F2762" s="17"/>
      <c r="G2762" s="17"/>
      <c r="I2762" s="17"/>
      <c r="K2762" s="17"/>
      <c r="L2762" s="17"/>
      <c r="M2762" s="17"/>
      <c r="O2762" s="14">
        <f t="shared" si="1"/>
        <v>0</v>
      </c>
      <c r="P2762" s="86" t="str">
        <f t="array" ref="P2762">iferror(XLOOKUP(C2762,'Download of SFDC Activation Rep'!B:B,'Download of SFDC Activation Rep'!Z:Z),"")</f>
        <v/>
      </c>
      <c r="Q2762" s="86" t="str">
        <f t="shared" si="2"/>
        <v/>
      </c>
      <c r="R2762" s="13" t="str">
        <f t="shared" si="3"/>
        <v>Yes</v>
      </c>
      <c r="S2762" s="86" t="str">
        <f t="array" ref="S2762">iferror(XLOOKUP(C2762,'Download of SFDC Activation Rep'!B:B,'Download of SFDC Activation Rep'!Y:Y),"")</f>
        <v/>
      </c>
    </row>
    <row r="2763">
      <c r="A2763" s="17"/>
      <c r="B2763" s="85"/>
      <c r="C2763" s="17"/>
      <c r="D2763" s="85"/>
      <c r="E2763" s="17"/>
      <c r="F2763" s="17"/>
      <c r="G2763" s="17"/>
      <c r="I2763" s="17"/>
      <c r="K2763" s="17"/>
      <c r="L2763" s="17"/>
      <c r="M2763" s="17"/>
      <c r="O2763" s="14">
        <f t="shared" si="1"/>
        <v>0</v>
      </c>
      <c r="P2763" s="86" t="str">
        <f t="array" ref="P2763">iferror(XLOOKUP(C2763,'Download of SFDC Activation Rep'!B:B,'Download of SFDC Activation Rep'!Z:Z),"")</f>
        <v/>
      </c>
      <c r="Q2763" s="86" t="str">
        <f t="shared" si="2"/>
        <v/>
      </c>
      <c r="R2763" s="13" t="str">
        <f t="shared" si="3"/>
        <v>Yes</v>
      </c>
      <c r="S2763" s="86" t="str">
        <f t="array" ref="S2763">iferror(XLOOKUP(C2763,'Download of SFDC Activation Rep'!B:B,'Download of SFDC Activation Rep'!Y:Y),"")</f>
        <v/>
      </c>
    </row>
    <row r="2764">
      <c r="A2764" s="17"/>
      <c r="B2764" s="85"/>
      <c r="C2764" s="17"/>
      <c r="D2764" s="85"/>
      <c r="E2764" s="17"/>
      <c r="F2764" s="17"/>
      <c r="G2764" s="17"/>
      <c r="I2764" s="17"/>
      <c r="K2764" s="17"/>
      <c r="L2764" s="17"/>
      <c r="M2764" s="17"/>
      <c r="O2764" s="14">
        <f t="shared" si="1"/>
        <v>0</v>
      </c>
      <c r="P2764" s="86" t="str">
        <f t="array" ref="P2764">iferror(XLOOKUP(C2764,'Download of SFDC Activation Rep'!B:B,'Download of SFDC Activation Rep'!Z:Z),"")</f>
        <v/>
      </c>
      <c r="Q2764" s="86" t="str">
        <f t="shared" si="2"/>
        <v/>
      </c>
      <c r="R2764" s="13" t="str">
        <f t="shared" si="3"/>
        <v>Yes</v>
      </c>
      <c r="S2764" s="86" t="str">
        <f t="array" ref="S2764">iferror(XLOOKUP(C2764,'Download of SFDC Activation Rep'!B:B,'Download of SFDC Activation Rep'!Y:Y),"")</f>
        <v/>
      </c>
    </row>
    <row r="2765">
      <c r="A2765" s="17"/>
      <c r="B2765" s="85"/>
      <c r="C2765" s="17"/>
      <c r="D2765" s="85"/>
      <c r="E2765" s="17"/>
      <c r="F2765" s="17"/>
      <c r="G2765" s="17"/>
      <c r="I2765" s="17"/>
      <c r="K2765" s="17"/>
      <c r="L2765" s="17"/>
      <c r="M2765" s="17"/>
      <c r="O2765" s="14">
        <f t="shared" si="1"/>
        <v>0</v>
      </c>
      <c r="P2765" s="86" t="str">
        <f t="array" ref="P2765">iferror(XLOOKUP(C2765,'Download of SFDC Activation Rep'!B:B,'Download of SFDC Activation Rep'!Z:Z),"")</f>
        <v/>
      </c>
      <c r="Q2765" s="86" t="str">
        <f t="shared" si="2"/>
        <v/>
      </c>
      <c r="R2765" s="13" t="str">
        <f t="shared" si="3"/>
        <v>Yes</v>
      </c>
      <c r="S2765" s="86" t="str">
        <f t="array" ref="S2765">iferror(XLOOKUP(C2765,'Download of SFDC Activation Rep'!B:B,'Download of SFDC Activation Rep'!Y:Y),"")</f>
        <v/>
      </c>
    </row>
    <row r="2766">
      <c r="A2766" s="17"/>
      <c r="B2766" s="85"/>
      <c r="C2766" s="17"/>
      <c r="D2766" s="85"/>
      <c r="E2766" s="17"/>
      <c r="F2766" s="17"/>
      <c r="G2766" s="17"/>
      <c r="I2766" s="17"/>
      <c r="K2766" s="17"/>
      <c r="L2766" s="17"/>
      <c r="M2766" s="17"/>
      <c r="O2766" s="14">
        <f t="shared" si="1"/>
        <v>0</v>
      </c>
      <c r="P2766" s="86" t="str">
        <f t="array" ref="P2766">iferror(XLOOKUP(C2766,'Download of SFDC Activation Rep'!B:B,'Download of SFDC Activation Rep'!Z:Z),"")</f>
        <v/>
      </c>
      <c r="Q2766" s="86" t="str">
        <f t="shared" si="2"/>
        <v/>
      </c>
      <c r="R2766" s="13" t="str">
        <f t="shared" si="3"/>
        <v>Yes</v>
      </c>
      <c r="S2766" s="86" t="str">
        <f t="array" ref="S2766">iferror(XLOOKUP(C2766,'Download of SFDC Activation Rep'!B:B,'Download of SFDC Activation Rep'!Y:Y),"")</f>
        <v/>
      </c>
    </row>
    <row r="2767">
      <c r="A2767" s="17"/>
      <c r="B2767" s="85"/>
      <c r="C2767" s="17"/>
      <c r="D2767" s="85"/>
      <c r="E2767" s="17"/>
      <c r="F2767" s="17"/>
      <c r="G2767" s="17"/>
      <c r="I2767" s="17"/>
      <c r="K2767" s="17"/>
      <c r="L2767" s="17"/>
      <c r="M2767" s="17"/>
      <c r="O2767" s="14">
        <f t="shared" si="1"/>
        <v>0</v>
      </c>
      <c r="P2767" s="86" t="str">
        <f t="array" ref="P2767">iferror(XLOOKUP(C2767,'Download of SFDC Activation Rep'!B:B,'Download of SFDC Activation Rep'!Z:Z),"")</f>
        <v/>
      </c>
      <c r="Q2767" s="86" t="str">
        <f t="shared" si="2"/>
        <v/>
      </c>
      <c r="R2767" s="13" t="str">
        <f t="shared" si="3"/>
        <v>Yes</v>
      </c>
      <c r="S2767" s="86" t="str">
        <f t="array" ref="S2767">iferror(XLOOKUP(C2767,'Download of SFDC Activation Rep'!B:B,'Download of SFDC Activation Rep'!Y:Y),"")</f>
        <v/>
      </c>
    </row>
    <row r="2768">
      <c r="A2768" s="17"/>
      <c r="B2768" s="85"/>
      <c r="C2768" s="17"/>
      <c r="D2768" s="85"/>
      <c r="E2768" s="17"/>
      <c r="F2768" s="17"/>
      <c r="G2768" s="17"/>
      <c r="I2768" s="17"/>
      <c r="K2768" s="17"/>
      <c r="L2768" s="17"/>
      <c r="M2768" s="17"/>
      <c r="O2768" s="14">
        <f t="shared" si="1"/>
        <v>0</v>
      </c>
      <c r="P2768" s="86" t="str">
        <f t="array" ref="P2768">iferror(XLOOKUP(C2768,'Download of SFDC Activation Rep'!B:B,'Download of SFDC Activation Rep'!Z:Z),"")</f>
        <v/>
      </c>
      <c r="Q2768" s="86" t="str">
        <f t="shared" si="2"/>
        <v/>
      </c>
      <c r="R2768" s="13" t="str">
        <f t="shared" si="3"/>
        <v>Yes</v>
      </c>
      <c r="S2768" s="86" t="str">
        <f t="array" ref="S2768">iferror(XLOOKUP(C2768,'Download of SFDC Activation Rep'!B:B,'Download of SFDC Activation Rep'!Y:Y),"")</f>
        <v/>
      </c>
    </row>
    <row r="2769">
      <c r="A2769" s="17"/>
      <c r="B2769" s="85"/>
      <c r="C2769" s="17"/>
      <c r="D2769" s="85"/>
      <c r="E2769" s="17"/>
      <c r="F2769" s="17"/>
      <c r="G2769" s="17"/>
      <c r="I2769" s="17"/>
      <c r="K2769" s="17"/>
      <c r="L2769" s="17"/>
      <c r="M2769" s="17"/>
      <c r="O2769" s="14">
        <f t="shared" si="1"/>
        <v>0</v>
      </c>
      <c r="P2769" s="86" t="str">
        <f t="array" ref="P2769">iferror(XLOOKUP(C2769,'Download of SFDC Activation Rep'!B:B,'Download of SFDC Activation Rep'!Z:Z),"")</f>
        <v/>
      </c>
      <c r="Q2769" s="86" t="str">
        <f t="shared" si="2"/>
        <v/>
      </c>
      <c r="R2769" s="13" t="str">
        <f t="shared" si="3"/>
        <v>Yes</v>
      </c>
      <c r="S2769" s="86" t="str">
        <f t="array" ref="S2769">iferror(XLOOKUP(C2769,'Download of SFDC Activation Rep'!B:B,'Download of SFDC Activation Rep'!Y:Y),"")</f>
        <v/>
      </c>
    </row>
    <row r="2770">
      <c r="A2770" s="17"/>
      <c r="B2770" s="85"/>
      <c r="C2770" s="17"/>
      <c r="D2770" s="85"/>
      <c r="E2770" s="17"/>
      <c r="F2770" s="17"/>
      <c r="G2770" s="17"/>
      <c r="I2770" s="17"/>
      <c r="K2770" s="17"/>
      <c r="L2770" s="17"/>
      <c r="M2770" s="17"/>
      <c r="O2770" s="14">
        <f t="shared" si="1"/>
        <v>0</v>
      </c>
      <c r="P2770" s="86" t="str">
        <f t="array" ref="P2770">iferror(XLOOKUP(C2770,'Download of SFDC Activation Rep'!B:B,'Download of SFDC Activation Rep'!Z:Z),"")</f>
        <v/>
      </c>
      <c r="Q2770" s="86" t="str">
        <f t="shared" si="2"/>
        <v/>
      </c>
      <c r="R2770" s="13" t="str">
        <f t="shared" si="3"/>
        <v>Yes</v>
      </c>
      <c r="S2770" s="86" t="str">
        <f t="array" ref="S2770">iferror(XLOOKUP(C2770,'Download of SFDC Activation Rep'!B:B,'Download of SFDC Activation Rep'!Y:Y),"")</f>
        <v/>
      </c>
    </row>
    <row r="2771">
      <c r="A2771" s="17"/>
      <c r="B2771" s="85"/>
      <c r="C2771" s="17"/>
      <c r="D2771" s="85"/>
      <c r="E2771" s="17"/>
      <c r="F2771" s="17"/>
      <c r="G2771" s="17"/>
      <c r="I2771" s="17"/>
      <c r="K2771" s="17"/>
      <c r="L2771" s="17"/>
      <c r="M2771" s="17"/>
      <c r="O2771" s="14">
        <f t="shared" si="1"/>
        <v>0</v>
      </c>
      <c r="P2771" s="86" t="str">
        <f t="array" ref="P2771">iferror(XLOOKUP(C2771,'Download of SFDC Activation Rep'!B:B,'Download of SFDC Activation Rep'!Z:Z),"")</f>
        <v/>
      </c>
      <c r="Q2771" s="86" t="str">
        <f t="shared" si="2"/>
        <v/>
      </c>
      <c r="R2771" s="13" t="str">
        <f t="shared" si="3"/>
        <v>Yes</v>
      </c>
      <c r="S2771" s="86" t="str">
        <f t="array" ref="S2771">iferror(XLOOKUP(C2771,'Download of SFDC Activation Rep'!B:B,'Download of SFDC Activation Rep'!Y:Y),"")</f>
        <v/>
      </c>
    </row>
    <row r="2772">
      <c r="A2772" s="17"/>
      <c r="B2772" s="85"/>
      <c r="C2772" s="17"/>
      <c r="D2772" s="85"/>
      <c r="E2772" s="17"/>
      <c r="F2772" s="17"/>
      <c r="G2772" s="17"/>
      <c r="I2772" s="17"/>
      <c r="K2772" s="17"/>
      <c r="L2772" s="17"/>
      <c r="M2772" s="17"/>
      <c r="O2772" s="14">
        <f t="shared" si="1"/>
        <v>0</v>
      </c>
      <c r="P2772" s="86" t="str">
        <f t="array" ref="P2772">iferror(XLOOKUP(C2772,'Download of SFDC Activation Rep'!B:B,'Download of SFDC Activation Rep'!Z:Z),"")</f>
        <v/>
      </c>
      <c r="Q2772" s="86" t="str">
        <f t="shared" si="2"/>
        <v/>
      </c>
      <c r="R2772" s="13" t="str">
        <f t="shared" si="3"/>
        <v>Yes</v>
      </c>
      <c r="S2772" s="86" t="str">
        <f t="array" ref="S2772">iferror(XLOOKUP(C2772,'Download of SFDC Activation Rep'!B:B,'Download of SFDC Activation Rep'!Y:Y),"")</f>
        <v/>
      </c>
    </row>
    <row r="2773">
      <c r="A2773" s="17"/>
      <c r="B2773" s="85"/>
      <c r="C2773" s="17"/>
      <c r="D2773" s="85"/>
      <c r="E2773" s="17"/>
      <c r="F2773" s="17"/>
      <c r="G2773" s="17"/>
      <c r="I2773" s="17"/>
      <c r="K2773" s="17"/>
      <c r="L2773" s="17"/>
      <c r="M2773" s="17"/>
      <c r="O2773" s="14">
        <f t="shared" si="1"/>
        <v>0</v>
      </c>
      <c r="P2773" s="86" t="str">
        <f t="array" ref="P2773">iferror(XLOOKUP(C2773,'Download of SFDC Activation Rep'!B:B,'Download of SFDC Activation Rep'!Z:Z),"")</f>
        <v/>
      </c>
      <c r="Q2773" s="86" t="str">
        <f t="shared" si="2"/>
        <v/>
      </c>
      <c r="R2773" s="13" t="str">
        <f t="shared" si="3"/>
        <v>Yes</v>
      </c>
      <c r="S2773" s="86" t="str">
        <f t="array" ref="S2773">iferror(XLOOKUP(C2773,'Download of SFDC Activation Rep'!B:B,'Download of SFDC Activation Rep'!Y:Y),"")</f>
        <v/>
      </c>
    </row>
    <row r="2774">
      <c r="A2774" s="17"/>
      <c r="B2774" s="85"/>
      <c r="C2774" s="17"/>
      <c r="D2774" s="85"/>
      <c r="E2774" s="17"/>
      <c r="F2774" s="17"/>
      <c r="G2774" s="17"/>
      <c r="I2774" s="17"/>
      <c r="K2774" s="17"/>
      <c r="L2774" s="17"/>
      <c r="M2774" s="17"/>
      <c r="O2774" s="14">
        <f t="shared" si="1"/>
        <v>0</v>
      </c>
      <c r="P2774" s="86" t="str">
        <f t="array" ref="P2774">iferror(XLOOKUP(C2774,'Download of SFDC Activation Rep'!B:B,'Download of SFDC Activation Rep'!Z:Z),"")</f>
        <v/>
      </c>
      <c r="Q2774" s="86" t="str">
        <f t="shared" si="2"/>
        <v/>
      </c>
      <c r="R2774" s="13" t="str">
        <f t="shared" si="3"/>
        <v>Yes</v>
      </c>
      <c r="S2774" s="86" t="str">
        <f t="array" ref="S2774">iferror(XLOOKUP(C2774,'Download of SFDC Activation Rep'!B:B,'Download of SFDC Activation Rep'!Y:Y),"")</f>
        <v/>
      </c>
    </row>
    <row r="2775">
      <c r="A2775" s="17"/>
      <c r="B2775" s="85"/>
      <c r="C2775" s="17"/>
      <c r="D2775" s="85"/>
      <c r="E2775" s="17"/>
      <c r="F2775" s="17"/>
      <c r="G2775" s="17"/>
      <c r="I2775" s="17"/>
      <c r="K2775" s="17"/>
      <c r="L2775" s="17"/>
      <c r="M2775" s="17"/>
      <c r="O2775" s="14">
        <f t="shared" si="1"/>
        <v>0</v>
      </c>
      <c r="P2775" s="86" t="str">
        <f t="array" ref="P2775">iferror(XLOOKUP(C2775,'Download of SFDC Activation Rep'!B:B,'Download of SFDC Activation Rep'!Z:Z),"")</f>
        <v/>
      </c>
      <c r="Q2775" s="86" t="str">
        <f t="shared" si="2"/>
        <v/>
      </c>
      <c r="R2775" s="13" t="str">
        <f t="shared" si="3"/>
        <v>Yes</v>
      </c>
      <c r="S2775" s="86" t="str">
        <f t="array" ref="S2775">iferror(XLOOKUP(C2775,'Download of SFDC Activation Rep'!B:B,'Download of SFDC Activation Rep'!Y:Y),"")</f>
        <v/>
      </c>
    </row>
    <row r="2776">
      <c r="A2776" s="17"/>
      <c r="B2776" s="85"/>
      <c r="C2776" s="17"/>
      <c r="D2776" s="85"/>
      <c r="E2776" s="17"/>
      <c r="F2776" s="17"/>
      <c r="G2776" s="17"/>
      <c r="I2776" s="17"/>
      <c r="K2776" s="17"/>
      <c r="L2776" s="17"/>
      <c r="M2776" s="17"/>
      <c r="O2776" s="14">
        <f t="shared" si="1"/>
        <v>0</v>
      </c>
      <c r="P2776" s="86" t="str">
        <f t="array" ref="P2776">iferror(XLOOKUP(C2776,'Download of SFDC Activation Rep'!B:B,'Download of SFDC Activation Rep'!Z:Z),"")</f>
        <v/>
      </c>
      <c r="Q2776" s="86" t="str">
        <f t="shared" si="2"/>
        <v/>
      </c>
      <c r="R2776" s="13" t="str">
        <f t="shared" si="3"/>
        <v>Yes</v>
      </c>
      <c r="S2776" s="86" t="str">
        <f t="array" ref="S2776">iferror(XLOOKUP(C2776,'Download of SFDC Activation Rep'!B:B,'Download of SFDC Activation Rep'!Y:Y),"")</f>
        <v/>
      </c>
    </row>
    <row r="2777">
      <c r="A2777" s="17"/>
      <c r="B2777" s="85"/>
      <c r="C2777" s="17"/>
      <c r="D2777" s="85"/>
      <c r="E2777" s="17"/>
      <c r="F2777" s="17"/>
      <c r="G2777" s="17"/>
      <c r="I2777" s="17"/>
      <c r="K2777" s="17"/>
      <c r="L2777" s="17"/>
      <c r="M2777" s="17"/>
      <c r="O2777" s="14">
        <f t="shared" si="1"/>
        <v>0</v>
      </c>
      <c r="P2777" s="86" t="str">
        <f t="array" ref="P2777">iferror(XLOOKUP(C2777,'Download of SFDC Activation Rep'!B:B,'Download of SFDC Activation Rep'!Z:Z),"")</f>
        <v/>
      </c>
      <c r="Q2777" s="86" t="str">
        <f t="shared" si="2"/>
        <v/>
      </c>
      <c r="R2777" s="13" t="str">
        <f t="shared" si="3"/>
        <v>Yes</v>
      </c>
      <c r="S2777" s="86" t="str">
        <f t="array" ref="S2777">iferror(XLOOKUP(C2777,'Download of SFDC Activation Rep'!B:B,'Download of SFDC Activation Rep'!Y:Y),"")</f>
        <v/>
      </c>
    </row>
    <row r="2778">
      <c r="A2778" s="17"/>
      <c r="B2778" s="85"/>
      <c r="C2778" s="17"/>
      <c r="D2778" s="85"/>
      <c r="E2778" s="17"/>
      <c r="F2778" s="17"/>
      <c r="G2778" s="17"/>
      <c r="I2778" s="17"/>
      <c r="K2778" s="17"/>
      <c r="L2778" s="17"/>
      <c r="M2778" s="17"/>
      <c r="O2778" s="14">
        <f t="shared" si="1"/>
        <v>0</v>
      </c>
      <c r="P2778" s="86" t="str">
        <f t="array" ref="P2778">iferror(XLOOKUP(C2778,'Download of SFDC Activation Rep'!B:B,'Download of SFDC Activation Rep'!Z:Z),"")</f>
        <v/>
      </c>
      <c r="Q2778" s="86" t="str">
        <f t="shared" si="2"/>
        <v/>
      </c>
      <c r="R2778" s="13" t="str">
        <f t="shared" si="3"/>
        <v>Yes</v>
      </c>
      <c r="S2778" s="86" t="str">
        <f t="array" ref="S2778">iferror(XLOOKUP(C2778,'Download of SFDC Activation Rep'!B:B,'Download of SFDC Activation Rep'!Y:Y),"")</f>
        <v/>
      </c>
    </row>
    <row r="2779">
      <c r="A2779" s="17"/>
      <c r="B2779" s="85"/>
      <c r="C2779" s="17"/>
      <c r="D2779" s="85"/>
      <c r="E2779" s="17"/>
      <c r="F2779" s="17"/>
      <c r="G2779" s="17"/>
      <c r="I2779" s="17"/>
      <c r="K2779" s="17"/>
      <c r="L2779" s="17"/>
      <c r="M2779" s="17"/>
      <c r="O2779" s="14">
        <f t="shared" si="1"/>
        <v>0</v>
      </c>
      <c r="P2779" s="86" t="str">
        <f t="array" ref="P2779">iferror(XLOOKUP(C2779,'Download of SFDC Activation Rep'!B:B,'Download of SFDC Activation Rep'!Z:Z),"")</f>
        <v/>
      </c>
      <c r="Q2779" s="86" t="str">
        <f t="shared" si="2"/>
        <v/>
      </c>
      <c r="R2779" s="13" t="str">
        <f t="shared" si="3"/>
        <v>Yes</v>
      </c>
      <c r="S2779" s="86" t="str">
        <f t="array" ref="S2779">iferror(XLOOKUP(C2779,'Download of SFDC Activation Rep'!B:B,'Download of SFDC Activation Rep'!Y:Y),"")</f>
        <v/>
      </c>
    </row>
    <row r="2780">
      <c r="A2780" s="17"/>
      <c r="B2780" s="85"/>
      <c r="C2780" s="17"/>
      <c r="D2780" s="85"/>
      <c r="E2780" s="17"/>
      <c r="F2780" s="17"/>
      <c r="G2780" s="17"/>
      <c r="I2780" s="17"/>
      <c r="K2780" s="17"/>
      <c r="L2780" s="17"/>
      <c r="M2780" s="17"/>
      <c r="O2780" s="14">
        <f t="shared" si="1"/>
        <v>0</v>
      </c>
      <c r="P2780" s="86" t="str">
        <f t="array" ref="P2780">iferror(XLOOKUP(C2780,'Download of SFDC Activation Rep'!B:B,'Download of SFDC Activation Rep'!Z:Z),"")</f>
        <v/>
      </c>
      <c r="Q2780" s="86" t="str">
        <f t="shared" si="2"/>
        <v/>
      </c>
      <c r="R2780" s="13" t="str">
        <f t="shared" si="3"/>
        <v>Yes</v>
      </c>
      <c r="S2780" s="86" t="str">
        <f t="array" ref="S2780">iferror(XLOOKUP(C2780,'Download of SFDC Activation Rep'!B:B,'Download of SFDC Activation Rep'!Y:Y),"")</f>
        <v/>
      </c>
    </row>
    <row r="2781">
      <c r="A2781" s="17"/>
      <c r="B2781" s="85"/>
      <c r="C2781" s="17"/>
      <c r="D2781" s="85"/>
      <c r="E2781" s="17"/>
      <c r="F2781" s="17"/>
      <c r="G2781" s="17"/>
      <c r="I2781" s="17"/>
      <c r="K2781" s="17"/>
      <c r="L2781" s="17"/>
      <c r="M2781" s="17"/>
      <c r="O2781" s="14">
        <f t="shared" si="1"/>
        <v>0</v>
      </c>
      <c r="P2781" s="86" t="str">
        <f t="array" ref="P2781">iferror(XLOOKUP(C2781,'Download of SFDC Activation Rep'!B:B,'Download of SFDC Activation Rep'!Z:Z),"")</f>
        <v/>
      </c>
      <c r="Q2781" s="86" t="str">
        <f t="shared" si="2"/>
        <v/>
      </c>
      <c r="R2781" s="13" t="str">
        <f t="shared" si="3"/>
        <v>Yes</v>
      </c>
      <c r="S2781" s="86" t="str">
        <f t="array" ref="S2781">iferror(XLOOKUP(C2781,'Download of SFDC Activation Rep'!B:B,'Download of SFDC Activation Rep'!Y:Y),"")</f>
        <v/>
      </c>
    </row>
    <row r="2782">
      <c r="A2782" s="17"/>
      <c r="B2782" s="85"/>
      <c r="C2782" s="17"/>
      <c r="D2782" s="85"/>
      <c r="E2782" s="17"/>
      <c r="F2782" s="17"/>
      <c r="G2782" s="17"/>
      <c r="I2782" s="17"/>
      <c r="K2782" s="17"/>
      <c r="L2782" s="17"/>
      <c r="M2782" s="17"/>
      <c r="O2782" s="14">
        <f t="shared" si="1"/>
        <v>0</v>
      </c>
      <c r="P2782" s="86" t="str">
        <f t="array" ref="P2782">iferror(XLOOKUP(C2782,'Download of SFDC Activation Rep'!B:B,'Download of SFDC Activation Rep'!Z:Z),"")</f>
        <v/>
      </c>
      <c r="Q2782" s="86" t="str">
        <f t="shared" si="2"/>
        <v/>
      </c>
      <c r="R2782" s="13" t="str">
        <f t="shared" si="3"/>
        <v>Yes</v>
      </c>
      <c r="S2782" s="86" t="str">
        <f t="array" ref="S2782">iferror(XLOOKUP(C2782,'Download of SFDC Activation Rep'!B:B,'Download of SFDC Activation Rep'!Y:Y),"")</f>
        <v/>
      </c>
    </row>
    <row r="2783">
      <c r="A2783" s="17"/>
      <c r="B2783" s="85"/>
      <c r="C2783" s="17"/>
      <c r="D2783" s="85"/>
      <c r="E2783" s="17"/>
      <c r="F2783" s="17"/>
      <c r="G2783" s="17"/>
      <c r="I2783" s="17"/>
      <c r="K2783" s="17"/>
      <c r="L2783" s="17"/>
      <c r="M2783" s="17"/>
      <c r="O2783" s="14">
        <f t="shared" si="1"/>
        <v>0</v>
      </c>
      <c r="P2783" s="86" t="str">
        <f t="array" ref="P2783">iferror(XLOOKUP(C2783,'Download of SFDC Activation Rep'!B:B,'Download of SFDC Activation Rep'!Z:Z),"")</f>
        <v/>
      </c>
      <c r="Q2783" s="86" t="str">
        <f t="shared" si="2"/>
        <v/>
      </c>
      <c r="R2783" s="13" t="str">
        <f t="shared" si="3"/>
        <v>Yes</v>
      </c>
      <c r="S2783" s="86" t="str">
        <f t="array" ref="S2783">iferror(XLOOKUP(C2783,'Download of SFDC Activation Rep'!B:B,'Download of SFDC Activation Rep'!Y:Y),"")</f>
        <v/>
      </c>
    </row>
    <row r="2784">
      <c r="A2784" s="17"/>
      <c r="B2784" s="85"/>
      <c r="C2784" s="17"/>
      <c r="D2784" s="85"/>
      <c r="E2784" s="17"/>
      <c r="F2784" s="17"/>
      <c r="G2784" s="17"/>
      <c r="I2784" s="17"/>
      <c r="K2784" s="17"/>
      <c r="L2784" s="17"/>
      <c r="M2784" s="17"/>
      <c r="O2784" s="14">
        <f t="shared" si="1"/>
        <v>0</v>
      </c>
      <c r="P2784" s="86" t="str">
        <f t="array" ref="P2784">iferror(XLOOKUP(C2784,'Download of SFDC Activation Rep'!B:B,'Download of SFDC Activation Rep'!Z:Z),"")</f>
        <v/>
      </c>
      <c r="Q2784" s="86" t="str">
        <f t="shared" si="2"/>
        <v/>
      </c>
      <c r="R2784" s="13" t="str">
        <f t="shared" si="3"/>
        <v>Yes</v>
      </c>
      <c r="S2784" s="86" t="str">
        <f t="array" ref="S2784">iferror(XLOOKUP(C2784,'Download of SFDC Activation Rep'!B:B,'Download of SFDC Activation Rep'!Y:Y),"")</f>
        <v/>
      </c>
    </row>
    <row r="2785">
      <c r="A2785" s="17"/>
      <c r="B2785" s="85"/>
      <c r="C2785" s="17"/>
      <c r="D2785" s="85"/>
      <c r="E2785" s="17"/>
      <c r="F2785" s="17"/>
      <c r="G2785" s="17"/>
      <c r="I2785" s="17"/>
      <c r="K2785" s="17"/>
      <c r="L2785" s="17"/>
      <c r="M2785" s="17"/>
      <c r="O2785" s="14">
        <f t="shared" si="1"/>
        <v>0</v>
      </c>
      <c r="P2785" s="86" t="str">
        <f t="array" ref="P2785">iferror(XLOOKUP(C2785,'Download of SFDC Activation Rep'!B:B,'Download of SFDC Activation Rep'!Z:Z),"")</f>
        <v/>
      </c>
      <c r="Q2785" s="86" t="str">
        <f t="shared" si="2"/>
        <v/>
      </c>
      <c r="R2785" s="13" t="str">
        <f t="shared" si="3"/>
        <v>Yes</v>
      </c>
      <c r="S2785" s="86" t="str">
        <f t="array" ref="S2785">iferror(XLOOKUP(C2785,'Download of SFDC Activation Rep'!B:B,'Download of SFDC Activation Rep'!Y:Y),"")</f>
        <v/>
      </c>
    </row>
    <row r="2786">
      <c r="A2786" s="17"/>
      <c r="B2786" s="85"/>
      <c r="C2786" s="17"/>
      <c r="D2786" s="85"/>
      <c r="E2786" s="17"/>
      <c r="F2786" s="17"/>
      <c r="G2786" s="17"/>
      <c r="I2786" s="17"/>
      <c r="K2786" s="17"/>
      <c r="L2786" s="17"/>
      <c r="M2786" s="17"/>
      <c r="O2786" s="14">
        <f t="shared" si="1"/>
        <v>0</v>
      </c>
      <c r="P2786" s="86" t="str">
        <f t="array" ref="P2786">iferror(XLOOKUP(C2786,'Download of SFDC Activation Rep'!B:B,'Download of SFDC Activation Rep'!Z:Z),"")</f>
        <v/>
      </c>
      <c r="Q2786" s="86" t="str">
        <f t="shared" si="2"/>
        <v/>
      </c>
      <c r="R2786" s="13" t="str">
        <f t="shared" si="3"/>
        <v>Yes</v>
      </c>
      <c r="S2786" s="86" t="str">
        <f t="array" ref="S2786">iferror(XLOOKUP(C2786,'Download of SFDC Activation Rep'!B:B,'Download of SFDC Activation Rep'!Y:Y),"")</f>
        <v/>
      </c>
    </row>
    <row r="2787">
      <c r="A2787" s="17"/>
      <c r="B2787" s="85"/>
      <c r="C2787" s="17"/>
      <c r="D2787" s="85"/>
      <c r="E2787" s="17"/>
      <c r="F2787" s="17"/>
      <c r="G2787" s="17"/>
      <c r="I2787" s="17"/>
      <c r="K2787" s="17"/>
      <c r="L2787" s="17"/>
      <c r="M2787" s="17"/>
      <c r="O2787" s="14">
        <f t="shared" si="1"/>
        <v>0</v>
      </c>
      <c r="P2787" s="86" t="str">
        <f t="array" ref="P2787">iferror(XLOOKUP(C2787,'Download of SFDC Activation Rep'!B:B,'Download of SFDC Activation Rep'!Z:Z),"")</f>
        <v/>
      </c>
      <c r="Q2787" s="86" t="str">
        <f t="shared" si="2"/>
        <v/>
      </c>
      <c r="R2787" s="13" t="str">
        <f t="shared" si="3"/>
        <v>Yes</v>
      </c>
      <c r="S2787" s="86" t="str">
        <f t="array" ref="S2787">iferror(XLOOKUP(C2787,'Download of SFDC Activation Rep'!B:B,'Download of SFDC Activation Rep'!Y:Y),"")</f>
        <v/>
      </c>
    </row>
    <row r="2788">
      <c r="A2788" s="17"/>
      <c r="B2788" s="85"/>
      <c r="C2788" s="17"/>
      <c r="D2788" s="85"/>
      <c r="E2788" s="17"/>
      <c r="F2788" s="17"/>
      <c r="G2788" s="17"/>
      <c r="I2788" s="17"/>
      <c r="K2788" s="17"/>
      <c r="L2788" s="17"/>
      <c r="M2788" s="17"/>
      <c r="O2788" s="14">
        <f t="shared" si="1"/>
        <v>0</v>
      </c>
      <c r="P2788" s="86" t="str">
        <f t="array" ref="P2788">iferror(XLOOKUP(C2788,'Download of SFDC Activation Rep'!B:B,'Download of SFDC Activation Rep'!Z:Z),"")</f>
        <v/>
      </c>
      <c r="Q2788" s="86" t="str">
        <f t="shared" si="2"/>
        <v/>
      </c>
      <c r="R2788" s="13" t="str">
        <f t="shared" si="3"/>
        <v>Yes</v>
      </c>
      <c r="S2788" s="86" t="str">
        <f t="array" ref="S2788">iferror(XLOOKUP(C2788,'Download of SFDC Activation Rep'!B:B,'Download of SFDC Activation Rep'!Y:Y),"")</f>
        <v/>
      </c>
    </row>
    <row r="2789">
      <c r="A2789" s="17"/>
      <c r="B2789" s="85"/>
      <c r="C2789" s="17"/>
      <c r="D2789" s="85"/>
      <c r="E2789" s="17"/>
      <c r="F2789" s="17"/>
      <c r="G2789" s="17"/>
      <c r="I2789" s="17"/>
      <c r="K2789" s="17"/>
      <c r="L2789" s="17"/>
      <c r="M2789" s="17"/>
      <c r="O2789" s="14">
        <f t="shared" si="1"/>
        <v>0</v>
      </c>
      <c r="P2789" s="86" t="str">
        <f t="array" ref="P2789">iferror(XLOOKUP(C2789,'Download of SFDC Activation Rep'!B:B,'Download of SFDC Activation Rep'!Z:Z),"")</f>
        <v/>
      </c>
      <c r="Q2789" s="86" t="str">
        <f t="shared" si="2"/>
        <v/>
      </c>
      <c r="R2789" s="13" t="str">
        <f t="shared" si="3"/>
        <v>Yes</v>
      </c>
      <c r="S2789" s="86" t="str">
        <f t="array" ref="S2789">iferror(XLOOKUP(C2789,'Download of SFDC Activation Rep'!B:B,'Download of SFDC Activation Rep'!Y:Y),"")</f>
        <v/>
      </c>
    </row>
    <row r="2790">
      <c r="A2790" s="17"/>
      <c r="B2790" s="85"/>
      <c r="C2790" s="17"/>
      <c r="D2790" s="85"/>
      <c r="E2790" s="17"/>
      <c r="F2790" s="17"/>
      <c r="G2790" s="17"/>
      <c r="I2790" s="17"/>
      <c r="K2790" s="17"/>
      <c r="L2790" s="17"/>
      <c r="M2790" s="17"/>
      <c r="O2790" s="14">
        <f t="shared" si="1"/>
        <v>0</v>
      </c>
      <c r="P2790" s="86" t="str">
        <f t="array" ref="P2790">iferror(XLOOKUP(C2790,'Download of SFDC Activation Rep'!B:B,'Download of SFDC Activation Rep'!Z:Z),"")</f>
        <v/>
      </c>
      <c r="Q2790" s="86" t="str">
        <f t="shared" si="2"/>
        <v/>
      </c>
      <c r="R2790" s="13" t="str">
        <f t="shared" si="3"/>
        <v>Yes</v>
      </c>
      <c r="S2790" s="86" t="str">
        <f t="array" ref="S2790">iferror(XLOOKUP(C2790,'Download of SFDC Activation Rep'!B:B,'Download of SFDC Activation Rep'!Y:Y),"")</f>
        <v/>
      </c>
    </row>
    <row r="2791">
      <c r="A2791" s="17"/>
      <c r="B2791" s="85"/>
      <c r="C2791" s="17"/>
      <c r="D2791" s="85"/>
      <c r="E2791" s="17"/>
      <c r="F2791" s="17"/>
      <c r="G2791" s="17"/>
      <c r="I2791" s="17"/>
      <c r="K2791" s="17"/>
      <c r="L2791" s="17"/>
      <c r="M2791" s="17"/>
      <c r="O2791" s="14">
        <f t="shared" si="1"/>
        <v>0</v>
      </c>
      <c r="P2791" s="86" t="str">
        <f t="array" ref="P2791">iferror(XLOOKUP(C2791,'Download of SFDC Activation Rep'!B:B,'Download of SFDC Activation Rep'!Z:Z),"")</f>
        <v/>
      </c>
      <c r="Q2791" s="86" t="str">
        <f t="shared" si="2"/>
        <v/>
      </c>
      <c r="R2791" s="13" t="str">
        <f t="shared" si="3"/>
        <v>Yes</v>
      </c>
      <c r="S2791" s="86" t="str">
        <f t="array" ref="S2791">iferror(XLOOKUP(C2791,'Download of SFDC Activation Rep'!B:B,'Download of SFDC Activation Rep'!Y:Y),"")</f>
        <v/>
      </c>
    </row>
    <row r="2792">
      <c r="A2792" s="17"/>
      <c r="B2792" s="85"/>
      <c r="C2792" s="17"/>
      <c r="D2792" s="85"/>
      <c r="E2792" s="17"/>
      <c r="F2792" s="17"/>
      <c r="G2792" s="17"/>
      <c r="I2792" s="17"/>
      <c r="K2792" s="17"/>
      <c r="L2792" s="17"/>
      <c r="M2792" s="17"/>
      <c r="O2792" s="14">
        <f t="shared" si="1"/>
        <v>0</v>
      </c>
      <c r="P2792" s="86" t="str">
        <f t="array" ref="P2792">iferror(XLOOKUP(C2792,'Download of SFDC Activation Rep'!B:B,'Download of SFDC Activation Rep'!Z:Z),"")</f>
        <v/>
      </c>
      <c r="Q2792" s="86" t="str">
        <f t="shared" si="2"/>
        <v/>
      </c>
      <c r="R2792" s="13" t="str">
        <f t="shared" si="3"/>
        <v>Yes</v>
      </c>
      <c r="S2792" s="86" t="str">
        <f t="array" ref="S2792">iferror(XLOOKUP(C2792,'Download of SFDC Activation Rep'!B:B,'Download of SFDC Activation Rep'!Y:Y),"")</f>
        <v/>
      </c>
    </row>
    <row r="2793">
      <c r="A2793" s="17"/>
      <c r="B2793" s="85"/>
      <c r="C2793" s="17"/>
      <c r="D2793" s="85"/>
      <c r="E2793" s="17"/>
      <c r="F2793" s="17"/>
      <c r="G2793" s="17"/>
      <c r="I2793" s="17"/>
      <c r="K2793" s="17"/>
      <c r="L2793" s="17"/>
      <c r="M2793" s="17"/>
      <c r="O2793" s="14">
        <f t="shared" si="1"/>
        <v>0</v>
      </c>
      <c r="P2793" s="86" t="str">
        <f t="array" ref="P2793">iferror(XLOOKUP(C2793,'Download of SFDC Activation Rep'!B:B,'Download of SFDC Activation Rep'!Z:Z),"")</f>
        <v/>
      </c>
      <c r="Q2793" s="86" t="str">
        <f t="shared" si="2"/>
        <v/>
      </c>
      <c r="R2793" s="13" t="str">
        <f t="shared" si="3"/>
        <v>Yes</v>
      </c>
      <c r="S2793" s="86" t="str">
        <f t="array" ref="S2793">iferror(XLOOKUP(C2793,'Download of SFDC Activation Rep'!B:B,'Download of SFDC Activation Rep'!Y:Y),"")</f>
        <v/>
      </c>
    </row>
    <row r="2794">
      <c r="A2794" s="17"/>
      <c r="B2794" s="85"/>
      <c r="C2794" s="17"/>
      <c r="D2794" s="85"/>
      <c r="E2794" s="17"/>
      <c r="F2794" s="17"/>
      <c r="G2794" s="17"/>
      <c r="I2794" s="17"/>
      <c r="K2794" s="17"/>
      <c r="L2794" s="17"/>
      <c r="M2794" s="17"/>
      <c r="O2794" s="14">
        <f t="shared" si="1"/>
        <v>0</v>
      </c>
      <c r="P2794" s="86" t="str">
        <f t="array" ref="P2794">iferror(XLOOKUP(C2794,'Download of SFDC Activation Rep'!B:B,'Download of SFDC Activation Rep'!Z:Z),"")</f>
        <v/>
      </c>
      <c r="Q2794" s="86" t="str">
        <f t="shared" si="2"/>
        <v/>
      </c>
      <c r="R2794" s="13" t="str">
        <f t="shared" si="3"/>
        <v>Yes</v>
      </c>
      <c r="S2794" s="86" t="str">
        <f t="array" ref="S2794">iferror(XLOOKUP(C2794,'Download of SFDC Activation Rep'!B:B,'Download of SFDC Activation Rep'!Y:Y),"")</f>
        <v/>
      </c>
    </row>
    <row r="2795">
      <c r="A2795" s="17"/>
      <c r="B2795" s="85"/>
      <c r="C2795" s="17"/>
      <c r="D2795" s="85"/>
      <c r="E2795" s="17"/>
      <c r="F2795" s="17"/>
      <c r="G2795" s="17"/>
      <c r="I2795" s="17"/>
      <c r="K2795" s="17"/>
      <c r="L2795" s="17"/>
      <c r="M2795" s="17"/>
      <c r="O2795" s="14">
        <f t="shared" si="1"/>
        <v>0</v>
      </c>
      <c r="P2795" s="86" t="str">
        <f t="array" ref="P2795">iferror(XLOOKUP(C2795,'Download of SFDC Activation Rep'!B:B,'Download of SFDC Activation Rep'!Z:Z),"")</f>
        <v/>
      </c>
      <c r="Q2795" s="86" t="str">
        <f t="shared" si="2"/>
        <v/>
      </c>
      <c r="R2795" s="13" t="str">
        <f t="shared" si="3"/>
        <v>Yes</v>
      </c>
      <c r="S2795" s="86" t="str">
        <f t="array" ref="S2795">iferror(XLOOKUP(C2795,'Download of SFDC Activation Rep'!B:B,'Download of SFDC Activation Rep'!Y:Y),"")</f>
        <v/>
      </c>
    </row>
    <row r="2796">
      <c r="A2796" s="17"/>
      <c r="B2796" s="85"/>
      <c r="C2796" s="17"/>
      <c r="D2796" s="85"/>
      <c r="E2796" s="17"/>
      <c r="F2796" s="17"/>
      <c r="G2796" s="17"/>
      <c r="I2796" s="17"/>
      <c r="K2796" s="17"/>
      <c r="L2796" s="17"/>
      <c r="M2796" s="17"/>
      <c r="O2796" s="14">
        <f t="shared" si="1"/>
        <v>0</v>
      </c>
      <c r="P2796" s="86" t="str">
        <f t="array" ref="P2796">iferror(XLOOKUP(C2796,'Download of SFDC Activation Rep'!B:B,'Download of SFDC Activation Rep'!Z:Z),"")</f>
        <v/>
      </c>
      <c r="Q2796" s="86" t="str">
        <f t="shared" si="2"/>
        <v/>
      </c>
      <c r="R2796" s="13" t="str">
        <f t="shared" si="3"/>
        <v>Yes</v>
      </c>
      <c r="S2796" s="86" t="str">
        <f t="array" ref="S2796">iferror(XLOOKUP(C2796,'Download of SFDC Activation Rep'!B:B,'Download of SFDC Activation Rep'!Y:Y),"")</f>
        <v/>
      </c>
    </row>
    <row r="2797">
      <c r="A2797" s="17"/>
      <c r="B2797" s="85"/>
      <c r="C2797" s="17"/>
      <c r="D2797" s="85"/>
      <c r="E2797" s="17"/>
      <c r="F2797" s="17"/>
      <c r="G2797" s="17"/>
      <c r="I2797" s="17"/>
      <c r="K2797" s="17"/>
      <c r="L2797" s="17"/>
      <c r="M2797" s="17"/>
      <c r="O2797" s="14">
        <f t="shared" si="1"/>
        <v>0</v>
      </c>
      <c r="P2797" s="86" t="str">
        <f t="array" ref="P2797">iferror(XLOOKUP(C2797,'Download of SFDC Activation Rep'!B:B,'Download of SFDC Activation Rep'!Z:Z),"")</f>
        <v/>
      </c>
      <c r="Q2797" s="86" t="str">
        <f t="shared" si="2"/>
        <v/>
      </c>
      <c r="R2797" s="13" t="str">
        <f t="shared" si="3"/>
        <v>Yes</v>
      </c>
      <c r="S2797" s="86" t="str">
        <f t="array" ref="S2797">iferror(XLOOKUP(C2797,'Download of SFDC Activation Rep'!B:B,'Download of SFDC Activation Rep'!Y:Y),"")</f>
        <v/>
      </c>
    </row>
    <row r="2798">
      <c r="A2798" s="17"/>
      <c r="B2798" s="85"/>
      <c r="C2798" s="17"/>
      <c r="D2798" s="85"/>
      <c r="E2798" s="17"/>
      <c r="F2798" s="17"/>
      <c r="G2798" s="17"/>
      <c r="I2798" s="17"/>
      <c r="K2798" s="17"/>
      <c r="L2798" s="17"/>
      <c r="M2798" s="17"/>
      <c r="O2798" s="14">
        <f t="shared" si="1"/>
        <v>0</v>
      </c>
      <c r="P2798" s="86" t="str">
        <f t="array" ref="P2798">iferror(XLOOKUP(C2798,'Download of SFDC Activation Rep'!B:B,'Download of SFDC Activation Rep'!Z:Z),"")</f>
        <v/>
      </c>
      <c r="Q2798" s="86" t="str">
        <f t="shared" si="2"/>
        <v/>
      </c>
      <c r="R2798" s="13" t="str">
        <f t="shared" si="3"/>
        <v>Yes</v>
      </c>
      <c r="S2798" s="86" t="str">
        <f t="array" ref="S2798">iferror(XLOOKUP(C2798,'Download of SFDC Activation Rep'!B:B,'Download of SFDC Activation Rep'!Y:Y),"")</f>
        <v/>
      </c>
    </row>
    <row r="2799">
      <c r="A2799" s="17"/>
      <c r="B2799" s="85"/>
      <c r="C2799" s="17"/>
      <c r="D2799" s="85"/>
      <c r="E2799" s="17"/>
      <c r="F2799" s="17"/>
      <c r="G2799" s="17"/>
      <c r="I2799" s="17"/>
      <c r="K2799" s="17"/>
      <c r="L2799" s="17"/>
      <c r="M2799" s="17"/>
      <c r="O2799" s="14">
        <f t="shared" si="1"/>
        <v>0</v>
      </c>
      <c r="P2799" s="86" t="str">
        <f t="array" ref="P2799">iferror(XLOOKUP(C2799,'Download of SFDC Activation Rep'!B:B,'Download of SFDC Activation Rep'!Z:Z),"")</f>
        <v/>
      </c>
      <c r="Q2799" s="86" t="str">
        <f t="shared" si="2"/>
        <v/>
      </c>
      <c r="R2799" s="13" t="str">
        <f t="shared" si="3"/>
        <v>Yes</v>
      </c>
      <c r="S2799" s="86" t="str">
        <f t="array" ref="S2799">iferror(XLOOKUP(C2799,'Download of SFDC Activation Rep'!B:B,'Download of SFDC Activation Rep'!Y:Y),"")</f>
        <v/>
      </c>
    </row>
    <row r="2800">
      <c r="A2800" s="17"/>
      <c r="B2800" s="85"/>
      <c r="C2800" s="17"/>
      <c r="D2800" s="85"/>
      <c r="E2800" s="17"/>
      <c r="F2800" s="17"/>
      <c r="G2800" s="17"/>
      <c r="I2800" s="17"/>
      <c r="K2800" s="17"/>
      <c r="L2800" s="17"/>
      <c r="M2800" s="17"/>
      <c r="O2800" s="14">
        <f t="shared" si="1"/>
        <v>0</v>
      </c>
      <c r="P2800" s="86" t="str">
        <f t="array" ref="P2800">iferror(XLOOKUP(C2800,'Download of SFDC Activation Rep'!B:B,'Download of SFDC Activation Rep'!Z:Z),"")</f>
        <v/>
      </c>
      <c r="Q2800" s="86" t="str">
        <f t="shared" si="2"/>
        <v/>
      </c>
      <c r="R2800" s="13" t="str">
        <f t="shared" si="3"/>
        <v>Yes</v>
      </c>
      <c r="S2800" s="86" t="str">
        <f t="array" ref="S2800">iferror(XLOOKUP(C2800,'Download of SFDC Activation Rep'!B:B,'Download of SFDC Activation Rep'!Y:Y),"")</f>
        <v/>
      </c>
    </row>
    <row r="2801">
      <c r="A2801" s="17"/>
      <c r="B2801" s="85"/>
      <c r="C2801" s="17"/>
      <c r="D2801" s="85"/>
      <c r="E2801" s="17"/>
      <c r="F2801" s="17"/>
      <c r="G2801" s="17"/>
      <c r="I2801" s="17"/>
      <c r="K2801" s="17"/>
      <c r="L2801" s="17"/>
      <c r="M2801" s="17"/>
      <c r="O2801" s="14">
        <f t="shared" si="1"/>
        <v>0</v>
      </c>
      <c r="P2801" s="86" t="str">
        <f t="array" ref="P2801">iferror(XLOOKUP(C2801,'Download of SFDC Activation Rep'!B:B,'Download of SFDC Activation Rep'!Z:Z),"")</f>
        <v/>
      </c>
      <c r="Q2801" s="86" t="str">
        <f t="shared" si="2"/>
        <v/>
      </c>
      <c r="R2801" s="13" t="str">
        <f t="shared" si="3"/>
        <v>Yes</v>
      </c>
      <c r="S2801" s="86" t="str">
        <f t="array" ref="S2801">iferror(XLOOKUP(C2801,'Download of SFDC Activation Rep'!B:B,'Download of SFDC Activation Rep'!Y:Y),"")</f>
        <v/>
      </c>
    </row>
    <row r="2802">
      <c r="A2802" s="17"/>
      <c r="B2802" s="85"/>
      <c r="C2802" s="17"/>
      <c r="D2802" s="85"/>
      <c r="E2802" s="17"/>
      <c r="F2802" s="17"/>
      <c r="G2802" s="17"/>
      <c r="I2802" s="17"/>
      <c r="K2802" s="17"/>
      <c r="L2802" s="17"/>
      <c r="M2802" s="17"/>
      <c r="O2802" s="14">
        <f t="shared" si="1"/>
        <v>0</v>
      </c>
      <c r="P2802" s="86" t="str">
        <f t="array" ref="P2802">iferror(XLOOKUP(C2802,'Download of SFDC Activation Rep'!B:B,'Download of SFDC Activation Rep'!Z:Z),"")</f>
        <v/>
      </c>
      <c r="Q2802" s="86" t="str">
        <f t="shared" si="2"/>
        <v/>
      </c>
      <c r="R2802" s="13" t="str">
        <f t="shared" si="3"/>
        <v>Yes</v>
      </c>
      <c r="S2802" s="86" t="str">
        <f t="array" ref="S2802">iferror(XLOOKUP(C2802,'Download of SFDC Activation Rep'!B:B,'Download of SFDC Activation Rep'!Y:Y),"")</f>
        <v/>
      </c>
    </row>
    <row r="2803">
      <c r="A2803" s="17"/>
      <c r="B2803" s="85"/>
      <c r="C2803" s="17"/>
      <c r="D2803" s="85"/>
      <c r="E2803" s="17"/>
      <c r="F2803" s="17"/>
      <c r="G2803" s="17"/>
      <c r="I2803" s="17"/>
      <c r="K2803" s="17"/>
      <c r="L2803" s="17"/>
      <c r="M2803" s="17"/>
      <c r="O2803" s="14">
        <f t="shared" si="1"/>
        <v>0</v>
      </c>
      <c r="P2803" s="86" t="str">
        <f t="array" ref="P2803">iferror(XLOOKUP(C2803,'Download of SFDC Activation Rep'!B:B,'Download of SFDC Activation Rep'!Z:Z),"")</f>
        <v/>
      </c>
      <c r="Q2803" s="86" t="str">
        <f t="shared" si="2"/>
        <v/>
      </c>
      <c r="R2803" s="13" t="str">
        <f t="shared" si="3"/>
        <v>Yes</v>
      </c>
      <c r="S2803" s="86" t="str">
        <f t="array" ref="S2803">iferror(XLOOKUP(C2803,'Download of SFDC Activation Rep'!B:B,'Download of SFDC Activation Rep'!Y:Y),"")</f>
        <v/>
      </c>
    </row>
    <row r="2804">
      <c r="A2804" s="17"/>
      <c r="B2804" s="85"/>
      <c r="C2804" s="17"/>
      <c r="D2804" s="85"/>
      <c r="E2804" s="17"/>
      <c r="F2804" s="17"/>
      <c r="G2804" s="17"/>
      <c r="I2804" s="17"/>
      <c r="K2804" s="17"/>
      <c r="L2804" s="17"/>
      <c r="M2804" s="17"/>
      <c r="O2804" s="14">
        <f t="shared" si="1"/>
        <v>0</v>
      </c>
      <c r="P2804" s="86" t="str">
        <f t="array" ref="P2804">iferror(XLOOKUP(C2804,'Download of SFDC Activation Rep'!B:B,'Download of SFDC Activation Rep'!Z:Z),"")</f>
        <v/>
      </c>
      <c r="Q2804" s="86" t="str">
        <f t="shared" si="2"/>
        <v/>
      </c>
      <c r="R2804" s="13" t="str">
        <f t="shared" si="3"/>
        <v>Yes</v>
      </c>
      <c r="S2804" s="86" t="str">
        <f t="array" ref="S2804">iferror(XLOOKUP(C2804,'Download of SFDC Activation Rep'!B:B,'Download of SFDC Activation Rep'!Y:Y),"")</f>
        <v/>
      </c>
    </row>
    <row r="2805">
      <c r="A2805" s="17"/>
      <c r="B2805" s="85"/>
      <c r="C2805" s="17"/>
      <c r="D2805" s="85"/>
      <c r="E2805" s="17"/>
      <c r="F2805" s="17"/>
      <c r="G2805" s="17"/>
      <c r="I2805" s="17"/>
      <c r="K2805" s="17"/>
      <c r="L2805" s="17"/>
      <c r="M2805" s="17"/>
      <c r="O2805" s="14">
        <f t="shared" si="1"/>
        <v>0</v>
      </c>
      <c r="P2805" s="86" t="str">
        <f t="array" ref="P2805">iferror(XLOOKUP(C2805,'Download of SFDC Activation Rep'!B:B,'Download of SFDC Activation Rep'!Z:Z),"")</f>
        <v/>
      </c>
      <c r="Q2805" s="86" t="str">
        <f t="shared" si="2"/>
        <v/>
      </c>
      <c r="R2805" s="13" t="str">
        <f t="shared" si="3"/>
        <v>Yes</v>
      </c>
      <c r="S2805" s="86" t="str">
        <f t="array" ref="S2805">iferror(XLOOKUP(C2805,'Download of SFDC Activation Rep'!B:B,'Download of SFDC Activation Rep'!Y:Y),"")</f>
        <v/>
      </c>
    </row>
    <row r="2806">
      <c r="A2806" s="17"/>
      <c r="B2806" s="85"/>
      <c r="C2806" s="17"/>
      <c r="D2806" s="85"/>
      <c r="E2806" s="17"/>
      <c r="F2806" s="17"/>
      <c r="G2806" s="17"/>
      <c r="I2806" s="17"/>
      <c r="K2806" s="17"/>
      <c r="L2806" s="17"/>
      <c r="M2806" s="17"/>
      <c r="O2806" s="14">
        <f t="shared" si="1"/>
        <v>0</v>
      </c>
      <c r="P2806" s="86" t="str">
        <f t="array" ref="P2806">iferror(XLOOKUP(C2806,'Download of SFDC Activation Rep'!B:B,'Download of SFDC Activation Rep'!Z:Z),"")</f>
        <v/>
      </c>
      <c r="Q2806" s="86" t="str">
        <f t="shared" si="2"/>
        <v/>
      </c>
      <c r="R2806" s="13" t="str">
        <f t="shared" si="3"/>
        <v>Yes</v>
      </c>
      <c r="S2806" s="86" t="str">
        <f t="array" ref="S2806">iferror(XLOOKUP(C2806,'Download of SFDC Activation Rep'!B:B,'Download of SFDC Activation Rep'!Y:Y),"")</f>
        <v/>
      </c>
    </row>
    <row r="2807">
      <c r="A2807" s="17"/>
      <c r="B2807" s="85"/>
      <c r="C2807" s="17"/>
      <c r="D2807" s="85"/>
      <c r="E2807" s="17"/>
      <c r="F2807" s="17"/>
      <c r="G2807" s="17"/>
      <c r="I2807" s="17"/>
      <c r="K2807" s="17"/>
      <c r="L2807" s="17"/>
      <c r="M2807" s="17"/>
      <c r="O2807" s="14">
        <f t="shared" si="1"/>
        <v>0</v>
      </c>
      <c r="P2807" s="86" t="str">
        <f t="array" ref="P2807">iferror(XLOOKUP(C2807,'Download of SFDC Activation Rep'!B:B,'Download of SFDC Activation Rep'!Z:Z),"")</f>
        <v/>
      </c>
      <c r="Q2807" s="86" t="str">
        <f t="shared" si="2"/>
        <v/>
      </c>
      <c r="R2807" s="13" t="str">
        <f t="shared" si="3"/>
        <v>Yes</v>
      </c>
      <c r="S2807" s="86" t="str">
        <f t="array" ref="S2807">iferror(XLOOKUP(C2807,'Download of SFDC Activation Rep'!B:B,'Download of SFDC Activation Rep'!Y:Y),"")</f>
        <v/>
      </c>
    </row>
    <row r="2808">
      <c r="A2808" s="17"/>
      <c r="B2808" s="85"/>
      <c r="C2808" s="17"/>
      <c r="D2808" s="85"/>
      <c r="E2808" s="17"/>
      <c r="F2808" s="17"/>
      <c r="G2808" s="17"/>
      <c r="I2808" s="17"/>
      <c r="K2808" s="17"/>
      <c r="L2808" s="17"/>
      <c r="M2808" s="17"/>
      <c r="O2808" s="14">
        <f t="shared" si="1"/>
        <v>0</v>
      </c>
      <c r="P2808" s="86" t="str">
        <f t="array" ref="P2808">iferror(XLOOKUP(C2808,'Download of SFDC Activation Rep'!B:B,'Download of SFDC Activation Rep'!Z:Z),"")</f>
        <v/>
      </c>
      <c r="Q2808" s="86" t="str">
        <f t="shared" si="2"/>
        <v/>
      </c>
      <c r="R2808" s="13" t="str">
        <f t="shared" si="3"/>
        <v>Yes</v>
      </c>
      <c r="S2808" s="86" t="str">
        <f t="array" ref="S2808">iferror(XLOOKUP(C2808,'Download of SFDC Activation Rep'!B:B,'Download of SFDC Activation Rep'!Y:Y),"")</f>
        <v/>
      </c>
    </row>
    <row r="2809">
      <c r="A2809" s="17"/>
      <c r="B2809" s="85"/>
      <c r="C2809" s="17"/>
      <c r="D2809" s="85"/>
      <c r="E2809" s="17"/>
      <c r="F2809" s="17"/>
      <c r="G2809" s="17"/>
      <c r="I2809" s="17"/>
      <c r="K2809" s="17"/>
      <c r="L2809" s="17"/>
      <c r="M2809" s="17"/>
      <c r="O2809" s="14">
        <f t="shared" si="1"/>
        <v>0</v>
      </c>
      <c r="P2809" s="86" t="str">
        <f t="array" ref="P2809">iferror(XLOOKUP(C2809,'Download of SFDC Activation Rep'!B:B,'Download of SFDC Activation Rep'!Z:Z),"")</f>
        <v/>
      </c>
      <c r="Q2809" s="86" t="str">
        <f t="shared" si="2"/>
        <v/>
      </c>
      <c r="R2809" s="13" t="str">
        <f t="shared" si="3"/>
        <v>Yes</v>
      </c>
      <c r="S2809" s="86" t="str">
        <f t="array" ref="S2809">iferror(XLOOKUP(C2809,'Download of SFDC Activation Rep'!B:B,'Download of SFDC Activation Rep'!Y:Y),"")</f>
        <v/>
      </c>
    </row>
    <row r="2810">
      <c r="A2810" s="17"/>
      <c r="B2810" s="85"/>
      <c r="C2810" s="17"/>
      <c r="D2810" s="85"/>
      <c r="E2810" s="17"/>
      <c r="F2810" s="17"/>
      <c r="G2810" s="17"/>
      <c r="I2810" s="17"/>
      <c r="K2810" s="17"/>
      <c r="L2810" s="17"/>
      <c r="M2810" s="17"/>
      <c r="O2810" s="14">
        <f t="shared" si="1"/>
        <v>0</v>
      </c>
      <c r="P2810" s="86" t="str">
        <f t="array" ref="P2810">iferror(XLOOKUP(C2810,'Download of SFDC Activation Rep'!B:B,'Download of SFDC Activation Rep'!Z:Z),"")</f>
        <v/>
      </c>
      <c r="Q2810" s="86" t="str">
        <f t="shared" si="2"/>
        <v/>
      </c>
      <c r="R2810" s="13" t="str">
        <f t="shared" si="3"/>
        <v>Yes</v>
      </c>
      <c r="S2810" s="86" t="str">
        <f t="array" ref="S2810">iferror(XLOOKUP(C2810,'Download of SFDC Activation Rep'!B:B,'Download of SFDC Activation Rep'!Y:Y),"")</f>
        <v/>
      </c>
    </row>
    <row r="2811">
      <c r="A2811" s="17"/>
      <c r="B2811" s="85"/>
      <c r="C2811" s="17"/>
      <c r="D2811" s="85"/>
      <c r="E2811" s="17"/>
      <c r="F2811" s="17"/>
      <c r="G2811" s="17"/>
      <c r="I2811" s="17"/>
      <c r="K2811" s="17"/>
      <c r="L2811" s="17"/>
      <c r="M2811" s="17"/>
      <c r="O2811" s="14">
        <f t="shared" si="1"/>
        <v>0</v>
      </c>
      <c r="P2811" s="86" t="str">
        <f t="array" ref="P2811">iferror(XLOOKUP(C2811,'Download of SFDC Activation Rep'!B:B,'Download of SFDC Activation Rep'!Z:Z),"")</f>
        <v/>
      </c>
      <c r="Q2811" s="86" t="str">
        <f t="shared" si="2"/>
        <v/>
      </c>
      <c r="R2811" s="13" t="str">
        <f t="shared" si="3"/>
        <v>Yes</v>
      </c>
      <c r="S2811" s="86" t="str">
        <f t="array" ref="S2811">iferror(XLOOKUP(C2811,'Download of SFDC Activation Rep'!B:B,'Download of SFDC Activation Rep'!Y:Y),"")</f>
        <v/>
      </c>
    </row>
    <row r="2812">
      <c r="A2812" s="17"/>
      <c r="B2812" s="85"/>
      <c r="C2812" s="17"/>
      <c r="D2812" s="85"/>
      <c r="E2812" s="17"/>
      <c r="F2812" s="17"/>
      <c r="G2812" s="17"/>
      <c r="I2812" s="17"/>
      <c r="K2812" s="17"/>
      <c r="L2812" s="17"/>
      <c r="M2812" s="17"/>
      <c r="O2812" s="14">
        <f t="shared" si="1"/>
        <v>0</v>
      </c>
      <c r="P2812" s="86" t="str">
        <f t="array" ref="P2812">iferror(XLOOKUP(C2812,'Download of SFDC Activation Rep'!B:B,'Download of SFDC Activation Rep'!Z:Z),"")</f>
        <v/>
      </c>
      <c r="Q2812" s="86" t="str">
        <f t="shared" si="2"/>
        <v/>
      </c>
      <c r="R2812" s="13" t="str">
        <f t="shared" si="3"/>
        <v>Yes</v>
      </c>
      <c r="S2812" s="86" t="str">
        <f t="array" ref="S2812">iferror(XLOOKUP(C2812,'Download of SFDC Activation Rep'!B:B,'Download of SFDC Activation Rep'!Y:Y),"")</f>
        <v/>
      </c>
    </row>
    <row r="2813">
      <c r="A2813" s="17"/>
      <c r="B2813" s="85"/>
      <c r="C2813" s="17"/>
      <c r="D2813" s="85"/>
      <c r="E2813" s="17"/>
      <c r="F2813" s="17"/>
      <c r="G2813" s="17"/>
      <c r="I2813" s="17"/>
      <c r="K2813" s="17"/>
      <c r="L2813" s="17"/>
      <c r="M2813" s="17"/>
      <c r="O2813" s="14">
        <f t="shared" si="1"/>
        <v>0</v>
      </c>
      <c r="P2813" s="86" t="str">
        <f t="array" ref="P2813">iferror(XLOOKUP(C2813,'Download of SFDC Activation Rep'!B:B,'Download of SFDC Activation Rep'!Z:Z),"")</f>
        <v/>
      </c>
      <c r="Q2813" s="86" t="str">
        <f t="shared" si="2"/>
        <v/>
      </c>
      <c r="R2813" s="13" t="str">
        <f t="shared" si="3"/>
        <v>Yes</v>
      </c>
      <c r="S2813" s="86" t="str">
        <f t="array" ref="S2813">iferror(XLOOKUP(C2813,'Download of SFDC Activation Rep'!B:B,'Download of SFDC Activation Rep'!Y:Y),"")</f>
        <v/>
      </c>
    </row>
    <row r="2814">
      <c r="A2814" s="17"/>
      <c r="B2814" s="85"/>
      <c r="C2814" s="17"/>
      <c r="D2814" s="85"/>
      <c r="E2814" s="17"/>
      <c r="F2814" s="17"/>
      <c r="G2814" s="17"/>
      <c r="I2814" s="17"/>
      <c r="K2814" s="17"/>
      <c r="L2814" s="17"/>
      <c r="M2814" s="17"/>
      <c r="O2814" s="14">
        <f t="shared" si="1"/>
        <v>0</v>
      </c>
      <c r="P2814" s="86" t="str">
        <f t="array" ref="P2814">iferror(XLOOKUP(C2814,'Download of SFDC Activation Rep'!B:B,'Download of SFDC Activation Rep'!Z:Z),"")</f>
        <v/>
      </c>
      <c r="Q2814" s="86" t="str">
        <f t="shared" si="2"/>
        <v/>
      </c>
      <c r="R2814" s="13" t="str">
        <f t="shared" si="3"/>
        <v>Yes</v>
      </c>
      <c r="S2814" s="86" t="str">
        <f t="array" ref="S2814">iferror(XLOOKUP(C2814,'Download of SFDC Activation Rep'!B:B,'Download of SFDC Activation Rep'!Y:Y),"")</f>
        <v/>
      </c>
    </row>
    <row r="2815">
      <c r="A2815" s="17"/>
      <c r="B2815" s="85"/>
      <c r="C2815" s="17"/>
      <c r="D2815" s="85"/>
      <c r="E2815" s="17"/>
      <c r="F2815" s="17"/>
      <c r="G2815" s="17"/>
      <c r="I2815" s="17"/>
      <c r="K2815" s="17"/>
      <c r="L2815" s="17"/>
      <c r="M2815" s="17"/>
      <c r="O2815" s="14">
        <f t="shared" si="1"/>
        <v>0</v>
      </c>
      <c r="P2815" s="86" t="str">
        <f t="array" ref="P2815">iferror(XLOOKUP(C2815,'Download of SFDC Activation Rep'!B:B,'Download of SFDC Activation Rep'!Z:Z),"")</f>
        <v/>
      </c>
      <c r="Q2815" s="86" t="str">
        <f t="shared" si="2"/>
        <v/>
      </c>
      <c r="R2815" s="13" t="str">
        <f t="shared" si="3"/>
        <v>Yes</v>
      </c>
      <c r="S2815" s="86" t="str">
        <f t="array" ref="S2815">iferror(XLOOKUP(C2815,'Download of SFDC Activation Rep'!B:B,'Download of SFDC Activation Rep'!Y:Y),"")</f>
        <v/>
      </c>
    </row>
    <row r="2816">
      <c r="A2816" s="17"/>
      <c r="B2816" s="85"/>
      <c r="C2816" s="17"/>
      <c r="D2816" s="85"/>
      <c r="E2816" s="17"/>
      <c r="F2816" s="17"/>
      <c r="G2816" s="17"/>
      <c r="I2816" s="17"/>
      <c r="K2816" s="17"/>
      <c r="L2816" s="17"/>
      <c r="M2816" s="17"/>
      <c r="O2816" s="14">
        <f t="shared" si="1"/>
        <v>0</v>
      </c>
      <c r="P2816" s="86" t="str">
        <f t="array" ref="P2816">iferror(XLOOKUP(C2816,'Download of SFDC Activation Rep'!B:B,'Download of SFDC Activation Rep'!Z:Z),"")</f>
        <v/>
      </c>
      <c r="Q2816" s="86" t="str">
        <f t="shared" si="2"/>
        <v/>
      </c>
      <c r="R2816" s="13" t="str">
        <f t="shared" si="3"/>
        <v>Yes</v>
      </c>
      <c r="S2816" s="86" t="str">
        <f t="array" ref="S2816">iferror(XLOOKUP(C2816,'Download of SFDC Activation Rep'!B:B,'Download of SFDC Activation Rep'!Y:Y),"")</f>
        <v/>
      </c>
    </row>
    <row r="2817">
      <c r="A2817" s="17"/>
      <c r="B2817" s="85"/>
      <c r="C2817" s="17"/>
      <c r="D2817" s="85"/>
      <c r="E2817" s="17"/>
      <c r="F2817" s="17"/>
      <c r="G2817" s="17"/>
      <c r="I2817" s="17"/>
      <c r="K2817" s="17"/>
      <c r="L2817" s="17"/>
      <c r="M2817" s="17"/>
      <c r="O2817" s="14">
        <f t="shared" si="1"/>
        <v>0</v>
      </c>
      <c r="P2817" s="86" t="str">
        <f t="array" ref="P2817">iferror(XLOOKUP(C2817,'Download of SFDC Activation Rep'!B:B,'Download of SFDC Activation Rep'!Z:Z),"")</f>
        <v/>
      </c>
      <c r="Q2817" s="86" t="str">
        <f t="shared" si="2"/>
        <v/>
      </c>
      <c r="R2817" s="13" t="str">
        <f t="shared" si="3"/>
        <v>Yes</v>
      </c>
      <c r="S2817" s="86" t="str">
        <f t="array" ref="S2817">iferror(XLOOKUP(C2817,'Download of SFDC Activation Rep'!B:B,'Download of SFDC Activation Rep'!Y:Y),"")</f>
        <v/>
      </c>
    </row>
    <row r="2818">
      <c r="A2818" s="17"/>
      <c r="B2818" s="85"/>
      <c r="C2818" s="17"/>
      <c r="D2818" s="85"/>
      <c r="E2818" s="17"/>
      <c r="F2818" s="17"/>
      <c r="G2818" s="17"/>
      <c r="I2818" s="17"/>
      <c r="K2818" s="17"/>
      <c r="L2818" s="17"/>
      <c r="M2818" s="17"/>
      <c r="O2818" s="14">
        <f t="shared" si="1"/>
        <v>0</v>
      </c>
      <c r="P2818" s="86" t="str">
        <f t="array" ref="P2818">iferror(XLOOKUP(C2818,'Download of SFDC Activation Rep'!B:B,'Download of SFDC Activation Rep'!Z:Z),"")</f>
        <v/>
      </c>
      <c r="Q2818" s="86" t="str">
        <f t="shared" si="2"/>
        <v/>
      </c>
      <c r="R2818" s="13" t="str">
        <f t="shared" si="3"/>
        <v>Yes</v>
      </c>
      <c r="S2818" s="86" t="str">
        <f t="array" ref="S2818">iferror(XLOOKUP(C2818,'Download of SFDC Activation Rep'!B:B,'Download of SFDC Activation Rep'!Y:Y),"")</f>
        <v/>
      </c>
    </row>
    <row r="2819">
      <c r="A2819" s="17"/>
      <c r="B2819" s="85"/>
      <c r="C2819" s="17"/>
      <c r="D2819" s="85"/>
      <c r="E2819" s="17"/>
      <c r="F2819" s="17"/>
      <c r="G2819" s="17"/>
      <c r="I2819" s="17"/>
      <c r="K2819" s="17"/>
      <c r="L2819" s="17"/>
      <c r="M2819" s="17"/>
      <c r="O2819" s="14">
        <f t="shared" si="1"/>
        <v>0</v>
      </c>
      <c r="P2819" s="86" t="str">
        <f t="array" ref="P2819">iferror(XLOOKUP(C2819,'Download of SFDC Activation Rep'!B:B,'Download of SFDC Activation Rep'!Z:Z),"")</f>
        <v/>
      </c>
      <c r="Q2819" s="86" t="str">
        <f t="shared" si="2"/>
        <v/>
      </c>
      <c r="R2819" s="13" t="str">
        <f t="shared" si="3"/>
        <v>Yes</v>
      </c>
      <c r="S2819" s="86" t="str">
        <f t="array" ref="S2819">iferror(XLOOKUP(C2819,'Download of SFDC Activation Rep'!B:B,'Download of SFDC Activation Rep'!Y:Y),"")</f>
        <v/>
      </c>
    </row>
    <row r="2820">
      <c r="A2820" s="17"/>
      <c r="B2820" s="85"/>
      <c r="C2820" s="17"/>
      <c r="D2820" s="85"/>
      <c r="E2820" s="17"/>
      <c r="F2820" s="17"/>
      <c r="G2820" s="17"/>
      <c r="I2820" s="17"/>
      <c r="K2820" s="17"/>
      <c r="L2820" s="17"/>
      <c r="M2820" s="17"/>
      <c r="O2820" s="14">
        <f t="shared" si="1"/>
        <v>0</v>
      </c>
      <c r="P2820" s="86" t="str">
        <f t="array" ref="P2820">iferror(XLOOKUP(C2820,'Download of SFDC Activation Rep'!B:B,'Download of SFDC Activation Rep'!Z:Z),"")</f>
        <v/>
      </c>
      <c r="Q2820" s="86" t="str">
        <f t="shared" si="2"/>
        <v/>
      </c>
      <c r="R2820" s="13" t="str">
        <f t="shared" si="3"/>
        <v>Yes</v>
      </c>
      <c r="S2820" s="86" t="str">
        <f t="array" ref="S2820">iferror(XLOOKUP(C2820,'Download of SFDC Activation Rep'!B:B,'Download of SFDC Activation Rep'!Y:Y),"")</f>
        <v/>
      </c>
    </row>
    <row r="2821">
      <c r="A2821" s="17"/>
      <c r="B2821" s="85"/>
      <c r="C2821" s="17"/>
      <c r="D2821" s="85"/>
      <c r="E2821" s="17"/>
      <c r="F2821" s="17"/>
      <c r="G2821" s="17"/>
      <c r="I2821" s="17"/>
      <c r="K2821" s="17"/>
      <c r="L2821" s="17"/>
      <c r="M2821" s="17"/>
      <c r="O2821" s="14">
        <f t="shared" si="1"/>
        <v>0</v>
      </c>
      <c r="P2821" s="86" t="str">
        <f t="array" ref="P2821">iferror(XLOOKUP(C2821,'Download of SFDC Activation Rep'!B:B,'Download of SFDC Activation Rep'!Z:Z),"")</f>
        <v/>
      </c>
      <c r="Q2821" s="86" t="str">
        <f t="shared" si="2"/>
        <v/>
      </c>
      <c r="R2821" s="13" t="str">
        <f t="shared" si="3"/>
        <v>Yes</v>
      </c>
      <c r="S2821" s="86" t="str">
        <f t="array" ref="S2821">iferror(XLOOKUP(C2821,'Download of SFDC Activation Rep'!B:B,'Download of SFDC Activation Rep'!Y:Y),"")</f>
        <v/>
      </c>
    </row>
    <row r="2822">
      <c r="A2822" s="17"/>
      <c r="B2822" s="85"/>
      <c r="C2822" s="17"/>
      <c r="D2822" s="85"/>
      <c r="E2822" s="17"/>
      <c r="F2822" s="17"/>
      <c r="G2822" s="17"/>
      <c r="I2822" s="17"/>
      <c r="K2822" s="17"/>
      <c r="L2822" s="17"/>
      <c r="M2822" s="17"/>
      <c r="O2822" s="14">
        <f t="shared" si="1"/>
        <v>0</v>
      </c>
      <c r="P2822" s="86" t="str">
        <f t="array" ref="P2822">iferror(XLOOKUP(C2822,'Download of SFDC Activation Rep'!B:B,'Download of SFDC Activation Rep'!Z:Z),"")</f>
        <v/>
      </c>
      <c r="Q2822" s="86" t="str">
        <f t="shared" si="2"/>
        <v/>
      </c>
      <c r="R2822" s="13" t="str">
        <f t="shared" si="3"/>
        <v>Yes</v>
      </c>
      <c r="S2822" s="86" t="str">
        <f t="array" ref="S2822">iferror(XLOOKUP(C2822,'Download of SFDC Activation Rep'!B:B,'Download of SFDC Activation Rep'!Y:Y),"")</f>
        <v/>
      </c>
    </row>
    <row r="2823">
      <c r="A2823" s="17"/>
      <c r="B2823" s="85"/>
      <c r="C2823" s="17"/>
      <c r="D2823" s="85"/>
      <c r="E2823" s="17"/>
      <c r="F2823" s="17"/>
      <c r="G2823" s="17"/>
      <c r="I2823" s="17"/>
      <c r="K2823" s="17"/>
      <c r="L2823" s="17"/>
      <c r="M2823" s="17"/>
      <c r="O2823" s="14">
        <f t="shared" si="1"/>
        <v>0</v>
      </c>
      <c r="P2823" s="86" t="str">
        <f t="array" ref="P2823">iferror(XLOOKUP(C2823,'Download of SFDC Activation Rep'!B:B,'Download of SFDC Activation Rep'!Z:Z),"")</f>
        <v/>
      </c>
      <c r="Q2823" s="86" t="str">
        <f t="shared" si="2"/>
        <v/>
      </c>
      <c r="R2823" s="13" t="str">
        <f t="shared" si="3"/>
        <v>Yes</v>
      </c>
      <c r="S2823" s="86" t="str">
        <f t="array" ref="S2823">iferror(XLOOKUP(C2823,'Download of SFDC Activation Rep'!B:B,'Download of SFDC Activation Rep'!Y:Y),"")</f>
        <v/>
      </c>
    </row>
    <row r="2824">
      <c r="A2824" s="17"/>
      <c r="B2824" s="85"/>
      <c r="C2824" s="17"/>
      <c r="D2824" s="85"/>
      <c r="E2824" s="17"/>
      <c r="F2824" s="17"/>
      <c r="G2824" s="17"/>
      <c r="I2824" s="17"/>
      <c r="K2824" s="17"/>
      <c r="L2824" s="17"/>
      <c r="M2824" s="17"/>
      <c r="O2824" s="14">
        <f t="shared" si="1"/>
        <v>0</v>
      </c>
      <c r="P2824" s="86" t="str">
        <f t="array" ref="P2824">iferror(XLOOKUP(C2824,'Download of SFDC Activation Rep'!B:B,'Download of SFDC Activation Rep'!Z:Z),"")</f>
        <v/>
      </c>
      <c r="Q2824" s="86" t="str">
        <f t="shared" si="2"/>
        <v/>
      </c>
      <c r="R2824" s="13" t="str">
        <f t="shared" si="3"/>
        <v>Yes</v>
      </c>
      <c r="S2824" s="86" t="str">
        <f t="array" ref="S2824">iferror(XLOOKUP(C2824,'Download of SFDC Activation Rep'!B:B,'Download of SFDC Activation Rep'!Y:Y),"")</f>
        <v/>
      </c>
    </row>
    <row r="2825">
      <c r="A2825" s="17"/>
      <c r="B2825" s="85"/>
      <c r="C2825" s="17"/>
      <c r="D2825" s="85"/>
      <c r="E2825" s="17"/>
      <c r="F2825" s="17"/>
      <c r="G2825" s="17"/>
      <c r="I2825" s="17"/>
      <c r="K2825" s="17"/>
      <c r="L2825" s="17"/>
      <c r="M2825" s="17"/>
      <c r="O2825" s="14">
        <f t="shared" si="1"/>
        <v>0</v>
      </c>
      <c r="P2825" s="86" t="str">
        <f t="array" ref="P2825">iferror(XLOOKUP(C2825,'Download of SFDC Activation Rep'!B:B,'Download of SFDC Activation Rep'!Z:Z),"")</f>
        <v/>
      </c>
      <c r="Q2825" s="86" t="str">
        <f t="shared" si="2"/>
        <v/>
      </c>
      <c r="R2825" s="13" t="str">
        <f t="shared" si="3"/>
        <v>Yes</v>
      </c>
      <c r="S2825" s="86" t="str">
        <f t="array" ref="S2825">iferror(XLOOKUP(C2825,'Download of SFDC Activation Rep'!B:B,'Download of SFDC Activation Rep'!Y:Y),"")</f>
        <v/>
      </c>
    </row>
    <row r="2826">
      <c r="A2826" s="17"/>
      <c r="B2826" s="85"/>
      <c r="C2826" s="17"/>
      <c r="D2826" s="85"/>
      <c r="E2826" s="17"/>
      <c r="F2826" s="17"/>
      <c r="G2826" s="17"/>
      <c r="I2826" s="17"/>
      <c r="K2826" s="17"/>
      <c r="L2826" s="17"/>
      <c r="M2826" s="17"/>
      <c r="O2826" s="14">
        <f t="shared" si="1"/>
        <v>0</v>
      </c>
      <c r="P2826" s="86" t="str">
        <f t="array" ref="P2826">iferror(XLOOKUP(C2826,'Download of SFDC Activation Rep'!B:B,'Download of SFDC Activation Rep'!Z:Z),"")</f>
        <v/>
      </c>
      <c r="Q2826" s="86" t="str">
        <f t="shared" si="2"/>
        <v/>
      </c>
      <c r="R2826" s="13" t="str">
        <f t="shared" si="3"/>
        <v>Yes</v>
      </c>
      <c r="S2826" s="86" t="str">
        <f t="array" ref="S2826">iferror(XLOOKUP(C2826,'Download of SFDC Activation Rep'!B:B,'Download of SFDC Activation Rep'!Y:Y),"")</f>
        <v/>
      </c>
    </row>
    <row r="2827">
      <c r="A2827" s="17"/>
      <c r="B2827" s="85"/>
      <c r="C2827" s="17"/>
      <c r="D2827" s="85"/>
      <c r="E2827" s="17"/>
      <c r="F2827" s="17"/>
      <c r="G2827" s="17"/>
      <c r="I2827" s="17"/>
      <c r="K2827" s="17"/>
      <c r="L2827" s="17"/>
      <c r="M2827" s="17"/>
      <c r="O2827" s="14">
        <f t="shared" si="1"/>
        <v>0</v>
      </c>
      <c r="P2827" s="86" t="str">
        <f t="array" ref="P2827">iferror(XLOOKUP(C2827,'Download of SFDC Activation Rep'!B:B,'Download of SFDC Activation Rep'!Z:Z),"")</f>
        <v/>
      </c>
      <c r="Q2827" s="86" t="str">
        <f t="shared" si="2"/>
        <v/>
      </c>
      <c r="R2827" s="13" t="str">
        <f t="shared" si="3"/>
        <v>Yes</v>
      </c>
      <c r="S2827" s="86" t="str">
        <f t="array" ref="S2827">iferror(XLOOKUP(C2827,'Download of SFDC Activation Rep'!B:B,'Download of SFDC Activation Rep'!Y:Y),"")</f>
        <v/>
      </c>
    </row>
    <row r="2828">
      <c r="A2828" s="17"/>
      <c r="B2828" s="85"/>
      <c r="C2828" s="17"/>
      <c r="D2828" s="85"/>
      <c r="E2828" s="17"/>
      <c r="F2828" s="17"/>
      <c r="G2828" s="17"/>
      <c r="I2828" s="17"/>
      <c r="K2828" s="17"/>
      <c r="L2828" s="17"/>
      <c r="M2828" s="17"/>
      <c r="O2828" s="14">
        <f t="shared" si="1"/>
        <v>0</v>
      </c>
      <c r="P2828" s="86" t="str">
        <f t="array" ref="P2828">iferror(XLOOKUP(C2828,'Download of SFDC Activation Rep'!B:B,'Download of SFDC Activation Rep'!Z:Z),"")</f>
        <v/>
      </c>
      <c r="Q2828" s="86" t="str">
        <f t="shared" si="2"/>
        <v/>
      </c>
      <c r="R2828" s="13" t="str">
        <f t="shared" si="3"/>
        <v>Yes</v>
      </c>
      <c r="S2828" s="86" t="str">
        <f t="array" ref="S2828">iferror(XLOOKUP(C2828,'Download of SFDC Activation Rep'!B:B,'Download of SFDC Activation Rep'!Y:Y),"")</f>
        <v/>
      </c>
    </row>
    <row r="2829">
      <c r="A2829" s="17"/>
      <c r="B2829" s="85"/>
      <c r="C2829" s="17"/>
      <c r="D2829" s="85"/>
      <c r="E2829" s="17"/>
      <c r="F2829" s="17"/>
      <c r="G2829" s="17"/>
      <c r="I2829" s="17"/>
      <c r="K2829" s="17"/>
      <c r="L2829" s="17"/>
      <c r="M2829" s="17"/>
      <c r="O2829" s="14">
        <f t="shared" si="1"/>
        <v>0</v>
      </c>
      <c r="P2829" s="86" t="str">
        <f t="array" ref="P2829">iferror(XLOOKUP(C2829,'Download of SFDC Activation Rep'!B:B,'Download of SFDC Activation Rep'!Z:Z),"")</f>
        <v/>
      </c>
      <c r="Q2829" s="86" t="str">
        <f t="shared" si="2"/>
        <v/>
      </c>
      <c r="R2829" s="13" t="str">
        <f t="shared" si="3"/>
        <v>Yes</v>
      </c>
      <c r="S2829" s="86" t="str">
        <f t="array" ref="S2829">iferror(XLOOKUP(C2829,'Download of SFDC Activation Rep'!B:B,'Download of SFDC Activation Rep'!Y:Y),"")</f>
        <v/>
      </c>
    </row>
    <row r="2830">
      <c r="A2830" s="17"/>
      <c r="B2830" s="85"/>
      <c r="C2830" s="17"/>
      <c r="D2830" s="85"/>
      <c r="E2830" s="17"/>
      <c r="F2830" s="17"/>
      <c r="G2830" s="17"/>
      <c r="I2830" s="17"/>
      <c r="K2830" s="17"/>
      <c r="L2830" s="17"/>
      <c r="M2830" s="17"/>
      <c r="O2830" s="14">
        <f t="shared" si="1"/>
        <v>0</v>
      </c>
      <c r="P2830" s="86" t="str">
        <f t="array" ref="P2830">iferror(XLOOKUP(C2830,'Download of SFDC Activation Rep'!B:B,'Download of SFDC Activation Rep'!Z:Z),"")</f>
        <v/>
      </c>
      <c r="Q2830" s="86" t="str">
        <f t="shared" si="2"/>
        <v/>
      </c>
      <c r="R2830" s="13" t="str">
        <f t="shared" si="3"/>
        <v>Yes</v>
      </c>
      <c r="S2830" s="86" t="str">
        <f t="array" ref="S2830">iferror(XLOOKUP(C2830,'Download of SFDC Activation Rep'!B:B,'Download of SFDC Activation Rep'!Y:Y),"")</f>
        <v/>
      </c>
    </row>
    <row r="2831">
      <c r="A2831" s="17"/>
      <c r="B2831" s="85"/>
      <c r="C2831" s="17"/>
      <c r="D2831" s="85"/>
      <c r="E2831" s="17"/>
      <c r="F2831" s="17"/>
      <c r="G2831" s="17"/>
      <c r="I2831" s="17"/>
      <c r="K2831" s="17"/>
      <c r="L2831" s="17"/>
      <c r="M2831" s="17"/>
      <c r="O2831" s="14">
        <f t="shared" si="1"/>
        <v>0</v>
      </c>
      <c r="P2831" s="86" t="str">
        <f t="array" ref="P2831">iferror(XLOOKUP(C2831,'Download of SFDC Activation Rep'!B:B,'Download of SFDC Activation Rep'!Z:Z),"")</f>
        <v/>
      </c>
      <c r="Q2831" s="86" t="str">
        <f t="shared" si="2"/>
        <v/>
      </c>
      <c r="R2831" s="13" t="str">
        <f t="shared" si="3"/>
        <v>Yes</v>
      </c>
      <c r="S2831" s="86" t="str">
        <f t="array" ref="S2831">iferror(XLOOKUP(C2831,'Download of SFDC Activation Rep'!B:B,'Download of SFDC Activation Rep'!Y:Y),"")</f>
        <v/>
      </c>
    </row>
    <row r="2832">
      <c r="A2832" s="17"/>
      <c r="B2832" s="85"/>
      <c r="C2832" s="17"/>
      <c r="D2832" s="85"/>
      <c r="E2832" s="17"/>
      <c r="F2832" s="17"/>
      <c r="G2832" s="17"/>
      <c r="I2832" s="17"/>
      <c r="K2832" s="17"/>
      <c r="L2832" s="17"/>
      <c r="M2832" s="17"/>
      <c r="O2832" s="14">
        <f t="shared" si="1"/>
        <v>0</v>
      </c>
      <c r="P2832" s="86" t="str">
        <f t="array" ref="P2832">iferror(XLOOKUP(C2832,'Download of SFDC Activation Rep'!B:B,'Download of SFDC Activation Rep'!Z:Z),"")</f>
        <v/>
      </c>
      <c r="Q2832" s="86" t="str">
        <f t="shared" si="2"/>
        <v/>
      </c>
      <c r="R2832" s="13" t="str">
        <f t="shared" si="3"/>
        <v>Yes</v>
      </c>
      <c r="S2832" s="86" t="str">
        <f t="array" ref="S2832">iferror(XLOOKUP(C2832,'Download of SFDC Activation Rep'!B:B,'Download of SFDC Activation Rep'!Y:Y),"")</f>
        <v/>
      </c>
    </row>
    <row r="2833">
      <c r="A2833" s="17"/>
      <c r="B2833" s="85"/>
      <c r="C2833" s="17"/>
      <c r="D2833" s="85"/>
      <c r="E2833" s="17"/>
      <c r="F2833" s="17"/>
      <c r="G2833" s="17"/>
      <c r="I2833" s="17"/>
      <c r="K2833" s="17"/>
      <c r="L2833" s="17"/>
      <c r="M2833" s="17"/>
      <c r="O2833" s="14">
        <f t="shared" si="1"/>
        <v>0</v>
      </c>
      <c r="P2833" s="86" t="str">
        <f t="array" ref="P2833">iferror(XLOOKUP(C2833,'Download of SFDC Activation Rep'!B:B,'Download of SFDC Activation Rep'!Z:Z),"")</f>
        <v/>
      </c>
      <c r="Q2833" s="86" t="str">
        <f t="shared" si="2"/>
        <v/>
      </c>
      <c r="R2833" s="13" t="str">
        <f t="shared" si="3"/>
        <v>Yes</v>
      </c>
      <c r="S2833" s="86" t="str">
        <f t="array" ref="S2833">iferror(XLOOKUP(C2833,'Download of SFDC Activation Rep'!B:B,'Download of SFDC Activation Rep'!Y:Y),"")</f>
        <v/>
      </c>
    </row>
    <row r="2834">
      <c r="A2834" s="17"/>
      <c r="B2834" s="85"/>
      <c r="C2834" s="17"/>
      <c r="D2834" s="85"/>
      <c r="E2834" s="17"/>
      <c r="F2834" s="17"/>
      <c r="G2834" s="17"/>
      <c r="I2834" s="17"/>
      <c r="K2834" s="17"/>
      <c r="L2834" s="17"/>
      <c r="M2834" s="17"/>
      <c r="O2834" s="14">
        <f t="shared" si="1"/>
        <v>0</v>
      </c>
      <c r="P2834" s="86" t="str">
        <f t="array" ref="P2834">iferror(XLOOKUP(C2834,'Download of SFDC Activation Rep'!B:B,'Download of SFDC Activation Rep'!Z:Z),"")</f>
        <v/>
      </c>
      <c r="Q2834" s="86" t="str">
        <f t="shared" si="2"/>
        <v/>
      </c>
      <c r="R2834" s="13" t="str">
        <f t="shared" si="3"/>
        <v>Yes</v>
      </c>
      <c r="S2834" s="86" t="str">
        <f t="array" ref="S2834">iferror(XLOOKUP(C2834,'Download of SFDC Activation Rep'!B:B,'Download of SFDC Activation Rep'!Y:Y),"")</f>
        <v/>
      </c>
    </row>
    <row r="2835">
      <c r="A2835" s="17"/>
      <c r="B2835" s="85"/>
      <c r="C2835" s="17"/>
      <c r="D2835" s="85"/>
      <c r="E2835" s="17"/>
      <c r="F2835" s="17"/>
      <c r="G2835" s="17"/>
      <c r="I2835" s="17"/>
      <c r="K2835" s="17"/>
      <c r="L2835" s="17"/>
      <c r="M2835" s="17"/>
      <c r="O2835" s="14">
        <f t="shared" si="1"/>
        <v>0</v>
      </c>
      <c r="P2835" s="86" t="str">
        <f t="array" ref="P2835">iferror(XLOOKUP(C2835,'Download of SFDC Activation Rep'!B:B,'Download of SFDC Activation Rep'!Z:Z),"")</f>
        <v/>
      </c>
      <c r="Q2835" s="86" t="str">
        <f t="shared" si="2"/>
        <v/>
      </c>
      <c r="R2835" s="13" t="str">
        <f t="shared" si="3"/>
        <v>Yes</v>
      </c>
      <c r="S2835" s="86" t="str">
        <f t="array" ref="S2835">iferror(XLOOKUP(C2835,'Download of SFDC Activation Rep'!B:B,'Download of SFDC Activation Rep'!Y:Y),"")</f>
        <v/>
      </c>
    </row>
    <row r="2836">
      <c r="A2836" s="17"/>
      <c r="B2836" s="85"/>
      <c r="C2836" s="17"/>
      <c r="D2836" s="85"/>
      <c r="E2836" s="17"/>
      <c r="F2836" s="17"/>
      <c r="G2836" s="17"/>
      <c r="I2836" s="17"/>
      <c r="K2836" s="17"/>
      <c r="L2836" s="17"/>
      <c r="M2836" s="17"/>
      <c r="O2836" s="14">
        <f t="shared" si="1"/>
        <v>0</v>
      </c>
      <c r="P2836" s="86" t="str">
        <f t="array" ref="P2836">iferror(XLOOKUP(C2836,'Download of SFDC Activation Rep'!B:B,'Download of SFDC Activation Rep'!Z:Z),"")</f>
        <v/>
      </c>
      <c r="Q2836" s="86" t="str">
        <f t="shared" si="2"/>
        <v/>
      </c>
      <c r="R2836" s="13" t="str">
        <f t="shared" si="3"/>
        <v>Yes</v>
      </c>
      <c r="S2836" s="86" t="str">
        <f t="array" ref="S2836">iferror(XLOOKUP(C2836,'Download of SFDC Activation Rep'!B:B,'Download of SFDC Activation Rep'!Y:Y),"")</f>
        <v/>
      </c>
    </row>
    <row r="2837">
      <c r="A2837" s="17"/>
      <c r="B2837" s="85"/>
      <c r="C2837" s="17"/>
      <c r="D2837" s="85"/>
      <c r="E2837" s="17"/>
      <c r="F2837" s="17"/>
      <c r="G2837" s="17"/>
      <c r="I2837" s="17"/>
      <c r="K2837" s="17"/>
      <c r="L2837" s="17"/>
      <c r="M2837" s="17"/>
      <c r="O2837" s="14">
        <f t="shared" si="1"/>
        <v>0</v>
      </c>
      <c r="P2837" s="86" t="str">
        <f t="array" ref="P2837">iferror(XLOOKUP(C2837,'Download of SFDC Activation Rep'!B:B,'Download of SFDC Activation Rep'!Z:Z),"")</f>
        <v/>
      </c>
      <c r="Q2837" s="86" t="str">
        <f t="shared" si="2"/>
        <v/>
      </c>
      <c r="R2837" s="13" t="str">
        <f t="shared" si="3"/>
        <v>Yes</v>
      </c>
      <c r="S2837" s="86" t="str">
        <f t="array" ref="S2837">iferror(XLOOKUP(C2837,'Download of SFDC Activation Rep'!B:B,'Download of SFDC Activation Rep'!Y:Y),"")</f>
        <v/>
      </c>
    </row>
    <row r="2838">
      <c r="A2838" s="17"/>
      <c r="B2838" s="85"/>
      <c r="C2838" s="17"/>
      <c r="D2838" s="85"/>
      <c r="E2838" s="17"/>
      <c r="F2838" s="17"/>
      <c r="G2838" s="17"/>
      <c r="I2838" s="17"/>
      <c r="K2838" s="17"/>
      <c r="L2838" s="17"/>
      <c r="M2838" s="17"/>
      <c r="O2838" s="14">
        <f t="shared" si="1"/>
        <v>0</v>
      </c>
      <c r="P2838" s="86" t="str">
        <f t="array" ref="P2838">iferror(XLOOKUP(C2838,'Download of SFDC Activation Rep'!B:B,'Download of SFDC Activation Rep'!Z:Z),"")</f>
        <v/>
      </c>
      <c r="Q2838" s="86" t="str">
        <f t="shared" si="2"/>
        <v/>
      </c>
      <c r="R2838" s="13" t="str">
        <f t="shared" si="3"/>
        <v>Yes</v>
      </c>
      <c r="S2838" s="86" t="str">
        <f t="array" ref="S2838">iferror(XLOOKUP(C2838,'Download of SFDC Activation Rep'!B:B,'Download of SFDC Activation Rep'!Y:Y),"")</f>
        <v/>
      </c>
    </row>
    <row r="2839">
      <c r="A2839" s="17"/>
      <c r="B2839" s="85"/>
      <c r="C2839" s="17"/>
      <c r="D2839" s="85"/>
      <c r="E2839" s="17"/>
      <c r="F2839" s="17"/>
      <c r="G2839" s="17"/>
      <c r="I2839" s="17"/>
      <c r="K2839" s="17"/>
      <c r="L2839" s="17"/>
      <c r="M2839" s="17"/>
      <c r="O2839" s="14">
        <f t="shared" si="1"/>
        <v>0</v>
      </c>
      <c r="P2839" s="86" t="str">
        <f t="array" ref="P2839">iferror(XLOOKUP(C2839,'Download of SFDC Activation Rep'!B:B,'Download of SFDC Activation Rep'!Z:Z),"")</f>
        <v/>
      </c>
      <c r="Q2839" s="86" t="str">
        <f t="shared" si="2"/>
        <v/>
      </c>
      <c r="R2839" s="13" t="str">
        <f t="shared" si="3"/>
        <v>Yes</v>
      </c>
      <c r="S2839" s="86" t="str">
        <f t="array" ref="S2839">iferror(XLOOKUP(C2839,'Download of SFDC Activation Rep'!B:B,'Download of SFDC Activation Rep'!Y:Y),"")</f>
        <v/>
      </c>
    </row>
    <row r="2840">
      <c r="A2840" s="17"/>
      <c r="B2840" s="85"/>
      <c r="C2840" s="17"/>
      <c r="D2840" s="85"/>
      <c r="E2840" s="17"/>
      <c r="F2840" s="17"/>
      <c r="G2840" s="17"/>
      <c r="I2840" s="17"/>
      <c r="K2840" s="17"/>
      <c r="L2840" s="17"/>
      <c r="M2840" s="17"/>
      <c r="O2840" s="14">
        <f t="shared" si="1"/>
        <v>0</v>
      </c>
      <c r="P2840" s="86" t="str">
        <f t="array" ref="P2840">iferror(XLOOKUP(C2840,'Download of SFDC Activation Rep'!B:B,'Download of SFDC Activation Rep'!Z:Z),"")</f>
        <v/>
      </c>
      <c r="Q2840" s="86" t="str">
        <f t="shared" si="2"/>
        <v/>
      </c>
      <c r="R2840" s="13" t="str">
        <f t="shared" si="3"/>
        <v>Yes</v>
      </c>
      <c r="S2840" s="86" t="str">
        <f t="array" ref="S2840">iferror(XLOOKUP(C2840,'Download of SFDC Activation Rep'!B:B,'Download of SFDC Activation Rep'!Y:Y),"")</f>
        <v/>
      </c>
    </row>
    <row r="2841">
      <c r="A2841" s="17"/>
      <c r="B2841" s="85"/>
      <c r="C2841" s="17"/>
      <c r="D2841" s="85"/>
      <c r="E2841" s="17"/>
      <c r="F2841" s="17"/>
      <c r="G2841" s="17"/>
      <c r="I2841" s="17"/>
      <c r="K2841" s="17"/>
      <c r="L2841" s="17"/>
      <c r="M2841" s="17"/>
      <c r="O2841" s="14">
        <f t="shared" si="1"/>
        <v>0</v>
      </c>
      <c r="P2841" s="86" t="str">
        <f t="array" ref="P2841">iferror(XLOOKUP(C2841,'Download of SFDC Activation Rep'!B:B,'Download of SFDC Activation Rep'!Z:Z),"")</f>
        <v/>
      </c>
      <c r="Q2841" s="86" t="str">
        <f t="shared" si="2"/>
        <v/>
      </c>
      <c r="R2841" s="13" t="str">
        <f t="shared" si="3"/>
        <v>Yes</v>
      </c>
      <c r="S2841" s="86" t="str">
        <f t="array" ref="S2841">iferror(XLOOKUP(C2841,'Download of SFDC Activation Rep'!B:B,'Download of SFDC Activation Rep'!Y:Y),"")</f>
        <v/>
      </c>
    </row>
    <row r="2842">
      <c r="A2842" s="17"/>
      <c r="B2842" s="85"/>
      <c r="C2842" s="17"/>
      <c r="D2842" s="85"/>
      <c r="E2842" s="17"/>
      <c r="F2842" s="17"/>
      <c r="G2842" s="17"/>
      <c r="I2842" s="17"/>
      <c r="K2842" s="17"/>
      <c r="L2842" s="17"/>
      <c r="M2842" s="17"/>
      <c r="O2842" s="14">
        <f t="shared" si="1"/>
        <v>0</v>
      </c>
      <c r="P2842" s="86" t="str">
        <f t="array" ref="P2842">iferror(XLOOKUP(C2842,'Download of SFDC Activation Rep'!B:B,'Download of SFDC Activation Rep'!Z:Z),"")</f>
        <v/>
      </c>
      <c r="Q2842" s="86" t="str">
        <f t="shared" si="2"/>
        <v/>
      </c>
      <c r="R2842" s="13" t="str">
        <f t="shared" si="3"/>
        <v>Yes</v>
      </c>
      <c r="S2842" s="86" t="str">
        <f t="array" ref="S2842">iferror(XLOOKUP(C2842,'Download of SFDC Activation Rep'!B:B,'Download of SFDC Activation Rep'!Y:Y),"")</f>
        <v/>
      </c>
    </row>
    <row r="2843">
      <c r="A2843" s="17"/>
      <c r="B2843" s="85"/>
      <c r="C2843" s="17"/>
      <c r="D2843" s="85"/>
      <c r="E2843" s="17"/>
      <c r="F2843" s="17"/>
      <c r="G2843" s="17"/>
      <c r="I2843" s="17"/>
      <c r="K2843" s="17"/>
      <c r="L2843" s="17"/>
      <c r="M2843" s="17"/>
      <c r="O2843" s="14">
        <f t="shared" si="1"/>
        <v>0</v>
      </c>
      <c r="P2843" s="86" t="str">
        <f t="array" ref="P2843">iferror(XLOOKUP(C2843,'Download of SFDC Activation Rep'!B:B,'Download of SFDC Activation Rep'!Z:Z),"")</f>
        <v/>
      </c>
      <c r="Q2843" s="86" t="str">
        <f t="shared" si="2"/>
        <v/>
      </c>
      <c r="R2843" s="13" t="str">
        <f t="shared" si="3"/>
        <v>Yes</v>
      </c>
      <c r="S2843" s="86" t="str">
        <f t="array" ref="S2843">iferror(XLOOKUP(C2843,'Download of SFDC Activation Rep'!B:B,'Download of SFDC Activation Rep'!Y:Y),"")</f>
        <v/>
      </c>
    </row>
    <row r="2844">
      <c r="A2844" s="17"/>
      <c r="B2844" s="85"/>
      <c r="C2844" s="17"/>
      <c r="D2844" s="85"/>
      <c r="E2844" s="17"/>
      <c r="F2844" s="17"/>
      <c r="G2844" s="17"/>
      <c r="I2844" s="17"/>
      <c r="K2844" s="17"/>
      <c r="L2844" s="17"/>
      <c r="M2844" s="17"/>
      <c r="O2844" s="14">
        <f t="shared" si="1"/>
        <v>0</v>
      </c>
      <c r="P2844" s="86" t="str">
        <f t="array" ref="P2844">iferror(XLOOKUP(C2844,'Download of SFDC Activation Rep'!B:B,'Download of SFDC Activation Rep'!Z:Z),"")</f>
        <v/>
      </c>
      <c r="Q2844" s="86" t="str">
        <f t="shared" si="2"/>
        <v/>
      </c>
      <c r="R2844" s="13" t="str">
        <f t="shared" si="3"/>
        <v>Yes</v>
      </c>
      <c r="S2844" s="86" t="str">
        <f t="array" ref="S2844">iferror(XLOOKUP(C2844,'Download of SFDC Activation Rep'!B:B,'Download of SFDC Activation Rep'!Y:Y),"")</f>
        <v/>
      </c>
    </row>
    <row r="2845">
      <c r="A2845" s="17"/>
      <c r="B2845" s="85"/>
      <c r="C2845" s="17"/>
      <c r="D2845" s="85"/>
      <c r="E2845" s="17"/>
      <c r="F2845" s="17"/>
      <c r="G2845" s="17"/>
      <c r="I2845" s="17"/>
      <c r="K2845" s="17"/>
      <c r="L2845" s="17"/>
      <c r="M2845" s="17"/>
      <c r="O2845" s="14">
        <f t="shared" si="1"/>
        <v>0</v>
      </c>
      <c r="P2845" s="86" t="str">
        <f t="array" ref="P2845">iferror(XLOOKUP(C2845,'Download of SFDC Activation Rep'!B:B,'Download of SFDC Activation Rep'!Z:Z),"")</f>
        <v/>
      </c>
      <c r="Q2845" s="86" t="str">
        <f t="shared" si="2"/>
        <v/>
      </c>
      <c r="R2845" s="13" t="str">
        <f t="shared" si="3"/>
        <v>Yes</v>
      </c>
      <c r="S2845" s="86" t="str">
        <f t="array" ref="S2845">iferror(XLOOKUP(C2845,'Download of SFDC Activation Rep'!B:B,'Download of SFDC Activation Rep'!Y:Y),"")</f>
        <v/>
      </c>
    </row>
    <row r="2846">
      <c r="A2846" s="17"/>
      <c r="B2846" s="85"/>
      <c r="C2846" s="17"/>
      <c r="D2846" s="85"/>
      <c r="E2846" s="17"/>
      <c r="F2846" s="17"/>
      <c r="G2846" s="17"/>
      <c r="I2846" s="17"/>
      <c r="K2846" s="17"/>
      <c r="L2846" s="17"/>
      <c r="M2846" s="17"/>
      <c r="O2846" s="14">
        <f t="shared" si="1"/>
        <v>0</v>
      </c>
      <c r="P2846" s="86" t="str">
        <f t="array" ref="P2846">iferror(XLOOKUP(C2846,'Download of SFDC Activation Rep'!B:B,'Download of SFDC Activation Rep'!Z:Z),"")</f>
        <v/>
      </c>
      <c r="Q2846" s="86" t="str">
        <f t="shared" si="2"/>
        <v/>
      </c>
      <c r="R2846" s="13" t="str">
        <f t="shared" si="3"/>
        <v>Yes</v>
      </c>
      <c r="S2846" s="86" t="str">
        <f t="array" ref="S2846">iferror(XLOOKUP(C2846,'Download of SFDC Activation Rep'!B:B,'Download of SFDC Activation Rep'!Y:Y),"")</f>
        <v/>
      </c>
    </row>
    <row r="2847">
      <c r="A2847" s="17"/>
      <c r="B2847" s="85"/>
      <c r="C2847" s="17"/>
      <c r="D2847" s="85"/>
      <c r="E2847" s="17"/>
      <c r="F2847" s="17"/>
      <c r="G2847" s="17"/>
      <c r="I2847" s="17"/>
      <c r="K2847" s="17"/>
      <c r="L2847" s="17"/>
      <c r="M2847" s="17"/>
      <c r="O2847" s="14">
        <f t="shared" si="1"/>
        <v>0</v>
      </c>
      <c r="P2847" s="86" t="str">
        <f t="array" ref="P2847">iferror(XLOOKUP(C2847,'Download of SFDC Activation Rep'!B:B,'Download of SFDC Activation Rep'!Z:Z),"")</f>
        <v/>
      </c>
      <c r="Q2847" s="86" t="str">
        <f t="shared" si="2"/>
        <v/>
      </c>
      <c r="R2847" s="13" t="str">
        <f t="shared" si="3"/>
        <v>Yes</v>
      </c>
      <c r="S2847" s="86" t="str">
        <f t="array" ref="S2847">iferror(XLOOKUP(C2847,'Download of SFDC Activation Rep'!B:B,'Download of SFDC Activation Rep'!Y:Y),"")</f>
        <v/>
      </c>
    </row>
    <row r="2848">
      <c r="A2848" s="17"/>
      <c r="B2848" s="85"/>
      <c r="C2848" s="17"/>
      <c r="D2848" s="85"/>
      <c r="E2848" s="17"/>
      <c r="F2848" s="17"/>
      <c r="G2848" s="17"/>
      <c r="I2848" s="17"/>
      <c r="K2848" s="17"/>
      <c r="L2848" s="17"/>
      <c r="M2848" s="17"/>
      <c r="O2848" s="14">
        <f t="shared" si="1"/>
        <v>0</v>
      </c>
      <c r="P2848" s="86" t="str">
        <f t="array" ref="P2848">iferror(XLOOKUP(C2848,'Download of SFDC Activation Rep'!B:B,'Download of SFDC Activation Rep'!Z:Z),"")</f>
        <v/>
      </c>
      <c r="Q2848" s="86" t="str">
        <f t="shared" si="2"/>
        <v/>
      </c>
      <c r="R2848" s="13" t="str">
        <f t="shared" si="3"/>
        <v>Yes</v>
      </c>
      <c r="S2848" s="86" t="str">
        <f t="array" ref="S2848">iferror(XLOOKUP(C2848,'Download of SFDC Activation Rep'!B:B,'Download of SFDC Activation Rep'!Y:Y),"")</f>
        <v/>
      </c>
    </row>
    <row r="2849">
      <c r="A2849" s="17"/>
      <c r="B2849" s="85"/>
      <c r="C2849" s="17"/>
      <c r="D2849" s="85"/>
      <c r="E2849" s="17"/>
      <c r="F2849" s="17"/>
      <c r="G2849" s="17"/>
      <c r="I2849" s="17"/>
      <c r="K2849" s="17"/>
      <c r="L2849" s="17"/>
      <c r="M2849" s="17"/>
      <c r="O2849" s="14">
        <f t="shared" si="1"/>
        <v>0</v>
      </c>
      <c r="P2849" s="86" t="str">
        <f t="array" ref="P2849">iferror(XLOOKUP(C2849,'Download of SFDC Activation Rep'!B:B,'Download of SFDC Activation Rep'!Z:Z),"")</f>
        <v/>
      </c>
      <c r="Q2849" s="86" t="str">
        <f t="shared" si="2"/>
        <v/>
      </c>
      <c r="R2849" s="13" t="str">
        <f t="shared" si="3"/>
        <v>Yes</v>
      </c>
      <c r="S2849" s="86" t="str">
        <f t="array" ref="S2849">iferror(XLOOKUP(C2849,'Download of SFDC Activation Rep'!B:B,'Download of SFDC Activation Rep'!Y:Y),"")</f>
        <v/>
      </c>
    </row>
    <row r="2850">
      <c r="A2850" s="17"/>
      <c r="B2850" s="85"/>
      <c r="C2850" s="17"/>
      <c r="D2850" s="85"/>
      <c r="E2850" s="17"/>
      <c r="F2850" s="17"/>
      <c r="G2850" s="17"/>
      <c r="I2850" s="17"/>
      <c r="K2850" s="17"/>
      <c r="L2850" s="17"/>
      <c r="M2850" s="17"/>
      <c r="O2850" s="14">
        <f t="shared" si="1"/>
        <v>0</v>
      </c>
      <c r="P2850" s="86" t="str">
        <f t="array" ref="P2850">iferror(XLOOKUP(C2850,'Download of SFDC Activation Rep'!B:B,'Download of SFDC Activation Rep'!Z:Z),"")</f>
        <v/>
      </c>
      <c r="Q2850" s="86" t="str">
        <f t="shared" si="2"/>
        <v/>
      </c>
      <c r="R2850" s="13" t="str">
        <f t="shared" si="3"/>
        <v>Yes</v>
      </c>
      <c r="S2850" s="86" t="str">
        <f t="array" ref="S2850">iferror(XLOOKUP(C2850,'Download of SFDC Activation Rep'!B:B,'Download of SFDC Activation Rep'!Y:Y),"")</f>
        <v/>
      </c>
    </row>
    <row r="2851">
      <c r="A2851" s="17"/>
      <c r="B2851" s="85"/>
      <c r="C2851" s="17"/>
      <c r="D2851" s="85"/>
      <c r="E2851" s="17"/>
      <c r="F2851" s="17"/>
      <c r="G2851" s="17"/>
      <c r="I2851" s="17"/>
      <c r="K2851" s="17"/>
      <c r="L2851" s="17"/>
      <c r="M2851" s="17"/>
      <c r="O2851" s="14">
        <f t="shared" si="1"/>
        <v>0</v>
      </c>
      <c r="P2851" s="86" t="str">
        <f t="array" ref="P2851">iferror(XLOOKUP(C2851,'Download of SFDC Activation Rep'!B:B,'Download of SFDC Activation Rep'!Z:Z),"")</f>
        <v/>
      </c>
      <c r="Q2851" s="86" t="str">
        <f t="shared" si="2"/>
        <v/>
      </c>
      <c r="R2851" s="13" t="str">
        <f t="shared" si="3"/>
        <v>Yes</v>
      </c>
      <c r="S2851" s="86" t="str">
        <f t="array" ref="S2851">iferror(XLOOKUP(C2851,'Download of SFDC Activation Rep'!B:B,'Download of SFDC Activation Rep'!Y:Y),"")</f>
        <v/>
      </c>
    </row>
    <row r="2852">
      <c r="A2852" s="17"/>
      <c r="B2852" s="85"/>
      <c r="C2852" s="17"/>
      <c r="D2852" s="85"/>
      <c r="E2852" s="17"/>
      <c r="F2852" s="17"/>
      <c r="G2852" s="17"/>
      <c r="I2852" s="17"/>
      <c r="K2852" s="17"/>
      <c r="L2852" s="17"/>
      <c r="M2852" s="17"/>
      <c r="O2852" s="14">
        <f t="shared" si="1"/>
        <v>0</v>
      </c>
      <c r="P2852" s="86" t="str">
        <f t="array" ref="P2852">iferror(XLOOKUP(C2852,'Download of SFDC Activation Rep'!B:B,'Download of SFDC Activation Rep'!Z:Z),"")</f>
        <v/>
      </c>
      <c r="Q2852" s="86" t="str">
        <f t="shared" si="2"/>
        <v/>
      </c>
      <c r="R2852" s="13" t="str">
        <f t="shared" si="3"/>
        <v>Yes</v>
      </c>
      <c r="S2852" s="86" t="str">
        <f t="array" ref="S2852">iferror(XLOOKUP(C2852,'Download of SFDC Activation Rep'!B:B,'Download of SFDC Activation Rep'!Y:Y),"")</f>
        <v/>
      </c>
    </row>
    <row r="2853">
      <c r="A2853" s="17"/>
      <c r="B2853" s="85"/>
      <c r="C2853" s="17"/>
      <c r="D2853" s="85"/>
      <c r="E2853" s="17"/>
      <c r="F2853" s="17"/>
      <c r="G2853" s="17"/>
      <c r="I2853" s="17"/>
      <c r="K2853" s="17"/>
      <c r="L2853" s="17"/>
      <c r="M2853" s="17"/>
      <c r="O2853" s="14">
        <f t="shared" si="1"/>
        <v>0</v>
      </c>
      <c r="P2853" s="86" t="str">
        <f t="array" ref="P2853">iferror(XLOOKUP(C2853,'Download of SFDC Activation Rep'!B:B,'Download of SFDC Activation Rep'!Z:Z),"")</f>
        <v/>
      </c>
      <c r="Q2853" s="86" t="str">
        <f t="shared" si="2"/>
        <v/>
      </c>
      <c r="R2853" s="13" t="str">
        <f t="shared" si="3"/>
        <v>Yes</v>
      </c>
      <c r="S2853" s="86" t="str">
        <f t="array" ref="S2853">iferror(XLOOKUP(C2853,'Download of SFDC Activation Rep'!B:B,'Download of SFDC Activation Rep'!Y:Y),"")</f>
        <v/>
      </c>
    </row>
    <row r="2854">
      <c r="A2854" s="17"/>
      <c r="B2854" s="85"/>
      <c r="C2854" s="17"/>
      <c r="D2854" s="85"/>
      <c r="E2854" s="17"/>
      <c r="F2854" s="17"/>
      <c r="G2854" s="17"/>
      <c r="I2854" s="17"/>
      <c r="K2854" s="17"/>
      <c r="L2854" s="17"/>
      <c r="M2854" s="17"/>
      <c r="O2854" s="14">
        <f t="shared" si="1"/>
        <v>0</v>
      </c>
      <c r="P2854" s="86" t="str">
        <f t="array" ref="P2854">iferror(XLOOKUP(C2854,'Download of SFDC Activation Rep'!B:B,'Download of SFDC Activation Rep'!Z:Z),"")</f>
        <v/>
      </c>
      <c r="Q2854" s="86" t="str">
        <f t="shared" si="2"/>
        <v/>
      </c>
      <c r="R2854" s="13" t="str">
        <f t="shared" si="3"/>
        <v>Yes</v>
      </c>
      <c r="S2854" s="86" t="str">
        <f t="array" ref="S2854">iferror(XLOOKUP(C2854,'Download of SFDC Activation Rep'!B:B,'Download of SFDC Activation Rep'!Y:Y),"")</f>
        <v/>
      </c>
    </row>
    <row r="2855">
      <c r="A2855" s="17"/>
      <c r="B2855" s="85"/>
      <c r="C2855" s="17"/>
      <c r="D2855" s="85"/>
      <c r="E2855" s="17"/>
      <c r="F2855" s="17"/>
      <c r="G2855" s="17"/>
      <c r="I2855" s="17"/>
      <c r="K2855" s="17"/>
      <c r="L2855" s="17"/>
      <c r="M2855" s="17"/>
      <c r="O2855" s="14">
        <f t="shared" si="1"/>
        <v>0</v>
      </c>
      <c r="P2855" s="86" t="str">
        <f t="array" ref="P2855">iferror(XLOOKUP(C2855,'Download of SFDC Activation Rep'!B:B,'Download of SFDC Activation Rep'!Z:Z),"")</f>
        <v/>
      </c>
      <c r="Q2855" s="86" t="str">
        <f t="shared" si="2"/>
        <v/>
      </c>
      <c r="R2855" s="13" t="str">
        <f t="shared" si="3"/>
        <v>Yes</v>
      </c>
      <c r="S2855" s="86" t="str">
        <f t="array" ref="S2855">iferror(XLOOKUP(C2855,'Download of SFDC Activation Rep'!B:B,'Download of SFDC Activation Rep'!Y:Y),"")</f>
        <v/>
      </c>
    </row>
    <row r="2856">
      <c r="A2856" s="17"/>
      <c r="B2856" s="85"/>
      <c r="C2856" s="17"/>
      <c r="D2856" s="85"/>
      <c r="E2856" s="17"/>
      <c r="F2856" s="17"/>
      <c r="G2856" s="17"/>
      <c r="I2856" s="17"/>
      <c r="K2856" s="17"/>
      <c r="L2856" s="17"/>
      <c r="M2856" s="17"/>
      <c r="O2856" s="14">
        <f t="shared" si="1"/>
        <v>0</v>
      </c>
      <c r="P2856" s="86" t="str">
        <f t="array" ref="P2856">iferror(XLOOKUP(C2856,'Download of SFDC Activation Rep'!B:B,'Download of SFDC Activation Rep'!Z:Z),"")</f>
        <v/>
      </c>
      <c r="Q2856" s="86" t="str">
        <f t="shared" si="2"/>
        <v/>
      </c>
      <c r="R2856" s="13" t="str">
        <f t="shared" si="3"/>
        <v>Yes</v>
      </c>
      <c r="S2856" s="86" t="str">
        <f t="array" ref="S2856">iferror(XLOOKUP(C2856,'Download of SFDC Activation Rep'!B:B,'Download of SFDC Activation Rep'!Y:Y),"")</f>
        <v/>
      </c>
    </row>
    <row r="2857">
      <c r="A2857" s="17"/>
      <c r="B2857" s="85"/>
      <c r="C2857" s="17"/>
      <c r="D2857" s="85"/>
      <c r="E2857" s="17"/>
      <c r="F2857" s="17"/>
      <c r="G2857" s="17"/>
      <c r="I2857" s="17"/>
      <c r="K2857" s="17"/>
      <c r="L2857" s="17"/>
      <c r="M2857" s="17"/>
      <c r="O2857" s="14">
        <f t="shared" si="1"/>
        <v>0</v>
      </c>
      <c r="P2857" s="86" t="str">
        <f t="array" ref="P2857">iferror(XLOOKUP(C2857,'Download of SFDC Activation Rep'!B:B,'Download of SFDC Activation Rep'!Z:Z),"")</f>
        <v/>
      </c>
      <c r="Q2857" s="86" t="str">
        <f t="shared" si="2"/>
        <v/>
      </c>
      <c r="R2857" s="13" t="str">
        <f t="shared" si="3"/>
        <v>Yes</v>
      </c>
      <c r="S2857" s="86" t="str">
        <f t="array" ref="S2857">iferror(XLOOKUP(C2857,'Download of SFDC Activation Rep'!B:B,'Download of SFDC Activation Rep'!Y:Y),"")</f>
        <v/>
      </c>
    </row>
    <row r="2858">
      <c r="A2858" s="17"/>
      <c r="B2858" s="85"/>
      <c r="C2858" s="17"/>
      <c r="D2858" s="85"/>
      <c r="E2858" s="17"/>
      <c r="F2858" s="17"/>
      <c r="G2858" s="17"/>
      <c r="I2858" s="17"/>
      <c r="K2858" s="17"/>
      <c r="L2858" s="17"/>
      <c r="M2858" s="17"/>
      <c r="O2858" s="14">
        <f t="shared" si="1"/>
        <v>0</v>
      </c>
      <c r="P2858" s="86" t="str">
        <f t="array" ref="P2858">iferror(XLOOKUP(C2858,'Download of SFDC Activation Rep'!B:B,'Download of SFDC Activation Rep'!Z:Z),"")</f>
        <v/>
      </c>
      <c r="Q2858" s="86" t="str">
        <f t="shared" si="2"/>
        <v/>
      </c>
      <c r="R2858" s="13" t="str">
        <f t="shared" si="3"/>
        <v>Yes</v>
      </c>
      <c r="S2858" s="86" t="str">
        <f t="array" ref="S2858">iferror(XLOOKUP(C2858,'Download of SFDC Activation Rep'!B:B,'Download of SFDC Activation Rep'!Y:Y),"")</f>
        <v/>
      </c>
    </row>
    <row r="2859">
      <c r="A2859" s="17"/>
      <c r="B2859" s="85"/>
      <c r="C2859" s="17"/>
      <c r="D2859" s="85"/>
      <c r="E2859" s="17"/>
      <c r="F2859" s="17"/>
      <c r="G2859" s="17"/>
      <c r="I2859" s="17"/>
      <c r="K2859" s="17"/>
      <c r="L2859" s="17"/>
      <c r="M2859" s="17"/>
      <c r="O2859" s="14">
        <f t="shared" si="1"/>
        <v>0</v>
      </c>
      <c r="P2859" s="86" t="str">
        <f t="array" ref="P2859">iferror(XLOOKUP(C2859,'Download of SFDC Activation Rep'!B:B,'Download of SFDC Activation Rep'!Z:Z),"")</f>
        <v/>
      </c>
      <c r="Q2859" s="86" t="str">
        <f t="shared" si="2"/>
        <v/>
      </c>
      <c r="R2859" s="13" t="str">
        <f t="shared" si="3"/>
        <v>Yes</v>
      </c>
      <c r="S2859" s="86" t="str">
        <f t="array" ref="S2859">iferror(XLOOKUP(C2859,'Download of SFDC Activation Rep'!B:B,'Download of SFDC Activation Rep'!Y:Y),"")</f>
        <v/>
      </c>
    </row>
    <row r="2860">
      <c r="A2860" s="17"/>
      <c r="B2860" s="85"/>
      <c r="C2860" s="17"/>
      <c r="D2860" s="85"/>
      <c r="E2860" s="17"/>
      <c r="F2860" s="17"/>
      <c r="G2860" s="17"/>
      <c r="I2860" s="17"/>
      <c r="K2860" s="17"/>
      <c r="L2860" s="17"/>
      <c r="M2860" s="17"/>
      <c r="O2860" s="14">
        <f t="shared" si="1"/>
        <v>0</v>
      </c>
      <c r="P2860" s="86" t="str">
        <f t="array" ref="P2860">iferror(XLOOKUP(C2860,'Download of SFDC Activation Rep'!B:B,'Download of SFDC Activation Rep'!Z:Z),"")</f>
        <v/>
      </c>
      <c r="Q2860" s="86" t="str">
        <f t="shared" si="2"/>
        <v/>
      </c>
      <c r="R2860" s="13" t="str">
        <f t="shared" si="3"/>
        <v>Yes</v>
      </c>
      <c r="S2860" s="86" t="str">
        <f t="array" ref="S2860">iferror(XLOOKUP(C2860,'Download of SFDC Activation Rep'!B:B,'Download of SFDC Activation Rep'!Y:Y),"")</f>
        <v/>
      </c>
    </row>
    <row r="2861">
      <c r="A2861" s="17"/>
      <c r="B2861" s="85"/>
      <c r="C2861" s="17"/>
      <c r="D2861" s="85"/>
      <c r="E2861" s="17"/>
      <c r="F2861" s="17"/>
      <c r="G2861" s="17"/>
      <c r="I2861" s="17"/>
      <c r="K2861" s="17"/>
      <c r="L2861" s="17"/>
      <c r="M2861" s="17"/>
      <c r="O2861" s="14">
        <f t="shared" si="1"/>
        <v>0</v>
      </c>
      <c r="P2861" s="86" t="str">
        <f t="array" ref="P2861">iferror(XLOOKUP(C2861,'Download of SFDC Activation Rep'!B:B,'Download of SFDC Activation Rep'!Z:Z),"")</f>
        <v/>
      </c>
      <c r="Q2861" s="86" t="str">
        <f t="shared" si="2"/>
        <v/>
      </c>
      <c r="R2861" s="13" t="str">
        <f t="shared" si="3"/>
        <v>Yes</v>
      </c>
      <c r="S2861" s="86" t="str">
        <f t="array" ref="S2861">iferror(XLOOKUP(C2861,'Download of SFDC Activation Rep'!B:B,'Download of SFDC Activation Rep'!Y:Y),"")</f>
        <v/>
      </c>
    </row>
    <row r="2862">
      <c r="A2862" s="17"/>
      <c r="B2862" s="85"/>
      <c r="C2862" s="17"/>
      <c r="D2862" s="85"/>
      <c r="E2862" s="17"/>
      <c r="F2862" s="17"/>
      <c r="G2862" s="17"/>
      <c r="I2862" s="17"/>
      <c r="K2862" s="17"/>
      <c r="L2862" s="17"/>
      <c r="M2862" s="17"/>
      <c r="O2862" s="14">
        <f t="shared" si="1"/>
        <v>0</v>
      </c>
      <c r="P2862" s="86" t="str">
        <f t="array" ref="P2862">iferror(XLOOKUP(C2862,'Download of SFDC Activation Rep'!B:B,'Download of SFDC Activation Rep'!Z:Z),"")</f>
        <v/>
      </c>
      <c r="Q2862" s="86" t="str">
        <f t="shared" si="2"/>
        <v/>
      </c>
      <c r="R2862" s="13" t="str">
        <f t="shared" si="3"/>
        <v>Yes</v>
      </c>
      <c r="S2862" s="86" t="str">
        <f t="array" ref="S2862">iferror(XLOOKUP(C2862,'Download of SFDC Activation Rep'!B:B,'Download of SFDC Activation Rep'!Y:Y),"")</f>
        <v/>
      </c>
    </row>
    <row r="2863">
      <c r="A2863" s="17"/>
      <c r="B2863" s="85"/>
      <c r="C2863" s="17"/>
      <c r="D2863" s="85"/>
      <c r="E2863" s="17"/>
      <c r="F2863" s="17"/>
      <c r="G2863" s="17"/>
      <c r="I2863" s="17"/>
      <c r="K2863" s="17"/>
      <c r="L2863" s="17"/>
      <c r="M2863" s="17"/>
      <c r="O2863" s="14">
        <f t="shared" si="1"/>
        <v>0</v>
      </c>
      <c r="P2863" s="86" t="str">
        <f t="array" ref="P2863">iferror(XLOOKUP(C2863,'Download of SFDC Activation Rep'!B:B,'Download of SFDC Activation Rep'!Z:Z),"")</f>
        <v/>
      </c>
      <c r="Q2863" s="86" t="str">
        <f t="shared" si="2"/>
        <v/>
      </c>
      <c r="R2863" s="13" t="str">
        <f t="shared" si="3"/>
        <v>Yes</v>
      </c>
      <c r="S2863" s="86" t="str">
        <f t="array" ref="S2863">iferror(XLOOKUP(C2863,'Download of SFDC Activation Rep'!B:B,'Download of SFDC Activation Rep'!Y:Y),"")</f>
        <v/>
      </c>
    </row>
    <row r="2864">
      <c r="A2864" s="17"/>
      <c r="B2864" s="85"/>
      <c r="C2864" s="17"/>
      <c r="D2864" s="85"/>
      <c r="E2864" s="17"/>
      <c r="F2864" s="17"/>
      <c r="G2864" s="17"/>
      <c r="I2864" s="17"/>
      <c r="K2864" s="17"/>
      <c r="L2864" s="17"/>
      <c r="M2864" s="17"/>
      <c r="O2864" s="14">
        <f t="shared" si="1"/>
        <v>0</v>
      </c>
      <c r="P2864" s="86" t="str">
        <f t="array" ref="P2864">iferror(XLOOKUP(C2864,'Download of SFDC Activation Rep'!B:B,'Download of SFDC Activation Rep'!Z:Z),"")</f>
        <v/>
      </c>
      <c r="Q2864" s="86" t="str">
        <f t="shared" si="2"/>
        <v/>
      </c>
      <c r="R2864" s="13" t="str">
        <f t="shared" si="3"/>
        <v>Yes</v>
      </c>
      <c r="S2864" s="86" t="str">
        <f t="array" ref="S2864">iferror(XLOOKUP(C2864,'Download of SFDC Activation Rep'!B:B,'Download of SFDC Activation Rep'!Y:Y),"")</f>
        <v/>
      </c>
    </row>
    <row r="2865">
      <c r="A2865" s="17"/>
      <c r="B2865" s="85"/>
      <c r="C2865" s="17"/>
      <c r="D2865" s="85"/>
      <c r="E2865" s="17"/>
      <c r="F2865" s="17"/>
      <c r="G2865" s="17"/>
      <c r="I2865" s="17"/>
      <c r="K2865" s="17"/>
      <c r="L2865" s="17"/>
      <c r="M2865" s="17"/>
      <c r="O2865" s="14">
        <f t="shared" si="1"/>
        <v>0</v>
      </c>
      <c r="P2865" s="86" t="str">
        <f t="array" ref="P2865">iferror(XLOOKUP(C2865,'Download of SFDC Activation Rep'!B:B,'Download of SFDC Activation Rep'!Z:Z),"")</f>
        <v/>
      </c>
      <c r="Q2865" s="86" t="str">
        <f t="shared" si="2"/>
        <v/>
      </c>
      <c r="R2865" s="13" t="str">
        <f t="shared" si="3"/>
        <v>Yes</v>
      </c>
      <c r="S2865" s="86" t="str">
        <f t="array" ref="S2865">iferror(XLOOKUP(C2865,'Download of SFDC Activation Rep'!B:B,'Download of SFDC Activation Rep'!Y:Y),"")</f>
        <v/>
      </c>
    </row>
    <row r="2866">
      <c r="A2866" s="17"/>
      <c r="B2866" s="85"/>
      <c r="C2866" s="17"/>
      <c r="D2866" s="85"/>
      <c r="E2866" s="17"/>
      <c r="F2866" s="17"/>
      <c r="G2866" s="17"/>
      <c r="I2866" s="17"/>
      <c r="K2866" s="17"/>
      <c r="L2866" s="17"/>
      <c r="M2866" s="17"/>
      <c r="O2866" s="14">
        <f t="shared" si="1"/>
        <v>0</v>
      </c>
      <c r="P2866" s="86" t="str">
        <f t="array" ref="P2866">iferror(XLOOKUP(C2866,'Download of SFDC Activation Rep'!B:B,'Download of SFDC Activation Rep'!Z:Z),"")</f>
        <v/>
      </c>
      <c r="Q2866" s="86" t="str">
        <f t="shared" si="2"/>
        <v/>
      </c>
      <c r="R2866" s="13" t="str">
        <f t="shared" si="3"/>
        <v>Yes</v>
      </c>
      <c r="S2866" s="86" t="str">
        <f t="array" ref="S2866">iferror(XLOOKUP(C2866,'Download of SFDC Activation Rep'!B:B,'Download of SFDC Activation Rep'!Y:Y),"")</f>
        <v/>
      </c>
    </row>
    <row r="2867">
      <c r="A2867" s="17"/>
      <c r="B2867" s="85"/>
      <c r="C2867" s="17"/>
      <c r="D2867" s="85"/>
      <c r="E2867" s="17"/>
      <c r="F2867" s="17"/>
      <c r="G2867" s="17"/>
      <c r="I2867" s="17"/>
      <c r="K2867" s="17"/>
      <c r="L2867" s="17"/>
      <c r="M2867" s="17"/>
      <c r="O2867" s="14">
        <f t="shared" si="1"/>
        <v>0</v>
      </c>
      <c r="P2867" s="86" t="str">
        <f t="array" ref="P2867">iferror(XLOOKUP(C2867,'Download of SFDC Activation Rep'!B:B,'Download of SFDC Activation Rep'!Z:Z),"")</f>
        <v/>
      </c>
      <c r="Q2867" s="86" t="str">
        <f t="shared" si="2"/>
        <v/>
      </c>
      <c r="R2867" s="13" t="str">
        <f t="shared" si="3"/>
        <v>Yes</v>
      </c>
      <c r="S2867" s="86" t="str">
        <f t="array" ref="S2867">iferror(XLOOKUP(C2867,'Download of SFDC Activation Rep'!B:B,'Download of SFDC Activation Rep'!Y:Y),"")</f>
        <v/>
      </c>
    </row>
    <row r="2868">
      <c r="A2868" s="17"/>
      <c r="B2868" s="85"/>
      <c r="C2868" s="17"/>
      <c r="D2868" s="85"/>
      <c r="E2868" s="17"/>
      <c r="F2868" s="17"/>
      <c r="G2868" s="17"/>
      <c r="I2868" s="17"/>
      <c r="K2868" s="17"/>
      <c r="L2868" s="17"/>
      <c r="M2868" s="17"/>
      <c r="O2868" s="14">
        <f t="shared" si="1"/>
        <v>0</v>
      </c>
      <c r="P2868" s="86" t="str">
        <f t="array" ref="P2868">iferror(XLOOKUP(C2868,'Download of SFDC Activation Rep'!B:B,'Download of SFDC Activation Rep'!Z:Z),"")</f>
        <v/>
      </c>
      <c r="Q2868" s="86" t="str">
        <f t="shared" si="2"/>
        <v/>
      </c>
      <c r="R2868" s="13" t="str">
        <f t="shared" si="3"/>
        <v>Yes</v>
      </c>
      <c r="S2868" s="86" t="str">
        <f t="array" ref="S2868">iferror(XLOOKUP(C2868,'Download of SFDC Activation Rep'!B:B,'Download of SFDC Activation Rep'!Y:Y),"")</f>
        <v/>
      </c>
    </row>
    <row r="2869">
      <c r="A2869" s="17"/>
      <c r="B2869" s="85"/>
      <c r="C2869" s="17"/>
      <c r="D2869" s="85"/>
      <c r="E2869" s="17"/>
      <c r="F2869" s="17"/>
      <c r="G2869" s="17"/>
      <c r="I2869" s="17"/>
      <c r="K2869" s="17"/>
      <c r="L2869" s="17"/>
      <c r="M2869" s="17"/>
      <c r="O2869" s="14">
        <f t="shared" si="1"/>
        <v>0</v>
      </c>
      <c r="P2869" s="86" t="str">
        <f t="array" ref="P2869">iferror(XLOOKUP(C2869,'Download of SFDC Activation Rep'!B:B,'Download of SFDC Activation Rep'!Z:Z),"")</f>
        <v/>
      </c>
      <c r="Q2869" s="86" t="str">
        <f t="shared" si="2"/>
        <v/>
      </c>
      <c r="R2869" s="13" t="str">
        <f t="shared" si="3"/>
        <v>Yes</v>
      </c>
      <c r="S2869" s="86" t="str">
        <f t="array" ref="S2869">iferror(XLOOKUP(C2869,'Download of SFDC Activation Rep'!B:B,'Download of SFDC Activation Rep'!Y:Y),"")</f>
        <v/>
      </c>
    </row>
    <row r="2870">
      <c r="A2870" s="17"/>
      <c r="B2870" s="85"/>
      <c r="C2870" s="17"/>
      <c r="D2870" s="85"/>
      <c r="E2870" s="17"/>
      <c r="F2870" s="17"/>
      <c r="G2870" s="17"/>
      <c r="I2870" s="17"/>
      <c r="K2870" s="17"/>
      <c r="L2870" s="17"/>
      <c r="M2870" s="17"/>
      <c r="O2870" s="14">
        <f t="shared" si="1"/>
        <v>0</v>
      </c>
      <c r="P2870" s="86" t="str">
        <f t="array" ref="P2870">iferror(XLOOKUP(C2870,'Download of SFDC Activation Rep'!B:B,'Download of SFDC Activation Rep'!Z:Z),"")</f>
        <v/>
      </c>
      <c r="Q2870" s="86" t="str">
        <f t="shared" si="2"/>
        <v/>
      </c>
      <c r="R2870" s="13" t="str">
        <f t="shared" si="3"/>
        <v>Yes</v>
      </c>
      <c r="S2870" s="86" t="str">
        <f t="array" ref="S2870">iferror(XLOOKUP(C2870,'Download of SFDC Activation Rep'!B:B,'Download of SFDC Activation Rep'!Y:Y),"")</f>
        <v/>
      </c>
    </row>
    <row r="2871">
      <c r="A2871" s="17"/>
      <c r="B2871" s="85"/>
      <c r="C2871" s="17"/>
      <c r="D2871" s="85"/>
      <c r="E2871" s="17"/>
      <c r="F2871" s="17"/>
      <c r="G2871" s="17"/>
      <c r="I2871" s="17"/>
      <c r="K2871" s="17"/>
      <c r="L2871" s="17"/>
      <c r="M2871" s="17"/>
      <c r="O2871" s="14">
        <f t="shared" si="1"/>
        <v>0</v>
      </c>
      <c r="P2871" s="86" t="str">
        <f t="array" ref="P2871">iferror(XLOOKUP(C2871,'Download of SFDC Activation Rep'!B:B,'Download of SFDC Activation Rep'!Z:Z),"")</f>
        <v/>
      </c>
      <c r="Q2871" s="86" t="str">
        <f t="shared" si="2"/>
        <v/>
      </c>
      <c r="R2871" s="13" t="str">
        <f t="shared" si="3"/>
        <v>Yes</v>
      </c>
      <c r="S2871" s="86" t="str">
        <f t="array" ref="S2871">iferror(XLOOKUP(C2871,'Download of SFDC Activation Rep'!B:B,'Download of SFDC Activation Rep'!Y:Y),"")</f>
        <v/>
      </c>
    </row>
    <row r="2872">
      <c r="A2872" s="17"/>
      <c r="B2872" s="85"/>
      <c r="C2872" s="17"/>
      <c r="D2872" s="85"/>
      <c r="E2872" s="17"/>
      <c r="F2872" s="17"/>
      <c r="G2872" s="17"/>
      <c r="I2872" s="17"/>
      <c r="K2872" s="17"/>
      <c r="L2872" s="17"/>
      <c r="M2872" s="17"/>
      <c r="O2872" s="14">
        <f t="shared" si="1"/>
        <v>0</v>
      </c>
      <c r="P2872" s="86" t="str">
        <f t="array" ref="P2872">iferror(XLOOKUP(C2872,'Download of SFDC Activation Rep'!B:B,'Download of SFDC Activation Rep'!Z:Z),"")</f>
        <v/>
      </c>
      <c r="Q2872" s="86" t="str">
        <f t="shared" si="2"/>
        <v/>
      </c>
      <c r="R2872" s="13" t="str">
        <f t="shared" si="3"/>
        <v>Yes</v>
      </c>
      <c r="S2872" s="86" t="str">
        <f t="array" ref="S2872">iferror(XLOOKUP(C2872,'Download of SFDC Activation Rep'!B:B,'Download of SFDC Activation Rep'!Y:Y),"")</f>
        <v/>
      </c>
    </row>
    <row r="2873">
      <c r="A2873" s="17"/>
      <c r="B2873" s="85"/>
      <c r="C2873" s="17"/>
      <c r="D2873" s="85"/>
      <c r="E2873" s="17"/>
      <c r="F2873" s="17"/>
      <c r="G2873" s="17"/>
      <c r="I2873" s="17"/>
      <c r="K2873" s="17"/>
      <c r="L2873" s="17"/>
      <c r="M2873" s="17"/>
      <c r="O2873" s="14">
        <f t="shared" si="1"/>
        <v>0</v>
      </c>
      <c r="P2873" s="86" t="str">
        <f t="array" ref="P2873">iferror(XLOOKUP(C2873,'Download of SFDC Activation Rep'!B:B,'Download of SFDC Activation Rep'!Z:Z),"")</f>
        <v/>
      </c>
      <c r="Q2873" s="86" t="str">
        <f t="shared" si="2"/>
        <v/>
      </c>
      <c r="R2873" s="13" t="str">
        <f t="shared" si="3"/>
        <v>Yes</v>
      </c>
      <c r="S2873" s="86" t="str">
        <f t="array" ref="S2873">iferror(XLOOKUP(C2873,'Download of SFDC Activation Rep'!B:B,'Download of SFDC Activation Rep'!Y:Y),"")</f>
        <v/>
      </c>
    </row>
    <row r="2874">
      <c r="A2874" s="17"/>
      <c r="B2874" s="85"/>
      <c r="C2874" s="17"/>
      <c r="D2874" s="85"/>
      <c r="E2874" s="17"/>
      <c r="F2874" s="17"/>
      <c r="G2874" s="17"/>
      <c r="I2874" s="17"/>
      <c r="K2874" s="17"/>
      <c r="L2874" s="17"/>
      <c r="M2874" s="17"/>
      <c r="O2874" s="14">
        <f t="shared" si="1"/>
        <v>0</v>
      </c>
      <c r="P2874" s="86" t="str">
        <f t="array" ref="P2874">iferror(XLOOKUP(C2874,'Download of SFDC Activation Rep'!B:B,'Download of SFDC Activation Rep'!Z:Z),"")</f>
        <v/>
      </c>
      <c r="Q2874" s="86" t="str">
        <f t="shared" si="2"/>
        <v/>
      </c>
      <c r="R2874" s="13" t="str">
        <f t="shared" si="3"/>
        <v>Yes</v>
      </c>
      <c r="S2874" s="86" t="str">
        <f t="array" ref="S2874">iferror(XLOOKUP(C2874,'Download of SFDC Activation Rep'!B:B,'Download of SFDC Activation Rep'!Y:Y),"")</f>
        <v/>
      </c>
    </row>
    <row r="2875">
      <c r="A2875" s="17"/>
      <c r="B2875" s="85"/>
      <c r="C2875" s="17"/>
      <c r="D2875" s="85"/>
      <c r="E2875" s="17"/>
      <c r="F2875" s="17"/>
      <c r="G2875" s="17"/>
      <c r="I2875" s="17"/>
      <c r="K2875" s="17"/>
      <c r="L2875" s="17"/>
      <c r="M2875" s="17"/>
      <c r="O2875" s="14">
        <f t="shared" si="1"/>
        <v>0</v>
      </c>
      <c r="P2875" s="86" t="str">
        <f t="array" ref="P2875">iferror(XLOOKUP(C2875,'Download of SFDC Activation Rep'!B:B,'Download of SFDC Activation Rep'!Z:Z),"")</f>
        <v/>
      </c>
      <c r="Q2875" s="86" t="str">
        <f t="shared" si="2"/>
        <v/>
      </c>
      <c r="R2875" s="13" t="str">
        <f t="shared" si="3"/>
        <v>Yes</v>
      </c>
      <c r="S2875" s="86" t="str">
        <f t="array" ref="S2875">iferror(XLOOKUP(C2875,'Download of SFDC Activation Rep'!B:B,'Download of SFDC Activation Rep'!Y:Y),"")</f>
        <v/>
      </c>
    </row>
    <row r="2876">
      <c r="A2876" s="17"/>
      <c r="B2876" s="85"/>
      <c r="C2876" s="17"/>
      <c r="D2876" s="85"/>
      <c r="E2876" s="17"/>
      <c r="F2876" s="17"/>
      <c r="G2876" s="17"/>
      <c r="I2876" s="17"/>
      <c r="K2876" s="17"/>
      <c r="L2876" s="17"/>
      <c r="M2876" s="17"/>
      <c r="O2876" s="14">
        <f t="shared" si="1"/>
        <v>0</v>
      </c>
      <c r="P2876" s="86" t="str">
        <f t="array" ref="P2876">iferror(XLOOKUP(C2876,'Download of SFDC Activation Rep'!B:B,'Download of SFDC Activation Rep'!Z:Z),"")</f>
        <v/>
      </c>
      <c r="Q2876" s="86" t="str">
        <f t="shared" si="2"/>
        <v/>
      </c>
      <c r="R2876" s="13" t="str">
        <f t="shared" si="3"/>
        <v>Yes</v>
      </c>
      <c r="S2876" s="86" t="str">
        <f t="array" ref="S2876">iferror(XLOOKUP(C2876,'Download of SFDC Activation Rep'!B:B,'Download of SFDC Activation Rep'!Y:Y),"")</f>
        <v/>
      </c>
    </row>
    <row r="2877">
      <c r="A2877" s="17"/>
      <c r="B2877" s="85"/>
      <c r="C2877" s="17"/>
      <c r="D2877" s="85"/>
      <c r="E2877" s="17"/>
      <c r="F2877" s="17"/>
      <c r="G2877" s="17"/>
      <c r="I2877" s="17"/>
      <c r="K2877" s="17"/>
      <c r="L2877" s="17"/>
      <c r="M2877" s="17"/>
      <c r="O2877" s="14">
        <f t="shared" si="1"/>
        <v>0</v>
      </c>
      <c r="P2877" s="86" t="str">
        <f t="array" ref="P2877">iferror(XLOOKUP(C2877,'Download of SFDC Activation Rep'!B:B,'Download of SFDC Activation Rep'!Z:Z),"")</f>
        <v/>
      </c>
      <c r="Q2877" s="86" t="str">
        <f t="shared" si="2"/>
        <v/>
      </c>
      <c r="R2877" s="13" t="str">
        <f t="shared" si="3"/>
        <v>Yes</v>
      </c>
      <c r="S2877" s="86" t="str">
        <f t="array" ref="S2877">iferror(XLOOKUP(C2877,'Download of SFDC Activation Rep'!B:B,'Download of SFDC Activation Rep'!Y:Y),"")</f>
        <v/>
      </c>
    </row>
    <row r="2878">
      <c r="A2878" s="17"/>
      <c r="B2878" s="85"/>
      <c r="C2878" s="17"/>
      <c r="D2878" s="85"/>
      <c r="E2878" s="17"/>
      <c r="F2878" s="17"/>
      <c r="G2878" s="17"/>
      <c r="I2878" s="17"/>
      <c r="K2878" s="17"/>
      <c r="L2878" s="17"/>
      <c r="M2878" s="17"/>
      <c r="O2878" s="14">
        <f t="shared" si="1"/>
        <v>0</v>
      </c>
      <c r="P2878" s="86" t="str">
        <f t="array" ref="P2878">iferror(XLOOKUP(C2878,'Download of SFDC Activation Rep'!B:B,'Download of SFDC Activation Rep'!Z:Z),"")</f>
        <v/>
      </c>
      <c r="Q2878" s="86" t="str">
        <f t="shared" si="2"/>
        <v/>
      </c>
      <c r="R2878" s="13" t="str">
        <f t="shared" si="3"/>
        <v>Yes</v>
      </c>
      <c r="S2878" s="86" t="str">
        <f t="array" ref="S2878">iferror(XLOOKUP(C2878,'Download of SFDC Activation Rep'!B:B,'Download of SFDC Activation Rep'!Y:Y),"")</f>
        <v/>
      </c>
    </row>
    <row r="2879">
      <c r="A2879" s="17"/>
      <c r="B2879" s="85"/>
      <c r="C2879" s="17"/>
      <c r="D2879" s="85"/>
      <c r="E2879" s="17"/>
      <c r="F2879" s="17"/>
      <c r="G2879" s="17"/>
      <c r="I2879" s="17"/>
      <c r="K2879" s="17"/>
      <c r="L2879" s="17"/>
      <c r="M2879" s="17"/>
      <c r="O2879" s="14">
        <f t="shared" si="1"/>
        <v>0</v>
      </c>
      <c r="P2879" s="86" t="str">
        <f t="array" ref="P2879">iferror(XLOOKUP(C2879,'Download of SFDC Activation Rep'!B:B,'Download of SFDC Activation Rep'!Z:Z),"")</f>
        <v/>
      </c>
      <c r="Q2879" s="86" t="str">
        <f t="shared" si="2"/>
        <v/>
      </c>
      <c r="R2879" s="13" t="str">
        <f t="shared" si="3"/>
        <v>Yes</v>
      </c>
      <c r="S2879" s="86" t="str">
        <f t="array" ref="S2879">iferror(XLOOKUP(C2879,'Download of SFDC Activation Rep'!B:B,'Download of SFDC Activation Rep'!Y:Y),"")</f>
        <v/>
      </c>
    </row>
    <row r="2880">
      <c r="A2880" s="17"/>
      <c r="B2880" s="85"/>
      <c r="C2880" s="17"/>
      <c r="D2880" s="85"/>
      <c r="E2880" s="17"/>
      <c r="F2880" s="17"/>
      <c r="G2880" s="17"/>
      <c r="I2880" s="17"/>
      <c r="K2880" s="17"/>
      <c r="L2880" s="17"/>
      <c r="M2880" s="17"/>
      <c r="O2880" s="14">
        <f t="shared" si="1"/>
        <v>0</v>
      </c>
      <c r="P2880" s="86" t="str">
        <f t="array" ref="P2880">iferror(XLOOKUP(C2880,'Download of SFDC Activation Rep'!B:B,'Download of SFDC Activation Rep'!Z:Z),"")</f>
        <v/>
      </c>
      <c r="Q2880" s="86" t="str">
        <f t="shared" si="2"/>
        <v/>
      </c>
      <c r="R2880" s="13" t="str">
        <f t="shared" si="3"/>
        <v>Yes</v>
      </c>
      <c r="S2880" s="86" t="str">
        <f t="array" ref="S2880">iferror(XLOOKUP(C2880,'Download of SFDC Activation Rep'!B:B,'Download of SFDC Activation Rep'!Y:Y),"")</f>
        <v/>
      </c>
    </row>
    <row r="2881">
      <c r="A2881" s="17"/>
      <c r="B2881" s="85"/>
      <c r="C2881" s="17"/>
      <c r="D2881" s="85"/>
      <c r="E2881" s="17"/>
      <c r="F2881" s="17"/>
      <c r="G2881" s="17"/>
      <c r="I2881" s="17"/>
      <c r="K2881" s="17"/>
      <c r="L2881" s="17"/>
      <c r="M2881" s="17"/>
      <c r="O2881" s="14">
        <f t="shared" si="1"/>
        <v>0</v>
      </c>
      <c r="P2881" s="86" t="str">
        <f t="array" ref="P2881">iferror(XLOOKUP(C2881,'Download of SFDC Activation Rep'!B:B,'Download of SFDC Activation Rep'!Z:Z),"")</f>
        <v/>
      </c>
      <c r="Q2881" s="86" t="str">
        <f t="shared" si="2"/>
        <v/>
      </c>
      <c r="R2881" s="13" t="str">
        <f t="shared" si="3"/>
        <v>Yes</v>
      </c>
      <c r="S2881" s="86" t="str">
        <f t="array" ref="S2881">iferror(XLOOKUP(C2881,'Download of SFDC Activation Rep'!B:B,'Download of SFDC Activation Rep'!Y:Y),"")</f>
        <v/>
      </c>
    </row>
    <row r="2882">
      <c r="A2882" s="17"/>
      <c r="B2882" s="85"/>
      <c r="C2882" s="17"/>
      <c r="D2882" s="85"/>
      <c r="E2882" s="17"/>
      <c r="F2882" s="17"/>
      <c r="G2882" s="17"/>
      <c r="I2882" s="17"/>
      <c r="K2882" s="17"/>
      <c r="L2882" s="17"/>
      <c r="M2882" s="17"/>
      <c r="O2882" s="14">
        <f t="shared" si="1"/>
        <v>0</v>
      </c>
      <c r="P2882" s="86" t="str">
        <f t="array" ref="P2882">iferror(XLOOKUP(C2882,'Download of SFDC Activation Rep'!B:B,'Download of SFDC Activation Rep'!Z:Z),"")</f>
        <v/>
      </c>
      <c r="Q2882" s="86" t="str">
        <f t="shared" si="2"/>
        <v/>
      </c>
      <c r="R2882" s="13" t="str">
        <f t="shared" si="3"/>
        <v>Yes</v>
      </c>
      <c r="S2882" s="86" t="str">
        <f t="array" ref="S2882">iferror(XLOOKUP(C2882,'Download of SFDC Activation Rep'!B:B,'Download of SFDC Activation Rep'!Y:Y),"")</f>
        <v/>
      </c>
    </row>
    <row r="2883">
      <c r="A2883" s="17"/>
      <c r="B2883" s="85"/>
      <c r="C2883" s="17"/>
      <c r="D2883" s="85"/>
      <c r="E2883" s="17"/>
      <c r="F2883" s="17"/>
      <c r="G2883" s="17"/>
      <c r="I2883" s="17"/>
      <c r="K2883" s="17"/>
      <c r="L2883" s="17"/>
      <c r="M2883" s="17"/>
      <c r="O2883" s="14">
        <f t="shared" si="1"/>
        <v>0</v>
      </c>
      <c r="P2883" s="86" t="str">
        <f t="array" ref="P2883">iferror(XLOOKUP(C2883,'Download of SFDC Activation Rep'!B:B,'Download of SFDC Activation Rep'!Z:Z),"")</f>
        <v/>
      </c>
      <c r="Q2883" s="86" t="str">
        <f t="shared" si="2"/>
        <v/>
      </c>
      <c r="R2883" s="13" t="str">
        <f t="shared" si="3"/>
        <v>Yes</v>
      </c>
      <c r="S2883" s="86" t="str">
        <f t="array" ref="S2883">iferror(XLOOKUP(C2883,'Download of SFDC Activation Rep'!B:B,'Download of SFDC Activation Rep'!Y:Y),"")</f>
        <v/>
      </c>
    </row>
    <row r="2884">
      <c r="A2884" s="17"/>
      <c r="B2884" s="85"/>
      <c r="C2884" s="17"/>
      <c r="D2884" s="85"/>
      <c r="E2884" s="17"/>
      <c r="F2884" s="17"/>
      <c r="G2884" s="17"/>
      <c r="I2884" s="17"/>
      <c r="K2884" s="17"/>
      <c r="L2884" s="17"/>
      <c r="M2884" s="17"/>
      <c r="O2884" s="14">
        <f t="shared" si="1"/>
        <v>0</v>
      </c>
      <c r="P2884" s="86" t="str">
        <f t="array" ref="P2884">iferror(XLOOKUP(C2884,'Download of SFDC Activation Rep'!B:B,'Download of SFDC Activation Rep'!Z:Z),"")</f>
        <v/>
      </c>
      <c r="Q2884" s="86" t="str">
        <f t="shared" si="2"/>
        <v/>
      </c>
      <c r="R2884" s="13" t="str">
        <f t="shared" si="3"/>
        <v>Yes</v>
      </c>
      <c r="S2884" s="86" t="str">
        <f t="array" ref="S2884">iferror(XLOOKUP(C2884,'Download of SFDC Activation Rep'!B:B,'Download of SFDC Activation Rep'!Y:Y),"")</f>
        <v/>
      </c>
    </row>
    <row r="2885">
      <c r="A2885" s="17"/>
      <c r="B2885" s="85"/>
      <c r="C2885" s="17"/>
      <c r="D2885" s="85"/>
      <c r="E2885" s="17"/>
      <c r="F2885" s="17"/>
      <c r="G2885" s="17"/>
      <c r="I2885" s="17"/>
      <c r="K2885" s="17"/>
      <c r="L2885" s="17"/>
      <c r="M2885" s="17"/>
      <c r="O2885" s="14">
        <f t="shared" si="1"/>
        <v>0</v>
      </c>
      <c r="P2885" s="86" t="str">
        <f t="array" ref="P2885">iferror(XLOOKUP(C2885,'Download of SFDC Activation Rep'!B:B,'Download of SFDC Activation Rep'!Z:Z),"")</f>
        <v/>
      </c>
      <c r="Q2885" s="86" t="str">
        <f t="shared" si="2"/>
        <v/>
      </c>
      <c r="R2885" s="13" t="str">
        <f t="shared" si="3"/>
        <v>Yes</v>
      </c>
      <c r="S2885" s="86" t="str">
        <f t="array" ref="S2885">iferror(XLOOKUP(C2885,'Download of SFDC Activation Rep'!B:B,'Download of SFDC Activation Rep'!Y:Y),"")</f>
        <v/>
      </c>
    </row>
    <row r="2886">
      <c r="A2886" s="17"/>
      <c r="B2886" s="85"/>
      <c r="C2886" s="17"/>
      <c r="D2886" s="85"/>
      <c r="E2886" s="17"/>
      <c r="F2886" s="17"/>
      <c r="G2886" s="17"/>
      <c r="I2886" s="17"/>
      <c r="K2886" s="17"/>
      <c r="L2886" s="17"/>
      <c r="M2886" s="17"/>
      <c r="O2886" s="14">
        <f t="shared" si="1"/>
        <v>0</v>
      </c>
      <c r="P2886" s="86" t="str">
        <f t="array" ref="P2886">iferror(XLOOKUP(C2886,'Download of SFDC Activation Rep'!B:B,'Download of SFDC Activation Rep'!Z:Z),"")</f>
        <v/>
      </c>
      <c r="Q2886" s="86" t="str">
        <f t="shared" si="2"/>
        <v/>
      </c>
      <c r="R2886" s="13" t="str">
        <f t="shared" si="3"/>
        <v>Yes</v>
      </c>
      <c r="S2886" s="86" t="str">
        <f t="array" ref="S2886">iferror(XLOOKUP(C2886,'Download of SFDC Activation Rep'!B:B,'Download of SFDC Activation Rep'!Y:Y),"")</f>
        <v/>
      </c>
    </row>
    <row r="2887">
      <c r="A2887" s="17"/>
      <c r="B2887" s="85"/>
      <c r="C2887" s="17"/>
      <c r="D2887" s="85"/>
      <c r="E2887" s="17"/>
      <c r="F2887" s="17"/>
      <c r="G2887" s="17"/>
      <c r="I2887" s="17"/>
      <c r="K2887" s="17"/>
      <c r="L2887" s="17"/>
      <c r="M2887" s="17"/>
      <c r="O2887" s="14">
        <f t="shared" si="1"/>
        <v>0</v>
      </c>
      <c r="P2887" s="86" t="str">
        <f t="array" ref="P2887">iferror(XLOOKUP(C2887,'Download of SFDC Activation Rep'!B:B,'Download of SFDC Activation Rep'!Z:Z),"")</f>
        <v/>
      </c>
      <c r="Q2887" s="86" t="str">
        <f t="shared" si="2"/>
        <v/>
      </c>
      <c r="R2887" s="13" t="str">
        <f t="shared" si="3"/>
        <v>Yes</v>
      </c>
      <c r="S2887" s="86" t="str">
        <f t="array" ref="S2887">iferror(XLOOKUP(C2887,'Download of SFDC Activation Rep'!B:B,'Download of SFDC Activation Rep'!Y:Y),"")</f>
        <v/>
      </c>
    </row>
    <row r="2888">
      <c r="A2888" s="17"/>
      <c r="B2888" s="85"/>
      <c r="C2888" s="17"/>
      <c r="D2888" s="85"/>
      <c r="E2888" s="17"/>
      <c r="F2888" s="17"/>
      <c r="G2888" s="17"/>
      <c r="I2888" s="17"/>
      <c r="K2888" s="17"/>
      <c r="L2888" s="17"/>
      <c r="M2888" s="17"/>
      <c r="O2888" s="14">
        <f t="shared" si="1"/>
        <v>0</v>
      </c>
      <c r="P2888" s="86" t="str">
        <f t="array" ref="P2888">iferror(XLOOKUP(C2888,'Download of SFDC Activation Rep'!B:B,'Download of SFDC Activation Rep'!Z:Z),"")</f>
        <v/>
      </c>
      <c r="Q2888" s="86" t="str">
        <f t="shared" si="2"/>
        <v/>
      </c>
      <c r="R2888" s="13" t="str">
        <f t="shared" si="3"/>
        <v>Yes</v>
      </c>
      <c r="S2888" s="86" t="str">
        <f t="array" ref="S2888">iferror(XLOOKUP(C2888,'Download of SFDC Activation Rep'!B:B,'Download of SFDC Activation Rep'!Y:Y),"")</f>
        <v/>
      </c>
    </row>
    <row r="2889">
      <c r="A2889" s="17"/>
      <c r="B2889" s="85"/>
      <c r="C2889" s="17"/>
      <c r="D2889" s="85"/>
      <c r="E2889" s="17"/>
      <c r="F2889" s="17"/>
      <c r="G2889" s="17"/>
      <c r="I2889" s="17"/>
      <c r="K2889" s="17"/>
      <c r="L2889" s="17"/>
      <c r="M2889" s="17"/>
      <c r="O2889" s="14">
        <f t="shared" si="1"/>
        <v>0</v>
      </c>
      <c r="P2889" s="86" t="str">
        <f t="array" ref="P2889">iferror(XLOOKUP(C2889,'Download of SFDC Activation Rep'!B:B,'Download of SFDC Activation Rep'!Z:Z),"")</f>
        <v/>
      </c>
      <c r="Q2889" s="86" t="str">
        <f t="shared" si="2"/>
        <v/>
      </c>
      <c r="R2889" s="13" t="str">
        <f t="shared" si="3"/>
        <v>Yes</v>
      </c>
      <c r="S2889" s="86" t="str">
        <f t="array" ref="S2889">iferror(XLOOKUP(C2889,'Download of SFDC Activation Rep'!B:B,'Download of SFDC Activation Rep'!Y:Y),"")</f>
        <v/>
      </c>
    </row>
    <row r="2890">
      <c r="A2890" s="17"/>
      <c r="B2890" s="85"/>
      <c r="C2890" s="17"/>
      <c r="D2890" s="85"/>
      <c r="E2890" s="17"/>
      <c r="F2890" s="17"/>
      <c r="G2890" s="17"/>
      <c r="I2890" s="17"/>
      <c r="K2890" s="17"/>
      <c r="L2890" s="17"/>
      <c r="M2890" s="17"/>
      <c r="O2890" s="14">
        <f t="shared" si="1"/>
        <v>0</v>
      </c>
      <c r="P2890" s="86" t="str">
        <f t="array" ref="P2890">iferror(XLOOKUP(C2890,'Download of SFDC Activation Rep'!B:B,'Download of SFDC Activation Rep'!Z:Z),"")</f>
        <v/>
      </c>
      <c r="Q2890" s="86" t="str">
        <f t="shared" si="2"/>
        <v/>
      </c>
      <c r="R2890" s="13" t="str">
        <f t="shared" si="3"/>
        <v>Yes</v>
      </c>
      <c r="S2890" s="86" t="str">
        <f t="array" ref="S2890">iferror(XLOOKUP(C2890,'Download of SFDC Activation Rep'!B:B,'Download of SFDC Activation Rep'!Y:Y),"")</f>
        <v/>
      </c>
    </row>
    <row r="2891">
      <c r="A2891" s="17"/>
      <c r="B2891" s="85"/>
      <c r="C2891" s="17"/>
      <c r="D2891" s="85"/>
      <c r="E2891" s="17"/>
      <c r="F2891" s="17"/>
      <c r="G2891" s="17"/>
      <c r="I2891" s="17"/>
      <c r="K2891" s="17"/>
      <c r="L2891" s="17"/>
      <c r="M2891" s="17"/>
      <c r="O2891" s="14">
        <f t="shared" si="1"/>
        <v>0</v>
      </c>
      <c r="P2891" s="86" t="str">
        <f t="array" ref="P2891">iferror(XLOOKUP(C2891,'Download of SFDC Activation Rep'!B:B,'Download of SFDC Activation Rep'!Z:Z),"")</f>
        <v/>
      </c>
      <c r="Q2891" s="86" t="str">
        <f t="shared" si="2"/>
        <v/>
      </c>
      <c r="R2891" s="13" t="str">
        <f t="shared" si="3"/>
        <v>Yes</v>
      </c>
      <c r="S2891" s="86" t="str">
        <f t="array" ref="S2891">iferror(XLOOKUP(C2891,'Download of SFDC Activation Rep'!B:B,'Download of SFDC Activation Rep'!Y:Y),"")</f>
        <v/>
      </c>
    </row>
    <row r="2892">
      <c r="A2892" s="17"/>
      <c r="B2892" s="85"/>
      <c r="C2892" s="17"/>
      <c r="D2892" s="85"/>
      <c r="E2892" s="17"/>
      <c r="F2892" s="17"/>
      <c r="G2892" s="17"/>
      <c r="I2892" s="17"/>
      <c r="K2892" s="17"/>
      <c r="L2892" s="17"/>
      <c r="M2892" s="17"/>
      <c r="O2892" s="14">
        <f t="shared" si="1"/>
        <v>0</v>
      </c>
      <c r="P2892" s="86" t="str">
        <f t="array" ref="P2892">iferror(XLOOKUP(C2892,'Download of SFDC Activation Rep'!B:B,'Download of SFDC Activation Rep'!Z:Z),"")</f>
        <v/>
      </c>
      <c r="Q2892" s="86" t="str">
        <f t="shared" si="2"/>
        <v/>
      </c>
      <c r="R2892" s="13" t="str">
        <f t="shared" si="3"/>
        <v>Yes</v>
      </c>
      <c r="S2892" s="86" t="str">
        <f t="array" ref="S2892">iferror(XLOOKUP(C2892,'Download of SFDC Activation Rep'!B:B,'Download of SFDC Activation Rep'!Y:Y),"")</f>
        <v/>
      </c>
    </row>
    <row r="2893">
      <c r="A2893" s="17"/>
      <c r="B2893" s="85"/>
      <c r="C2893" s="17"/>
      <c r="D2893" s="85"/>
      <c r="E2893" s="17"/>
      <c r="F2893" s="17"/>
      <c r="G2893" s="17"/>
      <c r="I2893" s="17"/>
      <c r="K2893" s="17"/>
      <c r="L2893" s="17"/>
      <c r="M2893" s="17"/>
      <c r="O2893" s="14">
        <f t="shared" si="1"/>
        <v>0</v>
      </c>
      <c r="P2893" s="86" t="str">
        <f t="array" ref="P2893">iferror(XLOOKUP(C2893,'Download of SFDC Activation Rep'!B:B,'Download of SFDC Activation Rep'!Z:Z),"")</f>
        <v/>
      </c>
      <c r="Q2893" s="86" t="str">
        <f t="shared" si="2"/>
        <v/>
      </c>
      <c r="R2893" s="13" t="str">
        <f t="shared" si="3"/>
        <v>Yes</v>
      </c>
      <c r="S2893" s="86" t="str">
        <f t="array" ref="S2893">iferror(XLOOKUP(C2893,'Download of SFDC Activation Rep'!B:B,'Download of SFDC Activation Rep'!Y:Y),"")</f>
        <v/>
      </c>
    </row>
    <row r="2894">
      <c r="A2894" s="17"/>
      <c r="B2894" s="85"/>
      <c r="C2894" s="17"/>
      <c r="D2894" s="85"/>
      <c r="E2894" s="17"/>
      <c r="F2894" s="17"/>
      <c r="G2894" s="17"/>
      <c r="I2894" s="17"/>
      <c r="K2894" s="17"/>
      <c r="L2894" s="17"/>
      <c r="M2894" s="17"/>
      <c r="O2894" s="14">
        <f t="shared" si="1"/>
        <v>0</v>
      </c>
      <c r="P2894" s="86" t="str">
        <f t="array" ref="P2894">iferror(XLOOKUP(C2894,'Download of SFDC Activation Rep'!B:B,'Download of SFDC Activation Rep'!Z:Z),"")</f>
        <v/>
      </c>
      <c r="Q2894" s="86" t="str">
        <f t="shared" si="2"/>
        <v/>
      </c>
      <c r="R2894" s="13" t="str">
        <f t="shared" si="3"/>
        <v>Yes</v>
      </c>
      <c r="S2894" s="86" t="str">
        <f t="array" ref="S2894">iferror(XLOOKUP(C2894,'Download of SFDC Activation Rep'!B:B,'Download of SFDC Activation Rep'!Y:Y),"")</f>
        <v/>
      </c>
    </row>
    <row r="2895">
      <c r="A2895" s="17"/>
      <c r="B2895" s="85"/>
      <c r="C2895" s="17"/>
      <c r="D2895" s="85"/>
      <c r="E2895" s="17"/>
      <c r="F2895" s="17"/>
      <c r="G2895" s="17"/>
      <c r="I2895" s="17"/>
      <c r="K2895" s="17"/>
      <c r="L2895" s="17"/>
      <c r="M2895" s="17"/>
      <c r="O2895" s="14">
        <f t="shared" si="1"/>
        <v>0</v>
      </c>
      <c r="P2895" s="86" t="str">
        <f t="array" ref="P2895">iferror(XLOOKUP(C2895,'Download of SFDC Activation Rep'!B:B,'Download of SFDC Activation Rep'!Z:Z),"")</f>
        <v/>
      </c>
      <c r="Q2895" s="86" t="str">
        <f t="shared" si="2"/>
        <v/>
      </c>
      <c r="R2895" s="13" t="str">
        <f t="shared" si="3"/>
        <v>Yes</v>
      </c>
      <c r="S2895" s="86" t="str">
        <f t="array" ref="S2895">iferror(XLOOKUP(C2895,'Download of SFDC Activation Rep'!B:B,'Download of SFDC Activation Rep'!Y:Y),"")</f>
        <v/>
      </c>
    </row>
    <row r="2896">
      <c r="A2896" s="17"/>
      <c r="B2896" s="85"/>
      <c r="C2896" s="17"/>
      <c r="D2896" s="85"/>
      <c r="E2896" s="17"/>
      <c r="F2896" s="17"/>
      <c r="G2896" s="17"/>
      <c r="I2896" s="17"/>
      <c r="K2896" s="17"/>
      <c r="L2896" s="17"/>
      <c r="M2896" s="17"/>
      <c r="O2896" s="14">
        <f t="shared" si="1"/>
        <v>0</v>
      </c>
      <c r="P2896" s="86" t="str">
        <f t="array" ref="P2896">iferror(XLOOKUP(C2896,'Download of SFDC Activation Rep'!B:B,'Download of SFDC Activation Rep'!Z:Z),"")</f>
        <v/>
      </c>
      <c r="Q2896" s="86" t="str">
        <f t="shared" si="2"/>
        <v/>
      </c>
      <c r="R2896" s="13" t="str">
        <f t="shared" si="3"/>
        <v>Yes</v>
      </c>
      <c r="S2896" s="86" t="str">
        <f t="array" ref="S2896">iferror(XLOOKUP(C2896,'Download of SFDC Activation Rep'!B:B,'Download of SFDC Activation Rep'!Y:Y),"")</f>
        <v/>
      </c>
    </row>
    <row r="2897">
      <c r="A2897" s="17"/>
      <c r="B2897" s="85"/>
      <c r="C2897" s="17"/>
      <c r="D2897" s="85"/>
      <c r="E2897" s="17"/>
      <c r="F2897" s="17"/>
      <c r="G2897" s="17"/>
      <c r="I2897" s="17"/>
      <c r="K2897" s="17"/>
      <c r="L2897" s="17"/>
      <c r="M2897" s="17"/>
      <c r="O2897" s="14">
        <f t="shared" si="1"/>
        <v>0</v>
      </c>
      <c r="P2897" s="86" t="str">
        <f t="array" ref="P2897">iferror(XLOOKUP(C2897,'Download of SFDC Activation Rep'!B:B,'Download of SFDC Activation Rep'!Z:Z),"")</f>
        <v/>
      </c>
      <c r="Q2897" s="86" t="str">
        <f t="shared" si="2"/>
        <v/>
      </c>
      <c r="R2897" s="13" t="str">
        <f t="shared" si="3"/>
        <v>Yes</v>
      </c>
      <c r="S2897" s="86" t="str">
        <f t="array" ref="S2897">iferror(XLOOKUP(C2897,'Download of SFDC Activation Rep'!B:B,'Download of SFDC Activation Rep'!Y:Y),"")</f>
        <v/>
      </c>
    </row>
    <row r="2898">
      <c r="A2898" s="17"/>
      <c r="B2898" s="85"/>
      <c r="C2898" s="17"/>
      <c r="D2898" s="85"/>
      <c r="E2898" s="17"/>
      <c r="F2898" s="17"/>
      <c r="G2898" s="17"/>
      <c r="I2898" s="17"/>
      <c r="K2898" s="17"/>
      <c r="L2898" s="17"/>
      <c r="M2898" s="17"/>
      <c r="O2898" s="14">
        <f t="shared" si="1"/>
        <v>0</v>
      </c>
      <c r="P2898" s="86" t="str">
        <f t="array" ref="P2898">iferror(XLOOKUP(C2898,'Download of SFDC Activation Rep'!B:B,'Download of SFDC Activation Rep'!Z:Z),"")</f>
        <v/>
      </c>
      <c r="Q2898" s="86" t="str">
        <f t="shared" si="2"/>
        <v/>
      </c>
      <c r="R2898" s="13" t="str">
        <f t="shared" si="3"/>
        <v>Yes</v>
      </c>
      <c r="S2898" s="86" t="str">
        <f t="array" ref="S2898">iferror(XLOOKUP(C2898,'Download of SFDC Activation Rep'!B:B,'Download of SFDC Activation Rep'!Y:Y),"")</f>
        <v/>
      </c>
    </row>
    <row r="2899">
      <c r="A2899" s="17"/>
      <c r="B2899" s="85"/>
      <c r="C2899" s="17"/>
      <c r="D2899" s="85"/>
      <c r="E2899" s="17"/>
      <c r="F2899" s="17"/>
      <c r="G2899" s="17"/>
      <c r="I2899" s="17"/>
      <c r="K2899" s="17"/>
      <c r="L2899" s="17"/>
      <c r="M2899" s="17"/>
      <c r="O2899" s="14">
        <f t="shared" si="1"/>
        <v>0</v>
      </c>
      <c r="P2899" s="86" t="str">
        <f t="array" ref="P2899">iferror(XLOOKUP(C2899,'Download of SFDC Activation Rep'!B:B,'Download of SFDC Activation Rep'!Z:Z),"")</f>
        <v/>
      </c>
      <c r="Q2899" s="86" t="str">
        <f t="shared" si="2"/>
        <v/>
      </c>
      <c r="R2899" s="13" t="str">
        <f t="shared" si="3"/>
        <v>Yes</v>
      </c>
      <c r="S2899" s="86" t="str">
        <f t="array" ref="S2899">iferror(XLOOKUP(C2899,'Download of SFDC Activation Rep'!B:B,'Download of SFDC Activation Rep'!Y:Y),"")</f>
        <v/>
      </c>
    </row>
    <row r="2900">
      <c r="A2900" s="17"/>
      <c r="B2900" s="85"/>
      <c r="C2900" s="17"/>
      <c r="D2900" s="85"/>
      <c r="E2900" s="17"/>
      <c r="F2900" s="17"/>
      <c r="G2900" s="17"/>
      <c r="I2900" s="17"/>
      <c r="K2900" s="17"/>
      <c r="L2900" s="17"/>
      <c r="M2900" s="17"/>
      <c r="O2900" s="14">
        <f t="shared" si="1"/>
        <v>0</v>
      </c>
      <c r="P2900" s="86" t="str">
        <f t="array" ref="P2900">iferror(XLOOKUP(C2900,'Download of SFDC Activation Rep'!B:B,'Download of SFDC Activation Rep'!Z:Z),"")</f>
        <v/>
      </c>
      <c r="Q2900" s="86" t="str">
        <f t="shared" si="2"/>
        <v/>
      </c>
      <c r="R2900" s="13" t="str">
        <f t="shared" si="3"/>
        <v>Yes</v>
      </c>
      <c r="S2900" s="86" t="str">
        <f t="array" ref="S2900">iferror(XLOOKUP(C2900,'Download of SFDC Activation Rep'!B:B,'Download of SFDC Activation Rep'!Y:Y),"")</f>
        <v/>
      </c>
    </row>
    <row r="2901">
      <c r="A2901" s="17"/>
      <c r="B2901" s="85"/>
      <c r="C2901" s="17"/>
      <c r="D2901" s="85"/>
      <c r="E2901" s="17"/>
      <c r="F2901" s="17"/>
      <c r="G2901" s="17"/>
      <c r="I2901" s="17"/>
      <c r="K2901" s="17"/>
      <c r="L2901" s="17"/>
      <c r="M2901" s="17"/>
      <c r="O2901" s="14">
        <f t="shared" si="1"/>
        <v>0</v>
      </c>
      <c r="P2901" s="86" t="str">
        <f t="array" ref="P2901">iferror(XLOOKUP(C2901,'Download of SFDC Activation Rep'!B:B,'Download of SFDC Activation Rep'!Z:Z),"")</f>
        <v/>
      </c>
      <c r="Q2901" s="86" t="str">
        <f t="shared" si="2"/>
        <v/>
      </c>
      <c r="R2901" s="13" t="str">
        <f t="shared" si="3"/>
        <v>Yes</v>
      </c>
      <c r="S2901" s="86" t="str">
        <f t="array" ref="S2901">iferror(XLOOKUP(C2901,'Download of SFDC Activation Rep'!B:B,'Download of SFDC Activation Rep'!Y:Y),"")</f>
        <v/>
      </c>
    </row>
    <row r="2902">
      <c r="A2902" s="17"/>
      <c r="B2902" s="85"/>
      <c r="C2902" s="17"/>
      <c r="D2902" s="85"/>
      <c r="E2902" s="17"/>
      <c r="F2902" s="17"/>
      <c r="G2902" s="17"/>
      <c r="I2902" s="17"/>
      <c r="K2902" s="17"/>
      <c r="L2902" s="17"/>
      <c r="M2902" s="17"/>
      <c r="O2902" s="14">
        <f t="shared" si="1"/>
        <v>0</v>
      </c>
      <c r="P2902" s="86" t="str">
        <f t="array" ref="P2902">iferror(XLOOKUP(C2902,'Download of SFDC Activation Rep'!B:B,'Download of SFDC Activation Rep'!Z:Z),"")</f>
        <v/>
      </c>
      <c r="Q2902" s="86" t="str">
        <f t="shared" si="2"/>
        <v/>
      </c>
      <c r="R2902" s="13" t="str">
        <f t="shared" si="3"/>
        <v>Yes</v>
      </c>
      <c r="S2902" s="86" t="str">
        <f t="array" ref="S2902">iferror(XLOOKUP(C2902,'Download of SFDC Activation Rep'!B:B,'Download of SFDC Activation Rep'!Y:Y),"")</f>
        <v/>
      </c>
    </row>
    <row r="2903">
      <c r="A2903" s="17"/>
      <c r="B2903" s="85"/>
      <c r="C2903" s="17"/>
      <c r="D2903" s="85"/>
      <c r="E2903" s="17"/>
      <c r="F2903" s="17"/>
      <c r="G2903" s="17"/>
      <c r="I2903" s="17"/>
      <c r="K2903" s="17"/>
      <c r="L2903" s="17"/>
      <c r="M2903" s="17"/>
      <c r="O2903" s="14">
        <f t="shared" si="1"/>
        <v>0</v>
      </c>
      <c r="P2903" s="86" t="str">
        <f t="array" ref="P2903">iferror(XLOOKUP(C2903,'Download of SFDC Activation Rep'!B:B,'Download of SFDC Activation Rep'!Z:Z),"")</f>
        <v/>
      </c>
      <c r="Q2903" s="86" t="str">
        <f t="shared" si="2"/>
        <v/>
      </c>
      <c r="R2903" s="13" t="str">
        <f t="shared" si="3"/>
        <v>Yes</v>
      </c>
      <c r="S2903" s="86" t="str">
        <f t="array" ref="S2903">iferror(XLOOKUP(C2903,'Download of SFDC Activation Rep'!B:B,'Download of SFDC Activation Rep'!Y:Y),"")</f>
        <v/>
      </c>
    </row>
    <row r="2904">
      <c r="A2904" s="17"/>
      <c r="B2904" s="85"/>
      <c r="C2904" s="17"/>
      <c r="D2904" s="85"/>
      <c r="E2904" s="17"/>
      <c r="F2904" s="17"/>
      <c r="G2904" s="17"/>
      <c r="I2904" s="17"/>
      <c r="K2904" s="17"/>
      <c r="L2904" s="17"/>
      <c r="M2904" s="17"/>
      <c r="O2904" s="14">
        <f t="shared" si="1"/>
        <v>0</v>
      </c>
      <c r="P2904" s="86" t="str">
        <f t="array" ref="P2904">iferror(XLOOKUP(C2904,'Download of SFDC Activation Rep'!B:B,'Download of SFDC Activation Rep'!Z:Z),"")</f>
        <v/>
      </c>
      <c r="Q2904" s="86" t="str">
        <f t="shared" si="2"/>
        <v/>
      </c>
      <c r="R2904" s="13" t="str">
        <f t="shared" si="3"/>
        <v>Yes</v>
      </c>
      <c r="S2904" s="86" t="str">
        <f t="array" ref="S2904">iferror(XLOOKUP(C2904,'Download of SFDC Activation Rep'!B:B,'Download of SFDC Activation Rep'!Y:Y),"")</f>
        <v/>
      </c>
    </row>
    <row r="2905">
      <c r="A2905" s="17"/>
      <c r="B2905" s="85"/>
      <c r="C2905" s="17"/>
      <c r="D2905" s="85"/>
      <c r="E2905" s="17"/>
      <c r="F2905" s="17"/>
      <c r="G2905" s="17"/>
      <c r="I2905" s="17"/>
      <c r="K2905" s="17"/>
      <c r="L2905" s="17"/>
      <c r="M2905" s="17"/>
      <c r="O2905" s="14">
        <f t="shared" si="1"/>
        <v>0</v>
      </c>
      <c r="P2905" s="86" t="str">
        <f t="array" ref="P2905">iferror(XLOOKUP(C2905,'Download of SFDC Activation Rep'!B:B,'Download of SFDC Activation Rep'!Z:Z),"")</f>
        <v/>
      </c>
      <c r="Q2905" s="86" t="str">
        <f t="shared" si="2"/>
        <v/>
      </c>
      <c r="R2905" s="13" t="str">
        <f t="shared" si="3"/>
        <v>Yes</v>
      </c>
      <c r="S2905" s="86" t="str">
        <f t="array" ref="S2905">iferror(XLOOKUP(C2905,'Download of SFDC Activation Rep'!B:B,'Download of SFDC Activation Rep'!Y:Y),"")</f>
        <v/>
      </c>
    </row>
    <row r="2906">
      <c r="A2906" s="17"/>
      <c r="B2906" s="85"/>
      <c r="C2906" s="17"/>
      <c r="D2906" s="85"/>
      <c r="E2906" s="17"/>
      <c r="F2906" s="17"/>
      <c r="G2906" s="17"/>
      <c r="I2906" s="17"/>
      <c r="K2906" s="17"/>
      <c r="L2906" s="17"/>
      <c r="M2906" s="17"/>
      <c r="O2906" s="14">
        <f t="shared" si="1"/>
        <v>0</v>
      </c>
      <c r="P2906" s="86" t="str">
        <f t="array" ref="P2906">iferror(XLOOKUP(C2906,'Download of SFDC Activation Rep'!B:B,'Download of SFDC Activation Rep'!Z:Z),"")</f>
        <v/>
      </c>
      <c r="Q2906" s="86" t="str">
        <f t="shared" si="2"/>
        <v/>
      </c>
      <c r="R2906" s="13" t="str">
        <f t="shared" si="3"/>
        <v>Yes</v>
      </c>
      <c r="S2906" s="86" t="str">
        <f t="array" ref="S2906">iferror(XLOOKUP(C2906,'Download of SFDC Activation Rep'!B:B,'Download of SFDC Activation Rep'!Y:Y),"")</f>
        <v/>
      </c>
    </row>
    <row r="2907">
      <c r="A2907" s="17"/>
      <c r="B2907" s="85"/>
      <c r="C2907" s="17"/>
      <c r="D2907" s="85"/>
      <c r="E2907" s="17"/>
      <c r="F2907" s="17"/>
      <c r="G2907" s="17"/>
      <c r="I2907" s="17"/>
      <c r="K2907" s="17"/>
      <c r="L2907" s="17"/>
      <c r="M2907" s="17"/>
      <c r="O2907" s="14">
        <f t="shared" si="1"/>
        <v>0</v>
      </c>
      <c r="P2907" s="86" t="str">
        <f t="array" ref="P2907">iferror(XLOOKUP(C2907,'Download of SFDC Activation Rep'!B:B,'Download of SFDC Activation Rep'!Z:Z),"")</f>
        <v/>
      </c>
      <c r="Q2907" s="86" t="str">
        <f t="shared" si="2"/>
        <v/>
      </c>
      <c r="R2907" s="13" t="str">
        <f t="shared" si="3"/>
        <v>Yes</v>
      </c>
      <c r="S2907" s="86" t="str">
        <f t="array" ref="S2907">iferror(XLOOKUP(C2907,'Download of SFDC Activation Rep'!B:B,'Download of SFDC Activation Rep'!Y:Y),"")</f>
        <v/>
      </c>
    </row>
    <row r="2908">
      <c r="A2908" s="17"/>
      <c r="B2908" s="85"/>
      <c r="C2908" s="17"/>
      <c r="D2908" s="85"/>
      <c r="E2908" s="17"/>
      <c r="F2908" s="17"/>
      <c r="G2908" s="17"/>
      <c r="I2908" s="17"/>
      <c r="K2908" s="17"/>
      <c r="L2908" s="17"/>
      <c r="M2908" s="17"/>
      <c r="O2908" s="14">
        <f t="shared" si="1"/>
        <v>0</v>
      </c>
      <c r="P2908" s="86" t="str">
        <f t="array" ref="P2908">iferror(XLOOKUP(C2908,'Download of SFDC Activation Rep'!B:B,'Download of SFDC Activation Rep'!Z:Z),"")</f>
        <v/>
      </c>
      <c r="Q2908" s="86" t="str">
        <f t="shared" si="2"/>
        <v/>
      </c>
      <c r="R2908" s="13" t="str">
        <f t="shared" si="3"/>
        <v>Yes</v>
      </c>
      <c r="S2908" s="86" t="str">
        <f t="array" ref="S2908">iferror(XLOOKUP(C2908,'Download of SFDC Activation Rep'!B:B,'Download of SFDC Activation Rep'!Y:Y),"")</f>
        <v/>
      </c>
    </row>
    <row r="2909">
      <c r="A2909" s="17"/>
      <c r="B2909" s="85"/>
      <c r="C2909" s="17"/>
      <c r="D2909" s="85"/>
      <c r="E2909" s="17"/>
      <c r="F2909" s="17"/>
      <c r="G2909" s="17"/>
      <c r="I2909" s="17"/>
      <c r="K2909" s="17"/>
      <c r="L2909" s="17"/>
      <c r="M2909" s="17"/>
      <c r="O2909" s="14">
        <f t="shared" si="1"/>
        <v>0</v>
      </c>
      <c r="P2909" s="86" t="str">
        <f t="array" ref="P2909">iferror(XLOOKUP(C2909,'Download of SFDC Activation Rep'!B:B,'Download of SFDC Activation Rep'!Z:Z),"")</f>
        <v/>
      </c>
      <c r="Q2909" s="86" t="str">
        <f t="shared" si="2"/>
        <v/>
      </c>
      <c r="R2909" s="13" t="str">
        <f t="shared" si="3"/>
        <v>Yes</v>
      </c>
      <c r="S2909" s="86" t="str">
        <f t="array" ref="S2909">iferror(XLOOKUP(C2909,'Download of SFDC Activation Rep'!B:B,'Download of SFDC Activation Rep'!Y:Y),"")</f>
        <v/>
      </c>
    </row>
    <row r="2910">
      <c r="A2910" s="17"/>
      <c r="B2910" s="85"/>
      <c r="C2910" s="17"/>
      <c r="D2910" s="85"/>
      <c r="E2910" s="17"/>
      <c r="F2910" s="17"/>
      <c r="G2910" s="17"/>
      <c r="I2910" s="17"/>
      <c r="K2910" s="17"/>
      <c r="L2910" s="17"/>
      <c r="M2910" s="17"/>
      <c r="O2910" s="14">
        <f t="shared" si="1"/>
        <v>0</v>
      </c>
      <c r="P2910" s="86" t="str">
        <f t="array" ref="P2910">iferror(XLOOKUP(C2910,'Download of SFDC Activation Rep'!B:B,'Download of SFDC Activation Rep'!Z:Z),"")</f>
        <v/>
      </c>
      <c r="Q2910" s="86" t="str">
        <f t="shared" si="2"/>
        <v/>
      </c>
      <c r="R2910" s="13" t="str">
        <f t="shared" si="3"/>
        <v>Yes</v>
      </c>
      <c r="S2910" s="86" t="str">
        <f t="array" ref="S2910">iferror(XLOOKUP(C2910,'Download of SFDC Activation Rep'!B:B,'Download of SFDC Activation Rep'!Y:Y),"")</f>
        <v/>
      </c>
    </row>
    <row r="2911">
      <c r="A2911" s="17"/>
      <c r="B2911" s="85"/>
      <c r="C2911" s="17"/>
      <c r="D2911" s="85"/>
      <c r="E2911" s="17"/>
      <c r="F2911" s="17"/>
      <c r="G2911" s="17"/>
      <c r="I2911" s="17"/>
      <c r="K2911" s="17"/>
      <c r="L2911" s="17"/>
      <c r="M2911" s="17"/>
      <c r="O2911" s="14">
        <f t="shared" si="1"/>
        <v>0</v>
      </c>
      <c r="P2911" s="86" t="str">
        <f t="array" ref="P2911">iferror(XLOOKUP(C2911,'Download of SFDC Activation Rep'!B:B,'Download of SFDC Activation Rep'!Z:Z),"")</f>
        <v/>
      </c>
      <c r="Q2911" s="86" t="str">
        <f t="shared" si="2"/>
        <v/>
      </c>
      <c r="R2911" s="13" t="str">
        <f t="shared" si="3"/>
        <v>Yes</v>
      </c>
      <c r="S2911" s="86" t="str">
        <f t="array" ref="S2911">iferror(XLOOKUP(C2911,'Download of SFDC Activation Rep'!B:B,'Download of SFDC Activation Rep'!Y:Y),"")</f>
        <v/>
      </c>
    </row>
    <row r="2912">
      <c r="A2912" s="17"/>
      <c r="B2912" s="85"/>
      <c r="C2912" s="17"/>
      <c r="D2912" s="85"/>
      <c r="E2912" s="17"/>
      <c r="F2912" s="17"/>
      <c r="G2912" s="17"/>
      <c r="I2912" s="17"/>
      <c r="K2912" s="17"/>
      <c r="L2912" s="17"/>
      <c r="M2912" s="17"/>
      <c r="O2912" s="14">
        <f t="shared" si="1"/>
        <v>0</v>
      </c>
      <c r="P2912" s="86" t="str">
        <f t="array" ref="P2912">iferror(XLOOKUP(C2912,'Download of SFDC Activation Rep'!B:B,'Download of SFDC Activation Rep'!Z:Z),"")</f>
        <v/>
      </c>
      <c r="Q2912" s="86" t="str">
        <f t="shared" si="2"/>
        <v/>
      </c>
      <c r="R2912" s="13" t="str">
        <f t="shared" si="3"/>
        <v>Yes</v>
      </c>
      <c r="S2912" s="86" t="str">
        <f t="array" ref="S2912">iferror(XLOOKUP(C2912,'Download of SFDC Activation Rep'!B:B,'Download of SFDC Activation Rep'!Y:Y),"")</f>
        <v/>
      </c>
    </row>
    <row r="2913">
      <c r="A2913" s="17"/>
      <c r="B2913" s="85"/>
      <c r="C2913" s="17"/>
      <c r="D2913" s="85"/>
      <c r="E2913" s="17"/>
      <c r="F2913" s="17"/>
      <c r="G2913" s="17"/>
      <c r="I2913" s="17"/>
      <c r="K2913" s="17"/>
      <c r="L2913" s="17"/>
      <c r="M2913" s="17"/>
      <c r="O2913" s="14">
        <f t="shared" si="1"/>
        <v>0</v>
      </c>
      <c r="P2913" s="86" t="str">
        <f t="array" ref="P2913">iferror(XLOOKUP(C2913,'Download of SFDC Activation Rep'!B:B,'Download of SFDC Activation Rep'!Z:Z),"")</f>
        <v/>
      </c>
      <c r="Q2913" s="86" t="str">
        <f t="shared" si="2"/>
        <v/>
      </c>
      <c r="R2913" s="13" t="str">
        <f t="shared" si="3"/>
        <v>Yes</v>
      </c>
      <c r="S2913" s="86" t="str">
        <f t="array" ref="S2913">iferror(XLOOKUP(C2913,'Download of SFDC Activation Rep'!B:B,'Download of SFDC Activation Rep'!Y:Y),"")</f>
        <v/>
      </c>
    </row>
    <row r="2914">
      <c r="A2914" s="17"/>
      <c r="B2914" s="85"/>
      <c r="C2914" s="17"/>
      <c r="D2914" s="85"/>
      <c r="E2914" s="17"/>
      <c r="F2914" s="17"/>
      <c r="G2914" s="17"/>
      <c r="I2914" s="17"/>
      <c r="K2914" s="17"/>
      <c r="L2914" s="17"/>
      <c r="M2914" s="17"/>
      <c r="O2914" s="14">
        <f t="shared" si="1"/>
        <v>0</v>
      </c>
      <c r="P2914" s="86" t="str">
        <f t="array" ref="P2914">iferror(XLOOKUP(C2914,'Download of SFDC Activation Rep'!B:B,'Download of SFDC Activation Rep'!Z:Z),"")</f>
        <v/>
      </c>
      <c r="Q2914" s="86" t="str">
        <f t="shared" si="2"/>
        <v/>
      </c>
      <c r="R2914" s="13" t="str">
        <f t="shared" si="3"/>
        <v>Yes</v>
      </c>
      <c r="S2914" s="86" t="str">
        <f t="array" ref="S2914">iferror(XLOOKUP(C2914,'Download of SFDC Activation Rep'!B:B,'Download of SFDC Activation Rep'!Y:Y),"")</f>
        <v/>
      </c>
    </row>
    <row r="2915">
      <c r="A2915" s="17"/>
      <c r="B2915" s="85"/>
      <c r="C2915" s="17"/>
      <c r="D2915" s="85"/>
      <c r="E2915" s="17"/>
      <c r="F2915" s="17"/>
      <c r="G2915" s="17"/>
      <c r="I2915" s="17"/>
      <c r="K2915" s="17"/>
      <c r="L2915" s="17"/>
      <c r="M2915" s="17"/>
      <c r="O2915" s="14">
        <f t="shared" si="1"/>
        <v>0</v>
      </c>
      <c r="P2915" s="86" t="str">
        <f t="array" ref="P2915">iferror(XLOOKUP(C2915,'Download of SFDC Activation Rep'!B:B,'Download of SFDC Activation Rep'!Z:Z),"")</f>
        <v/>
      </c>
      <c r="Q2915" s="86" t="str">
        <f t="shared" si="2"/>
        <v/>
      </c>
      <c r="R2915" s="13" t="str">
        <f t="shared" si="3"/>
        <v>Yes</v>
      </c>
      <c r="S2915" s="86" t="str">
        <f t="array" ref="S2915">iferror(XLOOKUP(C2915,'Download of SFDC Activation Rep'!B:B,'Download of SFDC Activation Rep'!Y:Y),"")</f>
        <v/>
      </c>
    </row>
    <row r="2916">
      <c r="A2916" s="17"/>
      <c r="B2916" s="85"/>
      <c r="C2916" s="17"/>
      <c r="D2916" s="85"/>
      <c r="E2916" s="17"/>
      <c r="F2916" s="17"/>
      <c r="G2916" s="17"/>
      <c r="I2916" s="17"/>
      <c r="K2916" s="17"/>
      <c r="L2916" s="17"/>
      <c r="M2916" s="17"/>
      <c r="O2916" s="14">
        <f t="shared" si="1"/>
        <v>0</v>
      </c>
      <c r="P2916" s="86" t="str">
        <f t="array" ref="P2916">iferror(XLOOKUP(C2916,'Download of SFDC Activation Rep'!B:B,'Download of SFDC Activation Rep'!Z:Z),"")</f>
        <v/>
      </c>
      <c r="Q2916" s="86" t="str">
        <f t="shared" si="2"/>
        <v/>
      </c>
      <c r="R2916" s="13" t="str">
        <f t="shared" si="3"/>
        <v>Yes</v>
      </c>
      <c r="S2916" s="86" t="str">
        <f t="array" ref="S2916">iferror(XLOOKUP(C2916,'Download of SFDC Activation Rep'!B:B,'Download of SFDC Activation Rep'!Y:Y),"")</f>
        <v/>
      </c>
    </row>
    <row r="2917">
      <c r="A2917" s="17"/>
      <c r="B2917" s="85"/>
      <c r="C2917" s="17"/>
      <c r="D2917" s="85"/>
      <c r="E2917" s="17"/>
      <c r="F2917" s="17"/>
      <c r="G2917" s="17"/>
      <c r="I2917" s="17"/>
      <c r="K2917" s="17"/>
      <c r="L2917" s="17"/>
      <c r="M2917" s="17"/>
      <c r="O2917" s="14">
        <f t="shared" si="1"/>
        <v>0</v>
      </c>
      <c r="P2917" s="86" t="str">
        <f t="array" ref="P2917">iferror(XLOOKUP(C2917,'Download of SFDC Activation Rep'!B:B,'Download of SFDC Activation Rep'!Z:Z),"")</f>
        <v/>
      </c>
      <c r="Q2917" s="86" t="str">
        <f t="shared" si="2"/>
        <v/>
      </c>
      <c r="R2917" s="13" t="str">
        <f t="shared" si="3"/>
        <v>Yes</v>
      </c>
      <c r="S2917" s="86" t="str">
        <f t="array" ref="S2917">iferror(XLOOKUP(C2917,'Download of SFDC Activation Rep'!B:B,'Download of SFDC Activation Rep'!Y:Y),"")</f>
        <v/>
      </c>
    </row>
    <row r="2918">
      <c r="A2918" s="17"/>
      <c r="B2918" s="85"/>
      <c r="C2918" s="17"/>
      <c r="D2918" s="85"/>
      <c r="E2918" s="17"/>
      <c r="F2918" s="17"/>
      <c r="G2918" s="17"/>
      <c r="I2918" s="17"/>
      <c r="K2918" s="17"/>
      <c r="L2918" s="17"/>
      <c r="M2918" s="17"/>
      <c r="O2918" s="14">
        <f t="shared" si="1"/>
        <v>0</v>
      </c>
      <c r="P2918" s="86" t="str">
        <f t="array" ref="P2918">iferror(XLOOKUP(C2918,'Download of SFDC Activation Rep'!B:B,'Download of SFDC Activation Rep'!Z:Z),"")</f>
        <v/>
      </c>
      <c r="Q2918" s="86" t="str">
        <f t="shared" si="2"/>
        <v/>
      </c>
      <c r="R2918" s="13" t="str">
        <f t="shared" si="3"/>
        <v>Yes</v>
      </c>
      <c r="S2918" s="86" t="str">
        <f t="array" ref="S2918">iferror(XLOOKUP(C2918,'Download of SFDC Activation Rep'!B:B,'Download of SFDC Activation Rep'!Y:Y),"")</f>
        <v/>
      </c>
    </row>
    <row r="2919">
      <c r="A2919" s="17"/>
      <c r="B2919" s="85"/>
      <c r="C2919" s="17"/>
      <c r="D2919" s="85"/>
      <c r="E2919" s="17"/>
      <c r="F2919" s="17"/>
      <c r="G2919" s="17"/>
      <c r="I2919" s="17"/>
      <c r="K2919" s="17"/>
      <c r="L2919" s="17"/>
      <c r="M2919" s="17"/>
      <c r="O2919" s="14">
        <f t="shared" si="1"/>
        <v>0</v>
      </c>
      <c r="P2919" s="86" t="str">
        <f t="array" ref="P2919">iferror(XLOOKUP(C2919,'Download of SFDC Activation Rep'!B:B,'Download of SFDC Activation Rep'!Z:Z),"")</f>
        <v/>
      </c>
      <c r="Q2919" s="86" t="str">
        <f t="shared" si="2"/>
        <v/>
      </c>
      <c r="R2919" s="13" t="str">
        <f t="shared" si="3"/>
        <v>Yes</v>
      </c>
      <c r="S2919" s="86" t="str">
        <f t="array" ref="S2919">iferror(XLOOKUP(C2919,'Download of SFDC Activation Rep'!B:B,'Download of SFDC Activation Rep'!Y:Y),"")</f>
        <v/>
      </c>
    </row>
    <row r="2920">
      <c r="A2920" s="17"/>
      <c r="B2920" s="85"/>
      <c r="C2920" s="17"/>
      <c r="D2920" s="85"/>
      <c r="E2920" s="17"/>
      <c r="F2920" s="17"/>
      <c r="G2920" s="17"/>
      <c r="I2920" s="17"/>
      <c r="K2920" s="17"/>
      <c r="L2920" s="17"/>
      <c r="M2920" s="17"/>
      <c r="O2920" s="14">
        <f t="shared" si="1"/>
        <v>0</v>
      </c>
      <c r="P2920" s="86" t="str">
        <f t="array" ref="P2920">iferror(XLOOKUP(C2920,'Download of SFDC Activation Rep'!B:B,'Download of SFDC Activation Rep'!Z:Z),"")</f>
        <v/>
      </c>
      <c r="Q2920" s="86" t="str">
        <f t="shared" si="2"/>
        <v/>
      </c>
      <c r="R2920" s="13" t="str">
        <f t="shared" si="3"/>
        <v>Yes</v>
      </c>
      <c r="S2920" s="86" t="str">
        <f t="array" ref="S2920">iferror(XLOOKUP(C2920,'Download of SFDC Activation Rep'!B:B,'Download of SFDC Activation Rep'!Y:Y),"")</f>
        <v/>
      </c>
    </row>
    <row r="2921">
      <c r="A2921" s="17"/>
      <c r="B2921" s="85"/>
      <c r="C2921" s="17"/>
      <c r="D2921" s="85"/>
      <c r="E2921" s="17"/>
      <c r="F2921" s="17"/>
      <c r="G2921" s="17"/>
      <c r="I2921" s="17"/>
      <c r="K2921" s="17"/>
      <c r="L2921" s="17"/>
      <c r="M2921" s="17"/>
      <c r="O2921" s="14">
        <f t="shared" si="1"/>
        <v>0</v>
      </c>
      <c r="P2921" s="86" t="str">
        <f t="array" ref="P2921">iferror(XLOOKUP(C2921,'Download of SFDC Activation Rep'!B:B,'Download of SFDC Activation Rep'!Z:Z),"")</f>
        <v/>
      </c>
      <c r="Q2921" s="86" t="str">
        <f t="shared" si="2"/>
        <v/>
      </c>
      <c r="R2921" s="13" t="str">
        <f t="shared" si="3"/>
        <v>Yes</v>
      </c>
      <c r="S2921" s="86" t="str">
        <f t="array" ref="S2921">iferror(XLOOKUP(C2921,'Download of SFDC Activation Rep'!B:B,'Download of SFDC Activation Rep'!Y:Y),"")</f>
        <v/>
      </c>
    </row>
    <row r="2922">
      <c r="A2922" s="17"/>
      <c r="B2922" s="85"/>
      <c r="C2922" s="17"/>
      <c r="D2922" s="85"/>
      <c r="E2922" s="17"/>
      <c r="F2922" s="17"/>
      <c r="G2922" s="17"/>
      <c r="I2922" s="17"/>
      <c r="K2922" s="17"/>
      <c r="L2922" s="17"/>
      <c r="M2922" s="17"/>
      <c r="O2922" s="14">
        <f t="shared" si="1"/>
        <v>0</v>
      </c>
      <c r="P2922" s="86" t="str">
        <f t="array" ref="P2922">iferror(XLOOKUP(C2922,'Download of SFDC Activation Rep'!B:B,'Download of SFDC Activation Rep'!Z:Z),"")</f>
        <v/>
      </c>
      <c r="Q2922" s="86" t="str">
        <f t="shared" si="2"/>
        <v/>
      </c>
      <c r="R2922" s="13" t="str">
        <f t="shared" si="3"/>
        <v>Yes</v>
      </c>
      <c r="S2922" s="86" t="str">
        <f t="array" ref="S2922">iferror(XLOOKUP(C2922,'Download of SFDC Activation Rep'!B:B,'Download of SFDC Activation Rep'!Y:Y),"")</f>
        <v/>
      </c>
    </row>
    <row r="2923">
      <c r="A2923" s="17"/>
      <c r="B2923" s="85"/>
      <c r="C2923" s="17"/>
      <c r="D2923" s="85"/>
      <c r="E2923" s="17"/>
      <c r="F2923" s="17"/>
      <c r="G2923" s="17"/>
      <c r="I2923" s="17"/>
      <c r="K2923" s="17"/>
      <c r="L2923" s="17"/>
      <c r="M2923" s="17"/>
      <c r="O2923" s="14">
        <f t="shared" si="1"/>
        <v>0</v>
      </c>
      <c r="P2923" s="86" t="str">
        <f t="array" ref="P2923">iferror(XLOOKUP(C2923,'Download of SFDC Activation Rep'!B:B,'Download of SFDC Activation Rep'!Z:Z),"")</f>
        <v/>
      </c>
      <c r="Q2923" s="86" t="str">
        <f t="shared" si="2"/>
        <v/>
      </c>
      <c r="R2923" s="13" t="str">
        <f t="shared" si="3"/>
        <v>Yes</v>
      </c>
      <c r="S2923" s="86" t="str">
        <f t="array" ref="S2923">iferror(XLOOKUP(C2923,'Download of SFDC Activation Rep'!B:B,'Download of SFDC Activation Rep'!Y:Y),"")</f>
        <v/>
      </c>
    </row>
    <row r="2924">
      <c r="A2924" s="17"/>
      <c r="B2924" s="85"/>
      <c r="C2924" s="17"/>
      <c r="D2924" s="85"/>
      <c r="E2924" s="17"/>
      <c r="F2924" s="17"/>
      <c r="G2924" s="17"/>
      <c r="I2924" s="17"/>
      <c r="K2924" s="17"/>
      <c r="L2924" s="17"/>
      <c r="M2924" s="17"/>
      <c r="O2924" s="14">
        <f t="shared" si="1"/>
        <v>0</v>
      </c>
      <c r="P2924" s="86" t="str">
        <f t="array" ref="P2924">iferror(XLOOKUP(C2924,'Download of SFDC Activation Rep'!B:B,'Download of SFDC Activation Rep'!Z:Z),"")</f>
        <v/>
      </c>
      <c r="Q2924" s="86" t="str">
        <f t="shared" si="2"/>
        <v/>
      </c>
      <c r="R2924" s="13" t="str">
        <f t="shared" si="3"/>
        <v>Yes</v>
      </c>
      <c r="S2924" s="86" t="str">
        <f t="array" ref="S2924">iferror(XLOOKUP(C2924,'Download of SFDC Activation Rep'!B:B,'Download of SFDC Activation Rep'!Y:Y),"")</f>
        <v/>
      </c>
    </row>
    <row r="2925">
      <c r="A2925" s="17"/>
      <c r="B2925" s="85"/>
      <c r="C2925" s="17"/>
      <c r="D2925" s="85"/>
      <c r="E2925" s="17"/>
      <c r="F2925" s="17"/>
      <c r="G2925" s="17"/>
      <c r="I2925" s="17"/>
      <c r="K2925" s="17"/>
      <c r="L2925" s="17"/>
      <c r="M2925" s="17"/>
      <c r="O2925" s="14">
        <f t="shared" si="1"/>
        <v>0</v>
      </c>
      <c r="P2925" s="86" t="str">
        <f t="array" ref="P2925">iferror(XLOOKUP(C2925,'Download of SFDC Activation Rep'!B:B,'Download of SFDC Activation Rep'!Z:Z),"")</f>
        <v/>
      </c>
      <c r="Q2925" s="86" t="str">
        <f t="shared" si="2"/>
        <v/>
      </c>
      <c r="R2925" s="13" t="str">
        <f t="shared" si="3"/>
        <v>Yes</v>
      </c>
      <c r="S2925" s="86" t="str">
        <f t="array" ref="S2925">iferror(XLOOKUP(C2925,'Download of SFDC Activation Rep'!B:B,'Download of SFDC Activation Rep'!Y:Y),"")</f>
        <v/>
      </c>
    </row>
    <row r="2926">
      <c r="A2926" s="17"/>
      <c r="B2926" s="85"/>
      <c r="C2926" s="17"/>
      <c r="D2926" s="85"/>
      <c r="E2926" s="17"/>
      <c r="F2926" s="17"/>
      <c r="G2926" s="17"/>
      <c r="I2926" s="17"/>
      <c r="K2926" s="17"/>
      <c r="L2926" s="17"/>
      <c r="M2926" s="17"/>
      <c r="O2926" s="14">
        <f t="shared" si="1"/>
        <v>0</v>
      </c>
      <c r="P2926" s="86" t="str">
        <f t="array" ref="P2926">iferror(XLOOKUP(C2926,'Download of SFDC Activation Rep'!B:B,'Download of SFDC Activation Rep'!Z:Z),"")</f>
        <v/>
      </c>
      <c r="Q2926" s="86" t="str">
        <f t="shared" si="2"/>
        <v/>
      </c>
      <c r="R2926" s="13" t="str">
        <f t="shared" si="3"/>
        <v>Yes</v>
      </c>
      <c r="S2926" s="86" t="str">
        <f t="array" ref="S2926">iferror(XLOOKUP(C2926,'Download of SFDC Activation Rep'!B:B,'Download of SFDC Activation Rep'!Y:Y),"")</f>
        <v/>
      </c>
    </row>
    <row r="2927">
      <c r="A2927" s="17"/>
      <c r="B2927" s="85"/>
      <c r="C2927" s="17"/>
      <c r="D2927" s="85"/>
      <c r="E2927" s="17"/>
      <c r="F2927" s="17"/>
      <c r="G2927" s="17"/>
      <c r="I2927" s="17"/>
      <c r="K2927" s="17"/>
      <c r="L2927" s="17"/>
      <c r="M2927" s="17"/>
      <c r="O2927" s="14">
        <f t="shared" si="1"/>
        <v>0</v>
      </c>
      <c r="P2927" s="86" t="str">
        <f t="array" ref="P2927">iferror(XLOOKUP(C2927,'Download of SFDC Activation Rep'!B:B,'Download of SFDC Activation Rep'!Z:Z),"")</f>
        <v/>
      </c>
      <c r="Q2927" s="86" t="str">
        <f t="shared" si="2"/>
        <v/>
      </c>
      <c r="R2927" s="13" t="str">
        <f t="shared" si="3"/>
        <v>Yes</v>
      </c>
      <c r="S2927" s="86" t="str">
        <f t="array" ref="S2927">iferror(XLOOKUP(C2927,'Download of SFDC Activation Rep'!B:B,'Download of SFDC Activation Rep'!Y:Y),"")</f>
        <v/>
      </c>
    </row>
    <row r="2928">
      <c r="A2928" s="17"/>
      <c r="B2928" s="85"/>
      <c r="C2928" s="17"/>
      <c r="D2928" s="85"/>
      <c r="E2928" s="17"/>
      <c r="F2928" s="17"/>
      <c r="G2928" s="17"/>
      <c r="I2928" s="17"/>
      <c r="K2928" s="17"/>
      <c r="L2928" s="17"/>
      <c r="M2928" s="17"/>
      <c r="O2928" s="14">
        <f t="shared" si="1"/>
        <v>0</v>
      </c>
      <c r="P2928" s="86" t="str">
        <f t="array" ref="P2928">iferror(XLOOKUP(C2928,'Download of SFDC Activation Rep'!B:B,'Download of SFDC Activation Rep'!Z:Z),"")</f>
        <v/>
      </c>
      <c r="Q2928" s="86" t="str">
        <f t="shared" si="2"/>
        <v/>
      </c>
      <c r="R2928" s="13" t="str">
        <f t="shared" si="3"/>
        <v>Yes</v>
      </c>
      <c r="S2928" s="86" t="str">
        <f t="array" ref="S2928">iferror(XLOOKUP(C2928,'Download of SFDC Activation Rep'!B:B,'Download of SFDC Activation Rep'!Y:Y),"")</f>
        <v/>
      </c>
    </row>
    <row r="2929">
      <c r="A2929" s="17"/>
      <c r="B2929" s="85"/>
      <c r="C2929" s="17"/>
      <c r="D2929" s="85"/>
      <c r="E2929" s="17"/>
      <c r="F2929" s="17"/>
      <c r="G2929" s="17"/>
      <c r="I2929" s="17"/>
      <c r="K2929" s="17"/>
      <c r="L2929" s="17"/>
      <c r="M2929" s="17"/>
      <c r="O2929" s="14">
        <f t="shared" si="1"/>
        <v>0</v>
      </c>
      <c r="P2929" s="86" t="str">
        <f t="array" ref="P2929">iferror(XLOOKUP(C2929,'Download of SFDC Activation Rep'!B:B,'Download of SFDC Activation Rep'!Z:Z),"")</f>
        <v/>
      </c>
      <c r="Q2929" s="86" t="str">
        <f t="shared" si="2"/>
        <v/>
      </c>
      <c r="R2929" s="13" t="str">
        <f t="shared" si="3"/>
        <v>Yes</v>
      </c>
      <c r="S2929" s="86" t="str">
        <f t="array" ref="S2929">iferror(XLOOKUP(C2929,'Download of SFDC Activation Rep'!B:B,'Download of SFDC Activation Rep'!Y:Y),"")</f>
        <v/>
      </c>
    </row>
    <row r="2930">
      <c r="A2930" s="17"/>
      <c r="B2930" s="85"/>
      <c r="C2930" s="17"/>
      <c r="D2930" s="85"/>
      <c r="E2930" s="17"/>
      <c r="F2930" s="17"/>
      <c r="G2930" s="17"/>
      <c r="I2930" s="17"/>
      <c r="K2930" s="17"/>
      <c r="L2930" s="17"/>
      <c r="M2930" s="17"/>
      <c r="O2930" s="14">
        <f t="shared" si="1"/>
        <v>0</v>
      </c>
      <c r="P2930" s="86" t="str">
        <f t="array" ref="P2930">iferror(XLOOKUP(C2930,'Download of SFDC Activation Rep'!B:B,'Download of SFDC Activation Rep'!Z:Z),"")</f>
        <v/>
      </c>
      <c r="Q2930" s="86" t="str">
        <f t="shared" si="2"/>
        <v/>
      </c>
      <c r="R2930" s="13" t="str">
        <f t="shared" si="3"/>
        <v>Yes</v>
      </c>
      <c r="S2930" s="86" t="str">
        <f t="array" ref="S2930">iferror(XLOOKUP(C2930,'Download of SFDC Activation Rep'!B:B,'Download of SFDC Activation Rep'!Y:Y),"")</f>
        <v/>
      </c>
    </row>
    <row r="2931">
      <c r="A2931" s="17"/>
      <c r="B2931" s="85"/>
      <c r="C2931" s="17"/>
      <c r="D2931" s="85"/>
      <c r="E2931" s="17"/>
      <c r="F2931" s="17"/>
      <c r="G2931" s="17"/>
      <c r="I2931" s="17"/>
      <c r="K2931" s="17"/>
      <c r="L2931" s="17"/>
      <c r="M2931" s="17"/>
      <c r="O2931" s="14">
        <f t="shared" si="1"/>
        <v>0</v>
      </c>
      <c r="P2931" s="86" t="str">
        <f t="array" ref="P2931">iferror(XLOOKUP(C2931,'Download of SFDC Activation Rep'!B:B,'Download of SFDC Activation Rep'!Z:Z),"")</f>
        <v/>
      </c>
      <c r="Q2931" s="86" t="str">
        <f t="shared" si="2"/>
        <v/>
      </c>
      <c r="R2931" s="13" t="str">
        <f t="shared" si="3"/>
        <v>Yes</v>
      </c>
      <c r="S2931" s="86" t="str">
        <f t="array" ref="S2931">iferror(XLOOKUP(C2931,'Download of SFDC Activation Rep'!B:B,'Download of SFDC Activation Rep'!Y:Y),"")</f>
        <v/>
      </c>
    </row>
    <row r="2932">
      <c r="A2932" s="17"/>
      <c r="B2932" s="85"/>
      <c r="C2932" s="17"/>
      <c r="D2932" s="85"/>
      <c r="E2932" s="17"/>
      <c r="F2932" s="17"/>
      <c r="G2932" s="17"/>
      <c r="I2932" s="17"/>
      <c r="K2932" s="17"/>
      <c r="L2932" s="17"/>
      <c r="M2932" s="17"/>
      <c r="O2932" s="14">
        <f t="shared" si="1"/>
        <v>0</v>
      </c>
      <c r="P2932" s="86" t="str">
        <f t="array" ref="P2932">iferror(XLOOKUP(C2932,'Download of SFDC Activation Rep'!B:B,'Download of SFDC Activation Rep'!Z:Z),"")</f>
        <v/>
      </c>
      <c r="Q2932" s="86" t="str">
        <f t="shared" si="2"/>
        <v/>
      </c>
      <c r="R2932" s="13" t="str">
        <f t="shared" si="3"/>
        <v>Yes</v>
      </c>
      <c r="S2932" s="86" t="str">
        <f t="array" ref="S2932">iferror(XLOOKUP(C2932,'Download of SFDC Activation Rep'!B:B,'Download of SFDC Activation Rep'!Y:Y),"")</f>
        <v/>
      </c>
    </row>
    <row r="2933">
      <c r="A2933" s="17"/>
      <c r="B2933" s="85"/>
      <c r="C2933" s="17"/>
      <c r="D2933" s="85"/>
      <c r="E2933" s="17"/>
      <c r="F2933" s="17"/>
      <c r="G2933" s="17"/>
      <c r="I2933" s="17"/>
      <c r="K2933" s="17"/>
      <c r="L2933" s="17"/>
      <c r="M2933" s="17"/>
      <c r="O2933" s="14">
        <f t="shared" si="1"/>
        <v>0</v>
      </c>
      <c r="P2933" s="86" t="str">
        <f t="array" ref="P2933">iferror(XLOOKUP(C2933,'Download of SFDC Activation Rep'!B:B,'Download of SFDC Activation Rep'!Z:Z),"")</f>
        <v/>
      </c>
      <c r="Q2933" s="86" t="str">
        <f t="shared" si="2"/>
        <v/>
      </c>
      <c r="R2933" s="13" t="str">
        <f t="shared" si="3"/>
        <v>Yes</v>
      </c>
      <c r="S2933" s="86" t="str">
        <f t="array" ref="S2933">iferror(XLOOKUP(C2933,'Download of SFDC Activation Rep'!B:B,'Download of SFDC Activation Rep'!Y:Y),"")</f>
        <v/>
      </c>
    </row>
    <row r="2934">
      <c r="A2934" s="17"/>
      <c r="B2934" s="85"/>
      <c r="C2934" s="17"/>
      <c r="D2934" s="85"/>
      <c r="E2934" s="17"/>
      <c r="F2934" s="17"/>
      <c r="G2934" s="17"/>
      <c r="I2934" s="17"/>
      <c r="K2934" s="17"/>
      <c r="L2934" s="17"/>
      <c r="M2934" s="17"/>
      <c r="O2934" s="14">
        <f t="shared" si="1"/>
        <v>0</v>
      </c>
      <c r="P2934" s="86" t="str">
        <f t="array" ref="P2934">iferror(XLOOKUP(C2934,'Download of SFDC Activation Rep'!B:B,'Download of SFDC Activation Rep'!Z:Z),"")</f>
        <v/>
      </c>
      <c r="Q2934" s="86" t="str">
        <f t="shared" si="2"/>
        <v/>
      </c>
      <c r="R2934" s="13" t="str">
        <f t="shared" si="3"/>
        <v>Yes</v>
      </c>
      <c r="S2934" s="86" t="str">
        <f t="array" ref="S2934">iferror(XLOOKUP(C2934,'Download of SFDC Activation Rep'!B:B,'Download of SFDC Activation Rep'!Y:Y),"")</f>
        <v/>
      </c>
    </row>
    <row r="2935">
      <c r="A2935" s="17"/>
      <c r="B2935" s="85"/>
      <c r="C2935" s="17"/>
      <c r="D2935" s="85"/>
      <c r="E2935" s="17"/>
      <c r="F2935" s="17"/>
      <c r="G2935" s="17"/>
      <c r="I2935" s="17"/>
      <c r="K2935" s="17"/>
      <c r="L2935" s="17"/>
      <c r="M2935" s="17"/>
      <c r="O2935" s="14">
        <f t="shared" si="1"/>
        <v>0</v>
      </c>
      <c r="P2935" s="86" t="str">
        <f t="array" ref="P2935">iferror(XLOOKUP(C2935,'Download of SFDC Activation Rep'!B:B,'Download of SFDC Activation Rep'!Z:Z),"")</f>
        <v/>
      </c>
      <c r="Q2935" s="86" t="str">
        <f t="shared" si="2"/>
        <v/>
      </c>
      <c r="R2935" s="13" t="str">
        <f t="shared" si="3"/>
        <v>Yes</v>
      </c>
      <c r="S2935" s="86" t="str">
        <f t="array" ref="S2935">iferror(XLOOKUP(C2935,'Download of SFDC Activation Rep'!B:B,'Download of SFDC Activation Rep'!Y:Y),"")</f>
        <v/>
      </c>
    </row>
    <row r="2936">
      <c r="A2936" s="17"/>
      <c r="B2936" s="85"/>
      <c r="C2936" s="17"/>
      <c r="D2936" s="85"/>
      <c r="E2936" s="17"/>
      <c r="F2936" s="17"/>
      <c r="G2936" s="17"/>
      <c r="I2936" s="17"/>
      <c r="K2936" s="17"/>
      <c r="L2936" s="17"/>
      <c r="M2936" s="17"/>
      <c r="O2936" s="14">
        <f t="shared" si="1"/>
        <v>0</v>
      </c>
      <c r="P2936" s="86" t="str">
        <f t="array" ref="P2936">iferror(XLOOKUP(C2936,'Download of SFDC Activation Rep'!B:B,'Download of SFDC Activation Rep'!Z:Z),"")</f>
        <v/>
      </c>
      <c r="Q2936" s="86" t="str">
        <f t="shared" si="2"/>
        <v/>
      </c>
      <c r="R2936" s="13" t="str">
        <f t="shared" si="3"/>
        <v>Yes</v>
      </c>
      <c r="S2936" s="86" t="str">
        <f t="array" ref="S2936">iferror(XLOOKUP(C2936,'Download of SFDC Activation Rep'!B:B,'Download of SFDC Activation Rep'!Y:Y),"")</f>
        <v/>
      </c>
    </row>
    <row r="2937">
      <c r="A2937" s="17"/>
      <c r="B2937" s="85"/>
      <c r="C2937" s="17"/>
      <c r="D2937" s="85"/>
      <c r="E2937" s="17"/>
      <c r="F2937" s="17"/>
      <c r="G2937" s="17"/>
      <c r="I2937" s="17"/>
      <c r="K2937" s="17"/>
      <c r="L2937" s="17"/>
      <c r="M2937" s="17"/>
      <c r="O2937" s="14">
        <f t="shared" si="1"/>
        <v>0</v>
      </c>
      <c r="P2937" s="86" t="str">
        <f t="array" ref="P2937">iferror(XLOOKUP(C2937,'Download of SFDC Activation Rep'!B:B,'Download of SFDC Activation Rep'!Z:Z),"")</f>
        <v/>
      </c>
      <c r="Q2937" s="86" t="str">
        <f t="shared" si="2"/>
        <v/>
      </c>
      <c r="R2937" s="13" t="str">
        <f t="shared" si="3"/>
        <v>Yes</v>
      </c>
      <c r="S2937" s="86" t="str">
        <f t="array" ref="S2937">iferror(XLOOKUP(C2937,'Download of SFDC Activation Rep'!B:B,'Download of SFDC Activation Rep'!Y:Y),"")</f>
        <v/>
      </c>
    </row>
    <row r="2938">
      <c r="A2938" s="17"/>
      <c r="B2938" s="85"/>
      <c r="C2938" s="17"/>
      <c r="D2938" s="85"/>
      <c r="E2938" s="17"/>
      <c r="F2938" s="17"/>
      <c r="G2938" s="17"/>
      <c r="I2938" s="17"/>
      <c r="K2938" s="17"/>
      <c r="L2938" s="17"/>
      <c r="M2938" s="17"/>
      <c r="O2938" s="14">
        <f t="shared" si="1"/>
        <v>0</v>
      </c>
      <c r="P2938" s="86" t="str">
        <f t="array" ref="P2938">iferror(XLOOKUP(C2938,'Download of SFDC Activation Rep'!B:B,'Download of SFDC Activation Rep'!Z:Z),"")</f>
        <v/>
      </c>
      <c r="Q2938" s="86" t="str">
        <f t="shared" si="2"/>
        <v/>
      </c>
      <c r="R2938" s="13" t="str">
        <f t="shared" si="3"/>
        <v>Yes</v>
      </c>
      <c r="S2938" s="86" t="str">
        <f t="array" ref="S2938">iferror(XLOOKUP(C2938,'Download of SFDC Activation Rep'!B:B,'Download of SFDC Activation Rep'!Y:Y),"")</f>
        <v/>
      </c>
    </row>
    <row r="2939">
      <c r="A2939" s="17"/>
      <c r="B2939" s="85"/>
      <c r="C2939" s="17"/>
      <c r="D2939" s="85"/>
      <c r="E2939" s="17"/>
      <c r="F2939" s="17"/>
      <c r="G2939" s="17"/>
      <c r="I2939" s="17"/>
      <c r="K2939" s="17"/>
      <c r="L2939" s="17"/>
      <c r="M2939" s="17"/>
      <c r="O2939" s="14">
        <f t="shared" si="1"/>
        <v>0</v>
      </c>
      <c r="P2939" s="86" t="str">
        <f t="array" ref="P2939">iferror(XLOOKUP(C2939,'Download of SFDC Activation Rep'!B:B,'Download of SFDC Activation Rep'!Z:Z),"")</f>
        <v/>
      </c>
      <c r="Q2939" s="86" t="str">
        <f t="shared" si="2"/>
        <v/>
      </c>
      <c r="R2939" s="13" t="str">
        <f t="shared" si="3"/>
        <v>Yes</v>
      </c>
      <c r="S2939" s="86" t="str">
        <f t="array" ref="S2939">iferror(XLOOKUP(C2939,'Download of SFDC Activation Rep'!B:B,'Download of SFDC Activation Rep'!Y:Y),"")</f>
        <v/>
      </c>
    </row>
    <row r="2940">
      <c r="A2940" s="17"/>
      <c r="B2940" s="85"/>
      <c r="C2940" s="17"/>
      <c r="D2940" s="85"/>
      <c r="E2940" s="17"/>
      <c r="F2940" s="17"/>
      <c r="G2940" s="17"/>
      <c r="I2940" s="17"/>
      <c r="K2940" s="17"/>
      <c r="L2940" s="17"/>
      <c r="M2940" s="17"/>
      <c r="O2940" s="14">
        <f t="shared" si="1"/>
        <v>0</v>
      </c>
      <c r="P2940" s="86" t="str">
        <f t="array" ref="P2940">iferror(XLOOKUP(C2940,'Download of SFDC Activation Rep'!B:B,'Download of SFDC Activation Rep'!Z:Z),"")</f>
        <v/>
      </c>
      <c r="Q2940" s="86" t="str">
        <f t="shared" si="2"/>
        <v/>
      </c>
      <c r="R2940" s="13" t="str">
        <f t="shared" si="3"/>
        <v>Yes</v>
      </c>
      <c r="S2940" s="86" t="str">
        <f t="array" ref="S2940">iferror(XLOOKUP(C2940,'Download of SFDC Activation Rep'!B:B,'Download of SFDC Activation Rep'!Y:Y),"")</f>
        <v/>
      </c>
    </row>
    <row r="2941">
      <c r="A2941" s="17"/>
      <c r="B2941" s="85"/>
      <c r="C2941" s="17"/>
      <c r="D2941" s="85"/>
      <c r="E2941" s="17"/>
      <c r="F2941" s="17"/>
      <c r="G2941" s="17"/>
      <c r="I2941" s="17"/>
      <c r="K2941" s="17"/>
      <c r="L2941" s="17"/>
      <c r="M2941" s="17"/>
      <c r="O2941" s="14">
        <f t="shared" si="1"/>
        <v>0</v>
      </c>
      <c r="P2941" s="86" t="str">
        <f t="array" ref="P2941">iferror(XLOOKUP(C2941,'Download of SFDC Activation Rep'!B:B,'Download of SFDC Activation Rep'!Z:Z),"")</f>
        <v/>
      </c>
      <c r="Q2941" s="86" t="str">
        <f t="shared" si="2"/>
        <v/>
      </c>
      <c r="R2941" s="13" t="str">
        <f t="shared" si="3"/>
        <v>Yes</v>
      </c>
      <c r="S2941" s="86" t="str">
        <f t="array" ref="S2941">iferror(XLOOKUP(C2941,'Download of SFDC Activation Rep'!B:B,'Download of SFDC Activation Rep'!Y:Y),"")</f>
        <v/>
      </c>
    </row>
    <row r="2942">
      <c r="A2942" s="17"/>
      <c r="B2942" s="85"/>
      <c r="C2942" s="17"/>
      <c r="D2942" s="85"/>
      <c r="E2942" s="17"/>
      <c r="F2942" s="17"/>
      <c r="G2942" s="17"/>
      <c r="I2942" s="17"/>
      <c r="K2942" s="17"/>
      <c r="L2942" s="17"/>
      <c r="M2942" s="17"/>
      <c r="O2942" s="14">
        <f t="shared" si="1"/>
        <v>0</v>
      </c>
      <c r="P2942" s="86" t="str">
        <f t="array" ref="P2942">iferror(XLOOKUP(C2942,'Download of SFDC Activation Rep'!B:B,'Download of SFDC Activation Rep'!Z:Z),"")</f>
        <v/>
      </c>
      <c r="Q2942" s="86" t="str">
        <f t="shared" si="2"/>
        <v/>
      </c>
      <c r="R2942" s="13" t="str">
        <f t="shared" si="3"/>
        <v>Yes</v>
      </c>
      <c r="S2942" s="86" t="str">
        <f t="array" ref="S2942">iferror(XLOOKUP(C2942,'Download of SFDC Activation Rep'!B:B,'Download of SFDC Activation Rep'!Y:Y),"")</f>
        <v/>
      </c>
    </row>
    <row r="2943">
      <c r="A2943" s="17"/>
      <c r="B2943" s="85"/>
      <c r="C2943" s="17"/>
      <c r="D2943" s="85"/>
      <c r="E2943" s="17"/>
      <c r="F2943" s="17"/>
      <c r="G2943" s="17"/>
      <c r="I2943" s="17"/>
      <c r="K2943" s="17"/>
      <c r="L2943" s="17"/>
      <c r="M2943" s="17"/>
      <c r="O2943" s="14">
        <f t="shared" si="1"/>
        <v>0</v>
      </c>
      <c r="P2943" s="86" t="str">
        <f t="array" ref="P2943">iferror(XLOOKUP(C2943,'Download of SFDC Activation Rep'!B:B,'Download of SFDC Activation Rep'!Z:Z),"")</f>
        <v/>
      </c>
      <c r="Q2943" s="86" t="str">
        <f t="shared" si="2"/>
        <v/>
      </c>
      <c r="R2943" s="13" t="str">
        <f t="shared" si="3"/>
        <v>Yes</v>
      </c>
      <c r="S2943" s="86" t="str">
        <f t="array" ref="S2943">iferror(XLOOKUP(C2943,'Download of SFDC Activation Rep'!B:B,'Download of SFDC Activation Rep'!Y:Y),"")</f>
        <v/>
      </c>
    </row>
    <row r="2944">
      <c r="A2944" s="17"/>
      <c r="B2944" s="85"/>
      <c r="C2944" s="17"/>
      <c r="D2944" s="85"/>
      <c r="E2944" s="17"/>
      <c r="F2944" s="17"/>
      <c r="G2944" s="17"/>
      <c r="I2944" s="17"/>
      <c r="K2944" s="17"/>
      <c r="L2944" s="17"/>
      <c r="M2944" s="17"/>
      <c r="O2944" s="14">
        <f t="shared" si="1"/>
        <v>0</v>
      </c>
      <c r="P2944" s="86" t="str">
        <f t="array" ref="P2944">iferror(XLOOKUP(C2944,'Download of SFDC Activation Rep'!B:B,'Download of SFDC Activation Rep'!Z:Z),"")</f>
        <v/>
      </c>
      <c r="Q2944" s="86" t="str">
        <f t="shared" si="2"/>
        <v/>
      </c>
      <c r="R2944" s="13" t="str">
        <f t="shared" si="3"/>
        <v>Yes</v>
      </c>
      <c r="S2944" s="86" t="str">
        <f t="array" ref="S2944">iferror(XLOOKUP(C2944,'Download of SFDC Activation Rep'!B:B,'Download of SFDC Activation Rep'!Y:Y),"")</f>
        <v/>
      </c>
    </row>
    <row r="2945">
      <c r="A2945" s="17"/>
      <c r="B2945" s="85"/>
      <c r="C2945" s="17"/>
      <c r="D2945" s="85"/>
      <c r="E2945" s="17"/>
      <c r="F2945" s="17"/>
      <c r="G2945" s="17"/>
      <c r="I2945" s="17"/>
      <c r="K2945" s="17"/>
      <c r="L2945" s="17"/>
      <c r="M2945" s="17"/>
      <c r="O2945" s="14">
        <f t="shared" si="1"/>
        <v>0</v>
      </c>
      <c r="P2945" s="86" t="str">
        <f t="array" ref="P2945">iferror(XLOOKUP(C2945,'Download of SFDC Activation Rep'!B:B,'Download of SFDC Activation Rep'!Z:Z),"")</f>
        <v/>
      </c>
      <c r="Q2945" s="86" t="str">
        <f t="shared" si="2"/>
        <v/>
      </c>
      <c r="R2945" s="13" t="str">
        <f t="shared" si="3"/>
        <v>Yes</v>
      </c>
      <c r="S2945" s="86" t="str">
        <f t="array" ref="S2945">iferror(XLOOKUP(C2945,'Download of SFDC Activation Rep'!B:B,'Download of SFDC Activation Rep'!Y:Y),"")</f>
        <v/>
      </c>
    </row>
    <row r="2946">
      <c r="A2946" s="17"/>
      <c r="B2946" s="85"/>
      <c r="C2946" s="17"/>
      <c r="D2946" s="85"/>
      <c r="E2946" s="17"/>
      <c r="F2946" s="17"/>
      <c r="G2946" s="17"/>
      <c r="I2946" s="17"/>
      <c r="K2946" s="17"/>
      <c r="L2946" s="17"/>
      <c r="M2946" s="17"/>
      <c r="O2946" s="14">
        <f t="shared" si="1"/>
        <v>0</v>
      </c>
      <c r="P2946" s="86" t="str">
        <f t="array" ref="P2946">iferror(XLOOKUP(C2946,'Download of SFDC Activation Rep'!B:B,'Download of SFDC Activation Rep'!Z:Z),"")</f>
        <v/>
      </c>
      <c r="Q2946" s="86" t="str">
        <f t="shared" si="2"/>
        <v/>
      </c>
      <c r="R2946" s="13" t="str">
        <f t="shared" si="3"/>
        <v>Yes</v>
      </c>
      <c r="S2946" s="86" t="str">
        <f t="array" ref="S2946">iferror(XLOOKUP(C2946,'Download of SFDC Activation Rep'!B:B,'Download of SFDC Activation Rep'!Y:Y),"")</f>
        <v/>
      </c>
    </row>
    <row r="2947">
      <c r="A2947" s="17"/>
      <c r="B2947" s="85"/>
      <c r="C2947" s="17"/>
      <c r="D2947" s="85"/>
      <c r="E2947" s="17"/>
      <c r="F2947" s="17"/>
      <c r="G2947" s="17"/>
      <c r="I2947" s="17"/>
      <c r="K2947" s="17"/>
      <c r="L2947" s="17"/>
      <c r="M2947" s="17"/>
      <c r="O2947" s="14">
        <f t="shared" si="1"/>
        <v>0</v>
      </c>
      <c r="P2947" s="86" t="str">
        <f t="array" ref="P2947">iferror(XLOOKUP(C2947,'Download of SFDC Activation Rep'!B:B,'Download of SFDC Activation Rep'!Z:Z),"")</f>
        <v/>
      </c>
      <c r="Q2947" s="86" t="str">
        <f t="shared" si="2"/>
        <v/>
      </c>
      <c r="R2947" s="13" t="str">
        <f t="shared" si="3"/>
        <v>Yes</v>
      </c>
      <c r="S2947" s="86" t="str">
        <f t="array" ref="S2947">iferror(XLOOKUP(C2947,'Download of SFDC Activation Rep'!B:B,'Download of SFDC Activation Rep'!Y:Y),"")</f>
        <v/>
      </c>
    </row>
    <row r="2948">
      <c r="A2948" s="17"/>
      <c r="B2948" s="85"/>
      <c r="C2948" s="17"/>
      <c r="D2948" s="85"/>
      <c r="E2948" s="17"/>
      <c r="F2948" s="17"/>
      <c r="G2948" s="17"/>
      <c r="I2948" s="17"/>
      <c r="K2948" s="17"/>
      <c r="L2948" s="17"/>
      <c r="M2948" s="17"/>
      <c r="O2948" s="14">
        <f t="shared" si="1"/>
        <v>0</v>
      </c>
      <c r="P2948" s="86" t="str">
        <f t="array" ref="P2948">iferror(XLOOKUP(C2948,'Download of SFDC Activation Rep'!B:B,'Download of SFDC Activation Rep'!Z:Z),"")</f>
        <v/>
      </c>
      <c r="Q2948" s="86" t="str">
        <f t="shared" si="2"/>
        <v/>
      </c>
      <c r="R2948" s="13" t="str">
        <f t="shared" si="3"/>
        <v>Yes</v>
      </c>
      <c r="S2948" s="86" t="str">
        <f t="array" ref="S2948">iferror(XLOOKUP(C2948,'Download of SFDC Activation Rep'!B:B,'Download of SFDC Activation Rep'!Y:Y),"")</f>
        <v/>
      </c>
    </row>
    <row r="2949">
      <c r="A2949" s="17"/>
      <c r="B2949" s="85"/>
      <c r="C2949" s="17"/>
      <c r="D2949" s="85"/>
      <c r="E2949" s="17"/>
      <c r="F2949" s="17"/>
      <c r="G2949" s="17"/>
      <c r="I2949" s="17"/>
      <c r="K2949" s="17"/>
      <c r="L2949" s="17"/>
      <c r="M2949" s="17"/>
      <c r="O2949" s="14">
        <f t="shared" si="1"/>
        <v>0</v>
      </c>
      <c r="P2949" s="86" t="str">
        <f t="array" ref="P2949">iferror(XLOOKUP(C2949,'Download of SFDC Activation Rep'!B:B,'Download of SFDC Activation Rep'!Z:Z),"")</f>
        <v/>
      </c>
      <c r="Q2949" s="86" t="str">
        <f t="shared" si="2"/>
        <v/>
      </c>
      <c r="R2949" s="13" t="str">
        <f t="shared" si="3"/>
        <v>Yes</v>
      </c>
      <c r="S2949" s="86" t="str">
        <f t="array" ref="S2949">iferror(XLOOKUP(C2949,'Download of SFDC Activation Rep'!B:B,'Download of SFDC Activation Rep'!Y:Y),"")</f>
        <v/>
      </c>
    </row>
    <row r="2950">
      <c r="A2950" s="17"/>
      <c r="B2950" s="85"/>
      <c r="C2950" s="17"/>
      <c r="D2950" s="85"/>
      <c r="E2950" s="17"/>
      <c r="F2950" s="17"/>
      <c r="G2950" s="17"/>
      <c r="I2950" s="17"/>
      <c r="K2950" s="17"/>
      <c r="L2950" s="17"/>
      <c r="M2950" s="17"/>
      <c r="O2950" s="14">
        <f t="shared" si="1"/>
        <v>0</v>
      </c>
      <c r="P2950" s="86" t="str">
        <f t="array" ref="P2950">iferror(XLOOKUP(C2950,'Download of SFDC Activation Rep'!B:B,'Download of SFDC Activation Rep'!Z:Z),"")</f>
        <v/>
      </c>
      <c r="Q2950" s="86" t="str">
        <f t="shared" si="2"/>
        <v/>
      </c>
      <c r="R2950" s="13" t="str">
        <f t="shared" si="3"/>
        <v>Yes</v>
      </c>
      <c r="S2950" s="86" t="str">
        <f t="array" ref="S2950">iferror(XLOOKUP(C2950,'Download of SFDC Activation Rep'!B:B,'Download of SFDC Activation Rep'!Y:Y),"")</f>
        <v/>
      </c>
    </row>
    <row r="2951">
      <c r="A2951" s="17"/>
      <c r="B2951" s="85"/>
      <c r="C2951" s="17"/>
      <c r="D2951" s="85"/>
      <c r="E2951" s="17"/>
      <c r="F2951" s="17"/>
      <c r="G2951" s="17"/>
      <c r="I2951" s="17"/>
      <c r="K2951" s="17"/>
      <c r="L2951" s="17"/>
      <c r="M2951" s="17"/>
      <c r="O2951" s="14">
        <f t="shared" si="1"/>
        <v>0</v>
      </c>
      <c r="P2951" s="86" t="str">
        <f t="array" ref="P2951">iferror(XLOOKUP(C2951,'Download of SFDC Activation Rep'!B:B,'Download of SFDC Activation Rep'!Z:Z),"")</f>
        <v/>
      </c>
      <c r="Q2951" s="86" t="str">
        <f t="shared" si="2"/>
        <v/>
      </c>
      <c r="R2951" s="13" t="str">
        <f t="shared" si="3"/>
        <v>Yes</v>
      </c>
      <c r="S2951" s="86" t="str">
        <f t="array" ref="S2951">iferror(XLOOKUP(C2951,'Download of SFDC Activation Rep'!B:B,'Download of SFDC Activation Rep'!Y:Y),"")</f>
        <v/>
      </c>
    </row>
    <row r="2952">
      <c r="A2952" s="17"/>
      <c r="B2952" s="85"/>
      <c r="C2952" s="17"/>
      <c r="D2952" s="85"/>
      <c r="E2952" s="17"/>
      <c r="F2952" s="17"/>
      <c r="G2952" s="17"/>
      <c r="I2952" s="17"/>
      <c r="K2952" s="17"/>
      <c r="L2952" s="17"/>
      <c r="M2952" s="17"/>
      <c r="O2952" s="14">
        <f t="shared" si="1"/>
        <v>0</v>
      </c>
      <c r="P2952" s="86" t="str">
        <f t="array" ref="P2952">iferror(XLOOKUP(C2952,'Download of SFDC Activation Rep'!B:B,'Download of SFDC Activation Rep'!Z:Z),"")</f>
        <v/>
      </c>
      <c r="Q2952" s="86" t="str">
        <f t="shared" si="2"/>
        <v/>
      </c>
      <c r="R2952" s="13" t="str">
        <f t="shared" si="3"/>
        <v>Yes</v>
      </c>
      <c r="S2952" s="86" t="str">
        <f t="array" ref="S2952">iferror(XLOOKUP(C2952,'Download of SFDC Activation Rep'!B:B,'Download of SFDC Activation Rep'!Y:Y),"")</f>
        <v/>
      </c>
    </row>
    <row r="2953">
      <c r="A2953" s="17"/>
      <c r="B2953" s="85"/>
      <c r="C2953" s="17"/>
      <c r="D2953" s="85"/>
      <c r="E2953" s="17"/>
      <c r="F2953" s="17"/>
      <c r="G2953" s="17"/>
      <c r="I2953" s="17"/>
      <c r="K2953" s="17"/>
      <c r="L2953" s="17"/>
      <c r="M2953" s="17"/>
      <c r="O2953" s="14">
        <f t="shared" si="1"/>
        <v>0</v>
      </c>
      <c r="P2953" s="86" t="str">
        <f t="array" ref="P2953">iferror(XLOOKUP(C2953,'Download of SFDC Activation Rep'!B:B,'Download of SFDC Activation Rep'!Z:Z),"")</f>
        <v/>
      </c>
      <c r="Q2953" s="86" t="str">
        <f t="shared" si="2"/>
        <v/>
      </c>
      <c r="R2953" s="13" t="str">
        <f t="shared" si="3"/>
        <v>Yes</v>
      </c>
      <c r="S2953" s="86" t="str">
        <f t="array" ref="S2953">iferror(XLOOKUP(C2953,'Download of SFDC Activation Rep'!B:B,'Download of SFDC Activation Rep'!Y:Y),"")</f>
        <v/>
      </c>
    </row>
    <row r="2954">
      <c r="A2954" s="17"/>
      <c r="B2954" s="85"/>
      <c r="C2954" s="17"/>
      <c r="D2954" s="85"/>
      <c r="E2954" s="17"/>
      <c r="F2954" s="17"/>
      <c r="G2954" s="17"/>
      <c r="I2954" s="17"/>
      <c r="K2954" s="17"/>
      <c r="L2954" s="17"/>
      <c r="M2954" s="17"/>
      <c r="O2954" s="14">
        <f t="shared" si="1"/>
        <v>0</v>
      </c>
      <c r="P2954" s="86" t="str">
        <f t="array" ref="P2954">iferror(XLOOKUP(C2954,'Download of SFDC Activation Rep'!B:B,'Download of SFDC Activation Rep'!Z:Z),"")</f>
        <v/>
      </c>
      <c r="Q2954" s="86" t="str">
        <f t="shared" si="2"/>
        <v/>
      </c>
      <c r="R2954" s="13" t="str">
        <f t="shared" si="3"/>
        <v>Yes</v>
      </c>
      <c r="S2954" s="86" t="str">
        <f t="array" ref="S2954">iferror(XLOOKUP(C2954,'Download of SFDC Activation Rep'!B:B,'Download of SFDC Activation Rep'!Y:Y),"")</f>
        <v/>
      </c>
    </row>
    <row r="2955">
      <c r="A2955" s="17"/>
      <c r="B2955" s="85"/>
      <c r="C2955" s="17"/>
      <c r="D2955" s="85"/>
      <c r="E2955" s="17"/>
      <c r="F2955" s="17"/>
      <c r="G2955" s="17"/>
      <c r="I2955" s="17"/>
      <c r="K2955" s="17"/>
      <c r="L2955" s="17"/>
      <c r="M2955" s="17"/>
      <c r="O2955" s="14">
        <f t="shared" si="1"/>
        <v>0</v>
      </c>
      <c r="P2955" s="86" t="str">
        <f t="array" ref="P2955">iferror(XLOOKUP(C2955,'Download of SFDC Activation Rep'!B:B,'Download of SFDC Activation Rep'!Z:Z),"")</f>
        <v/>
      </c>
      <c r="Q2955" s="86" t="str">
        <f t="shared" si="2"/>
        <v/>
      </c>
      <c r="R2955" s="13" t="str">
        <f t="shared" si="3"/>
        <v>Yes</v>
      </c>
      <c r="S2955" s="86" t="str">
        <f t="array" ref="S2955">iferror(XLOOKUP(C2955,'Download of SFDC Activation Rep'!B:B,'Download of SFDC Activation Rep'!Y:Y),"")</f>
        <v/>
      </c>
    </row>
    <row r="2956">
      <c r="A2956" s="17"/>
      <c r="B2956" s="85"/>
      <c r="C2956" s="17"/>
      <c r="D2956" s="85"/>
      <c r="E2956" s="17"/>
      <c r="F2956" s="17"/>
      <c r="G2956" s="17"/>
      <c r="I2956" s="17"/>
      <c r="K2956" s="17"/>
      <c r="L2956" s="17"/>
      <c r="M2956" s="17"/>
      <c r="O2956" s="14">
        <f t="shared" si="1"/>
        <v>0</v>
      </c>
      <c r="P2956" s="86" t="str">
        <f t="array" ref="P2956">iferror(XLOOKUP(C2956,'Download of SFDC Activation Rep'!B:B,'Download of SFDC Activation Rep'!Z:Z),"")</f>
        <v/>
      </c>
      <c r="Q2956" s="86" t="str">
        <f t="shared" si="2"/>
        <v/>
      </c>
      <c r="R2956" s="13" t="str">
        <f t="shared" si="3"/>
        <v>Yes</v>
      </c>
      <c r="S2956" s="86" t="str">
        <f t="array" ref="S2956">iferror(XLOOKUP(C2956,'Download of SFDC Activation Rep'!B:B,'Download of SFDC Activation Rep'!Y:Y),"")</f>
        <v/>
      </c>
    </row>
    <row r="2957">
      <c r="A2957" s="17"/>
      <c r="B2957" s="85"/>
      <c r="C2957" s="17"/>
      <c r="D2957" s="85"/>
      <c r="E2957" s="17"/>
      <c r="F2957" s="17"/>
      <c r="G2957" s="17"/>
      <c r="I2957" s="17"/>
      <c r="K2957" s="17"/>
      <c r="L2957" s="17"/>
      <c r="M2957" s="17"/>
      <c r="O2957" s="14">
        <f t="shared" si="1"/>
        <v>0</v>
      </c>
      <c r="P2957" s="86" t="str">
        <f t="array" ref="P2957">iferror(XLOOKUP(C2957,'Download of SFDC Activation Rep'!B:B,'Download of SFDC Activation Rep'!Z:Z),"")</f>
        <v/>
      </c>
      <c r="Q2957" s="86" t="str">
        <f t="shared" si="2"/>
        <v/>
      </c>
      <c r="R2957" s="13" t="str">
        <f t="shared" si="3"/>
        <v>Yes</v>
      </c>
      <c r="S2957" s="86" t="str">
        <f t="array" ref="S2957">iferror(XLOOKUP(C2957,'Download of SFDC Activation Rep'!B:B,'Download of SFDC Activation Rep'!Y:Y),"")</f>
        <v/>
      </c>
    </row>
    <row r="2958">
      <c r="A2958" s="17"/>
      <c r="B2958" s="85"/>
      <c r="C2958" s="17"/>
      <c r="D2958" s="85"/>
      <c r="E2958" s="17"/>
      <c r="F2958" s="17"/>
      <c r="G2958" s="17"/>
      <c r="I2958" s="17"/>
      <c r="K2958" s="17"/>
      <c r="L2958" s="17"/>
      <c r="M2958" s="17"/>
      <c r="O2958" s="14">
        <f t="shared" si="1"/>
        <v>0</v>
      </c>
      <c r="P2958" s="86" t="str">
        <f t="array" ref="P2958">iferror(XLOOKUP(C2958,'Download of SFDC Activation Rep'!B:B,'Download of SFDC Activation Rep'!Z:Z),"")</f>
        <v/>
      </c>
      <c r="Q2958" s="86" t="str">
        <f t="shared" si="2"/>
        <v/>
      </c>
      <c r="R2958" s="13" t="str">
        <f t="shared" si="3"/>
        <v>Yes</v>
      </c>
      <c r="S2958" s="86" t="str">
        <f t="array" ref="S2958">iferror(XLOOKUP(C2958,'Download of SFDC Activation Rep'!B:B,'Download of SFDC Activation Rep'!Y:Y),"")</f>
        <v/>
      </c>
    </row>
    <row r="2959">
      <c r="A2959" s="17"/>
      <c r="B2959" s="85"/>
      <c r="C2959" s="17"/>
      <c r="D2959" s="85"/>
      <c r="E2959" s="17"/>
      <c r="F2959" s="17"/>
      <c r="G2959" s="17"/>
      <c r="I2959" s="17"/>
      <c r="K2959" s="17"/>
      <c r="L2959" s="17"/>
      <c r="M2959" s="17"/>
      <c r="O2959" s="14">
        <f t="shared" si="1"/>
        <v>0</v>
      </c>
      <c r="P2959" s="86" t="str">
        <f t="array" ref="P2959">iferror(XLOOKUP(C2959,'Download of SFDC Activation Rep'!B:B,'Download of SFDC Activation Rep'!Z:Z),"")</f>
        <v/>
      </c>
      <c r="Q2959" s="86" t="str">
        <f t="shared" si="2"/>
        <v/>
      </c>
      <c r="R2959" s="13" t="str">
        <f t="shared" si="3"/>
        <v>Yes</v>
      </c>
      <c r="S2959" s="86" t="str">
        <f t="array" ref="S2959">iferror(XLOOKUP(C2959,'Download of SFDC Activation Rep'!B:B,'Download of SFDC Activation Rep'!Y:Y),"")</f>
        <v/>
      </c>
    </row>
    <row r="2960">
      <c r="A2960" s="17"/>
      <c r="B2960" s="85"/>
      <c r="C2960" s="17"/>
      <c r="D2960" s="85"/>
      <c r="E2960" s="17"/>
      <c r="F2960" s="17"/>
      <c r="G2960" s="17"/>
      <c r="I2960" s="17"/>
      <c r="K2960" s="17"/>
      <c r="L2960" s="17"/>
      <c r="M2960" s="17"/>
      <c r="O2960" s="14">
        <f t="shared" si="1"/>
        <v>0</v>
      </c>
      <c r="P2960" s="86" t="str">
        <f t="array" ref="P2960">iferror(XLOOKUP(C2960,'Download of SFDC Activation Rep'!B:B,'Download of SFDC Activation Rep'!Z:Z),"")</f>
        <v/>
      </c>
      <c r="Q2960" s="86" t="str">
        <f t="shared" si="2"/>
        <v/>
      </c>
      <c r="R2960" s="13" t="str">
        <f t="shared" si="3"/>
        <v>Yes</v>
      </c>
      <c r="S2960" s="86" t="str">
        <f t="array" ref="S2960">iferror(XLOOKUP(C2960,'Download of SFDC Activation Rep'!B:B,'Download of SFDC Activation Rep'!Y:Y),"")</f>
        <v/>
      </c>
    </row>
    <row r="2961">
      <c r="A2961" s="17"/>
      <c r="B2961" s="85"/>
      <c r="C2961" s="17"/>
      <c r="D2961" s="85"/>
      <c r="E2961" s="17"/>
      <c r="F2961" s="17"/>
      <c r="G2961" s="17"/>
      <c r="I2961" s="17"/>
      <c r="K2961" s="17"/>
      <c r="L2961" s="17"/>
      <c r="M2961" s="17"/>
      <c r="O2961" s="14">
        <f t="shared" si="1"/>
        <v>0</v>
      </c>
      <c r="P2961" s="86" t="str">
        <f t="array" ref="P2961">iferror(XLOOKUP(C2961,'Download of SFDC Activation Rep'!B:B,'Download of SFDC Activation Rep'!Z:Z),"")</f>
        <v/>
      </c>
      <c r="Q2961" s="86" t="str">
        <f t="shared" si="2"/>
        <v/>
      </c>
      <c r="R2961" s="13" t="str">
        <f t="shared" si="3"/>
        <v>Yes</v>
      </c>
      <c r="S2961" s="86" t="str">
        <f t="array" ref="S2961">iferror(XLOOKUP(C2961,'Download of SFDC Activation Rep'!B:B,'Download of SFDC Activation Rep'!Y:Y),"")</f>
        <v/>
      </c>
    </row>
    <row r="2962">
      <c r="A2962" s="17"/>
      <c r="B2962" s="85"/>
      <c r="C2962" s="17"/>
      <c r="D2962" s="85"/>
      <c r="E2962" s="17"/>
      <c r="F2962" s="17"/>
      <c r="G2962" s="17"/>
      <c r="I2962" s="17"/>
      <c r="K2962" s="17"/>
      <c r="L2962" s="17"/>
      <c r="M2962" s="17"/>
      <c r="O2962" s="14">
        <f t="shared" si="1"/>
        <v>0</v>
      </c>
      <c r="P2962" s="86" t="str">
        <f t="array" ref="P2962">iferror(XLOOKUP(C2962,'Download of SFDC Activation Rep'!B:B,'Download of SFDC Activation Rep'!Z:Z),"")</f>
        <v/>
      </c>
      <c r="Q2962" s="86" t="str">
        <f t="shared" si="2"/>
        <v/>
      </c>
      <c r="R2962" s="13" t="str">
        <f t="shared" si="3"/>
        <v>Yes</v>
      </c>
      <c r="S2962" s="86" t="str">
        <f t="array" ref="S2962">iferror(XLOOKUP(C2962,'Download of SFDC Activation Rep'!B:B,'Download of SFDC Activation Rep'!Y:Y),"")</f>
        <v/>
      </c>
    </row>
    <row r="2963">
      <c r="A2963" s="17"/>
      <c r="B2963" s="85"/>
      <c r="C2963" s="17"/>
      <c r="D2963" s="85"/>
      <c r="E2963" s="17"/>
      <c r="F2963" s="17"/>
      <c r="G2963" s="17"/>
      <c r="I2963" s="17"/>
      <c r="K2963" s="17"/>
      <c r="L2963" s="17"/>
      <c r="M2963" s="17"/>
      <c r="O2963" s="14">
        <f t="shared" si="1"/>
        <v>0</v>
      </c>
      <c r="P2963" s="86" t="str">
        <f t="array" ref="P2963">iferror(XLOOKUP(C2963,'Download of SFDC Activation Rep'!B:B,'Download of SFDC Activation Rep'!Z:Z),"")</f>
        <v/>
      </c>
      <c r="Q2963" s="86" t="str">
        <f t="shared" si="2"/>
        <v/>
      </c>
      <c r="R2963" s="13" t="str">
        <f t="shared" si="3"/>
        <v>Yes</v>
      </c>
      <c r="S2963" s="86" t="str">
        <f t="array" ref="S2963">iferror(XLOOKUP(C2963,'Download of SFDC Activation Rep'!B:B,'Download of SFDC Activation Rep'!Y:Y),"")</f>
        <v/>
      </c>
    </row>
    <row r="2964">
      <c r="A2964" s="17"/>
      <c r="B2964" s="85"/>
      <c r="C2964" s="17"/>
      <c r="D2964" s="85"/>
      <c r="E2964" s="17"/>
      <c r="F2964" s="17"/>
      <c r="G2964" s="17"/>
      <c r="I2964" s="17"/>
      <c r="K2964" s="17"/>
      <c r="L2964" s="17"/>
      <c r="M2964" s="17"/>
      <c r="O2964" s="14">
        <f t="shared" si="1"/>
        <v>0</v>
      </c>
      <c r="P2964" s="86" t="str">
        <f t="array" ref="P2964">iferror(XLOOKUP(C2964,'Download of SFDC Activation Rep'!B:B,'Download of SFDC Activation Rep'!Z:Z),"")</f>
        <v/>
      </c>
      <c r="Q2964" s="86" t="str">
        <f t="shared" si="2"/>
        <v/>
      </c>
      <c r="R2964" s="13" t="str">
        <f t="shared" si="3"/>
        <v>Yes</v>
      </c>
      <c r="S2964" s="86" t="str">
        <f t="array" ref="S2964">iferror(XLOOKUP(C2964,'Download of SFDC Activation Rep'!B:B,'Download of SFDC Activation Rep'!Y:Y),"")</f>
        <v/>
      </c>
    </row>
    <row r="2965">
      <c r="A2965" s="17"/>
      <c r="B2965" s="85"/>
      <c r="C2965" s="17"/>
      <c r="D2965" s="85"/>
      <c r="E2965" s="17"/>
      <c r="F2965" s="17"/>
      <c r="G2965" s="17"/>
      <c r="I2965" s="17"/>
      <c r="K2965" s="17"/>
      <c r="L2965" s="17"/>
      <c r="M2965" s="17"/>
      <c r="O2965" s="14">
        <f t="shared" si="1"/>
        <v>0</v>
      </c>
      <c r="P2965" s="86" t="str">
        <f t="array" ref="P2965">iferror(XLOOKUP(C2965,'Download of SFDC Activation Rep'!B:B,'Download of SFDC Activation Rep'!Z:Z),"")</f>
        <v/>
      </c>
      <c r="Q2965" s="86" t="str">
        <f t="shared" si="2"/>
        <v/>
      </c>
      <c r="R2965" s="13" t="str">
        <f t="shared" si="3"/>
        <v>Yes</v>
      </c>
      <c r="S2965" s="86" t="str">
        <f t="array" ref="S2965">iferror(XLOOKUP(C2965,'Download of SFDC Activation Rep'!B:B,'Download of SFDC Activation Rep'!Y:Y),"")</f>
        <v/>
      </c>
    </row>
    <row r="2966">
      <c r="A2966" s="17"/>
      <c r="B2966" s="85"/>
      <c r="C2966" s="17"/>
      <c r="D2966" s="85"/>
      <c r="E2966" s="17"/>
      <c r="F2966" s="17"/>
      <c r="G2966" s="17"/>
      <c r="I2966" s="17"/>
      <c r="K2966" s="17"/>
      <c r="L2966" s="17"/>
      <c r="M2966" s="17"/>
      <c r="O2966" s="14">
        <f t="shared" si="1"/>
        <v>0</v>
      </c>
      <c r="P2966" s="86" t="str">
        <f t="array" ref="P2966">iferror(XLOOKUP(C2966,'Download of SFDC Activation Rep'!B:B,'Download of SFDC Activation Rep'!Z:Z),"")</f>
        <v/>
      </c>
      <c r="Q2966" s="86" t="str">
        <f t="shared" si="2"/>
        <v/>
      </c>
      <c r="R2966" s="13" t="str">
        <f t="shared" si="3"/>
        <v>Yes</v>
      </c>
      <c r="S2966" s="86" t="str">
        <f t="array" ref="S2966">iferror(XLOOKUP(C2966,'Download of SFDC Activation Rep'!B:B,'Download of SFDC Activation Rep'!Y:Y),"")</f>
        <v/>
      </c>
    </row>
    <row r="2967">
      <c r="A2967" s="17"/>
      <c r="B2967" s="85"/>
      <c r="C2967" s="17"/>
      <c r="D2967" s="85"/>
      <c r="E2967" s="17"/>
      <c r="F2967" s="17"/>
      <c r="G2967" s="17"/>
      <c r="I2967" s="17"/>
      <c r="K2967" s="17"/>
      <c r="L2967" s="17"/>
      <c r="M2967" s="17"/>
      <c r="O2967" s="14">
        <f t="shared" si="1"/>
        <v>0</v>
      </c>
      <c r="P2967" s="86" t="str">
        <f t="array" ref="P2967">iferror(XLOOKUP(C2967,'Download of SFDC Activation Rep'!B:B,'Download of SFDC Activation Rep'!Z:Z),"")</f>
        <v/>
      </c>
      <c r="Q2967" s="86" t="str">
        <f t="shared" si="2"/>
        <v/>
      </c>
      <c r="R2967" s="13" t="str">
        <f t="shared" si="3"/>
        <v>Yes</v>
      </c>
      <c r="S2967" s="86" t="str">
        <f t="array" ref="S2967">iferror(XLOOKUP(C2967,'Download of SFDC Activation Rep'!B:B,'Download of SFDC Activation Rep'!Y:Y),"")</f>
        <v/>
      </c>
    </row>
    <row r="2968">
      <c r="A2968" s="17"/>
      <c r="B2968" s="85"/>
      <c r="C2968" s="17"/>
      <c r="D2968" s="85"/>
      <c r="E2968" s="17"/>
      <c r="F2968" s="17"/>
      <c r="G2968" s="17"/>
      <c r="I2968" s="17"/>
      <c r="K2968" s="17"/>
      <c r="L2968" s="17"/>
      <c r="M2968" s="17"/>
      <c r="O2968" s="14">
        <f t="shared" si="1"/>
        <v>0</v>
      </c>
      <c r="P2968" s="86" t="str">
        <f t="array" ref="P2968">iferror(XLOOKUP(C2968,'Download of SFDC Activation Rep'!B:B,'Download of SFDC Activation Rep'!Z:Z),"")</f>
        <v/>
      </c>
      <c r="Q2968" s="86" t="str">
        <f t="shared" si="2"/>
        <v/>
      </c>
      <c r="R2968" s="13" t="str">
        <f t="shared" si="3"/>
        <v>Yes</v>
      </c>
      <c r="S2968" s="86" t="str">
        <f t="array" ref="S2968">iferror(XLOOKUP(C2968,'Download of SFDC Activation Rep'!B:B,'Download of SFDC Activation Rep'!Y:Y),"")</f>
        <v/>
      </c>
    </row>
    <row r="2969">
      <c r="A2969" s="17"/>
      <c r="B2969" s="85"/>
      <c r="C2969" s="17"/>
      <c r="D2969" s="85"/>
      <c r="E2969" s="17"/>
      <c r="F2969" s="17"/>
      <c r="G2969" s="17"/>
      <c r="I2969" s="17"/>
      <c r="K2969" s="17"/>
      <c r="L2969" s="17"/>
      <c r="M2969" s="17"/>
      <c r="O2969" s="14">
        <f t="shared" si="1"/>
        <v>0</v>
      </c>
      <c r="P2969" s="86" t="str">
        <f t="array" ref="P2969">iferror(XLOOKUP(C2969,'Download of SFDC Activation Rep'!B:B,'Download of SFDC Activation Rep'!Z:Z),"")</f>
        <v/>
      </c>
      <c r="Q2969" s="86" t="str">
        <f t="shared" si="2"/>
        <v/>
      </c>
      <c r="R2969" s="13" t="str">
        <f t="shared" si="3"/>
        <v>Yes</v>
      </c>
      <c r="S2969" s="86" t="str">
        <f t="array" ref="S2969">iferror(XLOOKUP(C2969,'Download of SFDC Activation Rep'!B:B,'Download of SFDC Activation Rep'!Y:Y),"")</f>
        <v/>
      </c>
    </row>
    <row r="2970">
      <c r="A2970" s="17"/>
      <c r="B2970" s="85"/>
      <c r="C2970" s="17"/>
      <c r="D2970" s="85"/>
      <c r="E2970" s="17"/>
      <c r="F2970" s="17"/>
      <c r="G2970" s="17"/>
      <c r="I2970" s="17"/>
      <c r="K2970" s="17"/>
      <c r="L2970" s="17"/>
      <c r="M2970" s="17"/>
      <c r="O2970" s="14">
        <f t="shared" si="1"/>
        <v>0</v>
      </c>
      <c r="P2970" s="86" t="str">
        <f t="array" ref="P2970">iferror(XLOOKUP(C2970,'Download of SFDC Activation Rep'!B:B,'Download of SFDC Activation Rep'!Z:Z),"")</f>
        <v/>
      </c>
      <c r="Q2970" s="86" t="str">
        <f t="shared" si="2"/>
        <v/>
      </c>
      <c r="R2970" s="13" t="str">
        <f t="shared" si="3"/>
        <v>Yes</v>
      </c>
      <c r="S2970" s="86" t="str">
        <f t="array" ref="S2970">iferror(XLOOKUP(C2970,'Download of SFDC Activation Rep'!B:B,'Download of SFDC Activation Rep'!Y:Y),"")</f>
        <v/>
      </c>
    </row>
    <row r="2971">
      <c r="A2971" s="17"/>
      <c r="B2971" s="85"/>
      <c r="C2971" s="17"/>
      <c r="D2971" s="85"/>
      <c r="E2971" s="17"/>
      <c r="F2971" s="17"/>
      <c r="G2971" s="17"/>
      <c r="I2971" s="17"/>
      <c r="K2971" s="17"/>
      <c r="L2971" s="17"/>
      <c r="M2971" s="17"/>
      <c r="O2971" s="14">
        <f t="shared" si="1"/>
        <v>0</v>
      </c>
      <c r="P2971" s="86" t="str">
        <f t="array" ref="P2971">iferror(XLOOKUP(C2971,'Download of SFDC Activation Rep'!B:B,'Download of SFDC Activation Rep'!Z:Z),"")</f>
        <v/>
      </c>
      <c r="Q2971" s="86" t="str">
        <f t="shared" si="2"/>
        <v/>
      </c>
      <c r="R2971" s="13" t="str">
        <f t="shared" si="3"/>
        <v>Yes</v>
      </c>
      <c r="S2971" s="86" t="str">
        <f t="array" ref="S2971">iferror(XLOOKUP(C2971,'Download of SFDC Activation Rep'!B:B,'Download of SFDC Activation Rep'!Y:Y),"")</f>
        <v/>
      </c>
    </row>
    <row r="2972">
      <c r="A2972" s="17"/>
      <c r="B2972" s="85"/>
      <c r="C2972" s="17"/>
      <c r="D2972" s="85"/>
      <c r="E2972" s="17"/>
      <c r="F2972" s="17"/>
      <c r="G2972" s="17"/>
      <c r="I2972" s="17"/>
      <c r="K2972" s="17"/>
      <c r="L2972" s="17"/>
      <c r="M2972" s="17"/>
      <c r="O2972" s="14">
        <f t="shared" si="1"/>
        <v>0</v>
      </c>
      <c r="P2972" s="86" t="str">
        <f t="array" ref="P2972">iferror(XLOOKUP(C2972,'Download of SFDC Activation Rep'!B:B,'Download of SFDC Activation Rep'!Z:Z),"")</f>
        <v/>
      </c>
      <c r="Q2972" s="86" t="str">
        <f t="shared" si="2"/>
        <v/>
      </c>
      <c r="R2972" s="13" t="str">
        <f t="shared" si="3"/>
        <v>Yes</v>
      </c>
      <c r="S2972" s="86" t="str">
        <f t="array" ref="S2972">iferror(XLOOKUP(C2972,'Download of SFDC Activation Rep'!B:B,'Download of SFDC Activation Rep'!Y:Y),"")</f>
        <v/>
      </c>
    </row>
    <row r="2973">
      <c r="A2973" s="17"/>
      <c r="B2973" s="85"/>
      <c r="C2973" s="17"/>
      <c r="D2973" s="85"/>
      <c r="E2973" s="17"/>
      <c r="F2973" s="17"/>
      <c r="G2973" s="17"/>
      <c r="I2973" s="17"/>
      <c r="K2973" s="17"/>
      <c r="L2973" s="17"/>
      <c r="M2973" s="17"/>
      <c r="O2973" s="14">
        <f t="shared" si="1"/>
        <v>0</v>
      </c>
      <c r="P2973" s="86" t="str">
        <f t="array" ref="P2973">iferror(XLOOKUP(C2973,'Download of SFDC Activation Rep'!B:B,'Download of SFDC Activation Rep'!Z:Z),"")</f>
        <v/>
      </c>
      <c r="Q2973" s="86" t="str">
        <f t="shared" si="2"/>
        <v/>
      </c>
      <c r="R2973" s="13" t="str">
        <f t="shared" si="3"/>
        <v>Yes</v>
      </c>
      <c r="S2973" s="86" t="str">
        <f t="array" ref="S2973">iferror(XLOOKUP(C2973,'Download of SFDC Activation Rep'!B:B,'Download of SFDC Activation Rep'!Y:Y),"")</f>
        <v/>
      </c>
    </row>
    <row r="2974">
      <c r="A2974" s="17"/>
      <c r="B2974" s="85"/>
      <c r="C2974" s="17"/>
      <c r="D2974" s="85"/>
      <c r="E2974" s="17"/>
      <c r="F2974" s="17"/>
      <c r="G2974" s="17"/>
      <c r="I2974" s="17"/>
      <c r="K2974" s="17"/>
      <c r="L2974" s="17"/>
      <c r="M2974" s="17"/>
      <c r="O2974" s="14">
        <f t="shared" si="1"/>
        <v>0</v>
      </c>
      <c r="P2974" s="86" t="str">
        <f t="array" ref="P2974">iferror(XLOOKUP(C2974,'Download of SFDC Activation Rep'!B:B,'Download of SFDC Activation Rep'!Z:Z),"")</f>
        <v/>
      </c>
      <c r="Q2974" s="86" t="str">
        <f t="shared" si="2"/>
        <v/>
      </c>
      <c r="R2974" s="13" t="str">
        <f t="shared" si="3"/>
        <v>Yes</v>
      </c>
      <c r="S2974" s="86" t="str">
        <f t="array" ref="S2974">iferror(XLOOKUP(C2974,'Download of SFDC Activation Rep'!B:B,'Download of SFDC Activation Rep'!Y:Y),"")</f>
        <v/>
      </c>
    </row>
    <row r="2975">
      <c r="A2975" s="17"/>
      <c r="B2975" s="85"/>
      <c r="C2975" s="17"/>
      <c r="D2975" s="85"/>
      <c r="E2975" s="17"/>
      <c r="F2975" s="17"/>
      <c r="G2975" s="17"/>
      <c r="I2975" s="17"/>
      <c r="K2975" s="17"/>
      <c r="L2975" s="17"/>
      <c r="M2975" s="17"/>
      <c r="O2975" s="14">
        <f t="shared" si="1"/>
        <v>0</v>
      </c>
      <c r="P2975" s="86" t="str">
        <f t="array" ref="P2975">iferror(XLOOKUP(C2975,'Download of SFDC Activation Rep'!B:B,'Download of SFDC Activation Rep'!Z:Z),"")</f>
        <v/>
      </c>
      <c r="Q2975" s="86" t="str">
        <f t="shared" si="2"/>
        <v/>
      </c>
      <c r="R2975" s="13" t="str">
        <f t="shared" si="3"/>
        <v>Yes</v>
      </c>
      <c r="S2975" s="86" t="str">
        <f t="array" ref="S2975">iferror(XLOOKUP(C2975,'Download of SFDC Activation Rep'!B:B,'Download of SFDC Activation Rep'!Y:Y),"")</f>
        <v/>
      </c>
    </row>
    <row r="2976">
      <c r="A2976" s="17"/>
      <c r="B2976" s="85"/>
      <c r="C2976" s="17"/>
      <c r="D2976" s="85"/>
      <c r="E2976" s="17"/>
      <c r="F2976" s="17"/>
      <c r="G2976" s="17"/>
      <c r="I2976" s="17"/>
      <c r="K2976" s="17"/>
      <c r="L2976" s="17"/>
      <c r="M2976" s="17"/>
      <c r="O2976" s="14">
        <f t="shared" si="1"/>
        <v>0</v>
      </c>
      <c r="P2976" s="86" t="str">
        <f t="array" ref="P2976">iferror(XLOOKUP(C2976,'Download of SFDC Activation Rep'!B:B,'Download of SFDC Activation Rep'!Z:Z),"")</f>
        <v/>
      </c>
      <c r="Q2976" s="86" t="str">
        <f t="shared" si="2"/>
        <v/>
      </c>
      <c r="R2976" s="13" t="str">
        <f t="shared" si="3"/>
        <v>Yes</v>
      </c>
      <c r="S2976" s="86" t="str">
        <f t="array" ref="S2976">iferror(XLOOKUP(C2976,'Download of SFDC Activation Rep'!B:B,'Download of SFDC Activation Rep'!Y:Y),"")</f>
        <v/>
      </c>
    </row>
    <row r="2977">
      <c r="A2977" s="17"/>
      <c r="B2977" s="85"/>
      <c r="C2977" s="17"/>
      <c r="D2977" s="85"/>
      <c r="E2977" s="17"/>
      <c r="F2977" s="17"/>
      <c r="G2977" s="17"/>
      <c r="I2977" s="17"/>
      <c r="K2977" s="17"/>
      <c r="L2977" s="17"/>
      <c r="M2977" s="17"/>
      <c r="O2977" s="14">
        <f t="shared" si="1"/>
        <v>0</v>
      </c>
      <c r="P2977" s="86" t="str">
        <f t="array" ref="P2977">iferror(XLOOKUP(C2977,'Download of SFDC Activation Rep'!B:B,'Download of SFDC Activation Rep'!Z:Z),"")</f>
        <v/>
      </c>
      <c r="Q2977" s="86" t="str">
        <f t="shared" si="2"/>
        <v/>
      </c>
      <c r="R2977" s="13" t="str">
        <f t="shared" si="3"/>
        <v>Yes</v>
      </c>
      <c r="S2977" s="86" t="str">
        <f t="array" ref="S2977">iferror(XLOOKUP(C2977,'Download of SFDC Activation Rep'!B:B,'Download of SFDC Activation Rep'!Y:Y),"")</f>
        <v/>
      </c>
    </row>
    <row r="2978">
      <c r="A2978" s="17"/>
      <c r="B2978" s="85"/>
      <c r="C2978" s="17"/>
      <c r="D2978" s="85"/>
      <c r="E2978" s="17"/>
      <c r="F2978" s="17"/>
      <c r="G2978" s="17"/>
      <c r="I2978" s="17"/>
      <c r="K2978" s="17"/>
      <c r="L2978" s="17"/>
      <c r="M2978" s="17"/>
      <c r="O2978" s="14">
        <f t="shared" si="1"/>
        <v>0</v>
      </c>
      <c r="P2978" s="86" t="str">
        <f t="array" ref="P2978">iferror(XLOOKUP(C2978,'Download of SFDC Activation Rep'!B:B,'Download of SFDC Activation Rep'!Z:Z),"")</f>
        <v/>
      </c>
      <c r="Q2978" s="86" t="str">
        <f t="shared" si="2"/>
        <v/>
      </c>
      <c r="R2978" s="13" t="str">
        <f t="shared" si="3"/>
        <v>Yes</v>
      </c>
      <c r="S2978" s="86" t="str">
        <f t="array" ref="S2978">iferror(XLOOKUP(C2978,'Download of SFDC Activation Rep'!B:B,'Download of SFDC Activation Rep'!Y:Y),"")</f>
        <v/>
      </c>
    </row>
    <row r="2979">
      <c r="A2979" s="17"/>
      <c r="B2979" s="85"/>
      <c r="C2979" s="17"/>
      <c r="D2979" s="85"/>
      <c r="E2979" s="17"/>
      <c r="F2979" s="17"/>
      <c r="G2979" s="17"/>
      <c r="I2979" s="17"/>
      <c r="K2979" s="17"/>
      <c r="L2979" s="17"/>
      <c r="M2979" s="17"/>
      <c r="O2979" s="14">
        <f t="shared" si="1"/>
        <v>0</v>
      </c>
      <c r="P2979" s="86" t="str">
        <f t="array" ref="P2979">iferror(XLOOKUP(C2979,'Download of SFDC Activation Rep'!B:B,'Download of SFDC Activation Rep'!Z:Z),"")</f>
        <v/>
      </c>
      <c r="Q2979" s="86" t="str">
        <f t="shared" si="2"/>
        <v/>
      </c>
      <c r="R2979" s="13" t="str">
        <f t="shared" si="3"/>
        <v>Yes</v>
      </c>
      <c r="S2979" s="86" t="str">
        <f t="array" ref="S2979">iferror(XLOOKUP(C2979,'Download of SFDC Activation Rep'!B:B,'Download of SFDC Activation Rep'!Y:Y),"")</f>
        <v/>
      </c>
    </row>
    <row r="2980">
      <c r="A2980" s="17"/>
      <c r="B2980" s="85"/>
      <c r="C2980" s="17"/>
      <c r="D2980" s="85"/>
      <c r="E2980" s="17"/>
      <c r="F2980" s="17"/>
      <c r="G2980" s="17"/>
      <c r="I2980" s="17"/>
      <c r="K2980" s="17"/>
      <c r="L2980" s="17"/>
      <c r="M2980" s="17"/>
      <c r="O2980" s="14">
        <f t="shared" si="1"/>
        <v>0</v>
      </c>
      <c r="P2980" s="86" t="str">
        <f t="array" ref="P2980">iferror(XLOOKUP(C2980,'Download of SFDC Activation Rep'!B:B,'Download of SFDC Activation Rep'!Z:Z),"")</f>
        <v/>
      </c>
      <c r="Q2980" s="86" t="str">
        <f t="shared" si="2"/>
        <v/>
      </c>
      <c r="R2980" s="13" t="str">
        <f t="shared" si="3"/>
        <v>Yes</v>
      </c>
      <c r="S2980" s="86" t="str">
        <f t="array" ref="S2980">iferror(XLOOKUP(C2980,'Download of SFDC Activation Rep'!B:B,'Download of SFDC Activation Rep'!Y:Y),"")</f>
        <v/>
      </c>
    </row>
    <row r="2981">
      <c r="A2981" s="17"/>
      <c r="B2981" s="85"/>
      <c r="C2981" s="17"/>
      <c r="D2981" s="85"/>
      <c r="E2981" s="17"/>
      <c r="F2981" s="17"/>
      <c r="G2981" s="17"/>
      <c r="I2981" s="17"/>
      <c r="K2981" s="17"/>
      <c r="L2981" s="17"/>
      <c r="M2981" s="17"/>
      <c r="O2981" s="14">
        <f t="shared" si="1"/>
        <v>0</v>
      </c>
      <c r="P2981" s="86" t="str">
        <f t="array" ref="P2981">iferror(XLOOKUP(C2981,'Download of SFDC Activation Rep'!B:B,'Download of SFDC Activation Rep'!Z:Z),"")</f>
        <v/>
      </c>
      <c r="Q2981" s="86" t="str">
        <f t="shared" si="2"/>
        <v/>
      </c>
      <c r="R2981" s="13" t="str">
        <f t="shared" si="3"/>
        <v>Yes</v>
      </c>
      <c r="S2981" s="86" t="str">
        <f t="array" ref="S2981">iferror(XLOOKUP(C2981,'Download of SFDC Activation Rep'!B:B,'Download of SFDC Activation Rep'!Y:Y),"")</f>
        <v/>
      </c>
    </row>
    <row r="2982">
      <c r="A2982" s="17"/>
      <c r="B2982" s="85"/>
      <c r="C2982" s="17"/>
      <c r="D2982" s="85"/>
      <c r="E2982" s="17"/>
      <c r="F2982" s="17"/>
      <c r="G2982" s="17"/>
      <c r="I2982" s="17"/>
      <c r="K2982" s="17"/>
      <c r="L2982" s="17"/>
      <c r="M2982" s="17"/>
      <c r="O2982" s="14">
        <f t="shared" si="1"/>
        <v>0</v>
      </c>
      <c r="P2982" s="86" t="str">
        <f t="array" ref="P2982">iferror(XLOOKUP(C2982,'Download of SFDC Activation Rep'!B:B,'Download of SFDC Activation Rep'!Z:Z),"")</f>
        <v/>
      </c>
      <c r="Q2982" s="86" t="str">
        <f t="shared" si="2"/>
        <v/>
      </c>
      <c r="R2982" s="13" t="str">
        <f t="shared" si="3"/>
        <v>Yes</v>
      </c>
      <c r="S2982" s="86" t="str">
        <f t="array" ref="S2982">iferror(XLOOKUP(C2982,'Download of SFDC Activation Rep'!B:B,'Download of SFDC Activation Rep'!Y:Y),"")</f>
        <v/>
      </c>
    </row>
    <row r="2983">
      <c r="A2983" s="17"/>
      <c r="B2983" s="85"/>
      <c r="C2983" s="17"/>
      <c r="D2983" s="85"/>
      <c r="E2983" s="17"/>
      <c r="F2983" s="17"/>
      <c r="G2983" s="17"/>
      <c r="I2983" s="17"/>
      <c r="K2983" s="17"/>
      <c r="L2983" s="17"/>
      <c r="M2983" s="17"/>
      <c r="O2983" s="14">
        <f t="shared" si="1"/>
        <v>0</v>
      </c>
      <c r="P2983" s="86" t="str">
        <f t="array" ref="P2983">iferror(XLOOKUP(C2983,'Download of SFDC Activation Rep'!B:B,'Download of SFDC Activation Rep'!Z:Z),"")</f>
        <v/>
      </c>
      <c r="Q2983" s="86" t="str">
        <f t="shared" si="2"/>
        <v/>
      </c>
      <c r="R2983" s="13" t="str">
        <f t="shared" si="3"/>
        <v>Yes</v>
      </c>
      <c r="S2983" s="86" t="str">
        <f t="array" ref="S2983">iferror(XLOOKUP(C2983,'Download of SFDC Activation Rep'!B:B,'Download of SFDC Activation Rep'!Y:Y),"")</f>
        <v/>
      </c>
    </row>
    <row r="2984">
      <c r="A2984" s="17"/>
      <c r="B2984" s="85"/>
      <c r="C2984" s="17"/>
      <c r="D2984" s="85"/>
      <c r="E2984" s="17"/>
      <c r="F2984" s="17"/>
      <c r="G2984" s="17"/>
      <c r="I2984" s="17"/>
      <c r="K2984" s="17"/>
      <c r="L2984" s="17"/>
      <c r="M2984" s="17"/>
      <c r="O2984" s="14">
        <f t="shared" si="1"/>
        <v>0</v>
      </c>
      <c r="P2984" s="86" t="str">
        <f t="array" ref="P2984">iferror(XLOOKUP(C2984,'Download of SFDC Activation Rep'!B:B,'Download of SFDC Activation Rep'!Z:Z),"")</f>
        <v/>
      </c>
      <c r="Q2984" s="86" t="str">
        <f t="shared" si="2"/>
        <v/>
      </c>
      <c r="R2984" s="13" t="str">
        <f t="shared" si="3"/>
        <v>Yes</v>
      </c>
      <c r="S2984" s="86" t="str">
        <f t="array" ref="S2984">iferror(XLOOKUP(C2984,'Download of SFDC Activation Rep'!B:B,'Download of SFDC Activation Rep'!Y:Y),"")</f>
        <v/>
      </c>
    </row>
    <row r="2985">
      <c r="A2985" s="17"/>
      <c r="B2985" s="85"/>
      <c r="C2985" s="17"/>
      <c r="D2985" s="85"/>
      <c r="E2985" s="17"/>
      <c r="F2985" s="17"/>
      <c r="G2985" s="17"/>
      <c r="I2985" s="17"/>
      <c r="K2985" s="17"/>
      <c r="L2985" s="17"/>
      <c r="M2985" s="17"/>
      <c r="O2985" s="14">
        <f t="shared" si="1"/>
        <v>0</v>
      </c>
      <c r="P2985" s="86" t="str">
        <f t="array" ref="P2985">iferror(XLOOKUP(C2985,'Download of SFDC Activation Rep'!B:B,'Download of SFDC Activation Rep'!Z:Z),"")</f>
        <v/>
      </c>
      <c r="Q2985" s="86" t="str">
        <f t="shared" si="2"/>
        <v/>
      </c>
      <c r="R2985" s="13" t="str">
        <f t="shared" si="3"/>
        <v>Yes</v>
      </c>
      <c r="S2985" s="86" t="str">
        <f t="array" ref="S2985">iferror(XLOOKUP(C2985,'Download of SFDC Activation Rep'!B:B,'Download of SFDC Activation Rep'!Y:Y),"")</f>
        <v/>
      </c>
    </row>
    <row r="2986">
      <c r="A2986" s="17"/>
      <c r="B2986" s="85"/>
      <c r="C2986" s="17"/>
      <c r="D2986" s="85"/>
      <c r="E2986" s="17"/>
      <c r="F2986" s="17"/>
      <c r="G2986" s="17"/>
      <c r="I2986" s="17"/>
      <c r="K2986" s="17"/>
      <c r="L2986" s="17"/>
      <c r="M2986" s="17"/>
      <c r="O2986" s="14">
        <f t="shared" si="1"/>
        <v>0</v>
      </c>
      <c r="P2986" s="86" t="str">
        <f t="array" ref="P2986">iferror(XLOOKUP(C2986,'Download of SFDC Activation Rep'!B:B,'Download of SFDC Activation Rep'!Z:Z),"")</f>
        <v/>
      </c>
      <c r="Q2986" s="86" t="str">
        <f t="shared" si="2"/>
        <v/>
      </c>
      <c r="R2986" s="13" t="str">
        <f t="shared" si="3"/>
        <v>Yes</v>
      </c>
      <c r="S2986" s="86" t="str">
        <f t="array" ref="S2986">iferror(XLOOKUP(C2986,'Download of SFDC Activation Rep'!B:B,'Download of SFDC Activation Rep'!Y:Y),"")</f>
        <v/>
      </c>
    </row>
    <row r="2987">
      <c r="A2987" s="17"/>
      <c r="B2987" s="85"/>
      <c r="C2987" s="17"/>
      <c r="D2987" s="85"/>
      <c r="E2987" s="17"/>
      <c r="F2987" s="17"/>
      <c r="G2987" s="17"/>
      <c r="I2987" s="17"/>
      <c r="K2987" s="17"/>
      <c r="L2987" s="17"/>
      <c r="M2987" s="17"/>
      <c r="O2987" s="14">
        <f t="shared" si="1"/>
        <v>0</v>
      </c>
      <c r="P2987" s="86" t="str">
        <f t="array" ref="P2987">iferror(XLOOKUP(C2987,'Download of SFDC Activation Rep'!B:B,'Download of SFDC Activation Rep'!Z:Z),"")</f>
        <v/>
      </c>
      <c r="Q2987" s="86" t="str">
        <f t="shared" si="2"/>
        <v/>
      </c>
      <c r="R2987" s="13" t="str">
        <f t="shared" si="3"/>
        <v>Yes</v>
      </c>
      <c r="S2987" s="86" t="str">
        <f t="array" ref="S2987">iferror(XLOOKUP(C2987,'Download of SFDC Activation Rep'!B:B,'Download of SFDC Activation Rep'!Y:Y),"")</f>
        <v/>
      </c>
    </row>
    <row r="2988">
      <c r="A2988" s="17"/>
      <c r="B2988" s="85"/>
      <c r="C2988" s="17"/>
      <c r="D2988" s="85"/>
      <c r="E2988" s="17"/>
      <c r="F2988" s="17"/>
      <c r="G2988" s="17"/>
      <c r="I2988" s="17"/>
      <c r="K2988" s="17"/>
      <c r="L2988" s="17"/>
      <c r="M2988" s="17"/>
      <c r="O2988" s="14">
        <f t="shared" si="1"/>
        <v>0</v>
      </c>
      <c r="P2988" s="86" t="str">
        <f t="array" ref="P2988">iferror(XLOOKUP(C2988,'Download of SFDC Activation Rep'!B:B,'Download of SFDC Activation Rep'!Z:Z),"")</f>
        <v/>
      </c>
      <c r="Q2988" s="86" t="str">
        <f t="shared" si="2"/>
        <v/>
      </c>
      <c r="R2988" s="13" t="str">
        <f t="shared" si="3"/>
        <v>Yes</v>
      </c>
      <c r="S2988" s="86" t="str">
        <f t="array" ref="S2988">iferror(XLOOKUP(C2988,'Download of SFDC Activation Rep'!B:B,'Download of SFDC Activation Rep'!Y:Y),"")</f>
        <v/>
      </c>
    </row>
    <row r="2989">
      <c r="A2989" s="17"/>
      <c r="B2989" s="85"/>
      <c r="C2989" s="17"/>
      <c r="D2989" s="85"/>
      <c r="E2989" s="17"/>
      <c r="F2989" s="17"/>
      <c r="G2989" s="17"/>
      <c r="I2989" s="17"/>
      <c r="K2989" s="17"/>
      <c r="L2989" s="17"/>
      <c r="M2989" s="17"/>
      <c r="O2989" s="14">
        <f t="shared" si="1"/>
        <v>0</v>
      </c>
      <c r="P2989" s="86" t="str">
        <f t="array" ref="P2989">iferror(XLOOKUP(C2989,'Download of SFDC Activation Rep'!B:B,'Download of SFDC Activation Rep'!Z:Z),"")</f>
        <v/>
      </c>
      <c r="Q2989" s="86" t="str">
        <f t="shared" si="2"/>
        <v/>
      </c>
      <c r="R2989" s="13" t="str">
        <f t="shared" si="3"/>
        <v>Yes</v>
      </c>
      <c r="S2989" s="86" t="str">
        <f t="array" ref="S2989">iferror(XLOOKUP(C2989,'Download of SFDC Activation Rep'!B:B,'Download of SFDC Activation Rep'!Y:Y),"")</f>
        <v/>
      </c>
    </row>
    <row r="2990">
      <c r="A2990" s="17"/>
      <c r="B2990" s="85"/>
      <c r="C2990" s="17"/>
      <c r="D2990" s="85"/>
      <c r="E2990" s="17"/>
      <c r="F2990" s="17"/>
      <c r="G2990" s="17"/>
      <c r="I2990" s="17"/>
      <c r="K2990" s="17"/>
      <c r="L2990" s="17"/>
      <c r="M2990" s="17"/>
      <c r="O2990" s="14">
        <f t="shared" si="1"/>
        <v>0</v>
      </c>
      <c r="P2990" s="86" t="str">
        <f t="array" ref="P2990">iferror(XLOOKUP(C2990,'Download of SFDC Activation Rep'!B:B,'Download of SFDC Activation Rep'!Z:Z),"")</f>
        <v/>
      </c>
      <c r="Q2990" s="86" t="str">
        <f t="shared" si="2"/>
        <v/>
      </c>
      <c r="R2990" s="13" t="str">
        <f t="shared" si="3"/>
        <v>Yes</v>
      </c>
      <c r="S2990" s="86" t="str">
        <f t="array" ref="S2990">iferror(XLOOKUP(C2990,'Download of SFDC Activation Rep'!B:B,'Download of SFDC Activation Rep'!Y:Y),"")</f>
        <v/>
      </c>
    </row>
    <row r="2991">
      <c r="A2991" s="17"/>
      <c r="B2991" s="85"/>
      <c r="C2991" s="17"/>
      <c r="D2991" s="85"/>
      <c r="E2991" s="17"/>
      <c r="F2991" s="17"/>
      <c r="G2991" s="17"/>
      <c r="I2991" s="17"/>
      <c r="K2991" s="17"/>
      <c r="L2991" s="17"/>
      <c r="M2991" s="17"/>
      <c r="O2991" s="14">
        <f t="shared" si="1"/>
        <v>0</v>
      </c>
      <c r="P2991" s="86" t="str">
        <f t="array" ref="P2991">iferror(XLOOKUP(C2991,'Download of SFDC Activation Rep'!B:B,'Download of SFDC Activation Rep'!Z:Z),"")</f>
        <v/>
      </c>
      <c r="Q2991" s="86" t="str">
        <f t="shared" si="2"/>
        <v/>
      </c>
      <c r="R2991" s="13" t="str">
        <f t="shared" si="3"/>
        <v>Yes</v>
      </c>
      <c r="S2991" s="86" t="str">
        <f t="array" ref="S2991">iferror(XLOOKUP(C2991,'Download of SFDC Activation Rep'!B:B,'Download of SFDC Activation Rep'!Y:Y),"")</f>
        <v/>
      </c>
    </row>
    <row r="2992">
      <c r="A2992" s="17"/>
      <c r="B2992" s="85"/>
      <c r="C2992" s="17"/>
      <c r="D2992" s="85"/>
      <c r="E2992" s="17"/>
      <c r="F2992" s="17"/>
      <c r="G2992" s="17"/>
      <c r="I2992" s="17"/>
      <c r="K2992" s="17"/>
      <c r="L2992" s="17"/>
      <c r="M2992" s="17"/>
      <c r="O2992" s="14">
        <f t="shared" si="1"/>
        <v>0</v>
      </c>
      <c r="P2992" s="86" t="str">
        <f t="array" ref="P2992">iferror(XLOOKUP(C2992,'Download of SFDC Activation Rep'!B:B,'Download of SFDC Activation Rep'!Z:Z),"")</f>
        <v/>
      </c>
      <c r="Q2992" s="86" t="str">
        <f t="shared" si="2"/>
        <v/>
      </c>
      <c r="R2992" s="13" t="str">
        <f t="shared" si="3"/>
        <v>Yes</v>
      </c>
      <c r="S2992" s="86" t="str">
        <f t="array" ref="S2992">iferror(XLOOKUP(C2992,'Download of SFDC Activation Rep'!B:B,'Download of SFDC Activation Rep'!Y:Y),"")</f>
        <v/>
      </c>
    </row>
    <row r="2993">
      <c r="A2993" s="17"/>
      <c r="B2993" s="85"/>
      <c r="C2993" s="17"/>
      <c r="D2993" s="85"/>
      <c r="E2993" s="17"/>
      <c r="F2993" s="17"/>
      <c r="G2993" s="17"/>
      <c r="I2993" s="17"/>
      <c r="K2993" s="17"/>
      <c r="L2993" s="17"/>
      <c r="M2993" s="17"/>
      <c r="O2993" s="14">
        <f t="shared" si="1"/>
        <v>0</v>
      </c>
      <c r="P2993" s="86" t="str">
        <f t="array" ref="P2993">iferror(XLOOKUP(C2993,'Download of SFDC Activation Rep'!B:B,'Download of SFDC Activation Rep'!Z:Z),"")</f>
        <v/>
      </c>
      <c r="Q2993" s="86" t="str">
        <f t="shared" si="2"/>
        <v/>
      </c>
      <c r="R2993" s="13" t="str">
        <f t="shared" si="3"/>
        <v>Yes</v>
      </c>
      <c r="S2993" s="86" t="str">
        <f t="array" ref="S2993">iferror(XLOOKUP(C2993,'Download of SFDC Activation Rep'!B:B,'Download of SFDC Activation Rep'!Y:Y),"")</f>
        <v/>
      </c>
    </row>
    <row r="2994">
      <c r="A2994" s="17"/>
      <c r="B2994" s="85"/>
      <c r="C2994" s="17"/>
      <c r="D2994" s="85"/>
      <c r="E2994" s="17"/>
      <c r="F2994" s="17"/>
      <c r="G2994" s="17"/>
      <c r="I2994" s="17"/>
      <c r="K2994" s="17"/>
      <c r="L2994" s="17"/>
      <c r="M2994" s="17"/>
      <c r="O2994" s="14">
        <f t="shared" si="1"/>
        <v>0</v>
      </c>
      <c r="P2994" s="86" t="str">
        <f t="array" ref="P2994">iferror(XLOOKUP(C2994,'Download of SFDC Activation Rep'!B:B,'Download of SFDC Activation Rep'!Z:Z),"")</f>
        <v/>
      </c>
      <c r="Q2994" s="86" t="str">
        <f t="shared" si="2"/>
        <v/>
      </c>
      <c r="R2994" s="13" t="str">
        <f t="shared" si="3"/>
        <v>Yes</v>
      </c>
      <c r="S2994" s="86" t="str">
        <f t="array" ref="S2994">iferror(XLOOKUP(C2994,'Download of SFDC Activation Rep'!B:B,'Download of SFDC Activation Rep'!Y:Y),"")</f>
        <v/>
      </c>
    </row>
    <row r="2995">
      <c r="A2995" s="17"/>
      <c r="B2995" s="85"/>
      <c r="C2995" s="17"/>
      <c r="D2995" s="85"/>
      <c r="E2995" s="17"/>
      <c r="F2995" s="17"/>
      <c r="G2995" s="17"/>
      <c r="I2995" s="17"/>
      <c r="K2995" s="17"/>
      <c r="L2995" s="17"/>
      <c r="M2995" s="17"/>
      <c r="O2995" s="14">
        <f t="shared" si="1"/>
        <v>0</v>
      </c>
      <c r="P2995" s="86" t="str">
        <f t="array" ref="P2995">iferror(XLOOKUP(C2995,'Download of SFDC Activation Rep'!B:B,'Download of SFDC Activation Rep'!Z:Z),"")</f>
        <v/>
      </c>
      <c r="Q2995" s="86" t="str">
        <f t="shared" si="2"/>
        <v/>
      </c>
      <c r="R2995" s="13" t="str">
        <f t="shared" si="3"/>
        <v>Yes</v>
      </c>
      <c r="S2995" s="86" t="str">
        <f t="array" ref="S2995">iferror(XLOOKUP(C2995,'Download of SFDC Activation Rep'!B:B,'Download of SFDC Activation Rep'!Y:Y),"")</f>
        <v/>
      </c>
    </row>
    <row r="2996">
      <c r="A2996" s="17"/>
      <c r="B2996" s="85"/>
      <c r="C2996" s="17"/>
      <c r="D2996" s="85"/>
      <c r="E2996" s="17"/>
      <c r="F2996" s="17"/>
      <c r="G2996" s="17"/>
      <c r="I2996" s="17"/>
      <c r="K2996" s="17"/>
      <c r="L2996" s="17"/>
      <c r="M2996" s="17"/>
      <c r="O2996" s="14">
        <f t="shared" si="1"/>
        <v>0</v>
      </c>
      <c r="P2996" s="86" t="str">
        <f t="array" ref="P2996">iferror(XLOOKUP(C2996,'Download of SFDC Activation Rep'!B:B,'Download of SFDC Activation Rep'!Z:Z),"")</f>
        <v/>
      </c>
      <c r="Q2996" s="86" t="str">
        <f t="shared" si="2"/>
        <v/>
      </c>
      <c r="R2996" s="13" t="str">
        <f t="shared" si="3"/>
        <v>Yes</v>
      </c>
      <c r="S2996" s="86" t="str">
        <f t="array" ref="S2996">iferror(XLOOKUP(C2996,'Download of SFDC Activation Rep'!B:B,'Download of SFDC Activation Rep'!Y:Y),"")</f>
        <v/>
      </c>
    </row>
    <row r="2997">
      <c r="A2997" s="17"/>
      <c r="B2997" s="85"/>
      <c r="C2997" s="17"/>
      <c r="D2997" s="85"/>
      <c r="E2997" s="17"/>
      <c r="F2997" s="17"/>
      <c r="G2997" s="17"/>
      <c r="I2997" s="17"/>
      <c r="K2997" s="17"/>
      <c r="L2997" s="17"/>
      <c r="M2997" s="17"/>
      <c r="O2997" s="14">
        <f t="shared" si="1"/>
        <v>0</v>
      </c>
      <c r="P2997" s="86" t="str">
        <f t="array" ref="P2997">iferror(XLOOKUP(C2997,'Download of SFDC Activation Rep'!B:B,'Download of SFDC Activation Rep'!Z:Z),"")</f>
        <v/>
      </c>
      <c r="Q2997" s="86" t="str">
        <f t="shared" si="2"/>
        <v/>
      </c>
      <c r="R2997" s="13" t="str">
        <f t="shared" si="3"/>
        <v>Yes</v>
      </c>
      <c r="S2997" s="86" t="str">
        <f t="array" ref="S2997">iferror(XLOOKUP(C2997,'Download of SFDC Activation Rep'!B:B,'Download of SFDC Activation Rep'!Y:Y),"")</f>
        <v/>
      </c>
    </row>
    <row r="2998">
      <c r="A2998" s="17"/>
      <c r="B2998" s="85"/>
      <c r="C2998" s="17"/>
      <c r="D2998" s="85"/>
      <c r="E2998" s="17"/>
      <c r="F2998" s="17"/>
      <c r="G2998" s="17"/>
      <c r="I2998" s="17"/>
      <c r="K2998" s="17"/>
      <c r="L2998" s="17"/>
      <c r="M2998" s="17"/>
      <c r="O2998" s="14">
        <f t="shared" si="1"/>
        <v>0</v>
      </c>
      <c r="P2998" s="86" t="str">
        <f t="array" ref="P2998">iferror(XLOOKUP(C2998,'Download of SFDC Activation Rep'!B:B,'Download of SFDC Activation Rep'!Z:Z),"")</f>
        <v/>
      </c>
      <c r="Q2998" s="86" t="str">
        <f t="shared" si="2"/>
        <v/>
      </c>
      <c r="R2998" s="13" t="str">
        <f t="shared" si="3"/>
        <v>Yes</v>
      </c>
      <c r="S2998" s="86" t="str">
        <f t="array" ref="S2998">iferror(XLOOKUP(C2998,'Download of SFDC Activation Rep'!B:B,'Download of SFDC Activation Rep'!Y:Y),"")</f>
        <v/>
      </c>
    </row>
    <row r="2999">
      <c r="A2999" s="17"/>
      <c r="B2999" s="85"/>
      <c r="C2999" s="17"/>
      <c r="D2999" s="85"/>
      <c r="E2999" s="17"/>
      <c r="F2999" s="17"/>
      <c r="G2999" s="17"/>
      <c r="I2999" s="17"/>
      <c r="K2999" s="17"/>
      <c r="L2999" s="17"/>
      <c r="M2999" s="17"/>
      <c r="O2999" s="14">
        <f t="shared" si="1"/>
        <v>0</v>
      </c>
      <c r="P2999" s="86" t="str">
        <f t="array" ref="P2999">iferror(XLOOKUP(C2999,'Download of SFDC Activation Rep'!B:B,'Download of SFDC Activation Rep'!Z:Z),"")</f>
        <v/>
      </c>
      <c r="Q2999" s="86" t="str">
        <f t="shared" si="2"/>
        <v/>
      </c>
      <c r="R2999" s="13" t="str">
        <f t="shared" si="3"/>
        <v>Yes</v>
      </c>
      <c r="S2999" s="86" t="str">
        <f t="array" ref="S2999">iferror(XLOOKUP(C2999,'Download of SFDC Activation Rep'!B:B,'Download of SFDC Activation Rep'!Y:Y),"")</f>
        <v/>
      </c>
    </row>
    <row r="3000">
      <c r="A3000" s="17"/>
      <c r="B3000" s="85"/>
      <c r="C3000" s="17"/>
      <c r="D3000" s="85"/>
      <c r="E3000" s="17"/>
      <c r="F3000" s="17"/>
      <c r="G3000" s="17"/>
      <c r="I3000" s="17"/>
      <c r="K3000" s="17"/>
      <c r="L3000" s="17"/>
      <c r="M3000" s="17"/>
      <c r="O3000" s="14">
        <f t="shared" si="1"/>
        <v>0</v>
      </c>
      <c r="P3000" s="86" t="str">
        <f t="array" ref="P3000">iferror(XLOOKUP(C3000,'Download of SFDC Activation Rep'!B:B,'Download of SFDC Activation Rep'!Z:Z),"")</f>
        <v/>
      </c>
      <c r="Q3000" s="86" t="str">
        <f t="shared" si="2"/>
        <v/>
      </c>
      <c r="R3000" s="13" t="str">
        <f t="shared" si="3"/>
        <v>Yes</v>
      </c>
      <c r="S3000" s="86" t="str">
        <f t="array" ref="S3000">iferror(XLOOKUP(C3000,'Download of SFDC Activation Rep'!B:B,'Download of SFDC Activation Rep'!Y:Y),"")</f>
        <v/>
      </c>
    </row>
    <row r="3001">
      <c r="A3001" s="17"/>
      <c r="B3001" s="85"/>
      <c r="C3001" s="17"/>
      <c r="D3001" s="85"/>
      <c r="E3001" s="17"/>
      <c r="F3001" s="17"/>
      <c r="G3001" s="17"/>
      <c r="I3001" s="17"/>
      <c r="K3001" s="17"/>
      <c r="L3001" s="17"/>
      <c r="M3001" s="17"/>
      <c r="O3001" s="14">
        <f t="shared" si="1"/>
        <v>0</v>
      </c>
      <c r="P3001" s="86" t="str">
        <f t="array" ref="P3001">iferror(XLOOKUP(C3001,'Download of SFDC Activation Rep'!B:B,'Download of SFDC Activation Rep'!Z:Z),"")</f>
        <v/>
      </c>
      <c r="Q3001" s="86" t="str">
        <f t="shared" si="2"/>
        <v/>
      </c>
      <c r="R3001" s="13" t="str">
        <f t="shared" si="3"/>
        <v>Yes</v>
      </c>
      <c r="S3001" s="86" t="str">
        <f t="array" ref="S3001">iferror(XLOOKUP(C3001,'Download of SFDC Activation Rep'!B:B,'Download of SFDC Activation Rep'!Y:Y),"")</f>
        <v/>
      </c>
    </row>
    <row r="3002">
      <c r="A3002" s="17"/>
      <c r="B3002" s="85"/>
      <c r="C3002" s="17"/>
      <c r="D3002" s="85"/>
      <c r="E3002" s="17"/>
      <c r="F3002" s="17"/>
      <c r="G3002" s="17"/>
      <c r="I3002" s="17"/>
      <c r="K3002" s="17"/>
      <c r="L3002" s="17"/>
      <c r="M3002" s="17"/>
      <c r="O3002" s="14">
        <f t="shared" si="1"/>
        <v>0</v>
      </c>
      <c r="P3002" s="86" t="str">
        <f t="array" ref="P3002">iferror(XLOOKUP(C3002,'Download of SFDC Activation Rep'!B:B,'Download of SFDC Activation Rep'!Z:Z),"")</f>
        <v/>
      </c>
      <c r="Q3002" s="86" t="str">
        <f t="shared" si="2"/>
        <v/>
      </c>
      <c r="R3002" s="13" t="str">
        <f t="shared" si="3"/>
        <v>Yes</v>
      </c>
      <c r="S3002" s="86" t="str">
        <f t="array" ref="S3002">iferror(XLOOKUP(C3002,'Download of SFDC Activation Rep'!B:B,'Download of SFDC Activation Rep'!Y:Y),"")</f>
        <v/>
      </c>
    </row>
    <row r="3003">
      <c r="A3003" s="17"/>
      <c r="B3003" s="85"/>
      <c r="C3003" s="17"/>
      <c r="D3003" s="85"/>
      <c r="E3003" s="17"/>
      <c r="F3003" s="17"/>
      <c r="G3003" s="17"/>
      <c r="I3003" s="17"/>
      <c r="K3003" s="17"/>
      <c r="L3003" s="17"/>
      <c r="M3003" s="17"/>
      <c r="O3003" s="14">
        <f t="shared" si="1"/>
        <v>0</v>
      </c>
      <c r="P3003" s="86" t="str">
        <f t="array" ref="P3003">iferror(XLOOKUP(C3003,'Download of SFDC Activation Rep'!B:B,'Download of SFDC Activation Rep'!Z:Z),"")</f>
        <v/>
      </c>
      <c r="Q3003" s="86" t="str">
        <f t="shared" si="2"/>
        <v/>
      </c>
      <c r="R3003" s="13" t="str">
        <f t="shared" si="3"/>
        <v>Yes</v>
      </c>
      <c r="S3003" s="86" t="str">
        <f t="array" ref="S3003">iferror(XLOOKUP(C3003,'Download of SFDC Activation Rep'!B:B,'Download of SFDC Activation Rep'!Y:Y),"")</f>
        <v/>
      </c>
    </row>
    <row r="3004">
      <c r="A3004" s="17"/>
      <c r="B3004" s="85"/>
      <c r="C3004" s="17"/>
      <c r="D3004" s="85"/>
      <c r="E3004" s="17"/>
      <c r="F3004" s="17"/>
      <c r="G3004" s="17"/>
      <c r="I3004" s="17"/>
      <c r="K3004" s="17"/>
      <c r="L3004" s="17"/>
      <c r="M3004" s="17"/>
      <c r="O3004" s="14">
        <f t="shared" si="1"/>
        <v>0</v>
      </c>
      <c r="P3004" s="86" t="str">
        <f t="array" ref="P3004">iferror(XLOOKUP(C3004,'Download of SFDC Activation Rep'!B:B,'Download of SFDC Activation Rep'!Z:Z),"")</f>
        <v/>
      </c>
      <c r="Q3004" s="86" t="str">
        <f t="shared" si="2"/>
        <v/>
      </c>
      <c r="R3004" s="13" t="str">
        <f t="shared" si="3"/>
        <v>Yes</v>
      </c>
      <c r="S3004" s="86" t="str">
        <f t="array" ref="S3004">iferror(XLOOKUP(C3004,'Download of SFDC Activation Rep'!B:B,'Download of SFDC Activation Rep'!Y:Y),"")</f>
        <v/>
      </c>
    </row>
    <row r="3005">
      <c r="A3005" s="17"/>
      <c r="B3005" s="85"/>
      <c r="C3005" s="17"/>
      <c r="D3005" s="85"/>
      <c r="E3005" s="17"/>
      <c r="F3005" s="17"/>
      <c r="G3005" s="17"/>
      <c r="I3005" s="17"/>
      <c r="K3005" s="17"/>
      <c r="L3005" s="17"/>
      <c r="M3005" s="17"/>
      <c r="O3005" s="14">
        <f t="shared" si="1"/>
        <v>0</v>
      </c>
      <c r="P3005" s="86" t="str">
        <f t="array" ref="P3005">iferror(XLOOKUP(C3005,'Download of SFDC Activation Rep'!B:B,'Download of SFDC Activation Rep'!Z:Z),"")</f>
        <v/>
      </c>
      <c r="Q3005" s="86" t="str">
        <f t="shared" si="2"/>
        <v/>
      </c>
      <c r="R3005" s="13" t="str">
        <f t="shared" si="3"/>
        <v>Yes</v>
      </c>
      <c r="S3005" s="86" t="str">
        <f t="array" ref="S3005">iferror(XLOOKUP(C3005,'Download of SFDC Activation Rep'!B:B,'Download of SFDC Activation Rep'!Y:Y),"")</f>
        <v/>
      </c>
    </row>
    <row r="3006">
      <c r="A3006" s="17"/>
      <c r="B3006" s="85"/>
      <c r="C3006" s="17"/>
      <c r="D3006" s="85"/>
      <c r="E3006" s="17"/>
      <c r="F3006" s="17"/>
      <c r="G3006" s="17"/>
      <c r="I3006" s="17"/>
      <c r="K3006" s="17"/>
      <c r="L3006" s="17"/>
      <c r="M3006" s="17"/>
      <c r="O3006" s="14">
        <f t="shared" si="1"/>
        <v>0</v>
      </c>
      <c r="P3006" s="86" t="str">
        <f t="array" ref="P3006">iferror(XLOOKUP(C3006,'Download of SFDC Activation Rep'!B:B,'Download of SFDC Activation Rep'!Z:Z),"")</f>
        <v/>
      </c>
      <c r="Q3006" s="86" t="str">
        <f t="shared" si="2"/>
        <v/>
      </c>
      <c r="R3006" s="13" t="str">
        <f t="shared" si="3"/>
        <v>Yes</v>
      </c>
      <c r="S3006" s="86" t="str">
        <f t="array" ref="S3006">iferror(XLOOKUP(C3006,'Download of SFDC Activation Rep'!B:B,'Download of SFDC Activation Rep'!Y:Y),"")</f>
        <v/>
      </c>
    </row>
    <row r="3007">
      <c r="A3007" s="17"/>
      <c r="B3007" s="85"/>
      <c r="C3007" s="17"/>
      <c r="D3007" s="85"/>
      <c r="E3007" s="17"/>
      <c r="F3007" s="17"/>
      <c r="G3007" s="17"/>
      <c r="I3007" s="17"/>
      <c r="K3007" s="17"/>
      <c r="L3007" s="17"/>
      <c r="M3007" s="17"/>
      <c r="O3007" s="14">
        <f t="shared" si="1"/>
        <v>0</v>
      </c>
      <c r="P3007" s="86" t="str">
        <f t="array" ref="P3007">iferror(XLOOKUP(C3007,'Download of SFDC Activation Rep'!B:B,'Download of SFDC Activation Rep'!Z:Z),"")</f>
        <v/>
      </c>
      <c r="Q3007" s="86" t="str">
        <f t="shared" si="2"/>
        <v/>
      </c>
      <c r="R3007" s="13" t="str">
        <f t="shared" si="3"/>
        <v>Yes</v>
      </c>
      <c r="S3007" s="86" t="str">
        <f t="array" ref="S3007">iferror(XLOOKUP(C3007,'Download of SFDC Activation Rep'!B:B,'Download of SFDC Activation Rep'!Y:Y),"")</f>
        <v/>
      </c>
    </row>
    <row r="3008">
      <c r="A3008" s="17"/>
      <c r="B3008" s="85"/>
      <c r="C3008" s="17"/>
      <c r="D3008" s="85"/>
      <c r="E3008" s="17"/>
      <c r="F3008" s="17"/>
      <c r="G3008" s="17"/>
      <c r="I3008" s="17"/>
      <c r="K3008" s="17"/>
      <c r="L3008" s="17"/>
      <c r="M3008" s="17"/>
      <c r="O3008" s="14">
        <f t="shared" si="1"/>
        <v>0</v>
      </c>
      <c r="P3008" s="86" t="str">
        <f t="array" ref="P3008">iferror(XLOOKUP(C3008,'Download of SFDC Activation Rep'!B:B,'Download of SFDC Activation Rep'!Z:Z),"")</f>
        <v/>
      </c>
      <c r="Q3008" s="86" t="str">
        <f t="shared" si="2"/>
        <v/>
      </c>
      <c r="R3008" s="13" t="str">
        <f t="shared" si="3"/>
        <v>Yes</v>
      </c>
      <c r="S3008" s="86" t="str">
        <f t="array" ref="S3008">iferror(XLOOKUP(C3008,'Download of SFDC Activation Rep'!B:B,'Download of SFDC Activation Rep'!Y:Y),"")</f>
        <v/>
      </c>
    </row>
    <row r="3009">
      <c r="A3009" s="17"/>
      <c r="B3009" s="85"/>
      <c r="C3009" s="17"/>
      <c r="D3009" s="85"/>
      <c r="E3009" s="17"/>
      <c r="F3009" s="17"/>
      <c r="G3009" s="17"/>
      <c r="I3009" s="17"/>
      <c r="K3009" s="17"/>
      <c r="L3009" s="17"/>
      <c r="M3009" s="17"/>
      <c r="O3009" s="14">
        <f t="shared" si="1"/>
        <v>0</v>
      </c>
      <c r="P3009" s="86" t="str">
        <f t="array" ref="P3009">iferror(XLOOKUP(C3009,'Download of SFDC Activation Rep'!B:B,'Download of SFDC Activation Rep'!Z:Z),"")</f>
        <v/>
      </c>
      <c r="Q3009" s="86" t="str">
        <f t="shared" si="2"/>
        <v/>
      </c>
      <c r="R3009" s="13" t="str">
        <f t="shared" si="3"/>
        <v>Yes</v>
      </c>
      <c r="S3009" s="86" t="str">
        <f t="array" ref="S3009">iferror(XLOOKUP(C3009,'Download of SFDC Activation Rep'!B:B,'Download of SFDC Activation Rep'!Y:Y),"")</f>
        <v/>
      </c>
    </row>
    <row r="3010">
      <c r="A3010" s="17"/>
      <c r="B3010" s="85"/>
      <c r="C3010" s="17"/>
      <c r="D3010" s="85"/>
      <c r="E3010" s="17"/>
      <c r="F3010" s="17"/>
      <c r="G3010" s="17"/>
      <c r="I3010" s="17"/>
      <c r="K3010" s="17"/>
      <c r="L3010" s="17"/>
      <c r="M3010" s="17"/>
      <c r="O3010" s="14">
        <f t="shared" si="1"/>
        <v>0</v>
      </c>
      <c r="P3010" s="86" t="str">
        <f t="array" ref="P3010">iferror(XLOOKUP(C3010,'Download of SFDC Activation Rep'!B:B,'Download of SFDC Activation Rep'!Z:Z),"")</f>
        <v/>
      </c>
      <c r="Q3010" s="86" t="str">
        <f t="shared" si="2"/>
        <v/>
      </c>
      <c r="R3010" s="13" t="str">
        <f t="shared" si="3"/>
        <v>Yes</v>
      </c>
      <c r="S3010" s="86" t="str">
        <f t="array" ref="S3010">iferror(XLOOKUP(C3010,'Download of SFDC Activation Rep'!B:B,'Download of SFDC Activation Rep'!Y:Y),"")</f>
        <v/>
      </c>
    </row>
    <row r="3011">
      <c r="A3011" s="17"/>
      <c r="B3011" s="85"/>
      <c r="C3011" s="17"/>
      <c r="D3011" s="85"/>
      <c r="E3011" s="17"/>
      <c r="F3011" s="17"/>
      <c r="G3011" s="17"/>
      <c r="I3011" s="17"/>
      <c r="K3011" s="17"/>
      <c r="L3011" s="17"/>
      <c r="M3011" s="17"/>
      <c r="O3011" s="14">
        <f t="shared" si="1"/>
        <v>0</v>
      </c>
      <c r="P3011" s="86" t="str">
        <f t="array" ref="P3011">iferror(XLOOKUP(C3011,'Download of SFDC Activation Rep'!B:B,'Download of SFDC Activation Rep'!Z:Z),"")</f>
        <v/>
      </c>
      <c r="Q3011" s="86" t="str">
        <f t="shared" si="2"/>
        <v/>
      </c>
      <c r="R3011" s="13" t="str">
        <f t="shared" si="3"/>
        <v>Yes</v>
      </c>
      <c r="S3011" s="86" t="str">
        <f t="array" ref="S3011">iferror(XLOOKUP(C3011,'Download of SFDC Activation Rep'!B:B,'Download of SFDC Activation Rep'!Y:Y),"")</f>
        <v/>
      </c>
    </row>
    <row r="3012">
      <c r="A3012" s="17"/>
      <c r="B3012" s="85"/>
      <c r="C3012" s="17"/>
      <c r="D3012" s="85"/>
      <c r="E3012" s="17"/>
      <c r="F3012" s="17"/>
      <c r="G3012" s="17"/>
      <c r="I3012" s="17"/>
      <c r="K3012" s="17"/>
      <c r="L3012" s="17"/>
      <c r="M3012" s="17"/>
      <c r="O3012" s="14">
        <f t="shared" si="1"/>
        <v>0</v>
      </c>
      <c r="P3012" s="86" t="str">
        <f t="array" ref="P3012">iferror(XLOOKUP(C3012,'Download of SFDC Activation Rep'!B:B,'Download of SFDC Activation Rep'!Z:Z),"")</f>
        <v/>
      </c>
      <c r="Q3012" s="86" t="str">
        <f t="shared" si="2"/>
        <v/>
      </c>
      <c r="R3012" s="13" t="str">
        <f t="shared" si="3"/>
        <v>Yes</v>
      </c>
      <c r="S3012" s="86" t="str">
        <f t="array" ref="S3012">iferror(XLOOKUP(C3012,'Download of SFDC Activation Rep'!B:B,'Download of SFDC Activation Rep'!Y:Y),"")</f>
        <v/>
      </c>
    </row>
    <row r="3013">
      <c r="A3013" s="17"/>
      <c r="B3013" s="85"/>
      <c r="C3013" s="17"/>
      <c r="D3013" s="85"/>
      <c r="E3013" s="17"/>
      <c r="F3013" s="17"/>
      <c r="G3013" s="17"/>
      <c r="I3013" s="17"/>
      <c r="K3013" s="17"/>
      <c r="L3013" s="17"/>
      <c r="M3013" s="17"/>
      <c r="O3013" s="14">
        <f t="shared" si="1"/>
        <v>0</v>
      </c>
      <c r="P3013" s="86" t="str">
        <f t="array" ref="P3013">iferror(XLOOKUP(C3013,'Download of SFDC Activation Rep'!B:B,'Download of SFDC Activation Rep'!Z:Z),"")</f>
        <v/>
      </c>
      <c r="Q3013" s="86" t="str">
        <f t="shared" si="2"/>
        <v/>
      </c>
      <c r="R3013" s="13" t="str">
        <f t="shared" si="3"/>
        <v>Yes</v>
      </c>
      <c r="S3013" s="86" t="str">
        <f t="array" ref="S3013">iferror(XLOOKUP(C3013,'Download of SFDC Activation Rep'!B:B,'Download of SFDC Activation Rep'!Y:Y),"")</f>
        <v/>
      </c>
    </row>
    <row r="3014">
      <c r="A3014" s="17"/>
      <c r="B3014" s="85"/>
      <c r="C3014" s="17"/>
      <c r="D3014" s="85"/>
      <c r="E3014" s="17"/>
      <c r="F3014" s="17"/>
      <c r="G3014" s="17"/>
      <c r="I3014" s="17"/>
      <c r="K3014" s="17"/>
      <c r="L3014" s="17"/>
      <c r="M3014" s="17"/>
      <c r="O3014" s="14">
        <f t="shared" si="1"/>
        <v>0</v>
      </c>
      <c r="P3014" s="86" t="str">
        <f t="array" ref="P3014">iferror(XLOOKUP(C3014,'Download of SFDC Activation Rep'!B:B,'Download of SFDC Activation Rep'!Z:Z),"")</f>
        <v/>
      </c>
      <c r="Q3014" s="86" t="str">
        <f t="shared" si="2"/>
        <v/>
      </c>
      <c r="R3014" s="13" t="str">
        <f t="shared" si="3"/>
        <v>Yes</v>
      </c>
      <c r="S3014" s="86" t="str">
        <f t="array" ref="S3014">iferror(XLOOKUP(C3014,'Download of SFDC Activation Rep'!B:B,'Download of SFDC Activation Rep'!Y:Y),"")</f>
        <v/>
      </c>
    </row>
    <row r="3015">
      <c r="A3015" s="17"/>
      <c r="B3015" s="85"/>
      <c r="C3015" s="17"/>
      <c r="D3015" s="85"/>
      <c r="E3015" s="17"/>
      <c r="F3015" s="17"/>
      <c r="G3015" s="17"/>
      <c r="I3015" s="17"/>
      <c r="K3015" s="17"/>
      <c r="L3015" s="17"/>
      <c r="M3015" s="17"/>
      <c r="O3015" s="14">
        <f t="shared" si="1"/>
        <v>0</v>
      </c>
      <c r="P3015" s="86" t="str">
        <f t="array" ref="P3015">iferror(XLOOKUP(C3015,'Download of SFDC Activation Rep'!B:B,'Download of SFDC Activation Rep'!Z:Z),"")</f>
        <v/>
      </c>
      <c r="Q3015" s="86" t="str">
        <f t="shared" si="2"/>
        <v/>
      </c>
      <c r="R3015" s="13" t="str">
        <f t="shared" si="3"/>
        <v>Yes</v>
      </c>
      <c r="S3015" s="86" t="str">
        <f t="array" ref="S3015">iferror(XLOOKUP(C3015,'Download of SFDC Activation Rep'!B:B,'Download of SFDC Activation Rep'!Y:Y),"")</f>
        <v/>
      </c>
    </row>
    <row r="3016">
      <c r="A3016" s="17"/>
      <c r="B3016" s="85"/>
      <c r="C3016" s="17"/>
      <c r="D3016" s="85"/>
      <c r="E3016" s="17"/>
      <c r="F3016" s="17"/>
      <c r="G3016" s="17"/>
      <c r="I3016" s="17"/>
      <c r="K3016" s="17"/>
      <c r="L3016" s="17"/>
      <c r="M3016" s="17"/>
      <c r="O3016" s="14">
        <f t="shared" si="1"/>
        <v>0</v>
      </c>
      <c r="P3016" s="86" t="str">
        <f t="array" ref="P3016">iferror(XLOOKUP(C3016,'Download of SFDC Activation Rep'!B:B,'Download of SFDC Activation Rep'!Z:Z),"")</f>
        <v/>
      </c>
      <c r="Q3016" s="86" t="str">
        <f t="shared" si="2"/>
        <v/>
      </c>
      <c r="R3016" s="13" t="str">
        <f t="shared" si="3"/>
        <v>Yes</v>
      </c>
      <c r="S3016" s="86" t="str">
        <f t="array" ref="S3016">iferror(XLOOKUP(C3016,'Download of SFDC Activation Rep'!B:B,'Download of SFDC Activation Rep'!Y:Y),"")</f>
        <v/>
      </c>
    </row>
    <row r="3017">
      <c r="A3017" s="17"/>
      <c r="B3017" s="85"/>
      <c r="C3017" s="17"/>
      <c r="D3017" s="85"/>
      <c r="E3017" s="17"/>
      <c r="F3017" s="17"/>
      <c r="G3017" s="17"/>
      <c r="I3017" s="17"/>
      <c r="K3017" s="17"/>
      <c r="L3017" s="17"/>
      <c r="M3017" s="17"/>
      <c r="O3017" s="14">
        <f t="shared" si="1"/>
        <v>0</v>
      </c>
      <c r="P3017" s="86" t="str">
        <f t="array" ref="P3017">iferror(XLOOKUP(C3017,'Download of SFDC Activation Rep'!B:B,'Download of SFDC Activation Rep'!Z:Z),"")</f>
        <v/>
      </c>
      <c r="Q3017" s="86" t="str">
        <f t="shared" si="2"/>
        <v/>
      </c>
      <c r="R3017" s="13" t="str">
        <f t="shared" si="3"/>
        <v>Yes</v>
      </c>
      <c r="S3017" s="86" t="str">
        <f t="array" ref="S3017">iferror(XLOOKUP(C3017,'Download of SFDC Activation Rep'!B:B,'Download of SFDC Activation Rep'!Y:Y),"")</f>
        <v/>
      </c>
    </row>
    <row r="3018">
      <c r="A3018" s="17"/>
      <c r="B3018" s="85"/>
      <c r="C3018" s="17"/>
      <c r="D3018" s="85"/>
      <c r="E3018" s="17"/>
      <c r="F3018" s="17"/>
      <c r="G3018" s="17"/>
      <c r="I3018" s="17"/>
      <c r="K3018" s="17"/>
      <c r="L3018" s="17"/>
      <c r="M3018" s="17"/>
      <c r="O3018" s="14">
        <f t="shared" si="1"/>
        <v>0</v>
      </c>
      <c r="P3018" s="86" t="str">
        <f t="array" ref="P3018">iferror(XLOOKUP(C3018,'Download of SFDC Activation Rep'!B:B,'Download of SFDC Activation Rep'!Z:Z),"")</f>
        <v/>
      </c>
      <c r="Q3018" s="86" t="str">
        <f t="shared" si="2"/>
        <v/>
      </c>
      <c r="R3018" s="13" t="str">
        <f t="shared" si="3"/>
        <v>Yes</v>
      </c>
      <c r="S3018" s="86" t="str">
        <f t="array" ref="S3018">iferror(XLOOKUP(C3018,'Download of SFDC Activation Rep'!B:B,'Download of SFDC Activation Rep'!Y:Y),"")</f>
        <v/>
      </c>
    </row>
    <row r="3019">
      <c r="A3019" s="17"/>
      <c r="B3019" s="85"/>
      <c r="C3019" s="17"/>
      <c r="D3019" s="85"/>
      <c r="E3019" s="17"/>
      <c r="F3019" s="17"/>
      <c r="G3019" s="17"/>
      <c r="I3019" s="17"/>
      <c r="K3019" s="17"/>
      <c r="L3019" s="17"/>
      <c r="M3019" s="17"/>
      <c r="O3019" s="14">
        <f t="shared" si="1"/>
        <v>0</v>
      </c>
      <c r="P3019" s="86" t="str">
        <f t="array" ref="P3019">iferror(XLOOKUP(C3019,'Download of SFDC Activation Rep'!B:B,'Download of SFDC Activation Rep'!Z:Z),"")</f>
        <v/>
      </c>
      <c r="Q3019" s="86" t="str">
        <f t="shared" si="2"/>
        <v/>
      </c>
      <c r="R3019" s="13" t="str">
        <f t="shared" si="3"/>
        <v>Yes</v>
      </c>
      <c r="S3019" s="86" t="str">
        <f t="array" ref="S3019">iferror(XLOOKUP(C3019,'Download of SFDC Activation Rep'!B:B,'Download of SFDC Activation Rep'!Y:Y),"")</f>
        <v/>
      </c>
    </row>
    <row r="3020">
      <c r="A3020" s="17"/>
      <c r="B3020" s="85"/>
      <c r="C3020" s="17"/>
      <c r="D3020" s="85"/>
      <c r="E3020" s="17"/>
      <c r="F3020" s="17"/>
      <c r="G3020" s="17"/>
      <c r="I3020" s="17"/>
      <c r="K3020" s="17"/>
      <c r="L3020" s="17"/>
      <c r="M3020" s="17"/>
      <c r="O3020" s="14">
        <f t="shared" si="1"/>
        <v>0</v>
      </c>
      <c r="P3020" s="86" t="str">
        <f t="array" ref="P3020">iferror(XLOOKUP(C3020,'Download of SFDC Activation Rep'!B:B,'Download of SFDC Activation Rep'!Z:Z),"")</f>
        <v/>
      </c>
      <c r="Q3020" s="86" t="str">
        <f t="shared" si="2"/>
        <v/>
      </c>
      <c r="R3020" s="13" t="str">
        <f t="shared" si="3"/>
        <v>Yes</v>
      </c>
      <c r="S3020" s="86" t="str">
        <f t="array" ref="S3020">iferror(XLOOKUP(C3020,'Download of SFDC Activation Rep'!B:B,'Download of SFDC Activation Rep'!Y:Y),"")</f>
        <v/>
      </c>
    </row>
    <row r="3021">
      <c r="A3021" s="17"/>
      <c r="B3021" s="85"/>
      <c r="C3021" s="17"/>
      <c r="D3021" s="85"/>
      <c r="E3021" s="17"/>
      <c r="F3021" s="17"/>
      <c r="G3021" s="17"/>
      <c r="I3021" s="17"/>
      <c r="K3021" s="17"/>
      <c r="L3021" s="17"/>
      <c r="M3021" s="17"/>
      <c r="O3021" s="14">
        <f t="shared" si="1"/>
        <v>0</v>
      </c>
      <c r="P3021" s="86" t="str">
        <f t="array" ref="P3021">iferror(XLOOKUP(C3021,'Download of SFDC Activation Rep'!B:B,'Download of SFDC Activation Rep'!Z:Z),"")</f>
        <v/>
      </c>
      <c r="Q3021" s="86" t="str">
        <f t="shared" si="2"/>
        <v/>
      </c>
      <c r="R3021" s="13" t="str">
        <f t="shared" si="3"/>
        <v>Yes</v>
      </c>
      <c r="S3021" s="86" t="str">
        <f t="array" ref="S3021">iferror(XLOOKUP(C3021,'Download of SFDC Activation Rep'!B:B,'Download of SFDC Activation Rep'!Y:Y),"")</f>
        <v/>
      </c>
    </row>
    <row r="3022">
      <c r="A3022" s="17"/>
      <c r="B3022" s="85"/>
      <c r="C3022" s="17"/>
      <c r="D3022" s="85"/>
      <c r="E3022" s="17"/>
      <c r="F3022" s="17"/>
      <c r="G3022" s="17"/>
      <c r="I3022" s="17"/>
      <c r="K3022" s="17"/>
      <c r="L3022" s="17"/>
      <c r="M3022" s="17"/>
      <c r="O3022" s="14">
        <f t="shared" si="1"/>
        <v>0</v>
      </c>
      <c r="P3022" s="86" t="str">
        <f t="array" ref="P3022">iferror(XLOOKUP(C3022,'Download of SFDC Activation Rep'!B:B,'Download of SFDC Activation Rep'!Z:Z),"")</f>
        <v/>
      </c>
      <c r="Q3022" s="86" t="str">
        <f t="shared" si="2"/>
        <v/>
      </c>
      <c r="R3022" s="13" t="str">
        <f t="shared" si="3"/>
        <v>Yes</v>
      </c>
      <c r="S3022" s="86" t="str">
        <f t="array" ref="S3022">iferror(XLOOKUP(C3022,'Download of SFDC Activation Rep'!B:B,'Download of SFDC Activation Rep'!Y:Y),"")</f>
        <v/>
      </c>
    </row>
    <row r="3023">
      <c r="A3023" s="17"/>
      <c r="B3023" s="85"/>
      <c r="C3023" s="17"/>
      <c r="D3023" s="85"/>
      <c r="E3023" s="17"/>
      <c r="F3023" s="17"/>
      <c r="G3023" s="17"/>
      <c r="I3023" s="17"/>
      <c r="K3023" s="17"/>
      <c r="L3023" s="17"/>
      <c r="M3023" s="17"/>
      <c r="O3023" s="14">
        <f t="shared" si="1"/>
        <v>0</v>
      </c>
      <c r="P3023" s="86" t="str">
        <f t="array" ref="P3023">iferror(XLOOKUP(C3023,'Download of SFDC Activation Rep'!B:B,'Download of SFDC Activation Rep'!Z:Z),"")</f>
        <v/>
      </c>
      <c r="Q3023" s="86" t="str">
        <f t="shared" si="2"/>
        <v/>
      </c>
      <c r="R3023" s="13" t="str">
        <f t="shared" si="3"/>
        <v>Yes</v>
      </c>
      <c r="S3023" s="86" t="str">
        <f t="array" ref="S3023">iferror(XLOOKUP(C3023,'Download of SFDC Activation Rep'!B:B,'Download of SFDC Activation Rep'!Y:Y),"")</f>
        <v/>
      </c>
    </row>
    <row r="3024">
      <c r="A3024" s="17"/>
      <c r="B3024" s="85"/>
      <c r="C3024" s="17"/>
      <c r="D3024" s="85"/>
      <c r="E3024" s="17"/>
      <c r="F3024" s="17"/>
      <c r="G3024" s="17"/>
      <c r="I3024" s="17"/>
      <c r="K3024" s="17"/>
      <c r="L3024" s="17"/>
      <c r="M3024" s="17"/>
      <c r="O3024" s="14">
        <f t="shared" si="1"/>
        <v>0</v>
      </c>
      <c r="P3024" s="86" t="str">
        <f t="array" ref="P3024">iferror(XLOOKUP(C3024,'Download of SFDC Activation Rep'!B:B,'Download of SFDC Activation Rep'!Z:Z),"")</f>
        <v/>
      </c>
      <c r="Q3024" s="86" t="str">
        <f t="shared" si="2"/>
        <v/>
      </c>
      <c r="R3024" s="13" t="str">
        <f t="shared" si="3"/>
        <v>Yes</v>
      </c>
      <c r="S3024" s="86" t="str">
        <f t="array" ref="S3024">iferror(XLOOKUP(C3024,'Download of SFDC Activation Rep'!B:B,'Download of SFDC Activation Rep'!Y:Y),"")</f>
        <v/>
      </c>
    </row>
    <row r="3025">
      <c r="A3025" s="17"/>
      <c r="B3025" s="85"/>
      <c r="C3025" s="17"/>
      <c r="D3025" s="85"/>
      <c r="E3025" s="17"/>
      <c r="F3025" s="17"/>
      <c r="G3025" s="17"/>
      <c r="I3025" s="17"/>
      <c r="K3025" s="17"/>
      <c r="L3025" s="17"/>
      <c r="M3025" s="17"/>
      <c r="O3025" s="14">
        <f t="shared" si="1"/>
        <v>0</v>
      </c>
      <c r="P3025" s="86" t="str">
        <f t="array" ref="P3025">iferror(XLOOKUP(C3025,'Download of SFDC Activation Rep'!B:B,'Download of SFDC Activation Rep'!Z:Z),"")</f>
        <v/>
      </c>
      <c r="Q3025" s="86" t="str">
        <f t="shared" si="2"/>
        <v/>
      </c>
      <c r="R3025" s="13" t="str">
        <f t="shared" si="3"/>
        <v>Yes</v>
      </c>
      <c r="S3025" s="86" t="str">
        <f t="array" ref="S3025">iferror(XLOOKUP(C3025,'Download of SFDC Activation Rep'!B:B,'Download of SFDC Activation Rep'!Y:Y),"")</f>
        <v/>
      </c>
    </row>
    <row r="3026">
      <c r="A3026" s="17"/>
      <c r="B3026" s="85"/>
      <c r="C3026" s="17"/>
      <c r="D3026" s="85"/>
      <c r="E3026" s="17"/>
      <c r="F3026" s="17"/>
      <c r="G3026" s="17"/>
      <c r="I3026" s="17"/>
      <c r="K3026" s="17"/>
      <c r="L3026" s="17"/>
      <c r="M3026" s="17"/>
      <c r="O3026" s="14">
        <f t="shared" si="1"/>
        <v>0</v>
      </c>
      <c r="P3026" s="86" t="str">
        <f t="array" ref="P3026">iferror(XLOOKUP(C3026,'Download of SFDC Activation Rep'!B:B,'Download of SFDC Activation Rep'!Z:Z),"")</f>
        <v/>
      </c>
      <c r="Q3026" s="86" t="str">
        <f t="shared" si="2"/>
        <v/>
      </c>
      <c r="R3026" s="13" t="str">
        <f t="shared" si="3"/>
        <v>Yes</v>
      </c>
      <c r="S3026" s="86" t="str">
        <f t="array" ref="S3026">iferror(XLOOKUP(C3026,'Download of SFDC Activation Rep'!B:B,'Download of SFDC Activation Rep'!Y:Y),"")</f>
        <v/>
      </c>
    </row>
    <row r="3027">
      <c r="A3027" s="17"/>
      <c r="B3027" s="85"/>
      <c r="C3027" s="17"/>
      <c r="D3027" s="85"/>
      <c r="E3027" s="17"/>
      <c r="F3027" s="17"/>
      <c r="G3027" s="17"/>
      <c r="I3027" s="17"/>
      <c r="K3027" s="17"/>
      <c r="L3027" s="17"/>
      <c r="M3027" s="17"/>
      <c r="O3027" s="14">
        <f t="shared" si="1"/>
        <v>0</v>
      </c>
      <c r="P3027" s="86" t="str">
        <f t="array" ref="P3027">iferror(XLOOKUP(C3027,'Download of SFDC Activation Rep'!B:B,'Download of SFDC Activation Rep'!Z:Z),"")</f>
        <v/>
      </c>
      <c r="Q3027" s="86" t="str">
        <f t="shared" si="2"/>
        <v/>
      </c>
      <c r="R3027" s="13" t="str">
        <f t="shared" si="3"/>
        <v>Yes</v>
      </c>
      <c r="S3027" s="86" t="str">
        <f t="array" ref="S3027">iferror(XLOOKUP(C3027,'Download of SFDC Activation Rep'!B:B,'Download of SFDC Activation Rep'!Y:Y),"")</f>
        <v/>
      </c>
    </row>
    <row r="3028">
      <c r="A3028" s="17"/>
      <c r="B3028" s="85"/>
      <c r="C3028" s="17"/>
      <c r="D3028" s="85"/>
      <c r="E3028" s="17"/>
      <c r="F3028" s="17"/>
      <c r="G3028" s="17"/>
      <c r="I3028" s="17"/>
      <c r="K3028" s="17"/>
      <c r="L3028" s="17"/>
      <c r="M3028" s="17"/>
      <c r="O3028" s="14">
        <f t="shared" si="1"/>
        <v>0</v>
      </c>
      <c r="P3028" s="86" t="str">
        <f t="array" ref="P3028">iferror(XLOOKUP(C3028,'Download of SFDC Activation Rep'!B:B,'Download of SFDC Activation Rep'!Z:Z),"")</f>
        <v/>
      </c>
      <c r="Q3028" s="86" t="str">
        <f t="shared" si="2"/>
        <v/>
      </c>
      <c r="R3028" s="13" t="str">
        <f t="shared" si="3"/>
        <v>Yes</v>
      </c>
      <c r="S3028" s="86" t="str">
        <f t="array" ref="S3028">iferror(XLOOKUP(C3028,'Download of SFDC Activation Rep'!B:B,'Download of SFDC Activation Rep'!Y:Y),"")</f>
        <v/>
      </c>
    </row>
    <row r="3029">
      <c r="A3029" s="17"/>
      <c r="B3029" s="85"/>
      <c r="C3029" s="17"/>
      <c r="D3029" s="85"/>
      <c r="E3029" s="17"/>
      <c r="F3029" s="17"/>
      <c r="G3029" s="17"/>
      <c r="I3029" s="17"/>
      <c r="K3029" s="17"/>
      <c r="L3029" s="17"/>
      <c r="M3029" s="17"/>
      <c r="O3029" s="14">
        <f t="shared" si="1"/>
        <v>0</v>
      </c>
      <c r="P3029" s="86" t="str">
        <f t="array" ref="P3029">iferror(XLOOKUP(C3029,'Download of SFDC Activation Rep'!B:B,'Download of SFDC Activation Rep'!Z:Z),"")</f>
        <v/>
      </c>
      <c r="Q3029" s="86" t="str">
        <f t="shared" si="2"/>
        <v/>
      </c>
      <c r="R3029" s="13" t="str">
        <f t="shared" si="3"/>
        <v>Yes</v>
      </c>
      <c r="S3029" s="86" t="str">
        <f t="array" ref="S3029">iferror(XLOOKUP(C3029,'Download of SFDC Activation Rep'!B:B,'Download of SFDC Activation Rep'!Y:Y),"")</f>
        <v/>
      </c>
    </row>
    <row r="3030">
      <c r="A3030" s="17"/>
      <c r="B3030" s="85"/>
      <c r="C3030" s="17"/>
      <c r="D3030" s="85"/>
      <c r="E3030" s="17"/>
      <c r="F3030" s="17"/>
      <c r="G3030" s="17"/>
      <c r="I3030" s="17"/>
      <c r="K3030" s="17"/>
      <c r="L3030" s="17"/>
      <c r="M3030" s="17"/>
      <c r="O3030" s="14">
        <f t="shared" si="1"/>
        <v>0</v>
      </c>
      <c r="P3030" s="86" t="str">
        <f t="array" ref="P3030">iferror(XLOOKUP(C3030,'Download of SFDC Activation Rep'!B:B,'Download of SFDC Activation Rep'!Z:Z),"")</f>
        <v/>
      </c>
      <c r="Q3030" s="86" t="str">
        <f t="shared" si="2"/>
        <v/>
      </c>
      <c r="R3030" s="13" t="str">
        <f t="shared" si="3"/>
        <v>Yes</v>
      </c>
      <c r="S3030" s="86" t="str">
        <f t="array" ref="S3030">iferror(XLOOKUP(C3030,'Download of SFDC Activation Rep'!B:B,'Download of SFDC Activation Rep'!Y:Y),"")</f>
        <v/>
      </c>
    </row>
    <row r="3031">
      <c r="A3031" s="17"/>
      <c r="B3031" s="85"/>
      <c r="C3031" s="17"/>
      <c r="D3031" s="85"/>
      <c r="E3031" s="17"/>
      <c r="F3031" s="17"/>
      <c r="G3031" s="17"/>
      <c r="I3031" s="17"/>
      <c r="K3031" s="17"/>
      <c r="L3031" s="17"/>
      <c r="M3031" s="17"/>
      <c r="O3031" s="14">
        <f t="shared" si="1"/>
        <v>0</v>
      </c>
      <c r="P3031" s="86" t="str">
        <f t="array" ref="P3031">iferror(XLOOKUP(C3031,'Download of SFDC Activation Rep'!B:B,'Download of SFDC Activation Rep'!Z:Z),"")</f>
        <v/>
      </c>
      <c r="Q3031" s="86" t="str">
        <f t="shared" si="2"/>
        <v/>
      </c>
      <c r="R3031" s="13" t="str">
        <f t="shared" si="3"/>
        <v>Yes</v>
      </c>
      <c r="S3031" s="86" t="str">
        <f t="array" ref="S3031">iferror(XLOOKUP(C3031,'Download of SFDC Activation Rep'!B:B,'Download of SFDC Activation Rep'!Y:Y),"")</f>
        <v/>
      </c>
    </row>
    <row r="3032">
      <c r="A3032" s="17"/>
      <c r="B3032" s="85"/>
      <c r="C3032" s="17"/>
      <c r="D3032" s="85"/>
      <c r="E3032" s="17"/>
      <c r="F3032" s="17"/>
      <c r="G3032" s="17"/>
      <c r="I3032" s="17"/>
      <c r="K3032" s="17"/>
      <c r="L3032" s="17"/>
      <c r="M3032" s="17"/>
      <c r="O3032" s="14">
        <f t="shared" si="1"/>
        <v>0</v>
      </c>
      <c r="P3032" s="86" t="str">
        <f t="array" ref="P3032">iferror(XLOOKUP(C3032,'Download of SFDC Activation Rep'!B:B,'Download of SFDC Activation Rep'!Z:Z),"")</f>
        <v/>
      </c>
      <c r="Q3032" s="86" t="str">
        <f t="shared" si="2"/>
        <v/>
      </c>
      <c r="R3032" s="13" t="str">
        <f t="shared" si="3"/>
        <v>Yes</v>
      </c>
      <c r="S3032" s="86" t="str">
        <f t="array" ref="S3032">iferror(XLOOKUP(C3032,'Download of SFDC Activation Rep'!B:B,'Download of SFDC Activation Rep'!Y:Y),"")</f>
        <v/>
      </c>
    </row>
    <row r="3033">
      <c r="A3033" s="17"/>
      <c r="B3033" s="85"/>
      <c r="C3033" s="17"/>
      <c r="D3033" s="85"/>
      <c r="E3033" s="17"/>
      <c r="F3033" s="17"/>
      <c r="G3033" s="17"/>
      <c r="I3033" s="17"/>
      <c r="K3033" s="17"/>
      <c r="L3033" s="17"/>
      <c r="M3033" s="17"/>
      <c r="O3033" s="14">
        <f t="shared" si="1"/>
        <v>0</v>
      </c>
      <c r="P3033" s="86" t="str">
        <f t="array" ref="P3033">iferror(XLOOKUP(C3033,'Download of SFDC Activation Rep'!B:B,'Download of SFDC Activation Rep'!Z:Z),"")</f>
        <v/>
      </c>
      <c r="Q3033" s="86" t="str">
        <f t="shared" si="2"/>
        <v/>
      </c>
      <c r="R3033" s="13" t="str">
        <f t="shared" si="3"/>
        <v>Yes</v>
      </c>
      <c r="S3033" s="86" t="str">
        <f t="array" ref="S3033">iferror(XLOOKUP(C3033,'Download of SFDC Activation Rep'!B:B,'Download of SFDC Activation Rep'!Y:Y),"")</f>
        <v/>
      </c>
    </row>
    <row r="3034">
      <c r="A3034" s="17"/>
      <c r="B3034" s="85"/>
      <c r="C3034" s="17"/>
      <c r="D3034" s="85"/>
      <c r="E3034" s="17"/>
      <c r="F3034" s="17"/>
      <c r="G3034" s="17"/>
      <c r="I3034" s="17"/>
      <c r="K3034" s="17"/>
      <c r="L3034" s="17"/>
      <c r="M3034" s="17"/>
      <c r="O3034" s="14">
        <f t="shared" si="1"/>
        <v>0</v>
      </c>
      <c r="P3034" s="86" t="str">
        <f t="array" ref="P3034">iferror(XLOOKUP(C3034,'Download of SFDC Activation Rep'!B:B,'Download of SFDC Activation Rep'!Z:Z),"")</f>
        <v/>
      </c>
      <c r="Q3034" s="86" t="str">
        <f t="shared" si="2"/>
        <v/>
      </c>
      <c r="R3034" s="13" t="str">
        <f t="shared" si="3"/>
        <v>Yes</v>
      </c>
      <c r="S3034" s="86" t="str">
        <f t="array" ref="S3034">iferror(XLOOKUP(C3034,'Download of SFDC Activation Rep'!B:B,'Download of SFDC Activation Rep'!Y:Y),"")</f>
        <v/>
      </c>
    </row>
    <row r="3035">
      <c r="A3035" s="17"/>
      <c r="B3035" s="85"/>
      <c r="C3035" s="17"/>
      <c r="D3035" s="85"/>
      <c r="E3035" s="17"/>
      <c r="F3035" s="17"/>
      <c r="G3035" s="17"/>
      <c r="I3035" s="17"/>
      <c r="K3035" s="17"/>
      <c r="L3035" s="17"/>
      <c r="M3035" s="17"/>
      <c r="O3035" s="14">
        <f t="shared" si="1"/>
        <v>0</v>
      </c>
      <c r="P3035" s="86" t="str">
        <f t="array" ref="P3035">iferror(XLOOKUP(C3035,'Download of SFDC Activation Rep'!B:B,'Download of SFDC Activation Rep'!Z:Z),"")</f>
        <v/>
      </c>
      <c r="Q3035" s="86" t="str">
        <f t="shared" si="2"/>
        <v/>
      </c>
      <c r="R3035" s="13" t="str">
        <f t="shared" si="3"/>
        <v>Yes</v>
      </c>
      <c r="S3035" s="86" t="str">
        <f t="array" ref="S3035">iferror(XLOOKUP(C3035,'Download of SFDC Activation Rep'!B:B,'Download of SFDC Activation Rep'!Y:Y),"")</f>
        <v/>
      </c>
    </row>
    <row r="3036">
      <c r="A3036" s="17"/>
      <c r="B3036" s="85"/>
      <c r="C3036" s="17"/>
      <c r="D3036" s="85"/>
      <c r="E3036" s="17"/>
      <c r="F3036" s="17"/>
      <c r="G3036" s="17"/>
      <c r="I3036" s="17"/>
      <c r="K3036" s="17"/>
      <c r="L3036" s="17"/>
      <c r="M3036" s="17"/>
      <c r="O3036" s="14">
        <f t="shared" si="1"/>
        <v>0</v>
      </c>
      <c r="P3036" s="86" t="str">
        <f t="array" ref="P3036">iferror(XLOOKUP(C3036,'Download of SFDC Activation Rep'!B:B,'Download of SFDC Activation Rep'!Z:Z),"")</f>
        <v/>
      </c>
      <c r="Q3036" s="86" t="str">
        <f t="shared" si="2"/>
        <v/>
      </c>
      <c r="R3036" s="13" t="str">
        <f t="shared" si="3"/>
        <v>Yes</v>
      </c>
      <c r="S3036" s="86" t="str">
        <f t="array" ref="S3036">iferror(XLOOKUP(C3036,'Download of SFDC Activation Rep'!B:B,'Download of SFDC Activation Rep'!Y:Y),"")</f>
        <v/>
      </c>
    </row>
    <row r="3037">
      <c r="A3037" s="17"/>
      <c r="B3037" s="85"/>
      <c r="C3037" s="17"/>
      <c r="D3037" s="85"/>
      <c r="E3037" s="17"/>
      <c r="F3037" s="17"/>
      <c r="G3037" s="17"/>
      <c r="I3037" s="17"/>
      <c r="K3037" s="17"/>
      <c r="L3037" s="17"/>
      <c r="M3037" s="17"/>
      <c r="O3037" s="14">
        <f t="shared" si="1"/>
        <v>0</v>
      </c>
      <c r="P3037" s="86" t="str">
        <f t="array" ref="P3037">iferror(XLOOKUP(C3037,'Download of SFDC Activation Rep'!B:B,'Download of SFDC Activation Rep'!Z:Z),"")</f>
        <v/>
      </c>
      <c r="Q3037" s="86" t="str">
        <f t="shared" si="2"/>
        <v/>
      </c>
      <c r="R3037" s="13" t="str">
        <f t="shared" si="3"/>
        <v>Yes</v>
      </c>
      <c r="S3037" s="86" t="str">
        <f t="array" ref="S3037">iferror(XLOOKUP(C3037,'Download of SFDC Activation Rep'!B:B,'Download of SFDC Activation Rep'!Y:Y),"")</f>
        <v/>
      </c>
    </row>
    <row r="3038">
      <c r="A3038" s="17"/>
      <c r="B3038" s="85"/>
      <c r="C3038" s="17"/>
      <c r="D3038" s="85"/>
      <c r="E3038" s="17"/>
      <c r="F3038" s="17"/>
      <c r="G3038" s="17"/>
      <c r="I3038" s="17"/>
      <c r="K3038" s="17"/>
      <c r="L3038" s="17"/>
      <c r="M3038" s="17"/>
      <c r="O3038" s="14">
        <f t="shared" si="1"/>
        <v>0</v>
      </c>
      <c r="P3038" s="86" t="str">
        <f t="array" ref="P3038">iferror(XLOOKUP(C3038,'Download of SFDC Activation Rep'!B:B,'Download of SFDC Activation Rep'!Z:Z),"")</f>
        <v/>
      </c>
      <c r="Q3038" s="86" t="str">
        <f t="shared" si="2"/>
        <v/>
      </c>
      <c r="R3038" s="13" t="str">
        <f t="shared" si="3"/>
        <v>Yes</v>
      </c>
      <c r="S3038" s="86" t="str">
        <f t="array" ref="S3038">iferror(XLOOKUP(C3038,'Download of SFDC Activation Rep'!B:B,'Download of SFDC Activation Rep'!Y:Y),"")</f>
        <v/>
      </c>
    </row>
    <row r="3039">
      <c r="A3039" s="17"/>
      <c r="B3039" s="85"/>
      <c r="C3039" s="17"/>
      <c r="D3039" s="85"/>
      <c r="E3039" s="17"/>
      <c r="F3039" s="17"/>
      <c r="G3039" s="17"/>
      <c r="I3039" s="17"/>
      <c r="K3039" s="17"/>
      <c r="L3039" s="17"/>
      <c r="M3039" s="17"/>
      <c r="O3039" s="14">
        <f t="shared" si="1"/>
        <v>0</v>
      </c>
      <c r="P3039" s="86" t="str">
        <f t="array" ref="P3039">iferror(XLOOKUP(C3039,'Download of SFDC Activation Rep'!B:B,'Download of SFDC Activation Rep'!Z:Z),"")</f>
        <v/>
      </c>
      <c r="Q3039" s="86" t="str">
        <f t="shared" si="2"/>
        <v/>
      </c>
      <c r="R3039" s="13" t="str">
        <f t="shared" si="3"/>
        <v>Yes</v>
      </c>
      <c r="S3039" s="86" t="str">
        <f t="array" ref="S3039">iferror(XLOOKUP(C3039,'Download of SFDC Activation Rep'!B:B,'Download of SFDC Activation Rep'!Y:Y),"")</f>
        <v/>
      </c>
    </row>
    <row r="3040">
      <c r="A3040" s="17"/>
      <c r="B3040" s="85"/>
      <c r="C3040" s="17"/>
      <c r="D3040" s="85"/>
      <c r="E3040" s="17"/>
      <c r="F3040" s="17"/>
      <c r="G3040" s="17"/>
      <c r="I3040" s="17"/>
      <c r="K3040" s="17"/>
      <c r="L3040" s="17"/>
      <c r="M3040" s="17"/>
      <c r="O3040" s="14">
        <f t="shared" si="1"/>
        <v>0</v>
      </c>
      <c r="P3040" s="86" t="str">
        <f t="array" ref="P3040">iferror(XLOOKUP(C3040,'Download of SFDC Activation Rep'!B:B,'Download of SFDC Activation Rep'!Z:Z),"")</f>
        <v/>
      </c>
      <c r="Q3040" s="86" t="str">
        <f t="shared" si="2"/>
        <v/>
      </c>
      <c r="R3040" s="13" t="str">
        <f t="shared" si="3"/>
        <v>Yes</v>
      </c>
      <c r="S3040" s="86" t="str">
        <f t="array" ref="S3040">iferror(XLOOKUP(C3040,'Download of SFDC Activation Rep'!B:B,'Download of SFDC Activation Rep'!Y:Y),"")</f>
        <v/>
      </c>
    </row>
    <row r="3041">
      <c r="A3041" s="17"/>
      <c r="B3041" s="85"/>
      <c r="C3041" s="17"/>
      <c r="D3041" s="85"/>
      <c r="E3041" s="17"/>
      <c r="F3041" s="17"/>
      <c r="G3041" s="17"/>
      <c r="I3041" s="17"/>
      <c r="K3041" s="17"/>
      <c r="L3041" s="17"/>
      <c r="M3041" s="17"/>
      <c r="O3041" s="14">
        <f t="shared" si="1"/>
        <v>0</v>
      </c>
      <c r="P3041" s="86" t="str">
        <f t="array" ref="P3041">iferror(XLOOKUP(C3041,'Download of SFDC Activation Rep'!B:B,'Download of SFDC Activation Rep'!Z:Z),"")</f>
        <v/>
      </c>
      <c r="Q3041" s="86" t="str">
        <f t="shared" si="2"/>
        <v/>
      </c>
      <c r="R3041" s="13" t="str">
        <f t="shared" si="3"/>
        <v>Yes</v>
      </c>
      <c r="S3041" s="86" t="str">
        <f t="array" ref="S3041">iferror(XLOOKUP(C3041,'Download of SFDC Activation Rep'!B:B,'Download of SFDC Activation Rep'!Y:Y),"")</f>
        <v/>
      </c>
    </row>
    <row r="3042">
      <c r="A3042" s="17"/>
      <c r="B3042" s="85"/>
      <c r="C3042" s="17"/>
      <c r="D3042" s="85"/>
      <c r="E3042" s="17"/>
      <c r="F3042" s="17"/>
      <c r="G3042" s="17"/>
      <c r="I3042" s="17"/>
      <c r="K3042" s="17"/>
      <c r="L3042" s="17"/>
      <c r="M3042" s="17"/>
      <c r="O3042" s="14">
        <f t="shared" si="1"/>
        <v>0</v>
      </c>
      <c r="P3042" s="86" t="str">
        <f t="array" ref="P3042">iferror(XLOOKUP(C3042,'Download of SFDC Activation Rep'!B:B,'Download of SFDC Activation Rep'!Z:Z),"")</f>
        <v/>
      </c>
      <c r="Q3042" s="86" t="str">
        <f t="shared" si="2"/>
        <v/>
      </c>
      <c r="R3042" s="13" t="str">
        <f t="shared" si="3"/>
        <v>Yes</v>
      </c>
      <c r="S3042" s="86" t="str">
        <f t="array" ref="S3042">iferror(XLOOKUP(C3042,'Download of SFDC Activation Rep'!B:B,'Download of SFDC Activation Rep'!Y:Y),"")</f>
        <v/>
      </c>
    </row>
    <row r="3043">
      <c r="A3043" s="17"/>
      <c r="B3043" s="85"/>
      <c r="C3043" s="17"/>
      <c r="D3043" s="85"/>
      <c r="E3043" s="17"/>
      <c r="F3043" s="17"/>
      <c r="G3043" s="17"/>
      <c r="I3043" s="17"/>
      <c r="K3043" s="17"/>
      <c r="L3043" s="17"/>
      <c r="M3043" s="17"/>
      <c r="O3043" s="14">
        <f t="shared" si="1"/>
        <v>0</v>
      </c>
      <c r="P3043" s="86" t="str">
        <f t="array" ref="P3043">iferror(XLOOKUP(C3043,'Download of SFDC Activation Rep'!B:B,'Download of SFDC Activation Rep'!Z:Z),"")</f>
        <v/>
      </c>
      <c r="Q3043" s="86" t="str">
        <f t="shared" si="2"/>
        <v/>
      </c>
      <c r="R3043" s="13" t="str">
        <f t="shared" si="3"/>
        <v>Yes</v>
      </c>
      <c r="S3043" s="86" t="str">
        <f t="array" ref="S3043">iferror(XLOOKUP(C3043,'Download of SFDC Activation Rep'!B:B,'Download of SFDC Activation Rep'!Y:Y),"")</f>
        <v/>
      </c>
    </row>
    <row r="3044">
      <c r="A3044" s="17"/>
      <c r="B3044" s="85"/>
      <c r="C3044" s="17"/>
      <c r="D3044" s="85"/>
      <c r="E3044" s="17"/>
      <c r="F3044" s="17"/>
      <c r="G3044" s="17"/>
      <c r="I3044" s="17"/>
      <c r="K3044" s="17"/>
      <c r="L3044" s="17"/>
      <c r="M3044" s="17"/>
      <c r="O3044" s="14">
        <f t="shared" si="1"/>
        <v>0</v>
      </c>
      <c r="P3044" s="86" t="str">
        <f t="array" ref="P3044">iferror(XLOOKUP(C3044,'Download of SFDC Activation Rep'!B:B,'Download of SFDC Activation Rep'!Z:Z),"")</f>
        <v/>
      </c>
      <c r="Q3044" s="86" t="str">
        <f t="shared" si="2"/>
        <v/>
      </c>
      <c r="R3044" s="13" t="str">
        <f t="shared" si="3"/>
        <v>Yes</v>
      </c>
      <c r="S3044" s="86" t="str">
        <f t="array" ref="S3044">iferror(XLOOKUP(C3044,'Download of SFDC Activation Rep'!B:B,'Download of SFDC Activation Rep'!Y:Y),"")</f>
        <v/>
      </c>
    </row>
    <row r="3045">
      <c r="A3045" s="17"/>
      <c r="B3045" s="85"/>
      <c r="C3045" s="17"/>
      <c r="D3045" s="85"/>
      <c r="E3045" s="17"/>
      <c r="F3045" s="17"/>
      <c r="G3045" s="17"/>
      <c r="I3045" s="17"/>
      <c r="K3045" s="17"/>
      <c r="L3045" s="17"/>
      <c r="M3045" s="17"/>
      <c r="O3045" s="14">
        <f t="shared" si="1"/>
        <v>0</v>
      </c>
      <c r="P3045" s="86" t="str">
        <f t="array" ref="P3045">iferror(XLOOKUP(C3045,'Download of SFDC Activation Rep'!B:B,'Download of SFDC Activation Rep'!Z:Z),"")</f>
        <v/>
      </c>
      <c r="Q3045" s="86" t="str">
        <f t="shared" si="2"/>
        <v/>
      </c>
      <c r="R3045" s="13" t="str">
        <f t="shared" si="3"/>
        <v>Yes</v>
      </c>
      <c r="S3045" s="86" t="str">
        <f t="array" ref="S3045">iferror(XLOOKUP(C3045,'Download of SFDC Activation Rep'!B:B,'Download of SFDC Activation Rep'!Y:Y),"")</f>
        <v/>
      </c>
    </row>
    <row r="3046">
      <c r="A3046" s="17"/>
      <c r="B3046" s="85"/>
      <c r="C3046" s="17"/>
      <c r="D3046" s="85"/>
      <c r="E3046" s="17"/>
      <c r="F3046" s="17"/>
      <c r="G3046" s="17"/>
      <c r="I3046" s="17"/>
      <c r="K3046" s="17"/>
      <c r="L3046" s="17"/>
      <c r="M3046" s="17"/>
      <c r="O3046" s="14">
        <f t="shared" si="1"/>
        <v>0</v>
      </c>
      <c r="P3046" s="86" t="str">
        <f t="array" ref="P3046">iferror(XLOOKUP(C3046,'Download of SFDC Activation Rep'!B:B,'Download of SFDC Activation Rep'!Z:Z),"")</f>
        <v/>
      </c>
      <c r="Q3046" s="86" t="str">
        <f t="shared" si="2"/>
        <v/>
      </c>
      <c r="R3046" s="13" t="str">
        <f t="shared" si="3"/>
        <v>Yes</v>
      </c>
      <c r="S3046" s="86" t="str">
        <f t="array" ref="S3046">iferror(XLOOKUP(C3046,'Download of SFDC Activation Rep'!B:B,'Download of SFDC Activation Rep'!Y:Y),"")</f>
        <v/>
      </c>
    </row>
    <row r="3047">
      <c r="A3047" s="17"/>
      <c r="B3047" s="85"/>
      <c r="C3047" s="17"/>
      <c r="D3047" s="85"/>
      <c r="E3047" s="17"/>
      <c r="F3047" s="17"/>
      <c r="G3047" s="17"/>
      <c r="I3047" s="17"/>
      <c r="K3047" s="17"/>
      <c r="L3047" s="17"/>
      <c r="M3047" s="17"/>
      <c r="O3047" s="14">
        <f t="shared" si="1"/>
        <v>0</v>
      </c>
      <c r="P3047" s="86" t="str">
        <f t="array" ref="P3047">iferror(XLOOKUP(C3047,'Download of SFDC Activation Rep'!B:B,'Download of SFDC Activation Rep'!Z:Z),"")</f>
        <v/>
      </c>
      <c r="Q3047" s="86" t="str">
        <f t="shared" si="2"/>
        <v/>
      </c>
      <c r="R3047" s="13" t="str">
        <f t="shared" si="3"/>
        <v>Yes</v>
      </c>
      <c r="S3047" s="86" t="str">
        <f t="array" ref="S3047">iferror(XLOOKUP(C3047,'Download of SFDC Activation Rep'!B:B,'Download of SFDC Activation Rep'!Y:Y),"")</f>
        <v/>
      </c>
    </row>
    <row r="3048">
      <c r="A3048" s="17"/>
      <c r="B3048" s="85"/>
      <c r="C3048" s="17"/>
      <c r="D3048" s="85"/>
      <c r="E3048" s="17"/>
      <c r="F3048" s="17"/>
      <c r="G3048" s="17"/>
      <c r="I3048" s="17"/>
      <c r="K3048" s="17"/>
      <c r="L3048" s="17"/>
      <c r="M3048" s="17"/>
      <c r="O3048" s="14">
        <f t="shared" si="1"/>
        <v>0</v>
      </c>
      <c r="P3048" s="86" t="str">
        <f t="array" ref="P3048">iferror(XLOOKUP(C3048,'Download of SFDC Activation Rep'!B:B,'Download of SFDC Activation Rep'!Z:Z),"")</f>
        <v/>
      </c>
      <c r="Q3048" s="86" t="str">
        <f t="shared" si="2"/>
        <v/>
      </c>
      <c r="R3048" s="13" t="str">
        <f t="shared" si="3"/>
        <v>Yes</v>
      </c>
      <c r="S3048" s="86" t="str">
        <f t="array" ref="S3048">iferror(XLOOKUP(C3048,'Download of SFDC Activation Rep'!B:B,'Download of SFDC Activation Rep'!Y:Y),"")</f>
        <v/>
      </c>
    </row>
    <row r="3049">
      <c r="A3049" s="17"/>
      <c r="B3049" s="85"/>
      <c r="C3049" s="17"/>
      <c r="D3049" s="85"/>
      <c r="E3049" s="17"/>
      <c r="F3049" s="17"/>
      <c r="G3049" s="17"/>
      <c r="I3049" s="17"/>
      <c r="K3049" s="17"/>
      <c r="L3049" s="17"/>
      <c r="M3049" s="17"/>
      <c r="O3049" s="14">
        <f t="shared" si="1"/>
        <v>0</v>
      </c>
      <c r="P3049" s="86" t="str">
        <f t="array" ref="P3049">iferror(XLOOKUP(C3049,'Download of SFDC Activation Rep'!B:B,'Download of SFDC Activation Rep'!Z:Z),"")</f>
        <v/>
      </c>
      <c r="Q3049" s="86" t="str">
        <f t="shared" si="2"/>
        <v/>
      </c>
      <c r="R3049" s="13" t="str">
        <f t="shared" si="3"/>
        <v>Yes</v>
      </c>
      <c r="S3049" s="86" t="str">
        <f t="array" ref="S3049">iferror(XLOOKUP(C3049,'Download of SFDC Activation Rep'!B:B,'Download of SFDC Activation Rep'!Y:Y),"")</f>
        <v/>
      </c>
    </row>
    <row r="3050">
      <c r="A3050" s="17"/>
      <c r="B3050" s="85"/>
      <c r="C3050" s="17"/>
      <c r="D3050" s="85"/>
      <c r="E3050" s="17"/>
      <c r="F3050" s="17"/>
      <c r="G3050" s="17"/>
      <c r="I3050" s="17"/>
      <c r="K3050" s="17"/>
      <c r="L3050" s="17"/>
      <c r="M3050" s="17"/>
      <c r="O3050" s="14">
        <f t="shared" si="1"/>
        <v>0</v>
      </c>
      <c r="P3050" s="86" t="str">
        <f t="array" ref="P3050">iferror(XLOOKUP(C3050,'Download of SFDC Activation Rep'!B:B,'Download of SFDC Activation Rep'!Z:Z),"")</f>
        <v/>
      </c>
      <c r="Q3050" s="86" t="str">
        <f t="shared" si="2"/>
        <v/>
      </c>
      <c r="R3050" s="13" t="str">
        <f t="shared" si="3"/>
        <v>Yes</v>
      </c>
      <c r="S3050" s="86" t="str">
        <f t="array" ref="S3050">iferror(XLOOKUP(C3050,'Download of SFDC Activation Rep'!B:B,'Download of SFDC Activation Rep'!Y:Y),"")</f>
        <v/>
      </c>
    </row>
    <row r="3051">
      <c r="A3051" s="17"/>
      <c r="B3051" s="85"/>
      <c r="C3051" s="17"/>
      <c r="D3051" s="85"/>
      <c r="E3051" s="17"/>
      <c r="F3051" s="17"/>
      <c r="G3051" s="17"/>
      <c r="I3051" s="17"/>
      <c r="K3051" s="17"/>
      <c r="L3051" s="17"/>
      <c r="M3051" s="17"/>
      <c r="O3051" s="14">
        <f t="shared" si="1"/>
        <v>0</v>
      </c>
      <c r="P3051" s="86" t="str">
        <f t="array" ref="P3051">iferror(XLOOKUP(C3051,'Download of SFDC Activation Rep'!B:B,'Download of SFDC Activation Rep'!Z:Z),"")</f>
        <v/>
      </c>
      <c r="Q3051" s="86" t="str">
        <f t="shared" si="2"/>
        <v/>
      </c>
      <c r="R3051" s="13" t="str">
        <f t="shared" si="3"/>
        <v>Yes</v>
      </c>
      <c r="S3051" s="86" t="str">
        <f t="array" ref="S3051">iferror(XLOOKUP(C3051,'Download of SFDC Activation Rep'!B:B,'Download of SFDC Activation Rep'!Y:Y),"")</f>
        <v/>
      </c>
    </row>
    <row r="3052">
      <c r="A3052" s="17"/>
      <c r="B3052" s="85"/>
      <c r="C3052" s="17"/>
      <c r="D3052" s="85"/>
      <c r="E3052" s="17"/>
      <c r="F3052" s="17"/>
      <c r="G3052" s="17"/>
      <c r="I3052" s="17"/>
      <c r="K3052" s="17"/>
      <c r="L3052" s="17"/>
      <c r="M3052" s="17"/>
      <c r="O3052" s="14">
        <f t="shared" si="1"/>
        <v>0</v>
      </c>
      <c r="P3052" s="86" t="str">
        <f t="array" ref="P3052">iferror(XLOOKUP(C3052,'Download of SFDC Activation Rep'!B:B,'Download of SFDC Activation Rep'!Z:Z),"")</f>
        <v/>
      </c>
      <c r="Q3052" s="86" t="str">
        <f t="shared" si="2"/>
        <v/>
      </c>
      <c r="R3052" s="13" t="str">
        <f t="shared" si="3"/>
        <v>Yes</v>
      </c>
      <c r="S3052" s="86" t="str">
        <f t="array" ref="S3052">iferror(XLOOKUP(C3052,'Download of SFDC Activation Rep'!B:B,'Download of SFDC Activation Rep'!Y:Y),"")</f>
        <v/>
      </c>
    </row>
    <row r="3053">
      <c r="A3053" s="17"/>
      <c r="B3053" s="85"/>
      <c r="C3053" s="17"/>
      <c r="D3053" s="85"/>
      <c r="E3053" s="17"/>
      <c r="F3053" s="17"/>
      <c r="G3053" s="17"/>
      <c r="I3053" s="17"/>
      <c r="K3053" s="17"/>
      <c r="L3053" s="17"/>
      <c r="M3053" s="17"/>
      <c r="O3053" s="14">
        <f t="shared" si="1"/>
        <v>0</v>
      </c>
      <c r="P3053" s="86" t="str">
        <f t="array" ref="P3053">iferror(XLOOKUP(C3053,'Download of SFDC Activation Rep'!B:B,'Download of SFDC Activation Rep'!Z:Z),"")</f>
        <v/>
      </c>
      <c r="Q3053" s="86" t="str">
        <f t="shared" si="2"/>
        <v/>
      </c>
      <c r="R3053" s="13" t="str">
        <f t="shared" si="3"/>
        <v>Yes</v>
      </c>
      <c r="S3053" s="86" t="str">
        <f t="array" ref="S3053">iferror(XLOOKUP(C3053,'Download of SFDC Activation Rep'!B:B,'Download of SFDC Activation Rep'!Y:Y),"")</f>
        <v/>
      </c>
    </row>
    <row r="3054">
      <c r="A3054" s="17"/>
      <c r="B3054" s="85"/>
      <c r="C3054" s="17"/>
      <c r="D3054" s="85"/>
      <c r="E3054" s="17"/>
      <c r="F3054" s="17"/>
      <c r="G3054" s="17"/>
      <c r="I3054" s="17"/>
      <c r="K3054" s="17"/>
      <c r="L3054" s="17"/>
      <c r="M3054" s="17"/>
      <c r="O3054" s="14">
        <f t="shared" si="1"/>
        <v>0</v>
      </c>
      <c r="P3054" s="86" t="str">
        <f t="array" ref="P3054">iferror(XLOOKUP(C3054,'Download of SFDC Activation Rep'!B:B,'Download of SFDC Activation Rep'!Z:Z),"")</f>
        <v/>
      </c>
      <c r="Q3054" s="86" t="str">
        <f t="shared" si="2"/>
        <v/>
      </c>
      <c r="R3054" s="13" t="str">
        <f t="shared" si="3"/>
        <v>Yes</v>
      </c>
      <c r="S3054" s="86" t="str">
        <f t="array" ref="S3054">iferror(XLOOKUP(C3054,'Download of SFDC Activation Rep'!B:B,'Download of SFDC Activation Rep'!Y:Y),"")</f>
        <v/>
      </c>
    </row>
    <row r="3055">
      <c r="A3055" s="17"/>
      <c r="B3055" s="85"/>
      <c r="C3055" s="17"/>
      <c r="D3055" s="85"/>
      <c r="E3055" s="17"/>
      <c r="F3055" s="17"/>
      <c r="G3055" s="17"/>
      <c r="I3055" s="17"/>
      <c r="K3055" s="17"/>
      <c r="L3055" s="17"/>
      <c r="M3055" s="17"/>
      <c r="O3055" s="14">
        <f t="shared" si="1"/>
        <v>0</v>
      </c>
      <c r="P3055" s="86" t="str">
        <f t="array" ref="P3055">iferror(XLOOKUP(C3055,'Download of SFDC Activation Rep'!B:B,'Download of SFDC Activation Rep'!Z:Z),"")</f>
        <v/>
      </c>
      <c r="Q3055" s="86" t="str">
        <f t="shared" si="2"/>
        <v/>
      </c>
      <c r="R3055" s="13" t="str">
        <f t="shared" si="3"/>
        <v>Yes</v>
      </c>
      <c r="S3055" s="86" t="str">
        <f t="array" ref="S3055">iferror(XLOOKUP(C3055,'Download of SFDC Activation Rep'!B:B,'Download of SFDC Activation Rep'!Y:Y),"")</f>
        <v/>
      </c>
    </row>
    <row r="3056">
      <c r="A3056" s="17"/>
      <c r="B3056" s="85"/>
      <c r="C3056" s="17"/>
      <c r="D3056" s="85"/>
      <c r="E3056" s="17"/>
      <c r="F3056" s="17"/>
      <c r="G3056" s="17"/>
      <c r="I3056" s="17"/>
      <c r="K3056" s="17"/>
      <c r="L3056" s="17"/>
      <c r="M3056" s="17"/>
      <c r="O3056" s="14">
        <f t="shared" si="1"/>
        <v>0</v>
      </c>
      <c r="P3056" s="86" t="str">
        <f t="array" ref="P3056">iferror(XLOOKUP(C3056,'Download of SFDC Activation Rep'!B:B,'Download of SFDC Activation Rep'!Z:Z),"")</f>
        <v/>
      </c>
      <c r="Q3056" s="86" t="str">
        <f t="shared" si="2"/>
        <v/>
      </c>
      <c r="R3056" s="13" t="str">
        <f t="shared" si="3"/>
        <v>Yes</v>
      </c>
      <c r="S3056" s="86" t="str">
        <f t="array" ref="S3056">iferror(XLOOKUP(C3056,'Download of SFDC Activation Rep'!B:B,'Download of SFDC Activation Rep'!Y:Y),"")</f>
        <v/>
      </c>
    </row>
    <row r="3057">
      <c r="A3057" s="17"/>
      <c r="B3057" s="85"/>
      <c r="C3057" s="17"/>
      <c r="D3057" s="85"/>
      <c r="E3057" s="17"/>
      <c r="F3057" s="17"/>
      <c r="G3057" s="17"/>
      <c r="I3057" s="17"/>
      <c r="K3057" s="17"/>
      <c r="L3057" s="17"/>
      <c r="M3057" s="17"/>
      <c r="O3057" s="14">
        <f t="shared" si="1"/>
        <v>0</v>
      </c>
      <c r="P3057" s="86" t="str">
        <f t="array" ref="P3057">iferror(XLOOKUP(C3057,'Download of SFDC Activation Rep'!B:B,'Download of SFDC Activation Rep'!Z:Z),"")</f>
        <v/>
      </c>
      <c r="Q3057" s="86" t="str">
        <f t="shared" si="2"/>
        <v/>
      </c>
      <c r="R3057" s="13" t="str">
        <f t="shared" si="3"/>
        <v>Yes</v>
      </c>
      <c r="S3057" s="86" t="str">
        <f t="array" ref="S3057">iferror(XLOOKUP(C3057,'Download of SFDC Activation Rep'!B:B,'Download of SFDC Activation Rep'!Y:Y),"")</f>
        <v/>
      </c>
    </row>
    <row r="3058">
      <c r="A3058" s="17"/>
      <c r="B3058" s="85"/>
      <c r="C3058" s="17"/>
      <c r="D3058" s="85"/>
      <c r="E3058" s="17"/>
      <c r="F3058" s="17"/>
      <c r="G3058" s="17"/>
      <c r="I3058" s="17"/>
      <c r="K3058" s="17"/>
      <c r="L3058" s="17"/>
      <c r="M3058" s="17"/>
      <c r="O3058" s="14">
        <f t="shared" si="1"/>
        <v>0</v>
      </c>
      <c r="P3058" s="86" t="str">
        <f t="array" ref="P3058">iferror(XLOOKUP(C3058,'Download of SFDC Activation Rep'!B:B,'Download of SFDC Activation Rep'!Z:Z),"")</f>
        <v/>
      </c>
      <c r="Q3058" s="86" t="str">
        <f t="shared" si="2"/>
        <v/>
      </c>
      <c r="R3058" s="13" t="str">
        <f t="shared" si="3"/>
        <v>Yes</v>
      </c>
      <c r="S3058" s="86" t="str">
        <f t="array" ref="S3058">iferror(XLOOKUP(C3058,'Download of SFDC Activation Rep'!B:B,'Download of SFDC Activation Rep'!Y:Y),"")</f>
        <v/>
      </c>
    </row>
    <row r="3059">
      <c r="A3059" s="17"/>
      <c r="B3059" s="85"/>
      <c r="C3059" s="17"/>
      <c r="D3059" s="85"/>
      <c r="E3059" s="17"/>
      <c r="F3059" s="17"/>
      <c r="G3059" s="17"/>
      <c r="I3059" s="17"/>
      <c r="K3059" s="17"/>
      <c r="L3059" s="17"/>
      <c r="M3059" s="17"/>
      <c r="O3059" s="14">
        <f t="shared" si="1"/>
        <v>0</v>
      </c>
      <c r="P3059" s="86" t="str">
        <f t="array" ref="P3059">iferror(XLOOKUP(C3059,'Download of SFDC Activation Rep'!B:B,'Download of SFDC Activation Rep'!Z:Z),"")</f>
        <v/>
      </c>
      <c r="Q3059" s="86" t="str">
        <f t="shared" si="2"/>
        <v/>
      </c>
      <c r="R3059" s="13" t="str">
        <f t="shared" si="3"/>
        <v>Yes</v>
      </c>
      <c r="S3059" s="86" t="str">
        <f t="array" ref="S3059">iferror(XLOOKUP(C3059,'Download of SFDC Activation Rep'!B:B,'Download of SFDC Activation Rep'!Y:Y),"")</f>
        <v/>
      </c>
    </row>
    <row r="3060">
      <c r="A3060" s="17"/>
      <c r="B3060" s="85"/>
      <c r="C3060" s="17"/>
      <c r="D3060" s="85"/>
      <c r="E3060" s="17"/>
      <c r="F3060" s="17"/>
      <c r="G3060" s="17"/>
      <c r="I3060" s="17"/>
      <c r="K3060" s="17"/>
      <c r="L3060" s="17"/>
      <c r="M3060" s="17"/>
      <c r="O3060" s="14">
        <f t="shared" si="1"/>
        <v>0</v>
      </c>
      <c r="P3060" s="86" t="str">
        <f t="array" ref="P3060">iferror(XLOOKUP(C3060,'Download of SFDC Activation Rep'!B:B,'Download of SFDC Activation Rep'!Z:Z),"")</f>
        <v/>
      </c>
      <c r="Q3060" s="86" t="str">
        <f t="shared" si="2"/>
        <v/>
      </c>
      <c r="R3060" s="13" t="str">
        <f t="shared" si="3"/>
        <v>Yes</v>
      </c>
      <c r="S3060" s="86" t="str">
        <f t="array" ref="S3060">iferror(XLOOKUP(C3060,'Download of SFDC Activation Rep'!B:B,'Download of SFDC Activation Rep'!Y:Y),"")</f>
        <v/>
      </c>
    </row>
    <row r="3061">
      <c r="A3061" s="17"/>
      <c r="B3061" s="85"/>
      <c r="C3061" s="17"/>
      <c r="D3061" s="85"/>
      <c r="E3061" s="17"/>
      <c r="F3061" s="17"/>
      <c r="G3061" s="17"/>
      <c r="I3061" s="17"/>
      <c r="K3061" s="17"/>
      <c r="L3061" s="17"/>
      <c r="M3061" s="17"/>
      <c r="O3061" s="14">
        <f t="shared" si="1"/>
        <v>0</v>
      </c>
      <c r="P3061" s="86" t="str">
        <f t="array" ref="P3061">iferror(XLOOKUP(C3061,'Download of SFDC Activation Rep'!B:B,'Download of SFDC Activation Rep'!Z:Z),"")</f>
        <v/>
      </c>
      <c r="Q3061" s="86" t="str">
        <f t="shared" si="2"/>
        <v/>
      </c>
      <c r="R3061" s="13" t="str">
        <f t="shared" si="3"/>
        <v>Yes</v>
      </c>
      <c r="S3061" s="86" t="str">
        <f t="array" ref="S3061">iferror(XLOOKUP(C3061,'Download of SFDC Activation Rep'!B:B,'Download of SFDC Activation Rep'!Y:Y),"")</f>
        <v/>
      </c>
    </row>
    <row r="3062">
      <c r="A3062" s="17"/>
      <c r="B3062" s="85"/>
      <c r="C3062" s="17"/>
      <c r="D3062" s="85"/>
      <c r="E3062" s="17"/>
      <c r="F3062" s="17"/>
      <c r="G3062" s="17"/>
      <c r="I3062" s="17"/>
      <c r="K3062" s="17"/>
      <c r="L3062" s="17"/>
      <c r="M3062" s="17"/>
      <c r="O3062" s="14">
        <f t="shared" si="1"/>
        <v>0</v>
      </c>
      <c r="P3062" s="86" t="str">
        <f t="array" ref="P3062">iferror(XLOOKUP(C3062,'Download of SFDC Activation Rep'!B:B,'Download of SFDC Activation Rep'!Z:Z),"")</f>
        <v/>
      </c>
      <c r="Q3062" s="86" t="str">
        <f t="shared" si="2"/>
        <v/>
      </c>
      <c r="R3062" s="13" t="str">
        <f t="shared" si="3"/>
        <v>Yes</v>
      </c>
      <c r="S3062" s="86" t="str">
        <f t="array" ref="S3062">iferror(XLOOKUP(C3062,'Download of SFDC Activation Rep'!B:B,'Download of SFDC Activation Rep'!Y:Y),"")</f>
        <v/>
      </c>
    </row>
    <row r="3063">
      <c r="A3063" s="17"/>
      <c r="B3063" s="85"/>
      <c r="C3063" s="17"/>
      <c r="D3063" s="85"/>
      <c r="E3063" s="17"/>
      <c r="F3063" s="17"/>
      <c r="G3063" s="17"/>
      <c r="I3063" s="17"/>
      <c r="K3063" s="17"/>
      <c r="L3063" s="17"/>
      <c r="M3063" s="17"/>
      <c r="O3063" s="14">
        <f t="shared" si="1"/>
        <v>0</v>
      </c>
      <c r="P3063" s="86" t="str">
        <f t="array" ref="P3063">iferror(XLOOKUP(C3063,'Download of SFDC Activation Rep'!B:B,'Download of SFDC Activation Rep'!Z:Z),"")</f>
        <v/>
      </c>
      <c r="Q3063" s="86" t="str">
        <f t="shared" si="2"/>
        <v/>
      </c>
      <c r="R3063" s="13" t="str">
        <f t="shared" si="3"/>
        <v>Yes</v>
      </c>
      <c r="S3063" s="86" t="str">
        <f t="array" ref="S3063">iferror(XLOOKUP(C3063,'Download of SFDC Activation Rep'!B:B,'Download of SFDC Activation Rep'!Y:Y),"")</f>
        <v/>
      </c>
    </row>
    <row r="3064">
      <c r="A3064" s="17"/>
      <c r="B3064" s="85"/>
      <c r="C3064" s="17"/>
      <c r="D3064" s="85"/>
      <c r="E3064" s="17"/>
      <c r="F3064" s="17"/>
      <c r="G3064" s="17"/>
      <c r="I3064" s="17"/>
      <c r="K3064" s="17"/>
      <c r="L3064" s="17"/>
      <c r="M3064" s="17"/>
      <c r="O3064" s="14">
        <f t="shared" si="1"/>
        <v>0</v>
      </c>
      <c r="P3064" s="86" t="str">
        <f t="array" ref="P3064">iferror(XLOOKUP(C3064,'Download of SFDC Activation Rep'!B:B,'Download of SFDC Activation Rep'!Z:Z),"")</f>
        <v/>
      </c>
      <c r="Q3064" s="86" t="str">
        <f t="shared" si="2"/>
        <v/>
      </c>
      <c r="R3064" s="13" t="str">
        <f t="shared" si="3"/>
        <v>Yes</v>
      </c>
      <c r="S3064" s="86" t="str">
        <f t="array" ref="S3064">iferror(XLOOKUP(C3064,'Download of SFDC Activation Rep'!B:B,'Download of SFDC Activation Rep'!Y:Y),"")</f>
        <v/>
      </c>
    </row>
    <row r="3065">
      <c r="A3065" s="17"/>
      <c r="B3065" s="85"/>
      <c r="C3065" s="17"/>
      <c r="D3065" s="85"/>
      <c r="E3065" s="17"/>
      <c r="F3065" s="17"/>
      <c r="G3065" s="17"/>
      <c r="I3065" s="17"/>
      <c r="K3065" s="17"/>
      <c r="L3065" s="17"/>
      <c r="M3065" s="17"/>
      <c r="O3065" s="14">
        <f t="shared" si="1"/>
        <v>0</v>
      </c>
      <c r="P3065" s="86" t="str">
        <f t="array" ref="P3065">iferror(XLOOKUP(C3065,'Download of SFDC Activation Rep'!B:B,'Download of SFDC Activation Rep'!Z:Z),"")</f>
        <v/>
      </c>
      <c r="Q3065" s="86" t="str">
        <f t="shared" si="2"/>
        <v/>
      </c>
      <c r="R3065" s="13" t="str">
        <f t="shared" si="3"/>
        <v>Yes</v>
      </c>
      <c r="S3065" s="86" t="str">
        <f t="array" ref="S3065">iferror(XLOOKUP(C3065,'Download of SFDC Activation Rep'!B:B,'Download of SFDC Activation Rep'!Y:Y),"")</f>
        <v/>
      </c>
    </row>
    <row r="3066">
      <c r="A3066" s="17"/>
      <c r="B3066" s="85"/>
      <c r="C3066" s="17"/>
      <c r="D3066" s="85"/>
      <c r="E3066" s="17"/>
      <c r="F3066" s="17"/>
      <c r="G3066" s="17"/>
      <c r="I3066" s="17"/>
      <c r="K3066" s="17"/>
      <c r="L3066" s="17"/>
      <c r="M3066" s="17"/>
      <c r="O3066" s="14">
        <f t="shared" si="1"/>
        <v>0</v>
      </c>
      <c r="P3066" s="86" t="str">
        <f t="array" ref="P3066">iferror(XLOOKUP(C3066,'Download of SFDC Activation Rep'!B:B,'Download of SFDC Activation Rep'!Z:Z),"")</f>
        <v/>
      </c>
      <c r="Q3066" s="86" t="str">
        <f t="shared" si="2"/>
        <v/>
      </c>
      <c r="R3066" s="13" t="str">
        <f t="shared" si="3"/>
        <v>Yes</v>
      </c>
      <c r="S3066" s="86" t="str">
        <f t="array" ref="S3066">iferror(XLOOKUP(C3066,'Download of SFDC Activation Rep'!B:B,'Download of SFDC Activation Rep'!Y:Y),"")</f>
        <v/>
      </c>
    </row>
    <row r="3067">
      <c r="A3067" s="17"/>
      <c r="B3067" s="85"/>
      <c r="C3067" s="17"/>
      <c r="D3067" s="85"/>
      <c r="E3067" s="17"/>
      <c r="F3067" s="17"/>
      <c r="G3067" s="17"/>
      <c r="I3067" s="17"/>
      <c r="K3067" s="17"/>
      <c r="L3067" s="17"/>
      <c r="M3067" s="17"/>
      <c r="O3067" s="14">
        <f t="shared" si="1"/>
        <v>0</v>
      </c>
      <c r="P3067" s="86" t="str">
        <f t="array" ref="P3067">iferror(XLOOKUP(C3067,'Download of SFDC Activation Rep'!B:B,'Download of SFDC Activation Rep'!Z:Z),"")</f>
        <v/>
      </c>
      <c r="Q3067" s="86" t="str">
        <f t="shared" si="2"/>
        <v/>
      </c>
      <c r="R3067" s="13" t="str">
        <f t="shared" si="3"/>
        <v>Yes</v>
      </c>
      <c r="S3067" s="86" t="str">
        <f t="array" ref="S3067">iferror(XLOOKUP(C3067,'Download of SFDC Activation Rep'!B:B,'Download of SFDC Activation Rep'!Y:Y),"")</f>
        <v/>
      </c>
    </row>
    <row r="3068">
      <c r="A3068" s="17"/>
      <c r="B3068" s="85"/>
      <c r="C3068" s="17"/>
      <c r="D3068" s="85"/>
      <c r="E3068" s="17"/>
      <c r="F3068" s="17"/>
      <c r="G3068" s="17"/>
      <c r="I3068" s="17"/>
      <c r="K3068" s="17"/>
      <c r="L3068" s="17"/>
      <c r="M3068" s="17"/>
      <c r="O3068" s="14">
        <f t="shared" si="1"/>
        <v>0</v>
      </c>
      <c r="P3068" s="86" t="str">
        <f t="array" ref="P3068">iferror(XLOOKUP(C3068,'Download of SFDC Activation Rep'!B:B,'Download of SFDC Activation Rep'!Z:Z),"")</f>
        <v/>
      </c>
      <c r="Q3068" s="86" t="str">
        <f t="shared" si="2"/>
        <v/>
      </c>
      <c r="R3068" s="13" t="str">
        <f t="shared" si="3"/>
        <v>Yes</v>
      </c>
      <c r="S3068" s="86" t="str">
        <f t="array" ref="S3068">iferror(XLOOKUP(C3068,'Download of SFDC Activation Rep'!B:B,'Download of SFDC Activation Rep'!Y:Y),"")</f>
        <v/>
      </c>
    </row>
    <row r="3069">
      <c r="A3069" s="17"/>
      <c r="B3069" s="85"/>
      <c r="C3069" s="17"/>
      <c r="D3069" s="85"/>
      <c r="E3069" s="17"/>
      <c r="F3069" s="17"/>
      <c r="G3069" s="17"/>
      <c r="I3069" s="17"/>
      <c r="K3069" s="17"/>
      <c r="L3069" s="17"/>
      <c r="M3069" s="17"/>
      <c r="O3069" s="14">
        <f t="shared" si="1"/>
        <v>0</v>
      </c>
      <c r="P3069" s="86" t="str">
        <f t="array" ref="P3069">iferror(XLOOKUP(C3069,'Download of SFDC Activation Rep'!B:B,'Download of SFDC Activation Rep'!Z:Z),"")</f>
        <v/>
      </c>
      <c r="Q3069" s="86" t="str">
        <f t="shared" si="2"/>
        <v/>
      </c>
      <c r="R3069" s="13" t="str">
        <f t="shared" si="3"/>
        <v>Yes</v>
      </c>
      <c r="S3069" s="86" t="str">
        <f t="array" ref="S3069">iferror(XLOOKUP(C3069,'Download of SFDC Activation Rep'!B:B,'Download of SFDC Activation Rep'!Y:Y),"")</f>
        <v/>
      </c>
    </row>
    <row r="3070">
      <c r="A3070" s="17"/>
      <c r="B3070" s="85"/>
      <c r="C3070" s="17"/>
      <c r="D3070" s="85"/>
      <c r="E3070" s="17"/>
      <c r="F3070" s="17"/>
      <c r="G3070" s="17"/>
      <c r="I3070" s="17"/>
      <c r="K3070" s="17"/>
      <c r="L3070" s="17"/>
      <c r="M3070" s="17"/>
      <c r="O3070" s="14">
        <f t="shared" si="1"/>
        <v>0</v>
      </c>
      <c r="P3070" s="86" t="str">
        <f t="array" ref="P3070">iferror(XLOOKUP(C3070,'Download of SFDC Activation Rep'!B:B,'Download of SFDC Activation Rep'!Z:Z),"")</f>
        <v/>
      </c>
      <c r="Q3070" s="86" t="str">
        <f t="shared" si="2"/>
        <v/>
      </c>
      <c r="R3070" s="13" t="str">
        <f t="shared" si="3"/>
        <v>Yes</v>
      </c>
      <c r="S3070" s="86" t="str">
        <f t="array" ref="S3070">iferror(XLOOKUP(C3070,'Download of SFDC Activation Rep'!B:B,'Download of SFDC Activation Rep'!Y:Y),"")</f>
        <v/>
      </c>
    </row>
    <row r="3071">
      <c r="A3071" s="17"/>
      <c r="B3071" s="85"/>
      <c r="C3071" s="17"/>
      <c r="D3071" s="85"/>
      <c r="E3071" s="17"/>
      <c r="F3071" s="17"/>
      <c r="G3071" s="17"/>
      <c r="I3071" s="17"/>
      <c r="K3071" s="17"/>
      <c r="L3071" s="17"/>
      <c r="M3071" s="17"/>
      <c r="O3071" s="14">
        <f t="shared" si="1"/>
        <v>0</v>
      </c>
      <c r="P3071" s="86" t="str">
        <f t="array" ref="P3071">iferror(XLOOKUP(C3071,'Download of SFDC Activation Rep'!B:B,'Download of SFDC Activation Rep'!Z:Z),"")</f>
        <v/>
      </c>
      <c r="Q3071" s="86" t="str">
        <f t="shared" si="2"/>
        <v/>
      </c>
      <c r="R3071" s="13" t="str">
        <f t="shared" si="3"/>
        <v>Yes</v>
      </c>
      <c r="S3071" s="86" t="str">
        <f t="array" ref="S3071">iferror(XLOOKUP(C3071,'Download of SFDC Activation Rep'!B:B,'Download of SFDC Activation Rep'!Y:Y),"")</f>
        <v/>
      </c>
    </row>
    <row r="3072">
      <c r="A3072" s="17"/>
      <c r="B3072" s="85"/>
      <c r="C3072" s="17"/>
      <c r="D3072" s="85"/>
      <c r="E3072" s="17"/>
      <c r="F3072" s="17"/>
      <c r="G3072" s="17"/>
      <c r="I3072" s="17"/>
      <c r="K3072" s="17"/>
      <c r="L3072" s="17"/>
      <c r="M3072" s="17"/>
      <c r="O3072" s="14">
        <f t="shared" si="1"/>
        <v>0</v>
      </c>
      <c r="P3072" s="86" t="str">
        <f t="array" ref="P3072">iferror(XLOOKUP(C3072,'Download of SFDC Activation Rep'!B:B,'Download of SFDC Activation Rep'!Z:Z),"")</f>
        <v/>
      </c>
      <c r="Q3072" s="86" t="str">
        <f t="shared" si="2"/>
        <v/>
      </c>
      <c r="R3072" s="13" t="str">
        <f t="shared" si="3"/>
        <v>Yes</v>
      </c>
      <c r="S3072" s="86" t="str">
        <f t="array" ref="S3072">iferror(XLOOKUP(C3072,'Download of SFDC Activation Rep'!B:B,'Download of SFDC Activation Rep'!Y:Y),"")</f>
        <v/>
      </c>
    </row>
    <row r="3073">
      <c r="A3073" s="17"/>
      <c r="B3073" s="85"/>
      <c r="C3073" s="17"/>
      <c r="D3073" s="85"/>
      <c r="E3073" s="17"/>
      <c r="F3073" s="17"/>
      <c r="G3073" s="17"/>
      <c r="I3073" s="17"/>
      <c r="K3073" s="17"/>
      <c r="L3073" s="17"/>
      <c r="M3073" s="17"/>
      <c r="O3073" s="14">
        <f t="shared" si="1"/>
        <v>0</v>
      </c>
      <c r="P3073" s="86" t="str">
        <f t="array" ref="P3073">iferror(XLOOKUP(C3073,'Download of SFDC Activation Rep'!B:B,'Download of SFDC Activation Rep'!Z:Z),"")</f>
        <v/>
      </c>
      <c r="Q3073" s="86" t="str">
        <f t="shared" si="2"/>
        <v/>
      </c>
      <c r="R3073" s="13" t="str">
        <f t="shared" si="3"/>
        <v>Yes</v>
      </c>
      <c r="S3073" s="86" t="str">
        <f t="array" ref="S3073">iferror(XLOOKUP(C3073,'Download of SFDC Activation Rep'!B:B,'Download of SFDC Activation Rep'!Y:Y),"")</f>
        <v/>
      </c>
    </row>
    <row r="3074">
      <c r="A3074" s="17"/>
      <c r="B3074" s="85"/>
      <c r="C3074" s="17"/>
      <c r="D3074" s="85"/>
      <c r="E3074" s="17"/>
      <c r="F3074" s="17"/>
      <c r="G3074" s="17"/>
      <c r="I3074" s="17"/>
      <c r="K3074" s="17"/>
      <c r="L3074" s="17"/>
      <c r="M3074" s="17"/>
      <c r="O3074" s="14">
        <f t="shared" si="1"/>
        <v>0</v>
      </c>
      <c r="P3074" s="86" t="str">
        <f t="array" ref="P3074">iferror(XLOOKUP(C3074,'Download of SFDC Activation Rep'!B:B,'Download of SFDC Activation Rep'!Z:Z),"")</f>
        <v/>
      </c>
      <c r="Q3074" s="86" t="str">
        <f t="shared" si="2"/>
        <v/>
      </c>
      <c r="R3074" s="13" t="str">
        <f t="shared" si="3"/>
        <v>Yes</v>
      </c>
      <c r="S3074" s="86" t="str">
        <f t="array" ref="S3074">iferror(XLOOKUP(C3074,'Download of SFDC Activation Rep'!B:B,'Download of SFDC Activation Rep'!Y:Y),"")</f>
        <v/>
      </c>
    </row>
    <row r="3075">
      <c r="A3075" s="17"/>
      <c r="B3075" s="85"/>
      <c r="C3075" s="17"/>
      <c r="D3075" s="85"/>
      <c r="E3075" s="17"/>
      <c r="F3075" s="17"/>
      <c r="G3075" s="17"/>
      <c r="I3075" s="17"/>
      <c r="K3075" s="17"/>
      <c r="L3075" s="17"/>
      <c r="M3075" s="17"/>
      <c r="O3075" s="14">
        <f t="shared" si="1"/>
        <v>0</v>
      </c>
      <c r="P3075" s="86" t="str">
        <f t="array" ref="P3075">iferror(XLOOKUP(C3075,'Download of SFDC Activation Rep'!B:B,'Download of SFDC Activation Rep'!Z:Z),"")</f>
        <v/>
      </c>
      <c r="Q3075" s="86" t="str">
        <f t="shared" si="2"/>
        <v/>
      </c>
      <c r="R3075" s="13" t="str">
        <f t="shared" si="3"/>
        <v>Yes</v>
      </c>
      <c r="S3075" s="86" t="str">
        <f t="array" ref="S3075">iferror(XLOOKUP(C3075,'Download of SFDC Activation Rep'!B:B,'Download of SFDC Activation Rep'!Y:Y),"")</f>
        <v/>
      </c>
    </row>
    <row r="3076">
      <c r="A3076" s="17"/>
      <c r="B3076" s="85"/>
      <c r="C3076" s="17"/>
      <c r="D3076" s="85"/>
      <c r="E3076" s="17"/>
      <c r="F3076" s="17"/>
      <c r="G3076" s="17"/>
      <c r="I3076" s="17"/>
      <c r="K3076" s="17"/>
      <c r="L3076" s="17"/>
      <c r="M3076" s="17"/>
      <c r="O3076" s="14">
        <f t="shared" si="1"/>
        <v>0</v>
      </c>
      <c r="P3076" s="86" t="str">
        <f t="array" ref="P3076">iferror(XLOOKUP(C3076,'Download of SFDC Activation Rep'!B:B,'Download of SFDC Activation Rep'!Z:Z),"")</f>
        <v/>
      </c>
      <c r="Q3076" s="86" t="str">
        <f t="shared" si="2"/>
        <v/>
      </c>
      <c r="R3076" s="13" t="str">
        <f t="shared" si="3"/>
        <v>Yes</v>
      </c>
      <c r="S3076" s="86" t="str">
        <f t="array" ref="S3076">iferror(XLOOKUP(C3076,'Download of SFDC Activation Rep'!B:B,'Download of SFDC Activation Rep'!Y:Y),"")</f>
        <v/>
      </c>
    </row>
    <row r="3077">
      <c r="A3077" s="17"/>
      <c r="B3077" s="85"/>
      <c r="C3077" s="17"/>
      <c r="D3077" s="85"/>
      <c r="E3077" s="17"/>
      <c r="F3077" s="17"/>
      <c r="G3077" s="17"/>
      <c r="I3077" s="17"/>
      <c r="K3077" s="17"/>
      <c r="L3077" s="17"/>
      <c r="M3077" s="17"/>
      <c r="O3077" s="14">
        <f t="shared" si="1"/>
        <v>0</v>
      </c>
      <c r="P3077" s="86" t="str">
        <f t="array" ref="P3077">iferror(XLOOKUP(C3077,'Download of SFDC Activation Rep'!B:B,'Download of SFDC Activation Rep'!Z:Z),"")</f>
        <v/>
      </c>
      <c r="Q3077" s="86" t="str">
        <f t="shared" si="2"/>
        <v/>
      </c>
      <c r="R3077" s="13" t="str">
        <f t="shared" si="3"/>
        <v>Yes</v>
      </c>
      <c r="S3077" s="86" t="str">
        <f t="array" ref="S3077">iferror(XLOOKUP(C3077,'Download of SFDC Activation Rep'!B:B,'Download of SFDC Activation Rep'!Y:Y),"")</f>
        <v/>
      </c>
    </row>
    <row r="3078">
      <c r="A3078" s="17"/>
      <c r="B3078" s="85"/>
      <c r="C3078" s="17"/>
      <c r="D3078" s="85"/>
      <c r="E3078" s="17"/>
      <c r="F3078" s="17"/>
      <c r="G3078" s="17"/>
      <c r="I3078" s="17"/>
      <c r="K3078" s="17"/>
      <c r="L3078" s="17"/>
      <c r="M3078" s="17"/>
      <c r="O3078" s="14">
        <f t="shared" si="1"/>
        <v>0</v>
      </c>
      <c r="P3078" s="86" t="str">
        <f t="array" ref="P3078">iferror(XLOOKUP(C3078,'Download of SFDC Activation Rep'!B:B,'Download of SFDC Activation Rep'!Z:Z),"")</f>
        <v/>
      </c>
      <c r="Q3078" s="86" t="str">
        <f t="shared" si="2"/>
        <v/>
      </c>
      <c r="R3078" s="13" t="str">
        <f t="shared" si="3"/>
        <v>Yes</v>
      </c>
      <c r="S3078" s="86" t="str">
        <f t="array" ref="S3078">iferror(XLOOKUP(C3078,'Download of SFDC Activation Rep'!B:B,'Download of SFDC Activation Rep'!Y:Y),"")</f>
        <v/>
      </c>
    </row>
    <row r="3079">
      <c r="A3079" s="17"/>
      <c r="B3079" s="85"/>
      <c r="C3079" s="17"/>
      <c r="D3079" s="85"/>
      <c r="E3079" s="17"/>
      <c r="F3079" s="17"/>
      <c r="G3079" s="17"/>
      <c r="I3079" s="17"/>
      <c r="K3079" s="17"/>
      <c r="L3079" s="17"/>
      <c r="M3079" s="17"/>
      <c r="O3079" s="14">
        <f t="shared" si="1"/>
        <v>0</v>
      </c>
      <c r="P3079" s="86" t="str">
        <f t="array" ref="P3079">iferror(XLOOKUP(C3079,'Download of SFDC Activation Rep'!B:B,'Download of SFDC Activation Rep'!Z:Z),"")</f>
        <v/>
      </c>
      <c r="Q3079" s="86" t="str">
        <f t="shared" si="2"/>
        <v/>
      </c>
      <c r="R3079" s="13" t="str">
        <f t="shared" si="3"/>
        <v>Yes</v>
      </c>
      <c r="S3079" s="86" t="str">
        <f t="array" ref="S3079">iferror(XLOOKUP(C3079,'Download of SFDC Activation Rep'!B:B,'Download of SFDC Activation Rep'!Y:Y),"")</f>
        <v/>
      </c>
    </row>
    <row r="3080">
      <c r="A3080" s="17"/>
      <c r="B3080" s="85"/>
      <c r="C3080" s="17"/>
      <c r="D3080" s="85"/>
      <c r="E3080" s="17"/>
      <c r="F3080" s="17"/>
      <c r="G3080" s="17"/>
      <c r="I3080" s="17"/>
      <c r="K3080" s="17"/>
      <c r="L3080" s="17"/>
      <c r="M3080" s="17"/>
      <c r="O3080" s="14">
        <f t="shared" si="1"/>
        <v>0</v>
      </c>
      <c r="P3080" s="86" t="str">
        <f t="array" ref="P3080">iferror(XLOOKUP(C3080,'Download of SFDC Activation Rep'!B:B,'Download of SFDC Activation Rep'!Z:Z),"")</f>
        <v/>
      </c>
      <c r="Q3080" s="86" t="str">
        <f t="shared" si="2"/>
        <v/>
      </c>
      <c r="R3080" s="13" t="str">
        <f t="shared" si="3"/>
        <v>Yes</v>
      </c>
      <c r="S3080" s="86" t="str">
        <f t="array" ref="S3080">iferror(XLOOKUP(C3080,'Download of SFDC Activation Rep'!B:B,'Download of SFDC Activation Rep'!Y:Y),"")</f>
        <v/>
      </c>
    </row>
    <row r="3081">
      <c r="A3081" s="17"/>
      <c r="B3081" s="85"/>
      <c r="C3081" s="17"/>
      <c r="D3081" s="85"/>
      <c r="E3081" s="17"/>
      <c r="F3081" s="17"/>
      <c r="G3081" s="17"/>
      <c r="I3081" s="17"/>
      <c r="K3081" s="17"/>
      <c r="L3081" s="17"/>
      <c r="M3081" s="17"/>
      <c r="O3081" s="14">
        <f t="shared" si="1"/>
        <v>0</v>
      </c>
      <c r="P3081" s="86" t="str">
        <f t="array" ref="P3081">iferror(XLOOKUP(C3081,'Download of SFDC Activation Rep'!B:B,'Download of SFDC Activation Rep'!Z:Z),"")</f>
        <v/>
      </c>
      <c r="Q3081" s="86" t="str">
        <f t="shared" si="2"/>
        <v/>
      </c>
      <c r="R3081" s="13" t="str">
        <f t="shared" si="3"/>
        <v>Yes</v>
      </c>
      <c r="S3081" s="86" t="str">
        <f t="array" ref="S3081">iferror(XLOOKUP(C3081,'Download of SFDC Activation Rep'!B:B,'Download of SFDC Activation Rep'!Y:Y),"")</f>
        <v/>
      </c>
    </row>
    <row r="3082">
      <c r="A3082" s="17"/>
      <c r="B3082" s="85"/>
      <c r="C3082" s="17"/>
      <c r="D3082" s="85"/>
      <c r="E3082" s="17"/>
      <c r="F3082" s="17"/>
      <c r="G3082" s="17"/>
      <c r="I3082" s="17"/>
      <c r="K3082" s="17"/>
      <c r="L3082" s="17"/>
      <c r="M3082" s="17"/>
      <c r="O3082" s="14">
        <f t="shared" si="1"/>
        <v>0</v>
      </c>
      <c r="P3082" s="86" t="str">
        <f t="array" ref="P3082">iferror(XLOOKUP(C3082,'Download of SFDC Activation Rep'!B:B,'Download of SFDC Activation Rep'!Z:Z),"")</f>
        <v/>
      </c>
      <c r="Q3082" s="86" t="str">
        <f t="shared" si="2"/>
        <v/>
      </c>
      <c r="R3082" s="13" t="str">
        <f t="shared" si="3"/>
        <v>Yes</v>
      </c>
      <c r="S3082" s="86" t="str">
        <f t="array" ref="S3082">iferror(XLOOKUP(C3082,'Download of SFDC Activation Rep'!B:B,'Download of SFDC Activation Rep'!Y:Y),"")</f>
        <v/>
      </c>
    </row>
    <row r="3083">
      <c r="A3083" s="17"/>
      <c r="B3083" s="85"/>
      <c r="C3083" s="17"/>
      <c r="D3083" s="85"/>
      <c r="E3083" s="17"/>
      <c r="F3083" s="17"/>
      <c r="G3083" s="17"/>
      <c r="I3083" s="17"/>
      <c r="K3083" s="17"/>
      <c r="L3083" s="17"/>
      <c r="M3083" s="17"/>
      <c r="O3083" s="14">
        <f t="shared" si="1"/>
        <v>0</v>
      </c>
      <c r="P3083" s="86" t="str">
        <f t="array" ref="P3083">iferror(XLOOKUP(C3083,'Download of SFDC Activation Rep'!B:B,'Download of SFDC Activation Rep'!Z:Z),"")</f>
        <v/>
      </c>
      <c r="Q3083" s="86" t="str">
        <f t="shared" si="2"/>
        <v/>
      </c>
      <c r="R3083" s="13" t="str">
        <f t="shared" si="3"/>
        <v>Yes</v>
      </c>
      <c r="S3083" s="86" t="str">
        <f t="array" ref="S3083">iferror(XLOOKUP(C3083,'Download of SFDC Activation Rep'!B:B,'Download of SFDC Activation Rep'!Y:Y),"")</f>
        <v/>
      </c>
    </row>
    <row r="3084">
      <c r="A3084" s="17"/>
      <c r="B3084" s="85"/>
      <c r="C3084" s="17"/>
      <c r="D3084" s="85"/>
      <c r="E3084" s="17"/>
      <c r="F3084" s="17"/>
      <c r="G3084" s="17"/>
      <c r="I3084" s="17"/>
      <c r="K3084" s="17"/>
      <c r="L3084" s="17"/>
      <c r="M3084" s="17"/>
      <c r="O3084" s="14">
        <f t="shared" si="1"/>
        <v>0</v>
      </c>
      <c r="P3084" s="86" t="str">
        <f t="array" ref="P3084">iferror(XLOOKUP(C3084,'Download of SFDC Activation Rep'!B:B,'Download of SFDC Activation Rep'!Z:Z),"")</f>
        <v/>
      </c>
      <c r="Q3084" s="86" t="str">
        <f t="shared" si="2"/>
        <v/>
      </c>
      <c r="R3084" s="13" t="str">
        <f t="shared" si="3"/>
        <v>Yes</v>
      </c>
      <c r="S3084" s="86" t="str">
        <f t="array" ref="S3084">iferror(XLOOKUP(C3084,'Download of SFDC Activation Rep'!B:B,'Download of SFDC Activation Rep'!Y:Y),"")</f>
        <v/>
      </c>
    </row>
    <row r="3085">
      <c r="A3085" s="17"/>
      <c r="B3085" s="85"/>
      <c r="C3085" s="17"/>
      <c r="D3085" s="85"/>
      <c r="E3085" s="17"/>
      <c r="F3085" s="17"/>
      <c r="G3085" s="17"/>
      <c r="I3085" s="17"/>
      <c r="K3085" s="17"/>
      <c r="L3085" s="17"/>
      <c r="M3085" s="17"/>
      <c r="O3085" s="14">
        <f t="shared" si="1"/>
        <v>0</v>
      </c>
      <c r="P3085" s="86" t="str">
        <f t="array" ref="P3085">iferror(XLOOKUP(C3085,'Download of SFDC Activation Rep'!B:B,'Download of SFDC Activation Rep'!Z:Z),"")</f>
        <v/>
      </c>
      <c r="Q3085" s="86" t="str">
        <f t="shared" si="2"/>
        <v/>
      </c>
      <c r="R3085" s="13" t="str">
        <f t="shared" si="3"/>
        <v>Yes</v>
      </c>
      <c r="S3085" s="86" t="str">
        <f t="array" ref="S3085">iferror(XLOOKUP(C3085,'Download of SFDC Activation Rep'!B:B,'Download of SFDC Activation Rep'!Y:Y),"")</f>
        <v/>
      </c>
    </row>
    <row r="3086">
      <c r="A3086" s="17"/>
      <c r="B3086" s="85"/>
      <c r="C3086" s="17"/>
      <c r="D3086" s="85"/>
      <c r="E3086" s="17"/>
      <c r="F3086" s="17"/>
      <c r="G3086" s="17"/>
      <c r="I3086" s="17"/>
      <c r="K3086" s="17"/>
      <c r="L3086" s="17"/>
      <c r="M3086" s="17"/>
      <c r="O3086" s="14">
        <f t="shared" si="1"/>
        <v>0</v>
      </c>
      <c r="P3086" s="86" t="str">
        <f t="array" ref="P3086">iferror(XLOOKUP(C3086,'Download of SFDC Activation Rep'!B:B,'Download of SFDC Activation Rep'!Z:Z),"")</f>
        <v/>
      </c>
      <c r="Q3086" s="86" t="str">
        <f t="shared" si="2"/>
        <v/>
      </c>
      <c r="R3086" s="13" t="str">
        <f t="shared" si="3"/>
        <v>Yes</v>
      </c>
      <c r="S3086" s="86" t="str">
        <f t="array" ref="S3086">iferror(XLOOKUP(C3086,'Download of SFDC Activation Rep'!B:B,'Download of SFDC Activation Rep'!Y:Y),"")</f>
        <v/>
      </c>
    </row>
    <row r="3087">
      <c r="A3087" s="17"/>
      <c r="B3087" s="85"/>
      <c r="C3087" s="17"/>
      <c r="D3087" s="85"/>
      <c r="E3087" s="17"/>
      <c r="F3087" s="17"/>
      <c r="G3087" s="17"/>
      <c r="I3087" s="17"/>
      <c r="K3087" s="17"/>
      <c r="L3087" s="17"/>
      <c r="M3087" s="17"/>
      <c r="O3087" s="14">
        <f t="shared" si="1"/>
        <v>0</v>
      </c>
      <c r="P3087" s="86" t="str">
        <f t="array" ref="P3087">iferror(XLOOKUP(C3087,'Download of SFDC Activation Rep'!B:B,'Download of SFDC Activation Rep'!Z:Z),"")</f>
        <v/>
      </c>
      <c r="Q3087" s="86" t="str">
        <f t="shared" si="2"/>
        <v/>
      </c>
      <c r="R3087" s="13" t="str">
        <f t="shared" si="3"/>
        <v>Yes</v>
      </c>
      <c r="S3087" s="86" t="str">
        <f t="array" ref="S3087">iferror(XLOOKUP(C3087,'Download of SFDC Activation Rep'!B:B,'Download of SFDC Activation Rep'!Y:Y),"")</f>
        <v/>
      </c>
    </row>
    <row r="3088">
      <c r="A3088" s="17"/>
      <c r="B3088" s="85"/>
      <c r="C3088" s="17"/>
      <c r="D3088" s="85"/>
      <c r="E3088" s="17"/>
      <c r="F3088" s="17"/>
      <c r="G3088" s="17"/>
      <c r="I3088" s="17"/>
      <c r="K3088" s="17"/>
      <c r="L3088" s="17"/>
      <c r="M3088" s="17"/>
      <c r="O3088" s="14">
        <f t="shared" si="1"/>
        <v>0</v>
      </c>
      <c r="P3088" s="86" t="str">
        <f t="array" ref="P3088">iferror(XLOOKUP(C3088,'Download of SFDC Activation Rep'!B:B,'Download of SFDC Activation Rep'!Z:Z),"")</f>
        <v/>
      </c>
      <c r="Q3088" s="86" t="str">
        <f t="shared" si="2"/>
        <v/>
      </c>
      <c r="R3088" s="13" t="str">
        <f t="shared" si="3"/>
        <v>Yes</v>
      </c>
      <c r="S3088" s="86" t="str">
        <f t="array" ref="S3088">iferror(XLOOKUP(C3088,'Download of SFDC Activation Rep'!B:B,'Download of SFDC Activation Rep'!Y:Y),"")</f>
        <v/>
      </c>
    </row>
    <row r="3089">
      <c r="A3089" s="17"/>
      <c r="B3089" s="85"/>
      <c r="C3089" s="17"/>
      <c r="D3089" s="85"/>
      <c r="E3089" s="17"/>
      <c r="F3089" s="17"/>
      <c r="G3089" s="17"/>
      <c r="I3089" s="17"/>
      <c r="K3089" s="17"/>
      <c r="L3089" s="17"/>
      <c r="M3089" s="17"/>
      <c r="O3089" s="14">
        <f t="shared" si="1"/>
        <v>0</v>
      </c>
      <c r="P3089" s="86" t="str">
        <f t="array" ref="P3089">iferror(XLOOKUP(C3089,'Download of SFDC Activation Rep'!B:B,'Download of SFDC Activation Rep'!Z:Z),"")</f>
        <v/>
      </c>
      <c r="Q3089" s="86" t="str">
        <f t="shared" si="2"/>
        <v/>
      </c>
      <c r="R3089" s="13" t="str">
        <f t="shared" si="3"/>
        <v>Yes</v>
      </c>
      <c r="S3089" s="86" t="str">
        <f t="array" ref="S3089">iferror(XLOOKUP(C3089,'Download of SFDC Activation Rep'!B:B,'Download of SFDC Activation Rep'!Y:Y),"")</f>
        <v/>
      </c>
    </row>
    <row r="3090">
      <c r="A3090" s="17"/>
      <c r="B3090" s="85"/>
      <c r="C3090" s="17"/>
      <c r="D3090" s="85"/>
      <c r="E3090" s="17"/>
      <c r="F3090" s="17"/>
      <c r="G3090" s="17"/>
      <c r="I3090" s="17"/>
      <c r="K3090" s="17"/>
      <c r="L3090" s="17"/>
      <c r="M3090" s="17"/>
      <c r="O3090" s="14">
        <f t="shared" si="1"/>
        <v>0</v>
      </c>
      <c r="P3090" s="86" t="str">
        <f t="array" ref="P3090">iferror(XLOOKUP(C3090,'Download of SFDC Activation Rep'!B:B,'Download of SFDC Activation Rep'!Z:Z),"")</f>
        <v/>
      </c>
      <c r="Q3090" s="86" t="str">
        <f t="shared" si="2"/>
        <v/>
      </c>
      <c r="R3090" s="13" t="str">
        <f t="shared" si="3"/>
        <v>Yes</v>
      </c>
      <c r="S3090" s="86" t="str">
        <f t="array" ref="S3090">iferror(XLOOKUP(C3090,'Download of SFDC Activation Rep'!B:B,'Download of SFDC Activation Rep'!Y:Y),"")</f>
        <v/>
      </c>
    </row>
    <row r="3091">
      <c r="A3091" s="17"/>
      <c r="B3091" s="85"/>
      <c r="C3091" s="17"/>
      <c r="D3091" s="85"/>
      <c r="E3091" s="17"/>
      <c r="F3091" s="17"/>
      <c r="G3091" s="17"/>
      <c r="I3091" s="17"/>
      <c r="K3091" s="17"/>
      <c r="L3091" s="17"/>
      <c r="M3091" s="17"/>
      <c r="O3091" s="14">
        <f t="shared" si="1"/>
        <v>0</v>
      </c>
      <c r="P3091" s="86" t="str">
        <f t="array" ref="P3091">iferror(XLOOKUP(C3091,'Download of SFDC Activation Rep'!B:B,'Download of SFDC Activation Rep'!Z:Z),"")</f>
        <v/>
      </c>
      <c r="Q3091" s="86" t="str">
        <f t="shared" si="2"/>
        <v/>
      </c>
      <c r="R3091" s="13" t="str">
        <f t="shared" si="3"/>
        <v>Yes</v>
      </c>
      <c r="S3091" s="86" t="str">
        <f t="array" ref="S3091">iferror(XLOOKUP(C3091,'Download of SFDC Activation Rep'!B:B,'Download of SFDC Activation Rep'!Y:Y),"")</f>
        <v/>
      </c>
    </row>
    <row r="3092">
      <c r="A3092" s="17"/>
      <c r="B3092" s="85"/>
      <c r="C3092" s="17"/>
      <c r="D3092" s="85"/>
      <c r="E3092" s="17"/>
      <c r="F3092" s="17"/>
      <c r="G3092" s="17"/>
      <c r="I3092" s="17"/>
      <c r="K3092" s="17"/>
      <c r="L3092" s="17"/>
      <c r="M3092" s="17"/>
      <c r="O3092" s="14">
        <f t="shared" si="1"/>
        <v>0</v>
      </c>
      <c r="P3092" s="86" t="str">
        <f t="array" ref="P3092">iferror(XLOOKUP(C3092,'Download of SFDC Activation Rep'!B:B,'Download of SFDC Activation Rep'!Z:Z),"")</f>
        <v/>
      </c>
      <c r="Q3092" s="86" t="str">
        <f t="shared" si="2"/>
        <v/>
      </c>
      <c r="R3092" s="13" t="str">
        <f t="shared" si="3"/>
        <v>Yes</v>
      </c>
      <c r="S3092" s="86" t="str">
        <f t="array" ref="S3092">iferror(XLOOKUP(C3092,'Download of SFDC Activation Rep'!B:B,'Download of SFDC Activation Rep'!Y:Y),"")</f>
        <v/>
      </c>
    </row>
    <row r="3093">
      <c r="A3093" s="17"/>
      <c r="B3093" s="85"/>
      <c r="C3093" s="17"/>
      <c r="D3093" s="85"/>
      <c r="E3093" s="17"/>
      <c r="F3093" s="17"/>
      <c r="G3093" s="17"/>
      <c r="I3093" s="17"/>
      <c r="K3093" s="17"/>
      <c r="L3093" s="17"/>
      <c r="M3093" s="17"/>
      <c r="O3093" s="14">
        <f t="shared" si="1"/>
        <v>0</v>
      </c>
      <c r="P3093" s="86" t="str">
        <f t="array" ref="P3093">iferror(XLOOKUP(C3093,'Download of SFDC Activation Rep'!B:B,'Download of SFDC Activation Rep'!Z:Z),"")</f>
        <v/>
      </c>
      <c r="Q3093" s="86" t="str">
        <f t="shared" si="2"/>
        <v/>
      </c>
      <c r="R3093" s="13" t="str">
        <f t="shared" si="3"/>
        <v>Yes</v>
      </c>
      <c r="S3093" s="86" t="str">
        <f t="array" ref="S3093">iferror(XLOOKUP(C3093,'Download of SFDC Activation Rep'!B:B,'Download of SFDC Activation Rep'!Y:Y),"")</f>
        <v/>
      </c>
    </row>
    <row r="3094">
      <c r="A3094" s="17"/>
      <c r="B3094" s="85"/>
      <c r="C3094" s="17"/>
      <c r="D3094" s="85"/>
      <c r="E3094" s="17"/>
      <c r="F3094" s="17"/>
      <c r="G3094" s="17"/>
      <c r="I3094" s="17"/>
      <c r="K3094" s="17"/>
      <c r="L3094" s="17"/>
      <c r="M3094" s="17"/>
      <c r="O3094" s="14">
        <f t="shared" si="1"/>
        <v>0</v>
      </c>
      <c r="P3094" s="86" t="str">
        <f t="array" ref="P3094">iferror(XLOOKUP(C3094,'Download of SFDC Activation Rep'!B:B,'Download of SFDC Activation Rep'!Z:Z),"")</f>
        <v/>
      </c>
      <c r="Q3094" s="86" t="str">
        <f t="shared" si="2"/>
        <v/>
      </c>
      <c r="R3094" s="13" t="str">
        <f t="shared" si="3"/>
        <v>Yes</v>
      </c>
      <c r="S3094" s="86" t="str">
        <f t="array" ref="S3094">iferror(XLOOKUP(C3094,'Download of SFDC Activation Rep'!B:B,'Download of SFDC Activation Rep'!Y:Y),"")</f>
        <v/>
      </c>
    </row>
    <row r="3095">
      <c r="A3095" s="17"/>
      <c r="B3095" s="85"/>
      <c r="C3095" s="17"/>
      <c r="D3095" s="85"/>
      <c r="E3095" s="17"/>
      <c r="F3095" s="17"/>
      <c r="G3095" s="17"/>
      <c r="I3095" s="17"/>
      <c r="K3095" s="17"/>
      <c r="L3095" s="17"/>
      <c r="M3095" s="17"/>
      <c r="O3095" s="14">
        <f t="shared" si="1"/>
        <v>0</v>
      </c>
      <c r="P3095" s="86" t="str">
        <f t="array" ref="P3095">iferror(XLOOKUP(C3095,'Download of SFDC Activation Rep'!B:B,'Download of SFDC Activation Rep'!Z:Z),"")</f>
        <v/>
      </c>
      <c r="Q3095" s="86" t="str">
        <f t="shared" si="2"/>
        <v/>
      </c>
      <c r="R3095" s="13" t="str">
        <f t="shared" si="3"/>
        <v>Yes</v>
      </c>
      <c r="S3095" s="86" t="str">
        <f t="array" ref="S3095">iferror(XLOOKUP(C3095,'Download of SFDC Activation Rep'!B:B,'Download of SFDC Activation Rep'!Y:Y),"")</f>
        <v/>
      </c>
    </row>
    <row r="3096">
      <c r="A3096" s="17"/>
      <c r="B3096" s="85"/>
      <c r="C3096" s="17"/>
      <c r="D3096" s="85"/>
      <c r="E3096" s="17"/>
      <c r="F3096" s="17"/>
      <c r="G3096" s="17"/>
      <c r="I3096" s="17"/>
      <c r="K3096" s="17"/>
      <c r="L3096" s="17"/>
      <c r="M3096" s="17"/>
      <c r="O3096" s="14">
        <f t="shared" si="1"/>
        <v>0</v>
      </c>
      <c r="P3096" s="86" t="str">
        <f t="array" ref="P3096">iferror(XLOOKUP(C3096,'Download of SFDC Activation Rep'!B:B,'Download of SFDC Activation Rep'!Z:Z),"")</f>
        <v/>
      </c>
      <c r="Q3096" s="86" t="str">
        <f t="shared" si="2"/>
        <v/>
      </c>
      <c r="R3096" s="13" t="str">
        <f t="shared" si="3"/>
        <v>Yes</v>
      </c>
      <c r="S3096" s="86" t="str">
        <f t="array" ref="S3096">iferror(XLOOKUP(C3096,'Download of SFDC Activation Rep'!B:B,'Download of SFDC Activation Rep'!Y:Y),"")</f>
        <v/>
      </c>
    </row>
    <row r="3097">
      <c r="A3097" s="17"/>
      <c r="B3097" s="85"/>
      <c r="C3097" s="17"/>
      <c r="D3097" s="85"/>
      <c r="E3097" s="17"/>
      <c r="F3097" s="17"/>
      <c r="G3097" s="17"/>
      <c r="I3097" s="17"/>
      <c r="K3097" s="17"/>
      <c r="L3097" s="17"/>
      <c r="M3097" s="17"/>
      <c r="O3097" s="14">
        <f t="shared" si="1"/>
        <v>0</v>
      </c>
      <c r="P3097" s="86" t="str">
        <f t="array" ref="P3097">iferror(XLOOKUP(C3097,'Download of SFDC Activation Rep'!B:B,'Download of SFDC Activation Rep'!Z:Z),"")</f>
        <v/>
      </c>
      <c r="Q3097" s="86" t="str">
        <f t="shared" si="2"/>
        <v/>
      </c>
      <c r="R3097" s="13" t="str">
        <f t="shared" si="3"/>
        <v>Yes</v>
      </c>
      <c r="S3097" s="86" t="str">
        <f t="array" ref="S3097">iferror(XLOOKUP(C3097,'Download of SFDC Activation Rep'!B:B,'Download of SFDC Activation Rep'!Y:Y),"")</f>
        <v/>
      </c>
    </row>
    <row r="3098">
      <c r="A3098" s="17"/>
      <c r="B3098" s="85"/>
      <c r="C3098" s="17"/>
      <c r="D3098" s="85"/>
      <c r="E3098" s="17"/>
      <c r="F3098" s="17"/>
      <c r="G3098" s="17"/>
      <c r="I3098" s="17"/>
      <c r="K3098" s="17"/>
      <c r="L3098" s="17"/>
      <c r="M3098" s="17"/>
      <c r="O3098" s="14">
        <f t="shared" si="1"/>
        <v>0</v>
      </c>
      <c r="P3098" s="86" t="str">
        <f t="array" ref="P3098">iferror(XLOOKUP(C3098,'Download of SFDC Activation Rep'!B:B,'Download of SFDC Activation Rep'!Z:Z),"")</f>
        <v/>
      </c>
      <c r="Q3098" s="86" t="str">
        <f t="shared" si="2"/>
        <v/>
      </c>
      <c r="R3098" s="13" t="str">
        <f t="shared" si="3"/>
        <v>Yes</v>
      </c>
      <c r="S3098" s="86" t="str">
        <f t="array" ref="S3098">iferror(XLOOKUP(C3098,'Download of SFDC Activation Rep'!B:B,'Download of SFDC Activation Rep'!Y:Y),"")</f>
        <v/>
      </c>
    </row>
    <row r="3099">
      <c r="A3099" s="17"/>
      <c r="B3099" s="85"/>
      <c r="C3099" s="17"/>
      <c r="D3099" s="85"/>
      <c r="E3099" s="17"/>
      <c r="F3099" s="17"/>
      <c r="G3099" s="17"/>
      <c r="I3099" s="17"/>
      <c r="K3099" s="17"/>
      <c r="L3099" s="17"/>
      <c r="M3099" s="17"/>
      <c r="O3099" s="14">
        <f t="shared" si="1"/>
        <v>0</v>
      </c>
      <c r="P3099" s="86" t="str">
        <f t="array" ref="P3099">iferror(XLOOKUP(C3099,'Download of SFDC Activation Rep'!B:B,'Download of SFDC Activation Rep'!Z:Z),"")</f>
        <v/>
      </c>
      <c r="Q3099" s="86" t="str">
        <f t="shared" si="2"/>
        <v/>
      </c>
      <c r="R3099" s="13" t="str">
        <f t="shared" si="3"/>
        <v>Yes</v>
      </c>
      <c r="S3099" s="86" t="str">
        <f t="array" ref="S3099">iferror(XLOOKUP(C3099,'Download of SFDC Activation Rep'!B:B,'Download of SFDC Activation Rep'!Y:Y),"")</f>
        <v/>
      </c>
    </row>
    <row r="3100">
      <c r="A3100" s="17"/>
      <c r="B3100" s="85"/>
      <c r="C3100" s="17"/>
      <c r="D3100" s="85"/>
      <c r="E3100" s="17"/>
      <c r="F3100" s="17"/>
      <c r="G3100" s="17"/>
      <c r="I3100" s="17"/>
      <c r="K3100" s="17"/>
      <c r="L3100" s="17"/>
      <c r="M3100" s="17"/>
      <c r="O3100" s="14">
        <f t="shared" si="1"/>
        <v>0</v>
      </c>
      <c r="P3100" s="86" t="str">
        <f t="array" ref="P3100">iferror(XLOOKUP(C3100,'Download of SFDC Activation Rep'!B:B,'Download of SFDC Activation Rep'!Z:Z),"")</f>
        <v/>
      </c>
      <c r="Q3100" s="86" t="str">
        <f t="shared" si="2"/>
        <v/>
      </c>
      <c r="R3100" s="13" t="str">
        <f t="shared" si="3"/>
        <v>Yes</v>
      </c>
      <c r="S3100" s="86" t="str">
        <f t="array" ref="S3100">iferror(XLOOKUP(C3100,'Download of SFDC Activation Rep'!B:B,'Download of SFDC Activation Rep'!Y:Y),"")</f>
        <v/>
      </c>
    </row>
    <row r="3101">
      <c r="A3101" s="17"/>
      <c r="B3101" s="85"/>
      <c r="C3101" s="17"/>
      <c r="D3101" s="85"/>
      <c r="E3101" s="17"/>
      <c r="F3101" s="17"/>
      <c r="G3101" s="17"/>
      <c r="I3101" s="17"/>
      <c r="K3101" s="17"/>
      <c r="L3101" s="17"/>
      <c r="M3101" s="17"/>
      <c r="O3101" s="14">
        <f t="shared" si="1"/>
        <v>0</v>
      </c>
      <c r="P3101" s="86" t="str">
        <f t="array" ref="P3101">iferror(XLOOKUP(C3101,'Download of SFDC Activation Rep'!B:B,'Download of SFDC Activation Rep'!Z:Z),"")</f>
        <v/>
      </c>
      <c r="Q3101" s="86" t="str">
        <f t="shared" si="2"/>
        <v/>
      </c>
      <c r="R3101" s="13" t="str">
        <f t="shared" si="3"/>
        <v>Yes</v>
      </c>
      <c r="S3101" s="86" t="str">
        <f t="array" ref="S3101">iferror(XLOOKUP(C3101,'Download of SFDC Activation Rep'!B:B,'Download of SFDC Activation Rep'!Y:Y),"")</f>
        <v/>
      </c>
    </row>
    <row r="3102">
      <c r="A3102" s="17"/>
      <c r="B3102" s="85"/>
      <c r="C3102" s="17"/>
      <c r="D3102" s="85"/>
      <c r="E3102" s="17"/>
      <c r="F3102" s="17"/>
      <c r="G3102" s="17"/>
      <c r="I3102" s="17"/>
      <c r="K3102" s="17"/>
      <c r="L3102" s="17"/>
      <c r="M3102" s="17"/>
      <c r="O3102" s="14">
        <f t="shared" si="1"/>
        <v>0</v>
      </c>
      <c r="P3102" s="86" t="str">
        <f t="array" ref="P3102">iferror(XLOOKUP(C3102,'Download of SFDC Activation Rep'!B:B,'Download of SFDC Activation Rep'!Z:Z),"")</f>
        <v/>
      </c>
      <c r="Q3102" s="86" t="str">
        <f t="shared" si="2"/>
        <v/>
      </c>
      <c r="R3102" s="13" t="str">
        <f t="shared" si="3"/>
        <v>Yes</v>
      </c>
      <c r="S3102" s="86" t="str">
        <f t="array" ref="S3102">iferror(XLOOKUP(C3102,'Download of SFDC Activation Rep'!B:B,'Download of SFDC Activation Rep'!Y:Y),"")</f>
        <v/>
      </c>
    </row>
    <row r="3103">
      <c r="A3103" s="17"/>
      <c r="B3103" s="85"/>
      <c r="C3103" s="17"/>
      <c r="D3103" s="85"/>
      <c r="E3103" s="17"/>
      <c r="F3103" s="17"/>
      <c r="G3103" s="17"/>
      <c r="I3103" s="17"/>
      <c r="K3103" s="17"/>
      <c r="L3103" s="17"/>
      <c r="M3103" s="17"/>
      <c r="O3103" s="14">
        <f t="shared" si="1"/>
        <v>0</v>
      </c>
      <c r="P3103" s="86" t="str">
        <f t="array" ref="P3103">iferror(XLOOKUP(C3103,'Download of SFDC Activation Rep'!B:B,'Download of SFDC Activation Rep'!Z:Z),"")</f>
        <v/>
      </c>
      <c r="Q3103" s="86" t="str">
        <f t="shared" si="2"/>
        <v/>
      </c>
      <c r="R3103" s="13" t="str">
        <f t="shared" si="3"/>
        <v>Yes</v>
      </c>
      <c r="S3103" s="86" t="str">
        <f t="array" ref="S3103">iferror(XLOOKUP(C3103,'Download of SFDC Activation Rep'!B:B,'Download of SFDC Activation Rep'!Y:Y),"")</f>
        <v/>
      </c>
    </row>
    <row r="3104">
      <c r="A3104" s="17"/>
      <c r="B3104" s="85"/>
      <c r="C3104" s="17"/>
      <c r="D3104" s="85"/>
      <c r="E3104" s="17"/>
      <c r="F3104" s="17"/>
      <c r="G3104" s="17"/>
      <c r="I3104" s="17"/>
      <c r="K3104" s="17"/>
      <c r="L3104" s="17"/>
      <c r="M3104" s="17"/>
      <c r="O3104" s="14">
        <f t="shared" si="1"/>
        <v>0</v>
      </c>
      <c r="P3104" s="86" t="str">
        <f t="array" ref="P3104">iferror(XLOOKUP(C3104,'Download of SFDC Activation Rep'!B:B,'Download of SFDC Activation Rep'!Z:Z),"")</f>
        <v/>
      </c>
      <c r="Q3104" s="86" t="str">
        <f t="shared" si="2"/>
        <v/>
      </c>
      <c r="R3104" s="13" t="str">
        <f t="shared" si="3"/>
        <v>Yes</v>
      </c>
      <c r="S3104" s="86" t="str">
        <f t="array" ref="S3104">iferror(XLOOKUP(C3104,'Download of SFDC Activation Rep'!B:B,'Download of SFDC Activation Rep'!Y:Y),"")</f>
        <v/>
      </c>
    </row>
    <row r="3105">
      <c r="A3105" s="17"/>
      <c r="B3105" s="85"/>
      <c r="C3105" s="17"/>
      <c r="D3105" s="85"/>
      <c r="E3105" s="17"/>
      <c r="F3105" s="17"/>
      <c r="G3105" s="17"/>
      <c r="I3105" s="17"/>
      <c r="K3105" s="17"/>
      <c r="L3105" s="17"/>
      <c r="M3105" s="17"/>
      <c r="O3105" s="14">
        <f t="shared" si="1"/>
        <v>0</v>
      </c>
      <c r="P3105" s="86" t="str">
        <f t="array" ref="P3105">iferror(XLOOKUP(C3105,'Download of SFDC Activation Rep'!B:B,'Download of SFDC Activation Rep'!Z:Z),"")</f>
        <v/>
      </c>
      <c r="Q3105" s="86" t="str">
        <f t="shared" si="2"/>
        <v/>
      </c>
      <c r="R3105" s="13" t="str">
        <f t="shared" si="3"/>
        <v>Yes</v>
      </c>
      <c r="S3105" s="86" t="str">
        <f t="array" ref="S3105">iferror(XLOOKUP(C3105,'Download of SFDC Activation Rep'!B:B,'Download of SFDC Activation Rep'!Y:Y),"")</f>
        <v/>
      </c>
    </row>
    <row r="3106">
      <c r="A3106" s="17"/>
      <c r="B3106" s="85"/>
      <c r="C3106" s="17"/>
      <c r="D3106" s="85"/>
      <c r="E3106" s="17"/>
      <c r="F3106" s="17"/>
      <c r="G3106" s="17"/>
      <c r="I3106" s="17"/>
      <c r="K3106" s="17"/>
      <c r="L3106" s="17"/>
      <c r="M3106" s="17"/>
      <c r="O3106" s="14">
        <f t="shared" si="1"/>
        <v>0</v>
      </c>
      <c r="P3106" s="86" t="str">
        <f t="array" ref="P3106">iferror(XLOOKUP(C3106,'Download of SFDC Activation Rep'!B:B,'Download of SFDC Activation Rep'!Z:Z),"")</f>
        <v/>
      </c>
      <c r="Q3106" s="86" t="str">
        <f t="shared" si="2"/>
        <v/>
      </c>
      <c r="R3106" s="13" t="str">
        <f t="shared" si="3"/>
        <v>Yes</v>
      </c>
      <c r="S3106" s="86" t="str">
        <f t="array" ref="S3106">iferror(XLOOKUP(C3106,'Download of SFDC Activation Rep'!B:B,'Download of SFDC Activation Rep'!Y:Y),"")</f>
        <v/>
      </c>
    </row>
    <row r="3107">
      <c r="A3107" s="17"/>
      <c r="B3107" s="85"/>
      <c r="C3107" s="17"/>
      <c r="D3107" s="85"/>
      <c r="E3107" s="17"/>
      <c r="F3107" s="17"/>
      <c r="G3107" s="17"/>
      <c r="I3107" s="17"/>
      <c r="K3107" s="17"/>
      <c r="L3107" s="17"/>
      <c r="M3107" s="17"/>
      <c r="O3107" s="14">
        <f t="shared" si="1"/>
        <v>0</v>
      </c>
      <c r="P3107" s="86" t="str">
        <f t="array" ref="P3107">iferror(XLOOKUP(C3107,'Download of SFDC Activation Rep'!B:B,'Download of SFDC Activation Rep'!Z:Z),"")</f>
        <v/>
      </c>
      <c r="Q3107" s="86" t="str">
        <f t="shared" si="2"/>
        <v/>
      </c>
      <c r="R3107" s="13" t="str">
        <f t="shared" si="3"/>
        <v>Yes</v>
      </c>
      <c r="S3107" s="86" t="str">
        <f t="array" ref="S3107">iferror(XLOOKUP(C3107,'Download of SFDC Activation Rep'!B:B,'Download of SFDC Activation Rep'!Y:Y),"")</f>
        <v/>
      </c>
    </row>
    <row r="3108">
      <c r="A3108" s="17"/>
      <c r="B3108" s="85"/>
      <c r="C3108" s="17"/>
      <c r="D3108" s="85"/>
      <c r="E3108" s="17"/>
      <c r="F3108" s="17"/>
      <c r="G3108" s="17"/>
      <c r="I3108" s="17"/>
      <c r="K3108" s="17"/>
      <c r="L3108" s="17"/>
      <c r="M3108" s="17"/>
      <c r="O3108" s="14">
        <f t="shared" si="1"/>
        <v>0</v>
      </c>
      <c r="P3108" s="86" t="str">
        <f t="array" ref="P3108">iferror(XLOOKUP(C3108,'Download of SFDC Activation Rep'!B:B,'Download of SFDC Activation Rep'!Z:Z),"")</f>
        <v/>
      </c>
      <c r="Q3108" s="86" t="str">
        <f t="shared" si="2"/>
        <v/>
      </c>
      <c r="R3108" s="13" t="str">
        <f t="shared" si="3"/>
        <v>Yes</v>
      </c>
      <c r="S3108" s="86" t="str">
        <f t="array" ref="S3108">iferror(XLOOKUP(C3108,'Download of SFDC Activation Rep'!B:B,'Download of SFDC Activation Rep'!Y:Y),"")</f>
        <v/>
      </c>
    </row>
    <row r="3109">
      <c r="A3109" s="17"/>
      <c r="B3109" s="85"/>
      <c r="C3109" s="17"/>
      <c r="D3109" s="85"/>
      <c r="E3109" s="17"/>
      <c r="F3109" s="17"/>
      <c r="G3109" s="17"/>
      <c r="I3109" s="17"/>
      <c r="K3109" s="17"/>
      <c r="L3109" s="17"/>
      <c r="M3109" s="17"/>
      <c r="O3109" s="14">
        <f t="shared" si="1"/>
        <v>0</v>
      </c>
      <c r="P3109" s="86" t="str">
        <f t="array" ref="P3109">iferror(XLOOKUP(C3109,'Download of SFDC Activation Rep'!B:B,'Download of SFDC Activation Rep'!Z:Z),"")</f>
        <v/>
      </c>
      <c r="Q3109" s="86" t="str">
        <f t="shared" si="2"/>
        <v/>
      </c>
      <c r="R3109" s="13" t="str">
        <f t="shared" si="3"/>
        <v>Yes</v>
      </c>
      <c r="S3109" s="86" t="str">
        <f t="array" ref="S3109">iferror(XLOOKUP(C3109,'Download of SFDC Activation Rep'!B:B,'Download of SFDC Activation Rep'!Y:Y),"")</f>
        <v/>
      </c>
    </row>
    <row r="3110">
      <c r="A3110" s="17"/>
      <c r="B3110" s="85"/>
      <c r="C3110" s="17"/>
      <c r="D3110" s="85"/>
      <c r="E3110" s="17"/>
      <c r="F3110" s="17"/>
      <c r="G3110" s="17"/>
      <c r="I3110" s="17"/>
      <c r="K3110" s="17"/>
      <c r="L3110" s="17"/>
      <c r="M3110" s="17"/>
      <c r="O3110" s="14">
        <f t="shared" si="1"/>
        <v>0</v>
      </c>
      <c r="P3110" s="86" t="str">
        <f t="array" ref="P3110">iferror(XLOOKUP(C3110,'Download of SFDC Activation Rep'!B:B,'Download of SFDC Activation Rep'!Z:Z),"")</f>
        <v/>
      </c>
      <c r="Q3110" s="86" t="str">
        <f t="shared" si="2"/>
        <v/>
      </c>
      <c r="R3110" s="13" t="str">
        <f t="shared" si="3"/>
        <v>Yes</v>
      </c>
      <c r="S3110" s="86" t="str">
        <f t="array" ref="S3110">iferror(XLOOKUP(C3110,'Download of SFDC Activation Rep'!B:B,'Download of SFDC Activation Rep'!Y:Y),"")</f>
        <v/>
      </c>
    </row>
    <row r="3111">
      <c r="A3111" s="17"/>
      <c r="B3111" s="85"/>
      <c r="C3111" s="17"/>
      <c r="D3111" s="85"/>
      <c r="E3111" s="17"/>
      <c r="F3111" s="17"/>
      <c r="G3111" s="17"/>
      <c r="I3111" s="17"/>
      <c r="K3111" s="17"/>
      <c r="L3111" s="17"/>
      <c r="M3111" s="17"/>
      <c r="O3111" s="14">
        <f t="shared" si="1"/>
        <v>0</v>
      </c>
      <c r="P3111" s="86" t="str">
        <f t="array" ref="P3111">iferror(XLOOKUP(C3111,'Download of SFDC Activation Rep'!B:B,'Download of SFDC Activation Rep'!Z:Z),"")</f>
        <v/>
      </c>
      <c r="Q3111" s="86" t="str">
        <f t="shared" si="2"/>
        <v/>
      </c>
      <c r="R3111" s="13" t="str">
        <f t="shared" si="3"/>
        <v>Yes</v>
      </c>
      <c r="S3111" s="86" t="str">
        <f t="array" ref="S3111">iferror(XLOOKUP(C3111,'Download of SFDC Activation Rep'!B:B,'Download of SFDC Activation Rep'!Y:Y),"")</f>
        <v/>
      </c>
    </row>
    <row r="3112">
      <c r="A3112" s="17"/>
      <c r="B3112" s="85"/>
      <c r="C3112" s="17"/>
      <c r="D3112" s="85"/>
      <c r="E3112" s="17"/>
      <c r="F3112" s="17"/>
      <c r="G3112" s="17"/>
      <c r="I3112" s="17"/>
      <c r="K3112" s="17"/>
      <c r="L3112" s="17"/>
      <c r="M3112" s="17"/>
      <c r="O3112" s="14">
        <f t="shared" si="1"/>
        <v>0</v>
      </c>
      <c r="P3112" s="86" t="str">
        <f t="array" ref="P3112">iferror(XLOOKUP(C3112,'Download of SFDC Activation Rep'!B:B,'Download of SFDC Activation Rep'!Z:Z),"")</f>
        <v/>
      </c>
      <c r="Q3112" s="86" t="str">
        <f t="shared" si="2"/>
        <v/>
      </c>
      <c r="R3112" s="13" t="str">
        <f t="shared" si="3"/>
        <v>Yes</v>
      </c>
      <c r="S3112" s="86" t="str">
        <f t="array" ref="S3112">iferror(XLOOKUP(C3112,'Download of SFDC Activation Rep'!B:B,'Download of SFDC Activation Rep'!Y:Y),"")</f>
        <v/>
      </c>
    </row>
    <row r="3113">
      <c r="A3113" s="17"/>
      <c r="B3113" s="85"/>
      <c r="C3113" s="17"/>
      <c r="D3113" s="85"/>
      <c r="E3113" s="17"/>
      <c r="F3113" s="17"/>
      <c r="G3113" s="17"/>
      <c r="I3113" s="17"/>
      <c r="K3113" s="17"/>
      <c r="L3113" s="17"/>
      <c r="M3113" s="17"/>
      <c r="O3113" s="14">
        <f t="shared" si="1"/>
        <v>0</v>
      </c>
      <c r="P3113" s="86" t="str">
        <f t="array" ref="P3113">iferror(XLOOKUP(C3113,'Download of SFDC Activation Rep'!B:B,'Download of SFDC Activation Rep'!Z:Z),"")</f>
        <v/>
      </c>
      <c r="Q3113" s="86" t="str">
        <f t="shared" si="2"/>
        <v/>
      </c>
      <c r="R3113" s="13" t="str">
        <f t="shared" si="3"/>
        <v>Yes</v>
      </c>
      <c r="S3113" s="86" t="str">
        <f t="array" ref="S3113">iferror(XLOOKUP(C3113,'Download of SFDC Activation Rep'!B:B,'Download of SFDC Activation Rep'!Y:Y),"")</f>
        <v/>
      </c>
    </row>
    <row r="3114">
      <c r="A3114" s="17"/>
      <c r="B3114" s="85"/>
      <c r="C3114" s="17"/>
      <c r="D3114" s="85"/>
      <c r="E3114" s="17"/>
      <c r="F3114" s="17"/>
      <c r="G3114" s="17"/>
      <c r="I3114" s="17"/>
      <c r="K3114" s="17"/>
      <c r="L3114" s="17"/>
      <c r="M3114" s="17"/>
      <c r="O3114" s="14">
        <f t="shared" si="1"/>
        <v>0</v>
      </c>
      <c r="P3114" s="86" t="str">
        <f t="array" ref="P3114">iferror(XLOOKUP(C3114,'Download of SFDC Activation Rep'!B:B,'Download of SFDC Activation Rep'!Z:Z),"")</f>
        <v/>
      </c>
      <c r="Q3114" s="86" t="str">
        <f t="shared" si="2"/>
        <v/>
      </c>
      <c r="R3114" s="13" t="str">
        <f t="shared" si="3"/>
        <v>Yes</v>
      </c>
      <c r="S3114" s="86" t="str">
        <f t="array" ref="S3114">iferror(XLOOKUP(C3114,'Download of SFDC Activation Rep'!B:B,'Download of SFDC Activation Rep'!Y:Y),"")</f>
        <v/>
      </c>
    </row>
    <row r="3115">
      <c r="A3115" s="17"/>
      <c r="B3115" s="85"/>
      <c r="C3115" s="17"/>
      <c r="D3115" s="85"/>
      <c r="E3115" s="17"/>
      <c r="F3115" s="17"/>
      <c r="G3115" s="17"/>
      <c r="I3115" s="17"/>
      <c r="K3115" s="17"/>
      <c r="L3115" s="17"/>
      <c r="M3115" s="17"/>
      <c r="O3115" s="14">
        <f t="shared" si="1"/>
        <v>0</v>
      </c>
      <c r="P3115" s="86" t="str">
        <f t="array" ref="P3115">iferror(XLOOKUP(C3115,'Download of SFDC Activation Rep'!B:B,'Download of SFDC Activation Rep'!Z:Z),"")</f>
        <v/>
      </c>
      <c r="Q3115" s="86" t="str">
        <f t="shared" si="2"/>
        <v/>
      </c>
      <c r="R3115" s="13" t="str">
        <f t="shared" si="3"/>
        <v>Yes</v>
      </c>
      <c r="S3115" s="86" t="str">
        <f t="array" ref="S3115">iferror(XLOOKUP(C3115,'Download of SFDC Activation Rep'!B:B,'Download of SFDC Activation Rep'!Y:Y),"")</f>
        <v/>
      </c>
    </row>
    <row r="3116">
      <c r="A3116" s="17"/>
      <c r="B3116" s="85"/>
      <c r="C3116" s="17"/>
      <c r="D3116" s="85"/>
      <c r="E3116" s="17"/>
      <c r="F3116" s="17"/>
      <c r="G3116" s="17"/>
      <c r="I3116" s="17"/>
      <c r="K3116" s="17"/>
      <c r="L3116" s="17"/>
      <c r="M3116" s="17"/>
      <c r="O3116" s="14">
        <f t="shared" si="1"/>
        <v>0</v>
      </c>
      <c r="P3116" s="86" t="str">
        <f t="array" ref="P3116">iferror(XLOOKUP(C3116,'Download of SFDC Activation Rep'!B:B,'Download of SFDC Activation Rep'!Z:Z),"")</f>
        <v/>
      </c>
      <c r="Q3116" s="86" t="str">
        <f t="shared" si="2"/>
        <v/>
      </c>
      <c r="R3116" s="13" t="str">
        <f t="shared" si="3"/>
        <v>Yes</v>
      </c>
      <c r="S3116" s="86" t="str">
        <f t="array" ref="S3116">iferror(XLOOKUP(C3116,'Download of SFDC Activation Rep'!B:B,'Download of SFDC Activation Rep'!Y:Y),"")</f>
        <v/>
      </c>
    </row>
    <row r="3117">
      <c r="A3117" s="17"/>
      <c r="B3117" s="85"/>
      <c r="C3117" s="17"/>
      <c r="D3117" s="85"/>
      <c r="E3117" s="17"/>
      <c r="F3117" s="17"/>
      <c r="G3117" s="17"/>
      <c r="I3117" s="17"/>
      <c r="K3117" s="17"/>
      <c r="L3117" s="17"/>
      <c r="M3117" s="17"/>
      <c r="O3117" s="14">
        <f t="shared" si="1"/>
        <v>0</v>
      </c>
      <c r="P3117" s="86" t="str">
        <f t="array" ref="P3117">iferror(XLOOKUP(C3117,'Download of SFDC Activation Rep'!B:B,'Download of SFDC Activation Rep'!Z:Z),"")</f>
        <v/>
      </c>
      <c r="Q3117" s="86" t="str">
        <f t="shared" si="2"/>
        <v/>
      </c>
      <c r="R3117" s="13" t="str">
        <f t="shared" si="3"/>
        <v>Yes</v>
      </c>
      <c r="S3117" s="86" t="str">
        <f t="array" ref="S3117">iferror(XLOOKUP(C3117,'Download of SFDC Activation Rep'!B:B,'Download of SFDC Activation Rep'!Y:Y),"")</f>
        <v/>
      </c>
    </row>
    <row r="3118">
      <c r="A3118" s="17"/>
      <c r="B3118" s="85"/>
      <c r="C3118" s="17"/>
      <c r="D3118" s="85"/>
      <c r="E3118" s="17"/>
      <c r="F3118" s="17"/>
      <c r="G3118" s="17"/>
      <c r="I3118" s="17"/>
      <c r="K3118" s="17"/>
      <c r="L3118" s="17"/>
      <c r="M3118" s="17"/>
      <c r="O3118" s="14">
        <f t="shared" si="1"/>
        <v>0</v>
      </c>
      <c r="P3118" s="86" t="str">
        <f t="array" ref="P3118">iferror(XLOOKUP(C3118,'Download of SFDC Activation Rep'!B:B,'Download of SFDC Activation Rep'!Z:Z),"")</f>
        <v/>
      </c>
      <c r="Q3118" s="86" t="str">
        <f t="shared" si="2"/>
        <v/>
      </c>
      <c r="R3118" s="13" t="str">
        <f t="shared" si="3"/>
        <v>Yes</v>
      </c>
      <c r="S3118" s="86" t="str">
        <f t="array" ref="S3118">iferror(XLOOKUP(C3118,'Download of SFDC Activation Rep'!B:B,'Download of SFDC Activation Rep'!Y:Y),"")</f>
        <v/>
      </c>
    </row>
    <row r="3119">
      <c r="A3119" s="17"/>
      <c r="B3119" s="85"/>
      <c r="C3119" s="17"/>
      <c r="D3119" s="85"/>
      <c r="E3119" s="17"/>
      <c r="F3119" s="17"/>
      <c r="G3119" s="17"/>
      <c r="I3119" s="17"/>
      <c r="K3119" s="17"/>
      <c r="L3119" s="17"/>
      <c r="M3119" s="17"/>
      <c r="O3119" s="14">
        <f t="shared" si="1"/>
        <v>0</v>
      </c>
      <c r="P3119" s="86" t="str">
        <f t="array" ref="P3119">iferror(XLOOKUP(C3119,'Download of SFDC Activation Rep'!B:B,'Download of SFDC Activation Rep'!Z:Z),"")</f>
        <v/>
      </c>
      <c r="Q3119" s="86" t="str">
        <f t="shared" si="2"/>
        <v/>
      </c>
      <c r="R3119" s="13" t="str">
        <f t="shared" si="3"/>
        <v>Yes</v>
      </c>
      <c r="S3119" s="86" t="str">
        <f t="array" ref="S3119">iferror(XLOOKUP(C3119,'Download of SFDC Activation Rep'!B:B,'Download of SFDC Activation Rep'!Y:Y),"")</f>
        <v/>
      </c>
    </row>
    <row r="3120">
      <c r="A3120" s="17"/>
      <c r="B3120" s="85"/>
      <c r="C3120" s="17"/>
      <c r="D3120" s="85"/>
      <c r="E3120" s="17"/>
      <c r="F3120" s="17"/>
      <c r="G3120" s="17"/>
      <c r="I3120" s="17"/>
      <c r="K3120" s="17"/>
      <c r="L3120" s="17"/>
      <c r="M3120" s="17"/>
      <c r="O3120" s="14">
        <f t="shared" si="1"/>
        <v>0</v>
      </c>
      <c r="P3120" s="86" t="str">
        <f t="array" ref="P3120">iferror(XLOOKUP(C3120,'Download of SFDC Activation Rep'!B:B,'Download of SFDC Activation Rep'!Z:Z),"")</f>
        <v/>
      </c>
      <c r="Q3120" s="86" t="str">
        <f t="shared" si="2"/>
        <v/>
      </c>
      <c r="R3120" s="13" t="str">
        <f t="shared" si="3"/>
        <v>Yes</v>
      </c>
      <c r="S3120" s="86" t="str">
        <f t="array" ref="S3120">iferror(XLOOKUP(C3120,'Download of SFDC Activation Rep'!B:B,'Download of SFDC Activation Rep'!Y:Y),"")</f>
        <v/>
      </c>
    </row>
    <row r="3121">
      <c r="A3121" s="17"/>
      <c r="B3121" s="85"/>
      <c r="C3121" s="17"/>
      <c r="D3121" s="85"/>
      <c r="E3121" s="17"/>
      <c r="F3121" s="17"/>
      <c r="G3121" s="17"/>
      <c r="I3121" s="17"/>
      <c r="K3121" s="17"/>
      <c r="L3121" s="17"/>
      <c r="M3121" s="17"/>
      <c r="O3121" s="14">
        <f t="shared" si="1"/>
        <v>0</v>
      </c>
      <c r="P3121" s="86" t="str">
        <f t="array" ref="P3121">iferror(XLOOKUP(C3121,'Download of SFDC Activation Rep'!B:B,'Download of SFDC Activation Rep'!Z:Z),"")</f>
        <v/>
      </c>
      <c r="Q3121" s="86" t="str">
        <f t="shared" si="2"/>
        <v/>
      </c>
      <c r="R3121" s="13" t="str">
        <f t="shared" si="3"/>
        <v>Yes</v>
      </c>
      <c r="S3121" s="86" t="str">
        <f t="array" ref="S3121">iferror(XLOOKUP(C3121,'Download of SFDC Activation Rep'!B:B,'Download of SFDC Activation Rep'!Y:Y),"")</f>
        <v/>
      </c>
    </row>
    <row r="3122">
      <c r="A3122" s="17"/>
      <c r="B3122" s="85"/>
      <c r="C3122" s="17"/>
      <c r="D3122" s="85"/>
      <c r="E3122" s="17"/>
      <c r="F3122" s="17"/>
      <c r="G3122" s="17"/>
      <c r="I3122" s="17"/>
      <c r="K3122" s="17"/>
      <c r="L3122" s="17"/>
      <c r="M3122" s="17"/>
      <c r="O3122" s="14">
        <f t="shared" si="1"/>
        <v>0</v>
      </c>
      <c r="P3122" s="86" t="str">
        <f t="array" ref="P3122">iferror(XLOOKUP(C3122,'Download of SFDC Activation Rep'!B:B,'Download of SFDC Activation Rep'!Z:Z),"")</f>
        <v/>
      </c>
      <c r="Q3122" s="86" t="str">
        <f t="shared" si="2"/>
        <v/>
      </c>
      <c r="R3122" s="13" t="str">
        <f t="shared" si="3"/>
        <v>Yes</v>
      </c>
      <c r="S3122" s="86" t="str">
        <f t="array" ref="S3122">iferror(XLOOKUP(C3122,'Download of SFDC Activation Rep'!B:B,'Download of SFDC Activation Rep'!Y:Y),"")</f>
        <v/>
      </c>
    </row>
    <row r="3123">
      <c r="A3123" s="17"/>
      <c r="B3123" s="85"/>
      <c r="C3123" s="17"/>
      <c r="D3123" s="85"/>
      <c r="E3123" s="17"/>
      <c r="F3123" s="17"/>
      <c r="G3123" s="17"/>
      <c r="I3123" s="17"/>
      <c r="K3123" s="17"/>
      <c r="L3123" s="17"/>
      <c r="M3123" s="17"/>
      <c r="O3123" s="14">
        <f t="shared" si="1"/>
        <v>0</v>
      </c>
      <c r="P3123" s="86" t="str">
        <f t="array" ref="P3123">iferror(XLOOKUP(C3123,'Download of SFDC Activation Rep'!B:B,'Download of SFDC Activation Rep'!Z:Z),"")</f>
        <v/>
      </c>
      <c r="Q3123" s="86" t="str">
        <f t="shared" si="2"/>
        <v/>
      </c>
      <c r="R3123" s="13" t="str">
        <f t="shared" si="3"/>
        <v>Yes</v>
      </c>
      <c r="S3123" s="86" t="str">
        <f t="array" ref="S3123">iferror(XLOOKUP(C3123,'Download of SFDC Activation Rep'!B:B,'Download of SFDC Activation Rep'!Y:Y),"")</f>
        <v/>
      </c>
    </row>
    <row r="3124">
      <c r="A3124" s="17"/>
      <c r="B3124" s="85"/>
      <c r="C3124" s="17"/>
      <c r="D3124" s="85"/>
      <c r="E3124" s="17"/>
      <c r="F3124" s="17"/>
      <c r="G3124" s="17"/>
      <c r="I3124" s="17"/>
      <c r="K3124" s="17"/>
      <c r="L3124" s="17"/>
      <c r="M3124" s="17"/>
      <c r="O3124" s="14">
        <f t="shared" si="1"/>
        <v>0</v>
      </c>
      <c r="P3124" s="86" t="str">
        <f t="array" ref="P3124">iferror(XLOOKUP(C3124,'Download of SFDC Activation Rep'!B:B,'Download of SFDC Activation Rep'!Z:Z),"")</f>
        <v/>
      </c>
      <c r="Q3124" s="86" t="str">
        <f t="shared" si="2"/>
        <v/>
      </c>
      <c r="R3124" s="13" t="str">
        <f t="shared" si="3"/>
        <v>Yes</v>
      </c>
      <c r="S3124" s="86" t="str">
        <f t="array" ref="S3124">iferror(XLOOKUP(C3124,'Download of SFDC Activation Rep'!B:B,'Download of SFDC Activation Rep'!Y:Y),"")</f>
        <v/>
      </c>
    </row>
    <row r="3125">
      <c r="A3125" s="17"/>
      <c r="B3125" s="85"/>
      <c r="C3125" s="17"/>
      <c r="D3125" s="85"/>
      <c r="E3125" s="17"/>
      <c r="F3125" s="17"/>
      <c r="G3125" s="17"/>
      <c r="I3125" s="17"/>
      <c r="K3125" s="17"/>
      <c r="L3125" s="17"/>
      <c r="M3125" s="17"/>
      <c r="O3125" s="14">
        <f t="shared" si="1"/>
        <v>0</v>
      </c>
      <c r="P3125" s="86" t="str">
        <f t="array" ref="P3125">iferror(XLOOKUP(C3125,'Download of SFDC Activation Rep'!B:B,'Download of SFDC Activation Rep'!Z:Z),"")</f>
        <v/>
      </c>
      <c r="Q3125" s="86" t="str">
        <f t="shared" si="2"/>
        <v/>
      </c>
      <c r="R3125" s="13" t="str">
        <f t="shared" si="3"/>
        <v>Yes</v>
      </c>
      <c r="S3125" s="86" t="str">
        <f t="array" ref="S3125">iferror(XLOOKUP(C3125,'Download of SFDC Activation Rep'!B:B,'Download of SFDC Activation Rep'!Y:Y),"")</f>
        <v/>
      </c>
    </row>
    <row r="3126">
      <c r="A3126" s="17"/>
      <c r="B3126" s="85"/>
      <c r="C3126" s="17"/>
      <c r="D3126" s="85"/>
      <c r="E3126" s="17"/>
      <c r="F3126" s="17"/>
      <c r="G3126" s="17"/>
      <c r="I3126" s="17"/>
      <c r="K3126" s="17"/>
      <c r="L3126" s="17"/>
      <c r="M3126" s="17"/>
      <c r="O3126" s="14">
        <f t="shared" si="1"/>
        <v>0</v>
      </c>
      <c r="P3126" s="86" t="str">
        <f t="array" ref="P3126">iferror(XLOOKUP(C3126,'Download of SFDC Activation Rep'!B:B,'Download of SFDC Activation Rep'!Z:Z),"")</f>
        <v/>
      </c>
      <c r="Q3126" s="86" t="str">
        <f t="shared" si="2"/>
        <v/>
      </c>
      <c r="R3126" s="13" t="str">
        <f t="shared" si="3"/>
        <v>Yes</v>
      </c>
      <c r="S3126" s="86" t="str">
        <f t="array" ref="S3126">iferror(XLOOKUP(C3126,'Download of SFDC Activation Rep'!B:B,'Download of SFDC Activation Rep'!Y:Y),"")</f>
        <v/>
      </c>
    </row>
    <row r="3127">
      <c r="A3127" s="17"/>
      <c r="B3127" s="85"/>
      <c r="C3127" s="17"/>
      <c r="D3127" s="85"/>
      <c r="E3127" s="17"/>
      <c r="F3127" s="17"/>
      <c r="G3127" s="17"/>
      <c r="I3127" s="17"/>
      <c r="K3127" s="17"/>
      <c r="L3127" s="17"/>
      <c r="M3127" s="17"/>
      <c r="O3127" s="14">
        <f t="shared" si="1"/>
        <v>0</v>
      </c>
      <c r="P3127" s="86" t="str">
        <f t="array" ref="P3127">iferror(XLOOKUP(C3127,'Download of SFDC Activation Rep'!B:B,'Download of SFDC Activation Rep'!Z:Z),"")</f>
        <v/>
      </c>
      <c r="Q3127" s="86" t="str">
        <f t="shared" si="2"/>
        <v/>
      </c>
      <c r="R3127" s="13" t="str">
        <f t="shared" si="3"/>
        <v>Yes</v>
      </c>
      <c r="S3127" s="86" t="str">
        <f t="array" ref="S3127">iferror(XLOOKUP(C3127,'Download of SFDC Activation Rep'!B:B,'Download of SFDC Activation Rep'!Y:Y),"")</f>
        <v/>
      </c>
    </row>
    <row r="3128">
      <c r="A3128" s="17"/>
      <c r="B3128" s="85"/>
      <c r="C3128" s="17"/>
      <c r="D3128" s="85"/>
      <c r="E3128" s="17"/>
      <c r="F3128" s="17"/>
      <c r="G3128" s="17"/>
      <c r="I3128" s="17"/>
      <c r="K3128" s="17"/>
      <c r="L3128" s="17"/>
      <c r="M3128" s="17"/>
      <c r="O3128" s="14">
        <f t="shared" si="1"/>
        <v>0</v>
      </c>
      <c r="P3128" s="86" t="str">
        <f t="array" ref="P3128">iferror(XLOOKUP(C3128,'Download of SFDC Activation Rep'!B:B,'Download of SFDC Activation Rep'!Z:Z),"")</f>
        <v/>
      </c>
      <c r="Q3128" s="86" t="str">
        <f t="shared" si="2"/>
        <v/>
      </c>
      <c r="R3128" s="13" t="str">
        <f t="shared" si="3"/>
        <v>Yes</v>
      </c>
      <c r="S3128" s="86" t="str">
        <f t="array" ref="S3128">iferror(XLOOKUP(C3128,'Download of SFDC Activation Rep'!B:B,'Download of SFDC Activation Rep'!Y:Y),"")</f>
        <v/>
      </c>
    </row>
    <row r="3129">
      <c r="A3129" s="17"/>
      <c r="B3129" s="85"/>
      <c r="C3129" s="17"/>
      <c r="D3129" s="85"/>
      <c r="E3129" s="17"/>
      <c r="F3129" s="17"/>
      <c r="G3129" s="17"/>
      <c r="I3129" s="17"/>
      <c r="K3129" s="17"/>
      <c r="L3129" s="17"/>
      <c r="M3129" s="17"/>
      <c r="O3129" s="14">
        <f t="shared" si="1"/>
        <v>0</v>
      </c>
      <c r="P3129" s="86" t="str">
        <f t="array" ref="P3129">iferror(XLOOKUP(C3129,'Download of SFDC Activation Rep'!B:B,'Download of SFDC Activation Rep'!Z:Z),"")</f>
        <v/>
      </c>
      <c r="Q3129" s="86" t="str">
        <f t="shared" si="2"/>
        <v/>
      </c>
      <c r="R3129" s="13" t="str">
        <f t="shared" si="3"/>
        <v>Yes</v>
      </c>
      <c r="S3129" s="86" t="str">
        <f t="array" ref="S3129">iferror(XLOOKUP(C3129,'Download of SFDC Activation Rep'!B:B,'Download of SFDC Activation Rep'!Y:Y),"")</f>
        <v/>
      </c>
    </row>
    <row r="3130">
      <c r="A3130" s="17"/>
      <c r="B3130" s="85"/>
      <c r="C3130" s="17"/>
      <c r="D3130" s="85"/>
      <c r="E3130" s="17"/>
      <c r="F3130" s="17"/>
      <c r="G3130" s="17"/>
      <c r="I3130" s="17"/>
      <c r="K3130" s="17"/>
      <c r="L3130" s="17"/>
      <c r="M3130" s="17"/>
      <c r="O3130" s="14">
        <f t="shared" si="1"/>
        <v>0</v>
      </c>
      <c r="P3130" s="86" t="str">
        <f t="array" ref="P3130">iferror(XLOOKUP(C3130,'Download of SFDC Activation Rep'!B:B,'Download of SFDC Activation Rep'!Z:Z),"")</f>
        <v/>
      </c>
      <c r="Q3130" s="86" t="str">
        <f t="shared" si="2"/>
        <v/>
      </c>
      <c r="R3130" s="13" t="str">
        <f t="shared" si="3"/>
        <v>Yes</v>
      </c>
      <c r="S3130" s="86" t="str">
        <f t="array" ref="S3130">iferror(XLOOKUP(C3130,'Download of SFDC Activation Rep'!B:B,'Download of SFDC Activation Rep'!Y:Y),"")</f>
        <v/>
      </c>
    </row>
    <row r="3131">
      <c r="A3131" s="17"/>
      <c r="B3131" s="85"/>
      <c r="C3131" s="17"/>
      <c r="D3131" s="85"/>
      <c r="E3131" s="17"/>
      <c r="F3131" s="17"/>
      <c r="G3131" s="17"/>
      <c r="I3131" s="17"/>
      <c r="K3131" s="17"/>
      <c r="L3131" s="17"/>
      <c r="M3131" s="17"/>
      <c r="O3131" s="14">
        <f t="shared" si="1"/>
        <v>0</v>
      </c>
      <c r="P3131" s="86" t="str">
        <f t="array" ref="P3131">iferror(XLOOKUP(C3131,'Download of SFDC Activation Rep'!B:B,'Download of SFDC Activation Rep'!Z:Z),"")</f>
        <v/>
      </c>
      <c r="Q3131" s="86" t="str">
        <f t="shared" si="2"/>
        <v/>
      </c>
      <c r="R3131" s="13" t="str">
        <f t="shared" si="3"/>
        <v>Yes</v>
      </c>
      <c r="S3131" s="86" t="str">
        <f t="array" ref="S3131">iferror(XLOOKUP(C3131,'Download of SFDC Activation Rep'!B:B,'Download of SFDC Activation Rep'!Y:Y),"")</f>
        <v/>
      </c>
    </row>
    <row r="3132">
      <c r="A3132" s="17"/>
      <c r="B3132" s="85"/>
      <c r="C3132" s="17"/>
      <c r="D3132" s="85"/>
      <c r="E3132" s="17"/>
      <c r="F3132" s="17"/>
      <c r="G3132" s="17"/>
      <c r="I3132" s="17"/>
      <c r="K3132" s="17"/>
      <c r="L3132" s="17"/>
      <c r="M3132" s="17"/>
      <c r="O3132" s="14">
        <f t="shared" si="1"/>
        <v>0</v>
      </c>
      <c r="P3132" s="86" t="str">
        <f t="array" ref="P3132">iferror(XLOOKUP(C3132,'Download of SFDC Activation Rep'!B:B,'Download of SFDC Activation Rep'!Z:Z),"")</f>
        <v/>
      </c>
      <c r="Q3132" s="86" t="str">
        <f t="shared" si="2"/>
        <v/>
      </c>
      <c r="R3132" s="13" t="str">
        <f t="shared" si="3"/>
        <v>Yes</v>
      </c>
      <c r="S3132" s="86" t="str">
        <f t="array" ref="S3132">iferror(XLOOKUP(C3132,'Download of SFDC Activation Rep'!B:B,'Download of SFDC Activation Rep'!Y:Y),"")</f>
        <v/>
      </c>
    </row>
    <row r="3133">
      <c r="A3133" s="17"/>
      <c r="B3133" s="85"/>
      <c r="C3133" s="17"/>
      <c r="D3133" s="85"/>
      <c r="E3133" s="17"/>
      <c r="F3133" s="17"/>
      <c r="G3133" s="17"/>
      <c r="I3133" s="17"/>
      <c r="K3133" s="17"/>
      <c r="L3133" s="17"/>
      <c r="M3133" s="17"/>
      <c r="O3133" s="14">
        <f t="shared" si="1"/>
        <v>0</v>
      </c>
      <c r="P3133" s="86" t="str">
        <f t="array" ref="P3133">iferror(XLOOKUP(C3133,'Download of SFDC Activation Rep'!B:B,'Download of SFDC Activation Rep'!Z:Z),"")</f>
        <v/>
      </c>
      <c r="Q3133" s="86" t="str">
        <f t="shared" si="2"/>
        <v/>
      </c>
      <c r="R3133" s="13" t="str">
        <f t="shared" si="3"/>
        <v>Yes</v>
      </c>
      <c r="S3133" s="86" t="str">
        <f t="array" ref="S3133">iferror(XLOOKUP(C3133,'Download of SFDC Activation Rep'!B:B,'Download of SFDC Activation Rep'!Y:Y),"")</f>
        <v/>
      </c>
    </row>
    <row r="3134">
      <c r="A3134" s="17"/>
      <c r="B3134" s="85"/>
      <c r="C3134" s="17"/>
      <c r="D3134" s="85"/>
      <c r="E3134" s="17"/>
      <c r="F3134" s="17"/>
      <c r="G3134" s="17"/>
      <c r="I3134" s="17"/>
      <c r="K3134" s="17"/>
      <c r="L3134" s="17"/>
      <c r="M3134" s="17"/>
      <c r="O3134" s="14">
        <f t="shared" si="1"/>
        <v>0</v>
      </c>
      <c r="P3134" s="86" t="str">
        <f t="array" ref="P3134">iferror(XLOOKUP(C3134,'Download of SFDC Activation Rep'!B:B,'Download of SFDC Activation Rep'!Z:Z),"")</f>
        <v/>
      </c>
      <c r="Q3134" s="86" t="str">
        <f t="shared" si="2"/>
        <v/>
      </c>
      <c r="R3134" s="13" t="str">
        <f t="shared" si="3"/>
        <v>Yes</v>
      </c>
      <c r="S3134" s="86" t="str">
        <f t="array" ref="S3134">iferror(XLOOKUP(C3134,'Download of SFDC Activation Rep'!B:B,'Download of SFDC Activation Rep'!Y:Y),"")</f>
        <v/>
      </c>
    </row>
    <row r="3135">
      <c r="A3135" s="17"/>
      <c r="B3135" s="85"/>
      <c r="C3135" s="17"/>
      <c r="D3135" s="85"/>
      <c r="E3135" s="17"/>
      <c r="F3135" s="17"/>
      <c r="G3135" s="17"/>
      <c r="I3135" s="17"/>
      <c r="K3135" s="17"/>
      <c r="L3135" s="17"/>
      <c r="M3135" s="17"/>
      <c r="O3135" s="14">
        <f t="shared" si="1"/>
        <v>0</v>
      </c>
      <c r="P3135" s="86" t="str">
        <f t="array" ref="P3135">iferror(XLOOKUP(C3135,'Download of SFDC Activation Rep'!B:B,'Download of SFDC Activation Rep'!Z:Z),"")</f>
        <v/>
      </c>
      <c r="Q3135" s="86" t="str">
        <f t="shared" si="2"/>
        <v/>
      </c>
      <c r="R3135" s="13" t="str">
        <f t="shared" si="3"/>
        <v>Yes</v>
      </c>
      <c r="S3135" s="86" t="str">
        <f t="array" ref="S3135">iferror(XLOOKUP(C3135,'Download of SFDC Activation Rep'!B:B,'Download of SFDC Activation Rep'!Y:Y),"")</f>
        <v/>
      </c>
    </row>
    <row r="3136">
      <c r="A3136" s="17"/>
      <c r="B3136" s="85"/>
      <c r="C3136" s="17"/>
      <c r="D3136" s="85"/>
      <c r="E3136" s="17"/>
      <c r="F3136" s="17"/>
      <c r="G3136" s="17"/>
      <c r="I3136" s="17"/>
      <c r="K3136" s="17"/>
      <c r="L3136" s="17"/>
      <c r="M3136" s="17"/>
      <c r="O3136" s="14">
        <f t="shared" si="1"/>
        <v>0</v>
      </c>
      <c r="P3136" s="86" t="str">
        <f t="array" ref="P3136">iferror(XLOOKUP(C3136,'Download of SFDC Activation Rep'!B:B,'Download of SFDC Activation Rep'!Z:Z),"")</f>
        <v/>
      </c>
      <c r="Q3136" s="86" t="str">
        <f t="shared" si="2"/>
        <v/>
      </c>
      <c r="R3136" s="13" t="str">
        <f t="shared" si="3"/>
        <v>Yes</v>
      </c>
      <c r="S3136" s="86" t="str">
        <f t="array" ref="S3136">iferror(XLOOKUP(C3136,'Download of SFDC Activation Rep'!B:B,'Download of SFDC Activation Rep'!Y:Y),"")</f>
        <v/>
      </c>
    </row>
    <row r="3137">
      <c r="A3137" s="17"/>
      <c r="B3137" s="85"/>
      <c r="C3137" s="17"/>
      <c r="D3137" s="85"/>
      <c r="E3137" s="17"/>
      <c r="F3137" s="17"/>
      <c r="G3137" s="17"/>
      <c r="I3137" s="17"/>
      <c r="K3137" s="17"/>
      <c r="L3137" s="17"/>
      <c r="M3137" s="17"/>
      <c r="O3137" s="14">
        <f t="shared" si="1"/>
        <v>0</v>
      </c>
      <c r="P3137" s="86" t="str">
        <f t="array" ref="P3137">iferror(XLOOKUP(C3137,'Download of SFDC Activation Rep'!B:B,'Download of SFDC Activation Rep'!Z:Z),"")</f>
        <v/>
      </c>
      <c r="Q3137" s="86" t="str">
        <f t="shared" si="2"/>
        <v/>
      </c>
      <c r="R3137" s="13" t="str">
        <f t="shared" si="3"/>
        <v>Yes</v>
      </c>
      <c r="S3137" s="86" t="str">
        <f t="array" ref="S3137">iferror(XLOOKUP(C3137,'Download of SFDC Activation Rep'!B:B,'Download of SFDC Activation Rep'!Y:Y),"")</f>
        <v/>
      </c>
    </row>
    <row r="3138">
      <c r="A3138" s="17"/>
      <c r="B3138" s="85"/>
      <c r="C3138" s="17"/>
      <c r="D3138" s="85"/>
      <c r="E3138" s="17"/>
      <c r="F3138" s="17"/>
      <c r="G3138" s="17"/>
      <c r="I3138" s="17"/>
      <c r="K3138" s="17"/>
      <c r="L3138" s="17"/>
      <c r="M3138" s="17"/>
      <c r="O3138" s="14">
        <f t="shared" si="1"/>
        <v>0</v>
      </c>
      <c r="P3138" s="86" t="str">
        <f t="array" ref="P3138">iferror(XLOOKUP(C3138,'Download of SFDC Activation Rep'!B:B,'Download of SFDC Activation Rep'!Z:Z),"")</f>
        <v/>
      </c>
      <c r="Q3138" s="86" t="str">
        <f t="shared" si="2"/>
        <v/>
      </c>
      <c r="R3138" s="13" t="str">
        <f t="shared" si="3"/>
        <v>Yes</v>
      </c>
      <c r="S3138" s="86" t="str">
        <f t="array" ref="S3138">iferror(XLOOKUP(C3138,'Download of SFDC Activation Rep'!B:B,'Download of SFDC Activation Rep'!Y:Y),"")</f>
        <v/>
      </c>
    </row>
    <row r="3139">
      <c r="A3139" s="17"/>
      <c r="B3139" s="85"/>
      <c r="C3139" s="17"/>
      <c r="D3139" s="85"/>
      <c r="E3139" s="17"/>
      <c r="F3139" s="17"/>
      <c r="G3139" s="17"/>
      <c r="I3139" s="17"/>
      <c r="K3139" s="17"/>
      <c r="L3139" s="17"/>
      <c r="M3139" s="17"/>
      <c r="O3139" s="14">
        <f t="shared" si="1"/>
        <v>0</v>
      </c>
      <c r="P3139" s="86" t="str">
        <f t="array" ref="P3139">iferror(XLOOKUP(C3139,'Download of SFDC Activation Rep'!B:B,'Download of SFDC Activation Rep'!Z:Z),"")</f>
        <v/>
      </c>
      <c r="Q3139" s="86" t="str">
        <f t="shared" si="2"/>
        <v/>
      </c>
      <c r="R3139" s="13" t="str">
        <f t="shared" si="3"/>
        <v>Yes</v>
      </c>
      <c r="S3139" s="86" t="str">
        <f t="array" ref="S3139">iferror(XLOOKUP(C3139,'Download of SFDC Activation Rep'!B:B,'Download of SFDC Activation Rep'!Y:Y),"")</f>
        <v/>
      </c>
    </row>
    <row r="3140">
      <c r="A3140" s="17"/>
      <c r="B3140" s="85"/>
      <c r="C3140" s="17"/>
      <c r="D3140" s="85"/>
      <c r="E3140" s="17"/>
      <c r="F3140" s="17"/>
      <c r="G3140" s="17"/>
      <c r="I3140" s="17"/>
      <c r="K3140" s="17"/>
      <c r="L3140" s="17"/>
      <c r="M3140" s="17"/>
      <c r="O3140" s="14">
        <f t="shared" si="1"/>
        <v>0</v>
      </c>
      <c r="P3140" s="86" t="str">
        <f t="array" ref="P3140">iferror(XLOOKUP(C3140,'Download of SFDC Activation Rep'!B:B,'Download of SFDC Activation Rep'!Z:Z),"")</f>
        <v/>
      </c>
      <c r="Q3140" s="86" t="str">
        <f t="shared" si="2"/>
        <v/>
      </c>
      <c r="R3140" s="13" t="str">
        <f t="shared" si="3"/>
        <v>Yes</v>
      </c>
      <c r="S3140" s="86" t="str">
        <f t="array" ref="S3140">iferror(XLOOKUP(C3140,'Download of SFDC Activation Rep'!B:B,'Download of SFDC Activation Rep'!Y:Y),"")</f>
        <v/>
      </c>
    </row>
    <row r="3141">
      <c r="A3141" s="17"/>
      <c r="B3141" s="85"/>
      <c r="C3141" s="17"/>
      <c r="D3141" s="85"/>
      <c r="E3141" s="17"/>
      <c r="F3141" s="17"/>
      <c r="G3141" s="17"/>
      <c r="I3141" s="17"/>
      <c r="K3141" s="17"/>
      <c r="L3141" s="17"/>
      <c r="M3141" s="17"/>
      <c r="O3141" s="14">
        <f t="shared" si="1"/>
        <v>0</v>
      </c>
      <c r="P3141" s="86" t="str">
        <f t="array" ref="P3141">iferror(XLOOKUP(C3141,'Download of SFDC Activation Rep'!B:B,'Download of SFDC Activation Rep'!Z:Z),"")</f>
        <v/>
      </c>
      <c r="Q3141" s="86" t="str">
        <f t="shared" si="2"/>
        <v/>
      </c>
      <c r="R3141" s="13" t="str">
        <f t="shared" si="3"/>
        <v>Yes</v>
      </c>
      <c r="S3141" s="86" t="str">
        <f t="array" ref="S3141">iferror(XLOOKUP(C3141,'Download of SFDC Activation Rep'!B:B,'Download of SFDC Activation Rep'!Y:Y),"")</f>
        <v/>
      </c>
    </row>
    <row r="3142">
      <c r="A3142" s="17"/>
      <c r="B3142" s="85"/>
      <c r="C3142" s="17"/>
      <c r="D3142" s="85"/>
      <c r="E3142" s="17"/>
      <c r="F3142" s="17"/>
      <c r="G3142" s="17"/>
      <c r="I3142" s="17"/>
      <c r="K3142" s="17"/>
      <c r="L3142" s="17"/>
      <c r="M3142" s="17"/>
      <c r="O3142" s="14">
        <f t="shared" si="1"/>
        <v>0</v>
      </c>
      <c r="P3142" s="86" t="str">
        <f t="array" ref="P3142">iferror(XLOOKUP(C3142,'Download of SFDC Activation Rep'!B:B,'Download of SFDC Activation Rep'!Z:Z),"")</f>
        <v/>
      </c>
      <c r="Q3142" s="86" t="str">
        <f t="shared" si="2"/>
        <v/>
      </c>
      <c r="R3142" s="13" t="str">
        <f t="shared" si="3"/>
        <v>Yes</v>
      </c>
      <c r="S3142" s="86" t="str">
        <f t="array" ref="S3142">iferror(XLOOKUP(C3142,'Download of SFDC Activation Rep'!B:B,'Download of SFDC Activation Rep'!Y:Y),"")</f>
        <v/>
      </c>
    </row>
    <row r="3143">
      <c r="A3143" s="17"/>
      <c r="B3143" s="85"/>
      <c r="C3143" s="17"/>
      <c r="D3143" s="85"/>
      <c r="E3143" s="17"/>
      <c r="F3143" s="17"/>
      <c r="G3143" s="17"/>
      <c r="I3143" s="17"/>
      <c r="K3143" s="17"/>
      <c r="L3143" s="17"/>
      <c r="M3143" s="17"/>
      <c r="O3143" s="14">
        <f t="shared" si="1"/>
        <v>0</v>
      </c>
      <c r="P3143" s="86" t="str">
        <f t="array" ref="P3143">iferror(XLOOKUP(C3143,'Download of SFDC Activation Rep'!B:B,'Download of SFDC Activation Rep'!Z:Z),"")</f>
        <v/>
      </c>
      <c r="Q3143" s="86" t="str">
        <f t="shared" si="2"/>
        <v/>
      </c>
      <c r="R3143" s="13" t="str">
        <f t="shared" si="3"/>
        <v>Yes</v>
      </c>
      <c r="S3143" s="86" t="str">
        <f t="array" ref="S3143">iferror(XLOOKUP(C3143,'Download of SFDC Activation Rep'!B:B,'Download of SFDC Activation Rep'!Y:Y),"")</f>
        <v/>
      </c>
    </row>
    <row r="3144">
      <c r="A3144" s="17"/>
      <c r="B3144" s="85"/>
      <c r="C3144" s="17"/>
      <c r="D3144" s="85"/>
      <c r="E3144" s="17"/>
      <c r="F3144" s="17"/>
      <c r="G3144" s="17"/>
      <c r="I3144" s="17"/>
      <c r="K3144" s="17"/>
      <c r="L3144" s="17"/>
      <c r="M3144" s="17"/>
      <c r="O3144" s="14">
        <f t="shared" si="1"/>
        <v>0</v>
      </c>
      <c r="P3144" s="86" t="str">
        <f t="array" ref="P3144">iferror(XLOOKUP(C3144,'Download of SFDC Activation Rep'!B:B,'Download of SFDC Activation Rep'!Z:Z),"")</f>
        <v/>
      </c>
      <c r="Q3144" s="86" t="str">
        <f t="shared" si="2"/>
        <v/>
      </c>
      <c r="R3144" s="13" t="str">
        <f t="shared" si="3"/>
        <v>Yes</v>
      </c>
      <c r="S3144" s="86" t="str">
        <f t="array" ref="S3144">iferror(XLOOKUP(C3144,'Download of SFDC Activation Rep'!B:B,'Download of SFDC Activation Rep'!Y:Y),"")</f>
        <v/>
      </c>
    </row>
    <row r="3145">
      <c r="A3145" s="17"/>
      <c r="B3145" s="85"/>
      <c r="C3145" s="17"/>
      <c r="D3145" s="85"/>
      <c r="E3145" s="17"/>
      <c r="F3145" s="17"/>
      <c r="G3145" s="17"/>
      <c r="I3145" s="17"/>
      <c r="K3145" s="17"/>
      <c r="L3145" s="17"/>
      <c r="M3145" s="17"/>
      <c r="O3145" s="14">
        <f t="shared" si="1"/>
        <v>0</v>
      </c>
      <c r="P3145" s="86" t="str">
        <f t="array" ref="P3145">iferror(XLOOKUP(C3145,'Download of SFDC Activation Rep'!B:B,'Download of SFDC Activation Rep'!Z:Z),"")</f>
        <v/>
      </c>
      <c r="Q3145" s="86" t="str">
        <f t="shared" si="2"/>
        <v/>
      </c>
      <c r="R3145" s="13" t="str">
        <f t="shared" si="3"/>
        <v>Yes</v>
      </c>
      <c r="S3145" s="86" t="str">
        <f t="array" ref="S3145">iferror(XLOOKUP(C3145,'Download of SFDC Activation Rep'!B:B,'Download of SFDC Activation Rep'!Y:Y),"")</f>
        <v/>
      </c>
    </row>
    <row r="3146">
      <c r="A3146" s="17"/>
      <c r="B3146" s="85"/>
      <c r="C3146" s="17"/>
      <c r="D3146" s="85"/>
      <c r="E3146" s="17"/>
      <c r="F3146" s="17"/>
      <c r="G3146" s="17"/>
      <c r="I3146" s="17"/>
      <c r="K3146" s="17"/>
      <c r="L3146" s="17"/>
      <c r="M3146" s="17"/>
      <c r="O3146" s="14">
        <f t="shared" si="1"/>
        <v>0</v>
      </c>
      <c r="P3146" s="86" t="str">
        <f t="array" ref="P3146">iferror(XLOOKUP(C3146,'Download of SFDC Activation Rep'!B:B,'Download of SFDC Activation Rep'!Z:Z),"")</f>
        <v/>
      </c>
      <c r="Q3146" s="86" t="str">
        <f t="shared" si="2"/>
        <v/>
      </c>
      <c r="R3146" s="13" t="str">
        <f t="shared" si="3"/>
        <v>Yes</v>
      </c>
      <c r="S3146" s="86" t="str">
        <f t="array" ref="S3146">iferror(XLOOKUP(C3146,'Download of SFDC Activation Rep'!B:B,'Download of SFDC Activation Rep'!Y:Y),"")</f>
        <v/>
      </c>
    </row>
    <row r="3147">
      <c r="A3147" s="17"/>
      <c r="B3147" s="85"/>
      <c r="C3147" s="17"/>
      <c r="D3147" s="85"/>
      <c r="E3147" s="17"/>
      <c r="F3147" s="17"/>
      <c r="G3147" s="17"/>
      <c r="I3147" s="17"/>
      <c r="K3147" s="17"/>
      <c r="L3147" s="17"/>
      <c r="M3147" s="17"/>
      <c r="O3147" s="14">
        <f t="shared" si="1"/>
        <v>0</v>
      </c>
      <c r="P3147" s="86" t="str">
        <f t="array" ref="P3147">iferror(XLOOKUP(C3147,'Download of SFDC Activation Rep'!B:B,'Download of SFDC Activation Rep'!Z:Z),"")</f>
        <v/>
      </c>
      <c r="Q3147" s="86" t="str">
        <f t="shared" si="2"/>
        <v/>
      </c>
      <c r="R3147" s="13" t="str">
        <f t="shared" si="3"/>
        <v>Yes</v>
      </c>
      <c r="S3147" s="86" t="str">
        <f t="array" ref="S3147">iferror(XLOOKUP(C3147,'Download of SFDC Activation Rep'!B:B,'Download of SFDC Activation Rep'!Y:Y),"")</f>
        <v/>
      </c>
    </row>
    <row r="3148">
      <c r="A3148" s="17"/>
      <c r="B3148" s="85"/>
      <c r="C3148" s="17"/>
      <c r="D3148" s="85"/>
      <c r="E3148" s="17"/>
      <c r="F3148" s="17"/>
      <c r="G3148" s="17"/>
      <c r="I3148" s="17"/>
      <c r="K3148" s="17"/>
      <c r="L3148" s="17"/>
      <c r="M3148" s="17"/>
      <c r="O3148" s="14">
        <f t="shared" si="1"/>
        <v>0</v>
      </c>
      <c r="P3148" s="86" t="str">
        <f t="array" ref="P3148">iferror(XLOOKUP(C3148,'Download of SFDC Activation Rep'!B:B,'Download of SFDC Activation Rep'!Z:Z),"")</f>
        <v/>
      </c>
      <c r="Q3148" s="86" t="str">
        <f t="shared" si="2"/>
        <v/>
      </c>
      <c r="R3148" s="13" t="str">
        <f t="shared" si="3"/>
        <v>Yes</v>
      </c>
      <c r="S3148" s="86" t="str">
        <f t="array" ref="S3148">iferror(XLOOKUP(C3148,'Download of SFDC Activation Rep'!B:B,'Download of SFDC Activation Rep'!Y:Y),"")</f>
        <v/>
      </c>
    </row>
    <row r="3149">
      <c r="A3149" s="17"/>
      <c r="B3149" s="85"/>
      <c r="C3149" s="17"/>
      <c r="D3149" s="85"/>
      <c r="E3149" s="17"/>
      <c r="F3149" s="17"/>
      <c r="G3149" s="17"/>
      <c r="I3149" s="17"/>
      <c r="K3149" s="17"/>
      <c r="L3149" s="17"/>
      <c r="M3149" s="17"/>
      <c r="O3149" s="14">
        <f t="shared" si="1"/>
        <v>0</v>
      </c>
      <c r="P3149" s="86" t="str">
        <f t="array" ref="P3149">iferror(XLOOKUP(C3149,'Download of SFDC Activation Rep'!B:B,'Download of SFDC Activation Rep'!Z:Z),"")</f>
        <v/>
      </c>
      <c r="Q3149" s="86" t="str">
        <f t="shared" si="2"/>
        <v/>
      </c>
      <c r="R3149" s="13" t="str">
        <f t="shared" si="3"/>
        <v>Yes</v>
      </c>
      <c r="S3149" s="86" t="str">
        <f t="array" ref="S3149">iferror(XLOOKUP(C3149,'Download of SFDC Activation Rep'!B:B,'Download of SFDC Activation Rep'!Y:Y),"")</f>
        <v/>
      </c>
    </row>
    <row r="3150">
      <c r="A3150" s="17"/>
      <c r="B3150" s="85"/>
      <c r="C3150" s="17"/>
      <c r="D3150" s="85"/>
      <c r="E3150" s="17"/>
      <c r="F3150" s="17"/>
      <c r="G3150" s="17"/>
      <c r="I3150" s="17"/>
      <c r="K3150" s="17"/>
      <c r="L3150" s="17"/>
      <c r="M3150" s="17"/>
      <c r="O3150" s="14">
        <f t="shared" si="1"/>
        <v>0</v>
      </c>
      <c r="P3150" s="86" t="str">
        <f t="array" ref="P3150">iferror(XLOOKUP(C3150,'Download of SFDC Activation Rep'!B:B,'Download of SFDC Activation Rep'!Z:Z),"")</f>
        <v/>
      </c>
      <c r="Q3150" s="86" t="str">
        <f t="shared" si="2"/>
        <v/>
      </c>
      <c r="R3150" s="13" t="str">
        <f t="shared" si="3"/>
        <v>Yes</v>
      </c>
      <c r="S3150" s="86" t="str">
        <f t="array" ref="S3150">iferror(XLOOKUP(C3150,'Download of SFDC Activation Rep'!B:B,'Download of SFDC Activation Rep'!Y:Y),"")</f>
        <v/>
      </c>
    </row>
    <row r="3151">
      <c r="A3151" s="17"/>
      <c r="B3151" s="85"/>
      <c r="C3151" s="17"/>
      <c r="D3151" s="85"/>
      <c r="E3151" s="17"/>
      <c r="F3151" s="17"/>
      <c r="G3151" s="17"/>
      <c r="I3151" s="17"/>
      <c r="K3151" s="17"/>
      <c r="L3151" s="17"/>
      <c r="M3151" s="17"/>
      <c r="O3151" s="14">
        <f t="shared" si="1"/>
        <v>0</v>
      </c>
      <c r="P3151" s="86" t="str">
        <f t="array" ref="P3151">iferror(XLOOKUP(C3151,'Download of SFDC Activation Rep'!B:B,'Download of SFDC Activation Rep'!Z:Z),"")</f>
        <v/>
      </c>
      <c r="Q3151" s="86" t="str">
        <f t="shared" si="2"/>
        <v/>
      </c>
      <c r="R3151" s="13" t="str">
        <f t="shared" si="3"/>
        <v>Yes</v>
      </c>
      <c r="S3151" s="86" t="str">
        <f t="array" ref="S3151">iferror(XLOOKUP(C3151,'Download of SFDC Activation Rep'!B:B,'Download of SFDC Activation Rep'!Y:Y),"")</f>
        <v/>
      </c>
    </row>
    <row r="3152">
      <c r="A3152" s="17"/>
      <c r="B3152" s="85"/>
      <c r="C3152" s="17"/>
      <c r="D3152" s="85"/>
      <c r="E3152" s="17"/>
      <c r="F3152" s="17"/>
      <c r="G3152" s="17"/>
      <c r="I3152" s="17"/>
      <c r="K3152" s="17"/>
      <c r="L3152" s="17"/>
      <c r="M3152" s="17"/>
      <c r="O3152" s="14">
        <f t="shared" si="1"/>
        <v>0</v>
      </c>
      <c r="P3152" s="86" t="str">
        <f t="array" ref="P3152">iferror(XLOOKUP(C3152,'Download of SFDC Activation Rep'!B:B,'Download of SFDC Activation Rep'!Z:Z),"")</f>
        <v/>
      </c>
      <c r="Q3152" s="86" t="str">
        <f t="shared" si="2"/>
        <v/>
      </c>
      <c r="R3152" s="13" t="str">
        <f t="shared" si="3"/>
        <v>Yes</v>
      </c>
      <c r="S3152" s="86" t="str">
        <f t="array" ref="S3152">iferror(XLOOKUP(C3152,'Download of SFDC Activation Rep'!B:B,'Download of SFDC Activation Rep'!Y:Y),"")</f>
        <v/>
      </c>
    </row>
    <row r="3153">
      <c r="A3153" s="17"/>
      <c r="B3153" s="85"/>
      <c r="C3153" s="17"/>
      <c r="D3153" s="85"/>
      <c r="E3153" s="17"/>
      <c r="F3153" s="17"/>
      <c r="G3153" s="17"/>
      <c r="I3153" s="17"/>
      <c r="K3153" s="17"/>
      <c r="L3153" s="17"/>
      <c r="M3153" s="17"/>
      <c r="O3153" s="14">
        <f t="shared" si="1"/>
        <v>0</v>
      </c>
      <c r="P3153" s="86" t="str">
        <f t="array" ref="P3153">iferror(XLOOKUP(C3153,'Download of SFDC Activation Rep'!B:B,'Download of SFDC Activation Rep'!Z:Z),"")</f>
        <v/>
      </c>
      <c r="Q3153" s="86" t="str">
        <f t="shared" si="2"/>
        <v/>
      </c>
      <c r="R3153" s="13" t="str">
        <f t="shared" si="3"/>
        <v>Yes</v>
      </c>
      <c r="S3153" s="86" t="str">
        <f t="array" ref="S3153">iferror(XLOOKUP(C3153,'Download of SFDC Activation Rep'!B:B,'Download of SFDC Activation Rep'!Y:Y),"")</f>
        <v/>
      </c>
    </row>
    <row r="3154">
      <c r="A3154" s="17"/>
      <c r="B3154" s="85"/>
      <c r="C3154" s="17"/>
      <c r="D3154" s="85"/>
      <c r="E3154" s="17"/>
      <c r="F3154" s="17"/>
      <c r="G3154" s="17"/>
      <c r="I3154" s="17"/>
      <c r="K3154" s="17"/>
      <c r="L3154" s="17"/>
      <c r="M3154" s="17"/>
      <c r="O3154" s="14">
        <f t="shared" si="1"/>
        <v>0</v>
      </c>
      <c r="P3154" s="86" t="str">
        <f t="array" ref="P3154">iferror(XLOOKUP(C3154,'Download of SFDC Activation Rep'!B:B,'Download of SFDC Activation Rep'!Z:Z),"")</f>
        <v/>
      </c>
      <c r="Q3154" s="86" t="str">
        <f t="shared" si="2"/>
        <v/>
      </c>
      <c r="R3154" s="13" t="str">
        <f t="shared" si="3"/>
        <v>Yes</v>
      </c>
      <c r="S3154" s="86" t="str">
        <f t="array" ref="S3154">iferror(XLOOKUP(C3154,'Download of SFDC Activation Rep'!B:B,'Download of SFDC Activation Rep'!Y:Y),"")</f>
        <v/>
      </c>
    </row>
    <row r="3155">
      <c r="A3155" s="17"/>
      <c r="B3155" s="85"/>
      <c r="C3155" s="17"/>
      <c r="D3155" s="85"/>
      <c r="E3155" s="17"/>
      <c r="F3155" s="17"/>
      <c r="G3155" s="17"/>
      <c r="I3155" s="17"/>
      <c r="K3155" s="17"/>
      <c r="L3155" s="17"/>
      <c r="M3155" s="17"/>
      <c r="O3155" s="14">
        <f t="shared" si="1"/>
        <v>0</v>
      </c>
      <c r="P3155" s="86" t="str">
        <f t="array" ref="P3155">iferror(XLOOKUP(C3155,'Download of SFDC Activation Rep'!B:B,'Download of SFDC Activation Rep'!Z:Z),"")</f>
        <v/>
      </c>
      <c r="Q3155" s="86" t="str">
        <f t="shared" si="2"/>
        <v/>
      </c>
      <c r="R3155" s="13" t="str">
        <f t="shared" si="3"/>
        <v>Yes</v>
      </c>
      <c r="S3155" s="86" t="str">
        <f t="array" ref="S3155">iferror(XLOOKUP(C3155,'Download of SFDC Activation Rep'!B:B,'Download of SFDC Activation Rep'!Y:Y),"")</f>
        <v/>
      </c>
    </row>
    <row r="3156">
      <c r="A3156" s="17"/>
      <c r="B3156" s="85"/>
      <c r="C3156" s="17"/>
      <c r="D3156" s="85"/>
      <c r="E3156" s="17"/>
      <c r="F3156" s="17"/>
      <c r="G3156" s="17"/>
      <c r="I3156" s="17"/>
      <c r="K3156" s="17"/>
      <c r="L3156" s="17"/>
      <c r="M3156" s="17"/>
      <c r="O3156" s="14">
        <f t="shared" si="1"/>
        <v>0</v>
      </c>
      <c r="P3156" s="86" t="str">
        <f t="array" ref="P3156">iferror(XLOOKUP(C3156,'Download of SFDC Activation Rep'!B:B,'Download of SFDC Activation Rep'!Z:Z),"")</f>
        <v/>
      </c>
      <c r="Q3156" s="86" t="str">
        <f t="shared" si="2"/>
        <v/>
      </c>
      <c r="R3156" s="13" t="str">
        <f t="shared" si="3"/>
        <v>Yes</v>
      </c>
      <c r="S3156" s="86" t="str">
        <f t="array" ref="S3156">iferror(XLOOKUP(C3156,'Download of SFDC Activation Rep'!B:B,'Download of SFDC Activation Rep'!Y:Y),"")</f>
        <v/>
      </c>
    </row>
    <row r="3157">
      <c r="A3157" s="17"/>
      <c r="B3157" s="85"/>
      <c r="C3157" s="17"/>
      <c r="D3157" s="85"/>
      <c r="E3157" s="17"/>
      <c r="F3157" s="17"/>
      <c r="G3157" s="17"/>
      <c r="I3157" s="17"/>
      <c r="K3157" s="17"/>
      <c r="L3157" s="17"/>
      <c r="M3157" s="17"/>
      <c r="O3157" s="14">
        <f t="shared" si="1"/>
        <v>0</v>
      </c>
      <c r="P3157" s="86" t="str">
        <f t="array" ref="P3157">iferror(XLOOKUP(C3157,'Download of SFDC Activation Rep'!B:B,'Download of SFDC Activation Rep'!Z:Z),"")</f>
        <v/>
      </c>
      <c r="Q3157" s="86" t="str">
        <f t="shared" si="2"/>
        <v/>
      </c>
      <c r="R3157" s="13" t="str">
        <f t="shared" si="3"/>
        <v>Yes</v>
      </c>
      <c r="S3157" s="86" t="str">
        <f t="array" ref="S3157">iferror(XLOOKUP(C3157,'Download of SFDC Activation Rep'!B:B,'Download of SFDC Activation Rep'!Y:Y),"")</f>
        <v/>
      </c>
    </row>
    <row r="3158">
      <c r="A3158" s="17"/>
      <c r="B3158" s="85"/>
      <c r="C3158" s="17"/>
      <c r="D3158" s="85"/>
      <c r="E3158" s="17"/>
      <c r="F3158" s="17"/>
      <c r="G3158" s="17"/>
      <c r="I3158" s="17"/>
      <c r="K3158" s="17"/>
      <c r="L3158" s="17"/>
      <c r="M3158" s="17"/>
      <c r="O3158" s="14">
        <f t="shared" si="1"/>
        <v>0</v>
      </c>
      <c r="P3158" s="86" t="str">
        <f t="array" ref="P3158">iferror(XLOOKUP(C3158,'Download of SFDC Activation Rep'!B:B,'Download of SFDC Activation Rep'!Z:Z),"")</f>
        <v/>
      </c>
      <c r="Q3158" s="86" t="str">
        <f t="shared" si="2"/>
        <v/>
      </c>
      <c r="R3158" s="13" t="str">
        <f t="shared" si="3"/>
        <v>Yes</v>
      </c>
      <c r="S3158" s="86" t="str">
        <f t="array" ref="S3158">iferror(XLOOKUP(C3158,'Download of SFDC Activation Rep'!B:B,'Download of SFDC Activation Rep'!Y:Y),"")</f>
        <v/>
      </c>
    </row>
    <row r="3159">
      <c r="A3159" s="17"/>
      <c r="B3159" s="85"/>
      <c r="C3159" s="17"/>
      <c r="D3159" s="85"/>
      <c r="E3159" s="17"/>
      <c r="F3159" s="17"/>
      <c r="G3159" s="17"/>
      <c r="I3159" s="17"/>
      <c r="K3159" s="17"/>
      <c r="L3159" s="17"/>
      <c r="M3159" s="17"/>
      <c r="O3159" s="14">
        <f t="shared" si="1"/>
        <v>0</v>
      </c>
      <c r="P3159" s="86" t="str">
        <f t="array" ref="P3159">iferror(XLOOKUP(C3159,'Download of SFDC Activation Rep'!B:B,'Download of SFDC Activation Rep'!Z:Z),"")</f>
        <v/>
      </c>
      <c r="Q3159" s="86" t="str">
        <f t="shared" si="2"/>
        <v/>
      </c>
      <c r="R3159" s="13" t="str">
        <f t="shared" si="3"/>
        <v>Yes</v>
      </c>
      <c r="S3159" s="86" t="str">
        <f t="array" ref="S3159">iferror(XLOOKUP(C3159,'Download of SFDC Activation Rep'!B:B,'Download of SFDC Activation Rep'!Y:Y),"")</f>
        <v/>
      </c>
    </row>
    <row r="3160">
      <c r="A3160" s="17"/>
      <c r="B3160" s="85"/>
      <c r="C3160" s="17"/>
      <c r="D3160" s="85"/>
      <c r="E3160" s="17"/>
      <c r="F3160" s="17"/>
      <c r="G3160" s="17"/>
      <c r="I3160" s="17"/>
      <c r="K3160" s="17"/>
      <c r="L3160" s="17"/>
      <c r="M3160" s="17"/>
      <c r="O3160" s="14">
        <f t="shared" si="1"/>
        <v>0</v>
      </c>
      <c r="P3160" s="86" t="str">
        <f t="array" ref="P3160">iferror(XLOOKUP(C3160,'Download of SFDC Activation Rep'!B:B,'Download of SFDC Activation Rep'!Z:Z),"")</f>
        <v/>
      </c>
      <c r="Q3160" s="86" t="str">
        <f t="shared" si="2"/>
        <v/>
      </c>
      <c r="R3160" s="13" t="str">
        <f t="shared" si="3"/>
        <v>Yes</v>
      </c>
      <c r="S3160" s="86" t="str">
        <f t="array" ref="S3160">iferror(XLOOKUP(C3160,'Download of SFDC Activation Rep'!B:B,'Download of SFDC Activation Rep'!Y:Y),"")</f>
        <v/>
      </c>
    </row>
    <row r="3161">
      <c r="A3161" s="17"/>
      <c r="B3161" s="85"/>
      <c r="C3161" s="17"/>
      <c r="D3161" s="85"/>
      <c r="E3161" s="17"/>
      <c r="F3161" s="17"/>
      <c r="G3161" s="17"/>
      <c r="I3161" s="17"/>
      <c r="K3161" s="17"/>
      <c r="L3161" s="17"/>
      <c r="M3161" s="17"/>
      <c r="O3161" s="14">
        <f t="shared" si="1"/>
        <v>0</v>
      </c>
      <c r="P3161" s="86" t="str">
        <f t="array" ref="P3161">iferror(XLOOKUP(C3161,'Download of SFDC Activation Rep'!B:B,'Download of SFDC Activation Rep'!Z:Z),"")</f>
        <v/>
      </c>
      <c r="Q3161" s="86" t="str">
        <f t="shared" si="2"/>
        <v/>
      </c>
      <c r="R3161" s="13" t="str">
        <f t="shared" si="3"/>
        <v>Yes</v>
      </c>
      <c r="S3161" s="86" t="str">
        <f t="array" ref="S3161">iferror(XLOOKUP(C3161,'Download of SFDC Activation Rep'!B:B,'Download of SFDC Activation Rep'!Y:Y),"")</f>
        <v/>
      </c>
    </row>
    <row r="3162">
      <c r="A3162" s="17"/>
      <c r="B3162" s="85"/>
      <c r="C3162" s="17"/>
      <c r="D3162" s="85"/>
      <c r="E3162" s="17"/>
      <c r="F3162" s="17"/>
      <c r="G3162" s="17"/>
      <c r="I3162" s="17"/>
      <c r="K3162" s="17"/>
      <c r="L3162" s="17"/>
      <c r="M3162" s="17"/>
      <c r="O3162" s="14">
        <f t="shared" si="1"/>
        <v>0</v>
      </c>
      <c r="P3162" s="86" t="str">
        <f t="array" ref="P3162">iferror(XLOOKUP(C3162,'Download of SFDC Activation Rep'!B:B,'Download of SFDC Activation Rep'!Z:Z),"")</f>
        <v/>
      </c>
      <c r="Q3162" s="86" t="str">
        <f t="shared" si="2"/>
        <v/>
      </c>
      <c r="R3162" s="13" t="str">
        <f t="shared" si="3"/>
        <v>Yes</v>
      </c>
      <c r="S3162" s="86" t="str">
        <f t="array" ref="S3162">iferror(XLOOKUP(C3162,'Download of SFDC Activation Rep'!B:B,'Download of SFDC Activation Rep'!Y:Y),"")</f>
        <v/>
      </c>
    </row>
    <row r="3163">
      <c r="A3163" s="17"/>
      <c r="B3163" s="85"/>
      <c r="C3163" s="17"/>
      <c r="D3163" s="85"/>
      <c r="E3163" s="17"/>
      <c r="F3163" s="17"/>
      <c r="G3163" s="17"/>
      <c r="I3163" s="17"/>
      <c r="K3163" s="17"/>
      <c r="L3163" s="17"/>
      <c r="M3163" s="17"/>
      <c r="O3163" s="14">
        <f t="shared" si="1"/>
        <v>0</v>
      </c>
      <c r="P3163" s="86" t="str">
        <f t="array" ref="P3163">iferror(XLOOKUP(C3163,'Download of SFDC Activation Rep'!B:B,'Download of SFDC Activation Rep'!Z:Z),"")</f>
        <v/>
      </c>
      <c r="Q3163" s="86" t="str">
        <f t="shared" si="2"/>
        <v/>
      </c>
      <c r="R3163" s="13" t="str">
        <f t="shared" si="3"/>
        <v>Yes</v>
      </c>
      <c r="S3163" s="86" t="str">
        <f t="array" ref="S3163">iferror(XLOOKUP(C3163,'Download of SFDC Activation Rep'!B:B,'Download of SFDC Activation Rep'!Y:Y),"")</f>
        <v/>
      </c>
    </row>
    <row r="3164">
      <c r="A3164" s="17"/>
      <c r="B3164" s="85"/>
      <c r="C3164" s="17"/>
      <c r="D3164" s="85"/>
      <c r="E3164" s="17"/>
      <c r="F3164" s="17"/>
      <c r="G3164" s="17"/>
      <c r="I3164" s="17"/>
      <c r="K3164" s="17"/>
      <c r="L3164" s="17"/>
      <c r="M3164" s="17"/>
      <c r="O3164" s="14">
        <f t="shared" si="1"/>
        <v>0</v>
      </c>
      <c r="P3164" s="86" t="str">
        <f t="array" ref="P3164">iferror(XLOOKUP(C3164,'Download of SFDC Activation Rep'!B:B,'Download of SFDC Activation Rep'!Z:Z),"")</f>
        <v/>
      </c>
      <c r="Q3164" s="86" t="str">
        <f t="shared" si="2"/>
        <v/>
      </c>
      <c r="R3164" s="13" t="str">
        <f t="shared" si="3"/>
        <v>Yes</v>
      </c>
      <c r="S3164" s="86" t="str">
        <f t="array" ref="S3164">iferror(XLOOKUP(C3164,'Download of SFDC Activation Rep'!B:B,'Download of SFDC Activation Rep'!Y:Y),"")</f>
        <v/>
      </c>
    </row>
    <row r="3165">
      <c r="A3165" s="17"/>
      <c r="B3165" s="85"/>
      <c r="C3165" s="17"/>
      <c r="D3165" s="85"/>
      <c r="E3165" s="17"/>
      <c r="F3165" s="17"/>
      <c r="G3165" s="17"/>
      <c r="I3165" s="17"/>
      <c r="K3165" s="17"/>
      <c r="L3165" s="17"/>
      <c r="M3165" s="17"/>
      <c r="O3165" s="14">
        <f t="shared" si="1"/>
        <v>0</v>
      </c>
      <c r="P3165" s="86" t="str">
        <f t="array" ref="P3165">iferror(XLOOKUP(C3165,'Download of SFDC Activation Rep'!B:B,'Download of SFDC Activation Rep'!Z:Z),"")</f>
        <v/>
      </c>
      <c r="Q3165" s="86" t="str">
        <f t="shared" si="2"/>
        <v/>
      </c>
      <c r="R3165" s="13" t="str">
        <f t="shared" si="3"/>
        <v>Yes</v>
      </c>
      <c r="S3165" s="86" t="str">
        <f t="array" ref="S3165">iferror(XLOOKUP(C3165,'Download of SFDC Activation Rep'!B:B,'Download of SFDC Activation Rep'!Y:Y),"")</f>
        <v/>
      </c>
    </row>
    <row r="3166">
      <c r="A3166" s="17"/>
      <c r="B3166" s="85"/>
      <c r="C3166" s="17"/>
      <c r="D3166" s="85"/>
      <c r="E3166" s="17"/>
      <c r="F3166" s="17"/>
      <c r="G3166" s="17"/>
      <c r="I3166" s="17"/>
      <c r="K3166" s="17"/>
      <c r="L3166" s="17"/>
      <c r="M3166" s="17"/>
      <c r="O3166" s="14">
        <f t="shared" si="1"/>
        <v>0</v>
      </c>
      <c r="P3166" s="86" t="str">
        <f t="array" ref="P3166">iferror(XLOOKUP(C3166,'Download of SFDC Activation Rep'!B:B,'Download of SFDC Activation Rep'!Z:Z),"")</f>
        <v/>
      </c>
      <c r="Q3166" s="86" t="str">
        <f t="shared" si="2"/>
        <v/>
      </c>
      <c r="R3166" s="13" t="str">
        <f t="shared" si="3"/>
        <v>Yes</v>
      </c>
      <c r="S3166" s="86" t="str">
        <f t="array" ref="S3166">iferror(XLOOKUP(C3166,'Download of SFDC Activation Rep'!B:B,'Download of SFDC Activation Rep'!Y:Y),"")</f>
        <v/>
      </c>
    </row>
    <row r="3167">
      <c r="A3167" s="17"/>
      <c r="B3167" s="85"/>
      <c r="C3167" s="17"/>
      <c r="D3167" s="85"/>
      <c r="E3167" s="17"/>
      <c r="F3167" s="17"/>
      <c r="G3167" s="17"/>
      <c r="I3167" s="17"/>
      <c r="K3167" s="17"/>
      <c r="L3167" s="17"/>
      <c r="M3167" s="17"/>
      <c r="O3167" s="14">
        <f t="shared" si="1"/>
        <v>0</v>
      </c>
      <c r="P3167" s="86" t="str">
        <f t="array" ref="P3167">iferror(XLOOKUP(C3167,'Download of SFDC Activation Rep'!B:B,'Download of SFDC Activation Rep'!Z:Z),"")</f>
        <v/>
      </c>
      <c r="Q3167" s="86" t="str">
        <f t="shared" si="2"/>
        <v/>
      </c>
      <c r="R3167" s="13" t="str">
        <f t="shared" si="3"/>
        <v>Yes</v>
      </c>
      <c r="S3167" s="86" t="str">
        <f t="array" ref="S3167">iferror(XLOOKUP(C3167,'Download of SFDC Activation Rep'!B:B,'Download of SFDC Activation Rep'!Y:Y),"")</f>
        <v/>
      </c>
    </row>
    <row r="3168">
      <c r="A3168" s="17"/>
      <c r="B3168" s="85"/>
      <c r="C3168" s="17"/>
      <c r="D3168" s="85"/>
      <c r="E3168" s="17"/>
      <c r="F3168" s="17"/>
      <c r="G3168" s="17"/>
      <c r="I3168" s="17"/>
      <c r="K3168" s="17"/>
      <c r="L3168" s="17"/>
      <c r="M3168" s="17"/>
      <c r="O3168" s="14">
        <f t="shared" si="1"/>
        <v>0</v>
      </c>
      <c r="P3168" s="86" t="str">
        <f t="array" ref="P3168">iferror(XLOOKUP(C3168,'Download of SFDC Activation Rep'!B:B,'Download of SFDC Activation Rep'!Z:Z),"")</f>
        <v/>
      </c>
      <c r="Q3168" s="86" t="str">
        <f t="shared" si="2"/>
        <v/>
      </c>
      <c r="R3168" s="13" t="str">
        <f t="shared" si="3"/>
        <v>Yes</v>
      </c>
      <c r="S3168" s="86" t="str">
        <f t="array" ref="S3168">iferror(XLOOKUP(C3168,'Download of SFDC Activation Rep'!B:B,'Download of SFDC Activation Rep'!Y:Y),"")</f>
        <v/>
      </c>
    </row>
    <row r="3169">
      <c r="A3169" s="17"/>
      <c r="B3169" s="85"/>
      <c r="C3169" s="17"/>
      <c r="D3169" s="85"/>
      <c r="E3169" s="17"/>
      <c r="F3169" s="17"/>
      <c r="G3169" s="17"/>
      <c r="I3169" s="17"/>
      <c r="K3169" s="17"/>
      <c r="L3169" s="17"/>
      <c r="M3169" s="17"/>
      <c r="O3169" s="14">
        <f t="shared" si="1"/>
        <v>0</v>
      </c>
      <c r="P3169" s="86" t="str">
        <f t="array" ref="P3169">iferror(XLOOKUP(C3169,'Download of SFDC Activation Rep'!B:B,'Download of SFDC Activation Rep'!Z:Z),"")</f>
        <v/>
      </c>
      <c r="Q3169" s="86" t="str">
        <f t="shared" si="2"/>
        <v/>
      </c>
      <c r="R3169" s="13" t="str">
        <f t="shared" si="3"/>
        <v>Yes</v>
      </c>
      <c r="S3169" s="86" t="str">
        <f t="array" ref="S3169">iferror(XLOOKUP(C3169,'Download of SFDC Activation Rep'!B:B,'Download of SFDC Activation Rep'!Y:Y),"")</f>
        <v/>
      </c>
    </row>
    <row r="3170">
      <c r="A3170" s="17"/>
      <c r="B3170" s="85"/>
      <c r="C3170" s="17"/>
      <c r="D3170" s="85"/>
      <c r="E3170" s="17"/>
      <c r="F3170" s="17"/>
      <c r="G3170" s="17"/>
      <c r="I3170" s="17"/>
      <c r="K3170" s="17"/>
      <c r="L3170" s="17"/>
      <c r="M3170" s="17"/>
      <c r="O3170" s="14">
        <f t="shared" si="1"/>
        <v>0</v>
      </c>
      <c r="P3170" s="86" t="str">
        <f t="array" ref="P3170">iferror(XLOOKUP(C3170,'Download of SFDC Activation Rep'!B:B,'Download of SFDC Activation Rep'!Z:Z),"")</f>
        <v/>
      </c>
      <c r="Q3170" s="86" t="str">
        <f t="shared" si="2"/>
        <v/>
      </c>
      <c r="R3170" s="13" t="str">
        <f t="shared" si="3"/>
        <v>Yes</v>
      </c>
      <c r="S3170" s="86" t="str">
        <f t="array" ref="S3170">iferror(XLOOKUP(C3170,'Download of SFDC Activation Rep'!B:B,'Download of SFDC Activation Rep'!Y:Y),"")</f>
        <v/>
      </c>
    </row>
    <row r="3171">
      <c r="A3171" s="17"/>
      <c r="B3171" s="85"/>
      <c r="C3171" s="17"/>
      <c r="D3171" s="85"/>
      <c r="E3171" s="17"/>
      <c r="F3171" s="17"/>
      <c r="G3171" s="17"/>
      <c r="I3171" s="17"/>
      <c r="K3171" s="17"/>
      <c r="L3171" s="17"/>
      <c r="M3171" s="17"/>
      <c r="O3171" s="14">
        <f t="shared" si="1"/>
        <v>0</v>
      </c>
      <c r="P3171" s="86" t="str">
        <f t="array" ref="P3171">iferror(XLOOKUP(C3171,'Download of SFDC Activation Rep'!B:B,'Download of SFDC Activation Rep'!Z:Z),"")</f>
        <v/>
      </c>
      <c r="Q3171" s="86" t="str">
        <f t="shared" si="2"/>
        <v/>
      </c>
      <c r="R3171" s="13" t="str">
        <f t="shared" si="3"/>
        <v>Yes</v>
      </c>
      <c r="S3171" s="86" t="str">
        <f t="array" ref="S3171">iferror(XLOOKUP(C3171,'Download of SFDC Activation Rep'!B:B,'Download of SFDC Activation Rep'!Y:Y),"")</f>
        <v/>
      </c>
    </row>
    <row r="3172">
      <c r="A3172" s="17"/>
      <c r="B3172" s="85"/>
      <c r="C3172" s="17"/>
      <c r="D3172" s="85"/>
      <c r="E3172" s="17"/>
      <c r="F3172" s="17"/>
      <c r="G3172" s="17"/>
      <c r="I3172" s="17"/>
      <c r="K3172" s="17"/>
      <c r="L3172" s="17"/>
      <c r="M3172" s="17"/>
      <c r="O3172" s="14">
        <f t="shared" si="1"/>
        <v>0</v>
      </c>
      <c r="P3172" s="86" t="str">
        <f t="array" ref="P3172">iferror(XLOOKUP(C3172,'Download of SFDC Activation Rep'!B:B,'Download of SFDC Activation Rep'!Z:Z),"")</f>
        <v/>
      </c>
      <c r="Q3172" s="86" t="str">
        <f t="shared" si="2"/>
        <v/>
      </c>
      <c r="R3172" s="13" t="str">
        <f t="shared" si="3"/>
        <v>Yes</v>
      </c>
      <c r="S3172" s="86" t="str">
        <f t="array" ref="S3172">iferror(XLOOKUP(C3172,'Download of SFDC Activation Rep'!B:B,'Download of SFDC Activation Rep'!Y:Y),"")</f>
        <v/>
      </c>
    </row>
    <row r="3173">
      <c r="A3173" s="17"/>
      <c r="B3173" s="85"/>
      <c r="C3173" s="17"/>
      <c r="D3173" s="85"/>
      <c r="E3173" s="17"/>
      <c r="F3173" s="17"/>
      <c r="G3173" s="17"/>
      <c r="I3173" s="17"/>
      <c r="K3173" s="17"/>
      <c r="L3173" s="17"/>
      <c r="M3173" s="17"/>
      <c r="O3173" s="14">
        <f t="shared" si="1"/>
        <v>0</v>
      </c>
      <c r="P3173" s="86" t="str">
        <f t="array" ref="P3173">iferror(XLOOKUP(C3173,'Download of SFDC Activation Rep'!B:B,'Download of SFDC Activation Rep'!Z:Z),"")</f>
        <v/>
      </c>
      <c r="Q3173" s="86" t="str">
        <f t="shared" si="2"/>
        <v/>
      </c>
      <c r="R3173" s="13" t="str">
        <f t="shared" si="3"/>
        <v>Yes</v>
      </c>
      <c r="S3173" s="86" t="str">
        <f t="array" ref="S3173">iferror(XLOOKUP(C3173,'Download of SFDC Activation Rep'!B:B,'Download of SFDC Activation Rep'!Y:Y),"")</f>
        <v/>
      </c>
    </row>
    <row r="3174">
      <c r="A3174" s="17"/>
      <c r="B3174" s="85"/>
      <c r="C3174" s="17"/>
      <c r="D3174" s="85"/>
      <c r="E3174" s="17"/>
      <c r="F3174" s="17"/>
      <c r="G3174" s="17"/>
      <c r="I3174" s="17"/>
      <c r="K3174" s="17"/>
      <c r="L3174" s="17"/>
      <c r="M3174" s="17"/>
      <c r="O3174" s="14">
        <f t="shared" si="1"/>
        <v>0</v>
      </c>
      <c r="P3174" s="86" t="str">
        <f t="array" ref="P3174">iferror(XLOOKUP(C3174,'Download of SFDC Activation Rep'!B:B,'Download of SFDC Activation Rep'!Z:Z),"")</f>
        <v/>
      </c>
      <c r="Q3174" s="86" t="str">
        <f t="shared" si="2"/>
        <v/>
      </c>
      <c r="R3174" s="13" t="str">
        <f t="shared" si="3"/>
        <v>Yes</v>
      </c>
      <c r="S3174" s="86" t="str">
        <f t="array" ref="S3174">iferror(XLOOKUP(C3174,'Download of SFDC Activation Rep'!B:B,'Download of SFDC Activation Rep'!Y:Y),"")</f>
        <v/>
      </c>
    </row>
    <row r="3175">
      <c r="A3175" s="17"/>
      <c r="B3175" s="85"/>
      <c r="C3175" s="17"/>
      <c r="D3175" s="85"/>
      <c r="E3175" s="17"/>
      <c r="F3175" s="17"/>
      <c r="G3175" s="17"/>
      <c r="I3175" s="17"/>
      <c r="K3175" s="17"/>
      <c r="L3175" s="17"/>
      <c r="M3175" s="17"/>
      <c r="O3175" s="14">
        <f t="shared" si="1"/>
        <v>0</v>
      </c>
      <c r="P3175" s="86" t="str">
        <f t="array" ref="P3175">iferror(XLOOKUP(C3175,'Download of SFDC Activation Rep'!B:B,'Download of SFDC Activation Rep'!Z:Z),"")</f>
        <v/>
      </c>
      <c r="Q3175" s="86" t="str">
        <f t="shared" si="2"/>
        <v/>
      </c>
      <c r="R3175" s="13" t="str">
        <f t="shared" si="3"/>
        <v>Yes</v>
      </c>
      <c r="S3175" s="86" t="str">
        <f t="array" ref="S3175">iferror(XLOOKUP(C3175,'Download of SFDC Activation Rep'!B:B,'Download of SFDC Activation Rep'!Y:Y),"")</f>
        <v/>
      </c>
    </row>
    <row r="3176">
      <c r="A3176" s="17"/>
      <c r="B3176" s="85"/>
      <c r="C3176" s="17"/>
      <c r="D3176" s="85"/>
      <c r="E3176" s="17"/>
      <c r="F3176" s="17"/>
      <c r="G3176" s="17"/>
      <c r="I3176" s="17"/>
      <c r="K3176" s="17"/>
      <c r="L3176" s="17"/>
      <c r="M3176" s="17"/>
      <c r="O3176" s="14">
        <f t="shared" si="1"/>
        <v>0</v>
      </c>
      <c r="P3176" s="86" t="str">
        <f t="array" ref="P3176">iferror(XLOOKUP(C3176,'Download of SFDC Activation Rep'!B:B,'Download of SFDC Activation Rep'!Z:Z),"")</f>
        <v/>
      </c>
      <c r="Q3176" s="86" t="str">
        <f t="shared" si="2"/>
        <v/>
      </c>
      <c r="R3176" s="13" t="str">
        <f t="shared" si="3"/>
        <v>Yes</v>
      </c>
      <c r="S3176" s="86" t="str">
        <f t="array" ref="S3176">iferror(XLOOKUP(C3176,'Download of SFDC Activation Rep'!B:B,'Download of SFDC Activation Rep'!Y:Y),"")</f>
        <v/>
      </c>
    </row>
    <row r="3177">
      <c r="A3177" s="17"/>
      <c r="B3177" s="85"/>
      <c r="C3177" s="17"/>
      <c r="D3177" s="85"/>
      <c r="E3177" s="17"/>
      <c r="F3177" s="17"/>
      <c r="G3177" s="17"/>
      <c r="I3177" s="17"/>
      <c r="K3177" s="17"/>
      <c r="L3177" s="17"/>
      <c r="M3177" s="17"/>
      <c r="O3177" s="14">
        <f t="shared" si="1"/>
        <v>0</v>
      </c>
      <c r="P3177" s="86" t="str">
        <f t="array" ref="P3177">iferror(XLOOKUP(C3177,'Download of SFDC Activation Rep'!B:B,'Download of SFDC Activation Rep'!Z:Z),"")</f>
        <v/>
      </c>
      <c r="Q3177" s="86" t="str">
        <f t="shared" si="2"/>
        <v/>
      </c>
      <c r="R3177" s="13" t="str">
        <f t="shared" si="3"/>
        <v>Yes</v>
      </c>
      <c r="S3177" s="86" t="str">
        <f t="array" ref="S3177">iferror(XLOOKUP(C3177,'Download of SFDC Activation Rep'!B:B,'Download of SFDC Activation Rep'!Y:Y),"")</f>
        <v/>
      </c>
    </row>
    <row r="3178">
      <c r="A3178" s="17"/>
      <c r="B3178" s="85"/>
      <c r="C3178" s="17"/>
      <c r="D3178" s="85"/>
      <c r="E3178" s="17"/>
      <c r="F3178" s="17"/>
      <c r="G3178" s="17"/>
      <c r="I3178" s="17"/>
      <c r="K3178" s="17"/>
      <c r="L3178" s="17"/>
      <c r="M3178" s="17"/>
      <c r="O3178" s="14">
        <f t="shared" si="1"/>
        <v>0</v>
      </c>
      <c r="P3178" s="86" t="str">
        <f t="array" ref="P3178">iferror(XLOOKUP(C3178,'Download of SFDC Activation Rep'!B:B,'Download of SFDC Activation Rep'!Z:Z),"")</f>
        <v/>
      </c>
      <c r="Q3178" s="86" t="str">
        <f t="shared" si="2"/>
        <v/>
      </c>
      <c r="R3178" s="13" t="str">
        <f t="shared" si="3"/>
        <v>Yes</v>
      </c>
      <c r="S3178" s="86" t="str">
        <f t="array" ref="S3178">iferror(XLOOKUP(C3178,'Download of SFDC Activation Rep'!B:B,'Download of SFDC Activation Rep'!Y:Y),"")</f>
        <v/>
      </c>
    </row>
    <row r="3179">
      <c r="A3179" s="17"/>
      <c r="B3179" s="85"/>
      <c r="C3179" s="17"/>
      <c r="D3179" s="85"/>
      <c r="E3179" s="17"/>
      <c r="F3179" s="17"/>
      <c r="G3179" s="17"/>
      <c r="I3179" s="17"/>
      <c r="K3179" s="17"/>
      <c r="L3179" s="17"/>
      <c r="M3179" s="17"/>
      <c r="O3179" s="14">
        <f t="shared" si="1"/>
        <v>0</v>
      </c>
      <c r="P3179" s="86" t="str">
        <f t="array" ref="P3179">iferror(XLOOKUP(C3179,'Download of SFDC Activation Rep'!B:B,'Download of SFDC Activation Rep'!Z:Z),"")</f>
        <v/>
      </c>
      <c r="Q3179" s="86" t="str">
        <f t="shared" si="2"/>
        <v/>
      </c>
      <c r="R3179" s="13" t="str">
        <f t="shared" si="3"/>
        <v>Yes</v>
      </c>
      <c r="S3179" s="86" t="str">
        <f t="array" ref="S3179">iferror(XLOOKUP(C3179,'Download of SFDC Activation Rep'!B:B,'Download of SFDC Activation Rep'!Y:Y),"")</f>
        <v/>
      </c>
    </row>
    <row r="3180">
      <c r="A3180" s="17"/>
      <c r="B3180" s="85"/>
      <c r="C3180" s="17"/>
      <c r="D3180" s="85"/>
      <c r="E3180" s="17"/>
      <c r="F3180" s="17"/>
      <c r="G3180" s="17"/>
      <c r="I3180" s="17"/>
      <c r="K3180" s="17"/>
      <c r="L3180" s="17"/>
      <c r="M3180" s="17"/>
      <c r="O3180" s="14">
        <f t="shared" si="1"/>
        <v>0</v>
      </c>
      <c r="P3180" s="86" t="str">
        <f t="array" ref="P3180">iferror(XLOOKUP(C3180,'Download of SFDC Activation Rep'!B:B,'Download of SFDC Activation Rep'!Z:Z),"")</f>
        <v/>
      </c>
      <c r="Q3180" s="86" t="str">
        <f t="shared" si="2"/>
        <v/>
      </c>
      <c r="R3180" s="13" t="str">
        <f t="shared" si="3"/>
        <v>Yes</v>
      </c>
      <c r="S3180" s="86" t="str">
        <f t="array" ref="S3180">iferror(XLOOKUP(C3180,'Download of SFDC Activation Rep'!B:B,'Download of SFDC Activation Rep'!Y:Y),"")</f>
        <v/>
      </c>
    </row>
    <row r="3181">
      <c r="A3181" s="17"/>
      <c r="B3181" s="85"/>
      <c r="C3181" s="17"/>
      <c r="D3181" s="85"/>
      <c r="E3181" s="17"/>
      <c r="F3181" s="17"/>
      <c r="G3181" s="17"/>
      <c r="I3181" s="17"/>
      <c r="K3181" s="17"/>
      <c r="L3181" s="17"/>
      <c r="M3181" s="17"/>
      <c r="O3181" s="14">
        <f t="shared" si="1"/>
        <v>0</v>
      </c>
      <c r="P3181" s="86" t="str">
        <f t="array" ref="P3181">iferror(XLOOKUP(C3181,'Download of SFDC Activation Rep'!B:B,'Download of SFDC Activation Rep'!Z:Z),"")</f>
        <v/>
      </c>
      <c r="Q3181" s="86" t="str">
        <f t="shared" si="2"/>
        <v/>
      </c>
      <c r="R3181" s="13" t="str">
        <f t="shared" si="3"/>
        <v>Yes</v>
      </c>
      <c r="S3181" s="86" t="str">
        <f t="array" ref="S3181">iferror(XLOOKUP(C3181,'Download of SFDC Activation Rep'!B:B,'Download of SFDC Activation Rep'!Y:Y),"")</f>
        <v/>
      </c>
    </row>
    <row r="3182">
      <c r="A3182" s="17"/>
      <c r="B3182" s="85"/>
      <c r="C3182" s="17"/>
      <c r="D3182" s="85"/>
      <c r="E3182" s="17"/>
      <c r="F3182" s="17"/>
      <c r="G3182" s="17"/>
      <c r="I3182" s="17"/>
      <c r="K3182" s="17"/>
      <c r="L3182" s="17"/>
      <c r="M3182" s="17"/>
      <c r="O3182" s="14">
        <f t="shared" si="1"/>
        <v>0</v>
      </c>
      <c r="P3182" s="86" t="str">
        <f t="array" ref="P3182">iferror(XLOOKUP(C3182,'Download of SFDC Activation Rep'!B:B,'Download of SFDC Activation Rep'!Z:Z),"")</f>
        <v/>
      </c>
      <c r="Q3182" s="86" t="str">
        <f t="shared" si="2"/>
        <v/>
      </c>
      <c r="R3182" s="13" t="str">
        <f t="shared" si="3"/>
        <v>Yes</v>
      </c>
      <c r="S3182" s="86" t="str">
        <f t="array" ref="S3182">iferror(XLOOKUP(C3182,'Download of SFDC Activation Rep'!B:B,'Download of SFDC Activation Rep'!Y:Y),"")</f>
        <v/>
      </c>
    </row>
  </sheetData>
  <drawing r:id="rId1"/>
</worksheet>
</file>